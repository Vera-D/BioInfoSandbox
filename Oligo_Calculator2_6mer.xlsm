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iaz\Desktop\BioInfo-Sandbox\"/>
    </mc:Choice>
  </mc:AlternateContent>
  <bookViews>
    <workbookView xWindow="1872" yWindow="0" windowWidth="18276" windowHeight="7488" tabRatio="450" activeTab="3"/>
  </bookViews>
  <sheets>
    <sheet name="Sheet1" sheetId="1" r:id="rId1"/>
    <sheet name="Sheet2" sheetId="2" r:id="rId2"/>
    <sheet name="Sheet3" sheetId="3" r:id="rId3"/>
    <sheet name="MERS" sheetId="4" r:id="rId4"/>
  </sheets>
  <externalReferences>
    <externalReference r:id="rId5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4" l="1"/>
  <c r="B8" i="4"/>
  <c r="B3" i="4"/>
  <c r="B4" i="4"/>
  <c r="B5" i="4"/>
  <c r="B6" i="4"/>
  <c r="B7" i="4"/>
  <c r="M26" i="3"/>
  <c r="K25" i="3"/>
  <c r="M25" i="3" s="1"/>
  <c r="K16" i="3"/>
  <c r="M16" i="3" s="1"/>
  <c r="K22" i="3"/>
  <c r="M22" i="3"/>
  <c r="M19" i="3"/>
  <c r="K19" i="3"/>
  <c r="Q7" i="3"/>
  <c r="Q6" i="3"/>
  <c r="P8" i="3"/>
  <c r="P7" i="3"/>
  <c r="P6" i="3"/>
  <c r="P5" i="3"/>
  <c r="O8" i="3"/>
  <c r="O7" i="3"/>
  <c r="O6" i="3"/>
  <c r="O5" i="3"/>
  <c r="N8" i="3"/>
  <c r="N7" i="3"/>
  <c r="N6" i="3"/>
  <c r="N5" i="3"/>
  <c r="M3" i="3"/>
  <c r="M4" i="3"/>
  <c r="M5" i="3"/>
  <c r="M6" i="3"/>
  <c r="M7" i="3"/>
  <c r="M8" i="3"/>
  <c r="M9" i="3"/>
  <c r="M2" i="3"/>
  <c r="L9" i="3"/>
  <c r="L8" i="3"/>
  <c r="L7" i="3"/>
  <c r="L6" i="3"/>
  <c r="L5" i="3"/>
  <c r="L4" i="3"/>
  <c r="L3" i="3"/>
  <c r="L2" i="3"/>
  <c r="H7" i="1"/>
  <c r="G7" i="1"/>
  <c r="F7" i="1"/>
  <c r="E7" i="1"/>
  <c r="D7" i="1"/>
  <c r="C7" i="1"/>
  <c r="B7" i="1"/>
  <c r="A7" i="1"/>
  <c r="B5" i="1"/>
  <c r="B3" i="1"/>
  <c r="B2" i="1"/>
  <c r="E5" i="1"/>
  <c r="K5" i="1"/>
  <c r="K4" i="1"/>
  <c r="K3" i="1"/>
  <c r="K2" i="1"/>
  <c r="K1" i="1"/>
  <c r="F8" i="2" l="1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7" i="2"/>
  <c r="F6" i="2"/>
  <c r="I4107" i="1"/>
  <c r="H4107" i="1"/>
  <c r="G4107" i="1"/>
  <c r="F4107" i="1"/>
  <c r="E4107" i="1"/>
  <c r="I4106" i="1"/>
  <c r="H4106" i="1"/>
  <c r="G4106" i="1"/>
  <c r="F4106" i="1"/>
  <c r="E4106" i="1"/>
  <c r="I4105" i="1"/>
  <c r="H4105" i="1"/>
  <c r="G4105" i="1"/>
  <c r="F4105" i="1"/>
  <c r="E4105" i="1"/>
  <c r="I4104" i="1"/>
  <c r="H4104" i="1"/>
  <c r="G4104" i="1"/>
  <c r="F4104" i="1"/>
  <c r="E4104" i="1"/>
  <c r="I4103" i="1"/>
  <c r="H4103" i="1"/>
  <c r="G4103" i="1"/>
  <c r="F4103" i="1"/>
  <c r="E4103" i="1"/>
  <c r="I4102" i="1"/>
  <c r="H4102" i="1"/>
  <c r="G4102" i="1"/>
  <c r="F4102" i="1"/>
  <c r="E4102" i="1"/>
  <c r="I4101" i="1"/>
  <c r="H4101" i="1"/>
  <c r="G4101" i="1"/>
  <c r="F4101" i="1"/>
  <c r="E4101" i="1"/>
  <c r="I4100" i="1"/>
  <c r="H4100" i="1"/>
  <c r="G4100" i="1"/>
  <c r="F4100" i="1"/>
  <c r="E4100" i="1"/>
  <c r="I4099" i="1"/>
  <c r="H4099" i="1"/>
  <c r="G4099" i="1"/>
  <c r="F4099" i="1"/>
  <c r="E4099" i="1"/>
  <c r="I4098" i="1"/>
  <c r="H4098" i="1"/>
  <c r="G4098" i="1"/>
  <c r="F4098" i="1"/>
  <c r="E4098" i="1"/>
  <c r="I4097" i="1"/>
  <c r="H4097" i="1"/>
  <c r="G4097" i="1"/>
  <c r="F4097" i="1"/>
  <c r="E4097" i="1"/>
  <c r="I4096" i="1"/>
  <c r="H4096" i="1"/>
  <c r="G4096" i="1"/>
  <c r="F4096" i="1"/>
  <c r="E4096" i="1"/>
  <c r="I4095" i="1"/>
  <c r="H4095" i="1"/>
  <c r="G4095" i="1"/>
  <c r="F4095" i="1"/>
  <c r="E4095" i="1"/>
  <c r="I4094" i="1"/>
  <c r="H4094" i="1"/>
  <c r="G4094" i="1"/>
  <c r="F4094" i="1"/>
  <c r="E4094" i="1"/>
  <c r="I4093" i="1"/>
  <c r="H4093" i="1"/>
  <c r="G4093" i="1"/>
  <c r="F4093" i="1"/>
  <c r="E4093" i="1"/>
  <c r="I4092" i="1"/>
  <c r="H4092" i="1"/>
  <c r="G4092" i="1"/>
  <c r="F4092" i="1"/>
  <c r="E4092" i="1"/>
  <c r="I4091" i="1"/>
  <c r="H4091" i="1"/>
  <c r="G4091" i="1"/>
  <c r="F4091" i="1"/>
  <c r="E4091" i="1"/>
  <c r="I4090" i="1"/>
  <c r="H4090" i="1"/>
  <c r="G4090" i="1"/>
  <c r="F4090" i="1"/>
  <c r="E4090" i="1"/>
  <c r="I4089" i="1"/>
  <c r="H4089" i="1"/>
  <c r="G4089" i="1"/>
  <c r="F4089" i="1"/>
  <c r="E4089" i="1"/>
  <c r="I4088" i="1"/>
  <c r="H4088" i="1"/>
  <c r="G4088" i="1"/>
  <c r="F4088" i="1"/>
  <c r="E4088" i="1"/>
  <c r="I4087" i="1"/>
  <c r="H4087" i="1"/>
  <c r="G4087" i="1"/>
  <c r="F4087" i="1"/>
  <c r="E4087" i="1"/>
  <c r="I4086" i="1"/>
  <c r="H4086" i="1"/>
  <c r="G4086" i="1"/>
  <c r="F4086" i="1"/>
  <c r="E4086" i="1"/>
  <c r="I4085" i="1"/>
  <c r="H4085" i="1"/>
  <c r="G4085" i="1"/>
  <c r="F4085" i="1"/>
  <c r="E4085" i="1"/>
  <c r="I4084" i="1"/>
  <c r="H4084" i="1"/>
  <c r="G4084" i="1"/>
  <c r="F4084" i="1"/>
  <c r="E4084" i="1"/>
  <c r="I4083" i="1"/>
  <c r="H4083" i="1"/>
  <c r="G4083" i="1"/>
  <c r="F4083" i="1"/>
  <c r="E4083" i="1"/>
  <c r="I4082" i="1"/>
  <c r="H4082" i="1"/>
  <c r="G4082" i="1"/>
  <c r="F4082" i="1"/>
  <c r="E4082" i="1"/>
  <c r="I4081" i="1"/>
  <c r="H4081" i="1"/>
  <c r="G4081" i="1"/>
  <c r="F4081" i="1"/>
  <c r="E4081" i="1"/>
  <c r="I4080" i="1"/>
  <c r="H4080" i="1"/>
  <c r="G4080" i="1"/>
  <c r="F4080" i="1"/>
  <c r="E4080" i="1"/>
  <c r="I4079" i="1"/>
  <c r="H4079" i="1"/>
  <c r="G4079" i="1"/>
  <c r="F4079" i="1"/>
  <c r="E4079" i="1"/>
  <c r="I4078" i="1"/>
  <c r="H4078" i="1"/>
  <c r="G4078" i="1"/>
  <c r="F4078" i="1"/>
  <c r="E4078" i="1"/>
  <c r="I4077" i="1"/>
  <c r="H4077" i="1"/>
  <c r="G4077" i="1"/>
  <c r="F4077" i="1"/>
  <c r="E4077" i="1"/>
  <c r="I4076" i="1"/>
  <c r="H4076" i="1"/>
  <c r="G4076" i="1"/>
  <c r="F4076" i="1"/>
  <c r="E4076" i="1"/>
  <c r="I4075" i="1"/>
  <c r="H4075" i="1"/>
  <c r="G4075" i="1"/>
  <c r="F4075" i="1"/>
  <c r="E4075" i="1"/>
  <c r="I4074" i="1"/>
  <c r="H4074" i="1"/>
  <c r="G4074" i="1"/>
  <c r="F4074" i="1"/>
  <c r="E4074" i="1"/>
  <c r="I4073" i="1"/>
  <c r="H4073" i="1"/>
  <c r="G4073" i="1"/>
  <c r="F4073" i="1"/>
  <c r="E4073" i="1"/>
  <c r="I4072" i="1"/>
  <c r="H4072" i="1"/>
  <c r="G4072" i="1"/>
  <c r="F4072" i="1"/>
  <c r="E4072" i="1"/>
  <c r="I4071" i="1"/>
  <c r="H4071" i="1"/>
  <c r="G4071" i="1"/>
  <c r="F4071" i="1"/>
  <c r="E4071" i="1"/>
  <c r="I4070" i="1"/>
  <c r="H4070" i="1"/>
  <c r="G4070" i="1"/>
  <c r="F4070" i="1"/>
  <c r="E4070" i="1"/>
  <c r="I4069" i="1"/>
  <c r="H4069" i="1"/>
  <c r="G4069" i="1"/>
  <c r="F4069" i="1"/>
  <c r="E4069" i="1"/>
  <c r="I4068" i="1"/>
  <c r="H4068" i="1"/>
  <c r="G4068" i="1"/>
  <c r="F4068" i="1"/>
  <c r="E4068" i="1"/>
  <c r="I4067" i="1"/>
  <c r="H4067" i="1"/>
  <c r="G4067" i="1"/>
  <c r="F4067" i="1"/>
  <c r="E4067" i="1"/>
  <c r="I4066" i="1"/>
  <c r="H4066" i="1"/>
  <c r="G4066" i="1"/>
  <c r="F4066" i="1"/>
  <c r="E4066" i="1"/>
  <c r="I4065" i="1"/>
  <c r="H4065" i="1"/>
  <c r="G4065" i="1"/>
  <c r="F4065" i="1"/>
  <c r="E4065" i="1"/>
  <c r="I4064" i="1"/>
  <c r="H4064" i="1"/>
  <c r="G4064" i="1"/>
  <c r="F4064" i="1"/>
  <c r="E4064" i="1"/>
  <c r="I4063" i="1"/>
  <c r="H4063" i="1"/>
  <c r="G4063" i="1"/>
  <c r="F4063" i="1"/>
  <c r="E4063" i="1"/>
  <c r="I4062" i="1"/>
  <c r="H4062" i="1"/>
  <c r="G4062" i="1"/>
  <c r="F4062" i="1"/>
  <c r="E4062" i="1"/>
  <c r="I4061" i="1"/>
  <c r="H4061" i="1"/>
  <c r="G4061" i="1"/>
  <c r="F4061" i="1"/>
  <c r="E4061" i="1"/>
  <c r="I4060" i="1"/>
  <c r="H4060" i="1"/>
  <c r="G4060" i="1"/>
  <c r="F4060" i="1"/>
  <c r="E4060" i="1"/>
  <c r="I4059" i="1"/>
  <c r="H4059" i="1"/>
  <c r="G4059" i="1"/>
  <c r="F4059" i="1"/>
  <c r="E4059" i="1"/>
  <c r="I4058" i="1"/>
  <c r="H4058" i="1"/>
  <c r="G4058" i="1"/>
  <c r="F4058" i="1"/>
  <c r="E4058" i="1"/>
  <c r="I4057" i="1"/>
  <c r="H4057" i="1"/>
  <c r="G4057" i="1"/>
  <c r="F4057" i="1"/>
  <c r="E4057" i="1"/>
  <c r="I4056" i="1"/>
  <c r="H4056" i="1"/>
  <c r="G4056" i="1"/>
  <c r="F4056" i="1"/>
  <c r="E4056" i="1"/>
  <c r="I4055" i="1"/>
  <c r="H4055" i="1"/>
  <c r="G4055" i="1"/>
  <c r="F4055" i="1"/>
  <c r="E4055" i="1"/>
  <c r="I4054" i="1"/>
  <c r="H4054" i="1"/>
  <c r="G4054" i="1"/>
  <c r="F4054" i="1"/>
  <c r="E4054" i="1"/>
  <c r="I4053" i="1"/>
  <c r="H4053" i="1"/>
  <c r="G4053" i="1"/>
  <c r="F4053" i="1"/>
  <c r="E4053" i="1"/>
  <c r="I4052" i="1"/>
  <c r="H4052" i="1"/>
  <c r="G4052" i="1"/>
  <c r="F4052" i="1"/>
  <c r="E4052" i="1"/>
  <c r="I4051" i="1"/>
  <c r="H4051" i="1"/>
  <c r="G4051" i="1"/>
  <c r="F4051" i="1"/>
  <c r="E4051" i="1"/>
  <c r="I4050" i="1"/>
  <c r="H4050" i="1"/>
  <c r="G4050" i="1"/>
  <c r="F4050" i="1"/>
  <c r="E4050" i="1"/>
  <c r="I4049" i="1"/>
  <c r="H4049" i="1"/>
  <c r="G4049" i="1"/>
  <c r="F4049" i="1"/>
  <c r="E4049" i="1"/>
  <c r="I4048" i="1"/>
  <c r="H4048" i="1"/>
  <c r="G4048" i="1"/>
  <c r="F4048" i="1"/>
  <c r="E4048" i="1"/>
  <c r="I4047" i="1"/>
  <c r="H4047" i="1"/>
  <c r="G4047" i="1"/>
  <c r="F4047" i="1"/>
  <c r="E4047" i="1"/>
  <c r="I4046" i="1"/>
  <c r="H4046" i="1"/>
  <c r="G4046" i="1"/>
  <c r="F4046" i="1"/>
  <c r="E4046" i="1"/>
  <c r="I4045" i="1"/>
  <c r="H4045" i="1"/>
  <c r="G4045" i="1"/>
  <c r="F4045" i="1"/>
  <c r="E4045" i="1"/>
  <c r="I4044" i="1"/>
  <c r="H4044" i="1"/>
  <c r="G4044" i="1"/>
  <c r="F4044" i="1"/>
  <c r="E4044" i="1"/>
  <c r="I4043" i="1"/>
  <c r="H4043" i="1"/>
  <c r="G4043" i="1"/>
  <c r="F4043" i="1"/>
  <c r="E4043" i="1"/>
  <c r="I4042" i="1"/>
  <c r="H4042" i="1"/>
  <c r="G4042" i="1"/>
  <c r="F4042" i="1"/>
  <c r="E4042" i="1"/>
  <c r="I4041" i="1"/>
  <c r="H4041" i="1"/>
  <c r="G4041" i="1"/>
  <c r="F4041" i="1"/>
  <c r="E4041" i="1"/>
  <c r="I4040" i="1"/>
  <c r="H4040" i="1"/>
  <c r="G4040" i="1"/>
  <c r="F4040" i="1"/>
  <c r="E4040" i="1"/>
  <c r="I4039" i="1"/>
  <c r="H4039" i="1"/>
  <c r="G4039" i="1"/>
  <c r="F4039" i="1"/>
  <c r="E4039" i="1"/>
  <c r="I4038" i="1"/>
  <c r="H4038" i="1"/>
  <c r="G4038" i="1"/>
  <c r="F4038" i="1"/>
  <c r="E4038" i="1"/>
  <c r="I4037" i="1"/>
  <c r="H4037" i="1"/>
  <c r="G4037" i="1"/>
  <c r="F4037" i="1"/>
  <c r="E4037" i="1"/>
  <c r="I4036" i="1"/>
  <c r="H4036" i="1"/>
  <c r="G4036" i="1"/>
  <c r="F4036" i="1"/>
  <c r="E4036" i="1"/>
  <c r="I4035" i="1"/>
  <c r="H4035" i="1"/>
  <c r="G4035" i="1"/>
  <c r="F4035" i="1"/>
  <c r="E4035" i="1"/>
  <c r="I4034" i="1"/>
  <c r="H4034" i="1"/>
  <c r="G4034" i="1"/>
  <c r="F4034" i="1"/>
  <c r="E4034" i="1"/>
  <c r="I4033" i="1"/>
  <c r="H4033" i="1"/>
  <c r="G4033" i="1"/>
  <c r="F4033" i="1"/>
  <c r="E4033" i="1"/>
  <c r="I4032" i="1"/>
  <c r="H4032" i="1"/>
  <c r="G4032" i="1"/>
  <c r="F4032" i="1"/>
  <c r="E4032" i="1"/>
  <c r="I4031" i="1"/>
  <c r="H4031" i="1"/>
  <c r="G4031" i="1"/>
  <c r="F4031" i="1"/>
  <c r="E4031" i="1"/>
  <c r="I4030" i="1"/>
  <c r="H4030" i="1"/>
  <c r="G4030" i="1"/>
  <c r="F4030" i="1"/>
  <c r="E4030" i="1"/>
  <c r="I4029" i="1"/>
  <c r="H4029" i="1"/>
  <c r="G4029" i="1"/>
  <c r="F4029" i="1"/>
  <c r="E4029" i="1"/>
  <c r="I4028" i="1"/>
  <c r="H4028" i="1"/>
  <c r="G4028" i="1"/>
  <c r="F4028" i="1"/>
  <c r="E4028" i="1"/>
  <c r="I4027" i="1"/>
  <c r="H4027" i="1"/>
  <c r="G4027" i="1"/>
  <c r="F4027" i="1"/>
  <c r="E4027" i="1"/>
  <c r="I4026" i="1"/>
  <c r="H4026" i="1"/>
  <c r="G4026" i="1"/>
  <c r="F4026" i="1"/>
  <c r="E4026" i="1"/>
  <c r="I4025" i="1"/>
  <c r="H4025" i="1"/>
  <c r="G4025" i="1"/>
  <c r="F4025" i="1"/>
  <c r="E4025" i="1"/>
  <c r="I4024" i="1"/>
  <c r="H4024" i="1"/>
  <c r="G4024" i="1"/>
  <c r="F4024" i="1"/>
  <c r="E4024" i="1"/>
  <c r="I4023" i="1"/>
  <c r="H4023" i="1"/>
  <c r="G4023" i="1"/>
  <c r="F4023" i="1"/>
  <c r="E4023" i="1"/>
  <c r="I4022" i="1"/>
  <c r="H4022" i="1"/>
  <c r="G4022" i="1"/>
  <c r="F4022" i="1"/>
  <c r="E4022" i="1"/>
  <c r="I4021" i="1"/>
  <c r="H4021" i="1"/>
  <c r="G4021" i="1"/>
  <c r="F4021" i="1"/>
  <c r="E4021" i="1"/>
  <c r="I4020" i="1"/>
  <c r="H4020" i="1"/>
  <c r="G4020" i="1"/>
  <c r="F4020" i="1"/>
  <c r="E4020" i="1"/>
  <c r="I4019" i="1"/>
  <c r="H4019" i="1"/>
  <c r="G4019" i="1"/>
  <c r="F4019" i="1"/>
  <c r="E4019" i="1"/>
  <c r="I4018" i="1"/>
  <c r="H4018" i="1"/>
  <c r="G4018" i="1"/>
  <c r="F4018" i="1"/>
  <c r="E4018" i="1"/>
  <c r="I4017" i="1"/>
  <c r="H4017" i="1"/>
  <c r="G4017" i="1"/>
  <c r="F4017" i="1"/>
  <c r="E4017" i="1"/>
  <c r="I4016" i="1"/>
  <c r="H4016" i="1"/>
  <c r="G4016" i="1"/>
  <c r="F4016" i="1"/>
  <c r="E4016" i="1"/>
  <c r="I4015" i="1"/>
  <c r="H4015" i="1"/>
  <c r="G4015" i="1"/>
  <c r="F4015" i="1"/>
  <c r="E4015" i="1"/>
  <c r="I4014" i="1"/>
  <c r="H4014" i="1"/>
  <c r="G4014" i="1"/>
  <c r="F4014" i="1"/>
  <c r="E4014" i="1"/>
  <c r="I4013" i="1"/>
  <c r="H4013" i="1"/>
  <c r="G4013" i="1"/>
  <c r="F4013" i="1"/>
  <c r="E4013" i="1"/>
  <c r="I4012" i="1"/>
  <c r="H4012" i="1"/>
  <c r="G4012" i="1"/>
  <c r="F4012" i="1"/>
  <c r="E4012" i="1"/>
  <c r="I4011" i="1"/>
  <c r="H4011" i="1"/>
  <c r="G4011" i="1"/>
  <c r="F4011" i="1"/>
  <c r="E4011" i="1"/>
  <c r="I4010" i="1"/>
  <c r="H4010" i="1"/>
  <c r="G4010" i="1"/>
  <c r="F4010" i="1"/>
  <c r="E4010" i="1"/>
  <c r="I4009" i="1"/>
  <c r="H4009" i="1"/>
  <c r="G4009" i="1"/>
  <c r="F4009" i="1"/>
  <c r="E4009" i="1"/>
  <c r="I4008" i="1"/>
  <c r="H4008" i="1"/>
  <c r="G4008" i="1"/>
  <c r="F4008" i="1"/>
  <c r="E4008" i="1"/>
  <c r="I4007" i="1"/>
  <c r="H4007" i="1"/>
  <c r="G4007" i="1"/>
  <c r="F4007" i="1"/>
  <c r="E4007" i="1"/>
  <c r="I4006" i="1"/>
  <c r="H4006" i="1"/>
  <c r="G4006" i="1"/>
  <c r="F4006" i="1"/>
  <c r="E4006" i="1"/>
  <c r="I4005" i="1"/>
  <c r="H4005" i="1"/>
  <c r="G4005" i="1"/>
  <c r="F4005" i="1"/>
  <c r="E4005" i="1"/>
  <c r="I4004" i="1"/>
  <c r="H4004" i="1"/>
  <c r="G4004" i="1"/>
  <c r="F4004" i="1"/>
  <c r="E4004" i="1"/>
  <c r="I4003" i="1"/>
  <c r="H4003" i="1"/>
  <c r="G4003" i="1"/>
  <c r="F4003" i="1"/>
  <c r="E4003" i="1"/>
  <c r="I4002" i="1"/>
  <c r="H4002" i="1"/>
  <c r="G4002" i="1"/>
  <c r="F4002" i="1"/>
  <c r="E4002" i="1"/>
  <c r="I4001" i="1"/>
  <c r="H4001" i="1"/>
  <c r="G4001" i="1"/>
  <c r="F4001" i="1"/>
  <c r="E4001" i="1"/>
  <c r="I4000" i="1"/>
  <c r="H4000" i="1"/>
  <c r="G4000" i="1"/>
  <c r="F4000" i="1"/>
  <c r="E4000" i="1"/>
  <c r="I3999" i="1"/>
  <c r="H3999" i="1"/>
  <c r="G3999" i="1"/>
  <c r="F3999" i="1"/>
  <c r="E3999" i="1"/>
  <c r="I3998" i="1"/>
  <c r="H3998" i="1"/>
  <c r="G3998" i="1"/>
  <c r="F3998" i="1"/>
  <c r="E3998" i="1"/>
  <c r="I3997" i="1"/>
  <c r="H3997" i="1"/>
  <c r="G3997" i="1"/>
  <c r="F3997" i="1"/>
  <c r="E3997" i="1"/>
  <c r="I3996" i="1"/>
  <c r="H3996" i="1"/>
  <c r="G3996" i="1"/>
  <c r="F3996" i="1"/>
  <c r="E3996" i="1"/>
  <c r="I3995" i="1"/>
  <c r="H3995" i="1"/>
  <c r="G3995" i="1"/>
  <c r="F3995" i="1"/>
  <c r="E3995" i="1"/>
  <c r="I3994" i="1"/>
  <c r="H3994" i="1"/>
  <c r="G3994" i="1"/>
  <c r="F3994" i="1"/>
  <c r="E3994" i="1"/>
  <c r="I3993" i="1"/>
  <c r="H3993" i="1"/>
  <c r="G3993" i="1"/>
  <c r="F3993" i="1"/>
  <c r="E3993" i="1"/>
  <c r="I3992" i="1"/>
  <c r="H3992" i="1"/>
  <c r="G3992" i="1"/>
  <c r="F3992" i="1"/>
  <c r="E3992" i="1"/>
  <c r="I3991" i="1"/>
  <c r="H3991" i="1"/>
  <c r="G3991" i="1"/>
  <c r="F3991" i="1"/>
  <c r="E3991" i="1"/>
  <c r="I3990" i="1"/>
  <c r="H3990" i="1"/>
  <c r="G3990" i="1"/>
  <c r="F3990" i="1"/>
  <c r="E3990" i="1"/>
  <c r="I3989" i="1"/>
  <c r="H3989" i="1"/>
  <c r="G3989" i="1"/>
  <c r="F3989" i="1"/>
  <c r="E3989" i="1"/>
  <c r="I3988" i="1"/>
  <c r="H3988" i="1"/>
  <c r="G3988" i="1"/>
  <c r="F3988" i="1"/>
  <c r="E3988" i="1"/>
  <c r="I3987" i="1"/>
  <c r="H3987" i="1"/>
  <c r="G3987" i="1"/>
  <c r="F3987" i="1"/>
  <c r="E3987" i="1"/>
  <c r="I3986" i="1"/>
  <c r="H3986" i="1"/>
  <c r="G3986" i="1"/>
  <c r="F3986" i="1"/>
  <c r="E3986" i="1"/>
  <c r="I3985" i="1"/>
  <c r="H3985" i="1"/>
  <c r="G3985" i="1"/>
  <c r="F3985" i="1"/>
  <c r="E3985" i="1"/>
  <c r="I3984" i="1"/>
  <c r="H3984" i="1"/>
  <c r="G3984" i="1"/>
  <c r="F3984" i="1"/>
  <c r="E3984" i="1"/>
  <c r="I3983" i="1"/>
  <c r="H3983" i="1"/>
  <c r="G3983" i="1"/>
  <c r="F3983" i="1"/>
  <c r="E3983" i="1"/>
  <c r="I3982" i="1"/>
  <c r="H3982" i="1"/>
  <c r="G3982" i="1"/>
  <c r="F3982" i="1"/>
  <c r="E3982" i="1"/>
  <c r="I3981" i="1"/>
  <c r="H3981" i="1"/>
  <c r="G3981" i="1"/>
  <c r="F3981" i="1"/>
  <c r="E3981" i="1"/>
  <c r="I3980" i="1"/>
  <c r="H3980" i="1"/>
  <c r="G3980" i="1"/>
  <c r="F3980" i="1"/>
  <c r="E3980" i="1"/>
  <c r="I3979" i="1"/>
  <c r="H3979" i="1"/>
  <c r="G3979" i="1"/>
  <c r="F3979" i="1"/>
  <c r="E3979" i="1"/>
  <c r="I3978" i="1"/>
  <c r="H3978" i="1"/>
  <c r="G3978" i="1"/>
  <c r="F3978" i="1"/>
  <c r="E3978" i="1"/>
  <c r="I3977" i="1"/>
  <c r="H3977" i="1"/>
  <c r="G3977" i="1"/>
  <c r="F3977" i="1"/>
  <c r="E3977" i="1"/>
  <c r="I3976" i="1"/>
  <c r="H3976" i="1"/>
  <c r="G3976" i="1"/>
  <c r="F3976" i="1"/>
  <c r="E3976" i="1"/>
  <c r="I3975" i="1"/>
  <c r="H3975" i="1"/>
  <c r="G3975" i="1"/>
  <c r="F3975" i="1"/>
  <c r="E3975" i="1"/>
  <c r="I3974" i="1"/>
  <c r="H3974" i="1"/>
  <c r="G3974" i="1"/>
  <c r="F3974" i="1"/>
  <c r="E3974" i="1"/>
  <c r="I3973" i="1"/>
  <c r="H3973" i="1"/>
  <c r="G3973" i="1"/>
  <c r="F3973" i="1"/>
  <c r="E3973" i="1"/>
  <c r="I3972" i="1"/>
  <c r="H3972" i="1"/>
  <c r="G3972" i="1"/>
  <c r="F3972" i="1"/>
  <c r="E3972" i="1"/>
  <c r="I3971" i="1"/>
  <c r="H3971" i="1"/>
  <c r="G3971" i="1"/>
  <c r="F3971" i="1"/>
  <c r="E3971" i="1"/>
  <c r="I3970" i="1"/>
  <c r="H3970" i="1"/>
  <c r="G3970" i="1"/>
  <c r="F3970" i="1"/>
  <c r="E3970" i="1"/>
  <c r="I3969" i="1"/>
  <c r="H3969" i="1"/>
  <c r="G3969" i="1"/>
  <c r="F3969" i="1"/>
  <c r="E3969" i="1"/>
  <c r="I3968" i="1"/>
  <c r="H3968" i="1"/>
  <c r="G3968" i="1"/>
  <c r="F3968" i="1"/>
  <c r="E3968" i="1"/>
  <c r="I3967" i="1"/>
  <c r="H3967" i="1"/>
  <c r="G3967" i="1"/>
  <c r="F3967" i="1"/>
  <c r="E3967" i="1"/>
  <c r="I3966" i="1"/>
  <c r="H3966" i="1"/>
  <c r="G3966" i="1"/>
  <c r="F3966" i="1"/>
  <c r="E3966" i="1"/>
  <c r="I3965" i="1"/>
  <c r="H3965" i="1"/>
  <c r="G3965" i="1"/>
  <c r="F3965" i="1"/>
  <c r="E3965" i="1"/>
  <c r="I3964" i="1"/>
  <c r="H3964" i="1"/>
  <c r="G3964" i="1"/>
  <c r="F3964" i="1"/>
  <c r="E3964" i="1"/>
  <c r="I3963" i="1"/>
  <c r="H3963" i="1"/>
  <c r="G3963" i="1"/>
  <c r="F3963" i="1"/>
  <c r="E3963" i="1"/>
  <c r="I3962" i="1"/>
  <c r="H3962" i="1"/>
  <c r="G3962" i="1"/>
  <c r="F3962" i="1"/>
  <c r="E3962" i="1"/>
  <c r="I3961" i="1"/>
  <c r="H3961" i="1"/>
  <c r="G3961" i="1"/>
  <c r="F3961" i="1"/>
  <c r="E3961" i="1"/>
  <c r="I3960" i="1"/>
  <c r="H3960" i="1"/>
  <c r="G3960" i="1"/>
  <c r="F3960" i="1"/>
  <c r="E3960" i="1"/>
  <c r="I3959" i="1"/>
  <c r="H3959" i="1"/>
  <c r="G3959" i="1"/>
  <c r="F3959" i="1"/>
  <c r="E3959" i="1"/>
  <c r="I3958" i="1"/>
  <c r="H3958" i="1"/>
  <c r="G3958" i="1"/>
  <c r="F3958" i="1"/>
  <c r="E3958" i="1"/>
  <c r="I3957" i="1"/>
  <c r="H3957" i="1"/>
  <c r="G3957" i="1"/>
  <c r="F3957" i="1"/>
  <c r="E3957" i="1"/>
  <c r="I3956" i="1"/>
  <c r="H3956" i="1"/>
  <c r="G3956" i="1"/>
  <c r="F3956" i="1"/>
  <c r="E3956" i="1"/>
  <c r="I3955" i="1"/>
  <c r="H3955" i="1"/>
  <c r="G3955" i="1"/>
  <c r="F3955" i="1"/>
  <c r="E3955" i="1"/>
  <c r="I3954" i="1"/>
  <c r="H3954" i="1"/>
  <c r="G3954" i="1"/>
  <c r="F3954" i="1"/>
  <c r="E3954" i="1"/>
  <c r="I3953" i="1"/>
  <c r="H3953" i="1"/>
  <c r="G3953" i="1"/>
  <c r="F3953" i="1"/>
  <c r="E3953" i="1"/>
  <c r="I3952" i="1"/>
  <c r="H3952" i="1"/>
  <c r="G3952" i="1"/>
  <c r="F3952" i="1"/>
  <c r="E3952" i="1"/>
  <c r="I3951" i="1"/>
  <c r="H3951" i="1"/>
  <c r="G3951" i="1"/>
  <c r="F3951" i="1"/>
  <c r="E3951" i="1"/>
  <c r="I3950" i="1"/>
  <c r="H3950" i="1"/>
  <c r="G3950" i="1"/>
  <c r="F3950" i="1"/>
  <c r="E3950" i="1"/>
  <c r="I3949" i="1"/>
  <c r="H3949" i="1"/>
  <c r="G3949" i="1"/>
  <c r="F3949" i="1"/>
  <c r="E3949" i="1"/>
  <c r="I3948" i="1"/>
  <c r="H3948" i="1"/>
  <c r="G3948" i="1"/>
  <c r="F3948" i="1"/>
  <c r="E3948" i="1"/>
  <c r="I3947" i="1"/>
  <c r="H3947" i="1"/>
  <c r="G3947" i="1"/>
  <c r="F3947" i="1"/>
  <c r="E3947" i="1"/>
  <c r="I3946" i="1"/>
  <c r="H3946" i="1"/>
  <c r="G3946" i="1"/>
  <c r="F3946" i="1"/>
  <c r="E3946" i="1"/>
  <c r="I3945" i="1"/>
  <c r="H3945" i="1"/>
  <c r="G3945" i="1"/>
  <c r="F3945" i="1"/>
  <c r="E3945" i="1"/>
  <c r="I3944" i="1"/>
  <c r="H3944" i="1"/>
  <c r="G3944" i="1"/>
  <c r="F3944" i="1"/>
  <c r="E3944" i="1"/>
  <c r="I3943" i="1"/>
  <c r="H3943" i="1"/>
  <c r="G3943" i="1"/>
  <c r="F3943" i="1"/>
  <c r="E3943" i="1"/>
  <c r="I3942" i="1"/>
  <c r="H3942" i="1"/>
  <c r="G3942" i="1"/>
  <c r="F3942" i="1"/>
  <c r="E3942" i="1"/>
  <c r="I3941" i="1"/>
  <c r="H3941" i="1"/>
  <c r="G3941" i="1"/>
  <c r="F3941" i="1"/>
  <c r="E3941" i="1"/>
  <c r="I3940" i="1"/>
  <c r="H3940" i="1"/>
  <c r="G3940" i="1"/>
  <c r="F3940" i="1"/>
  <c r="E3940" i="1"/>
  <c r="I3939" i="1"/>
  <c r="H3939" i="1"/>
  <c r="G3939" i="1"/>
  <c r="F3939" i="1"/>
  <c r="E3939" i="1"/>
  <c r="I3938" i="1"/>
  <c r="H3938" i="1"/>
  <c r="G3938" i="1"/>
  <c r="F3938" i="1"/>
  <c r="E3938" i="1"/>
  <c r="I3937" i="1"/>
  <c r="H3937" i="1"/>
  <c r="G3937" i="1"/>
  <c r="F3937" i="1"/>
  <c r="E3937" i="1"/>
  <c r="I3936" i="1"/>
  <c r="H3936" i="1"/>
  <c r="G3936" i="1"/>
  <c r="F3936" i="1"/>
  <c r="E3936" i="1"/>
  <c r="I3935" i="1"/>
  <c r="H3935" i="1"/>
  <c r="G3935" i="1"/>
  <c r="F3935" i="1"/>
  <c r="E3935" i="1"/>
  <c r="I3934" i="1"/>
  <c r="H3934" i="1"/>
  <c r="G3934" i="1"/>
  <c r="F3934" i="1"/>
  <c r="E3934" i="1"/>
  <c r="I3933" i="1"/>
  <c r="H3933" i="1"/>
  <c r="G3933" i="1"/>
  <c r="F3933" i="1"/>
  <c r="E3933" i="1"/>
  <c r="I3932" i="1"/>
  <c r="H3932" i="1"/>
  <c r="G3932" i="1"/>
  <c r="F3932" i="1"/>
  <c r="E3932" i="1"/>
  <c r="I3931" i="1"/>
  <c r="H3931" i="1"/>
  <c r="G3931" i="1"/>
  <c r="F3931" i="1"/>
  <c r="E3931" i="1"/>
  <c r="I3930" i="1"/>
  <c r="H3930" i="1"/>
  <c r="G3930" i="1"/>
  <c r="F3930" i="1"/>
  <c r="E3930" i="1"/>
  <c r="I3929" i="1"/>
  <c r="H3929" i="1"/>
  <c r="G3929" i="1"/>
  <c r="F3929" i="1"/>
  <c r="E3929" i="1"/>
  <c r="I3928" i="1"/>
  <c r="H3928" i="1"/>
  <c r="G3928" i="1"/>
  <c r="F3928" i="1"/>
  <c r="E3928" i="1"/>
  <c r="I3927" i="1"/>
  <c r="H3927" i="1"/>
  <c r="G3927" i="1"/>
  <c r="F3927" i="1"/>
  <c r="E3927" i="1"/>
  <c r="I3926" i="1"/>
  <c r="H3926" i="1"/>
  <c r="G3926" i="1"/>
  <c r="F3926" i="1"/>
  <c r="E3926" i="1"/>
  <c r="I3925" i="1"/>
  <c r="H3925" i="1"/>
  <c r="G3925" i="1"/>
  <c r="F3925" i="1"/>
  <c r="E3925" i="1"/>
  <c r="I3924" i="1"/>
  <c r="H3924" i="1"/>
  <c r="G3924" i="1"/>
  <c r="F3924" i="1"/>
  <c r="E3924" i="1"/>
  <c r="I3923" i="1"/>
  <c r="H3923" i="1"/>
  <c r="G3923" i="1"/>
  <c r="F3923" i="1"/>
  <c r="E3923" i="1"/>
  <c r="I3922" i="1"/>
  <c r="H3922" i="1"/>
  <c r="G3922" i="1"/>
  <c r="F3922" i="1"/>
  <c r="E3922" i="1"/>
  <c r="I3921" i="1"/>
  <c r="H3921" i="1"/>
  <c r="G3921" i="1"/>
  <c r="F3921" i="1"/>
  <c r="E3921" i="1"/>
  <c r="I3920" i="1"/>
  <c r="H3920" i="1"/>
  <c r="G3920" i="1"/>
  <c r="F3920" i="1"/>
  <c r="E3920" i="1"/>
  <c r="I3919" i="1"/>
  <c r="H3919" i="1"/>
  <c r="G3919" i="1"/>
  <c r="F3919" i="1"/>
  <c r="E3919" i="1"/>
  <c r="I3918" i="1"/>
  <c r="H3918" i="1"/>
  <c r="G3918" i="1"/>
  <c r="F3918" i="1"/>
  <c r="E3918" i="1"/>
  <c r="I3917" i="1"/>
  <c r="H3917" i="1"/>
  <c r="G3917" i="1"/>
  <c r="F3917" i="1"/>
  <c r="E3917" i="1"/>
  <c r="I3916" i="1"/>
  <c r="H3916" i="1"/>
  <c r="G3916" i="1"/>
  <c r="F3916" i="1"/>
  <c r="E3916" i="1"/>
  <c r="I3915" i="1"/>
  <c r="H3915" i="1"/>
  <c r="G3915" i="1"/>
  <c r="F3915" i="1"/>
  <c r="E3915" i="1"/>
  <c r="I3914" i="1"/>
  <c r="H3914" i="1"/>
  <c r="G3914" i="1"/>
  <c r="F3914" i="1"/>
  <c r="E3914" i="1"/>
  <c r="I3913" i="1"/>
  <c r="H3913" i="1"/>
  <c r="G3913" i="1"/>
  <c r="F3913" i="1"/>
  <c r="E3913" i="1"/>
  <c r="I3912" i="1"/>
  <c r="H3912" i="1"/>
  <c r="G3912" i="1"/>
  <c r="F3912" i="1"/>
  <c r="E3912" i="1"/>
  <c r="I3911" i="1"/>
  <c r="H3911" i="1"/>
  <c r="G3911" i="1"/>
  <c r="F3911" i="1"/>
  <c r="E3911" i="1"/>
  <c r="I3910" i="1"/>
  <c r="H3910" i="1"/>
  <c r="G3910" i="1"/>
  <c r="F3910" i="1"/>
  <c r="E3910" i="1"/>
  <c r="I3909" i="1"/>
  <c r="H3909" i="1"/>
  <c r="G3909" i="1"/>
  <c r="F3909" i="1"/>
  <c r="E3909" i="1"/>
  <c r="I3908" i="1"/>
  <c r="H3908" i="1"/>
  <c r="G3908" i="1"/>
  <c r="F3908" i="1"/>
  <c r="E3908" i="1"/>
  <c r="I3907" i="1"/>
  <c r="H3907" i="1"/>
  <c r="G3907" i="1"/>
  <c r="F3907" i="1"/>
  <c r="E3907" i="1"/>
  <c r="I3906" i="1"/>
  <c r="H3906" i="1"/>
  <c r="G3906" i="1"/>
  <c r="F3906" i="1"/>
  <c r="E3906" i="1"/>
  <c r="I3905" i="1"/>
  <c r="H3905" i="1"/>
  <c r="G3905" i="1"/>
  <c r="F3905" i="1"/>
  <c r="E3905" i="1"/>
  <c r="I3904" i="1"/>
  <c r="H3904" i="1"/>
  <c r="G3904" i="1"/>
  <c r="F3904" i="1"/>
  <c r="E3904" i="1"/>
  <c r="I3903" i="1"/>
  <c r="H3903" i="1"/>
  <c r="G3903" i="1"/>
  <c r="F3903" i="1"/>
  <c r="E3903" i="1"/>
  <c r="I3902" i="1"/>
  <c r="H3902" i="1"/>
  <c r="G3902" i="1"/>
  <c r="F3902" i="1"/>
  <c r="E3902" i="1"/>
  <c r="I3901" i="1"/>
  <c r="H3901" i="1"/>
  <c r="G3901" i="1"/>
  <c r="F3901" i="1"/>
  <c r="E3901" i="1"/>
  <c r="I3900" i="1"/>
  <c r="H3900" i="1"/>
  <c r="G3900" i="1"/>
  <c r="F3900" i="1"/>
  <c r="E3900" i="1"/>
  <c r="I3899" i="1"/>
  <c r="H3899" i="1"/>
  <c r="G3899" i="1"/>
  <c r="F3899" i="1"/>
  <c r="E3899" i="1"/>
  <c r="I3898" i="1"/>
  <c r="H3898" i="1"/>
  <c r="G3898" i="1"/>
  <c r="F3898" i="1"/>
  <c r="E3898" i="1"/>
  <c r="I3897" i="1"/>
  <c r="H3897" i="1"/>
  <c r="G3897" i="1"/>
  <c r="F3897" i="1"/>
  <c r="E3897" i="1"/>
  <c r="I3896" i="1"/>
  <c r="H3896" i="1"/>
  <c r="G3896" i="1"/>
  <c r="F3896" i="1"/>
  <c r="E3896" i="1"/>
  <c r="I3895" i="1"/>
  <c r="H3895" i="1"/>
  <c r="G3895" i="1"/>
  <c r="F3895" i="1"/>
  <c r="E3895" i="1"/>
  <c r="I3894" i="1"/>
  <c r="H3894" i="1"/>
  <c r="G3894" i="1"/>
  <c r="F3894" i="1"/>
  <c r="E3894" i="1"/>
  <c r="I3893" i="1"/>
  <c r="H3893" i="1"/>
  <c r="G3893" i="1"/>
  <c r="F3893" i="1"/>
  <c r="E3893" i="1"/>
  <c r="I3892" i="1"/>
  <c r="H3892" i="1"/>
  <c r="G3892" i="1"/>
  <c r="F3892" i="1"/>
  <c r="E3892" i="1"/>
  <c r="I3891" i="1"/>
  <c r="H3891" i="1"/>
  <c r="G3891" i="1"/>
  <c r="F3891" i="1"/>
  <c r="E3891" i="1"/>
  <c r="I3890" i="1"/>
  <c r="H3890" i="1"/>
  <c r="G3890" i="1"/>
  <c r="F3890" i="1"/>
  <c r="E3890" i="1"/>
  <c r="I3889" i="1"/>
  <c r="H3889" i="1"/>
  <c r="G3889" i="1"/>
  <c r="F3889" i="1"/>
  <c r="E3889" i="1"/>
  <c r="I3888" i="1"/>
  <c r="H3888" i="1"/>
  <c r="G3888" i="1"/>
  <c r="F3888" i="1"/>
  <c r="E3888" i="1"/>
  <c r="I3887" i="1"/>
  <c r="H3887" i="1"/>
  <c r="G3887" i="1"/>
  <c r="F3887" i="1"/>
  <c r="E3887" i="1"/>
  <c r="I3886" i="1"/>
  <c r="H3886" i="1"/>
  <c r="G3886" i="1"/>
  <c r="F3886" i="1"/>
  <c r="E3886" i="1"/>
  <c r="I3885" i="1"/>
  <c r="H3885" i="1"/>
  <c r="G3885" i="1"/>
  <c r="F3885" i="1"/>
  <c r="E3885" i="1"/>
  <c r="I3884" i="1"/>
  <c r="H3884" i="1"/>
  <c r="G3884" i="1"/>
  <c r="F3884" i="1"/>
  <c r="E3884" i="1"/>
  <c r="I3883" i="1"/>
  <c r="H3883" i="1"/>
  <c r="G3883" i="1"/>
  <c r="F3883" i="1"/>
  <c r="E3883" i="1"/>
  <c r="I3882" i="1"/>
  <c r="H3882" i="1"/>
  <c r="G3882" i="1"/>
  <c r="F3882" i="1"/>
  <c r="E3882" i="1"/>
  <c r="I3881" i="1"/>
  <c r="H3881" i="1"/>
  <c r="G3881" i="1"/>
  <c r="F3881" i="1"/>
  <c r="E3881" i="1"/>
  <c r="I3880" i="1"/>
  <c r="H3880" i="1"/>
  <c r="G3880" i="1"/>
  <c r="F3880" i="1"/>
  <c r="E3880" i="1"/>
  <c r="I3879" i="1"/>
  <c r="H3879" i="1"/>
  <c r="G3879" i="1"/>
  <c r="F3879" i="1"/>
  <c r="E3879" i="1"/>
  <c r="I3878" i="1"/>
  <c r="H3878" i="1"/>
  <c r="G3878" i="1"/>
  <c r="F3878" i="1"/>
  <c r="E3878" i="1"/>
  <c r="I3877" i="1"/>
  <c r="H3877" i="1"/>
  <c r="G3877" i="1"/>
  <c r="F3877" i="1"/>
  <c r="E3877" i="1"/>
  <c r="I3876" i="1"/>
  <c r="H3876" i="1"/>
  <c r="G3876" i="1"/>
  <c r="F3876" i="1"/>
  <c r="E3876" i="1"/>
  <c r="I3875" i="1"/>
  <c r="H3875" i="1"/>
  <c r="G3875" i="1"/>
  <c r="F3875" i="1"/>
  <c r="E3875" i="1"/>
  <c r="I3874" i="1"/>
  <c r="H3874" i="1"/>
  <c r="G3874" i="1"/>
  <c r="F3874" i="1"/>
  <c r="E3874" i="1"/>
  <c r="I3873" i="1"/>
  <c r="H3873" i="1"/>
  <c r="G3873" i="1"/>
  <c r="F3873" i="1"/>
  <c r="E3873" i="1"/>
  <c r="I3872" i="1"/>
  <c r="H3872" i="1"/>
  <c r="G3872" i="1"/>
  <c r="F3872" i="1"/>
  <c r="E3872" i="1"/>
  <c r="I3871" i="1"/>
  <c r="H3871" i="1"/>
  <c r="G3871" i="1"/>
  <c r="F3871" i="1"/>
  <c r="E3871" i="1"/>
  <c r="I3870" i="1"/>
  <c r="H3870" i="1"/>
  <c r="G3870" i="1"/>
  <c r="F3870" i="1"/>
  <c r="E3870" i="1"/>
  <c r="I3869" i="1"/>
  <c r="H3869" i="1"/>
  <c r="G3869" i="1"/>
  <c r="F3869" i="1"/>
  <c r="E3869" i="1"/>
  <c r="I3868" i="1"/>
  <c r="H3868" i="1"/>
  <c r="G3868" i="1"/>
  <c r="F3868" i="1"/>
  <c r="E3868" i="1"/>
  <c r="I3867" i="1"/>
  <c r="H3867" i="1"/>
  <c r="G3867" i="1"/>
  <c r="F3867" i="1"/>
  <c r="E3867" i="1"/>
  <c r="I3866" i="1"/>
  <c r="H3866" i="1"/>
  <c r="G3866" i="1"/>
  <c r="F3866" i="1"/>
  <c r="E3866" i="1"/>
  <c r="I3865" i="1"/>
  <c r="H3865" i="1"/>
  <c r="G3865" i="1"/>
  <c r="F3865" i="1"/>
  <c r="E3865" i="1"/>
  <c r="I3864" i="1"/>
  <c r="H3864" i="1"/>
  <c r="G3864" i="1"/>
  <c r="F3864" i="1"/>
  <c r="E3864" i="1"/>
  <c r="I3863" i="1"/>
  <c r="H3863" i="1"/>
  <c r="G3863" i="1"/>
  <c r="F3863" i="1"/>
  <c r="E3863" i="1"/>
  <c r="I3862" i="1"/>
  <c r="H3862" i="1"/>
  <c r="G3862" i="1"/>
  <c r="F3862" i="1"/>
  <c r="E3862" i="1"/>
  <c r="I3861" i="1"/>
  <c r="H3861" i="1"/>
  <c r="G3861" i="1"/>
  <c r="F3861" i="1"/>
  <c r="E3861" i="1"/>
  <c r="I3860" i="1"/>
  <c r="H3860" i="1"/>
  <c r="G3860" i="1"/>
  <c r="F3860" i="1"/>
  <c r="E3860" i="1"/>
  <c r="I3859" i="1"/>
  <c r="H3859" i="1"/>
  <c r="G3859" i="1"/>
  <c r="F3859" i="1"/>
  <c r="E3859" i="1"/>
  <c r="I3858" i="1"/>
  <c r="H3858" i="1"/>
  <c r="G3858" i="1"/>
  <c r="F3858" i="1"/>
  <c r="E3858" i="1"/>
  <c r="I3857" i="1"/>
  <c r="H3857" i="1"/>
  <c r="G3857" i="1"/>
  <c r="F3857" i="1"/>
  <c r="E3857" i="1"/>
  <c r="I3856" i="1"/>
  <c r="H3856" i="1"/>
  <c r="G3856" i="1"/>
  <c r="F3856" i="1"/>
  <c r="E3856" i="1"/>
  <c r="I3855" i="1"/>
  <c r="H3855" i="1"/>
  <c r="G3855" i="1"/>
  <c r="F3855" i="1"/>
  <c r="E3855" i="1"/>
  <c r="I3854" i="1"/>
  <c r="H3854" i="1"/>
  <c r="G3854" i="1"/>
  <c r="F3854" i="1"/>
  <c r="E3854" i="1"/>
  <c r="I3853" i="1"/>
  <c r="H3853" i="1"/>
  <c r="G3853" i="1"/>
  <c r="F3853" i="1"/>
  <c r="E3853" i="1"/>
  <c r="I3852" i="1"/>
  <c r="H3852" i="1"/>
  <c r="G3852" i="1"/>
  <c r="F3852" i="1"/>
  <c r="E3852" i="1"/>
  <c r="I3851" i="1"/>
  <c r="H3851" i="1"/>
  <c r="G3851" i="1"/>
  <c r="F3851" i="1"/>
  <c r="E3851" i="1"/>
  <c r="I3850" i="1"/>
  <c r="H3850" i="1"/>
  <c r="G3850" i="1"/>
  <c r="F3850" i="1"/>
  <c r="E3850" i="1"/>
  <c r="I3849" i="1"/>
  <c r="H3849" i="1"/>
  <c r="G3849" i="1"/>
  <c r="F3849" i="1"/>
  <c r="E3849" i="1"/>
  <c r="I3848" i="1"/>
  <c r="H3848" i="1"/>
  <c r="G3848" i="1"/>
  <c r="F3848" i="1"/>
  <c r="E3848" i="1"/>
  <c r="I3847" i="1"/>
  <c r="H3847" i="1"/>
  <c r="G3847" i="1"/>
  <c r="F3847" i="1"/>
  <c r="E3847" i="1"/>
  <c r="I3846" i="1"/>
  <c r="H3846" i="1"/>
  <c r="G3846" i="1"/>
  <c r="F3846" i="1"/>
  <c r="E3846" i="1"/>
  <c r="I3845" i="1"/>
  <c r="H3845" i="1"/>
  <c r="G3845" i="1"/>
  <c r="F3845" i="1"/>
  <c r="E3845" i="1"/>
  <c r="I3844" i="1"/>
  <c r="H3844" i="1"/>
  <c r="G3844" i="1"/>
  <c r="F3844" i="1"/>
  <c r="E3844" i="1"/>
  <c r="I3843" i="1"/>
  <c r="H3843" i="1"/>
  <c r="G3843" i="1"/>
  <c r="F3843" i="1"/>
  <c r="E3843" i="1"/>
  <c r="I3842" i="1"/>
  <c r="H3842" i="1"/>
  <c r="G3842" i="1"/>
  <c r="F3842" i="1"/>
  <c r="E3842" i="1"/>
  <c r="I3841" i="1"/>
  <c r="H3841" i="1"/>
  <c r="G3841" i="1"/>
  <c r="F3841" i="1"/>
  <c r="E3841" i="1"/>
  <c r="I3840" i="1"/>
  <c r="H3840" i="1"/>
  <c r="G3840" i="1"/>
  <c r="F3840" i="1"/>
  <c r="E3840" i="1"/>
  <c r="I3839" i="1"/>
  <c r="H3839" i="1"/>
  <c r="G3839" i="1"/>
  <c r="F3839" i="1"/>
  <c r="E3839" i="1"/>
  <c r="I3838" i="1"/>
  <c r="H3838" i="1"/>
  <c r="G3838" i="1"/>
  <c r="F3838" i="1"/>
  <c r="E3838" i="1"/>
  <c r="I3837" i="1"/>
  <c r="H3837" i="1"/>
  <c r="G3837" i="1"/>
  <c r="F3837" i="1"/>
  <c r="E3837" i="1"/>
  <c r="I3836" i="1"/>
  <c r="H3836" i="1"/>
  <c r="G3836" i="1"/>
  <c r="F3836" i="1"/>
  <c r="E3836" i="1"/>
  <c r="I3835" i="1"/>
  <c r="H3835" i="1"/>
  <c r="G3835" i="1"/>
  <c r="F3835" i="1"/>
  <c r="E3835" i="1"/>
  <c r="I3834" i="1"/>
  <c r="H3834" i="1"/>
  <c r="G3834" i="1"/>
  <c r="F3834" i="1"/>
  <c r="E3834" i="1"/>
  <c r="I3833" i="1"/>
  <c r="H3833" i="1"/>
  <c r="G3833" i="1"/>
  <c r="F3833" i="1"/>
  <c r="E3833" i="1"/>
  <c r="I3832" i="1"/>
  <c r="H3832" i="1"/>
  <c r="G3832" i="1"/>
  <c r="F3832" i="1"/>
  <c r="E3832" i="1"/>
  <c r="I3831" i="1"/>
  <c r="H3831" i="1"/>
  <c r="G3831" i="1"/>
  <c r="F3831" i="1"/>
  <c r="E3831" i="1"/>
  <c r="I3830" i="1"/>
  <c r="H3830" i="1"/>
  <c r="G3830" i="1"/>
  <c r="F3830" i="1"/>
  <c r="E3830" i="1"/>
  <c r="I3829" i="1"/>
  <c r="H3829" i="1"/>
  <c r="G3829" i="1"/>
  <c r="F3829" i="1"/>
  <c r="E3829" i="1"/>
  <c r="I3828" i="1"/>
  <c r="H3828" i="1"/>
  <c r="G3828" i="1"/>
  <c r="F3828" i="1"/>
  <c r="E3828" i="1"/>
  <c r="I3827" i="1"/>
  <c r="H3827" i="1"/>
  <c r="G3827" i="1"/>
  <c r="F3827" i="1"/>
  <c r="E3827" i="1"/>
  <c r="I3826" i="1"/>
  <c r="H3826" i="1"/>
  <c r="G3826" i="1"/>
  <c r="F3826" i="1"/>
  <c r="E3826" i="1"/>
  <c r="I3825" i="1"/>
  <c r="H3825" i="1"/>
  <c r="G3825" i="1"/>
  <c r="F3825" i="1"/>
  <c r="E3825" i="1"/>
  <c r="I3824" i="1"/>
  <c r="H3824" i="1"/>
  <c r="G3824" i="1"/>
  <c r="F3824" i="1"/>
  <c r="E3824" i="1"/>
  <c r="I3823" i="1"/>
  <c r="H3823" i="1"/>
  <c r="G3823" i="1"/>
  <c r="F3823" i="1"/>
  <c r="E3823" i="1"/>
  <c r="I3822" i="1"/>
  <c r="H3822" i="1"/>
  <c r="G3822" i="1"/>
  <c r="F3822" i="1"/>
  <c r="E3822" i="1"/>
  <c r="I3821" i="1"/>
  <c r="H3821" i="1"/>
  <c r="G3821" i="1"/>
  <c r="F3821" i="1"/>
  <c r="E3821" i="1"/>
  <c r="I3820" i="1"/>
  <c r="H3820" i="1"/>
  <c r="G3820" i="1"/>
  <c r="F3820" i="1"/>
  <c r="E3820" i="1"/>
  <c r="I3819" i="1"/>
  <c r="H3819" i="1"/>
  <c r="G3819" i="1"/>
  <c r="F3819" i="1"/>
  <c r="E3819" i="1"/>
  <c r="I3818" i="1"/>
  <c r="H3818" i="1"/>
  <c r="G3818" i="1"/>
  <c r="F3818" i="1"/>
  <c r="E3818" i="1"/>
  <c r="I3817" i="1"/>
  <c r="H3817" i="1"/>
  <c r="G3817" i="1"/>
  <c r="F3817" i="1"/>
  <c r="E3817" i="1"/>
  <c r="I3816" i="1"/>
  <c r="H3816" i="1"/>
  <c r="G3816" i="1"/>
  <c r="F3816" i="1"/>
  <c r="E3816" i="1"/>
  <c r="I3815" i="1"/>
  <c r="H3815" i="1"/>
  <c r="G3815" i="1"/>
  <c r="F3815" i="1"/>
  <c r="E3815" i="1"/>
  <c r="I3814" i="1"/>
  <c r="H3814" i="1"/>
  <c r="G3814" i="1"/>
  <c r="F3814" i="1"/>
  <c r="E3814" i="1"/>
  <c r="I3813" i="1"/>
  <c r="H3813" i="1"/>
  <c r="G3813" i="1"/>
  <c r="F3813" i="1"/>
  <c r="E3813" i="1"/>
  <c r="I3812" i="1"/>
  <c r="H3812" i="1"/>
  <c r="G3812" i="1"/>
  <c r="F3812" i="1"/>
  <c r="E3812" i="1"/>
  <c r="I3811" i="1"/>
  <c r="H3811" i="1"/>
  <c r="G3811" i="1"/>
  <c r="F3811" i="1"/>
  <c r="E3811" i="1"/>
  <c r="I3810" i="1"/>
  <c r="H3810" i="1"/>
  <c r="G3810" i="1"/>
  <c r="F3810" i="1"/>
  <c r="E3810" i="1"/>
  <c r="I3809" i="1"/>
  <c r="H3809" i="1"/>
  <c r="G3809" i="1"/>
  <c r="F3809" i="1"/>
  <c r="E3809" i="1"/>
  <c r="I3808" i="1"/>
  <c r="H3808" i="1"/>
  <c r="G3808" i="1"/>
  <c r="F3808" i="1"/>
  <c r="E3808" i="1"/>
  <c r="I3807" i="1"/>
  <c r="H3807" i="1"/>
  <c r="G3807" i="1"/>
  <c r="F3807" i="1"/>
  <c r="E3807" i="1"/>
  <c r="I3806" i="1"/>
  <c r="H3806" i="1"/>
  <c r="G3806" i="1"/>
  <c r="F3806" i="1"/>
  <c r="E3806" i="1"/>
  <c r="I3805" i="1"/>
  <c r="H3805" i="1"/>
  <c r="G3805" i="1"/>
  <c r="F3805" i="1"/>
  <c r="E3805" i="1"/>
  <c r="I3804" i="1"/>
  <c r="H3804" i="1"/>
  <c r="G3804" i="1"/>
  <c r="F3804" i="1"/>
  <c r="E3804" i="1"/>
  <c r="I3803" i="1"/>
  <c r="H3803" i="1"/>
  <c r="G3803" i="1"/>
  <c r="F3803" i="1"/>
  <c r="E3803" i="1"/>
  <c r="I3802" i="1"/>
  <c r="H3802" i="1"/>
  <c r="G3802" i="1"/>
  <c r="F3802" i="1"/>
  <c r="E3802" i="1"/>
  <c r="I3801" i="1"/>
  <c r="H3801" i="1"/>
  <c r="G3801" i="1"/>
  <c r="F3801" i="1"/>
  <c r="E3801" i="1"/>
  <c r="I3800" i="1"/>
  <c r="H3800" i="1"/>
  <c r="G3800" i="1"/>
  <c r="F3800" i="1"/>
  <c r="E3800" i="1"/>
  <c r="I3799" i="1"/>
  <c r="H3799" i="1"/>
  <c r="G3799" i="1"/>
  <c r="F3799" i="1"/>
  <c r="E3799" i="1"/>
  <c r="I3798" i="1"/>
  <c r="H3798" i="1"/>
  <c r="G3798" i="1"/>
  <c r="F3798" i="1"/>
  <c r="E3798" i="1"/>
  <c r="I3797" i="1"/>
  <c r="H3797" i="1"/>
  <c r="G3797" i="1"/>
  <c r="F3797" i="1"/>
  <c r="E3797" i="1"/>
  <c r="I3796" i="1"/>
  <c r="H3796" i="1"/>
  <c r="G3796" i="1"/>
  <c r="F3796" i="1"/>
  <c r="E3796" i="1"/>
  <c r="I3795" i="1"/>
  <c r="H3795" i="1"/>
  <c r="G3795" i="1"/>
  <c r="F3795" i="1"/>
  <c r="E3795" i="1"/>
  <c r="I3794" i="1"/>
  <c r="H3794" i="1"/>
  <c r="G3794" i="1"/>
  <c r="F3794" i="1"/>
  <c r="E3794" i="1"/>
  <c r="I3793" i="1"/>
  <c r="H3793" i="1"/>
  <c r="G3793" i="1"/>
  <c r="F3793" i="1"/>
  <c r="E3793" i="1"/>
  <c r="I3792" i="1"/>
  <c r="H3792" i="1"/>
  <c r="G3792" i="1"/>
  <c r="F3792" i="1"/>
  <c r="E3792" i="1"/>
  <c r="I3791" i="1"/>
  <c r="H3791" i="1"/>
  <c r="G3791" i="1"/>
  <c r="F3791" i="1"/>
  <c r="E3791" i="1"/>
  <c r="I3790" i="1"/>
  <c r="H3790" i="1"/>
  <c r="G3790" i="1"/>
  <c r="F3790" i="1"/>
  <c r="E3790" i="1"/>
  <c r="I3789" i="1"/>
  <c r="H3789" i="1"/>
  <c r="G3789" i="1"/>
  <c r="F3789" i="1"/>
  <c r="E3789" i="1"/>
  <c r="I3788" i="1"/>
  <c r="H3788" i="1"/>
  <c r="G3788" i="1"/>
  <c r="F3788" i="1"/>
  <c r="E3788" i="1"/>
  <c r="I3787" i="1"/>
  <c r="H3787" i="1"/>
  <c r="G3787" i="1"/>
  <c r="F3787" i="1"/>
  <c r="E3787" i="1"/>
  <c r="I3786" i="1"/>
  <c r="H3786" i="1"/>
  <c r="G3786" i="1"/>
  <c r="F3786" i="1"/>
  <c r="E3786" i="1"/>
  <c r="I3785" i="1"/>
  <c r="H3785" i="1"/>
  <c r="G3785" i="1"/>
  <c r="F3785" i="1"/>
  <c r="E3785" i="1"/>
  <c r="I3784" i="1"/>
  <c r="H3784" i="1"/>
  <c r="G3784" i="1"/>
  <c r="F3784" i="1"/>
  <c r="E3784" i="1"/>
  <c r="I3783" i="1"/>
  <c r="H3783" i="1"/>
  <c r="G3783" i="1"/>
  <c r="F3783" i="1"/>
  <c r="E3783" i="1"/>
  <c r="I3782" i="1"/>
  <c r="H3782" i="1"/>
  <c r="G3782" i="1"/>
  <c r="F3782" i="1"/>
  <c r="E3782" i="1"/>
  <c r="I3781" i="1"/>
  <c r="H3781" i="1"/>
  <c r="G3781" i="1"/>
  <c r="F3781" i="1"/>
  <c r="E3781" i="1"/>
  <c r="I3780" i="1"/>
  <c r="H3780" i="1"/>
  <c r="G3780" i="1"/>
  <c r="F3780" i="1"/>
  <c r="E3780" i="1"/>
  <c r="I3779" i="1"/>
  <c r="H3779" i="1"/>
  <c r="G3779" i="1"/>
  <c r="F3779" i="1"/>
  <c r="E3779" i="1"/>
  <c r="I3778" i="1"/>
  <c r="H3778" i="1"/>
  <c r="G3778" i="1"/>
  <c r="F3778" i="1"/>
  <c r="E3778" i="1"/>
  <c r="I3777" i="1"/>
  <c r="H3777" i="1"/>
  <c r="G3777" i="1"/>
  <c r="F3777" i="1"/>
  <c r="E3777" i="1"/>
  <c r="I3776" i="1"/>
  <c r="H3776" i="1"/>
  <c r="G3776" i="1"/>
  <c r="F3776" i="1"/>
  <c r="E3776" i="1"/>
  <c r="I3775" i="1"/>
  <c r="H3775" i="1"/>
  <c r="G3775" i="1"/>
  <c r="F3775" i="1"/>
  <c r="E3775" i="1"/>
  <c r="I3774" i="1"/>
  <c r="H3774" i="1"/>
  <c r="G3774" i="1"/>
  <c r="F3774" i="1"/>
  <c r="E3774" i="1"/>
  <c r="I3773" i="1"/>
  <c r="H3773" i="1"/>
  <c r="G3773" i="1"/>
  <c r="F3773" i="1"/>
  <c r="E3773" i="1"/>
  <c r="I3772" i="1"/>
  <c r="H3772" i="1"/>
  <c r="G3772" i="1"/>
  <c r="F3772" i="1"/>
  <c r="E3772" i="1"/>
  <c r="I3771" i="1"/>
  <c r="H3771" i="1"/>
  <c r="G3771" i="1"/>
  <c r="F3771" i="1"/>
  <c r="E3771" i="1"/>
  <c r="I3770" i="1"/>
  <c r="H3770" i="1"/>
  <c r="G3770" i="1"/>
  <c r="F3770" i="1"/>
  <c r="E3770" i="1"/>
  <c r="I3769" i="1"/>
  <c r="H3769" i="1"/>
  <c r="G3769" i="1"/>
  <c r="F3769" i="1"/>
  <c r="E3769" i="1"/>
  <c r="I3768" i="1"/>
  <c r="H3768" i="1"/>
  <c r="G3768" i="1"/>
  <c r="F3768" i="1"/>
  <c r="E3768" i="1"/>
  <c r="I3767" i="1"/>
  <c r="H3767" i="1"/>
  <c r="G3767" i="1"/>
  <c r="F3767" i="1"/>
  <c r="E3767" i="1"/>
  <c r="I3766" i="1"/>
  <c r="H3766" i="1"/>
  <c r="G3766" i="1"/>
  <c r="F3766" i="1"/>
  <c r="E3766" i="1"/>
  <c r="I3765" i="1"/>
  <c r="H3765" i="1"/>
  <c r="G3765" i="1"/>
  <c r="F3765" i="1"/>
  <c r="E3765" i="1"/>
  <c r="I3764" i="1"/>
  <c r="H3764" i="1"/>
  <c r="G3764" i="1"/>
  <c r="F3764" i="1"/>
  <c r="E3764" i="1"/>
  <c r="I3763" i="1"/>
  <c r="H3763" i="1"/>
  <c r="G3763" i="1"/>
  <c r="F3763" i="1"/>
  <c r="E3763" i="1"/>
  <c r="I3762" i="1"/>
  <c r="H3762" i="1"/>
  <c r="G3762" i="1"/>
  <c r="F3762" i="1"/>
  <c r="E3762" i="1"/>
  <c r="I3761" i="1"/>
  <c r="H3761" i="1"/>
  <c r="G3761" i="1"/>
  <c r="F3761" i="1"/>
  <c r="E3761" i="1"/>
  <c r="I3760" i="1"/>
  <c r="H3760" i="1"/>
  <c r="G3760" i="1"/>
  <c r="F3760" i="1"/>
  <c r="E3760" i="1"/>
  <c r="I3759" i="1"/>
  <c r="H3759" i="1"/>
  <c r="G3759" i="1"/>
  <c r="F3759" i="1"/>
  <c r="E3759" i="1"/>
  <c r="I3758" i="1"/>
  <c r="H3758" i="1"/>
  <c r="G3758" i="1"/>
  <c r="F3758" i="1"/>
  <c r="E3758" i="1"/>
  <c r="I3757" i="1"/>
  <c r="H3757" i="1"/>
  <c r="G3757" i="1"/>
  <c r="F3757" i="1"/>
  <c r="E3757" i="1"/>
  <c r="I3756" i="1"/>
  <c r="H3756" i="1"/>
  <c r="G3756" i="1"/>
  <c r="F3756" i="1"/>
  <c r="E3756" i="1"/>
  <c r="I3755" i="1"/>
  <c r="H3755" i="1"/>
  <c r="G3755" i="1"/>
  <c r="F3755" i="1"/>
  <c r="E3755" i="1"/>
  <c r="I3754" i="1"/>
  <c r="H3754" i="1"/>
  <c r="G3754" i="1"/>
  <c r="F3754" i="1"/>
  <c r="E3754" i="1"/>
  <c r="I3753" i="1"/>
  <c r="H3753" i="1"/>
  <c r="G3753" i="1"/>
  <c r="F3753" i="1"/>
  <c r="E3753" i="1"/>
  <c r="I3752" i="1"/>
  <c r="H3752" i="1"/>
  <c r="G3752" i="1"/>
  <c r="F3752" i="1"/>
  <c r="E3752" i="1"/>
  <c r="I3751" i="1"/>
  <c r="H3751" i="1"/>
  <c r="G3751" i="1"/>
  <c r="F3751" i="1"/>
  <c r="E3751" i="1"/>
  <c r="I3750" i="1"/>
  <c r="H3750" i="1"/>
  <c r="G3750" i="1"/>
  <c r="F3750" i="1"/>
  <c r="E3750" i="1"/>
  <c r="I3749" i="1"/>
  <c r="H3749" i="1"/>
  <c r="G3749" i="1"/>
  <c r="F3749" i="1"/>
  <c r="E3749" i="1"/>
  <c r="I3748" i="1"/>
  <c r="H3748" i="1"/>
  <c r="G3748" i="1"/>
  <c r="F3748" i="1"/>
  <c r="E3748" i="1"/>
  <c r="I3747" i="1"/>
  <c r="H3747" i="1"/>
  <c r="G3747" i="1"/>
  <c r="F3747" i="1"/>
  <c r="E3747" i="1"/>
  <c r="I3746" i="1"/>
  <c r="H3746" i="1"/>
  <c r="G3746" i="1"/>
  <c r="F3746" i="1"/>
  <c r="E3746" i="1"/>
  <c r="I3745" i="1"/>
  <c r="H3745" i="1"/>
  <c r="G3745" i="1"/>
  <c r="F3745" i="1"/>
  <c r="E3745" i="1"/>
  <c r="I3744" i="1"/>
  <c r="H3744" i="1"/>
  <c r="G3744" i="1"/>
  <c r="F3744" i="1"/>
  <c r="E3744" i="1"/>
  <c r="I3743" i="1"/>
  <c r="H3743" i="1"/>
  <c r="G3743" i="1"/>
  <c r="F3743" i="1"/>
  <c r="E3743" i="1"/>
  <c r="I3742" i="1"/>
  <c r="H3742" i="1"/>
  <c r="G3742" i="1"/>
  <c r="F3742" i="1"/>
  <c r="E3742" i="1"/>
  <c r="I3741" i="1"/>
  <c r="H3741" i="1"/>
  <c r="G3741" i="1"/>
  <c r="F3741" i="1"/>
  <c r="E3741" i="1"/>
  <c r="I3740" i="1"/>
  <c r="H3740" i="1"/>
  <c r="G3740" i="1"/>
  <c r="F3740" i="1"/>
  <c r="E3740" i="1"/>
  <c r="I3739" i="1"/>
  <c r="H3739" i="1"/>
  <c r="G3739" i="1"/>
  <c r="F3739" i="1"/>
  <c r="E3739" i="1"/>
  <c r="I3738" i="1"/>
  <c r="H3738" i="1"/>
  <c r="G3738" i="1"/>
  <c r="F3738" i="1"/>
  <c r="E3738" i="1"/>
  <c r="I3737" i="1"/>
  <c r="H3737" i="1"/>
  <c r="G3737" i="1"/>
  <c r="F3737" i="1"/>
  <c r="E3737" i="1"/>
  <c r="I3736" i="1"/>
  <c r="H3736" i="1"/>
  <c r="G3736" i="1"/>
  <c r="F3736" i="1"/>
  <c r="E3736" i="1"/>
  <c r="I3735" i="1"/>
  <c r="H3735" i="1"/>
  <c r="G3735" i="1"/>
  <c r="F3735" i="1"/>
  <c r="E3735" i="1"/>
  <c r="I3734" i="1"/>
  <c r="H3734" i="1"/>
  <c r="G3734" i="1"/>
  <c r="F3734" i="1"/>
  <c r="E3734" i="1"/>
  <c r="I3733" i="1"/>
  <c r="H3733" i="1"/>
  <c r="G3733" i="1"/>
  <c r="F3733" i="1"/>
  <c r="E3733" i="1"/>
  <c r="I3732" i="1"/>
  <c r="H3732" i="1"/>
  <c r="G3732" i="1"/>
  <c r="F3732" i="1"/>
  <c r="E3732" i="1"/>
  <c r="I3731" i="1"/>
  <c r="H3731" i="1"/>
  <c r="G3731" i="1"/>
  <c r="F3731" i="1"/>
  <c r="E3731" i="1"/>
  <c r="I3730" i="1"/>
  <c r="H3730" i="1"/>
  <c r="G3730" i="1"/>
  <c r="F3730" i="1"/>
  <c r="E3730" i="1"/>
  <c r="I3729" i="1"/>
  <c r="H3729" i="1"/>
  <c r="G3729" i="1"/>
  <c r="F3729" i="1"/>
  <c r="E3729" i="1"/>
  <c r="I3728" i="1"/>
  <c r="H3728" i="1"/>
  <c r="G3728" i="1"/>
  <c r="F3728" i="1"/>
  <c r="E3728" i="1"/>
  <c r="I3727" i="1"/>
  <c r="H3727" i="1"/>
  <c r="G3727" i="1"/>
  <c r="F3727" i="1"/>
  <c r="E3727" i="1"/>
  <c r="I3726" i="1"/>
  <c r="H3726" i="1"/>
  <c r="G3726" i="1"/>
  <c r="F3726" i="1"/>
  <c r="E3726" i="1"/>
  <c r="I3725" i="1"/>
  <c r="H3725" i="1"/>
  <c r="G3725" i="1"/>
  <c r="F3725" i="1"/>
  <c r="E3725" i="1"/>
  <c r="I3724" i="1"/>
  <c r="H3724" i="1"/>
  <c r="G3724" i="1"/>
  <c r="F3724" i="1"/>
  <c r="E3724" i="1"/>
  <c r="I3723" i="1"/>
  <c r="H3723" i="1"/>
  <c r="G3723" i="1"/>
  <c r="F3723" i="1"/>
  <c r="E3723" i="1"/>
  <c r="I3722" i="1"/>
  <c r="H3722" i="1"/>
  <c r="G3722" i="1"/>
  <c r="F3722" i="1"/>
  <c r="E3722" i="1"/>
  <c r="I3721" i="1"/>
  <c r="H3721" i="1"/>
  <c r="G3721" i="1"/>
  <c r="F3721" i="1"/>
  <c r="E3721" i="1"/>
  <c r="I3720" i="1"/>
  <c r="H3720" i="1"/>
  <c r="G3720" i="1"/>
  <c r="F3720" i="1"/>
  <c r="E3720" i="1"/>
  <c r="I3719" i="1"/>
  <c r="H3719" i="1"/>
  <c r="G3719" i="1"/>
  <c r="F3719" i="1"/>
  <c r="E3719" i="1"/>
  <c r="I3718" i="1"/>
  <c r="H3718" i="1"/>
  <c r="G3718" i="1"/>
  <c r="F3718" i="1"/>
  <c r="E3718" i="1"/>
  <c r="I3717" i="1"/>
  <c r="H3717" i="1"/>
  <c r="G3717" i="1"/>
  <c r="F3717" i="1"/>
  <c r="E3717" i="1"/>
  <c r="I3716" i="1"/>
  <c r="H3716" i="1"/>
  <c r="G3716" i="1"/>
  <c r="F3716" i="1"/>
  <c r="E3716" i="1"/>
  <c r="I3715" i="1"/>
  <c r="H3715" i="1"/>
  <c r="G3715" i="1"/>
  <c r="F3715" i="1"/>
  <c r="E3715" i="1"/>
  <c r="I3714" i="1"/>
  <c r="H3714" i="1"/>
  <c r="G3714" i="1"/>
  <c r="F3714" i="1"/>
  <c r="E3714" i="1"/>
  <c r="I3713" i="1"/>
  <c r="H3713" i="1"/>
  <c r="G3713" i="1"/>
  <c r="F3713" i="1"/>
  <c r="E3713" i="1"/>
  <c r="I3712" i="1"/>
  <c r="H3712" i="1"/>
  <c r="G3712" i="1"/>
  <c r="F3712" i="1"/>
  <c r="E3712" i="1"/>
  <c r="I3711" i="1"/>
  <c r="H3711" i="1"/>
  <c r="G3711" i="1"/>
  <c r="F3711" i="1"/>
  <c r="E3711" i="1"/>
  <c r="I3710" i="1"/>
  <c r="H3710" i="1"/>
  <c r="G3710" i="1"/>
  <c r="F3710" i="1"/>
  <c r="E3710" i="1"/>
  <c r="I3709" i="1"/>
  <c r="H3709" i="1"/>
  <c r="G3709" i="1"/>
  <c r="F3709" i="1"/>
  <c r="E3709" i="1"/>
  <c r="I3708" i="1"/>
  <c r="H3708" i="1"/>
  <c r="G3708" i="1"/>
  <c r="F3708" i="1"/>
  <c r="E3708" i="1"/>
  <c r="I3707" i="1"/>
  <c r="H3707" i="1"/>
  <c r="G3707" i="1"/>
  <c r="F3707" i="1"/>
  <c r="E3707" i="1"/>
  <c r="I3706" i="1"/>
  <c r="H3706" i="1"/>
  <c r="G3706" i="1"/>
  <c r="F3706" i="1"/>
  <c r="E3706" i="1"/>
  <c r="I3705" i="1"/>
  <c r="H3705" i="1"/>
  <c r="G3705" i="1"/>
  <c r="F3705" i="1"/>
  <c r="E3705" i="1"/>
  <c r="I3704" i="1"/>
  <c r="H3704" i="1"/>
  <c r="G3704" i="1"/>
  <c r="F3704" i="1"/>
  <c r="E3704" i="1"/>
  <c r="I3703" i="1"/>
  <c r="H3703" i="1"/>
  <c r="G3703" i="1"/>
  <c r="F3703" i="1"/>
  <c r="E3703" i="1"/>
  <c r="I3702" i="1"/>
  <c r="H3702" i="1"/>
  <c r="G3702" i="1"/>
  <c r="F3702" i="1"/>
  <c r="E3702" i="1"/>
  <c r="I3701" i="1"/>
  <c r="H3701" i="1"/>
  <c r="G3701" i="1"/>
  <c r="F3701" i="1"/>
  <c r="E3701" i="1"/>
  <c r="I3700" i="1"/>
  <c r="H3700" i="1"/>
  <c r="G3700" i="1"/>
  <c r="F3700" i="1"/>
  <c r="E3700" i="1"/>
  <c r="I3699" i="1"/>
  <c r="H3699" i="1"/>
  <c r="G3699" i="1"/>
  <c r="F3699" i="1"/>
  <c r="E3699" i="1"/>
  <c r="I3698" i="1"/>
  <c r="H3698" i="1"/>
  <c r="G3698" i="1"/>
  <c r="F3698" i="1"/>
  <c r="E3698" i="1"/>
  <c r="I3697" i="1"/>
  <c r="H3697" i="1"/>
  <c r="G3697" i="1"/>
  <c r="F3697" i="1"/>
  <c r="E3697" i="1"/>
  <c r="I3696" i="1"/>
  <c r="H3696" i="1"/>
  <c r="G3696" i="1"/>
  <c r="F3696" i="1"/>
  <c r="E3696" i="1"/>
  <c r="I3695" i="1"/>
  <c r="H3695" i="1"/>
  <c r="G3695" i="1"/>
  <c r="F3695" i="1"/>
  <c r="E3695" i="1"/>
  <c r="I3694" i="1"/>
  <c r="H3694" i="1"/>
  <c r="G3694" i="1"/>
  <c r="F3694" i="1"/>
  <c r="E3694" i="1"/>
  <c r="I3693" i="1"/>
  <c r="H3693" i="1"/>
  <c r="G3693" i="1"/>
  <c r="F3693" i="1"/>
  <c r="E3693" i="1"/>
  <c r="I3692" i="1"/>
  <c r="H3692" i="1"/>
  <c r="G3692" i="1"/>
  <c r="F3692" i="1"/>
  <c r="E3692" i="1"/>
  <c r="I3691" i="1"/>
  <c r="H3691" i="1"/>
  <c r="G3691" i="1"/>
  <c r="F3691" i="1"/>
  <c r="E3691" i="1"/>
  <c r="I3690" i="1"/>
  <c r="H3690" i="1"/>
  <c r="G3690" i="1"/>
  <c r="F3690" i="1"/>
  <c r="E3690" i="1"/>
  <c r="I3689" i="1"/>
  <c r="H3689" i="1"/>
  <c r="G3689" i="1"/>
  <c r="F3689" i="1"/>
  <c r="E3689" i="1"/>
  <c r="I3688" i="1"/>
  <c r="H3688" i="1"/>
  <c r="G3688" i="1"/>
  <c r="F3688" i="1"/>
  <c r="E3688" i="1"/>
  <c r="I3687" i="1"/>
  <c r="H3687" i="1"/>
  <c r="G3687" i="1"/>
  <c r="F3687" i="1"/>
  <c r="E3687" i="1"/>
  <c r="I3686" i="1"/>
  <c r="H3686" i="1"/>
  <c r="G3686" i="1"/>
  <c r="F3686" i="1"/>
  <c r="E3686" i="1"/>
  <c r="I3685" i="1"/>
  <c r="H3685" i="1"/>
  <c r="G3685" i="1"/>
  <c r="F3685" i="1"/>
  <c r="E3685" i="1"/>
  <c r="I3684" i="1"/>
  <c r="H3684" i="1"/>
  <c r="G3684" i="1"/>
  <c r="F3684" i="1"/>
  <c r="E3684" i="1"/>
  <c r="I3683" i="1"/>
  <c r="H3683" i="1"/>
  <c r="G3683" i="1"/>
  <c r="F3683" i="1"/>
  <c r="E3683" i="1"/>
  <c r="I3682" i="1"/>
  <c r="H3682" i="1"/>
  <c r="G3682" i="1"/>
  <c r="F3682" i="1"/>
  <c r="E3682" i="1"/>
  <c r="I3681" i="1"/>
  <c r="H3681" i="1"/>
  <c r="G3681" i="1"/>
  <c r="F3681" i="1"/>
  <c r="E3681" i="1"/>
  <c r="I3680" i="1"/>
  <c r="H3680" i="1"/>
  <c r="G3680" i="1"/>
  <c r="F3680" i="1"/>
  <c r="E3680" i="1"/>
  <c r="I3679" i="1"/>
  <c r="H3679" i="1"/>
  <c r="G3679" i="1"/>
  <c r="F3679" i="1"/>
  <c r="E3679" i="1"/>
  <c r="I3678" i="1"/>
  <c r="H3678" i="1"/>
  <c r="G3678" i="1"/>
  <c r="F3678" i="1"/>
  <c r="E3678" i="1"/>
  <c r="I3677" i="1"/>
  <c r="H3677" i="1"/>
  <c r="G3677" i="1"/>
  <c r="F3677" i="1"/>
  <c r="E3677" i="1"/>
  <c r="I3676" i="1"/>
  <c r="H3676" i="1"/>
  <c r="G3676" i="1"/>
  <c r="F3676" i="1"/>
  <c r="E3676" i="1"/>
  <c r="I3675" i="1"/>
  <c r="H3675" i="1"/>
  <c r="G3675" i="1"/>
  <c r="F3675" i="1"/>
  <c r="E3675" i="1"/>
  <c r="I3674" i="1"/>
  <c r="H3674" i="1"/>
  <c r="G3674" i="1"/>
  <c r="F3674" i="1"/>
  <c r="E3674" i="1"/>
  <c r="I3673" i="1"/>
  <c r="H3673" i="1"/>
  <c r="G3673" i="1"/>
  <c r="F3673" i="1"/>
  <c r="E3673" i="1"/>
  <c r="I3672" i="1"/>
  <c r="H3672" i="1"/>
  <c r="G3672" i="1"/>
  <c r="F3672" i="1"/>
  <c r="E3672" i="1"/>
  <c r="I3671" i="1"/>
  <c r="H3671" i="1"/>
  <c r="G3671" i="1"/>
  <c r="F3671" i="1"/>
  <c r="E3671" i="1"/>
  <c r="I3670" i="1"/>
  <c r="H3670" i="1"/>
  <c r="G3670" i="1"/>
  <c r="F3670" i="1"/>
  <c r="E3670" i="1"/>
  <c r="I3669" i="1"/>
  <c r="H3669" i="1"/>
  <c r="G3669" i="1"/>
  <c r="F3669" i="1"/>
  <c r="E3669" i="1"/>
  <c r="I3668" i="1"/>
  <c r="H3668" i="1"/>
  <c r="G3668" i="1"/>
  <c r="F3668" i="1"/>
  <c r="E3668" i="1"/>
  <c r="I3667" i="1"/>
  <c r="H3667" i="1"/>
  <c r="G3667" i="1"/>
  <c r="F3667" i="1"/>
  <c r="E3667" i="1"/>
  <c r="I3666" i="1"/>
  <c r="H3666" i="1"/>
  <c r="G3666" i="1"/>
  <c r="F3666" i="1"/>
  <c r="E3666" i="1"/>
  <c r="I3665" i="1"/>
  <c r="H3665" i="1"/>
  <c r="G3665" i="1"/>
  <c r="F3665" i="1"/>
  <c r="E3665" i="1"/>
  <c r="I3664" i="1"/>
  <c r="H3664" i="1"/>
  <c r="G3664" i="1"/>
  <c r="F3664" i="1"/>
  <c r="E3664" i="1"/>
  <c r="I3663" i="1"/>
  <c r="H3663" i="1"/>
  <c r="G3663" i="1"/>
  <c r="F3663" i="1"/>
  <c r="E3663" i="1"/>
  <c r="I3662" i="1"/>
  <c r="H3662" i="1"/>
  <c r="G3662" i="1"/>
  <c r="F3662" i="1"/>
  <c r="E3662" i="1"/>
  <c r="I3661" i="1"/>
  <c r="H3661" i="1"/>
  <c r="G3661" i="1"/>
  <c r="F3661" i="1"/>
  <c r="E3661" i="1"/>
  <c r="I3660" i="1"/>
  <c r="H3660" i="1"/>
  <c r="G3660" i="1"/>
  <c r="F3660" i="1"/>
  <c r="E3660" i="1"/>
  <c r="I3659" i="1"/>
  <c r="H3659" i="1"/>
  <c r="G3659" i="1"/>
  <c r="F3659" i="1"/>
  <c r="E3659" i="1"/>
  <c r="I3658" i="1"/>
  <c r="H3658" i="1"/>
  <c r="G3658" i="1"/>
  <c r="F3658" i="1"/>
  <c r="E3658" i="1"/>
  <c r="I3657" i="1"/>
  <c r="H3657" i="1"/>
  <c r="G3657" i="1"/>
  <c r="F3657" i="1"/>
  <c r="E3657" i="1"/>
  <c r="I3656" i="1"/>
  <c r="H3656" i="1"/>
  <c r="G3656" i="1"/>
  <c r="F3656" i="1"/>
  <c r="E3656" i="1"/>
  <c r="I3655" i="1"/>
  <c r="H3655" i="1"/>
  <c r="G3655" i="1"/>
  <c r="F3655" i="1"/>
  <c r="E3655" i="1"/>
  <c r="I3654" i="1"/>
  <c r="H3654" i="1"/>
  <c r="G3654" i="1"/>
  <c r="F3654" i="1"/>
  <c r="E3654" i="1"/>
  <c r="I3653" i="1"/>
  <c r="H3653" i="1"/>
  <c r="G3653" i="1"/>
  <c r="F3653" i="1"/>
  <c r="E3653" i="1"/>
  <c r="I3652" i="1"/>
  <c r="H3652" i="1"/>
  <c r="G3652" i="1"/>
  <c r="F3652" i="1"/>
  <c r="E3652" i="1"/>
  <c r="I3651" i="1"/>
  <c r="H3651" i="1"/>
  <c r="G3651" i="1"/>
  <c r="F3651" i="1"/>
  <c r="E3651" i="1"/>
  <c r="I3650" i="1"/>
  <c r="H3650" i="1"/>
  <c r="G3650" i="1"/>
  <c r="F3650" i="1"/>
  <c r="E3650" i="1"/>
  <c r="I3649" i="1"/>
  <c r="H3649" i="1"/>
  <c r="G3649" i="1"/>
  <c r="F3649" i="1"/>
  <c r="E3649" i="1"/>
  <c r="I3648" i="1"/>
  <c r="H3648" i="1"/>
  <c r="G3648" i="1"/>
  <c r="F3648" i="1"/>
  <c r="E3648" i="1"/>
  <c r="I3647" i="1"/>
  <c r="H3647" i="1"/>
  <c r="G3647" i="1"/>
  <c r="F3647" i="1"/>
  <c r="E3647" i="1"/>
  <c r="I3646" i="1"/>
  <c r="H3646" i="1"/>
  <c r="G3646" i="1"/>
  <c r="F3646" i="1"/>
  <c r="E3646" i="1"/>
  <c r="I3645" i="1"/>
  <c r="H3645" i="1"/>
  <c r="G3645" i="1"/>
  <c r="F3645" i="1"/>
  <c r="E3645" i="1"/>
  <c r="I3644" i="1"/>
  <c r="H3644" i="1"/>
  <c r="G3644" i="1"/>
  <c r="F3644" i="1"/>
  <c r="E3644" i="1"/>
  <c r="I3643" i="1"/>
  <c r="H3643" i="1"/>
  <c r="G3643" i="1"/>
  <c r="F3643" i="1"/>
  <c r="E3643" i="1"/>
  <c r="I3642" i="1"/>
  <c r="H3642" i="1"/>
  <c r="G3642" i="1"/>
  <c r="F3642" i="1"/>
  <c r="E3642" i="1"/>
  <c r="I3641" i="1"/>
  <c r="H3641" i="1"/>
  <c r="G3641" i="1"/>
  <c r="F3641" i="1"/>
  <c r="E3641" i="1"/>
  <c r="I3640" i="1"/>
  <c r="H3640" i="1"/>
  <c r="G3640" i="1"/>
  <c r="F3640" i="1"/>
  <c r="E3640" i="1"/>
  <c r="I3639" i="1"/>
  <c r="H3639" i="1"/>
  <c r="G3639" i="1"/>
  <c r="F3639" i="1"/>
  <c r="E3639" i="1"/>
  <c r="I3638" i="1"/>
  <c r="H3638" i="1"/>
  <c r="G3638" i="1"/>
  <c r="F3638" i="1"/>
  <c r="E3638" i="1"/>
  <c r="I3637" i="1"/>
  <c r="H3637" i="1"/>
  <c r="G3637" i="1"/>
  <c r="F3637" i="1"/>
  <c r="E3637" i="1"/>
  <c r="I3636" i="1"/>
  <c r="H3636" i="1"/>
  <c r="G3636" i="1"/>
  <c r="F3636" i="1"/>
  <c r="E3636" i="1"/>
  <c r="I3635" i="1"/>
  <c r="H3635" i="1"/>
  <c r="G3635" i="1"/>
  <c r="F3635" i="1"/>
  <c r="E3635" i="1"/>
  <c r="I3634" i="1"/>
  <c r="H3634" i="1"/>
  <c r="G3634" i="1"/>
  <c r="F3634" i="1"/>
  <c r="E3634" i="1"/>
  <c r="I3633" i="1"/>
  <c r="H3633" i="1"/>
  <c r="G3633" i="1"/>
  <c r="F3633" i="1"/>
  <c r="E3633" i="1"/>
  <c r="I3632" i="1"/>
  <c r="H3632" i="1"/>
  <c r="G3632" i="1"/>
  <c r="F3632" i="1"/>
  <c r="E3632" i="1"/>
  <c r="I3631" i="1"/>
  <c r="H3631" i="1"/>
  <c r="G3631" i="1"/>
  <c r="F3631" i="1"/>
  <c r="E3631" i="1"/>
  <c r="I3630" i="1"/>
  <c r="H3630" i="1"/>
  <c r="G3630" i="1"/>
  <c r="F3630" i="1"/>
  <c r="E3630" i="1"/>
  <c r="I3629" i="1"/>
  <c r="H3629" i="1"/>
  <c r="G3629" i="1"/>
  <c r="F3629" i="1"/>
  <c r="E3629" i="1"/>
  <c r="I3628" i="1"/>
  <c r="H3628" i="1"/>
  <c r="G3628" i="1"/>
  <c r="F3628" i="1"/>
  <c r="E3628" i="1"/>
  <c r="I3627" i="1"/>
  <c r="H3627" i="1"/>
  <c r="G3627" i="1"/>
  <c r="F3627" i="1"/>
  <c r="E3627" i="1"/>
  <c r="I3626" i="1"/>
  <c r="H3626" i="1"/>
  <c r="G3626" i="1"/>
  <c r="F3626" i="1"/>
  <c r="E3626" i="1"/>
  <c r="I3625" i="1"/>
  <c r="H3625" i="1"/>
  <c r="G3625" i="1"/>
  <c r="F3625" i="1"/>
  <c r="E3625" i="1"/>
  <c r="I3624" i="1"/>
  <c r="H3624" i="1"/>
  <c r="G3624" i="1"/>
  <c r="F3624" i="1"/>
  <c r="E3624" i="1"/>
  <c r="I3623" i="1"/>
  <c r="H3623" i="1"/>
  <c r="G3623" i="1"/>
  <c r="F3623" i="1"/>
  <c r="E3623" i="1"/>
  <c r="I3622" i="1"/>
  <c r="H3622" i="1"/>
  <c r="G3622" i="1"/>
  <c r="F3622" i="1"/>
  <c r="E3622" i="1"/>
  <c r="I3621" i="1"/>
  <c r="H3621" i="1"/>
  <c r="G3621" i="1"/>
  <c r="F3621" i="1"/>
  <c r="E3621" i="1"/>
  <c r="I3620" i="1"/>
  <c r="H3620" i="1"/>
  <c r="G3620" i="1"/>
  <c r="F3620" i="1"/>
  <c r="E3620" i="1"/>
  <c r="I3619" i="1"/>
  <c r="H3619" i="1"/>
  <c r="G3619" i="1"/>
  <c r="F3619" i="1"/>
  <c r="E3619" i="1"/>
  <c r="I3618" i="1"/>
  <c r="H3618" i="1"/>
  <c r="G3618" i="1"/>
  <c r="F3618" i="1"/>
  <c r="E3618" i="1"/>
  <c r="I3617" i="1"/>
  <c r="H3617" i="1"/>
  <c r="G3617" i="1"/>
  <c r="F3617" i="1"/>
  <c r="E3617" i="1"/>
  <c r="I3616" i="1"/>
  <c r="H3616" i="1"/>
  <c r="G3616" i="1"/>
  <c r="F3616" i="1"/>
  <c r="E3616" i="1"/>
  <c r="I3615" i="1"/>
  <c r="H3615" i="1"/>
  <c r="G3615" i="1"/>
  <c r="F3615" i="1"/>
  <c r="E3615" i="1"/>
  <c r="I3614" i="1"/>
  <c r="H3614" i="1"/>
  <c r="G3614" i="1"/>
  <c r="F3614" i="1"/>
  <c r="E3614" i="1"/>
  <c r="I3613" i="1"/>
  <c r="H3613" i="1"/>
  <c r="G3613" i="1"/>
  <c r="F3613" i="1"/>
  <c r="E3613" i="1"/>
  <c r="I3612" i="1"/>
  <c r="H3612" i="1"/>
  <c r="G3612" i="1"/>
  <c r="F3612" i="1"/>
  <c r="E3612" i="1"/>
  <c r="I3611" i="1"/>
  <c r="H3611" i="1"/>
  <c r="G3611" i="1"/>
  <c r="F3611" i="1"/>
  <c r="E3611" i="1"/>
  <c r="I3610" i="1"/>
  <c r="H3610" i="1"/>
  <c r="G3610" i="1"/>
  <c r="F3610" i="1"/>
  <c r="E3610" i="1"/>
  <c r="I3609" i="1"/>
  <c r="H3609" i="1"/>
  <c r="G3609" i="1"/>
  <c r="F3609" i="1"/>
  <c r="E3609" i="1"/>
  <c r="I3608" i="1"/>
  <c r="H3608" i="1"/>
  <c r="G3608" i="1"/>
  <c r="F3608" i="1"/>
  <c r="E3608" i="1"/>
  <c r="I3607" i="1"/>
  <c r="H3607" i="1"/>
  <c r="G3607" i="1"/>
  <c r="F3607" i="1"/>
  <c r="E3607" i="1"/>
  <c r="I3606" i="1"/>
  <c r="H3606" i="1"/>
  <c r="G3606" i="1"/>
  <c r="F3606" i="1"/>
  <c r="E3606" i="1"/>
  <c r="I3605" i="1"/>
  <c r="H3605" i="1"/>
  <c r="G3605" i="1"/>
  <c r="F3605" i="1"/>
  <c r="E3605" i="1"/>
  <c r="I3604" i="1"/>
  <c r="H3604" i="1"/>
  <c r="G3604" i="1"/>
  <c r="F3604" i="1"/>
  <c r="E3604" i="1"/>
  <c r="I3603" i="1"/>
  <c r="H3603" i="1"/>
  <c r="G3603" i="1"/>
  <c r="F3603" i="1"/>
  <c r="E3603" i="1"/>
  <c r="I3602" i="1"/>
  <c r="H3602" i="1"/>
  <c r="G3602" i="1"/>
  <c r="F3602" i="1"/>
  <c r="E3602" i="1"/>
  <c r="I3601" i="1"/>
  <c r="H3601" i="1"/>
  <c r="G3601" i="1"/>
  <c r="F3601" i="1"/>
  <c r="E3601" i="1"/>
  <c r="I3600" i="1"/>
  <c r="H3600" i="1"/>
  <c r="G3600" i="1"/>
  <c r="F3600" i="1"/>
  <c r="E3600" i="1"/>
  <c r="I3599" i="1"/>
  <c r="H3599" i="1"/>
  <c r="G3599" i="1"/>
  <c r="F3599" i="1"/>
  <c r="E3599" i="1"/>
  <c r="I3598" i="1"/>
  <c r="H3598" i="1"/>
  <c r="G3598" i="1"/>
  <c r="F3598" i="1"/>
  <c r="E3598" i="1"/>
  <c r="I3597" i="1"/>
  <c r="H3597" i="1"/>
  <c r="G3597" i="1"/>
  <c r="F3597" i="1"/>
  <c r="E3597" i="1"/>
  <c r="I3596" i="1"/>
  <c r="H3596" i="1"/>
  <c r="G3596" i="1"/>
  <c r="F3596" i="1"/>
  <c r="E3596" i="1"/>
  <c r="I3595" i="1"/>
  <c r="H3595" i="1"/>
  <c r="G3595" i="1"/>
  <c r="F3595" i="1"/>
  <c r="E3595" i="1"/>
  <c r="I3594" i="1"/>
  <c r="H3594" i="1"/>
  <c r="G3594" i="1"/>
  <c r="F3594" i="1"/>
  <c r="E3594" i="1"/>
  <c r="I3593" i="1"/>
  <c r="H3593" i="1"/>
  <c r="G3593" i="1"/>
  <c r="F3593" i="1"/>
  <c r="E3593" i="1"/>
  <c r="I3592" i="1"/>
  <c r="H3592" i="1"/>
  <c r="G3592" i="1"/>
  <c r="F3592" i="1"/>
  <c r="E3592" i="1"/>
  <c r="I3591" i="1"/>
  <c r="H3591" i="1"/>
  <c r="G3591" i="1"/>
  <c r="F3591" i="1"/>
  <c r="E3591" i="1"/>
  <c r="I3590" i="1"/>
  <c r="H3590" i="1"/>
  <c r="G3590" i="1"/>
  <c r="F3590" i="1"/>
  <c r="E3590" i="1"/>
  <c r="I3589" i="1"/>
  <c r="H3589" i="1"/>
  <c r="G3589" i="1"/>
  <c r="F3589" i="1"/>
  <c r="E3589" i="1"/>
  <c r="I3588" i="1"/>
  <c r="H3588" i="1"/>
  <c r="G3588" i="1"/>
  <c r="F3588" i="1"/>
  <c r="E3588" i="1"/>
  <c r="I3587" i="1"/>
  <c r="H3587" i="1"/>
  <c r="G3587" i="1"/>
  <c r="F3587" i="1"/>
  <c r="E3587" i="1"/>
  <c r="I3586" i="1"/>
  <c r="H3586" i="1"/>
  <c r="G3586" i="1"/>
  <c r="F3586" i="1"/>
  <c r="E3586" i="1"/>
  <c r="I3585" i="1"/>
  <c r="H3585" i="1"/>
  <c r="G3585" i="1"/>
  <c r="F3585" i="1"/>
  <c r="E3585" i="1"/>
  <c r="I3584" i="1"/>
  <c r="H3584" i="1"/>
  <c r="G3584" i="1"/>
  <c r="F3584" i="1"/>
  <c r="E3584" i="1"/>
  <c r="I3583" i="1"/>
  <c r="H3583" i="1"/>
  <c r="G3583" i="1"/>
  <c r="F3583" i="1"/>
  <c r="E3583" i="1"/>
  <c r="I3582" i="1"/>
  <c r="H3582" i="1"/>
  <c r="G3582" i="1"/>
  <c r="F3582" i="1"/>
  <c r="E3582" i="1"/>
  <c r="I3581" i="1"/>
  <c r="H3581" i="1"/>
  <c r="G3581" i="1"/>
  <c r="F3581" i="1"/>
  <c r="E3581" i="1"/>
  <c r="I3580" i="1"/>
  <c r="H3580" i="1"/>
  <c r="G3580" i="1"/>
  <c r="F3580" i="1"/>
  <c r="E3580" i="1"/>
  <c r="I3579" i="1"/>
  <c r="H3579" i="1"/>
  <c r="G3579" i="1"/>
  <c r="F3579" i="1"/>
  <c r="E3579" i="1"/>
  <c r="I3578" i="1"/>
  <c r="H3578" i="1"/>
  <c r="G3578" i="1"/>
  <c r="F3578" i="1"/>
  <c r="E3578" i="1"/>
  <c r="I3577" i="1"/>
  <c r="H3577" i="1"/>
  <c r="G3577" i="1"/>
  <c r="F3577" i="1"/>
  <c r="E3577" i="1"/>
  <c r="I3576" i="1"/>
  <c r="H3576" i="1"/>
  <c r="G3576" i="1"/>
  <c r="F3576" i="1"/>
  <c r="E3576" i="1"/>
  <c r="I3575" i="1"/>
  <c r="H3575" i="1"/>
  <c r="G3575" i="1"/>
  <c r="F3575" i="1"/>
  <c r="E3575" i="1"/>
  <c r="I3574" i="1"/>
  <c r="H3574" i="1"/>
  <c r="G3574" i="1"/>
  <c r="F3574" i="1"/>
  <c r="E3574" i="1"/>
  <c r="I3573" i="1"/>
  <c r="H3573" i="1"/>
  <c r="G3573" i="1"/>
  <c r="F3573" i="1"/>
  <c r="E3573" i="1"/>
  <c r="I3572" i="1"/>
  <c r="H3572" i="1"/>
  <c r="G3572" i="1"/>
  <c r="F3572" i="1"/>
  <c r="E3572" i="1"/>
  <c r="I3571" i="1"/>
  <c r="H3571" i="1"/>
  <c r="G3571" i="1"/>
  <c r="F3571" i="1"/>
  <c r="E3571" i="1"/>
  <c r="I3570" i="1"/>
  <c r="H3570" i="1"/>
  <c r="G3570" i="1"/>
  <c r="F3570" i="1"/>
  <c r="E3570" i="1"/>
  <c r="I3569" i="1"/>
  <c r="H3569" i="1"/>
  <c r="G3569" i="1"/>
  <c r="F3569" i="1"/>
  <c r="E3569" i="1"/>
  <c r="I3568" i="1"/>
  <c r="H3568" i="1"/>
  <c r="G3568" i="1"/>
  <c r="F3568" i="1"/>
  <c r="E3568" i="1"/>
  <c r="I3567" i="1"/>
  <c r="H3567" i="1"/>
  <c r="G3567" i="1"/>
  <c r="F3567" i="1"/>
  <c r="E3567" i="1"/>
  <c r="I3566" i="1"/>
  <c r="H3566" i="1"/>
  <c r="G3566" i="1"/>
  <c r="F3566" i="1"/>
  <c r="E3566" i="1"/>
  <c r="I3565" i="1"/>
  <c r="H3565" i="1"/>
  <c r="G3565" i="1"/>
  <c r="F3565" i="1"/>
  <c r="E3565" i="1"/>
  <c r="I3564" i="1"/>
  <c r="H3564" i="1"/>
  <c r="G3564" i="1"/>
  <c r="F3564" i="1"/>
  <c r="E3564" i="1"/>
  <c r="I3563" i="1"/>
  <c r="H3563" i="1"/>
  <c r="G3563" i="1"/>
  <c r="F3563" i="1"/>
  <c r="E3563" i="1"/>
  <c r="I3562" i="1"/>
  <c r="H3562" i="1"/>
  <c r="G3562" i="1"/>
  <c r="F3562" i="1"/>
  <c r="E3562" i="1"/>
  <c r="I3561" i="1"/>
  <c r="H3561" i="1"/>
  <c r="G3561" i="1"/>
  <c r="F3561" i="1"/>
  <c r="E3561" i="1"/>
  <c r="I3560" i="1"/>
  <c r="H3560" i="1"/>
  <c r="G3560" i="1"/>
  <c r="F3560" i="1"/>
  <c r="E3560" i="1"/>
  <c r="I3559" i="1"/>
  <c r="H3559" i="1"/>
  <c r="G3559" i="1"/>
  <c r="F3559" i="1"/>
  <c r="E3559" i="1"/>
  <c r="I3558" i="1"/>
  <c r="H3558" i="1"/>
  <c r="G3558" i="1"/>
  <c r="F3558" i="1"/>
  <c r="E3558" i="1"/>
  <c r="I3557" i="1"/>
  <c r="H3557" i="1"/>
  <c r="G3557" i="1"/>
  <c r="F3557" i="1"/>
  <c r="E3557" i="1"/>
  <c r="I3556" i="1"/>
  <c r="H3556" i="1"/>
  <c r="G3556" i="1"/>
  <c r="F3556" i="1"/>
  <c r="E3556" i="1"/>
  <c r="I3555" i="1"/>
  <c r="H3555" i="1"/>
  <c r="G3555" i="1"/>
  <c r="F3555" i="1"/>
  <c r="E3555" i="1"/>
  <c r="I3554" i="1"/>
  <c r="H3554" i="1"/>
  <c r="G3554" i="1"/>
  <c r="F3554" i="1"/>
  <c r="E3554" i="1"/>
  <c r="I3553" i="1"/>
  <c r="H3553" i="1"/>
  <c r="G3553" i="1"/>
  <c r="F3553" i="1"/>
  <c r="E3553" i="1"/>
  <c r="I3552" i="1"/>
  <c r="H3552" i="1"/>
  <c r="G3552" i="1"/>
  <c r="F3552" i="1"/>
  <c r="E3552" i="1"/>
  <c r="I3551" i="1"/>
  <c r="H3551" i="1"/>
  <c r="G3551" i="1"/>
  <c r="F3551" i="1"/>
  <c r="E3551" i="1"/>
  <c r="I3550" i="1"/>
  <c r="H3550" i="1"/>
  <c r="G3550" i="1"/>
  <c r="F3550" i="1"/>
  <c r="E3550" i="1"/>
  <c r="I3549" i="1"/>
  <c r="H3549" i="1"/>
  <c r="G3549" i="1"/>
  <c r="F3549" i="1"/>
  <c r="E3549" i="1"/>
  <c r="I3548" i="1"/>
  <c r="H3548" i="1"/>
  <c r="G3548" i="1"/>
  <c r="F3548" i="1"/>
  <c r="E3548" i="1"/>
  <c r="I3547" i="1"/>
  <c r="H3547" i="1"/>
  <c r="G3547" i="1"/>
  <c r="F3547" i="1"/>
  <c r="E3547" i="1"/>
  <c r="I3546" i="1"/>
  <c r="H3546" i="1"/>
  <c r="G3546" i="1"/>
  <c r="F3546" i="1"/>
  <c r="E3546" i="1"/>
  <c r="I3545" i="1"/>
  <c r="H3545" i="1"/>
  <c r="G3545" i="1"/>
  <c r="F3545" i="1"/>
  <c r="E3545" i="1"/>
  <c r="I3544" i="1"/>
  <c r="H3544" i="1"/>
  <c r="G3544" i="1"/>
  <c r="F3544" i="1"/>
  <c r="E3544" i="1"/>
  <c r="I3543" i="1"/>
  <c r="H3543" i="1"/>
  <c r="G3543" i="1"/>
  <c r="F3543" i="1"/>
  <c r="E3543" i="1"/>
  <c r="I3542" i="1"/>
  <c r="H3542" i="1"/>
  <c r="G3542" i="1"/>
  <c r="F3542" i="1"/>
  <c r="E3542" i="1"/>
  <c r="I3541" i="1"/>
  <c r="H3541" i="1"/>
  <c r="G3541" i="1"/>
  <c r="F3541" i="1"/>
  <c r="E3541" i="1"/>
  <c r="I3540" i="1"/>
  <c r="H3540" i="1"/>
  <c r="G3540" i="1"/>
  <c r="F3540" i="1"/>
  <c r="E3540" i="1"/>
  <c r="I3539" i="1"/>
  <c r="H3539" i="1"/>
  <c r="G3539" i="1"/>
  <c r="F3539" i="1"/>
  <c r="E3539" i="1"/>
  <c r="I3538" i="1"/>
  <c r="H3538" i="1"/>
  <c r="G3538" i="1"/>
  <c r="F3538" i="1"/>
  <c r="E3538" i="1"/>
  <c r="I3537" i="1"/>
  <c r="H3537" i="1"/>
  <c r="G3537" i="1"/>
  <c r="F3537" i="1"/>
  <c r="E3537" i="1"/>
  <c r="I3536" i="1"/>
  <c r="H3536" i="1"/>
  <c r="G3536" i="1"/>
  <c r="F3536" i="1"/>
  <c r="E3536" i="1"/>
  <c r="I3535" i="1"/>
  <c r="H3535" i="1"/>
  <c r="G3535" i="1"/>
  <c r="F3535" i="1"/>
  <c r="E3535" i="1"/>
  <c r="I3534" i="1"/>
  <c r="H3534" i="1"/>
  <c r="G3534" i="1"/>
  <c r="F3534" i="1"/>
  <c r="E3534" i="1"/>
  <c r="I3533" i="1"/>
  <c r="H3533" i="1"/>
  <c r="G3533" i="1"/>
  <c r="F3533" i="1"/>
  <c r="E3533" i="1"/>
  <c r="I3532" i="1"/>
  <c r="H3532" i="1"/>
  <c r="G3532" i="1"/>
  <c r="F3532" i="1"/>
  <c r="E3532" i="1"/>
  <c r="I3531" i="1"/>
  <c r="H3531" i="1"/>
  <c r="G3531" i="1"/>
  <c r="F3531" i="1"/>
  <c r="E3531" i="1"/>
  <c r="I3530" i="1"/>
  <c r="H3530" i="1"/>
  <c r="G3530" i="1"/>
  <c r="F3530" i="1"/>
  <c r="E3530" i="1"/>
  <c r="I3529" i="1"/>
  <c r="H3529" i="1"/>
  <c r="G3529" i="1"/>
  <c r="F3529" i="1"/>
  <c r="E3529" i="1"/>
  <c r="I3528" i="1"/>
  <c r="H3528" i="1"/>
  <c r="G3528" i="1"/>
  <c r="F3528" i="1"/>
  <c r="E3528" i="1"/>
  <c r="I3527" i="1"/>
  <c r="H3527" i="1"/>
  <c r="G3527" i="1"/>
  <c r="F3527" i="1"/>
  <c r="E3527" i="1"/>
  <c r="I3526" i="1"/>
  <c r="H3526" i="1"/>
  <c r="G3526" i="1"/>
  <c r="F3526" i="1"/>
  <c r="E3526" i="1"/>
  <c r="I3525" i="1"/>
  <c r="H3525" i="1"/>
  <c r="G3525" i="1"/>
  <c r="F3525" i="1"/>
  <c r="E3525" i="1"/>
  <c r="I3524" i="1"/>
  <c r="H3524" i="1"/>
  <c r="G3524" i="1"/>
  <c r="F3524" i="1"/>
  <c r="E3524" i="1"/>
  <c r="I3523" i="1"/>
  <c r="H3523" i="1"/>
  <c r="G3523" i="1"/>
  <c r="F3523" i="1"/>
  <c r="E3523" i="1"/>
  <c r="I3522" i="1"/>
  <c r="H3522" i="1"/>
  <c r="G3522" i="1"/>
  <c r="F3522" i="1"/>
  <c r="E3522" i="1"/>
  <c r="I3521" i="1"/>
  <c r="H3521" i="1"/>
  <c r="G3521" i="1"/>
  <c r="F3521" i="1"/>
  <c r="E3521" i="1"/>
  <c r="I3520" i="1"/>
  <c r="H3520" i="1"/>
  <c r="G3520" i="1"/>
  <c r="F3520" i="1"/>
  <c r="E3520" i="1"/>
  <c r="I3519" i="1"/>
  <c r="H3519" i="1"/>
  <c r="G3519" i="1"/>
  <c r="F3519" i="1"/>
  <c r="E3519" i="1"/>
  <c r="I3518" i="1"/>
  <c r="H3518" i="1"/>
  <c r="G3518" i="1"/>
  <c r="F3518" i="1"/>
  <c r="E3518" i="1"/>
  <c r="I3517" i="1"/>
  <c r="H3517" i="1"/>
  <c r="G3517" i="1"/>
  <c r="F3517" i="1"/>
  <c r="E3517" i="1"/>
  <c r="I3516" i="1"/>
  <c r="H3516" i="1"/>
  <c r="G3516" i="1"/>
  <c r="F3516" i="1"/>
  <c r="E3516" i="1"/>
  <c r="I3515" i="1"/>
  <c r="H3515" i="1"/>
  <c r="G3515" i="1"/>
  <c r="F3515" i="1"/>
  <c r="E3515" i="1"/>
  <c r="I3514" i="1"/>
  <c r="H3514" i="1"/>
  <c r="G3514" i="1"/>
  <c r="F3514" i="1"/>
  <c r="E3514" i="1"/>
  <c r="I3513" i="1"/>
  <c r="H3513" i="1"/>
  <c r="G3513" i="1"/>
  <c r="F3513" i="1"/>
  <c r="E3513" i="1"/>
  <c r="I3512" i="1"/>
  <c r="H3512" i="1"/>
  <c r="G3512" i="1"/>
  <c r="F3512" i="1"/>
  <c r="E3512" i="1"/>
  <c r="I3511" i="1"/>
  <c r="H3511" i="1"/>
  <c r="G3511" i="1"/>
  <c r="F3511" i="1"/>
  <c r="E3511" i="1"/>
  <c r="I3510" i="1"/>
  <c r="H3510" i="1"/>
  <c r="G3510" i="1"/>
  <c r="F3510" i="1"/>
  <c r="E3510" i="1"/>
  <c r="I3509" i="1"/>
  <c r="H3509" i="1"/>
  <c r="G3509" i="1"/>
  <c r="F3509" i="1"/>
  <c r="E3509" i="1"/>
  <c r="I3508" i="1"/>
  <c r="H3508" i="1"/>
  <c r="G3508" i="1"/>
  <c r="F3508" i="1"/>
  <c r="E3508" i="1"/>
  <c r="I3507" i="1"/>
  <c r="H3507" i="1"/>
  <c r="G3507" i="1"/>
  <c r="F3507" i="1"/>
  <c r="E3507" i="1"/>
  <c r="I3506" i="1"/>
  <c r="H3506" i="1"/>
  <c r="G3506" i="1"/>
  <c r="F3506" i="1"/>
  <c r="E3506" i="1"/>
  <c r="I3505" i="1"/>
  <c r="H3505" i="1"/>
  <c r="G3505" i="1"/>
  <c r="F3505" i="1"/>
  <c r="E3505" i="1"/>
  <c r="I3504" i="1"/>
  <c r="H3504" i="1"/>
  <c r="G3504" i="1"/>
  <c r="F3504" i="1"/>
  <c r="E3504" i="1"/>
  <c r="I3503" i="1"/>
  <c r="H3503" i="1"/>
  <c r="G3503" i="1"/>
  <c r="F3503" i="1"/>
  <c r="E3503" i="1"/>
  <c r="I3502" i="1"/>
  <c r="H3502" i="1"/>
  <c r="G3502" i="1"/>
  <c r="F3502" i="1"/>
  <c r="E3502" i="1"/>
  <c r="I3501" i="1"/>
  <c r="H3501" i="1"/>
  <c r="G3501" i="1"/>
  <c r="F3501" i="1"/>
  <c r="E3501" i="1"/>
  <c r="I3500" i="1"/>
  <c r="H3500" i="1"/>
  <c r="G3500" i="1"/>
  <c r="F3500" i="1"/>
  <c r="E3500" i="1"/>
  <c r="I3499" i="1"/>
  <c r="H3499" i="1"/>
  <c r="G3499" i="1"/>
  <c r="F3499" i="1"/>
  <c r="E3499" i="1"/>
  <c r="I3498" i="1"/>
  <c r="H3498" i="1"/>
  <c r="G3498" i="1"/>
  <c r="F3498" i="1"/>
  <c r="E3498" i="1"/>
  <c r="I3497" i="1"/>
  <c r="H3497" i="1"/>
  <c r="G3497" i="1"/>
  <c r="F3497" i="1"/>
  <c r="E3497" i="1"/>
  <c r="I3496" i="1"/>
  <c r="H3496" i="1"/>
  <c r="G3496" i="1"/>
  <c r="F3496" i="1"/>
  <c r="E3496" i="1"/>
  <c r="I3495" i="1"/>
  <c r="H3495" i="1"/>
  <c r="G3495" i="1"/>
  <c r="F3495" i="1"/>
  <c r="E3495" i="1"/>
  <c r="I3494" i="1"/>
  <c r="H3494" i="1"/>
  <c r="G3494" i="1"/>
  <c r="F3494" i="1"/>
  <c r="E3494" i="1"/>
  <c r="I3493" i="1"/>
  <c r="H3493" i="1"/>
  <c r="G3493" i="1"/>
  <c r="F3493" i="1"/>
  <c r="E3493" i="1"/>
  <c r="I3492" i="1"/>
  <c r="H3492" i="1"/>
  <c r="G3492" i="1"/>
  <c r="F3492" i="1"/>
  <c r="E3492" i="1"/>
  <c r="I3491" i="1"/>
  <c r="H3491" i="1"/>
  <c r="G3491" i="1"/>
  <c r="F3491" i="1"/>
  <c r="E3491" i="1"/>
  <c r="I3490" i="1"/>
  <c r="H3490" i="1"/>
  <c r="G3490" i="1"/>
  <c r="F3490" i="1"/>
  <c r="E3490" i="1"/>
  <c r="I3489" i="1"/>
  <c r="H3489" i="1"/>
  <c r="G3489" i="1"/>
  <c r="F3489" i="1"/>
  <c r="E3489" i="1"/>
  <c r="I3488" i="1"/>
  <c r="H3488" i="1"/>
  <c r="G3488" i="1"/>
  <c r="F3488" i="1"/>
  <c r="E3488" i="1"/>
  <c r="I3487" i="1"/>
  <c r="H3487" i="1"/>
  <c r="G3487" i="1"/>
  <c r="F3487" i="1"/>
  <c r="E3487" i="1"/>
  <c r="I3486" i="1"/>
  <c r="H3486" i="1"/>
  <c r="G3486" i="1"/>
  <c r="F3486" i="1"/>
  <c r="E3486" i="1"/>
  <c r="I3485" i="1"/>
  <c r="H3485" i="1"/>
  <c r="G3485" i="1"/>
  <c r="F3485" i="1"/>
  <c r="E3485" i="1"/>
  <c r="I3484" i="1"/>
  <c r="H3484" i="1"/>
  <c r="G3484" i="1"/>
  <c r="F3484" i="1"/>
  <c r="E3484" i="1"/>
  <c r="I3483" i="1"/>
  <c r="H3483" i="1"/>
  <c r="G3483" i="1"/>
  <c r="F3483" i="1"/>
  <c r="E3483" i="1"/>
  <c r="I3482" i="1"/>
  <c r="H3482" i="1"/>
  <c r="G3482" i="1"/>
  <c r="F3482" i="1"/>
  <c r="E3482" i="1"/>
  <c r="I3481" i="1"/>
  <c r="H3481" i="1"/>
  <c r="G3481" i="1"/>
  <c r="F3481" i="1"/>
  <c r="E3481" i="1"/>
  <c r="I3480" i="1"/>
  <c r="H3480" i="1"/>
  <c r="G3480" i="1"/>
  <c r="F3480" i="1"/>
  <c r="E3480" i="1"/>
  <c r="I3479" i="1"/>
  <c r="H3479" i="1"/>
  <c r="G3479" i="1"/>
  <c r="F3479" i="1"/>
  <c r="E3479" i="1"/>
  <c r="I3478" i="1"/>
  <c r="H3478" i="1"/>
  <c r="G3478" i="1"/>
  <c r="F3478" i="1"/>
  <c r="E3478" i="1"/>
  <c r="I3477" i="1"/>
  <c r="H3477" i="1"/>
  <c r="G3477" i="1"/>
  <c r="F3477" i="1"/>
  <c r="E3477" i="1"/>
  <c r="I3476" i="1"/>
  <c r="H3476" i="1"/>
  <c r="G3476" i="1"/>
  <c r="F3476" i="1"/>
  <c r="E3476" i="1"/>
  <c r="I3475" i="1"/>
  <c r="H3475" i="1"/>
  <c r="G3475" i="1"/>
  <c r="F3475" i="1"/>
  <c r="E3475" i="1"/>
  <c r="I3474" i="1"/>
  <c r="H3474" i="1"/>
  <c r="G3474" i="1"/>
  <c r="F3474" i="1"/>
  <c r="E3474" i="1"/>
  <c r="I3473" i="1"/>
  <c r="H3473" i="1"/>
  <c r="G3473" i="1"/>
  <c r="F3473" i="1"/>
  <c r="E3473" i="1"/>
  <c r="I3472" i="1"/>
  <c r="H3472" i="1"/>
  <c r="G3472" i="1"/>
  <c r="F3472" i="1"/>
  <c r="E3472" i="1"/>
  <c r="I3471" i="1"/>
  <c r="H3471" i="1"/>
  <c r="G3471" i="1"/>
  <c r="F3471" i="1"/>
  <c r="E3471" i="1"/>
  <c r="I3470" i="1"/>
  <c r="H3470" i="1"/>
  <c r="G3470" i="1"/>
  <c r="F3470" i="1"/>
  <c r="E3470" i="1"/>
  <c r="I3469" i="1"/>
  <c r="H3469" i="1"/>
  <c r="G3469" i="1"/>
  <c r="F3469" i="1"/>
  <c r="E3469" i="1"/>
  <c r="I3468" i="1"/>
  <c r="H3468" i="1"/>
  <c r="G3468" i="1"/>
  <c r="F3468" i="1"/>
  <c r="E3468" i="1"/>
  <c r="I3467" i="1"/>
  <c r="H3467" i="1"/>
  <c r="G3467" i="1"/>
  <c r="F3467" i="1"/>
  <c r="E3467" i="1"/>
  <c r="I3466" i="1"/>
  <c r="H3466" i="1"/>
  <c r="G3466" i="1"/>
  <c r="F3466" i="1"/>
  <c r="E3466" i="1"/>
  <c r="I3465" i="1"/>
  <c r="H3465" i="1"/>
  <c r="G3465" i="1"/>
  <c r="F3465" i="1"/>
  <c r="E3465" i="1"/>
  <c r="I3464" i="1"/>
  <c r="H3464" i="1"/>
  <c r="G3464" i="1"/>
  <c r="F3464" i="1"/>
  <c r="E3464" i="1"/>
  <c r="I3463" i="1"/>
  <c r="H3463" i="1"/>
  <c r="G3463" i="1"/>
  <c r="F3463" i="1"/>
  <c r="E3463" i="1"/>
  <c r="I3462" i="1"/>
  <c r="H3462" i="1"/>
  <c r="G3462" i="1"/>
  <c r="F3462" i="1"/>
  <c r="E3462" i="1"/>
  <c r="I3461" i="1"/>
  <c r="H3461" i="1"/>
  <c r="G3461" i="1"/>
  <c r="F3461" i="1"/>
  <c r="E3461" i="1"/>
  <c r="I3460" i="1"/>
  <c r="H3460" i="1"/>
  <c r="G3460" i="1"/>
  <c r="F3460" i="1"/>
  <c r="E3460" i="1"/>
  <c r="I3459" i="1"/>
  <c r="H3459" i="1"/>
  <c r="G3459" i="1"/>
  <c r="F3459" i="1"/>
  <c r="E3459" i="1"/>
  <c r="I3458" i="1"/>
  <c r="H3458" i="1"/>
  <c r="G3458" i="1"/>
  <c r="F3458" i="1"/>
  <c r="E3458" i="1"/>
  <c r="I3457" i="1"/>
  <c r="H3457" i="1"/>
  <c r="G3457" i="1"/>
  <c r="F3457" i="1"/>
  <c r="E3457" i="1"/>
  <c r="I3456" i="1"/>
  <c r="H3456" i="1"/>
  <c r="G3456" i="1"/>
  <c r="F3456" i="1"/>
  <c r="E3456" i="1"/>
  <c r="I3455" i="1"/>
  <c r="H3455" i="1"/>
  <c r="G3455" i="1"/>
  <c r="F3455" i="1"/>
  <c r="E3455" i="1"/>
  <c r="I3454" i="1"/>
  <c r="H3454" i="1"/>
  <c r="G3454" i="1"/>
  <c r="F3454" i="1"/>
  <c r="E3454" i="1"/>
  <c r="I3453" i="1"/>
  <c r="H3453" i="1"/>
  <c r="G3453" i="1"/>
  <c r="F3453" i="1"/>
  <c r="E3453" i="1"/>
  <c r="I3452" i="1"/>
  <c r="H3452" i="1"/>
  <c r="G3452" i="1"/>
  <c r="F3452" i="1"/>
  <c r="E3452" i="1"/>
  <c r="I3451" i="1"/>
  <c r="H3451" i="1"/>
  <c r="G3451" i="1"/>
  <c r="F3451" i="1"/>
  <c r="E3451" i="1"/>
  <c r="I3450" i="1"/>
  <c r="H3450" i="1"/>
  <c r="G3450" i="1"/>
  <c r="F3450" i="1"/>
  <c r="E3450" i="1"/>
  <c r="I3449" i="1"/>
  <c r="H3449" i="1"/>
  <c r="G3449" i="1"/>
  <c r="F3449" i="1"/>
  <c r="E3449" i="1"/>
  <c r="I3448" i="1"/>
  <c r="H3448" i="1"/>
  <c r="G3448" i="1"/>
  <c r="F3448" i="1"/>
  <c r="E3448" i="1"/>
  <c r="I3447" i="1"/>
  <c r="H3447" i="1"/>
  <c r="G3447" i="1"/>
  <c r="F3447" i="1"/>
  <c r="E3447" i="1"/>
  <c r="I3446" i="1"/>
  <c r="H3446" i="1"/>
  <c r="G3446" i="1"/>
  <c r="F3446" i="1"/>
  <c r="E3446" i="1"/>
  <c r="I3445" i="1"/>
  <c r="H3445" i="1"/>
  <c r="G3445" i="1"/>
  <c r="F3445" i="1"/>
  <c r="E3445" i="1"/>
  <c r="I3444" i="1"/>
  <c r="H3444" i="1"/>
  <c r="G3444" i="1"/>
  <c r="F3444" i="1"/>
  <c r="E3444" i="1"/>
  <c r="I3443" i="1"/>
  <c r="H3443" i="1"/>
  <c r="G3443" i="1"/>
  <c r="F3443" i="1"/>
  <c r="E3443" i="1"/>
  <c r="I3442" i="1"/>
  <c r="H3442" i="1"/>
  <c r="G3442" i="1"/>
  <c r="F3442" i="1"/>
  <c r="E3442" i="1"/>
  <c r="I3441" i="1"/>
  <c r="H3441" i="1"/>
  <c r="G3441" i="1"/>
  <c r="F3441" i="1"/>
  <c r="E3441" i="1"/>
  <c r="I3440" i="1"/>
  <c r="H3440" i="1"/>
  <c r="G3440" i="1"/>
  <c r="F3440" i="1"/>
  <c r="E3440" i="1"/>
  <c r="I3439" i="1"/>
  <c r="H3439" i="1"/>
  <c r="G3439" i="1"/>
  <c r="F3439" i="1"/>
  <c r="E3439" i="1"/>
  <c r="I3438" i="1"/>
  <c r="H3438" i="1"/>
  <c r="G3438" i="1"/>
  <c r="F3438" i="1"/>
  <c r="E3438" i="1"/>
  <c r="I3437" i="1"/>
  <c r="H3437" i="1"/>
  <c r="G3437" i="1"/>
  <c r="F3437" i="1"/>
  <c r="E3437" i="1"/>
  <c r="I3436" i="1"/>
  <c r="H3436" i="1"/>
  <c r="G3436" i="1"/>
  <c r="F3436" i="1"/>
  <c r="E3436" i="1"/>
  <c r="I3435" i="1"/>
  <c r="H3435" i="1"/>
  <c r="G3435" i="1"/>
  <c r="F3435" i="1"/>
  <c r="E3435" i="1"/>
  <c r="I3434" i="1"/>
  <c r="H3434" i="1"/>
  <c r="G3434" i="1"/>
  <c r="F3434" i="1"/>
  <c r="E3434" i="1"/>
  <c r="I3433" i="1"/>
  <c r="H3433" i="1"/>
  <c r="G3433" i="1"/>
  <c r="F3433" i="1"/>
  <c r="E3433" i="1"/>
  <c r="I3432" i="1"/>
  <c r="H3432" i="1"/>
  <c r="G3432" i="1"/>
  <c r="F3432" i="1"/>
  <c r="E3432" i="1"/>
  <c r="I3431" i="1"/>
  <c r="H3431" i="1"/>
  <c r="G3431" i="1"/>
  <c r="F3431" i="1"/>
  <c r="E3431" i="1"/>
  <c r="I3430" i="1"/>
  <c r="H3430" i="1"/>
  <c r="G3430" i="1"/>
  <c r="F3430" i="1"/>
  <c r="E3430" i="1"/>
  <c r="I3429" i="1"/>
  <c r="H3429" i="1"/>
  <c r="G3429" i="1"/>
  <c r="F3429" i="1"/>
  <c r="E3429" i="1"/>
  <c r="I3428" i="1"/>
  <c r="H3428" i="1"/>
  <c r="G3428" i="1"/>
  <c r="F3428" i="1"/>
  <c r="E3428" i="1"/>
  <c r="I3427" i="1"/>
  <c r="H3427" i="1"/>
  <c r="G3427" i="1"/>
  <c r="F3427" i="1"/>
  <c r="E3427" i="1"/>
  <c r="I3426" i="1"/>
  <c r="H3426" i="1"/>
  <c r="G3426" i="1"/>
  <c r="F3426" i="1"/>
  <c r="E3426" i="1"/>
  <c r="I3425" i="1"/>
  <c r="H3425" i="1"/>
  <c r="G3425" i="1"/>
  <c r="F3425" i="1"/>
  <c r="E3425" i="1"/>
  <c r="I3424" i="1"/>
  <c r="H3424" i="1"/>
  <c r="G3424" i="1"/>
  <c r="F3424" i="1"/>
  <c r="E3424" i="1"/>
  <c r="I3423" i="1"/>
  <c r="H3423" i="1"/>
  <c r="G3423" i="1"/>
  <c r="F3423" i="1"/>
  <c r="E3423" i="1"/>
  <c r="I3422" i="1"/>
  <c r="H3422" i="1"/>
  <c r="G3422" i="1"/>
  <c r="F3422" i="1"/>
  <c r="E3422" i="1"/>
  <c r="I3421" i="1"/>
  <c r="H3421" i="1"/>
  <c r="G3421" i="1"/>
  <c r="F3421" i="1"/>
  <c r="E3421" i="1"/>
  <c r="I3420" i="1"/>
  <c r="H3420" i="1"/>
  <c r="G3420" i="1"/>
  <c r="F3420" i="1"/>
  <c r="E3420" i="1"/>
  <c r="I3419" i="1"/>
  <c r="H3419" i="1"/>
  <c r="G3419" i="1"/>
  <c r="F3419" i="1"/>
  <c r="E3419" i="1"/>
  <c r="I3418" i="1"/>
  <c r="H3418" i="1"/>
  <c r="G3418" i="1"/>
  <c r="F3418" i="1"/>
  <c r="E3418" i="1"/>
  <c r="I3417" i="1"/>
  <c r="H3417" i="1"/>
  <c r="G3417" i="1"/>
  <c r="F3417" i="1"/>
  <c r="E3417" i="1"/>
  <c r="I3416" i="1"/>
  <c r="H3416" i="1"/>
  <c r="G3416" i="1"/>
  <c r="F3416" i="1"/>
  <c r="E3416" i="1"/>
  <c r="I3415" i="1"/>
  <c r="H3415" i="1"/>
  <c r="G3415" i="1"/>
  <c r="F3415" i="1"/>
  <c r="E3415" i="1"/>
  <c r="I3414" i="1"/>
  <c r="H3414" i="1"/>
  <c r="G3414" i="1"/>
  <c r="F3414" i="1"/>
  <c r="E3414" i="1"/>
  <c r="I3413" i="1"/>
  <c r="H3413" i="1"/>
  <c r="G3413" i="1"/>
  <c r="F3413" i="1"/>
  <c r="E3413" i="1"/>
  <c r="I3412" i="1"/>
  <c r="H3412" i="1"/>
  <c r="G3412" i="1"/>
  <c r="F3412" i="1"/>
  <c r="E3412" i="1"/>
  <c r="I3411" i="1"/>
  <c r="H3411" i="1"/>
  <c r="G3411" i="1"/>
  <c r="F3411" i="1"/>
  <c r="E3411" i="1"/>
  <c r="I3410" i="1"/>
  <c r="H3410" i="1"/>
  <c r="G3410" i="1"/>
  <c r="F3410" i="1"/>
  <c r="E3410" i="1"/>
  <c r="I3409" i="1"/>
  <c r="H3409" i="1"/>
  <c r="G3409" i="1"/>
  <c r="F3409" i="1"/>
  <c r="E3409" i="1"/>
  <c r="I3408" i="1"/>
  <c r="H3408" i="1"/>
  <c r="G3408" i="1"/>
  <c r="F3408" i="1"/>
  <c r="E3408" i="1"/>
  <c r="I3407" i="1"/>
  <c r="H3407" i="1"/>
  <c r="G3407" i="1"/>
  <c r="F3407" i="1"/>
  <c r="E3407" i="1"/>
  <c r="I3406" i="1"/>
  <c r="H3406" i="1"/>
  <c r="G3406" i="1"/>
  <c r="F3406" i="1"/>
  <c r="E3406" i="1"/>
  <c r="I3405" i="1"/>
  <c r="H3405" i="1"/>
  <c r="G3405" i="1"/>
  <c r="F3405" i="1"/>
  <c r="E3405" i="1"/>
  <c r="I3404" i="1"/>
  <c r="H3404" i="1"/>
  <c r="G3404" i="1"/>
  <c r="F3404" i="1"/>
  <c r="E3404" i="1"/>
  <c r="I3403" i="1"/>
  <c r="H3403" i="1"/>
  <c r="G3403" i="1"/>
  <c r="F3403" i="1"/>
  <c r="E3403" i="1"/>
  <c r="I3402" i="1"/>
  <c r="H3402" i="1"/>
  <c r="G3402" i="1"/>
  <c r="F3402" i="1"/>
  <c r="E3402" i="1"/>
  <c r="I3401" i="1"/>
  <c r="H3401" i="1"/>
  <c r="G3401" i="1"/>
  <c r="F3401" i="1"/>
  <c r="E3401" i="1"/>
  <c r="I3400" i="1"/>
  <c r="H3400" i="1"/>
  <c r="G3400" i="1"/>
  <c r="F3400" i="1"/>
  <c r="E3400" i="1"/>
  <c r="I3399" i="1"/>
  <c r="H3399" i="1"/>
  <c r="G3399" i="1"/>
  <c r="F3399" i="1"/>
  <c r="E3399" i="1"/>
  <c r="I3398" i="1"/>
  <c r="H3398" i="1"/>
  <c r="G3398" i="1"/>
  <c r="F3398" i="1"/>
  <c r="E3398" i="1"/>
  <c r="I3397" i="1"/>
  <c r="H3397" i="1"/>
  <c r="G3397" i="1"/>
  <c r="F3397" i="1"/>
  <c r="E3397" i="1"/>
  <c r="I3396" i="1"/>
  <c r="H3396" i="1"/>
  <c r="G3396" i="1"/>
  <c r="F3396" i="1"/>
  <c r="E3396" i="1"/>
  <c r="I3395" i="1"/>
  <c r="H3395" i="1"/>
  <c r="G3395" i="1"/>
  <c r="F3395" i="1"/>
  <c r="E3395" i="1"/>
  <c r="I3394" i="1"/>
  <c r="H3394" i="1"/>
  <c r="G3394" i="1"/>
  <c r="F3394" i="1"/>
  <c r="E3394" i="1"/>
  <c r="I3393" i="1"/>
  <c r="H3393" i="1"/>
  <c r="G3393" i="1"/>
  <c r="F3393" i="1"/>
  <c r="E3393" i="1"/>
  <c r="I3392" i="1"/>
  <c r="H3392" i="1"/>
  <c r="G3392" i="1"/>
  <c r="F3392" i="1"/>
  <c r="E3392" i="1"/>
  <c r="I3391" i="1"/>
  <c r="H3391" i="1"/>
  <c r="G3391" i="1"/>
  <c r="F3391" i="1"/>
  <c r="E3391" i="1"/>
  <c r="I3390" i="1"/>
  <c r="H3390" i="1"/>
  <c r="G3390" i="1"/>
  <c r="F3390" i="1"/>
  <c r="E3390" i="1"/>
  <c r="I3389" i="1"/>
  <c r="H3389" i="1"/>
  <c r="G3389" i="1"/>
  <c r="F3389" i="1"/>
  <c r="E3389" i="1"/>
  <c r="I3388" i="1"/>
  <c r="H3388" i="1"/>
  <c r="G3388" i="1"/>
  <c r="F3388" i="1"/>
  <c r="E3388" i="1"/>
  <c r="I3387" i="1"/>
  <c r="H3387" i="1"/>
  <c r="G3387" i="1"/>
  <c r="F3387" i="1"/>
  <c r="E3387" i="1"/>
  <c r="I3386" i="1"/>
  <c r="H3386" i="1"/>
  <c r="G3386" i="1"/>
  <c r="F3386" i="1"/>
  <c r="E3386" i="1"/>
  <c r="I3385" i="1"/>
  <c r="H3385" i="1"/>
  <c r="G3385" i="1"/>
  <c r="F3385" i="1"/>
  <c r="E3385" i="1"/>
  <c r="I3384" i="1"/>
  <c r="H3384" i="1"/>
  <c r="G3384" i="1"/>
  <c r="F3384" i="1"/>
  <c r="E3384" i="1"/>
  <c r="I3383" i="1"/>
  <c r="H3383" i="1"/>
  <c r="G3383" i="1"/>
  <c r="F3383" i="1"/>
  <c r="E3383" i="1"/>
  <c r="I3382" i="1"/>
  <c r="H3382" i="1"/>
  <c r="G3382" i="1"/>
  <c r="F3382" i="1"/>
  <c r="E3382" i="1"/>
  <c r="I3381" i="1"/>
  <c r="H3381" i="1"/>
  <c r="G3381" i="1"/>
  <c r="F3381" i="1"/>
  <c r="E3381" i="1"/>
  <c r="I3380" i="1"/>
  <c r="H3380" i="1"/>
  <c r="G3380" i="1"/>
  <c r="F3380" i="1"/>
  <c r="E3380" i="1"/>
  <c r="I3379" i="1"/>
  <c r="H3379" i="1"/>
  <c r="G3379" i="1"/>
  <c r="F3379" i="1"/>
  <c r="E3379" i="1"/>
  <c r="I3378" i="1"/>
  <c r="H3378" i="1"/>
  <c r="G3378" i="1"/>
  <c r="F3378" i="1"/>
  <c r="E3378" i="1"/>
  <c r="I3377" i="1"/>
  <c r="H3377" i="1"/>
  <c r="G3377" i="1"/>
  <c r="F3377" i="1"/>
  <c r="E3377" i="1"/>
  <c r="I3376" i="1"/>
  <c r="H3376" i="1"/>
  <c r="G3376" i="1"/>
  <c r="F3376" i="1"/>
  <c r="E3376" i="1"/>
  <c r="I3375" i="1"/>
  <c r="H3375" i="1"/>
  <c r="G3375" i="1"/>
  <c r="F3375" i="1"/>
  <c r="E3375" i="1"/>
  <c r="I3374" i="1"/>
  <c r="H3374" i="1"/>
  <c r="G3374" i="1"/>
  <c r="F3374" i="1"/>
  <c r="E3374" i="1"/>
  <c r="I3373" i="1"/>
  <c r="H3373" i="1"/>
  <c r="G3373" i="1"/>
  <c r="F3373" i="1"/>
  <c r="E3373" i="1"/>
  <c r="I3372" i="1"/>
  <c r="H3372" i="1"/>
  <c r="G3372" i="1"/>
  <c r="F3372" i="1"/>
  <c r="E3372" i="1"/>
  <c r="I3371" i="1"/>
  <c r="H3371" i="1"/>
  <c r="G3371" i="1"/>
  <c r="F3371" i="1"/>
  <c r="E3371" i="1"/>
  <c r="I3370" i="1"/>
  <c r="H3370" i="1"/>
  <c r="G3370" i="1"/>
  <c r="F3370" i="1"/>
  <c r="E3370" i="1"/>
  <c r="I3369" i="1"/>
  <c r="H3369" i="1"/>
  <c r="G3369" i="1"/>
  <c r="F3369" i="1"/>
  <c r="E3369" i="1"/>
  <c r="I3368" i="1"/>
  <c r="H3368" i="1"/>
  <c r="G3368" i="1"/>
  <c r="F3368" i="1"/>
  <c r="E3368" i="1"/>
  <c r="I3367" i="1"/>
  <c r="H3367" i="1"/>
  <c r="G3367" i="1"/>
  <c r="F3367" i="1"/>
  <c r="E3367" i="1"/>
  <c r="I3366" i="1"/>
  <c r="H3366" i="1"/>
  <c r="G3366" i="1"/>
  <c r="F3366" i="1"/>
  <c r="E3366" i="1"/>
  <c r="I3365" i="1"/>
  <c r="H3365" i="1"/>
  <c r="G3365" i="1"/>
  <c r="F3365" i="1"/>
  <c r="E3365" i="1"/>
  <c r="I3364" i="1"/>
  <c r="H3364" i="1"/>
  <c r="G3364" i="1"/>
  <c r="F3364" i="1"/>
  <c r="E3364" i="1"/>
  <c r="I3363" i="1"/>
  <c r="H3363" i="1"/>
  <c r="G3363" i="1"/>
  <c r="F3363" i="1"/>
  <c r="E3363" i="1"/>
  <c r="I3362" i="1"/>
  <c r="H3362" i="1"/>
  <c r="G3362" i="1"/>
  <c r="F3362" i="1"/>
  <c r="E3362" i="1"/>
  <c r="I3361" i="1"/>
  <c r="H3361" i="1"/>
  <c r="G3361" i="1"/>
  <c r="F3361" i="1"/>
  <c r="E3361" i="1"/>
  <c r="I3360" i="1"/>
  <c r="H3360" i="1"/>
  <c r="G3360" i="1"/>
  <c r="F3360" i="1"/>
  <c r="E3360" i="1"/>
  <c r="I3359" i="1"/>
  <c r="H3359" i="1"/>
  <c r="G3359" i="1"/>
  <c r="F3359" i="1"/>
  <c r="E3359" i="1"/>
  <c r="I3358" i="1"/>
  <c r="H3358" i="1"/>
  <c r="G3358" i="1"/>
  <c r="F3358" i="1"/>
  <c r="E3358" i="1"/>
  <c r="I3357" i="1"/>
  <c r="H3357" i="1"/>
  <c r="G3357" i="1"/>
  <c r="F3357" i="1"/>
  <c r="E3357" i="1"/>
  <c r="I3356" i="1"/>
  <c r="H3356" i="1"/>
  <c r="G3356" i="1"/>
  <c r="F3356" i="1"/>
  <c r="E3356" i="1"/>
  <c r="I3355" i="1"/>
  <c r="H3355" i="1"/>
  <c r="G3355" i="1"/>
  <c r="F3355" i="1"/>
  <c r="E3355" i="1"/>
  <c r="I3354" i="1"/>
  <c r="H3354" i="1"/>
  <c r="G3354" i="1"/>
  <c r="F3354" i="1"/>
  <c r="E3354" i="1"/>
  <c r="I3353" i="1"/>
  <c r="H3353" i="1"/>
  <c r="G3353" i="1"/>
  <c r="F3353" i="1"/>
  <c r="E3353" i="1"/>
  <c r="I3352" i="1"/>
  <c r="H3352" i="1"/>
  <c r="G3352" i="1"/>
  <c r="F3352" i="1"/>
  <c r="E3352" i="1"/>
  <c r="I3351" i="1"/>
  <c r="H3351" i="1"/>
  <c r="G3351" i="1"/>
  <c r="F3351" i="1"/>
  <c r="E3351" i="1"/>
  <c r="I3350" i="1"/>
  <c r="H3350" i="1"/>
  <c r="G3350" i="1"/>
  <c r="F3350" i="1"/>
  <c r="E3350" i="1"/>
  <c r="I3349" i="1"/>
  <c r="H3349" i="1"/>
  <c r="G3349" i="1"/>
  <c r="F3349" i="1"/>
  <c r="E3349" i="1"/>
  <c r="I3348" i="1"/>
  <c r="H3348" i="1"/>
  <c r="G3348" i="1"/>
  <c r="F3348" i="1"/>
  <c r="E3348" i="1"/>
  <c r="I3347" i="1"/>
  <c r="H3347" i="1"/>
  <c r="G3347" i="1"/>
  <c r="F3347" i="1"/>
  <c r="E3347" i="1"/>
  <c r="I3346" i="1"/>
  <c r="H3346" i="1"/>
  <c r="G3346" i="1"/>
  <c r="F3346" i="1"/>
  <c r="E3346" i="1"/>
  <c r="I3345" i="1"/>
  <c r="H3345" i="1"/>
  <c r="G3345" i="1"/>
  <c r="F3345" i="1"/>
  <c r="E3345" i="1"/>
  <c r="I3344" i="1"/>
  <c r="H3344" i="1"/>
  <c r="G3344" i="1"/>
  <c r="F3344" i="1"/>
  <c r="E3344" i="1"/>
  <c r="I3343" i="1"/>
  <c r="H3343" i="1"/>
  <c r="G3343" i="1"/>
  <c r="F3343" i="1"/>
  <c r="E3343" i="1"/>
  <c r="I3342" i="1"/>
  <c r="H3342" i="1"/>
  <c r="G3342" i="1"/>
  <c r="F3342" i="1"/>
  <c r="E3342" i="1"/>
  <c r="I3341" i="1"/>
  <c r="H3341" i="1"/>
  <c r="G3341" i="1"/>
  <c r="F3341" i="1"/>
  <c r="E3341" i="1"/>
  <c r="I3340" i="1"/>
  <c r="H3340" i="1"/>
  <c r="G3340" i="1"/>
  <c r="F3340" i="1"/>
  <c r="E3340" i="1"/>
  <c r="I3339" i="1"/>
  <c r="H3339" i="1"/>
  <c r="G3339" i="1"/>
  <c r="F3339" i="1"/>
  <c r="E3339" i="1"/>
  <c r="I3338" i="1"/>
  <c r="H3338" i="1"/>
  <c r="G3338" i="1"/>
  <c r="F3338" i="1"/>
  <c r="E3338" i="1"/>
  <c r="I3337" i="1"/>
  <c r="H3337" i="1"/>
  <c r="G3337" i="1"/>
  <c r="F3337" i="1"/>
  <c r="E3337" i="1"/>
  <c r="I3336" i="1"/>
  <c r="H3336" i="1"/>
  <c r="G3336" i="1"/>
  <c r="F3336" i="1"/>
  <c r="E3336" i="1"/>
  <c r="I3335" i="1"/>
  <c r="H3335" i="1"/>
  <c r="G3335" i="1"/>
  <c r="F3335" i="1"/>
  <c r="E3335" i="1"/>
  <c r="I3334" i="1"/>
  <c r="H3334" i="1"/>
  <c r="G3334" i="1"/>
  <c r="F3334" i="1"/>
  <c r="E3334" i="1"/>
  <c r="I3333" i="1"/>
  <c r="H3333" i="1"/>
  <c r="G3333" i="1"/>
  <c r="F3333" i="1"/>
  <c r="E3333" i="1"/>
  <c r="I3332" i="1"/>
  <c r="H3332" i="1"/>
  <c r="G3332" i="1"/>
  <c r="F3332" i="1"/>
  <c r="E3332" i="1"/>
  <c r="I3331" i="1"/>
  <c r="H3331" i="1"/>
  <c r="G3331" i="1"/>
  <c r="F3331" i="1"/>
  <c r="E3331" i="1"/>
  <c r="I3330" i="1"/>
  <c r="H3330" i="1"/>
  <c r="G3330" i="1"/>
  <c r="F3330" i="1"/>
  <c r="E3330" i="1"/>
  <c r="I3329" i="1"/>
  <c r="H3329" i="1"/>
  <c r="G3329" i="1"/>
  <c r="F3329" i="1"/>
  <c r="E3329" i="1"/>
  <c r="I3328" i="1"/>
  <c r="H3328" i="1"/>
  <c r="G3328" i="1"/>
  <c r="F3328" i="1"/>
  <c r="E3328" i="1"/>
  <c r="I3327" i="1"/>
  <c r="H3327" i="1"/>
  <c r="G3327" i="1"/>
  <c r="F3327" i="1"/>
  <c r="E3327" i="1"/>
  <c r="I3326" i="1"/>
  <c r="H3326" i="1"/>
  <c r="G3326" i="1"/>
  <c r="F3326" i="1"/>
  <c r="E3326" i="1"/>
  <c r="I3325" i="1"/>
  <c r="H3325" i="1"/>
  <c r="G3325" i="1"/>
  <c r="F3325" i="1"/>
  <c r="E3325" i="1"/>
  <c r="I3324" i="1"/>
  <c r="H3324" i="1"/>
  <c r="G3324" i="1"/>
  <c r="F3324" i="1"/>
  <c r="E3324" i="1"/>
  <c r="I3323" i="1"/>
  <c r="H3323" i="1"/>
  <c r="G3323" i="1"/>
  <c r="F3323" i="1"/>
  <c r="E3323" i="1"/>
  <c r="I3322" i="1"/>
  <c r="H3322" i="1"/>
  <c r="G3322" i="1"/>
  <c r="F3322" i="1"/>
  <c r="E3322" i="1"/>
  <c r="I3321" i="1"/>
  <c r="H3321" i="1"/>
  <c r="G3321" i="1"/>
  <c r="F3321" i="1"/>
  <c r="E3321" i="1"/>
  <c r="I3320" i="1"/>
  <c r="H3320" i="1"/>
  <c r="G3320" i="1"/>
  <c r="F3320" i="1"/>
  <c r="E3320" i="1"/>
  <c r="I3319" i="1"/>
  <c r="H3319" i="1"/>
  <c r="G3319" i="1"/>
  <c r="F3319" i="1"/>
  <c r="E3319" i="1"/>
  <c r="I3318" i="1"/>
  <c r="H3318" i="1"/>
  <c r="G3318" i="1"/>
  <c r="F3318" i="1"/>
  <c r="E3318" i="1"/>
  <c r="I3317" i="1"/>
  <c r="H3317" i="1"/>
  <c r="G3317" i="1"/>
  <c r="F3317" i="1"/>
  <c r="E3317" i="1"/>
  <c r="I3316" i="1"/>
  <c r="H3316" i="1"/>
  <c r="G3316" i="1"/>
  <c r="F3316" i="1"/>
  <c r="E3316" i="1"/>
  <c r="I3315" i="1"/>
  <c r="H3315" i="1"/>
  <c r="G3315" i="1"/>
  <c r="F3315" i="1"/>
  <c r="E3315" i="1"/>
  <c r="I3314" i="1"/>
  <c r="H3314" i="1"/>
  <c r="G3314" i="1"/>
  <c r="F3314" i="1"/>
  <c r="E3314" i="1"/>
  <c r="I3313" i="1"/>
  <c r="H3313" i="1"/>
  <c r="G3313" i="1"/>
  <c r="F3313" i="1"/>
  <c r="E3313" i="1"/>
  <c r="I3312" i="1"/>
  <c r="H3312" i="1"/>
  <c r="G3312" i="1"/>
  <c r="F3312" i="1"/>
  <c r="E3312" i="1"/>
  <c r="I3311" i="1"/>
  <c r="H3311" i="1"/>
  <c r="G3311" i="1"/>
  <c r="F3311" i="1"/>
  <c r="E3311" i="1"/>
  <c r="I3310" i="1"/>
  <c r="H3310" i="1"/>
  <c r="G3310" i="1"/>
  <c r="F3310" i="1"/>
  <c r="E3310" i="1"/>
  <c r="I3309" i="1"/>
  <c r="H3309" i="1"/>
  <c r="G3309" i="1"/>
  <c r="F3309" i="1"/>
  <c r="E3309" i="1"/>
  <c r="I3308" i="1"/>
  <c r="H3308" i="1"/>
  <c r="G3308" i="1"/>
  <c r="F3308" i="1"/>
  <c r="E3308" i="1"/>
  <c r="I3307" i="1"/>
  <c r="H3307" i="1"/>
  <c r="G3307" i="1"/>
  <c r="F3307" i="1"/>
  <c r="E3307" i="1"/>
  <c r="I3306" i="1"/>
  <c r="H3306" i="1"/>
  <c r="G3306" i="1"/>
  <c r="F3306" i="1"/>
  <c r="E3306" i="1"/>
  <c r="I3305" i="1"/>
  <c r="H3305" i="1"/>
  <c r="G3305" i="1"/>
  <c r="F3305" i="1"/>
  <c r="E3305" i="1"/>
  <c r="I3304" i="1"/>
  <c r="H3304" i="1"/>
  <c r="G3304" i="1"/>
  <c r="F3304" i="1"/>
  <c r="E3304" i="1"/>
  <c r="I3303" i="1"/>
  <c r="H3303" i="1"/>
  <c r="G3303" i="1"/>
  <c r="F3303" i="1"/>
  <c r="E3303" i="1"/>
  <c r="I3302" i="1"/>
  <c r="H3302" i="1"/>
  <c r="G3302" i="1"/>
  <c r="F3302" i="1"/>
  <c r="E3302" i="1"/>
  <c r="I3301" i="1"/>
  <c r="H3301" i="1"/>
  <c r="G3301" i="1"/>
  <c r="F3301" i="1"/>
  <c r="E3301" i="1"/>
  <c r="I3300" i="1"/>
  <c r="H3300" i="1"/>
  <c r="G3300" i="1"/>
  <c r="F3300" i="1"/>
  <c r="E3300" i="1"/>
  <c r="I3299" i="1"/>
  <c r="H3299" i="1"/>
  <c r="G3299" i="1"/>
  <c r="F3299" i="1"/>
  <c r="E3299" i="1"/>
  <c r="I3298" i="1"/>
  <c r="H3298" i="1"/>
  <c r="G3298" i="1"/>
  <c r="F3298" i="1"/>
  <c r="E3298" i="1"/>
  <c r="I3297" i="1"/>
  <c r="H3297" i="1"/>
  <c r="G3297" i="1"/>
  <c r="F3297" i="1"/>
  <c r="E3297" i="1"/>
  <c r="I3296" i="1"/>
  <c r="H3296" i="1"/>
  <c r="G3296" i="1"/>
  <c r="F3296" i="1"/>
  <c r="E3296" i="1"/>
  <c r="I3295" i="1"/>
  <c r="H3295" i="1"/>
  <c r="G3295" i="1"/>
  <c r="F3295" i="1"/>
  <c r="E3295" i="1"/>
  <c r="I3294" i="1"/>
  <c r="H3294" i="1"/>
  <c r="G3294" i="1"/>
  <c r="F3294" i="1"/>
  <c r="E3294" i="1"/>
  <c r="I3293" i="1"/>
  <c r="H3293" i="1"/>
  <c r="G3293" i="1"/>
  <c r="F3293" i="1"/>
  <c r="E3293" i="1"/>
  <c r="I3292" i="1"/>
  <c r="H3292" i="1"/>
  <c r="G3292" i="1"/>
  <c r="F3292" i="1"/>
  <c r="E3292" i="1"/>
  <c r="I3291" i="1"/>
  <c r="H3291" i="1"/>
  <c r="G3291" i="1"/>
  <c r="F3291" i="1"/>
  <c r="E3291" i="1"/>
  <c r="I3290" i="1"/>
  <c r="H3290" i="1"/>
  <c r="G3290" i="1"/>
  <c r="F3290" i="1"/>
  <c r="E3290" i="1"/>
  <c r="I3289" i="1"/>
  <c r="H3289" i="1"/>
  <c r="G3289" i="1"/>
  <c r="F3289" i="1"/>
  <c r="E3289" i="1"/>
  <c r="I3288" i="1"/>
  <c r="H3288" i="1"/>
  <c r="G3288" i="1"/>
  <c r="F3288" i="1"/>
  <c r="E3288" i="1"/>
  <c r="I3287" i="1"/>
  <c r="H3287" i="1"/>
  <c r="G3287" i="1"/>
  <c r="F3287" i="1"/>
  <c r="E3287" i="1"/>
  <c r="I3286" i="1"/>
  <c r="H3286" i="1"/>
  <c r="G3286" i="1"/>
  <c r="F3286" i="1"/>
  <c r="E3286" i="1"/>
  <c r="I3285" i="1"/>
  <c r="H3285" i="1"/>
  <c r="G3285" i="1"/>
  <c r="F3285" i="1"/>
  <c r="E3285" i="1"/>
  <c r="I3284" i="1"/>
  <c r="H3284" i="1"/>
  <c r="G3284" i="1"/>
  <c r="F3284" i="1"/>
  <c r="E3284" i="1"/>
  <c r="I3283" i="1"/>
  <c r="H3283" i="1"/>
  <c r="G3283" i="1"/>
  <c r="F3283" i="1"/>
  <c r="E3283" i="1"/>
  <c r="I3282" i="1"/>
  <c r="H3282" i="1"/>
  <c r="G3282" i="1"/>
  <c r="F3282" i="1"/>
  <c r="E3282" i="1"/>
  <c r="I3281" i="1"/>
  <c r="H3281" i="1"/>
  <c r="G3281" i="1"/>
  <c r="F3281" i="1"/>
  <c r="E3281" i="1"/>
  <c r="I3280" i="1"/>
  <c r="H3280" i="1"/>
  <c r="G3280" i="1"/>
  <c r="F3280" i="1"/>
  <c r="E3280" i="1"/>
  <c r="I3279" i="1"/>
  <c r="H3279" i="1"/>
  <c r="G3279" i="1"/>
  <c r="F3279" i="1"/>
  <c r="E3279" i="1"/>
  <c r="I3278" i="1"/>
  <c r="H3278" i="1"/>
  <c r="G3278" i="1"/>
  <c r="F3278" i="1"/>
  <c r="E3278" i="1"/>
  <c r="I3277" i="1"/>
  <c r="H3277" i="1"/>
  <c r="G3277" i="1"/>
  <c r="F3277" i="1"/>
  <c r="E3277" i="1"/>
  <c r="I3276" i="1"/>
  <c r="H3276" i="1"/>
  <c r="G3276" i="1"/>
  <c r="F3276" i="1"/>
  <c r="E3276" i="1"/>
  <c r="I3275" i="1"/>
  <c r="H3275" i="1"/>
  <c r="G3275" i="1"/>
  <c r="F3275" i="1"/>
  <c r="E3275" i="1"/>
  <c r="I3274" i="1"/>
  <c r="H3274" i="1"/>
  <c r="G3274" i="1"/>
  <c r="F3274" i="1"/>
  <c r="E3274" i="1"/>
  <c r="I3273" i="1"/>
  <c r="H3273" i="1"/>
  <c r="G3273" i="1"/>
  <c r="F3273" i="1"/>
  <c r="E3273" i="1"/>
  <c r="I3272" i="1"/>
  <c r="H3272" i="1"/>
  <c r="G3272" i="1"/>
  <c r="F3272" i="1"/>
  <c r="E3272" i="1"/>
  <c r="I3271" i="1"/>
  <c r="H3271" i="1"/>
  <c r="G3271" i="1"/>
  <c r="F3271" i="1"/>
  <c r="E3271" i="1"/>
  <c r="I3270" i="1"/>
  <c r="H3270" i="1"/>
  <c r="G3270" i="1"/>
  <c r="F3270" i="1"/>
  <c r="E3270" i="1"/>
  <c r="I3269" i="1"/>
  <c r="H3269" i="1"/>
  <c r="G3269" i="1"/>
  <c r="F3269" i="1"/>
  <c r="E3269" i="1"/>
  <c r="I3268" i="1"/>
  <c r="H3268" i="1"/>
  <c r="G3268" i="1"/>
  <c r="F3268" i="1"/>
  <c r="E3268" i="1"/>
  <c r="I3267" i="1"/>
  <c r="H3267" i="1"/>
  <c r="G3267" i="1"/>
  <c r="F3267" i="1"/>
  <c r="E3267" i="1"/>
  <c r="I3266" i="1"/>
  <c r="H3266" i="1"/>
  <c r="G3266" i="1"/>
  <c r="F3266" i="1"/>
  <c r="E3266" i="1"/>
  <c r="I3265" i="1"/>
  <c r="H3265" i="1"/>
  <c r="G3265" i="1"/>
  <c r="F3265" i="1"/>
  <c r="E3265" i="1"/>
  <c r="I3264" i="1"/>
  <c r="H3264" i="1"/>
  <c r="G3264" i="1"/>
  <c r="F3264" i="1"/>
  <c r="E3264" i="1"/>
  <c r="I3263" i="1"/>
  <c r="H3263" i="1"/>
  <c r="G3263" i="1"/>
  <c r="F3263" i="1"/>
  <c r="E3263" i="1"/>
  <c r="I3262" i="1"/>
  <c r="H3262" i="1"/>
  <c r="G3262" i="1"/>
  <c r="F3262" i="1"/>
  <c r="E3262" i="1"/>
  <c r="I3261" i="1"/>
  <c r="H3261" i="1"/>
  <c r="G3261" i="1"/>
  <c r="F3261" i="1"/>
  <c r="E3261" i="1"/>
  <c r="I3260" i="1"/>
  <c r="H3260" i="1"/>
  <c r="G3260" i="1"/>
  <c r="F3260" i="1"/>
  <c r="E3260" i="1"/>
  <c r="I3259" i="1"/>
  <c r="H3259" i="1"/>
  <c r="G3259" i="1"/>
  <c r="F3259" i="1"/>
  <c r="E3259" i="1"/>
  <c r="I3258" i="1"/>
  <c r="H3258" i="1"/>
  <c r="G3258" i="1"/>
  <c r="F3258" i="1"/>
  <c r="E3258" i="1"/>
  <c r="I3257" i="1"/>
  <c r="H3257" i="1"/>
  <c r="G3257" i="1"/>
  <c r="F3257" i="1"/>
  <c r="E3257" i="1"/>
  <c r="I3256" i="1"/>
  <c r="H3256" i="1"/>
  <c r="G3256" i="1"/>
  <c r="F3256" i="1"/>
  <c r="E3256" i="1"/>
  <c r="I3255" i="1"/>
  <c r="H3255" i="1"/>
  <c r="G3255" i="1"/>
  <c r="F3255" i="1"/>
  <c r="E3255" i="1"/>
  <c r="I3254" i="1"/>
  <c r="H3254" i="1"/>
  <c r="G3254" i="1"/>
  <c r="F3254" i="1"/>
  <c r="E3254" i="1"/>
  <c r="I3253" i="1"/>
  <c r="H3253" i="1"/>
  <c r="G3253" i="1"/>
  <c r="F3253" i="1"/>
  <c r="E3253" i="1"/>
  <c r="I3252" i="1"/>
  <c r="H3252" i="1"/>
  <c r="G3252" i="1"/>
  <c r="F3252" i="1"/>
  <c r="E3252" i="1"/>
  <c r="I3251" i="1"/>
  <c r="H3251" i="1"/>
  <c r="G3251" i="1"/>
  <c r="F3251" i="1"/>
  <c r="E3251" i="1"/>
  <c r="I3250" i="1"/>
  <c r="H3250" i="1"/>
  <c r="G3250" i="1"/>
  <c r="F3250" i="1"/>
  <c r="E3250" i="1"/>
  <c r="I3249" i="1"/>
  <c r="H3249" i="1"/>
  <c r="G3249" i="1"/>
  <c r="F3249" i="1"/>
  <c r="E3249" i="1"/>
  <c r="I3248" i="1"/>
  <c r="H3248" i="1"/>
  <c r="G3248" i="1"/>
  <c r="F3248" i="1"/>
  <c r="E3248" i="1"/>
  <c r="I3247" i="1"/>
  <c r="H3247" i="1"/>
  <c r="G3247" i="1"/>
  <c r="F3247" i="1"/>
  <c r="E3247" i="1"/>
  <c r="I3246" i="1"/>
  <c r="H3246" i="1"/>
  <c r="G3246" i="1"/>
  <c r="F3246" i="1"/>
  <c r="E3246" i="1"/>
  <c r="I3245" i="1"/>
  <c r="H3245" i="1"/>
  <c r="G3245" i="1"/>
  <c r="F3245" i="1"/>
  <c r="E3245" i="1"/>
  <c r="I3244" i="1"/>
  <c r="H3244" i="1"/>
  <c r="G3244" i="1"/>
  <c r="F3244" i="1"/>
  <c r="E3244" i="1"/>
  <c r="I3243" i="1"/>
  <c r="H3243" i="1"/>
  <c r="G3243" i="1"/>
  <c r="F3243" i="1"/>
  <c r="E3243" i="1"/>
  <c r="I3242" i="1"/>
  <c r="H3242" i="1"/>
  <c r="G3242" i="1"/>
  <c r="F3242" i="1"/>
  <c r="E3242" i="1"/>
  <c r="I3241" i="1"/>
  <c r="H3241" i="1"/>
  <c r="G3241" i="1"/>
  <c r="F3241" i="1"/>
  <c r="E3241" i="1"/>
  <c r="I3240" i="1"/>
  <c r="H3240" i="1"/>
  <c r="G3240" i="1"/>
  <c r="F3240" i="1"/>
  <c r="E3240" i="1"/>
  <c r="I3239" i="1"/>
  <c r="H3239" i="1"/>
  <c r="G3239" i="1"/>
  <c r="F3239" i="1"/>
  <c r="E3239" i="1"/>
  <c r="I3238" i="1"/>
  <c r="H3238" i="1"/>
  <c r="G3238" i="1"/>
  <c r="F3238" i="1"/>
  <c r="E3238" i="1"/>
  <c r="I3237" i="1"/>
  <c r="H3237" i="1"/>
  <c r="G3237" i="1"/>
  <c r="F3237" i="1"/>
  <c r="E3237" i="1"/>
  <c r="I3236" i="1"/>
  <c r="H3236" i="1"/>
  <c r="G3236" i="1"/>
  <c r="F3236" i="1"/>
  <c r="E3236" i="1"/>
  <c r="I3235" i="1"/>
  <c r="H3235" i="1"/>
  <c r="G3235" i="1"/>
  <c r="F3235" i="1"/>
  <c r="E3235" i="1"/>
  <c r="I3234" i="1"/>
  <c r="H3234" i="1"/>
  <c r="G3234" i="1"/>
  <c r="F3234" i="1"/>
  <c r="E3234" i="1"/>
  <c r="I3233" i="1"/>
  <c r="H3233" i="1"/>
  <c r="G3233" i="1"/>
  <c r="F3233" i="1"/>
  <c r="E3233" i="1"/>
  <c r="I3232" i="1"/>
  <c r="H3232" i="1"/>
  <c r="G3232" i="1"/>
  <c r="F3232" i="1"/>
  <c r="E3232" i="1"/>
  <c r="I3231" i="1"/>
  <c r="H3231" i="1"/>
  <c r="G3231" i="1"/>
  <c r="F3231" i="1"/>
  <c r="E3231" i="1"/>
  <c r="I3230" i="1"/>
  <c r="H3230" i="1"/>
  <c r="G3230" i="1"/>
  <c r="F3230" i="1"/>
  <c r="E3230" i="1"/>
  <c r="I3229" i="1"/>
  <c r="H3229" i="1"/>
  <c r="G3229" i="1"/>
  <c r="F3229" i="1"/>
  <c r="E3229" i="1"/>
  <c r="I3228" i="1"/>
  <c r="H3228" i="1"/>
  <c r="G3228" i="1"/>
  <c r="F3228" i="1"/>
  <c r="E3228" i="1"/>
  <c r="I3227" i="1"/>
  <c r="H3227" i="1"/>
  <c r="G3227" i="1"/>
  <c r="F3227" i="1"/>
  <c r="E3227" i="1"/>
  <c r="I3226" i="1"/>
  <c r="H3226" i="1"/>
  <c r="G3226" i="1"/>
  <c r="F3226" i="1"/>
  <c r="E3226" i="1"/>
  <c r="I3225" i="1"/>
  <c r="H3225" i="1"/>
  <c r="G3225" i="1"/>
  <c r="F3225" i="1"/>
  <c r="E3225" i="1"/>
  <c r="I3224" i="1"/>
  <c r="H3224" i="1"/>
  <c r="G3224" i="1"/>
  <c r="F3224" i="1"/>
  <c r="E3224" i="1"/>
  <c r="I3223" i="1"/>
  <c r="H3223" i="1"/>
  <c r="G3223" i="1"/>
  <c r="F3223" i="1"/>
  <c r="E3223" i="1"/>
  <c r="I3222" i="1"/>
  <c r="H3222" i="1"/>
  <c r="G3222" i="1"/>
  <c r="F3222" i="1"/>
  <c r="E3222" i="1"/>
  <c r="I3221" i="1"/>
  <c r="H3221" i="1"/>
  <c r="G3221" i="1"/>
  <c r="F3221" i="1"/>
  <c r="E3221" i="1"/>
  <c r="I3220" i="1"/>
  <c r="H3220" i="1"/>
  <c r="G3220" i="1"/>
  <c r="F3220" i="1"/>
  <c r="E3220" i="1"/>
  <c r="I3219" i="1"/>
  <c r="H3219" i="1"/>
  <c r="G3219" i="1"/>
  <c r="F3219" i="1"/>
  <c r="E3219" i="1"/>
  <c r="I3218" i="1"/>
  <c r="H3218" i="1"/>
  <c r="G3218" i="1"/>
  <c r="F3218" i="1"/>
  <c r="E3218" i="1"/>
  <c r="I3217" i="1"/>
  <c r="H3217" i="1"/>
  <c r="G3217" i="1"/>
  <c r="F3217" i="1"/>
  <c r="E3217" i="1"/>
  <c r="I3216" i="1"/>
  <c r="H3216" i="1"/>
  <c r="G3216" i="1"/>
  <c r="F3216" i="1"/>
  <c r="E3216" i="1"/>
  <c r="I3215" i="1"/>
  <c r="H3215" i="1"/>
  <c r="G3215" i="1"/>
  <c r="F3215" i="1"/>
  <c r="E3215" i="1"/>
  <c r="I3214" i="1"/>
  <c r="H3214" i="1"/>
  <c r="G3214" i="1"/>
  <c r="F3214" i="1"/>
  <c r="E3214" i="1"/>
  <c r="I3213" i="1"/>
  <c r="H3213" i="1"/>
  <c r="G3213" i="1"/>
  <c r="F3213" i="1"/>
  <c r="E3213" i="1"/>
  <c r="I3212" i="1"/>
  <c r="H3212" i="1"/>
  <c r="G3212" i="1"/>
  <c r="F3212" i="1"/>
  <c r="E3212" i="1"/>
  <c r="I3211" i="1"/>
  <c r="H3211" i="1"/>
  <c r="G3211" i="1"/>
  <c r="F3211" i="1"/>
  <c r="E3211" i="1"/>
  <c r="I3210" i="1"/>
  <c r="H3210" i="1"/>
  <c r="G3210" i="1"/>
  <c r="F3210" i="1"/>
  <c r="E3210" i="1"/>
  <c r="I3209" i="1"/>
  <c r="H3209" i="1"/>
  <c r="G3209" i="1"/>
  <c r="F3209" i="1"/>
  <c r="E3209" i="1"/>
  <c r="I3208" i="1"/>
  <c r="H3208" i="1"/>
  <c r="G3208" i="1"/>
  <c r="F3208" i="1"/>
  <c r="E3208" i="1"/>
  <c r="I3207" i="1"/>
  <c r="H3207" i="1"/>
  <c r="G3207" i="1"/>
  <c r="F3207" i="1"/>
  <c r="E3207" i="1"/>
  <c r="I3206" i="1"/>
  <c r="H3206" i="1"/>
  <c r="G3206" i="1"/>
  <c r="F3206" i="1"/>
  <c r="E3206" i="1"/>
  <c r="I3205" i="1"/>
  <c r="H3205" i="1"/>
  <c r="G3205" i="1"/>
  <c r="F3205" i="1"/>
  <c r="E3205" i="1"/>
  <c r="I3204" i="1"/>
  <c r="H3204" i="1"/>
  <c r="G3204" i="1"/>
  <c r="F3204" i="1"/>
  <c r="E3204" i="1"/>
  <c r="I3203" i="1"/>
  <c r="H3203" i="1"/>
  <c r="G3203" i="1"/>
  <c r="F3203" i="1"/>
  <c r="E3203" i="1"/>
  <c r="I3202" i="1"/>
  <c r="H3202" i="1"/>
  <c r="G3202" i="1"/>
  <c r="F3202" i="1"/>
  <c r="E3202" i="1"/>
  <c r="I3201" i="1"/>
  <c r="H3201" i="1"/>
  <c r="G3201" i="1"/>
  <c r="F3201" i="1"/>
  <c r="E3201" i="1"/>
  <c r="I3200" i="1"/>
  <c r="H3200" i="1"/>
  <c r="G3200" i="1"/>
  <c r="F3200" i="1"/>
  <c r="E3200" i="1"/>
  <c r="I3199" i="1"/>
  <c r="H3199" i="1"/>
  <c r="G3199" i="1"/>
  <c r="F3199" i="1"/>
  <c r="E3199" i="1"/>
  <c r="I3198" i="1"/>
  <c r="H3198" i="1"/>
  <c r="G3198" i="1"/>
  <c r="F3198" i="1"/>
  <c r="E3198" i="1"/>
  <c r="I3197" i="1"/>
  <c r="H3197" i="1"/>
  <c r="G3197" i="1"/>
  <c r="F3197" i="1"/>
  <c r="E3197" i="1"/>
  <c r="I3196" i="1"/>
  <c r="H3196" i="1"/>
  <c r="G3196" i="1"/>
  <c r="F3196" i="1"/>
  <c r="E3196" i="1"/>
  <c r="I3195" i="1"/>
  <c r="H3195" i="1"/>
  <c r="G3195" i="1"/>
  <c r="F3195" i="1"/>
  <c r="E3195" i="1"/>
  <c r="I3194" i="1"/>
  <c r="H3194" i="1"/>
  <c r="G3194" i="1"/>
  <c r="F3194" i="1"/>
  <c r="E3194" i="1"/>
  <c r="I3193" i="1"/>
  <c r="H3193" i="1"/>
  <c r="G3193" i="1"/>
  <c r="F3193" i="1"/>
  <c r="E3193" i="1"/>
  <c r="I3192" i="1"/>
  <c r="H3192" i="1"/>
  <c r="G3192" i="1"/>
  <c r="F3192" i="1"/>
  <c r="E3192" i="1"/>
  <c r="I3191" i="1"/>
  <c r="H3191" i="1"/>
  <c r="G3191" i="1"/>
  <c r="F3191" i="1"/>
  <c r="E3191" i="1"/>
  <c r="I3190" i="1"/>
  <c r="H3190" i="1"/>
  <c r="G3190" i="1"/>
  <c r="F3190" i="1"/>
  <c r="E3190" i="1"/>
  <c r="I3189" i="1"/>
  <c r="H3189" i="1"/>
  <c r="G3189" i="1"/>
  <c r="F3189" i="1"/>
  <c r="E3189" i="1"/>
  <c r="I3188" i="1"/>
  <c r="H3188" i="1"/>
  <c r="G3188" i="1"/>
  <c r="F3188" i="1"/>
  <c r="E3188" i="1"/>
  <c r="I3187" i="1"/>
  <c r="H3187" i="1"/>
  <c r="G3187" i="1"/>
  <c r="F3187" i="1"/>
  <c r="E3187" i="1"/>
  <c r="I3186" i="1"/>
  <c r="H3186" i="1"/>
  <c r="G3186" i="1"/>
  <c r="F3186" i="1"/>
  <c r="E3186" i="1"/>
  <c r="I3185" i="1"/>
  <c r="H3185" i="1"/>
  <c r="G3185" i="1"/>
  <c r="F3185" i="1"/>
  <c r="E3185" i="1"/>
  <c r="I3184" i="1"/>
  <c r="H3184" i="1"/>
  <c r="G3184" i="1"/>
  <c r="F3184" i="1"/>
  <c r="E3184" i="1"/>
  <c r="I3183" i="1"/>
  <c r="H3183" i="1"/>
  <c r="G3183" i="1"/>
  <c r="F3183" i="1"/>
  <c r="E3183" i="1"/>
  <c r="I3182" i="1"/>
  <c r="H3182" i="1"/>
  <c r="G3182" i="1"/>
  <c r="F3182" i="1"/>
  <c r="E3182" i="1"/>
  <c r="I3181" i="1"/>
  <c r="H3181" i="1"/>
  <c r="G3181" i="1"/>
  <c r="F3181" i="1"/>
  <c r="E3181" i="1"/>
  <c r="I3180" i="1"/>
  <c r="H3180" i="1"/>
  <c r="G3180" i="1"/>
  <c r="F3180" i="1"/>
  <c r="E3180" i="1"/>
  <c r="I3179" i="1"/>
  <c r="H3179" i="1"/>
  <c r="G3179" i="1"/>
  <c r="F3179" i="1"/>
  <c r="E3179" i="1"/>
  <c r="I3178" i="1"/>
  <c r="H3178" i="1"/>
  <c r="G3178" i="1"/>
  <c r="F3178" i="1"/>
  <c r="E3178" i="1"/>
  <c r="I3177" i="1"/>
  <c r="H3177" i="1"/>
  <c r="G3177" i="1"/>
  <c r="F3177" i="1"/>
  <c r="E3177" i="1"/>
  <c r="I3176" i="1"/>
  <c r="H3176" i="1"/>
  <c r="G3176" i="1"/>
  <c r="F3176" i="1"/>
  <c r="E3176" i="1"/>
  <c r="I3175" i="1"/>
  <c r="H3175" i="1"/>
  <c r="G3175" i="1"/>
  <c r="F3175" i="1"/>
  <c r="E3175" i="1"/>
  <c r="I3174" i="1"/>
  <c r="H3174" i="1"/>
  <c r="G3174" i="1"/>
  <c r="F3174" i="1"/>
  <c r="E3174" i="1"/>
  <c r="I3173" i="1"/>
  <c r="H3173" i="1"/>
  <c r="G3173" i="1"/>
  <c r="F3173" i="1"/>
  <c r="E3173" i="1"/>
  <c r="I3172" i="1"/>
  <c r="H3172" i="1"/>
  <c r="G3172" i="1"/>
  <c r="F3172" i="1"/>
  <c r="E3172" i="1"/>
  <c r="I3171" i="1"/>
  <c r="H3171" i="1"/>
  <c r="G3171" i="1"/>
  <c r="F3171" i="1"/>
  <c r="E3171" i="1"/>
  <c r="I3170" i="1"/>
  <c r="H3170" i="1"/>
  <c r="G3170" i="1"/>
  <c r="F3170" i="1"/>
  <c r="E3170" i="1"/>
  <c r="I3169" i="1"/>
  <c r="H3169" i="1"/>
  <c r="G3169" i="1"/>
  <c r="F3169" i="1"/>
  <c r="E3169" i="1"/>
  <c r="I3168" i="1"/>
  <c r="H3168" i="1"/>
  <c r="G3168" i="1"/>
  <c r="F3168" i="1"/>
  <c r="E3168" i="1"/>
  <c r="I3167" i="1"/>
  <c r="H3167" i="1"/>
  <c r="G3167" i="1"/>
  <c r="F3167" i="1"/>
  <c r="E3167" i="1"/>
  <c r="I3166" i="1"/>
  <c r="H3166" i="1"/>
  <c r="G3166" i="1"/>
  <c r="F3166" i="1"/>
  <c r="E3166" i="1"/>
  <c r="I3165" i="1"/>
  <c r="H3165" i="1"/>
  <c r="G3165" i="1"/>
  <c r="F3165" i="1"/>
  <c r="E3165" i="1"/>
  <c r="I3164" i="1"/>
  <c r="H3164" i="1"/>
  <c r="G3164" i="1"/>
  <c r="F3164" i="1"/>
  <c r="E3164" i="1"/>
  <c r="I3163" i="1"/>
  <c r="H3163" i="1"/>
  <c r="G3163" i="1"/>
  <c r="F3163" i="1"/>
  <c r="E3163" i="1"/>
  <c r="I3162" i="1"/>
  <c r="H3162" i="1"/>
  <c r="G3162" i="1"/>
  <c r="F3162" i="1"/>
  <c r="E3162" i="1"/>
  <c r="I3161" i="1"/>
  <c r="H3161" i="1"/>
  <c r="G3161" i="1"/>
  <c r="F3161" i="1"/>
  <c r="E3161" i="1"/>
  <c r="I3160" i="1"/>
  <c r="H3160" i="1"/>
  <c r="G3160" i="1"/>
  <c r="F3160" i="1"/>
  <c r="E3160" i="1"/>
  <c r="I3159" i="1"/>
  <c r="H3159" i="1"/>
  <c r="G3159" i="1"/>
  <c r="F3159" i="1"/>
  <c r="E3159" i="1"/>
  <c r="I3158" i="1"/>
  <c r="H3158" i="1"/>
  <c r="G3158" i="1"/>
  <c r="F3158" i="1"/>
  <c r="E3158" i="1"/>
  <c r="I3157" i="1"/>
  <c r="H3157" i="1"/>
  <c r="G3157" i="1"/>
  <c r="F3157" i="1"/>
  <c r="E3157" i="1"/>
  <c r="I3156" i="1"/>
  <c r="H3156" i="1"/>
  <c r="G3156" i="1"/>
  <c r="F3156" i="1"/>
  <c r="E3156" i="1"/>
  <c r="I3155" i="1"/>
  <c r="H3155" i="1"/>
  <c r="G3155" i="1"/>
  <c r="F3155" i="1"/>
  <c r="E3155" i="1"/>
  <c r="I3154" i="1"/>
  <c r="H3154" i="1"/>
  <c r="G3154" i="1"/>
  <c r="F3154" i="1"/>
  <c r="E3154" i="1"/>
  <c r="I3153" i="1"/>
  <c r="H3153" i="1"/>
  <c r="G3153" i="1"/>
  <c r="F3153" i="1"/>
  <c r="E3153" i="1"/>
  <c r="I3152" i="1"/>
  <c r="H3152" i="1"/>
  <c r="G3152" i="1"/>
  <c r="F3152" i="1"/>
  <c r="E3152" i="1"/>
  <c r="I3151" i="1"/>
  <c r="H3151" i="1"/>
  <c r="G3151" i="1"/>
  <c r="F3151" i="1"/>
  <c r="E3151" i="1"/>
  <c r="I3150" i="1"/>
  <c r="H3150" i="1"/>
  <c r="G3150" i="1"/>
  <c r="F3150" i="1"/>
  <c r="E3150" i="1"/>
  <c r="I3149" i="1"/>
  <c r="H3149" i="1"/>
  <c r="G3149" i="1"/>
  <c r="F3149" i="1"/>
  <c r="E3149" i="1"/>
  <c r="I3148" i="1"/>
  <c r="H3148" i="1"/>
  <c r="G3148" i="1"/>
  <c r="F3148" i="1"/>
  <c r="E3148" i="1"/>
  <c r="I3147" i="1"/>
  <c r="H3147" i="1"/>
  <c r="G3147" i="1"/>
  <c r="F3147" i="1"/>
  <c r="E3147" i="1"/>
  <c r="I3146" i="1"/>
  <c r="H3146" i="1"/>
  <c r="G3146" i="1"/>
  <c r="F3146" i="1"/>
  <c r="E3146" i="1"/>
  <c r="I3145" i="1"/>
  <c r="H3145" i="1"/>
  <c r="G3145" i="1"/>
  <c r="F3145" i="1"/>
  <c r="E3145" i="1"/>
  <c r="I3144" i="1"/>
  <c r="H3144" i="1"/>
  <c r="G3144" i="1"/>
  <c r="F3144" i="1"/>
  <c r="E3144" i="1"/>
  <c r="I3143" i="1"/>
  <c r="H3143" i="1"/>
  <c r="G3143" i="1"/>
  <c r="F3143" i="1"/>
  <c r="E3143" i="1"/>
  <c r="I3142" i="1"/>
  <c r="H3142" i="1"/>
  <c r="G3142" i="1"/>
  <c r="F3142" i="1"/>
  <c r="E3142" i="1"/>
  <c r="I3141" i="1"/>
  <c r="H3141" i="1"/>
  <c r="G3141" i="1"/>
  <c r="F3141" i="1"/>
  <c r="E3141" i="1"/>
  <c r="I3140" i="1"/>
  <c r="H3140" i="1"/>
  <c r="G3140" i="1"/>
  <c r="F3140" i="1"/>
  <c r="E3140" i="1"/>
  <c r="I3139" i="1"/>
  <c r="H3139" i="1"/>
  <c r="G3139" i="1"/>
  <c r="F3139" i="1"/>
  <c r="E3139" i="1"/>
  <c r="I3138" i="1"/>
  <c r="H3138" i="1"/>
  <c r="G3138" i="1"/>
  <c r="F3138" i="1"/>
  <c r="E3138" i="1"/>
  <c r="I3137" i="1"/>
  <c r="H3137" i="1"/>
  <c r="G3137" i="1"/>
  <c r="F3137" i="1"/>
  <c r="E3137" i="1"/>
  <c r="I3136" i="1"/>
  <c r="H3136" i="1"/>
  <c r="G3136" i="1"/>
  <c r="F3136" i="1"/>
  <c r="E3136" i="1"/>
  <c r="I3135" i="1"/>
  <c r="H3135" i="1"/>
  <c r="G3135" i="1"/>
  <c r="F3135" i="1"/>
  <c r="E3135" i="1"/>
  <c r="I3134" i="1"/>
  <c r="H3134" i="1"/>
  <c r="G3134" i="1"/>
  <c r="F3134" i="1"/>
  <c r="E3134" i="1"/>
  <c r="I3133" i="1"/>
  <c r="H3133" i="1"/>
  <c r="G3133" i="1"/>
  <c r="F3133" i="1"/>
  <c r="E3133" i="1"/>
  <c r="I3132" i="1"/>
  <c r="H3132" i="1"/>
  <c r="G3132" i="1"/>
  <c r="F3132" i="1"/>
  <c r="E3132" i="1"/>
  <c r="I3131" i="1"/>
  <c r="H3131" i="1"/>
  <c r="G3131" i="1"/>
  <c r="F3131" i="1"/>
  <c r="E3131" i="1"/>
  <c r="I3130" i="1"/>
  <c r="H3130" i="1"/>
  <c r="G3130" i="1"/>
  <c r="F3130" i="1"/>
  <c r="E3130" i="1"/>
  <c r="I3129" i="1"/>
  <c r="H3129" i="1"/>
  <c r="G3129" i="1"/>
  <c r="F3129" i="1"/>
  <c r="E3129" i="1"/>
  <c r="I3128" i="1"/>
  <c r="H3128" i="1"/>
  <c r="G3128" i="1"/>
  <c r="F3128" i="1"/>
  <c r="E3128" i="1"/>
  <c r="I3127" i="1"/>
  <c r="H3127" i="1"/>
  <c r="G3127" i="1"/>
  <c r="F3127" i="1"/>
  <c r="E3127" i="1"/>
  <c r="I3126" i="1"/>
  <c r="H3126" i="1"/>
  <c r="G3126" i="1"/>
  <c r="F3126" i="1"/>
  <c r="E3126" i="1"/>
  <c r="I3125" i="1"/>
  <c r="H3125" i="1"/>
  <c r="G3125" i="1"/>
  <c r="F3125" i="1"/>
  <c r="E3125" i="1"/>
  <c r="I3124" i="1"/>
  <c r="H3124" i="1"/>
  <c r="G3124" i="1"/>
  <c r="F3124" i="1"/>
  <c r="E3124" i="1"/>
  <c r="I3123" i="1"/>
  <c r="H3123" i="1"/>
  <c r="G3123" i="1"/>
  <c r="F3123" i="1"/>
  <c r="E3123" i="1"/>
  <c r="I3122" i="1"/>
  <c r="H3122" i="1"/>
  <c r="G3122" i="1"/>
  <c r="F3122" i="1"/>
  <c r="E3122" i="1"/>
  <c r="I3121" i="1"/>
  <c r="H3121" i="1"/>
  <c r="G3121" i="1"/>
  <c r="F3121" i="1"/>
  <c r="E3121" i="1"/>
  <c r="I3120" i="1"/>
  <c r="H3120" i="1"/>
  <c r="G3120" i="1"/>
  <c r="F3120" i="1"/>
  <c r="E3120" i="1"/>
  <c r="I3119" i="1"/>
  <c r="H3119" i="1"/>
  <c r="G3119" i="1"/>
  <c r="F3119" i="1"/>
  <c r="E3119" i="1"/>
  <c r="I3118" i="1"/>
  <c r="H3118" i="1"/>
  <c r="G3118" i="1"/>
  <c r="F3118" i="1"/>
  <c r="E3118" i="1"/>
  <c r="I3117" i="1"/>
  <c r="H3117" i="1"/>
  <c r="G3117" i="1"/>
  <c r="F3117" i="1"/>
  <c r="E3117" i="1"/>
  <c r="I3116" i="1"/>
  <c r="H3116" i="1"/>
  <c r="G3116" i="1"/>
  <c r="F3116" i="1"/>
  <c r="E3116" i="1"/>
  <c r="I3115" i="1"/>
  <c r="H3115" i="1"/>
  <c r="G3115" i="1"/>
  <c r="F3115" i="1"/>
  <c r="E3115" i="1"/>
  <c r="I3114" i="1"/>
  <c r="H3114" i="1"/>
  <c r="G3114" i="1"/>
  <c r="F3114" i="1"/>
  <c r="E3114" i="1"/>
  <c r="I3113" i="1"/>
  <c r="H3113" i="1"/>
  <c r="G3113" i="1"/>
  <c r="F3113" i="1"/>
  <c r="E3113" i="1"/>
  <c r="I3112" i="1"/>
  <c r="H3112" i="1"/>
  <c r="G3112" i="1"/>
  <c r="F3112" i="1"/>
  <c r="E3112" i="1"/>
  <c r="I3111" i="1"/>
  <c r="H3111" i="1"/>
  <c r="G3111" i="1"/>
  <c r="F3111" i="1"/>
  <c r="E3111" i="1"/>
  <c r="I3110" i="1"/>
  <c r="H3110" i="1"/>
  <c r="G3110" i="1"/>
  <c r="F3110" i="1"/>
  <c r="E3110" i="1"/>
  <c r="I3109" i="1"/>
  <c r="H3109" i="1"/>
  <c r="G3109" i="1"/>
  <c r="F3109" i="1"/>
  <c r="E3109" i="1"/>
  <c r="I3108" i="1"/>
  <c r="H3108" i="1"/>
  <c r="G3108" i="1"/>
  <c r="F3108" i="1"/>
  <c r="E3108" i="1"/>
  <c r="I3107" i="1"/>
  <c r="H3107" i="1"/>
  <c r="G3107" i="1"/>
  <c r="F3107" i="1"/>
  <c r="E3107" i="1"/>
  <c r="I3106" i="1"/>
  <c r="H3106" i="1"/>
  <c r="G3106" i="1"/>
  <c r="F3106" i="1"/>
  <c r="E3106" i="1"/>
  <c r="I3105" i="1"/>
  <c r="H3105" i="1"/>
  <c r="G3105" i="1"/>
  <c r="F3105" i="1"/>
  <c r="E3105" i="1"/>
  <c r="I3104" i="1"/>
  <c r="H3104" i="1"/>
  <c r="G3104" i="1"/>
  <c r="F3104" i="1"/>
  <c r="E3104" i="1"/>
  <c r="I3103" i="1"/>
  <c r="H3103" i="1"/>
  <c r="G3103" i="1"/>
  <c r="F3103" i="1"/>
  <c r="E3103" i="1"/>
  <c r="I3102" i="1"/>
  <c r="H3102" i="1"/>
  <c r="G3102" i="1"/>
  <c r="F3102" i="1"/>
  <c r="E3102" i="1"/>
  <c r="I3101" i="1"/>
  <c r="H3101" i="1"/>
  <c r="G3101" i="1"/>
  <c r="F3101" i="1"/>
  <c r="E3101" i="1"/>
  <c r="I3100" i="1"/>
  <c r="H3100" i="1"/>
  <c r="G3100" i="1"/>
  <c r="F3100" i="1"/>
  <c r="E3100" i="1"/>
  <c r="I3099" i="1"/>
  <c r="H3099" i="1"/>
  <c r="G3099" i="1"/>
  <c r="F3099" i="1"/>
  <c r="E3099" i="1"/>
  <c r="I3098" i="1"/>
  <c r="H3098" i="1"/>
  <c r="G3098" i="1"/>
  <c r="F3098" i="1"/>
  <c r="E3098" i="1"/>
  <c r="I3097" i="1"/>
  <c r="H3097" i="1"/>
  <c r="G3097" i="1"/>
  <c r="F3097" i="1"/>
  <c r="E3097" i="1"/>
  <c r="I3096" i="1"/>
  <c r="H3096" i="1"/>
  <c r="G3096" i="1"/>
  <c r="F3096" i="1"/>
  <c r="E3096" i="1"/>
  <c r="I3095" i="1"/>
  <c r="H3095" i="1"/>
  <c r="G3095" i="1"/>
  <c r="F3095" i="1"/>
  <c r="E3095" i="1"/>
  <c r="I3094" i="1"/>
  <c r="H3094" i="1"/>
  <c r="G3094" i="1"/>
  <c r="F3094" i="1"/>
  <c r="E3094" i="1"/>
  <c r="I3093" i="1"/>
  <c r="H3093" i="1"/>
  <c r="G3093" i="1"/>
  <c r="F3093" i="1"/>
  <c r="E3093" i="1"/>
  <c r="I3092" i="1"/>
  <c r="H3092" i="1"/>
  <c r="G3092" i="1"/>
  <c r="F3092" i="1"/>
  <c r="E3092" i="1"/>
  <c r="I3091" i="1"/>
  <c r="H3091" i="1"/>
  <c r="G3091" i="1"/>
  <c r="F3091" i="1"/>
  <c r="E3091" i="1"/>
  <c r="I3090" i="1"/>
  <c r="H3090" i="1"/>
  <c r="G3090" i="1"/>
  <c r="F3090" i="1"/>
  <c r="E3090" i="1"/>
  <c r="I3089" i="1"/>
  <c r="H3089" i="1"/>
  <c r="G3089" i="1"/>
  <c r="F3089" i="1"/>
  <c r="E3089" i="1"/>
  <c r="I3088" i="1"/>
  <c r="H3088" i="1"/>
  <c r="G3088" i="1"/>
  <c r="F3088" i="1"/>
  <c r="E3088" i="1"/>
  <c r="I3087" i="1"/>
  <c r="H3087" i="1"/>
  <c r="G3087" i="1"/>
  <c r="F3087" i="1"/>
  <c r="E3087" i="1"/>
  <c r="I3086" i="1"/>
  <c r="H3086" i="1"/>
  <c r="G3086" i="1"/>
  <c r="F3086" i="1"/>
  <c r="E3086" i="1"/>
  <c r="I3085" i="1"/>
  <c r="H3085" i="1"/>
  <c r="G3085" i="1"/>
  <c r="F3085" i="1"/>
  <c r="E3085" i="1"/>
  <c r="I3084" i="1"/>
  <c r="H3084" i="1"/>
  <c r="G3084" i="1"/>
  <c r="F3084" i="1"/>
  <c r="E3084" i="1"/>
  <c r="I3083" i="1"/>
  <c r="H3083" i="1"/>
  <c r="G3083" i="1"/>
  <c r="F3083" i="1"/>
  <c r="E3083" i="1"/>
  <c r="I3082" i="1"/>
  <c r="H3082" i="1"/>
  <c r="G3082" i="1"/>
  <c r="F3082" i="1"/>
  <c r="E3082" i="1"/>
  <c r="I3081" i="1"/>
  <c r="H3081" i="1"/>
  <c r="G3081" i="1"/>
  <c r="F3081" i="1"/>
  <c r="E3081" i="1"/>
  <c r="I3080" i="1"/>
  <c r="H3080" i="1"/>
  <c r="G3080" i="1"/>
  <c r="F3080" i="1"/>
  <c r="E3080" i="1"/>
  <c r="I3079" i="1"/>
  <c r="H3079" i="1"/>
  <c r="G3079" i="1"/>
  <c r="F3079" i="1"/>
  <c r="E3079" i="1"/>
  <c r="I3078" i="1"/>
  <c r="H3078" i="1"/>
  <c r="G3078" i="1"/>
  <c r="F3078" i="1"/>
  <c r="E3078" i="1"/>
  <c r="I3077" i="1"/>
  <c r="H3077" i="1"/>
  <c r="G3077" i="1"/>
  <c r="F3077" i="1"/>
  <c r="E3077" i="1"/>
  <c r="I3076" i="1"/>
  <c r="H3076" i="1"/>
  <c r="G3076" i="1"/>
  <c r="F3076" i="1"/>
  <c r="E3076" i="1"/>
  <c r="I3075" i="1"/>
  <c r="H3075" i="1"/>
  <c r="G3075" i="1"/>
  <c r="F3075" i="1"/>
  <c r="E3075" i="1"/>
  <c r="I3074" i="1"/>
  <c r="H3074" i="1"/>
  <c r="G3074" i="1"/>
  <c r="F3074" i="1"/>
  <c r="E3074" i="1"/>
  <c r="I3073" i="1"/>
  <c r="H3073" i="1"/>
  <c r="G3073" i="1"/>
  <c r="F3073" i="1"/>
  <c r="E3073" i="1"/>
  <c r="I3072" i="1"/>
  <c r="H3072" i="1"/>
  <c r="G3072" i="1"/>
  <c r="F3072" i="1"/>
  <c r="E3072" i="1"/>
  <c r="I3071" i="1"/>
  <c r="H3071" i="1"/>
  <c r="G3071" i="1"/>
  <c r="F3071" i="1"/>
  <c r="E3071" i="1"/>
  <c r="I3070" i="1"/>
  <c r="H3070" i="1"/>
  <c r="G3070" i="1"/>
  <c r="F3070" i="1"/>
  <c r="E3070" i="1"/>
  <c r="I3069" i="1"/>
  <c r="H3069" i="1"/>
  <c r="G3069" i="1"/>
  <c r="F3069" i="1"/>
  <c r="E3069" i="1"/>
  <c r="I3068" i="1"/>
  <c r="H3068" i="1"/>
  <c r="G3068" i="1"/>
  <c r="F3068" i="1"/>
  <c r="E3068" i="1"/>
  <c r="I3067" i="1"/>
  <c r="H3067" i="1"/>
  <c r="G3067" i="1"/>
  <c r="F3067" i="1"/>
  <c r="E3067" i="1"/>
  <c r="I3066" i="1"/>
  <c r="H3066" i="1"/>
  <c r="G3066" i="1"/>
  <c r="F3066" i="1"/>
  <c r="E3066" i="1"/>
  <c r="I3065" i="1"/>
  <c r="H3065" i="1"/>
  <c r="G3065" i="1"/>
  <c r="F3065" i="1"/>
  <c r="E3065" i="1"/>
  <c r="I3064" i="1"/>
  <c r="H3064" i="1"/>
  <c r="G3064" i="1"/>
  <c r="F3064" i="1"/>
  <c r="E3064" i="1"/>
  <c r="I3063" i="1"/>
  <c r="H3063" i="1"/>
  <c r="G3063" i="1"/>
  <c r="F3063" i="1"/>
  <c r="E3063" i="1"/>
  <c r="I3062" i="1"/>
  <c r="H3062" i="1"/>
  <c r="G3062" i="1"/>
  <c r="F3062" i="1"/>
  <c r="E3062" i="1"/>
  <c r="I3061" i="1"/>
  <c r="H3061" i="1"/>
  <c r="G3061" i="1"/>
  <c r="F3061" i="1"/>
  <c r="E3061" i="1"/>
  <c r="I3060" i="1"/>
  <c r="H3060" i="1"/>
  <c r="G3060" i="1"/>
  <c r="F3060" i="1"/>
  <c r="E3060" i="1"/>
  <c r="I3059" i="1"/>
  <c r="H3059" i="1"/>
  <c r="G3059" i="1"/>
  <c r="F3059" i="1"/>
  <c r="E3059" i="1"/>
  <c r="I3058" i="1"/>
  <c r="H3058" i="1"/>
  <c r="G3058" i="1"/>
  <c r="F3058" i="1"/>
  <c r="E3058" i="1"/>
  <c r="I3057" i="1"/>
  <c r="H3057" i="1"/>
  <c r="G3057" i="1"/>
  <c r="F3057" i="1"/>
  <c r="E3057" i="1"/>
  <c r="I3056" i="1"/>
  <c r="H3056" i="1"/>
  <c r="G3056" i="1"/>
  <c r="F3056" i="1"/>
  <c r="E3056" i="1"/>
  <c r="I3055" i="1"/>
  <c r="H3055" i="1"/>
  <c r="G3055" i="1"/>
  <c r="F3055" i="1"/>
  <c r="E3055" i="1"/>
  <c r="I3054" i="1"/>
  <c r="H3054" i="1"/>
  <c r="G3054" i="1"/>
  <c r="F3054" i="1"/>
  <c r="E3054" i="1"/>
  <c r="I3053" i="1"/>
  <c r="H3053" i="1"/>
  <c r="G3053" i="1"/>
  <c r="F3053" i="1"/>
  <c r="E3053" i="1"/>
  <c r="I3052" i="1"/>
  <c r="H3052" i="1"/>
  <c r="G3052" i="1"/>
  <c r="F3052" i="1"/>
  <c r="E3052" i="1"/>
  <c r="I3051" i="1"/>
  <c r="H3051" i="1"/>
  <c r="G3051" i="1"/>
  <c r="F3051" i="1"/>
  <c r="E3051" i="1"/>
  <c r="I3050" i="1"/>
  <c r="H3050" i="1"/>
  <c r="G3050" i="1"/>
  <c r="F3050" i="1"/>
  <c r="E3050" i="1"/>
  <c r="I3049" i="1"/>
  <c r="H3049" i="1"/>
  <c r="G3049" i="1"/>
  <c r="F3049" i="1"/>
  <c r="E3049" i="1"/>
  <c r="I3048" i="1"/>
  <c r="H3048" i="1"/>
  <c r="G3048" i="1"/>
  <c r="F3048" i="1"/>
  <c r="E3048" i="1"/>
  <c r="I3047" i="1"/>
  <c r="H3047" i="1"/>
  <c r="G3047" i="1"/>
  <c r="F3047" i="1"/>
  <c r="E3047" i="1"/>
  <c r="I3046" i="1"/>
  <c r="H3046" i="1"/>
  <c r="G3046" i="1"/>
  <c r="F3046" i="1"/>
  <c r="E3046" i="1"/>
  <c r="I3045" i="1"/>
  <c r="H3045" i="1"/>
  <c r="G3045" i="1"/>
  <c r="F3045" i="1"/>
  <c r="E3045" i="1"/>
  <c r="I3044" i="1"/>
  <c r="H3044" i="1"/>
  <c r="G3044" i="1"/>
  <c r="F3044" i="1"/>
  <c r="E3044" i="1"/>
  <c r="I3043" i="1"/>
  <c r="H3043" i="1"/>
  <c r="G3043" i="1"/>
  <c r="F3043" i="1"/>
  <c r="E3043" i="1"/>
  <c r="I3042" i="1"/>
  <c r="H3042" i="1"/>
  <c r="G3042" i="1"/>
  <c r="F3042" i="1"/>
  <c r="E3042" i="1"/>
  <c r="I3041" i="1"/>
  <c r="H3041" i="1"/>
  <c r="G3041" i="1"/>
  <c r="F3041" i="1"/>
  <c r="E3041" i="1"/>
  <c r="I3040" i="1"/>
  <c r="H3040" i="1"/>
  <c r="G3040" i="1"/>
  <c r="F3040" i="1"/>
  <c r="E3040" i="1"/>
  <c r="I3039" i="1"/>
  <c r="H3039" i="1"/>
  <c r="G3039" i="1"/>
  <c r="F3039" i="1"/>
  <c r="E3039" i="1"/>
  <c r="I3038" i="1"/>
  <c r="H3038" i="1"/>
  <c r="G3038" i="1"/>
  <c r="F3038" i="1"/>
  <c r="E3038" i="1"/>
  <c r="I3037" i="1"/>
  <c r="H3037" i="1"/>
  <c r="G3037" i="1"/>
  <c r="F3037" i="1"/>
  <c r="E3037" i="1"/>
  <c r="I3036" i="1"/>
  <c r="H3036" i="1"/>
  <c r="G3036" i="1"/>
  <c r="F3036" i="1"/>
  <c r="E3036" i="1"/>
  <c r="I3035" i="1"/>
  <c r="H3035" i="1"/>
  <c r="G3035" i="1"/>
  <c r="F3035" i="1"/>
  <c r="E3035" i="1"/>
  <c r="I3034" i="1"/>
  <c r="H3034" i="1"/>
  <c r="G3034" i="1"/>
  <c r="F3034" i="1"/>
  <c r="E3034" i="1"/>
  <c r="I3033" i="1"/>
  <c r="H3033" i="1"/>
  <c r="G3033" i="1"/>
  <c r="F3033" i="1"/>
  <c r="E3033" i="1"/>
  <c r="I3032" i="1"/>
  <c r="H3032" i="1"/>
  <c r="G3032" i="1"/>
  <c r="F3032" i="1"/>
  <c r="E3032" i="1"/>
  <c r="I3031" i="1"/>
  <c r="H3031" i="1"/>
  <c r="G3031" i="1"/>
  <c r="F3031" i="1"/>
  <c r="E3031" i="1"/>
  <c r="I3030" i="1"/>
  <c r="H3030" i="1"/>
  <c r="G3030" i="1"/>
  <c r="F3030" i="1"/>
  <c r="E3030" i="1"/>
  <c r="I3029" i="1"/>
  <c r="H3029" i="1"/>
  <c r="G3029" i="1"/>
  <c r="F3029" i="1"/>
  <c r="E3029" i="1"/>
  <c r="I3028" i="1"/>
  <c r="H3028" i="1"/>
  <c r="G3028" i="1"/>
  <c r="F3028" i="1"/>
  <c r="E3028" i="1"/>
  <c r="I3027" i="1"/>
  <c r="H3027" i="1"/>
  <c r="G3027" i="1"/>
  <c r="F3027" i="1"/>
  <c r="E3027" i="1"/>
  <c r="I3026" i="1"/>
  <c r="H3026" i="1"/>
  <c r="G3026" i="1"/>
  <c r="F3026" i="1"/>
  <c r="E3026" i="1"/>
  <c r="I3025" i="1"/>
  <c r="H3025" i="1"/>
  <c r="G3025" i="1"/>
  <c r="F3025" i="1"/>
  <c r="E3025" i="1"/>
  <c r="I3024" i="1"/>
  <c r="H3024" i="1"/>
  <c r="G3024" i="1"/>
  <c r="F3024" i="1"/>
  <c r="E3024" i="1"/>
  <c r="I3023" i="1"/>
  <c r="H3023" i="1"/>
  <c r="G3023" i="1"/>
  <c r="F3023" i="1"/>
  <c r="E3023" i="1"/>
  <c r="I3022" i="1"/>
  <c r="H3022" i="1"/>
  <c r="G3022" i="1"/>
  <c r="F3022" i="1"/>
  <c r="E3022" i="1"/>
  <c r="I3021" i="1"/>
  <c r="H3021" i="1"/>
  <c r="G3021" i="1"/>
  <c r="F3021" i="1"/>
  <c r="E3021" i="1"/>
  <c r="I3020" i="1"/>
  <c r="H3020" i="1"/>
  <c r="G3020" i="1"/>
  <c r="F3020" i="1"/>
  <c r="E3020" i="1"/>
  <c r="I3019" i="1"/>
  <c r="H3019" i="1"/>
  <c r="G3019" i="1"/>
  <c r="F3019" i="1"/>
  <c r="E3019" i="1"/>
  <c r="I3018" i="1"/>
  <c r="H3018" i="1"/>
  <c r="G3018" i="1"/>
  <c r="F3018" i="1"/>
  <c r="E3018" i="1"/>
  <c r="I3017" i="1"/>
  <c r="H3017" i="1"/>
  <c r="G3017" i="1"/>
  <c r="F3017" i="1"/>
  <c r="E3017" i="1"/>
  <c r="I3016" i="1"/>
  <c r="H3016" i="1"/>
  <c r="G3016" i="1"/>
  <c r="F3016" i="1"/>
  <c r="E3016" i="1"/>
  <c r="I3015" i="1"/>
  <c r="H3015" i="1"/>
  <c r="G3015" i="1"/>
  <c r="F3015" i="1"/>
  <c r="E3015" i="1"/>
  <c r="I3014" i="1"/>
  <c r="H3014" i="1"/>
  <c r="G3014" i="1"/>
  <c r="F3014" i="1"/>
  <c r="E3014" i="1"/>
  <c r="I3013" i="1"/>
  <c r="H3013" i="1"/>
  <c r="G3013" i="1"/>
  <c r="F3013" i="1"/>
  <c r="E3013" i="1"/>
  <c r="I3012" i="1"/>
  <c r="H3012" i="1"/>
  <c r="G3012" i="1"/>
  <c r="F3012" i="1"/>
  <c r="E3012" i="1"/>
  <c r="I3011" i="1"/>
  <c r="H3011" i="1"/>
  <c r="G3011" i="1"/>
  <c r="F3011" i="1"/>
  <c r="E3011" i="1"/>
  <c r="I3010" i="1"/>
  <c r="H3010" i="1"/>
  <c r="G3010" i="1"/>
  <c r="F3010" i="1"/>
  <c r="E3010" i="1"/>
  <c r="I3009" i="1"/>
  <c r="H3009" i="1"/>
  <c r="G3009" i="1"/>
  <c r="F3009" i="1"/>
  <c r="E3009" i="1"/>
  <c r="I3008" i="1"/>
  <c r="H3008" i="1"/>
  <c r="G3008" i="1"/>
  <c r="F3008" i="1"/>
  <c r="E3008" i="1"/>
  <c r="I3007" i="1"/>
  <c r="H3007" i="1"/>
  <c r="G3007" i="1"/>
  <c r="F3007" i="1"/>
  <c r="E3007" i="1"/>
  <c r="I3006" i="1"/>
  <c r="H3006" i="1"/>
  <c r="G3006" i="1"/>
  <c r="F3006" i="1"/>
  <c r="E3006" i="1"/>
  <c r="I3005" i="1"/>
  <c r="H3005" i="1"/>
  <c r="G3005" i="1"/>
  <c r="F3005" i="1"/>
  <c r="E3005" i="1"/>
  <c r="I3004" i="1"/>
  <c r="H3004" i="1"/>
  <c r="G3004" i="1"/>
  <c r="F3004" i="1"/>
  <c r="E3004" i="1"/>
  <c r="I3003" i="1"/>
  <c r="H3003" i="1"/>
  <c r="G3003" i="1"/>
  <c r="F3003" i="1"/>
  <c r="E3003" i="1"/>
  <c r="I3002" i="1"/>
  <c r="H3002" i="1"/>
  <c r="G3002" i="1"/>
  <c r="F3002" i="1"/>
  <c r="E3002" i="1"/>
  <c r="I3001" i="1"/>
  <c r="H3001" i="1"/>
  <c r="G3001" i="1"/>
  <c r="F3001" i="1"/>
  <c r="E3001" i="1"/>
  <c r="I3000" i="1"/>
  <c r="H3000" i="1"/>
  <c r="G3000" i="1"/>
  <c r="F3000" i="1"/>
  <c r="E3000" i="1"/>
  <c r="I2999" i="1"/>
  <c r="H2999" i="1"/>
  <c r="G2999" i="1"/>
  <c r="F2999" i="1"/>
  <c r="E2999" i="1"/>
  <c r="I2998" i="1"/>
  <c r="H2998" i="1"/>
  <c r="G2998" i="1"/>
  <c r="F2998" i="1"/>
  <c r="E2998" i="1"/>
  <c r="I2997" i="1"/>
  <c r="H2997" i="1"/>
  <c r="G2997" i="1"/>
  <c r="F2997" i="1"/>
  <c r="E2997" i="1"/>
  <c r="I2996" i="1"/>
  <c r="H2996" i="1"/>
  <c r="G2996" i="1"/>
  <c r="F2996" i="1"/>
  <c r="E2996" i="1"/>
  <c r="I2995" i="1"/>
  <c r="H2995" i="1"/>
  <c r="G2995" i="1"/>
  <c r="F2995" i="1"/>
  <c r="E2995" i="1"/>
  <c r="I2994" i="1"/>
  <c r="H2994" i="1"/>
  <c r="G2994" i="1"/>
  <c r="F2994" i="1"/>
  <c r="E2994" i="1"/>
  <c r="I2993" i="1"/>
  <c r="H2993" i="1"/>
  <c r="G2993" i="1"/>
  <c r="F2993" i="1"/>
  <c r="E2993" i="1"/>
  <c r="I2992" i="1"/>
  <c r="H2992" i="1"/>
  <c r="G2992" i="1"/>
  <c r="F2992" i="1"/>
  <c r="E2992" i="1"/>
  <c r="I2991" i="1"/>
  <c r="H2991" i="1"/>
  <c r="G2991" i="1"/>
  <c r="F2991" i="1"/>
  <c r="E2991" i="1"/>
  <c r="I2990" i="1"/>
  <c r="H2990" i="1"/>
  <c r="G2990" i="1"/>
  <c r="F2990" i="1"/>
  <c r="E2990" i="1"/>
  <c r="I2989" i="1"/>
  <c r="H2989" i="1"/>
  <c r="G2989" i="1"/>
  <c r="F2989" i="1"/>
  <c r="E2989" i="1"/>
  <c r="I2988" i="1"/>
  <c r="H2988" i="1"/>
  <c r="G2988" i="1"/>
  <c r="F2988" i="1"/>
  <c r="E2988" i="1"/>
  <c r="I2987" i="1"/>
  <c r="H2987" i="1"/>
  <c r="G2987" i="1"/>
  <c r="F2987" i="1"/>
  <c r="E2987" i="1"/>
  <c r="I2986" i="1"/>
  <c r="H2986" i="1"/>
  <c r="G2986" i="1"/>
  <c r="F2986" i="1"/>
  <c r="E2986" i="1"/>
  <c r="I2985" i="1"/>
  <c r="H2985" i="1"/>
  <c r="G2985" i="1"/>
  <c r="F2985" i="1"/>
  <c r="E2985" i="1"/>
  <c r="I2984" i="1"/>
  <c r="H2984" i="1"/>
  <c r="G2984" i="1"/>
  <c r="F2984" i="1"/>
  <c r="E2984" i="1"/>
  <c r="I2983" i="1"/>
  <c r="H2983" i="1"/>
  <c r="G2983" i="1"/>
  <c r="F2983" i="1"/>
  <c r="E2983" i="1"/>
  <c r="I2982" i="1"/>
  <c r="H2982" i="1"/>
  <c r="G2982" i="1"/>
  <c r="F2982" i="1"/>
  <c r="E2982" i="1"/>
  <c r="I2981" i="1"/>
  <c r="H2981" i="1"/>
  <c r="G2981" i="1"/>
  <c r="F2981" i="1"/>
  <c r="E2981" i="1"/>
  <c r="I2980" i="1"/>
  <c r="H2980" i="1"/>
  <c r="G2980" i="1"/>
  <c r="F2980" i="1"/>
  <c r="E2980" i="1"/>
  <c r="I2979" i="1"/>
  <c r="H2979" i="1"/>
  <c r="G2979" i="1"/>
  <c r="F2979" i="1"/>
  <c r="E2979" i="1"/>
  <c r="I2978" i="1"/>
  <c r="H2978" i="1"/>
  <c r="G2978" i="1"/>
  <c r="F2978" i="1"/>
  <c r="E2978" i="1"/>
  <c r="I2977" i="1"/>
  <c r="H2977" i="1"/>
  <c r="G2977" i="1"/>
  <c r="F2977" i="1"/>
  <c r="E2977" i="1"/>
  <c r="I2976" i="1"/>
  <c r="H2976" i="1"/>
  <c r="G2976" i="1"/>
  <c r="F2976" i="1"/>
  <c r="E2976" i="1"/>
  <c r="I2975" i="1"/>
  <c r="H2975" i="1"/>
  <c r="G2975" i="1"/>
  <c r="F2975" i="1"/>
  <c r="E2975" i="1"/>
  <c r="I2974" i="1"/>
  <c r="H2974" i="1"/>
  <c r="G2974" i="1"/>
  <c r="F2974" i="1"/>
  <c r="E2974" i="1"/>
  <c r="I2973" i="1"/>
  <c r="H2973" i="1"/>
  <c r="G2973" i="1"/>
  <c r="F2973" i="1"/>
  <c r="E2973" i="1"/>
  <c r="I2972" i="1"/>
  <c r="H2972" i="1"/>
  <c r="G2972" i="1"/>
  <c r="F2972" i="1"/>
  <c r="E2972" i="1"/>
  <c r="I2971" i="1"/>
  <c r="H2971" i="1"/>
  <c r="G2971" i="1"/>
  <c r="F2971" i="1"/>
  <c r="E2971" i="1"/>
  <c r="I2970" i="1"/>
  <c r="H2970" i="1"/>
  <c r="G2970" i="1"/>
  <c r="F2970" i="1"/>
  <c r="E2970" i="1"/>
  <c r="I2969" i="1"/>
  <c r="H2969" i="1"/>
  <c r="G2969" i="1"/>
  <c r="F2969" i="1"/>
  <c r="E2969" i="1"/>
  <c r="I2968" i="1"/>
  <c r="H2968" i="1"/>
  <c r="G2968" i="1"/>
  <c r="F2968" i="1"/>
  <c r="E2968" i="1"/>
  <c r="I2967" i="1"/>
  <c r="H2967" i="1"/>
  <c r="G2967" i="1"/>
  <c r="F2967" i="1"/>
  <c r="E2967" i="1"/>
  <c r="I2966" i="1"/>
  <c r="H2966" i="1"/>
  <c r="G2966" i="1"/>
  <c r="F2966" i="1"/>
  <c r="E2966" i="1"/>
  <c r="I2965" i="1"/>
  <c r="H2965" i="1"/>
  <c r="G2965" i="1"/>
  <c r="F2965" i="1"/>
  <c r="E2965" i="1"/>
  <c r="I2964" i="1"/>
  <c r="H2964" i="1"/>
  <c r="G2964" i="1"/>
  <c r="F2964" i="1"/>
  <c r="E2964" i="1"/>
  <c r="I2963" i="1"/>
  <c r="H2963" i="1"/>
  <c r="G2963" i="1"/>
  <c r="F2963" i="1"/>
  <c r="E2963" i="1"/>
  <c r="I2962" i="1"/>
  <c r="H2962" i="1"/>
  <c r="G2962" i="1"/>
  <c r="F2962" i="1"/>
  <c r="E2962" i="1"/>
  <c r="I2961" i="1"/>
  <c r="H2961" i="1"/>
  <c r="G2961" i="1"/>
  <c r="F2961" i="1"/>
  <c r="E2961" i="1"/>
  <c r="I2960" i="1"/>
  <c r="H2960" i="1"/>
  <c r="G2960" i="1"/>
  <c r="F2960" i="1"/>
  <c r="E2960" i="1"/>
  <c r="I2959" i="1"/>
  <c r="H2959" i="1"/>
  <c r="G2959" i="1"/>
  <c r="F2959" i="1"/>
  <c r="E2959" i="1"/>
  <c r="I2958" i="1"/>
  <c r="H2958" i="1"/>
  <c r="G2958" i="1"/>
  <c r="F2958" i="1"/>
  <c r="E2958" i="1"/>
  <c r="I2957" i="1"/>
  <c r="H2957" i="1"/>
  <c r="G2957" i="1"/>
  <c r="F2957" i="1"/>
  <c r="E2957" i="1"/>
  <c r="I2956" i="1"/>
  <c r="H2956" i="1"/>
  <c r="G2956" i="1"/>
  <c r="F2956" i="1"/>
  <c r="E2956" i="1"/>
  <c r="I2955" i="1"/>
  <c r="H2955" i="1"/>
  <c r="G2955" i="1"/>
  <c r="F2955" i="1"/>
  <c r="E2955" i="1"/>
  <c r="I2954" i="1"/>
  <c r="H2954" i="1"/>
  <c r="G2954" i="1"/>
  <c r="F2954" i="1"/>
  <c r="E2954" i="1"/>
  <c r="I2953" i="1"/>
  <c r="H2953" i="1"/>
  <c r="G2953" i="1"/>
  <c r="F2953" i="1"/>
  <c r="E2953" i="1"/>
  <c r="I2952" i="1"/>
  <c r="H2952" i="1"/>
  <c r="G2952" i="1"/>
  <c r="F2952" i="1"/>
  <c r="E2952" i="1"/>
  <c r="I2951" i="1"/>
  <c r="H2951" i="1"/>
  <c r="G2951" i="1"/>
  <c r="F2951" i="1"/>
  <c r="E2951" i="1"/>
  <c r="I2950" i="1"/>
  <c r="H2950" i="1"/>
  <c r="G2950" i="1"/>
  <c r="F2950" i="1"/>
  <c r="E2950" i="1"/>
  <c r="I2949" i="1"/>
  <c r="H2949" i="1"/>
  <c r="G2949" i="1"/>
  <c r="F2949" i="1"/>
  <c r="E2949" i="1"/>
  <c r="I2948" i="1"/>
  <c r="H2948" i="1"/>
  <c r="G2948" i="1"/>
  <c r="F2948" i="1"/>
  <c r="E2948" i="1"/>
  <c r="I2947" i="1"/>
  <c r="H2947" i="1"/>
  <c r="G2947" i="1"/>
  <c r="F2947" i="1"/>
  <c r="E2947" i="1"/>
  <c r="I2946" i="1"/>
  <c r="H2946" i="1"/>
  <c r="G2946" i="1"/>
  <c r="F2946" i="1"/>
  <c r="E2946" i="1"/>
  <c r="I2945" i="1"/>
  <c r="H2945" i="1"/>
  <c r="G2945" i="1"/>
  <c r="F2945" i="1"/>
  <c r="E2945" i="1"/>
  <c r="I2944" i="1"/>
  <c r="H2944" i="1"/>
  <c r="G2944" i="1"/>
  <c r="F2944" i="1"/>
  <c r="E2944" i="1"/>
  <c r="I2943" i="1"/>
  <c r="H2943" i="1"/>
  <c r="G2943" i="1"/>
  <c r="F2943" i="1"/>
  <c r="E2943" i="1"/>
  <c r="I2942" i="1"/>
  <c r="H2942" i="1"/>
  <c r="G2942" i="1"/>
  <c r="F2942" i="1"/>
  <c r="E2942" i="1"/>
  <c r="I2941" i="1"/>
  <c r="H2941" i="1"/>
  <c r="G2941" i="1"/>
  <c r="F2941" i="1"/>
  <c r="E2941" i="1"/>
  <c r="I2940" i="1"/>
  <c r="H2940" i="1"/>
  <c r="G2940" i="1"/>
  <c r="F2940" i="1"/>
  <c r="E2940" i="1"/>
  <c r="I2939" i="1"/>
  <c r="H2939" i="1"/>
  <c r="G2939" i="1"/>
  <c r="F2939" i="1"/>
  <c r="E2939" i="1"/>
  <c r="I2938" i="1"/>
  <c r="H2938" i="1"/>
  <c r="G2938" i="1"/>
  <c r="F2938" i="1"/>
  <c r="E2938" i="1"/>
  <c r="I2937" i="1"/>
  <c r="H2937" i="1"/>
  <c r="G2937" i="1"/>
  <c r="F2937" i="1"/>
  <c r="E2937" i="1"/>
  <c r="I2936" i="1"/>
  <c r="H2936" i="1"/>
  <c r="G2936" i="1"/>
  <c r="F2936" i="1"/>
  <c r="E2936" i="1"/>
  <c r="I2935" i="1"/>
  <c r="H2935" i="1"/>
  <c r="G2935" i="1"/>
  <c r="F2935" i="1"/>
  <c r="E2935" i="1"/>
  <c r="I2934" i="1"/>
  <c r="H2934" i="1"/>
  <c r="G2934" i="1"/>
  <c r="F2934" i="1"/>
  <c r="E2934" i="1"/>
  <c r="I2933" i="1"/>
  <c r="H2933" i="1"/>
  <c r="G2933" i="1"/>
  <c r="F2933" i="1"/>
  <c r="E2933" i="1"/>
  <c r="I2932" i="1"/>
  <c r="H2932" i="1"/>
  <c r="G2932" i="1"/>
  <c r="F2932" i="1"/>
  <c r="E2932" i="1"/>
  <c r="I2931" i="1"/>
  <c r="H2931" i="1"/>
  <c r="G2931" i="1"/>
  <c r="F2931" i="1"/>
  <c r="E2931" i="1"/>
  <c r="I2930" i="1"/>
  <c r="H2930" i="1"/>
  <c r="G2930" i="1"/>
  <c r="F2930" i="1"/>
  <c r="E2930" i="1"/>
  <c r="I2929" i="1"/>
  <c r="H2929" i="1"/>
  <c r="G2929" i="1"/>
  <c r="F2929" i="1"/>
  <c r="E2929" i="1"/>
  <c r="I2928" i="1"/>
  <c r="H2928" i="1"/>
  <c r="G2928" i="1"/>
  <c r="F2928" i="1"/>
  <c r="E2928" i="1"/>
  <c r="I2927" i="1"/>
  <c r="H2927" i="1"/>
  <c r="G2927" i="1"/>
  <c r="F2927" i="1"/>
  <c r="E2927" i="1"/>
  <c r="I2926" i="1"/>
  <c r="H2926" i="1"/>
  <c r="G2926" i="1"/>
  <c r="F2926" i="1"/>
  <c r="E2926" i="1"/>
  <c r="I2925" i="1"/>
  <c r="H2925" i="1"/>
  <c r="G2925" i="1"/>
  <c r="F2925" i="1"/>
  <c r="E2925" i="1"/>
  <c r="I2924" i="1"/>
  <c r="H2924" i="1"/>
  <c r="G2924" i="1"/>
  <c r="F2924" i="1"/>
  <c r="E2924" i="1"/>
  <c r="I2923" i="1"/>
  <c r="H2923" i="1"/>
  <c r="G2923" i="1"/>
  <c r="F2923" i="1"/>
  <c r="E2923" i="1"/>
  <c r="I2922" i="1"/>
  <c r="H2922" i="1"/>
  <c r="G2922" i="1"/>
  <c r="F2922" i="1"/>
  <c r="E2922" i="1"/>
  <c r="I2921" i="1"/>
  <c r="H2921" i="1"/>
  <c r="G2921" i="1"/>
  <c r="F2921" i="1"/>
  <c r="E2921" i="1"/>
  <c r="I2920" i="1"/>
  <c r="H2920" i="1"/>
  <c r="G2920" i="1"/>
  <c r="F2920" i="1"/>
  <c r="E2920" i="1"/>
  <c r="I2919" i="1"/>
  <c r="H2919" i="1"/>
  <c r="G2919" i="1"/>
  <c r="F2919" i="1"/>
  <c r="E2919" i="1"/>
  <c r="I2918" i="1"/>
  <c r="H2918" i="1"/>
  <c r="G2918" i="1"/>
  <c r="F2918" i="1"/>
  <c r="E2918" i="1"/>
  <c r="I2917" i="1"/>
  <c r="H2917" i="1"/>
  <c r="G2917" i="1"/>
  <c r="F2917" i="1"/>
  <c r="E2917" i="1"/>
  <c r="I2916" i="1"/>
  <c r="H2916" i="1"/>
  <c r="G2916" i="1"/>
  <c r="F2916" i="1"/>
  <c r="E2916" i="1"/>
  <c r="I2915" i="1"/>
  <c r="H2915" i="1"/>
  <c r="G2915" i="1"/>
  <c r="F2915" i="1"/>
  <c r="E2915" i="1"/>
  <c r="I2914" i="1"/>
  <c r="H2914" i="1"/>
  <c r="G2914" i="1"/>
  <c r="F2914" i="1"/>
  <c r="E2914" i="1"/>
  <c r="I2913" i="1"/>
  <c r="H2913" i="1"/>
  <c r="G2913" i="1"/>
  <c r="F2913" i="1"/>
  <c r="E2913" i="1"/>
  <c r="I2912" i="1"/>
  <c r="H2912" i="1"/>
  <c r="G2912" i="1"/>
  <c r="F2912" i="1"/>
  <c r="E2912" i="1"/>
  <c r="I2911" i="1"/>
  <c r="H2911" i="1"/>
  <c r="G2911" i="1"/>
  <c r="F2911" i="1"/>
  <c r="E2911" i="1"/>
  <c r="I2910" i="1"/>
  <c r="H2910" i="1"/>
  <c r="G2910" i="1"/>
  <c r="F2910" i="1"/>
  <c r="E2910" i="1"/>
  <c r="I2909" i="1"/>
  <c r="H2909" i="1"/>
  <c r="G2909" i="1"/>
  <c r="F2909" i="1"/>
  <c r="E2909" i="1"/>
  <c r="I2908" i="1"/>
  <c r="H2908" i="1"/>
  <c r="G2908" i="1"/>
  <c r="F2908" i="1"/>
  <c r="E2908" i="1"/>
  <c r="I2907" i="1"/>
  <c r="H2907" i="1"/>
  <c r="G2907" i="1"/>
  <c r="F2907" i="1"/>
  <c r="E2907" i="1"/>
  <c r="I2906" i="1"/>
  <c r="H2906" i="1"/>
  <c r="G2906" i="1"/>
  <c r="F2906" i="1"/>
  <c r="E2906" i="1"/>
  <c r="I2905" i="1"/>
  <c r="H2905" i="1"/>
  <c r="G2905" i="1"/>
  <c r="F2905" i="1"/>
  <c r="E2905" i="1"/>
  <c r="I2904" i="1"/>
  <c r="H2904" i="1"/>
  <c r="G2904" i="1"/>
  <c r="F2904" i="1"/>
  <c r="E2904" i="1"/>
  <c r="I2903" i="1"/>
  <c r="H2903" i="1"/>
  <c r="G2903" i="1"/>
  <c r="F2903" i="1"/>
  <c r="E2903" i="1"/>
  <c r="I2902" i="1"/>
  <c r="H2902" i="1"/>
  <c r="G2902" i="1"/>
  <c r="F2902" i="1"/>
  <c r="E2902" i="1"/>
  <c r="I2901" i="1"/>
  <c r="H2901" i="1"/>
  <c r="G2901" i="1"/>
  <c r="F2901" i="1"/>
  <c r="E2901" i="1"/>
  <c r="I2900" i="1"/>
  <c r="H2900" i="1"/>
  <c r="G2900" i="1"/>
  <c r="F2900" i="1"/>
  <c r="E2900" i="1"/>
  <c r="I2899" i="1"/>
  <c r="H2899" i="1"/>
  <c r="G2899" i="1"/>
  <c r="F2899" i="1"/>
  <c r="E2899" i="1"/>
  <c r="I2898" i="1"/>
  <c r="H2898" i="1"/>
  <c r="G2898" i="1"/>
  <c r="F2898" i="1"/>
  <c r="E2898" i="1"/>
  <c r="I2897" i="1"/>
  <c r="H2897" i="1"/>
  <c r="G2897" i="1"/>
  <c r="F2897" i="1"/>
  <c r="E2897" i="1"/>
  <c r="I2896" i="1"/>
  <c r="H2896" i="1"/>
  <c r="G2896" i="1"/>
  <c r="F2896" i="1"/>
  <c r="E2896" i="1"/>
  <c r="I2895" i="1"/>
  <c r="H2895" i="1"/>
  <c r="G2895" i="1"/>
  <c r="F2895" i="1"/>
  <c r="E2895" i="1"/>
  <c r="I2894" i="1"/>
  <c r="H2894" i="1"/>
  <c r="G2894" i="1"/>
  <c r="F2894" i="1"/>
  <c r="E2894" i="1"/>
  <c r="I2893" i="1"/>
  <c r="H2893" i="1"/>
  <c r="G2893" i="1"/>
  <c r="F2893" i="1"/>
  <c r="E2893" i="1"/>
  <c r="I2892" i="1"/>
  <c r="H2892" i="1"/>
  <c r="G2892" i="1"/>
  <c r="F2892" i="1"/>
  <c r="E2892" i="1"/>
  <c r="I2891" i="1"/>
  <c r="H2891" i="1"/>
  <c r="G2891" i="1"/>
  <c r="F2891" i="1"/>
  <c r="E2891" i="1"/>
  <c r="I2890" i="1"/>
  <c r="H2890" i="1"/>
  <c r="G2890" i="1"/>
  <c r="F2890" i="1"/>
  <c r="E2890" i="1"/>
  <c r="I2889" i="1"/>
  <c r="H2889" i="1"/>
  <c r="G2889" i="1"/>
  <c r="F2889" i="1"/>
  <c r="E2889" i="1"/>
  <c r="I2888" i="1"/>
  <c r="H2888" i="1"/>
  <c r="G2888" i="1"/>
  <c r="F2888" i="1"/>
  <c r="E2888" i="1"/>
  <c r="I2887" i="1"/>
  <c r="H2887" i="1"/>
  <c r="G2887" i="1"/>
  <c r="F2887" i="1"/>
  <c r="E2887" i="1"/>
  <c r="I2886" i="1"/>
  <c r="H2886" i="1"/>
  <c r="G2886" i="1"/>
  <c r="F2886" i="1"/>
  <c r="E2886" i="1"/>
  <c r="I2885" i="1"/>
  <c r="H2885" i="1"/>
  <c r="G2885" i="1"/>
  <c r="F2885" i="1"/>
  <c r="E2885" i="1"/>
  <c r="I2884" i="1"/>
  <c r="H2884" i="1"/>
  <c r="G2884" i="1"/>
  <c r="F2884" i="1"/>
  <c r="E2884" i="1"/>
  <c r="I2883" i="1"/>
  <c r="H2883" i="1"/>
  <c r="G2883" i="1"/>
  <c r="F2883" i="1"/>
  <c r="E2883" i="1"/>
  <c r="I2882" i="1"/>
  <c r="H2882" i="1"/>
  <c r="G2882" i="1"/>
  <c r="F2882" i="1"/>
  <c r="E2882" i="1"/>
  <c r="I2881" i="1"/>
  <c r="H2881" i="1"/>
  <c r="G2881" i="1"/>
  <c r="F2881" i="1"/>
  <c r="E2881" i="1"/>
  <c r="I2880" i="1"/>
  <c r="H2880" i="1"/>
  <c r="G2880" i="1"/>
  <c r="F2880" i="1"/>
  <c r="E2880" i="1"/>
  <c r="I2879" i="1"/>
  <c r="H2879" i="1"/>
  <c r="G2879" i="1"/>
  <c r="F2879" i="1"/>
  <c r="E2879" i="1"/>
  <c r="I2878" i="1"/>
  <c r="H2878" i="1"/>
  <c r="G2878" i="1"/>
  <c r="F2878" i="1"/>
  <c r="E2878" i="1"/>
  <c r="I2877" i="1"/>
  <c r="H2877" i="1"/>
  <c r="G2877" i="1"/>
  <c r="F2877" i="1"/>
  <c r="E2877" i="1"/>
  <c r="I2876" i="1"/>
  <c r="H2876" i="1"/>
  <c r="G2876" i="1"/>
  <c r="F2876" i="1"/>
  <c r="E2876" i="1"/>
  <c r="I2875" i="1"/>
  <c r="H2875" i="1"/>
  <c r="G2875" i="1"/>
  <c r="F2875" i="1"/>
  <c r="E2875" i="1"/>
  <c r="I2874" i="1"/>
  <c r="H2874" i="1"/>
  <c r="G2874" i="1"/>
  <c r="F2874" i="1"/>
  <c r="E2874" i="1"/>
  <c r="I2873" i="1"/>
  <c r="H2873" i="1"/>
  <c r="G2873" i="1"/>
  <c r="F2873" i="1"/>
  <c r="E2873" i="1"/>
  <c r="I2872" i="1"/>
  <c r="H2872" i="1"/>
  <c r="G2872" i="1"/>
  <c r="F2872" i="1"/>
  <c r="E2872" i="1"/>
  <c r="I2871" i="1"/>
  <c r="H2871" i="1"/>
  <c r="G2871" i="1"/>
  <c r="F2871" i="1"/>
  <c r="E2871" i="1"/>
  <c r="I2870" i="1"/>
  <c r="H2870" i="1"/>
  <c r="G2870" i="1"/>
  <c r="F2870" i="1"/>
  <c r="E2870" i="1"/>
  <c r="I2869" i="1"/>
  <c r="H2869" i="1"/>
  <c r="G2869" i="1"/>
  <c r="F2869" i="1"/>
  <c r="E2869" i="1"/>
  <c r="I2868" i="1"/>
  <c r="H2868" i="1"/>
  <c r="G2868" i="1"/>
  <c r="F2868" i="1"/>
  <c r="E2868" i="1"/>
  <c r="I2867" i="1"/>
  <c r="H2867" i="1"/>
  <c r="G2867" i="1"/>
  <c r="F2867" i="1"/>
  <c r="E2867" i="1"/>
  <c r="I2866" i="1"/>
  <c r="H2866" i="1"/>
  <c r="G2866" i="1"/>
  <c r="F2866" i="1"/>
  <c r="E2866" i="1"/>
  <c r="I2865" i="1"/>
  <c r="H2865" i="1"/>
  <c r="G2865" i="1"/>
  <c r="F2865" i="1"/>
  <c r="E2865" i="1"/>
  <c r="I2864" i="1"/>
  <c r="H2864" i="1"/>
  <c r="G2864" i="1"/>
  <c r="F2864" i="1"/>
  <c r="E2864" i="1"/>
  <c r="I2863" i="1"/>
  <c r="H2863" i="1"/>
  <c r="G2863" i="1"/>
  <c r="F2863" i="1"/>
  <c r="E2863" i="1"/>
  <c r="I2862" i="1"/>
  <c r="H2862" i="1"/>
  <c r="G2862" i="1"/>
  <c r="F2862" i="1"/>
  <c r="E2862" i="1"/>
  <c r="I2861" i="1"/>
  <c r="H2861" i="1"/>
  <c r="G2861" i="1"/>
  <c r="F2861" i="1"/>
  <c r="E2861" i="1"/>
  <c r="I2860" i="1"/>
  <c r="H2860" i="1"/>
  <c r="G2860" i="1"/>
  <c r="F2860" i="1"/>
  <c r="E2860" i="1"/>
  <c r="I2859" i="1"/>
  <c r="H2859" i="1"/>
  <c r="G2859" i="1"/>
  <c r="F2859" i="1"/>
  <c r="E2859" i="1"/>
  <c r="I2858" i="1"/>
  <c r="H2858" i="1"/>
  <c r="G2858" i="1"/>
  <c r="F2858" i="1"/>
  <c r="E2858" i="1"/>
  <c r="I2857" i="1"/>
  <c r="H2857" i="1"/>
  <c r="G2857" i="1"/>
  <c r="F2857" i="1"/>
  <c r="E2857" i="1"/>
  <c r="I2856" i="1"/>
  <c r="H2856" i="1"/>
  <c r="G2856" i="1"/>
  <c r="F2856" i="1"/>
  <c r="E2856" i="1"/>
  <c r="I2855" i="1"/>
  <c r="H2855" i="1"/>
  <c r="G2855" i="1"/>
  <c r="F2855" i="1"/>
  <c r="E2855" i="1"/>
  <c r="I2854" i="1"/>
  <c r="H2854" i="1"/>
  <c r="G2854" i="1"/>
  <c r="F2854" i="1"/>
  <c r="E2854" i="1"/>
  <c r="I2853" i="1"/>
  <c r="H2853" i="1"/>
  <c r="G2853" i="1"/>
  <c r="F2853" i="1"/>
  <c r="E2853" i="1"/>
  <c r="I2852" i="1"/>
  <c r="H2852" i="1"/>
  <c r="G2852" i="1"/>
  <c r="F2852" i="1"/>
  <c r="E2852" i="1"/>
  <c r="I2851" i="1"/>
  <c r="H2851" i="1"/>
  <c r="G2851" i="1"/>
  <c r="F2851" i="1"/>
  <c r="E2851" i="1"/>
  <c r="I2850" i="1"/>
  <c r="H2850" i="1"/>
  <c r="G2850" i="1"/>
  <c r="F2850" i="1"/>
  <c r="E2850" i="1"/>
  <c r="I2849" i="1"/>
  <c r="H2849" i="1"/>
  <c r="G2849" i="1"/>
  <c r="F2849" i="1"/>
  <c r="E2849" i="1"/>
  <c r="I2848" i="1"/>
  <c r="H2848" i="1"/>
  <c r="G2848" i="1"/>
  <c r="F2848" i="1"/>
  <c r="E2848" i="1"/>
  <c r="I2847" i="1"/>
  <c r="H2847" i="1"/>
  <c r="G2847" i="1"/>
  <c r="F2847" i="1"/>
  <c r="E2847" i="1"/>
  <c r="I2846" i="1"/>
  <c r="H2846" i="1"/>
  <c r="G2846" i="1"/>
  <c r="F2846" i="1"/>
  <c r="E2846" i="1"/>
  <c r="I2845" i="1"/>
  <c r="H2845" i="1"/>
  <c r="G2845" i="1"/>
  <c r="F2845" i="1"/>
  <c r="E2845" i="1"/>
  <c r="I2844" i="1"/>
  <c r="H2844" i="1"/>
  <c r="G2844" i="1"/>
  <c r="F2844" i="1"/>
  <c r="E2844" i="1"/>
  <c r="I2843" i="1"/>
  <c r="H2843" i="1"/>
  <c r="G2843" i="1"/>
  <c r="F2843" i="1"/>
  <c r="E2843" i="1"/>
  <c r="I2842" i="1"/>
  <c r="H2842" i="1"/>
  <c r="G2842" i="1"/>
  <c r="F2842" i="1"/>
  <c r="E2842" i="1"/>
  <c r="I2841" i="1"/>
  <c r="H2841" i="1"/>
  <c r="G2841" i="1"/>
  <c r="F2841" i="1"/>
  <c r="E2841" i="1"/>
  <c r="I2840" i="1"/>
  <c r="H2840" i="1"/>
  <c r="G2840" i="1"/>
  <c r="F2840" i="1"/>
  <c r="E2840" i="1"/>
  <c r="I2839" i="1"/>
  <c r="H2839" i="1"/>
  <c r="G2839" i="1"/>
  <c r="F2839" i="1"/>
  <c r="E2839" i="1"/>
  <c r="I2838" i="1"/>
  <c r="H2838" i="1"/>
  <c r="G2838" i="1"/>
  <c r="F2838" i="1"/>
  <c r="E2838" i="1"/>
  <c r="I2837" i="1"/>
  <c r="H2837" i="1"/>
  <c r="G2837" i="1"/>
  <c r="F2837" i="1"/>
  <c r="E2837" i="1"/>
  <c r="I2836" i="1"/>
  <c r="H2836" i="1"/>
  <c r="G2836" i="1"/>
  <c r="F2836" i="1"/>
  <c r="E2836" i="1"/>
  <c r="I2835" i="1"/>
  <c r="H2835" i="1"/>
  <c r="G2835" i="1"/>
  <c r="F2835" i="1"/>
  <c r="E2835" i="1"/>
  <c r="I2834" i="1"/>
  <c r="H2834" i="1"/>
  <c r="G2834" i="1"/>
  <c r="F2834" i="1"/>
  <c r="E2834" i="1"/>
  <c r="I2833" i="1"/>
  <c r="H2833" i="1"/>
  <c r="G2833" i="1"/>
  <c r="F2833" i="1"/>
  <c r="E2833" i="1"/>
  <c r="I2832" i="1"/>
  <c r="H2832" i="1"/>
  <c r="G2832" i="1"/>
  <c r="F2832" i="1"/>
  <c r="E2832" i="1"/>
  <c r="I2831" i="1"/>
  <c r="H2831" i="1"/>
  <c r="G2831" i="1"/>
  <c r="F2831" i="1"/>
  <c r="E2831" i="1"/>
  <c r="I2830" i="1"/>
  <c r="H2830" i="1"/>
  <c r="G2830" i="1"/>
  <c r="F2830" i="1"/>
  <c r="E2830" i="1"/>
  <c r="I2829" i="1"/>
  <c r="H2829" i="1"/>
  <c r="G2829" i="1"/>
  <c r="F2829" i="1"/>
  <c r="E2829" i="1"/>
  <c r="I2828" i="1"/>
  <c r="H2828" i="1"/>
  <c r="G2828" i="1"/>
  <c r="F2828" i="1"/>
  <c r="E2828" i="1"/>
  <c r="I2827" i="1"/>
  <c r="H2827" i="1"/>
  <c r="G2827" i="1"/>
  <c r="F2827" i="1"/>
  <c r="E2827" i="1"/>
  <c r="I2826" i="1"/>
  <c r="H2826" i="1"/>
  <c r="G2826" i="1"/>
  <c r="F2826" i="1"/>
  <c r="E2826" i="1"/>
  <c r="I2825" i="1"/>
  <c r="H2825" i="1"/>
  <c r="G2825" i="1"/>
  <c r="F2825" i="1"/>
  <c r="E2825" i="1"/>
  <c r="I2824" i="1"/>
  <c r="H2824" i="1"/>
  <c r="G2824" i="1"/>
  <c r="F2824" i="1"/>
  <c r="E2824" i="1"/>
  <c r="I2823" i="1"/>
  <c r="H2823" i="1"/>
  <c r="G2823" i="1"/>
  <c r="F2823" i="1"/>
  <c r="E2823" i="1"/>
  <c r="I2822" i="1"/>
  <c r="H2822" i="1"/>
  <c r="G2822" i="1"/>
  <c r="F2822" i="1"/>
  <c r="E2822" i="1"/>
  <c r="I2821" i="1"/>
  <c r="H2821" i="1"/>
  <c r="G2821" i="1"/>
  <c r="F2821" i="1"/>
  <c r="E2821" i="1"/>
  <c r="I2820" i="1"/>
  <c r="H2820" i="1"/>
  <c r="G2820" i="1"/>
  <c r="F2820" i="1"/>
  <c r="E2820" i="1"/>
  <c r="I2819" i="1"/>
  <c r="H2819" i="1"/>
  <c r="G2819" i="1"/>
  <c r="F2819" i="1"/>
  <c r="E2819" i="1"/>
  <c r="I2818" i="1"/>
  <c r="H2818" i="1"/>
  <c r="G2818" i="1"/>
  <c r="F2818" i="1"/>
  <c r="E2818" i="1"/>
  <c r="I2817" i="1"/>
  <c r="H2817" i="1"/>
  <c r="G2817" i="1"/>
  <c r="F2817" i="1"/>
  <c r="E2817" i="1"/>
  <c r="I2816" i="1"/>
  <c r="H2816" i="1"/>
  <c r="G2816" i="1"/>
  <c r="F2816" i="1"/>
  <c r="E2816" i="1"/>
  <c r="I2815" i="1"/>
  <c r="H2815" i="1"/>
  <c r="G2815" i="1"/>
  <c r="F2815" i="1"/>
  <c r="E2815" i="1"/>
  <c r="I2814" i="1"/>
  <c r="H2814" i="1"/>
  <c r="G2814" i="1"/>
  <c r="F2814" i="1"/>
  <c r="E2814" i="1"/>
  <c r="I2813" i="1"/>
  <c r="H2813" i="1"/>
  <c r="G2813" i="1"/>
  <c r="F2813" i="1"/>
  <c r="E2813" i="1"/>
  <c r="I2812" i="1"/>
  <c r="H2812" i="1"/>
  <c r="G2812" i="1"/>
  <c r="F2812" i="1"/>
  <c r="E2812" i="1"/>
  <c r="I2811" i="1"/>
  <c r="H2811" i="1"/>
  <c r="G2811" i="1"/>
  <c r="F2811" i="1"/>
  <c r="E2811" i="1"/>
  <c r="I2810" i="1"/>
  <c r="H2810" i="1"/>
  <c r="G2810" i="1"/>
  <c r="F2810" i="1"/>
  <c r="E2810" i="1"/>
  <c r="I2809" i="1"/>
  <c r="H2809" i="1"/>
  <c r="G2809" i="1"/>
  <c r="F2809" i="1"/>
  <c r="E2809" i="1"/>
  <c r="I2808" i="1"/>
  <c r="H2808" i="1"/>
  <c r="G2808" i="1"/>
  <c r="F2808" i="1"/>
  <c r="E2808" i="1"/>
  <c r="I2807" i="1"/>
  <c r="H2807" i="1"/>
  <c r="G2807" i="1"/>
  <c r="F2807" i="1"/>
  <c r="E2807" i="1"/>
  <c r="I2806" i="1"/>
  <c r="H2806" i="1"/>
  <c r="G2806" i="1"/>
  <c r="F2806" i="1"/>
  <c r="E2806" i="1"/>
  <c r="I2805" i="1"/>
  <c r="H2805" i="1"/>
  <c r="G2805" i="1"/>
  <c r="F2805" i="1"/>
  <c r="E2805" i="1"/>
  <c r="I2804" i="1"/>
  <c r="H2804" i="1"/>
  <c r="G2804" i="1"/>
  <c r="F2804" i="1"/>
  <c r="E2804" i="1"/>
  <c r="I2803" i="1"/>
  <c r="H2803" i="1"/>
  <c r="G2803" i="1"/>
  <c r="F2803" i="1"/>
  <c r="E2803" i="1"/>
  <c r="I2802" i="1"/>
  <c r="H2802" i="1"/>
  <c r="G2802" i="1"/>
  <c r="F2802" i="1"/>
  <c r="E2802" i="1"/>
  <c r="I2801" i="1"/>
  <c r="H2801" i="1"/>
  <c r="G2801" i="1"/>
  <c r="F2801" i="1"/>
  <c r="E2801" i="1"/>
  <c r="I2800" i="1"/>
  <c r="H2800" i="1"/>
  <c r="G2800" i="1"/>
  <c r="F2800" i="1"/>
  <c r="E2800" i="1"/>
  <c r="I2799" i="1"/>
  <c r="H2799" i="1"/>
  <c r="G2799" i="1"/>
  <c r="F2799" i="1"/>
  <c r="E2799" i="1"/>
  <c r="I2798" i="1"/>
  <c r="H2798" i="1"/>
  <c r="G2798" i="1"/>
  <c r="F2798" i="1"/>
  <c r="E2798" i="1"/>
  <c r="I2797" i="1"/>
  <c r="H2797" i="1"/>
  <c r="G2797" i="1"/>
  <c r="F2797" i="1"/>
  <c r="E2797" i="1"/>
  <c r="I2796" i="1"/>
  <c r="H2796" i="1"/>
  <c r="G2796" i="1"/>
  <c r="F2796" i="1"/>
  <c r="E2796" i="1"/>
  <c r="I2795" i="1"/>
  <c r="H2795" i="1"/>
  <c r="G2795" i="1"/>
  <c r="F2795" i="1"/>
  <c r="E2795" i="1"/>
  <c r="I2794" i="1"/>
  <c r="H2794" i="1"/>
  <c r="G2794" i="1"/>
  <c r="F2794" i="1"/>
  <c r="E2794" i="1"/>
  <c r="I2793" i="1"/>
  <c r="H2793" i="1"/>
  <c r="G2793" i="1"/>
  <c r="F2793" i="1"/>
  <c r="E2793" i="1"/>
  <c r="I2792" i="1"/>
  <c r="H2792" i="1"/>
  <c r="G2792" i="1"/>
  <c r="F2792" i="1"/>
  <c r="E2792" i="1"/>
  <c r="I2791" i="1"/>
  <c r="H2791" i="1"/>
  <c r="G2791" i="1"/>
  <c r="F2791" i="1"/>
  <c r="E2791" i="1"/>
  <c r="I2790" i="1"/>
  <c r="H2790" i="1"/>
  <c r="G2790" i="1"/>
  <c r="F2790" i="1"/>
  <c r="E2790" i="1"/>
  <c r="I2789" i="1"/>
  <c r="H2789" i="1"/>
  <c r="G2789" i="1"/>
  <c r="F2789" i="1"/>
  <c r="E2789" i="1"/>
  <c r="I2788" i="1"/>
  <c r="H2788" i="1"/>
  <c r="G2788" i="1"/>
  <c r="F2788" i="1"/>
  <c r="E2788" i="1"/>
  <c r="I2787" i="1"/>
  <c r="H2787" i="1"/>
  <c r="G2787" i="1"/>
  <c r="F2787" i="1"/>
  <c r="E2787" i="1"/>
  <c r="I2786" i="1"/>
  <c r="H2786" i="1"/>
  <c r="G2786" i="1"/>
  <c r="F2786" i="1"/>
  <c r="E2786" i="1"/>
  <c r="I2785" i="1"/>
  <c r="H2785" i="1"/>
  <c r="G2785" i="1"/>
  <c r="F2785" i="1"/>
  <c r="E2785" i="1"/>
  <c r="I2784" i="1"/>
  <c r="H2784" i="1"/>
  <c r="G2784" i="1"/>
  <c r="F2784" i="1"/>
  <c r="E2784" i="1"/>
  <c r="I2783" i="1"/>
  <c r="H2783" i="1"/>
  <c r="G2783" i="1"/>
  <c r="F2783" i="1"/>
  <c r="E2783" i="1"/>
  <c r="I2782" i="1"/>
  <c r="H2782" i="1"/>
  <c r="G2782" i="1"/>
  <c r="F2782" i="1"/>
  <c r="E2782" i="1"/>
  <c r="I2781" i="1"/>
  <c r="H2781" i="1"/>
  <c r="G2781" i="1"/>
  <c r="F2781" i="1"/>
  <c r="E2781" i="1"/>
  <c r="I2780" i="1"/>
  <c r="H2780" i="1"/>
  <c r="G2780" i="1"/>
  <c r="F2780" i="1"/>
  <c r="E2780" i="1"/>
  <c r="I2779" i="1"/>
  <c r="H2779" i="1"/>
  <c r="G2779" i="1"/>
  <c r="F2779" i="1"/>
  <c r="E2779" i="1"/>
  <c r="I2778" i="1"/>
  <c r="H2778" i="1"/>
  <c r="G2778" i="1"/>
  <c r="F2778" i="1"/>
  <c r="E2778" i="1"/>
  <c r="I2777" i="1"/>
  <c r="H2777" i="1"/>
  <c r="G2777" i="1"/>
  <c r="F2777" i="1"/>
  <c r="E2777" i="1"/>
  <c r="I2776" i="1"/>
  <c r="H2776" i="1"/>
  <c r="G2776" i="1"/>
  <c r="F2776" i="1"/>
  <c r="E2776" i="1"/>
  <c r="I2775" i="1"/>
  <c r="H2775" i="1"/>
  <c r="G2775" i="1"/>
  <c r="F2775" i="1"/>
  <c r="E2775" i="1"/>
  <c r="I2774" i="1"/>
  <c r="H2774" i="1"/>
  <c r="G2774" i="1"/>
  <c r="F2774" i="1"/>
  <c r="E2774" i="1"/>
  <c r="I2773" i="1"/>
  <c r="H2773" i="1"/>
  <c r="G2773" i="1"/>
  <c r="F2773" i="1"/>
  <c r="E2773" i="1"/>
  <c r="I2772" i="1"/>
  <c r="H2772" i="1"/>
  <c r="G2772" i="1"/>
  <c r="F2772" i="1"/>
  <c r="E2772" i="1"/>
  <c r="I2771" i="1"/>
  <c r="H2771" i="1"/>
  <c r="G2771" i="1"/>
  <c r="F2771" i="1"/>
  <c r="E2771" i="1"/>
  <c r="I2770" i="1"/>
  <c r="H2770" i="1"/>
  <c r="G2770" i="1"/>
  <c r="F2770" i="1"/>
  <c r="E2770" i="1"/>
  <c r="I2769" i="1"/>
  <c r="H2769" i="1"/>
  <c r="G2769" i="1"/>
  <c r="F2769" i="1"/>
  <c r="E2769" i="1"/>
  <c r="I2768" i="1"/>
  <c r="H2768" i="1"/>
  <c r="G2768" i="1"/>
  <c r="F2768" i="1"/>
  <c r="E2768" i="1"/>
  <c r="I2767" i="1"/>
  <c r="H2767" i="1"/>
  <c r="G2767" i="1"/>
  <c r="F2767" i="1"/>
  <c r="E2767" i="1"/>
  <c r="I2766" i="1"/>
  <c r="H2766" i="1"/>
  <c r="G2766" i="1"/>
  <c r="F2766" i="1"/>
  <c r="E2766" i="1"/>
  <c r="I2765" i="1"/>
  <c r="H2765" i="1"/>
  <c r="G2765" i="1"/>
  <c r="F2765" i="1"/>
  <c r="E2765" i="1"/>
  <c r="I2764" i="1"/>
  <c r="H2764" i="1"/>
  <c r="G2764" i="1"/>
  <c r="F2764" i="1"/>
  <c r="E2764" i="1"/>
  <c r="I2763" i="1"/>
  <c r="H2763" i="1"/>
  <c r="G2763" i="1"/>
  <c r="F2763" i="1"/>
  <c r="E2763" i="1"/>
  <c r="I2762" i="1"/>
  <c r="H2762" i="1"/>
  <c r="G2762" i="1"/>
  <c r="F2762" i="1"/>
  <c r="E2762" i="1"/>
  <c r="I2761" i="1"/>
  <c r="H2761" i="1"/>
  <c r="G2761" i="1"/>
  <c r="F2761" i="1"/>
  <c r="E2761" i="1"/>
  <c r="I2760" i="1"/>
  <c r="H2760" i="1"/>
  <c r="G2760" i="1"/>
  <c r="F2760" i="1"/>
  <c r="E2760" i="1"/>
  <c r="I2759" i="1"/>
  <c r="H2759" i="1"/>
  <c r="G2759" i="1"/>
  <c r="F2759" i="1"/>
  <c r="E2759" i="1"/>
  <c r="I2758" i="1"/>
  <c r="H2758" i="1"/>
  <c r="G2758" i="1"/>
  <c r="F2758" i="1"/>
  <c r="E2758" i="1"/>
  <c r="I2757" i="1"/>
  <c r="H2757" i="1"/>
  <c r="G2757" i="1"/>
  <c r="F2757" i="1"/>
  <c r="E2757" i="1"/>
  <c r="I2756" i="1"/>
  <c r="H2756" i="1"/>
  <c r="G2756" i="1"/>
  <c r="F2756" i="1"/>
  <c r="E2756" i="1"/>
  <c r="I2755" i="1"/>
  <c r="H2755" i="1"/>
  <c r="G2755" i="1"/>
  <c r="F2755" i="1"/>
  <c r="E2755" i="1"/>
  <c r="I2754" i="1"/>
  <c r="H2754" i="1"/>
  <c r="G2754" i="1"/>
  <c r="F2754" i="1"/>
  <c r="E2754" i="1"/>
  <c r="I2753" i="1"/>
  <c r="H2753" i="1"/>
  <c r="G2753" i="1"/>
  <c r="F2753" i="1"/>
  <c r="E2753" i="1"/>
  <c r="I2752" i="1"/>
  <c r="H2752" i="1"/>
  <c r="G2752" i="1"/>
  <c r="F2752" i="1"/>
  <c r="E2752" i="1"/>
  <c r="I2751" i="1"/>
  <c r="H2751" i="1"/>
  <c r="G2751" i="1"/>
  <c r="F2751" i="1"/>
  <c r="E2751" i="1"/>
  <c r="I2750" i="1"/>
  <c r="H2750" i="1"/>
  <c r="G2750" i="1"/>
  <c r="F2750" i="1"/>
  <c r="E2750" i="1"/>
  <c r="I2749" i="1"/>
  <c r="H2749" i="1"/>
  <c r="G2749" i="1"/>
  <c r="F2749" i="1"/>
  <c r="E2749" i="1"/>
  <c r="I2748" i="1"/>
  <c r="H2748" i="1"/>
  <c r="G2748" i="1"/>
  <c r="F2748" i="1"/>
  <c r="E2748" i="1"/>
  <c r="I2747" i="1"/>
  <c r="H2747" i="1"/>
  <c r="G2747" i="1"/>
  <c r="F2747" i="1"/>
  <c r="E2747" i="1"/>
  <c r="I2746" i="1"/>
  <c r="H2746" i="1"/>
  <c r="G2746" i="1"/>
  <c r="F2746" i="1"/>
  <c r="E2746" i="1"/>
  <c r="I2745" i="1"/>
  <c r="H2745" i="1"/>
  <c r="G2745" i="1"/>
  <c r="F2745" i="1"/>
  <c r="E2745" i="1"/>
  <c r="I2744" i="1"/>
  <c r="H2744" i="1"/>
  <c r="G2744" i="1"/>
  <c r="F2744" i="1"/>
  <c r="E2744" i="1"/>
  <c r="I2743" i="1"/>
  <c r="H2743" i="1"/>
  <c r="G2743" i="1"/>
  <c r="F2743" i="1"/>
  <c r="E2743" i="1"/>
  <c r="I2742" i="1"/>
  <c r="H2742" i="1"/>
  <c r="G2742" i="1"/>
  <c r="F2742" i="1"/>
  <c r="E2742" i="1"/>
  <c r="I2741" i="1"/>
  <c r="H2741" i="1"/>
  <c r="G2741" i="1"/>
  <c r="F2741" i="1"/>
  <c r="E2741" i="1"/>
  <c r="I2740" i="1"/>
  <c r="H2740" i="1"/>
  <c r="G2740" i="1"/>
  <c r="F2740" i="1"/>
  <c r="E2740" i="1"/>
  <c r="I2739" i="1"/>
  <c r="H2739" i="1"/>
  <c r="G2739" i="1"/>
  <c r="F2739" i="1"/>
  <c r="E2739" i="1"/>
  <c r="I2738" i="1"/>
  <c r="H2738" i="1"/>
  <c r="G2738" i="1"/>
  <c r="F2738" i="1"/>
  <c r="E2738" i="1"/>
  <c r="I2737" i="1"/>
  <c r="H2737" i="1"/>
  <c r="G2737" i="1"/>
  <c r="F2737" i="1"/>
  <c r="E2737" i="1"/>
  <c r="I2736" i="1"/>
  <c r="H2736" i="1"/>
  <c r="G2736" i="1"/>
  <c r="F2736" i="1"/>
  <c r="E2736" i="1"/>
  <c r="I2735" i="1"/>
  <c r="H2735" i="1"/>
  <c r="G2735" i="1"/>
  <c r="F2735" i="1"/>
  <c r="E2735" i="1"/>
  <c r="I2734" i="1"/>
  <c r="H2734" i="1"/>
  <c r="G2734" i="1"/>
  <c r="F2734" i="1"/>
  <c r="E2734" i="1"/>
  <c r="I2733" i="1"/>
  <c r="H2733" i="1"/>
  <c r="G2733" i="1"/>
  <c r="F2733" i="1"/>
  <c r="E2733" i="1"/>
  <c r="I2732" i="1"/>
  <c r="H2732" i="1"/>
  <c r="G2732" i="1"/>
  <c r="F2732" i="1"/>
  <c r="E2732" i="1"/>
  <c r="I2731" i="1"/>
  <c r="H2731" i="1"/>
  <c r="G2731" i="1"/>
  <c r="F2731" i="1"/>
  <c r="E2731" i="1"/>
  <c r="I2730" i="1"/>
  <c r="H2730" i="1"/>
  <c r="G2730" i="1"/>
  <c r="F2730" i="1"/>
  <c r="E2730" i="1"/>
  <c r="I2729" i="1"/>
  <c r="H2729" i="1"/>
  <c r="G2729" i="1"/>
  <c r="F2729" i="1"/>
  <c r="E2729" i="1"/>
  <c r="I2728" i="1"/>
  <c r="H2728" i="1"/>
  <c r="G2728" i="1"/>
  <c r="F2728" i="1"/>
  <c r="E2728" i="1"/>
  <c r="I2727" i="1"/>
  <c r="H2727" i="1"/>
  <c r="G2727" i="1"/>
  <c r="F2727" i="1"/>
  <c r="E2727" i="1"/>
  <c r="I2726" i="1"/>
  <c r="H2726" i="1"/>
  <c r="G2726" i="1"/>
  <c r="F2726" i="1"/>
  <c r="E2726" i="1"/>
  <c r="I2725" i="1"/>
  <c r="H2725" i="1"/>
  <c r="G2725" i="1"/>
  <c r="F2725" i="1"/>
  <c r="E2725" i="1"/>
  <c r="I2724" i="1"/>
  <c r="H2724" i="1"/>
  <c r="G2724" i="1"/>
  <c r="F2724" i="1"/>
  <c r="E2724" i="1"/>
  <c r="I2723" i="1"/>
  <c r="H2723" i="1"/>
  <c r="G2723" i="1"/>
  <c r="F2723" i="1"/>
  <c r="E2723" i="1"/>
  <c r="I2722" i="1"/>
  <c r="H2722" i="1"/>
  <c r="G2722" i="1"/>
  <c r="F2722" i="1"/>
  <c r="E2722" i="1"/>
  <c r="I2721" i="1"/>
  <c r="H2721" i="1"/>
  <c r="G2721" i="1"/>
  <c r="F2721" i="1"/>
  <c r="E2721" i="1"/>
  <c r="I2720" i="1"/>
  <c r="H2720" i="1"/>
  <c r="G2720" i="1"/>
  <c r="F2720" i="1"/>
  <c r="E2720" i="1"/>
  <c r="I2719" i="1"/>
  <c r="H2719" i="1"/>
  <c r="G2719" i="1"/>
  <c r="F2719" i="1"/>
  <c r="E2719" i="1"/>
  <c r="I2718" i="1"/>
  <c r="H2718" i="1"/>
  <c r="G2718" i="1"/>
  <c r="F2718" i="1"/>
  <c r="E2718" i="1"/>
  <c r="I2717" i="1"/>
  <c r="H2717" i="1"/>
  <c r="G2717" i="1"/>
  <c r="F2717" i="1"/>
  <c r="E2717" i="1"/>
  <c r="I2716" i="1"/>
  <c r="H2716" i="1"/>
  <c r="G2716" i="1"/>
  <c r="F2716" i="1"/>
  <c r="E2716" i="1"/>
  <c r="I2715" i="1"/>
  <c r="H2715" i="1"/>
  <c r="G2715" i="1"/>
  <c r="F2715" i="1"/>
  <c r="E2715" i="1"/>
  <c r="I2714" i="1"/>
  <c r="H2714" i="1"/>
  <c r="G2714" i="1"/>
  <c r="F2714" i="1"/>
  <c r="E2714" i="1"/>
  <c r="I2713" i="1"/>
  <c r="H2713" i="1"/>
  <c r="G2713" i="1"/>
  <c r="F2713" i="1"/>
  <c r="E2713" i="1"/>
  <c r="I2712" i="1"/>
  <c r="H2712" i="1"/>
  <c r="G2712" i="1"/>
  <c r="F2712" i="1"/>
  <c r="E2712" i="1"/>
  <c r="I2711" i="1"/>
  <c r="H2711" i="1"/>
  <c r="G2711" i="1"/>
  <c r="F2711" i="1"/>
  <c r="E2711" i="1"/>
  <c r="I2710" i="1"/>
  <c r="H2710" i="1"/>
  <c r="G2710" i="1"/>
  <c r="F2710" i="1"/>
  <c r="E2710" i="1"/>
  <c r="I2709" i="1"/>
  <c r="H2709" i="1"/>
  <c r="G2709" i="1"/>
  <c r="F2709" i="1"/>
  <c r="E2709" i="1"/>
  <c r="I2708" i="1"/>
  <c r="H2708" i="1"/>
  <c r="G2708" i="1"/>
  <c r="F2708" i="1"/>
  <c r="E2708" i="1"/>
  <c r="I2707" i="1"/>
  <c r="H2707" i="1"/>
  <c r="G2707" i="1"/>
  <c r="F2707" i="1"/>
  <c r="E2707" i="1"/>
  <c r="I2706" i="1"/>
  <c r="H2706" i="1"/>
  <c r="G2706" i="1"/>
  <c r="F2706" i="1"/>
  <c r="E2706" i="1"/>
  <c r="I2705" i="1"/>
  <c r="H2705" i="1"/>
  <c r="G2705" i="1"/>
  <c r="F2705" i="1"/>
  <c r="E2705" i="1"/>
  <c r="I2704" i="1"/>
  <c r="H2704" i="1"/>
  <c r="G2704" i="1"/>
  <c r="F2704" i="1"/>
  <c r="E2704" i="1"/>
  <c r="I2703" i="1"/>
  <c r="H2703" i="1"/>
  <c r="G2703" i="1"/>
  <c r="F2703" i="1"/>
  <c r="E2703" i="1"/>
  <c r="I2702" i="1"/>
  <c r="H2702" i="1"/>
  <c r="G2702" i="1"/>
  <c r="F2702" i="1"/>
  <c r="E2702" i="1"/>
  <c r="I2701" i="1"/>
  <c r="H2701" i="1"/>
  <c r="G2701" i="1"/>
  <c r="F2701" i="1"/>
  <c r="E2701" i="1"/>
  <c r="I2700" i="1"/>
  <c r="H2700" i="1"/>
  <c r="G2700" i="1"/>
  <c r="F2700" i="1"/>
  <c r="E2700" i="1"/>
  <c r="I2699" i="1"/>
  <c r="H2699" i="1"/>
  <c r="G2699" i="1"/>
  <c r="F2699" i="1"/>
  <c r="E2699" i="1"/>
  <c r="I2698" i="1"/>
  <c r="H2698" i="1"/>
  <c r="G2698" i="1"/>
  <c r="F2698" i="1"/>
  <c r="E2698" i="1"/>
  <c r="I2697" i="1"/>
  <c r="H2697" i="1"/>
  <c r="G2697" i="1"/>
  <c r="F2697" i="1"/>
  <c r="E2697" i="1"/>
  <c r="I2696" i="1"/>
  <c r="H2696" i="1"/>
  <c r="G2696" i="1"/>
  <c r="F2696" i="1"/>
  <c r="E2696" i="1"/>
  <c r="I2695" i="1"/>
  <c r="H2695" i="1"/>
  <c r="G2695" i="1"/>
  <c r="F2695" i="1"/>
  <c r="E2695" i="1"/>
  <c r="I2694" i="1"/>
  <c r="H2694" i="1"/>
  <c r="G2694" i="1"/>
  <c r="F2694" i="1"/>
  <c r="E2694" i="1"/>
  <c r="I2693" i="1"/>
  <c r="H2693" i="1"/>
  <c r="G2693" i="1"/>
  <c r="F2693" i="1"/>
  <c r="E2693" i="1"/>
  <c r="I2692" i="1"/>
  <c r="H2692" i="1"/>
  <c r="G2692" i="1"/>
  <c r="F2692" i="1"/>
  <c r="E2692" i="1"/>
  <c r="I2691" i="1"/>
  <c r="H2691" i="1"/>
  <c r="G2691" i="1"/>
  <c r="F2691" i="1"/>
  <c r="E2691" i="1"/>
  <c r="I2690" i="1"/>
  <c r="H2690" i="1"/>
  <c r="G2690" i="1"/>
  <c r="F2690" i="1"/>
  <c r="E2690" i="1"/>
  <c r="I2689" i="1"/>
  <c r="H2689" i="1"/>
  <c r="G2689" i="1"/>
  <c r="F2689" i="1"/>
  <c r="E2689" i="1"/>
  <c r="I2688" i="1"/>
  <c r="H2688" i="1"/>
  <c r="G2688" i="1"/>
  <c r="F2688" i="1"/>
  <c r="E2688" i="1"/>
  <c r="I2687" i="1"/>
  <c r="H2687" i="1"/>
  <c r="G2687" i="1"/>
  <c r="F2687" i="1"/>
  <c r="E2687" i="1"/>
  <c r="I2686" i="1"/>
  <c r="H2686" i="1"/>
  <c r="G2686" i="1"/>
  <c r="F2686" i="1"/>
  <c r="E2686" i="1"/>
  <c r="I2685" i="1"/>
  <c r="H2685" i="1"/>
  <c r="G2685" i="1"/>
  <c r="F2685" i="1"/>
  <c r="E2685" i="1"/>
  <c r="I2684" i="1"/>
  <c r="H2684" i="1"/>
  <c r="G2684" i="1"/>
  <c r="F2684" i="1"/>
  <c r="E2684" i="1"/>
  <c r="I2683" i="1"/>
  <c r="H2683" i="1"/>
  <c r="G2683" i="1"/>
  <c r="F2683" i="1"/>
  <c r="E2683" i="1"/>
  <c r="I2682" i="1"/>
  <c r="H2682" i="1"/>
  <c r="G2682" i="1"/>
  <c r="F2682" i="1"/>
  <c r="E2682" i="1"/>
  <c r="I2681" i="1"/>
  <c r="H2681" i="1"/>
  <c r="G2681" i="1"/>
  <c r="F2681" i="1"/>
  <c r="E2681" i="1"/>
  <c r="I2680" i="1"/>
  <c r="H2680" i="1"/>
  <c r="G2680" i="1"/>
  <c r="F2680" i="1"/>
  <c r="E2680" i="1"/>
  <c r="I2679" i="1"/>
  <c r="H2679" i="1"/>
  <c r="G2679" i="1"/>
  <c r="F2679" i="1"/>
  <c r="E2679" i="1"/>
  <c r="I2678" i="1"/>
  <c r="H2678" i="1"/>
  <c r="G2678" i="1"/>
  <c r="F2678" i="1"/>
  <c r="E2678" i="1"/>
  <c r="I2677" i="1"/>
  <c r="H2677" i="1"/>
  <c r="G2677" i="1"/>
  <c r="F2677" i="1"/>
  <c r="E2677" i="1"/>
  <c r="I2676" i="1"/>
  <c r="H2676" i="1"/>
  <c r="G2676" i="1"/>
  <c r="F2676" i="1"/>
  <c r="E2676" i="1"/>
  <c r="I2675" i="1"/>
  <c r="H2675" i="1"/>
  <c r="G2675" i="1"/>
  <c r="F2675" i="1"/>
  <c r="E2675" i="1"/>
  <c r="I2674" i="1"/>
  <c r="H2674" i="1"/>
  <c r="G2674" i="1"/>
  <c r="F2674" i="1"/>
  <c r="E2674" i="1"/>
  <c r="I2673" i="1"/>
  <c r="H2673" i="1"/>
  <c r="G2673" i="1"/>
  <c r="F2673" i="1"/>
  <c r="E2673" i="1"/>
  <c r="I2672" i="1"/>
  <c r="H2672" i="1"/>
  <c r="G2672" i="1"/>
  <c r="F2672" i="1"/>
  <c r="E2672" i="1"/>
  <c r="I2671" i="1"/>
  <c r="H2671" i="1"/>
  <c r="G2671" i="1"/>
  <c r="F2671" i="1"/>
  <c r="E2671" i="1"/>
  <c r="I2670" i="1"/>
  <c r="H2670" i="1"/>
  <c r="G2670" i="1"/>
  <c r="F2670" i="1"/>
  <c r="E2670" i="1"/>
  <c r="I2669" i="1"/>
  <c r="H2669" i="1"/>
  <c r="G2669" i="1"/>
  <c r="F2669" i="1"/>
  <c r="E2669" i="1"/>
  <c r="I2668" i="1"/>
  <c r="H2668" i="1"/>
  <c r="G2668" i="1"/>
  <c r="F2668" i="1"/>
  <c r="E2668" i="1"/>
  <c r="I2667" i="1"/>
  <c r="H2667" i="1"/>
  <c r="G2667" i="1"/>
  <c r="F2667" i="1"/>
  <c r="E2667" i="1"/>
  <c r="I2666" i="1"/>
  <c r="H2666" i="1"/>
  <c r="G2666" i="1"/>
  <c r="F2666" i="1"/>
  <c r="E2666" i="1"/>
  <c r="I2665" i="1"/>
  <c r="H2665" i="1"/>
  <c r="G2665" i="1"/>
  <c r="F2665" i="1"/>
  <c r="E2665" i="1"/>
  <c r="I2664" i="1"/>
  <c r="H2664" i="1"/>
  <c r="G2664" i="1"/>
  <c r="F2664" i="1"/>
  <c r="E2664" i="1"/>
  <c r="I2663" i="1"/>
  <c r="H2663" i="1"/>
  <c r="G2663" i="1"/>
  <c r="F2663" i="1"/>
  <c r="E2663" i="1"/>
  <c r="I2662" i="1"/>
  <c r="H2662" i="1"/>
  <c r="G2662" i="1"/>
  <c r="F2662" i="1"/>
  <c r="E2662" i="1"/>
  <c r="I2661" i="1"/>
  <c r="H2661" i="1"/>
  <c r="G2661" i="1"/>
  <c r="F2661" i="1"/>
  <c r="E2661" i="1"/>
  <c r="I2660" i="1"/>
  <c r="H2660" i="1"/>
  <c r="G2660" i="1"/>
  <c r="F2660" i="1"/>
  <c r="E2660" i="1"/>
  <c r="I2659" i="1"/>
  <c r="H2659" i="1"/>
  <c r="G2659" i="1"/>
  <c r="F2659" i="1"/>
  <c r="E2659" i="1"/>
  <c r="I2658" i="1"/>
  <c r="H2658" i="1"/>
  <c r="G2658" i="1"/>
  <c r="F2658" i="1"/>
  <c r="E2658" i="1"/>
  <c r="I2657" i="1"/>
  <c r="H2657" i="1"/>
  <c r="G2657" i="1"/>
  <c r="F2657" i="1"/>
  <c r="E2657" i="1"/>
  <c r="I2656" i="1"/>
  <c r="H2656" i="1"/>
  <c r="G2656" i="1"/>
  <c r="F2656" i="1"/>
  <c r="E2656" i="1"/>
  <c r="I2655" i="1"/>
  <c r="H2655" i="1"/>
  <c r="G2655" i="1"/>
  <c r="F2655" i="1"/>
  <c r="E2655" i="1"/>
  <c r="I2654" i="1"/>
  <c r="H2654" i="1"/>
  <c r="G2654" i="1"/>
  <c r="F2654" i="1"/>
  <c r="E2654" i="1"/>
  <c r="I2653" i="1"/>
  <c r="H2653" i="1"/>
  <c r="G2653" i="1"/>
  <c r="F2653" i="1"/>
  <c r="E2653" i="1"/>
  <c r="I2652" i="1"/>
  <c r="H2652" i="1"/>
  <c r="G2652" i="1"/>
  <c r="F2652" i="1"/>
  <c r="E2652" i="1"/>
  <c r="I2651" i="1"/>
  <c r="H2651" i="1"/>
  <c r="G2651" i="1"/>
  <c r="F2651" i="1"/>
  <c r="E2651" i="1"/>
  <c r="I2650" i="1"/>
  <c r="H2650" i="1"/>
  <c r="G2650" i="1"/>
  <c r="F2650" i="1"/>
  <c r="E2650" i="1"/>
  <c r="I2649" i="1"/>
  <c r="H2649" i="1"/>
  <c r="G2649" i="1"/>
  <c r="F2649" i="1"/>
  <c r="E2649" i="1"/>
  <c r="I2648" i="1"/>
  <c r="H2648" i="1"/>
  <c r="G2648" i="1"/>
  <c r="F2648" i="1"/>
  <c r="E2648" i="1"/>
  <c r="I2647" i="1"/>
  <c r="H2647" i="1"/>
  <c r="G2647" i="1"/>
  <c r="F2647" i="1"/>
  <c r="E2647" i="1"/>
  <c r="I2646" i="1"/>
  <c r="H2646" i="1"/>
  <c r="G2646" i="1"/>
  <c r="F2646" i="1"/>
  <c r="E2646" i="1"/>
  <c r="I2645" i="1"/>
  <c r="H2645" i="1"/>
  <c r="G2645" i="1"/>
  <c r="F2645" i="1"/>
  <c r="E2645" i="1"/>
  <c r="I2644" i="1"/>
  <c r="H2644" i="1"/>
  <c r="G2644" i="1"/>
  <c r="F2644" i="1"/>
  <c r="E2644" i="1"/>
  <c r="I2643" i="1"/>
  <c r="H2643" i="1"/>
  <c r="G2643" i="1"/>
  <c r="F2643" i="1"/>
  <c r="E2643" i="1"/>
  <c r="I2642" i="1"/>
  <c r="H2642" i="1"/>
  <c r="G2642" i="1"/>
  <c r="F2642" i="1"/>
  <c r="E2642" i="1"/>
  <c r="I2641" i="1"/>
  <c r="H2641" i="1"/>
  <c r="G2641" i="1"/>
  <c r="F2641" i="1"/>
  <c r="E2641" i="1"/>
  <c r="I2640" i="1"/>
  <c r="H2640" i="1"/>
  <c r="G2640" i="1"/>
  <c r="F2640" i="1"/>
  <c r="E2640" i="1"/>
  <c r="I2639" i="1"/>
  <c r="H2639" i="1"/>
  <c r="G2639" i="1"/>
  <c r="F2639" i="1"/>
  <c r="E2639" i="1"/>
  <c r="I2638" i="1"/>
  <c r="H2638" i="1"/>
  <c r="G2638" i="1"/>
  <c r="F2638" i="1"/>
  <c r="E2638" i="1"/>
  <c r="I2637" i="1"/>
  <c r="H2637" i="1"/>
  <c r="G2637" i="1"/>
  <c r="F2637" i="1"/>
  <c r="E2637" i="1"/>
  <c r="I2636" i="1"/>
  <c r="H2636" i="1"/>
  <c r="G2636" i="1"/>
  <c r="F2636" i="1"/>
  <c r="E2636" i="1"/>
  <c r="I2635" i="1"/>
  <c r="H2635" i="1"/>
  <c r="G2635" i="1"/>
  <c r="F2635" i="1"/>
  <c r="E2635" i="1"/>
  <c r="I2634" i="1"/>
  <c r="H2634" i="1"/>
  <c r="G2634" i="1"/>
  <c r="F2634" i="1"/>
  <c r="E2634" i="1"/>
  <c r="I2633" i="1"/>
  <c r="H2633" i="1"/>
  <c r="G2633" i="1"/>
  <c r="F2633" i="1"/>
  <c r="E2633" i="1"/>
  <c r="I2632" i="1"/>
  <c r="H2632" i="1"/>
  <c r="G2632" i="1"/>
  <c r="F2632" i="1"/>
  <c r="E2632" i="1"/>
  <c r="I2631" i="1"/>
  <c r="H2631" i="1"/>
  <c r="G2631" i="1"/>
  <c r="F2631" i="1"/>
  <c r="E2631" i="1"/>
  <c r="I2630" i="1"/>
  <c r="H2630" i="1"/>
  <c r="G2630" i="1"/>
  <c r="F2630" i="1"/>
  <c r="E2630" i="1"/>
  <c r="I2629" i="1"/>
  <c r="H2629" i="1"/>
  <c r="G2629" i="1"/>
  <c r="F2629" i="1"/>
  <c r="E2629" i="1"/>
  <c r="I2628" i="1"/>
  <c r="H2628" i="1"/>
  <c r="G2628" i="1"/>
  <c r="F2628" i="1"/>
  <c r="E2628" i="1"/>
  <c r="I2627" i="1"/>
  <c r="H2627" i="1"/>
  <c r="G2627" i="1"/>
  <c r="F2627" i="1"/>
  <c r="E2627" i="1"/>
  <c r="I2626" i="1"/>
  <c r="H2626" i="1"/>
  <c r="G2626" i="1"/>
  <c r="F2626" i="1"/>
  <c r="E2626" i="1"/>
  <c r="I2625" i="1"/>
  <c r="H2625" i="1"/>
  <c r="G2625" i="1"/>
  <c r="F2625" i="1"/>
  <c r="E2625" i="1"/>
  <c r="I2624" i="1"/>
  <c r="H2624" i="1"/>
  <c r="G2624" i="1"/>
  <c r="F2624" i="1"/>
  <c r="E2624" i="1"/>
  <c r="I2623" i="1"/>
  <c r="H2623" i="1"/>
  <c r="G2623" i="1"/>
  <c r="F2623" i="1"/>
  <c r="E2623" i="1"/>
  <c r="I2622" i="1"/>
  <c r="H2622" i="1"/>
  <c r="G2622" i="1"/>
  <c r="F2622" i="1"/>
  <c r="E2622" i="1"/>
  <c r="I2621" i="1"/>
  <c r="H2621" i="1"/>
  <c r="G2621" i="1"/>
  <c r="F2621" i="1"/>
  <c r="E2621" i="1"/>
  <c r="I2620" i="1"/>
  <c r="H2620" i="1"/>
  <c r="G2620" i="1"/>
  <c r="F2620" i="1"/>
  <c r="E2620" i="1"/>
  <c r="I2619" i="1"/>
  <c r="H2619" i="1"/>
  <c r="G2619" i="1"/>
  <c r="F2619" i="1"/>
  <c r="E2619" i="1"/>
  <c r="I2618" i="1"/>
  <c r="H2618" i="1"/>
  <c r="G2618" i="1"/>
  <c r="F2618" i="1"/>
  <c r="E2618" i="1"/>
  <c r="I2617" i="1"/>
  <c r="H2617" i="1"/>
  <c r="G2617" i="1"/>
  <c r="F2617" i="1"/>
  <c r="E2617" i="1"/>
  <c r="I2616" i="1"/>
  <c r="H2616" i="1"/>
  <c r="G2616" i="1"/>
  <c r="F2616" i="1"/>
  <c r="E2616" i="1"/>
  <c r="I2615" i="1"/>
  <c r="H2615" i="1"/>
  <c r="G2615" i="1"/>
  <c r="F2615" i="1"/>
  <c r="E2615" i="1"/>
  <c r="I2614" i="1"/>
  <c r="H2614" i="1"/>
  <c r="G2614" i="1"/>
  <c r="F2614" i="1"/>
  <c r="E2614" i="1"/>
  <c r="I2613" i="1"/>
  <c r="H2613" i="1"/>
  <c r="G2613" i="1"/>
  <c r="F2613" i="1"/>
  <c r="E2613" i="1"/>
  <c r="I2612" i="1"/>
  <c r="H2612" i="1"/>
  <c r="G2612" i="1"/>
  <c r="F2612" i="1"/>
  <c r="E2612" i="1"/>
  <c r="I2611" i="1"/>
  <c r="H2611" i="1"/>
  <c r="G2611" i="1"/>
  <c r="F2611" i="1"/>
  <c r="E2611" i="1"/>
  <c r="I2610" i="1"/>
  <c r="H2610" i="1"/>
  <c r="G2610" i="1"/>
  <c r="F2610" i="1"/>
  <c r="E2610" i="1"/>
  <c r="I2609" i="1"/>
  <c r="H2609" i="1"/>
  <c r="G2609" i="1"/>
  <c r="F2609" i="1"/>
  <c r="E2609" i="1"/>
  <c r="I2608" i="1"/>
  <c r="H2608" i="1"/>
  <c r="G2608" i="1"/>
  <c r="F2608" i="1"/>
  <c r="E2608" i="1"/>
  <c r="I2607" i="1"/>
  <c r="H2607" i="1"/>
  <c r="G2607" i="1"/>
  <c r="F2607" i="1"/>
  <c r="E2607" i="1"/>
  <c r="I2606" i="1"/>
  <c r="H2606" i="1"/>
  <c r="G2606" i="1"/>
  <c r="F2606" i="1"/>
  <c r="E2606" i="1"/>
  <c r="I2605" i="1"/>
  <c r="H2605" i="1"/>
  <c r="G2605" i="1"/>
  <c r="F2605" i="1"/>
  <c r="E2605" i="1"/>
  <c r="I2604" i="1"/>
  <c r="H2604" i="1"/>
  <c r="G2604" i="1"/>
  <c r="F2604" i="1"/>
  <c r="E2604" i="1"/>
  <c r="I2603" i="1"/>
  <c r="H2603" i="1"/>
  <c r="G2603" i="1"/>
  <c r="F2603" i="1"/>
  <c r="E2603" i="1"/>
  <c r="I2602" i="1"/>
  <c r="H2602" i="1"/>
  <c r="G2602" i="1"/>
  <c r="F2602" i="1"/>
  <c r="E2602" i="1"/>
  <c r="I2601" i="1"/>
  <c r="H2601" i="1"/>
  <c r="G2601" i="1"/>
  <c r="F2601" i="1"/>
  <c r="E2601" i="1"/>
  <c r="I2600" i="1"/>
  <c r="H2600" i="1"/>
  <c r="G2600" i="1"/>
  <c r="F2600" i="1"/>
  <c r="E2600" i="1"/>
  <c r="I2599" i="1"/>
  <c r="H2599" i="1"/>
  <c r="G2599" i="1"/>
  <c r="F2599" i="1"/>
  <c r="E2599" i="1"/>
  <c r="I2598" i="1"/>
  <c r="H2598" i="1"/>
  <c r="G2598" i="1"/>
  <c r="F2598" i="1"/>
  <c r="E2598" i="1"/>
  <c r="I2597" i="1"/>
  <c r="H2597" i="1"/>
  <c r="G2597" i="1"/>
  <c r="F2597" i="1"/>
  <c r="E2597" i="1"/>
  <c r="I2596" i="1"/>
  <c r="H2596" i="1"/>
  <c r="G2596" i="1"/>
  <c r="F2596" i="1"/>
  <c r="E2596" i="1"/>
  <c r="I2595" i="1"/>
  <c r="H2595" i="1"/>
  <c r="G2595" i="1"/>
  <c r="F2595" i="1"/>
  <c r="E2595" i="1"/>
  <c r="I2594" i="1"/>
  <c r="H2594" i="1"/>
  <c r="G2594" i="1"/>
  <c r="F2594" i="1"/>
  <c r="E2594" i="1"/>
  <c r="I2593" i="1"/>
  <c r="H2593" i="1"/>
  <c r="G2593" i="1"/>
  <c r="F2593" i="1"/>
  <c r="E2593" i="1"/>
  <c r="I2592" i="1"/>
  <c r="H2592" i="1"/>
  <c r="G2592" i="1"/>
  <c r="F2592" i="1"/>
  <c r="E2592" i="1"/>
  <c r="I2591" i="1"/>
  <c r="H2591" i="1"/>
  <c r="G2591" i="1"/>
  <c r="F2591" i="1"/>
  <c r="E2591" i="1"/>
  <c r="I2590" i="1"/>
  <c r="H2590" i="1"/>
  <c r="G2590" i="1"/>
  <c r="F2590" i="1"/>
  <c r="E2590" i="1"/>
  <c r="I2589" i="1"/>
  <c r="H2589" i="1"/>
  <c r="G2589" i="1"/>
  <c r="F2589" i="1"/>
  <c r="E2589" i="1"/>
  <c r="I2588" i="1"/>
  <c r="H2588" i="1"/>
  <c r="G2588" i="1"/>
  <c r="F2588" i="1"/>
  <c r="E2588" i="1"/>
  <c r="I2587" i="1"/>
  <c r="H2587" i="1"/>
  <c r="G2587" i="1"/>
  <c r="F2587" i="1"/>
  <c r="E2587" i="1"/>
  <c r="I2586" i="1"/>
  <c r="H2586" i="1"/>
  <c r="G2586" i="1"/>
  <c r="F2586" i="1"/>
  <c r="E2586" i="1"/>
  <c r="I2585" i="1"/>
  <c r="H2585" i="1"/>
  <c r="G2585" i="1"/>
  <c r="F2585" i="1"/>
  <c r="E2585" i="1"/>
  <c r="I2584" i="1"/>
  <c r="H2584" i="1"/>
  <c r="G2584" i="1"/>
  <c r="F2584" i="1"/>
  <c r="E2584" i="1"/>
  <c r="I2583" i="1"/>
  <c r="H2583" i="1"/>
  <c r="G2583" i="1"/>
  <c r="F2583" i="1"/>
  <c r="E2583" i="1"/>
  <c r="I2582" i="1"/>
  <c r="H2582" i="1"/>
  <c r="G2582" i="1"/>
  <c r="F2582" i="1"/>
  <c r="E2582" i="1"/>
  <c r="I2581" i="1"/>
  <c r="H2581" i="1"/>
  <c r="G2581" i="1"/>
  <c r="F2581" i="1"/>
  <c r="E2581" i="1"/>
  <c r="I2580" i="1"/>
  <c r="H2580" i="1"/>
  <c r="G2580" i="1"/>
  <c r="F2580" i="1"/>
  <c r="E2580" i="1"/>
  <c r="I2579" i="1"/>
  <c r="H2579" i="1"/>
  <c r="G2579" i="1"/>
  <c r="F2579" i="1"/>
  <c r="E2579" i="1"/>
  <c r="I2578" i="1"/>
  <c r="H2578" i="1"/>
  <c r="G2578" i="1"/>
  <c r="F2578" i="1"/>
  <c r="E2578" i="1"/>
  <c r="I2577" i="1"/>
  <c r="H2577" i="1"/>
  <c r="G2577" i="1"/>
  <c r="F2577" i="1"/>
  <c r="E2577" i="1"/>
  <c r="I2576" i="1"/>
  <c r="H2576" i="1"/>
  <c r="G2576" i="1"/>
  <c r="F2576" i="1"/>
  <c r="E2576" i="1"/>
  <c r="I2575" i="1"/>
  <c r="H2575" i="1"/>
  <c r="G2575" i="1"/>
  <c r="F2575" i="1"/>
  <c r="E2575" i="1"/>
  <c r="I2574" i="1"/>
  <c r="H2574" i="1"/>
  <c r="G2574" i="1"/>
  <c r="F2574" i="1"/>
  <c r="E2574" i="1"/>
  <c r="I2573" i="1"/>
  <c r="H2573" i="1"/>
  <c r="G2573" i="1"/>
  <c r="F2573" i="1"/>
  <c r="E2573" i="1"/>
  <c r="I2572" i="1"/>
  <c r="H2572" i="1"/>
  <c r="G2572" i="1"/>
  <c r="F2572" i="1"/>
  <c r="E2572" i="1"/>
  <c r="I2571" i="1"/>
  <c r="H2571" i="1"/>
  <c r="G2571" i="1"/>
  <c r="F2571" i="1"/>
  <c r="E2571" i="1"/>
  <c r="I2570" i="1"/>
  <c r="H2570" i="1"/>
  <c r="G2570" i="1"/>
  <c r="F2570" i="1"/>
  <c r="E2570" i="1"/>
  <c r="I2569" i="1"/>
  <c r="H2569" i="1"/>
  <c r="G2569" i="1"/>
  <c r="F2569" i="1"/>
  <c r="E2569" i="1"/>
  <c r="I2568" i="1"/>
  <c r="H2568" i="1"/>
  <c r="G2568" i="1"/>
  <c r="F2568" i="1"/>
  <c r="E2568" i="1"/>
  <c r="I2567" i="1"/>
  <c r="H2567" i="1"/>
  <c r="G2567" i="1"/>
  <c r="F2567" i="1"/>
  <c r="E2567" i="1"/>
  <c r="I2566" i="1"/>
  <c r="H2566" i="1"/>
  <c r="G2566" i="1"/>
  <c r="F2566" i="1"/>
  <c r="E2566" i="1"/>
  <c r="I2565" i="1"/>
  <c r="H2565" i="1"/>
  <c r="G2565" i="1"/>
  <c r="F2565" i="1"/>
  <c r="E2565" i="1"/>
  <c r="I2564" i="1"/>
  <c r="H2564" i="1"/>
  <c r="G2564" i="1"/>
  <c r="F2564" i="1"/>
  <c r="E2564" i="1"/>
  <c r="I2563" i="1"/>
  <c r="H2563" i="1"/>
  <c r="G2563" i="1"/>
  <c r="F2563" i="1"/>
  <c r="E2563" i="1"/>
  <c r="I2562" i="1"/>
  <c r="H2562" i="1"/>
  <c r="G2562" i="1"/>
  <c r="F2562" i="1"/>
  <c r="E2562" i="1"/>
  <c r="I2561" i="1"/>
  <c r="H2561" i="1"/>
  <c r="G2561" i="1"/>
  <c r="F2561" i="1"/>
  <c r="E2561" i="1"/>
  <c r="I2560" i="1"/>
  <c r="H2560" i="1"/>
  <c r="G2560" i="1"/>
  <c r="F2560" i="1"/>
  <c r="E2560" i="1"/>
  <c r="I2559" i="1"/>
  <c r="H2559" i="1"/>
  <c r="G2559" i="1"/>
  <c r="F2559" i="1"/>
  <c r="E2559" i="1"/>
  <c r="I2558" i="1"/>
  <c r="H2558" i="1"/>
  <c r="G2558" i="1"/>
  <c r="F2558" i="1"/>
  <c r="E2558" i="1"/>
  <c r="I2557" i="1"/>
  <c r="H2557" i="1"/>
  <c r="G2557" i="1"/>
  <c r="F2557" i="1"/>
  <c r="E2557" i="1"/>
  <c r="I2556" i="1"/>
  <c r="H2556" i="1"/>
  <c r="G2556" i="1"/>
  <c r="F2556" i="1"/>
  <c r="E2556" i="1"/>
  <c r="I2555" i="1"/>
  <c r="H2555" i="1"/>
  <c r="G2555" i="1"/>
  <c r="F2555" i="1"/>
  <c r="E2555" i="1"/>
  <c r="I2554" i="1"/>
  <c r="H2554" i="1"/>
  <c r="G2554" i="1"/>
  <c r="F2554" i="1"/>
  <c r="E2554" i="1"/>
  <c r="I2553" i="1"/>
  <c r="H2553" i="1"/>
  <c r="G2553" i="1"/>
  <c r="F2553" i="1"/>
  <c r="E2553" i="1"/>
  <c r="I2552" i="1"/>
  <c r="H2552" i="1"/>
  <c r="G2552" i="1"/>
  <c r="F2552" i="1"/>
  <c r="E2552" i="1"/>
  <c r="I2551" i="1"/>
  <c r="H2551" i="1"/>
  <c r="G2551" i="1"/>
  <c r="F2551" i="1"/>
  <c r="E2551" i="1"/>
  <c r="I2550" i="1"/>
  <c r="H2550" i="1"/>
  <c r="G2550" i="1"/>
  <c r="F2550" i="1"/>
  <c r="E2550" i="1"/>
  <c r="I2549" i="1"/>
  <c r="H2549" i="1"/>
  <c r="G2549" i="1"/>
  <c r="F2549" i="1"/>
  <c r="E2549" i="1"/>
  <c r="I2548" i="1"/>
  <c r="H2548" i="1"/>
  <c r="G2548" i="1"/>
  <c r="F2548" i="1"/>
  <c r="E2548" i="1"/>
  <c r="I2547" i="1"/>
  <c r="H2547" i="1"/>
  <c r="G2547" i="1"/>
  <c r="F2547" i="1"/>
  <c r="E2547" i="1"/>
  <c r="I2546" i="1"/>
  <c r="H2546" i="1"/>
  <c r="G2546" i="1"/>
  <c r="F2546" i="1"/>
  <c r="E2546" i="1"/>
  <c r="I2545" i="1"/>
  <c r="H2545" i="1"/>
  <c r="G2545" i="1"/>
  <c r="F2545" i="1"/>
  <c r="E2545" i="1"/>
  <c r="I2544" i="1"/>
  <c r="H2544" i="1"/>
  <c r="G2544" i="1"/>
  <c r="F2544" i="1"/>
  <c r="E2544" i="1"/>
  <c r="I2543" i="1"/>
  <c r="H2543" i="1"/>
  <c r="G2543" i="1"/>
  <c r="F2543" i="1"/>
  <c r="E2543" i="1"/>
  <c r="I2542" i="1"/>
  <c r="H2542" i="1"/>
  <c r="G2542" i="1"/>
  <c r="F2542" i="1"/>
  <c r="E2542" i="1"/>
  <c r="I2541" i="1"/>
  <c r="H2541" i="1"/>
  <c r="G2541" i="1"/>
  <c r="F2541" i="1"/>
  <c r="E2541" i="1"/>
  <c r="I2540" i="1"/>
  <c r="H2540" i="1"/>
  <c r="G2540" i="1"/>
  <c r="F2540" i="1"/>
  <c r="E2540" i="1"/>
  <c r="I2539" i="1"/>
  <c r="H2539" i="1"/>
  <c r="G2539" i="1"/>
  <c r="F2539" i="1"/>
  <c r="E2539" i="1"/>
  <c r="I2538" i="1"/>
  <c r="H2538" i="1"/>
  <c r="G2538" i="1"/>
  <c r="F2538" i="1"/>
  <c r="E2538" i="1"/>
  <c r="I2537" i="1"/>
  <c r="H2537" i="1"/>
  <c r="G2537" i="1"/>
  <c r="F2537" i="1"/>
  <c r="E2537" i="1"/>
  <c r="I2536" i="1"/>
  <c r="H2536" i="1"/>
  <c r="G2536" i="1"/>
  <c r="F2536" i="1"/>
  <c r="E2536" i="1"/>
  <c r="I2535" i="1"/>
  <c r="H2535" i="1"/>
  <c r="G2535" i="1"/>
  <c r="F2535" i="1"/>
  <c r="E2535" i="1"/>
  <c r="I2534" i="1"/>
  <c r="H2534" i="1"/>
  <c r="G2534" i="1"/>
  <c r="F2534" i="1"/>
  <c r="E2534" i="1"/>
  <c r="I2533" i="1"/>
  <c r="H2533" i="1"/>
  <c r="G2533" i="1"/>
  <c r="F2533" i="1"/>
  <c r="E2533" i="1"/>
  <c r="I2532" i="1"/>
  <c r="H2532" i="1"/>
  <c r="G2532" i="1"/>
  <c r="F2532" i="1"/>
  <c r="E2532" i="1"/>
  <c r="I2531" i="1"/>
  <c r="H2531" i="1"/>
  <c r="G2531" i="1"/>
  <c r="F2531" i="1"/>
  <c r="E2531" i="1"/>
  <c r="I2530" i="1"/>
  <c r="H2530" i="1"/>
  <c r="G2530" i="1"/>
  <c r="F2530" i="1"/>
  <c r="E2530" i="1"/>
  <c r="I2529" i="1"/>
  <c r="H2529" i="1"/>
  <c r="G2529" i="1"/>
  <c r="F2529" i="1"/>
  <c r="E2529" i="1"/>
  <c r="I2528" i="1"/>
  <c r="H2528" i="1"/>
  <c r="G2528" i="1"/>
  <c r="F2528" i="1"/>
  <c r="E2528" i="1"/>
  <c r="I2527" i="1"/>
  <c r="H2527" i="1"/>
  <c r="G2527" i="1"/>
  <c r="F2527" i="1"/>
  <c r="E2527" i="1"/>
  <c r="I2526" i="1"/>
  <c r="H2526" i="1"/>
  <c r="G2526" i="1"/>
  <c r="F2526" i="1"/>
  <c r="E2526" i="1"/>
  <c r="I2525" i="1"/>
  <c r="H2525" i="1"/>
  <c r="G2525" i="1"/>
  <c r="F2525" i="1"/>
  <c r="E2525" i="1"/>
  <c r="I2524" i="1"/>
  <c r="H2524" i="1"/>
  <c r="G2524" i="1"/>
  <c r="F2524" i="1"/>
  <c r="E2524" i="1"/>
  <c r="I2523" i="1"/>
  <c r="H2523" i="1"/>
  <c r="G2523" i="1"/>
  <c r="F2523" i="1"/>
  <c r="E2523" i="1"/>
  <c r="I2522" i="1"/>
  <c r="H2522" i="1"/>
  <c r="G2522" i="1"/>
  <c r="F2522" i="1"/>
  <c r="E2522" i="1"/>
  <c r="I2521" i="1"/>
  <c r="H2521" i="1"/>
  <c r="G2521" i="1"/>
  <c r="F2521" i="1"/>
  <c r="E2521" i="1"/>
  <c r="I2520" i="1"/>
  <c r="H2520" i="1"/>
  <c r="G2520" i="1"/>
  <c r="F2520" i="1"/>
  <c r="E2520" i="1"/>
  <c r="I2519" i="1"/>
  <c r="H2519" i="1"/>
  <c r="G2519" i="1"/>
  <c r="F2519" i="1"/>
  <c r="E2519" i="1"/>
  <c r="I2518" i="1"/>
  <c r="H2518" i="1"/>
  <c r="G2518" i="1"/>
  <c r="F2518" i="1"/>
  <c r="E2518" i="1"/>
  <c r="I2517" i="1"/>
  <c r="H2517" i="1"/>
  <c r="G2517" i="1"/>
  <c r="F2517" i="1"/>
  <c r="E2517" i="1"/>
  <c r="I2516" i="1"/>
  <c r="H2516" i="1"/>
  <c r="G2516" i="1"/>
  <c r="F2516" i="1"/>
  <c r="E2516" i="1"/>
  <c r="I2515" i="1"/>
  <c r="H2515" i="1"/>
  <c r="G2515" i="1"/>
  <c r="F2515" i="1"/>
  <c r="E2515" i="1"/>
  <c r="I2514" i="1"/>
  <c r="H2514" i="1"/>
  <c r="G2514" i="1"/>
  <c r="F2514" i="1"/>
  <c r="E2514" i="1"/>
  <c r="I2513" i="1"/>
  <c r="H2513" i="1"/>
  <c r="G2513" i="1"/>
  <c r="F2513" i="1"/>
  <c r="E2513" i="1"/>
  <c r="I2512" i="1"/>
  <c r="H2512" i="1"/>
  <c r="G2512" i="1"/>
  <c r="F2512" i="1"/>
  <c r="E2512" i="1"/>
  <c r="I2511" i="1"/>
  <c r="H2511" i="1"/>
  <c r="G2511" i="1"/>
  <c r="F2511" i="1"/>
  <c r="E2511" i="1"/>
  <c r="I2510" i="1"/>
  <c r="H2510" i="1"/>
  <c r="G2510" i="1"/>
  <c r="F2510" i="1"/>
  <c r="E2510" i="1"/>
  <c r="I2509" i="1"/>
  <c r="H2509" i="1"/>
  <c r="G2509" i="1"/>
  <c r="F2509" i="1"/>
  <c r="E2509" i="1"/>
  <c r="I2508" i="1"/>
  <c r="H2508" i="1"/>
  <c r="G2508" i="1"/>
  <c r="F2508" i="1"/>
  <c r="E2508" i="1"/>
  <c r="I2507" i="1"/>
  <c r="H2507" i="1"/>
  <c r="G2507" i="1"/>
  <c r="F2507" i="1"/>
  <c r="E2507" i="1"/>
  <c r="I2506" i="1"/>
  <c r="H2506" i="1"/>
  <c r="G2506" i="1"/>
  <c r="F2506" i="1"/>
  <c r="E2506" i="1"/>
  <c r="I2505" i="1"/>
  <c r="H2505" i="1"/>
  <c r="G2505" i="1"/>
  <c r="F2505" i="1"/>
  <c r="E2505" i="1"/>
  <c r="I2504" i="1"/>
  <c r="H2504" i="1"/>
  <c r="G2504" i="1"/>
  <c r="F2504" i="1"/>
  <c r="E2504" i="1"/>
  <c r="I2503" i="1"/>
  <c r="H2503" i="1"/>
  <c r="G2503" i="1"/>
  <c r="F2503" i="1"/>
  <c r="E2503" i="1"/>
  <c r="I2502" i="1"/>
  <c r="H2502" i="1"/>
  <c r="G2502" i="1"/>
  <c r="F2502" i="1"/>
  <c r="E2502" i="1"/>
  <c r="I2501" i="1"/>
  <c r="H2501" i="1"/>
  <c r="G2501" i="1"/>
  <c r="F2501" i="1"/>
  <c r="E2501" i="1"/>
  <c r="I2500" i="1"/>
  <c r="H2500" i="1"/>
  <c r="G2500" i="1"/>
  <c r="F2500" i="1"/>
  <c r="E2500" i="1"/>
  <c r="I2499" i="1"/>
  <c r="H2499" i="1"/>
  <c r="G2499" i="1"/>
  <c r="F2499" i="1"/>
  <c r="E2499" i="1"/>
  <c r="I2498" i="1"/>
  <c r="H2498" i="1"/>
  <c r="G2498" i="1"/>
  <c r="F2498" i="1"/>
  <c r="E2498" i="1"/>
  <c r="I2497" i="1"/>
  <c r="H2497" i="1"/>
  <c r="G2497" i="1"/>
  <c r="F2497" i="1"/>
  <c r="E2497" i="1"/>
  <c r="I2496" i="1"/>
  <c r="H2496" i="1"/>
  <c r="G2496" i="1"/>
  <c r="F2496" i="1"/>
  <c r="E2496" i="1"/>
  <c r="I2495" i="1"/>
  <c r="H2495" i="1"/>
  <c r="G2495" i="1"/>
  <c r="F2495" i="1"/>
  <c r="E2495" i="1"/>
  <c r="I2494" i="1"/>
  <c r="H2494" i="1"/>
  <c r="G2494" i="1"/>
  <c r="F2494" i="1"/>
  <c r="E2494" i="1"/>
  <c r="I2493" i="1"/>
  <c r="H2493" i="1"/>
  <c r="G2493" i="1"/>
  <c r="F2493" i="1"/>
  <c r="E2493" i="1"/>
  <c r="I2492" i="1"/>
  <c r="H2492" i="1"/>
  <c r="G2492" i="1"/>
  <c r="F2492" i="1"/>
  <c r="E2492" i="1"/>
  <c r="I2491" i="1"/>
  <c r="H2491" i="1"/>
  <c r="G2491" i="1"/>
  <c r="F2491" i="1"/>
  <c r="E2491" i="1"/>
  <c r="I2490" i="1"/>
  <c r="H2490" i="1"/>
  <c r="G2490" i="1"/>
  <c r="F2490" i="1"/>
  <c r="E2490" i="1"/>
  <c r="I2489" i="1"/>
  <c r="H2489" i="1"/>
  <c r="G2489" i="1"/>
  <c r="F2489" i="1"/>
  <c r="E2489" i="1"/>
  <c r="I2488" i="1"/>
  <c r="H2488" i="1"/>
  <c r="G2488" i="1"/>
  <c r="F2488" i="1"/>
  <c r="E2488" i="1"/>
  <c r="I2487" i="1"/>
  <c r="H2487" i="1"/>
  <c r="G2487" i="1"/>
  <c r="F2487" i="1"/>
  <c r="E2487" i="1"/>
  <c r="I2486" i="1"/>
  <c r="H2486" i="1"/>
  <c r="G2486" i="1"/>
  <c r="F2486" i="1"/>
  <c r="E2486" i="1"/>
  <c r="I2485" i="1"/>
  <c r="H2485" i="1"/>
  <c r="G2485" i="1"/>
  <c r="F2485" i="1"/>
  <c r="E2485" i="1"/>
  <c r="I2484" i="1"/>
  <c r="H2484" i="1"/>
  <c r="G2484" i="1"/>
  <c r="F2484" i="1"/>
  <c r="E2484" i="1"/>
  <c r="I2483" i="1"/>
  <c r="H2483" i="1"/>
  <c r="G2483" i="1"/>
  <c r="F2483" i="1"/>
  <c r="E2483" i="1"/>
  <c r="I2482" i="1"/>
  <c r="H2482" i="1"/>
  <c r="G2482" i="1"/>
  <c r="F2482" i="1"/>
  <c r="E2482" i="1"/>
  <c r="I2481" i="1"/>
  <c r="H2481" i="1"/>
  <c r="G2481" i="1"/>
  <c r="F2481" i="1"/>
  <c r="E2481" i="1"/>
  <c r="I2480" i="1"/>
  <c r="H2480" i="1"/>
  <c r="G2480" i="1"/>
  <c r="F2480" i="1"/>
  <c r="E2480" i="1"/>
  <c r="I2479" i="1"/>
  <c r="H2479" i="1"/>
  <c r="G2479" i="1"/>
  <c r="F2479" i="1"/>
  <c r="E2479" i="1"/>
  <c r="I2478" i="1"/>
  <c r="H2478" i="1"/>
  <c r="G2478" i="1"/>
  <c r="F2478" i="1"/>
  <c r="E2478" i="1"/>
  <c r="I2477" i="1"/>
  <c r="H2477" i="1"/>
  <c r="G2477" i="1"/>
  <c r="F2477" i="1"/>
  <c r="E2477" i="1"/>
  <c r="I2476" i="1"/>
  <c r="H2476" i="1"/>
  <c r="G2476" i="1"/>
  <c r="F2476" i="1"/>
  <c r="E2476" i="1"/>
  <c r="I2475" i="1"/>
  <c r="H2475" i="1"/>
  <c r="G2475" i="1"/>
  <c r="F2475" i="1"/>
  <c r="E2475" i="1"/>
  <c r="I2474" i="1"/>
  <c r="H2474" i="1"/>
  <c r="G2474" i="1"/>
  <c r="F2474" i="1"/>
  <c r="E2474" i="1"/>
  <c r="I2473" i="1"/>
  <c r="H2473" i="1"/>
  <c r="G2473" i="1"/>
  <c r="F2473" i="1"/>
  <c r="E2473" i="1"/>
  <c r="I2472" i="1"/>
  <c r="H2472" i="1"/>
  <c r="G2472" i="1"/>
  <c r="F2472" i="1"/>
  <c r="E2472" i="1"/>
  <c r="I2471" i="1"/>
  <c r="H2471" i="1"/>
  <c r="G2471" i="1"/>
  <c r="F2471" i="1"/>
  <c r="E2471" i="1"/>
  <c r="I2470" i="1"/>
  <c r="H2470" i="1"/>
  <c r="G2470" i="1"/>
  <c r="F2470" i="1"/>
  <c r="E2470" i="1"/>
  <c r="I2469" i="1"/>
  <c r="H2469" i="1"/>
  <c r="G2469" i="1"/>
  <c r="F2469" i="1"/>
  <c r="E2469" i="1"/>
  <c r="I2468" i="1"/>
  <c r="H2468" i="1"/>
  <c r="G2468" i="1"/>
  <c r="F2468" i="1"/>
  <c r="E2468" i="1"/>
  <c r="I2467" i="1"/>
  <c r="H2467" i="1"/>
  <c r="G2467" i="1"/>
  <c r="F2467" i="1"/>
  <c r="E2467" i="1"/>
  <c r="I2466" i="1"/>
  <c r="H2466" i="1"/>
  <c r="G2466" i="1"/>
  <c r="F2466" i="1"/>
  <c r="E2466" i="1"/>
  <c r="I2465" i="1"/>
  <c r="H2465" i="1"/>
  <c r="G2465" i="1"/>
  <c r="F2465" i="1"/>
  <c r="E2465" i="1"/>
  <c r="I2464" i="1"/>
  <c r="H2464" i="1"/>
  <c r="G2464" i="1"/>
  <c r="F2464" i="1"/>
  <c r="E2464" i="1"/>
  <c r="I2463" i="1"/>
  <c r="H2463" i="1"/>
  <c r="G2463" i="1"/>
  <c r="F2463" i="1"/>
  <c r="E2463" i="1"/>
  <c r="I2462" i="1"/>
  <c r="H2462" i="1"/>
  <c r="G2462" i="1"/>
  <c r="F2462" i="1"/>
  <c r="E2462" i="1"/>
  <c r="I2461" i="1"/>
  <c r="H2461" i="1"/>
  <c r="G2461" i="1"/>
  <c r="F2461" i="1"/>
  <c r="E2461" i="1"/>
  <c r="I2460" i="1"/>
  <c r="H2460" i="1"/>
  <c r="G2460" i="1"/>
  <c r="F2460" i="1"/>
  <c r="E2460" i="1"/>
  <c r="I2459" i="1"/>
  <c r="H2459" i="1"/>
  <c r="G2459" i="1"/>
  <c r="F2459" i="1"/>
  <c r="E2459" i="1"/>
  <c r="I2458" i="1"/>
  <c r="H2458" i="1"/>
  <c r="G2458" i="1"/>
  <c r="F2458" i="1"/>
  <c r="E2458" i="1"/>
  <c r="I2457" i="1"/>
  <c r="H2457" i="1"/>
  <c r="G2457" i="1"/>
  <c r="F2457" i="1"/>
  <c r="E2457" i="1"/>
  <c r="I2456" i="1"/>
  <c r="H2456" i="1"/>
  <c r="G2456" i="1"/>
  <c r="F2456" i="1"/>
  <c r="E2456" i="1"/>
  <c r="I2455" i="1"/>
  <c r="H2455" i="1"/>
  <c r="G2455" i="1"/>
  <c r="F2455" i="1"/>
  <c r="E2455" i="1"/>
  <c r="I2454" i="1"/>
  <c r="H2454" i="1"/>
  <c r="G2454" i="1"/>
  <c r="F2454" i="1"/>
  <c r="E2454" i="1"/>
  <c r="I2453" i="1"/>
  <c r="H2453" i="1"/>
  <c r="G2453" i="1"/>
  <c r="F2453" i="1"/>
  <c r="E2453" i="1"/>
  <c r="I2452" i="1"/>
  <c r="H2452" i="1"/>
  <c r="G2452" i="1"/>
  <c r="F2452" i="1"/>
  <c r="E2452" i="1"/>
  <c r="I2451" i="1"/>
  <c r="H2451" i="1"/>
  <c r="G2451" i="1"/>
  <c r="F2451" i="1"/>
  <c r="E2451" i="1"/>
  <c r="I2450" i="1"/>
  <c r="H2450" i="1"/>
  <c r="G2450" i="1"/>
  <c r="F2450" i="1"/>
  <c r="E2450" i="1"/>
  <c r="I2449" i="1"/>
  <c r="H2449" i="1"/>
  <c r="G2449" i="1"/>
  <c r="F2449" i="1"/>
  <c r="E2449" i="1"/>
  <c r="I2448" i="1"/>
  <c r="H2448" i="1"/>
  <c r="G2448" i="1"/>
  <c r="F2448" i="1"/>
  <c r="E2448" i="1"/>
  <c r="I2447" i="1"/>
  <c r="H2447" i="1"/>
  <c r="G2447" i="1"/>
  <c r="F2447" i="1"/>
  <c r="E2447" i="1"/>
  <c r="I2446" i="1"/>
  <c r="H2446" i="1"/>
  <c r="G2446" i="1"/>
  <c r="F2446" i="1"/>
  <c r="E2446" i="1"/>
  <c r="I2445" i="1"/>
  <c r="H2445" i="1"/>
  <c r="G2445" i="1"/>
  <c r="F2445" i="1"/>
  <c r="E2445" i="1"/>
  <c r="I2444" i="1"/>
  <c r="H2444" i="1"/>
  <c r="G2444" i="1"/>
  <c r="F2444" i="1"/>
  <c r="E2444" i="1"/>
  <c r="I2443" i="1"/>
  <c r="H2443" i="1"/>
  <c r="G2443" i="1"/>
  <c r="F2443" i="1"/>
  <c r="E2443" i="1"/>
  <c r="I2442" i="1"/>
  <c r="H2442" i="1"/>
  <c r="G2442" i="1"/>
  <c r="F2442" i="1"/>
  <c r="E2442" i="1"/>
  <c r="I2441" i="1"/>
  <c r="H2441" i="1"/>
  <c r="G2441" i="1"/>
  <c r="F2441" i="1"/>
  <c r="E2441" i="1"/>
  <c r="I2440" i="1"/>
  <c r="H2440" i="1"/>
  <c r="G2440" i="1"/>
  <c r="F2440" i="1"/>
  <c r="E2440" i="1"/>
  <c r="I2439" i="1"/>
  <c r="H2439" i="1"/>
  <c r="G2439" i="1"/>
  <c r="F2439" i="1"/>
  <c r="E2439" i="1"/>
  <c r="I2438" i="1"/>
  <c r="H2438" i="1"/>
  <c r="G2438" i="1"/>
  <c r="F2438" i="1"/>
  <c r="E2438" i="1"/>
  <c r="I2437" i="1"/>
  <c r="H2437" i="1"/>
  <c r="G2437" i="1"/>
  <c r="F2437" i="1"/>
  <c r="E2437" i="1"/>
  <c r="I2436" i="1"/>
  <c r="H2436" i="1"/>
  <c r="G2436" i="1"/>
  <c r="F2436" i="1"/>
  <c r="E2436" i="1"/>
  <c r="I2435" i="1"/>
  <c r="H2435" i="1"/>
  <c r="G2435" i="1"/>
  <c r="F2435" i="1"/>
  <c r="E2435" i="1"/>
  <c r="I2434" i="1"/>
  <c r="H2434" i="1"/>
  <c r="G2434" i="1"/>
  <c r="F2434" i="1"/>
  <c r="E2434" i="1"/>
  <c r="I2433" i="1"/>
  <c r="H2433" i="1"/>
  <c r="G2433" i="1"/>
  <c r="F2433" i="1"/>
  <c r="E2433" i="1"/>
  <c r="I2432" i="1"/>
  <c r="H2432" i="1"/>
  <c r="G2432" i="1"/>
  <c r="F2432" i="1"/>
  <c r="E2432" i="1"/>
  <c r="I2431" i="1"/>
  <c r="H2431" i="1"/>
  <c r="G2431" i="1"/>
  <c r="F2431" i="1"/>
  <c r="E2431" i="1"/>
  <c r="I2430" i="1"/>
  <c r="H2430" i="1"/>
  <c r="G2430" i="1"/>
  <c r="F2430" i="1"/>
  <c r="E2430" i="1"/>
  <c r="I2429" i="1"/>
  <c r="H2429" i="1"/>
  <c r="G2429" i="1"/>
  <c r="F2429" i="1"/>
  <c r="E2429" i="1"/>
  <c r="I2428" i="1"/>
  <c r="H2428" i="1"/>
  <c r="G2428" i="1"/>
  <c r="F2428" i="1"/>
  <c r="E2428" i="1"/>
  <c r="I2427" i="1"/>
  <c r="H2427" i="1"/>
  <c r="G2427" i="1"/>
  <c r="F2427" i="1"/>
  <c r="E2427" i="1"/>
  <c r="I2426" i="1"/>
  <c r="H2426" i="1"/>
  <c r="G2426" i="1"/>
  <c r="F2426" i="1"/>
  <c r="E2426" i="1"/>
  <c r="I2425" i="1"/>
  <c r="H2425" i="1"/>
  <c r="G2425" i="1"/>
  <c r="F2425" i="1"/>
  <c r="E2425" i="1"/>
  <c r="I2424" i="1"/>
  <c r="H2424" i="1"/>
  <c r="G2424" i="1"/>
  <c r="F2424" i="1"/>
  <c r="E2424" i="1"/>
  <c r="I2423" i="1"/>
  <c r="H2423" i="1"/>
  <c r="G2423" i="1"/>
  <c r="F2423" i="1"/>
  <c r="E2423" i="1"/>
  <c r="I2422" i="1"/>
  <c r="H2422" i="1"/>
  <c r="G2422" i="1"/>
  <c r="F2422" i="1"/>
  <c r="E2422" i="1"/>
  <c r="I2421" i="1"/>
  <c r="H2421" i="1"/>
  <c r="G2421" i="1"/>
  <c r="F2421" i="1"/>
  <c r="E2421" i="1"/>
  <c r="I2420" i="1"/>
  <c r="H2420" i="1"/>
  <c r="G2420" i="1"/>
  <c r="F2420" i="1"/>
  <c r="E2420" i="1"/>
  <c r="I2419" i="1"/>
  <c r="H2419" i="1"/>
  <c r="G2419" i="1"/>
  <c r="F2419" i="1"/>
  <c r="E2419" i="1"/>
  <c r="I2418" i="1"/>
  <c r="H2418" i="1"/>
  <c r="G2418" i="1"/>
  <c r="F2418" i="1"/>
  <c r="E2418" i="1"/>
  <c r="I2417" i="1"/>
  <c r="H2417" i="1"/>
  <c r="G2417" i="1"/>
  <c r="F2417" i="1"/>
  <c r="E2417" i="1"/>
  <c r="I2416" i="1"/>
  <c r="H2416" i="1"/>
  <c r="G2416" i="1"/>
  <c r="F2416" i="1"/>
  <c r="E2416" i="1"/>
  <c r="I2415" i="1"/>
  <c r="H2415" i="1"/>
  <c r="G2415" i="1"/>
  <c r="F2415" i="1"/>
  <c r="E2415" i="1"/>
  <c r="I2414" i="1"/>
  <c r="H2414" i="1"/>
  <c r="G2414" i="1"/>
  <c r="F2414" i="1"/>
  <c r="E2414" i="1"/>
  <c r="I2413" i="1"/>
  <c r="H2413" i="1"/>
  <c r="G2413" i="1"/>
  <c r="F2413" i="1"/>
  <c r="E2413" i="1"/>
  <c r="I2412" i="1"/>
  <c r="H2412" i="1"/>
  <c r="G2412" i="1"/>
  <c r="F2412" i="1"/>
  <c r="E2412" i="1"/>
  <c r="I2411" i="1"/>
  <c r="H2411" i="1"/>
  <c r="G2411" i="1"/>
  <c r="F2411" i="1"/>
  <c r="E2411" i="1"/>
  <c r="I2410" i="1"/>
  <c r="H2410" i="1"/>
  <c r="G2410" i="1"/>
  <c r="F2410" i="1"/>
  <c r="E2410" i="1"/>
  <c r="I2409" i="1"/>
  <c r="H2409" i="1"/>
  <c r="G2409" i="1"/>
  <c r="F2409" i="1"/>
  <c r="E2409" i="1"/>
  <c r="I2408" i="1"/>
  <c r="H2408" i="1"/>
  <c r="G2408" i="1"/>
  <c r="F2408" i="1"/>
  <c r="E2408" i="1"/>
  <c r="I2407" i="1"/>
  <c r="H2407" i="1"/>
  <c r="G2407" i="1"/>
  <c r="F2407" i="1"/>
  <c r="E2407" i="1"/>
  <c r="I2406" i="1"/>
  <c r="H2406" i="1"/>
  <c r="G2406" i="1"/>
  <c r="F2406" i="1"/>
  <c r="E2406" i="1"/>
  <c r="I2405" i="1"/>
  <c r="H2405" i="1"/>
  <c r="G2405" i="1"/>
  <c r="F2405" i="1"/>
  <c r="E2405" i="1"/>
  <c r="I2404" i="1"/>
  <c r="H2404" i="1"/>
  <c r="G2404" i="1"/>
  <c r="F2404" i="1"/>
  <c r="E2404" i="1"/>
  <c r="I2403" i="1"/>
  <c r="H2403" i="1"/>
  <c r="G2403" i="1"/>
  <c r="F2403" i="1"/>
  <c r="E2403" i="1"/>
  <c r="I2402" i="1"/>
  <c r="H2402" i="1"/>
  <c r="G2402" i="1"/>
  <c r="F2402" i="1"/>
  <c r="E2402" i="1"/>
  <c r="I2401" i="1"/>
  <c r="H2401" i="1"/>
  <c r="G2401" i="1"/>
  <c r="F2401" i="1"/>
  <c r="E2401" i="1"/>
  <c r="I2400" i="1"/>
  <c r="H2400" i="1"/>
  <c r="G2400" i="1"/>
  <c r="F2400" i="1"/>
  <c r="E2400" i="1"/>
  <c r="I2399" i="1"/>
  <c r="H2399" i="1"/>
  <c r="G2399" i="1"/>
  <c r="F2399" i="1"/>
  <c r="E2399" i="1"/>
  <c r="I2398" i="1"/>
  <c r="H2398" i="1"/>
  <c r="G2398" i="1"/>
  <c r="F2398" i="1"/>
  <c r="E2398" i="1"/>
  <c r="I2397" i="1"/>
  <c r="H2397" i="1"/>
  <c r="G2397" i="1"/>
  <c r="F2397" i="1"/>
  <c r="E2397" i="1"/>
  <c r="I2396" i="1"/>
  <c r="H2396" i="1"/>
  <c r="G2396" i="1"/>
  <c r="F2396" i="1"/>
  <c r="E2396" i="1"/>
  <c r="I2395" i="1"/>
  <c r="H2395" i="1"/>
  <c r="G2395" i="1"/>
  <c r="F2395" i="1"/>
  <c r="E2395" i="1"/>
  <c r="I2394" i="1"/>
  <c r="H2394" i="1"/>
  <c r="G2394" i="1"/>
  <c r="F2394" i="1"/>
  <c r="E2394" i="1"/>
  <c r="I2393" i="1"/>
  <c r="H2393" i="1"/>
  <c r="G2393" i="1"/>
  <c r="F2393" i="1"/>
  <c r="E2393" i="1"/>
  <c r="I2392" i="1"/>
  <c r="H2392" i="1"/>
  <c r="G2392" i="1"/>
  <c r="F2392" i="1"/>
  <c r="E2392" i="1"/>
  <c r="I2391" i="1"/>
  <c r="H2391" i="1"/>
  <c r="G2391" i="1"/>
  <c r="F2391" i="1"/>
  <c r="E2391" i="1"/>
  <c r="I2390" i="1"/>
  <c r="H2390" i="1"/>
  <c r="G2390" i="1"/>
  <c r="F2390" i="1"/>
  <c r="E2390" i="1"/>
  <c r="I2389" i="1"/>
  <c r="H2389" i="1"/>
  <c r="G2389" i="1"/>
  <c r="F2389" i="1"/>
  <c r="E2389" i="1"/>
  <c r="I2388" i="1"/>
  <c r="H2388" i="1"/>
  <c r="G2388" i="1"/>
  <c r="F2388" i="1"/>
  <c r="E2388" i="1"/>
  <c r="I2387" i="1"/>
  <c r="H2387" i="1"/>
  <c r="G2387" i="1"/>
  <c r="F2387" i="1"/>
  <c r="E2387" i="1"/>
  <c r="I2386" i="1"/>
  <c r="H2386" i="1"/>
  <c r="G2386" i="1"/>
  <c r="F2386" i="1"/>
  <c r="E2386" i="1"/>
  <c r="I2385" i="1"/>
  <c r="H2385" i="1"/>
  <c r="G2385" i="1"/>
  <c r="F2385" i="1"/>
  <c r="E2385" i="1"/>
  <c r="I2384" i="1"/>
  <c r="H2384" i="1"/>
  <c r="G2384" i="1"/>
  <c r="F2384" i="1"/>
  <c r="E2384" i="1"/>
  <c r="I2383" i="1"/>
  <c r="H2383" i="1"/>
  <c r="G2383" i="1"/>
  <c r="F2383" i="1"/>
  <c r="E2383" i="1"/>
  <c r="I2382" i="1"/>
  <c r="H2382" i="1"/>
  <c r="G2382" i="1"/>
  <c r="F2382" i="1"/>
  <c r="E2382" i="1"/>
  <c r="I2381" i="1"/>
  <c r="H2381" i="1"/>
  <c r="G2381" i="1"/>
  <c r="F2381" i="1"/>
  <c r="E2381" i="1"/>
  <c r="I2380" i="1"/>
  <c r="H2380" i="1"/>
  <c r="G2380" i="1"/>
  <c r="F2380" i="1"/>
  <c r="E2380" i="1"/>
  <c r="I2379" i="1"/>
  <c r="H2379" i="1"/>
  <c r="G2379" i="1"/>
  <c r="F2379" i="1"/>
  <c r="E2379" i="1"/>
  <c r="I2378" i="1"/>
  <c r="H2378" i="1"/>
  <c r="G2378" i="1"/>
  <c r="F2378" i="1"/>
  <c r="E2378" i="1"/>
  <c r="I2377" i="1"/>
  <c r="H2377" i="1"/>
  <c r="G2377" i="1"/>
  <c r="F2377" i="1"/>
  <c r="E2377" i="1"/>
  <c r="I2376" i="1"/>
  <c r="H2376" i="1"/>
  <c r="G2376" i="1"/>
  <c r="F2376" i="1"/>
  <c r="E2376" i="1"/>
  <c r="I2375" i="1"/>
  <c r="H2375" i="1"/>
  <c r="G2375" i="1"/>
  <c r="F2375" i="1"/>
  <c r="E2375" i="1"/>
  <c r="I2374" i="1"/>
  <c r="H2374" i="1"/>
  <c r="G2374" i="1"/>
  <c r="F2374" i="1"/>
  <c r="E2374" i="1"/>
  <c r="I2373" i="1"/>
  <c r="H2373" i="1"/>
  <c r="G2373" i="1"/>
  <c r="F2373" i="1"/>
  <c r="E2373" i="1"/>
  <c r="I2372" i="1"/>
  <c r="H2372" i="1"/>
  <c r="G2372" i="1"/>
  <c r="F2372" i="1"/>
  <c r="E2372" i="1"/>
  <c r="I2371" i="1"/>
  <c r="H2371" i="1"/>
  <c r="G2371" i="1"/>
  <c r="F2371" i="1"/>
  <c r="E2371" i="1"/>
  <c r="I2370" i="1"/>
  <c r="H2370" i="1"/>
  <c r="G2370" i="1"/>
  <c r="F2370" i="1"/>
  <c r="E2370" i="1"/>
  <c r="I2369" i="1"/>
  <c r="H2369" i="1"/>
  <c r="G2369" i="1"/>
  <c r="F2369" i="1"/>
  <c r="E2369" i="1"/>
  <c r="I2368" i="1"/>
  <c r="H2368" i="1"/>
  <c r="G2368" i="1"/>
  <c r="F2368" i="1"/>
  <c r="E2368" i="1"/>
  <c r="I2367" i="1"/>
  <c r="H2367" i="1"/>
  <c r="G2367" i="1"/>
  <c r="F2367" i="1"/>
  <c r="E2367" i="1"/>
  <c r="I2366" i="1"/>
  <c r="H2366" i="1"/>
  <c r="G2366" i="1"/>
  <c r="F2366" i="1"/>
  <c r="E2366" i="1"/>
  <c r="I2365" i="1"/>
  <c r="H2365" i="1"/>
  <c r="G2365" i="1"/>
  <c r="F2365" i="1"/>
  <c r="E2365" i="1"/>
  <c r="I2364" i="1"/>
  <c r="H2364" i="1"/>
  <c r="G2364" i="1"/>
  <c r="F2364" i="1"/>
  <c r="E2364" i="1"/>
  <c r="I2363" i="1"/>
  <c r="H2363" i="1"/>
  <c r="G2363" i="1"/>
  <c r="F2363" i="1"/>
  <c r="E2363" i="1"/>
  <c r="I2362" i="1"/>
  <c r="H2362" i="1"/>
  <c r="G2362" i="1"/>
  <c r="F2362" i="1"/>
  <c r="E2362" i="1"/>
  <c r="I2361" i="1"/>
  <c r="H2361" i="1"/>
  <c r="G2361" i="1"/>
  <c r="F2361" i="1"/>
  <c r="E2361" i="1"/>
  <c r="I2360" i="1"/>
  <c r="H2360" i="1"/>
  <c r="G2360" i="1"/>
  <c r="F2360" i="1"/>
  <c r="E2360" i="1"/>
  <c r="I2359" i="1"/>
  <c r="H2359" i="1"/>
  <c r="G2359" i="1"/>
  <c r="F2359" i="1"/>
  <c r="E2359" i="1"/>
  <c r="I2358" i="1"/>
  <c r="H2358" i="1"/>
  <c r="G2358" i="1"/>
  <c r="F2358" i="1"/>
  <c r="E2358" i="1"/>
  <c r="I2357" i="1"/>
  <c r="H2357" i="1"/>
  <c r="G2357" i="1"/>
  <c r="F2357" i="1"/>
  <c r="E2357" i="1"/>
  <c r="I2356" i="1"/>
  <c r="H2356" i="1"/>
  <c r="G2356" i="1"/>
  <c r="F2356" i="1"/>
  <c r="E2356" i="1"/>
  <c r="I2355" i="1"/>
  <c r="H2355" i="1"/>
  <c r="G2355" i="1"/>
  <c r="F2355" i="1"/>
  <c r="E2355" i="1"/>
  <c r="I2354" i="1"/>
  <c r="H2354" i="1"/>
  <c r="G2354" i="1"/>
  <c r="F2354" i="1"/>
  <c r="E2354" i="1"/>
  <c r="I2353" i="1"/>
  <c r="H2353" i="1"/>
  <c r="G2353" i="1"/>
  <c r="F2353" i="1"/>
  <c r="E2353" i="1"/>
  <c r="I2352" i="1"/>
  <c r="H2352" i="1"/>
  <c r="G2352" i="1"/>
  <c r="F2352" i="1"/>
  <c r="E2352" i="1"/>
  <c r="I2351" i="1"/>
  <c r="H2351" i="1"/>
  <c r="G2351" i="1"/>
  <c r="F2351" i="1"/>
  <c r="E2351" i="1"/>
  <c r="I2350" i="1"/>
  <c r="H2350" i="1"/>
  <c r="G2350" i="1"/>
  <c r="F2350" i="1"/>
  <c r="E2350" i="1"/>
  <c r="I2349" i="1"/>
  <c r="H2349" i="1"/>
  <c r="G2349" i="1"/>
  <c r="F2349" i="1"/>
  <c r="E2349" i="1"/>
  <c r="I2348" i="1"/>
  <c r="H2348" i="1"/>
  <c r="G2348" i="1"/>
  <c r="F2348" i="1"/>
  <c r="E2348" i="1"/>
  <c r="I2347" i="1"/>
  <c r="H2347" i="1"/>
  <c r="G2347" i="1"/>
  <c r="F2347" i="1"/>
  <c r="E2347" i="1"/>
  <c r="I2346" i="1"/>
  <c r="H2346" i="1"/>
  <c r="G2346" i="1"/>
  <c r="F2346" i="1"/>
  <c r="E2346" i="1"/>
  <c r="I2345" i="1"/>
  <c r="H2345" i="1"/>
  <c r="G2345" i="1"/>
  <c r="F2345" i="1"/>
  <c r="E2345" i="1"/>
  <c r="I2344" i="1"/>
  <c r="H2344" i="1"/>
  <c r="G2344" i="1"/>
  <c r="F2344" i="1"/>
  <c r="E2344" i="1"/>
  <c r="I2343" i="1"/>
  <c r="H2343" i="1"/>
  <c r="G2343" i="1"/>
  <c r="F2343" i="1"/>
  <c r="E2343" i="1"/>
  <c r="I2342" i="1"/>
  <c r="H2342" i="1"/>
  <c r="G2342" i="1"/>
  <c r="F2342" i="1"/>
  <c r="E2342" i="1"/>
  <c r="I2341" i="1"/>
  <c r="H2341" i="1"/>
  <c r="G2341" i="1"/>
  <c r="F2341" i="1"/>
  <c r="E2341" i="1"/>
  <c r="I2340" i="1"/>
  <c r="H2340" i="1"/>
  <c r="G2340" i="1"/>
  <c r="F2340" i="1"/>
  <c r="E2340" i="1"/>
  <c r="I2339" i="1"/>
  <c r="H2339" i="1"/>
  <c r="G2339" i="1"/>
  <c r="F2339" i="1"/>
  <c r="E2339" i="1"/>
  <c r="I2338" i="1"/>
  <c r="H2338" i="1"/>
  <c r="G2338" i="1"/>
  <c r="F2338" i="1"/>
  <c r="E2338" i="1"/>
  <c r="I2337" i="1"/>
  <c r="H2337" i="1"/>
  <c r="G2337" i="1"/>
  <c r="F2337" i="1"/>
  <c r="E2337" i="1"/>
  <c r="I2336" i="1"/>
  <c r="H2336" i="1"/>
  <c r="G2336" i="1"/>
  <c r="F2336" i="1"/>
  <c r="E2336" i="1"/>
  <c r="I2335" i="1"/>
  <c r="H2335" i="1"/>
  <c r="G2335" i="1"/>
  <c r="F2335" i="1"/>
  <c r="E2335" i="1"/>
  <c r="I2334" i="1"/>
  <c r="H2334" i="1"/>
  <c r="G2334" i="1"/>
  <c r="F2334" i="1"/>
  <c r="E2334" i="1"/>
  <c r="I2333" i="1"/>
  <c r="H2333" i="1"/>
  <c r="G2333" i="1"/>
  <c r="F2333" i="1"/>
  <c r="E2333" i="1"/>
  <c r="I2332" i="1"/>
  <c r="H2332" i="1"/>
  <c r="G2332" i="1"/>
  <c r="F2332" i="1"/>
  <c r="E2332" i="1"/>
  <c r="I2331" i="1"/>
  <c r="H2331" i="1"/>
  <c r="G2331" i="1"/>
  <c r="F2331" i="1"/>
  <c r="E2331" i="1"/>
  <c r="I2330" i="1"/>
  <c r="H2330" i="1"/>
  <c r="G2330" i="1"/>
  <c r="F2330" i="1"/>
  <c r="E2330" i="1"/>
  <c r="I2329" i="1"/>
  <c r="H2329" i="1"/>
  <c r="G2329" i="1"/>
  <c r="F2329" i="1"/>
  <c r="E2329" i="1"/>
  <c r="I2328" i="1"/>
  <c r="H2328" i="1"/>
  <c r="G2328" i="1"/>
  <c r="F2328" i="1"/>
  <c r="E2328" i="1"/>
  <c r="I2327" i="1"/>
  <c r="H2327" i="1"/>
  <c r="G2327" i="1"/>
  <c r="F2327" i="1"/>
  <c r="E2327" i="1"/>
  <c r="I2326" i="1"/>
  <c r="H2326" i="1"/>
  <c r="G2326" i="1"/>
  <c r="F2326" i="1"/>
  <c r="E2326" i="1"/>
  <c r="I2325" i="1"/>
  <c r="H2325" i="1"/>
  <c r="G2325" i="1"/>
  <c r="F2325" i="1"/>
  <c r="E2325" i="1"/>
  <c r="I2324" i="1"/>
  <c r="H2324" i="1"/>
  <c r="G2324" i="1"/>
  <c r="F2324" i="1"/>
  <c r="E2324" i="1"/>
  <c r="I2323" i="1"/>
  <c r="H2323" i="1"/>
  <c r="G2323" i="1"/>
  <c r="F2323" i="1"/>
  <c r="E2323" i="1"/>
  <c r="I2322" i="1"/>
  <c r="H2322" i="1"/>
  <c r="G2322" i="1"/>
  <c r="F2322" i="1"/>
  <c r="E2322" i="1"/>
  <c r="I2321" i="1"/>
  <c r="H2321" i="1"/>
  <c r="G2321" i="1"/>
  <c r="F2321" i="1"/>
  <c r="E2321" i="1"/>
  <c r="I2320" i="1"/>
  <c r="H2320" i="1"/>
  <c r="G2320" i="1"/>
  <c r="F2320" i="1"/>
  <c r="E2320" i="1"/>
  <c r="I2319" i="1"/>
  <c r="H2319" i="1"/>
  <c r="G2319" i="1"/>
  <c r="F2319" i="1"/>
  <c r="E2319" i="1"/>
  <c r="I2318" i="1"/>
  <c r="H2318" i="1"/>
  <c r="G2318" i="1"/>
  <c r="F2318" i="1"/>
  <c r="E2318" i="1"/>
  <c r="I2317" i="1"/>
  <c r="H2317" i="1"/>
  <c r="G2317" i="1"/>
  <c r="F2317" i="1"/>
  <c r="E2317" i="1"/>
  <c r="I2316" i="1"/>
  <c r="H2316" i="1"/>
  <c r="G2316" i="1"/>
  <c r="F2316" i="1"/>
  <c r="E2316" i="1"/>
  <c r="I2315" i="1"/>
  <c r="H2315" i="1"/>
  <c r="G2315" i="1"/>
  <c r="F2315" i="1"/>
  <c r="E2315" i="1"/>
  <c r="I2314" i="1"/>
  <c r="H2314" i="1"/>
  <c r="G2314" i="1"/>
  <c r="F2314" i="1"/>
  <c r="E2314" i="1"/>
  <c r="I2313" i="1"/>
  <c r="H2313" i="1"/>
  <c r="G2313" i="1"/>
  <c r="F2313" i="1"/>
  <c r="E2313" i="1"/>
  <c r="I2312" i="1"/>
  <c r="H2312" i="1"/>
  <c r="G2312" i="1"/>
  <c r="F2312" i="1"/>
  <c r="E2312" i="1"/>
  <c r="I2311" i="1"/>
  <c r="H2311" i="1"/>
  <c r="G2311" i="1"/>
  <c r="F2311" i="1"/>
  <c r="E2311" i="1"/>
  <c r="I2310" i="1"/>
  <c r="H2310" i="1"/>
  <c r="G2310" i="1"/>
  <c r="F2310" i="1"/>
  <c r="E2310" i="1"/>
  <c r="I2309" i="1"/>
  <c r="H2309" i="1"/>
  <c r="G2309" i="1"/>
  <c r="F2309" i="1"/>
  <c r="E2309" i="1"/>
  <c r="I2308" i="1"/>
  <c r="H2308" i="1"/>
  <c r="G2308" i="1"/>
  <c r="F2308" i="1"/>
  <c r="E2308" i="1"/>
  <c r="I2307" i="1"/>
  <c r="H2307" i="1"/>
  <c r="G2307" i="1"/>
  <c r="F2307" i="1"/>
  <c r="E2307" i="1"/>
  <c r="I2306" i="1"/>
  <c r="H2306" i="1"/>
  <c r="G2306" i="1"/>
  <c r="F2306" i="1"/>
  <c r="E2306" i="1"/>
  <c r="I2305" i="1"/>
  <c r="H2305" i="1"/>
  <c r="G2305" i="1"/>
  <c r="F2305" i="1"/>
  <c r="E2305" i="1"/>
  <c r="I2304" i="1"/>
  <c r="H2304" i="1"/>
  <c r="G2304" i="1"/>
  <c r="F2304" i="1"/>
  <c r="E2304" i="1"/>
  <c r="I2303" i="1"/>
  <c r="H2303" i="1"/>
  <c r="G2303" i="1"/>
  <c r="F2303" i="1"/>
  <c r="E2303" i="1"/>
  <c r="I2302" i="1"/>
  <c r="H2302" i="1"/>
  <c r="G2302" i="1"/>
  <c r="F2302" i="1"/>
  <c r="E2302" i="1"/>
  <c r="I2301" i="1"/>
  <c r="H2301" i="1"/>
  <c r="G2301" i="1"/>
  <c r="F2301" i="1"/>
  <c r="E2301" i="1"/>
  <c r="I2300" i="1"/>
  <c r="H2300" i="1"/>
  <c r="G2300" i="1"/>
  <c r="F2300" i="1"/>
  <c r="E2300" i="1"/>
  <c r="I2299" i="1"/>
  <c r="H2299" i="1"/>
  <c r="G2299" i="1"/>
  <c r="F2299" i="1"/>
  <c r="E2299" i="1"/>
  <c r="I2298" i="1"/>
  <c r="H2298" i="1"/>
  <c r="G2298" i="1"/>
  <c r="F2298" i="1"/>
  <c r="E2298" i="1"/>
  <c r="I2297" i="1"/>
  <c r="H2297" i="1"/>
  <c r="G2297" i="1"/>
  <c r="F2297" i="1"/>
  <c r="E2297" i="1"/>
  <c r="I2296" i="1"/>
  <c r="H2296" i="1"/>
  <c r="G2296" i="1"/>
  <c r="F2296" i="1"/>
  <c r="E2296" i="1"/>
  <c r="I2295" i="1"/>
  <c r="H2295" i="1"/>
  <c r="G2295" i="1"/>
  <c r="F2295" i="1"/>
  <c r="E2295" i="1"/>
  <c r="I2294" i="1"/>
  <c r="H2294" i="1"/>
  <c r="G2294" i="1"/>
  <c r="F2294" i="1"/>
  <c r="E2294" i="1"/>
  <c r="I2293" i="1"/>
  <c r="H2293" i="1"/>
  <c r="G2293" i="1"/>
  <c r="F2293" i="1"/>
  <c r="E2293" i="1"/>
  <c r="I2292" i="1"/>
  <c r="H2292" i="1"/>
  <c r="G2292" i="1"/>
  <c r="F2292" i="1"/>
  <c r="E2292" i="1"/>
  <c r="I2291" i="1"/>
  <c r="H2291" i="1"/>
  <c r="G2291" i="1"/>
  <c r="F2291" i="1"/>
  <c r="E2291" i="1"/>
  <c r="I2290" i="1"/>
  <c r="H2290" i="1"/>
  <c r="G2290" i="1"/>
  <c r="F2290" i="1"/>
  <c r="E2290" i="1"/>
  <c r="I2289" i="1"/>
  <c r="H2289" i="1"/>
  <c r="G2289" i="1"/>
  <c r="F2289" i="1"/>
  <c r="E2289" i="1"/>
  <c r="I2288" i="1"/>
  <c r="H2288" i="1"/>
  <c r="G2288" i="1"/>
  <c r="F2288" i="1"/>
  <c r="E2288" i="1"/>
  <c r="I2287" i="1"/>
  <c r="H2287" i="1"/>
  <c r="G2287" i="1"/>
  <c r="F2287" i="1"/>
  <c r="E2287" i="1"/>
  <c r="I2286" i="1"/>
  <c r="H2286" i="1"/>
  <c r="G2286" i="1"/>
  <c r="F2286" i="1"/>
  <c r="E2286" i="1"/>
  <c r="I2285" i="1"/>
  <c r="H2285" i="1"/>
  <c r="G2285" i="1"/>
  <c r="F2285" i="1"/>
  <c r="E2285" i="1"/>
  <c r="I2284" i="1"/>
  <c r="H2284" i="1"/>
  <c r="G2284" i="1"/>
  <c r="F2284" i="1"/>
  <c r="E2284" i="1"/>
  <c r="I2283" i="1"/>
  <c r="H2283" i="1"/>
  <c r="G2283" i="1"/>
  <c r="F2283" i="1"/>
  <c r="E2283" i="1"/>
  <c r="I2282" i="1"/>
  <c r="H2282" i="1"/>
  <c r="G2282" i="1"/>
  <c r="F2282" i="1"/>
  <c r="E2282" i="1"/>
  <c r="I2281" i="1"/>
  <c r="H2281" i="1"/>
  <c r="G2281" i="1"/>
  <c r="F2281" i="1"/>
  <c r="E2281" i="1"/>
  <c r="I2280" i="1"/>
  <c r="H2280" i="1"/>
  <c r="G2280" i="1"/>
  <c r="F2280" i="1"/>
  <c r="E2280" i="1"/>
  <c r="I2279" i="1"/>
  <c r="H2279" i="1"/>
  <c r="G2279" i="1"/>
  <c r="F2279" i="1"/>
  <c r="E2279" i="1"/>
  <c r="I2278" i="1"/>
  <c r="H2278" i="1"/>
  <c r="G2278" i="1"/>
  <c r="F2278" i="1"/>
  <c r="E2278" i="1"/>
  <c r="I2277" i="1"/>
  <c r="H2277" i="1"/>
  <c r="G2277" i="1"/>
  <c r="F2277" i="1"/>
  <c r="E2277" i="1"/>
  <c r="I2276" i="1"/>
  <c r="H2276" i="1"/>
  <c r="G2276" i="1"/>
  <c r="F2276" i="1"/>
  <c r="E2276" i="1"/>
  <c r="I2275" i="1"/>
  <c r="H2275" i="1"/>
  <c r="G2275" i="1"/>
  <c r="F2275" i="1"/>
  <c r="E2275" i="1"/>
  <c r="I2274" i="1"/>
  <c r="H2274" i="1"/>
  <c r="G2274" i="1"/>
  <c r="F2274" i="1"/>
  <c r="E2274" i="1"/>
  <c r="I2273" i="1"/>
  <c r="H2273" i="1"/>
  <c r="G2273" i="1"/>
  <c r="F2273" i="1"/>
  <c r="E2273" i="1"/>
  <c r="I2272" i="1"/>
  <c r="H2272" i="1"/>
  <c r="G2272" i="1"/>
  <c r="F2272" i="1"/>
  <c r="E2272" i="1"/>
  <c r="I2271" i="1"/>
  <c r="H2271" i="1"/>
  <c r="G2271" i="1"/>
  <c r="F2271" i="1"/>
  <c r="E2271" i="1"/>
  <c r="I2270" i="1"/>
  <c r="H2270" i="1"/>
  <c r="G2270" i="1"/>
  <c r="F2270" i="1"/>
  <c r="E2270" i="1"/>
  <c r="I2269" i="1"/>
  <c r="H2269" i="1"/>
  <c r="G2269" i="1"/>
  <c r="F2269" i="1"/>
  <c r="E2269" i="1"/>
  <c r="I2268" i="1"/>
  <c r="H2268" i="1"/>
  <c r="G2268" i="1"/>
  <c r="F2268" i="1"/>
  <c r="E2268" i="1"/>
  <c r="I2267" i="1"/>
  <c r="H2267" i="1"/>
  <c r="G2267" i="1"/>
  <c r="F2267" i="1"/>
  <c r="E2267" i="1"/>
  <c r="I2266" i="1"/>
  <c r="H2266" i="1"/>
  <c r="G2266" i="1"/>
  <c r="F2266" i="1"/>
  <c r="E2266" i="1"/>
  <c r="I2265" i="1"/>
  <c r="H2265" i="1"/>
  <c r="G2265" i="1"/>
  <c r="F2265" i="1"/>
  <c r="E2265" i="1"/>
  <c r="I2264" i="1"/>
  <c r="H2264" i="1"/>
  <c r="G2264" i="1"/>
  <c r="F2264" i="1"/>
  <c r="E2264" i="1"/>
  <c r="I2263" i="1"/>
  <c r="H2263" i="1"/>
  <c r="G2263" i="1"/>
  <c r="F2263" i="1"/>
  <c r="E2263" i="1"/>
  <c r="I2262" i="1"/>
  <c r="H2262" i="1"/>
  <c r="G2262" i="1"/>
  <c r="F2262" i="1"/>
  <c r="E2262" i="1"/>
  <c r="I2261" i="1"/>
  <c r="H2261" i="1"/>
  <c r="G2261" i="1"/>
  <c r="F2261" i="1"/>
  <c r="E2261" i="1"/>
  <c r="I2260" i="1"/>
  <c r="H2260" i="1"/>
  <c r="G2260" i="1"/>
  <c r="F2260" i="1"/>
  <c r="E2260" i="1"/>
  <c r="I2259" i="1"/>
  <c r="H2259" i="1"/>
  <c r="G2259" i="1"/>
  <c r="F2259" i="1"/>
  <c r="E2259" i="1"/>
  <c r="I2258" i="1"/>
  <c r="H2258" i="1"/>
  <c r="G2258" i="1"/>
  <c r="F2258" i="1"/>
  <c r="E2258" i="1"/>
  <c r="I2257" i="1"/>
  <c r="H2257" i="1"/>
  <c r="G2257" i="1"/>
  <c r="F2257" i="1"/>
  <c r="E2257" i="1"/>
  <c r="I2256" i="1"/>
  <c r="H2256" i="1"/>
  <c r="G2256" i="1"/>
  <c r="F2256" i="1"/>
  <c r="E2256" i="1"/>
  <c r="I2255" i="1"/>
  <c r="H2255" i="1"/>
  <c r="G2255" i="1"/>
  <c r="F2255" i="1"/>
  <c r="E2255" i="1"/>
  <c r="I2254" i="1"/>
  <c r="H2254" i="1"/>
  <c r="G2254" i="1"/>
  <c r="F2254" i="1"/>
  <c r="E2254" i="1"/>
  <c r="I2253" i="1"/>
  <c r="H2253" i="1"/>
  <c r="G2253" i="1"/>
  <c r="F2253" i="1"/>
  <c r="E2253" i="1"/>
  <c r="I2252" i="1"/>
  <c r="H2252" i="1"/>
  <c r="G2252" i="1"/>
  <c r="F2252" i="1"/>
  <c r="E2252" i="1"/>
  <c r="I2251" i="1"/>
  <c r="H2251" i="1"/>
  <c r="G2251" i="1"/>
  <c r="F2251" i="1"/>
  <c r="E2251" i="1"/>
  <c r="I2250" i="1"/>
  <c r="H2250" i="1"/>
  <c r="G2250" i="1"/>
  <c r="F2250" i="1"/>
  <c r="E2250" i="1"/>
  <c r="I2249" i="1"/>
  <c r="H2249" i="1"/>
  <c r="G2249" i="1"/>
  <c r="F2249" i="1"/>
  <c r="E2249" i="1"/>
  <c r="I2248" i="1"/>
  <c r="H2248" i="1"/>
  <c r="G2248" i="1"/>
  <c r="F2248" i="1"/>
  <c r="E2248" i="1"/>
  <c r="I2247" i="1"/>
  <c r="H2247" i="1"/>
  <c r="G2247" i="1"/>
  <c r="F2247" i="1"/>
  <c r="E2247" i="1"/>
  <c r="I2246" i="1"/>
  <c r="H2246" i="1"/>
  <c r="G2246" i="1"/>
  <c r="F2246" i="1"/>
  <c r="E2246" i="1"/>
  <c r="I2245" i="1"/>
  <c r="H2245" i="1"/>
  <c r="G2245" i="1"/>
  <c r="F2245" i="1"/>
  <c r="E2245" i="1"/>
  <c r="I2244" i="1"/>
  <c r="H2244" i="1"/>
  <c r="G2244" i="1"/>
  <c r="F2244" i="1"/>
  <c r="E2244" i="1"/>
  <c r="I2243" i="1"/>
  <c r="H2243" i="1"/>
  <c r="G2243" i="1"/>
  <c r="F2243" i="1"/>
  <c r="E2243" i="1"/>
  <c r="I2242" i="1"/>
  <c r="H2242" i="1"/>
  <c r="G2242" i="1"/>
  <c r="F2242" i="1"/>
  <c r="E2242" i="1"/>
  <c r="I2241" i="1"/>
  <c r="H2241" i="1"/>
  <c r="G2241" i="1"/>
  <c r="F2241" i="1"/>
  <c r="E2241" i="1"/>
  <c r="I2240" i="1"/>
  <c r="H2240" i="1"/>
  <c r="G2240" i="1"/>
  <c r="F2240" i="1"/>
  <c r="E2240" i="1"/>
  <c r="I2239" i="1"/>
  <c r="H2239" i="1"/>
  <c r="G2239" i="1"/>
  <c r="F2239" i="1"/>
  <c r="E2239" i="1"/>
  <c r="I2238" i="1"/>
  <c r="H2238" i="1"/>
  <c r="G2238" i="1"/>
  <c r="F2238" i="1"/>
  <c r="E2238" i="1"/>
  <c r="I2237" i="1"/>
  <c r="H2237" i="1"/>
  <c r="G2237" i="1"/>
  <c r="F2237" i="1"/>
  <c r="E2237" i="1"/>
  <c r="I2236" i="1"/>
  <c r="H2236" i="1"/>
  <c r="G2236" i="1"/>
  <c r="F2236" i="1"/>
  <c r="E2236" i="1"/>
  <c r="I2235" i="1"/>
  <c r="H2235" i="1"/>
  <c r="G2235" i="1"/>
  <c r="F2235" i="1"/>
  <c r="E2235" i="1"/>
  <c r="I2234" i="1"/>
  <c r="H2234" i="1"/>
  <c r="G2234" i="1"/>
  <c r="F2234" i="1"/>
  <c r="E2234" i="1"/>
  <c r="I2233" i="1"/>
  <c r="H2233" i="1"/>
  <c r="G2233" i="1"/>
  <c r="F2233" i="1"/>
  <c r="E2233" i="1"/>
  <c r="I2232" i="1"/>
  <c r="H2232" i="1"/>
  <c r="G2232" i="1"/>
  <c r="F2232" i="1"/>
  <c r="E2232" i="1"/>
  <c r="I2231" i="1"/>
  <c r="H2231" i="1"/>
  <c r="G2231" i="1"/>
  <c r="F2231" i="1"/>
  <c r="E2231" i="1"/>
  <c r="I2230" i="1"/>
  <c r="H2230" i="1"/>
  <c r="G2230" i="1"/>
  <c r="F2230" i="1"/>
  <c r="E2230" i="1"/>
  <c r="I2229" i="1"/>
  <c r="H2229" i="1"/>
  <c r="G2229" i="1"/>
  <c r="F2229" i="1"/>
  <c r="E2229" i="1"/>
  <c r="I2228" i="1"/>
  <c r="H2228" i="1"/>
  <c r="G2228" i="1"/>
  <c r="F2228" i="1"/>
  <c r="E2228" i="1"/>
  <c r="I2227" i="1"/>
  <c r="H2227" i="1"/>
  <c r="G2227" i="1"/>
  <c r="F2227" i="1"/>
  <c r="E2227" i="1"/>
  <c r="I2226" i="1"/>
  <c r="H2226" i="1"/>
  <c r="G2226" i="1"/>
  <c r="F2226" i="1"/>
  <c r="E2226" i="1"/>
  <c r="I2225" i="1"/>
  <c r="H2225" i="1"/>
  <c r="G2225" i="1"/>
  <c r="F2225" i="1"/>
  <c r="E2225" i="1"/>
  <c r="I2224" i="1"/>
  <c r="H2224" i="1"/>
  <c r="G2224" i="1"/>
  <c r="F2224" i="1"/>
  <c r="E2224" i="1"/>
  <c r="I2223" i="1"/>
  <c r="H2223" i="1"/>
  <c r="G2223" i="1"/>
  <c r="F2223" i="1"/>
  <c r="E2223" i="1"/>
  <c r="I2222" i="1"/>
  <c r="H2222" i="1"/>
  <c r="G2222" i="1"/>
  <c r="F2222" i="1"/>
  <c r="E2222" i="1"/>
  <c r="I2221" i="1"/>
  <c r="H2221" i="1"/>
  <c r="G2221" i="1"/>
  <c r="F2221" i="1"/>
  <c r="E2221" i="1"/>
  <c r="I2220" i="1"/>
  <c r="H2220" i="1"/>
  <c r="G2220" i="1"/>
  <c r="F2220" i="1"/>
  <c r="E2220" i="1"/>
  <c r="I2219" i="1"/>
  <c r="H2219" i="1"/>
  <c r="G2219" i="1"/>
  <c r="F2219" i="1"/>
  <c r="E2219" i="1"/>
  <c r="I2218" i="1"/>
  <c r="H2218" i="1"/>
  <c r="G2218" i="1"/>
  <c r="F2218" i="1"/>
  <c r="E2218" i="1"/>
  <c r="I2217" i="1"/>
  <c r="H2217" i="1"/>
  <c r="G2217" i="1"/>
  <c r="F2217" i="1"/>
  <c r="E2217" i="1"/>
  <c r="I2216" i="1"/>
  <c r="H2216" i="1"/>
  <c r="G2216" i="1"/>
  <c r="F2216" i="1"/>
  <c r="E2216" i="1"/>
  <c r="I2215" i="1"/>
  <c r="H2215" i="1"/>
  <c r="G2215" i="1"/>
  <c r="F2215" i="1"/>
  <c r="E2215" i="1"/>
  <c r="I2214" i="1"/>
  <c r="H2214" i="1"/>
  <c r="G2214" i="1"/>
  <c r="F2214" i="1"/>
  <c r="E2214" i="1"/>
  <c r="I2213" i="1"/>
  <c r="H2213" i="1"/>
  <c r="G2213" i="1"/>
  <c r="F2213" i="1"/>
  <c r="E2213" i="1"/>
  <c r="I2212" i="1"/>
  <c r="H2212" i="1"/>
  <c r="G2212" i="1"/>
  <c r="F2212" i="1"/>
  <c r="E2212" i="1"/>
  <c r="I2211" i="1"/>
  <c r="H2211" i="1"/>
  <c r="G2211" i="1"/>
  <c r="F2211" i="1"/>
  <c r="E2211" i="1"/>
  <c r="I2210" i="1"/>
  <c r="H2210" i="1"/>
  <c r="G2210" i="1"/>
  <c r="F2210" i="1"/>
  <c r="E2210" i="1"/>
  <c r="I2209" i="1"/>
  <c r="H2209" i="1"/>
  <c r="G2209" i="1"/>
  <c r="F2209" i="1"/>
  <c r="E2209" i="1"/>
  <c r="I2208" i="1"/>
  <c r="H2208" i="1"/>
  <c r="G2208" i="1"/>
  <c r="F2208" i="1"/>
  <c r="E2208" i="1"/>
  <c r="I2207" i="1"/>
  <c r="H2207" i="1"/>
  <c r="G2207" i="1"/>
  <c r="F2207" i="1"/>
  <c r="E2207" i="1"/>
  <c r="I2206" i="1"/>
  <c r="H2206" i="1"/>
  <c r="G2206" i="1"/>
  <c r="F2206" i="1"/>
  <c r="E2206" i="1"/>
  <c r="I2205" i="1"/>
  <c r="H2205" i="1"/>
  <c r="G2205" i="1"/>
  <c r="F2205" i="1"/>
  <c r="E2205" i="1"/>
  <c r="I2204" i="1"/>
  <c r="H2204" i="1"/>
  <c r="G2204" i="1"/>
  <c r="F2204" i="1"/>
  <c r="E2204" i="1"/>
  <c r="I2203" i="1"/>
  <c r="H2203" i="1"/>
  <c r="G2203" i="1"/>
  <c r="F2203" i="1"/>
  <c r="E2203" i="1"/>
  <c r="I2202" i="1"/>
  <c r="H2202" i="1"/>
  <c r="G2202" i="1"/>
  <c r="F2202" i="1"/>
  <c r="E2202" i="1"/>
  <c r="I2201" i="1"/>
  <c r="H2201" i="1"/>
  <c r="G2201" i="1"/>
  <c r="F2201" i="1"/>
  <c r="E2201" i="1"/>
  <c r="I2200" i="1"/>
  <c r="H2200" i="1"/>
  <c r="G2200" i="1"/>
  <c r="F2200" i="1"/>
  <c r="E2200" i="1"/>
  <c r="I2199" i="1"/>
  <c r="H2199" i="1"/>
  <c r="G2199" i="1"/>
  <c r="F2199" i="1"/>
  <c r="E2199" i="1"/>
  <c r="I2198" i="1"/>
  <c r="H2198" i="1"/>
  <c r="G2198" i="1"/>
  <c r="F2198" i="1"/>
  <c r="E2198" i="1"/>
  <c r="I2197" i="1"/>
  <c r="H2197" i="1"/>
  <c r="G2197" i="1"/>
  <c r="F2197" i="1"/>
  <c r="E2197" i="1"/>
  <c r="I2196" i="1"/>
  <c r="H2196" i="1"/>
  <c r="G2196" i="1"/>
  <c r="F2196" i="1"/>
  <c r="E2196" i="1"/>
  <c r="I2195" i="1"/>
  <c r="H2195" i="1"/>
  <c r="G2195" i="1"/>
  <c r="F2195" i="1"/>
  <c r="E2195" i="1"/>
  <c r="I2194" i="1"/>
  <c r="H2194" i="1"/>
  <c r="G2194" i="1"/>
  <c r="F2194" i="1"/>
  <c r="E2194" i="1"/>
  <c r="I2193" i="1"/>
  <c r="H2193" i="1"/>
  <c r="G2193" i="1"/>
  <c r="F2193" i="1"/>
  <c r="E2193" i="1"/>
  <c r="I2192" i="1"/>
  <c r="H2192" i="1"/>
  <c r="G2192" i="1"/>
  <c r="F2192" i="1"/>
  <c r="E2192" i="1"/>
  <c r="I2191" i="1"/>
  <c r="H2191" i="1"/>
  <c r="G2191" i="1"/>
  <c r="F2191" i="1"/>
  <c r="E2191" i="1"/>
  <c r="I2190" i="1"/>
  <c r="H2190" i="1"/>
  <c r="G2190" i="1"/>
  <c r="F2190" i="1"/>
  <c r="E2190" i="1"/>
  <c r="I2189" i="1"/>
  <c r="H2189" i="1"/>
  <c r="G2189" i="1"/>
  <c r="F2189" i="1"/>
  <c r="E2189" i="1"/>
  <c r="I2188" i="1"/>
  <c r="H2188" i="1"/>
  <c r="G2188" i="1"/>
  <c r="F2188" i="1"/>
  <c r="E2188" i="1"/>
  <c r="I2187" i="1"/>
  <c r="H2187" i="1"/>
  <c r="G2187" i="1"/>
  <c r="F2187" i="1"/>
  <c r="E2187" i="1"/>
  <c r="I2186" i="1"/>
  <c r="H2186" i="1"/>
  <c r="G2186" i="1"/>
  <c r="F2186" i="1"/>
  <c r="E2186" i="1"/>
  <c r="I2185" i="1"/>
  <c r="H2185" i="1"/>
  <c r="G2185" i="1"/>
  <c r="F2185" i="1"/>
  <c r="E2185" i="1"/>
  <c r="I2184" i="1"/>
  <c r="H2184" i="1"/>
  <c r="G2184" i="1"/>
  <c r="F2184" i="1"/>
  <c r="E2184" i="1"/>
  <c r="I2183" i="1"/>
  <c r="H2183" i="1"/>
  <c r="G2183" i="1"/>
  <c r="F2183" i="1"/>
  <c r="E2183" i="1"/>
  <c r="I2182" i="1"/>
  <c r="H2182" i="1"/>
  <c r="G2182" i="1"/>
  <c r="F2182" i="1"/>
  <c r="E2182" i="1"/>
  <c r="I2181" i="1"/>
  <c r="H2181" i="1"/>
  <c r="G2181" i="1"/>
  <c r="F2181" i="1"/>
  <c r="E2181" i="1"/>
  <c r="I2180" i="1"/>
  <c r="H2180" i="1"/>
  <c r="G2180" i="1"/>
  <c r="F2180" i="1"/>
  <c r="E2180" i="1"/>
  <c r="I2179" i="1"/>
  <c r="H2179" i="1"/>
  <c r="G2179" i="1"/>
  <c r="F2179" i="1"/>
  <c r="E2179" i="1"/>
  <c r="I2178" i="1"/>
  <c r="H2178" i="1"/>
  <c r="G2178" i="1"/>
  <c r="F2178" i="1"/>
  <c r="E2178" i="1"/>
  <c r="I2177" i="1"/>
  <c r="H2177" i="1"/>
  <c r="G2177" i="1"/>
  <c r="F2177" i="1"/>
  <c r="E2177" i="1"/>
  <c r="I2176" i="1"/>
  <c r="H2176" i="1"/>
  <c r="G2176" i="1"/>
  <c r="F2176" i="1"/>
  <c r="E2176" i="1"/>
  <c r="I2175" i="1"/>
  <c r="H2175" i="1"/>
  <c r="G2175" i="1"/>
  <c r="F2175" i="1"/>
  <c r="E2175" i="1"/>
  <c r="I2174" i="1"/>
  <c r="H2174" i="1"/>
  <c r="G2174" i="1"/>
  <c r="F2174" i="1"/>
  <c r="E2174" i="1"/>
  <c r="I2173" i="1"/>
  <c r="H2173" i="1"/>
  <c r="G2173" i="1"/>
  <c r="F2173" i="1"/>
  <c r="E2173" i="1"/>
  <c r="I2172" i="1"/>
  <c r="H2172" i="1"/>
  <c r="G2172" i="1"/>
  <c r="F2172" i="1"/>
  <c r="E2172" i="1"/>
  <c r="I2171" i="1"/>
  <c r="H2171" i="1"/>
  <c r="G2171" i="1"/>
  <c r="F2171" i="1"/>
  <c r="E2171" i="1"/>
  <c r="I2170" i="1"/>
  <c r="H2170" i="1"/>
  <c r="G2170" i="1"/>
  <c r="F2170" i="1"/>
  <c r="E2170" i="1"/>
  <c r="I2169" i="1"/>
  <c r="H2169" i="1"/>
  <c r="G2169" i="1"/>
  <c r="F2169" i="1"/>
  <c r="E2169" i="1"/>
  <c r="I2168" i="1"/>
  <c r="H2168" i="1"/>
  <c r="G2168" i="1"/>
  <c r="F2168" i="1"/>
  <c r="E2168" i="1"/>
  <c r="I2167" i="1"/>
  <c r="H2167" i="1"/>
  <c r="G2167" i="1"/>
  <c r="F2167" i="1"/>
  <c r="E2167" i="1"/>
  <c r="I2166" i="1"/>
  <c r="H2166" i="1"/>
  <c r="G2166" i="1"/>
  <c r="F2166" i="1"/>
  <c r="E2166" i="1"/>
  <c r="I2165" i="1"/>
  <c r="H2165" i="1"/>
  <c r="G2165" i="1"/>
  <c r="F2165" i="1"/>
  <c r="E2165" i="1"/>
  <c r="I2164" i="1"/>
  <c r="H2164" i="1"/>
  <c r="G2164" i="1"/>
  <c r="F2164" i="1"/>
  <c r="E2164" i="1"/>
  <c r="I2163" i="1"/>
  <c r="H2163" i="1"/>
  <c r="G2163" i="1"/>
  <c r="F2163" i="1"/>
  <c r="E2163" i="1"/>
  <c r="I2162" i="1"/>
  <c r="H2162" i="1"/>
  <c r="G2162" i="1"/>
  <c r="F2162" i="1"/>
  <c r="E2162" i="1"/>
  <c r="I2161" i="1"/>
  <c r="H2161" i="1"/>
  <c r="G2161" i="1"/>
  <c r="F2161" i="1"/>
  <c r="E2161" i="1"/>
  <c r="I2160" i="1"/>
  <c r="H2160" i="1"/>
  <c r="G2160" i="1"/>
  <c r="F2160" i="1"/>
  <c r="E2160" i="1"/>
  <c r="I2159" i="1"/>
  <c r="H2159" i="1"/>
  <c r="G2159" i="1"/>
  <c r="F2159" i="1"/>
  <c r="E2159" i="1"/>
  <c r="I2158" i="1"/>
  <c r="H2158" i="1"/>
  <c r="G2158" i="1"/>
  <c r="F2158" i="1"/>
  <c r="E2158" i="1"/>
  <c r="I2157" i="1"/>
  <c r="H2157" i="1"/>
  <c r="G2157" i="1"/>
  <c r="F2157" i="1"/>
  <c r="E2157" i="1"/>
  <c r="I2156" i="1"/>
  <c r="H2156" i="1"/>
  <c r="G2156" i="1"/>
  <c r="F2156" i="1"/>
  <c r="E2156" i="1"/>
  <c r="I2155" i="1"/>
  <c r="H2155" i="1"/>
  <c r="G2155" i="1"/>
  <c r="F2155" i="1"/>
  <c r="E2155" i="1"/>
  <c r="I2154" i="1"/>
  <c r="H2154" i="1"/>
  <c r="G2154" i="1"/>
  <c r="F2154" i="1"/>
  <c r="E2154" i="1"/>
  <c r="I2153" i="1"/>
  <c r="H2153" i="1"/>
  <c r="G2153" i="1"/>
  <c r="F2153" i="1"/>
  <c r="E2153" i="1"/>
  <c r="I2152" i="1"/>
  <c r="H2152" i="1"/>
  <c r="G2152" i="1"/>
  <c r="F2152" i="1"/>
  <c r="E2152" i="1"/>
  <c r="I2151" i="1"/>
  <c r="H2151" i="1"/>
  <c r="G2151" i="1"/>
  <c r="F2151" i="1"/>
  <c r="E2151" i="1"/>
  <c r="I2150" i="1"/>
  <c r="H2150" i="1"/>
  <c r="G2150" i="1"/>
  <c r="F2150" i="1"/>
  <c r="E2150" i="1"/>
  <c r="I2149" i="1"/>
  <c r="H2149" i="1"/>
  <c r="G2149" i="1"/>
  <c r="F2149" i="1"/>
  <c r="E2149" i="1"/>
  <c r="I2148" i="1"/>
  <c r="H2148" i="1"/>
  <c r="G2148" i="1"/>
  <c r="F2148" i="1"/>
  <c r="E2148" i="1"/>
  <c r="I2147" i="1"/>
  <c r="H2147" i="1"/>
  <c r="G2147" i="1"/>
  <c r="F2147" i="1"/>
  <c r="E2147" i="1"/>
  <c r="I2146" i="1"/>
  <c r="H2146" i="1"/>
  <c r="G2146" i="1"/>
  <c r="F2146" i="1"/>
  <c r="E2146" i="1"/>
  <c r="I2145" i="1"/>
  <c r="H2145" i="1"/>
  <c r="G2145" i="1"/>
  <c r="F2145" i="1"/>
  <c r="E2145" i="1"/>
  <c r="I2144" i="1"/>
  <c r="H2144" i="1"/>
  <c r="G2144" i="1"/>
  <c r="F2144" i="1"/>
  <c r="E2144" i="1"/>
  <c r="I2143" i="1"/>
  <c r="H2143" i="1"/>
  <c r="G2143" i="1"/>
  <c r="F2143" i="1"/>
  <c r="E2143" i="1"/>
  <c r="I2142" i="1"/>
  <c r="H2142" i="1"/>
  <c r="G2142" i="1"/>
  <c r="F2142" i="1"/>
  <c r="E2142" i="1"/>
  <c r="I2141" i="1"/>
  <c r="H2141" i="1"/>
  <c r="G2141" i="1"/>
  <c r="F2141" i="1"/>
  <c r="E2141" i="1"/>
  <c r="I2140" i="1"/>
  <c r="H2140" i="1"/>
  <c r="G2140" i="1"/>
  <c r="F2140" i="1"/>
  <c r="E2140" i="1"/>
  <c r="I2139" i="1"/>
  <c r="H2139" i="1"/>
  <c r="G2139" i="1"/>
  <c r="F2139" i="1"/>
  <c r="E2139" i="1"/>
  <c r="I2138" i="1"/>
  <c r="H2138" i="1"/>
  <c r="G2138" i="1"/>
  <c r="F2138" i="1"/>
  <c r="E2138" i="1"/>
  <c r="I2137" i="1"/>
  <c r="H2137" i="1"/>
  <c r="G2137" i="1"/>
  <c r="F2137" i="1"/>
  <c r="E2137" i="1"/>
  <c r="I2136" i="1"/>
  <c r="H2136" i="1"/>
  <c r="G2136" i="1"/>
  <c r="F2136" i="1"/>
  <c r="E2136" i="1"/>
  <c r="I2135" i="1"/>
  <c r="H2135" i="1"/>
  <c r="G2135" i="1"/>
  <c r="F2135" i="1"/>
  <c r="E2135" i="1"/>
  <c r="I2134" i="1"/>
  <c r="H2134" i="1"/>
  <c r="G2134" i="1"/>
  <c r="F2134" i="1"/>
  <c r="E2134" i="1"/>
  <c r="I2133" i="1"/>
  <c r="H2133" i="1"/>
  <c r="G2133" i="1"/>
  <c r="F2133" i="1"/>
  <c r="E2133" i="1"/>
  <c r="I2132" i="1"/>
  <c r="H2132" i="1"/>
  <c r="G2132" i="1"/>
  <c r="F2132" i="1"/>
  <c r="E2132" i="1"/>
  <c r="I2131" i="1"/>
  <c r="H2131" i="1"/>
  <c r="G2131" i="1"/>
  <c r="F2131" i="1"/>
  <c r="E2131" i="1"/>
  <c r="I2130" i="1"/>
  <c r="H2130" i="1"/>
  <c r="G2130" i="1"/>
  <c r="F2130" i="1"/>
  <c r="E2130" i="1"/>
  <c r="I2129" i="1"/>
  <c r="H2129" i="1"/>
  <c r="G2129" i="1"/>
  <c r="F2129" i="1"/>
  <c r="E2129" i="1"/>
  <c r="I2128" i="1"/>
  <c r="H2128" i="1"/>
  <c r="G2128" i="1"/>
  <c r="F2128" i="1"/>
  <c r="E2128" i="1"/>
  <c r="I2127" i="1"/>
  <c r="H2127" i="1"/>
  <c r="G2127" i="1"/>
  <c r="F2127" i="1"/>
  <c r="E2127" i="1"/>
  <c r="I2126" i="1"/>
  <c r="H2126" i="1"/>
  <c r="G2126" i="1"/>
  <c r="F2126" i="1"/>
  <c r="E2126" i="1"/>
  <c r="I2125" i="1"/>
  <c r="H2125" i="1"/>
  <c r="G2125" i="1"/>
  <c r="F2125" i="1"/>
  <c r="E2125" i="1"/>
  <c r="I2124" i="1"/>
  <c r="H2124" i="1"/>
  <c r="G2124" i="1"/>
  <c r="F2124" i="1"/>
  <c r="E2124" i="1"/>
  <c r="I2123" i="1"/>
  <c r="H2123" i="1"/>
  <c r="G2123" i="1"/>
  <c r="F2123" i="1"/>
  <c r="E2123" i="1"/>
  <c r="I2122" i="1"/>
  <c r="H2122" i="1"/>
  <c r="G2122" i="1"/>
  <c r="F2122" i="1"/>
  <c r="E2122" i="1"/>
  <c r="I2121" i="1"/>
  <c r="H2121" i="1"/>
  <c r="G2121" i="1"/>
  <c r="F2121" i="1"/>
  <c r="E2121" i="1"/>
  <c r="I2120" i="1"/>
  <c r="H2120" i="1"/>
  <c r="G2120" i="1"/>
  <c r="F2120" i="1"/>
  <c r="E2120" i="1"/>
  <c r="I2119" i="1"/>
  <c r="H2119" i="1"/>
  <c r="G2119" i="1"/>
  <c r="F2119" i="1"/>
  <c r="E2119" i="1"/>
  <c r="I2118" i="1"/>
  <c r="H2118" i="1"/>
  <c r="G2118" i="1"/>
  <c r="F2118" i="1"/>
  <c r="E2118" i="1"/>
  <c r="I2117" i="1"/>
  <c r="H2117" i="1"/>
  <c r="G2117" i="1"/>
  <c r="F2117" i="1"/>
  <c r="E2117" i="1"/>
  <c r="I2116" i="1"/>
  <c r="H2116" i="1"/>
  <c r="G2116" i="1"/>
  <c r="F2116" i="1"/>
  <c r="E2116" i="1"/>
  <c r="I2115" i="1"/>
  <c r="H2115" i="1"/>
  <c r="G2115" i="1"/>
  <c r="F2115" i="1"/>
  <c r="E2115" i="1"/>
  <c r="I2114" i="1"/>
  <c r="H2114" i="1"/>
  <c r="G2114" i="1"/>
  <c r="F2114" i="1"/>
  <c r="E2114" i="1"/>
  <c r="I2113" i="1"/>
  <c r="H2113" i="1"/>
  <c r="G2113" i="1"/>
  <c r="F2113" i="1"/>
  <c r="E2113" i="1"/>
  <c r="I2112" i="1"/>
  <c r="H2112" i="1"/>
  <c r="G2112" i="1"/>
  <c r="F2112" i="1"/>
  <c r="E2112" i="1"/>
  <c r="I2111" i="1"/>
  <c r="H2111" i="1"/>
  <c r="G2111" i="1"/>
  <c r="F2111" i="1"/>
  <c r="E2111" i="1"/>
  <c r="I2110" i="1"/>
  <c r="H2110" i="1"/>
  <c r="G2110" i="1"/>
  <c r="F2110" i="1"/>
  <c r="E2110" i="1"/>
  <c r="I2109" i="1"/>
  <c r="H2109" i="1"/>
  <c r="G2109" i="1"/>
  <c r="F2109" i="1"/>
  <c r="E2109" i="1"/>
  <c r="I2108" i="1"/>
  <c r="H2108" i="1"/>
  <c r="G2108" i="1"/>
  <c r="F2108" i="1"/>
  <c r="E2108" i="1"/>
  <c r="I2107" i="1"/>
  <c r="H2107" i="1"/>
  <c r="G2107" i="1"/>
  <c r="F2107" i="1"/>
  <c r="E2107" i="1"/>
  <c r="I2106" i="1"/>
  <c r="H2106" i="1"/>
  <c r="G2106" i="1"/>
  <c r="F2106" i="1"/>
  <c r="E2106" i="1"/>
  <c r="I2105" i="1"/>
  <c r="H2105" i="1"/>
  <c r="G2105" i="1"/>
  <c r="F2105" i="1"/>
  <c r="E2105" i="1"/>
  <c r="I2104" i="1"/>
  <c r="H2104" i="1"/>
  <c r="G2104" i="1"/>
  <c r="F2104" i="1"/>
  <c r="E2104" i="1"/>
  <c r="I2103" i="1"/>
  <c r="H2103" i="1"/>
  <c r="G2103" i="1"/>
  <c r="F2103" i="1"/>
  <c r="E2103" i="1"/>
  <c r="I2102" i="1"/>
  <c r="H2102" i="1"/>
  <c r="G2102" i="1"/>
  <c r="F2102" i="1"/>
  <c r="E2102" i="1"/>
  <c r="I2101" i="1"/>
  <c r="H2101" i="1"/>
  <c r="G2101" i="1"/>
  <c r="F2101" i="1"/>
  <c r="E2101" i="1"/>
  <c r="I2100" i="1"/>
  <c r="H2100" i="1"/>
  <c r="G2100" i="1"/>
  <c r="F2100" i="1"/>
  <c r="E2100" i="1"/>
  <c r="I2099" i="1"/>
  <c r="H2099" i="1"/>
  <c r="G2099" i="1"/>
  <c r="F2099" i="1"/>
  <c r="E2099" i="1"/>
  <c r="I2098" i="1"/>
  <c r="H2098" i="1"/>
  <c r="G2098" i="1"/>
  <c r="F2098" i="1"/>
  <c r="E2098" i="1"/>
  <c r="I2097" i="1"/>
  <c r="H2097" i="1"/>
  <c r="G2097" i="1"/>
  <c r="F2097" i="1"/>
  <c r="E2097" i="1"/>
  <c r="I2096" i="1"/>
  <c r="H2096" i="1"/>
  <c r="G2096" i="1"/>
  <c r="F2096" i="1"/>
  <c r="E2096" i="1"/>
  <c r="I2095" i="1"/>
  <c r="H2095" i="1"/>
  <c r="G2095" i="1"/>
  <c r="F2095" i="1"/>
  <c r="E2095" i="1"/>
  <c r="I2094" i="1"/>
  <c r="H2094" i="1"/>
  <c r="G2094" i="1"/>
  <c r="F2094" i="1"/>
  <c r="E2094" i="1"/>
  <c r="I2093" i="1"/>
  <c r="H2093" i="1"/>
  <c r="G2093" i="1"/>
  <c r="F2093" i="1"/>
  <c r="E2093" i="1"/>
  <c r="I2092" i="1"/>
  <c r="H2092" i="1"/>
  <c r="G2092" i="1"/>
  <c r="F2092" i="1"/>
  <c r="E2092" i="1"/>
  <c r="I2091" i="1"/>
  <c r="H2091" i="1"/>
  <c r="G2091" i="1"/>
  <c r="F2091" i="1"/>
  <c r="E2091" i="1"/>
  <c r="I2090" i="1"/>
  <c r="H2090" i="1"/>
  <c r="G2090" i="1"/>
  <c r="F2090" i="1"/>
  <c r="E2090" i="1"/>
  <c r="I2089" i="1"/>
  <c r="H2089" i="1"/>
  <c r="G2089" i="1"/>
  <c r="F2089" i="1"/>
  <c r="E2089" i="1"/>
  <c r="I2088" i="1"/>
  <c r="H2088" i="1"/>
  <c r="G2088" i="1"/>
  <c r="F2088" i="1"/>
  <c r="E2088" i="1"/>
  <c r="I2087" i="1"/>
  <c r="H2087" i="1"/>
  <c r="G2087" i="1"/>
  <c r="F2087" i="1"/>
  <c r="E2087" i="1"/>
  <c r="I2086" i="1"/>
  <c r="H2086" i="1"/>
  <c r="G2086" i="1"/>
  <c r="F2086" i="1"/>
  <c r="E2086" i="1"/>
  <c r="I2085" i="1"/>
  <c r="H2085" i="1"/>
  <c r="G2085" i="1"/>
  <c r="F2085" i="1"/>
  <c r="E2085" i="1"/>
  <c r="I2084" i="1"/>
  <c r="H2084" i="1"/>
  <c r="G2084" i="1"/>
  <c r="F2084" i="1"/>
  <c r="E2084" i="1"/>
  <c r="I2083" i="1"/>
  <c r="H2083" i="1"/>
  <c r="G2083" i="1"/>
  <c r="F2083" i="1"/>
  <c r="E2083" i="1"/>
  <c r="I2082" i="1"/>
  <c r="H2082" i="1"/>
  <c r="G2082" i="1"/>
  <c r="F2082" i="1"/>
  <c r="E2082" i="1"/>
  <c r="I2081" i="1"/>
  <c r="H2081" i="1"/>
  <c r="G2081" i="1"/>
  <c r="F2081" i="1"/>
  <c r="E2081" i="1"/>
  <c r="I2080" i="1"/>
  <c r="H2080" i="1"/>
  <c r="G2080" i="1"/>
  <c r="F2080" i="1"/>
  <c r="E2080" i="1"/>
  <c r="I2079" i="1"/>
  <c r="H2079" i="1"/>
  <c r="G2079" i="1"/>
  <c r="F2079" i="1"/>
  <c r="E2079" i="1"/>
  <c r="I2078" i="1"/>
  <c r="H2078" i="1"/>
  <c r="G2078" i="1"/>
  <c r="F2078" i="1"/>
  <c r="E2078" i="1"/>
  <c r="I2077" i="1"/>
  <c r="H2077" i="1"/>
  <c r="G2077" i="1"/>
  <c r="F2077" i="1"/>
  <c r="E2077" i="1"/>
  <c r="I2076" i="1"/>
  <c r="H2076" i="1"/>
  <c r="G2076" i="1"/>
  <c r="F2076" i="1"/>
  <c r="E2076" i="1"/>
  <c r="I2075" i="1"/>
  <c r="H2075" i="1"/>
  <c r="G2075" i="1"/>
  <c r="F2075" i="1"/>
  <c r="E2075" i="1"/>
  <c r="I2074" i="1"/>
  <c r="H2074" i="1"/>
  <c r="G2074" i="1"/>
  <c r="F2074" i="1"/>
  <c r="E2074" i="1"/>
  <c r="I2073" i="1"/>
  <c r="H2073" i="1"/>
  <c r="G2073" i="1"/>
  <c r="F2073" i="1"/>
  <c r="E2073" i="1"/>
  <c r="I2072" i="1"/>
  <c r="H2072" i="1"/>
  <c r="G2072" i="1"/>
  <c r="F2072" i="1"/>
  <c r="E2072" i="1"/>
  <c r="I2071" i="1"/>
  <c r="H2071" i="1"/>
  <c r="G2071" i="1"/>
  <c r="F2071" i="1"/>
  <c r="E2071" i="1"/>
  <c r="I2070" i="1"/>
  <c r="H2070" i="1"/>
  <c r="G2070" i="1"/>
  <c r="F2070" i="1"/>
  <c r="E2070" i="1"/>
  <c r="I2069" i="1"/>
  <c r="H2069" i="1"/>
  <c r="G2069" i="1"/>
  <c r="F2069" i="1"/>
  <c r="E2069" i="1"/>
  <c r="I2068" i="1"/>
  <c r="H2068" i="1"/>
  <c r="G2068" i="1"/>
  <c r="F2068" i="1"/>
  <c r="E2068" i="1"/>
  <c r="I2067" i="1"/>
  <c r="H2067" i="1"/>
  <c r="G2067" i="1"/>
  <c r="F2067" i="1"/>
  <c r="E2067" i="1"/>
  <c r="I2066" i="1"/>
  <c r="H2066" i="1"/>
  <c r="G2066" i="1"/>
  <c r="F2066" i="1"/>
  <c r="E2066" i="1"/>
  <c r="I2065" i="1"/>
  <c r="H2065" i="1"/>
  <c r="G2065" i="1"/>
  <c r="F2065" i="1"/>
  <c r="E2065" i="1"/>
  <c r="I2064" i="1"/>
  <c r="H2064" i="1"/>
  <c r="G2064" i="1"/>
  <c r="F2064" i="1"/>
  <c r="E2064" i="1"/>
  <c r="I2063" i="1"/>
  <c r="H2063" i="1"/>
  <c r="G2063" i="1"/>
  <c r="F2063" i="1"/>
  <c r="E2063" i="1"/>
  <c r="I2062" i="1"/>
  <c r="H2062" i="1"/>
  <c r="G2062" i="1"/>
  <c r="F2062" i="1"/>
  <c r="E2062" i="1"/>
  <c r="I2061" i="1"/>
  <c r="H2061" i="1"/>
  <c r="G2061" i="1"/>
  <c r="F2061" i="1"/>
  <c r="E2061" i="1"/>
  <c r="I2060" i="1"/>
  <c r="H2060" i="1"/>
  <c r="G2060" i="1"/>
  <c r="F2060" i="1"/>
  <c r="E2060" i="1"/>
  <c r="I2059" i="1"/>
  <c r="H2059" i="1"/>
  <c r="G2059" i="1"/>
  <c r="F2059" i="1"/>
  <c r="E2059" i="1"/>
  <c r="I2058" i="1"/>
  <c r="H2058" i="1"/>
  <c r="G2058" i="1"/>
  <c r="F2058" i="1"/>
  <c r="E2058" i="1"/>
  <c r="I2057" i="1"/>
  <c r="H2057" i="1"/>
  <c r="G2057" i="1"/>
  <c r="F2057" i="1"/>
  <c r="E2057" i="1"/>
  <c r="I2056" i="1"/>
  <c r="H2056" i="1"/>
  <c r="G2056" i="1"/>
  <c r="F2056" i="1"/>
  <c r="E2056" i="1"/>
  <c r="I2055" i="1"/>
  <c r="H2055" i="1"/>
  <c r="G2055" i="1"/>
  <c r="F2055" i="1"/>
  <c r="E2055" i="1"/>
  <c r="I2054" i="1"/>
  <c r="H2054" i="1"/>
  <c r="G2054" i="1"/>
  <c r="F2054" i="1"/>
  <c r="E2054" i="1"/>
  <c r="I2053" i="1"/>
  <c r="H2053" i="1"/>
  <c r="G2053" i="1"/>
  <c r="F2053" i="1"/>
  <c r="E2053" i="1"/>
  <c r="I2052" i="1"/>
  <c r="H2052" i="1"/>
  <c r="G2052" i="1"/>
  <c r="F2052" i="1"/>
  <c r="E2052" i="1"/>
  <c r="I2051" i="1"/>
  <c r="H2051" i="1"/>
  <c r="G2051" i="1"/>
  <c r="F2051" i="1"/>
  <c r="E2051" i="1"/>
  <c r="I2050" i="1"/>
  <c r="H2050" i="1"/>
  <c r="G2050" i="1"/>
  <c r="F2050" i="1"/>
  <c r="E2050" i="1"/>
  <c r="I2049" i="1"/>
  <c r="H2049" i="1"/>
  <c r="G2049" i="1"/>
  <c r="F2049" i="1"/>
  <c r="E2049" i="1"/>
  <c r="I2048" i="1"/>
  <c r="H2048" i="1"/>
  <c r="G2048" i="1"/>
  <c r="F2048" i="1"/>
  <c r="E2048" i="1"/>
  <c r="I2047" i="1"/>
  <c r="H2047" i="1"/>
  <c r="G2047" i="1"/>
  <c r="F2047" i="1"/>
  <c r="E2047" i="1"/>
  <c r="I2046" i="1"/>
  <c r="H2046" i="1"/>
  <c r="G2046" i="1"/>
  <c r="F2046" i="1"/>
  <c r="E2046" i="1"/>
  <c r="I2045" i="1"/>
  <c r="H2045" i="1"/>
  <c r="G2045" i="1"/>
  <c r="F2045" i="1"/>
  <c r="E2045" i="1"/>
  <c r="I2044" i="1"/>
  <c r="H2044" i="1"/>
  <c r="G2044" i="1"/>
  <c r="F2044" i="1"/>
  <c r="E2044" i="1"/>
  <c r="I2043" i="1"/>
  <c r="H2043" i="1"/>
  <c r="G2043" i="1"/>
  <c r="F2043" i="1"/>
  <c r="E2043" i="1"/>
  <c r="I2042" i="1"/>
  <c r="H2042" i="1"/>
  <c r="G2042" i="1"/>
  <c r="F2042" i="1"/>
  <c r="E2042" i="1"/>
  <c r="I2041" i="1"/>
  <c r="H2041" i="1"/>
  <c r="G2041" i="1"/>
  <c r="F2041" i="1"/>
  <c r="E2041" i="1"/>
  <c r="I2040" i="1"/>
  <c r="H2040" i="1"/>
  <c r="G2040" i="1"/>
  <c r="F2040" i="1"/>
  <c r="E2040" i="1"/>
  <c r="I2039" i="1"/>
  <c r="H2039" i="1"/>
  <c r="G2039" i="1"/>
  <c r="F2039" i="1"/>
  <c r="E2039" i="1"/>
  <c r="I2038" i="1"/>
  <c r="H2038" i="1"/>
  <c r="G2038" i="1"/>
  <c r="F2038" i="1"/>
  <c r="E2038" i="1"/>
  <c r="I2037" i="1"/>
  <c r="H2037" i="1"/>
  <c r="G2037" i="1"/>
  <c r="F2037" i="1"/>
  <c r="E2037" i="1"/>
  <c r="I2036" i="1"/>
  <c r="H2036" i="1"/>
  <c r="G2036" i="1"/>
  <c r="F2036" i="1"/>
  <c r="E2036" i="1"/>
  <c r="I2035" i="1"/>
  <c r="H2035" i="1"/>
  <c r="G2035" i="1"/>
  <c r="F2035" i="1"/>
  <c r="E2035" i="1"/>
  <c r="I2034" i="1"/>
  <c r="H2034" i="1"/>
  <c r="G2034" i="1"/>
  <c r="F2034" i="1"/>
  <c r="E2034" i="1"/>
  <c r="I2033" i="1"/>
  <c r="H2033" i="1"/>
  <c r="G2033" i="1"/>
  <c r="F2033" i="1"/>
  <c r="E2033" i="1"/>
  <c r="I2032" i="1"/>
  <c r="H2032" i="1"/>
  <c r="G2032" i="1"/>
  <c r="F2032" i="1"/>
  <c r="E2032" i="1"/>
  <c r="I2031" i="1"/>
  <c r="H2031" i="1"/>
  <c r="G2031" i="1"/>
  <c r="F2031" i="1"/>
  <c r="E2031" i="1"/>
  <c r="I2030" i="1"/>
  <c r="H2030" i="1"/>
  <c r="G2030" i="1"/>
  <c r="F2030" i="1"/>
  <c r="E2030" i="1"/>
  <c r="I2029" i="1"/>
  <c r="H2029" i="1"/>
  <c r="G2029" i="1"/>
  <c r="F2029" i="1"/>
  <c r="E2029" i="1"/>
  <c r="I2028" i="1"/>
  <c r="H2028" i="1"/>
  <c r="G2028" i="1"/>
  <c r="F2028" i="1"/>
  <c r="E2028" i="1"/>
  <c r="I2027" i="1"/>
  <c r="H2027" i="1"/>
  <c r="G2027" i="1"/>
  <c r="F2027" i="1"/>
  <c r="E2027" i="1"/>
  <c r="I2026" i="1"/>
  <c r="H2026" i="1"/>
  <c r="G2026" i="1"/>
  <c r="F2026" i="1"/>
  <c r="E2026" i="1"/>
  <c r="I2025" i="1"/>
  <c r="H2025" i="1"/>
  <c r="G2025" i="1"/>
  <c r="F2025" i="1"/>
  <c r="E2025" i="1"/>
  <c r="I2024" i="1"/>
  <c r="H2024" i="1"/>
  <c r="G2024" i="1"/>
  <c r="F2024" i="1"/>
  <c r="E2024" i="1"/>
  <c r="I2023" i="1"/>
  <c r="H2023" i="1"/>
  <c r="G2023" i="1"/>
  <c r="F2023" i="1"/>
  <c r="E2023" i="1"/>
  <c r="I2022" i="1"/>
  <c r="H2022" i="1"/>
  <c r="G2022" i="1"/>
  <c r="F2022" i="1"/>
  <c r="E2022" i="1"/>
  <c r="I2021" i="1"/>
  <c r="H2021" i="1"/>
  <c r="G2021" i="1"/>
  <c r="F2021" i="1"/>
  <c r="E2021" i="1"/>
  <c r="I2020" i="1"/>
  <c r="H2020" i="1"/>
  <c r="G2020" i="1"/>
  <c r="F2020" i="1"/>
  <c r="E2020" i="1"/>
  <c r="I2019" i="1"/>
  <c r="H2019" i="1"/>
  <c r="G2019" i="1"/>
  <c r="F2019" i="1"/>
  <c r="E2019" i="1"/>
  <c r="I2018" i="1"/>
  <c r="H2018" i="1"/>
  <c r="G2018" i="1"/>
  <c r="F2018" i="1"/>
  <c r="E2018" i="1"/>
  <c r="I2017" i="1"/>
  <c r="H2017" i="1"/>
  <c r="G2017" i="1"/>
  <c r="F2017" i="1"/>
  <c r="E2017" i="1"/>
  <c r="I2016" i="1"/>
  <c r="H2016" i="1"/>
  <c r="G2016" i="1"/>
  <c r="F2016" i="1"/>
  <c r="E2016" i="1"/>
  <c r="I2015" i="1"/>
  <c r="H2015" i="1"/>
  <c r="G2015" i="1"/>
  <c r="F2015" i="1"/>
  <c r="E2015" i="1"/>
  <c r="I2014" i="1"/>
  <c r="H2014" i="1"/>
  <c r="G2014" i="1"/>
  <c r="F2014" i="1"/>
  <c r="E2014" i="1"/>
  <c r="I2013" i="1"/>
  <c r="H2013" i="1"/>
  <c r="G2013" i="1"/>
  <c r="F2013" i="1"/>
  <c r="E2013" i="1"/>
  <c r="I2012" i="1"/>
  <c r="H2012" i="1"/>
  <c r="G2012" i="1"/>
  <c r="F2012" i="1"/>
  <c r="E2012" i="1"/>
  <c r="I2011" i="1"/>
  <c r="H2011" i="1"/>
  <c r="G2011" i="1"/>
  <c r="F2011" i="1"/>
  <c r="E2011" i="1"/>
  <c r="I2010" i="1"/>
  <c r="H2010" i="1"/>
  <c r="G2010" i="1"/>
  <c r="F2010" i="1"/>
  <c r="E2010" i="1"/>
  <c r="I2009" i="1"/>
  <c r="H2009" i="1"/>
  <c r="G2009" i="1"/>
  <c r="F2009" i="1"/>
  <c r="E2009" i="1"/>
  <c r="I2008" i="1"/>
  <c r="H2008" i="1"/>
  <c r="G2008" i="1"/>
  <c r="F2008" i="1"/>
  <c r="E2008" i="1"/>
  <c r="I2007" i="1"/>
  <c r="H2007" i="1"/>
  <c r="G2007" i="1"/>
  <c r="F2007" i="1"/>
  <c r="E2007" i="1"/>
  <c r="I2006" i="1"/>
  <c r="H2006" i="1"/>
  <c r="G2006" i="1"/>
  <c r="F2006" i="1"/>
  <c r="E2006" i="1"/>
  <c r="I2005" i="1"/>
  <c r="H2005" i="1"/>
  <c r="G2005" i="1"/>
  <c r="F2005" i="1"/>
  <c r="E2005" i="1"/>
  <c r="I2004" i="1"/>
  <c r="H2004" i="1"/>
  <c r="G2004" i="1"/>
  <c r="F2004" i="1"/>
  <c r="E2004" i="1"/>
  <c r="I2003" i="1"/>
  <c r="H2003" i="1"/>
  <c r="G2003" i="1"/>
  <c r="F2003" i="1"/>
  <c r="E2003" i="1"/>
  <c r="I2002" i="1"/>
  <c r="H2002" i="1"/>
  <c r="G2002" i="1"/>
  <c r="F2002" i="1"/>
  <c r="E2002" i="1"/>
  <c r="I2001" i="1"/>
  <c r="H2001" i="1"/>
  <c r="G2001" i="1"/>
  <c r="F2001" i="1"/>
  <c r="E2001" i="1"/>
  <c r="I2000" i="1"/>
  <c r="H2000" i="1"/>
  <c r="G2000" i="1"/>
  <c r="F2000" i="1"/>
  <c r="E2000" i="1"/>
  <c r="I1999" i="1"/>
  <c r="H1999" i="1"/>
  <c r="G1999" i="1"/>
  <c r="F1999" i="1"/>
  <c r="E1999" i="1"/>
  <c r="I1998" i="1"/>
  <c r="H1998" i="1"/>
  <c r="G1998" i="1"/>
  <c r="F1998" i="1"/>
  <c r="E1998" i="1"/>
  <c r="I1997" i="1"/>
  <c r="H1997" i="1"/>
  <c r="G1997" i="1"/>
  <c r="F1997" i="1"/>
  <c r="E1997" i="1"/>
  <c r="I1996" i="1"/>
  <c r="H1996" i="1"/>
  <c r="G1996" i="1"/>
  <c r="F1996" i="1"/>
  <c r="E1996" i="1"/>
  <c r="I1995" i="1"/>
  <c r="H1995" i="1"/>
  <c r="G1995" i="1"/>
  <c r="F1995" i="1"/>
  <c r="E1995" i="1"/>
  <c r="I1994" i="1"/>
  <c r="H1994" i="1"/>
  <c r="G1994" i="1"/>
  <c r="F1994" i="1"/>
  <c r="E1994" i="1"/>
  <c r="I1993" i="1"/>
  <c r="H1993" i="1"/>
  <c r="G1993" i="1"/>
  <c r="F1993" i="1"/>
  <c r="E1993" i="1"/>
  <c r="I1992" i="1"/>
  <c r="H1992" i="1"/>
  <c r="G1992" i="1"/>
  <c r="F1992" i="1"/>
  <c r="E1992" i="1"/>
  <c r="I1991" i="1"/>
  <c r="H1991" i="1"/>
  <c r="G1991" i="1"/>
  <c r="F1991" i="1"/>
  <c r="E1991" i="1"/>
  <c r="I1990" i="1"/>
  <c r="H1990" i="1"/>
  <c r="G1990" i="1"/>
  <c r="F1990" i="1"/>
  <c r="E1990" i="1"/>
  <c r="I1989" i="1"/>
  <c r="H1989" i="1"/>
  <c r="G1989" i="1"/>
  <c r="F1989" i="1"/>
  <c r="E1989" i="1"/>
  <c r="I1988" i="1"/>
  <c r="H1988" i="1"/>
  <c r="G1988" i="1"/>
  <c r="F1988" i="1"/>
  <c r="E1988" i="1"/>
  <c r="I1987" i="1"/>
  <c r="H1987" i="1"/>
  <c r="G1987" i="1"/>
  <c r="F1987" i="1"/>
  <c r="E1987" i="1"/>
  <c r="I1986" i="1"/>
  <c r="H1986" i="1"/>
  <c r="G1986" i="1"/>
  <c r="F1986" i="1"/>
  <c r="E1986" i="1"/>
  <c r="I1985" i="1"/>
  <c r="H1985" i="1"/>
  <c r="G1985" i="1"/>
  <c r="F1985" i="1"/>
  <c r="E1985" i="1"/>
  <c r="I1984" i="1"/>
  <c r="H1984" i="1"/>
  <c r="G1984" i="1"/>
  <c r="F1984" i="1"/>
  <c r="E1984" i="1"/>
  <c r="I1983" i="1"/>
  <c r="H1983" i="1"/>
  <c r="G1983" i="1"/>
  <c r="F1983" i="1"/>
  <c r="E1983" i="1"/>
  <c r="I1982" i="1"/>
  <c r="H1982" i="1"/>
  <c r="G1982" i="1"/>
  <c r="F1982" i="1"/>
  <c r="E1982" i="1"/>
  <c r="I1981" i="1"/>
  <c r="H1981" i="1"/>
  <c r="G1981" i="1"/>
  <c r="F1981" i="1"/>
  <c r="E1981" i="1"/>
  <c r="I1980" i="1"/>
  <c r="H1980" i="1"/>
  <c r="G1980" i="1"/>
  <c r="F1980" i="1"/>
  <c r="E1980" i="1"/>
  <c r="I1979" i="1"/>
  <c r="H1979" i="1"/>
  <c r="G1979" i="1"/>
  <c r="F1979" i="1"/>
  <c r="E1979" i="1"/>
  <c r="I1978" i="1"/>
  <c r="H1978" i="1"/>
  <c r="G1978" i="1"/>
  <c r="F1978" i="1"/>
  <c r="E1978" i="1"/>
  <c r="I1977" i="1"/>
  <c r="H1977" i="1"/>
  <c r="G1977" i="1"/>
  <c r="F1977" i="1"/>
  <c r="E1977" i="1"/>
  <c r="I1976" i="1"/>
  <c r="H1976" i="1"/>
  <c r="G1976" i="1"/>
  <c r="F1976" i="1"/>
  <c r="E1976" i="1"/>
  <c r="I1975" i="1"/>
  <c r="H1975" i="1"/>
  <c r="G1975" i="1"/>
  <c r="F1975" i="1"/>
  <c r="E1975" i="1"/>
  <c r="I1974" i="1"/>
  <c r="H1974" i="1"/>
  <c r="G1974" i="1"/>
  <c r="F1974" i="1"/>
  <c r="E1974" i="1"/>
  <c r="I1973" i="1"/>
  <c r="H1973" i="1"/>
  <c r="G1973" i="1"/>
  <c r="F1973" i="1"/>
  <c r="E1973" i="1"/>
  <c r="I1972" i="1"/>
  <c r="H1972" i="1"/>
  <c r="G1972" i="1"/>
  <c r="F1972" i="1"/>
  <c r="E1972" i="1"/>
  <c r="I1971" i="1"/>
  <c r="H1971" i="1"/>
  <c r="G1971" i="1"/>
  <c r="F1971" i="1"/>
  <c r="E1971" i="1"/>
  <c r="I1970" i="1"/>
  <c r="H1970" i="1"/>
  <c r="G1970" i="1"/>
  <c r="F1970" i="1"/>
  <c r="E1970" i="1"/>
  <c r="I1969" i="1"/>
  <c r="H1969" i="1"/>
  <c r="G1969" i="1"/>
  <c r="F1969" i="1"/>
  <c r="E1969" i="1"/>
  <c r="I1968" i="1"/>
  <c r="H1968" i="1"/>
  <c r="G1968" i="1"/>
  <c r="F1968" i="1"/>
  <c r="E1968" i="1"/>
  <c r="I1967" i="1"/>
  <c r="H1967" i="1"/>
  <c r="G1967" i="1"/>
  <c r="F1967" i="1"/>
  <c r="E1967" i="1"/>
  <c r="I1966" i="1"/>
  <c r="H1966" i="1"/>
  <c r="G1966" i="1"/>
  <c r="F1966" i="1"/>
  <c r="E1966" i="1"/>
  <c r="I1965" i="1"/>
  <c r="H1965" i="1"/>
  <c r="G1965" i="1"/>
  <c r="F1965" i="1"/>
  <c r="E1965" i="1"/>
  <c r="I1964" i="1"/>
  <c r="H1964" i="1"/>
  <c r="G1964" i="1"/>
  <c r="F1964" i="1"/>
  <c r="E1964" i="1"/>
  <c r="I1963" i="1"/>
  <c r="H1963" i="1"/>
  <c r="G1963" i="1"/>
  <c r="F1963" i="1"/>
  <c r="E1963" i="1"/>
  <c r="I1962" i="1"/>
  <c r="H1962" i="1"/>
  <c r="G1962" i="1"/>
  <c r="F1962" i="1"/>
  <c r="E1962" i="1"/>
  <c r="I1961" i="1"/>
  <c r="H1961" i="1"/>
  <c r="G1961" i="1"/>
  <c r="F1961" i="1"/>
  <c r="E1961" i="1"/>
  <c r="I1960" i="1"/>
  <c r="H1960" i="1"/>
  <c r="G1960" i="1"/>
  <c r="F1960" i="1"/>
  <c r="E1960" i="1"/>
  <c r="I1959" i="1"/>
  <c r="H1959" i="1"/>
  <c r="G1959" i="1"/>
  <c r="F1959" i="1"/>
  <c r="E1959" i="1"/>
  <c r="I1958" i="1"/>
  <c r="H1958" i="1"/>
  <c r="G1958" i="1"/>
  <c r="F1958" i="1"/>
  <c r="E1958" i="1"/>
  <c r="I1957" i="1"/>
  <c r="H1957" i="1"/>
  <c r="G1957" i="1"/>
  <c r="F1957" i="1"/>
  <c r="E1957" i="1"/>
  <c r="I1956" i="1"/>
  <c r="H1956" i="1"/>
  <c r="G1956" i="1"/>
  <c r="F1956" i="1"/>
  <c r="E1956" i="1"/>
  <c r="I1955" i="1"/>
  <c r="H1955" i="1"/>
  <c r="G1955" i="1"/>
  <c r="F1955" i="1"/>
  <c r="E1955" i="1"/>
  <c r="I1954" i="1"/>
  <c r="H1954" i="1"/>
  <c r="G1954" i="1"/>
  <c r="F1954" i="1"/>
  <c r="E1954" i="1"/>
  <c r="I1953" i="1"/>
  <c r="H1953" i="1"/>
  <c r="G1953" i="1"/>
  <c r="F1953" i="1"/>
  <c r="E1953" i="1"/>
  <c r="I1952" i="1"/>
  <c r="H1952" i="1"/>
  <c r="G1952" i="1"/>
  <c r="F1952" i="1"/>
  <c r="E1952" i="1"/>
  <c r="I1951" i="1"/>
  <c r="H1951" i="1"/>
  <c r="G1951" i="1"/>
  <c r="F1951" i="1"/>
  <c r="E1951" i="1"/>
  <c r="I1950" i="1"/>
  <c r="H1950" i="1"/>
  <c r="G1950" i="1"/>
  <c r="F1950" i="1"/>
  <c r="E1950" i="1"/>
  <c r="I1949" i="1"/>
  <c r="H1949" i="1"/>
  <c r="G1949" i="1"/>
  <c r="F1949" i="1"/>
  <c r="E1949" i="1"/>
  <c r="I1948" i="1"/>
  <c r="H1948" i="1"/>
  <c r="G1948" i="1"/>
  <c r="F1948" i="1"/>
  <c r="E1948" i="1"/>
  <c r="I1947" i="1"/>
  <c r="H1947" i="1"/>
  <c r="G1947" i="1"/>
  <c r="F1947" i="1"/>
  <c r="E1947" i="1"/>
  <c r="I1946" i="1"/>
  <c r="H1946" i="1"/>
  <c r="G1946" i="1"/>
  <c r="F1946" i="1"/>
  <c r="E1946" i="1"/>
  <c r="I1945" i="1"/>
  <c r="H1945" i="1"/>
  <c r="G1945" i="1"/>
  <c r="F1945" i="1"/>
  <c r="E1945" i="1"/>
  <c r="I1944" i="1"/>
  <c r="H1944" i="1"/>
  <c r="G1944" i="1"/>
  <c r="F1944" i="1"/>
  <c r="E1944" i="1"/>
  <c r="I1943" i="1"/>
  <c r="H1943" i="1"/>
  <c r="G1943" i="1"/>
  <c r="F1943" i="1"/>
  <c r="E1943" i="1"/>
  <c r="I1942" i="1"/>
  <c r="H1942" i="1"/>
  <c r="G1942" i="1"/>
  <c r="F1942" i="1"/>
  <c r="E1942" i="1"/>
  <c r="I1941" i="1"/>
  <c r="H1941" i="1"/>
  <c r="G1941" i="1"/>
  <c r="F1941" i="1"/>
  <c r="E1941" i="1"/>
  <c r="I1940" i="1"/>
  <c r="H1940" i="1"/>
  <c r="G1940" i="1"/>
  <c r="F1940" i="1"/>
  <c r="E1940" i="1"/>
  <c r="I1939" i="1"/>
  <c r="H1939" i="1"/>
  <c r="G1939" i="1"/>
  <c r="F1939" i="1"/>
  <c r="E1939" i="1"/>
  <c r="I1938" i="1"/>
  <c r="H1938" i="1"/>
  <c r="G1938" i="1"/>
  <c r="F1938" i="1"/>
  <c r="E1938" i="1"/>
  <c r="I1937" i="1"/>
  <c r="H1937" i="1"/>
  <c r="G1937" i="1"/>
  <c r="F1937" i="1"/>
  <c r="E1937" i="1"/>
  <c r="I1936" i="1"/>
  <c r="H1936" i="1"/>
  <c r="G1936" i="1"/>
  <c r="F1936" i="1"/>
  <c r="E1936" i="1"/>
  <c r="I1935" i="1"/>
  <c r="H1935" i="1"/>
  <c r="G1935" i="1"/>
  <c r="F1935" i="1"/>
  <c r="E1935" i="1"/>
  <c r="I1934" i="1"/>
  <c r="H1934" i="1"/>
  <c r="G1934" i="1"/>
  <c r="F1934" i="1"/>
  <c r="E1934" i="1"/>
  <c r="I1933" i="1"/>
  <c r="H1933" i="1"/>
  <c r="G1933" i="1"/>
  <c r="F1933" i="1"/>
  <c r="E1933" i="1"/>
  <c r="I1932" i="1"/>
  <c r="H1932" i="1"/>
  <c r="G1932" i="1"/>
  <c r="F1932" i="1"/>
  <c r="E1932" i="1"/>
  <c r="I1931" i="1"/>
  <c r="H1931" i="1"/>
  <c r="G1931" i="1"/>
  <c r="F1931" i="1"/>
  <c r="E1931" i="1"/>
  <c r="I1930" i="1"/>
  <c r="H1930" i="1"/>
  <c r="G1930" i="1"/>
  <c r="F1930" i="1"/>
  <c r="E1930" i="1"/>
  <c r="I1929" i="1"/>
  <c r="H1929" i="1"/>
  <c r="G1929" i="1"/>
  <c r="F1929" i="1"/>
  <c r="E1929" i="1"/>
  <c r="I1928" i="1"/>
  <c r="H1928" i="1"/>
  <c r="G1928" i="1"/>
  <c r="F1928" i="1"/>
  <c r="E1928" i="1"/>
  <c r="I1927" i="1"/>
  <c r="H1927" i="1"/>
  <c r="G1927" i="1"/>
  <c r="F1927" i="1"/>
  <c r="E1927" i="1"/>
  <c r="I1926" i="1"/>
  <c r="H1926" i="1"/>
  <c r="G1926" i="1"/>
  <c r="F1926" i="1"/>
  <c r="E1926" i="1"/>
  <c r="I1925" i="1"/>
  <c r="H1925" i="1"/>
  <c r="G1925" i="1"/>
  <c r="F1925" i="1"/>
  <c r="E1925" i="1"/>
  <c r="I1924" i="1"/>
  <c r="H1924" i="1"/>
  <c r="G1924" i="1"/>
  <c r="F1924" i="1"/>
  <c r="E1924" i="1"/>
  <c r="I1923" i="1"/>
  <c r="H1923" i="1"/>
  <c r="G1923" i="1"/>
  <c r="F1923" i="1"/>
  <c r="E1923" i="1"/>
  <c r="I1922" i="1"/>
  <c r="H1922" i="1"/>
  <c r="G1922" i="1"/>
  <c r="F1922" i="1"/>
  <c r="E1922" i="1"/>
  <c r="I1921" i="1"/>
  <c r="H1921" i="1"/>
  <c r="G1921" i="1"/>
  <c r="F1921" i="1"/>
  <c r="E1921" i="1"/>
  <c r="I1920" i="1"/>
  <c r="H1920" i="1"/>
  <c r="G1920" i="1"/>
  <c r="F1920" i="1"/>
  <c r="E1920" i="1"/>
  <c r="I1919" i="1"/>
  <c r="H1919" i="1"/>
  <c r="G1919" i="1"/>
  <c r="F1919" i="1"/>
  <c r="E1919" i="1"/>
  <c r="I1918" i="1"/>
  <c r="H1918" i="1"/>
  <c r="G1918" i="1"/>
  <c r="F1918" i="1"/>
  <c r="E1918" i="1"/>
  <c r="I1917" i="1"/>
  <c r="H1917" i="1"/>
  <c r="G1917" i="1"/>
  <c r="F1917" i="1"/>
  <c r="E1917" i="1"/>
  <c r="I1916" i="1"/>
  <c r="H1916" i="1"/>
  <c r="G1916" i="1"/>
  <c r="F1916" i="1"/>
  <c r="E1916" i="1"/>
  <c r="I1915" i="1"/>
  <c r="H1915" i="1"/>
  <c r="G1915" i="1"/>
  <c r="F1915" i="1"/>
  <c r="E1915" i="1"/>
  <c r="I1914" i="1"/>
  <c r="H1914" i="1"/>
  <c r="G1914" i="1"/>
  <c r="F1914" i="1"/>
  <c r="E1914" i="1"/>
  <c r="I1913" i="1"/>
  <c r="H1913" i="1"/>
  <c r="G1913" i="1"/>
  <c r="F1913" i="1"/>
  <c r="E1913" i="1"/>
  <c r="I1912" i="1"/>
  <c r="H1912" i="1"/>
  <c r="G1912" i="1"/>
  <c r="F1912" i="1"/>
  <c r="E1912" i="1"/>
  <c r="I1911" i="1"/>
  <c r="H1911" i="1"/>
  <c r="G1911" i="1"/>
  <c r="F1911" i="1"/>
  <c r="E1911" i="1"/>
  <c r="I1910" i="1"/>
  <c r="H1910" i="1"/>
  <c r="G1910" i="1"/>
  <c r="F1910" i="1"/>
  <c r="E1910" i="1"/>
  <c r="I1909" i="1"/>
  <c r="H1909" i="1"/>
  <c r="G1909" i="1"/>
  <c r="F1909" i="1"/>
  <c r="E1909" i="1"/>
  <c r="I1908" i="1"/>
  <c r="H1908" i="1"/>
  <c r="G1908" i="1"/>
  <c r="F1908" i="1"/>
  <c r="E1908" i="1"/>
  <c r="I1907" i="1"/>
  <c r="H1907" i="1"/>
  <c r="G1907" i="1"/>
  <c r="F1907" i="1"/>
  <c r="E1907" i="1"/>
  <c r="I1906" i="1"/>
  <c r="H1906" i="1"/>
  <c r="G1906" i="1"/>
  <c r="F1906" i="1"/>
  <c r="E1906" i="1"/>
  <c r="I1905" i="1"/>
  <c r="H1905" i="1"/>
  <c r="G1905" i="1"/>
  <c r="F1905" i="1"/>
  <c r="E1905" i="1"/>
  <c r="I1904" i="1"/>
  <c r="H1904" i="1"/>
  <c r="G1904" i="1"/>
  <c r="F1904" i="1"/>
  <c r="E1904" i="1"/>
  <c r="I1903" i="1"/>
  <c r="H1903" i="1"/>
  <c r="G1903" i="1"/>
  <c r="F1903" i="1"/>
  <c r="E1903" i="1"/>
  <c r="I1902" i="1"/>
  <c r="H1902" i="1"/>
  <c r="G1902" i="1"/>
  <c r="F1902" i="1"/>
  <c r="E1902" i="1"/>
  <c r="I1901" i="1"/>
  <c r="H1901" i="1"/>
  <c r="G1901" i="1"/>
  <c r="F1901" i="1"/>
  <c r="E1901" i="1"/>
  <c r="I1900" i="1"/>
  <c r="H1900" i="1"/>
  <c r="G1900" i="1"/>
  <c r="F1900" i="1"/>
  <c r="E1900" i="1"/>
  <c r="I1899" i="1"/>
  <c r="H1899" i="1"/>
  <c r="G1899" i="1"/>
  <c r="F1899" i="1"/>
  <c r="E1899" i="1"/>
  <c r="I1898" i="1"/>
  <c r="H1898" i="1"/>
  <c r="G1898" i="1"/>
  <c r="F1898" i="1"/>
  <c r="E1898" i="1"/>
  <c r="I1897" i="1"/>
  <c r="H1897" i="1"/>
  <c r="G1897" i="1"/>
  <c r="F1897" i="1"/>
  <c r="E1897" i="1"/>
  <c r="I1896" i="1"/>
  <c r="H1896" i="1"/>
  <c r="G1896" i="1"/>
  <c r="F1896" i="1"/>
  <c r="E1896" i="1"/>
  <c r="I1895" i="1"/>
  <c r="H1895" i="1"/>
  <c r="G1895" i="1"/>
  <c r="F1895" i="1"/>
  <c r="E1895" i="1"/>
  <c r="I1894" i="1"/>
  <c r="H1894" i="1"/>
  <c r="G1894" i="1"/>
  <c r="F1894" i="1"/>
  <c r="E1894" i="1"/>
  <c r="I1893" i="1"/>
  <c r="H1893" i="1"/>
  <c r="G1893" i="1"/>
  <c r="F1893" i="1"/>
  <c r="E1893" i="1"/>
  <c r="I1892" i="1"/>
  <c r="H1892" i="1"/>
  <c r="G1892" i="1"/>
  <c r="F1892" i="1"/>
  <c r="E1892" i="1"/>
  <c r="I1891" i="1"/>
  <c r="H1891" i="1"/>
  <c r="G1891" i="1"/>
  <c r="F1891" i="1"/>
  <c r="E1891" i="1"/>
  <c r="I1890" i="1"/>
  <c r="H1890" i="1"/>
  <c r="G1890" i="1"/>
  <c r="F1890" i="1"/>
  <c r="E1890" i="1"/>
  <c r="I1889" i="1"/>
  <c r="H1889" i="1"/>
  <c r="G1889" i="1"/>
  <c r="F1889" i="1"/>
  <c r="E1889" i="1"/>
  <c r="I1888" i="1"/>
  <c r="H1888" i="1"/>
  <c r="G1888" i="1"/>
  <c r="F1888" i="1"/>
  <c r="E1888" i="1"/>
  <c r="I1887" i="1"/>
  <c r="H1887" i="1"/>
  <c r="G1887" i="1"/>
  <c r="F1887" i="1"/>
  <c r="E1887" i="1"/>
  <c r="I1886" i="1"/>
  <c r="H1886" i="1"/>
  <c r="G1886" i="1"/>
  <c r="F1886" i="1"/>
  <c r="E1886" i="1"/>
  <c r="I1885" i="1"/>
  <c r="H1885" i="1"/>
  <c r="G1885" i="1"/>
  <c r="F1885" i="1"/>
  <c r="E1885" i="1"/>
  <c r="I1884" i="1"/>
  <c r="H1884" i="1"/>
  <c r="G1884" i="1"/>
  <c r="F1884" i="1"/>
  <c r="E1884" i="1"/>
  <c r="I1883" i="1"/>
  <c r="H1883" i="1"/>
  <c r="G1883" i="1"/>
  <c r="F1883" i="1"/>
  <c r="E1883" i="1"/>
  <c r="I1882" i="1"/>
  <c r="H1882" i="1"/>
  <c r="G1882" i="1"/>
  <c r="F1882" i="1"/>
  <c r="E1882" i="1"/>
  <c r="I1881" i="1"/>
  <c r="H1881" i="1"/>
  <c r="G1881" i="1"/>
  <c r="F1881" i="1"/>
  <c r="E1881" i="1"/>
  <c r="I1880" i="1"/>
  <c r="H1880" i="1"/>
  <c r="G1880" i="1"/>
  <c r="F1880" i="1"/>
  <c r="E1880" i="1"/>
  <c r="I1879" i="1"/>
  <c r="H1879" i="1"/>
  <c r="G1879" i="1"/>
  <c r="F1879" i="1"/>
  <c r="E1879" i="1"/>
  <c r="I1878" i="1"/>
  <c r="H1878" i="1"/>
  <c r="G1878" i="1"/>
  <c r="F1878" i="1"/>
  <c r="E1878" i="1"/>
  <c r="I1877" i="1"/>
  <c r="H1877" i="1"/>
  <c r="G1877" i="1"/>
  <c r="F1877" i="1"/>
  <c r="E1877" i="1"/>
  <c r="I1876" i="1"/>
  <c r="H1876" i="1"/>
  <c r="G1876" i="1"/>
  <c r="F1876" i="1"/>
  <c r="E1876" i="1"/>
  <c r="I1875" i="1"/>
  <c r="H1875" i="1"/>
  <c r="G1875" i="1"/>
  <c r="F1875" i="1"/>
  <c r="E1875" i="1"/>
  <c r="I1874" i="1"/>
  <c r="H1874" i="1"/>
  <c r="G1874" i="1"/>
  <c r="F1874" i="1"/>
  <c r="E1874" i="1"/>
  <c r="I1873" i="1"/>
  <c r="H1873" i="1"/>
  <c r="G1873" i="1"/>
  <c r="F1873" i="1"/>
  <c r="E1873" i="1"/>
  <c r="I1872" i="1"/>
  <c r="H1872" i="1"/>
  <c r="G1872" i="1"/>
  <c r="F1872" i="1"/>
  <c r="E1872" i="1"/>
  <c r="I1871" i="1"/>
  <c r="H1871" i="1"/>
  <c r="G1871" i="1"/>
  <c r="F1871" i="1"/>
  <c r="E1871" i="1"/>
  <c r="I1870" i="1"/>
  <c r="H1870" i="1"/>
  <c r="G1870" i="1"/>
  <c r="F1870" i="1"/>
  <c r="E1870" i="1"/>
  <c r="I1869" i="1"/>
  <c r="H1869" i="1"/>
  <c r="G1869" i="1"/>
  <c r="F1869" i="1"/>
  <c r="E1869" i="1"/>
  <c r="I1868" i="1"/>
  <c r="H1868" i="1"/>
  <c r="G1868" i="1"/>
  <c r="F1868" i="1"/>
  <c r="E1868" i="1"/>
  <c r="I1867" i="1"/>
  <c r="H1867" i="1"/>
  <c r="G1867" i="1"/>
  <c r="F1867" i="1"/>
  <c r="E1867" i="1"/>
  <c r="I1866" i="1"/>
  <c r="H1866" i="1"/>
  <c r="G1866" i="1"/>
  <c r="F1866" i="1"/>
  <c r="E1866" i="1"/>
  <c r="I1865" i="1"/>
  <c r="H1865" i="1"/>
  <c r="G1865" i="1"/>
  <c r="F1865" i="1"/>
  <c r="E1865" i="1"/>
  <c r="I1864" i="1"/>
  <c r="H1864" i="1"/>
  <c r="G1864" i="1"/>
  <c r="F1864" i="1"/>
  <c r="E1864" i="1"/>
  <c r="I1863" i="1"/>
  <c r="H1863" i="1"/>
  <c r="G1863" i="1"/>
  <c r="F1863" i="1"/>
  <c r="E1863" i="1"/>
  <c r="I1862" i="1"/>
  <c r="H1862" i="1"/>
  <c r="G1862" i="1"/>
  <c r="F1862" i="1"/>
  <c r="E1862" i="1"/>
  <c r="I1861" i="1"/>
  <c r="H1861" i="1"/>
  <c r="G1861" i="1"/>
  <c r="F1861" i="1"/>
  <c r="E1861" i="1"/>
  <c r="I1860" i="1"/>
  <c r="H1860" i="1"/>
  <c r="G1860" i="1"/>
  <c r="F1860" i="1"/>
  <c r="E1860" i="1"/>
  <c r="I1859" i="1"/>
  <c r="H1859" i="1"/>
  <c r="G1859" i="1"/>
  <c r="F1859" i="1"/>
  <c r="E1859" i="1"/>
  <c r="I1858" i="1"/>
  <c r="H1858" i="1"/>
  <c r="G1858" i="1"/>
  <c r="F1858" i="1"/>
  <c r="E1858" i="1"/>
  <c r="I1857" i="1"/>
  <c r="H1857" i="1"/>
  <c r="G1857" i="1"/>
  <c r="F1857" i="1"/>
  <c r="E1857" i="1"/>
  <c r="I1856" i="1"/>
  <c r="H1856" i="1"/>
  <c r="G1856" i="1"/>
  <c r="F1856" i="1"/>
  <c r="E1856" i="1"/>
  <c r="I1855" i="1"/>
  <c r="H1855" i="1"/>
  <c r="G1855" i="1"/>
  <c r="F1855" i="1"/>
  <c r="E1855" i="1"/>
  <c r="I1854" i="1"/>
  <c r="H1854" i="1"/>
  <c r="G1854" i="1"/>
  <c r="F1854" i="1"/>
  <c r="E1854" i="1"/>
  <c r="I1853" i="1"/>
  <c r="H1853" i="1"/>
  <c r="G1853" i="1"/>
  <c r="F1853" i="1"/>
  <c r="E1853" i="1"/>
  <c r="I1852" i="1"/>
  <c r="H1852" i="1"/>
  <c r="G1852" i="1"/>
  <c r="F1852" i="1"/>
  <c r="E1852" i="1"/>
  <c r="I1851" i="1"/>
  <c r="H1851" i="1"/>
  <c r="G1851" i="1"/>
  <c r="F1851" i="1"/>
  <c r="E1851" i="1"/>
  <c r="I1850" i="1"/>
  <c r="H1850" i="1"/>
  <c r="G1850" i="1"/>
  <c r="F1850" i="1"/>
  <c r="E1850" i="1"/>
  <c r="I1849" i="1"/>
  <c r="H1849" i="1"/>
  <c r="G1849" i="1"/>
  <c r="F1849" i="1"/>
  <c r="E1849" i="1"/>
  <c r="I1848" i="1"/>
  <c r="H1848" i="1"/>
  <c r="G1848" i="1"/>
  <c r="F1848" i="1"/>
  <c r="E1848" i="1"/>
  <c r="I1847" i="1"/>
  <c r="H1847" i="1"/>
  <c r="G1847" i="1"/>
  <c r="F1847" i="1"/>
  <c r="E1847" i="1"/>
  <c r="I1846" i="1"/>
  <c r="H1846" i="1"/>
  <c r="G1846" i="1"/>
  <c r="F1846" i="1"/>
  <c r="E1846" i="1"/>
  <c r="I1845" i="1"/>
  <c r="H1845" i="1"/>
  <c r="G1845" i="1"/>
  <c r="F1845" i="1"/>
  <c r="E1845" i="1"/>
  <c r="I1844" i="1"/>
  <c r="H1844" i="1"/>
  <c r="G1844" i="1"/>
  <c r="F1844" i="1"/>
  <c r="E1844" i="1"/>
  <c r="I1843" i="1"/>
  <c r="H1843" i="1"/>
  <c r="G1843" i="1"/>
  <c r="F1843" i="1"/>
  <c r="E1843" i="1"/>
  <c r="I1842" i="1"/>
  <c r="H1842" i="1"/>
  <c r="G1842" i="1"/>
  <c r="F1842" i="1"/>
  <c r="E1842" i="1"/>
  <c r="I1841" i="1"/>
  <c r="H1841" i="1"/>
  <c r="G1841" i="1"/>
  <c r="F1841" i="1"/>
  <c r="E1841" i="1"/>
  <c r="I1840" i="1"/>
  <c r="H1840" i="1"/>
  <c r="G1840" i="1"/>
  <c r="F1840" i="1"/>
  <c r="E1840" i="1"/>
  <c r="I1839" i="1"/>
  <c r="H1839" i="1"/>
  <c r="G1839" i="1"/>
  <c r="F1839" i="1"/>
  <c r="E1839" i="1"/>
  <c r="I1838" i="1"/>
  <c r="H1838" i="1"/>
  <c r="G1838" i="1"/>
  <c r="F1838" i="1"/>
  <c r="E1838" i="1"/>
  <c r="I1837" i="1"/>
  <c r="H1837" i="1"/>
  <c r="G1837" i="1"/>
  <c r="F1837" i="1"/>
  <c r="E1837" i="1"/>
  <c r="I1836" i="1"/>
  <c r="H1836" i="1"/>
  <c r="G1836" i="1"/>
  <c r="F1836" i="1"/>
  <c r="E1836" i="1"/>
  <c r="I1835" i="1"/>
  <c r="H1835" i="1"/>
  <c r="G1835" i="1"/>
  <c r="F1835" i="1"/>
  <c r="E1835" i="1"/>
  <c r="I1834" i="1"/>
  <c r="H1834" i="1"/>
  <c r="G1834" i="1"/>
  <c r="F1834" i="1"/>
  <c r="E1834" i="1"/>
  <c r="I1833" i="1"/>
  <c r="H1833" i="1"/>
  <c r="G1833" i="1"/>
  <c r="F1833" i="1"/>
  <c r="E1833" i="1"/>
  <c r="I1832" i="1"/>
  <c r="H1832" i="1"/>
  <c r="G1832" i="1"/>
  <c r="F1832" i="1"/>
  <c r="E1832" i="1"/>
  <c r="I1831" i="1"/>
  <c r="H1831" i="1"/>
  <c r="G1831" i="1"/>
  <c r="F1831" i="1"/>
  <c r="E1831" i="1"/>
  <c r="I1830" i="1"/>
  <c r="H1830" i="1"/>
  <c r="G1830" i="1"/>
  <c r="F1830" i="1"/>
  <c r="E1830" i="1"/>
  <c r="I1829" i="1"/>
  <c r="H1829" i="1"/>
  <c r="G1829" i="1"/>
  <c r="F1829" i="1"/>
  <c r="E1829" i="1"/>
  <c r="I1828" i="1"/>
  <c r="H1828" i="1"/>
  <c r="G1828" i="1"/>
  <c r="F1828" i="1"/>
  <c r="E1828" i="1"/>
  <c r="I1827" i="1"/>
  <c r="H1827" i="1"/>
  <c r="G1827" i="1"/>
  <c r="F1827" i="1"/>
  <c r="E1827" i="1"/>
  <c r="I1826" i="1"/>
  <c r="H1826" i="1"/>
  <c r="G1826" i="1"/>
  <c r="F1826" i="1"/>
  <c r="E1826" i="1"/>
  <c r="I1825" i="1"/>
  <c r="H1825" i="1"/>
  <c r="G1825" i="1"/>
  <c r="F1825" i="1"/>
  <c r="E1825" i="1"/>
  <c r="I1824" i="1"/>
  <c r="H1824" i="1"/>
  <c r="G1824" i="1"/>
  <c r="F1824" i="1"/>
  <c r="E1824" i="1"/>
  <c r="I1823" i="1"/>
  <c r="H1823" i="1"/>
  <c r="G1823" i="1"/>
  <c r="F1823" i="1"/>
  <c r="E1823" i="1"/>
  <c r="I1822" i="1"/>
  <c r="H1822" i="1"/>
  <c r="G1822" i="1"/>
  <c r="F1822" i="1"/>
  <c r="E1822" i="1"/>
  <c r="I1821" i="1"/>
  <c r="H1821" i="1"/>
  <c r="G1821" i="1"/>
  <c r="F1821" i="1"/>
  <c r="E1821" i="1"/>
  <c r="I1820" i="1"/>
  <c r="H1820" i="1"/>
  <c r="G1820" i="1"/>
  <c r="F1820" i="1"/>
  <c r="E1820" i="1"/>
  <c r="I1819" i="1"/>
  <c r="H1819" i="1"/>
  <c r="G1819" i="1"/>
  <c r="F1819" i="1"/>
  <c r="E1819" i="1"/>
  <c r="I1818" i="1"/>
  <c r="H1818" i="1"/>
  <c r="G1818" i="1"/>
  <c r="F1818" i="1"/>
  <c r="E1818" i="1"/>
  <c r="I1817" i="1"/>
  <c r="H1817" i="1"/>
  <c r="G1817" i="1"/>
  <c r="F1817" i="1"/>
  <c r="E1817" i="1"/>
  <c r="I1816" i="1"/>
  <c r="H1816" i="1"/>
  <c r="G1816" i="1"/>
  <c r="F1816" i="1"/>
  <c r="E1816" i="1"/>
  <c r="I1815" i="1"/>
  <c r="H1815" i="1"/>
  <c r="G1815" i="1"/>
  <c r="F1815" i="1"/>
  <c r="E1815" i="1"/>
  <c r="I1814" i="1"/>
  <c r="H1814" i="1"/>
  <c r="G1814" i="1"/>
  <c r="F1814" i="1"/>
  <c r="E1814" i="1"/>
  <c r="I1813" i="1"/>
  <c r="H1813" i="1"/>
  <c r="G1813" i="1"/>
  <c r="F1813" i="1"/>
  <c r="E1813" i="1"/>
  <c r="I1812" i="1"/>
  <c r="H1812" i="1"/>
  <c r="G1812" i="1"/>
  <c r="F1812" i="1"/>
  <c r="E1812" i="1"/>
  <c r="I1811" i="1"/>
  <c r="H1811" i="1"/>
  <c r="G1811" i="1"/>
  <c r="F1811" i="1"/>
  <c r="E1811" i="1"/>
  <c r="I1810" i="1"/>
  <c r="H1810" i="1"/>
  <c r="G1810" i="1"/>
  <c r="F1810" i="1"/>
  <c r="E1810" i="1"/>
  <c r="I1809" i="1"/>
  <c r="H1809" i="1"/>
  <c r="G1809" i="1"/>
  <c r="F1809" i="1"/>
  <c r="E1809" i="1"/>
  <c r="I1808" i="1"/>
  <c r="H1808" i="1"/>
  <c r="G1808" i="1"/>
  <c r="F1808" i="1"/>
  <c r="E1808" i="1"/>
  <c r="I1807" i="1"/>
  <c r="H1807" i="1"/>
  <c r="G1807" i="1"/>
  <c r="F1807" i="1"/>
  <c r="E1807" i="1"/>
  <c r="I1806" i="1"/>
  <c r="H1806" i="1"/>
  <c r="G1806" i="1"/>
  <c r="F1806" i="1"/>
  <c r="E1806" i="1"/>
  <c r="I1805" i="1"/>
  <c r="H1805" i="1"/>
  <c r="G1805" i="1"/>
  <c r="F1805" i="1"/>
  <c r="E1805" i="1"/>
  <c r="I1804" i="1"/>
  <c r="H1804" i="1"/>
  <c r="G1804" i="1"/>
  <c r="F1804" i="1"/>
  <c r="E1804" i="1"/>
  <c r="I1803" i="1"/>
  <c r="H1803" i="1"/>
  <c r="G1803" i="1"/>
  <c r="F1803" i="1"/>
  <c r="E1803" i="1"/>
  <c r="I1802" i="1"/>
  <c r="H1802" i="1"/>
  <c r="G1802" i="1"/>
  <c r="F1802" i="1"/>
  <c r="E1802" i="1"/>
  <c r="I1801" i="1"/>
  <c r="H1801" i="1"/>
  <c r="G1801" i="1"/>
  <c r="F1801" i="1"/>
  <c r="E1801" i="1"/>
  <c r="I1800" i="1"/>
  <c r="H1800" i="1"/>
  <c r="G1800" i="1"/>
  <c r="F1800" i="1"/>
  <c r="E1800" i="1"/>
  <c r="I1799" i="1"/>
  <c r="H1799" i="1"/>
  <c r="G1799" i="1"/>
  <c r="F1799" i="1"/>
  <c r="E1799" i="1"/>
  <c r="I1798" i="1"/>
  <c r="H1798" i="1"/>
  <c r="G1798" i="1"/>
  <c r="F1798" i="1"/>
  <c r="E1798" i="1"/>
  <c r="I1797" i="1"/>
  <c r="H1797" i="1"/>
  <c r="G1797" i="1"/>
  <c r="F1797" i="1"/>
  <c r="E1797" i="1"/>
  <c r="I1796" i="1"/>
  <c r="H1796" i="1"/>
  <c r="G1796" i="1"/>
  <c r="F1796" i="1"/>
  <c r="E1796" i="1"/>
  <c r="I1795" i="1"/>
  <c r="H1795" i="1"/>
  <c r="G1795" i="1"/>
  <c r="F1795" i="1"/>
  <c r="E1795" i="1"/>
  <c r="I1794" i="1"/>
  <c r="H1794" i="1"/>
  <c r="G1794" i="1"/>
  <c r="F1794" i="1"/>
  <c r="E1794" i="1"/>
  <c r="I1793" i="1"/>
  <c r="H1793" i="1"/>
  <c r="G1793" i="1"/>
  <c r="F1793" i="1"/>
  <c r="E1793" i="1"/>
  <c r="I1792" i="1"/>
  <c r="H1792" i="1"/>
  <c r="G1792" i="1"/>
  <c r="F1792" i="1"/>
  <c r="E1792" i="1"/>
  <c r="I1791" i="1"/>
  <c r="H1791" i="1"/>
  <c r="G1791" i="1"/>
  <c r="F1791" i="1"/>
  <c r="E1791" i="1"/>
  <c r="I1790" i="1"/>
  <c r="H1790" i="1"/>
  <c r="G1790" i="1"/>
  <c r="F1790" i="1"/>
  <c r="E1790" i="1"/>
  <c r="I1789" i="1"/>
  <c r="H1789" i="1"/>
  <c r="G1789" i="1"/>
  <c r="F1789" i="1"/>
  <c r="E1789" i="1"/>
  <c r="I1788" i="1"/>
  <c r="H1788" i="1"/>
  <c r="G1788" i="1"/>
  <c r="F1788" i="1"/>
  <c r="E1788" i="1"/>
  <c r="I1787" i="1"/>
  <c r="H1787" i="1"/>
  <c r="G1787" i="1"/>
  <c r="F1787" i="1"/>
  <c r="E1787" i="1"/>
  <c r="I1786" i="1"/>
  <c r="H1786" i="1"/>
  <c r="G1786" i="1"/>
  <c r="F1786" i="1"/>
  <c r="E1786" i="1"/>
  <c r="I1785" i="1"/>
  <c r="H1785" i="1"/>
  <c r="G1785" i="1"/>
  <c r="F1785" i="1"/>
  <c r="E1785" i="1"/>
  <c r="I1784" i="1"/>
  <c r="H1784" i="1"/>
  <c r="G1784" i="1"/>
  <c r="F1784" i="1"/>
  <c r="E1784" i="1"/>
  <c r="I1783" i="1"/>
  <c r="H1783" i="1"/>
  <c r="G1783" i="1"/>
  <c r="F1783" i="1"/>
  <c r="E1783" i="1"/>
  <c r="I1782" i="1"/>
  <c r="H1782" i="1"/>
  <c r="G1782" i="1"/>
  <c r="F1782" i="1"/>
  <c r="E1782" i="1"/>
  <c r="I1781" i="1"/>
  <c r="H1781" i="1"/>
  <c r="G1781" i="1"/>
  <c r="F1781" i="1"/>
  <c r="E1781" i="1"/>
  <c r="I1780" i="1"/>
  <c r="H1780" i="1"/>
  <c r="G1780" i="1"/>
  <c r="F1780" i="1"/>
  <c r="E1780" i="1"/>
  <c r="I1779" i="1"/>
  <c r="H1779" i="1"/>
  <c r="G1779" i="1"/>
  <c r="F1779" i="1"/>
  <c r="E1779" i="1"/>
  <c r="I1778" i="1"/>
  <c r="H1778" i="1"/>
  <c r="G1778" i="1"/>
  <c r="F1778" i="1"/>
  <c r="E1778" i="1"/>
  <c r="I1777" i="1"/>
  <c r="H1777" i="1"/>
  <c r="G1777" i="1"/>
  <c r="F1777" i="1"/>
  <c r="E1777" i="1"/>
  <c r="I1776" i="1"/>
  <c r="H1776" i="1"/>
  <c r="G1776" i="1"/>
  <c r="F1776" i="1"/>
  <c r="E1776" i="1"/>
  <c r="I1775" i="1"/>
  <c r="H1775" i="1"/>
  <c r="G1775" i="1"/>
  <c r="F1775" i="1"/>
  <c r="E1775" i="1"/>
  <c r="I1774" i="1"/>
  <c r="H1774" i="1"/>
  <c r="G1774" i="1"/>
  <c r="F1774" i="1"/>
  <c r="E1774" i="1"/>
  <c r="I1773" i="1"/>
  <c r="H1773" i="1"/>
  <c r="G1773" i="1"/>
  <c r="F1773" i="1"/>
  <c r="E1773" i="1"/>
  <c r="I1772" i="1"/>
  <c r="H1772" i="1"/>
  <c r="G1772" i="1"/>
  <c r="F1772" i="1"/>
  <c r="E1772" i="1"/>
  <c r="I1771" i="1"/>
  <c r="H1771" i="1"/>
  <c r="G1771" i="1"/>
  <c r="F1771" i="1"/>
  <c r="E1771" i="1"/>
  <c r="I1770" i="1"/>
  <c r="H1770" i="1"/>
  <c r="G1770" i="1"/>
  <c r="F1770" i="1"/>
  <c r="E1770" i="1"/>
  <c r="I1769" i="1"/>
  <c r="H1769" i="1"/>
  <c r="G1769" i="1"/>
  <c r="F1769" i="1"/>
  <c r="E1769" i="1"/>
  <c r="I1768" i="1"/>
  <c r="H1768" i="1"/>
  <c r="G1768" i="1"/>
  <c r="F1768" i="1"/>
  <c r="E1768" i="1"/>
  <c r="I1767" i="1"/>
  <c r="H1767" i="1"/>
  <c r="G1767" i="1"/>
  <c r="F1767" i="1"/>
  <c r="E1767" i="1"/>
  <c r="I1766" i="1"/>
  <c r="H1766" i="1"/>
  <c r="G1766" i="1"/>
  <c r="F1766" i="1"/>
  <c r="E1766" i="1"/>
  <c r="I1765" i="1"/>
  <c r="H1765" i="1"/>
  <c r="G1765" i="1"/>
  <c r="F1765" i="1"/>
  <c r="E1765" i="1"/>
  <c r="I1764" i="1"/>
  <c r="H1764" i="1"/>
  <c r="G1764" i="1"/>
  <c r="F1764" i="1"/>
  <c r="E1764" i="1"/>
  <c r="I1763" i="1"/>
  <c r="H1763" i="1"/>
  <c r="G1763" i="1"/>
  <c r="F1763" i="1"/>
  <c r="E1763" i="1"/>
  <c r="I1762" i="1"/>
  <c r="H1762" i="1"/>
  <c r="G1762" i="1"/>
  <c r="F1762" i="1"/>
  <c r="E1762" i="1"/>
  <c r="I1761" i="1"/>
  <c r="H1761" i="1"/>
  <c r="G1761" i="1"/>
  <c r="F1761" i="1"/>
  <c r="E1761" i="1"/>
  <c r="I1760" i="1"/>
  <c r="H1760" i="1"/>
  <c r="G1760" i="1"/>
  <c r="F1760" i="1"/>
  <c r="E1760" i="1"/>
  <c r="I1759" i="1"/>
  <c r="H1759" i="1"/>
  <c r="G1759" i="1"/>
  <c r="F1759" i="1"/>
  <c r="E1759" i="1"/>
  <c r="I1758" i="1"/>
  <c r="H1758" i="1"/>
  <c r="G1758" i="1"/>
  <c r="F1758" i="1"/>
  <c r="E1758" i="1"/>
  <c r="I1757" i="1"/>
  <c r="H1757" i="1"/>
  <c r="G1757" i="1"/>
  <c r="F1757" i="1"/>
  <c r="E1757" i="1"/>
  <c r="I1756" i="1"/>
  <c r="H1756" i="1"/>
  <c r="G1756" i="1"/>
  <c r="F1756" i="1"/>
  <c r="E1756" i="1"/>
  <c r="I1755" i="1"/>
  <c r="H1755" i="1"/>
  <c r="G1755" i="1"/>
  <c r="F1755" i="1"/>
  <c r="E1755" i="1"/>
  <c r="I1754" i="1"/>
  <c r="H1754" i="1"/>
  <c r="G1754" i="1"/>
  <c r="F1754" i="1"/>
  <c r="E1754" i="1"/>
  <c r="I1753" i="1"/>
  <c r="H1753" i="1"/>
  <c r="G1753" i="1"/>
  <c r="F1753" i="1"/>
  <c r="E1753" i="1"/>
  <c r="I1752" i="1"/>
  <c r="H1752" i="1"/>
  <c r="G1752" i="1"/>
  <c r="F1752" i="1"/>
  <c r="E1752" i="1"/>
  <c r="I1751" i="1"/>
  <c r="H1751" i="1"/>
  <c r="G1751" i="1"/>
  <c r="F1751" i="1"/>
  <c r="E1751" i="1"/>
  <c r="I1750" i="1"/>
  <c r="H1750" i="1"/>
  <c r="G1750" i="1"/>
  <c r="F1750" i="1"/>
  <c r="E1750" i="1"/>
  <c r="I1749" i="1"/>
  <c r="H1749" i="1"/>
  <c r="G1749" i="1"/>
  <c r="F1749" i="1"/>
  <c r="E1749" i="1"/>
  <c r="I1748" i="1"/>
  <c r="H1748" i="1"/>
  <c r="G1748" i="1"/>
  <c r="F1748" i="1"/>
  <c r="E1748" i="1"/>
  <c r="I1747" i="1"/>
  <c r="H1747" i="1"/>
  <c r="G1747" i="1"/>
  <c r="F1747" i="1"/>
  <c r="E1747" i="1"/>
  <c r="I1746" i="1"/>
  <c r="H1746" i="1"/>
  <c r="G1746" i="1"/>
  <c r="F1746" i="1"/>
  <c r="E1746" i="1"/>
  <c r="I1745" i="1"/>
  <c r="H1745" i="1"/>
  <c r="G1745" i="1"/>
  <c r="F1745" i="1"/>
  <c r="E1745" i="1"/>
  <c r="I1744" i="1"/>
  <c r="H1744" i="1"/>
  <c r="G1744" i="1"/>
  <c r="F1744" i="1"/>
  <c r="E1744" i="1"/>
  <c r="I1743" i="1"/>
  <c r="H1743" i="1"/>
  <c r="G1743" i="1"/>
  <c r="F1743" i="1"/>
  <c r="E1743" i="1"/>
  <c r="I1742" i="1"/>
  <c r="H1742" i="1"/>
  <c r="G1742" i="1"/>
  <c r="F1742" i="1"/>
  <c r="E1742" i="1"/>
  <c r="I1741" i="1"/>
  <c r="H1741" i="1"/>
  <c r="G1741" i="1"/>
  <c r="F1741" i="1"/>
  <c r="E1741" i="1"/>
  <c r="I1740" i="1"/>
  <c r="H1740" i="1"/>
  <c r="G1740" i="1"/>
  <c r="F1740" i="1"/>
  <c r="E1740" i="1"/>
  <c r="I1739" i="1"/>
  <c r="H1739" i="1"/>
  <c r="G1739" i="1"/>
  <c r="F1739" i="1"/>
  <c r="E1739" i="1"/>
  <c r="I1738" i="1"/>
  <c r="H1738" i="1"/>
  <c r="G1738" i="1"/>
  <c r="F1738" i="1"/>
  <c r="E1738" i="1"/>
  <c r="I1737" i="1"/>
  <c r="H1737" i="1"/>
  <c r="G1737" i="1"/>
  <c r="F1737" i="1"/>
  <c r="E1737" i="1"/>
  <c r="I1736" i="1"/>
  <c r="H1736" i="1"/>
  <c r="G1736" i="1"/>
  <c r="F1736" i="1"/>
  <c r="E1736" i="1"/>
  <c r="I1735" i="1"/>
  <c r="H1735" i="1"/>
  <c r="G1735" i="1"/>
  <c r="F1735" i="1"/>
  <c r="E1735" i="1"/>
  <c r="I1734" i="1"/>
  <c r="H1734" i="1"/>
  <c r="G1734" i="1"/>
  <c r="F1734" i="1"/>
  <c r="E1734" i="1"/>
  <c r="I1733" i="1"/>
  <c r="H1733" i="1"/>
  <c r="G1733" i="1"/>
  <c r="F1733" i="1"/>
  <c r="E1733" i="1"/>
  <c r="I1732" i="1"/>
  <c r="H1732" i="1"/>
  <c r="G1732" i="1"/>
  <c r="F1732" i="1"/>
  <c r="E1732" i="1"/>
  <c r="I1731" i="1"/>
  <c r="H1731" i="1"/>
  <c r="G1731" i="1"/>
  <c r="F1731" i="1"/>
  <c r="E1731" i="1"/>
  <c r="I1730" i="1"/>
  <c r="H1730" i="1"/>
  <c r="G1730" i="1"/>
  <c r="F1730" i="1"/>
  <c r="E1730" i="1"/>
  <c r="I1729" i="1"/>
  <c r="H1729" i="1"/>
  <c r="G1729" i="1"/>
  <c r="F1729" i="1"/>
  <c r="E1729" i="1"/>
  <c r="I1728" i="1"/>
  <c r="H1728" i="1"/>
  <c r="G1728" i="1"/>
  <c r="F1728" i="1"/>
  <c r="E1728" i="1"/>
  <c r="I1727" i="1"/>
  <c r="H1727" i="1"/>
  <c r="G1727" i="1"/>
  <c r="F1727" i="1"/>
  <c r="E1727" i="1"/>
  <c r="I1726" i="1"/>
  <c r="H1726" i="1"/>
  <c r="G1726" i="1"/>
  <c r="F1726" i="1"/>
  <c r="E1726" i="1"/>
  <c r="I1725" i="1"/>
  <c r="H1725" i="1"/>
  <c r="G1725" i="1"/>
  <c r="F1725" i="1"/>
  <c r="E1725" i="1"/>
  <c r="I1724" i="1"/>
  <c r="H1724" i="1"/>
  <c r="G1724" i="1"/>
  <c r="F1724" i="1"/>
  <c r="E1724" i="1"/>
  <c r="I1723" i="1"/>
  <c r="H1723" i="1"/>
  <c r="G1723" i="1"/>
  <c r="F1723" i="1"/>
  <c r="E1723" i="1"/>
  <c r="I1722" i="1"/>
  <c r="H1722" i="1"/>
  <c r="G1722" i="1"/>
  <c r="F1722" i="1"/>
  <c r="E1722" i="1"/>
  <c r="I1721" i="1"/>
  <c r="H1721" i="1"/>
  <c r="G1721" i="1"/>
  <c r="F1721" i="1"/>
  <c r="E1721" i="1"/>
  <c r="I1720" i="1"/>
  <c r="H1720" i="1"/>
  <c r="G1720" i="1"/>
  <c r="F1720" i="1"/>
  <c r="E1720" i="1"/>
  <c r="I1719" i="1"/>
  <c r="H1719" i="1"/>
  <c r="G1719" i="1"/>
  <c r="F1719" i="1"/>
  <c r="E1719" i="1"/>
  <c r="I1718" i="1"/>
  <c r="H1718" i="1"/>
  <c r="G1718" i="1"/>
  <c r="F1718" i="1"/>
  <c r="E1718" i="1"/>
  <c r="I1717" i="1"/>
  <c r="H1717" i="1"/>
  <c r="G1717" i="1"/>
  <c r="F1717" i="1"/>
  <c r="E1717" i="1"/>
  <c r="I1716" i="1"/>
  <c r="H1716" i="1"/>
  <c r="G1716" i="1"/>
  <c r="F1716" i="1"/>
  <c r="E1716" i="1"/>
  <c r="I1715" i="1"/>
  <c r="H1715" i="1"/>
  <c r="G1715" i="1"/>
  <c r="F1715" i="1"/>
  <c r="E1715" i="1"/>
  <c r="I1714" i="1"/>
  <c r="H1714" i="1"/>
  <c r="G1714" i="1"/>
  <c r="F1714" i="1"/>
  <c r="E1714" i="1"/>
  <c r="I1713" i="1"/>
  <c r="H1713" i="1"/>
  <c r="G1713" i="1"/>
  <c r="F1713" i="1"/>
  <c r="E1713" i="1"/>
  <c r="I1712" i="1"/>
  <c r="H1712" i="1"/>
  <c r="G1712" i="1"/>
  <c r="F1712" i="1"/>
  <c r="E1712" i="1"/>
  <c r="I1711" i="1"/>
  <c r="H1711" i="1"/>
  <c r="G1711" i="1"/>
  <c r="F1711" i="1"/>
  <c r="E1711" i="1"/>
  <c r="I1710" i="1"/>
  <c r="H1710" i="1"/>
  <c r="G1710" i="1"/>
  <c r="F1710" i="1"/>
  <c r="E1710" i="1"/>
  <c r="I1709" i="1"/>
  <c r="H1709" i="1"/>
  <c r="G1709" i="1"/>
  <c r="F1709" i="1"/>
  <c r="E1709" i="1"/>
  <c r="I1708" i="1"/>
  <c r="H1708" i="1"/>
  <c r="G1708" i="1"/>
  <c r="F1708" i="1"/>
  <c r="E1708" i="1"/>
  <c r="I1707" i="1"/>
  <c r="H1707" i="1"/>
  <c r="G1707" i="1"/>
  <c r="F1707" i="1"/>
  <c r="E1707" i="1"/>
  <c r="I1706" i="1"/>
  <c r="H1706" i="1"/>
  <c r="G1706" i="1"/>
  <c r="F1706" i="1"/>
  <c r="E1706" i="1"/>
  <c r="I1705" i="1"/>
  <c r="H1705" i="1"/>
  <c r="G1705" i="1"/>
  <c r="F1705" i="1"/>
  <c r="E1705" i="1"/>
  <c r="I1704" i="1"/>
  <c r="H1704" i="1"/>
  <c r="G1704" i="1"/>
  <c r="F1704" i="1"/>
  <c r="E1704" i="1"/>
  <c r="I1703" i="1"/>
  <c r="H1703" i="1"/>
  <c r="G1703" i="1"/>
  <c r="F1703" i="1"/>
  <c r="E1703" i="1"/>
  <c r="I1702" i="1"/>
  <c r="H1702" i="1"/>
  <c r="G1702" i="1"/>
  <c r="F1702" i="1"/>
  <c r="E1702" i="1"/>
  <c r="I1701" i="1"/>
  <c r="H1701" i="1"/>
  <c r="G1701" i="1"/>
  <c r="F1701" i="1"/>
  <c r="E1701" i="1"/>
  <c r="I1700" i="1"/>
  <c r="H1700" i="1"/>
  <c r="G1700" i="1"/>
  <c r="F1700" i="1"/>
  <c r="E1700" i="1"/>
  <c r="I1699" i="1"/>
  <c r="H1699" i="1"/>
  <c r="G1699" i="1"/>
  <c r="F1699" i="1"/>
  <c r="E1699" i="1"/>
  <c r="I1698" i="1"/>
  <c r="H1698" i="1"/>
  <c r="G1698" i="1"/>
  <c r="F1698" i="1"/>
  <c r="E1698" i="1"/>
  <c r="I1697" i="1"/>
  <c r="H1697" i="1"/>
  <c r="G1697" i="1"/>
  <c r="F1697" i="1"/>
  <c r="E1697" i="1"/>
  <c r="I1696" i="1"/>
  <c r="H1696" i="1"/>
  <c r="G1696" i="1"/>
  <c r="F1696" i="1"/>
  <c r="E1696" i="1"/>
  <c r="I1695" i="1"/>
  <c r="H1695" i="1"/>
  <c r="G1695" i="1"/>
  <c r="F1695" i="1"/>
  <c r="E1695" i="1"/>
  <c r="I1694" i="1"/>
  <c r="H1694" i="1"/>
  <c r="G1694" i="1"/>
  <c r="F1694" i="1"/>
  <c r="E1694" i="1"/>
  <c r="I1693" i="1"/>
  <c r="H1693" i="1"/>
  <c r="G1693" i="1"/>
  <c r="F1693" i="1"/>
  <c r="E1693" i="1"/>
  <c r="I1692" i="1"/>
  <c r="H1692" i="1"/>
  <c r="G1692" i="1"/>
  <c r="F1692" i="1"/>
  <c r="E1692" i="1"/>
  <c r="I1691" i="1"/>
  <c r="H1691" i="1"/>
  <c r="G1691" i="1"/>
  <c r="F1691" i="1"/>
  <c r="E1691" i="1"/>
  <c r="I1690" i="1"/>
  <c r="H1690" i="1"/>
  <c r="G1690" i="1"/>
  <c r="F1690" i="1"/>
  <c r="E1690" i="1"/>
  <c r="I1689" i="1"/>
  <c r="H1689" i="1"/>
  <c r="G1689" i="1"/>
  <c r="F1689" i="1"/>
  <c r="E1689" i="1"/>
  <c r="I1688" i="1"/>
  <c r="H1688" i="1"/>
  <c r="G1688" i="1"/>
  <c r="F1688" i="1"/>
  <c r="E1688" i="1"/>
  <c r="I1687" i="1"/>
  <c r="H1687" i="1"/>
  <c r="G1687" i="1"/>
  <c r="F1687" i="1"/>
  <c r="E1687" i="1"/>
  <c r="I1686" i="1"/>
  <c r="H1686" i="1"/>
  <c r="G1686" i="1"/>
  <c r="F1686" i="1"/>
  <c r="E1686" i="1"/>
  <c r="I1685" i="1"/>
  <c r="H1685" i="1"/>
  <c r="G1685" i="1"/>
  <c r="F1685" i="1"/>
  <c r="E1685" i="1"/>
  <c r="I1684" i="1"/>
  <c r="H1684" i="1"/>
  <c r="G1684" i="1"/>
  <c r="F1684" i="1"/>
  <c r="E1684" i="1"/>
  <c r="I1683" i="1"/>
  <c r="H1683" i="1"/>
  <c r="G1683" i="1"/>
  <c r="F1683" i="1"/>
  <c r="E1683" i="1"/>
  <c r="I1682" i="1"/>
  <c r="H1682" i="1"/>
  <c r="G1682" i="1"/>
  <c r="F1682" i="1"/>
  <c r="E1682" i="1"/>
  <c r="I1681" i="1"/>
  <c r="H1681" i="1"/>
  <c r="G1681" i="1"/>
  <c r="F1681" i="1"/>
  <c r="E1681" i="1"/>
  <c r="I1680" i="1"/>
  <c r="H1680" i="1"/>
  <c r="G1680" i="1"/>
  <c r="F1680" i="1"/>
  <c r="E1680" i="1"/>
  <c r="I1679" i="1"/>
  <c r="H1679" i="1"/>
  <c r="G1679" i="1"/>
  <c r="F1679" i="1"/>
  <c r="E1679" i="1"/>
  <c r="I1678" i="1"/>
  <c r="H1678" i="1"/>
  <c r="G1678" i="1"/>
  <c r="F1678" i="1"/>
  <c r="E1678" i="1"/>
  <c r="I1677" i="1"/>
  <c r="H1677" i="1"/>
  <c r="G1677" i="1"/>
  <c r="F1677" i="1"/>
  <c r="E1677" i="1"/>
  <c r="I1676" i="1"/>
  <c r="H1676" i="1"/>
  <c r="G1676" i="1"/>
  <c r="F1676" i="1"/>
  <c r="E1676" i="1"/>
  <c r="I1675" i="1"/>
  <c r="H1675" i="1"/>
  <c r="G1675" i="1"/>
  <c r="F1675" i="1"/>
  <c r="E1675" i="1"/>
  <c r="I1674" i="1"/>
  <c r="H1674" i="1"/>
  <c r="G1674" i="1"/>
  <c r="F1674" i="1"/>
  <c r="E1674" i="1"/>
  <c r="I1673" i="1"/>
  <c r="H1673" i="1"/>
  <c r="G1673" i="1"/>
  <c r="F1673" i="1"/>
  <c r="E1673" i="1"/>
  <c r="I1672" i="1"/>
  <c r="H1672" i="1"/>
  <c r="G1672" i="1"/>
  <c r="F1672" i="1"/>
  <c r="E1672" i="1"/>
  <c r="I1671" i="1"/>
  <c r="H1671" i="1"/>
  <c r="G1671" i="1"/>
  <c r="F1671" i="1"/>
  <c r="E1671" i="1"/>
  <c r="I1670" i="1"/>
  <c r="H1670" i="1"/>
  <c r="G1670" i="1"/>
  <c r="F1670" i="1"/>
  <c r="E1670" i="1"/>
  <c r="I1669" i="1"/>
  <c r="H1669" i="1"/>
  <c r="G1669" i="1"/>
  <c r="F1669" i="1"/>
  <c r="E1669" i="1"/>
  <c r="I1668" i="1"/>
  <c r="H1668" i="1"/>
  <c r="G1668" i="1"/>
  <c r="F1668" i="1"/>
  <c r="E1668" i="1"/>
  <c r="I1667" i="1"/>
  <c r="H1667" i="1"/>
  <c r="G1667" i="1"/>
  <c r="F1667" i="1"/>
  <c r="E1667" i="1"/>
  <c r="I1666" i="1"/>
  <c r="H1666" i="1"/>
  <c r="G1666" i="1"/>
  <c r="F1666" i="1"/>
  <c r="E1666" i="1"/>
  <c r="I1665" i="1"/>
  <c r="H1665" i="1"/>
  <c r="G1665" i="1"/>
  <c r="F1665" i="1"/>
  <c r="E1665" i="1"/>
  <c r="I1664" i="1"/>
  <c r="H1664" i="1"/>
  <c r="G1664" i="1"/>
  <c r="F1664" i="1"/>
  <c r="E1664" i="1"/>
  <c r="I1663" i="1"/>
  <c r="H1663" i="1"/>
  <c r="G1663" i="1"/>
  <c r="F1663" i="1"/>
  <c r="E1663" i="1"/>
  <c r="I1662" i="1"/>
  <c r="H1662" i="1"/>
  <c r="G1662" i="1"/>
  <c r="F1662" i="1"/>
  <c r="E1662" i="1"/>
  <c r="I1661" i="1"/>
  <c r="H1661" i="1"/>
  <c r="G1661" i="1"/>
  <c r="F1661" i="1"/>
  <c r="E1661" i="1"/>
  <c r="I1660" i="1"/>
  <c r="H1660" i="1"/>
  <c r="G1660" i="1"/>
  <c r="F1660" i="1"/>
  <c r="E1660" i="1"/>
  <c r="I1659" i="1"/>
  <c r="H1659" i="1"/>
  <c r="G1659" i="1"/>
  <c r="F1659" i="1"/>
  <c r="E1659" i="1"/>
  <c r="I1658" i="1"/>
  <c r="H1658" i="1"/>
  <c r="G1658" i="1"/>
  <c r="F1658" i="1"/>
  <c r="E1658" i="1"/>
  <c r="I1657" i="1"/>
  <c r="H1657" i="1"/>
  <c r="G1657" i="1"/>
  <c r="F1657" i="1"/>
  <c r="E1657" i="1"/>
  <c r="I1656" i="1"/>
  <c r="H1656" i="1"/>
  <c r="G1656" i="1"/>
  <c r="F1656" i="1"/>
  <c r="E1656" i="1"/>
  <c r="I1655" i="1"/>
  <c r="H1655" i="1"/>
  <c r="G1655" i="1"/>
  <c r="F1655" i="1"/>
  <c r="E1655" i="1"/>
  <c r="I1654" i="1"/>
  <c r="H1654" i="1"/>
  <c r="G1654" i="1"/>
  <c r="F1654" i="1"/>
  <c r="E1654" i="1"/>
  <c r="I1653" i="1"/>
  <c r="H1653" i="1"/>
  <c r="G1653" i="1"/>
  <c r="F1653" i="1"/>
  <c r="E1653" i="1"/>
  <c r="I1652" i="1"/>
  <c r="H1652" i="1"/>
  <c r="G1652" i="1"/>
  <c r="F1652" i="1"/>
  <c r="E1652" i="1"/>
  <c r="I1651" i="1"/>
  <c r="H1651" i="1"/>
  <c r="G1651" i="1"/>
  <c r="F1651" i="1"/>
  <c r="E1651" i="1"/>
  <c r="I1650" i="1"/>
  <c r="H1650" i="1"/>
  <c r="G1650" i="1"/>
  <c r="F1650" i="1"/>
  <c r="E1650" i="1"/>
  <c r="I1649" i="1"/>
  <c r="H1649" i="1"/>
  <c r="G1649" i="1"/>
  <c r="F1649" i="1"/>
  <c r="E1649" i="1"/>
  <c r="I1648" i="1"/>
  <c r="H1648" i="1"/>
  <c r="G1648" i="1"/>
  <c r="F1648" i="1"/>
  <c r="E1648" i="1"/>
  <c r="I1647" i="1"/>
  <c r="H1647" i="1"/>
  <c r="G1647" i="1"/>
  <c r="F1647" i="1"/>
  <c r="E1647" i="1"/>
  <c r="I1646" i="1"/>
  <c r="H1646" i="1"/>
  <c r="G1646" i="1"/>
  <c r="F1646" i="1"/>
  <c r="E1646" i="1"/>
  <c r="I1645" i="1"/>
  <c r="H1645" i="1"/>
  <c r="G1645" i="1"/>
  <c r="F1645" i="1"/>
  <c r="E1645" i="1"/>
  <c r="I1644" i="1"/>
  <c r="H1644" i="1"/>
  <c r="G1644" i="1"/>
  <c r="F1644" i="1"/>
  <c r="E1644" i="1"/>
  <c r="I1643" i="1"/>
  <c r="H1643" i="1"/>
  <c r="G1643" i="1"/>
  <c r="F1643" i="1"/>
  <c r="E1643" i="1"/>
  <c r="I1642" i="1"/>
  <c r="H1642" i="1"/>
  <c r="G1642" i="1"/>
  <c r="F1642" i="1"/>
  <c r="E1642" i="1"/>
  <c r="I1641" i="1"/>
  <c r="H1641" i="1"/>
  <c r="G1641" i="1"/>
  <c r="F1641" i="1"/>
  <c r="E1641" i="1"/>
  <c r="I1640" i="1"/>
  <c r="H1640" i="1"/>
  <c r="G1640" i="1"/>
  <c r="F1640" i="1"/>
  <c r="E1640" i="1"/>
  <c r="I1639" i="1"/>
  <c r="H1639" i="1"/>
  <c r="G1639" i="1"/>
  <c r="F1639" i="1"/>
  <c r="E1639" i="1"/>
  <c r="I1638" i="1"/>
  <c r="H1638" i="1"/>
  <c r="G1638" i="1"/>
  <c r="F1638" i="1"/>
  <c r="E1638" i="1"/>
  <c r="I1637" i="1"/>
  <c r="H1637" i="1"/>
  <c r="G1637" i="1"/>
  <c r="F1637" i="1"/>
  <c r="E1637" i="1"/>
  <c r="I1636" i="1"/>
  <c r="H1636" i="1"/>
  <c r="G1636" i="1"/>
  <c r="F1636" i="1"/>
  <c r="E1636" i="1"/>
  <c r="I1635" i="1"/>
  <c r="H1635" i="1"/>
  <c r="G1635" i="1"/>
  <c r="F1635" i="1"/>
  <c r="E1635" i="1"/>
  <c r="I1634" i="1"/>
  <c r="H1634" i="1"/>
  <c r="G1634" i="1"/>
  <c r="F1634" i="1"/>
  <c r="E1634" i="1"/>
  <c r="I1633" i="1"/>
  <c r="H1633" i="1"/>
  <c r="G1633" i="1"/>
  <c r="F1633" i="1"/>
  <c r="E1633" i="1"/>
  <c r="I1632" i="1"/>
  <c r="H1632" i="1"/>
  <c r="G1632" i="1"/>
  <c r="F1632" i="1"/>
  <c r="E1632" i="1"/>
  <c r="I1631" i="1"/>
  <c r="H1631" i="1"/>
  <c r="G1631" i="1"/>
  <c r="F1631" i="1"/>
  <c r="E1631" i="1"/>
  <c r="I1630" i="1"/>
  <c r="H1630" i="1"/>
  <c r="G1630" i="1"/>
  <c r="F1630" i="1"/>
  <c r="E1630" i="1"/>
  <c r="I1629" i="1"/>
  <c r="H1629" i="1"/>
  <c r="G1629" i="1"/>
  <c r="F1629" i="1"/>
  <c r="E1629" i="1"/>
  <c r="I1628" i="1"/>
  <c r="H1628" i="1"/>
  <c r="G1628" i="1"/>
  <c r="F1628" i="1"/>
  <c r="E1628" i="1"/>
  <c r="I1627" i="1"/>
  <c r="H1627" i="1"/>
  <c r="G1627" i="1"/>
  <c r="F1627" i="1"/>
  <c r="E1627" i="1"/>
  <c r="I1626" i="1"/>
  <c r="H1626" i="1"/>
  <c r="G1626" i="1"/>
  <c r="F1626" i="1"/>
  <c r="E1626" i="1"/>
  <c r="I1625" i="1"/>
  <c r="H1625" i="1"/>
  <c r="G1625" i="1"/>
  <c r="F1625" i="1"/>
  <c r="E1625" i="1"/>
  <c r="I1624" i="1"/>
  <c r="H1624" i="1"/>
  <c r="G1624" i="1"/>
  <c r="F1624" i="1"/>
  <c r="E1624" i="1"/>
  <c r="I1623" i="1"/>
  <c r="H1623" i="1"/>
  <c r="G1623" i="1"/>
  <c r="F1623" i="1"/>
  <c r="E1623" i="1"/>
  <c r="I1622" i="1"/>
  <c r="H1622" i="1"/>
  <c r="G1622" i="1"/>
  <c r="F1622" i="1"/>
  <c r="E1622" i="1"/>
  <c r="I1621" i="1"/>
  <c r="H1621" i="1"/>
  <c r="G1621" i="1"/>
  <c r="F1621" i="1"/>
  <c r="E1621" i="1"/>
  <c r="I1620" i="1"/>
  <c r="H1620" i="1"/>
  <c r="G1620" i="1"/>
  <c r="F1620" i="1"/>
  <c r="E1620" i="1"/>
  <c r="I1619" i="1"/>
  <c r="H1619" i="1"/>
  <c r="G1619" i="1"/>
  <c r="F1619" i="1"/>
  <c r="E1619" i="1"/>
  <c r="I1618" i="1"/>
  <c r="H1618" i="1"/>
  <c r="G1618" i="1"/>
  <c r="F1618" i="1"/>
  <c r="E1618" i="1"/>
  <c r="I1617" i="1"/>
  <c r="H1617" i="1"/>
  <c r="G1617" i="1"/>
  <c r="F1617" i="1"/>
  <c r="E1617" i="1"/>
  <c r="I1616" i="1"/>
  <c r="H1616" i="1"/>
  <c r="G1616" i="1"/>
  <c r="F1616" i="1"/>
  <c r="E1616" i="1"/>
  <c r="I1615" i="1"/>
  <c r="H1615" i="1"/>
  <c r="G1615" i="1"/>
  <c r="F1615" i="1"/>
  <c r="E1615" i="1"/>
  <c r="I1614" i="1"/>
  <c r="H1614" i="1"/>
  <c r="G1614" i="1"/>
  <c r="F1614" i="1"/>
  <c r="E1614" i="1"/>
  <c r="I1613" i="1"/>
  <c r="H1613" i="1"/>
  <c r="G1613" i="1"/>
  <c r="F1613" i="1"/>
  <c r="E1613" i="1"/>
  <c r="I1612" i="1"/>
  <c r="H1612" i="1"/>
  <c r="G1612" i="1"/>
  <c r="F1612" i="1"/>
  <c r="E1612" i="1"/>
  <c r="I1611" i="1"/>
  <c r="H1611" i="1"/>
  <c r="G1611" i="1"/>
  <c r="F1611" i="1"/>
  <c r="E1611" i="1"/>
  <c r="I1610" i="1"/>
  <c r="H1610" i="1"/>
  <c r="G1610" i="1"/>
  <c r="F1610" i="1"/>
  <c r="E1610" i="1"/>
  <c r="I1609" i="1"/>
  <c r="H1609" i="1"/>
  <c r="G1609" i="1"/>
  <c r="F1609" i="1"/>
  <c r="E1609" i="1"/>
  <c r="I1608" i="1"/>
  <c r="H1608" i="1"/>
  <c r="G1608" i="1"/>
  <c r="F1608" i="1"/>
  <c r="E1608" i="1"/>
  <c r="I1607" i="1"/>
  <c r="H1607" i="1"/>
  <c r="G1607" i="1"/>
  <c r="F1607" i="1"/>
  <c r="E1607" i="1"/>
  <c r="I1606" i="1"/>
  <c r="H1606" i="1"/>
  <c r="G1606" i="1"/>
  <c r="F1606" i="1"/>
  <c r="E1606" i="1"/>
  <c r="I1605" i="1"/>
  <c r="H1605" i="1"/>
  <c r="G1605" i="1"/>
  <c r="F1605" i="1"/>
  <c r="E1605" i="1"/>
  <c r="I1604" i="1"/>
  <c r="H1604" i="1"/>
  <c r="G1604" i="1"/>
  <c r="F1604" i="1"/>
  <c r="E1604" i="1"/>
  <c r="I1603" i="1"/>
  <c r="H1603" i="1"/>
  <c r="G1603" i="1"/>
  <c r="F1603" i="1"/>
  <c r="E1603" i="1"/>
  <c r="I1602" i="1"/>
  <c r="H1602" i="1"/>
  <c r="G1602" i="1"/>
  <c r="F1602" i="1"/>
  <c r="E1602" i="1"/>
  <c r="I1601" i="1"/>
  <c r="H1601" i="1"/>
  <c r="G1601" i="1"/>
  <c r="F1601" i="1"/>
  <c r="E1601" i="1"/>
  <c r="I1600" i="1"/>
  <c r="H1600" i="1"/>
  <c r="G1600" i="1"/>
  <c r="F1600" i="1"/>
  <c r="E1600" i="1"/>
  <c r="I1599" i="1"/>
  <c r="H1599" i="1"/>
  <c r="G1599" i="1"/>
  <c r="F1599" i="1"/>
  <c r="E1599" i="1"/>
  <c r="I1598" i="1"/>
  <c r="H1598" i="1"/>
  <c r="G1598" i="1"/>
  <c r="F1598" i="1"/>
  <c r="E1598" i="1"/>
  <c r="I1597" i="1"/>
  <c r="H1597" i="1"/>
  <c r="G1597" i="1"/>
  <c r="F1597" i="1"/>
  <c r="E1597" i="1"/>
  <c r="I1596" i="1"/>
  <c r="H1596" i="1"/>
  <c r="G1596" i="1"/>
  <c r="F1596" i="1"/>
  <c r="E1596" i="1"/>
  <c r="I1595" i="1"/>
  <c r="H1595" i="1"/>
  <c r="G1595" i="1"/>
  <c r="F1595" i="1"/>
  <c r="E1595" i="1"/>
  <c r="I1594" i="1"/>
  <c r="H1594" i="1"/>
  <c r="G1594" i="1"/>
  <c r="F1594" i="1"/>
  <c r="E1594" i="1"/>
  <c r="I1593" i="1"/>
  <c r="H1593" i="1"/>
  <c r="G1593" i="1"/>
  <c r="F1593" i="1"/>
  <c r="E1593" i="1"/>
  <c r="I1592" i="1"/>
  <c r="H1592" i="1"/>
  <c r="G1592" i="1"/>
  <c r="F1592" i="1"/>
  <c r="E1592" i="1"/>
  <c r="I1591" i="1"/>
  <c r="H1591" i="1"/>
  <c r="G1591" i="1"/>
  <c r="F1591" i="1"/>
  <c r="E1591" i="1"/>
  <c r="I1590" i="1"/>
  <c r="H1590" i="1"/>
  <c r="G1590" i="1"/>
  <c r="F1590" i="1"/>
  <c r="E1590" i="1"/>
  <c r="I1589" i="1"/>
  <c r="H1589" i="1"/>
  <c r="G1589" i="1"/>
  <c r="F1589" i="1"/>
  <c r="E1589" i="1"/>
  <c r="I1588" i="1"/>
  <c r="H1588" i="1"/>
  <c r="G1588" i="1"/>
  <c r="F1588" i="1"/>
  <c r="E1588" i="1"/>
  <c r="I1587" i="1"/>
  <c r="H1587" i="1"/>
  <c r="G1587" i="1"/>
  <c r="F1587" i="1"/>
  <c r="E1587" i="1"/>
  <c r="I1586" i="1"/>
  <c r="H1586" i="1"/>
  <c r="G1586" i="1"/>
  <c r="F1586" i="1"/>
  <c r="E1586" i="1"/>
  <c r="I1585" i="1"/>
  <c r="H1585" i="1"/>
  <c r="G1585" i="1"/>
  <c r="F1585" i="1"/>
  <c r="E1585" i="1"/>
  <c r="I1584" i="1"/>
  <c r="H1584" i="1"/>
  <c r="G1584" i="1"/>
  <c r="F1584" i="1"/>
  <c r="E1584" i="1"/>
  <c r="I1583" i="1"/>
  <c r="H1583" i="1"/>
  <c r="G1583" i="1"/>
  <c r="F1583" i="1"/>
  <c r="E1583" i="1"/>
  <c r="I1582" i="1"/>
  <c r="H1582" i="1"/>
  <c r="G1582" i="1"/>
  <c r="F1582" i="1"/>
  <c r="E1582" i="1"/>
  <c r="I1581" i="1"/>
  <c r="H1581" i="1"/>
  <c r="G1581" i="1"/>
  <c r="F1581" i="1"/>
  <c r="E1581" i="1"/>
  <c r="I1580" i="1"/>
  <c r="H1580" i="1"/>
  <c r="G1580" i="1"/>
  <c r="F1580" i="1"/>
  <c r="E1580" i="1"/>
  <c r="I1579" i="1"/>
  <c r="H1579" i="1"/>
  <c r="G1579" i="1"/>
  <c r="F1579" i="1"/>
  <c r="E1579" i="1"/>
  <c r="I1578" i="1"/>
  <c r="H1578" i="1"/>
  <c r="G1578" i="1"/>
  <c r="F1578" i="1"/>
  <c r="E1578" i="1"/>
  <c r="I1577" i="1"/>
  <c r="H1577" i="1"/>
  <c r="G1577" i="1"/>
  <c r="F1577" i="1"/>
  <c r="E1577" i="1"/>
  <c r="I1576" i="1"/>
  <c r="H1576" i="1"/>
  <c r="G1576" i="1"/>
  <c r="F1576" i="1"/>
  <c r="E1576" i="1"/>
  <c r="I1575" i="1"/>
  <c r="H1575" i="1"/>
  <c r="G1575" i="1"/>
  <c r="F1575" i="1"/>
  <c r="E1575" i="1"/>
  <c r="I1574" i="1"/>
  <c r="H1574" i="1"/>
  <c r="G1574" i="1"/>
  <c r="F1574" i="1"/>
  <c r="E1574" i="1"/>
  <c r="I1573" i="1"/>
  <c r="H1573" i="1"/>
  <c r="G1573" i="1"/>
  <c r="F1573" i="1"/>
  <c r="E1573" i="1"/>
  <c r="I1572" i="1"/>
  <c r="H1572" i="1"/>
  <c r="G1572" i="1"/>
  <c r="F1572" i="1"/>
  <c r="E1572" i="1"/>
  <c r="I1571" i="1"/>
  <c r="H1571" i="1"/>
  <c r="G1571" i="1"/>
  <c r="F1571" i="1"/>
  <c r="E1571" i="1"/>
  <c r="I1570" i="1"/>
  <c r="H1570" i="1"/>
  <c r="G1570" i="1"/>
  <c r="F1570" i="1"/>
  <c r="E1570" i="1"/>
  <c r="I1569" i="1"/>
  <c r="H1569" i="1"/>
  <c r="G1569" i="1"/>
  <c r="F1569" i="1"/>
  <c r="E1569" i="1"/>
  <c r="I1568" i="1"/>
  <c r="H1568" i="1"/>
  <c r="G1568" i="1"/>
  <c r="F1568" i="1"/>
  <c r="E1568" i="1"/>
  <c r="I1567" i="1"/>
  <c r="H1567" i="1"/>
  <c r="G1567" i="1"/>
  <c r="F1567" i="1"/>
  <c r="E1567" i="1"/>
  <c r="I1566" i="1"/>
  <c r="H1566" i="1"/>
  <c r="G1566" i="1"/>
  <c r="F1566" i="1"/>
  <c r="E1566" i="1"/>
  <c r="I1565" i="1"/>
  <c r="H1565" i="1"/>
  <c r="G1565" i="1"/>
  <c r="F1565" i="1"/>
  <c r="E1565" i="1"/>
  <c r="I1564" i="1"/>
  <c r="H1564" i="1"/>
  <c r="G1564" i="1"/>
  <c r="F1564" i="1"/>
  <c r="E1564" i="1"/>
  <c r="I1563" i="1"/>
  <c r="H1563" i="1"/>
  <c r="G1563" i="1"/>
  <c r="F1563" i="1"/>
  <c r="E1563" i="1"/>
  <c r="I1562" i="1"/>
  <c r="H1562" i="1"/>
  <c r="G1562" i="1"/>
  <c r="F1562" i="1"/>
  <c r="E1562" i="1"/>
  <c r="I1561" i="1"/>
  <c r="H1561" i="1"/>
  <c r="G1561" i="1"/>
  <c r="F1561" i="1"/>
  <c r="E1561" i="1"/>
  <c r="I1560" i="1"/>
  <c r="H1560" i="1"/>
  <c r="G1560" i="1"/>
  <c r="F1560" i="1"/>
  <c r="E1560" i="1"/>
  <c r="I1559" i="1"/>
  <c r="H1559" i="1"/>
  <c r="G1559" i="1"/>
  <c r="F1559" i="1"/>
  <c r="E1559" i="1"/>
  <c r="I1558" i="1"/>
  <c r="H1558" i="1"/>
  <c r="G1558" i="1"/>
  <c r="F1558" i="1"/>
  <c r="E1558" i="1"/>
  <c r="I1557" i="1"/>
  <c r="H1557" i="1"/>
  <c r="G1557" i="1"/>
  <c r="F1557" i="1"/>
  <c r="E1557" i="1"/>
  <c r="I1556" i="1"/>
  <c r="H1556" i="1"/>
  <c r="G1556" i="1"/>
  <c r="F1556" i="1"/>
  <c r="E1556" i="1"/>
  <c r="I1555" i="1"/>
  <c r="H1555" i="1"/>
  <c r="G1555" i="1"/>
  <c r="F1555" i="1"/>
  <c r="E1555" i="1"/>
  <c r="I1554" i="1"/>
  <c r="H1554" i="1"/>
  <c r="G1554" i="1"/>
  <c r="F1554" i="1"/>
  <c r="E1554" i="1"/>
  <c r="I1553" i="1"/>
  <c r="H1553" i="1"/>
  <c r="G1553" i="1"/>
  <c r="F1553" i="1"/>
  <c r="E1553" i="1"/>
  <c r="I1552" i="1"/>
  <c r="H1552" i="1"/>
  <c r="G1552" i="1"/>
  <c r="F1552" i="1"/>
  <c r="E1552" i="1"/>
  <c r="I1551" i="1"/>
  <c r="H1551" i="1"/>
  <c r="G1551" i="1"/>
  <c r="F1551" i="1"/>
  <c r="E1551" i="1"/>
  <c r="I1550" i="1"/>
  <c r="H1550" i="1"/>
  <c r="G1550" i="1"/>
  <c r="F1550" i="1"/>
  <c r="E1550" i="1"/>
  <c r="I1549" i="1"/>
  <c r="H1549" i="1"/>
  <c r="G1549" i="1"/>
  <c r="F1549" i="1"/>
  <c r="E1549" i="1"/>
  <c r="I1548" i="1"/>
  <c r="H1548" i="1"/>
  <c r="G1548" i="1"/>
  <c r="F1548" i="1"/>
  <c r="E1548" i="1"/>
  <c r="I1547" i="1"/>
  <c r="H1547" i="1"/>
  <c r="G1547" i="1"/>
  <c r="F1547" i="1"/>
  <c r="E1547" i="1"/>
  <c r="I1546" i="1"/>
  <c r="H1546" i="1"/>
  <c r="G1546" i="1"/>
  <c r="F1546" i="1"/>
  <c r="E1546" i="1"/>
  <c r="I1545" i="1"/>
  <c r="H1545" i="1"/>
  <c r="G1545" i="1"/>
  <c r="F1545" i="1"/>
  <c r="E1545" i="1"/>
  <c r="I1544" i="1"/>
  <c r="H1544" i="1"/>
  <c r="G1544" i="1"/>
  <c r="F1544" i="1"/>
  <c r="E1544" i="1"/>
  <c r="I1543" i="1"/>
  <c r="H1543" i="1"/>
  <c r="G1543" i="1"/>
  <c r="F1543" i="1"/>
  <c r="E1543" i="1"/>
  <c r="I1542" i="1"/>
  <c r="H1542" i="1"/>
  <c r="G1542" i="1"/>
  <c r="F1542" i="1"/>
  <c r="E1542" i="1"/>
  <c r="I1541" i="1"/>
  <c r="H1541" i="1"/>
  <c r="G1541" i="1"/>
  <c r="F1541" i="1"/>
  <c r="E1541" i="1"/>
  <c r="I1540" i="1"/>
  <c r="H1540" i="1"/>
  <c r="G1540" i="1"/>
  <c r="F1540" i="1"/>
  <c r="E1540" i="1"/>
  <c r="I1539" i="1"/>
  <c r="H1539" i="1"/>
  <c r="G1539" i="1"/>
  <c r="F1539" i="1"/>
  <c r="E1539" i="1"/>
  <c r="I1538" i="1"/>
  <c r="H1538" i="1"/>
  <c r="G1538" i="1"/>
  <c r="F1538" i="1"/>
  <c r="E1538" i="1"/>
  <c r="I1537" i="1"/>
  <c r="H1537" i="1"/>
  <c r="G1537" i="1"/>
  <c r="F1537" i="1"/>
  <c r="E1537" i="1"/>
  <c r="I1536" i="1"/>
  <c r="H1536" i="1"/>
  <c r="G1536" i="1"/>
  <c r="F1536" i="1"/>
  <c r="E1536" i="1"/>
  <c r="I1535" i="1"/>
  <c r="H1535" i="1"/>
  <c r="G1535" i="1"/>
  <c r="F1535" i="1"/>
  <c r="E1535" i="1"/>
  <c r="I1534" i="1"/>
  <c r="H1534" i="1"/>
  <c r="G1534" i="1"/>
  <c r="F1534" i="1"/>
  <c r="E1534" i="1"/>
  <c r="I1533" i="1"/>
  <c r="H1533" i="1"/>
  <c r="G1533" i="1"/>
  <c r="F1533" i="1"/>
  <c r="E1533" i="1"/>
  <c r="I1532" i="1"/>
  <c r="H1532" i="1"/>
  <c r="G1532" i="1"/>
  <c r="F1532" i="1"/>
  <c r="E1532" i="1"/>
  <c r="I1531" i="1"/>
  <c r="H1531" i="1"/>
  <c r="G1531" i="1"/>
  <c r="F1531" i="1"/>
  <c r="E1531" i="1"/>
  <c r="I1530" i="1"/>
  <c r="H1530" i="1"/>
  <c r="G1530" i="1"/>
  <c r="F1530" i="1"/>
  <c r="E1530" i="1"/>
  <c r="I1529" i="1"/>
  <c r="H1529" i="1"/>
  <c r="G1529" i="1"/>
  <c r="F1529" i="1"/>
  <c r="E1529" i="1"/>
  <c r="I1528" i="1"/>
  <c r="H1528" i="1"/>
  <c r="G1528" i="1"/>
  <c r="F1528" i="1"/>
  <c r="E1528" i="1"/>
  <c r="I1527" i="1"/>
  <c r="H1527" i="1"/>
  <c r="G1527" i="1"/>
  <c r="F1527" i="1"/>
  <c r="E1527" i="1"/>
  <c r="I1526" i="1"/>
  <c r="H1526" i="1"/>
  <c r="G1526" i="1"/>
  <c r="F1526" i="1"/>
  <c r="E1526" i="1"/>
  <c r="I1525" i="1"/>
  <c r="H1525" i="1"/>
  <c r="G1525" i="1"/>
  <c r="F1525" i="1"/>
  <c r="E1525" i="1"/>
  <c r="I1524" i="1"/>
  <c r="H1524" i="1"/>
  <c r="G1524" i="1"/>
  <c r="F1524" i="1"/>
  <c r="E1524" i="1"/>
  <c r="I1523" i="1"/>
  <c r="H1523" i="1"/>
  <c r="G1523" i="1"/>
  <c r="F1523" i="1"/>
  <c r="E1523" i="1"/>
  <c r="I1522" i="1"/>
  <c r="H1522" i="1"/>
  <c r="G1522" i="1"/>
  <c r="F1522" i="1"/>
  <c r="E1522" i="1"/>
  <c r="I1521" i="1"/>
  <c r="H1521" i="1"/>
  <c r="G1521" i="1"/>
  <c r="F1521" i="1"/>
  <c r="E1521" i="1"/>
  <c r="I1520" i="1"/>
  <c r="H1520" i="1"/>
  <c r="G1520" i="1"/>
  <c r="F1520" i="1"/>
  <c r="E1520" i="1"/>
  <c r="I1519" i="1"/>
  <c r="H1519" i="1"/>
  <c r="G1519" i="1"/>
  <c r="F1519" i="1"/>
  <c r="E1519" i="1"/>
  <c r="I1518" i="1"/>
  <c r="H1518" i="1"/>
  <c r="G1518" i="1"/>
  <c r="F1518" i="1"/>
  <c r="E1518" i="1"/>
  <c r="I1517" i="1"/>
  <c r="H1517" i="1"/>
  <c r="G1517" i="1"/>
  <c r="F1517" i="1"/>
  <c r="E1517" i="1"/>
  <c r="I1516" i="1"/>
  <c r="H1516" i="1"/>
  <c r="G1516" i="1"/>
  <c r="F1516" i="1"/>
  <c r="E1516" i="1"/>
  <c r="I1515" i="1"/>
  <c r="H1515" i="1"/>
  <c r="G1515" i="1"/>
  <c r="F1515" i="1"/>
  <c r="E1515" i="1"/>
  <c r="I1514" i="1"/>
  <c r="H1514" i="1"/>
  <c r="G1514" i="1"/>
  <c r="F1514" i="1"/>
  <c r="E1514" i="1"/>
  <c r="I1513" i="1"/>
  <c r="H1513" i="1"/>
  <c r="G1513" i="1"/>
  <c r="F1513" i="1"/>
  <c r="E1513" i="1"/>
  <c r="I1512" i="1"/>
  <c r="H1512" i="1"/>
  <c r="G1512" i="1"/>
  <c r="F1512" i="1"/>
  <c r="E1512" i="1"/>
  <c r="I1511" i="1"/>
  <c r="H1511" i="1"/>
  <c r="G1511" i="1"/>
  <c r="F1511" i="1"/>
  <c r="E1511" i="1"/>
  <c r="I1510" i="1"/>
  <c r="H1510" i="1"/>
  <c r="G1510" i="1"/>
  <c r="F1510" i="1"/>
  <c r="E1510" i="1"/>
  <c r="I1509" i="1"/>
  <c r="H1509" i="1"/>
  <c r="G1509" i="1"/>
  <c r="F1509" i="1"/>
  <c r="E1509" i="1"/>
  <c r="I1508" i="1"/>
  <c r="H1508" i="1"/>
  <c r="G1508" i="1"/>
  <c r="F1508" i="1"/>
  <c r="E1508" i="1"/>
  <c r="I1507" i="1"/>
  <c r="H1507" i="1"/>
  <c r="G1507" i="1"/>
  <c r="F1507" i="1"/>
  <c r="E1507" i="1"/>
  <c r="I1506" i="1"/>
  <c r="H1506" i="1"/>
  <c r="G1506" i="1"/>
  <c r="F1506" i="1"/>
  <c r="E1506" i="1"/>
  <c r="I1505" i="1"/>
  <c r="H1505" i="1"/>
  <c r="G1505" i="1"/>
  <c r="F1505" i="1"/>
  <c r="E1505" i="1"/>
  <c r="I1504" i="1"/>
  <c r="H1504" i="1"/>
  <c r="G1504" i="1"/>
  <c r="F1504" i="1"/>
  <c r="E1504" i="1"/>
  <c r="I1503" i="1"/>
  <c r="H1503" i="1"/>
  <c r="G1503" i="1"/>
  <c r="F1503" i="1"/>
  <c r="E1503" i="1"/>
  <c r="I1502" i="1"/>
  <c r="H1502" i="1"/>
  <c r="G1502" i="1"/>
  <c r="F1502" i="1"/>
  <c r="E1502" i="1"/>
  <c r="I1501" i="1"/>
  <c r="H1501" i="1"/>
  <c r="G1501" i="1"/>
  <c r="F1501" i="1"/>
  <c r="E1501" i="1"/>
  <c r="I1500" i="1"/>
  <c r="H1500" i="1"/>
  <c r="G1500" i="1"/>
  <c r="F1500" i="1"/>
  <c r="E1500" i="1"/>
  <c r="I1499" i="1"/>
  <c r="H1499" i="1"/>
  <c r="G1499" i="1"/>
  <c r="F1499" i="1"/>
  <c r="E1499" i="1"/>
  <c r="I1498" i="1"/>
  <c r="H1498" i="1"/>
  <c r="G1498" i="1"/>
  <c r="F1498" i="1"/>
  <c r="E1498" i="1"/>
  <c r="I1497" i="1"/>
  <c r="H1497" i="1"/>
  <c r="G1497" i="1"/>
  <c r="F1497" i="1"/>
  <c r="E1497" i="1"/>
  <c r="I1496" i="1"/>
  <c r="H1496" i="1"/>
  <c r="G1496" i="1"/>
  <c r="F1496" i="1"/>
  <c r="E1496" i="1"/>
  <c r="I1495" i="1"/>
  <c r="H1495" i="1"/>
  <c r="G1495" i="1"/>
  <c r="F1495" i="1"/>
  <c r="E1495" i="1"/>
  <c r="I1494" i="1"/>
  <c r="H1494" i="1"/>
  <c r="G1494" i="1"/>
  <c r="F1494" i="1"/>
  <c r="E1494" i="1"/>
  <c r="I1493" i="1"/>
  <c r="H1493" i="1"/>
  <c r="G1493" i="1"/>
  <c r="F1493" i="1"/>
  <c r="E1493" i="1"/>
  <c r="I1492" i="1"/>
  <c r="H1492" i="1"/>
  <c r="G1492" i="1"/>
  <c r="F1492" i="1"/>
  <c r="E1492" i="1"/>
  <c r="I1491" i="1"/>
  <c r="H1491" i="1"/>
  <c r="G1491" i="1"/>
  <c r="F1491" i="1"/>
  <c r="E1491" i="1"/>
  <c r="I1490" i="1"/>
  <c r="H1490" i="1"/>
  <c r="G1490" i="1"/>
  <c r="F1490" i="1"/>
  <c r="E1490" i="1"/>
  <c r="I1489" i="1"/>
  <c r="H1489" i="1"/>
  <c r="G1489" i="1"/>
  <c r="F1489" i="1"/>
  <c r="E1489" i="1"/>
  <c r="I1488" i="1"/>
  <c r="H1488" i="1"/>
  <c r="G1488" i="1"/>
  <c r="F1488" i="1"/>
  <c r="E1488" i="1"/>
  <c r="I1487" i="1"/>
  <c r="H1487" i="1"/>
  <c r="G1487" i="1"/>
  <c r="F1487" i="1"/>
  <c r="E1487" i="1"/>
  <c r="I1486" i="1"/>
  <c r="H1486" i="1"/>
  <c r="G1486" i="1"/>
  <c r="F1486" i="1"/>
  <c r="E1486" i="1"/>
  <c r="I1485" i="1"/>
  <c r="H1485" i="1"/>
  <c r="G1485" i="1"/>
  <c r="F1485" i="1"/>
  <c r="E1485" i="1"/>
  <c r="I1484" i="1"/>
  <c r="H1484" i="1"/>
  <c r="G1484" i="1"/>
  <c r="F1484" i="1"/>
  <c r="E1484" i="1"/>
  <c r="I1483" i="1"/>
  <c r="H1483" i="1"/>
  <c r="G1483" i="1"/>
  <c r="F1483" i="1"/>
  <c r="E1483" i="1"/>
  <c r="I1482" i="1"/>
  <c r="H1482" i="1"/>
  <c r="G1482" i="1"/>
  <c r="F1482" i="1"/>
  <c r="E1482" i="1"/>
  <c r="I1481" i="1"/>
  <c r="H1481" i="1"/>
  <c r="G1481" i="1"/>
  <c r="F1481" i="1"/>
  <c r="E1481" i="1"/>
  <c r="I1480" i="1"/>
  <c r="H1480" i="1"/>
  <c r="G1480" i="1"/>
  <c r="F1480" i="1"/>
  <c r="E1480" i="1"/>
  <c r="I1479" i="1"/>
  <c r="H1479" i="1"/>
  <c r="G1479" i="1"/>
  <c r="F1479" i="1"/>
  <c r="E1479" i="1"/>
  <c r="I1478" i="1"/>
  <c r="H1478" i="1"/>
  <c r="G1478" i="1"/>
  <c r="F1478" i="1"/>
  <c r="E1478" i="1"/>
  <c r="I1477" i="1"/>
  <c r="H1477" i="1"/>
  <c r="G1477" i="1"/>
  <c r="F1477" i="1"/>
  <c r="E1477" i="1"/>
  <c r="I1476" i="1"/>
  <c r="H1476" i="1"/>
  <c r="G1476" i="1"/>
  <c r="F1476" i="1"/>
  <c r="E1476" i="1"/>
  <c r="I1475" i="1"/>
  <c r="H1475" i="1"/>
  <c r="G1475" i="1"/>
  <c r="F1475" i="1"/>
  <c r="E1475" i="1"/>
  <c r="I1474" i="1"/>
  <c r="H1474" i="1"/>
  <c r="G1474" i="1"/>
  <c r="F1474" i="1"/>
  <c r="E1474" i="1"/>
  <c r="I1473" i="1"/>
  <c r="H1473" i="1"/>
  <c r="G1473" i="1"/>
  <c r="F1473" i="1"/>
  <c r="E1473" i="1"/>
  <c r="I1472" i="1"/>
  <c r="H1472" i="1"/>
  <c r="G1472" i="1"/>
  <c r="F1472" i="1"/>
  <c r="E1472" i="1"/>
  <c r="I1471" i="1"/>
  <c r="H1471" i="1"/>
  <c r="G1471" i="1"/>
  <c r="F1471" i="1"/>
  <c r="E1471" i="1"/>
  <c r="I1470" i="1"/>
  <c r="H1470" i="1"/>
  <c r="G1470" i="1"/>
  <c r="F1470" i="1"/>
  <c r="E1470" i="1"/>
  <c r="I1469" i="1"/>
  <c r="H1469" i="1"/>
  <c r="G1469" i="1"/>
  <c r="F1469" i="1"/>
  <c r="E1469" i="1"/>
  <c r="I1468" i="1"/>
  <c r="H1468" i="1"/>
  <c r="G1468" i="1"/>
  <c r="F1468" i="1"/>
  <c r="E1468" i="1"/>
  <c r="I1467" i="1"/>
  <c r="H1467" i="1"/>
  <c r="G1467" i="1"/>
  <c r="F1467" i="1"/>
  <c r="E1467" i="1"/>
  <c r="I1466" i="1"/>
  <c r="H1466" i="1"/>
  <c r="G1466" i="1"/>
  <c r="F1466" i="1"/>
  <c r="E1466" i="1"/>
  <c r="I1465" i="1"/>
  <c r="H1465" i="1"/>
  <c r="G1465" i="1"/>
  <c r="F1465" i="1"/>
  <c r="E1465" i="1"/>
  <c r="I1464" i="1"/>
  <c r="H1464" i="1"/>
  <c r="G1464" i="1"/>
  <c r="F1464" i="1"/>
  <c r="E1464" i="1"/>
  <c r="I1463" i="1"/>
  <c r="H1463" i="1"/>
  <c r="G1463" i="1"/>
  <c r="F1463" i="1"/>
  <c r="E1463" i="1"/>
  <c r="I1462" i="1"/>
  <c r="H1462" i="1"/>
  <c r="G1462" i="1"/>
  <c r="F1462" i="1"/>
  <c r="E1462" i="1"/>
  <c r="I1461" i="1"/>
  <c r="H1461" i="1"/>
  <c r="G1461" i="1"/>
  <c r="F1461" i="1"/>
  <c r="E1461" i="1"/>
  <c r="I1460" i="1"/>
  <c r="H1460" i="1"/>
  <c r="G1460" i="1"/>
  <c r="F1460" i="1"/>
  <c r="E1460" i="1"/>
  <c r="I1459" i="1"/>
  <c r="H1459" i="1"/>
  <c r="G1459" i="1"/>
  <c r="F1459" i="1"/>
  <c r="E1459" i="1"/>
  <c r="I1458" i="1"/>
  <c r="H1458" i="1"/>
  <c r="G1458" i="1"/>
  <c r="F1458" i="1"/>
  <c r="E1458" i="1"/>
  <c r="I1457" i="1"/>
  <c r="H1457" i="1"/>
  <c r="G1457" i="1"/>
  <c r="F1457" i="1"/>
  <c r="E1457" i="1"/>
  <c r="I1456" i="1"/>
  <c r="H1456" i="1"/>
  <c r="G1456" i="1"/>
  <c r="F1456" i="1"/>
  <c r="E1456" i="1"/>
  <c r="I1455" i="1"/>
  <c r="H1455" i="1"/>
  <c r="G1455" i="1"/>
  <c r="F1455" i="1"/>
  <c r="E1455" i="1"/>
  <c r="I1454" i="1"/>
  <c r="H1454" i="1"/>
  <c r="G1454" i="1"/>
  <c r="F1454" i="1"/>
  <c r="E1454" i="1"/>
  <c r="I1453" i="1"/>
  <c r="H1453" i="1"/>
  <c r="G1453" i="1"/>
  <c r="F1453" i="1"/>
  <c r="E1453" i="1"/>
  <c r="I1452" i="1"/>
  <c r="H1452" i="1"/>
  <c r="G1452" i="1"/>
  <c r="F1452" i="1"/>
  <c r="E1452" i="1"/>
  <c r="I1451" i="1"/>
  <c r="H1451" i="1"/>
  <c r="G1451" i="1"/>
  <c r="F1451" i="1"/>
  <c r="E1451" i="1"/>
  <c r="I1450" i="1"/>
  <c r="H1450" i="1"/>
  <c r="G1450" i="1"/>
  <c r="F1450" i="1"/>
  <c r="E1450" i="1"/>
  <c r="I1449" i="1"/>
  <c r="H1449" i="1"/>
  <c r="G1449" i="1"/>
  <c r="F1449" i="1"/>
  <c r="E1449" i="1"/>
  <c r="I1448" i="1"/>
  <c r="H1448" i="1"/>
  <c r="G1448" i="1"/>
  <c r="F1448" i="1"/>
  <c r="E1448" i="1"/>
  <c r="I1447" i="1"/>
  <c r="H1447" i="1"/>
  <c r="G1447" i="1"/>
  <c r="F1447" i="1"/>
  <c r="E1447" i="1"/>
  <c r="I1446" i="1"/>
  <c r="H1446" i="1"/>
  <c r="G1446" i="1"/>
  <c r="F1446" i="1"/>
  <c r="E1446" i="1"/>
  <c r="I1445" i="1"/>
  <c r="H1445" i="1"/>
  <c r="G1445" i="1"/>
  <c r="F1445" i="1"/>
  <c r="E1445" i="1"/>
  <c r="I1444" i="1"/>
  <c r="H1444" i="1"/>
  <c r="G1444" i="1"/>
  <c r="F1444" i="1"/>
  <c r="E1444" i="1"/>
  <c r="I1443" i="1"/>
  <c r="H1443" i="1"/>
  <c r="G1443" i="1"/>
  <c r="F1443" i="1"/>
  <c r="E1443" i="1"/>
  <c r="I1442" i="1"/>
  <c r="H1442" i="1"/>
  <c r="G1442" i="1"/>
  <c r="F1442" i="1"/>
  <c r="E1442" i="1"/>
  <c r="I1441" i="1"/>
  <c r="H1441" i="1"/>
  <c r="G1441" i="1"/>
  <c r="F1441" i="1"/>
  <c r="E1441" i="1"/>
  <c r="I1440" i="1"/>
  <c r="H1440" i="1"/>
  <c r="G1440" i="1"/>
  <c r="F1440" i="1"/>
  <c r="E1440" i="1"/>
  <c r="I1439" i="1"/>
  <c r="H1439" i="1"/>
  <c r="G1439" i="1"/>
  <c r="F1439" i="1"/>
  <c r="E1439" i="1"/>
  <c r="I1438" i="1"/>
  <c r="H1438" i="1"/>
  <c r="G1438" i="1"/>
  <c r="F1438" i="1"/>
  <c r="E1438" i="1"/>
  <c r="I1437" i="1"/>
  <c r="H1437" i="1"/>
  <c r="G1437" i="1"/>
  <c r="F1437" i="1"/>
  <c r="E1437" i="1"/>
  <c r="I1436" i="1"/>
  <c r="H1436" i="1"/>
  <c r="G1436" i="1"/>
  <c r="F1436" i="1"/>
  <c r="E1436" i="1"/>
  <c r="I1435" i="1"/>
  <c r="H1435" i="1"/>
  <c r="G1435" i="1"/>
  <c r="F1435" i="1"/>
  <c r="E1435" i="1"/>
  <c r="I1434" i="1"/>
  <c r="H1434" i="1"/>
  <c r="G1434" i="1"/>
  <c r="F1434" i="1"/>
  <c r="E1434" i="1"/>
  <c r="I1433" i="1"/>
  <c r="H1433" i="1"/>
  <c r="G1433" i="1"/>
  <c r="F1433" i="1"/>
  <c r="E1433" i="1"/>
  <c r="I1432" i="1"/>
  <c r="H1432" i="1"/>
  <c r="G1432" i="1"/>
  <c r="F1432" i="1"/>
  <c r="E1432" i="1"/>
  <c r="I1431" i="1"/>
  <c r="H1431" i="1"/>
  <c r="G1431" i="1"/>
  <c r="F1431" i="1"/>
  <c r="E1431" i="1"/>
  <c r="I1430" i="1"/>
  <c r="H1430" i="1"/>
  <c r="G1430" i="1"/>
  <c r="F1430" i="1"/>
  <c r="E1430" i="1"/>
  <c r="I1429" i="1"/>
  <c r="H1429" i="1"/>
  <c r="G1429" i="1"/>
  <c r="F1429" i="1"/>
  <c r="E1429" i="1"/>
  <c r="I1428" i="1"/>
  <c r="H1428" i="1"/>
  <c r="G1428" i="1"/>
  <c r="F1428" i="1"/>
  <c r="E1428" i="1"/>
  <c r="I1427" i="1"/>
  <c r="H1427" i="1"/>
  <c r="G1427" i="1"/>
  <c r="F1427" i="1"/>
  <c r="E1427" i="1"/>
  <c r="I1426" i="1"/>
  <c r="H1426" i="1"/>
  <c r="G1426" i="1"/>
  <c r="F1426" i="1"/>
  <c r="E1426" i="1"/>
  <c r="I1425" i="1"/>
  <c r="H1425" i="1"/>
  <c r="G1425" i="1"/>
  <c r="F1425" i="1"/>
  <c r="E1425" i="1"/>
  <c r="I1424" i="1"/>
  <c r="H1424" i="1"/>
  <c r="G1424" i="1"/>
  <c r="F1424" i="1"/>
  <c r="E1424" i="1"/>
  <c r="I1423" i="1"/>
  <c r="H1423" i="1"/>
  <c r="G1423" i="1"/>
  <c r="F1423" i="1"/>
  <c r="E1423" i="1"/>
  <c r="I1422" i="1"/>
  <c r="H1422" i="1"/>
  <c r="G1422" i="1"/>
  <c r="F1422" i="1"/>
  <c r="E1422" i="1"/>
  <c r="I1421" i="1"/>
  <c r="H1421" i="1"/>
  <c r="G1421" i="1"/>
  <c r="F1421" i="1"/>
  <c r="E1421" i="1"/>
  <c r="I1420" i="1"/>
  <c r="H1420" i="1"/>
  <c r="G1420" i="1"/>
  <c r="F1420" i="1"/>
  <c r="E1420" i="1"/>
  <c r="I1419" i="1"/>
  <c r="H1419" i="1"/>
  <c r="G1419" i="1"/>
  <c r="F1419" i="1"/>
  <c r="E1419" i="1"/>
  <c r="I1418" i="1"/>
  <c r="H1418" i="1"/>
  <c r="G1418" i="1"/>
  <c r="F1418" i="1"/>
  <c r="E1418" i="1"/>
  <c r="I1417" i="1"/>
  <c r="H1417" i="1"/>
  <c r="G1417" i="1"/>
  <c r="F1417" i="1"/>
  <c r="E1417" i="1"/>
  <c r="I1416" i="1"/>
  <c r="H1416" i="1"/>
  <c r="G1416" i="1"/>
  <c r="F1416" i="1"/>
  <c r="E1416" i="1"/>
  <c r="I1415" i="1"/>
  <c r="H1415" i="1"/>
  <c r="G1415" i="1"/>
  <c r="F1415" i="1"/>
  <c r="E1415" i="1"/>
  <c r="I1414" i="1"/>
  <c r="H1414" i="1"/>
  <c r="G1414" i="1"/>
  <c r="F1414" i="1"/>
  <c r="E1414" i="1"/>
  <c r="I1413" i="1"/>
  <c r="H1413" i="1"/>
  <c r="G1413" i="1"/>
  <c r="F1413" i="1"/>
  <c r="E1413" i="1"/>
  <c r="I1412" i="1"/>
  <c r="H1412" i="1"/>
  <c r="G1412" i="1"/>
  <c r="F1412" i="1"/>
  <c r="E1412" i="1"/>
  <c r="I1411" i="1"/>
  <c r="H1411" i="1"/>
  <c r="G1411" i="1"/>
  <c r="F1411" i="1"/>
  <c r="E1411" i="1"/>
  <c r="I1410" i="1"/>
  <c r="H1410" i="1"/>
  <c r="G1410" i="1"/>
  <c r="F1410" i="1"/>
  <c r="E1410" i="1"/>
  <c r="I1409" i="1"/>
  <c r="H1409" i="1"/>
  <c r="G1409" i="1"/>
  <c r="F1409" i="1"/>
  <c r="E1409" i="1"/>
  <c r="I1408" i="1"/>
  <c r="H1408" i="1"/>
  <c r="G1408" i="1"/>
  <c r="F1408" i="1"/>
  <c r="E1408" i="1"/>
  <c r="I1407" i="1"/>
  <c r="H1407" i="1"/>
  <c r="G1407" i="1"/>
  <c r="F1407" i="1"/>
  <c r="E1407" i="1"/>
  <c r="I1406" i="1"/>
  <c r="H1406" i="1"/>
  <c r="G1406" i="1"/>
  <c r="F1406" i="1"/>
  <c r="E1406" i="1"/>
  <c r="I1405" i="1"/>
  <c r="H1405" i="1"/>
  <c r="G1405" i="1"/>
  <c r="F1405" i="1"/>
  <c r="E1405" i="1"/>
  <c r="I1404" i="1"/>
  <c r="H1404" i="1"/>
  <c r="G1404" i="1"/>
  <c r="F1404" i="1"/>
  <c r="E1404" i="1"/>
  <c r="I1403" i="1"/>
  <c r="H1403" i="1"/>
  <c r="G1403" i="1"/>
  <c r="F1403" i="1"/>
  <c r="E1403" i="1"/>
  <c r="I1402" i="1"/>
  <c r="H1402" i="1"/>
  <c r="G1402" i="1"/>
  <c r="F1402" i="1"/>
  <c r="E1402" i="1"/>
  <c r="I1401" i="1"/>
  <c r="H1401" i="1"/>
  <c r="G1401" i="1"/>
  <c r="F1401" i="1"/>
  <c r="E1401" i="1"/>
  <c r="I1400" i="1"/>
  <c r="H1400" i="1"/>
  <c r="G1400" i="1"/>
  <c r="F1400" i="1"/>
  <c r="E1400" i="1"/>
  <c r="I1399" i="1"/>
  <c r="H1399" i="1"/>
  <c r="G1399" i="1"/>
  <c r="F1399" i="1"/>
  <c r="E1399" i="1"/>
  <c r="I1398" i="1"/>
  <c r="H1398" i="1"/>
  <c r="G1398" i="1"/>
  <c r="F1398" i="1"/>
  <c r="E1398" i="1"/>
  <c r="I1397" i="1"/>
  <c r="H1397" i="1"/>
  <c r="G1397" i="1"/>
  <c r="F1397" i="1"/>
  <c r="E1397" i="1"/>
  <c r="I1396" i="1"/>
  <c r="H1396" i="1"/>
  <c r="G1396" i="1"/>
  <c r="F1396" i="1"/>
  <c r="E1396" i="1"/>
  <c r="I1395" i="1"/>
  <c r="H1395" i="1"/>
  <c r="G1395" i="1"/>
  <c r="F1395" i="1"/>
  <c r="E1395" i="1"/>
  <c r="I1394" i="1"/>
  <c r="H1394" i="1"/>
  <c r="G1394" i="1"/>
  <c r="F1394" i="1"/>
  <c r="E1394" i="1"/>
  <c r="I1393" i="1"/>
  <c r="H1393" i="1"/>
  <c r="G1393" i="1"/>
  <c r="F1393" i="1"/>
  <c r="E1393" i="1"/>
  <c r="I1392" i="1"/>
  <c r="H1392" i="1"/>
  <c r="G1392" i="1"/>
  <c r="F1392" i="1"/>
  <c r="E1392" i="1"/>
  <c r="I1391" i="1"/>
  <c r="H1391" i="1"/>
  <c r="G1391" i="1"/>
  <c r="F1391" i="1"/>
  <c r="E1391" i="1"/>
  <c r="I1390" i="1"/>
  <c r="H1390" i="1"/>
  <c r="G1390" i="1"/>
  <c r="F1390" i="1"/>
  <c r="E1390" i="1"/>
  <c r="I1389" i="1"/>
  <c r="H1389" i="1"/>
  <c r="G1389" i="1"/>
  <c r="F1389" i="1"/>
  <c r="E1389" i="1"/>
  <c r="I1388" i="1"/>
  <c r="H1388" i="1"/>
  <c r="G1388" i="1"/>
  <c r="F1388" i="1"/>
  <c r="E1388" i="1"/>
  <c r="I1387" i="1"/>
  <c r="H1387" i="1"/>
  <c r="G1387" i="1"/>
  <c r="F1387" i="1"/>
  <c r="E1387" i="1"/>
  <c r="I1386" i="1"/>
  <c r="H1386" i="1"/>
  <c r="G1386" i="1"/>
  <c r="F1386" i="1"/>
  <c r="E1386" i="1"/>
  <c r="I1385" i="1"/>
  <c r="H1385" i="1"/>
  <c r="G1385" i="1"/>
  <c r="F1385" i="1"/>
  <c r="E1385" i="1"/>
  <c r="I1384" i="1"/>
  <c r="H1384" i="1"/>
  <c r="G1384" i="1"/>
  <c r="F1384" i="1"/>
  <c r="E1384" i="1"/>
  <c r="I1383" i="1"/>
  <c r="H1383" i="1"/>
  <c r="G1383" i="1"/>
  <c r="F1383" i="1"/>
  <c r="E1383" i="1"/>
  <c r="I1382" i="1"/>
  <c r="H1382" i="1"/>
  <c r="G1382" i="1"/>
  <c r="F1382" i="1"/>
  <c r="E1382" i="1"/>
  <c r="I1381" i="1"/>
  <c r="H1381" i="1"/>
  <c r="G1381" i="1"/>
  <c r="F1381" i="1"/>
  <c r="E1381" i="1"/>
  <c r="I1380" i="1"/>
  <c r="H1380" i="1"/>
  <c r="G1380" i="1"/>
  <c r="F1380" i="1"/>
  <c r="E1380" i="1"/>
  <c r="I1379" i="1"/>
  <c r="H1379" i="1"/>
  <c r="G1379" i="1"/>
  <c r="F1379" i="1"/>
  <c r="E1379" i="1"/>
  <c r="I1378" i="1"/>
  <c r="H1378" i="1"/>
  <c r="G1378" i="1"/>
  <c r="F1378" i="1"/>
  <c r="E1378" i="1"/>
  <c r="I1377" i="1"/>
  <c r="H1377" i="1"/>
  <c r="G1377" i="1"/>
  <c r="F1377" i="1"/>
  <c r="E1377" i="1"/>
  <c r="I1376" i="1"/>
  <c r="H1376" i="1"/>
  <c r="G1376" i="1"/>
  <c r="F1376" i="1"/>
  <c r="E1376" i="1"/>
  <c r="I1375" i="1"/>
  <c r="H1375" i="1"/>
  <c r="G1375" i="1"/>
  <c r="F1375" i="1"/>
  <c r="E1375" i="1"/>
  <c r="I1374" i="1"/>
  <c r="H1374" i="1"/>
  <c r="G1374" i="1"/>
  <c r="F1374" i="1"/>
  <c r="E1374" i="1"/>
  <c r="I1373" i="1"/>
  <c r="H1373" i="1"/>
  <c r="G1373" i="1"/>
  <c r="F1373" i="1"/>
  <c r="E1373" i="1"/>
  <c r="I1372" i="1"/>
  <c r="H1372" i="1"/>
  <c r="G1372" i="1"/>
  <c r="F1372" i="1"/>
  <c r="E1372" i="1"/>
  <c r="I1371" i="1"/>
  <c r="H1371" i="1"/>
  <c r="G1371" i="1"/>
  <c r="F1371" i="1"/>
  <c r="E1371" i="1"/>
  <c r="I1370" i="1"/>
  <c r="H1370" i="1"/>
  <c r="G1370" i="1"/>
  <c r="F1370" i="1"/>
  <c r="E1370" i="1"/>
  <c r="I1369" i="1"/>
  <c r="H1369" i="1"/>
  <c r="G1369" i="1"/>
  <c r="F1369" i="1"/>
  <c r="E1369" i="1"/>
  <c r="I1368" i="1"/>
  <c r="H1368" i="1"/>
  <c r="G1368" i="1"/>
  <c r="F1368" i="1"/>
  <c r="E1368" i="1"/>
  <c r="I1367" i="1"/>
  <c r="H1367" i="1"/>
  <c r="G1367" i="1"/>
  <c r="F1367" i="1"/>
  <c r="E1367" i="1"/>
  <c r="I1366" i="1"/>
  <c r="H1366" i="1"/>
  <c r="G1366" i="1"/>
  <c r="F1366" i="1"/>
  <c r="E1366" i="1"/>
  <c r="I1365" i="1"/>
  <c r="H1365" i="1"/>
  <c r="G1365" i="1"/>
  <c r="F1365" i="1"/>
  <c r="E1365" i="1"/>
  <c r="I1364" i="1"/>
  <c r="H1364" i="1"/>
  <c r="G1364" i="1"/>
  <c r="F1364" i="1"/>
  <c r="E1364" i="1"/>
  <c r="I1363" i="1"/>
  <c r="H1363" i="1"/>
  <c r="G1363" i="1"/>
  <c r="F1363" i="1"/>
  <c r="E1363" i="1"/>
  <c r="I1362" i="1"/>
  <c r="H1362" i="1"/>
  <c r="G1362" i="1"/>
  <c r="F1362" i="1"/>
  <c r="E1362" i="1"/>
  <c r="I1361" i="1"/>
  <c r="H1361" i="1"/>
  <c r="G1361" i="1"/>
  <c r="F1361" i="1"/>
  <c r="E1361" i="1"/>
  <c r="I1360" i="1"/>
  <c r="H1360" i="1"/>
  <c r="G1360" i="1"/>
  <c r="F1360" i="1"/>
  <c r="E1360" i="1"/>
  <c r="I1359" i="1"/>
  <c r="H1359" i="1"/>
  <c r="G1359" i="1"/>
  <c r="F1359" i="1"/>
  <c r="E1359" i="1"/>
  <c r="I1358" i="1"/>
  <c r="H1358" i="1"/>
  <c r="G1358" i="1"/>
  <c r="F1358" i="1"/>
  <c r="E1358" i="1"/>
  <c r="I1357" i="1"/>
  <c r="H1357" i="1"/>
  <c r="G1357" i="1"/>
  <c r="F1357" i="1"/>
  <c r="E1357" i="1"/>
  <c r="I1356" i="1"/>
  <c r="H1356" i="1"/>
  <c r="G1356" i="1"/>
  <c r="F1356" i="1"/>
  <c r="E1356" i="1"/>
  <c r="I1355" i="1"/>
  <c r="H1355" i="1"/>
  <c r="G1355" i="1"/>
  <c r="F1355" i="1"/>
  <c r="E1355" i="1"/>
  <c r="I1354" i="1"/>
  <c r="H1354" i="1"/>
  <c r="G1354" i="1"/>
  <c r="F1354" i="1"/>
  <c r="E1354" i="1"/>
  <c r="I1353" i="1"/>
  <c r="H1353" i="1"/>
  <c r="G1353" i="1"/>
  <c r="F1353" i="1"/>
  <c r="E1353" i="1"/>
  <c r="I1352" i="1"/>
  <c r="H1352" i="1"/>
  <c r="G1352" i="1"/>
  <c r="F1352" i="1"/>
  <c r="E1352" i="1"/>
  <c r="I1351" i="1"/>
  <c r="H1351" i="1"/>
  <c r="G1351" i="1"/>
  <c r="F1351" i="1"/>
  <c r="E1351" i="1"/>
  <c r="I1350" i="1"/>
  <c r="H1350" i="1"/>
  <c r="G1350" i="1"/>
  <c r="F1350" i="1"/>
  <c r="E1350" i="1"/>
  <c r="I1349" i="1"/>
  <c r="H1349" i="1"/>
  <c r="G1349" i="1"/>
  <c r="F1349" i="1"/>
  <c r="E1349" i="1"/>
  <c r="I1348" i="1"/>
  <c r="H1348" i="1"/>
  <c r="G1348" i="1"/>
  <c r="F1348" i="1"/>
  <c r="E1348" i="1"/>
  <c r="I1347" i="1"/>
  <c r="H1347" i="1"/>
  <c r="G1347" i="1"/>
  <c r="F1347" i="1"/>
  <c r="E1347" i="1"/>
  <c r="I1346" i="1"/>
  <c r="H1346" i="1"/>
  <c r="G1346" i="1"/>
  <c r="F1346" i="1"/>
  <c r="E1346" i="1"/>
  <c r="I1345" i="1"/>
  <c r="H1345" i="1"/>
  <c r="G1345" i="1"/>
  <c r="F1345" i="1"/>
  <c r="E1345" i="1"/>
  <c r="I1344" i="1"/>
  <c r="H1344" i="1"/>
  <c r="G1344" i="1"/>
  <c r="F1344" i="1"/>
  <c r="E1344" i="1"/>
  <c r="I1343" i="1"/>
  <c r="H1343" i="1"/>
  <c r="G1343" i="1"/>
  <c r="F1343" i="1"/>
  <c r="E1343" i="1"/>
  <c r="I1342" i="1"/>
  <c r="H1342" i="1"/>
  <c r="G1342" i="1"/>
  <c r="F1342" i="1"/>
  <c r="E1342" i="1"/>
  <c r="I1341" i="1"/>
  <c r="H1341" i="1"/>
  <c r="G1341" i="1"/>
  <c r="F1341" i="1"/>
  <c r="E1341" i="1"/>
  <c r="I1340" i="1"/>
  <c r="H1340" i="1"/>
  <c r="G1340" i="1"/>
  <c r="F1340" i="1"/>
  <c r="E1340" i="1"/>
  <c r="I1339" i="1"/>
  <c r="H1339" i="1"/>
  <c r="G1339" i="1"/>
  <c r="F1339" i="1"/>
  <c r="E1339" i="1"/>
  <c r="I1338" i="1"/>
  <c r="H1338" i="1"/>
  <c r="G1338" i="1"/>
  <c r="F1338" i="1"/>
  <c r="E1338" i="1"/>
  <c r="I1337" i="1"/>
  <c r="H1337" i="1"/>
  <c r="G1337" i="1"/>
  <c r="F1337" i="1"/>
  <c r="E1337" i="1"/>
  <c r="I1336" i="1"/>
  <c r="H1336" i="1"/>
  <c r="G1336" i="1"/>
  <c r="F1336" i="1"/>
  <c r="E1336" i="1"/>
  <c r="I1335" i="1"/>
  <c r="H1335" i="1"/>
  <c r="G1335" i="1"/>
  <c r="F1335" i="1"/>
  <c r="E1335" i="1"/>
  <c r="I1334" i="1"/>
  <c r="H1334" i="1"/>
  <c r="G1334" i="1"/>
  <c r="F1334" i="1"/>
  <c r="E1334" i="1"/>
  <c r="I1333" i="1"/>
  <c r="H1333" i="1"/>
  <c r="G1333" i="1"/>
  <c r="F1333" i="1"/>
  <c r="E1333" i="1"/>
  <c r="I1332" i="1"/>
  <c r="H1332" i="1"/>
  <c r="G1332" i="1"/>
  <c r="F1332" i="1"/>
  <c r="E1332" i="1"/>
  <c r="I1331" i="1"/>
  <c r="H1331" i="1"/>
  <c r="G1331" i="1"/>
  <c r="F1331" i="1"/>
  <c r="E1331" i="1"/>
  <c r="I1330" i="1"/>
  <c r="H1330" i="1"/>
  <c r="G1330" i="1"/>
  <c r="F1330" i="1"/>
  <c r="E1330" i="1"/>
  <c r="I1329" i="1"/>
  <c r="H1329" i="1"/>
  <c r="G1329" i="1"/>
  <c r="F1329" i="1"/>
  <c r="E1329" i="1"/>
  <c r="I1328" i="1"/>
  <c r="H1328" i="1"/>
  <c r="G1328" i="1"/>
  <c r="F1328" i="1"/>
  <c r="E1328" i="1"/>
  <c r="I1327" i="1"/>
  <c r="H1327" i="1"/>
  <c r="G1327" i="1"/>
  <c r="F1327" i="1"/>
  <c r="E1327" i="1"/>
  <c r="I1326" i="1"/>
  <c r="H1326" i="1"/>
  <c r="G1326" i="1"/>
  <c r="F1326" i="1"/>
  <c r="E1326" i="1"/>
  <c r="I1325" i="1"/>
  <c r="H1325" i="1"/>
  <c r="G1325" i="1"/>
  <c r="F1325" i="1"/>
  <c r="E1325" i="1"/>
  <c r="I1324" i="1"/>
  <c r="H1324" i="1"/>
  <c r="G1324" i="1"/>
  <c r="F1324" i="1"/>
  <c r="E1324" i="1"/>
  <c r="I1323" i="1"/>
  <c r="H1323" i="1"/>
  <c r="G1323" i="1"/>
  <c r="F1323" i="1"/>
  <c r="E1323" i="1"/>
  <c r="I1322" i="1"/>
  <c r="H1322" i="1"/>
  <c r="G1322" i="1"/>
  <c r="F1322" i="1"/>
  <c r="E1322" i="1"/>
  <c r="I1321" i="1"/>
  <c r="H1321" i="1"/>
  <c r="G1321" i="1"/>
  <c r="F1321" i="1"/>
  <c r="E1321" i="1"/>
  <c r="I1320" i="1"/>
  <c r="H1320" i="1"/>
  <c r="G1320" i="1"/>
  <c r="F1320" i="1"/>
  <c r="E1320" i="1"/>
  <c r="I1319" i="1"/>
  <c r="H1319" i="1"/>
  <c r="G1319" i="1"/>
  <c r="F1319" i="1"/>
  <c r="E1319" i="1"/>
  <c r="I1318" i="1"/>
  <c r="H1318" i="1"/>
  <c r="G1318" i="1"/>
  <c r="F1318" i="1"/>
  <c r="E1318" i="1"/>
  <c r="I1317" i="1"/>
  <c r="H1317" i="1"/>
  <c r="G1317" i="1"/>
  <c r="F1317" i="1"/>
  <c r="E1317" i="1"/>
  <c r="I1316" i="1"/>
  <c r="H1316" i="1"/>
  <c r="G1316" i="1"/>
  <c r="F1316" i="1"/>
  <c r="E1316" i="1"/>
  <c r="I1315" i="1"/>
  <c r="H1315" i="1"/>
  <c r="G1315" i="1"/>
  <c r="F1315" i="1"/>
  <c r="E1315" i="1"/>
  <c r="I1314" i="1"/>
  <c r="H1314" i="1"/>
  <c r="G1314" i="1"/>
  <c r="F1314" i="1"/>
  <c r="E1314" i="1"/>
  <c r="I1313" i="1"/>
  <c r="H1313" i="1"/>
  <c r="G1313" i="1"/>
  <c r="F1313" i="1"/>
  <c r="E1313" i="1"/>
  <c r="I1312" i="1"/>
  <c r="H1312" i="1"/>
  <c r="G1312" i="1"/>
  <c r="F1312" i="1"/>
  <c r="E1312" i="1"/>
  <c r="I1311" i="1"/>
  <c r="H1311" i="1"/>
  <c r="G1311" i="1"/>
  <c r="F1311" i="1"/>
  <c r="E1311" i="1"/>
  <c r="I1310" i="1"/>
  <c r="H1310" i="1"/>
  <c r="G1310" i="1"/>
  <c r="F1310" i="1"/>
  <c r="E1310" i="1"/>
  <c r="I1309" i="1"/>
  <c r="H1309" i="1"/>
  <c r="G1309" i="1"/>
  <c r="F1309" i="1"/>
  <c r="E1309" i="1"/>
  <c r="I1308" i="1"/>
  <c r="H1308" i="1"/>
  <c r="G1308" i="1"/>
  <c r="F1308" i="1"/>
  <c r="E1308" i="1"/>
  <c r="I1307" i="1"/>
  <c r="H1307" i="1"/>
  <c r="G1307" i="1"/>
  <c r="F1307" i="1"/>
  <c r="E1307" i="1"/>
  <c r="I1306" i="1"/>
  <c r="H1306" i="1"/>
  <c r="G1306" i="1"/>
  <c r="F1306" i="1"/>
  <c r="E1306" i="1"/>
  <c r="I1305" i="1"/>
  <c r="H1305" i="1"/>
  <c r="G1305" i="1"/>
  <c r="F1305" i="1"/>
  <c r="E1305" i="1"/>
  <c r="I1304" i="1"/>
  <c r="H1304" i="1"/>
  <c r="G1304" i="1"/>
  <c r="F1304" i="1"/>
  <c r="E1304" i="1"/>
  <c r="I1303" i="1"/>
  <c r="H1303" i="1"/>
  <c r="G1303" i="1"/>
  <c r="F1303" i="1"/>
  <c r="E1303" i="1"/>
  <c r="I1302" i="1"/>
  <c r="H1302" i="1"/>
  <c r="G1302" i="1"/>
  <c r="F1302" i="1"/>
  <c r="E1302" i="1"/>
  <c r="I1301" i="1"/>
  <c r="H1301" i="1"/>
  <c r="G1301" i="1"/>
  <c r="F1301" i="1"/>
  <c r="E1301" i="1"/>
  <c r="I1300" i="1"/>
  <c r="H1300" i="1"/>
  <c r="G1300" i="1"/>
  <c r="F1300" i="1"/>
  <c r="E1300" i="1"/>
  <c r="I1299" i="1"/>
  <c r="H1299" i="1"/>
  <c r="G1299" i="1"/>
  <c r="F1299" i="1"/>
  <c r="E1299" i="1"/>
  <c r="I1298" i="1"/>
  <c r="H1298" i="1"/>
  <c r="G1298" i="1"/>
  <c r="F1298" i="1"/>
  <c r="E1298" i="1"/>
  <c r="I1297" i="1"/>
  <c r="H1297" i="1"/>
  <c r="G1297" i="1"/>
  <c r="F1297" i="1"/>
  <c r="E1297" i="1"/>
  <c r="I1296" i="1"/>
  <c r="H1296" i="1"/>
  <c r="G1296" i="1"/>
  <c r="F1296" i="1"/>
  <c r="E1296" i="1"/>
  <c r="I1295" i="1"/>
  <c r="H1295" i="1"/>
  <c r="G1295" i="1"/>
  <c r="F1295" i="1"/>
  <c r="E1295" i="1"/>
  <c r="I1294" i="1"/>
  <c r="H1294" i="1"/>
  <c r="G1294" i="1"/>
  <c r="F1294" i="1"/>
  <c r="E1294" i="1"/>
  <c r="I1293" i="1"/>
  <c r="H1293" i="1"/>
  <c r="G1293" i="1"/>
  <c r="F1293" i="1"/>
  <c r="E1293" i="1"/>
  <c r="I1292" i="1"/>
  <c r="H1292" i="1"/>
  <c r="G1292" i="1"/>
  <c r="F1292" i="1"/>
  <c r="E1292" i="1"/>
  <c r="I1291" i="1"/>
  <c r="H1291" i="1"/>
  <c r="G1291" i="1"/>
  <c r="F1291" i="1"/>
  <c r="E1291" i="1"/>
  <c r="I1290" i="1"/>
  <c r="H1290" i="1"/>
  <c r="G1290" i="1"/>
  <c r="F1290" i="1"/>
  <c r="E1290" i="1"/>
  <c r="I1289" i="1"/>
  <c r="H1289" i="1"/>
  <c r="G1289" i="1"/>
  <c r="F1289" i="1"/>
  <c r="E1289" i="1"/>
  <c r="I1288" i="1"/>
  <c r="H1288" i="1"/>
  <c r="G1288" i="1"/>
  <c r="F1288" i="1"/>
  <c r="E1288" i="1"/>
  <c r="I1287" i="1"/>
  <c r="H1287" i="1"/>
  <c r="G1287" i="1"/>
  <c r="F1287" i="1"/>
  <c r="E1287" i="1"/>
  <c r="I1286" i="1"/>
  <c r="H1286" i="1"/>
  <c r="G1286" i="1"/>
  <c r="F1286" i="1"/>
  <c r="E1286" i="1"/>
  <c r="I1285" i="1"/>
  <c r="H1285" i="1"/>
  <c r="G1285" i="1"/>
  <c r="F1285" i="1"/>
  <c r="E1285" i="1"/>
  <c r="I1284" i="1"/>
  <c r="H1284" i="1"/>
  <c r="G1284" i="1"/>
  <c r="F1284" i="1"/>
  <c r="E1284" i="1"/>
  <c r="I1283" i="1"/>
  <c r="H1283" i="1"/>
  <c r="G1283" i="1"/>
  <c r="F1283" i="1"/>
  <c r="E1283" i="1"/>
  <c r="I1282" i="1"/>
  <c r="H1282" i="1"/>
  <c r="G1282" i="1"/>
  <c r="F1282" i="1"/>
  <c r="E1282" i="1"/>
  <c r="I1281" i="1"/>
  <c r="H1281" i="1"/>
  <c r="G1281" i="1"/>
  <c r="F1281" i="1"/>
  <c r="E1281" i="1"/>
  <c r="I1280" i="1"/>
  <c r="H1280" i="1"/>
  <c r="G1280" i="1"/>
  <c r="F1280" i="1"/>
  <c r="E1280" i="1"/>
  <c r="I1279" i="1"/>
  <c r="H1279" i="1"/>
  <c r="G1279" i="1"/>
  <c r="F1279" i="1"/>
  <c r="E1279" i="1"/>
  <c r="I1278" i="1"/>
  <c r="H1278" i="1"/>
  <c r="G1278" i="1"/>
  <c r="F1278" i="1"/>
  <c r="E1278" i="1"/>
  <c r="I1277" i="1"/>
  <c r="H1277" i="1"/>
  <c r="G1277" i="1"/>
  <c r="F1277" i="1"/>
  <c r="E1277" i="1"/>
  <c r="I1276" i="1"/>
  <c r="H1276" i="1"/>
  <c r="G1276" i="1"/>
  <c r="F1276" i="1"/>
  <c r="E1276" i="1"/>
  <c r="I1275" i="1"/>
  <c r="H1275" i="1"/>
  <c r="G1275" i="1"/>
  <c r="F1275" i="1"/>
  <c r="E1275" i="1"/>
  <c r="I1274" i="1"/>
  <c r="H1274" i="1"/>
  <c r="G1274" i="1"/>
  <c r="F1274" i="1"/>
  <c r="E1274" i="1"/>
  <c r="I1273" i="1"/>
  <c r="H1273" i="1"/>
  <c r="G1273" i="1"/>
  <c r="F1273" i="1"/>
  <c r="E1273" i="1"/>
  <c r="I1272" i="1"/>
  <c r="H1272" i="1"/>
  <c r="G1272" i="1"/>
  <c r="F1272" i="1"/>
  <c r="E1272" i="1"/>
  <c r="I1271" i="1"/>
  <c r="H1271" i="1"/>
  <c r="G1271" i="1"/>
  <c r="F1271" i="1"/>
  <c r="E1271" i="1"/>
  <c r="I1270" i="1"/>
  <c r="H1270" i="1"/>
  <c r="G1270" i="1"/>
  <c r="F1270" i="1"/>
  <c r="E1270" i="1"/>
  <c r="I1269" i="1"/>
  <c r="H1269" i="1"/>
  <c r="G1269" i="1"/>
  <c r="F1269" i="1"/>
  <c r="E1269" i="1"/>
  <c r="I1268" i="1"/>
  <c r="H1268" i="1"/>
  <c r="G1268" i="1"/>
  <c r="F1268" i="1"/>
  <c r="E1268" i="1"/>
  <c r="I1267" i="1"/>
  <c r="H1267" i="1"/>
  <c r="G1267" i="1"/>
  <c r="F1267" i="1"/>
  <c r="E1267" i="1"/>
  <c r="I1266" i="1"/>
  <c r="H1266" i="1"/>
  <c r="G1266" i="1"/>
  <c r="F1266" i="1"/>
  <c r="E1266" i="1"/>
  <c r="I1265" i="1"/>
  <c r="H1265" i="1"/>
  <c r="G1265" i="1"/>
  <c r="F1265" i="1"/>
  <c r="E1265" i="1"/>
  <c r="I1264" i="1"/>
  <c r="H1264" i="1"/>
  <c r="G1264" i="1"/>
  <c r="F1264" i="1"/>
  <c r="E1264" i="1"/>
  <c r="I1263" i="1"/>
  <c r="H1263" i="1"/>
  <c r="G1263" i="1"/>
  <c r="F1263" i="1"/>
  <c r="E1263" i="1"/>
  <c r="I1262" i="1"/>
  <c r="H1262" i="1"/>
  <c r="G1262" i="1"/>
  <c r="F1262" i="1"/>
  <c r="E1262" i="1"/>
  <c r="I1261" i="1"/>
  <c r="H1261" i="1"/>
  <c r="G1261" i="1"/>
  <c r="F1261" i="1"/>
  <c r="E1261" i="1"/>
  <c r="I1260" i="1"/>
  <c r="H1260" i="1"/>
  <c r="G1260" i="1"/>
  <c r="F1260" i="1"/>
  <c r="E1260" i="1"/>
  <c r="I1259" i="1"/>
  <c r="H1259" i="1"/>
  <c r="G1259" i="1"/>
  <c r="F1259" i="1"/>
  <c r="E1259" i="1"/>
  <c r="I1258" i="1"/>
  <c r="H1258" i="1"/>
  <c r="G1258" i="1"/>
  <c r="F1258" i="1"/>
  <c r="E1258" i="1"/>
  <c r="I1257" i="1"/>
  <c r="H1257" i="1"/>
  <c r="G1257" i="1"/>
  <c r="F1257" i="1"/>
  <c r="E1257" i="1"/>
  <c r="I1256" i="1"/>
  <c r="H1256" i="1"/>
  <c r="G1256" i="1"/>
  <c r="F1256" i="1"/>
  <c r="E1256" i="1"/>
  <c r="I1255" i="1"/>
  <c r="H1255" i="1"/>
  <c r="G1255" i="1"/>
  <c r="F1255" i="1"/>
  <c r="E1255" i="1"/>
  <c r="I1254" i="1"/>
  <c r="H1254" i="1"/>
  <c r="G1254" i="1"/>
  <c r="F1254" i="1"/>
  <c r="E1254" i="1"/>
  <c r="I1253" i="1"/>
  <c r="H1253" i="1"/>
  <c r="G1253" i="1"/>
  <c r="F1253" i="1"/>
  <c r="E1253" i="1"/>
  <c r="I1252" i="1"/>
  <c r="H1252" i="1"/>
  <c r="G1252" i="1"/>
  <c r="F1252" i="1"/>
  <c r="E1252" i="1"/>
  <c r="I1251" i="1"/>
  <c r="H1251" i="1"/>
  <c r="G1251" i="1"/>
  <c r="F1251" i="1"/>
  <c r="E1251" i="1"/>
  <c r="I1250" i="1"/>
  <c r="H1250" i="1"/>
  <c r="G1250" i="1"/>
  <c r="F1250" i="1"/>
  <c r="E1250" i="1"/>
  <c r="I1249" i="1"/>
  <c r="H1249" i="1"/>
  <c r="G1249" i="1"/>
  <c r="F1249" i="1"/>
  <c r="E1249" i="1"/>
  <c r="I1248" i="1"/>
  <c r="H1248" i="1"/>
  <c r="G1248" i="1"/>
  <c r="F1248" i="1"/>
  <c r="E1248" i="1"/>
  <c r="I1247" i="1"/>
  <c r="H1247" i="1"/>
  <c r="G1247" i="1"/>
  <c r="F1247" i="1"/>
  <c r="E1247" i="1"/>
  <c r="I1246" i="1"/>
  <c r="H1246" i="1"/>
  <c r="G1246" i="1"/>
  <c r="F1246" i="1"/>
  <c r="E1246" i="1"/>
  <c r="I1245" i="1"/>
  <c r="H1245" i="1"/>
  <c r="G1245" i="1"/>
  <c r="F1245" i="1"/>
  <c r="E1245" i="1"/>
  <c r="I1244" i="1"/>
  <c r="H1244" i="1"/>
  <c r="G1244" i="1"/>
  <c r="F1244" i="1"/>
  <c r="E1244" i="1"/>
  <c r="I1243" i="1"/>
  <c r="H1243" i="1"/>
  <c r="G1243" i="1"/>
  <c r="F1243" i="1"/>
  <c r="E1243" i="1"/>
  <c r="I1242" i="1"/>
  <c r="H1242" i="1"/>
  <c r="G1242" i="1"/>
  <c r="F1242" i="1"/>
  <c r="E1242" i="1"/>
  <c r="I1241" i="1"/>
  <c r="H1241" i="1"/>
  <c r="G1241" i="1"/>
  <c r="F1241" i="1"/>
  <c r="E1241" i="1"/>
  <c r="I1240" i="1"/>
  <c r="H1240" i="1"/>
  <c r="G1240" i="1"/>
  <c r="F1240" i="1"/>
  <c r="E1240" i="1"/>
  <c r="I1239" i="1"/>
  <c r="H1239" i="1"/>
  <c r="G1239" i="1"/>
  <c r="F1239" i="1"/>
  <c r="E1239" i="1"/>
  <c r="I1238" i="1"/>
  <c r="H1238" i="1"/>
  <c r="G1238" i="1"/>
  <c r="F1238" i="1"/>
  <c r="E1238" i="1"/>
  <c r="I1237" i="1"/>
  <c r="H1237" i="1"/>
  <c r="G1237" i="1"/>
  <c r="F1237" i="1"/>
  <c r="E1237" i="1"/>
  <c r="I1236" i="1"/>
  <c r="H1236" i="1"/>
  <c r="G1236" i="1"/>
  <c r="F1236" i="1"/>
  <c r="E1236" i="1"/>
  <c r="I1235" i="1"/>
  <c r="H1235" i="1"/>
  <c r="G1235" i="1"/>
  <c r="F1235" i="1"/>
  <c r="E1235" i="1"/>
  <c r="I1234" i="1"/>
  <c r="H1234" i="1"/>
  <c r="G1234" i="1"/>
  <c r="F1234" i="1"/>
  <c r="E1234" i="1"/>
  <c r="I1233" i="1"/>
  <c r="H1233" i="1"/>
  <c r="G1233" i="1"/>
  <c r="F1233" i="1"/>
  <c r="E1233" i="1"/>
  <c r="I1232" i="1"/>
  <c r="H1232" i="1"/>
  <c r="G1232" i="1"/>
  <c r="F1232" i="1"/>
  <c r="E1232" i="1"/>
  <c r="I1231" i="1"/>
  <c r="H1231" i="1"/>
  <c r="G1231" i="1"/>
  <c r="F1231" i="1"/>
  <c r="E1231" i="1"/>
  <c r="I1230" i="1"/>
  <c r="H1230" i="1"/>
  <c r="G1230" i="1"/>
  <c r="F1230" i="1"/>
  <c r="E1230" i="1"/>
  <c r="I1229" i="1"/>
  <c r="H1229" i="1"/>
  <c r="G1229" i="1"/>
  <c r="F1229" i="1"/>
  <c r="E1229" i="1"/>
  <c r="I1228" i="1"/>
  <c r="H1228" i="1"/>
  <c r="G1228" i="1"/>
  <c r="F1228" i="1"/>
  <c r="E1228" i="1"/>
  <c r="I1227" i="1"/>
  <c r="H1227" i="1"/>
  <c r="G1227" i="1"/>
  <c r="F1227" i="1"/>
  <c r="E1227" i="1"/>
  <c r="I1226" i="1"/>
  <c r="H1226" i="1"/>
  <c r="G1226" i="1"/>
  <c r="F1226" i="1"/>
  <c r="E1226" i="1"/>
  <c r="I1225" i="1"/>
  <c r="H1225" i="1"/>
  <c r="G1225" i="1"/>
  <c r="F1225" i="1"/>
  <c r="E1225" i="1"/>
  <c r="I1224" i="1"/>
  <c r="H1224" i="1"/>
  <c r="G1224" i="1"/>
  <c r="F1224" i="1"/>
  <c r="E1224" i="1"/>
  <c r="I1223" i="1"/>
  <c r="H1223" i="1"/>
  <c r="G1223" i="1"/>
  <c r="F1223" i="1"/>
  <c r="E1223" i="1"/>
  <c r="I1222" i="1"/>
  <c r="H1222" i="1"/>
  <c r="G1222" i="1"/>
  <c r="F1222" i="1"/>
  <c r="E1222" i="1"/>
  <c r="I1221" i="1"/>
  <c r="H1221" i="1"/>
  <c r="G1221" i="1"/>
  <c r="F1221" i="1"/>
  <c r="E1221" i="1"/>
  <c r="I1220" i="1"/>
  <c r="H1220" i="1"/>
  <c r="G1220" i="1"/>
  <c r="F1220" i="1"/>
  <c r="E1220" i="1"/>
  <c r="I1219" i="1"/>
  <c r="H1219" i="1"/>
  <c r="G1219" i="1"/>
  <c r="F1219" i="1"/>
  <c r="E1219" i="1"/>
  <c r="I1218" i="1"/>
  <c r="H1218" i="1"/>
  <c r="G1218" i="1"/>
  <c r="F1218" i="1"/>
  <c r="E1218" i="1"/>
  <c r="I1217" i="1"/>
  <c r="H1217" i="1"/>
  <c r="G1217" i="1"/>
  <c r="F1217" i="1"/>
  <c r="E1217" i="1"/>
  <c r="I1216" i="1"/>
  <c r="H1216" i="1"/>
  <c r="G1216" i="1"/>
  <c r="F1216" i="1"/>
  <c r="E1216" i="1"/>
  <c r="I1215" i="1"/>
  <c r="H1215" i="1"/>
  <c r="G1215" i="1"/>
  <c r="F1215" i="1"/>
  <c r="E1215" i="1"/>
  <c r="I1214" i="1"/>
  <c r="H1214" i="1"/>
  <c r="G1214" i="1"/>
  <c r="F1214" i="1"/>
  <c r="E1214" i="1"/>
  <c r="I1213" i="1"/>
  <c r="H1213" i="1"/>
  <c r="G1213" i="1"/>
  <c r="F1213" i="1"/>
  <c r="E1213" i="1"/>
  <c r="I1212" i="1"/>
  <c r="H1212" i="1"/>
  <c r="G1212" i="1"/>
  <c r="F1212" i="1"/>
  <c r="E1212" i="1"/>
  <c r="I1211" i="1"/>
  <c r="H1211" i="1"/>
  <c r="G1211" i="1"/>
  <c r="F1211" i="1"/>
  <c r="E1211" i="1"/>
  <c r="I1210" i="1"/>
  <c r="H1210" i="1"/>
  <c r="G1210" i="1"/>
  <c r="F1210" i="1"/>
  <c r="E1210" i="1"/>
  <c r="I1209" i="1"/>
  <c r="H1209" i="1"/>
  <c r="G1209" i="1"/>
  <c r="F1209" i="1"/>
  <c r="E1209" i="1"/>
  <c r="I1208" i="1"/>
  <c r="H1208" i="1"/>
  <c r="G1208" i="1"/>
  <c r="F1208" i="1"/>
  <c r="E1208" i="1"/>
  <c r="I1207" i="1"/>
  <c r="H1207" i="1"/>
  <c r="G1207" i="1"/>
  <c r="F1207" i="1"/>
  <c r="E1207" i="1"/>
  <c r="I1206" i="1"/>
  <c r="H1206" i="1"/>
  <c r="G1206" i="1"/>
  <c r="F1206" i="1"/>
  <c r="E1206" i="1"/>
  <c r="I1205" i="1"/>
  <c r="H1205" i="1"/>
  <c r="G1205" i="1"/>
  <c r="F1205" i="1"/>
  <c r="E1205" i="1"/>
  <c r="I1204" i="1"/>
  <c r="H1204" i="1"/>
  <c r="G1204" i="1"/>
  <c r="F1204" i="1"/>
  <c r="E1204" i="1"/>
  <c r="I1203" i="1"/>
  <c r="H1203" i="1"/>
  <c r="G1203" i="1"/>
  <c r="F1203" i="1"/>
  <c r="E1203" i="1"/>
  <c r="I1202" i="1"/>
  <c r="H1202" i="1"/>
  <c r="G1202" i="1"/>
  <c r="F1202" i="1"/>
  <c r="E1202" i="1"/>
  <c r="I1201" i="1"/>
  <c r="H1201" i="1"/>
  <c r="G1201" i="1"/>
  <c r="F1201" i="1"/>
  <c r="E1201" i="1"/>
  <c r="I1200" i="1"/>
  <c r="H1200" i="1"/>
  <c r="G1200" i="1"/>
  <c r="F1200" i="1"/>
  <c r="E1200" i="1"/>
  <c r="I1199" i="1"/>
  <c r="H1199" i="1"/>
  <c r="G1199" i="1"/>
  <c r="F1199" i="1"/>
  <c r="E1199" i="1"/>
  <c r="I1198" i="1"/>
  <c r="H1198" i="1"/>
  <c r="G1198" i="1"/>
  <c r="F1198" i="1"/>
  <c r="E1198" i="1"/>
  <c r="I1197" i="1"/>
  <c r="H1197" i="1"/>
  <c r="G1197" i="1"/>
  <c r="F1197" i="1"/>
  <c r="E1197" i="1"/>
  <c r="I1196" i="1"/>
  <c r="H1196" i="1"/>
  <c r="G1196" i="1"/>
  <c r="F1196" i="1"/>
  <c r="E1196" i="1"/>
  <c r="I1195" i="1"/>
  <c r="H1195" i="1"/>
  <c r="G1195" i="1"/>
  <c r="F1195" i="1"/>
  <c r="E1195" i="1"/>
  <c r="I1194" i="1"/>
  <c r="H1194" i="1"/>
  <c r="G1194" i="1"/>
  <c r="F1194" i="1"/>
  <c r="E1194" i="1"/>
  <c r="I1193" i="1"/>
  <c r="H1193" i="1"/>
  <c r="G1193" i="1"/>
  <c r="F1193" i="1"/>
  <c r="E1193" i="1"/>
  <c r="I1192" i="1"/>
  <c r="H1192" i="1"/>
  <c r="G1192" i="1"/>
  <c r="F1192" i="1"/>
  <c r="E1192" i="1"/>
  <c r="I1191" i="1"/>
  <c r="H1191" i="1"/>
  <c r="G1191" i="1"/>
  <c r="F1191" i="1"/>
  <c r="E1191" i="1"/>
  <c r="I1190" i="1"/>
  <c r="H1190" i="1"/>
  <c r="G1190" i="1"/>
  <c r="F1190" i="1"/>
  <c r="E1190" i="1"/>
  <c r="I1189" i="1"/>
  <c r="H1189" i="1"/>
  <c r="G1189" i="1"/>
  <c r="F1189" i="1"/>
  <c r="E1189" i="1"/>
  <c r="I1188" i="1"/>
  <c r="H1188" i="1"/>
  <c r="G1188" i="1"/>
  <c r="F1188" i="1"/>
  <c r="E1188" i="1"/>
  <c r="I1187" i="1"/>
  <c r="H1187" i="1"/>
  <c r="G1187" i="1"/>
  <c r="F1187" i="1"/>
  <c r="E1187" i="1"/>
  <c r="I1186" i="1"/>
  <c r="H1186" i="1"/>
  <c r="G1186" i="1"/>
  <c r="F1186" i="1"/>
  <c r="E1186" i="1"/>
  <c r="I1185" i="1"/>
  <c r="H1185" i="1"/>
  <c r="G1185" i="1"/>
  <c r="F1185" i="1"/>
  <c r="E1185" i="1"/>
  <c r="I1184" i="1"/>
  <c r="H1184" i="1"/>
  <c r="G1184" i="1"/>
  <c r="F1184" i="1"/>
  <c r="E1184" i="1"/>
  <c r="I1183" i="1"/>
  <c r="H1183" i="1"/>
  <c r="G1183" i="1"/>
  <c r="F1183" i="1"/>
  <c r="E1183" i="1"/>
  <c r="I1182" i="1"/>
  <c r="H1182" i="1"/>
  <c r="G1182" i="1"/>
  <c r="F1182" i="1"/>
  <c r="E1182" i="1"/>
  <c r="I1181" i="1"/>
  <c r="H1181" i="1"/>
  <c r="G1181" i="1"/>
  <c r="F1181" i="1"/>
  <c r="E1181" i="1"/>
  <c r="I1180" i="1"/>
  <c r="H1180" i="1"/>
  <c r="G1180" i="1"/>
  <c r="F1180" i="1"/>
  <c r="E1180" i="1"/>
  <c r="I1179" i="1"/>
  <c r="H1179" i="1"/>
  <c r="G1179" i="1"/>
  <c r="F1179" i="1"/>
  <c r="E1179" i="1"/>
  <c r="I1178" i="1"/>
  <c r="H1178" i="1"/>
  <c r="G1178" i="1"/>
  <c r="F1178" i="1"/>
  <c r="E1178" i="1"/>
  <c r="I1177" i="1"/>
  <c r="H1177" i="1"/>
  <c r="G1177" i="1"/>
  <c r="F1177" i="1"/>
  <c r="E1177" i="1"/>
  <c r="I1176" i="1"/>
  <c r="H1176" i="1"/>
  <c r="G1176" i="1"/>
  <c r="F1176" i="1"/>
  <c r="E1176" i="1"/>
  <c r="I1175" i="1"/>
  <c r="H1175" i="1"/>
  <c r="G1175" i="1"/>
  <c r="F1175" i="1"/>
  <c r="E1175" i="1"/>
  <c r="I1174" i="1"/>
  <c r="H1174" i="1"/>
  <c r="G1174" i="1"/>
  <c r="F1174" i="1"/>
  <c r="E1174" i="1"/>
  <c r="I1173" i="1"/>
  <c r="H1173" i="1"/>
  <c r="G1173" i="1"/>
  <c r="F1173" i="1"/>
  <c r="E1173" i="1"/>
  <c r="I1172" i="1"/>
  <c r="H1172" i="1"/>
  <c r="G1172" i="1"/>
  <c r="F1172" i="1"/>
  <c r="E1172" i="1"/>
  <c r="I1171" i="1"/>
  <c r="H1171" i="1"/>
  <c r="G1171" i="1"/>
  <c r="F1171" i="1"/>
  <c r="E1171" i="1"/>
  <c r="I1170" i="1"/>
  <c r="H1170" i="1"/>
  <c r="G1170" i="1"/>
  <c r="F1170" i="1"/>
  <c r="E1170" i="1"/>
  <c r="I1169" i="1"/>
  <c r="H1169" i="1"/>
  <c r="G1169" i="1"/>
  <c r="F1169" i="1"/>
  <c r="E1169" i="1"/>
  <c r="I1168" i="1"/>
  <c r="H1168" i="1"/>
  <c r="G1168" i="1"/>
  <c r="F1168" i="1"/>
  <c r="E1168" i="1"/>
  <c r="I1167" i="1"/>
  <c r="H1167" i="1"/>
  <c r="G1167" i="1"/>
  <c r="F1167" i="1"/>
  <c r="E1167" i="1"/>
  <c r="I1166" i="1"/>
  <c r="H1166" i="1"/>
  <c r="G1166" i="1"/>
  <c r="F1166" i="1"/>
  <c r="E1166" i="1"/>
  <c r="I1165" i="1"/>
  <c r="H1165" i="1"/>
  <c r="G1165" i="1"/>
  <c r="F1165" i="1"/>
  <c r="E1165" i="1"/>
  <c r="I1164" i="1"/>
  <c r="H1164" i="1"/>
  <c r="G1164" i="1"/>
  <c r="F1164" i="1"/>
  <c r="E1164" i="1"/>
  <c r="I1163" i="1"/>
  <c r="H1163" i="1"/>
  <c r="G1163" i="1"/>
  <c r="F1163" i="1"/>
  <c r="E1163" i="1"/>
  <c r="I1162" i="1"/>
  <c r="H1162" i="1"/>
  <c r="G1162" i="1"/>
  <c r="F1162" i="1"/>
  <c r="E1162" i="1"/>
  <c r="I1161" i="1"/>
  <c r="H1161" i="1"/>
  <c r="G1161" i="1"/>
  <c r="F1161" i="1"/>
  <c r="E1161" i="1"/>
  <c r="I1160" i="1"/>
  <c r="H1160" i="1"/>
  <c r="G1160" i="1"/>
  <c r="F1160" i="1"/>
  <c r="E1160" i="1"/>
  <c r="I1159" i="1"/>
  <c r="H1159" i="1"/>
  <c r="G1159" i="1"/>
  <c r="F1159" i="1"/>
  <c r="E1159" i="1"/>
  <c r="I1158" i="1"/>
  <c r="H1158" i="1"/>
  <c r="G1158" i="1"/>
  <c r="F1158" i="1"/>
  <c r="E1158" i="1"/>
  <c r="I1157" i="1"/>
  <c r="H1157" i="1"/>
  <c r="G1157" i="1"/>
  <c r="F1157" i="1"/>
  <c r="E1157" i="1"/>
  <c r="I1156" i="1"/>
  <c r="H1156" i="1"/>
  <c r="G1156" i="1"/>
  <c r="F1156" i="1"/>
  <c r="E1156" i="1"/>
  <c r="I1155" i="1"/>
  <c r="H1155" i="1"/>
  <c r="G1155" i="1"/>
  <c r="F1155" i="1"/>
  <c r="E1155" i="1"/>
  <c r="I1154" i="1"/>
  <c r="H1154" i="1"/>
  <c r="G1154" i="1"/>
  <c r="F1154" i="1"/>
  <c r="E1154" i="1"/>
  <c r="I1153" i="1"/>
  <c r="H1153" i="1"/>
  <c r="G1153" i="1"/>
  <c r="F1153" i="1"/>
  <c r="E1153" i="1"/>
  <c r="I1152" i="1"/>
  <c r="H1152" i="1"/>
  <c r="G1152" i="1"/>
  <c r="F1152" i="1"/>
  <c r="E1152" i="1"/>
  <c r="I1151" i="1"/>
  <c r="H1151" i="1"/>
  <c r="G1151" i="1"/>
  <c r="F1151" i="1"/>
  <c r="E1151" i="1"/>
  <c r="I1150" i="1"/>
  <c r="H1150" i="1"/>
  <c r="G1150" i="1"/>
  <c r="F1150" i="1"/>
  <c r="E1150" i="1"/>
  <c r="I1149" i="1"/>
  <c r="H1149" i="1"/>
  <c r="G1149" i="1"/>
  <c r="F1149" i="1"/>
  <c r="E1149" i="1"/>
  <c r="I1148" i="1"/>
  <c r="H1148" i="1"/>
  <c r="G1148" i="1"/>
  <c r="F1148" i="1"/>
  <c r="E1148" i="1"/>
  <c r="I1147" i="1"/>
  <c r="H1147" i="1"/>
  <c r="G1147" i="1"/>
  <c r="F1147" i="1"/>
  <c r="E1147" i="1"/>
  <c r="I1146" i="1"/>
  <c r="H1146" i="1"/>
  <c r="G1146" i="1"/>
  <c r="F1146" i="1"/>
  <c r="E1146" i="1"/>
  <c r="I1145" i="1"/>
  <c r="H1145" i="1"/>
  <c r="G1145" i="1"/>
  <c r="F1145" i="1"/>
  <c r="E1145" i="1"/>
  <c r="I1144" i="1"/>
  <c r="H1144" i="1"/>
  <c r="G1144" i="1"/>
  <c r="F1144" i="1"/>
  <c r="E1144" i="1"/>
  <c r="I1143" i="1"/>
  <c r="H1143" i="1"/>
  <c r="G1143" i="1"/>
  <c r="F1143" i="1"/>
  <c r="E1143" i="1"/>
  <c r="I1142" i="1"/>
  <c r="H1142" i="1"/>
  <c r="G1142" i="1"/>
  <c r="F1142" i="1"/>
  <c r="E1142" i="1"/>
  <c r="I1141" i="1"/>
  <c r="H1141" i="1"/>
  <c r="G1141" i="1"/>
  <c r="F1141" i="1"/>
  <c r="E1141" i="1"/>
  <c r="I1140" i="1"/>
  <c r="H1140" i="1"/>
  <c r="G1140" i="1"/>
  <c r="F1140" i="1"/>
  <c r="E1140" i="1"/>
  <c r="I1139" i="1"/>
  <c r="H1139" i="1"/>
  <c r="G1139" i="1"/>
  <c r="F1139" i="1"/>
  <c r="E1139" i="1"/>
  <c r="I1138" i="1"/>
  <c r="H1138" i="1"/>
  <c r="G1138" i="1"/>
  <c r="F1138" i="1"/>
  <c r="E1138" i="1"/>
  <c r="I1137" i="1"/>
  <c r="H1137" i="1"/>
  <c r="G1137" i="1"/>
  <c r="F1137" i="1"/>
  <c r="E1137" i="1"/>
  <c r="I1136" i="1"/>
  <c r="H1136" i="1"/>
  <c r="G1136" i="1"/>
  <c r="F1136" i="1"/>
  <c r="E1136" i="1"/>
  <c r="I1135" i="1"/>
  <c r="H1135" i="1"/>
  <c r="G1135" i="1"/>
  <c r="F1135" i="1"/>
  <c r="E1135" i="1"/>
  <c r="I1134" i="1"/>
  <c r="H1134" i="1"/>
  <c r="G1134" i="1"/>
  <c r="F1134" i="1"/>
  <c r="E1134" i="1"/>
  <c r="I1133" i="1"/>
  <c r="H1133" i="1"/>
  <c r="G1133" i="1"/>
  <c r="F1133" i="1"/>
  <c r="E1133" i="1"/>
  <c r="I1132" i="1"/>
  <c r="H1132" i="1"/>
  <c r="G1132" i="1"/>
  <c r="F1132" i="1"/>
  <c r="E1132" i="1"/>
  <c r="I1131" i="1"/>
  <c r="H1131" i="1"/>
  <c r="G1131" i="1"/>
  <c r="F1131" i="1"/>
  <c r="E1131" i="1"/>
  <c r="I1130" i="1"/>
  <c r="H1130" i="1"/>
  <c r="G1130" i="1"/>
  <c r="F1130" i="1"/>
  <c r="E1130" i="1"/>
  <c r="I1129" i="1"/>
  <c r="H1129" i="1"/>
  <c r="G1129" i="1"/>
  <c r="F1129" i="1"/>
  <c r="E1129" i="1"/>
  <c r="I1128" i="1"/>
  <c r="H1128" i="1"/>
  <c r="G1128" i="1"/>
  <c r="F1128" i="1"/>
  <c r="E1128" i="1"/>
  <c r="I1127" i="1"/>
  <c r="H1127" i="1"/>
  <c r="G1127" i="1"/>
  <c r="F1127" i="1"/>
  <c r="E1127" i="1"/>
  <c r="I1126" i="1"/>
  <c r="H1126" i="1"/>
  <c r="G1126" i="1"/>
  <c r="F1126" i="1"/>
  <c r="E1126" i="1"/>
  <c r="I1125" i="1"/>
  <c r="H1125" i="1"/>
  <c r="G1125" i="1"/>
  <c r="F1125" i="1"/>
  <c r="E1125" i="1"/>
  <c r="I1124" i="1"/>
  <c r="H1124" i="1"/>
  <c r="G1124" i="1"/>
  <c r="F1124" i="1"/>
  <c r="E1124" i="1"/>
  <c r="I1123" i="1"/>
  <c r="H1123" i="1"/>
  <c r="G1123" i="1"/>
  <c r="F1123" i="1"/>
  <c r="E1123" i="1"/>
  <c r="I1122" i="1"/>
  <c r="H1122" i="1"/>
  <c r="G1122" i="1"/>
  <c r="F1122" i="1"/>
  <c r="E1122" i="1"/>
  <c r="I1121" i="1"/>
  <c r="H1121" i="1"/>
  <c r="G1121" i="1"/>
  <c r="F1121" i="1"/>
  <c r="E1121" i="1"/>
  <c r="I1120" i="1"/>
  <c r="H1120" i="1"/>
  <c r="G1120" i="1"/>
  <c r="F1120" i="1"/>
  <c r="E1120" i="1"/>
  <c r="I1119" i="1"/>
  <c r="H1119" i="1"/>
  <c r="G1119" i="1"/>
  <c r="F1119" i="1"/>
  <c r="E1119" i="1"/>
  <c r="I1118" i="1"/>
  <c r="H1118" i="1"/>
  <c r="G1118" i="1"/>
  <c r="F1118" i="1"/>
  <c r="E1118" i="1"/>
  <c r="I1117" i="1"/>
  <c r="H1117" i="1"/>
  <c r="G1117" i="1"/>
  <c r="F1117" i="1"/>
  <c r="E1117" i="1"/>
  <c r="I1116" i="1"/>
  <c r="H1116" i="1"/>
  <c r="G1116" i="1"/>
  <c r="F1116" i="1"/>
  <c r="E1116" i="1"/>
  <c r="I1115" i="1"/>
  <c r="H1115" i="1"/>
  <c r="G1115" i="1"/>
  <c r="F1115" i="1"/>
  <c r="E1115" i="1"/>
  <c r="I1114" i="1"/>
  <c r="H1114" i="1"/>
  <c r="G1114" i="1"/>
  <c r="F1114" i="1"/>
  <c r="E1114" i="1"/>
  <c r="I1113" i="1"/>
  <c r="H1113" i="1"/>
  <c r="G1113" i="1"/>
  <c r="F1113" i="1"/>
  <c r="E1113" i="1"/>
  <c r="I1112" i="1"/>
  <c r="H1112" i="1"/>
  <c r="G1112" i="1"/>
  <c r="F1112" i="1"/>
  <c r="E1112" i="1"/>
  <c r="I1111" i="1"/>
  <c r="H1111" i="1"/>
  <c r="G1111" i="1"/>
  <c r="F1111" i="1"/>
  <c r="E1111" i="1"/>
  <c r="I1110" i="1"/>
  <c r="H1110" i="1"/>
  <c r="G1110" i="1"/>
  <c r="F1110" i="1"/>
  <c r="E1110" i="1"/>
  <c r="I1109" i="1"/>
  <c r="H1109" i="1"/>
  <c r="G1109" i="1"/>
  <c r="F1109" i="1"/>
  <c r="E1109" i="1"/>
  <c r="I1108" i="1"/>
  <c r="H1108" i="1"/>
  <c r="G1108" i="1"/>
  <c r="F1108" i="1"/>
  <c r="E1108" i="1"/>
  <c r="I1107" i="1"/>
  <c r="H1107" i="1"/>
  <c r="G1107" i="1"/>
  <c r="F1107" i="1"/>
  <c r="E1107" i="1"/>
  <c r="I1106" i="1"/>
  <c r="H1106" i="1"/>
  <c r="G1106" i="1"/>
  <c r="F1106" i="1"/>
  <c r="E1106" i="1"/>
  <c r="I1105" i="1"/>
  <c r="H1105" i="1"/>
  <c r="G1105" i="1"/>
  <c r="F1105" i="1"/>
  <c r="E1105" i="1"/>
  <c r="I1104" i="1"/>
  <c r="H1104" i="1"/>
  <c r="G1104" i="1"/>
  <c r="F1104" i="1"/>
  <c r="E1104" i="1"/>
  <c r="I1103" i="1"/>
  <c r="H1103" i="1"/>
  <c r="G1103" i="1"/>
  <c r="F1103" i="1"/>
  <c r="E1103" i="1"/>
  <c r="I1102" i="1"/>
  <c r="H1102" i="1"/>
  <c r="G1102" i="1"/>
  <c r="F1102" i="1"/>
  <c r="E1102" i="1"/>
  <c r="I1101" i="1"/>
  <c r="H1101" i="1"/>
  <c r="G1101" i="1"/>
  <c r="F1101" i="1"/>
  <c r="E1101" i="1"/>
  <c r="I1100" i="1"/>
  <c r="H1100" i="1"/>
  <c r="G1100" i="1"/>
  <c r="F1100" i="1"/>
  <c r="E1100" i="1"/>
  <c r="I1099" i="1"/>
  <c r="H1099" i="1"/>
  <c r="G1099" i="1"/>
  <c r="F1099" i="1"/>
  <c r="E1099" i="1"/>
  <c r="I1098" i="1"/>
  <c r="H1098" i="1"/>
  <c r="G1098" i="1"/>
  <c r="F1098" i="1"/>
  <c r="E1098" i="1"/>
  <c r="I1097" i="1"/>
  <c r="H1097" i="1"/>
  <c r="G1097" i="1"/>
  <c r="F1097" i="1"/>
  <c r="E1097" i="1"/>
  <c r="I1096" i="1"/>
  <c r="H1096" i="1"/>
  <c r="G1096" i="1"/>
  <c r="F1096" i="1"/>
  <c r="E1096" i="1"/>
  <c r="I1095" i="1"/>
  <c r="H1095" i="1"/>
  <c r="G1095" i="1"/>
  <c r="F1095" i="1"/>
  <c r="E1095" i="1"/>
  <c r="I1094" i="1"/>
  <c r="H1094" i="1"/>
  <c r="G1094" i="1"/>
  <c r="F1094" i="1"/>
  <c r="E1094" i="1"/>
  <c r="I1093" i="1"/>
  <c r="H1093" i="1"/>
  <c r="G1093" i="1"/>
  <c r="F1093" i="1"/>
  <c r="E1093" i="1"/>
  <c r="I1092" i="1"/>
  <c r="H1092" i="1"/>
  <c r="G1092" i="1"/>
  <c r="F1092" i="1"/>
  <c r="E1092" i="1"/>
  <c r="I1091" i="1"/>
  <c r="H1091" i="1"/>
  <c r="G1091" i="1"/>
  <c r="F1091" i="1"/>
  <c r="E1091" i="1"/>
  <c r="I1090" i="1"/>
  <c r="H1090" i="1"/>
  <c r="G1090" i="1"/>
  <c r="F1090" i="1"/>
  <c r="E1090" i="1"/>
  <c r="I1089" i="1"/>
  <c r="H1089" i="1"/>
  <c r="G1089" i="1"/>
  <c r="F1089" i="1"/>
  <c r="E1089" i="1"/>
  <c r="I1088" i="1"/>
  <c r="H1088" i="1"/>
  <c r="G1088" i="1"/>
  <c r="F1088" i="1"/>
  <c r="E1088" i="1"/>
  <c r="I1087" i="1"/>
  <c r="H1087" i="1"/>
  <c r="G1087" i="1"/>
  <c r="F1087" i="1"/>
  <c r="E1087" i="1"/>
  <c r="I1086" i="1"/>
  <c r="H1086" i="1"/>
  <c r="G1086" i="1"/>
  <c r="F1086" i="1"/>
  <c r="E1086" i="1"/>
  <c r="I1085" i="1"/>
  <c r="H1085" i="1"/>
  <c r="G1085" i="1"/>
  <c r="F1085" i="1"/>
  <c r="E1085" i="1"/>
  <c r="I1084" i="1"/>
  <c r="H1084" i="1"/>
  <c r="G1084" i="1"/>
  <c r="F1084" i="1"/>
  <c r="E1084" i="1"/>
  <c r="I1083" i="1"/>
  <c r="H1083" i="1"/>
  <c r="G1083" i="1"/>
  <c r="F1083" i="1"/>
  <c r="E1083" i="1"/>
  <c r="I1082" i="1"/>
  <c r="H1082" i="1"/>
  <c r="G1082" i="1"/>
  <c r="F1082" i="1"/>
  <c r="E1082" i="1"/>
  <c r="I1081" i="1"/>
  <c r="H1081" i="1"/>
  <c r="G1081" i="1"/>
  <c r="F1081" i="1"/>
  <c r="E1081" i="1"/>
  <c r="I1080" i="1"/>
  <c r="H1080" i="1"/>
  <c r="G1080" i="1"/>
  <c r="F1080" i="1"/>
  <c r="E1080" i="1"/>
  <c r="I1079" i="1"/>
  <c r="H1079" i="1"/>
  <c r="G1079" i="1"/>
  <c r="F1079" i="1"/>
  <c r="E1079" i="1"/>
  <c r="I1078" i="1"/>
  <c r="H1078" i="1"/>
  <c r="G1078" i="1"/>
  <c r="F1078" i="1"/>
  <c r="E1078" i="1"/>
  <c r="I1077" i="1"/>
  <c r="H1077" i="1"/>
  <c r="G1077" i="1"/>
  <c r="F1077" i="1"/>
  <c r="E1077" i="1"/>
  <c r="I1076" i="1"/>
  <c r="H1076" i="1"/>
  <c r="G1076" i="1"/>
  <c r="F1076" i="1"/>
  <c r="E1076" i="1"/>
  <c r="I1075" i="1"/>
  <c r="H1075" i="1"/>
  <c r="G1075" i="1"/>
  <c r="F1075" i="1"/>
  <c r="E1075" i="1"/>
  <c r="I1074" i="1"/>
  <c r="H1074" i="1"/>
  <c r="G1074" i="1"/>
  <c r="F1074" i="1"/>
  <c r="E1074" i="1"/>
  <c r="I1073" i="1"/>
  <c r="H1073" i="1"/>
  <c r="G1073" i="1"/>
  <c r="F1073" i="1"/>
  <c r="E1073" i="1"/>
  <c r="I1072" i="1"/>
  <c r="H1072" i="1"/>
  <c r="G1072" i="1"/>
  <c r="F1072" i="1"/>
  <c r="E1072" i="1"/>
  <c r="I1071" i="1"/>
  <c r="H1071" i="1"/>
  <c r="G1071" i="1"/>
  <c r="F1071" i="1"/>
  <c r="E1071" i="1"/>
  <c r="I1070" i="1"/>
  <c r="H1070" i="1"/>
  <c r="G1070" i="1"/>
  <c r="F1070" i="1"/>
  <c r="E1070" i="1"/>
  <c r="I1069" i="1"/>
  <c r="H1069" i="1"/>
  <c r="G1069" i="1"/>
  <c r="F1069" i="1"/>
  <c r="E1069" i="1"/>
  <c r="I1068" i="1"/>
  <c r="H1068" i="1"/>
  <c r="G1068" i="1"/>
  <c r="F1068" i="1"/>
  <c r="E1068" i="1"/>
  <c r="I1067" i="1"/>
  <c r="H1067" i="1"/>
  <c r="G1067" i="1"/>
  <c r="F1067" i="1"/>
  <c r="E1067" i="1"/>
  <c r="I1066" i="1"/>
  <c r="H1066" i="1"/>
  <c r="G1066" i="1"/>
  <c r="F1066" i="1"/>
  <c r="E1066" i="1"/>
  <c r="I1065" i="1"/>
  <c r="H1065" i="1"/>
  <c r="G1065" i="1"/>
  <c r="F1065" i="1"/>
  <c r="E1065" i="1"/>
  <c r="I1064" i="1"/>
  <c r="H1064" i="1"/>
  <c r="G1064" i="1"/>
  <c r="F1064" i="1"/>
  <c r="E1064" i="1"/>
  <c r="I1063" i="1"/>
  <c r="H1063" i="1"/>
  <c r="G1063" i="1"/>
  <c r="F1063" i="1"/>
  <c r="E1063" i="1"/>
  <c r="I1062" i="1"/>
  <c r="H1062" i="1"/>
  <c r="G1062" i="1"/>
  <c r="F1062" i="1"/>
  <c r="E1062" i="1"/>
  <c r="I1061" i="1"/>
  <c r="H1061" i="1"/>
  <c r="G1061" i="1"/>
  <c r="F1061" i="1"/>
  <c r="E1061" i="1"/>
  <c r="I1060" i="1"/>
  <c r="H1060" i="1"/>
  <c r="G1060" i="1"/>
  <c r="F1060" i="1"/>
  <c r="E1060" i="1"/>
  <c r="I1059" i="1"/>
  <c r="H1059" i="1"/>
  <c r="G1059" i="1"/>
  <c r="F1059" i="1"/>
  <c r="E1059" i="1"/>
  <c r="I1058" i="1"/>
  <c r="H1058" i="1"/>
  <c r="G1058" i="1"/>
  <c r="F1058" i="1"/>
  <c r="E1058" i="1"/>
  <c r="I1057" i="1"/>
  <c r="H1057" i="1"/>
  <c r="G1057" i="1"/>
  <c r="F1057" i="1"/>
  <c r="E1057" i="1"/>
  <c r="I1056" i="1"/>
  <c r="H1056" i="1"/>
  <c r="G1056" i="1"/>
  <c r="F1056" i="1"/>
  <c r="E1056" i="1"/>
  <c r="I1055" i="1"/>
  <c r="H1055" i="1"/>
  <c r="G1055" i="1"/>
  <c r="F1055" i="1"/>
  <c r="E1055" i="1"/>
  <c r="I1054" i="1"/>
  <c r="H1054" i="1"/>
  <c r="G1054" i="1"/>
  <c r="F1054" i="1"/>
  <c r="E1054" i="1"/>
  <c r="I1053" i="1"/>
  <c r="H1053" i="1"/>
  <c r="G1053" i="1"/>
  <c r="F1053" i="1"/>
  <c r="E1053" i="1"/>
  <c r="I1052" i="1"/>
  <c r="H1052" i="1"/>
  <c r="G1052" i="1"/>
  <c r="F1052" i="1"/>
  <c r="E1052" i="1"/>
  <c r="I1051" i="1"/>
  <c r="H1051" i="1"/>
  <c r="G1051" i="1"/>
  <c r="F1051" i="1"/>
  <c r="E1051" i="1"/>
  <c r="I1050" i="1"/>
  <c r="H1050" i="1"/>
  <c r="G1050" i="1"/>
  <c r="F1050" i="1"/>
  <c r="E1050" i="1"/>
  <c r="I1049" i="1"/>
  <c r="H1049" i="1"/>
  <c r="G1049" i="1"/>
  <c r="F1049" i="1"/>
  <c r="E1049" i="1"/>
  <c r="I1048" i="1"/>
  <c r="H1048" i="1"/>
  <c r="G1048" i="1"/>
  <c r="F1048" i="1"/>
  <c r="E1048" i="1"/>
  <c r="I1047" i="1"/>
  <c r="H1047" i="1"/>
  <c r="G1047" i="1"/>
  <c r="F1047" i="1"/>
  <c r="E1047" i="1"/>
  <c r="I1046" i="1"/>
  <c r="H1046" i="1"/>
  <c r="G1046" i="1"/>
  <c r="F1046" i="1"/>
  <c r="E1046" i="1"/>
  <c r="I1045" i="1"/>
  <c r="H1045" i="1"/>
  <c r="G1045" i="1"/>
  <c r="F1045" i="1"/>
  <c r="E1045" i="1"/>
  <c r="I1044" i="1"/>
  <c r="H1044" i="1"/>
  <c r="G1044" i="1"/>
  <c r="F1044" i="1"/>
  <c r="E1044" i="1"/>
  <c r="I1043" i="1"/>
  <c r="H1043" i="1"/>
  <c r="G1043" i="1"/>
  <c r="F1043" i="1"/>
  <c r="E1043" i="1"/>
  <c r="I1042" i="1"/>
  <c r="H1042" i="1"/>
  <c r="G1042" i="1"/>
  <c r="F1042" i="1"/>
  <c r="E1042" i="1"/>
  <c r="I1041" i="1"/>
  <c r="H1041" i="1"/>
  <c r="G1041" i="1"/>
  <c r="F1041" i="1"/>
  <c r="E1041" i="1"/>
  <c r="I1040" i="1"/>
  <c r="H1040" i="1"/>
  <c r="G1040" i="1"/>
  <c r="F1040" i="1"/>
  <c r="E1040" i="1"/>
  <c r="I1039" i="1"/>
  <c r="H1039" i="1"/>
  <c r="G1039" i="1"/>
  <c r="F1039" i="1"/>
  <c r="E1039" i="1"/>
  <c r="I1038" i="1"/>
  <c r="H1038" i="1"/>
  <c r="G1038" i="1"/>
  <c r="F1038" i="1"/>
  <c r="E1038" i="1"/>
  <c r="I1037" i="1"/>
  <c r="H1037" i="1"/>
  <c r="G1037" i="1"/>
  <c r="F1037" i="1"/>
  <c r="E1037" i="1"/>
  <c r="I1036" i="1"/>
  <c r="H1036" i="1"/>
  <c r="G1036" i="1"/>
  <c r="F1036" i="1"/>
  <c r="E1036" i="1"/>
  <c r="I1035" i="1"/>
  <c r="H1035" i="1"/>
  <c r="G1035" i="1"/>
  <c r="F1035" i="1"/>
  <c r="E1035" i="1"/>
  <c r="I1034" i="1"/>
  <c r="H1034" i="1"/>
  <c r="G1034" i="1"/>
  <c r="F1034" i="1"/>
  <c r="E1034" i="1"/>
  <c r="I1033" i="1"/>
  <c r="H1033" i="1"/>
  <c r="G1033" i="1"/>
  <c r="F1033" i="1"/>
  <c r="E1033" i="1"/>
  <c r="I1032" i="1"/>
  <c r="H1032" i="1"/>
  <c r="G1032" i="1"/>
  <c r="F1032" i="1"/>
  <c r="E1032" i="1"/>
  <c r="I1031" i="1"/>
  <c r="H1031" i="1"/>
  <c r="G1031" i="1"/>
  <c r="F1031" i="1"/>
  <c r="E1031" i="1"/>
  <c r="I1030" i="1"/>
  <c r="H1030" i="1"/>
  <c r="G1030" i="1"/>
  <c r="F1030" i="1"/>
  <c r="E1030" i="1"/>
  <c r="I1029" i="1"/>
  <c r="H1029" i="1"/>
  <c r="G1029" i="1"/>
  <c r="F1029" i="1"/>
  <c r="E1029" i="1"/>
  <c r="I1028" i="1"/>
  <c r="H1028" i="1"/>
  <c r="G1028" i="1"/>
  <c r="F1028" i="1"/>
  <c r="E1028" i="1"/>
  <c r="I1027" i="1"/>
  <c r="H1027" i="1"/>
  <c r="G1027" i="1"/>
  <c r="F1027" i="1"/>
  <c r="E1027" i="1"/>
  <c r="I1026" i="1"/>
  <c r="H1026" i="1"/>
  <c r="G1026" i="1"/>
  <c r="F1026" i="1"/>
  <c r="E1026" i="1"/>
  <c r="I1025" i="1"/>
  <c r="H1025" i="1"/>
  <c r="G1025" i="1"/>
  <c r="F1025" i="1"/>
  <c r="E1025" i="1"/>
  <c r="I1024" i="1"/>
  <c r="H1024" i="1"/>
  <c r="G1024" i="1"/>
  <c r="F1024" i="1"/>
  <c r="E1024" i="1"/>
  <c r="I1023" i="1"/>
  <c r="H1023" i="1"/>
  <c r="G1023" i="1"/>
  <c r="F1023" i="1"/>
  <c r="E1023" i="1"/>
  <c r="I1022" i="1"/>
  <c r="H1022" i="1"/>
  <c r="G1022" i="1"/>
  <c r="F1022" i="1"/>
  <c r="E1022" i="1"/>
  <c r="I1021" i="1"/>
  <c r="H1021" i="1"/>
  <c r="G1021" i="1"/>
  <c r="F1021" i="1"/>
  <c r="E1021" i="1"/>
  <c r="I1020" i="1"/>
  <c r="H1020" i="1"/>
  <c r="G1020" i="1"/>
  <c r="F1020" i="1"/>
  <c r="E1020" i="1"/>
  <c r="I1019" i="1"/>
  <c r="H1019" i="1"/>
  <c r="G1019" i="1"/>
  <c r="F1019" i="1"/>
  <c r="E1019" i="1"/>
  <c r="I1018" i="1"/>
  <c r="H1018" i="1"/>
  <c r="G1018" i="1"/>
  <c r="F1018" i="1"/>
  <c r="E1018" i="1"/>
  <c r="I1017" i="1"/>
  <c r="H1017" i="1"/>
  <c r="G1017" i="1"/>
  <c r="F1017" i="1"/>
  <c r="E1017" i="1"/>
  <c r="I1016" i="1"/>
  <c r="H1016" i="1"/>
  <c r="G1016" i="1"/>
  <c r="F1016" i="1"/>
  <c r="E1016" i="1"/>
  <c r="I1015" i="1"/>
  <c r="H1015" i="1"/>
  <c r="G1015" i="1"/>
  <c r="F1015" i="1"/>
  <c r="E1015" i="1"/>
  <c r="I1014" i="1"/>
  <c r="H1014" i="1"/>
  <c r="G1014" i="1"/>
  <c r="F1014" i="1"/>
  <c r="E1014" i="1"/>
  <c r="I1013" i="1"/>
  <c r="H1013" i="1"/>
  <c r="G1013" i="1"/>
  <c r="F1013" i="1"/>
  <c r="E1013" i="1"/>
  <c r="I1012" i="1"/>
  <c r="H1012" i="1"/>
  <c r="G1012" i="1"/>
  <c r="F1012" i="1"/>
  <c r="E1012" i="1"/>
  <c r="I1011" i="1"/>
  <c r="H1011" i="1"/>
  <c r="G1011" i="1"/>
  <c r="F1011" i="1"/>
  <c r="E1011" i="1"/>
  <c r="I1010" i="1"/>
  <c r="H1010" i="1"/>
  <c r="G1010" i="1"/>
  <c r="F1010" i="1"/>
  <c r="E1010" i="1"/>
  <c r="I1009" i="1"/>
  <c r="H1009" i="1"/>
  <c r="G1009" i="1"/>
  <c r="F1009" i="1"/>
  <c r="E1009" i="1"/>
  <c r="I1008" i="1"/>
  <c r="H1008" i="1"/>
  <c r="G1008" i="1"/>
  <c r="F1008" i="1"/>
  <c r="E1008" i="1"/>
  <c r="I1007" i="1"/>
  <c r="H1007" i="1"/>
  <c r="G1007" i="1"/>
  <c r="F1007" i="1"/>
  <c r="E1007" i="1"/>
  <c r="I1006" i="1"/>
  <c r="H1006" i="1"/>
  <c r="G1006" i="1"/>
  <c r="F1006" i="1"/>
  <c r="E1006" i="1"/>
  <c r="I1005" i="1"/>
  <c r="H1005" i="1"/>
  <c r="G1005" i="1"/>
  <c r="F1005" i="1"/>
  <c r="E1005" i="1"/>
  <c r="I1004" i="1"/>
  <c r="H1004" i="1"/>
  <c r="G1004" i="1"/>
  <c r="F1004" i="1"/>
  <c r="E1004" i="1"/>
  <c r="I1003" i="1"/>
  <c r="H1003" i="1"/>
  <c r="G1003" i="1"/>
  <c r="F1003" i="1"/>
  <c r="E1003" i="1"/>
  <c r="I1002" i="1"/>
  <c r="H1002" i="1"/>
  <c r="G1002" i="1"/>
  <c r="F1002" i="1"/>
  <c r="E1002" i="1"/>
  <c r="I1001" i="1"/>
  <c r="H1001" i="1"/>
  <c r="G1001" i="1"/>
  <c r="F1001" i="1"/>
  <c r="E1001" i="1"/>
  <c r="I1000" i="1"/>
  <c r="H1000" i="1"/>
  <c r="G1000" i="1"/>
  <c r="F1000" i="1"/>
  <c r="E1000" i="1"/>
  <c r="I999" i="1"/>
  <c r="H999" i="1"/>
  <c r="G999" i="1"/>
  <c r="F999" i="1"/>
  <c r="E999" i="1"/>
  <c r="I998" i="1"/>
  <c r="H998" i="1"/>
  <c r="G998" i="1"/>
  <c r="F998" i="1"/>
  <c r="E998" i="1"/>
  <c r="I997" i="1"/>
  <c r="H997" i="1"/>
  <c r="G997" i="1"/>
  <c r="F997" i="1"/>
  <c r="E997" i="1"/>
  <c r="I996" i="1"/>
  <c r="H996" i="1"/>
  <c r="G996" i="1"/>
  <c r="F996" i="1"/>
  <c r="E996" i="1"/>
  <c r="I995" i="1"/>
  <c r="H995" i="1"/>
  <c r="G995" i="1"/>
  <c r="F995" i="1"/>
  <c r="E995" i="1"/>
  <c r="I994" i="1"/>
  <c r="H994" i="1"/>
  <c r="G994" i="1"/>
  <c r="F994" i="1"/>
  <c r="E994" i="1"/>
  <c r="I993" i="1"/>
  <c r="H993" i="1"/>
  <c r="G993" i="1"/>
  <c r="F993" i="1"/>
  <c r="E993" i="1"/>
  <c r="I992" i="1"/>
  <c r="H992" i="1"/>
  <c r="G992" i="1"/>
  <c r="F992" i="1"/>
  <c r="E992" i="1"/>
  <c r="I991" i="1"/>
  <c r="H991" i="1"/>
  <c r="G991" i="1"/>
  <c r="F991" i="1"/>
  <c r="E991" i="1"/>
  <c r="I990" i="1"/>
  <c r="H990" i="1"/>
  <c r="G990" i="1"/>
  <c r="F990" i="1"/>
  <c r="E990" i="1"/>
  <c r="I989" i="1"/>
  <c r="H989" i="1"/>
  <c r="G989" i="1"/>
  <c r="F989" i="1"/>
  <c r="E989" i="1"/>
  <c r="I988" i="1"/>
  <c r="H988" i="1"/>
  <c r="G988" i="1"/>
  <c r="F988" i="1"/>
  <c r="E988" i="1"/>
  <c r="I987" i="1"/>
  <c r="H987" i="1"/>
  <c r="G987" i="1"/>
  <c r="F987" i="1"/>
  <c r="E987" i="1"/>
  <c r="I986" i="1"/>
  <c r="H986" i="1"/>
  <c r="G986" i="1"/>
  <c r="F986" i="1"/>
  <c r="E986" i="1"/>
  <c r="I985" i="1"/>
  <c r="H985" i="1"/>
  <c r="G985" i="1"/>
  <c r="F985" i="1"/>
  <c r="E985" i="1"/>
  <c r="I984" i="1"/>
  <c r="H984" i="1"/>
  <c r="G984" i="1"/>
  <c r="F984" i="1"/>
  <c r="E984" i="1"/>
  <c r="I983" i="1"/>
  <c r="H983" i="1"/>
  <c r="G983" i="1"/>
  <c r="F983" i="1"/>
  <c r="E983" i="1"/>
  <c r="I982" i="1"/>
  <c r="H982" i="1"/>
  <c r="G982" i="1"/>
  <c r="F982" i="1"/>
  <c r="E982" i="1"/>
  <c r="I981" i="1"/>
  <c r="H981" i="1"/>
  <c r="G981" i="1"/>
  <c r="F981" i="1"/>
  <c r="E981" i="1"/>
  <c r="I980" i="1"/>
  <c r="H980" i="1"/>
  <c r="G980" i="1"/>
  <c r="F980" i="1"/>
  <c r="E980" i="1"/>
  <c r="I979" i="1"/>
  <c r="H979" i="1"/>
  <c r="G979" i="1"/>
  <c r="F979" i="1"/>
  <c r="E979" i="1"/>
  <c r="I978" i="1"/>
  <c r="H978" i="1"/>
  <c r="G978" i="1"/>
  <c r="F978" i="1"/>
  <c r="E978" i="1"/>
  <c r="I977" i="1"/>
  <c r="H977" i="1"/>
  <c r="G977" i="1"/>
  <c r="F977" i="1"/>
  <c r="E977" i="1"/>
  <c r="I976" i="1"/>
  <c r="H976" i="1"/>
  <c r="G976" i="1"/>
  <c r="F976" i="1"/>
  <c r="E976" i="1"/>
  <c r="I975" i="1"/>
  <c r="H975" i="1"/>
  <c r="G975" i="1"/>
  <c r="F975" i="1"/>
  <c r="E975" i="1"/>
  <c r="I974" i="1"/>
  <c r="H974" i="1"/>
  <c r="G974" i="1"/>
  <c r="F974" i="1"/>
  <c r="E974" i="1"/>
  <c r="I973" i="1"/>
  <c r="H973" i="1"/>
  <c r="G973" i="1"/>
  <c r="F973" i="1"/>
  <c r="E973" i="1"/>
  <c r="I972" i="1"/>
  <c r="H972" i="1"/>
  <c r="G972" i="1"/>
  <c r="F972" i="1"/>
  <c r="E972" i="1"/>
  <c r="I971" i="1"/>
  <c r="H971" i="1"/>
  <c r="G971" i="1"/>
  <c r="F971" i="1"/>
  <c r="E971" i="1"/>
  <c r="I970" i="1"/>
  <c r="H970" i="1"/>
  <c r="G970" i="1"/>
  <c r="F970" i="1"/>
  <c r="E970" i="1"/>
  <c r="I969" i="1"/>
  <c r="H969" i="1"/>
  <c r="G969" i="1"/>
  <c r="F969" i="1"/>
  <c r="E969" i="1"/>
  <c r="I968" i="1"/>
  <c r="H968" i="1"/>
  <c r="G968" i="1"/>
  <c r="F968" i="1"/>
  <c r="E968" i="1"/>
  <c r="I967" i="1"/>
  <c r="H967" i="1"/>
  <c r="G967" i="1"/>
  <c r="F967" i="1"/>
  <c r="E967" i="1"/>
  <c r="I966" i="1"/>
  <c r="H966" i="1"/>
  <c r="G966" i="1"/>
  <c r="F966" i="1"/>
  <c r="E966" i="1"/>
  <c r="I965" i="1"/>
  <c r="H965" i="1"/>
  <c r="G965" i="1"/>
  <c r="F965" i="1"/>
  <c r="E965" i="1"/>
  <c r="I964" i="1"/>
  <c r="H964" i="1"/>
  <c r="G964" i="1"/>
  <c r="F964" i="1"/>
  <c r="E964" i="1"/>
  <c r="I963" i="1"/>
  <c r="H963" i="1"/>
  <c r="G963" i="1"/>
  <c r="F963" i="1"/>
  <c r="E963" i="1"/>
  <c r="I962" i="1"/>
  <c r="H962" i="1"/>
  <c r="G962" i="1"/>
  <c r="F962" i="1"/>
  <c r="E962" i="1"/>
  <c r="I961" i="1"/>
  <c r="H961" i="1"/>
  <c r="G961" i="1"/>
  <c r="F961" i="1"/>
  <c r="E961" i="1"/>
  <c r="I960" i="1"/>
  <c r="H960" i="1"/>
  <c r="G960" i="1"/>
  <c r="F960" i="1"/>
  <c r="E960" i="1"/>
  <c r="I959" i="1"/>
  <c r="H959" i="1"/>
  <c r="G959" i="1"/>
  <c r="F959" i="1"/>
  <c r="E959" i="1"/>
  <c r="I958" i="1"/>
  <c r="H958" i="1"/>
  <c r="G958" i="1"/>
  <c r="F958" i="1"/>
  <c r="E958" i="1"/>
  <c r="I957" i="1"/>
  <c r="H957" i="1"/>
  <c r="G957" i="1"/>
  <c r="F957" i="1"/>
  <c r="E957" i="1"/>
  <c r="I956" i="1"/>
  <c r="H956" i="1"/>
  <c r="G956" i="1"/>
  <c r="F956" i="1"/>
  <c r="E956" i="1"/>
  <c r="I955" i="1"/>
  <c r="H955" i="1"/>
  <c r="G955" i="1"/>
  <c r="F955" i="1"/>
  <c r="E955" i="1"/>
  <c r="I954" i="1"/>
  <c r="H954" i="1"/>
  <c r="G954" i="1"/>
  <c r="F954" i="1"/>
  <c r="E954" i="1"/>
  <c r="I953" i="1"/>
  <c r="H953" i="1"/>
  <c r="G953" i="1"/>
  <c r="F953" i="1"/>
  <c r="E953" i="1"/>
  <c r="I952" i="1"/>
  <c r="H952" i="1"/>
  <c r="G952" i="1"/>
  <c r="F952" i="1"/>
  <c r="E952" i="1"/>
  <c r="I951" i="1"/>
  <c r="H951" i="1"/>
  <c r="G951" i="1"/>
  <c r="F951" i="1"/>
  <c r="E951" i="1"/>
  <c r="I950" i="1"/>
  <c r="H950" i="1"/>
  <c r="G950" i="1"/>
  <c r="F950" i="1"/>
  <c r="E950" i="1"/>
  <c r="I949" i="1"/>
  <c r="H949" i="1"/>
  <c r="G949" i="1"/>
  <c r="F949" i="1"/>
  <c r="E949" i="1"/>
  <c r="I948" i="1"/>
  <c r="H948" i="1"/>
  <c r="G948" i="1"/>
  <c r="F948" i="1"/>
  <c r="E948" i="1"/>
  <c r="I947" i="1"/>
  <c r="H947" i="1"/>
  <c r="G947" i="1"/>
  <c r="F947" i="1"/>
  <c r="E947" i="1"/>
  <c r="I946" i="1"/>
  <c r="H946" i="1"/>
  <c r="G946" i="1"/>
  <c r="F946" i="1"/>
  <c r="E946" i="1"/>
  <c r="I945" i="1"/>
  <c r="H945" i="1"/>
  <c r="G945" i="1"/>
  <c r="F945" i="1"/>
  <c r="E945" i="1"/>
  <c r="I944" i="1"/>
  <c r="H944" i="1"/>
  <c r="G944" i="1"/>
  <c r="F944" i="1"/>
  <c r="E944" i="1"/>
  <c r="I943" i="1"/>
  <c r="H943" i="1"/>
  <c r="G943" i="1"/>
  <c r="F943" i="1"/>
  <c r="E943" i="1"/>
  <c r="I942" i="1"/>
  <c r="H942" i="1"/>
  <c r="G942" i="1"/>
  <c r="F942" i="1"/>
  <c r="E942" i="1"/>
  <c r="I941" i="1"/>
  <c r="H941" i="1"/>
  <c r="G941" i="1"/>
  <c r="F941" i="1"/>
  <c r="E941" i="1"/>
  <c r="I940" i="1"/>
  <c r="H940" i="1"/>
  <c r="G940" i="1"/>
  <c r="F940" i="1"/>
  <c r="E940" i="1"/>
  <c r="I939" i="1"/>
  <c r="H939" i="1"/>
  <c r="G939" i="1"/>
  <c r="F939" i="1"/>
  <c r="E939" i="1"/>
  <c r="I938" i="1"/>
  <c r="H938" i="1"/>
  <c r="G938" i="1"/>
  <c r="F938" i="1"/>
  <c r="E938" i="1"/>
  <c r="I937" i="1"/>
  <c r="H937" i="1"/>
  <c r="G937" i="1"/>
  <c r="F937" i="1"/>
  <c r="E937" i="1"/>
  <c r="I936" i="1"/>
  <c r="H936" i="1"/>
  <c r="G936" i="1"/>
  <c r="F936" i="1"/>
  <c r="E936" i="1"/>
  <c r="I935" i="1"/>
  <c r="H935" i="1"/>
  <c r="G935" i="1"/>
  <c r="F935" i="1"/>
  <c r="E935" i="1"/>
  <c r="I934" i="1"/>
  <c r="H934" i="1"/>
  <c r="G934" i="1"/>
  <c r="F934" i="1"/>
  <c r="E934" i="1"/>
  <c r="I933" i="1"/>
  <c r="H933" i="1"/>
  <c r="G933" i="1"/>
  <c r="F933" i="1"/>
  <c r="E933" i="1"/>
  <c r="I932" i="1"/>
  <c r="H932" i="1"/>
  <c r="G932" i="1"/>
  <c r="F932" i="1"/>
  <c r="E932" i="1"/>
  <c r="I931" i="1"/>
  <c r="H931" i="1"/>
  <c r="G931" i="1"/>
  <c r="F931" i="1"/>
  <c r="E931" i="1"/>
  <c r="I930" i="1"/>
  <c r="H930" i="1"/>
  <c r="G930" i="1"/>
  <c r="F930" i="1"/>
  <c r="E930" i="1"/>
  <c r="I929" i="1"/>
  <c r="H929" i="1"/>
  <c r="G929" i="1"/>
  <c r="F929" i="1"/>
  <c r="E929" i="1"/>
  <c r="I928" i="1"/>
  <c r="H928" i="1"/>
  <c r="G928" i="1"/>
  <c r="F928" i="1"/>
  <c r="E928" i="1"/>
  <c r="I927" i="1"/>
  <c r="H927" i="1"/>
  <c r="G927" i="1"/>
  <c r="F927" i="1"/>
  <c r="E927" i="1"/>
  <c r="I926" i="1"/>
  <c r="H926" i="1"/>
  <c r="G926" i="1"/>
  <c r="F926" i="1"/>
  <c r="E926" i="1"/>
  <c r="I925" i="1"/>
  <c r="H925" i="1"/>
  <c r="G925" i="1"/>
  <c r="F925" i="1"/>
  <c r="E925" i="1"/>
  <c r="I924" i="1"/>
  <c r="H924" i="1"/>
  <c r="G924" i="1"/>
  <c r="F924" i="1"/>
  <c r="E924" i="1"/>
  <c r="I923" i="1"/>
  <c r="H923" i="1"/>
  <c r="G923" i="1"/>
  <c r="F923" i="1"/>
  <c r="E923" i="1"/>
  <c r="I922" i="1"/>
  <c r="H922" i="1"/>
  <c r="G922" i="1"/>
  <c r="F922" i="1"/>
  <c r="E922" i="1"/>
  <c r="I921" i="1"/>
  <c r="H921" i="1"/>
  <c r="G921" i="1"/>
  <c r="F921" i="1"/>
  <c r="E921" i="1"/>
  <c r="I920" i="1"/>
  <c r="H920" i="1"/>
  <c r="G920" i="1"/>
  <c r="F920" i="1"/>
  <c r="E920" i="1"/>
  <c r="I919" i="1"/>
  <c r="H919" i="1"/>
  <c r="G919" i="1"/>
  <c r="F919" i="1"/>
  <c r="E919" i="1"/>
  <c r="I918" i="1"/>
  <c r="H918" i="1"/>
  <c r="G918" i="1"/>
  <c r="F918" i="1"/>
  <c r="E918" i="1"/>
  <c r="I917" i="1"/>
  <c r="H917" i="1"/>
  <c r="G917" i="1"/>
  <c r="F917" i="1"/>
  <c r="E917" i="1"/>
  <c r="I916" i="1"/>
  <c r="H916" i="1"/>
  <c r="G916" i="1"/>
  <c r="F916" i="1"/>
  <c r="E916" i="1"/>
  <c r="I915" i="1"/>
  <c r="H915" i="1"/>
  <c r="G915" i="1"/>
  <c r="F915" i="1"/>
  <c r="E915" i="1"/>
  <c r="I914" i="1"/>
  <c r="H914" i="1"/>
  <c r="G914" i="1"/>
  <c r="F914" i="1"/>
  <c r="E914" i="1"/>
  <c r="I913" i="1"/>
  <c r="H913" i="1"/>
  <c r="G913" i="1"/>
  <c r="F913" i="1"/>
  <c r="E913" i="1"/>
  <c r="I912" i="1"/>
  <c r="H912" i="1"/>
  <c r="G912" i="1"/>
  <c r="F912" i="1"/>
  <c r="E912" i="1"/>
  <c r="I911" i="1"/>
  <c r="H911" i="1"/>
  <c r="G911" i="1"/>
  <c r="F911" i="1"/>
  <c r="E911" i="1"/>
  <c r="I910" i="1"/>
  <c r="H910" i="1"/>
  <c r="G910" i="1"/>
  <c r="F910" i="1"/>
  <c r="E910" i="1"/>
  <c r="I909" i="1"/>
  <c r="H909" i="1"/>
  <c r="G909" i="1"/>
  <c r="F909" i="1"/>
  <c r="E909" i="1"/>
  <c r="I908" i="1"/>
  <c r="H908" i="1"/>
  <c r="G908" i="1"/>
  <c r="F908" i="1"/>
  <c r="E908" i="1"/>
  <c r="I907" i="1"/>
  <c r="H907" i="1"/>
  <c r="G907" i="1"/>
  <c r="F907" i="1"/>
  <c r="E907" i="1"/>
  <c r="I906" i="1"/>
  <c r="H906" i="1"/>
  <c r="G906" i="1"/>
  <c r="F906" i="1"/>
  <c r="E906" i="1"/>
  <c r="I905" i="1"/>
  <c r="H905" i="1"/>
  <c r="G905" i="1"/>
  <c r="F905" i="1"/>
  <c r="E905" i="1"/>
  <c r="I904" i="1"/>
  <c r="H904" i="1"/>
  <c r="G904" i="1"/>
  <c r="F904" i="1"/>
  <c r="E904" i="1"/>
  <c r="I903" i="1"/>
  <c r="H903" i="1"/>
  <c r="G903" i="1"/>
  <c r="F903" i="1"/>
  <c r="E903" i="1"/>
  <c r="I902" i="1"/>
  <c r="H902" i="1"/>
  <c r="G902" i="1"/>
  <c r="F902" i="1"/>
  <c r="E902" i="1"/>
  <c r="I901" i="1"/>
  <c r="H901" i="1"/>
  <c r="G901" i="1"/>
  <c r="F901" i="1"/>
  <c r="E901" i="1"/>
  <c r="I900" i="1"/>
  <c r="H900" i="1"/>
  <c r="G900" i="1"/>
  <c r="F900" i="1"/>
  <c r="E900" i="1"/>
  <c r="I899" i="1"/>
  <c r="H899" i="1"/>
  <c r="G899" i="1"/>
  <c r="F899" i="1"/>
  <c r="E899" i="1"/>
  <c r="I898" i="1"/>
  <c r="H898" i="1"/>
  <c r="G898" i="1"/>
  <c r="F898" i="1"/>
  <c r="E898" i="1"/>
  <c r="I897" i="1"/>
  <c r="H897" i="1"/>
  <c r="G897" i="1"/>
  <c r="F897" i="1"/>
  <c r="E897" i="1"/>
  <c r="I896" i="1"/>
  <c r="H896" i="1"/>
  <c r="G896" i="1"/>
  <c r="F896" i="1"/>
  <c r="E896" i="1"/>
  <c r="I895" i="1"/>
  <c r="H895" i="1"/>
  <c r="G895" i="1"/>
  <c r="F895" i="1"/>
  <c r="E895" i="1"/>
  <c r="I894" i="1"/>
  <c r="H894" i="1"/>
  <c r="G894" i="1"/>
  <c r="F894" i="1"/>
  <c r="E894" i="1"/>
  <c r="I893" i="1"/>
  <c r="H893" i="1"/>
  <c r="G893" i="1"/>
  <c r="F893" i="1"/>
  <c r="E893" i="1"/>
  <c r="I892" i="1"/>
  <c r="H892" i="1"/>
  <c r="G892" i="1"/>
  <c r="F892" i="1"/>
  <c r="E892" i="1"/>
  <c r="I891" i="1"/>
  <c r="H891" i="1"/>
  <c r="G891" i="1"/>
  <c r="F891" i="1"/>
  <c r="E891" i="1"/>
  <c r="I890" i="1"/>
  <c r="H890" i="1"/>
  <c r="G890" i="1"/>
  <c r="F890" i="1"/>
  <c r="E890" i="1"/>
  <c r="I889" i="1"/>
  <c r="H889" i="1"/>
  <c r="G889" i="1"/>
  <c r="F889" i="1"/>
  <c r="E889" i="1"/>
  <c r="I888" i="1"/>
  <c r="H888" i="1"/>
  <c r="G888" i="1"/>
  <c r="F888" i="1"/>
  <c r="E888" i="1"/>
  <c r="I887" i="1"/>
  <c r="H887" i="1"/>
  <c r="G887" i="1"/>
  <c r="F887" i="1"/>
  <c r="E887" i="1"/>
  <c r="I886" i="1"/>
  <c r="H886" i="1"/>
  <c r="G886" i="1"/>
  <c r="F886" i="1"/>
  <c r="E886" i="1"/>
  <c r="I885" i="1"/>
  <c r="H885" i="1"/>
  <c r="G885" i="1"/>
  <c r="F885" i="1"/>
  <c r="E885" i="1"/>
  <c r="I884" i="1"/>
  <c r="H884" i="1"/>
  <c r="G884" i="1"/>
  <c r="F884" i="1"/>
  <c r="E884" i="1"/>
  <c r="I883" i="1"/>
  <c r="H883" i="1"/>
  <c r="G883" i="1"/>
  <c r="F883" i="1"/>
  <c r="E883" i="1"/>
  <c r="I882" i="1"/>
  <c r="H882" i="1"/>
  <c r="G882" i="1"/>
  <c r="F882" i="1"/>
  <c r="E882" i="1"/>
  <c r="I881" i="1"/>
  <c r="H881" i="1"/>
  <c r="G881" i="1"/>
  <c r="F881" i="1"/>
  <c r="E881" i="1"/>
  <c r="I880" i="1"/>
  <c r="H880" i="1"/>
  <c r="G880" i="1"/>
  <c r="F880" i="1"/>
  <c r="E880" i="1"/>
  <c r="I879" i="1"/>
  <c r="H879" i="1"/>
  <c r="G879" i="1"/>
  <c r="F879" i="1"/>
  <c r="E879" i="1"/>
  <c r="I878" i="1"/>
  <c r="H878" i="1"/>
  <c r="G878" i="1"/>
  <c r="F878" i="1"/>
  <c r="E878" i="1"/>
  <c r="I877" i="1"/>
  <c r="H877" i="1"/>
  <c r="G877" i="1"/>
  <c r="F877" i="1"/>
  <c r="E877" i="1"/>
  <c r="I876" i="1"/>
  <c r="H876" i="1"/>
  <c r="G876" i="1"/>
  <c r="F876" i="1"/>
  <c r="E876" i="1"/>
  <c r="I875" i="1"/>
  <c r="H875" i="1"/>
  <c r="G875" i="1"/>
  <c r="F875" i="1"/>
  <c r="E875" i="1"/>
  <c r="I874" i="1"/>
  <c r="H874" i="1"/>
  <c r="G874" i="1"/>
  <c r="F874" i="1"/>
  <c r="E874" i="1"/>
  <c r="I873" i="1"/>
  <c r="H873" i="1"/>
  <c r="G873" i="1"/>
  <c r="F873" i="1"/>
  <c r="E873" i="1"/>
  <c r="I872" i="1"/>
  <c r="H872" i="1"/>
  <c r="G872" i="1"/>
  <c r="F872" i="1"/>
  <c r="E872" i="1"/>
  <c r="I871" i="1"/>
  <c r="H871" i="1"/>
  <c r="G871" i="1"/>
  <c r="F871" i="1"/>
  <c r="E871" i="1"/>
  <c r="I870" i="1"/>
  <c r="H870" i="1"/>
  <c r="G870" i="1"/>
  <c r="F870" i="1"/>
  <c r="E870" i="1"/>
  <c r="I869" i="1"/>
  <c r="H869" i="1"/>
  <c r="G869" i="1"/>
  <c r="F869" i="1"/>
  <c r="E869" i="1"/>
  <c r="I868" i="1"/>
  <c r="H868" i="1"/>
  <c r="G868" i="1"/>
  <c r="F868" i="1"/>
  <c r="E868" i="1"/>
  <c r="I867" i="1"/>
  <c r="H867" i="1"/>
  <c r="G867" i="1"/>
  <c r="F867" i="1"/>
  <c r="E867" i="1"/>
  <c r="I866" i="1"/>
  <c r="H866" i="1"/>
  <c r="G866" i="1"/>
  <c r="F866" i="1"/>
  <c r="E866" i="1"/>
  <c r="I865" i="1"/>
  <c r="H865" i="1"/>
  <c r="G865" i="1"/>
  <c r="F865" i="1"/>
  <c r="E865" i="1"/>
  <c r="I864" i="1"/>
  <c r="H864" i="1"/>
  <c r="G864" i="1"/>
  <c r="F864" i="1"/>
  <c r="E864" i="1"/>
  <c r="I863" i="1"/>
  <c r="H863" i="1"/>
  <c r="G863" i="1"/>
  <c r="F863" i="1"/>
  <c r="E863" i="1"/>
  <c r="I862" i="1"/>
  <c r="H862" i="1"/>
  <c r="G862" i="1"/>
  <c r="F862" i="1"/>
  <c r="E862" i="1"/>
  <c r="I861" i="1"/>
  <c r="H861" i="1"/>
  <c r="G861" i="1"/>
  <c r="F861" i="1"/>
  <c r="E861" i="1"/>
  <c r="I860" i="1"/>
  <c r="H860" i="1"/>
  <c r="G860" i="1"/>
  <c r="F860" i="1"/>
  <c r="E860" i="1"/>
  <c r="I859" i="1"/>
  <c r="H859" i="1"/>
  <c r="G859" i="1"/>
  <c r="F859" i="1"/>
  <c r="E859" i="1"/>
  <c r="I858" i="1"/>
  <c r="H858" i="1"/>
  <c r="G858" i="1"/>
  <c r="F858" i="1"/>
  <c r="E858" i="1"/>
  <c r="I857" i="1"/>
  <c r="H857" i="1"/>
  <c r="G857" i="1"/>
  <c r="F857" i="1"/>
  <c r="E857" i="1"/>
  <c r="I856" i="1"/>
  <c r="H856" i="1"/>
  <c r="G856" i="1"/>
  <c r="F856" i="1"/>
  <c r="E856" i="1"/>
  <c r="I855" i="1"/>
  <c r="H855" i="1"/>
  <c r="G855" i="1"/>
  <c r="F855" i="1"/>
  <c r="E855" i="1"/>
  <c r="I854" i="1"/>
  <c r="H854" i="1"/>
  <c r="G854" i="1"/>
  <c r="F854" i="1"/>
  <c r="E854" i="1"/>
  <c r="I853" i="1"/>
  <c r="H853" i="1"/>
  <c r="G853" i="1"/>
  <c r="F853" i="1"/>
  <c r="E853" i="1"/>
  <c r="I852" i="1"/>
  <c r="H852" i="1"/>
  <c r="G852" i="1"/>
  <c r="F852" i="1"/>
  <c r="E852" i="1"/>
  <c r="I851" i="1"/>
  <c r="H851" i="1"/>
  <c r="G851" i="1"/>
  <c r="F851" i="1"/>
  <c r="E851" i="1"/>
  <c r="I850" i="1"/>
  <c r="H850" i="1"/>
  <c r="G850" i="1"/>
  <c r="F850" i="1"/>
  <c r="E850" i="1"/>
  <c r="I849" i="1"/>
  <c r="H849" i="1"/>
  <c r="G849" i="1"/>
  <c r="F849" i="1"/>
  <c r="E849" i="1"/>
  <c r="I848" i="1"/>
  <c r="H848" i="1"/>
  <c r="G848" i="1"/>
  <c r="F848" i="1"/>
  <c r="E848" i="1"/>
  <c r="I847" i="1"/>
  <c r="H847" i="1"/>
  <c r="G847" i="1"/>
  <c r="F847" i="1"/>
  <c r="E847" i="1"/>
  <c r="I846" i="1"/>
  <c r="H846" i="1"/>
  <c r="G846" i="1"/>
  <c r="F846" i="1"/>
  <c r="E846" i="1"/>
  <c r="I845" i="1"/>
  <c r="H845" i="1"/>
  <c r="G845" i="1"/>
  <c r="F845" i="1"/>
  <c r="E845" i="1"/>
  <c r="I844" i="1"/>
  <c r="H844" i="1"/>
  <c r="G844" i="1"/>
  <c r="F844" i="1"/>
  <c r="E844" i="1"/>
  <c r="I843" i="1"/>
  <c r="H843" i="1"/>
  <c r="G843" i="1"/>
  <c r="F843" i="1"/>
  <c r="E843" i="1"/>
  <c r="I842" i="1"/>
  <c r="H842" i="1"/>
  <c r="G842" i="1"/>
  <c r="F842" i="1"/>
  <c r="E842" i="1"/>
  <c r="I841" i="1"/>
  <c r="H841" i="1"/>
  <c r="G841" i="1"/>
  <c r="F841" i="1"/>
  <c r="E841" i="1"/>
  <c r="I840" i="1"/>
  <c r="H840" i="1"/>
  <c r="G840" i="1"/>
  <c r="F840" i="1"/>
  <c r="E840" i="1"/>
  <c r="I839" i="1"/>
  <c r="H839" i="1"/>
  <c r="G839" i="1"/>
  <c r="F839" i="1"/>
  <c r="E839" i="1"/>
  <c r="I838" i="1"/>
  <c r="H838" i="1"/>
  <c r="G838" i="1"/>
  <c r="F838" i="1"/>
  <c r="E838" i="1"/>
  <c r="I837" i="1"/>
  <c r="H837" i="1"/>
  <c r="G837" i="1"/>
  <c r="F837" i="1"/>
  <c r="E837" i="1"/>
  <c r="I836" i="1"/>
  <c r="H836" i="1"/>
  <c r="G836" i="1"/>
  <c r="F836" i="1"/>
  <c r="E836" i="1"/>
  <c r="I835" i="1"/>
  <c r="H835" i="1"/>
  <c r="G835" i="1"/>
  <c r="F835" i="1"/>
  <c r="E835" i="1"/>
  <c r="I834" i="1"/>
  <c r="H834" i="1"/>
  <c r="G834" i="1"/>
  <c r="F834" i="1"/>
  <c r="E834" i="1"/>
  <c r="I833" i="1"/>
  <c r="H833" i="1"/>
  <c r="G833" i="1"/>
  <c r="F833" i="1"/>
  <c r="E833" i="1"/>
  <c r="I832" i="1"/>
  <c r="H832" i="1"/>
  <c r="G832" i="1"/>
  <c r="F832" i="1"/>
  <c r="E832" i="1"/>
  <c r="I831" i="1"/>
  <c r="H831" i="1"/>
  <c r="G831" i="1"/>
  <c r="F831" i="1"/>
  <c r="E831" i="1"/>
  <c r="I830" i="1"/>
  <c r="H830" i="1"/>
  <c r="G830" i="1"/>
  <c r="F830" i="1"/>
  <c r="E830" i="1"/>
  <c r="I829" i="1"/>
  <c r="H829" i="1"/>
  <c r="G829" i="1"/>
  <c r="F829" i="1"/>
  <c r="E829" i="1"/>
  <c r="I828" i="1"/>
  <c r="H828" i="1"/>
  <c r="G828" i="1"/>
  <c r="F828" i="1"/>
  <c r="E828" i="1"/>
  <c r="I827" i="1"/>
  <c r="H827" i="1"/>
  <c r="G827" i="1"/>
  <c r="F827" i="1"/>
  <c r="E827" i="1"/>
  <c r="I826" i="1"/>
  <c r="H826" i="1"/>
  <c r="G826" i="1"/>
  <c r="F826" i="1"/>
  <c r="E826" i="1"/>
  <c r="I825" i="1"/>
  <c r="H825" i="1"/>
  <c r="G825" i="1"/>
  <c r="F825" i="1"/>
  <c r="E825" i="1"/>
  <c r="I824" i="1"/>
  <c r="H824" i="1"/>
  <c r="G824" i="1"/>
  <c r="F824" i="1"/>
  <c r="E824" i="1"/>
  <c r="I823" i="1"/>
  <c r="H823" i="1"/>
  <c r="G823" i="1"/>
  <c r="F823" i="1"/>
  <c r="E823" i="1"/>
  <c r="I822" i="1"/>
  <c r="H822" i="1"/>
  <c r="G822" i="1"/>
  <c r="F822" i="1"/>
  <c r="E822" i="1"/>
  <c r="I821" i="1"/>
  <c r="H821" i="1"/>
  <c r="G821" i="1"/>
  <c r="F821" i="1"/>
  <c r="E821" i="1"/>
  <c r="I820" i="1"/>
  <c r="H820" i="1"/>
  <c r="G820" i="1"/>
  <c r="F820" i="1"/>
  <c r="E820" i="1"/>
  <c r="I819" i="1"/>
  <c r="H819" i="1"/>
  <c r="G819" i="1"/>
  <c r="F819" i="1"/>
  <c r="E819" i="1"/>
  <c r="I818" i="1"/>
  <c r="H818" i="1"/>
  <c r="G818" i="1"/>
  <c r="F818" i="1"/>
  <c r="E818" i="1"/>
  <c r="I817" i="1"/>
  <c r="H817" i="1"/>
  <c r="G817" i="1"/>
  <c r="F817" i="1"/>
  <c r="E817" i="1"/>
  <c r="I816" i="1"/>
  <c r="H816" i="1"/>
  <c r="G816" i="1"/>
  <c r="F816" i="1"/>
  <c r="E816" i="1"/>
  <c r="I815" i="1"/>
  <c r="H815" i="1"/>
  <c r="G815" i="1"/>
  <c r="F815" i="1"/>
  <c r="E815" i="1"/>
  <c r="I814" i="1"/>
  <c r="H814" i="1"/>
  <c r="G814" i="1"/>
  <c r="F814" i="1"/>
  <c r="E814" i="1"/>
  <c r="I813" i="1"/>
  <c r="H813" i="1"/>
  <c r="G813" i="1"/>
  <c r="F813" i="1"/>
  <c r="E813" i="1"/>
  <c r="I812" i="1"/>
  <c r="H812" i="1"/>
  <c r="G812" i="1"/>
  <c r="F812" i="1"/>
  <c r="E812" i="1"/>
  <c r="I811" i="1"/>
  <c r="H811" i="1"/>
  <c r="G811" i="1"/>
  <c r="F811" i="1"/>
  <c r="E811" i="1"/>
  <c r="I810" i="1"/>
  <c r="H810" i="1"/>
  <c r="G810" i="1"/>
  <c r="F810" i="1"/>
  <c r="E810" i="1"/>
  <c r="I809" i="1"/>
  <c r="H809" i="1"/>
  <c r="G809" i="1"/>
  <c r="F809" i="1"/>
  <c r="E809" i="1"/>
  <c r="I808" i="1"/>
  <c r="H808" i="1"/>
  <c r="G808" i="1"/>
  <c r="F808" i="1"/>
  <c r="E808" i="1"/>
  <c r="I807" i="1"/>
  <c r="H807" i="1"/>
  <c r="G807" i="1"/>
  <c r="F807" i="1"/>
  <c r="E807" i="1"/>
  <c r="I806" i="1"/>
  <c r="H806" i="1"/>
  <c r="G806" i="1"/>
  <c r="F806" i="1"/>
  <c r="E806" i="1"/>
  <c r="I805" i="1"/>
  <c r="H805" i="1"/>
  <c r="G805" i="1"/>
  <c r="F805" i="1"/>
  <c r="E805" i="1"/>
  <c r="I804" i="1"/>
  <c r="H804" i="1"/>
  <c r="G804" i="1"/>
  <c r="F804" i="1"/>
  <c r="E804" i="1"/>
  <c r="I803" i="1"/>
  <c r="H803" i="1"/>
  <c r="G803" i="1"/>
  <c r="F803" i="1"/>
  <c r="E803" i="1"/>
  <c r="I802" i="1"/>
  <c r="H802" i="1"/>
  <c r="G802" i="1"/>
  <c r="F802" i="1"/>
  <c r="E802" i="1"/>
  <c r="I801" i="1"/>
  <c r="H801" i="1"/>
  <c r="G801" i="1"/>
  <c r="F801" i="1"/>
  <c r="E801" i="1"/>
  <c r="I800" i="1"/>
  <c r="H800" i="1"/>
  <c r="G800" i="1"/>
  <c r="F800" i="1"/>
  <c r="E800" i="1"/>
  <c r="I799" i="1"/>
  <c r="H799" i="1"/>
  <c r="G799" i="1"/>
  <c r="F799" i="1"/>
  <c r="E799" i="1"/>
  <c r="I798" i="1"/>
  <c r="H798" i="1"/>
  <c r="G798" i="1"/>
  <c r="F798" i="1"/>
  <c r="E798" i="1"/>
  <c r="I797" i="1"/>
  <c r="H797" i="1"/>
  <c r="G797" i="1"/>
  <c r="F797" i="1"/>
  <c r="E797" i="1"/>
  <c r="I796" i="1"/>
  <c r="H796" i="1"/>
  <c r="G796" i="1"/>
  <c r="F796" i="1"/>
  <c r="E796" i="1"/>
  <c r="I795" i="1"/>
  <c r="H795" i="1"/>
  <c r="G795" i="1"/>
  <c r="F795" i="1"/>
  <c r="E795" i="1"/>
  <c r="I794" i="1"/>
  <c r="H794" i="1"/>
  <c r="G794" i="1"/>
  <c r="F794" i="1"/>
  <c r="E794" i="1"/>
  <c r="I793" i="1"/>
  <c r="H793" i="1"/>
  <c r="G793" i="1"/>
  <c r="F793" i="1"/>
  <c r="E793" i="1"/>
  <c r="I792" i="1"/>
  <c r="H792" i="1"/>
  <c r="G792" i="1"/>
  <c r="F792" i="1"/>
  <c r="E792" i="1"/>
  <c r="I791" i="1"/>
  <c r="H791" i="1"/>
  <c r="G791" i="1"/>
  <c r="F791" i="1"/>
  <c r="E791" i="1"/>
  <c r="I790" i="1"/>
  <c r="H790" i="1"/>
  <c r="G790" i="1"/>
  <c r="F790" i="1"/>
  <c r="E790" i="1"/>
  <c r="I789" i="1"/>
  <c r="H789" i="1"/>
  <c r="G789" i="1"/>
  <c r="F789" i="1"/>
  <c r="E789" i="1"/>
  <c r="I788" i="1"/>
  <c r="H788" i="1"/>
  <c r="G788" i="1"/>
  <c r="F788" i="1"/>
  <c r="E788" i="1"/>
  <c r="I787" i="1"/>
  <c r="H787" i="1"/>
  <c r="G787" i="1"/>
  <c r="F787" i="1"/>
  <c r="E787" i="1"/>
  <c r="I786" i="1"/>
  <c r="H786" i="1"/>
  <c r="G786" i="1"/>
  <c r="F786" i="1"/>
  <c r="E786" i="1"/>
  <c r="I785" i="1"/>
  <c r="H785" i="1"/>
  <c r="G785" i="1"/>
  <c r="F785" i="1"/>
  <c r="E785" i="1"/>
  <c r="I784" i="1"/>
  <c r="H784" i="1"/>
  <c r="G784" i="1"/>
  <c r="F784" i="1"/>
  <c r="E784" i="1"/>
  <c r="I783" i="1"/>
  <c r="H783" i="1"/>
  <c r="G783" i="1"/>
  <c r="F783" i="1"/>
  <c r="E783" i="1"/>
  <c r="I782" i="1"/>
  <c r="H782" i="1"/>
  <c r="G782" i="1"/>
  <c r="F782" i="1"/>
  <c r="E782" i="1"/>
  <c r="I781" i="1"/>
  <c r="H781" i="1"/>
  <c r="G781" i="1"/>
  <c r="F781" i="1"/>
  <c r="E781" i="1"/>
  <c r="I780" i="1"/>
  <c r="H780" i="1"/>
  <c r="G780" i="1"/>
  <c r="F780" i="1"/>
  <c r="E780" i="1"/>
  <c r="I779" i="1"/>
  <c r="H779" i="1"/>
  <c r="G779" i="1"/>
  <c r="F779" i="1"/>
  <c r="E779" i="1"/>
  <c r="I778" i="1"/>
  <c r="H778" i="1"/>
  <c r="G778" i="1"/>
  <c r="F778" i="1"/>
  <c r="E778" i="1"/>
  <c r="I777" i="1"/>
  <c r="H777" i="1"/>
  <c r="G777" i="1"/>
  <c r="F777" i="1"/>
  <c r="E777" i="1"/>
  <c r="I776" i="1"/>
  <c r="H776" i="1"/>
  <c r="G776" i="1"/>
  <c r="F776" i="1"/>
  <c r="E776" i="1"/>
  <c r="I775" i="1"/>
  <c r="H775" i="1"/>
  <c r="G775" i="1"/>
  <c r="F775" i="1"/>
  <c r="E775" i="1"/>
  <c r="I774" i="1"/>
  <c r="H774" i="1"/>
  <c r="G774" i="1"/>
  <c r="F774" i="1"/>
  <c r="E774" i="1"/>
  <c r="I773" i="1"/>
  <c r="H773" i="1"/>
  <c r="G773" i="1"/>
  <c r="F773" i="1"/>
  <c r="E773" i="1"/>
  <c r="I772" i="1"/>
  <c r="H772" i="1"/>
  <c r="G772" i="1"/>
  <c r="F772" i="1"/>
  <c r="E772" i="1"/>
  <c r="I771" i="1"/>
  <c r="H771" i="1"/>
  <c r="G771" i="1"/>
  <c r="F771" i="1"/>
  <c r="E771" i="1"/>
  <c r="I770" i="1"/>
  <c r="H770" i="1"/>
  <c r="G770" i="1"/>
  <c r="F770" i="1"/>
  <c r="E770" i="1"/>
  <c r="I769" i="1"/>
  <c r="H769" i="1"/>
  <c r="G769" i="1"/>
  <c r="F769" i="1"/>
  <c r="E769" i="1"/>
  <c r="I768" i="1"/>
  <c r="H768" i="1"/>
  <c r="G768" i="1"/>
  <c r="F768" i="1"/>
  <c r="E768" i="1"/>
  <c r="I767" i="1"/>
  <c r="H767" i="1"/>
  <c r="G767" i="1"/>
  <c r="F767" i="1"/>
  <c r="E767" i="1"/>
  <c r="I766" i="1"/>
  <c r="H766" i="1"/>
  <c r="G766" i="1"/>
  <c r="F766" i="1"/>
  <c r="E766" i="1"/>
  <c r="I765" i="1"/>
  <c r="H765" i="1"/>
  <c r="G765" i="1"/>
  <c r="F765" i="1"/>
  <c r="E765" i="1"/>
  <c r="I764" i="1"/>
  <c r="H764" i="1"/>
  <c r="G764" i="1"/>
  <c r="F764" i="1"/>
  <c r="E764" i="1"/>
  <c r="I763" i="1"/>
  <c r="H763" i="1"/>
  <c r="G763" i="1"/>
  <c r="F763" i="1"/>
  <c r="E763" i="1"/>
  <c r="I762" i="1"/>
  <c r="H762" i="1"/>
  <c r="G762" i="1"/>
  <c r="F762" i="1"/>
  <c r="E762" i="1"/>
  <c r="I761" i="1"/>
  <c r="H761" i="1"/>
  <c r="G761" i="1"/>
  <c r="F761" i="1"/>
  <c r="E761" i="1"/>
  <c r="I760" i="1"/>
  <c r="H760" i="1"/>
  <c r="G760" i="1"/>
  <c r="F760" i="1"/>
  <c r="E760" i="1"/>
  <c r="I759" i="1"/>
  <c r="H759" i="1"/>
  <c r="G759" i="1"/>
  <c r="F759" i="1"/>
  <c r="E759" i="1"/>
  <c r="I758" i="1"/>
  <c r="H758" i="1"/>
  <c r="G758" i="1"/>
  <c r="F758" i="1"/>
  <c r="E758" i="1"/>
  <c r="I757" i="1"/>
  <c r="H757" i="1"/>
  <c r="G757" i="1"/>
  <c r="F757" i="1"/>
  <c r="E757" i="1"/>
  <c r="I756" i="1"/>
  <c r="H756" i="1"/>
  <c r="G756" i="1"/>
  <c r="F756" i="1"/>
  <c r="E756" i="1"/>
  <c r="I755" i="1"/>
  <c r="H755" i="1"/>
  <c r="G755" i="1"/>
  <c r="F755" i="1"/>
  <c r="E755" i="1"/>
  <c r="I754" i="1"/>
  <c r="H754" i="1"/>
  <c r="G754" i="1"/>
  <c r="F754" i="1"/>
  <c r="E754" i="1"/>
  <c r="I753" i="1"/>
  <c r="H753" i="1"/>
  <c r="G753" i="1"/>
  <c r="F753" i="1"/>
  <c r="E753" i="1"/>
  <c r="I752" i="1"/>
  <c r="H752" i="1"/>
  <c r="G752" i="1"/>
  <c r="F752" i="1"/>
  <c r="E752" i="1"/>
  <c r="I751" i="1"/>
  <c r="H751" i="1"/>
  <c r="G751" i="1"/>
  <c r="F751" i="1"/>
  <c r="E751" i="1"/>
  <c r="I750" i="1"/>
  <c r="H750" i="1"/>
  <c r="G750" i="1"/>
  <c r="F750" i="1"/>
  <c r="E750" i="1"/>
  <c r="I749" i="1"/>
  <c r="H749" i="1"/>
  <c r="G749" i="1"/>
  <c r="F749" i="1"/>
  <c r="E749" i="1"/>
  <c r="I748" i="1"/>
  <c r="H748" i="1"/>
  <c r="G748" i="1"/>
  <c r="F748" i="1"/>
  <c r="E748" i="1"/>
  <c r="I747" i="1"/>
  <c r="H747" i="1"/>
  <c r="G747" i="1"/>
  <c r="F747" i="1"/>
  <c r="E747" i="1"/>
  <c r="I746" i="1"/>
  <c r="H746" i="1"/>
  <c r="G746" i="1"/>
  <c r="F746" i="1"/>
  <c r="E746" i="1"/>
  <c r="I745" i="1"/>
  <c r="H745" i="1"/>
  <c r="G745" i="1"/>
  <c r="F745" i="1"/>
  <c r="E745" i="1"/>
  <c r="I744" i="1"/>
  <c r="H744" i="1"/>
  <c r="G744" i="1"/>
  <c r="F744" i="1"/>
  <c r="E744" i="1"/>
  <c r="I743" i="1"/>
  <c r="H743" i="1"/>
  <c r="G743" i="1"/>
  <c r="F743" i="1"/>
  <c r="E743" i="1"/>
  <c r="I742" i="1"/>
  <c r="H742" i="1"/>
  <c r="G742" i="1"/>
  <c r="F742" i="1"/>
  <c r="E742" i="1"/>
  <c r="I741" i="1"/>
  <c r="H741" i="1"/>
  <c r="G741" i="1"/>
  <c r="F741" i="1"/>
  <c r="E741" i="1"/>
  <c r="I740" i="1"/>
  <c r="H740" i="1"/>
  <c r="G740" i="1"/>
  <c r="F740" i="1"/>
  <c r="E740" i="1"/>
  <c r="I739" i="1"/>
  <c r="H739" i="1"/>
  <c r="G739" i="1"/>
  <c r="F739" i="1"/>
  <c r="E739" i="1"/>
  <c r="I738" i="1"/>
  <c r="H738" i="1"/>
  <c r="G738" i="1"/>
  <c r="F738" i="1"/>
  <c r="E738" i="1"/>
  <c r="I737" i="1"/>
  <c r="H737" i="1"/>
  <c r="G737" i="1"/>
  <c r="F737" i="1"/>
  <c r="E737" i="1"/>
  <c r="I736" i="1"/>
  <c r="H736" i="1"/>
  <c r="G736" i="1"/>
  <c r="F736" i="1"/>
  <c r="E736" i="1"/>
  <c r="I735" i="1"/>
  <c r="H735" i="1"/>
  <c r="G735" i="1"/>
  <c r="F735" i="1"/>
  <c r="E735" i="1"/>
  <c r="I734" i="1"/>
  <c r="H734" i="1"/>
  <c r="G734" i="1"/>
  <c r="F734" i="1"/>
  <c r="E734" i="1"/>
  <c r="I733" i="1"/>
  <c r="H733" i="1"/>
  <c r="G733" i="1"/>
  <c r="F733" i="1"/>
  <c r="E733" i="1"/>
  <c r="I732" i="1"/>
  <c r="H732" i="1"/>
  <c r="G732" i="1"/>
  <c r="F732" i="1"/>
  <c r="E732" i="1"/>
  <c r="I731" i="1"/>
  <c r="H731" i="1"/>
  <c r="G731" i="1"/>
  <c r="F731" i="1"/>
  <c r="E731" i="1"/>
  <c r="I730" i="1"/>
  <c r="H730" i="1"/>
  <c r="G730" i="1"/>
  <c r="F730" i="1"/>
  <c r="E730" i="1"/>
  <c r="I729" i="1"/>
  <c r="H729" i="1"/>
  <c r="G729" i="1"/>
  <c r="F729" i="1"/>
  <c r="E729" i="1"/>
  <c r="I728" i="1"/>
  <c r="H728" i="1"/>
  <c r="G728" i="1"/>
  <c r="F728" i="1"/>
  <c r="E728" i="1"/>
  <c r="I727" i="1"/>
  <c r="H727" i="1"/>
  <c r="G727" i="1"/>
  <c r="F727" i="1"/>
  <c r="E727" i="1"/>
  <c r="I726" i="1"/>
  <c r="H726" i="1"/>
  <c r="G726" i="1"/>
  <c r="F726" i="1"/>
  <c r="E726" i="1"/>
  <c r="I725" i="1"/>
  <c r="H725" i="1"/>
  <c r="G725" i="1"/>
  <c r="F725" i="1"/>
  <c r="E725" i="1"/>
  <c r="I724" i="1"/>
  <c r="H724" i="1"/>
  <c r="G724" i="1"/>
  <c r="F724" i="1"/>
  <c r="E724" i="1"/>
  <c r="I723" i="1"/>
  <c r="H723" i="1"/>
  <c r="G723" i="1"/>
  <c r="F723" i="1"/>
  <c r="E723" i="1"/>
  <c r="I722" i="1"/>
  <c r="H722" i="1"/>
  <c r="G722" i="1"/>
  <c r="F722" i="1"/>
  <c r="E722" i="1"/>
  <c r="I721" i="1"/>
  <c r="H721" i="1"/>
  <c r="G721" i="1"/>
  <c r="F721" i="1"/>
  <c r="E721" i="1"/>
  <c r="I720" i="1"/>
  <c r="H720" i="1"/>
  <c r="G720" i="1"/>
  <c r="F720" i="1"/>
  <c r="E720" i="1"/>
  <c r="I719" i="1"/>
  <c r="H719" i="1"/>
  <c r="G719" i="1"/>
  <c r="F719" i="1"/>
  <c r="E719" i="1"/>
  <c r="I718" i="1"/>
  <c r="H718" i="1"/>
  <c r="G718" i="1"/>
  <c r="F718" i="1"/>
  <c r="E718" i="1"/>
  <c r="I717" i="1"/>
  <c r="H717" i="1"/>
  <c r="G717" i="1"/>
  <c r="F717" i="1"/>
  <c r="E717" i="1"/>
  <c r="I716" i="1"/>
  <c r="H716" i="1"/>
  <c r="G716" i="1"/>
  <c r="F716" i="1"/>
  <c r="E716" i="1"/>
  <c r="I715" i="1"/>
  <c r="H715" i="1"/>
  <c r="G715" i="1"/>
  <c r="F715" i="1"/>
  <c r="E715" i="1"/>
  <c r="I714" i="1"/>
  <c r="H714" i="1"/>
  <c r="G714" i="1"/>
  <c r="F714" i="1"/>
  <c r="E714" i="1"/>
  <c r="I713" i="1"/>
  <c r="H713" i="1"/>
  <c r="G713" i="1"/>
  <c r="F713" i="1"/>
  <c r="E713" i="1"/>
  <c r="I712" i="1"/>
  <c r="H712" i="1"/>
  <c r="G712" i="1"/>
  <c r="F712" i="1"/>
  <c r="E712" i="1"/>
  <c r="I711" i="1"/>
  <c r="H711" i="1"/>
  <c r="G711" i="1"/>
  <c r="F711" i="1"/>
  <c r="E711" i="1"/>
  <c r="I710" i="1"/>
  <c r="H710" i="1"/>
  <c r="G710" i="1"/>
  <c r="F710" i="1"/>
  <c r="E710" i="1"/>
  <c r="I709" i="1"/>
  <c r="H709" i="1"/>
  <c r="G709" i="1"/>
  <c r="F709" i="1"/>
  <c r="E709" i="1"/>
  <c r="I708" i="1"/>
  <c r="H708" i="1"/>
  <c r="G708" i="1"/>
  <c r="F708" i="1"/>
  <c r="E708" i="1"/>
  <c r="I707" i="1"/>
  <c r="H707" i="1"/>
  <c r="G707" i="1"/>
  <c r="F707" i="1"/>
  <c r="E707" i="1"/>
  <c r="I706" i="1"/>
  <c r="H706" i="1"/>
  <c r="G706" i="1"/>
  <c r="F706" i="1"/>
  <c r="E706" i="1"/>
  <c r="I705" i="1"/>
  <c r="H705" i="1"/>
  <c r="G705" i="1"/>
  <c r="F705" i="1"/>
  <c r="E705" i="1"/>
  <c r="I704" i="1"/>
  <c r="H704" i="1"/>
  <c r="G704" i="1"/>
  <c r="F704" i="1"/>
  <c r="E704" i="1"/>
  <c r="I703" i="1"/>
  <c r="H703" i="1"/>
  <c r="G703" i="1"/>
  <c r="F703" i="1"/>
  <c r="E703" i="1"/>
  <c r="I702" i="1"/>
  <c r="H702" i="1"/>
  <c r="G702" i="1"/>
  <c r="F702" i="1"/>
  <c r="E702" i="1"/>
  <c r="I701" i="1"/>
  <c r="H701" i="1"/>
  <c r="G701" i="1"/>
  <c r="F701" i="1"/>
  <c r="E701" i="1"/>
  <c r="I700" i="1"/>
  <c r="H700" i="1"/>
  <c r="G700" i="1"/>
  <c r="F700" i="1"/>
  <c r="E700" i="1"/>
  <c r="I699" i="1"/>
  <c r="H699" i="1"/>
  <c r="G699" i="1"/>
  <c r="F699" i="1"/>
  <c r="E699" i="1"/>
  <c r="I698" i="1"/>
  <c r="H698" i="1"/>
  <c r="G698" i="1"/>
  <c r="F698" i="1"/>
  <c r="E698" i="1"/>
  <c r="I697" i="1"/>
  <c r="H697" i="1"/>
  <c r="G697" i="1"/>
  <c r="F697" i="1"/>
  <c r="E697" i="1"/>
  <c r="I696" i="1"/>
  <c r="H696" i="1"/>
  <c r="G696" i="1"/>
  <c r="F696" i="1"/>
  <c r="E696" i="1"/>
  <c r="I695" i="1"/>
  <c r="H695" i="1"/>
  <c r="G695" i="1"/>
  <c r="F695" i="1"/>
  <c r="E695" i="1"/>
  <c r="I694" i="1"/>
  <c r="H694" i="1"/>
  <c r="G694" i="1"/>
  <c r="F694" i="1"/>
  <c r="E694" i="1"/>
  <c r="I693" i="1"/>
  <c r="H693" i="1"/>
  <c r="G693" i="1"/>
  <c r="F693" i="1"/>
  <c r="E693" i="1"/>
  <c r="I692" i="1"/>
  <c r="H692" i="1"/>
  <c r="G692" i="1"/>
  <c r="F692" i="1"/>
  <c r="E692" i="1"/>
  <c r="I691" i="1"/>
  <c r="H691" i="1"/>
  <c r="G691" i="1"/>
  <c r="F691" i="1"/>
  <c r="E691" i="1"/>
  <c r="I690" i="1"/>
  <c r="H690" i="1"/>
  <c r="G690" i="1"/>
  <c r="F690" i="1"/>
  <c r="E690" i="1"/>
  <c r="I689" i="1"/>
  <c r="H689" i="1"/>
  <c r="G689" i="1"/>
  <c r="F689" i="1"/>
  <c r="E689" i="1"/>
  <c r="I688" i="1"/>
  <c r="H688" i="1"/>
  <c r="G688" i="1"/>
  <c r="F688" i="1"/>
  <c r="E688" i="1"/>
  <c r="I687" i="1"/>
  <c r="H687" i="1"/>
  <c r="G687" i="1"/>
  <c r="F687" i="1"/>
  <c r="E687" i="1"/>
  <c r="I686" i="1"/>
  <c r="H686" i="1"/>
  <c r="G686" i="1"/>
  <c r="F686" i="1"/>
  <c r="E686" i="1"/>
  <c r="I685" i="1"/>
  <c r="H685" i="1"/>
  <c r="G685" i="1"/>
  <c r="F685" i="1"/>
  <c r="E685" i="1"/>
  <c r="I684" i="1"/>
  <c r="H684" i="1"/>
  <c r="G684" i="1"/>
  <c r="F684" i="1"/>
  <c r="E684" i="1"/>
  <c r="I683" i="1"/>
  <c r="H683" i="1"/>
  <c r="G683" i="1"/>
  <c r="F683" i="1"/>
  <c r="E683" i="1"/>
  <c r="I682" i="1"/>
  <c r="H682" i="1"/>
  <c r="G682" i="1"/>
  <c r="F682" i="1"/>
  <c r="E682" i="1"/>
  <c r="I681" i="1"/>
  <c r="H681" i="1"/>
  <c r="G681" i="1"/>
  <c r="F681" i="1"/>
  <c r="E681" i="1"/>
  <c r="I680" i="1"/>
  <c r="H680" i="1"/>
  <c r="G680" i="1"/>
  <c r="F680" i="1"/>
  <c r="E680" i="1"/>
  <c r="I679" i="1"/>
  <c r="H679" i="1"/>
  <c r="G679" i="1"/>
  <c r="F679" i="1"/>
  <c r="E679" i="1"/>
  <c r="I678" i="1"/>
  <c r="H678" i="1"/>
  <c r="G678" i="1"/>
  <c r="F678" i="1"/>
  <c r="E678" i="1"/>
  <c r="I677" i="1"/>
  <c r="H677" i="1"/>
  <c r="G677" i="1"/>
  <c r="F677" i="1"/>
  <c r="E677" i="1"/>
  <c r="I676" i="1"/>
  <c r="H676" i="1"/>
  <c r="G676" i="1"/>
  <c r="F676" i="1"/>
  <c r="E676" i="1"/>
  <c r="I675" i="1"/>
  <c r="H675" i="1"/>
  <c r="G675" i="1"/>
  <c r="F675" i="1"/>
  <c r="E675" i="1"/>
  <c r="I674" i="1"/>
  <c r="H674" i="1"/>
  <c r="G674" i="1"/>
  <c r="F674" i="1"/>
  <c r="E674" i="1"/>
  <c r="I673" i="1"/>
  <c r="H673" i="1"/>
  <c r="G673" i="1"/>
  <c r="F673" i="1"/>
  <c r="E673" i="1"/>
  <c r="I672" i="1"/>
  <c r="H672" i="1"/>
  <c r="G672" i="1"/>
  <c r="F672" i="1"/>
  <c r="E672" i="1"/>
  <c r="I671" i="1"/>
  <c r="H671" i="1"/>
  <c r="G671" i="1"/>
  <c r="F671" i="1"/>
  <c r="E671" i="1"/>
  <c r="I670" i="1"/>
  <c r="H670" i="1"/>
  <c r="G670" i="1"/>
  <c r="F670" i="1"/>
  <c r="E670" i="1"/>
  <c r="I669" i="1"/>
  <c r="H669" i="1"/>
  <c r="G669" i="1"/>
  <c r="F669" i="1"/>
  <c r="E669" i="1"/>
  <c r="I668" i="1"/>
  <c r="H668" i="1"/>
  <c r="G668" i="1"/>
  <c r="F668" i="1"/>
  <c r="E668" i="1"/>
  <c r="I667" i="1"/>
  <c r="H667" i="1"/>
  <c r="G667" i="1"/>
  <c r="F667" i="1"/>
  <c r="E667" i="1"/>
  <c r="I666" i="1"/>
  <c r="H666" i="1"/>
  <c r="G666" i="1"/>
  <c r="F666" i="1"/>
  <c r="E666" i="1"/>
  <c r="I665" i="1"/>
  <c r="H665" i="1"/>
  <c r="G665" i="1"/>
  <c r="F665" i="1"/>
  <c r="E665" i="1"/>
  <c r="I664" i="1"/>
  <c r="H664" i="1"/>
  <c r="G664" i="1"/>
  <c r="F664" i="1"/>
  <c r="E664" i="1"/>
  <c r="I663" i="1"/>
  <c r="H663" i="1"/>
  <c r="G663" i="1"/>
  <c r="F663" i="1"/>
  <c r="E663" i="1"/>
  <c r="I662" i="1"/>
  <c r="H662" i="1"/>
  <c r="G662" i="1"/>
  <c r="F662" i="1"/>
  <c r="E662" i="1"/>
  <c r="I661" i="1"/>
  <c r="H661" i="1"/>
  <c r="G661" i="1"/>
  <c r="F661" i="1"/>
  <c r="E661" i="1"/>
  <c r="I660" i="1"/>
  <c r="H660" i="1"/>
  <c r="G660" i="1"/>
  <c r="F660" i="1"/>
  <c r="E660" i="1"/>
  <c r="I659" i="1"/>
  <c r="H659" i="1"/>
  <c r="G659" i="1"/>
  <c r="F659" i="1"/>
  <c r="E659" i="1"/>
  <c r="I658" i="1"/>
  <c r="H658" i="1"/>
  <c r="G658" i="1"/>
  <c r="F658" i="1"/>
  <c r="E658" i="1"/>
  <c r="I657" i="1"/>
  <c r="H657" i="1"/>
  <c r="G657" i="1"/>
  <c r="F657" i="1"/>
  <c r="E657" i="1"/>
  <c r="I656" i="1"/>
  <c r="H656" i="1"/>
  <c r="G656" i="1"/>
  <c r="F656" i="1"/>
  <c r="E656" i="1"/>
  <c r="I655" i="1"/>
  <c r="H655" i="1"/>
  <c r="G655" i="1"/>
  <c r="F655" i="1"/>
  <c r="E655" i="1"/>
  <c r="I654" i="1"/>
  <c r="H654" i="1"/>
  <c r="G654" i="1"/>
  <c r="F654" i="1"/>
  <c r="E654" i="1"/>
  <c r="I653" i="1"/>
  <c r="H653" i="1"/>
  <c r="G653" i="1"/>
  <c r="F653" i="1"/>
  <c r="E653" i="1"/>
  <c r="I652" i="1"/>
  <c r="H652" i="1"/>
  <c r="G652" i="1"/>
  <c r="F652" i="1"/>
  <c r="E652" i="1"/>
  <c r="I651" i="1"/>
  <c r="H651" i="1"/>
  <c r="G651" i="1"/>
  <c r="F651" i="1"/>
  <c r="E651" i="1"/>
  <c r="I650" i="1"/>
  <c r="H650" i="1"/>
  <c r="G650" i="1"/>
  <c r="F650" i="1"/>
  <c r="E650" i="1"/>
  <c r="I649" i="1"/>
  <c r="H649" i="1"/>
  <c r="G649" i="1"/>
  <c r="F649" i="1"/>
  <c r="E649" i="1"/>
  <c r="I648" i="1"/>
  <c r="H648" i="1"/>
  <c r="G648" i="1"/>
  <c r="F648" i="1"/>
  <c r="E648" i="1"/>
  <c r="I647" i="1"/>
  <c r="H647" i="1"/>
  <c r="G647" i="1"/>
  <c r="F647" i="1"/>
  <c r="E647" i="1"/>
  <c r="I646" i="1"/>
  <c r="H646" i="1"/>
  <c r="G646" i="1"/>
  <c r="F646" i="1"/>
  <c r="E646" i="1"/>
  <c r="I645" i="1"/>
  <c r="H645" i="1"/>
  <c r="G645" i="1"/>
  <c r="F645" i="1"/>
  <c r="E645" i="1"/>
  <c r="I644" i="1"/>
  <c r="H644" i="1"/>
  <c r="G644" i="1"/>
  <c r="F644" i="1"/>
  <c r="E644" i="1"/>
  <c r="I643" i="1"/>
  <c r="H643" i="1"/>
  <c r="G643" i="1"/>
  <c r="F643" i="1"/>
  <c r="E643" i="1"/>
  <c r="I642" i="1"/>
  <c r="H642" i="1"/>
  <c r="G642" i="1"/>
  <c r="F642" i="1"/>
  <c r="E642" i="1"/>
  <c r="I641" i="1"/>
  <c r="H641" i="1"/>
  <c r="G641" i="1"/>
  <c r="F641" i="1"/>
  <c r="E641" i="1"/>
  <c r="I640" i="1"/>
  <c r="H640" i="1"/>
  <c r="G640" i="1"/>
  <c r="F640" i="1"/>
  <c r="E640" i="1"/>
  <c r="I639" i="1"/>
  <c r="H639" i="1"/>
  <c r="G639" i="1"/>
  <c r="F639" i="1"/>
  <c r="E639" i="1"/>
  <c r="I638" i="1"/>
  <c r="H638" i="1"/>
  <c r="G638" i="1"/>
  <c r="F638" i="1"/>
  <c r="E638" i="1"/>
  <c r="I637" i="1"/>
  <c r="H637" i="1"/>
  <c r="G637" i="1"/>
  <c r="F637" i="1"/>
  <c r="E637" i="1"/>
  <c r="I636" i="1"/>
  <c r="H636" i="1"/>
  <c r="G636" i="1"/>
  <c r="F636" i="1"/>
  <c r="E636" i="1"/>
  <c r="I635" i="1"/>
  <c r="H635" i="1"/>
  <c r="G635" i="1"/>
  <c r="F635" i="1"/>
  <c r="E635" i="1"/>
  <c r="I634" i="1"/>
  <c r="H634" i="1"/>
  <c r="G634" i="1"/>
  <c r="F634" i="1"/>
  <c r="E634" i="1"/>
  <c r="I633" i="1"/>
  <c r="H633" i="1"/>
  <c r="G633" i="1"/>
  <c r="F633" i="1"/>
  <c r="E633" i="1"/>
  <c r="I632" i="1"/>
  <c r="H632" i="1"/>
  <c r="G632" i="1"/>
  <c r="F632" i="1"/>
  <c r="E632" i="1"/>
  <c r="I631" i="1"/>
  <c r="H631" i="1"/>
  <c r="G631" i="1"/>
  <c r="F631" i="1"/>
  <c r="E631" i="1"/>
  <c r="I630" i="1"/>
  <c r="H630" i="1"/>
  <c r="G630" i="1"/>
  <c r="F630" i="1"/>
  <c r="E630" i="1"/>
  <c r="I629" i="1"/>
  <c r="H629" i="1"/>
  <c r="G629" i="1"/>
  <c r="F629" i="1"/>
  <c r="E629" i="1"/>
  <c r="I628" i="1"/>
  <c r="H628" i="1"/>
  <c r="G628" i="1"/>
  <c r="F628" i="1"/>
  <c r="E628" i="1"/>
  <c r="I627" i="1"/>
  <c r="H627" i="1"/>
  <c r="G627" i="1"/>
  <c r="F627" i="1"/>
  <c r="E627" i="1"/>
  <c r="I626" i="1"/>
  <c r="H626" i="1"/>
  <c r="G626" i="1"/>
  <c r="F626" i="1"/>
  <c r="E626" i="1"/>
  <c r="I625" i="1"/>
  <c r="H625" i="1"/>
  <c r="G625" i="1"/>
  <c r="F625" i="1"/>
  <c r="E625" i="1"/>
  <c r="I624" i="1"/>
  <c r="H624" i="1"/>
  <c r="G624" i="1"/>
  <c r="F624" i="1"/>
  <c r="E624" i="1"/>
  <c r="I623" i="1"/>
  <c r="H623" i="1"/>
  <c r="G623" i="1"/>
  <c r="F623" i="1"/>
  <c r="E623" i="1"/>
  <c r="I622" i="1"/>
  <c r="H622" i="1"/>
  <c r="G622" i="1"/>
  <c r="F622" i="1"/>
  <c r="E622" i="1"/>
  <c r="I621" i="1"/>
  <c r="H621" i="1"/>
  <c r="G621" i="1"/>
  <c r="F621" i="1"/>
  <c r="E621" i="1"/>
  <c r="I620" i="1"/>
  <c r="H620" i="1"/>
  <c r="G620" i="1"/>
  <c r="F620" i="1"/>
  <c r="E620" i="1"/>
  <c r="I619" i="1"/>
  <c r="H619" i="1"/>
  <c r="G619" i="1"/>
  <c r="F619" i="1"/>
  <c r="E619" i="1"/>
  <c r="I618" i="1"/>
  <c r="H618" i="1"/>
  <c r="G618" i="1"/>
  <c r="F618" i="1"/>
  <c r="E618" i="1"/>
  <c r="I617" i="1"/>
  <c r="H617" i="1"/>
  <c r="G617" i="1"/>
  <c r="F617" i="1"/>
  <c r="E617" i="1"/>
  <c r="I616" i="1"/>
  <c r="H616" i="1"/>
  <c r="G616" i="1"/>
  <c r="F616" i="1"/>
  <c r="E616" i="1"/>
  <c r="I615" i="1"/>
  <c r="H615" i="1"/>
  <c r="G615" i="1"/>
  <c r="F615" i="1"/>
  <c r="E615" i="1"/>
  <c r="I614" i="1"/>
  <c r="H614" i="1"/>
  <c r="G614" i="1"/>
  <c r="F614" i="1"/>
  <c r="E614" i="1"/>
  <c r="I613" i="1"/>
  <c r="H613" i="1"/>
  <c r="G613" i="1"/>
  <c r="F613" i="1"/>
  <c r="E613" i="1"/>
  <c r="I612" i="1"/>
  <c r="H612" i="1"/>
  <c r="G612" i="1"/>
  <c r="F612" i="1"/>
  <c r="E612" i="1"/>
  <c r="I611" i="1"/>
  <c r="H611" i="1"/>
  <c r="G611" i="1"/>
  <c r="F611" i="1"/>
  <c r="E611" i="1"/>
  <c r="I610" i="1"/>
  <c r="H610" i="1"/>
  <c r="G610" i="1"/>
  <c r="F610" i="1"/>
  <c r="E610" i="1"/>
  <c r="I609" i="1"/>
  <c r="H609" i="1"/>
  <c r="G609" i="1"/>
  <c r="F609" i="1"/>
  <c r="E609" i="1"/>
  <c r="I608" i="1"/>
  <c r="H608" i="1"/>
  <c r="G608" i="1"/>
  <c r="F608" i="1"/>
  <c r="E608" i="1"/>
  <c r="I607" i="1"/>
  <c r="H607" i="1"/>
  <c r="G607" i="1"/>
  <c r="F607" i="1"/>
  <c r="E607" i="1"/>
  <c r="I606" i="1"/>
  <c r="H606" i="1"/>
  <c r="G606" i="1"/>
  <c r="F606" i="1"/>
  <c r="E606" i="1"/>
  <c r="I605" i="1"/>
  <c r="H605" i="1"/>
  <c r="G605" i="1"/>
  <c r="F605" i="1"/>
  <c r="E605" i="1"/>
  <c r="I604" i="1"/>
  <c r="H604" i="1"/>
  <c r="G604" i="1"/>
  <c r="F604" i="1"/>
  <c r="E604" i="1"/>
  <c r="I603" i="1"/>
  <c r="H603" i="1"/>
  <c r="G603" i="1"/>
  <c r="F603" i="1"/>
  <c r="E603" i="1"/>
  <c r="I602" i="1"/>
  <c r="H602" i="1"/>
  <c r="G602" i="1"/>
  <c r="F602" i="1"/>
  <c r="E602" i="1"/>
  <c r="I601" i="1"/>
  <c r="H601" i="1"/>
  <c r="G601" i="1"/>
  <c r="F601" i="1"/>
  <c r="E601" i="1"/>
  <c r="I600" i="1"/>
  <c r="H600" i="1"/>
  <c r="G600" i="1"/>
  <c r="F600" i="1"/>
  <c r="E600" i="1"/>
  <c r="I599" i="1"/>
  <c r="H599" i="1"/>
  <c r="G599" i="1"/>
  <c r="F599" i="1"/>
  <c r="E599" i="1"/>
  <c r="I598" i="1"/>
  <c r="H598" i="1"/>
  <c r="G598" i="1"/>
  <c r="F598" i="1"/>
  <c r="E598" i="1"/>
  <c r="I597" i="1"/>
  <c r="H597" i="1"/>
  <c r="G597" i="1"/>
  <c r="F597" i="1"/>
  <c r="E597" i="1"/>
  <c r="I596" i="1"/>
  <c r="H596" i="1"/>
  <c r="G596" i="1"/>
  <c r="F596" i="1"/>
  <c r="E596" i="1"/>
  <c r="I595" i="1"/>
  <c r="H595" i="1"/>
  <c r="G595" i="1"/>
  <c r="F595" i="1"/>
  <c r="E595" i="1"/>
  <c r="I594" i="1"/>
  <c r="H594" i="1"/>
  <c r="G594" i="1"/>
  <c r="F594" i="1"/>
  <c r="E594" i="1"/>
  <c r="I593" i="1"/>
  <c r="H593" i="1"/>
  <c r="G593" i="1"/>
  <c r="F593" i="1"/>
  <c r="E593" i="1"/>
  <c r="I592" i="1"/>
  <c r="H592" i="1"/>
  <c r="G592" i="1"/>
  <c r="F592" i="1"/>
  <c r="E592" i="1"/>
  <c r="I591" i="1"/>
  <c r="H591" i="1"/>
  <c r="G591" i="1"/>
  <c r="F591" i="1"/>
  <c r="E591" i="1"/>
  <c r="I590" i="1"/>
  <c r="H590" i="1"/>
  <c r="G590" i="1"/>
  <c r="F590" i="1"/>
  <c r="E590" i="1"/>
  <c r="I589" i="1"/>
  <c r="H589" i="1"/>
  <c r="G589" i="1"/>
  <c r="F589" i="1"/>
  <c r="E589" i="1"/>
  <c r="I588" i="1"/>
  <c r="H588" i="1"/>
  <c r="G588" i="1"/>
  <c r="F588" i="1"/>
  <c r="E588" i="1"/>
  <c r="I587" i="1"/>
  <c r="H587" i="1"/>
  <c r="G587" i="1"/>
  <c r="F587" i="1"/>
  <c r="E587" i="1"/>
  <c r="I586" i="1"/>
  <c r="H586" i="1"/>
  <c r="G586" i="1"/>
  <c r="F586" i="1"/>
  <c r="E586" i="1"/>
  <c r="I585" i="1"/>
  <c r="H585" i="1"/>
  <c r="G585" i="1"/>
  <c r="F585" i="1"/>
  <c r="E585" i="1"/>
  <c r="I584" i="1"/>
  <c r="H584" i="1"/>
  <c r="G584" i="1"/>
  <c r="F584" i="1"/>
  <c r="E584" i="1"/>
  <c r="I583" i="1"/>
  <c r="H583" i="1"/>
  <c r="G583" i="1"/>
  <c r="F583" i="1"/>
  <c r="E583" i="1"/>
  <c r="I582" i="1"/>
  <c r="H582" i="1"/>
  <c r="G582" i="1"/>
  <c r="F582" i="1"/>
  <c r="E582" i="1"/>
  <c r="I581" i="1"/>
  <c r="H581" i="1"/>
  <c r="G581" i="1"/>
  <c r="F581" i="1"/>
  <c r="E581" i="1"/>
  <c r="I580" i="1"/>
  <c r="H580" i="1"/>
  <c r="G580" i="1"/>
  <c r="F580" i="1"/>
  <c r="E580" i="1"/>
  <c r="I579" i="1"/>
  <c r="H579" i="1"/>
  <c r="G579" i="1"/>
  <c r="F579" i="1"/>
  <c r="E579" i="1"/>
  <c r="I578" i="1"/>
  <c r="H578" i="1"/>
  <c r="G578" i="1"/>
  <c r="F578" i="1"/>
  <c r="E578" i="1"/>
  <c r="I577" i="1"/>
  <c r="H577" i="1"/>
  <c r="G577" i="1"/>
  <c r="F577" i="1"/>
  <c r="E577" i="1"/>
  <c r="I576" i="1"/>
  <c r="H576" i="1"/>
  <c r="G576" i="1"/>
  <c r="F576" i="1"/>
  <c r="E576" i="1"/>
  <c r="I575" i="1"/>
  <c r="H575" i="1"/>
  <c r="G575" i="1"/>
  <c r="F575" i="1"/>
  <c r="E575" i="1"/>
  <c r="I574" i="1"/>
  <c r="H574" i="1"/>
  <c r="G574" i="1"/>
  <c r="F574" i="1"/>
  <c r="E574" i="1"/>
  <c r="I573" i="1"/>
  <c r="H573" i="1"/>
  <c r="G573" i="1"/>
  <c r="F573" i="1"/>
  <c r="E573" i="1"/>
  <c r="I572" i="1"/>
  <c r="H572" i="1"/>
  <c r="G572" i="1"/>
  <c r="F572" i="1"/>
  <c r="E572" i="1"/>
  <c r="I571" i="1"/>
  <c r="H571" i="1"/>
  <c r="G571" i="1"/>
  <c r="F571" i="1"/>
  <c r="E571" i="1"/>
  <c r="I570" i="1"/>
  <c r="H570" i="1"/>
  <c r="G570" i="1"/>
  <c r="F570" i="1"/>
  <c r="E570" i="1"/>
  <c r="I569" i="1"/>
  <c r="H569" i="1"/>
  <c r="G569" i="1"/>
  <c r="F569" i="1"/>
  <c r="E569" i="1"/>
  <c r="I568" i="1"/>
  <c r="H568" i="1"/>
  <c r="G568" i="1"/>
  <c r="F568" i="1"/>
  <c r="E568" i="1"/>
  <c r="I567" i="1"/>
  <c r="H567" i="1"/>
  <c r="G567" i="1"/>
  <c r="F567" i="1"/>
  <c r="E567" i="1"/>
  <c r="I566" i="1"/>
  <c r="H566" i="1"/>
  <c r="G566" i="1"/>
  <c r="F566" i="1"/>
  <c r="E566" i="1"/>
  <c r="I565" i="1"/>
  <c r="H565" i="1"/>
  <c r="G565" i="1"/>
  <c r="F565" i="1"/>
  <c r="E565" i="1"/>
  <c r="I564" i="1"/>
  <c r="H564" i="1"/>
  <c r="G564" i="1"/>
  <c r="F564" i="1"/>
  <c r="E564" i="1"/>
  <c r="I563" i="1"/>
  <c r="H563" i="1"/>
  <c r="G563" i="1"/>
  <c r="F563" i="1"/>
  <c r="E563" i="1"/>
  <c r="I562" i="1"/>
  <c r="H562" i="1"/>
  <c r="G562" i="1"/>
  <c r="F562" i="1"/>
  <c r="E562" i="1"/>
  <c r="I561" i="1"/>
  <c r="H561" i="1"/>
  <c r="G561" i="1"/>
  <c r="F561" i="1"/>
  <c r="E561" i="1"/>
  <c r="I560" i="1"/>
  <c r="H560" i="1"/>
  <c r="G560" i="1"/>
  <c r="F560" i="1"/>
  <c r="E560" i="1"/>
  <c r="I559" i="1"/>
  <c r="H559" i="1"/>
  <c r="G559" i="1"/>
  <c r="F559" i="1"/>
  <c r="E559" i="1"/>
  <c r="I558" i="1"/>
  <c r="H558" i="1"/>
  <c r="G558" i="1"/>
  <c r="F558" i="1"/>
  <c r="E558" i="1"/>
  <c r="I557" i="1"/>
  <c r="H557" i="1"/>
  <c r="G557" i="1"/>
  <c r="F557" i="1"/>
  <c r="E557" i="1"/>
  <c r="I556" i="1"/>
  <c r="H556" i="1"/>
  <c r="G556" i="1"/>
  <c r="F556" i="1"/>
  <c r="E556" i="1"/>
  <c r="I555" i="1"/>
  <c r="H555" i="1"/>
  <c r="G555" i="1"/>
  <c r="F555" i="1"/>
  <c r="E555" i="1"/>
  <c r="I554" i="1"/>
  <c r="H554" i="1"/>
  <c r="G554" i="1"/>
  <c r="F554" i="1"/>
  <c r="E554" i="1"/>
  <c r="I553" i="1"/>
  <c r="H553" i="1"/>
  <c r="G553" i="1"/>
  <c r="F553" i="1"/>
  <c r="E553" i="1"/>
  <c r="I552" i="1"/>
  <c r="H552" i="1"/>
  <c r="G552" i="1"/>
  <c r="F552" i="1"/>
  <c r="E552" i="1"/>
  <c r="I551" i="1"/>
  <c r="H551" i="1"/>
  <c r="G551" i="1"/>
  <c r="F551" i="1"/>
  <c r="E551" i="1"/>
  <c r="I550" i="1"/>
  <c r="H550" i="1"/>
  <c r="G550" i="1"/>
  <c r="F550" i="1"/>
  <c r="E550" i="1"/>
  <c r="I549" i="1"/>
  <c r="H549" i="1"/>
  <c r="G549" i="1"/>
  <c r="F549" i="1"/>
  <c r="E549" i="1"/>
  <c r="I548" i="1"/>
  <c r="H548" i="1"/>
  <c r="G548" i="1"/>
  <c r="F548" i="1"/>
  <c r="E548" i="1"/>
  <c r="I547" i="1"/>
  <c r="H547" i="1"/>
  <c r="G547" i="1"/>
  <c r="F547" i="1"/>
  <c r="E547" i="1"/>
  <c r="I546" i="1"/>
  <c r="H546" i="1"/>
  <c r="G546" i="1"/>
  <c r="F546" i="1"/>
  <c r="E546" i="1"/>
  <c r="I545" i="1"/>
  <c r="H545" i="1"/>
  <c r="G545" i="1"/>
  <c r="F545" i="1"/>
  <c r="E545" i="1"/>
  <c r="I544" i="1"/>
  <c r="H544" i="1"/>
  <c r="G544" i="1"/>
  <c r="F544" i="1"/>
  <c r="E544" i="1"/>
  <c r="I543" i="1"/>
  <c r="H543" i="1"/>
  <c r="G543" i="1"/>
  <c r="F543" i="1"/>
  <c r="E543" i="1"/>
  <c r="I542" i="1"/>
  <c r="H542" i="1"/>
  <c r="G542" i="1"/>
  <c r="F542" i="1"/>
  <c r="E542" i="1"/>
  <c r="I541" i="1"/>
  <c r="H541" i="1"/>
  <c r="G541" i="1"/>
  <c r="F541" i="1"/>
  <c r="E541" i="1"/>
  <c r="I540" i="1"/>
  <c r="H540" i="1"/>
  <c r="G540" i="1"/>
  <c r="F540" i="1"/>
  <c r="E540" i="1"/>
  <c r="I539" i="1"/>
  <c r="H539" i="1"/>
  <c r="G539" i="1"/>
  <c r="F539" i="1"/>
  <c r="E539" i="1"/>
  <c r="I538" i="1"/>
  <c r="H538" i="1"/>
  <c r="G538" i="1"/>
  <c r="F538" i="1"/>
  <c r="E538" i="1"/>
  <c r="I537" i="1"/>
  <c r="H537" i="1"/>
  <c r="G537" i="1"/>
  <c r="F537" i="1"/>
  <c r="E537" i="1"/>
  <c r="I536" i="1"/>
  <c r="H536" i="1"/>
  <c r="G536" i="1"/>
  <c r="F536" i="1"/>
  <c r="E536" i="1"/>
  <c r="I535" i="1"/>
  <c r="H535" i="1"/>
  <c r="G535" i="1"/>
  <c r="F535" i="1"/>
  <c r="E535" i="1"/>
  <c r="I534" i="1"/>
  <c r="H534" i="1"/>
  <c r="G534" i="1"/>
  <c r="F534" i="1"/>
  <c r="E534" i="1"/>
  <c r="I533" i="1"/>
  <c r="H533" i="1"/>
  <c r="G533" i="1"/>
  <c r="F533" i="1"/>
  <c r="E533" i="1"/>
  <c r="I532" i="1"/>
  <c r="H532" i="1"/>
  <c r="G532" i="1"/>
  <c r="F532" i="1"/>
  <c r="E532" i="1"/>
  <c r="I531" i="1"/>
  <c r="H531" i="1"/>
  <c r="G531" i="1"/>
  <c r="F531" i="1"/>
  <c r="E531" i="1"/>
  <c r="I530" i="1"/>
  <c r="H530" i="1"/>
  <c r="G530" i="1"/>
  <c r="F530" i="1"/>
  <c r="E530" i="1"/>
  <c r="I529" i="1"/>
  <c r="H529" i="1"/>
  <c r="G529" i="1"/>
  <c r="F529" i="1"/>
  <c r="E529" i="1"/>
  <c r="I528" i="1"/>
  <c r="H528" i="1"/>
  <c r="G528" i="1"/>
  <c r="F528" i="1"/>
  <c r="E528" i="1"/>
  <c r="I527" i="1"/>
  <c r="H527" i="1"/>
  <c r="G527" i="1"/>
  <c r="F527" i="1"/>
  <c r="E527" i="1"/>
  <c r="I526" i="1"/>
  <c r="H526" i="1"/>
  <c r="G526" i="1"/>
  <c r="F526" i="1"/>
  <c r="E526" i="1"/>
  <c r="I525" i="1"/>
  <c r="H525" i="1"/>
  <c r="G525" i="1"/>
  <c r="F525" i="1"/>
  <c r="E525" i="1"/>
  <c r="I524" i="1"/>
  <c r="H524" i="1"/>
  <c r="G524" i="1"/>
  <c r="F524" i="1"/>
  <c r="E524" i="1"/>
  <c r="I523" i="1"/>
  <c r="H523" i="1"/>
  <c r="G523" i="1"/>
  <c r="F523" i="1"/>
  <c r="E523" i="1"/>
  <c r="I522" i="1"/>
  <c r="H522" i="1"/>
  <c r="G522" i="1"/>
  <c r="F522" i="1"/>
  <c r="E522" i="1"/>
  <c r="I521" i="1"/>
  <c r="H521" i="1"/>
  <c r="G521" i="1"/>
  <c r="F521" i="1"/>
  <c r="E521" i="1"/>
  <c r="I520" i="1"/>
  <c r="H520" i="1"/>
  <c r="G520" i="1"/>
  <c r="F520" i="1"/>
  <c r="E520" i="1"/>
  <c r="I519" i="1"/>
  <c r="H519" i="1"/>
  <c r="G519" i="1"/>
  <c r="F519" i="1"/>
  <c r="E519" i="1"/>
  <c r="I518" i="1"/>
  <c r="H518" i="1"/>
  <c r="G518" i="1"/>
  <c r="F518" i="1"/>
  <c r="E518" i="1"/>
  <c r="I517" i="1"/>
  <c r="H517" i="1"/>
  <c r="G517" i="1"/>
  <c r="F517" i="1"/>
  <c r="E517" i="1"/>
  <c r="I516" i="1"/>
  <c r="H516" i="1"/>
  <c r="G516" i="1"/>
  <c r="F516" i="1"/>
  <c r="E516" i="1"/>
  <c r="I515" i="1"/>
  <c r="H515" i="1"/>
  <c r="G515" i="1"/>
  <c r="F515" i="1"/>
  <c r="E515" i="1"/>
  <c r="I514" i="1"/>
  <c r="H514" i="1"/>
  <c r="G514" i="1"/>
  <c r="F514" i="1"/>
  <c r="E514" i="1"/>
  <c r="I513" i="1"/>
  <c r="H513" i="1"/>
  <c r="G513" i="1"/>
  <c r="F513" i="1"/>
  <c r="E513" i="1"/>
  <c r="I512" i="1"/>
  <c r="H512" i="1"/>
  <c r="G512" i="1"/>
  <c r="F512" i="1"/>
  <c r="E512" i="1"/>
  <c r="I511" i="1"/>
  <c r="H511" i="1"/>
  <c r="G511" i="1"/>
  <c r="F511" i="1"/>
  <c r="E511" i="1"/>
  <c r="I510" i="1"/>
  <c r="H510" i="1"/>
  <c r="G510" i="1"/>
  <c r="F510" i="1"/>
  <c r="E510" i="1"/>
  <c r="I509" i="1"/>
  <c r="H509" i="1"/>
  <c r="G509" i="1"/>
  <c r="F509" i="1"/>
  <c r="E509" i="1"/>
  <c r="I508" i="1"/>
  <c r="H508" i="1"/>
  <c r="G508" i="1"/>
  <c r="F508" i="1"/>
  <c r="E508" i="1"/>
  <c r="I507" i="1"/>
  <c r="H507" i="1"/>
  <c r="G507" i="1"/>
  <c r="F507" i="1"/>
  <c r="E507" i="1"/>
  <c r="I506" i="1"/>
  <c r="H506" i="1"/>
  <c r="G506" i="1"/>
  <c r="F506" i="1"/>
  <c r="E506" i="1"/>
  <c r="I505" i="1"/>
  <c r="H505" i="1"/>
  <c r="G505" i="1"/>
  <c r="F505" i="1"/>
  <c r="E505" i="1"/>
  <c r="I504" i="1"/>
  <c r="H504" i="1"/>
  <c r="G504" i="1"/>
  <c r="F504" i="1"/>
  <c r="E504" i="1"/>
  <c r="I503" i="1"/>
  <c r="H503" i="1"/>
  <c r="G503" i="1"/>
  <c r="F503" i="1"/>
  <c r="E503" i="1"/>
  <c r="I502" i="1"/>
  <c r="H502" i="1"/>
  <c r="G502" i="1"/>
  <c r="F502" i="1"/>
  <c r="E502" i="1"/>
  <c r="I501" i="1"/>
  <c r="H501" i="1"/>
  <c r="G501" i="1"/>
  <c r="F501" i="1"/>
  <c r="E501" i="1"/>
  <c r="I500" i="1"/>
  <c r="H500" i="1"/>
  <c r="G500" i="1"/>
  <c r="F500" i="1"/>
  <c r="E500" i="1"/>
  <c r="I499" i="1"/>
  <c r="H499" i="1"/>
  <c r="G499" i="1"/>
  <c r="F499" i="1"/>
  <c r="E499" i="1"/>
  <c r="I498" i="1"/>
  <c r="H498" i="1"/>
  <c r="G498" i="1"/>
  <c r="F498" i="1"/>
  <c r="E498" i="1"/>
  <c r="I497" i="1"/>
  <c r="H497" i="1"/>
  <c r="G497" i="1"/>
  <c r="F497" i="1"/>
  <c r="E497" i="1"/>
  <c r="I496" i="1"/>
  <c r="H496" i="1"/>
  <c r="G496" i="1"/>
  <c r="F496" i="1"/>
  <c r="E496" i="1"/>
  <c r="I495" i="1"/>
  <c r="H495" i="1"/>
  <c r="G495" i="1"/>
  <c r="F495" i="1"/>
  <c r="E495" i="1"/>
  <c r="I494" i="1"/>
  <c r="H494" i="1"/>
  <c r="G494" i="1"/>
  <c r="F494" i="1"/>
  <c r="E494" i="1"/>
  <c r="I493" i="1"/>
  <c r="H493" i="1"/>
  <c r="G493" i="1"/>
  <c r="F493" i="1"/>
  <c r="E493" i="1"/>
  <c r="I492" i="1"/>
  <c r="H492" i="1"/>
  <c r="G492" i="1"/>
  <c r="F492" i="1"/>
  <c r="E492" i="1"/>
  <c r="I491" i="1"/>
  <c r="H491" i="1"/>
  <c r="G491" i="1"/>
  <c r="F491" i="1"/>
  <c r="E491" i="1"/>
  <c r="I490" i="1"/>
  <c r="H490" i="1"/>
  <c r="G490" i="1"/>
  <c r="F490" i="1"/>
  <c r="E490" i="1"/>
  <c r="I489" i="1"/>
  <c r="H489" i="1"/>
  <c r="G489" i="1"/>
  <c r="F489" i="1"/>
  <c r="E489" i="1"/>
  <c r="I488" i="1"/>
  <c r="H488" i="1"/>
  <c r="G488" i="1"/>
  <c r="F488" i="1"/>
  <c r="E488" i="1"/>
  <c r="I487" i="1"/>
  <c r="H487" i="1"/>
  <c r="G487" i="1"/>
  <c r="F487" i="1"/>
  <c r="E487" i="1"/>
  <c r="I486" i="1"/>
  <c r="H486" i="1"/>
  <c r="G486" i="1"/>
  <c r="F486" i="1"/>
  <c r="E486" i="1"/>
  <c r="I485" i="1"/>
  <c r="H485" i="1"/>
  <c r="G485" i="1"/>
  <c r="F485" i="1"/>
  <c r="E485" i="1"/>
  <c r="I484" i="1"/>
  <c r="H484" i="1"/>
  <c r="G484" i="1"/>
  <c r="F484" i="1"/>
  <c r="E484" i="1"/>
  <c r="I483" i="1"/>
  <c r="H483" i="1"/>
  <c r="G483" i="1"/>
  <c r="F483" i="1"/>
  <c r="E483" i="1"/>
  <c r="I482" i="1"/>
  <c r="H482" i="1"/>
  <c r="G482" i="1"/>
  <c r="F482" i="1"/>
  <c r="E482" i="1"/>
  <c r="I481" i="1"/>
  <c r="H481" i="1"/>
  <c r="G481" i="1"/>
  <c r="F481" i="1"/>
  <c r="E481" i="1"/>
  <c r="I480" i="1"/>
  <c r="H480" i="1"/>
  <c r="G480" i="1"/>
  <c r="F480" i="1"/>
  <c r="E480" i="1"/>
  <c r="I479" i="1"/>
  <c r="H479" i="1"/>
  <c r="G479" i="1"/>
  <c r="F479" i="1"/>
  <c r="E479" i="1"/>
  <c r="I478" i="1"/>
  <c r="H478" i="1"/>
  <c r="G478" i="1"/>
  <c r="F478" i="1"/>
  <c r="E478" i="1"/>
  <c r="I477" i="1"/>
  <c r="H477" i="1"/>
  <c r="G477" i="1"/>
  <c r="F477" i="1"/>
  <c r="E477" i="1"/>
  <c r="I476" i="1"/>
  <c r="H476" i="1"/>
  <c r="G476" i="1"/>
  <c r="F476" i="1"/>
  <c r="E476" i="1"/>
  <c r="I475" i="1"/>
  <c r="H475" i="1"/>
  <c r="G475" i="1"/>
  <c r="F475" i="1"/>
  <c r="E475" i="1"/>
  <c r="I474" i="1"/>
  <c r="H474" i="1"/>
  <c r="G474" i="1"/>
  <c r="F474" i="1"/>
  <c r="E474" i="1"/>
  <c r="I473" i="1"/>
  <c r="H473" i="1"/>
  <c r="G473" i="1"/>
  <c r="F473" i="1"/>
  <c r="E473" i="1"/>
  <c r="I472" i="1"/>
  <c r="H472" i="1"/>
  <c r="G472" i="1"/>
  <c r="F472" i="1"/>
  <c r="E472" i="1"/>
  <c r="I471" i="1"/>
  <c r="H471" i="1"/>
  <c r="G471" i="1"/>
  <c r="F471" i="1"/>
  <c r="E471" i="1"/>
  <c r="I470" i="1"/>
  <c r="H470" i="1"/>
  <c r="G470" i="1"/>
  <c r="F470" i="1"/>
  <c r="E470" i="1"/>
  <c r="I469" i="1"/>
  <c r="H469" i="1"/>
  <c r="G469" i="1"/>
  <c r="F469" i="1"/>
  <c r="E469" i="1"/>
  <c r="I468" i="1"/>
  <c r="H468" i="1"/>
  <c r="G468" i="1"/>
  <c r="F468" i="1"/>
  <c r="E468" i="1"/>
  <c r="I467" i="1"/>
  <c r="H467" i="1"/>
  <c r="G467" i="1"/>
  <c r="F467" i="1"/>
  <c r="E467" i="1"/>
  <c r="I466" i="1"/>
  <c r="H466" i="1"/>
  <c r="G466" i="1"/>
  <c r="F466" i="1"/>
  <c r="E466" i="1"/>
  <c r="I465" i="1"/>
  <c r="H465" i="1"/>
  <c r="G465" i="1"/>
  <c r="F465" i="1"/>
  <c r="E465" i="1"/>
  <c r="I464" i="1"/>
  <c r="H464" i="1"/>
  <c r="G464" i="1"/>
  <c r="F464" i="1"/>
  <c r="E464" i="1"/>
  <c r="I463" i="1"/>
  <c r="H463" i="1"/>
  <c r="G463" i="1"/>
  <c r="F463" i="1"/>
  <c r="E463" i="1"/>
  <c r="I462" i="1"/>
  <c r="H462" i="1"/>
  <c r="G462" i="1"/>
  <c r="F462" i="1"/>
  <c r="E462" i="1"/>
  <c r="I461" i="1"/>
  <c r="H461" i="1"/>
  <c r="G461" i="1"/>
  <c r="F461" i="1"/>
  <c r="E461" i="1"/>
  <c r="I460" i="1"/>
  <c r="H460" i="1"/>
  <c r="G460" i="1"/>
  <c r="F460" i="1"/>
  <c r="E460" i="1"/>
  <c r="I459" i="1"/>
  <c r="H459" i="1"/>
  <c r="G459" i="1"/>
  <c r="F459" i="1"/>
  <c r="E459" i="1"/>
  <c r="I458" i="1"/>
  <c r="H458" i="1"/>
  <c r="G458" i="1"/>
  <c r="F458" i="1"/>
  <c r="E458" i="1"/>
  <c r="I457" i="1"/>
  <c r="H457" i="1"/>
  <c r="G457" i="1"/>
  <c r="F457" i="1"/>
  <c r="E457" i="1"/>
  <c r="I456" i="1"/>
  <c r="H456" i="1"/>
  <c r="G456" i="1"/>
  <c r="F456" i="1"/>
  <c r="E456" i="1"/>
  <c r="I455" i="1"/>
  <c r="H455" i="1"/>
  <c r="G455" i="1"/>
  <c r="F455" i="1"/>
  <c r="E455" i="1"/>
  <c r="I454" i="1"/>
  <c r="H454" i="1"/>
  <c r="G454" i="1"/>
  <c r="F454" i="1"/>
  <c r="E454" i="1"/>
  <c r="I453" i="1"/>
  <c r="H453" i="1"/>
  <c r="G453" i="1"/>
  <c r="F453" i="1"/>
  <c r="E453" i="1"/>
  <c r="I452" i="1"/>
  <c r="H452" i="1"/>
  <c r="G452" i="1"/>
  <c r="F452" i="1"/>
  <c r="E452" i="1"/>
  <c r="I451" i="1"/>
  <c r="H451" i="1"/>
  <c r="G451" i="1"/>
  <c r="F451" i="1"/>
  <c r="E451" i="1"/>
  <c r="I450" i="1"/>
  <c r="H450" i="1"/>
  <c r="G450" i="1"/>
  <c r="F450" i="1"/>
  <c r="E450" i="1"/>
  <c r="I449" i="1"/>
  <c r="H449" i="1"/>
  <c r="G449" i="1"/>
  <c r="F449" i="1"/>
  <c r="E449" i="1"/>
  <c r="I448" i="1"/>
  <c r="H448" i="1"/>
  <c r="G448" i="1"/>
  <c r="F448" i="1"/>
  <c r="E448" i="1"/>
  <c r="I447" i="1"/>
  <c r="H447" i="1"/>
  <c r="G447" i="1"/>
  <c r="F447" i="1"/>
  <c r="E447" i="1"/>
  <c r="I446" i="1"/>
  <c r="H446" i="1"/>
  <c r="G446" i="1"/>
  <c r="F446" i="1"/>
  <c r="E446" i="1"/>
  <c r="I445" i="1"/>
  <c r="H445" i="1"/>
  <c r="G445" i="1"/>
  <c r="F445" i="1"/>
  <c r="E445" i="1"/>
  <c r="I444" i="1"/>
  <c r="H444" i="1"/>
  <c r="G444" i="1"/>
  <c r="F444" i="1"/>
  <c r="E444" i="1"/>
  <c r="I443" i="1"/>
  <c r="H443" i="1"/>
  <c r="G443" i="1"/>
  <c r="F443" i="1"/>
  <c r="E443" i="1"/>
  <c r="I442" i="1"/>
  <c r="H442" i="1"/>
  <c r="G442" i="1"/>
  <c r="F442" i="1"/>
  <c r="E442" i="1"/>
  <c r="I441" i="1"/>
  <c r="H441" i="1"/>
  <c r="G441" i="1"/>
  <c r="F441" i="1"/>
  <c r="E441" i="1"/>
  <c r="I440" i="1"/>
  <c r="H440" i="1"/>
  <c r="G440" i="1"/>
  <c r="F440" i="1"/>
  <c r="E440" i="1"/>
  <c r="I439" i="1"/>
  <c r="H439" i="1"/>
  <c r="G439" i="1"/>
  <c r="F439" i="1"/>
  <c r="E439" i="1"/>
  <c r="I438" i="1"/>
  <c r="H438" i="1"/>
  <c r="G438" i="1"/>
  <c r="F438" i="1"/>
  <c r="E438" i="1"/>
  <c r="I437" i="1"/>
  <c r="H437" i="1"/>
  <c r="G437" i="1"/>
  <c r="F437" i="1"/>
  <c r="E437" i="1"/>
  <c r="I436" i="1"/>
  <c r="H436" i="1"/>
  <c r="G436" i="1"/>
  <c r="F436" i="1"/>
  <c r="E436" i="1"/>
  <c r="I435" i="1"/>
  <c r="H435" i="1"/>
  <c r="G435" i="1"/>
  <c r="F435" i="1"/>
  <c r="E435" i="1"/>
  <c r="I434" i="1"/>
  <c r="H434" i="1"/>
  <c r="G434" i="1"/>
  <c r="F434" i="1"/>
  <c r="E434" i="1"/>
  <c r="I433" i="1"/>
  <c r="H433" i="1"/>
  <c r="G433" i="1"/>
  <c r="F433" i="1"/>
  <c r="E433" i="1"/>
  <c r="I432" i="1"/>
  <c r="H432" i="1"/>
  <c r="G432" i="1"/>
  <c r="F432" i="1"/>
  <c r="E432" i="1"/>
  <c r="I431" i="1"/>
  <c r="H431" i="1"/>
  <c r="G431" i="1"/>
  <c r="F431" i="1"/>
  <c r="E431" i="1"/>
  <c r="I430" i="1"/>
  <c r="H430" i="1"/>
  <c r="G430" i="1"/>
  <c r="F430" i="1"/>
  <c r="E430" i="1"/>
  <c r="I429" i="1"/>
  <c r="H429" i="1"/>
  <c r="G429" i="1"/>
  <c r="F429" i="1"/>
  <c r="E429" i="1"/>
  <c r="I428" i="1"/>
  <c r="H428" i="1"/>
  <c r="G428" i="1"/>
  <c r="F428" i="1"/>
  <c r="E428" i="1"/>
  <c r="I427" i="1"/>
  <c r="H427" i="1"/>
  <c r="G427" i="1"/>
  <c r="F427" i="1"/>
  <c r="E427" i="1"/>
  <c r="I426" i="1"/>
  <c r="H426" i="1"/>
  <c r="G426" i="1"/>
  <c r="F426" i="1"/>
  <c r="E426" i="1"/>
  <c r="I425" i="1"/>
  <c r="H425" i="1"/>
  <c r="G425" i="1"/>
  <c r="F425" i="1"/>
  <c r="E425" i="1"/>
  <c r="I424" i="1"/>
  <c r="H424" i="1"/>
  <c r="G424" i="1"/>
  <c r="F424" i="1"/>
  <c r="E424" i="1"/>
  <c r="I423" i="1"/>
  <c r="H423" i="1"/>
  <c r="G423" i="1"/>
  <c r="F423" i="1"/>
  <c r="E423" i="1"/>
  <c r="I422" i="1"/>
  <c r="H422" i="1"/>
  <c r="G422" i="1"/>
  <c r="F422" i="1"/>
  <c r="E422" i="1"/>
  <c r="I421" i="1"/>
  <c r="H421" i="1"/>
  <c r="G421" i="1"/>
  <c r="F421" i="1"/>
  <c r="E421" i="1"/>
  <c r="I420" i="1"/>
  <c r="H420" i="1"/>
  <c r="G420" i="1"/>
  <c r="F420" i="1"/>
  <c r="E420" i="1"/>
  <c r="I419" i="1"/>
  <c r="H419" i="1"/>
  <c r="G419" i="1"/>
  <c r="F419" i="1"/>
  <c r="E419" i="1"/>
  <c r="I418" i="1"/>
  <c r="H418" i="1"/>
  <c r="G418" i="1"/>
  <c r="F418" i="1"/>
  <c r="E418" i="1"/>
  <c r="I417" i="1"/>
  <c r="H417" i="1"/>
  <c r="G417" i="1"/>
  <c r="F417" i="1"/>
  <c r="E417" i="1"/>
  <c r="I416" i="1"/>
  <c r="H416" i="1"/>
  <c r="G416" i="1"/>
  <c r="F416" i="1"/>
  <c r="E416" i="1"/>
  <c r="I415" i="1"/>
  <c r="H415" i="1"/>
  <c r="G415" i="1"/>
  <c r="F415" i="1"/>
  <c r="E415" i="1"/>
  <c r="I414" i="1"/>
  <c r="H414" i="1"/>
  <c r="G414" i="1"/>
  <c r="F414" i="1"/>
  <c r="E414" i="1"/>
  <c r="I413" i="1"/>
  <c r="H413" i="1"/>
  <c r="G413" i="1"/>
  <c r="F413" i="1"/>
  <c r="E413" i="1"/>
  <c r="I412" i="1"/>
  <c r="H412" i="1"/>
  <c r="G412" i="1"/>
  <c r="F412" i="1"/>
  <c r="E412" i="1"/>
  <c r="I411" i="1"/>
  <c r="H411" i="1"/>
  <c r="G411" i="1"/>
  <c r="F411" i="1"/>
  <c r="E411" i="1"/>
  <c r="I410" i="1"/>
  <c r="H410" i="1"/>
  <c r="G410" i="1"/>
  <c r="F410" i="1"/>
  <c r="E410" i="1"/>
  <c r="I409" i="1"/>
  <c r="H409" i="1"/>
  <c r="G409" i="1"/>
  <c r="F409" i="1"/>
  <c r="E409" i="1"/>
  <c r="I408" i="1"/>
  <c r="H408" i="1"/>
  <c r="G408" i="1"/>
  <c r="F408" i="1"/>
  <c r="E408" i="1"/>
  <c r="I407" i="1"/>
  <c r="H407" i="1"/>
  <c r="G407" i="1"/>
  <c r="F407" i="1"/>
  <c r="E407" i="1"/>
  <c r="I406" i="1"/>
  <c r="H406" i="1"/>
  <c r="G406" i="1"/>
  <c r="F406" i="1"/>
  <c r="E406" i="1"/>
  <c r="I405" i="1"/>
  <c r="H405" i="1"/>
  <c r="G405" i="1"/>
  <c r="F405" i="1"/>
  <c r="E405" i="1"/>
  <c r="I404" i="1"/>
  <c r="H404" i="1"/>
  <c r="G404" i="1"/>
  <c r="F404" i="1"/>
  <c r="E404" i="1"/>
  <c r="I403" i="1"/>
  <c r="H403" i="1"/>
  <c r="G403" i="1"/>
  <c r="F403" i="1"/>
  <c r="E403" i="1"/>
  <c r="I402" i="1"/>
  <c r="H402" i="1"/>
  <c r="G402" i="1"/>
  <c r="F402" i="1"/>
  <c r="E402" i="1"/>
  <c r="I401" i="1"/>
  <c r="H401" i="1"/>
  <c r="G401" i="1"/>
  <c r="F401" i="1"/>
  <c r="E401" i="1"/>
  <c r="I400" i="1"/>
  <c r="H400" i="1"/>
  <c r="G400" i="1"/>
  <c r="F400" i="1"/>
  <c r="E400" i="1"/>
  <c r="I399" i="1"/>
  <c r="H399" i="1"/>
  <c r="G399" i="1"/>
  <c r="F399" i="1"/>
  <c r="E399" i="1"/>
  <c r="I398" i="1"/>
  <c r="H398" i="1"/>
  <c r="G398" i="1"/>
  <c r="F398" i="1"/>
  <c r="E398" i="1"/>
  <c r="I397" i="1"/>
  <c r="H397" i="1"/>
  <c r="G397" i="1"/>
  <c r="F397" i="1"/>
  <c r="E397" i="1"/>
  <c r="I396" i="1"/>
  <c r="H396" i="1"/>
  <c r="G396" i="1"/>
  <c r="F396" i="1"/>
  <c r="E396" i="1"/>
  <c r="I395" i="1"/>
  <c r="H395" i="1"/>
  <c r="G395" i="1"/>
  <c r="F395" i="1"/>
  <c r="E395" i="1"/>
  <c r="I394" i="1"/>
  <c r="H394" i="1"/>
  <c r="G394" i="1"/>
  <c r="F394" i="1"/>
  <c r="E394" i="1"/>
  <c r="I393" i="1"/>
  <c r="H393" i="1"/>
  <c r="G393" i="1"/>
  <c r="F393" i="1"/>
  <c r="E393" i="1"/>
  <c r="I392" i="1"/>
  <c r="H392" i="1"/>
  <c r="G392" i="1"/>
  <c r="F392" i="1"/>
  <c r="E392" i="1"/>
  <c r="I391" i="1"/>
  <c r="H391" i="1"/>
  <c r="G391" i="1"/>
  <c r="F391" i="1"/>
  <c r="E391" i="1"/>
  <c r="I390" i="1"/>
  <c r="H390" i="1"/>
  <c r="G390" i="1"/>
  <c r="F390" i="1"/>
  <c r="E390" i="1"/>
  <c r="I389" i="1"/>
  <c r="H389" i="1"/>
  <c r="G389" i="1"/>
  <c r="F389" i="1"/>
  <c r="E389" i="1"/>
  <c r="I388" i="1"/>
  <c r="H388" i="1"/>
  <c r="G388" i="1"/>
  <c r="F388" i="1"/>
  <c r="E388" i="1"/>
  <c r="I387" i="1"/>
  <c r="H387" i="1"/>
  <c r="G387" i="1"/>
  <c r="F387" i="1"/>
  <c r="E387" i="1"/>
  <c r="I386" i="1"/>
  <c r="H386" i="1"/>
  <c r="G386" i="1"/>
  <c r="F386" i="1"/>
  <c r="E386" i="1"/>
  <c r="I385" i="1"/>
  <c r="H385" i="1"/>
  <c r="G385" i="1"/>
  <c r="F385" i="1"/>
  <c r="E385" i="1"/>
  <c r="I384" i="1"/>
  <c r="H384" i="1"/>
  <c r="G384" i="1"/>
  <c r="F384" i="1"/>
  <c r="E384" i="1"/>
  <c r="I383" i="1"/>
  <c r="H383" i="1"/>
  <c r="G383" i="1"/>
  <c r="F383" i="1"/>
  <c r="E383" i="1"/>
  <c r="I382" i="1"/>
  <c r="H382" i="1"/>
  <c r="G382" i="1"/>
  <c r="F382" i="1"/>
  <c r="E382" i="1"/>
  <c r="I381" i="1"/>
  <c r="H381" i="1"/>
  <c r="G381" i="1"/>
  <c r="F381" i="1"/>
  <c r="E381" i="1"/>
  <c r="I380" i="1"/>
  <c r="H380" i="1"/>
  <c r="G380" i="1"/>
  <c r="F380" i="1"/>
  <c r="E380" i="1"/>
  <c r="I379" i="1"/>
  <c r="H379" i="1"/>
  <c r="G379" i="1"/>
  <c r="F379" i="1"/>
  <c r="E379" i="1"/>
  <c r="I378" i="1"/>
  <c r="H378" i="1"/>
  <c r="G378" i="1"/>
  <c r="F378" i="1"/>
  <c r="E378" i="1"/>
  <c r="I377" i="1"/>
  <c r="H377" i="1"/>
  <c r="G377" i="1"/>
  <c r="F377" i="1"/>
  <c r="E377" i="1"/>
  <c r="I376" i="1"/>
  <c r="H376" i="1"/>
  <c r="G376" i="1"/>
  <c r="F376" i="1"/>
  <c r="E376" i="1"/>
  <c r="I375" i="1"/>
  <c r="H375" i="1"/>
  <c r="G375" i="1"/>
  <c r="F375" i="1"/>
  <c r="E375" i="1"/>
  <c r="I374" i="1"/>
  <c r="H374" i="1"/>
  <c r="G374" i="1"/>
  <c r="F374" i="1"/>
  <c r="E374" i="1"/>
  <c r="I373" i="1"/>
  <c r="H373" i="1"/>
  <c r="G373" i="1"/>
  <c r="F373" i="1"/>
  <c r="E373" i="1"/>
  <c r="I372" i="1"/>
  <c r="H372" i="1"/>
  <c r="G372" i="1"/>
  <c r="F372" i="1"/>
  <c r="E372" i="1"/>
  <c r="I371" i="1"/>
  <c r="H371" i="1"/>
  <c r="G371" i="1"/>
  <c r="F371" i="1"/>
  <c r="E371" i="1"/>
  <c r="I370" i="1"/>
  <c r="H370" i="1"/>
  <c r="G370" i="1"/>
  <c r="F370" i="1"/>
  <c r="E370" i="1"/>
  <c r="I369" i="1"/>
  <c r="H369" i="1"/>
  <c r="G369" i="1"/>
  <c r="F369" i="1"/>
  <c r="E369" i="1"/>
  <c r="I368" i="1"/>
  <c r="H368" i="1"/>
  <c r="G368" i="1"/>
  <c r="F368" i="1"/>
  <c r="E368" i="1"/>
  <c r="I367" i="1"/>
  <c r="H367" i="1"/>
  <c r="G367" i="1"/>
  <c r="F367" i="1"/>
  <c r="E367" i="1"/>
  <c r="I366" i="1"/>
  <c r="H366" i="1"/>
  <c r="G366" i="1"/>
  <c r="F366" i="1"/>
  <c r="E366" i="1"/>
  <c r="I365" i="1"/>
  <c r="H365" i="1"/>
  <c r="G365" i="1"/>
  <c r="F365" i="1"/>
  <c r="E365" i="1"/>
  <c r="I364" i="1"/>
  <c r="H364" i="1"/>
  <c r="G364" i="1"/>
  <c r="F364" i="1"/>
  <c r="E364" i="1"/>
  <c r="I363" i="1"/>
  <c r="H363" i="1"/>
  <c r="G363" i="1"/>
  <c r="F363" i="1"/>
  <c r="E363" i="1"/>
  <c r="I362" i="1"/>
  <c r="H362" i="1"/>
  <c r="G362" i="1"/>
  <c r="F362" i="1"/>
  <c r="E362" i="1"/>
  <c r="I361" i="1"/>
  <c r="H361" i="1"/>
  <c r="G361" i="1"/>
  <c r="F361" i="1"/>
  <c r="E361" i="1"/>
  <c r="I360" i="1"/>
  <c r="H360" i="1"/>
  <c r="G360" i="1"/>
  <c r="F360" i="1"/>
  <c r="E360" i="1"/>
  <c r="I359" i="1"/>
  <c r="H359" i="1"/>
  <c r="G359" i="1"/>
  <c r="F359" i="1"/>
  <c r="E359" i="1"/>
  <c r="I358" i="1"/>
  <c r="H358" i="1"/>
  <c r="G358" i="1"/>
  <c r="F358" i="1"/>
  <c r="E358" i="1"/>
  <c r="I357" i="1"/>
  <c r="H357" i="1"/>
  <c r="G357" i="1"/>
  <c r="F357" i="1"/>
  <c r="E357" i="1"/>
  <c r="I356" i="1"/>
  <c r="H356" i="1"/>
  <c r="G356" i="1"/>
  <c r="F356" i="1"/>
  <c r="E356" i="1"/>
  <c r="I355" i="1"/>
  <c r="H355" i="1"/>
  <c r="G355" i="1"/>
  <c r="F355" i="1"/>
  <c r="E355" i="1"/>
  <c r="I354" i="1"/>
  <c r="H354" i="1"/>
  <c r="G354" i="1"/>
  <c r="F354" i="1"/>
  <c r="E354" i="1"/>
  <c r="I353" i="1"/>
  <c r="H353" i="1"/>
  <c r="G353" i="1"/>
  <c r="F353" i="1"/>
  <c r="E353" i="1"/>
  <c r="I352" i="1"/>
  <c r="H352" i="1"/>
  <c r="G352" i="1"/>
  <c r="F352" i="1"/>
  <c r="E352" i="1"/>
  <c r="I351" i="1"/>
  <c r="H351" i="1"/>
  <c r="G351" i="1"/>
  <c r="F351" i="1"/>
  <c r="E351" i="1"/>
  <c r="I350" i="1"/>
  <c r="H350" i="1"/>
  <c r="G350" i="1"/>
  <c r="F350" i="1"/>
  <c r="E350" i="1"/>
  <c r="I349" i="1"/>
  <c r="H349" i="1"/>
  <c r="G349" i="1"/>
  <c r="F349" i="1"/>
  <c r="E349" i="1"/>
  <c r="I348" i="1"/>
  <c r="H348" i="1"/>
  <c r="G348" i="1"/>
  <c r="F348" i="1"/>
  <c r="E348" i="1"/>
  <c r="I347" i="1"/>
  <c r="H347" i="1"/>
  <c r="G347" i="1"/>
  <c r="F347" i="1"/>
  <c r="E347" i="1"/>
  <c r="I346" i="1"/>
  <c r="H346" i="1"/>
  <c r="G346" i="1"/>
  <c r="F346" i="1"/>
  <c r="E346" i="1"/>
  <c r="I345" i="1"/>
  <c r="H345" i="1"/>
  <c r="G345" i="1"/>
  <c r="F345" i="1"/>
  <c r="E345" i="1"/>
  <c r="I344" i="1"/>
  <c r="H344" i="1"/>
  <c r="G344" i="1"/>
  <c r="F344" i="1"/>
  <c r="E344" i="1"/>
  <c r="I343" i="1"/>
  <c r="H343" i="1"/>
  <c r="G343" i="1"/>
  <c r="F343" i="1"/>
  <c r="E343" i="1"/>
  <c r="I342" i="1"/>
  <c r="H342" i="1"/>
  <c r="G342" i="1"/>
  <c r="F342" i="1"/>
  <c r="E342" i="1"/>
  <c r="I341" i="1"/>
  <c r="H341" i="1"/>
  <c r="G341" i="1"/>
  <c r="F341" i="1"/>
  <c r="E341" i="1"/>
  <c r="I340" i="1"/>
  <c r="H340" i="1"/>
  <c r="G340" i="1"/>
  <c r="F340" i="1"/>
  <c r="E340" i="1"/>
  <c r="I339" i="1"/>
  <c r="H339" i="1"/>
  <c r="G339" i="1"/>
  <c r="F339" i="1"/>
  <c r="E339" i="1"/>
  <c r="I338" i="1"/>
  <c r="H338" i="1"/>
  <c r="G338" i="1"/>
  <c r="F338" i="1"/>
  <c r="E338" i="1"/>
  <c r="I337" i="1"/>
  <c r="H337" i="1"/>
  <c r="G337" i="1"/>
  <c r="F337" i="1"/>
  <c r="E337" i="1"/>
  <c r="I336" i="1"/>
  <c r="H336" i="1"/>
  <c r="G336" i="1"/>
  <c r="F336" i="1"/>
  <c r="E336" i="1"/>
  <c r="I335" i="1"/>
  <c r="H335" i="1"/>
  <c r="G335" i="1"/>
  <c r="F335" i="1"/>
  <c r="E335" i="1"/>
  <c r="I334" i="1"/>
  <c r="H334" i="1"/>
  <c r="G334" i="1"/>
  <c r="F334" i="1"/>
  <c r="E334" i="1"/>
  <c r="I333" i="1"/>
  <c r="H333" i="1"/>
  <c r="G333" i="1"/>
  <c r="F333" i="1"/>
  <c r="E333" i="1"/>
  <c r="I332" i="1"/>
  <c r="H332" i="1"/>
  <c r="G332" i="1"/>
  <c r="F332" i="1"/>
  <c r="E332" i="1"/>
  <c r="I331" i="1"/>
  <c r="H331" i="1"/>
  <c r="G331" i="1"/>
  <c r="F331" i="1"/>
  <c r="E331" i="1"/>
  <c r="I330" i="1"/>
  <c r="H330" i="1"/>
  <c r="G330" i="1"/>
  <c r="F330" i="1"/>
  <c r="E330" i="1"/>
  <c r="I329" i="1"/>
  <c r="H329" i="1"/>
  <c r="G329" i="1"/>
  <c r="F329" i="1"/>
  <c r="E329" i="1"/>
  <c r="I328" i="1"/>
  <c r="H328" i="1"/>
  <c r="G328" i="1"/>
  <c r="F328" i="1"/>
  <c r="E328" i="1"/>
  <c r="I327" i="1"/>
  <c r="H327" i="1"/>
  <c r="G327" i="1"/>
  <c r="F327" i="1"/>
  <c r="E327" i="1"/>
  <c r="I326" i="1"/>
  <c r="H326" i="1"/>
  <c r="G326" i="1"/>
  <c r="F326" i="1"/>
  <c r="E326" i="1"/>
  <c r="I325" i="1"/>
  <c r="H325" i="1"/>
  <c r="G325" i="1"/>
  <c r="F325" i="1"/>
  <c r="E325" i="1"/>
  <c r="I324" i="1"/>
  <c r="H324" i="1"/>
  <c r="G324" i="1"/>
  <c r="F324" i="1"/>
  <c r="E324" i="1"/>
  <c r="I323" i="1"/>
  <c r="H323" i="1"/>
  <c r="G323" i="1"/>
  <c r="F323" i="1"/>
  <c r="E323" i="1"/>
  <c r="I322" i="1"/>
  <c r="H322" i="1"/>
  <c r="G322" i="1"/>
  <c r="F322" i="1"/>
  <c r="E322" i="1"/>
  <c r="I321" i="1"/>
  <c r="H321" i="1"/>
  <c r="G321" i="1"/>
  <c r="F321" i="1"/>
  <c r="E321" i="1"/>
  <c r="I320" i="1"/>
  <c r="H320" i="1"/>
  <c r="G320" i="1"/>
  <c r="F320" i="1"/>
  <c r="E320" i="1"/>
  <c r="I319" i="1"/>
  <c r="H319" i="1"/>
  <c r="G319" i="1"/>
  <c r="F319" i="1"/>
  <c r="E319" i="1"/>
  <c r="I318" i="1"/>
  <c r="H318" i="1"/>
  <c r="G318" i="1"/>
  <c r="F318" i="1"/>
  <c r="E318" i="1"/>
  <c r="I317" i="1"/>
  <c r="H317" i="1"/>
  <c r="G317" i="1"/>
  <c r="F317" i="1"/>
  <c r="E317" i="1"/>
  <c r="I316" i="1"/>
  <c r="H316" i="1"/>
  <c r="G316" i="1"/>
  <c r="F316" i="1"/>
  <c r="E316" i="1"/>
  <c r="I315" i="1"/>
  <c r="H315" i="1"/>
  <c r="G315" i="1"/>
  <c r="F315" i="1"/>
  <c r="E315" i="1"/>
  <c r="I314" i="1"/>
  <c r="H314" i="1"/>
  <c r="G314" i="1"/>
  <c r="F314" i="1"/>
  <c r="E314" i="1"/>
  <c r="I313" i="1"/>
  <c r="H313" i="1"/>
  <c r="G313" i="1"/>
  <c r="F313" i="1"/>
  <c r="E313" i="1"/>
  <c r="I312" i="1"/>
  <c r="H312" i="1"/>
  <c r="G312" i="1"/>
  <c r="F312" i="1"/>
  <c r="E312" i="1"/>
  <c r="I311" i="1"/>
  <c r="H311" i="1"/>
  <c r="G311" i="1"/>
  <c r="F311" i="1"/>
  <c r="E311" i="1"/>
  <c r="I310" i="1"/>
  <c r="H310" i="1"/>
  <c r="G310" i="1"/>
  <c r="F310" i="1"/>
  <c r="E310" i="1"/>
  <c r="I309" i="1"/>
  <c r="H309" i="1"/>
  <c r="G309" i="1"/>
  <c r="F309" i="1"/>
  <c r="E309" i="1"/>
  <c r="I308" i="1"/>
  <c r="H308" i="1"/>
  <c r="G308" i="1"/>
  <c r="F308" i="1"/>
  <c r="E308" i="1"/>
  <c r="I307" i="1"/>
  <c r="H307" i="1"/>
  <c r="G307" i="1"/>
  <c r="F307" i="1"/>
  <c r="E307" i="1"/>
  <c r="I306" i="1"/>
  <c r="H306" i="1"/>
  <c r="G306" i="1"/>
  <c r="F306" i="1"/>
  <c r="E306" i="1"/>
  <c r="I305" i="1"/>
  <c r="H305" i="1"/>
  <c r="G305" i="1"/>
  <c r="F305" i="1"/>
  <c r="E305" i="1"/>
  <c r="I304" i="1"/>
  <c r="H304" i="1"/>
  <c r="G304" i="1"/>
  <c r="F304" i="1"/>
  <c r="E304" i="1"/>
  <c r="I303" i="1"/>
  <c r="H303" i="1"/>
  <c r="G303" i="1"/>
  <c r="F303" i="1"/>
  <c r="E303" i="1"/>
  <c r="I302" i="1"/>
  <c r="H302" i="1"/>
  <c r="G302" i="1"/>
  <c r="F302" i="1"/>
  <c r="E302" i="1"/>
  <c r="I301" i="1"/>
  <c r="H301" i="1"/>
  <c r="G301" i="1"/>
  <c r="F301" i="1"/>
  <c r="E301" i="1"/>
  <c r="I300" i="1"/>
  <c r="H300" i="1"/>
  <c r="G300" i="1"/>
  <c r="F300" i="1"/>
  <c r="E300" i="1"/>
  <c r="I299" i="1"/>
  <c r="H299" i="1"/>
  <c r="G299" i="1"/>
  <c r="F299" i="1"/>
  <c r="E299" i="1"/>
  <c r="I298" i="1"/>
  <c r="H298" i="1"/>
  <c r="G298" i="1"/>
  <c r="F298" i="1"/>
  <c r="E298" i="1"/>
  <c r="I297" i="1"/>
  <c r="H297" i="1"/>
  <c r="G297" i="1"/>
  <c r="F297" i="1"/>
  <c r="E297" i="1"/>
  <c r="I296" i="1"/>
  <c r="H296" i="1"/>
  <c r="G296" i="1"/>
  <c r="F296" i="1"/>
  <c r="E296" i="1"/>
  <c r="I295" i="1"/>
  <c r="H295" i="1"/>
  <c r="G295" i="1"/>
  <c r="F295" i="1"/>
  <c r="E295" i="1"/>
  <c r="I294" i="1"/>
  <c r="H294" i="1"/>
  <c r="G294" i="1"/>
  <c r="F294" i="1"/>
  <c r="E294" i="1"/>
  <c r="I293" i="1"/>
  <c r="H293" i="1"/>
  <c r="G293" i="1"/>
  <c r="F293" i="1"/>
  <c r="E293" i="1"/>
  <c r="I292" i="1"/>
  <c r="H292" i="1"/>
  <c r="G292" i="1"/>
  <c r="F292" i="1"/>
  <c r="E292" i="1"/>
  <c r="I291" i="1"/>
  <c r="H291" i="1"/>
  <c r="G291" i="1"/>
  <c r="F291" i="1"/>
  <c r="E291" i="1"/>
  <c r="I290" i="1"/>
  <c r="H290" i="1"/>
  <c r="G290" i="1"/>
  <c r="F290" i="1"/>
  <c r="E290" i="1"/>
  <c r="I289" i="1"/>
  <c r="H289" i="1"/>
  <c r="G289" i="1"/>
  <c r="F289" i="1"/>
  <c r="E289" i="1"/>
  <c r="I288" i="1"/>
  <c r="H288" i="1"/>
  <c r="G288" i="1"/>
  <c r="F288" i="1"/>
  <c r="E288" i="1"/>
  <c r="I287" i="1"/>
  <c r="H287" i="1"/>
  <c r="G287" i="1"/>
  <c r="F287" i="1"/>
  <c r="E287" i="1"/>
  <c r="I286" i="1"/>
  <c r="H286" i="1"/>
  <c r="G286" i="1"/>
  <c r="F286" i="1"/>
  <c r="E286" i="1"/>
  <c r="I285" i="1"/>
  <c r="H285" i="1"/>
  <c r="G285" i="1"/>
  <c r="F285" i="1"/>
  <c r="E285" i="1"/>
  <c r="I284" i="1"/>
  <c r="H284" i="1"/>
  <c r="G284" i="1"/>
  <c r="F284" i="1"/>
  <c r="E284" i="1"/>
  <c r="I283" i="1"/>
  <c r="H283" i="1"/>
  <c r="G283" i="1"/>
  <c r="F283" i="1"/>
  <c r="E283" i="1"/>
  <c r="I282" i="1"/>
  <c r="H282" i="1"/>
  <c r="G282" i="1"/>
  <c r="F282" i="1"/>
  <c r="E282" i="1"/>
  <c r="I281" i="1"/>
  <c r="H281" i="1"/>
  <c r="G281" i="1"/>
  <c r="F281" i="1"/>
  <c r="E281" i="1"/>
  <c r="I280" i="1"/>
  <c r="H280" i="1"/>
  <c r="G280" i="1"/>
  <c r="F280" i="1"/>
  <c r="E280" i="1"/>
  <c r="I279" i="1"/>
  <c r="H279" i="1"/>
  <c r="G279" i="1"/>
  <c r="F279" i="1"/>
  <c r="E279" i="1"/>
  <c r="I278" i="1"/>
  <c r="H278" i="1"/>
  <c r="G278" i="1"/>
  <c r="F278" i="1"/>
  <c r="E278" i="1"/>
  <c r="I277" i="1"/>
  <c r="H277" i="1"/>
  <c r="G277" i="1"/>
  <c r="F277" i="1"/>
  <c r="E277" i="1"/>
  <c r="I276" i="1"/>
  <c r="H276" i="1"/>
  <c r="G276" i="1"/>
  <c r="F276" i="1"/>
  <c r="E276" i="1"/>
  <c r="I275" i="1"/>
  <c r="H275" i="1"/>
  <c r="G275" i="1"/>
  <c r="F275" i="1"/>
  <c r="E275" i="1"/>
  <c r="I274" i="1"/>
  <c r="H274" i="1"/>
  <c r="G274" i="1"/>
  <c r="F274" i="1"/>
  <c r="E274" i="1"/>
  <c r="I273" i="1"/>
  <c r="H273" i="1"/>
  <c r="G273" i="1"/>
  <c r="F273" i="1"/>
  <c r="E273" i="1"/>
  <c r="I272" i="1"/>
  <c r="H272" i="1"/>
  <c r="G272" i="1"/>
  <c r="F272" i="1"/>
  <c r="E272" i="1"/>
  <c r="I271" i="1"/>
  <c r="H271" i="1"/>
  <c r="G271" i="1"/>
  <c r="F271" i="1"/>
  <c r="E271" i="1"/>
  <c r="I270" i="1"/>
  <c r="H270" i="1"/>
  <c r="G270" i="1"/>
  <c r="F270" i="1"/>
  <c r="E270" i="1"/>
  <c r="I269" i="1"/>
  <c r="H269" i="1"/>
  <c r="G269" i="1"/>
  <c r="F269" i="1"/>
  <c r="E269" i="1"/>
  <c r="I268" i="1"/>
  <c r="H268" i="1"/>
  <c r="G268" i="1"/>
  <c r="F268" i="1"/>
  <c r="E268" i="1"/>
  <c r="I267" i="1"/>
  <c r="H267" i="1"/>
  <c r="G267" i="1"/>
  <c r="F267" i="1"/>
  <c r="E267" i="1"/>
  <c r="I266" i="1"/>
  <c r="H266" i="1"/>
  <c r="G266" i="1"/>
  <c r="F266" i="1"/>
  <c r="E266" i="1"/>
  <c r="I265" i="1"/>
  <c r="H265" i="1"/>
  <c r="G265" i="1"/>
  <c r="F265" i="1"/>
  <c r="E265" i="1"/>
  <c r="I264" i="1"/>
  <c r="H264" i="1"/>
  <c r="G264" i="1"/>
  <c r="F264" i="1"/>
  <c r="E264" i="1"/>
  <c r="I263" i="1"/>
  <c r="H263" i="1"/>
  <c r="G263" i="1"/>
  <c r="F263" i="1"/>
  <c r="E263" i="1"/>
  <c r="I262" i="1"/>
  <c r="H262" i="1"/>
  <c r="G262" i="1"/>
  <c r="F262" i="1"/>
  <c r="E262" i="1"/>
  <c r="I261" i="1"/>
  <c r="H261" i="1"/>
  <c r="G261" i="1"/>
  <c r="F261" i="1"/>
  <c r="E261" i="1"/>
  <c r="I260" i="1"/>
  <c r="H260" i="1"/>
  <c r="G260" i="1"/>
  <c r="F260" i="1"/>
  <c r="E260" i="1"/>
  <c r="I259" i="1"/>
  <c r="H259" i="1"/>
  <c r="G259" i="1"/>
  <c r="F259" i="1"/>
  <c r="E259" i="1"/>
  <c r="I258" i="1"/>
  <c r="H258" i="1"/>
  <c r="G258" i="1"/>
  <c r="F258" i="1"/>
  <c r="E258" i="1"/>
  <c r="I257" i="1"/>
  <c r="H257" i="1"/>
  <c r="G257" i="1"/>
  <c r="F257" i="1"/>
  <c r="E257" i="1"/>
  <c r="I256" i="1"/>
  <c r="H256" i="1"/>
  <c r="G256" i="1"/>
  <c r="F256" i="1"/>
  <c r="E256" i="1"/>
  <c r="I255" i="1"/>
  <c r="H255" i="1"/>
  <c r="G255" i="1"/>
  <c r="F255" i="1"/>
  <c r="E255" i="1"/>
  <c r="I254" i="1"/>
  <c r="H254" i="1"/>
  <c r="G254" i="1"/>
  <c r="F254" i="1"/>
  <c r="E254" i="1"/>
  <c r="I253" i="1"/>
  <c r="H253" i="1"/>
  <c r="G253" i="1"/>
  <c r="F253" i="1"/>
  <c r="E253" i="1"/>
  <c r="I252" i="1"/>
  <c r="H252" i="1"/>
  <c r="G252" i="1"/>
  <c r="F252" i="1"/>
  <c r="E252" i="1"/>
  <c r="I251" i="1"/>
  <c r="H251" i="1"/>
  <c r="G251" i="1"/>
  <c r="F251" i="1"/>
  <c r="E251" i="1"/>
  <c r="I250" i="1"/>
  <c r="H250" i="1"/>
  <c r="G250" i="1"/>
  <c r="F250" i="1"/>
  <c r="E250" i="1"/>
  <c r="I249" i="1"/>
  <c r="H249" i="1"/>
  <c r="G249" i="1"/>
  <c r="F249" i="1"/>
  <c r="E249" i="1"/>
  <c r="I248" i="1"/>
  <c r="H248" i="1"/>
  <c r="G248" i="1"/>
  <c r="F248" i="1"/>
  <c r="E248" i="1"/>
  <c r="I247" i="1"/>
  <c r="H247" i="1"/>
  <c r="G247" i="1"/>
  <c r="F247" i="1"/>
  <c r="E247" i="1"/>
  <c r="I246" i="1"/>
  <c r="H246" i="1"/>
  <c r="G246" i="1"/>
  <c r="F246" i="1"/>
  <c r="E246" i="1"/>
  <c r="I245" i="1"/>
  <c r="H245" i="1"/>
  <c r="G245" i="1"/>
  <c r="F245" i="1"/>
  <c r="E245" i="1"/>
  <c r="I244" i="1"/>
  <c r="H244" i="1"/>
  <c r="G244" i="1"/>
  <c r="F244" i="1"/>
  <c r="E244" i="1"/>
  <c r="I243" i="1"/>
  <c r="H243" i="1"/>
  <c r="G243" i="1"/>
  <c r="F243" i="1"/>
  <c r="E243" i="1"/>
  <c r="I242" i="1"/>
  <c r="H242" i="1"/>
  <c r="G242" i="1"/>
  <c r="F242" i="1"/>
  <c r="E242" i="1"/>
  <c r="I241" i="1"/>
  <c r="H241" i="1"/>
  <c r="G241" i="1"/>
  <c r="F241" i="1"/>
  <c r="E241" i="1"/>
  <c r="I240" i="1"/>
  <c r="H240" i="1"/>
  <c r="G240" i="1"/>
  <c r="F240" i="1"/>
  <c r="E240" i="1"/>
  <c r="I239" i="1"/>
  <c r="H239" i="1"/>
  <c r="G239" i="1"/>
  <c r="F239" i="1"/>
  <c r="E239" i="1"/>
  <c r="I238" i="1"/>
  <c r="H238" i="1"/>
  <c r="G238" i="1"/>
  <c r="F238" i="1"/>
  <c r="E238" i="1"/>
  <c r="I237" i="1"/>
  <c r="H237" i="1"/>
  <c r="G237" i="1"/>
  <c r="F237" i="1"/>
  <c r="E237" i="1"/>
  <c r="I236" i="1"/>
  <c r="H236" i="1"/>
  <c r="G236" i="1"/>
  <c r="F236" i="1"/>
  <c r="E236" i="1"/>
  <c r="I235" i="1"/>
  <c r="H235" i="1"/>
  <c r="G235" i="1"/>
  <c r="F235" i="1"/>
  <c r="E235" i="1"/>
  <c r="I234" i="1"/>
  <c r="H234" i="1"/>
  <c r="G234" i="1"/>
  <c r="F234" i="1"/>
  <c r="E234" i="1"/>
  <c r="I233" i="1"/>
  <c r="H233" i="1"/>
  <c r="G233" i="1"/>
  <c r="F233" i="1"/>
  <c r="E233" i="1"/>
  <c r="I232" i="1"/>
  <c r="H232" i="1"/>
  <c r="G232" i="1"/>
  <c r="F232" i="1"/>
  <c r="E232" i="1"/>
  <c r="I231" i="1"/>
  <c r="H231" i="1"/>
  <c r="G231" i="1"/>
  <c r="F231" i="1"/>
  <c r="E231" i="1"/>
  <c r="I230" i="1"/>
  <c r="H230" i="1"/>
  <c r="G230" i="1"/>
  <c r="F230" i="1"/>
  <c r="E230" i="1"/>
  <c r="I229" i="1"/>
  <c r="H229" i="1"/>
  <c r="G229" i="1"/>
  <c r="F229" i="1"/>
  <c r="E229" i="1"/>
  <c r="I228" i="1"/>
  <c r="H228" i="1"/>
  <c r="G228" i="1"/>
  <c r="F228" i="1"/>
  <c r="E228" i="1"/>
  <c r="I227" i="1"/>
  <c r="H227" i="1"/>
  <c r="G227" i="1"/>
  <c r="F227" i="1"/>
  <c r="E227" i="1"/>
  <c r="I226" i="1"/>
  <c r="H226" i="1"/>
  <c r="G226" i="1"/>
  <c r="F226" i="1"/>
  <c r="E226" i="1"/>
  <c r="I225" i="1"/>
  <c r="H225" i="1"/>
  <c r="G225" i="1"/>
  <c r="F225" i="1"/>
  <c r="E225" i="1"/>
  <c r="I224" i="1"/>
  <c r="H224" i="1"/>
  <c r="G224" i="1"/>
  <c r="F224" i="1"/>
  <c r="E224" i="1"/>
  <c r="I223" i="1"/>
  <c r="H223" i="1"/>
  <c r="G223" i="1"/>
  <c r="F223" i="1"/>
  <c r="E223" i="1"/>
  <c r="I222" i="1"/>
  <c r="H222" i="1"/>
  <c r="G222" i="1"/>
  <c r="F222" i="1"/>
  <c r="E222" i="1"/>
  <c r="I221" i="1"/>
  <c r="H221" i="1"/>
  <c r="G221" i="1"/>
  <c r="F221" i="1"/>
  <c r="E221" i="1"/>
  <c r="I220" i="1"/>
  <c r="H220" i="1"/>
  <c r="G220" i="1"/>
  <c r="F220" i="1"/>
  <c r="E220" i="1"/>
  <c r="I219" i="1"/>
  <c r="H219" i="1"/>
  <c r="G219" i="1"/>
  <c r="F219" i="1"/>
  <c r="E219" i="1"/>
  <c r="I218" i="1"/>
  <c r="H218" i="1"/>
  <c r="G218" i="1"/>
  <c r="F218" i="1"/>
  <c r="E218" i="1"/>
  <c r="I217" i="1"/>
  <c r="H217" i="1"/>
  <c r="G217" i="1"/>
  <c r="F217" i="1"/>
  <c r="E217" i="1"/>
  <c r="I216" i="1"/>
  <c r="H216" i="1"/>
  <c r="G216" i="1"/>
  <c r="F216" i="1"/>
  <c r="E216" i="1"/>
  <c r="I215" i="1"/>
  <c r="H215" i="1"/>
  <c r="G215" i="1"/>
  <c r="F215" i="1"/>
  <c r="E215" i="1"/>
  <c r="I214" i="1"/>
  <c r="H214" i="1"/>
  <c r="G214" i="1"/>
  <c r="F214" i="1"/>
  <c r="E214" i="1"/>
  <c r="I213" i="1"/>
  <c r="H213" i="1"/>
  <c r="G213" i="1"/>
  <c r="F213" i="1"/>
  <c r="E213" i="1"/>
  <c r="I212" i="1"/>
  <c r="H212" i="1"/>
  <c r="G212" i="1"/>
  <c r="F212" i="1"/>
  <c r="E212" i="1"/>
  <c r="I211" i="1"/>
  <c r="H211" i="1"/>
  <c r="G211" i="1"/>
  <c r="F211" i="1"/>
  <c r="E211" i="1"/>
  <c r="I210" i="1"/>
  <c r="H210" i="1"/>
  <c r="G210" i="1"/>
  <c r="F210" i="1"/>
  <c r="E210" i="1"/>
  <c r="I209" i="1"/>
  <c r="H209" i="1"/>
  <c r="G209" i="1"/>
  <c r="F209" i="1"/>
  <c r="E209" i="1"/>
  <c r="I208" i="1"/>
  <c r="H208" i="1"/>
  <c r="G208" i="1"/>
  <c r="F208" i="1"/>
  <c r="E208" i="1"/>
  <c r="I207" i="1"/>
  <c r="H207" i="1"/>
  <c r="G207" i="1"/>
  <c r="F207" i="1"/>
  <c r="E207" i="1"/>
  <c r="I206" i="1"/>
  <c r="H206" i="1"/>
  <c r="G206" i="1"/>
  <c r="F206" i="1"/>
  <c r="E206" i="1"/>
  <c r="I205" i="1"/>
  <c r="H205" i="1"/>
  <c r="G205" i="1"/>
  <c r="F205" i="1"/>
  <c r="E205" i="1"/>
  <c r="I204" i="1"/>
  <c r="H204" i="1"/>
  <c r="G204" i="1"/>
  <c r="F204" i="1"/>
  <c r="E204" i="1"/>
  <c r="I203" i="1"/>
  <c r="H203" i="1"/>
  <c r="G203" i="1"/>
  <c r="F203" i="1"/>
  <c r="E203" i="1"/>
  <c r="I202" i="1"/>
  <c r="H202" i="1"/>
  <c r="G202" i="1"/>
  <c r="F202" i="1"/>
  <c r="E202" i="1"/>
  <c r="I201" i="1"/>
  <c r="H201" i="1"/>
  <c r="G201" i="1"/>
  <c r="F201" i="1"/>
  <c r="E201" i="1"/>
  <c r="I200" i="1"/>
  <c r="H200" i="1"/>
  <c r="G200" i="1"/>
  <c r="F200" i="1"/>
  <c r="E200" i="1"/>
  <c r="I199" i="1"/>
  <c r="H199" i="1"/>
  <c r="G199" i="1"/>
  <c r="F199" i="1"/>
  <c r="E199" i="1"/>
  <c r="I198" i="1"/>
  <c r="H198" i="1"/>
  <c r="G198" i="1"/>
  <c r="F198" i="1"/>
  <c r="E198" i="1"/>
  <c r="I197" i="1"/>
  <c r="H197" i="1"/>
  <c r="G197" i="1"/>
  <c r="F197" i="1"/>
  <c r="E197" i="1"/>
  <c r="I196" i="1"/>
  <c r="H196" i="1"/>
  <c r="G196" i="1"/>
  <c r="F196" i="1"/>
  <c r="E196" i="1"/>
  <c r="I195" i="1"/>
  <c r="H195" i="1"/>
  <c r="G195" i="1"/>
  <c r="F195" i="1"/>
  <c r="E195" i="1"/>
  <c r="I194" i="1"/>
  <c r="H194" i="1"/>
  <c r="G194" i="1"/>
  <c r="F194" i="1"/>
  <c r="E194" i="1"/>
  <c r="I193" i="1"/>
  <c r="H193" i="1"/>
  <c r="G193" i="1"/>
  <c r="F193" i="1"/>
  <c r="E193" i="1"/>
  <c r="I192" i="1"/>
  <c r="H192" i="1"/>
  <c r="G192" i="1"/>
  <c r="F192" i="1"/>
  <c r="E192" i="1"/>
  <c r="I191" i="1"/>
  <c r="H191" i="1"/>
  <c r="G191" i="1"/>
  <c r="F191" i="1"/>
  <c r="E191" i="1"/>
  <c r="I190" i="1"/>
  <c r="H190" i="1"/>
  <c r="G190" i="1"/>
  <c r="F190" i="1"/>
  <c r="E190" i="1"/>
  <c r="I189" i="1"/>
  <c r="H189" i="1"/>
  <c r="G189" i="1"/>
  <c r="F189" i="1"/>
  <c r="E189" i="1"/>
  <c r="I188" i="1"/>
  <c r="H188" i="1"/>
  <c r="G188" i="1"/>
  <c r="F188" i="1"/>
  <c r="E188" i="1"/>
  <c r="I187" i="1"/>
  <c r="H187" i="1"/>
  <c r="G187" i="1"/>
  <c r="F187" i="1"/>
  <c r="E187" i="1"/>
  <c r="I186" i="1"/>
  <c r="H186" i="1"/>
  <c r="G186" i="1"/>
  <c r="F186" i="1"/>
  <c r="E186" i="1"/>
  <c r="I185" i="1"/>
  <c r="H185" i="1"/>
  <c r="G185" i="1"/>
  <c r="F185" i="1"/>
  <c r="E185" i="1"/>
  <c r="I184" i="1"/>
  <c r="H184" i="1"/>
  <c r="G184" i="1"/>
  <c r="F184" i="1"/>
  <c r="E184" i="1"/>
  <c r="I183" i="1"/>
  <c r="H183" i="1"/>
  <c r="G183" i="1"/>
  <c r="F183" i="1"/>
  <c r="E183" i="1"/>
  <c r="I182" i="1"/>
  <c r="H182" i="1"/>
  <c r="G182" i="1"/>
  <c r="F182" i="1"/>
  <c r="E182" i="1"/>
  <c r="I181" i="1"/>
  <c r="H181" i="1"/>
  <c r="G181" i="1"/>
  <c r="F181" i="1"/>
  <c r="E181" i="1"/>
  <c r="I180" i="1"/>
  <c r="H180" i="1"/>
  <c r="G180" i="1"/>
  <c r="F180" i="1"/>
  <c r="E180" i="1"/>
  <c r="I179" i="1"/>
  <c r="H179" i="1"/>
  <c r="G179" i="1"/>
  <c r="F179" i="1"/>
  <c r="E179" i="1"/>
  <c r="I178" i="1"/>
  <c r="H178" i="1"/>
  <c r="G178" i="1"/>
  <c r="F178" i="1"/>
  <c r="E178" i="1"/>
  <c r="I177" i="1"/>
  <c r="H177" i="1"/>
  <c r="G177" i="1"/>
  <c r="F177" i="1"/>
  <c r="E177" i="1"/>
  <c r="I176" i="1"/>
  <c r="H176" i="1"/>
  <c r="G176" i="1"/>
  <c r="F176" i="1"/>
  <c r="E176" i="1"/>
  <c r="I175" i="1"/>
  <c r="H175" i="1"/>
  <c r="G175" i="1"/>
  <c r="F175" i="1"/>
  <c r="E175" i="1"/>
  <c r="I174" i="1"/>
  <c r="H174" i="1"/>
  <c r="G174" i="1"/>
  <c r="F174" i="1"/>
  <c r="E174" i="1"/>
  <c r="I173" i="1"/>
  <c r="H173" i="1"/>
  <c r="G173" i="1"/>
  <c r="F173" i="1"/>
  <c r="E173" i="1"/>
  <c r="I172" i="1"/>
  <c r="H172" i="1"/>
  <c r="G172" i="1"/>
  <c r="F172" i="1"/>
  <c r="E172" i="1"/>
  <c r="I171" i="1"/>
  <c r="H171" i="1"/>
  <c r="G171" i="1"/>
  <c r="F171" i="1"/>
  <c r="E171" i="1"/>
  <c r="I170" i="1"/>
  <c r="H170" i="1"/>
  <c r="G170" i="1"/>
  <c r="F170" i="1"/>
  <c r="E170" i="1"/>
  <c r="I169" i="1"/>
  <c r="H169" i="1"/>
  <c r="G169" i="1"/>
  <c r="F169" i="1"/>
  <c r="E169" i="1"/>
  <c r="I168" i="1"/>
  <c r="H168" i="1"/>
  <c r="G168" i="1"/>
  <c r="F168" i="1"/>
  <c r="E168" i="1"/>
  <c r="I167" i="1"/>
  <c r="H167" i="1"/>
  <c r="G167" i="1"/>
  <c r="F167" i="1"/>
  <c r="E167" i="1"/>
  <c r="I166" i="1"/>
  <c r="H166" i="1"/>
  <c r="G166" i="1"/>
  <c r="F166" i="1"/>
  <c r="E166" i="1"/>
  <c r="I165" i="1"/>
  <c r="H165" i="1"/>
  <c r="G165" i="1"/>
  <c r="F165" i="1"/>
  <c r="E165" i="1"/>
  <c r="I164" i="1"/>
  <c r="H164" i="1"/>
  <c r="G164" i="1"/>
  <c r="F164" i="1"/>
  <c r="E164" i="1"/>
  <c r="I163" i="1"/>
  <c r="H163" i="1"/>
  <c r="G163" i="1"/>
  <c r="F163" i="1"/>
  <c r="E163" i="1"/>
  <c r="I162" i="1"/>
  <c r="H162" i="1"/>
  <c r="G162" i="1"/>
  <c r="F162" i="1"/>
  <c r="E162" i="1"/>
  <c r="I161" i="1"/>
  <c r="H161" i="1"/>
  <c r="G161" i="1"/>
  <c r="F161" i="1"/>
  <c r="E161" i="1"/>
  <c r="I160" i="1"/>
  <c r="H160" i="1"/>
  <c r="G160" i="1"/>
  <c r="F160" i="1"/>
  <c r="E160" i="1"/>
  <c r="I159" i="1"/>
  <c r="H159" i="1"/>
  <c r="G159" i="1"/>
  <c r="F159" i="1"/>
  <c r="E159" i="1"/>
  <c r="I158" i="1"/>
  <c r="H158" i="1"/>
  <c r="G158" i="1"/>
  <c r="F158" i="1"/>
  <c r="E158" i="1"/>
  <c r="I157" i="1"/>
  <c r="H157" i="1"/>
  <c r="G157" i="1"/>
  <c r="F157" i="1"/>
  <c r="E157" i="1"/>
  <c r="I156" i="1"/>
  <c r="H156" i="1"/>
  <c r="G156" i="1"/>
  <c r="F156" i="1"/>
  <c r="E156" i="1"/>
  <c r="I155" i="1"/>
  <c r="H155" i="1"/>
  <c r="G155" i="1"/>
  <c r="F155" i="1"/>
  <c r="E155" i="1"/>
  <c r="I154" i="1"/>
  <c r="H154" i="1"/>
  <c r="G154" i="1"/>
  <c r="F154" i="1"/>
  <c r="E154" i="1"/>
  <c r="I153" i="1"/>
  <c r="H153" i="1"/>
  <c r="G153" i="1"/>
  <c r="F153" i="1"/>
  <c r="E153" i="1"/>
  <c r="I152" i="1"/>
  <c r="H152" i="1"/>
  <c r="G152" i="1"/>
  <c r="F152" i="1"/>
  <c r="E152" i="1"/>
  <c r="I151" i="1"/>
  <c r="H151" i="1"/>
  <c r="G151" i="1"/>
  <c r="F151" i="1"/>
  <c r="E151" i="1"/>
  <c r="I150" i="1"/>
  <c r="H150" i="1"/>
  <c r="G150" i="1"/>
  <c r="F150" i="1"/>
  <c r="E150" i="1"/>
  <c r="I149" i="1"/>
  <c r="H149" i="1"/>
  <c r="G149" i="1"/>
  <c r="F149" i="1"/>
  <c r="E149" i="1"/>
  <c r="I148" i="1"/>
  <c r="H148" i="1"/>
  <c r="G148" i="1"/>
  <c r="F148" i="1"/>
  <c r="E148" i="1"/>
  <c r="I147" i="1"/>
  <c r="H147" i="1"/>
  <c r="G147" i="1"/>
  <c r="F147" i="1"/>
  <c r="E147" i="1"/>
  <c r="I146" i="1"/>
  <c r="H146" i="1"/>
  <c r="G146" i="1"/>
  <c r="F146" i="1"/>
  <c r="E146" i="1"/>
  <c r="I145" i="1"/>
  <c r="H145" i="1"/>
  <c r="G145" i="1"/>
  <c r="F145" i="1"/>
  <c r="E145" i="1"/>
  <c r="I144" i="1"/>
  <c r="H144" i="1"/>
  <c r="G144" i="1"/>
  <c r="F144" i="1"/>
  <c r="E144" i="1"/>
  <c r="I143" i="1"/>
  <c r="H143" i="1"/>
  <c r="G143" i="1"/>
  <c r="F143" i="1"/>
  <c r="E143" i="1"/>
  <c r="I142" i="1"/>
  <c r="H142" i="1"/>
  <c r="G142" i="1"/>
  <c r="F142" i="1"/>
  <c r="E142" i="1"/>
  <c r="I141" i="1"/>
  <c r="H141" i="1"/>
  <c r="G141" i="1"/>
  <c r="F141" i="1"/>
  <c r="E141" i="1"/>
  <c r="I140" i="1"/>
  <c r="H140" i="1"/>
  <c r="G140" i="1"/>
  <c r="F140" i="1"/>
  <c r="E140" i="1"/>
  <c r="I139" i="1"/>
  <c r="H139" i="1"/>
  <c r="G139" i="1"/>
  <c r="F139" i="1"/>
  <c r="E139" i="1"/>
  <c r="I138" i="1"/>
  <c r="H138" i="1"/>
  <c r="G138" i="1"/>
  <c r="F138" i="1"/>
  <c r="E138" i="1"/>
  <c r="I137" i="1"/>
  <c r="H137" i="1"/>
  <c r="G137" i="1"/>
  <c r="F137" i="1"/>
  <c r="E137" i="1"/>
  <c r="I136" i="1"/>
  <c r="H136" i="1"/>
  <c r="G136" i="1"/>
  <c r="F136" i="1"/>
  <c r="E136" i="1"/>
  <c r="I135" i="1"/>
  <c r="H135" i="1"/>
  <c r="G135" i="1"/>
  <c r="F135" i="1"/>
  <c r="E135" i="1"/>
  <c r="I134" i="1"/>
  <c r="H134" i="1"/>
  <c r="G134" i="1"/>
  <c r="F134" i="1"/>
  <c r="E134" i="1"/>
  <c r="I133" i="1"/>
  <c r="H133" i="1"/>
  <c r="G133" i="1"/>
  <c r="F133" i="1"/>
  <c r="E133" i="1"/>
  <c r="I132" i="1"/>
  <c r="H132" i="1"/>
  <c r="G132" i="1"/>
  <c r="F132" i="1"/>
  <c r="E132" i="1"/>
  <c r="I131" i="1"/>
  <c r="H131" i="1"/>
  <c r="G131" i="1"/>
  <c r="F131" i="1"/>
  <c r="E131" i="1"/>
  <c r="I130" i="1"/>
  <c r="H130" i="1"/>
  <c r="G130" i="1"/>
  <c r="F130" i="1"/>
  <c r="E130" i="1"/>
  <c r="I129" i="1"/>
  <c r="H129" i="1"/>
  <c r="G129" i="1"/>
  <c r="F129" i="1"/>
  <c r="E129" i="1"/>
  <c r="I128" i="1"/>
  <c r="H128" i="1"/>
  <c r="G128" i="1"/>
  <c r="F128" i="1"/>
  <c r="E128" i="1"/>
  <c r="I127" i="1"/>
  <c r="H127" i="1"/>
  <c r="G127" i="1"/>
  <c r="F127" i="1"/>
  <c r="E127" i="1"/>
  <c r="I126" i="1"/>
  <c r="H126" i="1"/>
  <c r="G126" i="1"/>
  <c r="F126" i="1"/>
  <c r="E126" i="1"/>
  <c r="I125" i="1"/>
  <c r="H125" i="1"/>
  <c r="G125" i="1"/>
  <c r="F125" i="1"/>
  <c r="E125" i="1"/>
  <c r="I124" i="1"/>
  <c r="H124" i="1"/>
  <c r="G124" i="1"/>
  <c r="F124" i="1"/>
  <c r="E124" i="1"/>
  <c r="I123" i="1"/>
  <c r="H123" i="1"/>
  <c r="G123" i="1"/>
  <c r="F123" i="1"/>
  <c r="E123" i="1"/>
  <c r="I122" i="1"/>
  <c r="H122" i="1"/>
  <c r="G122" i="1"/>
  <c r="F122" i="1"/>
  <c r="E122" i="1"/>
  <c r="I121" i="1"/>
  <c r="H121" i="1"/>
  <c r="G121" i="1"/>
  <c r="F121" i="1"/>
  <c r="E121" i="1"/>
  <c r="I120" i="1"/>
  <c r="H120" i="1"/>
  <c r="G120" i="1"/>
  <c r="F120" i="1"/>
  <c r="E120" i="1"/>
  <c r="I119" i="1"/>
  <c r="H119" i="1"/>
  <c r="G119" i="1"/>
  <c r="F119" i="1"/>
  <c r="E119" i="1"/>
  <c r="I118" i="1"/>
  <c r="H118" i="1"/>
  <c r="G118" i="1"/>
  <c r="F118" i="1"/>
  <c r="E118" i="1"/>
  <c r="I117" i="1"/>
  <c r="H117" i="1"/>
  <c r="G117" i="1"/>
  <c r="F117" i="1"/>
  <c r="E117" i="1"/>
  <c r="I116" i="1"/>
  <c r="H116" i="1"/>
  <c r="G116" i="1"/>
  <c r="F116" i="1"/>
  <c r="E116" i="1"/>
  <c r="I115" i="1"/>
  <c r="H115" i="1"/>
  <c r="G115" i="1"/>
  <c r="F115" i="1"/>
  <c r="E115" i="1"/>
  <c r="I114" i="1"/>
  <c r="H114" i="1"/>
  <c r="G114" i="1"/>
  <c r="F114" i="1"/>
  <c r="E114" i="1"/>
  <c r="I113" i="1"/>
  <c r="H113" i="1"/>
  <c r="G113" i="1"/>
  <c r="F113" i="1"/>
  <c r="E113" i="1"/>
  <c r="I112" i="1"/>
  <c r="H112" i="1"/>
  <c r="G112" i="1"/>
  <c r="F112" i="1"/>
  <c r="E112" i="1"/>
  <c r="I111" i="1"/>
  <c r="H111" i="1"/>
  <c r="G111" i="1"/>
  <c r="F111" i="1"/>
  <c r="E111" i="1"/>
  <c r="I110" i="1"/>
  <c r="H110" i="1"/>
  <c r="G110" i="1"/>
  <c r="F110" i="1"/>
  <c r="E110" i="1"/>
  <c r="I109" i="1"/>
  <c r="H109" i="1"/>
  <c r="G109" i="1"/>
  <c r="F109" i="1"/>
  <c r="E109" i="1"/>
  <c r="I108" i="1"/>
  <c r="H108" i="1"/>
  <c r="G108" i="1"/>
  <c r="F108" i="1"/>
  <c r="E108" i="1"/>
  <c r="I107" i="1"/>
  <c r="H107" i="1"/>
  <c r="G107" i="1"/>
  <c r="F107" i="1"/>
  <c r="E107" i="1"/>
  <c r="I106" i="1"/>
  <c r="H106" i="1"/>
  <c r="G106" i="1"/>
  <c r="F106" i="1"/>
  <c r="E106" i="1"/>
  <c r="I105" i="1"/>
  <c r="H105" i="1"/>
  <c r="G105" i="1"/>
  <c r="F105" i="1"/>
  <c r="E105" i="1"/>
  <c r="I104" i="1"/>
  <c r="H104" i="1"/>
  <c r="G104" i="1"/>
  <c r="F104" i="1"/>
  <c r="E104" i="1"/>
  <c r="I103" i="1"/>
  <c r="H103" i="1"/>
  <c r="G103" i="1"/>
  <c r="F103" i="1"/>
  <c r="E103" i="1"/>
  <c r="I102" i="1"/>
  <c r="H102" i="1"/>
  <c r="G102" i="1"/>
  <c r="F102" i="1"/>
  <c r="E102" i="1"/>
  <c r="I101" i="1"/>
  <c r="H101" i="1"/>
  <c r="G101" i="1"/>
  <c r="F101" i="1"/>
  <c r="E101" i="1"/>
  <c r="I100" i="1"/>
  <c r="H100" i="1"/>
  <c r="G100" i="1"/>
  <c r="F100" i="1"/>
  <c r="E100" i="1"/>
  <c r="I99" i="1"/>
  <c r="H99" i="1"/>
  <c r="G99" i="1"/>
  <c r="F99" i="1"/>
  <c r="E99" i="1"/>
  <c r="I98" i="1"/>
  <c r="H98" i="1"/>
  <c r="G98" i="1"/>
  <c r="F98" i="1"/>
  <c r="E98" i="1"/>
  <c r="I97" i="1"/>
  <c r="H97" i="1"/>
  <c r="G97" i="1"/>
  <c r="F97" i="1"/>
  <c r="E97" i="1"/>
  <c r="I96" i="1"/>
  <c r="H96" i="1"/>
  <c r="G96" i="1"/>
  <c r="F96" i="1"/>
  <c r="E96" i="1"/>
  <c r="I95" i="1"/>
  <c r="H95" i="1"/>
  <c r="G95" i="1"/>
  <c r="F95" i="1"/>
  <c r="E95" i="1"/>
  <c r="I94" i="1"/>
  <c r="H94" i="1"/>
  <c r="G94" i="1"/>
  <c r="F94" i="1"/>
  <c r="E94" i="1"/>
  <c r="I93" i="1"/>
  <c r="H93" i="1"/>
  <c r="G93" i="1"/>
  <c r="F93" i="1"/>
  <c r="E93" i="1"/>
  <c r="I92" i="1"/>
  <c r="H92" i="1"/>
  <c r="G92" i="1"/>
  <c r="F92" i="1"/>
  <c r="E92" i="1"/>
  <c r="I91" i="1"/>
  <c r="H91" i="1"/>
  <c r="G91" i="1"/>
  <c r="F91" i="1"/>
  <c r="E91" i="1"/>
  <c r="I90" i="1"/>
  <c r="H90" i="1"/>
  <c r="G90" i="1"/>
  <c r="F90" i="1"/>
  <c r="E90" i="1"/>
  <c r="I89" i="1"/>
  <c r="H89" i="1"/>
  <c r="G89" i="1"/>
  <c r="F89" i="1"/>
  <c r="E89" i="1"/>
  <c r="I88" i="1"/>
  <c r="H88" i="1"/>
  <c r="G88" i="1"/>
  <c r="F88" i="1"/>
  <c r="E88" i="1"/>
  <c r="I87" i="1"/>
  <c r="H87" i="1"/>
  <c r="G87" i="1"/>
  <c r="F87" i="1"/>
  <c r="E87" i="1"/>
  <c r="I86" i="1"/>
  <c r="H86" i="1"/>
  <c r="G86" i="1"/>
  <c r="F86" i="1"/>
  <c r="E86" i="1"/>
  <c r="I85" i="1"/>
  <c r="H85" i="1"/>
  <c r="G85" i="1"/>
  <c r="F85" i="1"/>
  <c r="E85" i="1"/>
  <c r="I84" i="1"/>
  <c r="H84" i="1"/>
  <c r="G84" i="1"/>
  <c r="F84" i="1"/>
  <c r="E84" i="1"/>
  <c r="I83" i="1"/>
  <c r="H83" i="1"/>
  <c r="G83" i="1"/>
  <c r="F83" i="1"/>
  <c r="E83" i="1"/>
  <c r="I82" i="1"/>
  <c r="H82" i="1"/>
  <c r="G82" i="1"/>
  <c r="F82" i="1"/>
  <c r="E82" i="1"/>
  <c r="I81" i="1"/>
  <c r="H81" i="1"/>
  <c r="G81" i="1"/>
  <c r="F81" i="1"/>
  <c r="E81" i="1"/>
  <c r="I80" i="1"/>
  <c r="H80" i="1"/>
  <c r="G80" i="1"/>
  <c r="F80" i="1"/>
  <c r="E80" i="1"/>
  <c r="I79" i="1"/>
  <c r="H79" i="1"/>
  <c r="G79" i="1"/>
  <c r="F79" i="1"/>
  <c r="E79" i="1"/>
  <c r="I78" i="1"/>
  <c r="H78" i="1"/>
  <c r="G78" i="1"/>
  <c r="F78" i="1"/>
  <c r="E78" i="1"/>
  <c r="I77" i="1"/>
  <c r="H77" i="1"/>
  <c r="G77" i="1"/>
  <c r="F77" i="1"/>
  <c r="E77" i="1"/>
  <c r="I76" i="1"/>
  <c r="H76" i="1"/>
  <c r="G76" i="1"/>
  <c r="F76" i="1"/>
  <c r="E76" i="1"/>
  <c r="I75" i="1"/>
  <c r="H75" i="1"/>
  <c r="G75" i="1"/>
  <c r="F75" i="1"/>
  <c r="E75" i="1"/>
  <c r="I74" i="1"/>
  <c r="H74" i="1"/>
  <c r="G74" i="1"/>
  <c r="F74" i="1"/>
  <c r="E74" i="1"/>
  <c r="I73" i="1"/>
  <c r="H73" i="1"/>
  <c r="G73" i="1"/>
  <c r="F73" i="1"/>
  <c r="E73" i="1"/>
  <c r="I72" i="1"/>
  <c r="H72" i="1"/>
  <c r="G72" i="1"/>
  <c r="F72" i="1"/>
  <c r="E72" i="1"/>
  <c r="I71" i="1"/>
  <c r="H71" i="1"/>
  <c r="G71" i="1"/>
  <c r="F71" i="1"/>
  <c r="E71" i="1"/>
  <c r="I70" i="1"/>
  <c r="H70" i="1"/>
  <c r="G70" i="1"/>
  <c r="F70" i="1"/>
  <c r="E70" i="1"/>
  <c r="I69" i="1"/>
  <c r="H69" i="1"/>
  <c r="G69" i="1"/>
  <c r="F69" i="1"/>
  <c r="E69" i="1"/>
  <c r="I68" i="1"/>
  <c r="H68" i="1"/>
  <c r="G68" i="1"/>
  <c r="F68" i="1"/>
  <c r="E68" i="1"/>
  <c r="I67" i="1"/>
  <c r="H67" i="1"/>
  <c r="G67" i="1"/>
  <c r="F67" i="1"/>
  <c r="E67" i="1"/>
  <c r="I66" i="1"/>
  <c r="H66" i="1"/>
  <c r="G66" i="1"/>
  <c r="F66" i="1"/>
  <c r="E66" i="1"/>
  <c r="I65" i="1"/>
  <c r="H65" i="1"/>
  <c r="G65" i="1"/>
  <c r="F65" i="1"/>
  <c r="E65" i="1"/>
  <c r="I64" i="1"/>
  <c r="H64" i="1"/>
  <c r="G64" i="1"/>
  <c r="F64" i="1"/>
  <c r="E64" i="1"/>
  <c r="I63" i="1"/>
  <c r="H63" i="1"/>
  <c r="G63" i="1"/>
  <c r="F63" i="1"/>
  <c r="E63" i="1"/>
  <c r="I62" i="1"/>
  <c r="H62" i="1"/>
  <c r="G62" i="1"/>
  <c r="F62" i="1"/>
  <c r="E62" i="1"/>
  <c r="I61" i="1"/>
  <c r="H61" i="1"/>
  <c r="G61" i="1"/>
  <c r="F61" i="1"/>
  <c r="E61" i="1"/>
  <c r="I60" i="1"/>
  <c r="H60" i="1"/>
  <c r="G60" i="1"/>
  <c r="F60" i="1"/>
  <c r="E60" i="1"/>
  <c r="I59" i="1"/>
  <c r="H59" i="1"/>
  <c r="G59" i="1"/>
  <c r="F59" i="1"/>
  <c r="E59" i="1"/>
  <c r="I58" i="1"/>
  <c r="H58" i="1"/>
  <c r="G58" i="1"/>
  <c r="F58" i="1"/>
  <c r="E58" i="1"/>
  <c r="I57" i="1"/>
  <c r="H57" i="1"/>
  <c r="G57" i="1"/>
  <c r="F57" i="1"/>
  <c r="E57" i="1"/>
  <c r="I56" i="1"/>
  <c r="H56" i="1"/>
  <c r="G56" i="1"/>
  <c r="F56" i="1"/>
  <c r="E56" i="1"/>
  <c r="I55" i="1"/>
  <c r="H55" i="1"/>
  <c r="G55" i="1"/>
  <c r="F55" i="1"/>
  <c r="E55" i="1"/>
  <c r="I54" i="1"/>
  <c r="H54" i="1"/>
  <c r="G54" i="1"/>
  <c r="F54" i="1"/>
  <c r="E54" i="1"/>
  <c r="I53" i="1"/>
  <c r="H53" i="1"/>
  <c r="G53" i="1"/>
  <c r="F53" i="1"/>
  <c r="E53" i="1"/>
  <c r="I52" i="1"/>
  <c r="H52" i="1"/>
  <c r="G52" i="1"/>
  <c r="F52" i="1"/>
  <c r="E52" i="1"/>
  <c r="I51" i="1"/>
  <c r="H51" i="1"/>
  <c r="G51" i="1"/>
  <c r="F51" i="1"/>
  <c r="E51" i="1"/>
  <c r="I50" i="1"/>
  <c r="H50" i="1"/>
  <c r="G50" i="1"/>
  <c r="F50" i="1"/>
  <c r="E50" i="1"/>
  <c r="I49" i="1"/>
  <c r="H49" i="1"/>
  <c r="G49" i="1"/>
  <c r="F49" i="1"/>
  <c r="E49" i="1"/>
  <c r="I48" i="1"/>
  <c r="H48" i="1"/>
  <c r="G48" i="1"/>
  <c r="F48" i="1"/>
  <c r="E48" i="1"/>
  <c r="I47" i="1"/>
  <c r="H47" i="1"/>
  <c r="G47" i="1"/>
  <c r="F47" i="1"/>
  <c r="E47" i="1"/>
  <c r="I46" i="1"/>
  <c r="H46" i="1"/>
  <c r="G46" i="1"/>
  <c r="F46" i="1"/>
  <c r="E46" i="1"/>
  <c r="I45" i="1"/>
  <c r="H45" i="1"/>
  <c r="G45" i="1"/>
  <c r="F45" i="1"/>
  <c r="E45" i="1"/>
  <c r="I44" i="1"/>
  <c r="H44" i="1"/>
  <c r="G44" i="1"/>
  <c r="F44" i="1"/>
  <c r="E44" i="1"/>
  <c r="I43" i="1"/>
  <c r="H43" i="1"/>
  <c r="G43" i="1"/>
  <c r="F43" i="1"/>
  <c r="E43" i="1"/>
  <c r="I42" i="1"/>
  <c r="H42" i="1"/>
  <c r="G42" i="1"/>
  <c r="F42" i="1"/>
  <c r="E42" i="1"/>
  <c r="I41" i="1"/>
  <c r="H41" i="1"/>
  <c r="G41" i="1"/>
  <c r="F41" i="1"/>
  <c r="E41" i="1"/>
  <c r="I40" i="1"/>
  <c r="H40" i="1"/>
  <c r="G40" i="1"/>
  <c r="F40" i="1"/>
  <c r="E40" i="1"/>
  <c r="I39" i="1"/>
  <c r="H39" i="1"/>
  <c r="G39" i="1"/>
  <c r="F39" i="1"/>
  <c r="E39" i="1"/>
  <c r="I38" i="1"/>
  <c r="H38" i="1"/>
  <c r="G38" i="1"/>
  <c r="F38" i="1"/>
  <c r="E38" i="1"/>
  <c r="I37" i="1"/>
  <c r="H37" i="1"/>
  <c r="G37" i="1"/>
  <c r="F37" i="1"/>
  <c r="E37" i="1"/>
  <c r="I36" i="1"/>
  <c r="H36" i="1"/>
  <c r="G36" i="1"/>
  <c r="F36" i="1"/>
  <c r="E36" i="1"/>
  <c r="I35" i="1"/>
  <c r="H35" i="1"/>
  <c r="G35" i="1"/>
  <c r="F35" i="1"/>
  <c r="E35" i="1"/>
  <c r="I34" i="1"/>
  <c r="H34" i="1"/>
  <c r="G34" i="1"/>
  <c r="F34" i="1"/>
  <c r="E34" i="1"/>
  <c r="I33" i="1"/>
  <c r="H33" i="1"/>
  <c r="G33" i="1"/>
  <c r="F33" i="1"/>
  <c r="E33" i="1"/>
  <c r="I32" i="1"/>
  <c r="H32" i="1"/>
  <c r="G32" i="1"/>
  <c r="F32" i="1"/>
  <c r="E32" i="1"/>
  <c r="I31" i="1"/>
  <c r="H31" i="1"/>
  <c r="G31" i="1"/>
  <c r="F31" i="1"/>
  <c r="E31" i="1"/>
  <c r="I30" i="1"/>
  <c r="H30" i="1"/>
  <c r="G30" i="1"/>
  <c r="F30" i="1"/>
  <c r="E30" i="1"/>
  <c r="I29" i="1"/>
  <c r="H29" i="1"/>
  <c r="G29" i="1"/>
  <c r="F29" i="1"/>
  <c r="E29" i="1"/>
  <c r="I28" i="1"/>
  <c r="H28" i="1"/>
  <c r="G28" i="1"/>
  <c r="F28" i="1"/>
  <c r="E28" i="1"/>
  <c r="I27" i="1"/>
  <c r="H27" i="1"/>
  <c r="G27" i="1"/>
  <c r="F27" i="1"/>
  <c r="E27" i="1"/>
  <c r="I26" i="1"/>
  <c r="H26" i="1"/>
  <c r="G26" i="1"/>
  <c r="F26" i="1"/>
  <c r="E26" i="1"/>
  <c r="I25" i="1"/>
  <c r="H25" i="1"/>
  <c r="G25" i="1"/>
  <c r="F25" i="1"/>
  <c r="E25" i="1"/>
  <c r="I24" i="1"/>
  <c r="H24" i="1"/>
  <c r="G24" i="1"/>
  <c r="F24" i="1"/>
  <c r="E24" i="1"/>
  <c r="I23" i="1"/>
  <c r="H23" i="1"/>
  <c r="G23" i="1"/>
  <c r="F23" i="1"/>
  <c r="E23" i="1"/>
  <c r="I22" i="1"/>
  <c r="H22" i="1"/>
  <c r="G22" i="1"/>
  <c r="F22" i="1"/>
  <c r="E22" i="1"/>
  <c r="I21" i="1"/>
  <c r="H21" i="1"/>
  <c r="G21" i="1"/>
  <c r="F21" i="1"/>
  <c r="E21" i="1"/>
  <c r="I20" i="1"/>
  <c r="H20" i="1"/>
  <c r="G20" i="1"/>
  <c r="F20" i="1"/>
  <c r="E20" i="1"/>
  <c r="I19" i="1"/>
  <c r="H19" i="1"/>
  <c r="G19" i="1"/>
  <c r="F19" i="1"/>
  <c r="E19" i="1"/>
  <c r="I18" i="1"/>
  <c r="H18" i="1"/>
  <c r="G18" i="1"/>
  <c r="F18" i="1"/>
  <c r="E18" i="1"/>
  <c r="I17" i="1"/>
  <c r="H17" i="1"/>
  <c r="G17" i="1"/>
  <c r="F17" i="1"/>
  <c r="E17" i="1"/>
  <c r="I16" i="1"/>
  <c r="H16" i="1"/>
  <c r="G16" i="1"/>
  <c r="F16" i="1"/>
  <c r="E16" i="1"/>
  <c r="I15" i="1"/>
  <c r="H15" i="1"/>
  <c r="G15" i="1"/>
  <c r="F15" i="1"/>
  <c r="E15" i="1"/>
  <c r="I14" i="1"/>
  <c r="H14" i="1"/>
  <c r="G14" i="1"/>
  <c r="F14" i="1"/>
  <c r="E14" i="1"/>
  <c r="I13" i="1"/>
  <c r="H13" i="1"/>
  <c r="G13" i="1"/>
  <c r="G3" i="1" s="1"/>
  <c r="F13" i="1"/>
  <c r="E13" i="1"/>
  <c r="I12" i="1"/>
  <c r="H12" i="1"/>
  <c r="G12" i="1"/>
  <c r="G2" i="1" s="1"/>
  <c r="F12" i="1"/>
  <c r="E12" i="1"/>
  <c r="K13" i="1"/>
  <c r="K17" i="1"/>
  <c r="K21" i="1"/>
  <c r="K25" i="1"/>
  <c r="K29" i="1"/>
  <c r="K33" i="1"/>
  <c r="K37" i="1"/>
  <c r="K41" i="1"/>
  <c r="K45" i="1"/>
  <c r="K49" i="1"/>
  <c r="K53" i="1"/>
  <c r="K57" i="1"/>
  <c r="K61" i="1"/>
  <c r="K65" i="1"/>
  <c r="K69" i="1"/>
  <c r="K73" i="1"/>
  <c r="K77" i="1"/>
  <c r="K81" i="1"/>
  <c r="K85" i="1"/>
  <c r="K89" i="1"/>
  <c r="K93" i="1"/>
  <c r="K97" i="1"/>
  <c r="K101" i="1"/>
  <c r="K105" i="1"/>
  <c r="K109" i="1"/>
  <c r="K113" i="1"/>
  <c r="K117" i="1"/>
  <c r="K121" i="1"/>
  <c r="K125" i="1"/>
  <c r="K129" i="1"/>
  <c r="K133" i="1"/>
  <c r="K137" i="1"/>
  <c r="K141" i="1"/>
  <c r="K145" i="1"/>
  <c r="K149" i="1"/>
  <c r="K153" i="1"/>
  <c r="K157" i="1"/>
  <c r="K161" i="1"/>
  <c r="K165" i="1"/>
  <c r="K169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K237" i="1"/>
  <c r="K241" i="1"/>
  <c r="K245" i="1"/>
  <c r="K249" i="1"/>
  <c r="K253" i="1"/>
  <c r="K257" i="1"/>
  <c r="K261" i="1"/>
  <c r="K265" i="1"/>
  <c r="K269" i="1"/>
  <c r="K273" i="1"/>
  <c r="K277" i="1"/>
  <c r="K281" i="1"/>
  <c r="K285" i="1"/>
  <c r="K289" i="1"/>
  <c r="K293" i="1"/>
  <c r="K297" i="1"/>
  <c r="K301" i="1"/>
  <c r="K305" i="1"/>
  <c r="K309" i="1"/>
  <c r="K313" i="1"/>
  <c r="K317" i="1"/>
  <c r="K321" i="1"/>
  <c r="K325" i="1"/>
  <c r="K329" i="1"/>
  <c r="K333" i="1"/>
  <c r="K337" i="1"/>
  <c r="K341" i="1"/>
  <c r="K345" i="1"/>
  <c r="K349" i="1"/>
  <c r="K353" i="1"/>
  <c r="K357" i="1"/>
  <c r="K361" i="1"/>
  <c r="K365" i="1"/>
  <c r="K369" i="1"/>
  <c r="K373" i="1"/>
  <c r="K377" i="1"/>
  <c r="K381" i="1"/>
  <c r="K385" i="1"/>
  <c r="K389" i="1"/>
  <c r="K393" i="1"/>
  <c r="K397" i="1"/>
  <c r="K401" i="1"/>
  <c r="K405" i="1"/>
  <c r="K409" i="1"/>
  <c r="K413" i="1"/>
  <c r="K417" i="1"/>
  <c r="K421" i="1"/>
  <c r="K425" i="1"/>
  <c r="K429" i="1"/>
  <c r="K433" i="1"/>
  <c r="K437" i="1"/>
  <c r="K441" i="1"/>
  <c r="K445" i="1"/>
  <c r="K449" i="1"/>
  <c r="K453" i="1"/>
  <c r="K457" i="1"/>
  <c r="K461" i="1"/>
  <c r="K465" i="1"/>
  <c r="K469" i="1"/>
  <c r="K473" i="1"/>
  <c r="K477" i="1"/>
  <c r="K481" i="1"/>
  <c r="K485" i="1"/>
  <c r="K489" i="1"/>
  <c r="K493" i="1"/>
  <c r="K497" i="1"/>
  <c r="K501" i="1"/>
  <c r="K505" i="1"/>
  <c r="K509" i="1"/>
  <c r="K513" i="1"/>
  <c r="K517" i="1"/>
  <c r="K14" i="1"/>
  <c r="K18" i="1"/>
  <c r="K22" i="1"/>
  <c r="K26" i="1"/>
  <c r="K30" i="1"/>
  <c r="K15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159" i="1"/>
  <c r="K163" i="1"/>
  <c r="K167" i="1"/>
  <c r="K171" i="1"/>
  <c r="K175" i="1"/>
  <c r="K179" i="1"/>
  <c r="K183" i="1"/>
  <c r="K187" i="1"/>
  <c r="K191" i="1"/>
  <c r="K195" i="1"/>
  <c r="K199" i="1"/>
  <c r="K203" i="1"/>
  <c r="K207" i="1"/>
  <c r="K211" i="1"/>
  <c r="K215" i="1"/>
  <c r="K219" i="1"/>
  <c r="K223" i="1"/>
  <c r="K227" i="1"/>
  <c r="K231" i="1"/>
  <c r="K235" i="1"/>
  <c r="K239" i="1"/>
  <c r="K243" i="1"/>
  <c r="K247" i="1"/>
  <c r="K251" i="1"/>
  <c r="K255" i="1"/>
  <c r="K259" i="1"/>
  <c r="K263" i="1"/>
  <c r="K267" i="1"/>
  <c r="K271" i="1"/>
  <c r="K275" i="1"/>
  <c r="K279" i="1"/>
  <c r="K283" i="1"/>
  <c r="K287" i="1"/>
  <c r="K291" i="1"/>
  <c r="K295" i="1"/>
  <c r="K299" i="1"/>
  <c r="K303" i="1"/>
  <c r="K307" i="1"/>
  <c r="K311" i="1"/>
  <c r="K315" i="1"/>
  <c r="K319" i="1"/>
  <c r="K323" i="1"/>
  <c r="K327" i="1"/>
  <c r="K331" i="1"/>
  <c r="K335" i="1"/>
  <c r="K339" i="1"/>
  <c r="K343" i="1"/>
  <c r="K347" i="1"/>
  <c r="K351" i="1"/>
  <c r="K355" i="1"/>
  <c r="K359" i="1"/>
  <c r="K363" i="1"/>
  <c r="K367" i="1"/>
  <c r="K371" i="1"/>
  <c r="K375" i="1"/>
  <c r="K379" i="1"/>
  <c r="K383" i="1"/>
  <c r="K387" i="1"/>
  <c r="K391" i="1"/>
  <c r="K395" i="1"/>
  <c r="K399" i="1"/>
  <c r="K403" i="1"/>
  <c r="K407" i="1"/>
  <c r="K411" i="1"/>
  <c r="K415" i="1"/>
  <c r="K419" i="1"/>
  <c r="K423" i="1"/>
  <c r="K427" i="1"/>
  <c r="K431" i="1"/>
  <c r="K435" i="1"/>
  <c r="K439" i="1"/>
  <c r="K443" i="1"/>
  <c r="K447" i="1"/>
  <c r="K451" i="1"/>
  <c r="K455" i="1"/>
  <c r="K459" i="1"/>
  <c r="K463" i="1"/>
  <c r="K467" i="1"/>
  <c r="K471" i="1"/>
  <c r="K475" i="1"/>
  <c r="K479" i="1"/>
  <c r="K16" i="1"/>
  <c r="K32" i="1"/>
  <c r="K40" i="1"/>
  <c r="K48" i="1"/>
  <c r="K56" i="1"/>
  <c r="K64" i="1"/>
  <c r="K72" i="1"/>
  <c r="K80" i="1"/>
  <c r="K88" i="1"/>
  <c r="K96" i="1"/>
  <c r="K104" i="1"/>
  <c r="K112" i="1"/>
  <c r="K120" i="1"/>
  <c r="K128" i="1"/>
  <c r="K136" i="1"/>
  <c r="K144" i="1"/>
  <c r="K152" i="1"/>
  <c r="K160" i="1"/>
  <c r="K168" i="1"/>
  <c r="K176" i="1"/>
  <c r="K184" i="1"/>
  <c r="K192" i="1"/>
  <c r="K200" i="1"/>
  <c r="K208" i="1"/>
  <c r="K216" i="1"/>
  <c r="K224" i="1"/>
  <c r="K232" i="1"/>
  <c r="K240" i="1"/>
  <c r="K248" i="1"/>
  <c r="K256" i="1"/>
  <c r="K264" i="1"/>
  <c r="K272" i="1"/>
  <c r="K280" i="1"/>
  <c r="K288" i="1"/>
  <c r="K296" i="1"/>
  <c r="K304" i="1"/>
  <c r="K312" i="1"/>
  <c r="K320" i="1"/>
  <c r="K328" i="1"/>
  <c r="K336" i="1"/>
  <c r="K344" i="1"/>
  <c r="K352" i="1"/>
  <c r="K360" i="1"/>
  <c r="K368" i="1"/>
  <c r="K376" i="1"/>
  <c r="K384" i="1"/>
  <c r="K392" i="1"/>
  <c r="K400" i="1"/>
  <c r="K408" i="1"/>
  <c r="K416" i="1"/>
  <c r="K424" i="1"/>
  <c r="K432" i="1"/>
  <c r="K440" i="1"/>
  <c r="K448" i="1"/>
  <c r="K456" i="1"/>
  <c r="K464" i="1"/>
  <c r="K472" i="1"/>
  <c r="K480" i="1"/>
  <c r="K486" i="1"/>
  <c r="K491" i="1"/>
  <c r="K496" i="1"/>
  <c r="K502" i="1"/>
  <c r="K507" i="1"/>
  <c r="K512" i="1"/>
  <c r="K518" i="1"/>
  <c r="K522" i="1"/>
  <c r="K526" i="1"/>
  <c r="K530" i="1"/>
  <c r="K534" i="1"/>
  <c r="K538" i="1"/>
  <c r="K542" i="1"/>
  <c r="K546" i="1"/>
  <c r="K550" i="1"/>
  <c r="K554" i="1"/>
  <c r="K558" i="1"/>
  <c r="K562" i="1"/>
  <c r="K566" i="1"/>
  <c r="K570" i="1"/>
  <c r="K574" i="1"/>
  <c r="K578" i="1"/>
  <c r="K582" i="1"/>
  <c r="K586" i="1"/>
  <c r="K590" i="1"/>
  <c r="K594" i="1"/>
  <c r="K598" i="1"/>
  <c r="K602" i="1"/>
  <c r="K606" i="1"/>
  <c r="K610" i="1"/>
  <c r="K614" i="1"/>
  <c r="K618" i="1"/>
  <c r="K622" i="1"/>
  <c r="K626" i="1"/>
  <c r="K630" i="1"/>
  <c r="K634" i="1"/>
  <c r="K638" i="1"/>
  <c r="K642" i="1"/>
  <c r="K646" i="1"/>
  <c r="K650" i="1"/>
  <c r="K654" i="1"/>
  <c r="K658" i="1"/>
  <c r="K662" i="1"/>
  <c r="K666" i="1"/>
  <c r="K670" i="1"/>
  <c r="K674" i="1"/>
  <c r="K678" i="1"/>
  <c r="K682" i="1"/>
  <c r="K686" i="1"/>
  <c r="K690" i="1"/>
  <c r="K694" i="1"/>
  <c r="K698" i="1"/>
  <c r="K702" i="1"/>
  <c r="K706" i="1"/>
  <c r="K710" i="1"/>
  <c r="K714" i="1"/>
  <c r="K718" i="1"/>
  <c r="K722" i="1"/>
  <c r="K726" i="1"/>
  <c r="K730" i="1"/>
  <c r="K734" i="1"/>
  <c r="K738" i="1"/>
  <c r="K742" i="1"/>
  <c r="K746" i="1"/>
  <c r="K750" i="1"/>
  <c r="K754" i="1"/>
  <c r="K758" i="1"/>
  <c r="K762" i="1"/>
  <c r="K766" i="1"/>
  <c r="K20" i="1"/>
  <c r="K34" i="1"/>
  <c r="K42" i="1"/>
  <c r="K50" i="1"/>
  <c r="K58" i="1"/>
  <c r="K66" i="1"/>
  <c r="K74" i="1"/>
  <c r="K82" i="1"/>
  <c r="K90" i="1"/>
  <c r="K98" i="1"/>
  <c r="K106" i="1"/>
  <c r="K114" i="1"/>
  <c r="K122" i="1"/>
  <c r="K130" i="1"/>
  <c r="K138" i="1"/>
  <c r="K146" i="1"/>
  <c r="K154" i="1"/>
  <c r="K162" i="1"/>
  <c r="K170" i="1"/>
  <c r="K178" i="1"/>
  <c r="K186" i="1"/>
  <c r="K194" i="1"/>
  <c r="K202" i="1"/>
  <c r="K210" i="1"/>
  <c r="K218" i="1"/>
  <c r="K226" i="1"/>
  <c r="K234" i="1"/>
  <c r="K242" i="1"/>
  <c r="K250" i="1"/>
  <c r="K258" i="1"/>
  <c r="K266" i="1"/>
  <c r="K274" i="1"/>
  <c r="K282" i="1"/>
  <c r="K290" i="1"/>
  <c r="K298" i="1"/>
  <c r="K306" i="1"/>
  <c r="K314" i="1"/>
  <c r="K322" i="1"/>
  <c r="K330" i="1"/>
  <c r="K338" i="1"/>
  <c r="K346" i="1"/>
  <c r="K354" i="1"/>
  <c r="K362" i="1"/>
  <c r="K370" i="1"/>
  <c r="K378" i="1"/>
  <c r="K386" i="1"/>
  <c r="K394" i="1"/>
  <c r="K402" i="1"/>
  <c r="K410" i="1"/>
  <c r="K418" i="1"/>
  <c r="K426" i="1"/>
  <c r="K434" i="1"/>
  <c r="K442" i="1"/>
  <c r="K450" i="1"/>
  <c r="K458" i="1"/>
  <c r="K466" i="1"/>
  <c r="K474" i="1"/>
  <c r="K482" i="1"/>
  <c r="K487" i="1"/>
  <c r="K492" i="1"/>
  <c r="K498" i="1"/>
  <c r="K503" i="1"/>
  <c r="K508" i="1"/>
  <c r="K514" i="1"/>
  <c r="K519" i="1"/>
  <c r="K523" i="1"/>
  <c r="K527" i="1"/>
  <c r="K531" i="1"/>
  <c r="K535" i="1"/>
  <c r="K539" i="1"/>
  <c r="K543" i="1"/>
  <c r="K547" i="1"/>
  <c r="K551" i="1"/>
  <c r="K555" i="1"/>
  <c r="K559" i="1"/>
  <c r="K563" i="1"/>
  <c r="K567" i="1"/>
  <c r="K571" i="1"/>
  <c r="K575" i="1"/>
  <c r="K579" i="1"/>
  <c r="K583" i="1"/>
  <c r="K587" i="1"/>
  <c r="K591" i="1"/>
  <c r="K595" i="1"/>
  <c r="K599" i="1"/>
  <c r="K603" i="1"/>
  <c r="K607" i="1"/>
  <c r="K611" i="1"/>
  <c r="K615" i="1"/>
  <c r="K619" i="1"/>
  <c r="K623" i="1"/>
  <c r="K627" i="1"/>
  <c r="K631" i="1"/>
  <c r="K635" i="1"/>
  <c r="K639" i="1"/>
  <c r="K643" i="1"/>
  <c r="K647" i="1"/>
  <c r="K651" i="1"/>
  <c r="K655" i="1"/>
  <c r="K659" i="1"/>
  <c r="K663" i="1"/>
  <c r="K667" i="1"/>
  <c r="K671" i="1"/>
  <c r="K675" i="1"/>
  <c r="K679" i="1"/>
  <c r="K683" i="1"/>
  <c r="K687" i="1"/>
  <c r="K691" i="1"/>
  <c r="K695" i="1"/>
  <c r="K699" i="1"/>
  <c r="K703" i="1"/>
  <c r="K707" i="1"/>
  <c r="K711" i="1"/>
  <c r="K715" i="1"/>
  <c r="K719" i="1"/>
  <c r="K723" i="1"/>
  <c r="K727" i="1"/>
  <c r="K731" i="1"/>
  <c r="K735" i="1"/>
  <c r="K739" i="1"/>
  <c r="K743" i="1"/>
  <c r="K747" i="1"/>
  <c r="K751" i="1"/>
  <c r="K755" i="1"/>
  <c r="K759" i="1"/>
  <c r="K763" i="1"/>
  <c r="K767" i="1"/>
  <c r="K24" i="1"/>
  <c r="K36" i="1"/>
  <c r="K44" i="1"/>
  <c r="K52" i="1"/>
  <c r="K60" i="1"/>
  <c r="K68" i="1"/>
  <c r="K76" i="1"/>
  <c r="K84" i="1"/>
  <c r="K92" i="1"/>
  <c r="K100" i="1"/>
  <c r="K108" i="1"/>
  <c r="K116" i="1"/>
  <c r="K124" i="1"/>
  <c r="K132" i="1"/>
  <c r="K140" i="1"/>
  <c r="K148" i="1"/>
  <c r="K156" i="1"/>
  <c r="K164" i="1"/>
  <c r="K172" i="1"/>
  <c r="K180" i="1"/>
  <c r="K188" i="1"/>
  <c r="K196" i="1"/>
  <c r="K204" i="1"/>
  <c r="K212" i="1"/>
  <c r="K220" i="1"/>
  <c r="K228" i="1"/>
  <c r="K236" i="1"/>
  <c r="K244" i="1"/>
  <c r="K252" i="1"/>
  <c r="K260" i="1"/>
  <c r="K268" i="1"/>
  <c r="K276" i="1"/>
  <c r="K284" i="1"/>
  <c r="K292" i="1"/>
  <c r="K300" i="1"/>
  <c r="K308" i="1"/>
  <c r="K316" i="1"/>
  <c r="K324" i="1"/>
  <c r="K332" i="1"/>
  <c r="K340" i="1"/>
  <c r="K348" i="1"/>
  <c r="K356" i="1"/>
  <c r="K364" i="1"/>
  <c r="K372" i="1"/>
  <c r="K380" i="1"/>
  <c r="K388" i="1"/>
  <c r="K396" i="1"/>
  <c r="K404" i="1"/>
  <c r="K412" i="1"/>
  <c r="K420" i="1"/>
  <c r="K428" i="1"/>
  <c r="K436" i="1"/>
  <c r="K444" i="1"/>
  <c r="K452" i="1"/>
  <c r="K460" i="1"/>
  <c r="K468" i="1"/>
  <c r="K476" i="1"/>
  <c r="K483" i="1"/>
  <c r="K488" i="1"/>
  <c r="K494" i="1"/>
  <c r="K499" i="1"/>
  <c r="K504" i="1"/>
  <c r="K510" i="1"/>
  <c r="K515" i="1"/>
  <c r="K520" i="1"/>
  <c r="K524" i="1"/>
  <c r="K528" i="1"/>
  <c r="K532" i="1"/>
  <c r="K536" i="1"/>
  <c r="K540" i="1"/>
  <c r="K544" i="1"/>
  <c r="K548" i="1"/>
  <c r="K552" i="1"/>
  <c r="K556" i="1"/>
  <c r="K560" i="1"/>
  <c r="K564" i="1"/>
  <c r="K568" i="1"/>
  <c r="K572" i="1"/>
  <c r="K576" i="1"/>
  <c r="K580" i="1"/>
  <c r="K584" i="1"/>
  <c r="K588" i="1"/>
  <c r="K592" i="1"/>
  <c r="K596" i="1"/>
  <c r="K600" i="1"/>
  <c r="K604" i="1"/>
  <c r="K608" i="1"/>
  <c r="K612" i="1"/>
  <c r="K616" i="1"/>
  <c r="K620" i="1"/>
  <c r="K624" i="1"/>
  <c r="K628" i="1"/>
  <c r="K632" i="1"/>
  <c r="K636" i="1"/>
  <c r="K640" i="1"/>
  <c r="K644" i="1"/>
  <c r="K648" i="1"/>
  <c r="K652" i="1"/>
  <c r="K656" i="1"/>
  <c r="K660" i="1"/>
  <c r="K664" i="1"/>
  <c r="K668" i="1"/>
  <c r="K672" i="1"/>
  <c r="K676" i="1"/>
  <c r="K680" i="1"/>
  <c r="K684" i="1"/>
  <c r="K688" i="1"/>
  <c r="K692" i="1"/>
  <c r="K696" i="1"/>
  <c r="K700" i="1"/>
  <c r="K704" i="1"/>
  <c r="K708" i="1"/>
  <c r="K712" i="1"/>
  <c r="K716" i="1"/>
  <c r="K720" i="1"/>
  <c r="K724" i="1"/>
  <c r="K728" i="1"/>
  <c r="K732" i="1"/>
  <c r="K736" i="1"/>
  <c r="K740" i="1"/>
  <c r="K744" i="1"/>
  <c r="K748" i="1"/>
  <c r="K752" i="1"/>
  <c r="K756" i="1"/>
  <c r="K760" i="1"/>
  <c r="K764" i="1"/>
  <c r="K768" i="1"/>
  <c r="K28" i="1"/>
  <c r="K62" i="1"/>
  <c r="K94" i="1"/>
  <c r="K126" i="1"/>
  <c r="K158" i="1"/>
  <c r="K190" i="1"/>
  <c r="K222" i="1"/>
  <c r="K254" i="1"/>
  <c r="K286" i="1"/>
  <c r="K318" i="1"/>
  <c r="K350" i="1"/>
  <c r="K382" i="1"/>
  <c r="K414" i="1"/>
  <c r="K446" i="1"/>
  <c r="K478" i="1"/>
  <c r="K500" i="1"/>
  <c r="K521" i="1"/>
  <c r="K537" i="1"/>
  <c r="K553" i="1"/>
  <c r="K569" i="1"/>
  <c r="K585" i="1"/>
  <c r="K601" i="1"/>
  <c r="K617" i="1"/>
  <c r="K633" i="1"/>
  <c r="K649" i="1"/>
  <c r="K665" i="1"/>
  <c r="K681" i="1"/>
  <c r="K697" i="1"/>
  <c r="K713" i="1"/>
  <c r="K729" i="1"/>
  <c r="K745" i="1"/>
  <c r="K761" i="1"/>
  <c r="K771" i="1"/>
  <c r="K775" i="1"/>
  <c r="K779" i="1"/>
  <c r="K783" i="1"/>
  <c r="K787" i="1"/>
  <c r="K791" i="1"/>
  <c r="K795" i="1"/>
  <c r="K799" i="1"/>
  <c r="K803" i="1"/>
  <c r="K807" i="1"/>
  <c r="K811" i="1"/>
  <c r="K815" i="1"/>
  <c r="K819" i="1"/>
  <c r="K823" i="1"/>
  <c r="K827" i="1"/>
  <c r="K831" i="1"/>
  <c r="K835" i="1"/>
  <c r="K839" i="1"/>
  <c r="K843" i="1"/>
  <c r="K847" i="1"/>
  <c r="K851" i="1"/>
  <c r="K855" i="1"/>
  <c r="K859" i="1"/>
  <c r="K863" i="1"/>
  <c r="K867" i="1"/>
  <c r="K871" i="1"/>
  <c r="K875" i="1"/>
  <c r="K879" i="1"/>
  <c r="K883" i="1"/>
  <c r="K887" i="1"/>
  <c r="K891" i="1"/>
  <c r="K895" i="1"/>
  <c r="K899" i="1"/>
  <c r="K903" i="1"/>
  <c r="K907" i="1"/>
  <c r="K911" i="1"/>
  <c r="K915" i="1"/>
  <c r="K919" i="1"/>
  <c r="K923" i="1"/>
  <c r="K927" i="1"/>
  <c r="K931" i="1"/>
  <c r="K935" i="1"/>
  <c r="K939" i="1"/>
  <c r="K943" i="1"/>
  <c r="K947" i="1"/>
  <c r="K951" i="1"/>
  <c r="K955" i="1"/>
  <c r="K959" i="1"/>
  <c r="K963" i="1"/>
  <c r="K967" i="1"/>
  <c r="K971" i="1"/>
  <c r="K975" i="1"/>
  <c r="K979" i="1"/>
  <c r="K983" i="1"/>
  <c r="K987" i="1"/>
  <c r="K991" i="1"/>
  <c r="K995" i="1"/>
  <c r="K999" i="1"/>
  <c r="K1003" i="1"/>
  <c r="K1007" i="1"/>
  <c r="K1011" i="1"/>
  <c r="K1015" i="1"/>
  <c r="K1019" i="1"/>
  <c r="K1023" i="1"/>
  <c r="K1027" i="1"/>
  <c r="K1031" i="1"/>
  <c r="K1035" i="1"/>
  <c r="K1039" i="1"/>
  <c r="K1043" i="1"/>
  <c r="K1047" i="1"/>
  <c r="K1051" i="1"/>
  <c r="K1055" i="1"/>
  <c r="K1059" i="1"/>
  <c r="K1063" i="1"/>
  <c r="K1067" i="1"/>
  <c r="K1071" i="1"/>
  <c r="K1075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7" i="1"/>
  <c r="K1131" i="1"/>
  <c r="K1135" i="1"/>
  <c r="K1139" i="1"/>
  <c r="K1143" i="1"/>
  <c r="K38" i="1"/>
  <c r="K70" i="1"/>
  <c r="K102" i="1"/>
  <c r="K134" i="1"/>
  <c r="K166" i="1"/>
  <c r="K198" i="1"/>
  <c r="K230" i="1"/>
  <c r="K262" i="1"/>
  <c r="K294" i="1"/>
  <c r="K326" i="1"/>
  <c r="K358" i="1"/>
  <c r="K390" i="1"/>
  <c r="K422" i="1"/>
  <c r="K454" i="1"/>
  <c r="K484" i="1"/>
  <c r="K506" i="1"/>
  <c r="K525" i="1"/>
  <c r="K541" i="1"/>
  <c r="K557" i="1"/>
  <c r="K573" i="1"/>
  <c r="K589" i="1"/>
  <c r="K605" i="1"/>
  <c r="K621" i="1"/>
  <c r="K637" i="1"/>
  <c r="K653" i="1"/>
  <c r="K669" i="1"/>
  <c r="K685" i="1"/>
  <c r="K701" i="1"/>
  <c r="K717" i="1"/>
  <c r="K733" i="1"/>
  <c r="K749" i="1"/>
  <c r="K765" i="1"/>
  <c r="K772" i="1"/>
  <c r="K776" i="1"/>
  <c r="K780" i="1"/>
  <c r="K784" i="1"/>
  <c r="K788" i="1"/>
  <c r="K792" i="1"/>
  <c r="K796" i="1"/>
  <c r="K800" i="1"/>
  <c r="K804" i="1"/>
  <c r="K808" i="1"/>
  <c r="K812" i="1"/>
  <c r="K816" i="1"/>
  <c r="K820" i="1"/>
  <c r="K824" i="1"/>
  <c r="K828" i="1"/>
  <c r="K832" i="1"/>
  <c r="K836" i="1"/>
  <c r="K840" i="1"/>
  <c r="K844" i="1"/>
  <c r="K848" i="1"/>
  <c r="K852" i="1"/>
  <c r="K856" i="1"/>
  <c r="K860" i="1"/>
  <c r="K864" i="1"/>
  <c r="K868" i="1"/>
  <c r="K872" i="1"/>
  <c r="K876" i="1"/>
  <c r="K880" i="1"/>
  <c r="K884" i="1"/>
  <c r="K888" i="1"/>
  <c r="K892" i="1"/>
  <c r="K896" i="1"/>
  <c r="K900" i="1"/>
  <c r="K904" i="1"/>
  <c r="K908" i="1"/>
  <c r="K912" i="1"/>
  <c r="K916" i="1"/>
  <c r="K920" i="1"/>
  <c r="K924" i="1"/>
  <c r="K928" i="1"/>
  <c r="K932" i="1"/>
  <c r="K936" i="1"/>
  <c r="K940" i="1"/>
  <c r="K944" i="1"/>
  <c r="K948" i="1"/>
  <c r="K952" i="1"/>
  <c r="K956" i="1"/>
  <c r="K960" i="1"/>
  <c r="K964" i="1"/>
  <c r="K968" i="1"/>
  <c r="K972" i="1"/>
  <c r="K976" i="1"/>
  <c r="K980" i="1"/>
  <c r="K984" i="1"/>
  <c r="K988" i="1"/>
  <c r="K992" i="1"/>
  <c r="K996" i="1"/>
  <c r="K1000" i="1"/>
  <c r="K1004" i="1"/>
  <c r="K1008" i="1"/>
  <c r="K1012" i="1"/>
  <c r="K1016" i="1"/>
  <c r="K1020" i="1"/>
  <c r="K1024" i="1"/>
  <c r="K1028" i="1"/>
  <c r="K1032" i="1"/>
  <c r="K1036" i="1"/>
  <c r="K1040" i="1"/>
  <c r="K1044" i="1"/>
  <c r="K1048" i="1"/>
  <c r="K1052" i="1"/>
  <c r="K1056" i="1"/>
  <c r="K1060" i="1"/>
  <c r="K1064" i="1"/>
  <c r="K1068" i="1"/>
  <c r="K1072" i="1"/>
  <c r="K1076" i="1"/>
  <c r="K1080" i="1"/>
  <c r="K1084" i="1"/>
  <c r="K1088" i="1"/>
  <c r="K1092" i="1"/>
  <c r="K1096" i="1"/>
  <c r="K1100" i="1"/>
  <c r="K1104" i="1"/>
  <c r="K1108" i="1"/>
  <c r="K1112" i="1"/>
  <c r="K1116" i="1"/>
  <c r="K1120" i="1"/>
  <c r="K1124" i="1"/>
  <c r="K1128" i="1"/>
  <c r="K1132" i="1"/>
  <c r="K1136" i="1"/>
  <c r="K1140" i="1"/>
  <c r="K1144" i="1"/>
  <c r="K1148" i="1"/>
  <c r="K46" i="1"/>
  <c r="K78" i="1"/>
  <c r="K110" i="1"/>
  <c r="K142" i="1"/>
  <c r="K174" i="1"/>
  <c r="K206" i="1"/>
  <c r="K238" i="1"/>
  <c r="K270" i="1"/>
  <c r="K302" i="1"/>
  <c r="K334" i="1"/>
  <c r="K366" i="1"/>
  <c r="K398" i="1"/>
  <c r="K430" i="1"/>
  <c r="K462" i="1"/>
  <c r="K490" i="1"/>
  <c r="K511" i="1"/>
  <c r="K529" i="1"/>
  <c r="K545" i="1"/>
  <c r="K561" i="1"/>
  <c r="K577" i="1"/>
  <c r="K593" i="1"/>
  <c r="K609" i="1"/>
  <c r="K625" i="1"/>
  <c r="K641" i="1"/>
  <c r="K657" i="1"/>
  <c r="K673" i="1"/>
  <c r="K689" i="1"/>
  <c r="K705" i="1"/>
  <c r="K721" i="1"/>
  <c r="K737" i="1"/>
  <c r="K753" i="1"/>
  <c r="K769" i="1"/>
  <c r="K773" i="1"/>
  <c r="K777" i="1"/>
  <c r="K781" i="1"/>
  <c r="K785" i="1"/>
  <c r="K789" i="1"/>
  <c r="K793" i="1"/>
  <c r="K797" i="1"/>
  <c r="K801" i="1"/>
  <c r="K805" i="1"/>
  <c r="K809" i="1"/>
  <c r="K813" i="1"/>
  <c r="K817" i="1"/>
  <c r="K821" i="1"/>
  <c r="K825" i="1"/>
  <c r="K829" i="1"/>
  <c r="K833" i="1"/>
  <c r="K837" i="1"/>
  <c r="K841" i="1"/>
  <c r="K845" i="1"/>
  <c r="K849" i="1"/>
  <c r="K853" i="1"/>
  <c r="K857" i="1"/>
  <c r="K861" i="1"/>
  <c r="K865" i="1"/>
  <c r="K869" i="1"/>
  <c r="K873" i="1"/>
  <c r="K877" i="1"/>
  <c r="K881" i="1"/>
  <c r="K885" i="1"/>
  <c r="K889" i="1"/>
  <c r="K893" i="1"/>
  <c r="K897" i="1"/>
  <c r="K901" i="1"/>
  <c r="K905" i="1"/>
  <c r="K909" i="1"/>
  <c r="K913" i="1"/>
  <c r="K917" i="1"/>
  <c r="K921" i="1"/>
  <c r="K925" i="1"/>
  <c r="K929" i="1"/>
  <c r="K933" i="1"/>
  <c r="K937" i="1"/>
  <c r="K941" i="1"/>
  <c r="K945" i="1"/>
  <c r="K949" i="1"/>
  <c r="K953" i="1"/>
  <c r="K957" i="1"/>
  <c r="K961" i="1"/>
  <c r="K965" i="1"/>
  <c r="K969" i="1"/>
  <c r="K973" i="1"/>
  <c r="K977" i="1"/>
  <c r="K981" i="1"/>
  <c r="K985" i="1"/>
  <c r="K989" i="1"/>
  <c r="K993" i="1"/>
  <c r="K997" i="1"/>
  <c r="K1001" i="1"/>
  <c r="K1005" i="1"/>
  <c r="K1009" i="1"/>
  <c r="K1013" i="1"/>
  <c r="K1017" i="1"/>
  <c r="K1021" i="1"/>
  <c r="K1025" i="1"/>
  <c r="K1029" i="1"/>
  <c r="K1033" i="1"/>
  <c r="K1037" i="1"/>
  <c r="K1041" i="1"/>
  <c r="K1045" i="1"/>
  <c r="K1049" i="1"/>
  <c r="K1053" i="1"/>
  <c r="K1057" i="1"/>
  <c r="K1061" i="1"/>
  <c r="K1065" i="1"/>
  <c r="K1069" i="1"/>
  <c r="K1073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5" i="1"/>
  <c r="K1129" i="1"/>
  <c r="K1133" i="1"/>
  <c r="K54" i="1"/>
  <c r="K182" i="1"/>
  <c r="K310" i="1"/>
  <c r="K438" i="1"/>
  <c r="K533" i="1"/>
  <c r="K597" i="1"/>
  <c r="K661" i="1"/>
  <c r="K725" i="1"/>
  <c r="K774" i="1"/>
  <c r="K790" i="1"/>
  <c r="K806" i="1"/>
  <c r="K822" i="1"/>
  <c r="K838" i="1"/>
  <c r="K854" i="1"/>
  <c r="K870" i="1"/>
  <c r="K886" i="1"/>
  <c r="K902" i="1"/>
  <c r="K918" i="1"/>
  <c r="K934" i="1"/>
  <c r="K950" i="1"/>
  <c r="K966" i="1"/>
  <c r="K982" i="1"/>
  <c r="K998" i="1"/>
  <c r="K1014" i="1"/>
  <c r="K1030" i="1"/>
  <c r="K1046" i="1"/>
  <c r="K1062" i="1"/>
  <c r="K1078" i="1"/>
  <c r="K1094" i="1"/>
  <c r="K1110" i="1"/>
  <c r="K1126" i="1"/>
  <c r="K1138" i="1"/>
  <c r="K1146" i="1"/>
  <c r="K1151" i="1"/>
  <c r="K1155" i="1"/>
  <c r="K1159" i="1"/>
  <c r="K1163" i="1"/>
  <c r="K1167" i="1"/>
  <c r="K1171" i="1"/>
  <c r="K1175" i="1"/>
  <c r="K1179" i="1"/>
  <c r="K1183" i="1"/>
  <c r="K1187" i="1"/>
  <c r="K1191" i="1"/>
  <c r="K1195" i="1"/>
  <c r="K1199" i="1"/>
  <c r="K1203" i="1"/>
  <c r="K1207" i="1"/>
  <c r="K1211" i="1"/>
  <c r="K1215" i="1"/>
  <c r="K1219" i="1"/>
  <c r="K1223" i="1"/>
  <c r="K1227" i="1"/>
  <c r="K1231" i="1"/>
  <c r="K1235" i="1"/>
  <c r="K1239" i="1"/>
  <c r="K1243" i="1"/>
  <c r="K1247" i="1"/>
  <c r="K1251" i="1"/>
  <c r="K1255" i="1"/>
  <c r="K1259" i="1"/>
  <c r="K1263" i="1"/>
  <c r="K1267" i="1"/>
  <c r="K1271" i="1"/>
  <c r="K1275" i="1"/>
  <c r="K1279" i="1"/>
  <c r="K1283" i="1"/>
  <c r="K1287" i="1"/>
  <c r="K1291" i="1"/>
  <c r="K1295" i="1"/>
  <c r="K1299" i="1"/>
  <c r="K1303" i="1"/>
  <c r="K1307" i="1"/>
  <c r="K1311" i="1"/>
  <c r="K1315" i="1"/>
  <c r="K1319" i="1"/>
  <c r="K1323" i="1"/>
  <c r="K1327" i="1"/>
  <c r="K1331" i="1"/>
  <c r="K1335" i="1"/>
  <c r="K1339" i="1"/>
  <c r="K1343" i="1"/>
  <c r="K1347" i="1"/>
  <c r="K1351" i="1"/>
  <c r="K1355" i="1"/>
  <c r="K1359" i="1"/>
  <c r="K1363" i="1"/>
  <c r="K1367" i="1"/>
  <c r="K1371" i="1"/>
  <c r="K1375" i="1"/>
  <c r="K1379" i="1"/>
  <c r="K1383" i="1"/>
  <c r="K1387" i="1"/>
  <c r="K1391" i="1"/>
  <c r="K1395" i="1"/>
  <c r="K1399" i="1"/>
  <c r="K1403" i="1"/>
  <c r="K1407" i="1"/>
  <c r="K1411" i="1"/>
  <c r="K1415" i="1"/>
  <c r="K1419" i="1"/>
  <c r="K1423" i="1"/>
  <c r="K1427" i="1"/>
  <c r="K1431" i="1"/>
  <c r="K1435" i="1"/>
  <c r="K1439" i="1"/>
  <c r="K1443" i="1"/>
  <c r="K1447" i="1"/>
  <c r="K1451" i="1"/>
  <c r="K1455" i="1"/>
  <c r="K1459" i="1"/>
  <c r="K1463" i="1"/>
  <c r="K1467" i="1"/>
  <c r="K1471" i="1"/>
  <c r="K1475" i="1"/>
  <c r="K1479" i="1"/>
  <c r="K1483" i="1"/>
  <c r="K1487" i="1"/>
  <c r="K1491" i="1"/>
  <c r="K1495" i="1"/>
  <c r="K1499" i="1"/>
  <c r="K1503" i="1"/>
  <c r="K1507" i="1"/>
  <c r="K1511" i="1"/>
  <c r="K1515" i="1"/>
  <c r="K1519" i="1"/>
  <c r="K1523" i="1"/>
  <c r="K1527" i="1"/>
  <c r="K1531" i="1"/>
  <c r="K1535" i="1"/>
  <c r="K1539" i="1"/>
  <c r="K1543" i="1"/>
  <c r="K1547" i="1"/>
  <c r="K1551" i="1"/>
  <c r="K1555" i="1"/>
  <c r="K1559" i="1"/>
  <c r="K1563" i="1"/>
  <c r="K1567" i="1"/>
  <c r="K1571" i="1"/>
  <c r="K1575" i="1"/>
  <c r="K1579" i="1"/>
  <c r="K1583" i="1"/>
  <c r="K1587" i="1"/>
  <c r="K1591" i="1"/>
  <c r="K1595" i="1"/>
  <c r="K1599" i="1"/>
  <c r="K1603" i="1"/>
  <c r="K1607" i="1"/>
  <c r="K1611" i="1"/>
  <c r="K1615" i="1"/>
  <c r="K1619" i="1"/>
  <c r="K1623" i="1"/>
  <c r="K1627" i="1"/>
  <c r="K1631" i="1"/>
  <c r="K1635" i="1"/>
  <c r="K1639" i="1"/>
  <c r="K1643" i="1"/>
  <c r="K1647" i="1"/>
  <c r="K1651" i="1"/>
  <c r="K1655" i="1"/>
  <c r="K1659" i="1"/>
  <c r="K1663" i="1"/>
  <c r="K1667" i="1"/>
  <c r="K1671" i="1"/>
  <c r="K1675" i="1"/>
  <c r="K1679" i="1"/>
  <c r="K1683" i="1"/>
  <c r="K1687" i="1"/>
  <c r="K1691" i="1"/>
  <c r="K1695" i="1"/>
  <c r="K1699" i="1"/>
  <c r="K1703" i="1"/>
  <c r="K1707" i="1"/>
  <c r="K1711" i="1"/>
  <c r="K1715" i="1"/>
  <c r="K1719" i="1"/>
  <c r="K1723" i="1"/>
  <c r="K1727" i="1"/>
  <c r="K1731" i="1"/>
  <c r="K1735" i="1"/>
  <c r="K1739" i="1"/>
  <c r="K1743" i="1"/>
  <c r="K1747" i="1"/>
  <c r="K1751" i="1"/>
  <c r="K1755" i="1"/>
  <c r="K1759" i="1"/>
  <c r="K1763" i="1"/>
  <c r="K1767" i="1"/>
  <c r="K1771" i="1"/>
  <c r="K1775" i="1"/>
  <c r="K1779" i="1"/>
  <c r="K1783" i="1"/>
  <c r="K1787" i="1"/>
  <c r="K1791" i="1"/>
  <c r="K1795" i="1"/>
  <c r="K1799" i="1"/>
  <c r="K1803" i="1"/>
  <c r="K1807" i="1"/>
  <c r="K1811" i="1"/>
  <c r="K1815" i="1"/>
  <c r="K1819" i="1"/>
  <c r="K1823" i="1"/>
  <c r="K1827" i="1"/>
  <c r="K1831" i="1"/>
  <c r="K1835" i="1"/>
  <c r="K1839" i="1"/>
  <c r="K1843" i="1"/>
  <c r="K1847" i="1"/>
  <c r="K1851" i="1"/>
  <c r="K1855" i="1"/>
  <c r="K1859" i="1"/>
  <c r="K1863" i="1"/>
  <c r="K1867" i="1"/>
  <c r="K1871" i="1"/>
  <c r="K1875" i="1"/>
  <c r="K1879" i="1"/>
  <c r="K1883" i="1"/>
  <c r="K1887" i="1"/>
  <c r="K1891" i="1"/>
  <c r="K1895" i="1"/>
  <c r="K1899" i="1"/>
  <c r="K1903" i="1"/>
  <c r="K1907" i="1"/>
  <c r="K1911" i="1"/>
  <c r="K1915" i="1"/>
  <c r="K1919" i="1"/>
  <c r="K1923" i="1"/>
  <c r="K1927" i="1"/>
  <c r="K1931" i="1"/>
  <c r="K1935" i="1"/>
  <c r="K1939" i="1"/>
  <c r="K1943" i="1"/>
  <c r="K1947" i="1"/>
  <c r="K1951" i="1"/>
  <c r="K1955" i="1"/>
  <c r="K1959" i="1"/>
  <c r="K1963" i="1"/>
  <c r="K1967" i="1"/>
  <c r="K1971" i="1"/>
  <c r="K1975" i="1"/>
  <c r="K1979" i="1"/>
  <c r="K1983" i="1"/>
  <c r="K1987" i="1"/>
  <c r="K1991" i="1"/>
  <c r="K86" i="1"/>
  <c r="K214" i="1"/>
  <c r="K342" i="1"/>
  <c r="K470" i="1"/>
  <c r="K549" i="1"/>
  <c r="K613" i="1"/>
  <c r="K118" i="1"/>
  <c r="K246" i="1"/>
  <c r="K374" i="1"/>
  <c r="K495" i="1"/>
  <c r="K565" i="1"/>
  <c r="K629" i="1"/>
  <c r="K693" i="1"/>
  <c r="K757" i="1"/>
  <c r="K782" i="1"/>
  <c r="K798" i="1"/>
  <c r="K814" i="1"/>
  <c r="K830" i="1"/>
  <c r="K846" i="1"/>
  <c r="K862" i="1"/>
  <c r="K878" i="1"/>
  <c r="K894" i="1"/>
  <c r="K910" i="1"/>
  <c r="K926" i="1"/>
  <c r="K942" i="1"/>
  <c r="K958" i="1"/>
  <c r="K974" i="1"/>
  <c r="K990" i="1"/>
  <c r="K1006" i="1"/>
  <c r="K1022" i="1"/>
  <c r="K1038" i="1"/>
  <c r="K1054" i="1"/>
  <c r="K1070" i="1"/>
  <c r="K1086" i="1"/>
  <c r="K1102" i="1"/>
  <c r="K1118" i="1"/>
  <c r="K1134" i="1"/>
  <c r="K1142" i="1"/>
  <c r="K1149" i="1"/>
  <c r="K1153" i="1"/>
  <c r="K1157" i="1"/>
  <c r="K1161" i="1"/>
  <c r="K1165" i="1"/>
  <c r="K1169" i="1"/>
  <c r="K1173" i="1"/>
  <c r="K1177" i="1"/>
  <c r="K1181" i="1"/>
  <c r="K1185" i="1"/>
  <c r="K1189" i="1"/>
  <c r="K1193" i="1"/>
  <c r="K1197" i="1"/>
  <c r="K1201" i="1"/>
  <c r="K1205" i="1"/>
  <c r="K1209" i="1"/>
  <c r="K1213" i="1"/>
  <c r="K1217" i="1"/>
  <c r="K1221" i="1"/>
  <c r="K1225" i="1"/>
  <c r="K1229" i="1"/>
  <c r="K1233" i="1"/>
  <c r="K1237" i="1"/>
  <c r="K1241" i="1"/>
  <c r="K1245" i="1"/>
  <c r="K1249" i="1"/>
  <c r="K1253" i="1"/>
  <c r="K1257" i="1"/>
  <c r="K1261" i="1"/>
  <c r="K1265" i="1"/>
  <c r="K1269" i="1"/>
  <c r="K1273" i="1"/>
  <c r="K1277" i="1"/>
  <c r="K1281" i="1"/>
  <c r="K1285" i="1"/>
  <c r="K1289" i="1"/>
  <c r="K1293" i="1"/>
  <c r="K1297" i="1"/>
  <c r="K1301" i="1"/>
  <c r="K1305" i="1"/>
  <c r="K1309" i="1"/>
  <c r="K1313" i="1"/>
  <c r="K1317" i="1"/>
  <c r="K1321" i="1"/>
  <c r="K1325" i="1"/>
  <c r="K1329" i="1"/>
  <c r="K1333" i="1"/>
  <c r="K1337" i="1"/>
  <c r="K1341" i="1"/>
  <c r="K1345" i="1"/>
  <c r="K1349" i="1"/>
  <c r="K1353" i="1"/>
  <c r="K1357" i="1"/>
  <c r="K1361" i="1"/>
  <c r="K1365" i="1"/>
  <c r="K1369" i="1"/>
  <c r="K1373" i="1"/>
  <c r="K1377" i="1"/>
  <c r="K1381" i="1"/>
  <c r="K1385" i="1"/>
  <c r="K1389" i="1"/>
  <c r="K1393" i="1"/>
  <c r="K1397" i="1"/>
  <c r="K1401" i="1"/>
  <c r="K1405" i="1"/>
  <c r="K1409" i="1"/>
  <c r="K1413" i="1"/>
  <c r="K1417" i="1"/>
  <c r="K1421" i="1"/>
  <c r="K1425" i="1"/>
  <c r="K1429" i="1"/>
  <c r="K1433" i="1"/>
  <c r="K1437" i="1"/>
  <c r="K1441" i="1"/>
  <c r="K1445" i="1"/>
  <c r="K1449" i="1"/>
  <c r="K1453" i="1"/>
  <c r="K1457" i="1"/>
  <c r="K1461" i="1"/>
  <c r="K1465" i="1"/>
  <c r="K1469" i="1"/>
  <c r="K1473" i="1"/>
  <c r="K1477" i="1"/>
  <c r="K1481" i="1"/>
  <c r="K1485" i="1"/>
  <c r="K1489" i="1"/>
  <c r="K1493" i="1"/>
  <c r="K1497" i="1"/>
  <c r="K1501" i="1"/>
  <c r="K1505" i="1"/>
  <c r="K1509" i="1"/>
  <c r="K1513" i="1"/>
  <c r="K1517" i="1"/>
  <c r="K1521" i="1"/>
  <c r="K1525" i="1"/>
  <c r="K1529" i="1"/>
  <c r="K1533" i="1"/>
  <c r="K1537" i="1"/>
  <c r="K1541" i="1"/>
  <c r="K1545" i="1"/>
  <c r="K1549" i="1"/>
  <c r="K1553" i="1"/>
  <c r="K1557" i="1"/>
  <c r="K1561" i="1"/>
  <c r="K1565" i="1"/>
  <c r="K1569" i="1"/>
  <c r="K1573" i="1"/>
  <c r="K1577" i="1"/>
  <c r="K1581" i="1"/>
  <c r="K1585" i="1"/>
  <c r="K1589" i="1"/>
  <c r="K1593" i="1"/>
  <c r="K1597" i="1"/>
  <c r="K1601" i="1"/>
  <c r="K1605" i="1"/>
  <c r="K1609" i="1"/>
  <c r="K1613" i="1"/>
  <c r="K1617" i="1"/>
  <c r="K1621" i="1"/>
  <c r="K1625" i="1"/>
  <c r="K1629" i="1"/>
  <c r="K1633" i="1"/>
  <c r="K1637" i="1"/>
  <c r="K1641" i="1"/>
  <c r="K1645" i="1"/>
  <c r="K1649" i="1"/>
  <c r="K1653" i="1"/>
  <c r="K1657" i="1"/>
  <c r="K1661" i="1"/>
  <c r="K1665" i="1"/>
  <c r="K1669" i="1"/>
  <c r="K1673" i="1"/>
  <c r="K1677" i="1"/>
  <c r="K1681" i="1"/>
  <c r="K1685" i="1"/>
  <c r="K1689" i="1"/>
  <c r="K1693" i="1"/>
  <c r="K1697" i="1"/>
  <c r="K1701" i="1"/>
  <c r="K1705" i="1"/>
  <c r="K1709" i="1"/>
  <c r="K1713" i="1"/>
  <c r="K1717" i="1"/>
  <c r="K1721" i="1"/>
  <c r="K1725" i="1"/>
  <c r="K1729" i="1"/>
  <c r="K1733" i="1"/>
  <c r="K1737" i="1"/>
  <c r="K1741" i="1"/>
  <c r="K1745" i="1"/>
  <c r="K1749" i="1"/>
  <c r="K1753" i="1"/>
  <c r="K1757" i="1"/>
  <c r="K1761" i="1"/>
  <c r="K1765" i="1"/>
  <c r="K1769" i="1"/>
  <c r="K1773" i="1"/>
  <c r="K1777" i="1"/>
  <c r="K1781" i="1"/>
  <c r="K1785" i="1"/>
  <c r="K1789" i="1"/>
  <c r="K1793" i="1"/>
  <c r="K1797" i="1"/>
  <c r="K1801" i="1"/>
  <c r="K1805" i="1"/>
  <c r="K1809" i="1"/>
  <c r="K1813" i="1"/>
  <c r="K1817" i="1"/>
  <c r="K1821" i="1"/>
  <c r="K1825" i="1"/>
  <c r="K1829" i="1"/>
  <c r="K1833" i="1"/>
  <c r="K1837" i="1"/>
  <c r="K1841" i="1"/>
  <c r="K1845" i="1"/>
  <c r="K1849" i="1"/>
  <c r="K1853" i="1"/>
  <c r="K1857" i="1"/>
  <c r="K1861" i="1"/>
  <c r="K1865" i="1"/>
  <c r="K1869" i="1"/>
  <c r="K1873" i="1"/>
  <c r="K1877" i="1"/>
  <c r="K1881" i="1"/>
  <c r="K1885" i="1"/>
  <c r="K1889" i="1"/>
  <c r="K1893" i="1"/>
  <c r="K1897" i="1"/>
  <c r="K1901" i="1"/>
  <c r="K1905" i="1"/>
  <c r="K1909" i="1"/>
  <c r="K1913" i="1"/>
  <c r="K1917" i="1"/>
  <c r="K1921" i="1"/>
  <c r="K1925" i="1"/>
  <c r="K1929" i="1"/>
  <c r="K1933" i="1"/>
  <c r="K1937" i="1"/>
  <c r="K1941" i="1"/>
  <c r="K1945" i="1"/>
  <c r="K1949" i="1"/>
  <c r="K1953" i="1"/>
  <c r="K1957" i="1"/>
  <c r="K1961" i="1"/>
  <c r="K1965" i="1"/>
  <c r="K1969" i="1"/>
  <c r="K1973" i="1"/>
  <c r="K1977" i="1"/>
  <c r="K1981" i="1"/>
  <c r="K1985" i="1"/>
  <c r="K1989" i="1"/>
  <c r="K1993" i="1"/>
  <c r="K1997" i="1"/>
  <c r="K2001" i="1"/>
  <c r="K2005" i="1"/>
  <c r="K2009" i="1"/>
  <c r="K2013" i="1"/>
  <c r="K2017" i="1"/>
  <c r="K2021" i="1"/>
  <c r="K2025" i="1"/>
  <c r="K2029" i="1"/>
  <c r="K2033" i="1"/>
  <c r="K2037" i="1"/>
  <c r="K150" i="1"/>
  <c r="K581" i="1"/>
  <c r="K741" i="1"/>
  <c r="K794" i="1"/>
  <c r="K826" i="1"/>
  <c r="K858" i="1"/>
  <c r="K890" i="1"/>
  <c r="K922" i="1"/>
  <c r="K954" i="1"/>
  <c r="K986" i="1"/>
  <c r="K1018" i="1"/>
  <c r="K1050" i="1"/>
  <c r="K1082" i="1"/>
  <c r="K1114" i="1"/>
  <c r="K1141" i="1"/>
  <c r="K1152" i="1"/>
  <c r="K1160" i="1"/>
  <c r="K1168" i="1"/>
  <c r="K1176" i="1"/>
  <c r="K1184" i="1"/>
  <c r="K1192" i="1"/>
  <c r="K1200" i="1"/>
  <c r="K1208" i="1"/>
  <c r="K1216" i="1"/>
  <c r="K1224" i="1"/>
  <c r="K1232" i="1"/>
  <c r="K1240" i="1"/>
  <c r="K1248" i="1"/>
  <c r="K1256" i="1"/>
  <c r="K1264" i="1"/>
  <c r="K1272" i="1"/>
  <c r="K1280" i="1"/>
  <c r="K1288" i="1"/>
  <c r="K1296" i="1"/>
  <c r="K1304" i="1"/>
  <c r="K1312" i="1"/>
  <c r="K1320" i="1"/>
  <c r="K1328" i="1"/>
  <c r="K1336" i="1"/>
  <c r="K1344" i="1"/>
  <c r="K1352" i="1"/>
  <c r="K1360" i="1"/>
  <c r="K1368" i="1"/>
  <c r="K1376" i="1"/>
  <c r="K1384" i="1"/>
  <c r="K1392" i="1"/>
  <c r="K1400" i="1"/>
  <c r="K1408" i="1"/>
  <c r="K1416" i="1"/>
  <c r="K1424" i="1"/>
  <c r="K1432" i="1"/>
  <c r="K1440" i="1"/>
  <c r="K1448" i="1"/>
  <c r="K1456" i="1"/>
  <c r="K1464" i="1"/>
  <c r="K1472" i="1"/>
  <c r="K1480" i="1"/>
  <c r="K1488" i="1"/>
  <c r="K1496" i="1"/>
  <c r="K1504" i="1"/>
  <c r="K1512" i="1"/>
  <c r="K1520" i="1"/>
  <c r="K1528" i="1"/>
  <c r="K1536" i="1"/>
  <c r="K1544" i="1"/>
  <c r="K1552" i="1"/>
  <c r="K1560" i="1"/>
  <c r="K1568" i="1"/>
  <c r="K1576" i="1"/>
  <c r="K1584" i="1"/>
  <c r="K1592" i="1"/>
  <c r="K1600" i="1"/>
  <c r="K1608" i="1"/>
  <c r="K1616" i="1"/>
  <c r="K1624" i="1"/>
  <c r="K1632" i="1"/>
  <c r="K1640" i="1"/>
  <c r="K1648" i="1"/>
  <c r="K1656" i="1"/>
  <c r="K1664" i="1"/>
  <c r="K1672" i="1"/>
  <c r="K1680" i="1"/>
  <c r="K1688" i="1"/>
  <c r="K1696" i="1"/>
  <c r="K1704" i="1"/>
  <c r="K1712" i="1"/>
  <c r="K1720" i="1"/>
  <c r="K1728" i="1"/>
  <c r="K1736" i="1"/>
  <c r="K1744" i="1"/>
  <c r="K1752" i="1"/>
  <c r="K1760" i="1"/>
  <c r="K1768" i="1"/>
  <c r="K1776" i="1"/>
  <c r="K1784" i="1"/>
  <c r="K1792" i="1"/>
  <c r="K1800" i="1"/>
  <c r="K1808" i="1"/>
  <c r="K1816" i="1"/>
  <c r="K1824" i="1"/>
  <c r="K1832" i="1"/>
  <c r="K1840" i="1"/>
  <c r="K1848" i="1"/>
  <c r="K1856" i="1"/>
  <c r="K1864" i="1"/>
  <c r="K1872" i="1"/>
  <c r="K1880" i="1"/>
  <c r="K1888" i="1"/>
  <c r="K1896" i="1"/>
  <c r="K1904" i="1"/>
  <c r="K1912" i="1"/>
  <c r="K1920" i="1"/>
  <c r="K1928" i="1"/>
  <c r="K1936" i="1"/>
  <c r="K1944" i="1"/>
  <c r="K1952" i="1"/>
  <c r="K1960" i="1"/>
  <c r="K1968" i="1"/>
  <c r="K1976" i="1"/>
  <c r="K1984" i="1"/>
  <c r="K1992" i="1"/>
  <c r="K1998" i="1"/>
  <c r="K2003" i="1"/>
  <c r="K2008" i="1"/>
  <c r="K2014" i="1"/>
  <c r="K2019" i="1"/>
  <c r="K2024" i="1"/>
  <c r="K2030" i="1"/>
  <c r="K2035" i="1"/>
  <c r="K2040" i="1"/>
  <c r="K2044" i="1"/>
  <c r="K2048" i="1"/>
  <c r="K2052" i="1"/>
  <c r="K2056" i="1"/>
  <c r="K2060" i="1"/>
  <c r="K2064" i="1"/>
  <c r="K2068" i="1"/>
  <c r="K2072" i="1"/>
  <c r="K2076" i="1"/>
  <c r="K2080" i="1"/>
  <c r="K2084" i="1"/>
  <c r="K2088" i="1"/>
  <c r="K2092" i="1"/>
  <c r="K2096" i="1"/>
  <c r="K2100" i="1"/>
  <c r="K2104" i="1"/>
  <c r="K2108" i="1"/>
  <c r="K2112" i="1"/>
  <c r="K2116" i="1"/>
  <c r="K2120" i="1"/>
  <c r="K2124" i="1"/>
  <c r="K2128" i="1"/>
  <c r="K2132" i="1"/>
  <c r="K2136" i="1"/>
  <c r="K2140" i="1"/>
  <c r="K2144" i="1"/>
  <c r="K2148" i="1"/>
  <c r="K2152" i="1"/>
  <c r="K2156" i="1"/>
  <c r="K2160" i="1"/>
  <c r="K2164" i="1"/>
  <c r="K2168" i="1"/>
  <c r="K2172" i="1"/>
  <c r="K2176" i="1"/>
  <c r="K2180" i="1"/>
  <c r="K2184" i="1"/>
  <c r="K2188" i="1"/>
  <c r="K2192" i="1"/>
  <c r="K2196" i="1"/>
  <c r="K2200" i="1"/>
  <c r="K2204" i="1"/>
  <c r="K2208" i="1"/>
  <c r="K2212" i="1"/>
  <c r="K2216" i="1"/>
  <c r="K2220" i="1"/>
  <c r="K2224" i="1"/>
  <c r="K2228" i="1"/>
  <c r="K2232" i="1"/>
  <c r="K2236" i="1"/>
  <c r="K2240" i="1"/>
  <c r="K2244" i="1"/>
  <c r="K2248" i="1"/>
  <c r="K2252" i="1"/>
  <c r="K2256" i="1"/>
  <c r="K2260" i="1"/>
  <c r="K2264" i="1"/>
  <c r="K2268" i="1"/>
  <c r="K2272" i="1"/>
  <c r="K2276" i="1"/>
  <c r="K2280" i="1"/>
  <c r="K2284" i="1"/>
  <c r="K2288" i="1"/>
  <c r="K2292" i="1"/>
  <c r="K2296" i="1"/>
  <c r="K2300" i="1"/>
  <c r="K2304" i="1"/>
  <c r="K2308" i="1"/>
  <c r="K2312" i="1"/>
  <c r="K2316" i="1"/>
  <c r="K2320" i="1"/>
  <c r="K2324" i="1"/>
  <c r="K2328" i="1"/>
  <c r="K2332" i="1"/>
  <c r="K2336" i="1"/>
  <c r="K2340" i="1"/>
  <c r="K2344" i="1"/>
  <c r="K2348" i="1"/>
  <c r="K2352" i="1"/>
  <c r="K2356" i="1"/>
  <c r="K2360" i="1"/>
  <c r="K2364" i="1"/>
  <c r="K2368" i="1"/>
  <c r="K2372" i="1"/>
  <c r="K2376" i="1"/>
  <c r="K2380" i="1"/>
  <c r="K2384" i="1"/>
  <c r="K2388" i="1"/>
  <c r="K2392" i="1"/>
  <c r="K2396" i="1"/>
  <c r="K2400" i="1"/>
  <c r="K2404" i="1"/>
  <c r="K2408" i="1"/>
  <c r="K2412" i="1"/>
  <c r="K2416" i="1"/>
  <c r="K2420" i="1"/>
  <c r="K2424" i="1"/>
  <c r="K2428" i="1"/>
  <c r="K2432" i="1"/>
  <c r="K2436" i="1"/>
  <c r="K2440" i="1"/>
  <c r="K2444" i="1"/>
  <c r="K2448" i="1"/>
  <c r="K2452" i="1"/>
  <c r="K2456" i="1"/>
  <c r="K2460" i="1"/>
  <c r="K2464" i="1"/>
  <c r="K2468" i="1"/>
  <c r="K2472" i="1"/>
  <c r="K2476" i="1"/>
  <c r="K2480" i="1"/>
  <c r="K2484" i="1"/>
  <c r="K2488" i="1"/>
  <c r="K2492" i="1"/>
  <c r="K2496" i="1"/>
  <c r="K2500" i="1"/>
  <c r="K2504" i="1"/>
  <c r="K2508" i="1"/>
  <c r="K2512" i="1"/>
  <c r="K2516" i="1"/>
  <c r="K2520" i="1"/>
  <c r="K2524" i="1"/>
  <c r="K2528" i="1"/>
  <c r="K2532" i="1"/>
  <c r="K2536" i="1"/>
  <c r="K2540" i="1"/>
  <c r="K278" i="1"/>
  <c r="K645" i="1"/>
  <c r="K770" i="1"/>
  <c r="K802" i="1"/>
  <c r="K834" i="1"/>
  <c r="K866" i="1"/>
  <c r="K898" i="1"/>
  <c r="K930" i="1"/>
  <c r="K962" i="1"/>
  <c r="K994" i="1"/>
  <c r="K1026" i="1"/>
  <c r="K1058" i="1"/>
  <c r="K1090" i="1"/>
  <c r="K1122" i="1"/>
  <c r="K1145" i="1"/>
  <c r="K1154" i="1"/>
  <c r="K1162" i="1"/>
  <c r="K1170" i="1"/>
  <c r="K1178" i="1"/>
  <c r="K1186" i="1"/>
  <c r="K1194" i="1"/>
  <c r="K1202" i="1"/>
  <c r="K1210" i="1"/>
  <c r="K1218" i="1"/>
  <c r="K1226" i="1"/>
  <c r="K1234" i="1"/>
  <c r="K1242" i="1"/>
  <c r="K1250" i="1"/>
  <c r="K1258" i="1"/>
  <c r="K1266" i="1"/>
  <c r="K1274" i="1"/>
  <c r="K1282" i="1"/>
  <c r="K1290" i="1"/>
  <c r="K1298" i="1"/>
  <c r="K1306" i="1"/>
  <c r="K1314" i="1"/>
  <c r="K1322" i="1"/>
  <c r="K1330" i="1"/>
  <c r="K1338" i="1"/>
  <c r="K1346" i="1"/>
  <c r="K1354" i="1"/>
  <c r="K1362" i="1"/>
  <c r="K1370" i="1"/>
  <c r="K1378" i="1"/>
  <c r="K1386" i="1"/>
  <c r="K1394" i="1"/>
  <c r="K1402" i="1"/>
  <c r="K1410" i="1"/>
  <c r="K1418" i="1"/>
  <c r="K1426" i="1"/>
  <c r="K1434" i="1"/>
  <c r="K1442" i="1"/>
  <c r="K1450" i="1"/>
  <c r="K1458" i="1"/>
  <c r="K1466" i="1"/>
  <c r="K1474" i="1"/>
  <c r="K1482" i="1"/>
  <c r="K1490" i="1"/>
  <c r="K1498" i="1"/>
  <c r="K1506" i="1"/>
  <c r="K1514" i="1"/>
  <c r="K1522" i="1"/>
  <c r="K1530" i="1"/>
  <c r="K1538" i="1"/>
  <c r="K1546" i="1"/>
  <c r="K1554" i="1"/>
  <c r="K1562" i="1"/>
  <c r="K1570" i="1"/>
  <c r="K1578" i="1"/>
  <c r="K1586" i="1"/>
  <c r="K1594" i="1"/>
  <c r="K1602" i="1"/>
  <c r="K1610" i="1"/>
  <c r="K1618" i="1"/>
  <c r="K1626" i="1"/>
  <c r="K1634" i="1"/>
  <c r="K1642" i="1"/>
  <c r="K1650" i="1"/>
  <c r="K1658" i="1"/>
  <c r="K1666" i="1"/>
  <c r="K1674" i="1"/>
  <c r="K1682" i="1"/>
  <c r="K1690" i="1"/>
  <c r="K1698" i="1"/>
  <c r="K1706" i="1"/>
  <c r="K1714" i="1"/>
  <c r="K1722" i="1"/>
  <c r="K1730" i="1"/>
  <c r="K1738" i="1"/>
  <c r="K1746" i="1"/>
  <c r="K1754" i="1"/>
  <c r="K1762" i="1"/>
  <c r="K1770" i="1"/>
  <c r="K1778" i="1"/>
  <c r="K1786" i="1"/>
  <c r="K1794" i="1"/>
  <c r="K1802" i="1"/>
  <c r="K1810" i="1"/>
  <c r="K1818" i="1"/>
  <c r="K1826" i="1"/>
  <c r="K1834" i="1"/>
  <c r="K1842" i="1"/>
  <c r="K1850" i="1"/>
  <c r="K1858" i="1"/>
  <c r="K1866" i="1"/>
  <c r="K1874" i="1"/>
  <c r="K1882" i="1"/>
  <c r="K1890" i="1"/>
  <c r="K1898" i="1"/>
  <c r="K1906" i="1"/>
  <c r="K1914" i="1"/>
  <c r="K1922" i="1"/>
  <c r="K1930" i="1"/>
  <c r="K1938" i="1"/>
  <c r="K1946" i="1"/>
  <c r="K1954" i="1"/>
  <c r="K1962" i="1"/>
  <c r="K1970" i="1"/>
  <c r="K1978" i="1"/>
  <c r="K1986" i="1"/>
  <c r="K1994" i="1"/>
  <c r="K1999" i="1"/>
  <c r="K2004" i="1"/>
  <c r="K2010" i="1"/>
  <c r="K2015" i="1"/>
  <c r="K2020" i="1"/>
  <c r="K2026" i="1"/>
  <c r="K2031" i="1"/>
  <c r="K2036" i="1"/>
  <c r="K2041" i="1"/>
  <c r="K2045" i="1"/>
  <c r="K2049" i="1"/>
  <c r="K2053" i="1"/>
  <c r="K2057" i="1"/>
  <c r="K2061" i="1"/>
  <c r="K2065" i="1"/>
  <c r="K2069" i="1"/>
  <c r="K2073" i="1"/>
  <c r="K2077" i="1"/>
  <c r="K2081" i="1"/>
  <c r="K2085" i="1"/>
  <c r="K2089" i="1"/>
  <c r="K2093" i="1"/>
  <c r="K2097" i="1"/>
  <c r="K2101" i="1"/>
  <c r="K2105" i="1"/>
  <c r="K2109" i="1"/>
  <c r="K2113" i="1"/>
  <c r="K2117" i="1"/>
  <c r="K2121" i="1"/>
  <c r="K2125" i="1"/>
  <c r="K2129" i="1"/>
  <c r="K2133" i="1"/>
  <c r="K2137" i="1"/>
  <c r="K2141" i="1"/>
  <c r="K2145" i="1"/>
  <c r="K2149" i="1"/>
  <c r="K2153" i="1"/>
  <c r="K2157" i="1"/>
  <c r="K2161" i="1"/>
  <c r="K2165" i="1"/>
  <c r="K2169" i="1"/>
  <c r="K2173" i="1"/>
  <c r="K2177" i="1"/>
  <c r="K2181" i="1"/>
  <c r="K2185" i="1"/>
  <c r="K2189" i="1"/>
  <c r="K2193" i="1"/>
  <c r="K2197" i="1"/>
  <c r="K2201" i="1"/>
  <c r="K2205" i="1"/>
  <c r="K2209" i="1"/>
  <c r="K2213" i="1"/>
  <c r="K2217" i="1"/>
  <c r="K2221" i="1"/>
  <c r="K2225" i="1"/>
  <c r="K2229" i="1"/>
  <c r="K2233" i="1"/>
  <c r="K2237" i="1"/>
  <c r="K2241" i="1"/>
  <c r="K2245" i="1"/>
  <c r="K2249" i="1"/>
  <c r="K2253" i="1"/>
  <c r="K2257" i="1"/>
  <c r="K2261" i="1"/>
  <c r="K2265" i="1"/>
  <c r="K2269" i="1"/>
  <c r="K2273" i="1"/>
  <c r="K2277" i="1"/>
  <c r="K2281" i="1"/>
  <c r="K2285" i="1"/>
  <c r="K2289" i="1"/>
  <c r="K2293" i="1"/>
  <c r="K2297" i="1"/>
  <c r="K2301" i="1"/>
  <c r="K2305" i="1"/>
  <c r="K2309" i="1"/>
  <c r="K2313" i="1"/>
  <c r="K2317" i="1"/>
  <c r="K2321" i="1"/>
  <c r="K2325" i="1"/>
  <c r="K2329" i="1"/>
  <c r="K2333" i="1"/>
  <c r="K2337" i="1"/>
  <c r="K2341" i="1"/>
  <c r="K2345" i="1"/>
  <c r="K2349" i="1"/>
  <c r="K2353" i="1"/>
  <c r="K2357" i="1"/>
  <c r="K2361" i="1"/>
  <c r="K2365" i="1"/>
  <c r="K2369" i="1"/>
  <c r="K2373" i="1"/>
  <c r="K2377" i="1"/>
  <c r="K2381" i="1"/>
  <c r="K2385" i="1"/>
  <c r="K2389" i="1"/>
  <c r="K2393" i="1"/>
  <c r="K2397" i="1"/>
  <c r="K2401" i="1"/>
  <c r="K2405" i="1"/>
  <c r="K2409" i="1"/>
  <c r="K2413" i="1"/>
  <c r="K2417" i="1"/>
  <c r="K2421" i="1"/>
  <c r="K2425" i="1"/>
  <c r="K2429" i="1"/>
  <c r="K2433" i="1"/>
  <c r="K2437" i="1"/>
  <c r="K2441" i="1"/>
  <c r="K2445" i="1"/>
  <c r="K2449" i="1"/>
  <c r="K2453" i="1"/>
  <c r="K2457" i="1"/>
  <c r="K2461" i="1"/>
  <c r="K2465" i="1"/>
  <c r="K2469" i="1"/>
  <c r="K2473" i="1"/>
  <c r="K2477" i="1"/>
  <c r="K2481" i="1"/>
  <c r="K2485" i="1"/>
  <c r="K2489" i="1"/>
  <c r="K2493" i="1"/>
  <c r="K2497" i="1"/>
  <c r="K2501" i="1"/>
  <c r="K2505" i="1"/>
  <c r="K2509" i="1"/>
  <c r="K2513" i="1"/>
  <c r="K2517" i="1"/>
  <c r="K2521" i="1"/>
  <c r="K2525" i="1"/>
  <c r="K2529" i="1"/>
  <c r="K2533" i="1"/>
  <c r="K2537" i="1"/>
  <c r="K406" i="1"/>
  <c r="K677" i="1"/>
  <c r="K778" i="1"/>
  <c r="K810" i="1"/>
  <c r="K842" i="1"/>
  <c r="K874" i="1"/>
  <c r="K906" i="1"/>
  <c r="K938" i="1"/>
  <c r="K970" i="1"/>
  <c r="K1002" i="1"/>
  <c r="K1034" i="1"/>
  <c r="K1066" i="1"/>
  <c r="K1098" i="1"/>
  <c r="K1130" i="1"/>
  <c r="K1147" i="1"/>
  <c r="K1156" i="1"/>
  <c r="K1164" i="1"/>
  <c r="K1172" i="1"/>
  <c r="K1180" i="1"/>
  <c r="K1188" i="1"/>
  <c r="K1196" i="1"/>
  <c r="K1204" i="1"/>
  <c r="K1212" i="1"/>
  <c r="K1220" i="1"/>
  <c r="K1228" i="1"/>
  <c r="K1236" i="1"/>
  <c r="K1244" i="1"/>
  <c r="K1252" i="1"/>
  <c r="K1260" i="1"/>
  <c r="K1268" i="1"/>
  <c r="K1276" i="1"/>
  <c r="K1284" i="1"/>
  <c r="K1292" i="1"/>
  <c r="K1300" i="1"/>
  <c r="K1308" i="1"/>
  <c r="K1316" i="1"/>
  <c r="K1324" i="1"/>
  <c r="K1332" i="1"/>
  <c r="K1340" i="1"/>
  <c r="K1348" i="1"/>
  <c r="K1356" i="1"/>
  <c r="K1364" i="1"/>
  <c r="K1372" i="1"/>
  <c r="K1380" i="1"/>
  <c r="K1388" i="1"/>
  <c r="K1396" i="1"/>
  <c r="K1404" i="1"/>
  <c r="K1412" i="1"/>
  <c r="K1420" i="1"/>
  <c r="K1428" i="1"/>
  <c r="K1436" i="1"/>
  <c r="K1444" i="1"/>
  <c r="K1452" i="1"/>
  <c r="K1460" i="1"/>
  <c r="K1468" i="1"/>
  <c r="K1476" i="1"/>
  <c r="K1484" i="1"/>
  <c r="K1492" i="1"/>
  <c r="K1500" i="1"/>
  <c r="K1508" i="1"/>
  <c r="K1516" i="1"/>
  <c r="K1524" i="1"/>
  <c r="K1532" i="1"/>
  <c r="K1540" i="1"/>
  <c r="K1548" i="1"/>
  <c r="K1556" i="1"/>
  <c r="K1564" i="1"/>
  <c r="K1572" i="1"/>
  <c r="K1580" i="1"/>
  <c r="K1588" i="1"/>
  <c r="K1596" i="1"/>
  <c r="K1604" i="1"/>
  <c r="K1612" i="1"/>
  <c r="K1620" i="1"/>
  <c r="K1628" i="1"/>
  <c r="K1636" i="1"/>
  <c r="K1644" i="1"/>
  <c r="K1652" i="1"/>
  <c r="K1660" i="1"/>
  <c r="K1668" i="1"/>
  <c r="K1676" i="1"/>
  <c r="K1684" i="1"/>
  <c r="K1692" i="1"/>
  <c r="K1700" i="1"/>
  <c r="K1708" i="1"/>
  <c r="K1716" i="1"/>
  <c r="K1724" i="1"/>
  <c r="K1732" i="1"/>
  <c r="K1740" i="1"/>
  <c r="K1748" i="1"/>
  <c r="K1756" i="1"/>
  <c r="K1764" i="1"/>
  <c r="K1772" i="1"/>
  <c r="K1780" i="1"/>
  <c r="K1788" i="1"/>
  <c r="K1796" i="1"/>
  <c r="K1804" i="1"/>
  <c r="K1812" i="1"/>
  <c r="K1820" i="1"/>
  <c r="K1828" i="1"/>
  <c r="K1836" i="1"/>
  <c r="K1844" i="1"/>
  <c r="K1852" i="1"/>
  <c r="K1860" i="1"/>
  <c r="K1868" i="1"/>
  <c r="K1876" i="1"/>
  <c r="K1884" i="1"/>
  <c r="K1892" i="1"/>
  <c r="K1900" i="1"/>
  <c r="K1908" i="1"/>
  <c r="K1916" i="1"/>
  <c r="K1924" i="1"/>
  <c r="K1932" i="1"/>
  <c r="K1940" i="1"/>
  <c r="K1948" i="1"/>
  <c r="K1956" i="1"/>
  <c r="K1964" i="1"/>
  <c r="K1972" i="1"/>
  <c r="K1980" i="1"/>
  <c r="K1988" i="1"/>
  <c r="K1995" i="1"/>
  <c r="K2000" i="1"/>
  <c r="K2006" i="1"/>
  <c r="K2011" i="1"/>
  <c r="K2016" i="1"/>
  <c r="K2022" i="1"/>
  <c r="K2027" i="1"/>
  <c r="K2032" i="1"/>
  <c r="K2038" i="1"/>
  <c r="K2042" i="1"/>
  <c r="K2046" i="1"/>
  <c r="K2050" i="1"/>
  <c r="K2054" i="1"/>
  <c r="K2058" i="1"/>
  <c r="K2062" i="1"/>
  <c r="K2066" i="1"/>
  <c r="K2070" i="1"/>
  <c r="K2074" i="1"/>
  <c r="K2078" i="1"/>
  <c r="K2082" i="1"/>
  <c r="K2086" i="1"/>
  <c r="K2090" i="1"/>
  <c r="K2094" i="1"/>
  <c r="K2098" i="1"/>
  <c r="K2102" i="1"/>
  <c r="K2106" i="1"/>
  <c r="K2110" i="1"/>
  <c r="K2114" i="1"/>
  <c r="K2118" i="1"/>
  <c r="K2122" i="1"/>
  <c r="K2126" i="1"/>
  <c r="K2130" i="1"/>
  <c r="K2134" i="1"/>
  <c r="K2138" i="1"/>
  <c r="K2142" i="1"/>
  <c r="K2146" i="1"/>
  <c r="K2150" i="1"/>
  <c r="K2154" i="1"/>
  <c r="K2158" i="1"/>
  <c r="K2162" i="1"/>
  <c r="K2166" i="1"/>
  <c r="K2170" i="1"/>
  <c r="K2174" i="1"/>
  <c r="K2178" i="1"/>
  <c r="K2182" i="1"/>
  <c r="K2186" i="1"/>
  <c r="K2190" i="1"/>
  <c r="K2194" i="1"/>
  <c r="K2198" i="1"/>
  <c r="K2202" i="1"/>
  <c r="K2206" i="1"/>
  <c r="K2210" i="1"/>
  <c r="K2214" i="1"/>
  <c r="K2218" i="1"/>
  <c r="K2222" i="1"/>
  <c r="K2226" i="1"/>
  <c r="K2230" i="1"/>
  <c r="K2234" i="1"/>
  <c r="K2238" i="1"/>
  <c r="K2242" i="1"/>
  <c r="K2246" i="1"/>
  <c r="K2250" i="1"/>
  <c r="K2254" i="1"/>
  <c r="K2258" i="1"/>
  <c r="K2262" i="1"/>
  <c r="K2266" i="1"/>
  <c r="K2270" i="1"/>
  <c r="K2274" i="1"/>
  <c r="K2278" i="1"/>
  <c r="K2282" i="1"/>
  <c r="K2286" i="1"/>
  <c r="K2290" i="1"/>
  <c r="K2294" i="1"/>
  <c r="K2298" i="1"/>
  <c r="K2302" i="1"/>
  <c r="K2306" i="1"/>
  <c r="K2310" i="1"/>
  <c r="K2314" i="1"/>
  <c r="K2318" i="1"/>
  <c r="K2322" i="1"/>
  <c r="K2326" i="1"/>
  <c r="K2330" i="1"/>
  <c r="K2334" i="1"/>
  <c r="K2338" i="1"/>
  <c r="K2342" i="1"/>
  <c r="K2346" i="1"/>
  <c r="K2350" i="1"/>
  <c r="K2354" i="1"/>
  <c r="K2358" i="1"/>
  <c r="K2362" i="1"/>
  <c r="K2366" i="1"/>
  <c r="K2370" i="1"/>
  <c r="K2374" i="1"/>
  <c r="K2378" i="1"/>
  <c r="K2382" i="1"/>
  <c r="K2386" i="1"/>
  <c r="K2390" i="1"/>
  <c r="K2394" i="1"/>
  <c r="K2398" i="1"/>
  <c r="K2402" i="1"/>
  <c r="K2406" i="1"/>
  <c r="K2410" i="1"/>
  <c r="K2414" i="1"/>
  <c r="K2418" i="1"/>
  <c r="K2422" i="1"/>
  <c r="K2426" i="1"/>
  <c r="K2430" i="1"/>
  <c r="K2434" i="1"/>
  <c r="K2438" i="1"/>
  <c r="K2442" i="1"/>
  <c r="K2446" i="1"/>
  <c r="K2450" i="1"/>
  <c r="K2454" i="1"/>
  <c r="K2458" i="1"/>
  <c r="K2462" i="1"/>
  <c r="K2466" i="1"/>
  <c r="K2470" i="1"/>
  <c r="K2474" i="1"/>
  <c r="K2478" i="1"/>
  <c r="K2482" i="1"/>
  <c r="K2486" i="1"/>
  <c r="K2490" i="1"/>
  <c r="K2494" i="1"/>
  <c r="K2498" i="1"/>
  <c r="K2502" i="1"/>
  <c r="K2506" i="1"/>
  <c r="K2510" i="1"/>
  <c r="K2514" i="1"/>
  <c r="K2518" i="1"/>
  <c r="K2522" i="1"/>
  <c r="K2526" i="1"/>
  <c r="K2530" i="1"/>
  <c r="K2534" i="1"/>
  <c r="K2538" i="1"/>
  <c r="K2542" i="1"/>
  <c r="K516" i="1"/>
  <c r="K850" i="1"/>
  <c r="K978" i="1"/>
  <c r="K1106" i="1"/>
  <c r="K1166" i="1"/>
  <c r="K1198" i="1"/>
  <c r="K1230" i="1"/>
  <c r="K1262" i="1"/>
  <c r="K1294" i="1"/>
  <c r="K1326" i="1"/>
  <c r="K1358" i="1"/>
  <c r="K1390" i="1"/>
  <c r="K1422" i="1"/>
  <c r="K1454" i="1"/>
  <c r="K1486" i="1"/>
  <c r="K1518" i="1"/>
  <c r="K1550" i="1"/>
  <c r="K1582" i="1"/>
  <c r="K1614" i="1"/>
  <c r="K1646" i="1"/>
  <c r="K1678" i="1"/>
  <c r="K1710" i="1"/>
  <c r="K1742" i="1"/>
  <c r="K1774" i="1"/>
  <c r="K1806" i="1"/>
  <c r="K1838" i="1"/>
  <c r="K1870" i="1"/>
  <c r="K1902" i="1"/>
  <c r="K1934" i="1"/>
  <c r="K1966" i="1"/>
  <c r="K1996" i="1"/>
  <c r="K2018" i="1"/>
  <c r="K2039" i="1"/>
  <c r="K2055" i="1"/>
  <c r="K2071" i="1"/>
  <c r="K2087" i="1"/>
  <c r="K2103" i="1"/>
  <c r="K2119" i="1"/>
  <c r="K2135" i="1"/>
  <c r="K2151" i="1"/>
  <c r="K2167" i="1"/>
  <c r="K2183" i="1"/>
  <c r="K2199" i="1"/>
  <c r="K2215" i="1"/>
  <c r="K2231" i="1"/>
  <c r="K2247" i="1"/>
  <c r="K2263" i="1"/>
  <c r="K2279" i="1"/>
  <c r="K2295" i="1"/>
  <c r="K2311" i="1"/>
  <c r="K2327" i="1"/>
  <c r="K2343" i="1"/>
  <c r="K2359" i="1"/>
  <c r="K2375" i="1"/>
  <c r="K2391" i="1"/>
  <c r="K2407" i="1"/>
  <c r="K2423" i="1"/>
  <c r="K2439" i="1"/>
  <c r="K2455" i="1"/>
  <c r="K2471" i="1"/>
  <c r="K2487" i="1"/>
  <c r="K2503" i="1"/>
  <c r="K2519" i="1"/>
  <c r="K2535" i="1"/>
  <c r="K2544" i="1"/>
  <c r="K2548" i="1"/>
  <c r="K2552" i="1"/>
  <c r="K2556" i="1"/>
  <c r="K2560" i="1"/>
  <c r="K2564" i="1"/>
  <c r="K2568" i="1"/>
  <c r="K2572" i="1"/>
  <c r="K2576" i="1"/>
  <c r="K2580" i="1"/>
  <c r="K2584" i="1"/>
  <c r="K2588" i="1"/>
  <c r="K2592" i="1"/>
  <c r="K2596" i="1"/>
  <c r="K2600" i="1"/>
  <c r="K2604" i="1"/>
  <c r="K2608" i="1"/>
  <c r="K2612" i="1"/>
  <c r="K2616" i="1"/>
  <c r="K2620" i="1"/>
  <c r="K2624" i="1"/>
  <c r="K2628" i="1"/>
  <c r="K2632" i="1"/>
  <c r="K2636" i="1"/>
  <c r="K2640" i="1"/>
  <c r="K2644" i="1"/>
  <c r="K2648" i="1"/>
  <c r="K2652" i="1"/>
  <c r="K2656" i="1"/>
  <c r="K2660" i="1"/>
  <c r="K2664" i="1"/>
  <c r="K2668" i="1"/>
  <c r="K2672" i="1"/>
  <c r="K2676" i="1"/>
  <c r="K2680" i="1"/>
  <c r="K2684" i="1"/>
  <c r="K2688" i="1"/>
  <c r="K2692" i="1"/>
  <c r="K2696" i="1"/>
  <c r="K2700" i="1"/>
  <c r="K2704" i="1"/>
  <c r="K2708" i="1"/>
  <c r="K2712" i="1"/>
  <c r="K2716" i="1"/>
  <c r="K2720" i="1"/>
  <c r="K2724" i="1"/>
  <c r="K2728" i="1"/>
  <c r="K2732" i="1"/>
  <c r="K2736" i="1"/>
  <c r="K2740" i="1"/>
  <c r="K2744" i="1"/>
  <c r="K2748" i="1"/>
  <c r="K2752" i="1"/>
  <c r="K2756" i="1"/>
  <c r="K2760" i="1"/>
  <c r="K2764" i="1"/>
  <c r="K2768" i="1"/>
  <c r="K2772" i="1"/>
  <c r="K2776" i="1"/>
  <c r="K2780" i="1"/>
  <c r="K2784" i="1"/>
  <c r="K2788" i="1"/>
  <c r="K2792" i="1"/>
  <c r="K2796" i="1"/>
  <c r="K2800" i="1"/>
  <c r="K2804" i="1"/>
  <c r="K2808" i="1"/>
  <c r="K2812" i="1"/>
  <c r="K2816" i="1"/>
  <c r="K2820" i="1"/>
  <c r="K2824" i="1"/>
  <c r="K2828" i="1"/>
  <c r="K2832" i="1"/>
  <c r="K2836" i="1"/>
  <c r="K2840" i="1"/>
  <c r="K2844" i="1"/>
  <c r="K2848" i="1"/>
  <c r="K2852" i="1"/>
  <c r="K2856" i="1"/>
  <c r="K2860" i="1"/>
  <c r="K2864" i="1"/>
  <c r="K2868" i="1"/>
  <c r="K2872" i="1"/>
  <c r="K2876" i="1"/>
  <c r="K2880" i="1"/>
  <c r="K2884" i="1"/>
  <c r="K2888" i="1"/>
  <c r="K2892" i="1"/>
  <c r="K2896" i="1"/>
  <c r="K2900" i="1"/>
  <c r="K2904" i="1"/>
  <c r="K2908" i="1"/>
  <c r="K2912" i="1"/>
  <c r="K2916" i="1"/>
  <c r="K2920" i="1"/>
  <c r="K2924" i="1"/>
  <c r="K2928" i="1"/>
  <c r="K2932" i="1"/>
  <c r="K2936" i="1"/>
  <c r="K2940" i="1"/>
  <c r="K2944" i="1"/>
  <c r="K2948" i="1"/>
  <c r="K2952" i="1"/>
  <c r="K2956" i="1"/>
  <c r="K2960" i="1"/>
  <c r="K2964" i="1"/>
  <c r="K2968" i="1"/>
  <c r="K2972" i="1"/>
  <c r="K2976" i="1"/>
  <c r="K2980" i="1"/>
  <c r="K2984" i="1"/>
  <c r="K2988" i="1"/>
  <c r="K2992" i="1"/>
  <c r="K2996" i="1"/>
  <c r="K3000" i="1"/>
  <c r="K3004" i="1"/>
  <c r="K3008" i="1"/>
  <c r="K3012" i="1"/>
  <c r="K3016" i="1"/>
  <c r="K3020" i="1"/>
  <c r="K3024" i="1"/>
  <c r="K3028" i="1"/>
  <c r="K3032" i="1"/>
  <c r="K3036" i="1"/>
  <c r="K3040" i="1"/>
  <c r="K3044" i="1"/>
  <c r="K3048" i="1"/>
  <c r="K3052" i="1"/>
  <c r="K3056" i="1"/>
  <c r="K3060" i="1"/>
  <c r="K3064" i="1"/>
  <c r="K3068" i="1"/>
  <c r="K3072" i="1"/>
  <c r="K3076" i="1"/>
  <c r="K3080" i="1"/>
  <c r="K3084" i="1"/>
  <c r="K3088" i="1"/>
  <c r="K3092" i="1"/>
  <c r="K3096" i="1"/>
  <c r="K3100" i="1"/>
  <c r="K3104" i="1"/>
  <c r="K3108" i="1"/>
  <c r="K3112" i="1"/>
  <c r="K3116" i="1"/>
  <c r="K3120" i="1"/>
  <c r="K3124" i="1"/>
  <c r="K3128" i="1"/>
  <c r="K3132" i="1"/>
  <c r="K3136" i="1"/>
  <c r="K3140" i="1"/>
  <c r="K3144" i="1"/>
  <c r="K3148" i="1"/>
  <c r="K3152" i="1"/>
  <c r="K3156" i="1"/>
  <c r="K3160" i="1"/>
  <c r="K3164" i="1"/>
  <c r="K3168" i="1"/>
  <c r="K3172" i="1"/>
  <c r="K3176" i="1"/>
  <c r="K3180" i="1"/>
  <c r="K3184" i="1"/>
  <c r="K3188" i="1"/>
  <c r="K3192" i="1"/>
  <c r="K3196" i="1"/>
  <c r="K3200" i="1"/>
  <c r="K3204" i="1"/>
  <c r="K3208" i="1"/>
  <c r="K3212" i="1"/>
  <c r="K3216" i="1"/>
  <c r="K3220" i="1"/>
  <c r="K3224" i="1"/>
  <c r="K3228" i="1"/>
  <c r="K3232" i="1"/>
  <c r="K3236" i="1"/>
  <c r="K3240" i="1"/>
  <c r="K3244" i="1"/>
  <c r="K3248" i="1"/>
  <c r="K3252" i="1"/>
  <c r="K3256" i="1"/>
  <c r="K3260" i="1"/>
  <c r="K3264" i="1"/>
  <c r="K709" i="1"/>
  <c r="K882" i="1"/>
  <c r="K1010" i="1"/>
  <c r="K1137" i="1"/>
  <c r="K1174" i="1"/>
  <c r="K1206" i="1"/>
  <c r="K1238" i="1"/>
  <c r="K1270" i="1"/>
  <c r="K1302" i="1"/>
  <c r="K1334" i="1"/>
  <c r="K1366" i="1"/>
  <c r="K1398" i="1"/>
  <c r="K1430" i="1"/>
  <c r="K1462" i="1"/>
  <c r="K1494" i="1"/>
  <c r="K1526" i="1"/>
  <c r="K1558" i="1"/>
  <c r="K1590" i="1"/>
  <c r="K1622" i="1"/>
  <c r="K1654" i="1"/>
  <c r="K1686" i="1"/>
  <c r="K1718" i="1"/>
  <c r="K1750" i="1"/>
  <c r="K1782" i="1"/>
  <c r="K1814" i="1"/>
  <c r="K1846" i="1"/>
  <c r="K1878" i="1"/>
  <c r="K1910" i="1"/>
  <c r="K1942" i="1"/>
  <c r="K1974" i="1"/>
  <c r="K2002" i="1"/>
  <c r="K2023" i="1"/>
  <c r="K2043" i="1"/>
  <c r="K2059" i="1"/>
  <c r="K2075" i="1"/>
  <c r="K2091" i="1"/>
  <c r="K2107" i="1"/>
  <c r="K2123" i="1"/>
  <c r="K2139" i="1"/>
  <c r="K2155" i="1"/>
  <c r="K2171" i="1"/>
  <c r="K2187" i="1"/>
  <c r="K2203" i="1"/>
  <c r="K2219" i="1"/>
  <c r="K2235" i="1"/>
  <c r="K2251" i="1"/>
  <c r="K2267" i="1"/>
  <c r="K2283" i="1"/>
  <c r="K2299" i="1"/>
  <c r="K2315" i="1"/>
  <c r="K2331" i="1"/>
  <c r="K2347" i="1"/>
  <c r="K2363" i="1"/>
  <c r="K2379" i="1"/>
  <c r="K2395" i="1"/>
  <c r="K2411" i="1"/>
  <c r="K2427" i="1"/>
  <c r="K2443" i="1"/>
  <c r="K2459" i="1"/>
  <c r="K2475" i="1"/>
  <c r="K2491" i="1"/>
  <c r="K2507" i="1"/>
  <c r="K2523" i="1"/>
  <c r="K2539" i="1"/>
  <c r="K2545" i="1"/>
  <c r="K2549" i="1"/>
  <c r="K2553" i="1"/>
  <c r="K2557" i="1"/>
  <c r="K2561" i="1"/>
  <c r="K2565" i="1"/>
  <c r="K2569" i="1"/>
  <c r="K2573" i="1"/>
  <c r="K2577" i="1"/>
  <c r="K2581" i="1"/>
  <c r="K2585" i="1"/>
  <c r="K2589" i="1"/>
  <c r="K2593" i="1"/>
  <c r="K2597" i="1"/>
  <c r="K2601" i="1"/>
  <c r="K2605" i="1"/>
  <c r="K2609" i="1"/>
  <c r="K2613" i="1"/>
  <c r="K2617" i="1"/>
  <c r="K2621" i="1"/>
  <c r="K2625" i="1"/>
  <c r="K2629" i="1"/>
  <c r="K2633" i="1"/>
  <c r="K2637" i="1"/>
  <c r="K2641" i="1"/>
  <c r="K2645" i="1"/>
  <c r="K2649" i="1"/>
  <c r="K2653" i="1"/>
  <c r="K2657" i="1"/>
  <c r="K2661" i="1"/>
  <c r="K2665" i="1"/>
  <c r="K2669" i="1"/>
  <c r="K2673" i="1"/>
  <c r="K2677" i="1"/>
  <c r="K2681" i="1"/>
  <c r="K2685" i="1"/>
  <c r="K2689" i="1"/>
  <c r="K2693" i="1"/>
  <c r="K2697" i="1"/>
  <c r="K2701" i="1"/>
  <c r="K2705" i="1"/>
  <c r="K2709" i="1"/>
  <c r="K2713" i="1"/>
  <c r="K2717" i="1"/>
  <c r="K2721" i="1"/>
  <c r="K2725" i="1"/>
  <c r="K2729" i="1"/>
  <c r="K2733" i="1"/>
  <c r="K2737" i="1"/>
  <c r="K2741" i="1"/>
  <c r="K2745" i="1"/>
  <c r="K2749" i="1"/>
  <c r="K2753" i="1"/>
  <c r="K2757" i="1"/>
  <c r="K2761" i="1"/>
  <c r="K2765" i="1"/>
  <c r="K2769" i="1"/>
  <c r="K2773" i="1"/>
  <c r="K2777" i="1"/>
  <c r="K2781" i="1"/>
  <c r="K2785" i="1"/>
  <c r="K2789" i="1"/>
  <c r="K2793" i="1"/>
  <c r="K2797" i="1"/>
  <c r="K2801" i="1"/>
  <c r="K2805" i="1"/>
  <c r="K2809" i="1"/>
  <c r="K2813" i="1"/>
  <c r="K2817" i="1"/>
  <c r="K2821" i="1"/>
  <c r="K2825" i="1"/>
  <c r="K2829" i="1"/>
  <c r="K2833" i="1"/>
  <c r="K2837" i="1"/>
  <c r="K2841" i="1"/>
  <c r="K2845" i="1"/>
  <c r="K2849" i="1"/>
  <c r="K2853" i="1"/>
  <c r="K2857" i="1"/>
  <c r="K2861" i="1"/>
  <c r="K2865" i="1"/>
  <c r="K2869" i="1"/>
  <c r="K2873" i="1"/>
  <c r="K2877" i="1"/>
  <c r="K2881" i="1"/>
  <c r="K2885" i="1"/>
  <c r="K2889" i="1"/>
  <c r="K2893" i="1"/>
  <c r="K2897" i="1"/>
  <c r="K2901" i="1"/>
  <c r="K2905" i="1"/>
  <c r="K2909" i="1"/>
  <c r="K2913" i="1"/>
  <c r="K2917" i="1"/>
  <c r="K2921" i="1"/>
  <c r="K2925" i="1"/>
  <c r="K2929" i="1"/>
  <c r="K2933" i="1"/>
  <c r="K2937" i="1"/>
  <c r="K2941" i="1"/>
  <c r="K2945" i="1"/>
  <c r="K2949" i="1"/>
  <c r="K2953" i="1"/>
  <c r="K2957" i="1"/>
  <c r="K2961" i="1"/>
  <c r="K2965" i="1"/>
  <c r="K2969" i="1"/>
  <c r="K2973" i="1"/>
  <c r="K2977" i="1"/>
  <c r="K2981" i="1"/>
  <c r="K2985" i="1"/>
  <c r="K2989" i="1"/>
  <c r="K2993" i="1"/>
  <c r="K2997" i="1"/>
  <c r="K3001" i="1"/>
  <c r="K3005" i="1"/>
  <c r="K3009" i="1"/>
  <c r="K3013" i="1"/>
  <c r="K3017" i="1"/>
  <c r="K3021" i="1"/>
  <c r="K3025" i="1"/>
  <c r="K3029" i="1"/>
  <c r="K3033" i="1"/>
  <c r="K3037" i="1"/>
  <c r="K3041" i="1"/>
  <c r="K3045" i="1"/>
  <c r="K3049" i="1"/>
  <c r="K3053" i="1"/>
  <c r="K3057" i="1"/>
  <c r="K3061" i="1"/>
  <c r="K3065" i="1"/>
  <c r="K3069" i="1"/>
  <c r="K3073" i="1"/>
  <c r="K3077" i="1"/>
  <c r="K3081" i="1"/>
  <c r="K3085" i="1"/>
  <c r="K3089" i="1"/>
  <c r="K3093" i="1"/>
  <c r="K3097" i="1"/>
  <c r="K3101" i="1"/>
  <c r="K3105" i="1"/>
  <c r="K3109" i="1"/>
  <c r="K3113" i="1"/>
  <c r="K3117" i="1"/>
  <c r="K3121" i="1"/>
  <c r="K3125" i="1"/>
  <c r="K3129" i="1"/>
  <c r="K3133" i="1"/>
  <c r="K3137" i="1"/>
  <c r="K3141" i="1"/>
  <c r="K3145" i="1"/>
  <c r="K3149" i="1"/>
  <c r="K3153" i="1"/>
  <c r="K3157" i="1"/>
  <c r="K3161" i="1"/>
  <c r="K3165" i="1"/>
  <c r="K3169" i="1"/>
  <c r="K3173" i="1"/>
  <c r="K3177" i="1"/>
  <c r="K3181" i="1"/>
  <c r="K3185" i="1"/>
  <c r="K3189" i="1"/>
  <c r="K3193" i="1"/>
  <c r="K3197" i="1"/>
  <c r="K3201" i="1"/>
  <c r="K3205" i="1"/>
  <c r="K3209" i="1"/>
  <c r="K3213" i="1"/>
  <c r="K3217" i="1"/>
  <c r="K3221" i="1"/>
  <c r="K3225" i="1"/>
  <c r="K3229" i="1"/>
  <c r="K3233" i="1"/>
  <c r="K3237" i="1"/>
  <c r="K3241" i="1"/>
  <c r="K3245" i="1"/>
  <c r="K3249" i="1"/>
  <c r="K3253" i="1"/>
  <c r="K3257" i="1"/>
  <c r="K3261" i="1"/>
  <c r="K3265" i="1"/>
  <c r="K3269" i="1"/>
  <c r="K3273" i="1"/>
  <c r="K3277" i="1"/>
  <c r="K3281" i="1"/>
  <c r="K3285" i="1"/>
  <c r="K3289" i="1"/>
  <c r="K3293" i="1"/>
  <c r="K3297" i="1"/>
  <c r="K3301" i="1"/>
  <c r="K3305" i="1"/>
  <c r="K786" i="1"/>
  <c r="K914" i="1"/>
  <c r="K1042" i="1"/>
  <c r="K1150" i="1"/>
  <c r="K1182" i="1"/>
  <c r="K1214" i="1"/>
  <c r="K1246" i="1"/>
  <c r="K1278" i="1"/>
  <c r="K1310" i="1"/>
  <c r="K1342" i="1"/>
  <c r="K1374" i="1"/>
  <c r="K1406" i="1"/>
  <c r="K1438" i="1"/>
  <c r="K1470" i="1"/>
  <c r="K1502" i="1"/>
  <c r="K1534" i="1"/>
  <c r="K1566" i="1"/>
  <c r="K1598" i="1"/>
  <c r="K1630" i="1"/>
  <c r="K1662" i="1"/>
  <c r="K1694" i="1"/>
  <c r="K1726" i="1"/>
  <c r="K1758" i="1"/>
  <c r="K1790" i="1"/>
  <c r="K1822" i="1"/>
  <c r="K1854" i="1"/>
  <c r="K1886" i="1"/>
  <c r="K1918" i="1"/>
  <c r="K1950" i="1"/>
  <c r="K1982" i="1"/>
  <c r="K2007" i="1"/>
  <c r="K2028" i="1"/>
  <c r="K2047" i="1"/>
  <c r="K2063" i="1"/>
  <c r="K2079" i="1"/>
  <c r="K2095" i="1"/>
  <c r="K2111" i="1"/>
  <c r="K2127" i="1"/>
  <c r="K2143" i="1"/>
  <c r="K2159" i="1"/>
  <c r="K2175" i="1"/>
  <c r="K2191" i="1"/>
  <c r="K2207" i="1"/>
  <c r="K2223" i="1"/>
  <c r="K2239" i="1"/>
  <c r="K2255" i="1"/>
  <c r="K2271" i="1"/>
  <c r="K2287" i="1"/>
  <c r="K2303" i="1"/>
  <c r="K2319" i="1"/>
  <c r="K2335" i="1"/>
  <c r="K2351" i="1"/>
  <c r="K2367" i="1"/>
  <c r="K2383" i="1"/>
  <c r="K2399" i="1"/>
  <c r="K2415" i="1"/>
  <c r="K2431" i="1"/>
  <c r="K2447" i="1"/>
  <c r="K2463" i="1"/>
  <c r="K2479" i="1"/>
  <c r="K2495" i="1"/>
  <c r="K2511" i="1"/>
  <c r="K2527" i="1"/>
  <c r="K2541" i="1"/>
  <c r="K2546" i="1"/>
  <c r="K2550" i="1"/>
  <c r="K2554" i="1"/>
  <c r="K2558" i="1"/>
  <c r="K2562" i="1"/>
  <c r="K2566" i="1"/>
  <c r="K2570" i="1"/>
  <c r="K2574" i="1"/>
  <c r="K2578" i="1"/>
  <c r="K2582" i="1"/>
  <c r="K2586" i="1"/>
  <c r="K2590" i="1"/>
  <c r="K2594" i="1"/>
  <c r="K2598" i="1"/>
  <c r="K2602" i="1"/>
  <c r="K2606" i="1"/>
  <c r="K2610" i="1"/>
  <c r="K2614" i="1"/>
  <c r="K2618" i="1"/>
  <c r="K2622" i="1"/>
  <c r="K2626" i="1"/>
  <c r="K2630" i="1"/>
  <c r="K2634" i="1"/>
  <c r="K2638" i="1"/>
  <c r="K2642" i="1"/>
  <c r="K2646" i="1"/>
  <c r="K2650" i="1"/>
  <c r="K2654" i="1"/>
  <c r="K2658" i="1"/>
  <c r="K2662" i="1"/>
  <c r="K2666" i="1"/>
  <c r="K2670" i="1"/>
  <c r="K2674" i="1"/>
  <c r="K2678" i="1"/>
  <c r="K2682" i="1"/>
  <c r="K2686" i="1"/>
  <c r="K2690" i="1"/>
  <c r="K2694" i="1"/>
  <c r="K2698" i="1"/>
  <c r="K2702" i="1"/>
  <c r="K2706" i="1"/>
  <c r="K2710" i="1"/>
  <c r="K2714" i="1"/>
  <c r="K2718" i="1"/>
  <c r="K2722" i="1"/>
  <c r="K2726" i="1"/>
  <c r="K2730" i="1"/>
  <c r="K2734" i="1"/>
  <c r="K2738" i="1"/>
  <c r="K2742" i="1"/>
  <c r="K2746" i="1"/>
  <c r="K2750" i="1"/>
  <c r="K2754" i="1"/>
  <c r="K2758" i="1"/>
  <c r="K2762" i="1"/>
  <c r="K2766" i="1"/>
  <c r="K2770" i="1"/>
  <c r="K2774" i="1"/>
  <c r="K2778" i="1"/>
  <c r="K2782" i="1"/>
  <c r="K2786" i="1"/>
  <c r="K2790" i="1"/>
  <c r="K2794" i="1"/>
  <c r="K2798" i="1"/>
  <c r="K2802" i="1"/>
  <c r="K2806" i="1"/>
  <c r="K2810" i="1"/>
  <c r="K2814" i="1"/>
  <c r="K2818" i="1"/>
  <c r="K2822" i="1"/>
  <c r="K2826" i="1"/>
  <c r="K2830" i="1"/>
  <c r="K2834" i="1"/>
  <c r="K2838" i="1"/>
  <c r="K2842" i="1"/>
  <c r="K2846" i="1"/>
  <c r="K2850" i="1"/>
  <c r="K2854" i="1"/>
  <c r="K2858" i="1"/>
  <c r="K2862" i="1"/>
  <c r="K2866" i="1"/>
  <c r="K2870" i="1"/>
  <c r="K2874" i="1"/>
  <c r="K2878" i="1"/>
  <c r="K2882" i="1"/>
  <c r="K2886" i="1"/>
  <c r="K2890" i="1"/>
  <c r="K2894" i="1"/>
  <c r="K2898" i="1"/>
  <c r="K2902" i="1"/>
  <c r="K2906" i="1"/>
  <c r="K2910" i="1"/>
  <c r="K2914" i="1"/>
  <c r="K2918" i="1"/>
  <c r="K2922" i="1"/>
  <c r="K2926" i="1"/>
  <c r="K2930" i="1"/>
  <c r="K2934" i="1"/>
  <c r="K2938" i="1"/>
  <c r="K2942" i="1"/>
  <c r="K2946" i="1"/>
  <c r="K2950" i="1"/>
  <c r="K2954" i="1"/>
  <c r="K2958" i="1"/>
  <c r="K2962" i="1"/>
  <c r="K2966" i="1"/>
  <c r="K2970" i="1"/>
  <c r="K2974" i="1"/>
  <c r="K2978" i="1"/>
  <c r="K2982" i="1"/>
  <c r="K2986" i="1"/>
  <c r="K2990" i="1"/>
  <c r="K2994" i="1"/>
  <c r="K2998" i="1"/>
  <c r="K3002" i="1"/>
  <c r="K3006" i="1"/>
  <c r="K3010" i="1"/>
  <c r="K3014" i="1"/>
  <c r="K3018" i="1"/>
  <c r="K3022" i="1"/>
  <c r="K3026" i="1"/>
  <c r="K3030" i="1"/>
  <c r="K3034" i="1"/>
  <c r="K3038" i="1"/>
  <c r="K3042" i="1"/>
  <c r="K3046" i="1"/>
  <c r="K3050" i="1"/>
  <c r="K3054" i="1"/>
  <c r="K3058" i="1"/>
  <c r="K3062" i="1"/>
  <c r="K3066" i="1"/>
  <c r="K3070" i="1"/>
  <c r="K3074" i="1"/>
  <c r="K3078" i="1"/>
  <c r="K3082" i="1"/>
  <c r="K3086" i="1"/>
  <c r="K3090" i="1"/>
  <c r="K3094" i="1"/>
  <c r="K3098" i="1"/>
  <c r="K3102" i="1"/>
  <c r="K3106" i="1"/>
  <c r="K3110" i="1"/>
  <c r="K3114" i="1"/>
  <c r="K3118" i="1"/>
  <c r="K3122" i="1"/>
  <c r="K3126" i="1"/>
  <c r="K3130" i="1"/>
  <c r="K3134" i="1"/>
  <c r="K3138" i="1"/>
  <c r="K3142" i="1"/>
  <c r="K3146" i="1"/>
  <c r="K3150" i="1"/>
  <c r="K3154" i="1"/>
  <c r="K3158" i="1"/>
  <c r="K3162" i="1"/>
  <c r="K3166" i="1"/>
  <c r="K3170" i="1"/>
  <c r="K3174" i="1"/>
  <c r="K3178" i="1"/>
  <c r="K3182" i="1"/>
  <c r="K3186" i="1"/>
  <c r="K3190" i="1"/>
  <c r="K3194" i="1"/>
  <c r="K3198" i="1"/>
  <c r="K3202" i="1"/>
  <c r="K3206" i="1"/>
  <c r="K3210" i="1"/>
  <c r="K3214" i="1"/>
  <c r="K3218" i="1"/>
  <c r="K3222" i="1"/>
  <c r="K3226" i="1"/>
  <c r="K3230" i="1"/>
  <c r="K3234" i="1"/>
  <c r="K3238" i="1"/>
  <c r="K3242" i="1"/>
  <c r="K3246" i="1"/>
  <c r="K3250" i="1"/>
  <c r="K3254" i="1"/>
  <c r="K3258" i="1"/>
  <c r="K3262" i="1"/>
  <c r="K3266" i="1"/>
  <c r="K3270" i="1"/>
  <c r="K3274" i="1"/>
  <c r="K3278" i="1"/>
  <c r="K3282" i="1"/>
  <c r="K3286" i="1"/>
  <c r="K3290" i="1"/>
  <c r="K3294" i="1"/>
  <c r="K3298" i="1"/>
  <c r="K818" i="1"/>
  <c r="K1190" i="1"/>
  <c r="K1318" i="1"/>
  <c r="K1446" i="1"/>
  <c r="K1574" i="1"/>
  <c r="K1702" i="1"/>
  <c r="K1830" i="1"/>
  <c r="K1958" i="1"/>
  <c r="K2051" i="1"/>
  <c r="K2115" i="1"/>
  <c r="K2179" i="1"/>
  <c r="K2243" i="1"/>
  <c r="K2307" i="1"/>
  <c r="K2371" i="1"/>
  <c r="K2435" i="1"/>
  <c r="K2499" i="1"/>
  <c r="K2547" i="1"/>
  <c r="K2563" i="1"/>
  <c r="K2579" i="1"/>
  <c r="K2595" i="1"/>
  <c r="K2611" i="1"/>
  <c r="K2627" i="1"/>
  <c r="K2643" i="1"/>
  <c r="K2659" i="1"/>
  <c r="K2675" i="1"/>
  <c r="K2691" i="1"/>
  <c r="K2707" i="1"/>
  <c r="K2723" i="1"/>
  <c r="K2739" i="1"/>
  <c r="K2755" i="1"/>
  <c r="K2771" i="1"/>
  <c r="K2787" i="1"/>
  <c r="K2803" i="1"/>
  <c r="K2819" i="1"/>
  <c r="K2835" i="1"/>
  <c r="K2851" i="1"/>
  <c r="K2867" i="1"/>
  <c r="K2883" i="1"/>
  <c r="K2899" i="1"/>
  <c r="K2915" i="1"/>
  <c r="K2931" i="1"/>
  <c r="K2947" i="1"/>
  <c r="K2963" i="1"/>
  <c r="K2979" i="1"/>
  <c r="K2995" i="1"/>
  <c r="K3011" i="1"/>
  <c r="K3027" i="1"/>
  <c r="K3043" i="1"/>
  <c r="K3059" i="1"/>
  <c r="K3075" i="1"/>
  <c r="K3091" i="1"/>
  <c r="K3107" i="1"/>
  <c r="K3123" i="1"/>
  <c r="K3139" i="1"/>
  <c r="K3155" i="1"/>
  <c r="K3171" i="1"/>
  <c r="K3187" i="1"/>
  <c r="K3203" i="1"/>
  <c r="K3219" i="1"/>
  <c r="K3235" i="1"/>
  <c r="K3251" i="1"/>
  <c r="K3267" i="1"/>
  <c r="K3275" i="1"/>
  <c r="K3283" i="1"/>
  <c r="K3291" i="1"/>
  <c r="K3299" i="1"/>
  <c r="K3304" i="1"/>
  <c r="K3309" i="1"/>
  <c r="K3313" i="1"/>
  <c r="K3317" i="1"/>
  <c r="K3321" i="1"/>
  <c r="K3325" i="1"/>
  <c r="K3329" i="1"/>
  <c r="K3333" i="1"/>
  <c r="K3337" i="1"/>
  <c r="K3341" i="1"/>
  <c r="K3345" i="1"/>
  <c r="K3349" i="1"/>
  <c r="K3353" i="1"/>
  <c r="K3357" i="1"/>
  <c r="K3361" i="1"/>
  <c r="K3365" i="1"/>
  <c r="K3369" i="1"/>
  <c r="K3373" i="1"/>
  <c r="K3377" i="1"/>
  <c r="K3381" i="1"/>
  <c r="K3385" i="1"/>
  <c r="K3389" i="1"/>
  <c r="K3393" i="1"/>
  <c r="K3397" i="1"/>
  <c r="K3401" i="1"/>
  <c r="K3405" i="1"/>
  <c r="K3409" i="1"/>
  <c r="K3413" i="1"/>
  <c r="K3417" i="1"/>
  <c r="K3421" i="1"/>
  <c r="K3425" i="1"/>
  <c r="K3429" i="1"/>
  <c r="K3433" i="1"/>
  <c r="K3437" i="1"/>
  <c r="K3441" i="1"/>
  <c r="K3445" i="1"/>
  <c r="K3449" i="1"/>
  <c r="K3453" i="1"/>
  <c r="K3457" i="1"/>
  <c r="K3461" i="1"/>
  <c r="K3465" i="1"/>
  <c r="K3469" i="1"/>
  <c r="K3473" i="1"/>
  <c r="K3477" i="1"/>
  <c r="K3481" i="1"/>
  <c r="K3485" i="1"/>
  <c r="K3489" i="1"/>
  <c r="K3493" i="1"/>
  <c r="K3497" i="1"/>
  <c r="K3501" i="1"/>
  <c r="K3505" i="1"/>
  <c r="K3509" i="1"/>
  <c r="K3513" i="1"/>
  <c r="K3517" i="1"/>
  <c r="K3521" i="1"/>
  <c r="K3525" i="1"/>
  <c r="K3529" i="1"/>
  <c r="K3533" i="1"/>
  <c r="K3537" i="1"/>
  <c r="K3541" i="1"/>
  <c r="K3545" i="1"/>
  <c r="K3549" i="1"/>
  <c r="K3553" i="1"/>
  <c r="K3557" i="1"/>
  <c r="K3561" i="1"/>
  <c r="K3565" i="1"/>
  <c r="K3569" i="1"/>
  <c r="K3573" i="1"/>
  <c r="K3577" i="1"/>
  <c r="K3581" i="1"/>
  <c r="K3585" i="1"/>
  <c r="K3589" i="1"/>
  <c r="K3593" i="1"/>
  <c r="K3597" i="1"/>
  <c r="K3601" i="1"/>
  <c r="K3605" i="1"/>
  <c r="K3609" i="1"/>
  <c r="K3613" i="1"/>
  <c r="K3617" i="1"/>
  <c r="K3621" i="1"/>
  <c r="K3625" i="1"/>
  <c r="K3629" i="1"/>
  <c r="K3633" i="1"/>
  <c r="K3637" i="1"/>
  <c r="K3641" i="1"/>
  <c r="K3645" i="1"/>
  <c r="K3649" i="1"/>
  <c r="K3653" i="1"/>
  <c r="K3657" i="1"/>
  <c r="K3661" i="1"/>
  <c r="K3665" i="1"/>
  <c r="K3669" i="1"/>
  <c r="K3673" i="1"/>
  <c r="K3677" i="1"/>
  <c r="K3681" i="1"/>
  <c r="K3685" i="1"/>
  <c r="K3689" i="1"/>
  <c r="K3693" i="1"/>
  <c r="K3697" i="1"/>
  <c r="K3701" i="1"/>
  <c r="K3705" i="1"/>
  <c r="K3709" i="1"/>
  <c r="K3713" i="1"/>
  <c r="K3717" i="1"/>
  <c r="K3721" i="1"/>
  <c r="K3725" i="1"/>
  <c r="K3729" i="1"/>
  <c r="K3733" i="1"/>
  <c r="K3737" i="1"/>
  <c r="K3741" i="1"/>
  <c r="K3745" i="1"/>
  <c r="K3749" i="1"/>
  <c r="K3753" i="1"/>
  <c r="K3757" i="1"/>
  <c r="K3761" i="1"/>
  <c r="K3765" i="1"/>
  <c r="K3769" i="1"/>
  <c r="K3773" i="1"/>
  <c r="K3777" i="1"/>
  <c r="K3781" i="1"/>
  <c r="K3785" i="1"/>
  <c r="K3789" i="1"/>
  <c r="K3793" i="1"/>
  <c r="K3797" i="1"/>
  <c r="K3801" i="1"/>
  <c r="K3805" i="1"/>
  <c r="K3809" i="1"/>
  <c r="K3813" i="1"/>
  <c r="K3817" i="1"/>
  <c r="K3821" i="1"/>
  <c r="K3825" i="1"/>
  <c r="K3829" i="1"/>
  <c r="K3833" i="1"/>
  <c r="K3837" i="1"/>
  <c r="K3841" i="1"/>
  <c r="K3845" i="1"/>
  <c r="K3849" i="1"/>
  <c r="K3853" i="1"/>
  <c r="K3857" i="1"/>
  <c r="K3861" i="1"/>
  <c r="K3865" i="1"/>
  <c r="K3869" i="1"/>
  <c r="K3873" i="1"/>
  <c r="K3877" i="1"/>
  <c r="K3881" i="1"/>
  <c r="K3885" i="1"/>
  <c r="K3889" i="1"/>
  <c r="K3893" i="1"/>
  <c r="K3897" i="1"/>
  <c r="K3901" i="1"/>
  <c r="K3905" i="1"/>
  <c r="K3909" i="1"/>
  <c r="K3913" i="1"/>
  <c r="K3917" i="1"/>
  <c r="K3921" i="1"/>
  <c r="K3925" i="1"/>
  <c r="K3929" i="1"/>
  <c r="K3933" i="1"/>
  <c r="K3937" i="1"/>
  <c r="K3941" i="1"/>
  <c r="K3945" i="1"/>
  <c r="K3949" i="1"/>
  <c r="K3953" i="1"/>
  <c r="K3957" i="1"/>
  <c r="K3961" i="1"/>
  <c r="K3965" i="1"/>
  <c r="K3969" i="1"/>
  <c r="K3973" i="1"/>
  <c r="K3977" i="1"/>
  <c r="K3981" i="1"/>
  <c r="K3985" i="1"/>
  <c r="K3989" i="1"/>
  <c r="K3993" i="1"/>
  <c r="K3997" i="1"/>
  <c r="K4001" i="1"/>
  <c r="K4005" i="1"/>
  <c r="K4009" i="1"/>
  <c r="K4013" i="1"/>
  <c r="K4017" i="1"/>
  <c r="K4021" i="1"/>
  <c r="K4025" i="1"/>
  <c r="K4029" i="1"/>
  <c r="K4033" i="1"/>
  <c r="K4037" i="1"/>
  <c r="K4041" i="1"/>
  <c r="K4045" i="1"/>
  <c r="K4049" i="1"/>
  <c r="K4053" i="1"/>
  <c r="K4057" i="1"/>
  <c r="K4061" i="1"/>
  <c r="K4065" i="1"/>
  <c r="K4069" i="1"/>
  <c r="K4073" i="1"/>
  <c r="K4077" i="1"/>
  <c r="K4081" i="1"/>
  <c r="K4085" i="1"/>
  <c r="K4089" i="1"/>
  <c r="K4093" i="1"/>
  <c r="K4097" i="1"/>
  <c r="K4101" i="1"/>
  <c r="K4105" i="1"/>
  <c r="K1414" i="1"/>
  <c r="K1542" i="1"/>
  <c r="K1670" i="1"/>
  <c r="K1926" i="1"/>
  <c r="K2099" i="1"/>
  <c r="K2227" i="1"/>
  <c r="K2355" i="1"/>
  <c r="K2543" i="1"/>
  <c r="K2591" i="1"/>
  <c r="K2639" i="1"/>
  <c r="K2687" i="1"/>
  <c r="K2751" i="1"/>
  <c r="K2799" i="1"/>
  <c r="K2847" i="1"/>
  <c r="K2879" i="1"/>
  <c r="K2927" i="1"/>
  <c r="K2975" i="1"/>
  <c r="K3023" i="1"/>
  <c r="K3087" i="1"/>
  <c r="K3119" i="1"/>
  <c r="K3167" i="1"/>
  <c r="K3231" i="1"/>
  <c r="K3272" i="1"/>
  <c r="K3288" i="1"/>
  <c r="K3308" i="1"/>
  <c r="K3320" i="1"/>
  <c r="K3332" i="1"/>
  <c r="K3348" i="1"/>
  <c r="K3356" i="1"/>
  <c r="K3368" i="1"/>
  <c r="K3384" i="1"/>
  <c r="K3392" i="1"/>
  <c r="K3408" i="1"/>
  <c r="K3416" i="1"/>
  <c r="K3432" i="1"/>
  <c r="K3440" i="1"/>
  <c r="K3452" i="1"/>
  <c r="K3464" i="1"/>
  <c r="K3476" i="1"/>
  <c r="K3488" i="1"/>
  <c r="K3500" i="1"/>
  <c r="K3512" i="1"/>
  <c r="K3524" i="1"/>
  <c r="K3532" i="1"/>
  <c r="K3544" i="1"/>
  <c r="K3560" i="1"/>
  <c r="K3572" i="1"/>
  <c r="K3584" i="1"/>
  <c r="K3596" i="1"/>
  <c r="K3608" i="1"/>
  <c r="K3620" i="1"/>
  <c r="K3628" i="1"/>
  <c r="K3636" i="1"/>
  <c r="K3648" i="1"/>
  <c r="K3660" i="1"/>
  <c r="K3676" i="1"/>
  <c r="K3688" i="1"/>
  <c r="K3700" i="1"/>
  <c r="K3704" i="1"/>
  <c r="K3724" i="1"/>
  <c r="K3736" i="1"/>
  <c r="K3748" i="1"/>
  <c r="K3756" i="1"/>
  <c r="K3764" i="1"/>
  <c r="K3776" i="1"/>
  <c r="K3792" i="1"/>
  <c r="K3804" i="1"/>
  <c r="K3816" i="1"/>
  <c r="K3828" i="1"/>
  <c r="K3840" i="1"/>
  <c r="K3848" i="1"/>
  <c r="K3860" i="1"/>
  <c r="K3872" i="1"/>
  <c r="K3888" i="1"/>
  <c r="K3896" i="1"/>
  <c r="K3904" i="1"/>
  <c r="K3916" i="1"/>
  <c r="K3928" i="1"/>
  <c r="K3940" i="1"/>
  <c r="K3952" i="1"/>
  <c r="K3964" i="1"/>
  <c r="K3976" i="1"/>
  <c r="K3988" i="1"/>
  <c r="K4004" i="1"/>
  <c r="K4012" i="1"/>
  <c r="K4024" i="1"/>
  <c r="K4040" i="1"/>
  <c r="K4052" i="1"/>
  <c r="K4064" i="1"/>
  <c r="K4076" i="1"/>
  <c r="K4088" i="1"/>
  <c r="K4100" i="1"/>
  <c r="K946" i="1"/>
  <c r="K1222" i="1"/>
  <c r="K1350" i="1"/>
  <c r="K1478" i="1"/>
  <c r="K1606" i="1"/>
  <c r="K1734" i="1"/>
  <c r="K1862" i="1"/>
  <c r="K1990" i="1"/>
  <c r="K2067" i="1"/>
  <c r="K2131" i="1"/>
  <c r="K2195" i="1"/>
  <c r="K2259" i="1"/>
  <c r="K2323" i="1"/>
  <c r="K2387" i="1"/>
  <c r="K2451" i="1"/>
  <c r="K2515" i="1"/>
  <c r="K2551" i="1"/>
  <c r="K2567" i="1"/>
  <c r="K2583" i="1"/>
  <c r="K2599" i="1"/>
  <c r="K2615" i="1"/>
  <c r="K2631" i="1"/>
  <c r="K2647" i="1"/>
  <c r="K2663" i="1"/>
  <c r="K2679" i="1"/>
  <c r="K2695" i="1"/>
  <c r="K2711" i="1"/>
  <c r="K2727" i="1"/>
  <c r="K2743" i="1"/>
  <c r="K2759" i="1"/>
  <c r="K2775" i="1"/>
  <c r="K2791" i="1"/>
  <c r="K2807" i="1"/>
  <c r="K2823" i="1"/>
  <c r="K2839" i="1"/>
  <c r="K2855" i="1"/>
  <c r="K2871" i="1"/>
  <c r="K2887" i="1"/>
  <c r="K2903" i="1"/>
  <c r="K2919" i="1"/>
  <c r="K2935" i="1"/>
  <c r="K2951" i="1"/>
  <c r="K2967" i="1"/>
  <c r="K2983" i="1"/>
  <c r="K2999" i="1"/>
  <c r="K3015" i="1"/>
  <c r="K3031" i="1"/>
  <c r="K3047" i="1"/>
  <c r="K3063" i="1"/>
  <c r="K3079" i="1"/>
  <c r="K3095" i="1"/>
  <c r="K3111" i="1"/>
  <c r="K3127" i="1"/>
  <c r="K3143" i="1"/>
  <c r="K3159" i="1"/>
  <c r="K3175" i="1"/>
  <c r="K3191" i="1"/>
  <c r="K3207" i="1"/>
  <c r="K3223" i="1"/>
  <c r="K3239" i="1"/>
  <c r="K3255" i="1"/>
  <c r="K3268" i="1"/>
  <c r="K3276" i="1"/>
  <c r="K3284" i="1"/>
  <c r="K3292" i="1"/>
  <c r="K3300" i="1"/>
  <c r="K3306" i="1"/>
  <c r="K3310" i="1"/>
  <c r="K3314" i="1"/>
  <c r="K3318" i="1"/>
  <c r="K3322" i="1"/>
  <c r="K3326" i="1"/>
  <c r="K3330" i="1"/>
  <c r="K3334" i="1"/>
  <c r="K3338" i="1"/>
  <c r="K3342" i="1"/>
  <c r="K3346" i="1"/>
  <c r="K3350" i="1"/>
  <c r="K3354" i="1"/>
  <c r="K3358" i="1"/>
  <c r="K3362" i="1"/>
  <c r="K3366" i="1"/>
  <c r="K3370" i="1"/>
  <c r="K3374" i="1"/>
  <c r="K3378" i="1"/>
  <c r="K3382" i="1"/>
  <c r="K3386" i="1"/>
  <c r="K3390" i="1"/>
  <c r="K3394" i="1"/>
  <c r="K3398" i="1"/>
  <c r="K3402" i="1"/>
  <c r="K3406" i="1"/>
  <c r="K3410" i="1"/>
  <c r="K3414" i="1"/>
  <c r="K3418" i="1"/>
  <c r="K3422" i="1"/>
  <c r="K3426" i="1"/>
  <c r="K3430" i="1"/>
  <c r="K3434" i="1"/>
  <c r="K3438" i="1"/>
  <c r="K3442" i="1"/>
  <c r="K3446" i="1"/>
  <c r="K3450" i="1"/>
  <c r="K3454" i="1"/>
  <c r="K3458" i="1"/>
  <c r="K3462" i="1"/>
  <c r="K3466" i="1"/>
  <c r="K3470" i="1"/>
  <c r="K3474" i="1"/>
  <c r="K3478" i="1"/>
  <c r="K3482" i="1"/>
  <c r="K3486" i="1"/>
  <c r="K3490" i="1"/>
  <c r="K3494" i="1"/>
  <c r="K3498" i="1"/>
  <c r="K3502" i="1"/>
  <c r="K3506" i="1"/>
  <c r="K3510" i="1"/>
  <c r="K3514" i="1"/>
  <c r="K3518" i="1"/>
  <c r="K3522" i="1"/>
  <c r="K3526" i="1"/>
  <c r="K3530" i="1"/>
  <c r="K3534" i="1"/>
  <c r="K3538" i="1"/>
  <c r="K3542" i="1"/>
  <c r="K3546" i="1"/>
  <c r="K3550" i="1"/>
  <c r="K3554" i="1"/>
  <c r="K3558" i="1"/>
  <c r="K3562" i="1"/>
  <c r="K3566" i="1"/>
  <c r="K3570" i="1"/>
  <c r="K3574" i="1"/>
  <c r="K3578" i="1"/>
  <c r="K3582" i="1"/>
  <c r="K3586" i="1"/>
  <c r="K3590" i="1"/>
  <c r="K3594" i="1"/>
  <c r="K3598" i="1"/>
  <c r="K3602" i="1"/>
  <c r="K3606" i="1"/>
  <c r="K3610" i="1"/>
  <c r="K3614" i="1"/>
  <c r="K3618" i="1"/>
  <c r="K3622" i="1"/>
  <c r="K3626" i="1"/>
  <c r="K3630" i="1"/>
  <c r="K3634" i="1"/>
  <c r="K3638" i="1"/>
  <c r="K3642" i="1"/>
  <c r="K3646" i="1"/>
  <c r="K3650" i="1"/>
  <c r="K3654" i="1"/>
  <c r="K3658" i="1"/>
  <c r="K3662" i="1"/>
  <c r="K3666" i="1"/>
  <c r="K3670" i="1"/>
  <c r="K3674" i="1"/>
  <c r="K3678" i="1"/>
  <c r="K3682" i="1"/>
  <c r="K3686" i="1"/>
  <c r="K3690" i="1"/>
  <c r="K3694" i="1"/>
  <c r="K3698" i="1"/>
  <c r="K3702" i="1"/>
  <c r="K3706" i="1"/>
  <c r="K3710" i="1"/>
  <c r="K3714" i="1"/>
  <c r="K3718" i="1"/>
  <c r="K3722" i="1"/>
  <c r="K3726" i="1"/>
  <c r="K3730" i="1"/>
  <c r="K3734" i="1"/>
  <c r="K3738" i="1"/>
  <c r="K3742" i="1"/>
  <c r="K3746" i="1"/>
  <c r="K3750" i="1"/>
  <c r="K3754" i="1"/>
  <c r="K3758" i="1"/>
  <c r="K3762" i="1"/>
  <c r="K3766" i="1"/>
  <c r="K3770" i="1"/>
  <c r="K3774" i="1"/>
  <c r="K3778" i="1"/>
  <c r="K3782" i="1"/>
  <c r="K3786" i="1"/>
  <c r="K3790" i="1"/>
  <c r="K3794" i="1"/>
  <c r="K3798" i="1"/>
  <c r="K3802" i="1"/>
  <c r="K3806" i="1"/>
  <c r="K3810" i="1"/>
  <c r="K3814" i="1"/>
  <c r="K3818" i="1"/>
  <c r="K3822" i="1"/>
  <c r="K3826" i="1"/>
  <c r="K3830" i="1"/>
  <c r="K3834" i="1"/>
  <c r="K3838" i="1"/>
  <c r="K3842" i="1"/>
  <c r="K3846" i="1"/>
  <c r="K3850" i="1"/>
  <c r="K3854" i="1"/>
  <c r="K3858" i="1"/>
  <c r="K3862" i="1"/>
  <c r="K3866" i="1"/>
  <c r="K3870" i="1"/>
  <c r="K3874" i="1"/>
  <c r="K3878" i="1"/>
  <c r="K3882" i="1"/>
  <c r="K3886" i="1"/>
  <c r="K3890" i="1"/>
  <c r="K3894" i="1"/>
  <c r="K3898" i="1"/>
  <c r="K3902" i="1"/>
  <c r="K3906" i="1"/>
  <c r="K3910" i="1"/>
  <c r="K3914" i="1"/>
  <c r="K3918" i="1"/>
  <c r="K3922" i="1"/>
  <c r="K3926" i="1"/>
  <c r="K3930" i="1"/>
  <c r="K3934" i="1"/>
  <c r="K3938" i="1"/>
  <c r="K3942" i="1"/>
  <c r="K3946" i="1"/>
  <c r="K3950" i="1"/>
  <c r="K3954" i="1"/>
  <c r="K3958" i="1"/>
  <c r="K3962" i="1"/>
  <c r="K3966" i="1"/>
  <c r="K3970" i="1"/>
  <c r="K3974" i="1"/>
  <c r="K3978" i="1"/>
  <c r="K3982" i="1"/>
  <c r="K3986" i="1"/>
  <c r="K3990" i="1"/>
  <c r="K3994" i="1"/>
  <c r="K3998" i="1"/>
  <c r="K4002" i="1"/>
  <c r="K4006" i="1"/>
  <c r="K4010" i="1"/>
  <c r="K4014" i="1"/>
  <c r="K4018" i="1"/>
  <c r="K4022" i="1"/>
  <c r="K4026" i="1"/>
  <c r="K4030" i="1"/>
  <c r="K4034" i="1"/>
  <c r="K4038" i="1"/>
  <c r="K4042" i="1"/>
  <c r="K4046" i="1"/>
  <c r="K4050" i="1"/>
  <c r="K4054" i="1"/>
  <c r="K4058" i="1"/>
  <c r="K4062" i="1"/>
  <c r="K4066" i="1"/>
  <c r="K4070" i="1"/>
  <c r="K4074" i="1"/>
  <c r="K4078" i="1"/>
  <c r="K4082" i="1"/>
  <c r="K4086" i="1"/>
  <c r="K4090" i="1"/>
  <c r="K4094" i="1"/>
  <c r="K4098" i="1"/>
  <c r="K4102" i="1"/>
  <c r="K4106" i="1"/>
  <c r="K4091" i="1"/>
  <c r="K4103" i="1"/>
  <c r="K4107" i="1"/>
  <c r="K1286" i="1"/>
  <c r="K2419" i="1"/>
  <c r="K2575" i="1"/>
  <c r="K2623" i="1"/>
  <c r="K2671" i="1"/>
  <c r="K2719" i="1"/>
  <c r="K2767" i="1"/>
  <c r="K2815" i="1"/>
  <c r="K2863" i="1"/>
  <c r="K2911" i="1"/>
  <c r="K2959" i="1"/>
  <c r="K3007" i="1"/>
  <c r="K3055" i="1"/>
  <c r="K3103" i="1"/>
  <c r="K3151" i="1"/>
  <c r="K3199" i="1"/>
  <c r="K3247" i="1"/>
  <c r="K3280" i="1"/>
  <c r="K3303" i="1"/>
  <c r="K3316" i="1"/>
  <c r="K3328" i="1"/>
  <c r="K3340" i="1"/>
  <c r="K3352" i="1"/>
  <c r="K3364" i="1"/>
  <c r="K3376" i="1"/>
  <c r="K3388" i="1"/>
  <c r="K3400" i="1"/>
  <c r="K3412" i="1"/>
  <c r="K3424" i="1"/>
  <c r="K3436" i="1"/>
  <c r="K3448" i="1"/>
  <c r="K3460" i="1"/>
  <c r="K3472" i="1"/>
  <c r="K3484" i="1"/>
  <c r="K3496" i="1"/>
  <c r="K3508" i="1"/>
  <c r="K3528" i="1"/>
  <c r="K3540" i="1"/>
  <c r="K3552" i="1"/>
  <c r="K3564" i="1"/>
  <c r="K3576" i="1"/>
  <c r="K3588" i="1"/>
  <c r="K3600" i="1"/>
  <c r="K3612" i="1"/>
  <c r="K3624" i="1"/>
  <c r="K3644" i="1"/>
  <c r="K3656" i="1"/>
  <c r="K3668" i="1"/>
  <c r="K3680" i="1"/>
  <c r="K3692" i="1"/>
  <c r="K3708" i="1"/>
  <c r="K3716" i="1"/>
  <c r="K3728" i="1"/>
  <c r="K3740" i="1"/>
  <c r="K3752" i="1"/>
  <c r="K3768" i="1"/>
  <c r="K3784" i="1"/>
  <c r="K3796" i="1"/>
  <c r="K3808" i="1"/>
  <c r="K3820" i="1"/>
  <c r="K3832" i="1"/>
  <c r="K3844" i="1"/>
  <c r="K3856" i="1"/>
  <c r="K3868" i="1"/>
  <c r="K3880" i="1"/>
  <c r="K3892" i="1"/>
  <c r="K3908" i="1"/>
  <c r="K3920" i="1"/>
  <c r="K3932" i="1"/>
  <c r="K3944" i="1"/>
  <c r="K3956" i="1"/>
  <c r="K3972" i="1"/>
  <c r="K3984" i="1"/>
  <c r="K3996" i="1"/>
  <c r="K4008" i="1"/>
  <c r="K4020" i="1"/>
  <c r="K4032" i="1"/>
  <c r="K4044" i="1"/>
  <c r="K4056" i="1"/>
  <c r="K4068" i="1"/>
  <c r="K4080" i="1"/>
  <c r="K4092" i="1"/>
  <c r="K4104" i="1"/>
  <c r="K1074" i="1"/>
  <c r="K1254" i="1"/>
  <c r="K1382" i="1"/>
  <c r="K1510" i="1"/>
  <c r="K1638" i="1"/>
  <c r="K1766" i="1"/>
  <c r="K1894" i="1"/>
  <c r="K2012" i="1"/>
  <c r="K2083" i="1"/>
  <c r="K2147" i="1"/>
  <c r="K2211" i="1"/>
  <c r="K2275" i="1"/>
  <c r="K2339" i="1"/>
  <c r="K2403" i="1"/>
  <c r="K2467" i="1"/>
  <c r="K2531" i="1"/>
  <c r="K2555" i="1"/>
  <c r="K2571" i="1"/>
  <c r="K2587" i="1"/>
  <c r="K2603" i="1"/>
  <c r="K2619" i="1"/>
  <c r="K2635" i="1"/>
  <c r="K2651" i="1"/>
  <c r="K2667" i="1"/>
  <c r="K2683" i="1"/>
  <c r="K2699" i="1"/>
  <c r="K2715" i="1"/>
  <c r="K2731" i="1"/>
  <c r="K2747" i="1"/>
  <c r="K2763" i="1"/>
  <c r="K2779" i="1"/>
  <c r="K2795" i="1"/>
  <c r="K2811" i="1"/>
  <c r="K2827" i="1"/>
  <c r="K2843" i="1"/>
  <c r="K2859" i="1"/>
  <c r="K2875" i="1"/>
  <c r="K2891" i="1"/>
  <c r="K2907" i="1"/>
  <c r="K2923" i="1"/>
  <c r="K2939" i="1"/>
  <c r="K2955" i="1"/>
  <c r="K2971" i="1"/>
  <c r="K2987" i="1"/>
  <c r="K3003" i="1"/>
  <c r="K3019" i="1"/>
  <c r="K3035" i="1"/>
  <c r="K3051" i="1"/>
  <c r="K3067" i="1"/>
  <c r="K3083" i="1"/>
  <c r="K3099" i="1"/>
  <c r="K3115" i="1"/>
  <c r="K3131" i="1"/>
  <c r="K3147" i="1"/>
  <c r="K3163" i="1"/>
  <c r="K3179" i="1"/>
  <c r="K3195" i="1"/>
  <c r="K3211" i="1"/>
  <c r="K3227" i="1"/>
  <c r="K3243" i="1"/>
  <c r="K3259" i="1"/>
  <c r="K3271" i="1"/>
  <c r="K3279" i="1"/>
  <c r="K3287" i="1"/>
  <c r="K3295" i="1"/>
  <c r="K3302" i="1"/>
  <c r="K3307" i="1"/>
  <c r="K3311" i="1"/>
  <c r="K3315" i="1"/>
  <c r="K3319" i="1"/>
  <c r="K3323" i="1"/>
  <c r="K3327" i="1"/>
  <c r="K3331" i="1"/>
  <c r="K3335" i="1"/>
  <c r="K3339" i="1"/>
  <c r="K3343" i="1"/>
  <c r="K3347" i="1"/>
  <c r="K3351" i="1"/>
  <c r="K3355" i="1"/>
  <c r="K3359" i="1"/>
  <c r="K3363" i="1"/>
  <c r="K3367" i="1"/>
  <c r="K3371" i="1"/>
  <c r="K3375" i="1"/>
  <c r="K3379" i="1"/>
  <c r="K3383" i="1"/>
  <c r="K3387" i="1"/>
  <c r="K3391" i="1"/>
  <c r="K3395" i="1"/>
  <c r="K3399" i="1"/>
  <c r="K3403" i="1"/>
  <c r="K3407" i="1"/>
  <c r="K3411" i="1"/>
  <c r="K3415" i="1"/>
  <c r="K3419" i="1"/>
  <c r="K3423" i="1"/>
  <c r="K3427" i="1"/>
  <c r="K3431" i="1"/>
  <c r="K3435" i="1"/>
  <c r="K3439" i="1"/>
  <c r="K3443" i="1"/>
  <c r="K3447" i="1"/>
  <c r="K3451" i="1"/>
  <c r="K3455" i="1"/>
  <c r="K3459" i="1"/>
  <c r="K3463" i="1"/>
  <c r="K3467" i="1"/>
  <c r="K3471" i="1"/>
  <c r="K3475" i="1"/>
  <c r="K3479" i="1"/>
  <c r="K3483" i="1"/>
  <c r="K3487" i="1"/>
  <c r="K3491" i="1"/>
  <c r="K3495" i="1"/>
  <c r="K3499" i="1"/>
  <c r="K3503" i="1"/>
  <c r="K3507" i="1"/>
  <c r="K3511" i="1"/>
  <c r="K3515" i="1"/>
  <c r="K3519" i="1"/>
  <c r="K3523" i="1"/>
  <c r="K3527" i="1"/>
  <c r="K3531" i="1"/>
  <c r="K3535" i="1"/>
  <c r="K3539" i="1"/>
  <c r="K3543" i="1"/>
  <c r="K3547" i="1"/>
  <c r="K3551" i="1"/>
  <c r="K3555" i="1"/>
  <c r="K3559" i="1"/>
  <c r="K3563" i="1"/>
  <c r="K3567" i="1"/>
  <c r="K3571" i="1"/>
  <c r="K3575" i="1"/>
  <c r="K3579" i="1"/>
  <c r="K3583" i="1"/>
  <c r="K3587" i="1"/>
  <c r="K3591" i="1"/>
  <c r="K3595" i="1"/>
  <c r="K3599" i="1"/>
  <c r="K3603" i="1"/>
  <c r="K3607" i="1"/>
  <c r="K3611" i="1"/>
  <c r="K3615" i="1"/>
  <c r="K3619" i="1"/>
  <c r="K3623" i="1"/>
  <c r="K3627" i="1"/>
  <c r="K3631" i="1"/>
  <c r="K3635" i="1"/>
  <c r="K3639" i="1"/>
  <c r="K3643" i="1"/>
  <c r="K3647" i="1"/>
  <c r="K3651" i="1"/>
  <c r="K3655" i="1"/>
  <c r="K3659" i="1"/>
  <c r="K3663" i="1"/>
  <c r="K3667" i="1"/>
  <c r="K3671" i="1"/>
  <c r="K3675" i="1"/>
  <c r="K3679" i="1"/>
  <c r="K3683" i="1"/>
  <c r="K3687" i="1"/>
  <c r="K3691" i="1"/>
  <c r="K3695" i="1"/>
  <c r="K3699" i="1"/>
  <c r="K3703" i="1"/>
  <c r="K3707" i="1"/>
  <c r="K3711" i="1"/>
  <c r="K3715" i="1"/>
  <c r="K3719" i="1"/>
  <c r="K3723" i="1"/>
  <c r="K3727" i="1"/>
  <c r="K3731" i="1"/>
  <c r="K3735" i="1"/>
  <c r="K3739" i="1"/>
  <c r="K3743" i="1"/>
  <c r="K3747" i="1"/>
  <c r="K3751" i="1"/>
  <c r="K3755" i="1"/>
  <c r="K3759" i="1"/>
  <c r="K3763" i="1"/>
  <c r="K3767" i="1"/>
  <c r="K3771" i="1"/>
  <c r="K3775" i="1"/>
  <c r="K3779" i="1"/>
  <c r="K3783" i="1"/>
  <c r="K3787" i="1"/>
  <c r="K3791" i="1"/>
  <c r="K3795" i="1"/>
  <c r="K3799" i="1"/>
  <c r="K3803" i="1"/>
  <c r="K3807" i="1"/>
  <c r="K3811" i="1"/>
  <c r="K3815" i="1"/>
  <c r="K3819" i="1"/>
  <c r="K3823" i="1"/>
  <c r="K3827" i="1"/>
  <c r="K3831" i="1"/>
  <c r="K3835" i="1"/>
  <c r="K3839" i="1"/>
  <c r="K3843" i="1"/>
  <c r="K3847" i="1"/>
  <c r="K3851" i="1"/>
  <c r="K3855" i="1"/>
  <c r="K3859" i="1"/>
  <c r="K3863" i="1"/>
  <c r="K3867" i="1"/>
  <c r="K3871" i="1"/>
  <c r="K3875" i="1"/>
  <c r="K3879" i="1"/>
  <c r="K3883" i="1"/>
  <c r="K3887" i="1"/>
  <c r="K3891" i="1"/>
  <c r="K3895" i="1"/>
  <c r="K3899" i="1"/>
  <c r="K3903" i="1"/>
  <c r="K3907" i="1"/>
  <c r="K3911" i="1"/>
  <c r="K3915" i="1"/>
  <c r="K3919" i="1"/>
  <c r="K3923" i="1"/>
  <c r="K3927" i="1"/>
  <c r="K3931" i="1"/>
  <c r="K3935" i="1"/>
  <c r="K3939" i="1"/>
  <c r="K3943" i="1"/>
  <c r="K3947" i="1"/>
  <c r="K3951" i="1"/>
  <c r="K3955" i="1"/>
  <c r="K3959" i="1"/>
  <c r="K3963" i="1"/>
  <c r="K3967" i="1"/>
  <c r="K3971" i="1"/>
  <c r="K3975" i="1"/>
  <c r="K3979" i="1"/>
  <c r="K3983" i="1"/>
  <c r="K3987" i="1"/>
  <c r="K3991" i="1"/>
  <c r="K3995" i="1"/>
  <c r="K3999" i="1"/>
  <c r="K4003" i="1"/>
  <c r="K4007" i="1"/>
  <c r="K4011" i="1"/>
  <c r="K4015" i="1"/>
  <c r="K4019" i="1"/>
  <c r="K4023" i="1"/>
  <c r="K4027" i="1"/>
  <c r="K4031" i="1"/>
  <c r="K4035" i="1"/>
  <c r="K4039" i="1"/>
  <c r="K4043" i="1"/>
  <c r="K4047" i="1"/>
  <c r="K4051" i="1"/>
  <c r="K4055" i="1"/>
  <c r="K4059" i="1"/>
  <c r="K4063" i="1"/>
  <c r="K4067" i="1"/>
  <c r="K4071" i="1"/>
  <c r="K4075" i="1"/>
  <c r="K4079" i="1"/>
  <c r="K4083" i="1"/>
  <c r="K4087" i="1"/>
  <c r="K4095" i="1"/>
  <c r="K4099" i="1"/>
  <c r="K1158" i="1"/>
  <c r="K1798" i="1"/>
  <c r="K2034" i="1"/>
  <c r="K2163" i="1"/>
  <c r="K2291" i="1"/>
  <c r="K2483" i="1"/>
  <c r="K2559" i="1"/>
  <c r="K2607" i="1"/>
  <c r="K2655" i="1"/>
  <c r="K2703" i="1"/>
  <c r="K2735" i="1"/>
  <c r="K2783" i="1"/>
  <c r="K2831" i="1"/>
  <c r="K2895" i="1"/>
  <c r="K2943" i="1"/>
  <c r="K2991" i="1"/>
  <c r="K3039" i="1"/>
  <c r="K3071" i="1"/>
  <c r="K3135" i="1"/>
  <c r="K3183" i="1"/>
  <c r="K3215" i="1"/>
  <c r="K3263" i="1"/>
  <c r="K3296" i="1"/>
  <c r="K3312" i="1"/>
  <c r="K3324" i="1"/>
  <c r="K3336" i="1"/>
  <c r="K3344" i="1"/>
  <c r="K3360" i="1"/>
  <c r="K3372" i="1"/>
  <c r="K3380" i="1"/>
  <c r="K3396" i="1"/>
  <c r="K3404" i="1"/>
  <c r="K3420" i="1"/>
  <c r="K3428" i="1"/>
  <c r="K3444" i="1"/>
  <c r="K3456" i="1"/>
  <c r="K3468" i="1"/>
  <c r="K3480" i="1"/>
  <c r="K3492" i="1"/>
  <c r="K3504" i="1"/>
  <c r="K3516" i="1"/>
  <c r="K3520" i="1"/>
  <c r="K3536" i="1"/>
  <c r="K3548" i="1"/>
  <c r="K3556" i="1"/>
  <c r="K3568" i="1"/>
  <c r="K3580" i="1"/>
  <c r="K3592" i="1"/>
  <c r="K3604" i="1"/>
  <c r="K3616" i="1"/>
  <c r="K3632" i="1"/>
  <c r="K3640" i="1"/>
  <c r="K3652" i="1"/>
  <c r="K3664" i="1"/>
  <c r="K3672" i="1"/>
  <c r="K3684" i="1"/>
  <c r="K3696" i="1"/>
  <c r="K3712" i="1"/>
  <c r="K3720" i="1"/>
  <c r="K3732" i="1"/>
  <c r="K3744" i="1"/>
  <c r="K3760" i="1"/>
  <c r="K3772" i="1"/>
  <c r="K3780" i="1"/>
  <c r="K3788" i="1"/>
  <c r="K3800" i="1"/>
  <c r="K3812" i="1"/>
  <c r="K3824" i="1"/>
  <c r="K3836" i="1"/>
  <c r="K3852" i="1"/>
  <c r="K3864" i="1"/>
  <c r="K3876" i="1"/>
  <c r="K3884" i="1"/>
  <c r="K3900" i="1"/>
  <c r="K3912" i="1"/>
  <c r="K3924" i="1"/>
  <c r="K3936" i="1"/>
  <c r="K3948" i="1"/>
  <c r="K3960" i="1"/>
  <c r="K3968" i="1"/>
  <c r="K3980" i="1"/>
  <c r="K3992" i="1"/>
  <c r="K4000" i="1"/>
  <c r="K4016" i="1"/>
  <c r="K4028" i="1"/>
  <c r="K4036" i="1"/>
  <c r="K4048" i="1"/>
  <c r="K4060" i="1"/>
  <c r="K4072" i="1"/>
  <c r="K4084" i="1"/>
  <c r="K4096" i="1"/>
  <c r="K12" i="1"/>
  <c r="G1" i="1" l="1"/>
</calcChain>
</file>

<file path=xl/sharedStrings.xml><?xml version="1.0" encoding="utf-8"?>
<sst xmlns="http://schemas.openxmlformats.org/spreadsheetml/2006/main" count="24637" uniqueCount="8237">
  <si>
    <t>Name</t>
  </si>
  <si>
    <t>Primer ( 5' -- &gt; 3')</t>
  </si>
  <si>
    <t>Tm (°C)</t>
  </si>
  <si>
    <t>GC %</t>
  </si>
  <si>
    <t>GC rich 3' end?</t>
  </si>
  <si>
    <t>length</t>
  </si>
  <si>
    <t>MW (g/mol)</t>
  </si>
  <si>
    <t>AAAAAA</t>
  </si>
  <si>
    <t>AAAAAC</t>
  </si>
  <si>
    <t>AAAAAG</t>
  </si>
  <si>
    <t>AAAAAT</t>
  </si>
  <si>
    <t>AAAACA</t>
  </si>
  <si>
    <t>AAAACC</t>
  </si>
  <si>
    <t>AAAACG</t>
  </si>
  <si>
    <t>AAAACT</t>
  </si>
  <si>
    <t>AAAAGA</t>
  </si>
  <si>
    <t>AAAAGC</t>
  </si>
  <si>
    <t>AAAAGG</t>
  </si>
  <si>
    <t>AAAAGT</t>
  </si>
  <si>
    <t>AAAATA</t>
  </si>
  <si>
    <t>AAAATC</t>
  </si>
  <si>
    <t>AAAATG</t>
  </si>
  <si>
    <t>AAAATT</t>
  </si>
  <si>
    <t>AAACAA</t>
  </si>
  <si>
    <t>AAACAC</t>
  </si>
  <si>
    <t>AAACAG</t>
  </si>
  <si>
    <t>AAACAT</t>
  </si>
  <si>
    <t>AAACCA</t>
  </si>
  <si>
    <t>AAACCC</t>
  </si>
  <si>
    <t>AAACCG</t>
  </si>
  <si>
    <t>AAACCT</t>
  </si>
  <si>
    <t>AAACGA</t>
  </si>
  <si>
    <t>AAACGC</t>
  </si>
  <si>
    <t>AAACGG</t>
  </si>
  <si>
    <t>AAACGT</t>
  </si>
  <si>
    <t>AAACTA</t>
  </si>
  <si>
    <t>AAACTC</t>
  </si>
  <si>
    <t>AAACTG</t>
  </si>
  <si>
    <t>AAACTT</t>
  </si>
  <si>
    <t>AAAGAA</t>
  </si>
  <si>
    <t>AAAGAC</t>
  </si>
  <si>
    <t>AAAGAG</t>
  </si>
  <si>
    <t>AAAGAT</t>
  </si>
  <si>
    <t>AAAGCA</t>
  </si>
  <si>
    <t>AAAGCC</t>
  </si>
  <si>
    <t>AAAGCG</t>
  </si>
  <si>
    <t>AAAGCT</t>
  </si>
  <si>
    <t>AAAGGA</t>
  </si>
  <si>
    <t>AAAGGC</t>
  </si>
  <si>
    <t>AAAGGG</t>
  </si>
  <si>
    <t>AAAGGT</t>
  </si>
  <si>
    <t>AAAGTA</t>
  </si>
  <si>
    <t>AAAGTC</t>
  </si>
  <si>
    <t>AAAGTG</t>
  </si>
  <si>
    <t>AAAGTT</t>
  </si>
  <si>
    <t>AAATAA</t>
  </si>
  <si>
    <t>AAATAC</t>
  </si>
  <si>
    <t>AAATAG</t>
  </si>
  <si>
    <t>AAATAT</t>
  </si>
  <si>
    <t>AAATCA</t>
  </si>
  <si>
    <t>AAATCC</t>
  </si>
  <si>
    <t>AAATCG</t>
  </si>
  <si>
    <t>AAATCT</t>
  </si>
  <si>
    <t>AAATGA</t>
  </si>
  <si>
    <t>AAATGC</t>
  </si>
  <si>
    <t>AAATGG</t>
  </si>
  <si>
    <t>AAATGT</t>
  </si>
  <si>
    <t>AAATTA</t>
  </si>
  <si>
    <t>AAATTC</t>
  </si>
  <si>
    <t>AAATTG</t>
  </si>
  <si>
    <t>AAATTT</t>
  </si>
  <si>
    <t>AACAAA</t>
  </si>
  <si>
    <t>AACAAC</t>
  </si>
  <si>
    <t>AACAAG</t>
  </si>
  <si>
    <t>AACAAT</t>
  </si>
  <si>
    <t>AACACA</t>
  </si>
  <si>
    <t>AACACC</t>
  </si>
  <si>
    <t>AACACG</t>
  </si>
  <si>
    <t>AACACT</t>
  </si>
  <si>
    <t>AACAGA</t>
  </si>
  <si>
    <t>AACAGC</t>
  </si>
  <si>
    <t>AACAGG</t>
  </si>
  <si>
    <t>AACAGT</t>
  </si>
  <si>
    <t>AACATA</t>
  </si>
  <si>
    <t>AACATC</t>
  </si>
  <si>
    <t>AACATG</t>
  </si>
  <si>
    <t>AACATT</t>
  </si>
  <si>
    <t>AACCAA</t>
  </si>
  <si>
    <t>AACCAC</t>
  </si>
  <si>
    <t>AACCAG</t>
  </si>
  <si>
    <t>AACCAT</t>
  </si>
  <si>
    <t>AACCCA</t>
  </si>
  <si>
    <t>AACCCC</t>
  </si>
  <si>
    <t>AACCCG</t>
  </si>
  <si>
    <t>AACCCT</t>
  </si>
  <si>
    <t>AACCGA</t>
  </si>
  <si>
    <t>AACCGC</t>
  </si>
  <si>
    <t>AACCGG</t>
  </si>
  <si>
    <t>AACCGT</t>
  </si>
  <si>
    <t>AACCTA</t>
  </si>
  <si>
    <t>AACCTC</t>
  </si>
  <si>
    <t>AACCTG</t>
  </si>
  <si>
    <t>AACCTT</t>
  </si>
  <si>
    <t>AACGAA</t>
  </si>
  <si>
    <t>AACGAC</t>
  </si>
  <si>
    <t>AACGAG</t>
  </si>
  <si>
    <t>AACGAT</t>
  </si>
  <si>
    <t>AACGCA</t>
  </si>
  <si>
    <t>AACGCC</t>
  </si>
  <si>
    <t>AACGCG</t>
  </si>
  <si>
    <t>AACGCT</t>
  </si>
  <si>
    <t>AACGGA</t>
  </si>
  <si>
    <t>AACGGC</t>
  </si>
  <si>
    <t>AACGGG</t>
  </si>
  <si>
    <t>AACGGT</t>
  </si>
  <si>
    <t>AACGTA</t>
  </si>
  <si>
    <t>AACGTC</t>
  </si>
  <si>
    <t>AACGTG</t>
  </si>
  <si>
    <t>AACGTT</t>
  </si>
  <si>
    <t>AACTAA</t>
  </si>
  <si>
    <t>AACTAC</t>
  </si>
  <si>
    <t>AACTAG</t>
  </si>
  <si>
    <t>AACTAT</t>
  </si>
  <si>
    <t>AACTCA</t>
  </si>
  <si>
    <t>AACTCC</t>
  </si>
  <si>
    <t>AACTCG</t>
  </si>
  <si>
    <t>AACTCT</t>
  </si>
  <si>
    <t>AACTGA</t>
  </si>
  <si>
    <t>AACTGC</t>
  </si>
  <si>
    <t>AACTGG</t>
  </si>
  <si>
    <t>AACTGT</t>
  </si>
  <si>
    <t>AACTTA</t>
  </si>
  <si>
    <t>AACTTC</t>
  </si>
  <si>
    <t>AACTTG</t>
  </si>
  <si>
    <t>AACTTT</t>
  </si>
  <si>
    <t>AAGAAA</t>
  </si>
  <si>
    <t>AAGAAC</t>
  </si>
  <si>
    <t>AAGAAG</t>
  </si>
  <si>
    <t>AAGAAT</t>
  </si>
  <si>
    <t>AAGACA</t>
  </si>
  <si>
    <t>AAGACC</t>
  </si>
  <si>
    <t>AAGACG</t>
  </si>
  <si>
    <t>AAGACT</t>
  </si>
  <si>
    <t>AAGAGA</t>
  </si>
  <si>
    <t>AAGAGC</t>
  </si>
  <si>
    <t>AAGAGG</t>
  </si>
  <si>
    <t>AAGAGT</t>
  </si>
  <si>
    <t>AAGATA</t>
  </si>
  <si>
    <t>AAGATC</t>
  </si>
  <si>
    <t>AAGATG</t>
  </si>
  <si>
    <t>AAGATT</t>
  </si>
  <si>
    <t>AAGCAA</t>
  </si>
  <si>
    <t>AAGCAC</t>
  </si>
  <si>
    <t>AAGCAG</t>
  </si>
  <si>
    <t>AAGCAT</t>
  </si>
  <si>
    <t>AAGCCA</t>
  </si>
  <si>
    <t>AAGCCC</t>
  </si>
  <si>
    <t>AAGCCG</t>
  </si>
  <si>
    <t>AAGCCT</t>
  </si>
  <si>
    <t>AAGCGA</t>
  </si>
  <si>
    <t>AAGCGC</t>
  </si>
  <si>
    <t>AAGCGG</t>
  </si>
  <si>
    <t>AAGCGT</t>
  </si>
  <si>
    <t>AAGCTA</t>
  </si>
  <si>
    <t>AAGCTC</t>
  </si>
  <si>
    <t>AAGCTG</t>
  </si>
  <si>
    <t>AAGCTT</t>
  </si>
  <si>
    <t>AAGGAA</t>
  </si>
  <si>
    <t>AAGGAC</t>
  </si>
  <si>
    <t>AAGGAG</t>
  </si>
  <si>
    <t>AAGGAT</t>
  </si>
  <si>
    <t>AAGGCA</t>
  </si>
  <si>
    <t>AAGGCC</t>
  </si>
  <si>
    <t>AAGGCG</t>
  </si>
  <si>
    <t>AAGGCT</t>
  </si>
  <si>
    <t>AAGGGA</t>
  </si>
  <si>
    <t>AAGGGC</t>
  </si>
  <si>
    <t>AAGGGG</t>
  </si>
  <si>
    <t>AAGGGT</t>
  </si>
  <si>
    <t>AAGGTA</t>
  </si>
  <si>
    <t>AAGGTC</t>
  </si>
  <si>
    <t>AAGGTG</t>
  </si>
  <si>
    <t>AAGGTT</t>
  </si>
  <si>
    <t>AAGTAA</t>
  </si>
  <si>
    <t>AAGTAC</t>
  </si>
  <si>
    <t>AAGTAG</t>
  </si>
  <si>
    <t>AAGTAT</t>
  </si>
  <si>
    <t>AAGTCA</t>
  </si>
  <si>
    <t>AAGTCC</t>
  </si>
  <si>
    <t>AAGTCG</t>
  </si>
  <si>
    <t>AAGTCT</t>
  </si>
  <si>
    <t>AAGTGA</t>
  </si>
  <si>
    <t>AAGTGC</t>
  </si>
  <si>
    <t>AAGTGG</t>
  </si>
  <si>
    <t>AAGTGT</t>
  </si>
  <si>
    <t>AAGTTA</t>
  </si>
  <si>
    <t>AAGTTC</t>
  </si>
  <si>
    <t>AAGTTG</t>
  </si>
  <si>
    <t>AAGTTT</t>
  </si>
  <si>
    <t>AATAAA</t>
  </si>
  <si>
    <t>AATAAC</t>
  </si>
  <si>
    <t>AATAAG</t>
  </si>
  <si>
    <t>AATAAT</t>
  </si>
  <si>
    <t>AATACA</t>
  </si>
  <si>
    <t>AATACC</t>
  </si>
  <si>
    <t>AATACG</t>
  </si>
  <si>
    <t>AATACT</t>
  </si>
  <si>
    <t>AATAGA</t>
  </si>
  <si>
    <t>AATAGC</t>
  </si>
  <si>
    <t>AATAGG</t>
  </si>
  <si>
    <t>AATAGT</t>
  </si>
  <si>
    <t>AATATA</t>
  </si>
  <si>
    <t>AATATC</t>
  </si>
  <si>
    <t>AATATG</t>
  </si>
  <si>
    <t>AATATT</t>
  </si>
  <si>
    <t>AATCAA</t>
  </si>
  <si>
    <t>AATCAC</t>
  </si>
  <si>
    <t>AATCAG</t>
  </si>
  <si>
    <t>AATCAT</t>
  </si>
  <si>
    <t>AATCCA</t>
  </si>
  <si>
    <t>AATCCC</t>
  </si>
  <si>
    <t>AATCCG</t>
  </si>
  <si>
    <t>AATCCT</t>
  </si>
  <si>
    <t>AATCGA</t>
  </si>
  <si>
    <t>AATCGC</t>
  </si>
  <si>
    <t>AATCGG</t>
  </si>
  <si>
    <t>AATCGT</t>
  </si>
  <si>
    <t>AATCTA</t>
  </si>
  <si>
    <t>AATCTC</t>
  </si>
  <si>
    <t>AATCTG</t>
  </si>
  <si>
    <t>AATCTT</t>
  </si>
  <si>
    <t>AATGAA</t>
  </si>
  <si>
    <t>AATGAC</t>
  </si>
  <si>
    <t>AATGAG</t>
  </si>
  <si>
    <t>AATGAT</t>
  </si>
  <si>
    <t>AATGCA</t>
  </si>
  <si>
    <t>AATGCC</t>
  </si>
  <si>
    <t>AATGCG</t>
  </si>
  <si>
    <t>AATGCT</t>
  </si>
  <si>
    <t>AATGGA</t>
  </si>
  <si>
    <t>AATGGC</t>
  </si>
  <si>
    <t>AATGGG</t>
  </si>
  <si>
    <t>AATGGT</t>
  </si>
  <si>
    <t>AATGTA</t>
  </si>
  <si>
    <t>AATGTC</t>
  </si>
  <si>
    <t>AATGTG</t>
  </si>
  <si>
    <t>AATGTT</t>
  </si>
  <si>
    <t>AATTAA</t>
  </si>
  <si>
    <t>AATTAC</t>
  </si>
  <si>
    <t>AATTAG</t>
  </si>
  <si>
    <t>AATTAT</t>
  </si>
  <si>
    <t>AATTCA</t>
  </si>
  <si>
    <t>AATTCC</t>
  </si>
  <si>
    <t>AATTCG</t>
  </si>
  <si>
    <t>AATTCT</t>
  </si>
  <si>
    <t>AATTGA</t>
  </si>
  <si>
    <t>AATTGC</t>
  </si>
  <si>
    <t>AATTGG</t>
  </si>
  <si>
    <t>AATTGT</t>
  </si>
  <si>
    <t>AATTTA</t>
  </si>
  <si>
    <t>AATTTC</t>
  </si>
  <si>
    <t>AATTTG</t>
  </si>
  <si>
    <t>AATTTT</t>
  </si>
  <si>
    <t>ACAAAA</t>
  </si>
  <si>
    <t>ACAAAC</t>
  </si>
  <si>
    <t>ACAAAG</t>
  </si>
  <si>
    <t>ACAAAT</t>
  </si>
  <si>
    <t>ACAACA</t>
  </si>
  <si>
    <t>ACAACC</t>
  </si>
  <si>
    <t>ACAACG</t>
  </si>
  <si>
    <t>ACAACT</t>
  </si>
  <si>
    <t>ACAAGA</t>
  </si>
  <si>
    <t>ACAAGC</t>
  </si>
  <si>
    <t>ACAAGG</t>
  </si>
  <si>
    <t>ACAAGT</t>
  </si>
  <si>
    <t>ACAATA</t>
  </si>
  <si>
    <t>ACAATC</t>
  </si>
  <si>
    <t>ACAATG</t>
  </si>
  <si>
    <t>ACAATT</t>
  </si>
  <si>
    <t>ACACAA</t>
  </si>
  <si>
    <t>ACACAC</t>
  </si>
  <si>
    <t>ACACAG</t>
  </si>
  <si>
    <t>ACACAT</t>
  </si>
  <si>
    <t>ACACCA</t>
  </si>
  <si>
    <t>ACACCC</t>
  </si>
  <si>
    <t>ACACCG</t>
  </si>
  <si>
    <t>ACACCT</t>
  </si>
  <si>
    <t>ACACGA</t>
  </si>
  <si>
    <t>ACACGC</t>
  </si>
  <si>
    <t>ACACGG</t>
  </si>
  <si>
    <t>ACACGT</t>
  </si>
  <si>
    <t>ACACTA</t>
  </si>
  <si>
    <t>ACACTC</t>
  </si>
  <si>
    <t>ACACTG</t>
  </si>
  <si>
    <t>ACACTT</t>
  </si>
  <si>
    <t>ACAGAA</t>
  </si>
  <si>
    <t>ACAGAC</t>
  </si>
  <si>
    <t>ACAGAG</t>
  </si>
  <si>
    <t>ACAGAT</t>
  </si>
  <si>
    <t>ACAGCA</t>
  </si>
  <si>
    <t>ACAGCC</t>
  </si>
  <si>
    <t>ACAGCG</t>
  </si>
  <si>
    <t>ACAGCT</t>
  </si>
  <si>
    <t>ACAGGA</t>
  </si>
  <si>
    <t>ACAGGC</t>
  </si>
  <si>
    <t>ACAGGG</t>
  </si>
  <si>
    <t>ACAGGT</t>
  </si>
  <si>
    <t>ACAGTA</t>
  </si>
  <si>
    <t>ACAGTC</t>
  </si>
  <si>
    <t>ACAGTG</t>
  </si>
  <si>
    <t>ACAGTT</t>
  </si>
  <si>
    <t>ACATAA</t>
  </si>
  <si>
    <t>ACATAC</t>
  </si>
  <si>
    <t>ACATAG</t>
  </si>
  <si>
    <t>ACATAT</t>
  </si>
  <si>
    <t>ACATCA</t>
  </si>
  <si>
    <t>ACATCC</t>
  </si>
  <si>
    <t>ACATCG</t>
  </si>
  <si>
    <t>ACATCT</t>
  </si>
  <si>
    <t>ACATGA</t>
  </si>
  <si>
    <t>ACATGC</t>
  </si>
  <si>
    <t>ACATGG</t>
  </si>
  <si>
    <t>ACATGT</t>
  </si>
  <si>
    <t>ACATTA</t>
  </si>
  <si>
    <t>ACATTC</t>
  </si>
  <si>
    <t>ACATTG</t>
  </si>
  <si>
    <t>ACATTT</t>
  </si>
  <si>
    <t>ACCAAA</t>
  </si>
  <si>
    <t>ACCAAC</t>
  </si>
  <si>
    <t>ACCAAG</t>
  </si>
  <si>
    <t>ACCAAT</t>
  </si>
  <si>
    <t>ACCACA</t>
  </si>
  <si>
    <t>ACCACC</t>
  </si>
  <si>
    <t>ACCACG</t>
  </si>
  <si>
    <t>ACCACT</t>
  </si>
  <si>
    <t>ACCAGA</t>
  </si>
  <si>
    <t>ACCAGC</t>
  </si>
  <si>
    <t>ACCAGG</t>
  </si>
  <si>
    <t>ACCAGT</t>
  </si>
  <si>
    <t>ACCATA</t>
  </si>
  <si>
    <t>ACCATC</t>
  </si>
  <si>
    <t>ACCATG</t>
  </si>
  <si>
    <t>ACCATT</t>
  </si>
  <si>
    <t>ACCCAA</t>
  </si>
  <si>
    <t>ACCCAC</t>
  </si>
  <si>
    <t>ACCCAG</t>
  </si>
  <si>
    <t>ACCCAT</t>
  </si>
  <si>
    <t>ACCCCA</t>
  </si>
  <si>
    <t>ACCCCC</t>
  </si>
  <si>
    <t>ACCCCG</t>
  </si>
  <si>
    <t>ACCCCT</t>
  </si>
  <si>
    <t>ACCCGA</t>
  </si>
  <si>
    <t>ACCCGC</t>
  </si>
  <si>
    <t>ACCCGG</t>
  </si>
  <si>
    <t>ACCCGT</t>
  </si>
  <si>
    <t>ACCCTA</t>
  </si>
  <si>
    <t>ACCCTC</t>
  </si>
  <si>
    <t>ACCCTG</t>
  </si>
  <si>
    <t>ACCCTT</t>
  </si>
  <si>
    <t>ACCGAA</t>
  </si>
  <si>
    <t>ACCGAC</t>
  </si>
  <si>
    <t>ACCGAG</t>
  </si>
  <si>
    <t>ACCGAT</t>
  </si>
  <si>
    <t>ACCGCA</t>
  </si>
  <si>
    <t>ACCGCC</t>
  </si>
  <si>
    <t>ACCGCG</t>
  </si>
  <si>
    <t>ACCGCT</t>
  </si>
  <si>
    <t>ACCGGA</t>
  </si>
  <si>
    <t>ACCGGC</t>
  </si>
  <si>
    <t>ACCGGG</t>
  </si>
  <si>
    <t>ACCGGT</t>
  </si>
  <si>
    <t>ACCGTA</t>
  </si>
  <si>
    <t>ACCGTC</t>
  </si>
  <si>
    <t>ACCGTG</t>
  </si>
  <si>
    <t>ACCGTT</t>
  </si>
  <si>
    <t>ACCTAA</t>
  </si>
  <si>
    <t>ACCTAC</t>
  </si>
  <si>
    <t>ACCTAG</t>
  </si>
  <si>
    <t>ACCTAT</t>
  </si>
  <si>
    <t>ACCTCA</t>
  </si>
  <si>
    <t>ACCTCC</t>
  </si>
  <si>
    <t>ACCTCG</t>
  </si>
  <si>
    <t>ACCTCT</t>
  </si>
  <si>
    <t>ACCTGA</t>
  </si>
  <si>
    <t>ACCTGC</t>
  </si>
  <si>
    <t>ACCTGG</t>
  </si>
  <si>
    <t>ACCTGT</t>
  </si>
  <si>
    <t>ACCTTA</t>
  </si>
  <si>
    <t>ACCTTC</t>
  </si>
  <si>
    <t>ACCTTG</t>
  </si>
  <si>
    <t>ACCTTT</t>
  </si>
  <si>
    <t>ACGAAA</t>
  </si>
  <si>
    <t>ACGAAC</t>
  </si>
  <si>
    <t>ACGAAG</t>
  </si>
  <si>
    <t>ACGAAT</t>
  </si>
  <si>
    <t>ACGACA</t>
  </si>
  <si>
    <t>ACGACC</t>
  </si>
  <si>
    <t>ACGACG</t>
  </si>
  <si>
    <t>ACGACT</t>
  </si>
  <si>
    <t>ACGAGA</t>
  </si>
  <si>
    <t>ACGAGC</t>
  </si>
  <si>
    <t>ACGAGG</t>
  </si>
  <si>
    <t>ACGAGT</t>
  </si>
  <si>
    <t>ACGATA</t>
  </si>
  <si>
    <t>ACGATC</t>
  </si>
  <si>
    <t>ACGATG</t>
  </si>
  <si>
    <t>ACGATT</t>
  </si>
  <si>
    <t>ACGCAA</t>
  </si>
  <si>
    <t>ACGCAC</t>
  </si>
  <si>
    <t>ACGCAG</t>
  </si>
  <si>
    <t>ACGCAT</t>
  </si>
  <si>
    <t>ACGCCA</t>
  </si>
  <si>
    <t>ACGCCC</t>
  </si>
  <si>
    <t>ACGCCG</t>
  </si>
  <si>
    <t>ACGCCT</t>
  </si>
  <si>
    <t>ACGCGA</t>
  </si>
  <si>
    <t>ACGCGC</t>
  </si>
  <si>
    <t>ACGCGG</t>
  </si>
  <si>
    <t>ACGCGT</t>
  </si>
  <si>
    <t>ACGCTA</t>
  </si>
  <si>
    <t>ACGCTC</t>
  </si>
  <si>
    <t>ACGCTG</t>
  </si>
  <si>
    <t>ACGCTT</t>
  </si>
  <si>
    <t>ACGGAA</t>
  </si>
  <si>
    <t>ACGGAC</t>
  </si>
  <si>
    <t>ACGGAG</t>
  </si>
  <si>
    <t>ACGGAT</t>
  </si>
  <si>
    <t>ACGGCA</t>
  </si>
  <si>
    <t>ACGGCC</t>
  </si>
  <si>
    <t>ACGGCG</t>
  </si>
  <si>
    <t>ACGGCT</t>
  </si>
  <si>
    <t>ACGGGA</t>
  </si>
  <si>
    <t>ACGGGC</t>
  </si>
  <si>
    <t>ACGGGG</t>
  </si>
  <si>
    <t>ACGGGT</t>
  </si>
  <si>
    <t>ACGGTA</t>
  </si>
  <si>
    <t>ACGGTC</t>
  </si>
  <si>
    <t>ACGGTG</t>
  </si>
  <si>
    <t>ACGGTT</t>
  </si>
  <si>
    <t>ACGTAA</t>
  </si>
  <si>
    <t>ACGTAC</t>
  </si>
  <si>
    <t>ACGTAG</t>
  </si>
  <si>
    <t>ACGTAT</t>
  </si>
  <si>
    <t>ACGTCA</t>
  </si>
  <si>
    <t>ACGTCC</t>
  </si>
  <si>
    <t>ACGTCG</t>
  </si>
  <si>
    <t>ACGTCT</t>
  </si>
  <si>
    <t>ACGTGA</t>
  </si>
  <si>
    <t>ACGTGC</t>
  </si>
  <si>
    <t>ACGTGG</t>
  </si>
  <si>
    <t>ACGTGT</t>
  </si>
  <si>
    <t>ACGTTA</t>
  </si>
  <si>
    <t>ACGTTC</t>
  </si>
  <si>
    <t>ACGTTG</t>
  </si>
  <si>
    <t>ACGTTT</t>
  </si>
  <si>
    <t>ACTAAA</t>
  </si>
  <si>
    <t>ACTAAC</t>
  </si>
  <si>
    <t>ACTAAG</t>
  </si>
  <si>
    <t>ACTAAT</t>
  </si>
  <si>
    <t>ACTACA</t>
  </si>
  <si>
    <t>ACTACC</t>
  </si>
  <si>
    <t>ACTACG</t>
  </si>
  <si>
    <t>ACTACT</t>
  </si>
  <si>
    <t>ACTAGA</t>
  </si>
  <si>
    <t>ACTAGC</t>
  </si>
  <si>
    <t>ACTAGG</t>
  </si>
  <si>
    <t>ACTAGT</t>
  </si>
  <si>
    <t>ACTATA</t>
  </si>
  <si>
    <t>ACTATC</t>
  </si>
  <si>
    <t>ACTATG</t>
  </si>
  <si>
    <t>ACTATT</t>
  </si>
  <si>
    <t>ACTCAA</t>
  </si>
  <si>
    <t>ACTCAC</t>
  </si>
  <si>
    <t>ACTCAG</t>
  </si>
  <si>
    <t>ACTCAT</t>
  </si>
  <si>
    <t>ACTCCA</t>
  </si>
  <si>
    <t>ACTCCC</t>
  </si>
  <si>
    <t>ACTCCG</t>
  </si>
  <si>
    <t>ACTCCT</t>
  </si>
  <si>
    <t>ACTCGA</t>
  </si>
  <si>
    <t>ACTCGC</t>
  </si>
  <si>
    <t>ACTCGG</t>
  </si>
  <si>
    <t>ACTCGT</t>
  </si>
  <si>
    <t>ACTCTA</t>
  </si>
  <si>
    <t>ACTCTC</t>
  </si>
  <si>
    <t>ACTCTG</t>
  </si>
  <si>
    <t>ACTCTT</t>
  </si>
  <si>
    <t>ACTGAA</t>
  </si>
  <si>
    <t>ACTGAC</t>
  </si>
  <si>
    <t>ACTGAG</t>
  </si>
  <si>
    <t>ACTGAT</t>
  </si>
  <si>
    <t>ACTGCA</t>
  </si>
  <si>
    <t>ACTGCC</t>
  </si>
  <si>
    <t>ACTGCG</t>
  </si>
  <si>
    <t>ACTGCT</t>
  </si>
  <si>
    <t>ACTGGA</t>
  </si>
  <si>
    <t>ACTGGC</t>
  </si>
  <si>
    <t>ACTGGG</t>
  </si>
  <si>
    <t>ACTGGT</t>
  </si>
  <si>
    <t>ACTGTA</t>
  </si>
  <si>
    <t>ACTGTC</t>
  </si>
  <si>
    <t>ACTGTG</t>
  </si>
  <si>
    <t>ACTGTT</t>
  </si>
  <si>
    <t>ACTTAA</t>
  </si>
  <si>
    <t>ACTTAC</t>
  </si>
  <si>
    <t>ACTTAG</t>
  </si>
  <si>
    <t>ACTTAT</t>
  </si>
  <si>
    <t>ACTTCA</t>
  </si>
  <si>
    <t>ACTTCC</t>
  </si>
  <si>
    <t>ACTTCG</t>
  </si>
  <si>
    <t>ACTTCT</t>
  </si>
  <si>
    <t>ACTTGA</t>
  </si>
  <si>
    <t>ACTTGC</t>
  </si>
  <si>
    <t>ACTTGG</t>
  </si>
  <si>
    <t>ACTTGT</t>
  </si>
  <si>
    <t>ACTTTA</t>
  </si>
  <si>
    <t>ACTTTC</t>
  </si>
  <si>
    <t>ACTTTG</t>
  </si>
  <si>
    <t>ACTTTT</t>
  </si>
  <si>
    <t>AGAAAA</t>
  </si>
  <si>
    <t>AGAAAC</t>
  </si>
  <si>
    <t>AGAAAG</t>
  </si>
  <si>
    <t>AGAAAT</t>
  </si>
  <si>
    <t>AGAACA</t>
  </si>
  <si>
    <t>AGAACC</t>
  </si>
  <si>
    <t>AGAACG</t>
  </si>
  <si>
    <t>AGAACT</t>
  </si>
  <si>
    <t>AGAAGA</t>
  </si>
  <si>
    <t>AGAAGC</t>
  </si>
  <si>
    <t>AGAAGG</t>
  </si>
  <si>
    <t>AGAAGT</t>
  </si>
  <si>
    <t>AGAATA</t>
  </si>
  <si>
    <t>AGAATC</t>
  </si>
  <si>
    <t>AGAATG</t>
  </si>
  <si>
    <t>AGAATT</t>
  </si>
  <si>
    <t>AGACAA</t>
  </si>
  <si>
    <t>AGACAC</t>
  </si>
  <si>
    <t>AGACAG</t>
  </si>
  <si>
    <t>AGACAT</t>
  </si>
  <si>
    <t>AGACCA</t>
  </si>
  <si>
    <t>AGACCC</t>
  </si>
  <si>
    <t>AGACCG</t>
  </si>
  <si>
    <t>AGACCT</t>
  </si>
  <si>
    <t>AGACGA</t>
  </si>
  <si>
    <t>AGACGC</t>
  </si>
  <si>
    <t>AGACGG</t>
  </si>
  <si>
    <t>AGACGT</t>
  </si>
  <si>
    <t>AGACTA</t>
  </si>
  <si>
    <t>AGACTC</t>
  </si>
  <si>
    <t>AGACTG</t>
  </si>
  <si>
    <t>AGACTT</t>
  </si>
  <si>
    <t>AGAGAA</t>
  </si>
  <si>
    <t>AGAGAC</t>
  </si>
  <si>
    <t>AGAGAG</t>
  </si>
  <si>
    <t>AGAGAT</t>
  </si>
  <si>
    <t>AGAGCA</t>
  </si>
  <si>
    <t>AGAGCC</t>
  </si>
  <si>
    <t>AGAGCG</t>
  </si>
  <si>
    <t>AGAGCT</t>
  </si>
  <si>
    <t>AGAGGA</t>
  </si>
  <si>
    <t>AGAGGC</t>
  </si>
  <si>
    <t>AGAGGG</t>
  </si>
  <si>
    <t>AGAGGT</t>
  </si>
  <si>
    <t>AGAGTA</t>
  </si>
  <si>
    <t>AGAGTC</t>
  </si>
  <si>
    <t>AGAGTG</t>
  </si>
  <si>
    <t>AGAGTT</t>
  </si>
  <si>
    <t>AGATAA</t>
  </si>
  <si>
    <t>AGATAC</t>
  </si>
  <si>
    <t>AGATAG</t>
  </si>
  <si>
    <t>AGATAT</t>
  </si>
  <si>
    <t>AGATCA</t>
  </si>
  <si>
    <t>AGATCC</t>
  </si>
  <si>
    <t>AGATCG</t>
  </si>
  <si>
    <t>AGATCT</t>
  </si>
  <si>
    <t>AGATGA</t>
  </si>
  <si>
    <t>AGATGC</t>
  </si>
  <si>
    <t>AGATGG</t>
  </si>
  <si>
    <t>AGATGT</t>
  </si>
  <si>
    <t>AGATTA</t>
  </si>
  <si>
    <t>AGATTC</t>
  </si>
  <si>
    <t>AGATTG</t>
  </si>
  <si>
    <t>AGATTT</t>
  </si>
  <si>
    <t>AGCAAA</t>
  </si>
  <si>
    <t>AGCAAC</t>
  </si>
  <si>
    <t>AGCAAG</t>
  </si>
  <si>
    <t>AGCAAT</t>
  </si>
  <si>
    <t>AGCACA</t>
  </si>
  <si>
    <t>AGCACC</t>
  </si>
  <si>
    <t>AGCACG</t>
  </si>
  <si>
    <t>AGCACT</t>
  </si>
  <si>
    <t>AGCAGA</t>
  </si>
  <si>
    <t>AGCAGC</t>
  </si>
  <si>
    <t>AGCAGG</t>
  </si>
  <si>
    <t>AGCAGT</t>
  </si>
  <si>
    <t>AGCATA</t>
  </si>
  <si>
    <t>AGCATC</t>
  </si>
  <si>
    <t>AGCATG</t>
  </si>
  <si>
    <t>AGCATT</t>
  </si>
  <si>
    <t>AGCCAA</t>
  </si>
  <si>
    <t>AGCCAC</t>
  </si>
  <si>
    <t>AGCCAG</t>
  </si>
  <si>
    <t>AGCCAT</t>
  </si>
  <si>
    <t>AGCCCA</t>
  </si>
  <si>
    <t>AGCCCC</t>
  </si>
  <si>
    <t>AGCCCG</t>
  </si>
  <si>
    <t>AGCCCT</t>
  </si>
  <si>
    <t>AGCCGA</t>
  </si>
  <si>
    <t>AGCCGC</t>
  </si>
  <si>
    <t>AGCCGG</t>
  </si>
  <si>
    <t>AGCCGT</t>
  </si>
  <si>
    <t>AGCCTA</t>
  </si>
  <si>
    <t>AGCCTC</t>
  </si>
  <si>
    <t>AGCCTG</t>
  </si>
  <si>
    <t>AGCCTT</t>
  </si>
  <si>
    <t>AGCGAA</t>
  </si>
  <si>
    <t>AGCGAC</t>
  </si>
  <si>
    <t>AGCGAG</t>
  </si>
  <si>
    <t>AGCGAT</t>
  </si>
  <si>
    <t>AGCGCA</t>
  </si>
  <si>
    <t>AGCGCC</t>
  </si>
  <si>
    <t>AGCGCG</t>
  </si>
  <si>
    <t>AGCGCT</t>
  </si>
  <si>
    <t>AGCGGA</t>
  </si>
  <si>
    <t>AGCGGC</t>
  </si>
  <si>
    <t>AGCGGG</t>
  </si>
  <si>
    <t>AGCGGT</t>
  </si>
  <si>
    <t>AGCGTA</t>
  </si>
  <si>
    <t>AGCGTC</t>
  </si>
  <si>
    <t>AGCGTG</t>
  </si>
  <si>
    <t>AGCGTT</t>
  </si>
  <si>
    <t>AGCTAA</t>
  </si>
  <si>
    <t>AGCTAC</t>
  </si>
  <si>
    <t>AGCTAG</t>
  </si>
  <si>
    <t>AGCTAT</t>
  </si>
  <si>
    <t>AGCTCA</t>
  </si>
  <si>
    <t>AGCTCC</t>
  </si>
  <si>
    <t>AGCTCG</t>
  </si>
  <si>
    <t>AGCTCT</t>
  </si>
  <si>
    <t>AGCTGA</t>
  </si>
  <si>
    <t>AGCTGC</t>
  </si>
  <si>
    <t>AGCTGG</t>
  </si>
  <si>
    <t>AGCTGT</t>
  </si>
  <si>
    <t>AGCTTA</t>
  </si>
  <si>
    <t>AGCTTC</t>
  </si>
  <si>
    <t>AGCTTG</t>
  </si>
  <si>
    <t>AGCTTT</t>
  </si>
  <si>
    <t>AGGAAA</t>
  </si>
  <si>
    <t>AGGAAC</t>
  </si>
  <si>
    <t>AGGAAG</t>
  </si>
  <si>
    <t>AGGAAT</t>
  </si>
  <si>
    <t>AGGACA</t>
  </si>
  <si>
    <t>AGGACC</t>
  </si>
  <si>
    <t>AGGACG</t>
  </si>
  <si>
    <t>AGGACT</t>
  </si>
  <si>
    <t>AGGAGA</t>
  </si>
  <si>
    <t>AGGAGC</t>
  </si>
  <si>
    <t>AGGAGG</t>
  </si>
  <si>
    <t>AGGAGT</t>
  </si>
  <si>
    <t>AGGATA</t>
  </si>
  <si>
    <t>AGGATC</t>
  </si>
  <si>
    <t>AGGATG</t>
  </si>
  <si>
    <t>AGGATT</t>
  </si>
  <si>
    <t>AGGCAA</t>
  </si>
  <si>
    <t>AGGCAC</t>
  </si>
  <si>
    <t>AGGCAG</t>
  </si>
  <si>
    <t>AGGCAT</t>
  </si>
  <si>
    <t>AGGCCA</t>
  </si>
  <si>
    <t>AGGCCC</t>
  </si>
  <si>
    <t>AGGCCG</t>
  </si>
  <si>
    <t>AGGCCT</t>
  </si>
  <si>
    <t>AGGCGA</t>
  </si>
  <si>
    <t>AGGCGC</t>
  </si>
  <si>
    <t>AGGCGG</t>
  </si>
  <si>
    <t>AGGCGT</t>
  </si>
  <si>
    <t>AGGCTA</t>
  </si>
  <si>
    <t>AGGCTC</t>
  </si>
  <si>
    <t>AGGCTG</t>
  </si>
  <si>
    <t>AGGCTT</t>
  </si>
  <si>
    <t>AGGGAA</t>
  </si>
  <si>
    <t>AGGGAC</t>
  </si>
  <si>
    <t>AGGGAG</t>
  </si>
  <si>
    <t>AGGGAT</t>
  </si>
  <si>
    <t>AGGGCA</t>
  </si>
  <si>
    <t>AGGGCC</t>
  </si>
  <si>
    <t>AGGGCG</t>
  </si>
  <si>
    <t>AGGGCT</t>
  </si>
  <si>
    <t>AGGGGA</t>
  </si>
  <si>
    <t>AGGGGC</t>
  </si>
  <si>
    <t>AGGGGG</t>
  </si>
  <si>
    <t>AGGGGT</t>
  </si>
  <si>
    <t>AGGGTA</t>
  </si>
  <si>
    <t>AGGGTC</t>
  </si>
  <si>
    <t>AGGGTG</t>
  </si>
  <si>
    <t>AGGGTT</t>
  </si>
  <si>
    <t>AGGTAA</t>
  </si>
  <si>
    <t>AGGTAC</t>
  </si>
  <si>
    <t>AGGTAG</t>
  </si>
  <si>
    <t>AGGTAT</t>
  </si>
  <si>
    <t>AGGTCA</t>
  </si>
  <si>
    <t>AGGTCC</t>
  </si>
  <si>
    <t>AGGTCG</t>
  </si>
  <si>
    <t>AGGTCT</t>
  </si>
  <si>
    <t>AGGTGA</t>
  </si>
  <si>
    <t>AGGTGC</t>
  </si>
  <si>
    <t>AGGTGG</t>
  </si>
  <si>
    <t>AGGTGT</t>
  </si>
  <si>
    <t>AGGTTA</t>
  </si>
  <si>
    <t>AGGTTC</t>
  </si>
  <si>
    <t>AGGTTG</t>
  </si>
  <si>
    <t>AGGTTT</t>
  </si>
  <si>
    <t>AGTAAA</t>
  </si>
  <si>
    <t>AGTAAC</t>
  </si>
  <si>
    <t>AGTAAG</t>
  </si>
  <si>
    <t>AGTAAT</t>
  </si>
  <si>
    <t>AGTACA</t>
  </si>
  <si>
    <t>AGTACC</t>
  </si>
  <si>
    <t>AGTACG</t>
  </si>
  <si>
    <t>AGTACT</t>
  </si>
  <si>
    <t>AGTAGA</t>
  </si>
  <si>
    <t>AGTAGC</t>
  </si>
  <si>
    <t>AGTAGG</t>
  </si>
  <si>
    <t>AGTAGT</t>
  </si>
  <si>
    <t>AGTATA</t>
  </si>
  <si>
    <t>AGTATC</t>
  </si>
  <si>
    <t>AGTATG</t>
  </si>
  <si>
    <t>AGTATT</t>
  </si>
  <si>
    <t>AGTCAA</t>
  </si>
  <si>
    <t>AGTCAC</t>
  </si>
  <si>
    <t>AGTCAG</t>
  </si>
  <si>
    <t>AGTCAT</t>
  </si>
  <si>
    <t>AGTCCA</t>
  </si>
  <si>
    <t>AGTCCC</t>
  </si>
  <si>
    <t>AGTCCG</t>
  </si>
  <si>
    <t>AGTCCT</t>
  </si>
  <si>
    <t>AGTCGA</t>
  </si>
  <si>
    <t>AGTCGC</t>
  </si>
  <si>
    <t>AGTCGG</t>
  </si>
  <si>
    <t>AGTCGT</t>
  </si>
  <si>
    <t>AGTCTA</t>
  </si>
  <si>
    <t>AGTCTC</t>
  </si>
  <si>
    <t>AGTCTG</t>
  </si>
  <si>
    <t>AGTCTT</t>
  </si>
  <si>
    <t>AGTGAA</t>
  </si>
  <si>
    <t>AGTGAC</t>
  </si>
  <si>
    <t>AGTGAG</t>
  </si>
  <si>
    <t>AGTGAT</t>
  </si>
  <si>
    <t>AGTGCA</t>
  </si>
  <si>
    <t>AGTGCC</t>
  </si>
  <si>
    <t>AGTGCG</t>
  </si>
  <si>
    <t>AGTGCT</t>
  </si>
  <si>
    <t>AGTGGA</t>
  </si>
  <si>
    <t>AGTGGC</t>
  </si>
  <si>
    <t>AGTGGG</t>
  </si>
  <si>
    <t>AGTGGT</t>
  </si>
  <si>
    <t>AGTGTA</t>
  </si>
  <si>
    <t>AGTGTC</t>
  </si>
  <si>
    <t>AGTGTG</t>
  </si>
  <si>
    <t>AGTGTT</t>
  </si>
  <si>
    <t>AGTTAA</t>
  </si>
  <si>
    <t>AGTTAC</t>
  </si>
  <si>
    <t>AGTTAG</t>
  </si>
  <si>
    <t>AGTTAT</t>
  </si>
  <si>
    <t>AGTTCA</t>
  </si>
  <si>
    <t>AGTTCC</t>
  </si>
  <si>
    <t>AGTTCG</t>
  </si>
  <si>
    <t>AGTTCT</t>
  </si>
  <si>
    <t>AGTTGA</t>
  </si>
  <si>
    <t>AGTTGC</t>
  </si>
  <si>
    <t>AGTTGG</t>
  </si>
  <si>
    <t>AGTTGT</t>
  </si>
  <si>
    <t>AGTTTA</t>
  </si>
  <si>
    <t>AGTTTC</t>
  </si>
  <si>
    <t>AGTTTG</t>
  </si>
  <si>
    <t>AGTTTT</t>
  </si>
  <si>
    <t>ATAAAA</t>
  </si>
  <si>
    <t>ATAAAC</t>
  </si>
  <si>
    <t>ATAAAG</t>
  </si>
  <si>
    <t>ATAAAT</t>
  </si>
  <si>
    <t>ATAACA</t>
  </si>
  <si>
    <t>ATAACC</t>
  </si>
  <si>
    <t>ATAACG</t>
  </si>
  <si>
    <t>ATAACT</t>
  </si>
  <si>
    <t>ATAAGA</t>
  </si>
  <si>
    <t>ATAAGC</t>
  </si>
  <si>
    <t>ATAAGG</t>
  </si>
  <si>
    <t>ATAAGT</t>
  </si>
  <si>
    <t>ATAATA</t>
  </si>
  <si>
    <t>ATAATC</t>
  </si>
  <si>
    <t>ATAATG</t>
  </si>
  <si>
    <t>ATAATT</t>
  </si>
  <si>
    <t>ATACAA</t>
  </si>
  <si>
    <t>ATACAC</t>
  </si>
  <si>
    <t>ATACAG</t>
  </si>
  <si>
    <t>ATACAT</t>
  </si>
  <si>
    <t>ATACCA</t>
  </si>
  <si>
    <t>ATACCC</t>
  </si>
  <si>
    <t>ATACCG</t>
  </si>
  <si>
    <t>ATACCT</t>
  </si>
  <si>
    <t>ATACGA</t>
  </si>
  <si>
    <t>ATACGC</t>
  </si>
  <si>
    <t>ATACGG</t>
  </si>
  <si>
    <t>ATACGT</t>
  </si>
  <si>
    <t>ATACTA</t>
  </si>
  <si>
    <t>ATACTC</t>
  </si>
  <si>
    <t>ATACTG</t>
  </si>
  <si>
    <t>ATACTT</t>
  </si>
  <si>
    <t>ATAGAA</t>
  </si>
  <si>
    <t>ATAGAC</t>
  </si>
  <si>
    <t>ATAGAG</t>
  </si>
  <si>
    <t>ATAGAT</t>
  </si>
  <si>
    <t>ATAGCA</t>
  </si>
  <si>
    <t>ATAGCC</t>
  </si>
  <si>
    <t>ATAGCG</t>
  </si>
  <si>
    <t>ATAGCT</t>
  </si>
  <si>
    <t>ATAGGA</t>
  </si>
  <si>
    <t>ATAGGC</t>
  </si>
  <si>
    <t>ATAGGG</t>
  </si>
  <si>
    <t>ATAGGT</t>
  </si>
  <si>
    <t>ATAGTA</t>
  </si>
  <si>
    <t>ATAGTC</t>
  </si>
  <si>
    <t>ATAGTG</t>
  </si>
  <si>
    <t>ATAGTT</t>
  </si>
  <si>
    <t>ATATAA</t>
  </si>
  <si>
    <t>ATATAC</t>
  </si>
  <si>
    <t>ATATAG</t>
  </si>
  <si>
    <t>ATATAT</t>
  </si>
  <si>
    <t>ATATCA</t>
  </si>
  <si>
    <t>ATATCC</t>
  </si>
  <si>
    <t>ATATCG</t>
  </si>
  <si>
    <t>ATATCT</t>
  </si>
  <si>
    <t>ATATGA</t>
  </si>
  <si>
    <t>ATATGC</t>
  </si>
  <si>
    <t>ATATGG</t>
  </si>
  <si>
    <t>ATATGT</t>
  </si>
  <si>
    <t>ATATTA</t>
  </si>
  <si>
    <t>ATATTC</t>
  </si>
  <si>
    <t>ATATTG</t>
  </si>
  <si>
    <t>ATATTT</t>
  </si>
  <si>
    <t>ATCAAA</t>
  </si>
  <si>
    <t>ATCAAC</t>
  </si>
  <si>
    <t>ATCAAG</t>
  </si>
  <si>
    <t>ATCAAT</t>
  </si>
  <si>
    <t>ATCACA</t>
  </si>
  <si>
    <t>ATCACC</t>
  </si>
  <si>
    <t>ATCACG</t>
  </si>
  <si>
    <t>ATCACT</t>
  </si>
  <si>
    <t>ATCAGA</t>
  </si>
  <si>
    <t>ATCAGC</t>
  </si>
  <si>
    <t>ATCAGG</t>
  </si>
  <si>
    <t>ATCAGT</t>
  </si>
  <si>
    <t>ATCATA</t>
  </si>
  <si>
    <t>ATCATC</t>
  </si>
  <si>
    <t>ATCATG</t>
  </si>
  <si>
    <t>ATCATT</t>
  </si>
  <si>
    <t>ATCCAA</t>
  </si>
  <si>
    <t>ATCCAC</t>
  </si>
  <si>
    <t>ATCCAG</t>
  </si>
  <si>
    <t>ATCCAT</t>
  </si>
  <si>
    <t>ATCCCA</t>
  </si>
  <si>
    <t>ATCCCC</t>
  </si>
  <si>
    <t>ATCCCG</t>
  </si>
  <si>
    <t>ATCCCT</t>
  </si>
  <si>
    <t>ATCCGA</t>
  </si>
  <si>
    <t>ATCCGC</t>
  </si>
  <si>
    <t>ATCCGG</t>
  </si>
  <si>
    <t>ATCCGT</t>
  </si>
  <si>
    <t>ATCCTA</t>
  </si>
  <si>
    <t>ATCCTC</t>
  </si>
  <si>
    <t>ATCCTG</t>
  </si>
  <si>
    <t>ATCCTT</t>
  </si>
  <si>
    <t>ATCGAA</t>
  </si>
  <si>
    <t>ATCGAC</t>
  </si>
  <si>
    <t>ATCGAG</t>
  </si>
  <si>
    <t>ATCGAT</t>
  </si>
  <si>
    <t>ATCGCA</t>
  </si>
  <si>
    <t>ATCGCC</t>
  </si>
  <si>
    <t>ATCGCG</t>
  </si>
  <si>
    <t>ATCGCT</t>
  </si>
  <si>
    <t>ATCGGA</t>
  </si>
  <si>
    <t>ATCGGC</t>
  </si>
  <si>
    <t>ATCGGG</t>
  </si>
  <si>
    <t>ATCGGT</t>
  </si>
  <si>
    <t>ATCGTA</t>
  </si>
  <si>
    <t>ATCGTC</t>
  </si>
  <si>
    <t>ATCGTG</t>
  </si>
  <si>
    <t>ATCGTT</t>
  </si>
  <si>
    <t>ATCTAA</t>
  </si>
  <si>
    <t>ATCTAC</t>
  </si>
  <si>
    <t>ATCTAG</t>
  </si>
  <si>
    <t>ATCTAT</t>
  </si>
  <si>
    <t>ATCTCA</t>
  </si>
  <si>
    <t>ATCTCC</t>
  </si>
  <si>
    <t>ATCTCG</t>
  </si>
  <si>
    <t>ATCTCT</t>
  </si>
  <si>
    <t>ATCTGA</t>
  </si>
  <si>
    <t>ATCTGC</t>
  </si>
  <si>
    <t>ATCTGG</t>
  </si>
  <si>
    <t>ATCTGT</t>
  </si>
  <si>
    <t>ATCTTA</t>
  </si>
  <si>
    <t>ATCTTC</t>
  </si>
  <si>
    <t>ATCTTG</t>
  </si>
  <si>
    <t>ATCTTT</t>
  </si>
  <si>
    <t>ATGAAA</t>
  </si>
  <si>
    <t>ATGAAC</t>
  </si>
  <si>
    <t>ATGAAG</t>
  </si>
  <si>
    <t>ATGAAT</t>
  </si>
  <si>
    <t>ATGACA</t>
  </si>
  <si>
    <t>ATGACC</t>
  </si>
  <si>
    <t>ATGACG</t>
  </si>
  <si>
    <t>ATGACT</t>
  </si>
  <si>
    <t>ATGAGA</t>
  </si>
  <si>
    <t>ATGAGC</t>
  </si>
  <si>
    <t>ATGAGG</t>
  </si>
  <si>
    <t>ATGAGT</t>
  </si>
  <si>
    <t>ATGATA</t>
  </si>
  <si>
    <t>ATGATC</t>
  </si>
  <si>
    <t>ATGATG</t>
  </si>
  <si>
    <t>ATGATT</t>
  </si>
  <si>
    <t>ATGCAA</t>
  </si>
  <si>
    <t>ATGCAC</t>
  </si>
  <si>
    <t>ATGCAG</t>
  </si>
  <si>
    <t>ATGCAT</t>
  </si>
  <si>
    <t>ATGCCA</t>
  </si>
  <si>
    <t>ATGCCC</t>
  </si>
  <si>
    <t>ATGCCG</t>
  </si>
  <si>
    <t>ATGCCT</t>
  </si>
  <si>
    <t>ATGCGA</t>
  </si>
  <si>
    <t>ATGCGC</t>
  </si>
  <si>
    <t>ATGCGG</t>
  </si>
  <si>
    <t>ATGCGT</t>
  </si>
  <si>
    <t>ATGCTA</t>
  </si>
  <si>
    <t>ATGCTC</t>
  </si>
  <si>
    <t>ATGCTG</t>
  </si>
  <si>
    <t>ATGCTT</t>
  </si>
  <si>
    <t>ATGGAA</t>
  </si>
  <si>
    <t>ATGGAC</t>
  </si>
  <si>
    <t>ATGGAG</t>
  </si>
  <si>
    <t>ATGGAT</t>
  </si>
  <si>
    <t>ATGGCA</t>
  </si>
  <si>
    <t>ATGGCC</t>
  </si>
  <si>
    <t>ATGGCG</t>
  </si>
  <si>
    <t>ATGGCT</t>
  </si>
  <si>
    <t>ATGGGA</t>
  </si>
  <si>
    <t>ATGGGC</t>
  </si>
  <si>
    <t>ATGGGG</t>
  </si>
  <si>
    <t>ATGGGT</t>
  </si>
  <si>
    <t>ATGGTA</t>
  </si>
  <si>
    <t>ATGGTC</t>
  </si>
  <si>
    <t>ATGGTG</t>
  </si>
  <si>
    <t>ATGGTT</t>
  </si>
  <si>
    <t>ATGTAA</t>
  </si>
  <si>
    <t>ATGTAC</t>
  </si>
  <si>
    <t>ATGTAG</t>
  </si>
  <si>
    <t>ATGTAT</t>
  </si>
  <si>
    <t>ATGTCA</t>
  </si>
  <si>
    <t>ATGTCC</t>
  </si>
  <si>
    <t>ATGTCG</t>
  </si>
  <si>
    <t>ATGTCT</t>
  </si>
  <si>
    <t>ATGTGA</t>
  </si>
  <si>
    <t>ATGTGC</t>
  </si>
  <si>
    <t>ATGTGG</t>
  </si>
  <si>
    <t>ATGTGT</t>
  </si>
  <si>
    <t>ATGTTA</t>
  </si>
  <si>
    <t>ATGTTC</t>
  </si>
  <si>
    <t>ATGTTG</t>
  </si>
  <si>
    <t>ATGTTT</t>
  </si>
  <si>
    <t>ATTAAA</t>
  </si>
  <si>
    <t>ATTAAC</t>
  </si>
  <si>
    <t>ATTAAG</t>
  </si>
  <si>
    <t>ATTAAT</t>
  </si>
  <si>
    <t>ATTACA</t>
  </si>
  <si>
    <t>ATTACC</t>
  </si>
  <si>
    <t>ATTACG</t>
  </si>
  <si>
    <t>ATTACT</t>
  </si>
  <si>
    <t>ATTAGA</t>
  </si>
  <si>
    <t>ATTAGC</t>
  </si>
  <si>
    <t>ATTAGG</t>
  </si>
  <si>
    <t>ATTAGT</t>
  </si>
  <si>
    <t>ATTATA</t>
  </si>
  <si>
    <t>ATTATC</t>
  </si>
  <si>
    <t>ATTATG</t>
  </si>
  <si>
    <t>ATTATT</t>
  </si>
  <si>
    <t>ATTCAA</t>
  </si>
  <si>
    <t>ATTCAC</t>
  </si>
  <si>
    <t>ATTCAG</t>
  </si>
  <si>
    <t>ATTCAT</t>
  </si>
  <si>
    <t>ATTCCA</t>
  </si>
  <si>
    <t>ATTCCC</t>
  </si>
  <si>
    <t>ATTCCG</t>
  </si>
  <si>
    <t>ATTCCT</t>
  </si>
  <si>
    <t>ATTCGA</t>
  </si>
  <si>
    <t>ATTCGC</t>
  </si>
  <si>
    <t>ATTCGG</t>
  </si>
  <si>
    <t>ATTCGT</t>
  </si>
  <si>
    <t>ATTCTA</t>
  </si>
  <si>
    <t>ATTCTC</t>
  </si>
  <si>
    <t>ATTCTG</t>
  </si>
  <si>
    <t>ATTCTT</t>
  </si>
  <si>
    <t>ATTGAA</t>
  </si>
  <si>
    <t>ATTGAC</t>
  </si>
  <si>
    <t>ATTGAG</t>
  </si>
  <si>
    <t>ATTGAT</t>
  </si>
  <si>
    <t>ATTGCA</t>
  </si>
  <si>
    <t>ATTGCC</t>
  </si>
  <si>
    <t>ATTGCG</t>
  </si>
  <si>
    <t>ATTGCT</t>
  </si>
  <si>
    <t>ATTGGA</t>
  </si>
  <si>
    <t>ATTGGC</t>
  </si>
  <si>
    <t>ATTGGG</t>
  </si>
  <si>
    <t>ATTGGT</t>
  </si>
  <si>
    <t>ATTGTA</t>
  </si>
  <si>
    <t>ATTGTC</t>
  </si>
  <si>
    <t>ATTGTG</t>
  </si>
  <si>
    <t>ATTGTT</t>
  </si>
  <si>
    <t>ATTTAA</t>
  </si>
  <si>
    <t>ATTTAC</t>
  </si>
  <si>
    <t>ATTTAG</t>
  </si>
  <si>
    <t>ATTTAT</t>
  </si>
  <si>
    <t>ATTTCA</t>
  </si>
  <si>
    <t>ATTTCC</t>
  </si>
  <si>
    <t>ATTTCG</t>
  </si>
  <si>
    <t>ATTTCT</t>
  </si>
  <si>
    <t>ATTTGA</t>
  </si>
  <si>
    <t>ATTTGC</t>
  </si>
  <si>
    <t>ATTTGG</t>
  </si>
  <si>
    <t>ATTTGT</t>
  </si>
  <si>
    <t>ATTTTA</t>
  </si>
  <si>
    <t>ATTTTC</t>
  </si>
  <si>
    <t>ATTTTG</t>
  </si>
  <si>
    <t>ATTTTT</t>
  </si>
  <si>
    <t>CAAAAA</t>
  </si>
  <si>
    <t>CAAAAC</t>
  </si>
  <si>
    <t>CAAAAG</t>
  </si>
  <si>
    <t>CAAAAT</t>
  </si>
  <si>
    <t>CAAACA</t>
  </si>
  <si>
    <t>CAAACC</t>
  </si>
  <si>
    <t>CAAACG</t>
  </si>
  <si>
    <t>CAAACT</t>
  </si>
  <si>
    <t>CAAAGA</t>
  </si>
  <si>
    <t>CAAAGC</t>
  </si>
  <si>
    <t>CAAAGG</t>
  </si>
  <si>
    <t>CAAAGT</t>
  </si>
  <si>
    <t>CAAATA</t>
  </si>
  <si>
    <t>CAAATC</t>
  </si>
  <si>
    <t>CAAATG</t>
  </si>
  <si>
    <t>CAAATT</t>
  </si>
  <si>
    <t>CAACAA</t>
  </si>
  <si>
    <t>CAACAC</t>
  </si>
  <si>
    <t>CAACAG</t>
  </si>
  <si>
    <t>CAACAT</t>
  </si>
  <si>
    <t>CAACCA</t>
  </si>
  <si>
    <t>CAACCC</t>
  </si>
  <si>
    <t>CAACCG</t>
  </si>
  <si>
    <t>CAACCT</t>
  </si>
  <si>
    <t>CAACGA</t>
  </si>
  <si>
    <t>CAACGC</t>
  </si>
  <si>
    <t>CAACGG</t>
  </si>
  <si>
    <t>CAACGT</t>
  </si>
  <si>
    <t>CAACTA</t>
  </si>
  <si>
    <t>CAACTC</t>
  </si>
  <si>
    <t>CAACTG</t>
  </si>
  <si>
    <t>CAACTT</t>
  </si>
  <si>
    <t>CAAGAA</t>
  </si>
  <si>
    <t>CAAGAC</t>
  </si>
  <si>
    <t>CAAGAG</t>
  </si>
  <si>
    <t>CAAGAT</t>
  </si>
  <si>
    <t>CAAGCA</t>
  </si>
  <si>
    <t>CAAGCC</t>
  </si>
  <si>
    <t>CAAGCG</t>
  </si>
  <si>
    <t>CAAGCT</t>
  </si>
  <si>
    <t>CAAGGA</t>
  </si>
  <si>
    <t>CAAGGC</t>
  </si>
  <si>
    <t>CAAGGG</t>
  </si>
  <si>
    <t>CAAGGT</t>
  </si>
  <si>
    <t>CAAGTA</t>
  </si>
  <si>
    <t>CAAGTC</t>
  </si>
  <si>
    <t>CAAGTG</t>
  </si>
  <si>
    <t>CAAGTT</t>
  </si>
  <si>
    <t>CAATAA</t>
  </si>
  <si>
    <t>CAATAC</t>
  </si>
  <si>
    <t>CAATAG</t>
  </si>
  <si>
    <t>CAATAT</t>
  </si>
  <si>
    <t>CAATCA</t>
  </si>
  <si>
    <t>CAATCC</t>
  </si>
  <si>
    <t>CAATCG</t>
  </si>
  <si>
    <t>CAATCT</t>
  </si>
  <si>
    <t>CAATGA</t>
  </si>
  <si>
    <t>CAATGC</t>
  </si>
  <si>
    <t>CAATGG</t>
  </si>
  <si>
    <t>CAATGT</t>
  </si>
  <si>
    <t>CAATTA</t>
  </si>
  <si>
    <t>CAATTC</t>
  </si>
  <si>
    <t>CAATTG</t>
  </si>
  <si>
    <t>CAATTT</t>
  </si>
  <si>
    <t>CACAAA</t>
  </si>
  <si>
    <t>CACAAC</t>
  </si>
  <si>
    <t>CACAAG</t>
  </si>
  <si>
    <t>CACAAT</t>
  </si>
  <si>
    <t>CACACA</t>
  </si>
  <si>
    <t>CACACC</t>
  </si>
  <si>
    <t>CACACG</t>
  </si>
  <si>
    <t>CACACT</t>
  </si>
  <si>
    <t>CACAGA</t>
  </si>
  <si>
    <t>CACAGC</t>
  </si>
  <si>
    <t>CACAGG</t>
  </si>
  <si>
    <t>CACAGT</t>
  </si>
  <si>
    <t>CACATA</t>
  </si>
  <si>
    <t>CACATC</t>
  </si>
  <si>
    <t>CACATG</t>
  </si>
  <si>
    <t>CACATT</t>
  </si>
  <si>
    <t>CACCAA</t>
  </si>
  <si>
    <t>CACCAC</t>
  </si>
  <si>
    <t>CACCAG</t>
  </si>
  <si>
    <t>CACCAT</t>
  </si>
  <si>
    <t>CACCCA</t>
  </si>
  <si>
    <t>CACCCC</t>
  </si>
  <si>
    <t>CACCCG</t>
  </si>
  <si>
    <t>CACCCT</t>
  </si>
  <si>
    <t>CACCGA</t>
  </si>
  <si>
    <t>CACCGC</t>
  </si>
  <si>
    <t>CACCGG</t>
  </si>
  <si>
    <t>CACCGT</t>
  </si>
  <si>
    <t>CACCTA</t>
  </si>
  <si>
    <t>CACCTC</t>
  </si>
  <si>
    <t>CACCTG</t>
  </si>
  <si>
    <t>CACCTT</t>
  </si>
  <si>
    <t>CACGAA</t>
  </si>
  <si>
    <t>CACGAC</t>
  </si>
  <si>
    <t>CACGAG</t>
  </si>
  <si>
    <t>CACGAT</t>
  </si>
  <si>
    <t>CACGCA</t>
  </si>
  <si>
    <t>CACGCC</t>
  </si>
  <si>
    <t>CACGCG</t>
  </si>
  <si>
    <t>CACGCT</t>
  </si>
  <si>
    <t>CACGGA</t>
  </si>
  <si>
    <t>CACGGC</t>
  </si>
  <si>
    <t>CACGGG</t>
  </si>
  <si>
    <t>CACGGT</t>
  </si>
  <si>
    <t>CACGTA</t>
  </si>
  <si>
    <t>CACGTC</t>
  </si>
  <si>
    <t>CACGTG</t>
  </si>
  <si>
    <t>CACGTT</t>
  </si>
  <si>
    <t>CACTAA</t>
  </si>
  <si>
    <t>CACTAC</t>
  </si>
  <si>
    <t>CACTAG</t>
  </si>
  <si>
    <t>CACTAT</t>
  </si>
  <si>
    <t>CACTCA</t>
  </si>
  <si>
    <t>CACTCC</t>
  </si>
  <si>
    <t>CACTCG</t>
  </si>
  <si>
    <t>CACTCT</t>
  </si>
  <si>
    <t>CACTGA</t>
  </si>
  <si>
    <t>CACTGC</t>
  </si>
  <si>
    <t>CACTGG</t>
  </si>
  <si>
    <t>CACTGT</t>
  </si>
  <si>
    <t>CACTTA</t>
  </si>
  <si>
    <t>CACTTC</t>
  </si>
  <si>
    <t>CACTTG</t>
  </si>
  <si>
    <t>CACTTT</t>
  </si>
  <si>
    <t>CAGAAA</t>
  </si>
  <si>
    <t>CAGAAC</t>
  </si>
  <si>
    <t>CAGAAG</t>
  </si>
  <si>
    <t>CAGAAT</t>
  </si>
  <si>
    <t>CAGACA</t>
  </si>
  <si>
    <t>CAGACC</t>
  </si>
  <si>
    <t>CAGACG</t>
  </si>
  <si>
    <t>CAGACT</t>
  </si>
  <si>
    <t>CAGAGA</t>
  </si>
  <si>
    <t>CAGAGC</t>
  </si>
  <si>
    <t>CAGAGG</t>
  </si>
  <si>
    <t>CAGAGT</t>
  </si>
  <si>
    <t>CAGATA</t>
  </si>
  <si>
    <t>CAGATC</t>
  </si>
  <si>
    <t>CAGATG</t>
  </si>
  <si>
    <t>CAGATT</t>
  </si>
  <si>
    <t>CAGCAA</t>
  </si>
  <si>
    <t>CAGCAC</t>
  </si>
  <si>
    <t>CAGCAG</t>
  </si>
  <si>
    <t>CAGCAT</t>
  </si>
  <si>
    <t>CAGCCA</t>
  </si>
  <si>
    <t>CAGCCC</t>
  </si>
  <si>
    <t>CAGCCG</t>
  </si>
  <si>
    <t>CAGCCT</t>
  </si>
  <si>
    <t>CAGCGA</t>
  </si>
  <si>
    <t>CAGCGC</t>
  </si>
  <si>
    <t>CAGCGG</t>
  </si>
  <si>
    <t>CAGCGT</t>
  </si>
  <si>
    <t>CAGCTA</t>
  </si>
  <si>
    <t>CAGCTC</t>
  </si>
  <si>
    <t>CAGCTG</t>
  </si>
  <si>
    <t>CAGCTT</t>
  </si>
  <si>
    <t>CAGGAA</t>
  </si>
  <si>
    <t>CAGGAC</t>
  </si>
  <si>
    <t>CAGGAG</t>
  </si>
  <si>
    <t>CAGGAT</t>
  </si>
  <si>
    <t>CAGGCA</t>
  </si>
  <si>
    <t>CAGGCC</t>
  </si>
  <si>
    <t>CAGGCG</t>
  </si>
  <si>
    <t>CAGGCT</t>
  </si>
  <si>
    <t>CAGGGA</t>
  </si>
  <si>
    <t>CAGGGC</t>
  </si>
  <si>
    <t>CAGGGG</t>
  </si>
  <si>
    <t>CAGGGT</t>
  </si>
  <si>
    <t>CAGGTA</t>
  </si>
  <si>
    <t>CAGGTC</t>
  </si>
  <si>
    <t>CAGGTG</t>
  </si>
  <si>
    <t>CAGGTT</t>
  </si>
  <si>
    <t>CAGTAA</t>
  </si>
  <si>
    <t>CAGTAC</t>
  </si>
  <si>
    <t>CAGTAG</t>
  </si>
  <si>
    <t>CAGTAT</t>
  </si>
  <si>
    <t>CAGTCA</t>
  </si>
  <si>
    <t>CAGTCC</t>
  </si>
  <si>
    <t>CAGTCG</t>
  </si>
  <si>
    <t>CAGTCT</t>
  </si>
  <si>
    <t>CAGTGA</t>
  </si>
  <si>
    <t>CAGTGC</t>
  </si>
  <si>
    <t>CAGTGG</t>
  </si>
  <si>
    <t>CAGTGT</t>
  </si>
  <si>
    <t>CAGTTA</t>
  </si>
  <si>
    <t>CAGTTC</t>
  </si>
  <si>
    <t>CAGTTG</t>
  </si>
  <si>
    <t>CAGTTT</t>
  </si>
  <si>
    <t>CATAAA</t>
  </si>
  <si>
    <t>CATAAC</t>
  </si>
  <si>
    <t>CATAAG</t>
  </si>
  <si>
    <t>CATAAT</t>
  </si>
  <si>
    <t>CATACA</t>
  </si>
  <si>
    <t>CATACC</t>
  </si>
  <si>
    <t>CATACG</t>
  </si>
  <si>
    <t>CATACT</t>
  </si>
  <si>
    <t>CATAGA</t>
  </si>
  <si>
    <t>CATAGC</t>
  </si>
  <si>
    <t>CATAGG</t>
  </si>
  <si>
    <t>CATAGT</t>
  </si>
  <si>
    <t>CATATA</t>
  </si>
  <si>
    <t>CATATC</t>
  </si>
  <si>
    <t>CATATG</t>
  </si>
  <si>
    <t>CATATT</t>
  </si>
  <si>
    <t>CATCAA</t>
  </si>
  <si>
    <t>CATCAC</t>
  </si>
  <si>
    <t>CATCAG</t>
  </si>
  <si>
    <t>CATCAT</t>
  </si>
  <si>
    <t>CATCCA</t>
  </si>
  <si>
    <t>CATCCC</t>
  </si>
  <si>
    <t>CATCCG</t>
  </si>
  <si>
    <t>CATCCT</t>
  </si>
  <si>
    <t>CATCGA</t>
  </si>
  <si>
    <t>CATCGC</t>
  </si>
  <si>
    <t>CATCGG</t>
  </si>
  <si>
    <t>CATCGT</t>
  </si>
  <si>
    <t>CATCTA</t>
  </si>
  <si>
    <t>CATCTC</t>
  </si>
  <si>
    <t>CATCTG</t>
  </si>
  <si>
    <t>CATCTT</t>
  </si>
  <si>
    <t>CATGAA</t>
  </si>
  <si>
    <t>CATGAC</t>
  </si>
  <si>
    <t>CATGAG</t>
  </si>
  <si>
    <t>CATGAT</t>
  </si>
  <si>
    <t>CATGCA</t>
  </si>
  <si>
    <t>CATGCC</t>
  </si>
  <si>
    <t>CATGCG</t>
  </si>
  <si>
    <t>CATGCT</t>
  </si>
  <si>
    <t>CATGGA</t>
  </si>
  <si>
    <t>CATGGC</t>
  </si>
  <si>
    <t>CATGGG</t>
  </si>
  <si>
    <t>CATGGT</t>
  </si>
  <si>
    <t>CATGTA</t>
  </si>
  <si>
    <t>CATGTC</t>
  </si>
  <si>
    <t>CATGTG</t>
  </si>
  <si>
    <t>CATGTT</t>
  </si>
  <si>
    <t>CATTAA</t>
  </si>
  <si>
    <t>CATTAC</t>
  </si>
  <si>
    <t>CATTAG</t>
  </si>
  <si>
    <t>CATTAT</t>
  </si>
  <si>
    <t>CATTCA</t>
  </si>
  <si>
    <t>CATTCC</t>
  </si>
  <si>
    <t>CATTCG</t>
  </si>
  <si>
    <t>CATTCT</t>
  </si>
  <si>
    <t>CATTGA</t>
  </si>
  <si>
    <t>CATTGC</t>
  </si>
  <si>
    <t>CATTGG</t>
  </si>
  <si>
    <t>CATTGT</t>
  </si>
  <si>
    <t>CATTTA</t>
  </si>
  <si>
    <t>CATTTC</t>
  </si>
  <si>
    <t>CATTTG</t>
  </si>
  <si>
    <t>CATTTT</t>
  </si>
  <si>
    <t>CCAAAA</t>
  </si>
  <si>
    <t>CCAAAC</t>
  </si>
  <si>
    <t>CCAAAG</t>
  </si>
  <si>
    <t>CCAAAT</t>
  </si>
  <si>
    <t>CCAACA</t>
  </si>
  <si>
    <t>CCAACC</t>
  </si>
  <si>
    <t>CCAACG</t>
  </si>
  <si>
    <t>CCAACT</t>
  </si>
  <si>
    <t>CCAAGA</t>
  </si>
  <si>
    <t>CCAAGC</t>
  </si>
  <si>
    <t>CCAAGG</t>
  </si>
  <si>
    <t>CCAAGT</t>
  </si>
  <si>
    <t>CCAATA</t>
  </si>
  <si>
    <t>CCAATC</t>
  </si>
  <si>
    <t>CCAATG</t>
  </si>
  <si>
    <t>CCAATT</t>
  </si>
  <si>
    <t>CCACAA</t>
  </si>
  <si>
    <t>CCACAC</t>
  </si>
  <si>
    <t>CCACAG</t>
  </si>
  <si>
    <t>CCACAT</t>
  </si>
  <si>
    <t>CCACCA</t>
  </si>
  <si>
    <t>CCACCC</t>
  </si>
  <si>
    <t>CCACCG</t>
  </si>
  <si>
    <t>CCACCT</t>
  </si>
  <si>
    <t>CCACGA</t>
  </si>
  <si>
    <t>CCACGC</t>
  </si>
  <si>
    <t>CCACGG</t>
  </si>
  <si>
    <t>CCACGT</t>
  </si>
  <si>
    <t>CCACTA</t>
  </si>
  <si>
    <t>CCACTC</t>
  </si>
  <si>
    <t>CCACTG</t>
  </si>
  <si>
    <t>CCACTT</t>
  </si>
  <si>
    <t>CCAGAA</t>
  </si>
  <si>
    <t>CCAGAC</t>
  </si>
  <si>
    <t>CCAGAG</t>
  </si>
  <si>
    <t>CCAGAT</t>
  </si>
  <si>
    <t>CCAGCA</t>
  </si>
  <si>
    <t>CCAGCC</t>
  </si>
  <si>
    <t>CCAGCG</t>
  </si>
  <si>
    <t>CCAGCT</t>
  </si>
  <si>
    <t>CCAGGA</t>
  </si>
  <si>
    <t>CCAGGC</t>
  </si>
  <si>
    <t>CCAGGG</t>
  </si>
  <si>
    <t>CCAGGT</t>
  </si>
  <si>
    <t>CCAGTA</t>
  </si>
  <si>
    <t>CCAGTC</t>
  </si>
  <si>
    <t>CCAGTG</t>
  </si>
  <si>
    <t>CCAGTT</t>
  </si>
  <si>
    <t>CCATAA</t>
  </si>
  <si>
    <t>CCATAC</t>
  </si>
  <si>
    <t>CCATAG</t>
  </si>
  <si>
    <t>CCATAT</t>
  </si>
  <si>
    <t>CCATCA</t>
  </si>
  <si>
    <t>CCATCC</t>
  </si>
  <si>
    <t>CCATCG</t>
  </si>
  <si>
    <t>CCATCT</t>
  </si>
  <si>
    <t>CCATGA</t>
  </si>
  <si>
    <t>CCATGC</t>
  </si>
  <si>
    <t>CCATGG</t>
  </si>
  <si>
    <t>CCATGT</t>
  </si>
  <si>
    <t>CCATTA</t>
  </si>
  <si>
    <t>CCATTC</t>
  </si>
  <si>
    <t>CCATTG</t>
  </si>
  <si>
    <t>CCATTT</t>
  </si>
  <si>
    <t>CCCAAA</t>
  </si>
  <si>
    <t>CCCAAC</t>
  </si>
  <si>
    <t>CCCAAG</t>
  </si>
  <si>
    <t>CCCAAT</t>
  </si>
  <si>
    <t>CCCACA</t>
  </si>
  <si>
    <t>CCCACC</t>
  </si>
  <si>
    <t>CCCACG</t>
  </si>
  <si>
    <t>CCCACT</t>
  </si>
  <si>
    <t>CCCAGA</t>
  </si>
  <si>
    <t>CCCAGC</t>
  </si>
  <si>
    <t>CCCAGG</t>
  </si>
  <si>
    <t>CCCAGT</t>
  </si>
  <si>
    <t>CCCATA</t>
  </si>
  <si>
    <t>CCCATC</t>
  </si>
  <si>
    <t>CCCATG</t>
  </si>
  <si>
    <t>CCCATT</t>
  </si>
  <si>
    <t>CCCCAA</t>
  </si>
  <si>
    <t>CCCCAC</t>
  </si>
  <si>
    <t>CCCCAG</t>
  </si>
  <si>
    <t>CCCCAT</t>
  </si>
  <si>
    <t>CCCCCA</t>
  </si>
  <si>
    <t>CCCCCC</t>
  </si>
  <si>
    <t>CCCCCG</t>
  </si>
  <si>
    <t>CCCCCT</t>
  </si>
  <si>
    <t>CCCCGA</t>
  </si>
  <si>
    <t>CCCCGC</t>
  </si>
  <si>
    <t>CCCCGG</t>
  </si>
  <si>
    <t>CCCCGT</t>
  </si>
  <si>
    <t>CCCCTA</t>
  </si>
  <si>
    <t>CCCCTC</t>
  </si>
  <si>
    <t>CCCCTG</t>
  </si>
  <si>
    <t>CCCCTT</t>
  </si>
  <si>
    <t>CCCGAA</t>
  </si>
  <si>
    <t>CCCGAC</t>
  </si>
  <si>
    <t>CCCGAG</t>
  </si>
  <si>
    <t>CCCGAT</t>
  </si>
  <si>
    <t>CCCGCA</t>
  </si>
  <si>
    <t>CCCGCC</t>
  </si>
  <si>
    <t>CCCGCG</t>
  </si>
  <si>
    <t>CCCGCT</t>
  </si>
  <si>
    <t>CCCGGA</t>
  </si>
  <si>
    <t>CCCGGC</t>
  </si>
  <si>
    <t>CCCGGG</t>
  </si>
  <si>
    <t>CCCGGT</t>
  </si>
  <si>
    <t>CCCGTA</t>
  </si>
  <si>
    <t>CCCGTC</t>
  </si>
  <si>
    <t>CCCGTG</t>
  </si>
  <si>
    <t>CCCGTT</t>
  </si>
  <si>
    <t>CCCTAA</t>
  </si>
  <si>
    <t>CCCTAC</t>
  </si>
  <si>
    <t>CCCTAG</t>
  </si>
  <si>
    <t>CCCTAT</t>
  </si>
  <si>
    <t>CCCTCA</t>
  </si>
  <si>
    <t>CCCTCC</t>
  </si>
  <si>
    <t>CCCTCG</t>
  </si>
  <si>
    <t>CCCTCT</t>
  </si>
  <si>
    <t>CCCTGA</t>
  </si>
  <si>
    <t>CCCTGC</t>
  </si>
  <si>
    <t>CCCTGG</t>
  </si>
  <si>
    <t>CCCTGT</t>
  </si>
  <si>
    <t>CCCTTA</t>
  </si>
  <si>
    <t>CCCTTC</t>
  </si>
  <si>
    <t>CCCTTG</t>
  </si>
  <si>
    <t>CCCTTT</t>
  </si>
  <si>
    <t>CCGAAA</t>
  </si>
  <si>
    <t>CCGAAC</t>
  </si>
  <si>
    <t>CCGAAG</t>
  </si>
  <si>
    <t>CCGAAT</t>
  </si>
  <si>
    <t>CCGACA</t>
  </si>
  <si>
    <t>CCGACC</t>
  </si>
  <si>
    <t>CCGACG</t>
  </si>
  <si>
    <t>CCGACT</t>
  </si>
  <si>
    <t>CCGAGA</t>
  </si>
  <si>
    <t>CCGAGC</t>
  </si>
  <si>
    <t>CCGAGG</t>
  </si>
  <si>
    <t>CCGAGT</t>
  </si>
  <si>
    <t>CCGATA</t>
  </si>
  <si>
    <t>CCGATC</t>
  </si>
  <si>
    <t>CCGATG</t>
  </si>
  <si>
    <t>CCGATT</t>
  </si>
  <si>
    <t>CCGCAA</t>
  </si>
  <si>
    <t>CCGCAC</t>
  </si>
  <si>
    <t>CCGCAG</t>
  </si>
  <si>
    <t>CCGCAT</t>
  </si>
  <si>
    <t>CCGCCA</t>
  </si>
  <si>
    <t>CCGCCC</t>
  </si>
  <si>
    <t>CCGCCG</t>
  </si>
  <si>
    <t>CCGCCT</t>
  </si>
  <si>
    <t>CCGCGA</t>
  </si>
  <si>
    <t>CCGCGC</t>
  </si>
  <si>
    <t>CCGCGG</t>
  </si>
  <si>
    <t>CCGCGT</t>
  </si>
  <si>
    <t>CCGCTA</t>
  </si>
  <si>
    <t>CCGCTC</t>
  </si>
  <si>
    <t>CCGCTG</t>
  </si>
  <si>
    <t>CCGCTT</t>
  </si>
  <si>
    <t>CCGGAA</t>
  </si>
  <si>
    <t>CCGGAC</t>
  </si>
  <si>
    <t>CCGGAG</t>
  </si>
  <si>
    <t>CCGGAT</t>
  </si>
  <si>
    <t>CCGGCA</t>
  </si>
  <si>
    <t>CCGGCC</t>
  </si>
  <si>
    <t>CCGGCG</t>
  </si>
  <si>
    <t>CCGGCT</t>
  </si>
  <si>
    <t>CCGGGA</t>
  </si>
  <si>
    <t>CCGGGC</t>
  </si>
  <si>
    <t>CCGGGG</t>
  </si>
  <si>
    <t>CCGGGT</t>
  </si>
  <si>
    <t>CCGGTA</t>
  </si>
  <si>
    <t>CCGGTC</t>
  </si>
  <si>
    <t>CCGGTG</t>
  </si>
  <si>
    <t>CCGGTT</t>
  </si>
  <si>
    <t>CCGTAA</t>
  </si>
  <si>
    <t>CCGTAC</t>
  </si>
  <si>
    <t>CCGTAG</t>
  </si>
  <si>
    <t>CCGTAT</t>
  </si>
  <si>
    <t>CCGTCA</t>
  </si>
  <si>
    <t>CCGTCC</t>
  </si>
  <si>
    <t>CCGTCG</t>
  </si>
  <si>
    <t>CCGTCT</t>
  </si>
  <si>
    <t>CCGTGA</t>
  </si>
  <si>
    <t>CCGTGC</t>
  </si>
  <si>
    <t>CCGTGG</t>
  </si>
  <si>
    <t>CCGTGT</t>
  </si>
  <si>
    <t>CCGTTA</t>
  </si>
  <si>
    <t>CCGTTC</t>
  </si>
  <si>
    <t>CCGTTG</t>
  </si>
  <si>
    <t>CCGTTT</t>
  </si>
  <si>
    <t>CCTAAA</t>
  </si>
  <si>
    <t>CCTAAC</t>
  </si>
  <si>
    <t>CCTAAG</t>
  </si>
  <si>
    <t>CCTAAT</t>
  </si>
  <si>
    <t>CCTACA</t>
  </si>
  <si>
    <t>CCTACC</t>
  </si>
  <si>
    <t>CCTACG</t>
  </si>
  <si>
    <t>CCTACT</t>
  </si>
  <si>
    <t>CCTAGA</t>
  </si>
  <si>
    <t>CCTAGC</t>
  </si>
  <si>
    <t>CCTAGG</t>
  </si>
  <si>
    <t>CCTAGT</t>
  </si>
  <si>
    <t>CCTATA</t>
  </si>
  <si>
    <t>CCTATC</t>
  </si>
  <si>
    <t>CCTATG</t>
  </si>
  <si>
    <t>CCTATT</t>
  </si>
  <si>
    <t>CCTCAA</t>
  </si>
  <si>
    <t>CCTCAC</t>
  </si>
  <si>
    <t>CCTCAG</t>
  </si>
  <si>
    <t>CCTCAT</t>
  </si>
  <si>
    <t>CCTCCA</t>
  </si>
  <si>
    <t>CCTCCC</t>
  </si>
  <si>
    <t>CCTCCG</t>
  </si>
  <si>
    <t>CCTCCT</t>
  </si>
  <si>
    <t>CCTCGA</t>
  </si>
  <si>
    <t>CCTCGC</t>
  </si>
  <si>
    <t>CCTCGG</t>
  </si>
  <si>
    <t>CCTCGT</t>
  </si>
  <si>
    <t>CCTCTA</t>
  </si>
  <si>
    <t>CCTCTC</t>
  </si>
  <si>
    <t>CCTCTG</t>
  </si>
  <si>
    <t>CCTCTT</t>
  </si>
  <si>
    <t>CCTGAA</t>
  </si>
  <si>
    <t>CCTGAC</t>
  </si>
  <si>
    <t>CCTGAG</t>
  </si>
  <si>
    <t>CCTGAT</t>
  </si>
  <si>
    <t>CCTGCA</t>
  </si>
  <si>
    <t>CCTGCC</t>
  </si>
  <si>
    <t>CCTGCG</t>
  </si>
  <si>
    <t>CCTGCT</t>
  </si>
  <si>
    <t>CCTGGA</t>
  </si>
  <si>
    <t>CCTGGC</t>
  </si>
  <si>
    <t>CCTGGG</t>
  </si>
  <si>
    <t>CCTGGT</t>
  </si>
  <si>
    <t>CCTGTA</t>
  </si>
  <si>
    <t>CCTGTC</t>
  </si>
  <si>
    <t>CCTGTG</t>
  </si>
  <si>
    <t>CCTGTT</t>
  </si>
  <si>
    <t>CCTTAA</t>
  </si>
  <si>
    <t>CCTTAC</t>
  </si>
  <si>
    <t>CCTTAG</t>
  </si>
  <si>
    <t>CCTTAT</t>
  </si>
  <si>
    <t>CCTTCA</t>
  </si>
  <si>
    <t>CCTTCC</t>
  </si>
  <si>
    <t>CCTTCG</t>
  </si>
  <si>
    <t>CCTTCT</t>
  </si>
  <si>
    <t>CCTTGA</t>
  </si>
  <si>
    <t>CCTTGC</t>
  </si>
  <si>
    <t>CCTTGG</t>
  </si>
  <si>
    <t>CCTTGT</t>
  </si>
  <si>
    <t>CCTTTA</t>
  </si>
  <si>
    <t>CCTTTC</t>
  </si>
  <si>
    <t>CCTTTG</t>
  </si>
  <si>
    <t>CCTTTT</t>
  </si>
  <si>
    <t>CGAAAA</t>
  </si>
  <si>
    <t>CGAAAC</t>
  </si>
  <si>
    <t>CGAAAG</t>
  </si>
  <si>
    <t>CGAAAT</t>
  </si>
  <si>
    <t>CGAACA</t>
  </si>
  <si>
    <t>CGAACC</t>
  </si>
  <si>
    <t>CGAACG</t>
  </si>
  <si>
    <t>CGAACT</t>
  </si>
  <si>
    <t>CGAAGA</t>
  </si>
  <si>
    <t>CGAAGC</t>
  </si>
  <si>
    <t>CGAAGG</t>
  </si>
  <si>
    <t>CGAAGT</t>
  </si>
  <si>
    <t>CGAATA</t>
  </si>
  <si>
    <t>CGAATC</t>
  </si>
  <si>
    <t>CGAATG</t>
  </si>
  <si>
    <t>CGAATT</t>
  </si>
  <si>
    <t>CGACAA</t>
  </si>
  <si>
    <t>CGACAC</t>
  </si>
  <si>
    <t>CGACAG</t>
  </si>
  <si>
    <t>CGACAT</t>
  </si>
  <si>
    <t>CGACCA</t>
  </si>
  <si>
    <t>CGACCC</t>
  </si>
  <si>
    <t>CGACCG</t>
  </si>
  <si>
    <t>CGACCT</t>
  </si>
  <si>
    <t>CGACGA</t>
  </si>
  <si>
    <t>CGACGC</t>
  </si>
  <si>
    <t>CGACGG</t>
  </si>
  <si>
    <t>CGACGT</t>
  </si>
  <si>
    <t>CGACTA</t>
  </si>
  <si>
    <t>CGACTC</t>
  </si>
  <si>
    <t>CGACTG</t>
  </si>
  <si>
    <t>CGACTT</t>
  </si>
  <si>
    <t>CGAGAA</t>
  </si>
  <si>
    <t>CGAGAC</t>
  </si>
  <si>
    <t>CGAGAG</t>
  </si>
  <si>
    <t>CGAGAT</t>
  </si>
  <si>
    <t>CGAGCA</t>
  </si>
  <si>
    <t>CGAGCC</t>
  </si>
  <si>
    <t>CGAGCG</t>
  </si>
  <si>
    <t>CGAGCT</t>
  </si>
  <si>
    <t>CGAGGA</t>
  </si>
  <si>
    <t>CGAGGC</t>
  </si>
  <si>
    <t>CGAGGG</t>
  </si>
  <si>
    <t>CGAGGT</t>
  </si>
  <si>
    <t>CGAGTA</t>
  </si>
  <si>
    <t>CGAGTC</t>
  </si>
  <si>
    <t>CGAGTG</t>
  </si>
  <si>
    <t>CGAGTT</t>
  </si>
  <si>
    <t>CGATAA</t>
  </si>
  <si>
    <t>CGATAC</t>
  </si>
  <si>
    <t>CGATAG</t>
  </si>
  <si>
    <t>CGATAT</t>
  </si>
  <si>
    <t>CGATCA</t>
  </si>
  <si>
    <t>CGATCC</t>
  </si>
  <si>
    <t>CGATCG</t>
  </si>
  <si>
    <t>CGATCT</t>
  </si>
  <si>
    <t>CGATGA</t>
  </si>
  <si>
    <t>CGATGC</t>
  </si>
  <si>
    <t>CGATGG</t>
  </si>
  <si>
    <t>CGATGT</t>
  </si>
  <si>
    <t>CGATTA</t>
  </si>
  <si>
    <t>CGATTC</t>
  </si>
  <si>
    <t>CGATTG</t>
  </si>
  <si>
    <t>CGATTT</t>
  </si>
  <si>
    <t>CGCAAA</t>
  </si>
  <si>
    <t>CGCAAC</t>
  </si>
  <si>
    <t>CGCAAG</t>
  </si>
  <si>
    <t>CGCAAT</t>
  </si>
  <si>
    <t>CGCACA</t>
  </si>
  <si>
    <t>CGCACC</t>
  </si>
  <si>
    <t>CGCACG</t>
  </si>
  <si>
    <t>CGCACT</t>
  </si>
  <si>
    <t>CGCAGA</t>
  </si>
  <si>
    <t>CGCAGC</t>
  </si>
  <si>
    <t>CGCAGG</t>
  </si>
  <si>
    <t>CGCAGT</t>
  </si>
  <si>
    <t>CGCATA</t>
  </si>
  <si>
    <t>CGCATC</t>
  </si>
  <si>
    <t>CGCATG</t>
  </si>
  <si>
    <t>CGCATT</t>
  </si>
  <si>
    <t>CGCCAA</t>
  </si>
  <si>
    <t>CGCCAC</t>
  </si>
  <si>
    <t>CGCCAG</t>
  </si>
  <si>
    <t>CGCCAT</t>
  </si>
  <si>
    <t>CGCCCA</t>
  </si>
  <si>
    <t>CGCCCC</t>
  </si>
  <si>
    <t>CGCCCG</t>
  </si>
  <si>
    <t>CGCCCT</t>
  </si>
  <si>
    <t>CGCCGA</t>
  </si>
  <si>
    <t>CGCCGC</t>
  </si>
  <si>
    <t>CGCCGG</t>
  </si>
  <si>
    <t>CGCCGT</t>
  </si>
  <si>
    <t>CGCCTA</t>
  </si>
  <si>
    <t>CGCCTC</t>
  </si>
  <si>
    <t>CGCCTG</t>
  </si>
  <si>
    <t>CGCCTT</t>
  </si>
  <si>
    <t>CGCGAA</t>
  </si>
  <si>
    <t>CGCGAC</t>
  </si>
  <si>
    <t>CGCGAG</t>
  </si>
  <si>
    <t>CGCGAT</t>
  </si>
  <si>
    <t>CGCGCA</t>
  </si>
  <si>
    <t>CGCGCC</t>
  </si>
  <si>
    <t>CGCGCG</t>
  </si>
  <si>
    <t>CGCGCT</t>
  </si>
  <si>
    <t>CGCGGA</t>
  </si>
  <si>
    <t>CGCGGC</t>
  </si>
  <si>
    <t>CGCGGG</t>
  </si>
  <si>
    <t>CGCGGT</t>
  </si>
  <si>
    <t>CGCGTA</t>
  </si>
  <si>
    <t>CGCGTC</t>
  </si>
  <si>
    <t>CGCGTG</t>
  </si>
  <si>
    <t>CGCGTT</t>
  </si>
  <si>
    <t>CGCTAA</t>
  </si>
  <si>
    <t>CGCTAC</t>
  </si>
  <si>
    <t>CGCTAG</t>
  </si>
  <si>
    <t>CGCTAT</t>
  </si>
  <si>
    <t>CGCTCA</t>
  </si>
  <si>
    <t>CGCTCC</t>
  </si>
  <si>
    <t>CGCTCG</t>
  </si>
  <si>
    <t>CGCTCT</t>
  </si>
  <si>
    <t>CGCTGA</t>
  </si>
  <si>
    <t>CGCTGC</t>
  </si>
  <si>
    <t>CGCTGG</t>
  </si>
  <si>
    <t>CGCTGT</t>
  </si>
  <si>
    <t>CGCTTA</t>
  </si>
  <si>
    <t>CGCTTC</t>
  </si>
  <si>
    <t>CGCTTG</t>
  </si>
  <si>
    <t>CGCTTT</t>
  </si>
  <si>
    <t>CGGAAA</t>
  </si>
  <si>
    <t>CGGAAC</t>
  </si>
  <si>
    <t>CGGAAG</t>
  </si>
  <si>
    <t>CGGAAT</t>
  </si>
  <si>
    <t>CGGACA</t>
  </si>
  <si>
    <t>CGGACC</t>
  </si>
  <si>
    <t>CGGACG</t>
  </si>
  <si>
    <t>CGGACT</t>
  </si>
  <si>
    <t>CGGAGA</t>
  </si>
  <si>
    <t>CGGAGC</t>
  </si>
  <si>
    <t>CGGAGG</t>
  </si>
  <si>
    <t>CGGAGT</t>
  </si>
  <si>
    <t>CGGATA</t>
  </si>
  <si>
    <t>CGGATC</t>
  </si>
  <si>
    <t>CGGATG</t>
  </si>
  <si>
    <t>CGGATT</t>
  </si>
  <si>
    <t>CGGCAA</t>
  </si>
  <si>
    <t>CGGCAC</t>
  </si>
  <si>
    <t>CGGCAG</t>
  </si>
  <si>
    <t>CGGCAT</t>
  </si>
  <si>
    <t>CGGCCA</t>
  </si>
  <si>
    <t>CGGCCC</t>
  </si>
  <si>
    <t>CGGCCG</t>
  </si>
  <si>
    <t>CGGCCT</t>
  </si>
  <si>
    <t>CGGCGA</t>
  </si>
  <si>
    <t>CGGCGC</t>
  </si>
  <si>
    <t>CGGCGG</t>
  </si>
  <si>
    <t>CGGCGT</t>
  </si>
  <si>
    <t>CGGCTA</t>
  </si>
  <si>
    <t>CGGCTC</t>
  </si>
  <si>
    <t>CGGCTG</t>
  </si>
  <si>
    <t>CGGCTT</t>
  </si>
  <si>
    <t>CGGGAA</t>
  </si>
  <si>
    <t>CGGGAC</t>
  </si>
  <si>
    <t>CGGGAG</t>
  </si>
  <si>
    <t>CGGGAT</t>
  </si>
  <si>
    <t>CGGGCA</t>
  </si>
  <si>
    <t>CGGGCC</t>
  </si>
  <si>
    <t>CGGGCG</t>
  </si>
  <si>
    <t>CGGGCT</t>
  </si>
  <si>
    <t>CGGGGA</t>
  </si>
  <si>
    <t>CGGGGC</t>
  </si>
  <si>
    <t>CGGGGG</t>
  </si>
  <si>
    <t>CGGGGT</t>
  </si>
  <si>
    <t>CGGGTA</t>
  </si>
  <si>
    <t>CGGGTC</t>
  </si>
  <si>
    <t>CGGGTG</t>
  </si>
  <si>
    <t>CGGGTT</t>
  </si>
  <si>
    <t>CGGTAA</t>
  </si>
  <si>
    <t>CGGTAC</t>
  </si>
  <si>
    <t>CGGTAG</t>
  </si>
  <si>
    <t>CGGTAT</t>
  </si>
  <si>
    <t>CGGTCA</t>
  </si>
  <si>
    <t>CGGTCC</t>
  </si>
  <si>
    <t>CGGTCG</t>
  </si>
  <si>
    <t>CGGTCT</t>
  </si>
  <si>
    <t>CGGTGA</t>
  </si>
  <si>
    <t>CGGTGC</t>
  </si>
  <si>
    <t>CGGTGG</t>
  </si>
  <si>
    <t>CGGTGT</t>
  </si>
  <si>
    <t>CGGTTA</t>
  </si>
  <si>
    <t>CGGTTC</t>
  </si>
  <si>
    <t>CGGTTG</t>
  </si>
  <si>
    <t>CGGTTT</t>
  </si>
  <si>
    <t>CGTAAA</t>
  </si>
  <si>
    <t>CGTAAC</t>
  </si>
  <si>
    <t>CGTAAG</t>
  </si>
  <si>
    <t>CGTAAT</t>
  </si>
  <si>
    <t>CGTACA</t>
  </si>
  <si>
    <t>CGTACC</t>
  </si>
  <si>
    <t>CGTACG</t>
  </si>
  <si>
    <t>CGTACT</t>
  </si>
  <si>
    <t>CGTAGA</t>
  </si>
  <si>
    <t>CGTAGC</t>
  </si>
  <si>
    <t>CGTAGG</t>
  </si>
  <si>
    <t>CGTAGT</t>
  </si>
  <si>
    <t>CGTATA</t>
  </si>
  <si>
    <t>CGTATC</t>
  </si>
  <si>
    <t>CGTATG</t>
  </si>
  <si>
    <t>CGTATT</t>
  </si>
  <si>
    <t>CGTCAA</t>
  </si>
  <si>
    <t>CGTCAC</t>
  </si>
  <si>
    <t>CGTCAG</t>
  </si>
  <si>
    <t>CGTCAT</t>
  </si>
  <si>
    <t>CGTCCA</t>
  </si>
  <si>
    <t>CGTCCC</t>
  </si>
  <si>
    <t>CGTCCG</t>
  </si>
  <si>
    <t>CGTCCT</t>
  </si>
  <si>
    <t>CGTCGA</t>
  </si>
  <si>
    <t>CGTCGC</t>
  </si>
  <si>
    <t>CGTCGG</t>
  </si>
  <si>
    <t>CGTCGT</t>
  </si>
  <si>
    <t>CGTCTA</t>
  </si>
  <si>
    <t>CGTCTC</t>
  </si>
  <si>
    <t>CGTCTG</t>
  </si>
  <si>
    <t>CGTCTT</t>
  </si>
  <si>
    <t>CGTGAA</t>
  </si>
  <si>
    <t>CGTGAC</t>
  </si>
  <si>
    <t>CGTGAG</t>
  </si>
  <si>
    <t>CGTGAT</t>
  </si>
  <si>
    <t>CGTGCA</t>
  </si>
  <si>
    <t>CGTGCC</t>
  </si>
  <si>
    <t>CGTGCG</t>
  </si>
  <si>
    <t>CGTGCT</t>
  </si>
  <si>
    <t>CGTGGA</t>
  </si>
  <si>
    <t>CGTGGC</t>
  </si>
  <si>
    <t>CGTGGG</t>
  </si>
  <si>
    <t>CGTGGT</t>
  </si>
  <si>
    <t>CGTGTA</t>
  </si>
  <si>
    <t>CGTGTC</t>
  </si>
  <si>
    <t>CGTGTG</t>
  </si>
  <si>
    <t>CGTGTT</t>
  </si>
  <si>
    <t>CGTTAA</t>
  </si>
  <si>
    <t>CGTTAC</t>
  </si>
  <si>
    <t>CGTTAG</t>
  </si>
  <si>
    <t>CGTTAT</t>
  </si>
  <si>
    <t>CGTTCA</t>
  </si>
  <si>
    <t>CGTTCC</t>
  </si>
  <si>
    <t>CGTTCG</t>
  </si>
  <si>
    <t>CGTTCT</t>
  </si>
  <si>
    <t>CGTTGA</t>
  </si>
  <si>
    <t>CGTTGC</t>
  </si>
  <si>
    <t>CGTTGG</t>
  </si>
  <si>
    <t>CGTTGT</t>
  </si>
  <si>
    <t>CGTTTA</t>
  </si>
  <si>
    <t>CGTTTC</t>
  </si>
  <si>
    <t>CGTTTG</t>
  </si>
  <si>
    <t>CGTTTT</t>
  </si>
  <si>
    <t>CTAAAA</t>
  </si>
  <si>
    <t>CTAAAC</t>
  </si>
  <si>
    <t>CTAAAG</t>
  </si>
  <si>
    <t>CTAAAT</t>
  </si>
  <si>
    <t>CTAACA</t>
  </si>
  <si>
    <t>CTAACC</t>
  </si>
  <si>
    <t>CTAACG</t>
  </si>
  <si>
    <t>CTAACT</t>
  </si>
  <si>
    <t>CTAAGA</t>
  </si>
  <si>
    <t>CTAAGC</t>
  </si>
  <si>
    <t>CTAAGG</t>
  </si>
  <si>
    <t>CTAAGT</t>
  </si>
  <si>
    <t>CTAATA</t>
  </si>
  <si>
    <t>CTAATC</t>
  </si>
  <si>
    <t>CTAATG</t>
  </si>
  <si>
    <t>CTAATT</t>
  </si>
  <si>
    <t>CTACAA</t>
  </si>
  <si>
    <t>CTACAC</t>
  </si>
  <si>
    <t>CTACAG</t>
  </si>
  <si>
    <t>CTACAT</t>
  </si>
  <si>
    <t>CTACCA</t>
  </si>
  <si>
    <t>CTACCC</t>
  </si>
  <si>
    <t>CTACCG</t>
  </si>
  <si>
    <t>CTACCT</t>
  </si>
  <si>
    <t>CTACGA</t>
  </si>
  <si>
    <t>CTACGC</t>
  </si>
  <si>
    <t>CTACGG</t>
  </si>
  <si>
    <t>CTACGT</t>
  </si>
  <si>
    <t>CTACTA</t>
  </si>
  <si>
    <t>CTACTC</t>
  </si>
  <si>
    <t>CTACTG</t>
  </si>
  <si>
    <t>CTACTT</t>
  </si>
  <si>
    <t>CTAGAA</t>
  </si>
  <si>
    <t>CTAGAC</t>
  </si>
  <si>
    <t>CTAGAG</t>
  </si>
  <si>
    <t>CTAGAT</t>
  </si>
  <si>
    <t>CTAGCA</t>
  </si>
  <si>
    <t>CTAGCC</t>
  </si>
  <si>
    <t>CTAGCG</t>
  </si>
  <si>
    <t>CTAGCT</t>
  </si>
  <si>
    <t>CTAGGA</t>
  </si>
  <si>
    <t>CTAGGC</t>
  </si>
  <si>
    <t>CTAGGG</t>
  </si>
  <si>
    <t>CTAGGT</t>
  </si>
  <si>
    <t>CTAGTA</t>
  </si>
  <si>
    <t>CTAGTC</t>
  </si>
  <si>
    <t>CTAGTG</t>
  </si>
  <si>
    <t>CTAGTT</t>
  </si>
  <si>
    <t>CTATAA</t>
  </si>
  <si>
    <t>CTATAC</t>
  </si>
  <si>
    <t>CTATAG</t>
  </si>
  <si>
    <t>CTATAT</t>
  </si>
  <si>
    <t>CTATCA</t>
  </si>
  <si>
    <t>CTATCC</t>
  </si>
  <si>
    <t>CTATCG</t>
  </si>
  <si>
    <t>CTATCT</t>
  </si>
  <si>
    <t>CTATGA</t>
  </si>
  <si>
    <t>CTATGC</t>
  </si>
  <si>
    <t>CTATGG</t>
  </si>
  <si>
    <t>CTATGT</t>
  </si>
  <si>
    <t>CTATTA</t>
  </si>
  <si>
    <t>CTATTC</t>
  </si>
  <si>
    <t>CTATTG</t>
  </si>
  <si>
    <t>CTATTT</t>
  </si>
  <si>
    <t>CTCAAA</t>
  </si>
  <si>
    <t>CTCAAC</t>
  </si>
  <si>
    <t>CTCAAG</t>
  </si>
  <si>
    <t>CTCAAT</t>
  </si>
  <si>
    <t>CTCACA</t>
  </si>
  <si>
    <t>CTCACC</t>
  </si>
  <si>
    <t>CTCACG</t>
  </si>
  <si>
    <t>CTCACT</t>
  </si>
  <si>
    <t>CTCAGA</t>
  </si>
  <si>
    <t>CTCAGC</t>
  </si>
  <si>
    <t>CTCAGG</t>
  </si>
  <si>
    <t>CTCAGT</t>
  </si>
  <si>
    <t>CTCATA</t>
  </si>
  <si>
    <t>CTCATC</t>
  </si>
  <si>
    <t>CTCATG</t>
  </si>
  <si>
    <t>CTCATT</t>
  </si>
  <si>
    <t>CTCCAA</t>
  </si>
  <si>
    <t>CTCCAC</t>
  </si>
  <si>
    <t>CTCCAG</t>
  </si>
  <si>
    <t>CTCCAT</t>
  </si>
  <si>
    <t>CTCCCA</t>
  </si>
  <si>
    <t>CTCCCC</t>
  </si>
  <si>
    <t>CTCCCG</t>
  </si>
  <si>
    <t>CTCCCT</t>
  </si>
  <si>
    <t>CTCCGA</t>
  </si>
  <si>
    <t>CTCCGC</t>
  </si>
  <si>
    <t>CTCCGG</t>
  </si>
  <si>
    <t>CTCCGT</t>
  </si>
  <si>
    <t>CTCCTA</t>
  </si>
  <si>
    <t>CTCCTC</t>
  </si>
  <si>
    <t>CTCCTG</t>
  </si>
  <si>
    <t>CTCCTT</t>
  </si>
  <si>
    <t>CTCGAA</t>
  </si>
  <si>
    <t>CTCGAC</t>
  </si>
  <si>
    <t>CTCGAG</t>
  </si>
  <si>
    <t>CTCGAT</t>
  </si>
  <si>
    <t>CTCGCA</t>
  </si>
  <si>
    <t>CTCGCC</t>
  </si>
  <si>
    <t>CTCGCG</t>
  </si>
  <si>
    <t>CTCGCT</t>
  </si>
  <si>
    <t>CTCGGA</t>
  </si>
  <si>
    <t>CTCGGC</t>
  </si>
  <si>
    <t>CTCGGG</t>
  </si>
  <si>
    <t>CTCGGT</t>
  </si>
  <si>
    <t>CTCGTA</t>
  </si>
  <si>
    <t>CTCGTC</t>
  </si>
  <si>
    <t>CTCGTG</t>
  </si>
  <si>
    <t>CTCGTT</t>
  </si>
  <si>
    <t>CTCTAA</t>
  </si>
  <si>
    <t>CTCTAC</t>
  </si>
  <si>
    <t>CTCTAG</t>
  </si>
  <si>
    <t>CTCTAT</t>
  </si>
  <si>
    <t>CTCTCA</t>
  </si>
  <si>
    <t>CTCTCC</t>
  </si>
  <si>
    <t>CTCTCG</t>
  </si>
  <si>
    <t>CTCTCT</t>
  </si>
  <si>
    <t>CTCTGA</t>
  </si>
  <si>
    <t>CTCTGC</t>
  </si>
  <si>
    <t>CTCTGG</t>
  </si>
  <si>
    <t>CTCTGT</t>
  </si>
  <si>
    <t>CTCTTA</t>
  </si>
  <si>
    <t>CTCTTC</t>
  </si>
  <si>
    <t>CTCTTG</t>
  </si>
  <si>
    <t>CTCTTT</t>
  </si>
  <si>
    <t>CTGAAA</t>
  </si>
  <si>
    <t>CTGAAC</t>
  </si>
  <si>
    <t>CTGAAG</t>
  </si>
  <si>
    <t>CTGAAT</t>
  </si>
  <si>
    <t>CTGACA</t>
  </si>
  <si>
    <t>CTGACC</t>
  </si>
  <si>
    <t>CTGACG</t>
  </si>
  <si>
    <t>CTGACT</t>
  </si>
  <si>
    <t>CTGAGA</t>
  </si>
  <si>
    <t>CTGAGC</t>
  </si>
  <si>
    <t>CTGAGG</t>
  </si>
  <si>
    <t>CTGAGT</t>
  </si>
  <si>
    <t>CTGATA</t>
  </si>
  <si>
    <t>CTGATC</t>
  </si>
  <si>
    <t>CTGATG</t>
  </si>
  <si>
    <t>CTGATT</t>
  </si>
  <si>
    <t>CTGCAA</t>
  </si>
  <si>
    <t>CTGCAC</t>
  </si>
  <si>
    <t>CTGCAG</t>
  </si>
  <si>
    <t>CTGCAT</t>
  </si>
  <si>
    <t>CTGCCA</t>
  </si>
  <si>
    <t>CTGCCC</t>
  </si>
  <si>
    <t>CTGCCG</t>
  </si>
  <si>
    <t>CTGCCT</t>
  </si>
  <si>
    <t>CTGCGA</t>
  </si>
  <si>
    <t>CTGCGC</t>
  </si>
  <si>
    <t>CTGCGG</t>
  </si>
  <si>
    <t>CTGCGT</t>
  </si>
  <si>
    <t>CTGCTA</t>
  </si>
  <si>
    <t>CTGCTC</t>
  </si>
  <si>
    <t>CTGCTG</t>
  </si>
  <si>
    <t>CTGCTT</t>
  </si>
  <si>
    <t>CTGGAA</t>
  </si>
  <si>
    <t>CTGGAC</t>
  </si>
  <si>
    <t>CTGGAG</t>
  </si>
  <si>
    <t>CTGGAT</t>
  </si>
  <si>
    <t>CTGGCA</t>
  </si>
  <si>
    <t>CTGGCC</t>
  </si>
  <si>
    <t>CTGGCG</t>
  </si>
  <si>
    <t>CTGGCT</t>
  </si>
  <si>
    <t>CTGGGA</t>
  </si>
  <si>
    <t>CTGGGC</t>
  </si>
  <si>
    <t>CTGGGG</t>
  </si>
  <si>
    <t>CTGGGT</t>
  </si>
  <si>
    <t>CTGGTA</t>
  </si>
  <si>
    <t>CTGGTC</t>
  </si>
  <si>
    <t>CTGGTG</t>
  </si>
  <si>
    <t>CTGGTT</t>
  </si>
  <si>
    <t>CTGTAA</t>
  </si>
  <si>
    <t>CTGTAC</t>
  </si>
  <si>
    <t>CTGTAG</t>
  </si>
  <si>
    <t>CTGTAT</t>
  </si>
  <si>
    <t>CTGTCA</t>
  </si>
  <si>
    <t>CTGTCC</t>
  </si>
  <si>
    <t>CTGTCG</t>
  </si>
  <si>
    <t>CTGTCT</t>
  </si>
  <si>
    <t>CTGTGA</t>
  </si>
  <si>
    <t>CTGTGC</t>
  </si>
  <si>
    <t>CTGTGG</t>
  </si>
  <si>
    <t>CTGTGT</t>
  </si>
  <si>
    <t>CTGTTA</t>
  </si>
  <si>
    <t>CTGTTC</t>
  </si>
  <si>
    <t>CTGTTG</t>
  </si>
  <si>
    <t>CTGTTT</t>
  </si>
  <si>
    <t>CTTAAA</t>
  </si>
  <si>
    <t>CTTAAC</t>
  </si>
  <si>
    <t>CTTAAG</t>
  </si>
  <si>
    <t>CTTAAT</t>
  </si>
  <si>
    <t>CTTACA</t>
  </si>
  <si>
    <t>CTTACC</t>
  </si>
  <si>
    <t>CTTACG</t>
  </si>
  <si>
    <t>CTTACT</t>
  </si>
  <si>
    <t>CTTAGA</t>
  </si>
  <si>
    <t>CTTAGC</t>
  </si>
  <si>
    <t>CTTAGG</t>
  </si>
  <si>
    <t>CTTAGT</t>
  </si>
  <si>
    <t>CTTATA</t>
  </si>
  <si>
    <t>CTTATC</t>
  </si>
  <si>
    <t>CTTATG</t>
  </si>
  <si>
    <t>CTTATT</t>
  </si>
  <si>
    <t>CTTCAA</t>
  </si>
  <si>
    <t>CTTCAC</t>
  </si>
  <si>
    <t>CTTCAG</t>
  </si>
  <si>
    <t>CTTCAT</t>
  </si>
  <si>
    <t>CTTCCA</t>
  </si>
  <si>
    <t>CTTCCC</t>
  </si>
  <si>
    <t>CTTCCG</t>
  </si>
  <si>
    <t>CTTCCT</t>
  </si>
  <si>
    <t>CTTCGA</t>
  </si>
  <si>
    <t>CTTCGC</t>
  </si>
  <si>
    <t>CTTCGG</t>
  </si>
  <si>
    <t>CTTCGT</t>
  </si>
  <si>
    <t>CTTCTA</t>
  </si>
  <si>
    <t>CTTCTC</t>
  </si>
  <si>
    <t>CTTCTG</t>
  </si>
  <si>
    <t>CTTCTT</t>
  </si>
  <si>
    <t>CTTGAA</t>
  </si>
  <si>
    <t>CTTGAC</t>
  </si>
  <si>
    <t>CTTGAG</t>
  </si>
  <si>
    <t>CTTGAT</t>
  </si>
  <si>
    <t>CTTGCA</t>
  </si>
  <si>
    <t>CTTGCC</t>
  </si>
  <si>
    <t>CTTGCG</t>
  </si>
  <si>
    <t>CTTGCT</t>
  </si>
  <si>
    <t>CTTGGA</t>
  </si>
  <si>
    <t>CTTGGC</t>
  </si>
  <si>
    <t>CTTGGG</t>
  </si>
  <si>
    <t>CTTGGT</t>
  </si>
  <si>
    <t>CTTGTA</t>
  </si>
  <si>
    <t>CTTGTC</t>
  </si>
  <si>
    <t>CTTGTG</t>
  </si>
  <si>
    <t>CTTGTT</t>
  </si>
  <si>
    <t>CTTTAA</t>
  </si>
  <si>
    <t>CTTTAC</t>
  </si>
  <si>
    <t>CTTTAG</t>
  </si>
  <si>
    <t>CTTTAT</t>
  </si>
  <si>
    <t>CTTTCA</t>
  </si>
  <si>
    <t>CTTTCC</t>
  </si>
  <si>
    <t>CTTTCG</t>
  </si>
  <si>
    <t>CTTTCT</t>
  </si>
  <si>
    <t>CTTTGA</t>
  </si>
  <si>
    <t>CTTTGC</t>
  </si>
  <si>
    <t>CTTTGG</t>
  </si>
  <si>
    <t>CTTTGT</t>
  </si>
  <si>
    <t>CTTTTA</t>
  </si>
  <si>
    <t>CTTTTC</t>
  </si>
  <si>
    <t>CTTTTG</t>
  </si>
  <si>
    <t>CTTTTT</t>
  </si>
  <si>
    <t>GAAAAA</t>
  </si>
  <si>
    <t>GAAAAC</t>
  </si>
  <si>
    <t>GAAAAG</t>
  </si>
  <si>
    <t>GAAAAT</t>
  </si>
  <si>
    <t>GAAACA</t>
  </si>
  <si>
    <t>GAAACC</t>
  </si>
  <si>
    <t>GAAACG</t>
  </si>
  <si>
    <t>GAAACT</t>
  </si>
  <si>
    <t>GAAAGA</t>
  </si>
  <si>
    <t>GAAAGC</t>
  </si>
  <si>
    <t>GAAAGG</t>
  </si>
  <si>
    <t>GAAAGT</t>
  </si>
  <si>
    <t>GAAATA</t>
  </si>
  <si>
    <t>GAAATC</t>
  </si>
  <si>
    <t>GAAATG</t>
  </si>
  <si>
    <t>GAAATT</t>
  </si>
  <si>
    <t>GAACAA</t>
  </si>
  <si>
    <t>GAACAC</t>
  </si>
  <si>
    <t>GAACAG</t>
  </si>
  <si>
    <t>GAACAT</t>
  </si>
  <si>
    <t>GAACCA</t>
  </si>
  <si>
    <t>GAACCC</t>
  </si>
  <si>
    <t>GAACCG</t>
  </si>
  <si>
    <t>GAACCT</t>
  </si>
  <si>
    <t>GAACGA</t>
  </si>
  <si>
    <t>GAACGC</t>
  </si>
  <si>
    <t>GAACGG</t>
  </si>
  <si>
    <t>GAACGT</t>
  </si>
  <si>
    <t>GAACTA</t>
  </si>
  <si>
    <t>GAACTC</t>
  </si>
  <si>
    <t>GAACTG</t>
  </si>
  <si>
    <t>GAACTT</t>
  </si>
  <si>
    <t>GAAGAA</t>
  </si>
  <si>
    <t>GAAGAC</t>
  </si>
  <si>
    <t>GAAGAG</t>
  </si>
  <si>
    <t>GAAGAT</t>
  </si>
  <si>
    <t>GAAGCA</t>
  </si>
  <si>
    <t>GAAGCC</t>
  </si>
  <si>
    <t>GAAGCG</t>
  </si>
  <si>
    <t>GAAGCT</t>
  </si>
  <si>
    <t>GAAGGA</t>
  </si>
  <si>
    <t>GAAGGC</t>
  </si>
  <si>
    <t>GAAGGG</t>
  </si>
  <si>
    <t>GAAGGT</t>
  </si>
  <si>
    <t>GAAGTA</t>
  </si>
  <si>
    <t>GAAGTC</t>
  </si>
  <si>
    <t>GAAGTG</t>
  </si>
  <si>
    <t>GAAGTT</t>
  </si>
  <si>
    <t>GAATAA</t>
  </si>
  <si>
    <t>GAATAC</t>
  </si>
  <si>
    <t>GAATAG</t>
  </si>
  <si>
    <t>GAATAT</t>
  </si>
  <si>
    <t>GAATCA</t>
  </si>
  <si>
    <t>GAATCC</t>
  </si>
  <si>
    <t>GAATCG</t>
  </si>
  <si>
    <t>GAATCT</t>
  </si>
  <si>
    <t>GAATGA</t>
  </si>
  <si>
    <t>GAATGC</t>
  </si>
  <si>
    <t>GAATGG</t>
  </si>
  <si>
    <t>GAATGT</t>
  </si>
  <si>
    <t>GAATTA</t>
  </si>
  <si>
    <t>GAATTC</t>
  </si>
  <si>
    <t>GAATTG</t>
  </si>
  <si>
    <t>GAATTT</t>
  </si>
  <si>
    <t>GACAAA</t>
  </si>
  <si>
    <t>GACAAC</t>
  </si>
  <si>
    <t>GACAAG</t>
  </si>
  <si>
    <t>GACAAT</t>
  </si>
  <si>
    <t>GACACA</t>
  </si>
  <si>
    <t>GACACC</t>
  </si>
  <si>
    <t>GACACG</t>
  </si>
  <si>
    <t>GACACT</t>
  </si>
  <si>
    <t>GACAGA</t>
  </si>
  <si>
    <t>GACAGC</t>
  </si>
  <si>
    <t>GACAGG</t>
  </si>
  <si>
    <t>GACAGT</t>
  </si>
  <si>
    <t>GACATA</t>
  </si>
  <si>
    <t>GACATC</t>
  </si>
  <si>
    <t>GACATG</t>
  </si>
  <si>
    <t>GACATT</t>
  </si>
  <si>
    <t>GACCAA</t>
  </si>
  <si>
    <t>GACCAC</t>
  </si>
  <si>
    <t>GACCAG</t>
  </si>
  <si>
    <t>GACCAT</t>
  </si>
  <si>
    <t>GACCCA</t>
  </si>
  <si>
    <t>GACCCC</t>
  </si>
  <si>
    <t>GACCCG</t>
  </si>
  <si>
    <t>GACCCT</t>
  </si>
  <si>
    <t>GACCGA</t>
  </si>
  <si>
    <t>GACCGC</t>
  </si>
  <si>
    <t>GACCGG</t>
  </si>
  <si>
    <t>GACCGT</t>
  </si>
  <si>
    <t>GACCTA</t>
  </si>
  <si>
    <t>GACCTC</t>
  </si>
  <si>
    <t>GACCTG</t>
  </si>
  <si>
    <t>GACCTT</t>
  </si>
  <si>
    <t>GACGAA</t>
  </si>
  <si>
    <t>GACGAC</t>
  </si>
  <si>
    <t>GACGAG</t>
  </si>
  <si>
    <t>GACGAT</t>
  </si>
  <si>
    <t>GACGCA</t>
  </si>
  <si>
    <t>GACGCC</t>
  </si>
  <si>
    <t>GACGCG</t>
  </si>
  <si>
    <t>GACGCT</t>
  </si>
  <si>
    <t>GACGGA</t>
  </si>
  <si>
    <t>GACGGC</t>
  </si>
  <si>
    <t>GACGGG</t>
  </si>
  <si>
    <t>GACGGT</t>
  </si>
  <si>
    <t>GACGTA</t>
  </si>
  <si>
    <t>GACGTC</t>
  </si>
  <si>
    <t>GACGTG</t>
  </si>
  <si>
    <t>GACGTT</t>
  </si>
  <si>
    <t>GACTAA</t>
  </si>
  <si>
    <t>GACTAC</t>
  </si>
  <si>
    <t>GACTAG</t>
  </si>
  <si>
    <t>GACTAT</t>
  </si>
  <si>
    <t>GACTCA</t>
  </si>
  <si>
    <t>GACTCC</t>
  </si>
  <si>
    <t>GACTCG</t>
  </si>
  <si>
    <t>GACTCT</t>
  </si>
  <si>
    <t>GACTGA</t>
  </si>
  <si>
    <t>GACTGC</t>
  </si>
  <si>
    <t>GACTGG</t>
  </si>
  <si>
    <t>GACTGT</t>
  </si>
  <si>
    <t>GACTTA</t>
  </si>
  <si>
    <t>GACTTC</t>
  </si>
  <si>
    <t>GACTTG</t>
  </si>
  <si>
    <t>GACTTT</t>
  </si>
  <si>
    <t>GAGAAA</t>
  </si>
  <si>
    <t>GAGAAC</t>
  </si>
  <si>
    <t>GAGAAG</t>
  </si>
  <si>
    <t>GAGAAT</t>
  </si>
  <si>
    <t>GAGACA</t>
  </si>
  <si>
    <t>GAGACC</t>
  </si>
  <si>
    <t>GAGACG</t>
  </si>
  <si>
    <t>GAGACT</t>
  </si>
  <si>
    <t>GAGAGA</t>
  </si>
  <si>
    <t>GAGAGC</t>
  </si>
  <si>
    <t>GAGAGG</t>
  </si>
  <si>
    <t>GAGAGT</t>
  </si>
  <si>
    <t>GAGATA</t>
  </si>
  <si>
    <t>GAGATC</t>
  </si>
  <si>
    <t>GAGATG</t>
  </si>
  <si>
    <t>GAGATT</t>
  </si>
  <si>
    <t>GAGCAA</t>
  </si>
  <si>
    <t>GAGCAC</t>
  </si>
  <si>
    <t>GAGCAG</t>
  </si>
  <si>
    <t>GAGCAT</t>
  </si>
  <si>
    <t>GAGCCA</t>
  </si>
  <si>
    <t>GAGCCC</t>
  </si>
  <si>
    <t>GAGCCG</t>
  </si>
  <si>
    <t>GAGCCT</t>
  </si>
  <si>
    <t>GAGCGA</t>
  </si>
  <si>
    <t>GAGCGC</t>
  </si>
  <si>
    <t>GAGCGG</t>
  </si>
  <si>
    <t>GAGCGT</t>
  </si>
  <si>
    <t>GAGCTA</t>
  </si>
  <si>
    <t>GAGCTC</t>
  </si>
  <si>
    <t>GAGCTG</t>
  </si>
  <si>
    <t>GAGCTT</t>
  </si>
  <si>
    <t>GAGGAA</t>
  </si>
  <si>
    <t>GAGGAC</t>
  </si>
  <si>
    <t>GAGGAG</t>
  </si>
  <si>
    <t>GAGGAT</t>
  </si>
  <si>
    <t>GAGGCA</t>
  </si>
  <si>
    <t>GAGGCC</t>
  </si>
  <si>
    <t>GAGGCG</t>
  </si>
  <si>
    <t>GAGGCT</t>
  </si>
  <si>
    <t>GAGGGA</t>
  </si>
  <si>
    <t>GAGGGC</t>
  </si>
  <si>
    <t>GAGGGG</t>
  </si>
  <si>
    <t>GAGGGT</t>
  </si>
  <si>
    <t>GAGGTA</t>
  </si>
  <si>
    <t>GAGGTC</t>
  </si>
  <si>
    <t>GAGGTG</t>
  </si>
  <si>
    <t>GAGGTT</t>
  </si>
  <si>
    <t>GAGTAA</t>
  </si>
  <si>
    <t>GAGTAC</t>
  </si>
  <si>
    <t>GAGTAG</t>
  </si>
  <si>
    <t>GAGTAT</t>
  </si>
  <si>
    <t>GAGTCA</t>
  </si>
  <si>
    <t>GAGTCC</t>
  </si>
  <si>
    <t>GAGTCG</t>
  </si>
  <si>
    <t>GAGTCT</t>
  </si>
  <si>
    <t>GAGTGA</t>
  </si>
  <si>
    <t>GAGTGC</t>
  </si>
  <si>
    <t>GAGTGG</t>
  </si>
  <si>
    <t>GAGTGT</t>
  </si>
  <si>
    <t>GAGTTA</t>
  </si>
  <si>
    <t>GAGTTC</t>
  </si>
  <si>
    <t>GAGTTG</t>
  </si>
  <si>
    <t>GAGTTT</t>
  </si>
  <si>
    <t>GATAAA</t>
  </si>
  <si>
    <t>GATAAC</t>
  </si>
  <si>
    <t>GATAAG</t>
  </si>
  <si>
    <t>GATAAT</t>
  </si>
  <si>
    <t>GATACA</t>
  </si>
  <si>
    <t>GATACC</t>
  </si>
  <si>
    <t>GATACG</t>
  </si>
  <si>
    <t>GATACT</t>
  </si>
  <si>
    <t>GATAGA</t>
  </si>
  <si>
    <t>GATAGC</t>
  </si>
  <si>
    <t>GATAGG</t>
  </si>
  <si>
    <t>GATAGT</t>
  </si>
  <si>
    <t>GATATA</t>
  </si>
  <si>
    <t>GATATC</t>
  </si>
  <si>
    <t>GATATG</t>
  </si>
  <si>
    <t>GATATT</t>
  </si>
  <si>
    <t>GATCAA</t>
  </si>
  <si>
    <t>GATCAC</t>
  </si>
  <si>
    <t>GATCAG</t>
  </si>
  <si>
    <t>GATCAT</t>
  </si>
  <si>
    <t>GATCCA</t>
  </si>
  <si>
    <t>GATCCC</t>
  </si>
  <si>
    <t>GATCCG</t>
  </si>
  <si>
    <t>GATCCT</t>
  </si>
  <si>
    <t>GATCGA</t>
  </si>
  <si>
    <t>GATCGC</t>
  </si>
  <si>
    <t>GATCGG</t>
  </si>
  <si>
    <t>GATCGT</t>
  </si>
  <si>
    <t>GATCTA</t>
  </si>
  <si>
    <t>GATCTC</t>
  </si>
  <si>
    <t>GATCTG</t>
  </si>
  <si>
    <t>GATCTT</t>
  </si>
  <si>
    <t>GATGAA</t>
  </si>
  <si>
    <t>GATGAC</t>
  </si>
  <si>
    <t>GATGAG</t>
  </si>
  <si>
    <t>GATGAT</t>
  </si>
  <si>
    <t>GATGCA</t>
  </si>
  <si>
    <t>GATGCC</t>
  </si>
  <si>
    <t>GATGCG</t>
  </si>
  <si>
    <t>GATGCT</t>
  </si>
  <si>
    <t>GATGGA</t>
  </si>
  <si>
    <t>GATGGC</t>
  </si>
  <si>
    <t>GATGGG</t>
  </si>
  <si>
    <t>GATGGT</t>
  </si>
  <si>
    <t>GATGTA</t>
  </si>
  <si>
    <t>GATGTC</t>
  </si>
  <si>
    <t>GATGTG</t>
  </si>
  <si>
    <t>GATGTT</t>
  </si>
  <si>
    <t>GATTAA</t>
  </si>
  <si>
    <t>GATTAC</t>
  </si>
  <si>
    <t>GATTAG</t>
  </si>
  <si>
    <t>GATTAT</t>
  </si>
  <si>
    <t>GATTCA</t>
  </si>
  <si>
    <t>GATTCC</t>
  </si>
  <si>
    <t>GATTCG</t>
  </si>
  <si>
    <t>GATTCT</t>
  </si>
  <si>
    <t>GATTGA</t>
  </si>
  <si>
    <t>GATTGC</t>
  </si>
  <si>
    <t>GATTGG</t>
  </si>
  <si>
    <t>GATTGT</t>
  </si>
  <si>
    <t>GATTTA</t>
  </si>
  <si>
    <t>GATTTC</t>
  </si>
  <si>
    <t>GATTTG</t>
  </si>
  <si>
    <t>GATTTT</t>
  </si>
  <si>
    <t>GCAAAA</t>
  </si>
  <si>
    <t>GCAAAC</t>
  </si>
  <si>
    <t>GCAAAG</t>
  </si>
  <si>
    <t>GCAAAT</t>
  </si>
  <si>
    <t>GCAACA</t>
  </si>
  <si>
    <t>GCAACC</t>
  </si>
  <si>
    <t>GCAACG</t>
  </si>
  <si>
    <t>GCAACT</t>
  </si>
  <si>
    <t>GCAAGA</t>
  </si>
  <si>
    <t>GCAAGC</t>
  </si>
  <si>
    <t>GCAAGG</t>
  </si>
  <si>
    <t>GCAAGT</t>
  </si>
  <si>
    <t>GCAATA</t>
  </si>
  <si>
    <t>GCAATC</t>
  </si>
  <si>
    <t>GCAATG</t>
  </si>
  <si>
    <t>GCAATT</t>
  </si>
  <si>
    <t>GCACAA</t>
  </si>
  <si>
    <t>GCACAC</t>
  </si>
  <si>
    <t>GCACAG</t>
  </si>
  <si>
    <t>GCACAT</t>
  </si>
  <si>
    <t>GCACCA</t>
  </si>
  <si>
    <t>GCACCC</t>
  </si>
  <si>
    <t>GCACCG</t>
  </si>
  <si>
    <t>GCACCT</t>
  </si>
  <si>
    <t>GCACGA</t>
  </si>
  <si>
    <t>GCACGC</t>
  </si>
  <si>
    <t>GCACGG</t>
  </si>
  <si>
    <t>GCACGT</t>
  </si>
  <si>
    <t>GCACTA</t>
  </si>
  <si>
    <t>GCACTC</t>
  </si>
  <si>
    <t>GCACTG</t>
  </si>
  <si>
    <t>GCACTT</t>
  </si>
  <si>
    <t>GCAGAA</t>
  </si>
  <si>
    <t>GCAGAC</t>
  </si>
  <si>
    <t>GCAGAG</t>
  </si>
  <si>
    <t>GCAGAT</t>
  </si>
  <si>
    <t>GCAGCA</t>
  </si>
  <si>
    <t>GCAGCC</t>
  </si>
  <si>
    <t>GCAGCG</t>
  </si>
  <si>
    <t>GCAGCT</t>
  </si>
  <si>
    <t>GCAGGA</t>
  </si>
  <si>
    <t>GCAGGC</t>
  </si>
  <si>
    <t>GCAGGG</t>
  </si>
  <si>
    <t>GCAGGT</t>
  </si>
  <si>
    <t>GCAGTA</t>
  </si>
  <si>
    <t>GCAGTC</t>
  </si>
  <si>
    <t>GCAGTG</t>
  </si>
  <si>
    <t>GCAGTT</t>
  </si>
  <si>
    <t>GCATAA</t>
  </si>
  <si>
    <t>GCATAC</t>
  </si>
  <si>
    <t>GCATAG</t>
  </si>
  <si>
    <t>GCATAT</t>
  </si>
  <si>
    <t>GCATCA</t>
  </si>
  <si>
    <t>GCATCC</t>
  </si>
  <si>
    <t>GCATCG</t>
  </si>
  <si>
    <t>GCATCT</t>
  </si>
  <si>
    <t>GCATGA</t>
  </si>
  <si>
    <t>GCATGC</t>
  </si>
  <si>
    <t>GCATGG</t>
  </si>
  <si>
    <t>GCATGT</t>
  </si>
  <si>
    <t>GCATTA</t>
  </si>
  <si>
    <t>GCATTC</t>
  </si>
  <si>
    <t>GCATTG</t>
  </si>
  <si>
    <t>GCATTT</t>
  </si>
  <si>
    <t>GCCAAA</t>
  </si>
  <si>
    <t>GCCAAC</t>
  </si>
  <si>
    <t>GCCAAG</t>
  </si>
  <si>
    <t>GCCAAT</t>
  </si>
  <si>
    <t>GCCACA</t>
  </si>
  <si>
    <t>GCCACC</t>
  </si>
  <si>
    <t>GCCACG</t>
  </si>
  <si>
    <t>GCCACT</t>
  </si>
  <si>
    <t>GCCAGA</t>
  </si>
  <si>
    <t>GCCAGC</t>
  </si>
  <si>
    <t>GCCAGG</t>
  </si>
  <si>
    <t>GCCAGT</t>
  </si>
  <si>
    <t>GCCATA</t>
  </si>
  <si>
    <t>GCCATC</t>
  </si>
  <si>
    <t>GCCATG</t>
  </si>
  <si>
    <t>GCCATT</t>
  </si>
  <si>
    <t>GCCCAA</t>
  </si>
  <si>
    <t>GCCCAC</t>
  </si>
  <si>
    <t>GCCCAG</t>
  </si>
  <si>
    <t>GCCCAT</t>
  </si>
  <si>
    <t>GCCCCA</t>
  </si>
  <si>
    <t>GCCCCC</t>
  </si>
  <si>
    <t>GCCCCG</t>
  </si>
  <si>
    <t>GCCCCT</t>
  </si>
  <si>
    <t>GCCCGA</t>
  </si>
  <si>
    <t>GCCCGC</t>
  </si>
  <si>
    <t>GCCCGG</t>
  </si>
  <si>
    <t>GCCCGT</t>
  </si>
  <si>
    <t>GCCCTA</t>
  </si>
  <si>
    <t>GCCCTC</t>
  </si>
  <si>
    <t>GCCCTG</t>
  </si>
  <si>
    <t>GCCCTT</t>
  </si>
  <si>
    <t>GCCGAA</t>
  </si>
  <si>
    <t>GCCGAC</t>
  </si>
  <si>
    <t>GCCGAG</t>
  </si>
  <si>
    <t>GCCGAT</t>
  </si>
  <si>
    <t>GCCGCA</t>
  </si>
  <si>
    <t>GCCGCC</t>
  </si>
  <si>
    <t>GCCGCG</t>
  </si>
  <si>
    <t>GCCGCT</t>
  </si>
  <si>
    <t>GCCGGA</t>
  </si>
  <si>
    <t>GCCGGC</t>
  </si>
  <si>
    <t>GCCGGG</t>
  </si>
  <si>
    <t>GCCGGT</t>
  </si>
  <si>
    <t>GCCGTA</t>
  </si>
  <si>
    <t>GCCGTC</t>
  </si>
  <si>
    <t>GCCGTG</t>
  </si>
  <si>
    <t>GCCGTT</t>
  </si>
  <si>
    <t>GCCTAA</t>
  </si>
  <si>
    <t>GCCTAC</t>
  </si>
  <si>
    <t>GCCTAG</t>
  </si>
  <si>
    <t>GCCTAT</t>
  </si>
  <si>
    <t>GCCTCA</t>
  </si>
  <si>
    <t>GCCTCC</t>
  </si>
  <si>
    <t>GCCTCG</t>
  </si>
  <si>
    <t>GCCTCT</t>
  </si>
  <si>
    <t>GCCTGA</t>
  </si>
  <si>
    <t>GCCTGC</t>
  </si>
  <si>
    <t>GCCTGG</t>
  </si>
  <si>
    <t>GCCTGT</t>
  </si>
  <si>
    <t>GCCTTA</t>
  </si>
  <si>
    <t>GCCTTC</t>
  </si>
  <si>
    <t>GCCTTG</t>
  </si>
  <si>
    <t>GCCTTT</t>
  </si>
  <si>
    <t>GCGAAA</t>
  </si>
  <si>
    <t>GCGAAC</t>
  </si>
  <si>
    <t>GCGAAG</t>
  </si>
  <si>
    <t>GCGAAT</t>
  </si>
  <si>
    <t>GCGACA</t>
  </si>
  <si>
    <t>GCGACC</t>
  </si>
  <si>
    <t>GCGACG</t>
  </si>
  <si>
    <t>GCGACT</t>
  </si>
  <si>
    <t>GCGAGA</t>
  </si>
  <si>
    <t>GCGAGC</t>
  </si>
  <si>
    <t>GCGAGG</t>
  </si>
  <si>
    <t>GCGAGT</t>
  </si>
  <si>
    <t>GCGATA</t>
  </si>
  <si>
    <t>GCGATC</t>
  </si>
  <si>
    <t>GCGATG</t>
  </si>
  <si>
    <t>GCGATT</t>
  </si>
  <si>
    <t>GCGCAA</t>
  </si>
  <si>
    <t>GCGCAC</t>
  </si>
  <si>
    <t>GCGCAG</t>
  </si>
  <si>
    <t>GCGCAT</t>
  </si>
  <si>
    <t>GCGCCA</t>
  </si>
  <si>
    <t>GCGCCC</t>
  </si>
  <si>
    <t>GCGCCG</t>
  </si>
  <si>
    <t>GCGCCT</t>
  </si>
  <si>
    <t>GCGCGA</t>
  </si>
  <si>
    <t>GCGCGC</t>
  </si>
  <si>
    <t>GCGCGG</t>
  </si>
  <si>
    <t>GCGCGT</t>
  </si>
  <si>
    <t>GCGCTA</t>
  </si>
  <si>
    <t>GCGCTC</t>
  </si>
  <si>
    <t>GCGCTG</t>
  </si>
  <si>
    <t>GCGCTT</t>
  </si>
  <si>
    <t>GCGGAA</t>
  </si>
  <si>
    <t>GCGGAC</t>
  </si>
  <si>
    <t>GCGGAG</t>
  </si>
  <si>
    <t>GCGGAT</t>
  </si>
  <si>
    <t>GCGGCA</t>
  </si>
  <si>
    <t>GCGGCC</t>
  </si>
  <si>
    <t>GCGGCG</t>
  </si>
  <si>
    <t>GCGGCT</t>
  </si>
  <si>
    <t>GCGGGA</t>
  </si>
  <si>
    <t>GCGGGC</t>
  </si>
  <si>
    <t>GCGGGG</t>
  </si>
  <si>
    <t>GCGGGT</t>
  </si>
  <si>
    <t>GCGGTA</t>
  </si>
  <si>
    <t>GCGGTC</t>
  </si>
  <si>
    <t>GCGGTG</t>
  </si>
  <si>
    <t>GCGGTT</t>
  </si>
  <si>
    <t>GCGTAA</t>
  </si>
  <si>
    <t>GCGTAC</t>
  </si>
  <si>
    <t>GCGTAG</t>
  </si>
  <si>
    <t>GCGTAT</t>
  </si>
  <si>
    <t>GCGTCA</t>
  </si>
  <si>
    <t>GCGTCC</t>
  </si>
  <si>
    <t>GCGTCG</t>
  </si>
  <si>
    <t>GCGTCT</t>
  </si>
  <si>
    <t>GCGTGA</t>
  </si>
  <si>
    <t>GCGTGC</t>
  </si>
  <si>
    <t>GCGTGG</t>
  </si>
  <si>
    <t>GCGTGT</t>
  </si>
  <si>
    <t>GCGTTA</t>
  </si>
  <si>
    <t>GCGTTC</t>
  </si>
  <si>
    <t>GCGTTG</t>
  </si>
  <si>
    <t>GCGTTT</t>
  </si>
  <si>
    <t>GCTAAA</t>
  </si>
  <si>
    <t>GCTAAC</t>
  </si>
  <si>
    <t>GCTAAG</t>
  </si>
  <si>
    <t>GCTAAT</t>
  </si>
  <si>
    <t>GCTACA</t>
  </si>
  <si>
    <t>GCTACC</t>
  </si>
  <si>
    <t>GCTACG</t>
  </si>
  <si>
    <t>GCTACT</t>
  </si>
  <si>
    <t>GCTAGA</t>
  </si>
  <si>
    <t>GCTAGC</t>
  </si>
  <si>
    <t>GCTAGG</t>
  </si>
  <si>
    <t>GCTAGT</t>
  </si>
  <si>
    <t>GCTATA</t>
  </si>
  <si>
    <t>GCTATC</t>
  </si>
  <si>
    <t>GCTATG</t>
  </si>
  <si>
    <t>GCTATT</t>
  </si>
  <si>
    <t>GCTCAA</t>
  </si>
  <si>
    <t>GCTCAC</t>
  </si>
  <si>
    <t>GCTCAG</t>
  </si>
  <si>
    <t>GCTCAT</t>
  </si>
  <si>
    <t>GCTCCA</t>
  </si>
  <si>
    <t>GCTCCC</t>
  </si>
  <si>
    <t>GCTCCG</t>
  </si>
  <si>
    <t>GCTCCT</t>
  </si>
  <si>
    <t>GCTCGA</t>
  </si>
  <si>
    <t>GCTCGC</t>
  </si>
  <si>
    <t>GCTCGG</t>
  </si>
  <si>
    <t>GCTCGT</t>
  </si>
  <si>
    <t>GCTCTA</t>
  </si>
  <si>
    <t>GCTCTC</t>
  </si>
  <si>
    <t>GCTCTG</t>
  </si>
  <si>
    <t>GCTCTT</t>
  </si>
  <si>
    <t>GCTGAA</t>
  </si>
  <si>
    <t>GCTGAC</t>
  </si>
  <si>
    <t>GCTGAG</t>
  </si>
  <si>
    <t>GCTGAT</t>
  </si>
  <si>
    <t>GCTGCA</t>
  </si>
  <si>
    <t>GCTGCC</t>
  </si>
  <si>
    <t>GCTGCG</t>
  </si>
  <si>
    <t>GCTGCT</t>
  </si>
  <si>
    <t>GCTGGA</t>
  </si>
  <si>
    <t>GCTGGC</t>
  </si>
  <si>
    <t>GCTGGG</t>
  </si>
  <si>
    <t>GCTGGT</t>
  </si>
  <si>
    <t>GCTGTA</t>
  </si>
  <si>
    <t>GCTGTC</t>
  </si>
  <si>
    <t>GCTGTG</t>
  </si>
  <si>
    <t>GCTGTT</t>
  </si>
  <si>
    <t>GCTTAA</t>
  </si>
  <si>
    <t>GCTTAC</t>
  </si>
  <si>
    <t>GCTTAG</t>
  </si>
  <si>
    <t>GCTTAT</t>
  </si>
  <si>
    <t>GCTTCA</t>
  </si>
  <si>
    <t>GCTTCC</t>
  </si>
  <si>
    <t>GCTTCG</t>
  </si>
  <si>
    <t>GCTTCT</t>
  </si>
  <si>
    <t>GCTTGA</t>
  </si>
  <si>
    <t>GCTTGC</t>
  </si>
  <si>
    <t>GCTTGG</t>
  </si>
  <si>
    <t>GCTTGT</t>
  </si>
  <si>
    <t>GCTTTA</t>
  </si>
  <si>
    <t>GCTTTC</t>
  </si>
  <si>
    <t>GCTTTG</t>
  </si>
  <si>
    <t>GCTTTT</t>
  </si>
  <si>
    <t>GGAAAA</t>
  </si>
  <si>
    <t>GGAAAC</t>
  </si>
  <si>
    <t>GGAAAG</t>
  </si>
  <si>
    <t>GGAAAT</t>
  </si>
  <si>
    <t>GGAACA</t>
  </si>
  <si>
    <t>GGAACC</t>
  </si>
  <si>
    <t>GGAACG</t>
  </si>
  <si>
    <t>GGAACT</t>
  </si>
  <si>
    <t>GGAAGA</t>
  </si>
  <si>
    <t>GGAAGC</t>
  </si>
  <si>
    <t>GGAAGG</t>
  </si>
  <si>
    <t>GGAAGT</t>
  </si>
  <si>
    <t>GGAATA</t>
  </si>
  <si>
    <t>GGAATC</t>
  </si>
  <si>
    <t>GGAATG</t>
  </si>
  <si>
    <t>GGAATT</t>
  </si>
  <si>
    <t>GGACAA</t>
  </si>
  <si>
    <t>GGACAC</t>
  </si>
  <si>
    <t>GGACAG</t>
  </si>
  <si>
    <t>GGACAT</t>
  </si>
  <si>
    <t>GGACCA</t>
  </si>
  <si>
    <t>GGACCC</t>
  </si>
  <si>
    <t>GGACCG</t>
  </si>
  <si>
    <t>GGACCT</t>
  </si>
  <si>
    <t>GGACGA</t>
  </si>
  <si>
    <t>GGACGC</t>
  </si>
  <si>
    <t>GGACGG</t>
  </si>
  <si>
    <t>GGACGT</t>
  </si>
  <si>
    <t>GGACTA</t>
  </si>
  <si>
    <t>GGACTC</t>
  </si>
  <si>
    <t>GGACTG</t>
  </si>
  <si>
    <t>GGACTT</t>
  </si>
  <si>
    <t>GGAGAA</t>
  </si>
  <si>
    <t>GGAGAC</t>
  </si>
  <si>
    <t>GGAGAG</t>
  </si>
  <si>
    <t>GGAGAT</t>
  </si>
  <si>
    <t>GGAGCA</t>
  </si>
  <si>
    <t>GGAGCC</t>
  </si>
  <si>
    <t>GGAGCG</t>
  </si>
  <si>
    <t>GGAGCT</t>
  </si>
  <si>
    <t>GGAGGA</t>
  </si>
  <si>
    <t>GGAGGC</t>
  </si>
  <si>
    <t>GGAGGG</t>
  </si>
  <si>
    <t>GGAGGT</t>
  </si>
  <si>
    <t>GGAGTA</t>
  </si>
  <si>
    <t>GGAGTC</t>
  </si>
  <si>
    <t>GGAGTG</t>
  </si>
  <si>
    <t>GGAGTT</t>
  </si>
  <si>
    <t>GGATAA</t>
  </si>
  <si>
    <t>GGATAC</t>
  </si>
  <si>
    <t>GGATAG</t>
  </si>
  <si>
    <t>GGATAT</t>
  </si>
  <si>
    <t>GGATCA</t>
  </si>
  <si>
    <t>GGATCC</t>
  </si>
  <si>
    <t>GGATCG</t>
  </si>
  <si>
    <t>GGATCT</t>
  </si>
  <si>
    <t>GGATGA</t>
  </si>
  <si>
    <t>GGATGC</t>
  </si>
  <si>
    <t>GGATGG</t>
  </si>
  <si>
    <t>GGATGT</t>
  </si>
  <si>
    <t>GGATTA</t>
  </si>
  <si>
    <t>GGATTC</t>
  </si>
  <si>
    <t>GGATTG</t>
  </si>
  <si>
    <t>GGATTT</t>
  </si>
  <si>
    <t>GGCAAA</t>
  </si>
  <si>
    <t>GGCAAC</t>
  </si>
  <si>
    <t>GGCAAG</t>
  </si>
  <si>
    <t>GGCAAT</t>
  </si>
  <si>
    <t>GGCACA</t>
  </si>
  <si>
    <t>GGCACC</t>
  </si>
  <si>
    <t>GGCACG</t>
  </si>
  <si>
    <t>GGCACT</t>
  </si>
  <si>
    <t>GGCAGA</t>
  </si>
  <si>
    <t>GGCAGC</t>
  </si>
  <si>
    <t>GGCAGG</t>
  </si>
  <si>
    <t>GGCAGT</t>
  </si>
  <si>
    <t>GGCATA</t>
  </si>
  <si>
    <t>GGCATC</t>
  </si>
  <si>
    <t>GGCATG</t>
  </si>
  <si>
    <t>GGCATT</t>
  </si>
  <si>
    <t>GGCCAA</t>
  </si>
  <si>
    <t>GGCCAC</t>
  </si>
  <si>
    <t>GGCCAG</t>
  </si>
  <si>
    <t>GGCCAT</t>
  </si>
  <si>
    <t>GGCCCA</t>
  </si>
  <si>
    <t>GGCCCC</t>
  </si>
  <si>
    <t>GGCCCG</t>
  </si>
  <si>
    <t>GGCCCT</t>
  </si>
  <si>
    <t>GGCCGA</t>
  </si>
  <si>
    <t>GGCCGC</t>
  </si>
  <si>
    <t>GGCCGG</t>
  </si>
  <si>
    <t>GGCCGT</t>
  </si>
  <si>
    <t>GGCCTA</t>
  </si>
  <si>
    <t>GGCCTC</t>
  </si>
  <si>
    <t>GGCCTG</t>
  </si>
  <si>
    <t>GGCCTT</t>
  </si>
  <si>
    <t>GGCGAA</t>
  </si>
  <si>
    <t>GGCGAC</t>
  </si>
  <si>
    <t>GGCGAG</t>
  </si>
  <si>
    <t>GGCGAT</t>
  </si>
  <si>
    <t>GGCGCA</t>
  </si>
  <si>
    <t>GGCGCC</t>
  </si>
  <si>
    <t>GGCGCG</t>
  </si>
  <si>
    <t>GGCGCT</t>
  </si>
  <si>
    <t>GGCGGA</t>
  </si>
  <si>
    <t>GGCGGC</t>
  </si>
  <si>
    <t>GGCGGG</t>
  </si>
  <si>
    <t>GGCGGT</t>
  </si>
  <si>
    <t>GGCGTA</t>
  </si>
  <si>
    <t>GGCGTC</t>
  </si>
  <si>
    <t>GGCGTG</t>
  </si>
  <si>
    <t>GGCGTT</t>
  </si>
  <si>
    <t>GGCTAA</t>
  </si>
  <si>
    <t>GGCTAC</t>
  </si>
  <si>
    <t>GGCTAG</t>
  </si>
  <si>
    <t>GGCTAT</t>
  </si>
  <si>
    <t>GGCTCA</t>
  </si>
  <si>
    <t>GGCTCC</t>
  </si>
  <si>
    <t>GGCTCG</t>
  </si>
  <si>
    <t>GGCTCT</t>
  </si>
  <si>
    <t>GGCTGA</t>
  </si>
  <si>
    <t>GGCTGC</t>
  </si>
  <si>
    <t>GGCTGG</t>
  </si>
  <si>
    <t>GGCTGT</t>
  </si>
  <si>
    <t>GGCTTA</t>
  </si>
  <si>
    <t>GGCTTC</t>
  </si>
  <si>
    <t>GGCTTG</t>
  </si>
  <si>
    <t>GGCTTT</t>
  </si>
  <si>
    <t>GGGAAA</t>
  </si>
  <si>
    <t>GGGAAC</t>
  </si>
  <si>
    <t>GGGAAG</t>
  </si>
  <si>
    <t>GGGAAT</t>
  </si>
  <si>
    <t>GGGACA</t>
  </si>
  <si>
    <t>GGGACC</t>
  </si>
  <si>
    <t>GGGACG</t>
  </si>
  <si>
    <t>GGGACT</t>
  </si>
  <si>
    <t>GGGAGA</t>
  </si>
  <si>
    <t>GGGAGC</t>
  </si>
  <si>
    <t>GGGAGG</t>
  </si>
  <si>
    <t>GGGAGT</t>
  </si>
  <si>
    <t>GGGATA</t>
  </si>
  <si>
    <t>GGGATC</t>
  </si>
  <si>
    <t>GGGATG</t>
  </si>
  <si>
    <t>GGGATT</t>
  </si>
  <si>
    <t>GGGCAA</t>
  </si>
  <si>
    <t>GGGCAC</t>
  </si>
  <si>
    <t>GGGCAG</t>
  </si>
  <si>
    <t>GGGCAT</t>
  </si>
  <si>
    <t>GGGCCA</t>
  </si>
  <si>
    <t>GGGCCC</t>
  </si>
  <si>
    <t>GGGCCG</t>
  </si>
  <si>
    <t>GGGCCT</t>
  </si>
  <si>
    <t>GGGCGA</t>
  </si>
  <si>
    <t>GGGCGC</t>
  </si>
  <si>
    <t>GGGCGG</t>
  </si>
  <si>
    <t>GGGCGT</t>
  </si>
  <si>
    <t>GGGCTA</t>
  </si>
  <si>
    <t>GGGCTC</t>
  </si>
  <si>
    <t>GGGCTG</t>
  </si>
  <si>
    <t>GGGCTT</t>
  </si>
  <si>
    <t>GGGGAA</t>
  </si>
  <si>
    <t>GGGGAC</t>
  </si>
  <si>
    <t>GGGGAG</t>
  </si>
  <si>
    <t>GGGGAT</t>
  </si>
  <si>
    <t>GGGGCA</t>
  </si>
  <si>
    <t>GGGGCC</t>
  </si>
  <si>
    <t>GGGGCG</t>
  </si>
  <si>
    <t>GGGGCT</t>
  </si>
  <si>
    <t>GGGGGA</t>
  </si>
  <si>
    <t>GGGGGC</t>
  </si>
  <si>
    <t>GGGGGG</t>
  </si>
  <si>
    <t>GGGGGT</t>
  </si>
  <si>
    <t>GGGGTA</t>
  </si>
  <si>
    <t>GGGGTC</t>
  </si>
  <si>
    <t>GGGGTG</t>
  </si>
  <si>
    <t>GGGGTT</t>
  </si>
  <si>
    <t>GGGTAA</t>
  </si>
  <si>
    <t>GGGTAC</t>
  </si>
  <si>
    <t>GGGTAG</t>
  </si>
  <si>
    <t>GGGTAT</t>
  </si>
  <si>
    <t>GGGTCA</t>
  </si>
  <si>
    <t>GGGTCC</t>
  </si>
  <si>
    <t>GGGTCG</t>
  </si>
  <si>
    <t>GGGTCT</t>
  </si>
  <si>
    <t>GGGTGA</t>
  </si>
  <si>
    <t>GGGTGC</t>
  </si>
  <si>
    <t>GGGTGG</t>
  </si>
  <si>
    <t>GGGTGT</t>
  </si>
  <si>
    <t>GGGTTA</t>
  </si>
  <si>
    <t>GGGTTC</t>
  </si>
  <si>
    <t>GGGTTG</t>
  </si>
  <si>
    <t>GGGTTT</t>
  </si>
  <si>
    <t>GGTAAA</t>
  </si>
  <si>
    <t>GGTAAC</t>
  </si>
  <si>
    <t>GGTAAG</t>
  </si>
  <si>
    <t>GGTAAT</t>
  </si>
  <si>
    <t>GGTACA</t>
  </si>
  <si>
    <t>GGTACC</t>
  </si>
  <si>
    <t>GGTACG</t>
  </si>
  <si>
    <t>GGTACT</t>
  </si>
  <si>
    <t>GGTAGA</t>
  </si>
  <si>
    <t>GGTAGC</t>
  </si>
  <si>
    <t>GGTAGG</t>
  </si>
  <si>
    <t>GGTAGT</t>
  </si>
  <si>
    <t>GGTATA</t>
  </si>
  <si>
    <t>GGTATC</t>
  </si>
  <si>
    <t>GGTATG</t>
  </si>
  <si>
    <t>GGTATT</t>
  </si>
  <si>
    <t>GGTCAA</t>
  </si>
  <si>
    <t>GGTCAC</t>
  </si>
  <si>
    <t>GGTCAG</t>
  </si>
  <si>
    <t>GGTCAT</t>
  </si>
  <si>
    <t>GGTCCA</t>
  </si>
  <si>
    <t>GGTCCC</t>
  </si>
  <si>
    <t>GGTCCG</t>
  </si>
  <si>
    <t>GGTCCT</t>
  </si>
  <si>
    <t>GGTCGA</t>
  </si>
  <si>
    <t>GGTCGC</t>
  </si>
  <si>
    <t>GGTCGG</t>
  </si>
  <si>
    <t>GGTCGT</t>
  </si>
  <si>
    <t>GGTCTA</t>
  </si>
  <si>
    <t>GGTCTC</t>
  </si>
  <si>
    <t>GGTCTG</t>
  </si>
  <si>
    <t>GGTCTT</t>
  </si>
  <si>
    <t>GGTGAA</t>
  </si>
  <si>
    <t>GGTGAC</t>
  </si>
  <si>
    <t>GGTGAG</t>
  </si>
  <si>
    <t>GGTGAT</t>
  </si>
  <si>
    <t>GGTGCA</t>
  </si>
  <si>
    <t>GGTGCC</t>
  </si>
  <si>
    <t>GGTGCG</t>
  </si>
  <si>
    <t>GGTGCT</t>
  </si>
  <si>
    <t>GGTGGA</t>
  </si>
  <si>
    <t>GGTGGC</t>
  </si>
  <si>
    <t>GGTGGG</t>
  </si>
  <si>
    <t>GGTGGT</t>
  </si>
  <si>
    <t>GGTGTA</t>
  </si>
  <si>
    <t>GGTGTC</t>
  </si>
  <si>
    <t>GGTGTG</t>
  </si>
  <si>
    <t>GGTGTT</t>
  </si>
  <si>
    <t>GGTTAA</t>
  </si>
  <si>
    <t>GGTTAC</t>
  </si>
  <si>
    <t>GGTTAG</t>
  </si>
  <si>
    <t>GGTTAT</t>
  </si>
  <si>
    <t>GGTTCA</t>
  </si>
  <si>
    <t>GGTTCC</t>
  </si>
  <si>
    <t>GGTTCG</t>
  </si>
  <si>
    <t>GGTTCT</t>
  </si>
  <si>
    <t>GGTTGA</t>
  </si>
  <si>
    <t>GGTTGC</t>
  </si>
  <si>
    <t>GGTTGG</t>
  </si>
  <si>
    <t>GGTTGT</t>
  </si>
  <si>
    <t>GGTTTA</t>
  </si>
  <si>
    <t>GGTTTC</t>
  </si>
  <si>
    <t>GGTTTG</t>
  </si>
  <si>
    <t>GGTTTT</t>
  </si>
  <si>
    <t>GTAAAA</t>
  </si>
  <si>
    <t>GTAAAC</t>
  </si>
  <si>
    <t>GTAAAG</t>
  </si>
  <si>
    <t>GTAAAT</t>
  </si>
  <si>
    <t>GTAACA</t>
  </si>
  <si>
    <t>GTAACC</t>
  </si>
  <si>
    <t>GTAACG</t>
  </si>
  <si>
    <t>GTAACT</t>
  </si>
  <si>
    <t>GTAAGA</t>
  </si>
  <si>
    <t>GTAAGC</t>
  </si>
  <si>
    <t>GTAAGG</t>
  </si>
  <si>
    <t>GTAAGT</t>
  </si>
  <si>
    <t>GTAATA</t>
  </si>
  <si>
    <t>GTAATC</t>
  </si>
  <si>
    <t>GTAATG</t>
  </si>
  <si>
    <t>GTAATT</t>
  </si>
  <si>
    <t>GTACAA</t>
  </si>
  <si>
    <t>GTACAC</t>
  </si>
  <si>
    <t>GTACAG</t>
  </si>
  <si>
    <t>GTACAT</t>
  </si>
  <si>
    <t>GTACCA</t>
  </si>
  <si>
    <t>GTACCC</t>
  </si>
  <si>
    <t>GTACCG</t>
  </si>
  <si>
    <t>GTACCT</t>
  </si>
  <si>
    <t>GTACGA</t>
  </si>
  <si>
    <t>GTACGC</t>
  </si>
  <si>
    <t>GTACGG</t>
  </si>
  <si>
    <t>GTACGT</t>
  </si>
  <si>
    <t>GTACTA</t>
  </si>
  <si>
    <t>GTACTC</t>
  </si>
  <si>
    <t>GTACTG</t>
  </si>
  <si>
    <t>GTACTT</t>
  </si>
  <si>
    <t>GTAGAA</t>
  </si>
  <si>
    <t>GTAGAC</t>
  </si>
  <si>
    <t>GTAGAG</t>
  </si>
  <si>
    <t>GTAGAT</t>
  </si>
  <si>
    <t>GTAGCA</t>
  </si>
  <si>
    <t>GTAGCC</t>
  </si>
  <si>
    <t>GTAGCG</t>
  </si>
  <si>
    <t>GTAGCT</t>
  </si>
  <si>
    <t>GTAGGA</t>
  </si>
  <si>
    <t>GTAGGC</t>
  </si>
  <si>
    <t>GTAGGG</t>
  </si>
  <si>
    <t>GTAGGT</t>
  </si>
  <si>
    <t>GTAGTA</t>
  </si>
  <si>
    <t>GTAGTC</t>
  </si>
  <si>
    <t>GTAGTG</t>
  </si>
  <si>
    <t>GTAGTT</t>
  </si>
  <si>
    <t>GTATAA</t>
  </si>
  <si>
    <t>GTATAC</t>
  </si>
  <si>
    <t>GTATAG</t>
  </si>
  <si>
    <t>GTATAT</t>
  </si>
  <si>
    <t>GTATCA</t>
  </si>
  <si>
    <t>GTATCC</t>
  </si>
  <si>
    <t>GTATCG</t>
  </si>
  <si>
    <t>GTATCT</t>
  </si>
  <si>
    <t>GTATGA</t>
  </si>
  <si>
    <t>GTATGC</t>
  </si>
  <si>
    <t>GTATGG</t>
  </si>
  <si>
    <t>GTATGT</t>
  </si>
  <si>
    <t>GTATTA</t>
  </si>
  <si>
    <t>GTATTC</t>
  </si>
  <si>
    <t>GTATTG</t>
  </si>
  <si>
    <t>GTATTT</t>
  </si>
  <si>
    <t>GTCAAA</t>
  </si>
  <si>
    <t>GTCAAC</t>
  </si>
  <si>
    <t>GTCAAG</t>
  </si>
  <si>
    <t>GTCAAT</t>
  </si>
  <si>
    <t>GTCACA</t>
  </si>
  <si>
    <t>GTCACC</t>
  </si>
  <si>
    <t>GTCACG</t>
  </si>
  <si>
    <t>GTCACT</t>
  </si>
  <si>
    <t>GTCAGA</t>
  </si>
  <si>
    <t>GTCAGC</t>
  </si>
  <si>
    <t>GTCAGG</t>
  </si>
  <si>
    <t>GTCAGT</t>
  </si>
  <si>
    <t>GTCATA</t>
  </si>
  <si>
    <t>GTCATC</t>
  </si>
  <si>
    <t>GTCATG</t>
  </si>
  <si>
    <t>GTCATT</t>
  </si>
  <si>
    <t>GTCCAA</t>
  </si>
  <si>
    <t>GTCCAC</t>
  </si>
  <si>
    <t>GTCCAG</t>
  </si>
  <si>
    <t>GTCCAT</t>
  </si>
  <si>
    <t>GTCCCA</t>
  </si>
  <si>
    <t>GTCCCC</t>
  </si>
  <si>
    <t>GTCCCG</t>
  </si>
  <si>
    <t>GTCCCT</t>
  </si>
  <si>
    <t>GTCCGA</t>
  </si>
  <si>
    <t>GTCCGC</t>
  </si>
  <si>
    <t>GTCCGG</t>
  </si>
  <si>
    <t>GTCCGT</t>
  </si>
  <si>
    <t>GTCCTA</t>
  </si>
  <si>
    <t>GTCCTC</t>
  </si>
  <si>
    <t>GTCCTG</t>
  </si>
  <si>
    <t>GTCCTT</t>
  </si>
  <si>
    <t>GTCGAA</t>
  </si>
  <si>
    <t>GTCGAC</t>
  </si>
  <si>
    <t>GTCGAG</t>
  </si>
  <si>
    <t>GTCGAT</t>
  </si>
  <si>
    <t>GTCGCA</t>
  </si>
  <si>
    <t>GTCGCC</t>
  </si>
  <si>
    <t>GTCGCG</t>
  </si>
  <si>
    <t>GTCGCT</t>
  </si>
  <si>
    <t>GTCGGA</t>
  </si>
  <si>
    <t>GTCGGC</t>
  </si>
  <si>
    <t>GTCGGG</t>
  </si>
  <si>
    <t>GTCGGT</t>
  </si>
  <si>
    <t>GTCGTA</t>
  </si>
  <si>
    <t>GTCGTC</t>
  </si>
  <si>
    <t>GTCGTG</t>
  </si>
  <si>
    <t>GTCGTT</t>
  </si>
  <si>
    <t>GTCTAA</t>
  </si>
  <si>
    <t>GTCTAC</t>
  </si>
  <si>
    <t>GTCTAG</t>
  </si>
  <si>
    <t>GTCTAT</t>
  </si>
  <si>
    <t>GTCTCA</t>
  </si>
  <si>
    <t>GTCTCC</t>
  </si>
  <si>
    <t>GTCTCG</t>
  </si>
  <si>
    <t>GTCTCT</t>
  </si>
  <si>
    <t>GTCTGA</t>
  </si>
  <si>
    <t>GTCTGC</t>
  </si>
  <si>
    <t>GTCTGG</t>
  </si>
  <si>
    <t>GTCTGT</t>
  </si>
  <si>
    <t>GTCTTA</t>
  </si>
  <si>
    <t>GTCTTC</t>
  </si>
  <si>
    <t>GTCTTG</t>
  </si>
  <si>
    <t>GTCTTT</t>
  </si>
  <si>
    <t>GTGAAA</t>
  </si>
  <si>
    <t>GTGAAC</t>
  </si>
  <si>
    <t>GTGAAG</t>
  </si>
  <si>
    <t>GTGAAT</t>
  </si>
  <si>
    <t>GTGACA</t>
  </si>
  <si>
    <t>GTGACC</t>
  </si>
  <si>
    <t>GTGACG</t>
  </si>
  <si>
    <t>GTGACT</t>
  </si>
  <si>
    <t>GTGAGA</t>
  </si>
  <si>
    <t>GTGAGC</t>
  </si>
  <si>
    <t>GTGAGG</t>
  </si>
  <si>
    <t>GTGAGT</t>
  </si>
  <si>
    <t>GTGATA</t>
  </si>
  <si>
    <t>GTGATC</t>
  </si>
  <si>
    <t>GTGATG</t>
  </si>
  <si>
    <t>GTGATT</t>
  </si>
  <si>
    <t>GTGCAA</t>
  </si>
  <si>
    <t>GTGCAC</t>
  </si>
  <si>
    <t>GTGCAG</t>
  </si>
  <si>
    <t>GTGCAT</t>
  </si>
  <si>
    <t>GTGCCA</t>
  </si>
  <si>
    <t>GTGCCC</t>
  </si>
  <si>
    <t>GTGCCG</t>
  </si>
  <si>
    <t>GTGCCT</t>
  </si>
  <si>
    <t>GTGCGA</t>
  </si>
  <si>
    <t>GTGCGC</t>
  </si>
  <si>
    <t>GTGCGG</t>
  </si>
  <si>
    <t>GTGCGT</t>
  </si>
  <si>
    <t>GTGCTA</t>
  </si>
  <si>
    <t>GTGCTC</t>
  </si>
  <si>
    <t>GTGCTG</t>
  </si>
  <si>
    <t>GTGCTT</t>
  </si>
  <si>
    <t>GTGGAA</t>
  </si>
  <si>
    <t>GTGGAC</t>
  </si>
  <si>
    <t>GTGGAG</t>
  </si>
  <si>
    <t>GTGGAT</t>
  </si>
  <si>
    <t>GTGGCA</t>
  </si>
  <si>
    <t>GTGGCC</t>
  </si>
  <si>
    <t>GTGGCG</t>
  </si>
  <si>
    <t>GTGGCT</t>
  </si>
  <si>
    <t>GTGGGA</t>
  </si>
  <si>
    <t>GTGGGC</t>
  </si>
  <si>
    <t>GTGGGG</t>
  </si>
  <si>
    <t>GTGGGT</t>
  </si>
  <si>
    <t>GTGGTA</t>
  </si>
  <si>
    <t>GTGGTC</t>
  </si>
  <si>
    <t>GTGGTG</t>
  </si>
  <si>
    <t>GTGGTT</t>
  </si>
  <si>
    <t>GTGTAA</t>
  </si>
  <si>
    <t>GTGTAC</t>
  </si>
  <si>
    <t>GTGTAG</t>
  </si>
  <si>
    <t>GTGTAT</t>
  </si>
  <si>
    <t>GTGTCA</t>
  </si>
  <si>
    <t>GTGTCC</t>
  </si>
  <si>
    <t>GTGTCG</t>
  </si>
  <si>
    <t>GTGTCT</t>
  </si>
  <si>
    <t>GTGTGA</t>
  </si>
  <si>
    <t>GTGTGC</t>
  </si>
  <si>
    <t>GTGTGG</t>
  </si>
  <si>
    <t>GTGTGT</t>
  </si>
  <si>
    <t>GTGTTA</t>
  </si>
  <si>
    <t>GTGTTC</t>
  </si>
  <si>
    <t>GTGTTG</t>
  </si>
  <si>
    <t>GTGTTT</t>
  </si>
  <si>
    <t>GTTAAA</t>
  </si>
  <si>
    <t>GTTAAC</t>
  </si>
  <si>
    <t>GTTAAG</t>
  </si>
  <si>
    <t>GTTAAT</t>
  </si>
  <si>
    <t>GTTACA</t>
  </si>
  <si>
    <t>GTTACC</t>
  </si>
  <si>
    <t>GTTACG</t>
  </si>
  <si>
    <t>GTTACT</t>
  </si>
  <si>
    <t>GTTAGA</t>
  </si>
  <si>
    <t>GTTAGC</t>
  </si>
  <si>
    <t>GTTAGG</t>
  </si>
  <si>
    <t>GTTAGT</t>
  </si>
  <si>
    <t>GTTATA</t>
  </si>
  <si>
    <t>GTTATC</t>
  </si>
  <si>
    <t>GTTATG</t>
  </si>
  <si>
    <t>GTTATT</t>
  </si>
  <si>
    <t>GTTCAA</t>
  </si>
  <si>
    <t>GTTCAC</t>
  </si>
  <si>
    <t>GTTCAG</t>
  </si>
  <si>
    <t>GTTCAT</t>
  </si>
  <si>
    <t>GTTCCA</t>
  </si>
  <si>
    <t>GTTCCC</t>
  </si>
  <si>
    <t>GTTCCG</t>
  </si>
  <si>
    <t>GTTCCT</t>
  </si>
  <si>
    <t>GTTCGA</t>
  </si>
  <si>
    <t>GTTCGC</t>
  </si>
  <si>
    <t>GTTCGG</t>
  </si>
  <si>
    <t>GTTCGT</t>
  </si>
  <si>
    <t>GTTCTA</t>
  </si>
  <si>
    <t>GTTCTC</t>
  </si>
  <si>
    <t>GTTCTG</t>
  </si>
  <si>
    <t>GTTCTT</t>
  </si>
  <si>
    <t>GTTGAA</t>
  </si>
  <si>
    <t>GTTGAC</t>
  </si>
  <si>
    <t>GTTGAG</t>
  </si>
  <si>
    <t>GTTGAT</t>
  </si>
  <si>
    <t>GTTGCA</t>
  </si>
  <si>
    <t>GTTGCC</t>
  </si>
  <si>
    <t>GTTGCG</t>
  </si>
  <si>
    <t>GTTGCT</t>
  </si>
  <si>
    <t>GTTGGA</t>
  </si>
  <si>
    <t>GTTGGC</t>
  </si>
  <si>
    <t>GTTGGG</t>
  </si>
  <si>
    <t>GTTGGT</t>
  </si>
  <si>
    <t>GTTGTA</t>
  </si>
  <si>
    <t>GTTGTC</t>
  </si>
  <si>
    <t>GTTGTG</t>
  </si>
  <si>
    <t>GTTGTT</t>
  </si>
  <si>
    <t>GTTTAA</t>
  </si>
  <si>
    <t>GTTTAC</t>
  </si>
  <si>
    <t>GTTTAG</t>
  </si>
  <si>
    <t>GTTTAT</t>
  </si>
  <si>
    <t>GTTTCA</t>
  </si>
  <si>
    <t>GTTTCC</t>
  </si>
  <si>
    <t>GTTTCG</t>
  </si>
  <si>
    <t>GTTTCT</t>
  </si>
  <si>
    <t>GTTTGA</t>
  </si>
  <si>
    <t>GTTTGC</t>
  </si>
  <si>
    <t>GTTTGG</t>
  </si>
  <si>
    <t>GTTTGT</t>
  </si>
  <si>
    <t>GTTTTA</t>
  </si>
  <si>
    <t>GTTTTC</t>
  </si>
  <si>
    <t>GTTTTG</t>
  </si>
  <si>
    <t>GTTTTT</t>
  </si>
  <si>
    <t>TAAAAA</t>
  </si>
  <si>
    <t>TAAAAC</t>
  </si>
  <si>
    <t>TAAAAG</t>
  </si>
  <si>
    <t>TAAAAT</t>
  </si>
  <si>
    <t>TAAACA</t>
  </si>
  <si>
    <t>TAAACC</t>
  </si>
  <si>
    <t>TAAACG</t>
  </si>
  <si>
    <t>TAAACT</t>
  </si>
  <si>
    <t>TAAAGA</t>
  </si>
  <si>
    <t>TAAAGC</t>
  </si>
  <si>
    <t>TAAAGG</t>
  </si>
  <si>
    <t>TAAAGT</t>
  </si>
  <si>
    <t>TAAATA</t>
  </si>
  <si>
    <t>TAAATC</t>
  </si>
  <si>
    <t>TAAATG</t>
  </si>
  <si>
    <t>TAAATT</t>
  </si>
  <si>
    <t>TAACAA</t>
  </si>
  <si>
    <t>TAACAC</t>
  </si>
  <si>
    <t>TAACAG</t>
  </si>
  <si>
    <t>TAACAT</t>
  </si>
  <si>
    <t>TAACCA</t>
  </si>
  <si>
    <t>TAACCC</t>
  </si>
  <si>
    <t>TAACCG</t>
  </si>
  <si>
    <t>TAACCT</t>
  </si>
  <si>
    <t>TAACGA</t>
  </si>
  <si>
    <t>TAACGC</t>
  </si>
  <si>
    <t>TAACGG</t>
  </si>
  <si>
    <t>TAACGT</t>
  </si>
  <si>
    <t>TAACTA</t>
  </si>
  <si>
    <t>TAACTC</t>
  </si>
  <si>
    <t>TAACTG</t>
  </si>
  <si>
    <t>TAACTT</t>
  </si>
  <si>
    <t>TAAGAA</t>
  </si>
  <si>
    <t>TAAGAC</t>
  </si>
  <si>
    <t>TAAGAG</t>
  </si>
  <si>
    <t>TAAGAT</t>
  </si>
  <si>
    <t>TAAGCA</t>
  </si>
  <si>
    <t>TAAGCC</t>
  </si>
  <si>
    <t>TAAGCG</t>
  </si>
  <si>
    <t>TAAGCT</t>
  </si>
  <si>
    <t>TAAGGA</t>
  </si>
  <si>
    <t>TAAGGC</t>
  </si>
  <si>
    <t>TAAGGG</t>
  </si>
  <si>
    <t>TAAGGT</t>
  </si>
  <si>
    <t>TAAGTA</t>
  </si>
  <si>
    <t>TAAGTC</t>
  </si>
  <si>
    <t>TAAGTG</t>
  </si>
  <si>
    <t>TAAGTT</t>
  </si>
  <si>
    <t>TAATAA</t>
  </si>
  <si>
    <t>TAATAC</t>
  </si>
  <si>
    <t>TAATAG</t>
  </si>
  <si>
    <t>TAATAT</t>
  </si>
  <si>
    <t>TAATCA</t>
  </si>
  <si>
    <t>TAATCC</t>
  </si>
  <si>
    <t>TAATCG</t>
  </si>
  <si>
    <t>TAATCT</t>
  </si>
  <si>
    <t>TAATGA</t>
  </si>
  <si>
    <t>TAATGC</t>
  </si>
  <si>
    <t>TAATGG</t>
  </si>
  <si>
    <t>TAATGT</t>
  </si>
  <si>
    <t>TAATTA</t>
  </si>
  <si>
    <t>TAATTC</t>
  </si>
  <si>
    <t>TAATTG</t>
  </si>
  <si>
    <t>TAATTT</t>
  </si>
  <si>
    <t>TACAAA</t>
  </si>
  <si>
    <t>TACAAC</t>
  </si>
  <si>
    <t>TACAAG</t>
  </si>
  <si>
    <t>TACAAT</t>
  </si>
  <si>
    <t>TACACA</t>
  </si>
  <si>
    <t>TACACC</t>
  </si>
  <si>
    <t>TACACG</t>
  </si>
  <si>
    <t>TACACT</t>
  </si>
  <si>
    <t>TACAGA</t>
  </si>
  <si>
    <t>TACAGC</t>
  </si>
  <si>
    <t>TACAGG</t>
  </si>
  <si>
    <t>TACAGT</t>
  </si>
  <si>
    <t>TACATA</t>
  </si>
  <si>
    <t>TACATC</t>
  </si>
  <si>
    <t>TACATG</t>
  </si>
  <si>
    <t>TACATT</t>
  </si>
  <si>
    <t>TACCAA</t>
  </si>
  <si>
    <t>TACCAC</t>
  </si>
  <si>
    <t>TACCAG</t>
  </si>
  <si>
    <t>TACCAT</t>
  </si>
  <si>
    <t>TACCCA</t>
  </si>
  <si>
    <t>TACCCC</t>
  </si>
  <si>
    <t>TACCCG</t>
  </si>
  <si>
    <t>TACCCT</t>
  </si>
  <si>
    <t>TACCGA</t>
  </si>
  <si>
    <t>TACCGC</t>
  </si>
  <si>
    <t>TACCGG</t>
  </si>
  <si>
    <t>TACCGT</t>
  </si>
  <si>
    <t>TACCTA</t>
  </si>
  <si>
    <t>TACCTC</t>
  </si>
  <si>
    <t>TACCTG</t>
  </si>
  <si>
    <t>TACCTT</t>
  </si>
  <si>
    <t>TACGAA</t>
  </si>
  <si>
    <t>TACGAC</t>
  </si>
  <si>
    <t>TACGAG</t>
  </si>
  <si>
    <t>TACGAT</t>
  </si>
  <si>
    <t>TACGCA</t>
  </si>
  <si>
    <t>TACGCC</t>
  </si>
  <si>
    <t>TACGCG</t>
  </si>
  <si>
    <t>TACGCT</t>
  </si>
  <si>
    <t>TACGGA</t>
  </si>
  <si>
    <t>TACGGC</t>
  </si>
  <si>
    <t>TACGGG</t>
  </si>
  <si>
    <t>TACGGT</t>
  </si>
  <si>
    <t>TACGTA</t>
  </si>
  <si>
    <t>TACGTC</t>
  </si>
  <si>
    <t>TACGTG</t>
  </si>
  <si>
    <t>TACGTT</t>
  </si>
  <si>
    <t>TACTAA</t>
  </si>
  <si>
    <t>TACTAC</t>
  </si>
  <si>
    <t>TACTAG</t>
  </si>
  <si>
    <t>TACTAT</t>
  </si>
  <si>
    <t>TACTCA</t>
  </si>
  <si>
    <t>TACTCC</t>
  </si>
  <si>
    <t>TACTCG</t>
  </si>
  <si>
    <t>TACTCT</t>
  </si>
  <si>
    <t>TACTGA</t>
  </si>
  <si>
    <t>TACTGC</t>
  </si>
  <si>
    <t>TACTGG</t>
  </si>
  <si>
    <t>TACTGT</t>
  </si>
  <si>
    <t>TACTTA</t>
  </si>
  <si>
    <t>TACTTC</t>
  </si>
  <si>
    <t>TACTTG</t>
  </si>
  <si>
    <t>TACTTT</t>
  </si>
  <si>
    <t>TAGAAA</t>
  </si>
  <si>
    <t>TAGAAC</t>
  </si>
  <si>
    <t>TAGAAG</t>
  </si>
  <si>
    <t>TAGAAT</t>
  </si>
  <si>
    <t>TAGACA</t>
  </si>
  <si>
    <t>TAGACC</t>
  </si>
  <si>
    <t>TAGACG</t>
  </si>
  <si>
    <t>TAGACT</t>
  </si>
  <si>
    <t>TAGAGA</t>
  </si>
  <si>
    <t>TAGAGC</t>
  </si>
  <si>
    <t>TAGAGG</t>
  </si>
  <si>
    <t>TAGAGT</t>
  </si>
  <si>
    <t>TAGATA</t>
  </si>
  <si>
    <t>TAGATC</t>
  </si>
  <si>
    <t>TAGATG</t>
  </si>
  <si>
    <t>TAGATT</t>
  </si>
  <si>
    <t>TAGCAA</t>
  </si>
  <si>
    <t>TAGCAC</t>
  </si>
  <si>
    <t>TAGCAG</t>
  </si>
  <si>
    <t>TAGCAT</t>
  </si>
  <si>
    <t>TAGCCA</t>
  </si>
  <si>
    <t>TAGCCC</t>
  </si>
  <si>
    <t>TAGCCG</t>
  </si>
  <si>
    <t>TAGCCT</t>
  </si>
  <si>
    <t>TAGCGA</t>
  </si>
  <si>
    <t>TAGCGC</t>
  </si>
  <si>
    <t>TAGCGG</t>
  </si>
  <si>
    <t>TAGCGT</t>
  </si>
  <si>
    <t>TAGCTA</t>
  </si>
  <si>
    <t>TAGCTC</t>
  </si>
  <si>
    <t>TAGCTG</t>
  </si>
  <si>
    <t>TAGCTT</t>
  </si>
  <si>
    <t>TAGGAA</t>
  </si>
  <si>
    <t>TAGGAC</t>
  </si>
  <si>
    <t>TAGGAG</t>
  </si>
  <si>
    <t>TAGGAT</t>
  </si>
  <si>
    <t>TAGGCA</t>
  </si>
  <si>
    <t>TAGGCC</t>
  </si>
  <si>
    <t>TAGGCG</t>
  </si>
  <si>
    <t>TAGGCT</t>
  </si>
  <si>
    <t>TAGGGA</t>
  </si>
  <si>
    <t>TAGGGC</t>
  </si>
  <si>
    <t>TAGGGG</t>
  </si>
  <si>
    <t>TAGGGT</t>
  </si>
  <si>
    <t>TAGGTA</t>
  </si>
  <si>
    <t>TAGGTC</t>
  </si>
  <si>
    <t>TAGGTG</t>
  </si>
  <si>
    <t>TAGGTT</t>
  </si>
  <si>
    <t>TAGTAA</t>
  </si>
  <si>
    <t>TAGTAC</t>
  </si>
  <si>
    <t>TAGTAG</t>
  </si>
  <si>
    <t>TAGTAT</t>
  </si>
  <si>
    <t>TAGTCA</t>
  </si>
  <si>
    <t>TAGTCC</t>
  </si>
  <si>
    <t>TAGTCG</t>
  </si>
  <si>
    <t>TAGTCT</t>
  </si>
  <si>
    <t>TAGTGA</t>
  </si>
  <si>
    <t>TAGTGC</t>
  </si>
  <si>
    <t>TAGTGG</t>
  </si>
  <si>
    <t>TAGTGT</t>
  </si>
  <si>
    <t>TAGTTA</t>
  </si>
  <si>
    <t>TAGTTC</t>
  </si>
  <si>
    <t>TAGTTG</t>
  </si>
  <si>
    <t>TAGTTT</t>
  </si>
  <si>
    <t>TATAAA</t>
  </si>
  <si>
    <t>TATAAC</t>
  </si>
  <si>
    <t>TATAAG</t>
  </si>
  <si>
    <t>TATAAT</t>
  </si>
  <si>
    <t>TATACA</t>
  </si>
  <si>
    <t>TATACC</t>
  </si>
  <si>
    <t>TATACG</t>
  </si>
  <si>
    <t>TATACT</t>
  </si>
  <si>
    <t>TATAGA</t>
  </si>
  <si>
    <t>TATAGC</t>
  </si>
  <si>
    <t>TATAGG</t>
  </si>
  <si>
    <t>TATAGT</t>
  </si>
  <si>
    <t>TATATA</t>
  </si>
  <si>
    <t>TATATC</t>
  </si>
  <si>
    <t>TATATG</t>
  </si>
  <si>
    <t>TATATT</t>
  </si>
  <si>
    <t>TATCAA</t>
  </si>
  <si>
    <t>TATCAC</t>
  </si>
  <si>
    <t>TATCAG</t>
  </si>
  <si>
    <t>TATCAT</t>
  </si>
  <si>
    <t>TATCCA</t>
  </si>
  <si>
    <t>TATCCC</t>
  </si>
  <si>
    <t>TATCCG</t>
  </si>
  <si>
    <t>TATCCT</t>
  </si>
  <si>
    <t>TATCGA</t>
  </si>
  <si>
    <t>TATCGC</t>
  </si>
  <si>
    <t>TATCGG</t>
  </si>
  <si>
    <t>TATCGT</t>
  </si>
  <si>
    <t>TATCTA</t>
  </si>
  <si>
    <t>TATCTC</t>
  </si>
  <si>
    <t>TATCTG</t>
  </si>
  <si>
    <t>TATCTT</t>
  </si>
  <si>
    <t>TATGAA</t>
  </si>
  <si>
    <t>TATGAC</t>
  </si>
  <si>
    <t>TATGAG</t>
  </si>
  <si>
    <t>TATGAT</t>
  </si>
  <si>
    <t>TATGCA</t>
  </si>
  <si>
    <t>TATGCC</t>
  </si>
  <si>
    <t>TATGCG</t>
  </si>
  <si>
    <t>TATGCT</t>
  </si>
  <si>
    <t>TATGGA</t>
  </si>
  <si>
    <t>TATGGC</t>
  </si>
  <si>
    <t>TATGGG</t>
  </si>
  <si>
    <t>TATGGT</t>
  </si>
  <si>
    <t>TATGTA</t>
  </si>
  <si>
    <t>TATGTC</t>
  </si>
  <si>
    <t>TATGTG</t>
  </si>
  <si>
    <t>TATGTT</t>
  </si>
  <si>
    <t>TATTAA</t>
  </si>
  <si>
    <t>TATTAC</t>
  </si>
  <si>
    <t>TATTAG</t>
  </si>
  <si>
    <t>TATTAT</t>
  </si>
  <si>
    <t>TATTCA</t>
  </si>
  <si>
    <t>TATTCC</t>
  </si>
  <si>
    <t>TATTCG</t>
  </si>
  <si>
    <t>TATTCT</t>
  </si>
  <si>
    <t>TATTGA</t>
  </si>
  <si>
    <t>TATTGC</t>
  </si>
  <si>
    <t>TATTGG</t>
  </si>
  <si>
    <t>TATTGT</t>
  </si>
  <si>
    <t>TATTTA</t>
  </si>
  <si>
    <t>TATTTC</t>
  </si>
  <si>
    <t>TATTTG</t>
  </si>
  <si>
    <t>TATTTT</t>
  </si>
  <si>
    <t>TCAAAA</t>
  </si>
  <si>
    <t>TCAAAC</t>
  </si>
  <si>
    <t>TCAAAG</t>
  </si>
  <si>
    <t>TCAAAT</t>
  </si>
  <si>
    <t>TCAACA</t>
  </si>
  <si>
    <t>TCAACC</t>
  </si>
  <si>
    <t>TCAACG</t>
  </si>
  <si>
    <t>TCAACT</t>
  </si>
  <si>
    <t>TCAAGA</t>
  </si>
  <si>
    <t>TCAAGC</t>
  </si>
  <si>
    <t>TCAAGG</t>
  </si>
  <si>
    <t>TCAAGT</t>
  </si>
  <si>
    <t>TCAATA</t>
  </si>
  <si>
    <t>TCAATC</t>
  </si>
  <si>
    <t>TCAATG</t>
  </si>
  <si>
    <t>TCAATT</t>
  </si>
  <si>
    <t>TCACAA</t>
  </si>
  <si>
    <t>TCACAC</t>
  </si>
  <si>
    <t>TCACAG</t>
  </si>
  <si>
    <t>TCACAT</t>
  </si>
  <si>
    <t>TCACCA</t>
  </si>
  <si>
    <t>TCACCC</t>
  </si>
  <si>
    <t>TCACCG</t>
  </si>
  <si>
    <t>TCACCT</t>
  </si>
  <si>
    <t>TCACGA</t>
  </si>
  <si>
    <t>TCACGC</t>
  </si>
  <si>
    <t>TCACGG</t>
  </si>
  <si>
    <t>TCACGT</t>
  </si>
  <si>
    <t>TCACTA</t>
  </si>
  <si>
    <t>TCACTC</t>
  </si>
  <si>
    <t>TCACTG</t>
  </si>
  <si>
    <t>TCACTT</t>
  </si>
  <si>
    <t>TCAGAA</t>
  </si>
  <si>
    <t>TCAGAC</t>
  </si>
  <si>
    <t>TCAGAG</t>
  </si>
  <si>
    <t>TCAGAT</t>
  </si>
  <si>
    <t>TCAGCA</t>
  </si>
  <si>
    <t>TCAGCC</t>
  </si>
  <si>
    <t>TCAGCG</t>
  </si>
  <si>
    <t>TCAGCT</t>
  </si>
  <si>
    <t>TCAGGA</t>
  </si>
  <si>
    <t>TCAGGC</t>
  </si>
  <si>
    <t>TCAGGG</t>
  </si>
  <si>
    <t>TCAGGT</t>
  </si>
  <si>
    <t>TCAGTA</t>
  </si>
  <si>
    <t>TCAGTC</t>
  </si>
  <si>
    <t>TCAGTG</t>
  </si>
  <si>
    <t>TCAGTT</t>
  </si>
  <si>
    <t>TCATAA</t>
  </si>
  <si>
    <t>TCATAC</t>
  </si>
  <si>
    <t>TCATAG</t>
  </si>
  <si>
    <t>TCATAT</t>
  </si>
  <si>
    <t>TCATCA</t>
  </si>
  <si>
    <t>TCATCC</t>
  </si>
  <si>
    <t>TCATCG</t>
  </si>
  <si>
    <t>TCATCT</t>
  </si>
  <si>
    <t>TCATGA</t>
  </si>
  <si>
    <t>TCATGC</t>
  </si>
  <si>
    <t>TCATGG</t>
  </si>
  <si>
    <t>TCATGT</t>
  </si>
  <si>
    <t>TCATTA</t>
  </si>
  <si>
    <t>TCATTC</t>
  </si>
  <si>
    <t>TCATTG</t>
  </si>
  <si>
    <t>TCATTT</t>
  </si>
  <si>
    <t>TCCAAA</t>
  </si>
  <si>
    <t>TCCAAC</t>
  </si>
  <si>
    <t>TCCAAG</t>
  </si>
  <si>
    <t>TCCAAT</t>
  </si>
  <si>
    <t>TCCACA</t>
  </si>
  <si>
    <t>TCCACC</t>
  </si>
  <si>
    <t>TCCACG</t>
  </si>
  <si>
    <t>TCCACT</t>
  </si>
  <si>
    <t>TCCAGA</t>
  </si>
  <si>
    <t>TCCAGC</t>
  </si>
  <si>
    <t>TCCAGG</t>
  </si>
  <si>
    <t>TCCAGT</t>
  </si>
  <si>
    <t>TCCATA</t>
  </si>
  <si>
    <t>TCCATC</t>
  </si>
  <si>
    <t>TCCATG</t>
  </si>
  <si>
    <t>TCCATT</t>
  </si>
  <si>
    <t>TCCCAA</t>
  </si>
  <si>
    <t>TCCCAC</t>
  </si>
  <si>
    <t>TCCCAG</t>
  </si>
  <si>
    <t>TCCCAT</t>
  </si>
  <si>
    <t>TCCCCA</t>
  </si>
  <si>
    <t>TCCCCC</t>
  </si>
  <si>
    <t>TCCCCG</t>
  </si>
  <si>
    <t>TCCCCT</t>
  </si>
  <si>
    <t>TCCCGA</t>
  </si>
  <si>
    <t>TCCCGC</t>
  </si>
  <si>
    <t>TCCCGG</t>
  </si>
  <si>
    <t>TCCCGT</t>
  </si>
  <si>
    <t>TCCCTA</t>
  </si>
  <si>
    <t>TCCCTC</t>
  </si>
  <si>
    <t>TCCCTG</t>
  </si>
  <si>
    <t>TCCCTT</t>
  </si>
  <si>
    <t>TCCGAA</t>
  </si>
  <si>
    <t>TCCGAC</t>
  </si>
  <si>
    <t>TCCGAG</t>
  </si>
  <si>
    <t>TCCGAT</t>
  </si>
  <si>
    <t>TCCGCA</t>
  </si>
  <si>
    <t>TCCGCC</t>
  </si>
  <si>
    <t>TCCGCG</t>
  </si>
  <si>
    <t>TCCGCT</t>
  </si>
  <si>
    <t>TCCGGA</t>
  </si>
  <si>
    <t>TCCGGC</t>
  </si>
  <si>
    <t>TCCGGG</t>
  </si>
  <si>
    <t>TCCGGT</t>
  </si>
  <si>
    <t>TCCGTA</t>
  </si>
  <si>
    <t>TCCGTC</t>
  </si>
  <si>
    <t>TCCGTG</t>
  </si>
  <si>
    <t>TCCGTT</t>
  </si>
  <si>
    <t>TCCTAA</t>
  </si>
  <si>
    <t>TCCTAC</t>
  </si>
  <si>
    <t>TCCTAG</t>
  </si>
  <si>
    <t>TCCTAT</t>
  </si>
  <si>
    <t>TCCTCA</t>
  </si>
  <si>
    <t>TCCTCC</t>
  </si>
  <si>
    <t>TCCTCG</t>
  </si>
  <si>
    <t>TCCTCT</t>
  </si>
  <si>
    <t>TCCTGA</t>
  </si>
  <si>
    <t>TCCTGC</t>
  </si>
  <si>
    <t>TCCTGG</t>
  </si>
  <si>
    <t>TCCTGT</t>
  </si>
  <si>
    <t>TCCTTA</t>
  </si>
  <si>
    <t>TCCTTC</t>
  </si>
  <si>
    <t>TCCTTG</t>
  </si>
  <si>
    <t>TCCTTT</t>
  </si>
  <si>
    <t>TCGAAA</t>
  </si>
  <si>
    <t>TCGAAC</t>
  </si>
  <si>
    <t>TCGAAG</t>
  </si>
  <si>
    <t>TCGAAT</t>
  </si>
  <si>
    <t>TCGACA</t>
  </si>
  <si>
    <t>TCGACC</t>
  </si>
  <si>
    <t>TCGACG</t>
  </si>
  <si>
    <t>TCGACT</t>
  </si>
  <si>
    <t>TCGAGA</t>
  </si>
  <si>
    <t>TCGAGC</t>
  </si>
  <si>
    <t>TCGAGG</t>
  </si>
  <si>
    <t>TCGAGT</t>
  </si>
  <si>
    <t>TCGATA</t>
  </si>
  <si>
    <t>TCGATC</t>
  </si>
  <si>
    <t>TCGATG</t>
  </si>
  <si>
    <t>TCGATT</t>
  </si>
  <si>
    <t>TCGCAA</t>
  </si>
  <si>
    <t>TCGCAC</t>
  </si>
  <si>
    <t>TCGCAG</t>
  </si>
  <si>
    <t>TCGCAT</t>
  </si>
  <si>
    <t>TCGCCA</t>
  </si>
  <si>
    <t>TCGCCC</t>
  </si>
  <si>
    <t>TCGCCG</t>
  </si>
  <si>
    <t>TCGCCT</t>
  </si>
  <si>
    <t>TCGCGA</t>
  </si>
  <si>
    <t>TCGCGC</t>
  </si>
  <si>
    <t>TCGCGG</t>
  </si>
  <si>
    <t>TCGCGT</t>
  </si>
  <si>
    <t>TCGCTA</t>
  </si>
  <si>
    <t>TCGCTC</t>
  </si>
  <si>
    <t>TCGCTG</t>
  </si>
  <si>
    <t>TCGCTT</t>
  </si>
  <si>
    <t>TCGGAA</t>
  </si>
  <si>
    <t>TCGGAC</t>
  </si>
  <si>
    <t>TCGGAG</t>
  </si>
  <si>
    <t>TCGGAT</t>
  </si>
  <si>
    <t>TCGGCA</t>
  </si>
  <si>
    <t>TCGGCC</t>
  </si>
  <si>
    <t>TCGGCG</t>
  </si>
  <si>
    <t>TCGGCT</t>
  </si>
  <si>
    <t>TCGGGA</t>
  </si>
  <si>
    <t>TCGGGC</t>
  </si>
  <si>
    <t>TCGGGG</t>
  </si>
  <si>
    <t>TCGGGT</t>
  </si>
  <si>
    <t>TCGGTA</t>
  </si>
  <si>
    <t>TCGGTC</t>
  </si>
  <si>
    <t>TCGGTG</t>
  </si>
  <si>
    <t>TCGGTT</t>
  </si>
  <si>
    <t>TCGTAA</t>
  </si>
  <si>
    <t>TCGTAC</t>
  </si>
  <si>
    <t>TCGTAG</t>
  </si>
  <si>
    <t>TCGTAT</t>
  </si>
  <si>
    <t>TCGTCA</t>
  </si>
  <si>
    <t>TCGTCC</t>
  </si>
  <si>
    <t>TCGTCG</t>
  </si>
  <si>
    <t>TCGTCT</t>
  </si>
  <si>
    <t>TCGTGA</t>
  </si>
  <si>
    <t>TCGTGC</t>
  </si>
  <si>
    <t>TCGTGG</t>
  </si>
  <si>
    <t>TCGTGT</t>
  </si>
  <si>
    <t>TCGTTA</t>
  </si>
  <si>
    <t>TCGTTC</t>
  </si>
  <si>
    <t>TCGTTG</t>
  </si>
  <si>
    <t>TCGTTT</t>
  </si>
  <si>
    <t>TCTAAA</t>
  </si>
  <si>
    <t>TCTAAC</t>
  </si>
  <si>
    <t>TCTAAG</t>
  </si>
  <si>
    <t>TCTAAT</t>
  </si>
  <si>
    <t>TCTACA</t>
  </si>
  <si>
    <t>TCTACC</t>
  </si>
  <si>
    <t>TCTACG</t>
  </si>
  <si>
    <t>TCTACT</t>
  </si>
  <si>
    <t>TCTAGA</t>
  </si>
  <si>
    <t>TCTAGC</t>
  </si>
  <si>
    <t>TCTAGG</t>
  </si>
  <si>
    <t>TCTAGT</t>
  </si>
  <si>
    <t>TCTATA</t>
  </si>
  <si>
    <t>TCTATC</t>
  </si>
  <si>
    <t>TCTATG</t>
  </si>
  <si>
    <t>TCTATT</t>
  </si>
  <si>
    <t>TCTCAA</t>
  </si>
  <si>
    <t>TCTCAC</t>
  </si>
  <si>
    <t>TCTCAG</t>
  </si>
  <si>
    <t>TCTCAT</t>
  </si>
  <si>
    <t>TCTCCA</t>
  </si>
  <si>
    <t>TCTCCC</t>
  </si>
  <si>
    <t>TCTCCG</t>
  </si>
  <si>
    <t>TCTCCT</t>
  </si>
  <si>
    <t>TCTCGA</t>
  </si>
  <si>
    <t>TCTCGC</t>
  </si>
  <si>
    <t>TCTCGG</t>
  </si>
  <si>
    <t>TCTCGT</t>
  </si>
  <si>
    <t>TCTCTA</t>
  </si>
  <si>
    <t>TCTCTC</t>
  </si>
  <si>
    <t>TCTCTG</t>
  </si>
  <si>
    <t>TCTCTT</t>
  </si>
  <si>
    <t>TCTGAA</t>
  </si>
  <si>
    <t>TCTGAC</t>
  </si>
  <si>
    <t>TCTGAG</t>
  </si>
  <si>
    <t>TCTGAT</t>
  </si>
  <si>
    <t>TCTGCA</t>
  </si>
  <si>
    <t>TCTGCC</t>
  </si>
  <si>
    <t>TCTGCG</t>
  </si>
  <si>
    <t>TCTGCT</t>
  </si>
  <si>
    <t>TCTGGA</t>
  </si>
  <si>
    <t>TCTGGC</t>
  </si>
  <si>
    <t>TCTGGG</t>
  </si>
  <si>
    <t>TCTGGT</t>
  </si>
  <si>
    <t>TCTGTA</t>
  </si>
  <si>
    <t>TCTGTC</t>
  </si>
  <si>
    <t>TCTGTG</t>
  </si>
  <si>
    <t>TCTGTT</t>
  </si>
  <si>
    <t>TCTTAA</t>
  </si>
  <si>
    <t>TCTTAC</t>
  </si>
  <si>
    <t>TCTTAG</t>
  </si>
  <si>
    <t>TCTTAT</t>
  </si>
  <si>
    <t>TCTTCA</t>
  </si>
  <si>
    <t>TCTTCC</t>
  </si>
  <si>
    <t>TCTTCG</t>
  </si>
  <si>
    <t>TCTTCT</t>
  </si>
  <si>
    <t>TCTTGA</t>
  </si>
  <si>
    <t>TCTTGC</t>
  </si>
  <si>
    <t>TCTTGG</t>
  </si>
  <si>
    <t>TCTTGT</t>
  </si>
  <si>
    <t>TCTTTA</t>
  </si>
  <si>
    <t>TCTTTC</t>
  </si>
  <si>
    <t>TCTTTG</t>
  </si>
  <si>
    <t>TCTTTT</t>
  </si>
  <si>
    <t>TGAAAA</t>
  </si>
  <si>
    <t>TGAAAC</t>
  </si>
  <si>
    <t>TGAAAG</t>
  </si>
  <si>
    <t>TGAAAT</t>
  </si>
  <si>
    <t>TGAACA</t>
  </si>
  <si>
    <t>TGAACC</t>
  </si>
  <si>
    <t>TGAACG</t>
  </si>
  <si>
    <t>TGAACT</t>
  </si>
  <si>
    <t>TGAAGA</t>
  </si>
  <si>
    <t>TGAAGC</t>
  </si>
  <si>
    <t>TGAAGG</t>
  </si>
  <si>
    <t>TGAAGT</t>
  </si>
  <si>
    <t>TGAATA</t>
  </si>
  <si>
    <t>TGAATC</t>
  </si>
  <si>
    <t>TGAATG</t>
  </si>
  <si>
    <t>TGAATT</t>
  </si>
  <si>
    <t>TGACAA</t>
  </si>
  <si>
    <t>TGACAC</t>
  </si>
  <si>
    <t>TGACAG</t>
  </si>
  <si>
    <t>TGACAT</t>
  </si>
  <si>
    <t>TGACCA</t>
  </si>
  <si>
    <t>TGACCC</t>
  </si>
  <si>
    <t>TGACCG</t>
  </si>
  <si>
    <t>TGACCT</t>
  </si>
  <si>
    <t>TGACGA</t>
  </si>
  <si>
    <t>TGACGC</t>
  </si>
  <si>
    <t>TGACGG</t>
  </si>
  <si>
    <t>TGACGT</t>
  </si>
  <si>
    <t>TGACTA</t>
  </si>
  <si>
    <t>TGACTC</t>
  </si>
  <si>
    <t>TGACTG</t>
  </si>
  <si>
    <t>TGACTT</t>
  </si>
  <si>
    <t>TGAGAA</t>
  </si>
  <si>
    <t>TGAGAC</t>
  </si>
  <si>
    <t>TGAGAG</t>
  </si>
  <si>
    <t>TGAGAT</t>
  </si>
  <si>
    <t>TGAGCA</t>
  </si>
  <si>
    <t>TGAGCC</t>
  </si>
  <si>
    <t>TGAGCG</t>
  </si>
  <si>
    <t>TGAGCT</t>
  </si>
  <si>
    <t>TGAGGA</t>
  </si>
  <si>
    <t>TGAGGC</t>
  </si>
  <si>
    <t>TGAGGG</t>
  </si>
  <si>
    <t>TGAGGT</t>
  </si>
  <si>
    <t>TGAGTA</t>
  </si>
  <si>
    <t>TGAGTC</t>
  </si>
  <si>
    <t>TGAGTG</t>
  </si>
  <si>
    <t>TGAGTT</t>
  </si>
  <si>
    <t>TGATAA</t>
  </si>
  <si>
    <t>TGATAC</t>
  </si>
  <si>
    <t>TGATAG</t>
  </si>
  <si>
    <t>TGATAT</t>
  </si>
  <si>
    <t>TGATCA</t>
  </si>
  <si>
    <t>TGATCC</t>
  </si>
  <si>
    <t>TGATCG</t>
  </si>
  <si>
    <t>TGATCT</t>
  </si>
  <si>
    <t>TGATGA</t>
  </si>
  <si>
    <t>TGATGC</t>
  </si>
  <si>
    <t>TGATGG</t>
  </si>
  <si>
    <t>TGATGT</t>
  </si>
  <si>
    <t>TGATTA</t>
  </si>
  <si>
    <t>TGATTC</t>
  </si>
  <si>
    <t>TGATTG</t>
  </si>
  <si>
    <t>TGATTT</t>
  </si>
  <si>
    <t>TGCAAA</t>
  </si>
  <si>
    <t>TGCAAC</t>
  </si>
  <si>
    <t>TGCAAG</t>
  </si>
  <si>
    <t>TGCAAT</t>
  </si>
  <si>
    <t>TGCACA</t>
  </si>
  <si>
    <t>TGCACC</t>
  </si>
  <si>
    <t>TGCACG</t>
  </si>
  <si>
    <t>TGCACT</t>
  </si>
  <si>
    <t>TGCAGA</t>
  </si>
  <si>
    <t>TGCAGC</t>
  </si>
  <si>
    <t>TGCAGG</t>
  </si>
  <si>
    <t>TGCAGT</t>
  </si>
  <si>
    <t>TGCATA</t>
  </si>
  <si>
    <t>TGCATC</t>
  </si>
  <si>
    <t>TGCATG</t>
  </si>
  <si>
    <t>TGCATT</t>
  </si>
  <si>
    <t>TGCCAA</t>
  </si>
  <si>
    <t>TGCCAC</t>
  </si>
  <si>
    <t>TGCCAG</t>
  </si>
  <si>
    <t>TGCCAT</t>
  </si>
  <si>
    <t>TGCCCA</t>
  </si>
  <si>
    <t>TGCCCC</t>
  </si>
  <si>
    <t>TGCCCG</t>
  </si>
  <si>
    <t>TGCCCT</t>
  </si>
  <si>
    <t>TGCCGA</t>
  </si>
  <si>
    <t>TGCCGC</t>
  </si>
  <si>
    <t>TGCCGG</t>
  </si>
  <si>
    <t>TGCCGT</t>
  </si>
  <si>
    <t>TGCCTA</t>
  </si>
  <si>
    <t>TGCCTC</t>
  </si>
  <si>
    <t>TGCCTG</t>
  </si>
  <si>
    <t>TGCCTT</t>
  </si>
  <si>
    <t>TGCGAA</t>
  </si>
  <si>
    <t>TGCGAC</t>
  </si>
  <si>
    <t>TGCGAG</t>
  </si>
  <si>
    <t>TGCGAT</t>
  </si>
  <si>
    <t>TGCGCA</t>
  </si>
  <si>
    <t>TGCGCC</t>
  </si>
  <si>
    <t>TGCGCG</t>
  </si>
  <si>
    <t>TGCGCT</t>
  </si>
  <si>
    <t>TGCGGA</t>
  </si>
  <si>
    <t>TGCGGC</t>
  </si>
  <si>
    <t>TGCGGG</t>
  </si>
  <si>
    <t>TGCGGT</t>
  </si>
  <si>
    <t>TGCGTA</t>
  </si>
  <si>
    <t>TGCGTC</t>
  </si>
  <si>
    <t>TGCGTG</t>
  </si>
  <si>
    <t>TGCGTT</t>
  </si>
  <si>
    <t>TGCTAA</t>
  </si>
  <si>
    <t>TGCTAC</t>
  </si>
  <si>
    <t>TGCTAG</t>
  </si>
  <si>
    <t>TGCTAT</t>
  </si>
  <si>
    <t>TGCTCA</t>
  </si>
  <si>
    <t>TGCTCC</t>
  </si>
  <si>
    <t>TGCTCG</t>
  </si>
  <si>
    <t>TGCTCT</t>
  </si>
  <si>
    <t>TGCTGA</t>
  </si>
  <si>
    <t>TGCTGC</t>
  </si>
  <si>
    <t>TGCTGG</t>
  </si>
  <si>
    <t>TGCTGT</t>
  </si>
  <si>
    <t>TGCTTA</t>
  </si>
  <si>
    <t>TGCTTC</t>
  </si>
  <si>
    <t>TGCTTG</t>
  </si>
  <si>
    <t>TGCTTT</t>
  </si>
  <si>
    <t>TGGAAA</t>
  </si>
  <si>
    <t>TGGAAC</t>
  </si>
  <si>
    <t>TGGAAG</t>
  </si>
  <si>
    <t>TGGAAT</t>
  </si>
  <si>
    <t>TGGACA</t>
  </si>
  <si>
    <t>TGGACC</t>
  </si>
  <si>
    <t>TGGACG</t>
  </si>
  <si>
    <t>TGGACT</t>
  </si>
  <si>
    <t>TGGAGA</t>
  </si>
  <si>
    <t>TGGAGC</t>
  </si>
  <si>
    <t>TGGAGG</t>
  </si>
  <si>
    <t>TGGAGT</t>
  </si>
  <si>
    <t>TGGATA</t>
  </si>
  <si>
    <t>TGGATC</t>
  </si>
  <si>
    <t>TGGATG</t>
  </si>
  <si>
    <t>TGGATT</t>
  </si>
  <si>
    <t>TGGCAA</t>
  </si>
  <si>
    <t>TGGCAC</t>
  </si>
  <si>
    <t>TGGCAG</t>
  </si>
  <si>
    <t>TGGCAT</t>
  </si>
  <si>
    <t>TGGCCA</t>
  </si>
  <si>
    <t>TGGCCC</t>
  </si>
  <si>
    <t>TGGCCG</t>
  </si>
  <si>
    <t>TGGCCT</t>
  </si>
  <si>
    <t>TGGCGA</t>
  </si>
  <si>
    <t>TGGCGC</t>
  </si>
  <si>
    <t>TGGCGG</t>
  </si>
  <si>
    <t>TGGCGT</t>
  </si>
  <si>
    <t>TGGCTA</t>
  </si>
  <si>
    <t>TGGCTC</t>
  </si>
  <si>
    <t>TGGCTG</t>
  </si>
  <si>
    <t>TGGCTT</t>
  </si>
  <si>
    <t>TGGGAA</t>
  </si>
  <si>
    <t>TGGGAC</t>
  </si>
  <si>
    <t>TGGGAG</t>
  </si>
  <si>
    <t>TGGGAT</t>
  </si>
  <si>
    <t>TGGGCA</t>
  </si>
  <si>
    <t>TGGGCC</t>
  </si>
  <si>
    <t>TGGGCG</t>
  </si>
  <si>
    <t>TGGGCT</t>
  </si>
  <si>
    <t>TGGGGA</t>
  </si>
  <si>
    <t>TGGGGC</t>
  </si>
  <si>
    <t>TGGGGG</t>
  </si>
  <si>
    <t>TGGGGT</t>
  </si>
  <si>
    <t>TGGGTA</t>
  </si>
  <si>
    <t>TGGGTC</t>
  </si>
  <si>
    <t>TGGGTG</t>
  </si>
  <si>
    <t>TGGGTT</t>
  </si>
  <si>
    <t>TGGTAA</t>
  </si>
  <si>
    <t>TGGTAC</t>
  </si>
  <si>
    <t>TGGTAG</t>
  </si>
  <si>
    <t>TGGTAT</t>
  </si>
  <si>
    <t>TGGTCA</t>
  </si>
  <si>
    <t>TGGTCC</t>
  </si>
  <si>
    <t>TGGTCG</t>
  </si>
  <si>
    <t>TGGTCT</t>
  </si>
  <si>
    <t>TGGTGA</t>
  </si>
  <si>
    <t>TGGTGC</t>
  </si>
  <si>
    <t>TGGTGG</t>
  </si>
  <si>
    <t>TGGTGT</t>
  </si>
  <si>
    <t>TGGTTA</t>
  </si>
  <si>
    <t>TGGTTC</t>
  </si>
  <si>
    <t>TGGTTG</t>
  </si>
  <si>
    <t>TGGTTT</t>
  </si>
  <si>
    <t>TGTAAA</t>
  </si>
  <si>
    <t>TGTAAC</t>
  </si>
  <si>
    <t>TGTAAG</t>
  </si>
  <si>
    <t>TGTAAT</t>
  </si>
  <si>
    <t>TGTACA</t>
  </si>
  <si>
    <t>TGTACC</t>
  </si>
  <si>
    <t>TGTACG</t>
  </si>
  <si>
    <t>TGTACT</t>
  </si>
  <si>
    <t>TGTAGA</t>
  </si>
  <si>
    <t>TGTAGC</t>
  </si>
  <si>
    <t>TGTAGG</t>
  </si>
  <si>
    <t>TGTAGT</t>
  </si>
  <si>
    <t>TGTATA</t>
  </si>
  <si>
    <t>TGTATC</t>
  </si>
  <si>
    <t>TGTATG</t>
  </si>
  <si>
    <t>TGTATT</t>
  </si>
  <si>
    <t>TGTCAA</t>
  </si>
  <si>
    <t>TGTCAC</t>
  </si>
  <si>
    <t>TGTCAG</t>
  </si>
  <si>
    <t>TGTCAT</t>
  </si>
  <si>
    <t>TGTCCA</t>
  </si>
  <si>
    <t>TGTCCC</t>
  </si>
  <si>
    <t>TGTCCG</t>
  </si>
  <si>
    <t>TGTCCT</t>
  </si>
  <si>
    <t>TGTCGA</t>
  </si>
  <si>
    <t>TGTCGC</t>
  </si>
  <si>
    <t>TGTCGG</t>
  </si>
  <si>
    <t>TGTCGT</t>
  </si>
  <si>
    <t>TGTCTA</t>
  </si>
  <si>
    <t>TGTCTC</t>
  </si>
  <si>
    <t>TGTCTG</t>
  </si>
  <si>
    <t>TGTCTT</t>
  </si>
  <si>
    <t>TGTGAA</t>
  </si>
  <si>
    <t>TGTGAC</t>
  </si>
  <si>
    <t>TGTGAG</t>
  </si>
  <si>
    <t>TGTGAT</t>
  </si>
  <si>
    <t>TGTGCA</t>
  </si>
  <si>
    <t>TGTGCC</t>
  </si>
  <si>
    <t>TGTGCG</t>
  </si>
  <si>
    <t>TGTGCT</t>
  </si>
  <si>
    <t>TGTGGA</t>
  </si>
  <si>
    <t>TGTGGC</t>
  </si>
  <si>
    <t>TGTGGG</t>
  </si>
  <si>
    <t>TGTGGT</t>
  </si>
  <si>
    <t>TGTGTA</t>
  </si>
  <si>
    <t>TGTGTC</t>
  </si>
  <si>
    <t>TGTGTG</t>
  </si>
  <si>
    <t>TGTGTT</t>
  </si>
  <si>
    <t>TGTTAA</t>
  </si>
  <si>
    <t>TGTTAC</t>
  </si>
  <si>
    <t>TGTTAG</t>
  </si>
  <si>
    <t>TGTTAT</t>
  </si>
  <si>
    <t>TGTTCA</t>
  </si>
  <si>
    <t>TGTTCC</t>
  </si>
  <si>
    <t>TGTTCG</t>
  </si>
  <si>
    <t>TGTTCT</t>
  </si>
  <si>
    <t>TGTTGA</t>
  </si>
  <si>
    <t>TGTTGC</t>
  </si>
  <si>
    <t>TGTTGG</t>
  </si>
  <si>
    <t>TGTTGT</t>
  </si>
  <si>
    <t>TGTTTA</t>
  </si>
  <si>
    <t>TGTTTC</t>
  </si>
  <si>
    <t>TGTTTG</t>
  </si>
  <si>
    <t>TGTTTT</t>
  </si>
  <si>
    <t>TTAAAA</t>
  </si>
  <si>
    <t>TTAAAC</t>
  </si>
  <si>
    <t>TTAAAG</t>
  </si>
  <si>
    <t>TTAAAT</t>
  </si>
  <si>
    <t>TTAACA</t>
  </si>
  <si>
    <t>TTAACC</t>
  </si>
  <si>
    <t>TTAACG</t>
  </si>
  <si>
    <t>TTAACT</t>
  </si>
  <si>
    <t>TTAAGA</t>
  </si>
  <si>
    <t>TTAAGC</t>
  </si>
  <si>
    <t>TTAAGG</t>
  </si>
  <si>
    <t>TTAAGT</t>
  </si>
  <si>
    <t>TTAATA</t>
  </si>
  <si>
    <t>TTAATC</t>
  </si>
  <si>
    <t>TTAATG</t>
  </si>
  <si>
    <t>TTAATT</t>
  </si>
  <si>
    <t>TTACAA</t>
  </si>
  <si>
    <t>TTACAC</t>
  </si>
  <si>
    <t>TTACAG</t>
  </si>
  <si>
    <t>TTACAT</t>
  </si>
  <si>
    <t>TTACCA</t>
  </si>
  <si>
    <t>TTACCC</t>
  </si>
  <si>
    <t>TTACCG</t>
  </si>
  <si>
    <t>TTACCT</t>
  </si>
  <si>
    <t>TTACGA</t>
  </si>
  <si>
    <t>TTACGC</t>
  </si>
  <si>
    <t>TTACGG</t>
  </si>
  <si>
    <t>TTACGT</t>
  </si>
  <si>
    <t>TTACTA</t>
  </si>
  <si>
    <t>TTACTC</t>
  </si>
  <si>
    <t>TTACTG</t>
  </si>
  <si>
    <t>TTACTT</t>
  </si>
  <si>
    <t>TTAGAA</t>
  </si>
  <si>
    <t>TTAGAC</t>
  </si>
  <si>
    <t>TTAGAG</t>
  </si>
  <si>
    <t>TTAGAT</t>
  </si>
  <si>
    <t>TTAGCA</t>
  </si>
  <si>
    <t>TTAGCC</t>
  </si>
  <si>
    <t>TTAGCG</t>
  </si>
  <si>
    <t>TTAGCT</t>
  </si>
  <si>
    <t>TTAGGA</t>
  </si>
  <si>
    <t>TTAGGC</t>
  </si>
  <si>
    <t>TTAGGG</t>
  </si>
  <si>
    <t>TTAGGT</t>
  </si>
  <si>
    <t>TTAGTA</t>
  </si>
  <si>
    <t>TTAGTC</t>
  </si>
  <si>
    <t>TTAGTG</t>
  </si>
  <si>
    <t>TTAGTT</t>
  </si>
  <si>
    <t>TTATAA</t>
  </si>
  <si>
    <t>TTATAC</t>
  </si>
  <si>
    <t>TTATAG</t>
  </si>
  <si>
    <t>TTATAT</t>
  </si>
  <si>
    <t>TTATCA</t>
  </si>
  <si>
    <t>TTATCC</t>
  </si>
  <si>
    <t>TTATCG</t>
  </si>
  <si>
    <t>TTATCT</t>
  </si>
  <si>
    <t>TTATGA</t>
  </si>
  <si>
    <t>TTATGC</t>
  </si>
  <si>
    <t>TTATGG</t>
  </si>
  <si>
    <t>TTATGT</t>
  </si>
  <si>
    <t>TTATTA</t>
  </si>
  <si>
    <t>TTATTC</t>
  </si>
  <si>
    <t>TTATTG</t>
  </si>
  <si>
    <t>TTATTT</t>
  </si>
  <si>
    <t>TTCAAA</t>
  </si>
  <si>
    <t>TTCAAC</t>
  </si>
  <si>
    <t>TTCAAG</t>
  </si>
  <si>
    <t>TTCAAT</t>
  </si>
  <si>
    <t>TTCACA</t>
  </si>
  <si>
    <t>TTCACC</t>
  </si>
  <si>
    <t>TTCACG</t>
  </si>
  <si>
    <t>TTCACT</t>
  </si>
  <si>
    <t>TTCAGA</t>
  </si>
  <si>
    <t>TTCAGC</t>
  </si>
  <si>
    <t>TTCAGG</t>
  </si>
  <si>
    <t>TTCAGT</t>
  </si>
  <si>
    <t>TTCATA</t>
  </si>
  <si>
    <t>TTCATC</t>
  </si>
  <si>
    <t>TTCATG</t>
  </si>
  <si>
    <t>TTCATT</t>
  </si>
  <si>
    <t>TTCCAA</t>
  </si>
  <si>
    <t>TTCCAC</t>
  </si>
  <si>
    <t>TTCCAG</t>
  </si>
  <si>
    <t>TTCCAT</t>
  </si>
  <si>
    <t>TTCCCA</t>
  </si>
  <si>
    <t>TTCCCC</t>
  </si>
  <si>
    <t>TTCCCG</t>
  </si>
  <si>
    <t>TTCCCT</t>
  </si>
  <si>
    <t>TTCCGA</t>
  </si>
  <si>
    <t>TTCCGC</t>
  </si>
  <si>
    <t>TTCCGG</t>
  </si>
  <si>
    <t>TTCCGT</t>
  </si>
  <si>
    <t>TTCCTA</t>
  </si>
  <si>
    <t>TTCCTC</t>
  </si>
  <si>
    <t>TTCCTG</t>
  </si>
  <si>
    <t>TTCCTT</t>
  </si>
  <si>
    <t>TTCGAA</t>
  </si>
  <si>
    <t>TTCGAC</t>
  </si>
  <si>
    <t>TTCGAG</t>
  </si>
  <si>
    <t>TTCGAT</t>
  </si>
  <si>
    <t>TTCGCA</t>
  </si>
  <si>
    <t>TTCGCC</t>
  </si>
  <si>
    <t>TTCGCG</t>
  </si>
  <si>
    <t>TTCGCT</t>
  </si>
  <si>
    <t>TTCGGA</t>
  </si>
  <si>
    <t>TTCGGC</t>
  </si>
  <si>
    <t>TTCGGG</t>
  </si>
  <si>
    <t>TTCGGT</t>
  </si>
  <si>
    <t>TTCGTA</t>
  </si>
  <si>
    <t>TTCGTC</t>
  </si>
  <si>
    <t>TTCGTG</t>
  </si>
  <si>
    <t>TTCGTT</t>
  </si>
  <si>
    <t>TTCTAA</t>
  </si>
  <si>
    <t>TTCTAC</t>
  </si>
  <si>
    <t>TTCTAG</t>
  </si>
  <si>
    <t>TTCTAT</t>
  </si>
  <si>
    <t>TTCTCA</t>
  </si>
  <si>
    <t>TTCTCC</t>
  </si>
  <si>
    <t>TTCTCG</t>
  </si>
  <si>
    <t>TTCTCT</t>
  </si>
  <si>
    <t>TTCTGA</t>
  </si>
  <si>
    <t>TTCTGC</t>
  </si>
  <si>
    <t>TTCTGG</t>
  </si>
  <si>
    <t>TTCTGT</t>
  </si>
  <si>
    <t>TTCTTA</t>
  </si>
  <si>
    <t>TTCTTC</t>
  </si>
  <si>
    <t>TTCTTG</t>
  </si>
  <si>
    <t>TTCTTT</t>
  </si>
  <si>
    <t>TTGAAA</t>
  </si>
  <si>
    <t>TTGAAC</t>
  </si>
  <si>
    <t>TTGAAG</t>
  </si>
  <si>
    <t>TTGAAT</t>
  </si>
  <si>
    <t>TTGACA</t>
  </si>
  <si>
    <t>TTGACC</t>
  </si>
  <si>
    <t>TTGACG</t>
  </si>
  <si>
    <t>TTGACT</t>
  </si>
  <si>
    <t>TTGAGA</t>
  </si>
  <si>
    <t>TTGAGC</t>
  </si>
  <si>
    <t>TTGAGG</t>
  </si>
  <si>
    <t>TTGAGT</t>
  </si>
  <si>
    <t>TTGATA</t>
  </si>
  <si>
    <t>TTGATC</t>
  </si>
  <si>
    <t>TTGATG</t>
  </si>
  <si>
    <t>TTGATT</t>
  </si>
  <si>
    <t>TTGCAA</t>
  </si>
  <si>
    <t>TTGCAC</t>
  </si>
  <si>
    <t>TTGCAG</t>
  </si>
  <si>
    <t>TTGCAT</t>
  </si>
  <si>
    <t>TTGCCA</t>
  </si>
  <si>
    <t>TTGCCC</t>
  </si>
  <si>
    <t>TTGCCG</t>
  </si>
  <si>
    <t>TTGCCT</t>
  </si>
  <si>
    <t>TTGCGA</t>
  </si>
  <si>
    <t>TTGCGC</t>
  </si>
  <si>
    <t>TTGCGG</t>
  </si>
  <si>
    <t>TTGCGT</t>
  </si>
  <si>
    <t>TTGCTA</t>
  </si>
  <si>
    <t>TTGCTC</t>
  </si>
  <si>
    <t>TTGCTG</t>
  </si>
  <si>
    <t>TTGCTT</t>
  </si>
  <si>
    <t>TTGGAA</t>
  </si>
  <si>
    <t>TTGGAC</t>
  </si>
  <si>
    <t>TTGGAG</t>
  </si>
  <si>
    <t>TTGGAT</t>
  </si>
  <si>
    <t>TTGGCA</t>
  </si>
  <si>
    <t>TTGGCC</t>
  </si>
  <si>
    <t>TTGGCG</t>
  </si>
  <si>
    <t>TTGGCT</t>
  </si>
  <si>
    <t>TTGGGA</t>
  </si>
  <si>
    <t>TTGGGC</t>
  </si>
  <si>
    <t>TTGGGG</t>
  </si>
  <si>
    <t>TTGGGT</t>
  </si>
  <si>
    <t>TTGGTA</t>
  </si>
  <si>
    <t>TTGGTC</t>
  </si>
  <si>
    <t>TTGGTG</t>
  </si>
  <si>
    <t>TTGGTT</t>
  </si>
  <si>
    <t>TTGTAA</t>
  </si>
  <si>
    <t>TTGTAC</t>
  </si>
  <si>
    <t>TTGTAG</t>
  </si>
  <si>
    <t>TTGTAT</t>
  </si>
  <si>
    <t>TTGTCA</t>
  </si>
  <si>
    <t>TTGTCC</t>
  </si>
  <si>
    <t>TTGTCG</t>
  </si>
  <si>
    <t>TTGTCT</t>
  </si>
  <si>
    <t>TTGTGA</t>
  </si>
  <si>
    <t>TTGTGC</t>
  </si>
  <si>
    <t>TTGTGG</t>
  </si>
  <si>
    <t>TTGTGT</t>
  </si>
  <si>
    <t>TTGTTA</t>
  </si>
  <si>
    <t>TTGTTC</t>
  </si>
  <si>
    <t>TTGTTG</t>
  </si>
  <si>
    <t>TTGTTT</t>
  </si>
  <si>
    <t>TTTAAA</t>
  </si>
  <si>
    <t>TTTAAC</t>
  </si>
  <si>
    <t>TTTAAG</t>
  </si>
  <si>
    <t>TTTAAT</t>
  </si>
  <si>
    <t>TTTACA</t>
  </si>
  <si>
    <t>TTTACC</t>
  </si>
  <si>
    <t>TTTACG</t>
  </si>
  <si>
    <t>TTTACT</t>
  </si>
  <si>
    <t>TTTAGA</t>
  </si>
  <si>
    <t>TTTAGC</t>
  </si>
  <si>
    <t>TTTAGG</t>
  </si>
  <si>
    <t>TTTAGT</t>
  </si>
  <si>
    <t>TTTATA</t>
  </si>
  <si>
    <t>TTTATC</t>
  </si>
  <si>
    <t>TTTATG</t>
  </si>
  <si>
    <t>TTTATT</t>
  </si>
  <si>
    <t>TTTCAA</t>
  </si>
  <si>
    <t>TTTCAC</t>
  </si>
  <si>
    <t>TTTCAG</t>
  </si>
  <si>
    <t>TTTCAT</t>
  </si>
  <si>
    <t>TTTCCA</t>
  </si>
  <si>
    <t>TTTCCC</t>
  </si>
  <si>
    <t>TTTCCG</t>
  </si>
  <si>
    <t>TTTCCT</t>
  </si>
  <si>
    <t>TTTCGA</t>
  </si>
  <si>
    <t>TTTCGC</t>
  </si>
  <si>
    <t>TTTCGG</t>
  </si>
  <si>
    <t>TTTCGT</t>
  </si>
  <si>
    <t>TTTCTA</t>
  </si>
  <si>
    <t>TTTCTC</t>
  </si>
  <si>
    <t>TTTCTG</t>
  </si>
  <si>
    <t>TTTCTT</t>
  </si>
  <si>
    <t>TTTGAA</t>
  </si>
  <si>
    <t>TTTGAC</t>
  </si>
  <si>
    <t>TTTGAG</t>
  </si>
  <si>
    <t>TTTGAT</t>
  </si>
  <si>
    <t>TTTGCA</t>
  </si>
  <si>
    <t>TTTGCC</t>
  </si>
  <si>
    <t>TTTGCG</t>
  </si>
  <si>
    <t>TTTGCT</t>
  </si>
  <si>
    <t>TTTGGA</t>
  </si>
  <si>
    <t>TTTGGC</t>
  </si>
  <si>
    <t>TTTGGG</t>
  </si>
  <si>
    <t>TTTGGT</t>
  </si>
  <si>
    <t>TTTGTA</t>
  </si>
  <si>
    <t>TTTGTC</t>
  </si>
  <si>
    <t>TTTGTG</t>
  </si>
  <si>
    <t>TTTGTT</t>
  </si>
  <si>
    <t>TTTTAA</t>
  </si>
  <si>
    <t>TTTTAC</t>
  </si>
  <si>
    <t>TTTTAG</t>
  </si>
  <si>
    <t>TTTTAT</t>
  </si>
  <si>
    <t>TTTTCA</t>
  </si>
  <si>
    <t>TTTTCC</t>
  </si>
  <si>
    <t>TTTTCG</t>
  </si>
  <si>
    <t>TTTTCT</t>
  </si>
  <si>
    <t>TTTTGA</t>
  </si>
  <si>
    <t>TTTTGC</t>
  </si>
  <si>
    <t>TTTTGG</t>
  </si>
  <si>
    <t>TTTTGT</t>
  </si>
  <si>
    <t>TTTTTA</t>
  </si>
  <si>
    <t>TTTTTC</t>
  </si>
  <si>
    <t>TTTTTG</t>
  </si>
  <si>
    <t>TTTTTT</t>
  </si>
  <si>
    <t>&gt;1:AAAAAA:36.00:0.00:OK:6:1817.30:</t>
  </si>
  <si>
    <t>&gt;2:AAAAAC:34.00:16.67:OK:6:1793.27:</t>
  </si>
  <si>
    <t>&gt;3:AAAAAG:34.00:16.67:OK:6:1833.30:</t>
  </si>
  <si>
    <t>&gt;4:AAAAAT:28.00:0.00:OK:6:1808.28:</t>
  </si>
  <si>
    <t>&gt;5:AAAACA:34.00:16.67:OK:6:1793.27:</t>
  </si>
  <si>
    <t>&gt;6:AAAACC:32.00:33.33:OK:6:1769.24:</t>
  </si>
  <si>
    <t>&gt;7:AAAACG:32.00:33.33:OK:6:1809.27:</t>
  </si>
  <si>
    <t>&gt;8:AAAACT:26.00:16.67:OK:6:1784.25:</t>
  </si>
  <si>
    <t>&gt;9:AAAAGA:34.00:16.67:OK:6:1833.30:</t>
  </si>
  <si>
    <t>&gt;10:AAAAGC:32.00:33.33:OK:6:1809.27:</t>
  </si>
  <si>
    <t>&gt;11:AAAAGG:32.00:33.33:OK:6:1849.30:</t>
  </si>
  <si>
    <t>&gt;12:AAAAGT:26.00:16.67:OK:6:1824.28:</t>
  </si>
  <si>
    <t>&gt;13:AAAATA:28.00:0.00:OK:6:1808.28:</t>
  </si>
  <si>
    <t>&gt;14:AAAATC:26.00:16.67:OK:6:1784.25:</t>
  </si>
  <si>
    <t>&gt;15:AAAATG:26.00:16.67:OK:6:1824.28:</t>
  </si>
  <si>
    <t>&gt;16:AAAATT:20.00:0.00:OK:6:1799.26:</t>
  </si>
  <si>
    <t>&gt;17:AAACAA:34.00:16.67:OK:6:1793.27:</t>
  </si>
  <si>
    <t>&gt;18:AAACAC:32.00:33.33:OK:6:1769.24:</t>
  </si>
  <si>
    <t>&gt;19:AAACAG:32.00:33.33:OK:6:1809.27:</t>
  </si>
  <si>
    <t>&gt;20:AAACAT:26.00:16.67:OK:6:1784.25:</t>
  </si>
  <si>
    <t>&gt;21:AAACCA:32.00:33.33:OK:6:1769.24:</t>
  </si>
  <si>
    <t>&gt;22:AAACCC:30.00:50.00:Warning:6:1745.21:</t>
  </si>
  <si>
    <t>&gt;23:AAACCG:30.00:50.00:Warning:6:1785.24:</t>
  </si>
  <si>
    <t>&gt;24:AAACCT:24.00:33.33:OK:6:1760.22:</t>
  </si>
  <si>
    <t>&gt;25:AAACGA:32.00:33.33:OK:6:1809.27:</t>
  </si>
  <si>
    <t>&gt;26:AAACGC:30.00:50.00:Warning:6:1785.24:</t>
  </si>
  <si>
    <t>&gt;27:AAACGG:30.00:50.00:Warning:6:1825.27:</t>
  </si>
  <si>
    <t>&gt;28:AAACGT:24.00:33.33:OK:6:1800.25:</t>
  </si>
  <si>
    <t>&gt;29:AAACTA:26.00:16.67:OK:6:1784.25:</t>
  </si>
  <si>
    <t>&gt;30:AAACTC:24.00:33.33:OK:6:1760.22:</t>
  </si>
  <si>
    <t>&gt;31:AAACTG:24.00:33.33:OK:6:1800.25:</t>
  </si>
  <si>
    <t>&gt;32:AAACTT:18.00:16.67:OK:6:1775.23:</t>
  </si>
  <si>
    <t>&gt;33:AAAGAA:34.00:16.67:OK:6:1833.30:</t>
  </si>
  <si>
    <t>&gt;34:AAAGAC:32.00:33.33:OK:6:1809.27:</t>
  </si>
  <si>
    <t>&gt;35:AAAGAG:32.00:33.33:OK:6:1849.30:</t>
  </si>
  <si>
    <t>&gt;36:AAAGAT:26.00:16.67:OK:6:1824.28:</t>
  </si>
  <si>
    <t>&gt;37:AAAGCA:32.00:33.33:OK:6:1809.27:</t>
  </si>
  <si>
    <t>&gt;38:AAAGCC:30.00:50.00:Warning:6:1785.24:</t>
  </si>
  <si>
    <t>&gt;39:AAAGCG:30.00:50.00:Warning:6:1825.27:</t>
  </si>
  <si>
    <t>&gt;40:AAAGCT:24.00:33.33:OK:6:1800.25:</t>
  </si>
  <si>
    <t>&gt;41:AAAGGA:32.00:33.33:OK:6:1849.30:</t>
  </si>
  <si>
    <t>&gt;42:AAAGGC:30.00:50.00:Warning:6:1825.27:</t>
  </si>
  <si>
    <t>&gt;43:AAAGGG:30.00:50.00:Warning:6:1865.30:</t>
  </si>
  <si>
    <t>&gt;44:AAAGGT:24.00:33.33:OK:6:1840.28:</t>
  </si>
  <si>
    <t>&gt;45:AAAGTA:26.00:16.67:OK:6:1824.28:</t>
  </si>
  <si>
    <t>&gt;46:AAAGTC:24.00:33.33:OK:6:1800.25:</t>
  </si>
  <si>
    <t>&gt;47:AAAGTG:24.00:33.33:OK:6:1840.28:</t>
  </si>
  <si>
    <t>&gt;48:AAAGTT:18.00:16.67:OK:6:1815.26:</t>
  </si>
  <si>
    <t>&gt;49:AAATAA:28.00:0.00:OK:6:1808.28:</t>
  </si>
  <si>
    <t>&gt;50:AAATAC:26.00:16.67:OK:6:1784.25:</t>
  </si>
  <si>
    <t>&gt;51:AAATAG:26.00:16.67:OK:6:1824.28:</t>
  </si>
  <si>
    <t>&gt;52:AAATAT:20.00:0.00:OK:6:1799.26:</t>
  </si>
  <si>
    <t>&gt;53:AAATCA:26.00:16.67:OK:6:1784.25:</t>
  </si>
  <si>
    <t>&gt;54:AAATCC:24.00:33.33:OK:6:1760.22:</t>
  </si>
  <si>
    <t>&gt;55:AAATCG:24.00:33.33:OK:6:1800.25:</t>
  </si>
  <si>
    <t>&gt;56:AAATCT:18.00:16.67:OK:6:1775.23:</t>
  </si>
  <si>
    <t>&gt;57:AAATGA:26.00:16.67:OK:6:1824.28:</t>
  </si>
  <si>
    <t>&gt;58:AAATGC:24.00:33.33:OK:6:1800.25:</t>
  </si>
  <si>
    <t>&gt;59:AAATGG:24.00:33.33:OK:6:1840.28:</t>
  </si>
  <si>
    <t>&gt;60:AAATGT:18.00:16.67:OK:6:1815.26:</t>
  </si>
  <si>
    <t>&gt;61:AAATTA:20.00:0.00:OK:6:1799.26:</t>
  </si>
  <si>
    <t>&gt;62:AAATTC:18.00:16.67:OK:6:1775.23:</t>
  </si>
  <si>
    <t>&gt;63:AAATTG:18.00:16.67:OK:6:1815.26:</t>
  </si>
  <si>
    <t>&gt;64:AAATTT:12.00:0.00:OK:6:1790.24:</t>
  </si>
  <si>
    <t>&gt;65:AACAAA:34.00:16.67:OK:6:1793.27:</t>
  </si>
  <si>
    <t>&gt;66:AACAAC:32.00:33.33:OK:6:1769.24:</t>
  </si>
  <si>
    <t>&gt;67:AACAAG:32.00:33.33:OK:6:1809.27:</t>
  </si>
  <si>
    <t>&gt;68:AACAAT:26.00:16.67:OK:6:1784.25:</t>
  </si>
  <si>
    <t>&gt;69:AACACA:32.00:33.33:OK:6:1769.24:</t>
  </si>
  <si>
    <t>&gt;70:AACACC:30.00:50.00:Warning:6:1745.21:</t>
  </si>
  <si>
    <t>&gt;71:AACACG:30.00:50.00:Warning:6:1785.24:</t>
  </si>
  <si>
    <t>&gt;72:AACACT:24.00:33.33:OK:6:1760.22:</t>
  </si>
  <si>
    <t>&gt;73:AACAGA:32.00:33.33:OK:6:1809.27:</t>
  </si>
  <si>
    <t>&gt;74:AACAGC:30.00:50.00:Warning:6:1785.24:</t>
  </si>
  <si>
    <t>&gt;75:AACAGG:30.00:50.00:Warning:6:1825.27:</t>
  </si>
  <si>
    <t>&gt;76:AACAGT:24.00:33.33:OK:6:1800.25:</t>
  </si>
  <si>
    <t>&gt;77:AACATA:26.00:16.67:OK:6:1784.25:</t>
  </si>
  <si>
    <t>&gt;78:AACATC:24.00:33.33:OK:6:1760.22:</t>
  </si>
  <si>
    <t>&gt;79:AACATG:24.00:33.33:OK:6:1800.25:</t>
  </si>
  <si>
    <t>&gt;80:AACATT:18.00:16.67:OK:6:1775.23:</t>
  </si>
  <si>
    <t>&gt;81:AACCAA:32.00:33.33:OK:6:1769.24:</t>
  </si>
  <si>
    <t>&gt;82:AACCAC:30.00:50.00:Warning:6:1745.21:</t>
  </si>
  <si>
    <t>&gt;83:AACCAG:30.00:50.00:Warning:6:1785.24:</t>
  </si>
  <si>
    <t>&gt;84:AACCAT:24.00:33.33:OK:6:1760.22:</t>
  </si>
  <si>
    <t>&gt;85:AACCCA:30.00:50.00:Warning:6:1745.21:</t>
  </si>
  <si>
    <t>&gt;86:AACCCC:28.00:66.67:Warning:6:1721.18:</t>
  </si>
  <si>
    <t>&gt;87:AACCCG:28.00:66.67:Warning:6:1761.21:</t>
  </si>
  <si>
    <t>&gt;88:AACCCT:22.00:50.00:Warning:6:1736.19:</t>
  </si>
  <si>
    <t>&gt;89:AACCGA:30.00:50.00:Warning:6:1785.24:</t>
  </si>
  <si>
    <t>&gt;90:AACCGC:28.00:66.67:Warning:6:1761.21:</t>
  </si>
  <si>
    <t>&gt;91:AACCGG:28.00:66.67:Warning:6:1801.24:</t>
  </si>
  <si>
    <t>&gt;92:AACCGT:22.00:50.00:Warning:6:1776.22:</t>
  </si>
  <si>
    <t>&gt;93:AACCTA:24.00:33.33:OK:6:1760.22:</t>
  </si>
  <si>
    <t>&gt;94:AACCTC:22.00:50.00:Warning:6:1736.19:</t>
  </si>
  <si>
    <t>&gt;95:AACCTG:22.00:50.00:Warning:6:1776.22:</t>
  </si>
  <si>
    <t>&gt;96:AACCTT:16.00:33.33:OK:6:1751.20:</t>
  </si>
  <si>
    <t>&gt;97:AACGAA:32.00:33.33:OK:6:1809.27:</t>
  </si>
  <si>
    <t>&gt;98:AACGAC:30.00:50.00:Warning:6:1785.24:</t>
  </si>
  <si>
    <t>&gt;99:AACGAG:30.00:50.00:Warning:6:1825.27:</t>
  </si>
  <si>
    <t>&gt;100:AACGAT:24.00:33.33:OK:6:1800.25:</t>
  </si>
  <si>
    <t>&gt;101:AACGCA:30.00:50.00:Warning:6:1785.24:</t>
  </si>
  <si>
    <t>&gt;102:AACGCC:28.00:66.67:Warning:6:1761.21:</t>
  </si>
  <si>
    <t>&gt;103:AACGCG:28.00:66.67:Warning:6:1801.24:</t>
  </si>
  <si>
    <t>&gt;104:AACGCT:22.00:50.00:Warning:6:1776.22:</t>
  </si>
  <si>
    <t>&gt;105:AACGGA:30.00:50.00:Warning:6:1825.27:</t>
  </si>
  <si>
    <t>&gt;106:AACGGC:28.00:66.67:Warning:6:1801.24:</t>
  </si>
  <si>
    <t>&gt;107:AACGGG:28.00:66.67:Warning:6:1841.27:</t>
  </si>
  <si>
    <t>&gt;108:AACGGT:22.00:50.00:Warning:6:1816.25:</t>
  </si>
  <si>
    <t>&gt;109:AACGTA:24.00:33.33:OK:6:1800.25:</t>
  </si>
  <si>
    <t>&gt;110:AACGTC:22.00:50.00:Warning:6:1776.22:</t>
  </si>
  <si>
    <t>&gt;111:AACGTG:22.00:50.00:Warning:6:1816.25:</t>
  </si>
  <si>
    <t>&gt;112:AACGTT:16.00:33.33:OK:6:1791.23:</t>
  </si>
  <si>
    <t>&gt;113:AACTAA:26.00:16.67:OK:6:1784.25:</t>
  </si>
  <si>
    <t>&gt;114:AACTAC:24.00:33.33:OK:6:1760.22:</t>
  </si>
  <si>
    <t>&gt;115:AACTAG:24.00:33.33:OK:6:1800.25:</t>
  </si>
  <si>
    <t>&gt;116:AACTAT:18.00:16.67:OK:6:1775.23:</t>
  </si>
  <si>
    <t>&gt;117:AACTCA:24.00:33.33:OK:6:1760.22:</t>
  </si>
  <si>
    <t>&gt;118:AACTCC:22.00:50.00:Warning:6:1736.19:</t>
  </si>
  <si>
    <t>&gt;119:AACTCG:22.00:50.00:Warning:6:1776.22:</t>
  </si>
  <si>
    <t>&gt;120:AACTCT:16.00:33.33:OK:6:1751.20:</t>
  </si>
  <si>
    <t>&gt;121:AACTGA:24.00:33.33:OK:6:1800.25:</t>
  </si>
  <si>
    <t>&gt;122:AACTGC:22.00:50.00:Warning:6:1776.22:</t>
  </si>
  <si>
    <t>&gt;123:AACTGG:22.00:50.00:Warning:6:1816.25:</t>
  </si>
  <si>
    <t>&gt;124:AACTGT:16.00:33.33:OK:6:1791.23:</t>
  </si>
  <si>
    <t>&gt;125:AACTTA:18.00:16.67:OK:6:1775.23:</t>
  </si>
  <si>
    <t>&gt;126:AACTTC:16.00:33.33:OK:6:1751.20:</t>
  </si>
  <si>
    <t>&gt;127:AACTTG:16.00:33.33:OK:6:1791.23:</t>
  </si>
  <si>
    <t>&gt;128:AACTTT:10.00:16.67:OK:6:1766.21:</t>
  </si>
  <si>
    <t>&gt;129:AAGAAA:34.00:16.67:OK:6:1833.30:</t>
  </si>
  <si>
    <t>&gt;130:AAGAAC:32.00:33.33:OK:6:1809.27:</t>
  </si>
  <si>
    <t>&gt;131:AAGAAG:32.00:33.33:OK:6:1849.30:</t>
  </si>
  <si>
    <t>&gt;132:AAGAAT:26.00:16.67:OK:6:1824.28:</t>
  </si>
  <si>
    <t>&gt;133:AAGACA:32.00:33.33:OK:6:1809.27:</t>
  </si>
  <si>
    <t>&gt;134:AAGACC:30.00:50.00:Warning:6:1785.24:</t>
  </si>
  <si>
    <t>&gt;135:AAGACG:30.00:50.00:Warning:6:1825.27:</t>
  </si>
  <si>
    <t>&gt;136:AAGACT:24.00:33.33:OK:6:1800.25:</t>
  </si>
  <si>
    <t>&gt;137:AAGAGA:32.00:33.33:OK:6:1849.30:</t>
  </si>
  <si>
    <t>&gt;138:AAGAGC:30.00:50.00:Warning:6:1825.27:</t>
  </si>
  <si>
    <t>&gt;139:AAGAGG:30.00:50.00:Warning:6:1865.30:</t>
  </si>
  <si>
    <t>&gt;140:AAGAGT:24.00:33.33:OK:6:1840.28:</t>
  </si>
  <si>
    <t>&gt;141:AAGATA:26.00:16.67:OK:6:1824.28:</t>
  </si>
  <si>
    <t>&gt;142:AAGATC:24.00:33.33:OK:6:1800.25:</t>
  </si>
  <si>
    <t>&gt;143:AAGATG:24.00:33.33:OK:6:1840.28:</t>
  </si>
  <si>
    <t>&gt;144:AAGATT:18.00:16.67:OK:6:1815.26:</t>
  </si>
  <si>
    <t>&gt;145:AAGCAA:32.00:33.33:OK:6:1809.27:</t>
  </si>
  <si>
    <t>&gt;146:AAGCAC:30.00:50.00:Warning:6:1785.24:</t>
  </si>
  <si>
    <t>&gt;147:AAGCAG:30.00:50.00:Warning:6:1825.27:</t>
  </si>
  <si>
    <t>&gt;148:AAGCAT:24.00:33.33:OK:6:1800.25:</t>
  </si>
  <si>
    <t>&gt;149:AAGCCA:30.00:50.00:Warning:6:1785.24:</t>
  </si>
  <si>
    <t>&gt;150:AAGCCC:28.00:66.67:Warning:6:1761.21:</t>
  </si>
  <si>
    <t>&gt;151:AAGCCG:28.00:66.67:Warning:6:1801.24:</t>
  </si>
  <si>
    <t>&gt;152:AAGCCT:22.00:50.00:Warning:6:1776.22:</t>
  </si>
  <si>
    <t>&gt;153:AAGCGA:30.00:50.00:Warning:6:1825.27:</t>
  </si>
  <si>
    <t>&gt;154:AAGCGC:28.00:66.67:Warning:6:1801.24:</t>
  </si>
  <si>
    <t>&gt;155:AAGCGG:28.00:66.67:Warning:6:1841.27:</t>
  </si>
  <si>
    <t>&gt;156:AAGCGT:22.00:50.00:Warning:6:1816.25:</t>
  </si>
  <si>
    <t>&gt;157:AAGCTA:24.00:33.33:OK:6:1800.25:</t>
  </si>
  <si>
    <t>&gt;158:AAGCTC:22.00:50.00:Warning:6:1776.22:</t>
  </si>
  <si>
    <t>&gt;159:AAGCTG:22.00:50.00:Warning:6:1816.25:</t>
  </si>
  <si>
    <t>&gt;160:AAGCTT:16.00:33.33:OK:6:1791.23:</t>
  </si>
  <si>
    <t>&gt;161:AAGGAA:32.00:33.33:OK:6:1849.30:</t>
  </si>
  <si>
    <t>&gt;162:AAGGAC:30.00:50.00:Warning:6:1825.27:</t>
  </si>
  <si>
    <t>&gt;163:AAGGAG:30.00:50.00:Warning:6:1865.30:</t>
  </si>
  <si>
    <t>&gt;164:AAGGAT:24.00:33.33:OK:6:1840.28:</t>
  </si>
  <si>
    <t>&gt;165:AAGGCA:30.00:50.00:Warning:6:1825.27:</t>
  </si>
  <si>
    <t>&gt;166:AAGGCC:28.00:66.67:Warning:6:1801.24:</t>
  </si>
  <si>
    <t>&gt;167:AAGGCG:28.00:66.67:Warning:6:1841.27:</t>
  </si>
  <si>
    <t>&gt;168:AAGGCT:22.00:50.00:Warning:6:1816.25:</t>
  </si>
  <si>
    <t>&gt;169:AAGGGA:30.00:50.00:Warning:6:1865.30:</t>
  </si>
  <si>
    <t>&gt;170:AAGGGC:28.00:66.67:Warning:6:1841.27:</t>
  </si>
  <si>
    <t>&gt;171:AAGGGG:28.00:66.67:Warning:6:1881.30:</t>
  </si>
  <si>
    <t>&gt;172:AAGGGT:22.00:50.00:Warning:6:1856.28:</t>
  </si>
  <si>
    <t>&gt;173:AAGGTA:24.00:33.33:OK:6:1840.28:</t>
  </si>
  <si>
    <t>&gt;174:AAGGTC:22.00:50.00:Warning:6:1816.25:</t>
  </si>
  <si>
    <t>&gt;175:AAGGTG:22.00:50.00:Warning:6:1856.28:</t>
  </si>
  <si>
    <t>&gt;176:AAGGTT:16.00:33.33:OK:6:1831.26:</t>
  </si>
  <si>
    <t>&gt;177:AAGTAA:26.00:16.67:OK:6:1824.28:</t>
  </si>
  <si>
    <t>&gt;178:AAGTAC:24.00:33.33:OK:6:1800.25:</t>
  </si>
  <si>
    <t>&gt;179:AAGTAG:24.00:33.33:OK:6:1840.28:</t>
  </si>
  <si>
    <t>&gt;180:AAGTAT:18.00:16.67:OK:6:1815.26:</t>
  </si>
  <si>
    <t>&gt;181:AAGTCA:24.00:33.33:OK:6:1800.25:</t>
  </si>
  <si>
    <t>&gt;182:AAGTCC:22.00:50.00:Warning:6:1776.22:</t>
  </si>
  <si>
    <t>&gt;183:AAGTCG:22.00:50.00:Warning:6:1816.25:</t>
  </si>
  <si>
    <t>&gt;184:AAGTCT:16.00:33.33:OK:6:1791.23:</t>
  </si>
  <si>
    <t>&gt;185:AAGTGA:24.00:33.33:OK:6:1840.28:</t>
  </si>
  <si>
    <t>&gt;186:AAGTGC:22.00:50.00:Warning:6:1816.25:</t>
  </si>
  <si>
    <t>&gt;187:AAGTGG:22.00:50.00:Warning:6:1856.28:</t>
  </si>
  <si>
    <t>&gt;188:AAGTGT:16.00:33.33:OK:6:1831.26:</t>
  </si>
  <si>
    <t>&gt;189:AAGTTA:18.00:16.67:OK:6:1815.26:</t>
  </si>
  <si>
    <t>&gt;190:AAGTTC:16.00:33.33:OK:6:1791.23:</t>
  </si>
  <si>
    <t>&gt;191:AAGTTG:16.00:33.33:OK:6:1831.26:</t>
  </si>
  <si>
    <t>&gt;192:AAGTTT:10.00:16.67:OK:6:1806.24:</t>
  </si>
  <si>
    <t>&gt;193:AATAAA:28.00:0.00:OK:6:1808.28:</t>
  </si>
  <si>
    <t>&gt;194:AATAAC:26.00:16.67:OK:6:1784.25:</t>
  </si>
  <si>
    <t>&gt;195:AATAAG:26.00:16.67:OK:6:1824.28:</t>
  </si>
  <si>
    <t>&gt;196:AATAAT:20.00:0.00:OK:6:1799.26:</t>
  </si>
  <si>
    <t>&gt;197:AATACA:26.00:16.67:OK:6:1784.25:</t>
  </si>
  <si>
    <t>&gt;198:AATACC:24.00:33.33:OK:6:1760.22:</t>
  </si>
  <si>
    <t>&gt;199:AATACG:24.00:33.33:OK:6:1800.25:</t>
  </si>
  <si>
    <t>&gt;200:AATACT:18.00:16.67:OK:6:1775.23:</t>
  </si>
  <si>
    <t>&gt;201:AATAGA:26.00:16.67:OK:6:1824.28:</t>
  </si>
  <si>
    <t>&gt;202:AATAGC:24.00:33.33:OK:6:1800.25:</t>
  </si>
  <si>
    <t>&gt;203:AATAGG:24.00:33.33:OK:6:1840.28:</t>
  </si>
  <si>
    <t>&gt;204:AATAGT:18.00:16.67:OK:6:1815.26:</t>
  </si>
  <si>
    <t>&gt;205:AATATA:20.00:0.00:OK:6:1799.26:</t>
  </si>
  <si>
    <t>&gt;206:AATATC:18.00:16.67:OK:6:1775.23:</t>
  </si>
  <si>
    <t>&gt;207:AATATG:18.00:16.67:OK:6:1815.26:</t>
  </si>
  <si>
    <t>&gt;208:AATATT:12.00:0.00:OK:6:1790.24:</t>
  </si>
  <si>
    <t>&gt;209:AATCAA:26.00:16.67:OK:6:1784.25:</t>
  </si>
  <si>
    <t>&gt;210:AATCAC:24.00:33.33:OK:6:1760.22:</t>
  </si>
  <si>
    <t>&gt;211:AATCAG:24.00:33.33:OK:6:1800.25:</t>
  </si>
  <si>
    <t>&gt;212:AATCAT:18.00:16.67:OK:6:1775.23:</t>
  </si>
  <si>
    <t>&gt;213:AATCCA:24.00:33.33:OK:6:1760.22:</t>
  </si>
  <si>
    <t>&gt;214:AATCCC:22.00:50.00:Warning:6:1736.19:</t>
  </si>
  <si>
    <t>&gt;215:AATCCG:22.00:50.00:Warning:6:1776.22:</t>
  </si>
  <si>
    <t>&gt;216:AATCCT:16.00:33.33:OK:6:1751.20:</t>
  </si>
  <si>
    <t>&gt;217:AATCGA:24.00:33.33:OK:6:1800.25:</t>
  </si>
  <si>
    <t>&gt;218:AATCGC:22.00:50.00:Warning:6:1776.22:</t>
  </si>
  <si>
    <t>&gt;219:AATCGG:22.00:50.00:Warning:6:1816.25:</t>
  </si>
  <si>
    <t>&gt;220:AATCGT:16.00:33.33:OK:6:1791.23:</t>
  </si>
  <si>
    <t>&gt;221:AATCTA:18.00:16.67:OK:6:1775.23:</t>
  </si>
  <si>
    <t>&gt;222:AATCTC:16.00:33.33:OK:6:1751.20:</t>
  </si>
  <si>
    <t>&gt;223:AATCTG:16.00:33.33:OK:6:1791.23:</t>
  </si>
  <si>
    <t>&gt;224:AATCTT:10.00:16.67:OK:6:1766.21:</t>
  </si>
  <si>
    <t>&gt;225:AATGAA:26.00:16.67:OK:6:1824.28:</t>
  </si>
  <si>
    <t>&gt;226:AATGAC:24.00:33.33:OK:6:1800.25:</t>
  </si>
  <si>
    <t>&gt;227:AATGAG:24.00:33.33:OK:6:1840.28:</t>
  </si>
  <si>
    <t>&gt;228:AATGAT:18.00:16.67:OK:6:1815.26:</t>
  </si>
  <si>
    <t>&gt;229:AATGCA:24.00:33.33:OK:6:1800.25:</t>
  </si>
  <si>
    <t>&gt;230:AATGCC:22.00:50.00:Warning:6:1776.22:</t>
  </si>
  <si>
    <t>&gt;231:AATGCG:22.00:50.00:Warning:6:1816.25:</t>
  </si>
  <si>
    <t>&gt;232:AATGCT:16.00:33.33:OK:6:1791.23:</t>
  </si>
  <si>
    <t>&gt;233:AATGGA:24.00:33.33:OK:6:1840.28:</t>
  </si>
  <si>
    <t>&gt;234:AATGGC:22.00:50.00:Warning:6:1816.25:</t>
  </si>
  <si>
    <t>&gt;235:AATGGG:22.00:50.00:Warning:6:1856.28:</t>
  </si>
  <si>
    <t>&gt;236:AATGGT:16.00:33.33:OK:6:1831.26:</t>
  </si>
  <si>
    <t>&gt;237:AATGTA:18.00:16.67:OK:6:1815.26:</t>
  </si>
  <si>
    <t>&gt;238:AATGTC:16.00:33.33:OK:6:1791.23:</t>
  </si>
  <si>
    <t>&gt;239:AATGTG:16.00:33.33:OK:6:1831.26:</t>
  </si>
  <si>
    <t>&gt;240:AATGTT:10.00:16.67:OK:6:1806.24:</t>
  </si>
  <si>
    <t>&gt;241:AATTAA:20.00:0.00:OK:6:1799.26:</t>
  </si>
  <si>
    <t>&gt;242:AATTAC:18.00:16.67:OK:6:1775.23:</t>
  </si>
  <si>
    <t>&gt;243:AATTAG:18.00:16.67:OK:6:1815.26:</t>
  </si>
  <si>
    <t>&gt;244:AATTAT:12.00:0.00:OK:6:1790.24:</t>
  </si>
  <si>
    <t>&gt;245:AATTCA:18.00:16.67:OK:6:1775.23:</t>
  </si>
  <si>
    <t>&gt;246:AATTCC:16.00:33.33:OK:6:1751.20:</t>
  </si>
  <si>
    <t>&gt;247:AATTCG:16.00:33.33:OK:6:1791.23:</t>
  </si>
  <si>
    <t>&gt;248:AATTCT:10.00:16.67:OK:6:1766.21:</t>
  </si>
  <si>
    <t>&gt;249:AATTGA:18.00:16.67:OK:6:1815.26:</t>
  </si>
  <si>
    <t>&gt;250:AATTGC:16.00:33.33:OK:6:1791.23:</t>
  </si>
  <si>
    <t>&gt;251:AATTGG:16.00:33.33:OK:6:1831.26:</t>
  </si>
  <si>
    <t>&gt;252:AATTGT:10.00:16.67:OK:6:1806.24:</t>
  </si>
  <si>
    <t>&gt;253:AATTTA:12.00:0.00:OK:6:1790.24:</t>
  </si>
  <si>
    <t>&gt;254:AATTTC:10.00:16.67:OK:6:1766.21:</t>
  </si>
  <si>
    <t>&gt;255:AATTTG:10.00:16.67:OK:6:1806.24:</t>
  </si>
  <si>
    <t>&gt;256:AATTTT:4.00:0.00:OK:6:1781.22:</t>
  </si>
  <si>
    <t>&gt;257:ACAAAA:34.00:16.67:OK:6:1793.27:</t>
  </si>
  <si>
    <t>&gt;258:ACAAAC:32.00:33.33:OK:6:1769.24:</t>
  </si>
  <si>
    <t>&gt;259:ACAAAG:32.00:33.33:OK:6:1809.27:</t>
  </si>
  <si>
    <t>&gt;260:ACAAAT:26.00:16.67:OK:6:1784.25:</t>
  </si>
  <si>
    <t>&gt;261:ACAACA:32.00:33.33:OK:6:1769.24:</t>
  </si>
  <si>
    <t>&gt;262:ACAACC:30.00:50.00:Warning:6:1745.21:</t>
  </si>
  <si>
    <t>&gt;263:ACAACG:30.00:50.00:Warning:6:1785.24:</t>
  </si>
  <si>
    <t>&gt;264:ACAACT:24.00:33.33:OK:6:1760.22:</t>
  </si>
  <si>
    <t>&gt;265:ACAAGA:32.00:33.33:OK:6:1809.27:</t>
  </si>
  <si>
    <t>&gt;266:ACAAGC:30.00:50.00:Warning:6:1785.24:</t>
  </si>
  <si>
    <t>&gt;267:ACAAGG:30.00:50.00:Warning:6:1825.27:</t>
  </si>
  <si>
    <t>&gt;268:ACAAGT:24.00:33.33:OK:6:1800.25:</t>
  </si>
  <si>
    <t>&gt;269:ACAATA:26.00:16.67:OK:6:1784.25:</t>
  </si>
  <si>
    <t>&gt;270:ACAATC:24.00:33.33:OK:6:1760.22:</t>
  </si>
  <si>
    <t>&gt;271:ACAATG:24.00:33.33:OK:6:1800.25:</t>
  </si>
  <si>
    <t>&gt;272:ACAATT:18.00:16.67:OK:6:1775.23:</t>
  </si>
  <si>
    <t>&gt;273:ACACAA:32.00:33.33:OK:6:1769.24:</t>
  </si>
  <si>
    <t>&gt;274:ACACAC:30.00:50.00:Warning:6:1745.21:</t>
  </si>
  <si>
    <t>&gt;275:ACACAG:30.00:50.00:Warning:6:1785.24:</t>
  </si>
  <si>
    <t>&gt;276:ACACAT:24.00:33.33:OK:6:1760.22:</t>
  </si>
  <si>
    <t>&gt;277:ACACCA:30.00:50.00:Warning:6:1745.21:</t>
  </si>
  <si>
    <t>&gt;278:ACACCC:28.00:66.67:Warning:6:1721.18:</t>
  </si>
  <si>
    <t>&gt;279:ACACCG:28.00:66.67:Warning:6:1761.21:</t>
  </si>
  <si>
    <t>&gt;280:ACACCT:22.00:50.00:Warning:6:1736.19:</t>
  </si>
  <si>
    <t>&gt;281:ACACGA:30.00:50.00:Warning:6:1785.24:</t>
  </si>
  <si>
    <t>&gt;282:ACACGC:28.00:66.67:Warning:6:1761.21:</t>
  </si>
  <si>
    <t>&gt;283:ACACGG:28.00:66.67:Warning:6:1801.24:</t>
  </si>
  <si>
    <t>&gt;284:ACACGT:22.00:50.00:Warning:6:1776.22:</t>
  </si>
  <si>
    <t>&gt;285:ACACTA:24.00:33.33:OK:6:1760.22:</t>
  </si>
  <si>
    <t>&gt;286:ACACTC:22.00:50.00:Warning:6:1736.19:</t>
  </si>
  <si>
    <t>&gt;287:ACACTG:22.00:50.00:Warning:6:1776.22:</t>
  </si>
  <si>
    <t>&gt;288:ACACTT:16.00:33.33:OK:6:1751.20:</t>
  </si>
  <si>
    <t>&gt;289:ACAGAA:32.00:33.33:OK:6:1809.27:</t>
  </si>
  <si>
    <t>&gt;290:ACAGAC:30.00:50.00:Warning:6:1785.24:</t>
  </si>
  <si>
    <t>&gt;291:ACAGAG:30.00:50.00:Warning:6:1825.27:</t>
  </si>
  <si>
    <t>&gt;292:ACAGAT:24.00:33.33:OK:6:1800.25:</t>
  </si>
  <si>
    <t>&gt;293:ACAGCA:30.00:50.00:Warning:6:1785.24:</t>
  </si>
  <si>
    <t>&gt;294:ACAGCC:28.00:66.67:Warning:6:1761.21:</t>
  </si>
  <si>
    <t>&gt;295:ACAGCG:28.00:66.67:Warning:6:1801.24:</t>
  </si>
  <si>
    <t>&gt;296:ACAGCT:22.00:50.00:Warning:6:1776.22:</t>
  </si>
  <si>
    <t>&gt;297:ACAGGA:30.00:50.00:Warning:6:1825.27:</t>
  </si>
  <si>
    <t>&gt;298:ACAGGC:28.00:66.67:Warning:6:1801.24:</t>
  </si>
  <si>
    <t>&gt;299:ACAGGG:28.00:66.67:Warning:6:1841.27:</t>
  </si>
  <si>
    <t>&gt;300:ACAGGT:22.00:50.00:Warning:6:1816.25:</t>
  </si>
  <si>
    <t>&gt;301:ACAGTA:24.00:33.33:OK:6:1800.25:</t>
  </si>
  <si>
    <t>&gt;302:ACAGTC:22.00:50.00:Warning:6:1776.22:</t>
  </si>
  <si>
    <t>&gt;303:ACAGTG:22.00:50.00:Warning:6:1816.25:</t>
  </si>
  <si>
    <t>&gt;304:ACAGTT:16.00:33.33:OK:6:1791.23:</t>
  </si>
  <si>
    <t>&gt;305:ACATAA:26.00:16.67:OK:6:1784.25:</t>
  </si>
  <si>
    <t>&gt;306:ACATAC:24.00:33.33:OK:6:1760.22:</t>
  </si>
  <si>
    <t>&gt;307:ACATAG:24.00:33.33:OK:6:1800.25:</t>
  </si>
  <si>
    <t>&gt;308:ACATAT:18.00:16.67:OK:6:1775.23:</t>
  </si>
  <si>
    <t>&gt;309:ACATCA:24.00:33.33:OK:6:1760.22:</t>
  </si>
  <si>
    <t>&gt;310:ACATCC:22.00:50.00:Warning:6:1736.19:</t>
  </si>
  <si>
    <t>&gt;311:ACATCG:22.00:50.00:Warning:6:1776.22:</t>
  </si>
  <si>
    <t>&gt;312:ACATCT:16.00:33.33:OK:6:1751.20:</t>
  </si>
  <si>
    <t>&gt;313:ACATGA:24.00:33.33:OK:6:1800.25:</t>
  </si>
  <si>
    <t>&gt;314:ACATGC:22.00:50.00:Warning:6:1776.22:</t>
  </si>
  <si>
    <t>&gt;315:ACATGG:22.00:50.00:Warning:6:1816.25:</t>
  </si>
  <si>
    <t>&gt;316:ACATGT:16.00:33.33:OK:6:1791.23:</t>
  </si>
  <si>
    <t>&gt;317:ACATTA:18.00:16.67:OK:6:1775.23:</t>
  </si>
  <si>
    <t>&gt;318:ACATTC:16.00:33.33:OK:6:1751.20:</t>
  </si>
  <si>
    <t>&gt;319:ACATTG:16.00:33.33:OK:6:1791.23:</t>
  </si>
  <si>
    <t>&gt;320:ACATTT:10.00:16.67:OK:6:1766.21:</t>
  </si>
  <si>
    <t>&gt;321:ACCAAA:32.00:33.33:OK:6:1769.24:</t>
  </si>
  <si>
    <t>&gt;322:ACCAAC:30.00:50.00:Warning:6:1745.21:</t>
  </si>
  <si>
    <t>&gt;323:ACCAAG:30.00:50.00:Warning:6:1785.24:</t>
  </si>
  <si>
    <t>&gt;324:ACCAAT:24.00:33.33:OK:6:1760.22:</t>
  </si>
  <si>
    <t>&gt;325:ACCACA:30.00:50.00:Warning:6:1745.21:</t>
  </si>
  <si>
    <t>&gt;326:ACCACC:28.00:66.67:Warning:6:1721.18:</t>
  </si>
  <si>
    <t>&gt;327:ACCACG:28.00:66.67:Warning:6:1761.21:</t>
  </si>
  <si>
    <t>&gt;328:ACCACT:22.00:50.00:Warning:6:1736.19:</t>
  </si>
  <si>
    <t>&gt;329:ACCAGA:30.00:50.00:Warning:6:1785.24:</t>
  </si>
  <si>
    <t>&gt;330:ACCAGC:28.00:66.67:Warning:6:1761.21:</t>
  </si>
  <si>
    <t>&gt;331:ACCAGG:28.00:66.67:Warning:6:1801.24:</t>
  </si>
  <si>
    <t>&gt;332:ACCAGT:22.00:50.00:Warning:6:1776.22:</t>
  </si>
  <si>
    <t>&gt;333:ACCATA:24.00:33.33:OK:6:1760.22:</t>
  </si>
  <si>
    <t>&gt;334:ACCATC:22.00:50.00:Warning:6:1736.19:</t>
  </si>
  <si>
    <t>&gt;335:ACCATG:22.00:50.00:Warning:6:1776.22:</t>
  </si>
  <si>
    <t>&gt;336:ACCATT:16.00:33.33:OK:6:1751.20:</t>
  </si>
  <si>
    <t>&gt;337:ACCCAA:30.00:50.00:Warning:6:1745.21:</t>
  </si>
  <si>
    <t>&gt;338:ACCCAC:28.00:66.67:Warning:6:1721.18:</t>
  </si>
  <si>
    <t>&gt;339:ACCCAG:28.00:66.67:Warning:6:1761.21:</t>
  </si>
  <si>
    <t>&gt;340:ACCCAT:22.00:50.00:Warning:6:1736.19:</t>
  </si>
  <si>
    <t>&gt;341:ACCCCA:28.00:66.67:Warning:6:1721.18:</t>
  </si>
  <si>
    <t>&gt;342:ACCCCC:26.00:83.33:Warning:6:1697.15:</t>
  </si>
  <si>
    <t>&gt;343:ACCCCG:26.00:83.33:Warning:6:1737.18:</t>
  </si>
  <si>
    <t>&gt;344:ACCCCT:20.00:66.67:Warning:6:1712.16:</t>
  </si>
  <si>
    <t>&gt;345:ACCCGA:28.00:66.67:Warning:6:1761.21:</t>
  </si>
  <si>
    <t>&gt;346:ACCCGC:26.00:83.33:Warning:6:1737.18:</t>
  </si>
  <si>
    <t>&gt;347:ACCCGG:26.00:83.33:Warning:6:1777.21:</t>
  </si>
  <si>
    <t>&gt;348:ACCCGT:20.00:66.67:Warning:6:1752.19:</t>
  </si>
  <si>
    <t>&gt;349:ACCCTA:22.00:50.00:Warning:6:1736.19:</t>
  </si>
  <si>
    <t>&gt;350:ACCCTC:20.00:66.67:Warning:6:1712.16:</t>
  </si>
  <si>
    <t>&gt;351:ACCCTG:20.00:66.67:Warning:6:1752.19:</t>
  </si>
  <si>
    <t>&gt;352:ACCCTT:14.00:50.00:Warning:6:1727.17:</t>
  </si>
  <si>
    <t>&gt;353:ACCGAA:30.00:50.00:Warning:6:1785.24:</t>
  </si>
  <si>
    <t>&gt;354:ACCGAC:28.00:66.67:Warning:6:1761.21:</t>
  </si>
  <si>
    <t>&gt;355:ACCGAG:28.00:66.67:Warning:6:1801.24:</t>
  </si>
  <si>
    <t>&gt;356:ACCGAT:22.00:50.00:Warning:6:1776.22:</t>
  </si>
  <si>
    <t>&gt;357:ACCGCA:28.00:66.67:Warning:6:1761.21:</t>
  </si>
  <si>
    <t>&gt;358:ACCGCC:26.00:83.33:Warning:6:1737.18:</t>
  </si>
  <si>
    <t>&gt;359:ACCGCG:26.00:83.33:Warning:6:1777.21:</t>
  </si>
  <si>
    <t>&gt;360:ACCGCT:20.00:66.67:Warning:6:1752.19:</t>
  </si>
  <si>
    <t>&gt;361:ACCGGA:28.00:66.67:Warning:6:1801.24:</t>
  </si>
  <si>
    <t>&gt;362:ACCGGC:26.00:83.33:Warning:6:1777.21:</t>
  </si>
  <si>
    <t>&gt;363:ACCGGG:26.00:83.33:Warning:6:1817.24:</t>
  </si>
  <si>
    <t>&gt;364:ACCGGT:20.00:66.67:Warning:6:1792.22:</t>
  </si>
  <si>
    <t>&gt;365:ACCGTA:22.00:50.00:Warning:6:1776.22:</t>
  </si>
  <si>
    <t>&gt;366:ACCGTC:20.00:66.67:Warning:6:1752.19:</t>
  </si>
  <si>
    <t>&gt;367:ACCGTG:20.00:66.67:Warning:6:1792.22:</t>
  </si>
  <si>
    <t>&gt;368:ACCGTT:14.00:50.00:Warning:6:1767.20:</t>
  </si>
  <si>
    <t>&gt;369:ACCTAA:24.00:33.33:OK:6:1760.22:</t>
  </si>
  <si>
    <t>&gt;370:ACCTAC:22.00:50.00:Warning:6:1736.19:</t>
  </si>
  <si>
    <t>&gt;371:ACCTAG:22.00:50.00:Warning:6:1776.22:</t>
  </si>
  <si>
    <t>&gt;372:ACCTAT:16.00:33.33:OK:6:1751.20:</t>
  </si>
  <si>
    <t>&gt;373:ACCTCA:22.00:50.00:Warning:6:1736.19:</t>
  </si>
  <si>
    <t>&gt;374:ACCTCC:20.00:66.67:Warning:6:1712.16:</t>
  </si>
  <si>
    <t>&gt;375:ACCTCG:20.00:66.67:Warning:6:1752.19:</t>
  </si>
  <si>
    <t>&gt;376:ACCTCT:14.00:50.00:Warning:6:1727.17:</t>
  </si>
  <si>
    <t>&gt;377:ACCTGA:22.00:50.00:Warning:6:1776.22:</t>
  </si>
  <si>
    <t>&gt;378:ACCTGC:20.00:66.67:Warning:6:1752.19:</t>
  </si>
  <si>
    <t>&gt;379:ACCTGG:20.00:66.67:Warning:6:1792.22:</t>
  </si>
  <si>
    <t>&gt;380:ACCTGT:14.00:50.00:Warning:6:1767.20:</t>
  </si>
  <si>
    <t>&gt;381:ACCTTA:16.00:33.33:OK:6:1751.20:</t>
  </si>
  <si>
    <t>&gt;382:ACCTTC:14.00:50.00:Warning:6:1727.17:</t>
  </si>
  <si>
    <t>&gt;383:ACCTTG:14.00:50.00:Warning:6:1767.20:</t>
  </si>
  <si>
    <t>&gt;384:ACCTTT:8.00:33.33:OK:6:1742.18:</t>
  </si>
  <si>
    <t>&gt;385:ACGAAA:32.00:33.33:OK:6:1809.27:</t>
  </si>
  <si>
    <t>&gt;386:ACGAAC:30.00:50.00:Warning:6:1785.24:</t>
  </si>
  <si>
    <t>&gt;387:ACGAAG:30.00:50.00:Warning:6:1825.27:</t>
  </si>
  <si>
    <t>&gt;388:ACGAAT:24.00:33.33:OK:6:1800.25:</t>
  </si>
  <si>
    <t>&gt;389:ACGACA:30.00:50.00:Warning:6:1785.24:</t>
  </si>
  <si>
    <t>&gt;390:ACGACC:28.00:66.67:Warning:6:1761.21:</t>
  </si>
  <si>
    <t>&gt;391:ACGACG:28.00:66.67:Warning:6:1801.24:</t>
  </si>
  <si>
    <t>&gt;392:ACGACT:22.00:50.00:Warning:6:1776.22:</t>
  </si>
  <si>
    <t>&gt;393:ACGAGA:30.00:50.00:Warning:6:1825.27:</t>
  </si>
  <si>
    <t>&gt;394:ACGAGC:28.00:66.67:Warning:6:1801.24:</t>
  </si>
  <si>
    <t>&gt;395:ACGAGG:28.00:66.67:Warning:6:1841.27:</t>
  </si>
  <si>
    <t>&gt;396:ACGAGT:22.00:50.00:Warning:6:1816.25:</t>
  </si>
  <si>
    <t>&gt;397:ACGATA:24.00:33.33:OK:6:1800.25:</t>
  </si>
  <si>
    <t>&gt;398:ACGATC:22.00:50.00:Warning:6:1776.22:</t>
  </si>
  <si>
    <t>&gt;399:ACGATG:22.00:50.00:Warning:6:1816.25:</t>
  </si>
  <si>
    <t>&gt;400:ACGATT:16.00:33.33:OK:6:1791.23:</t>
  </si>
  <si>
    <t>&gt;401:ACGCAA:30.00:50.00:Warning:6:1785.24:</t>
  </si>
  <si>
    <t>&gt;402:ACGCAC:28.00:66.67:Warning:6:1761.21:</t>
  </si>
  <si>
    <t>&gt;403:ACGCAG:28.00:66.67:Warning:6:1801.24:</t>
  </si>
  <si>
    <t>&gt;404:ACGCAT:22.00:50.00:Warning:6:1776.22:</t>
  </si>
  <si>
    <t>&gt;405:ACGCCA:28.00:66.67:Warning:6:1761.21:</t>
  </si>
  <si>
    <t>&gt;406:ACGCCC:26.00:83.33:Warning:6:1737.18:</t>
  </si>
  <si>
    <t>&gt;407:ACGCCG:26.00:83.33:Warning:6:1777.21:</t>
  </si>
  <si>
    <t>&gt;408:ACGCCT:20.00:66.67:Warning:6:1752.19:</t>
  </si>
  <si>
    <t>&gt;409:ACGCGA:28.00:66.67:Warning:6:1801.24:</t>
  </si>
  <si>
    <t>&gt;410:ACGCGC:26.00:83.33:Warning:6:1777.21:</t>
  </si>
  <si>
    <t>&gt;411:ACGCGG:26.00:83.33:Warning:6:1817.24:</t>
  </si>
  <si>
    <t>&gt;412:ACGCGT:20.00:66.67:Warning:6:1792.22:</t>
  </si>
  <si>
    <t>&gt;413:ACGCTA:22.00:50.00:Warning:6:1776.22:</t>
  </si>
  <si>
    <t>&gt;414:ACGCTC:20.00:66.67:Warning:6:1752.19:</t>
  </si>
  <si>
    <t>&gt;415:ACGCTG:20.00:66.67:Warning:6:1792.22:</t>
  </si>
  <si>
    <t>&gt;416:ACGCTT:14.00:50.00:Warning:6:1767.20:</t>
  </si>
  <si>
    <t>&gt;417:ACGGAA:30.00:50.00:Warning:6:1825.27:</t>
  </si>
  <si>
    <t>&gt;418:ACGGAC:28.00:66.67:Warning:6:1801.24:</t>
  </si>
  <si>
    <t>&gt;419:ACGGAG:28.00:66.67:Warning:6:1841.27:</t>
  </si>
  <si>
    <t>&gt;420:ACGGAT:22.00:50.00:Warning:6:1816.25:</t>
  </si>
  <si>
    <t>&gt;421:ACGGCA:28.00:66.67:Warning:6:1801.24:</t>
  </si>
  <si>
    <t>&gt;422:ACGGCC:26.00:83.33:Warning:6:1777.21:</t>
  </si>
  <si>
    <t>&gt;423:ACGGCG:26.00:83.33:Warning:6:1817.24:</t>
  </si>
  <si>
    <t>&gt;424:ACGGCT:20.00:66.67:Warning:6:1792.22:</t>
  </si>
  <si>
    <t>&gt;425:ACGGGA:28.00:66.67:Warning:6:1841.27:</t>
  </si>
  <si>
    <t>&gt;426:ACGGGC:26.00:83.33:Warning:6:1817.24:</t>
  </si>
  <si>
    <t>&gt;427:ACGGGG:26.00:83.33:Warning:6:1857.27:</t>
  </si>
  <si>
    <t>&gt;428:ACGGGT:20.00:66.67:Warning:6:1832.25:</t>
  </si>
  <si>
    <t>&gt;429:ACGGTA:22.00:50.00:Warning:6:1816.25:</t>
  </si>
  <si>
    <t>&gt;430:ACGGTC:20.00:66.67:Warning:6:1792.22:</t>
  </si>
  <si>
    <t>&gt;431:ACGGTG:20.00:66.67:Warning:6:1832.25:</t>
  </si>
  <si>
    <t>&gt;432:ACGGTT:14.00:50.00:Warning:6:1807.23:</t>
  </si>
  <si>
    <t>&gt;433:ACGTAA:24.00:33.33:OK:6:1800.25:</t>
  </si>
  <si>
    <t>&gt;434:ACGTAC:22.00:50.00:Warning:6:1776.22:</t>
  </si>
  <si>
    <t>&gt;435:ACGTAG:22.00:50.00:Warning:6:1816.25:</t>
  </si>
  <si>
    <t>&gt;436:ACGTAT:16.00:33.33:OK:6:1791.23:</t>
  </si>
  <si>
    <t>&gt;437:ACGTCA:22.00:50.00:Warning:6:1776.22:</t>
  </si>
  <si>
    <t>&gt;438:ACGTCC:20.00:66.67:Warning:6:1752.19:</t>
  </si>
  <si>
    <t>&gt;439:ACGTCG:20.00:66.67:Warning:6:1792.22:</t>
  </si>
  <si>
    <t>&gt;440:ACGTCT:14.00:50.00:Warning:6:1767.20:</t>
  </si>
  <si>
    <t>&gt;441:ACGTGA:22.00:50.00:Warning:6:1816.25:</t>
  </si>
  <si>
    <t>&gt;442:ACGTGC:20.00:66.67:Warning:6:1792.22:</t>
  </si>
  <si>
    <t>&gt;443:ACGTGG:20.00:66.67:Warning:6:1832.25:</t>
  </si>
  <si>
    <t>&gt;444:ACGTGT:14.00:50.00:Warning:6:1807.23:</t>
  </si>
  <si>
    <t>&gt;445:ACGTTA:16.00:33.33:OK:6:1791.23:</t>
  </si>
  <si>
    <t>&gt;446:ACGTTC:14.00:50.00:Warning:6:1767.20:</t>
  </si>
  <si>
    <t>&gt;447:ACGTTG:14.00:50.00:Warning:6:1807.23:</t>
  </si>
  <si>
    <t>&gt;448:ACGTTT:8.00:33.33:OK:6:1782.21:</t>
  </si>
  <si>
    <t>&gt;449:ACTAAA:26.00:16.67:OK:6:1784.25:</t>
  </si>
  <si>
    <t>&gt;450:ACTAAC:24.00:33.33:OK:6:1760.22:</t>
  </si>
  <si>
    <t>&gt;451:ACTAAG:24.00:33.33:OK:6:1800.25:</t>
  </si>
  <si>
    <t>&gt;452:ACTAAT:18.00:16.67:OK:6:1775.23:</t>
  </si>
  <si>
    <t>&gt;453:ACTACA:24.00:33.33:OK:6:1760.22:</t>
  </si>
  <si>
    <t>&gt;454:ACTACC:22.00:50.00:Warning:6:1736.19:</t>
  </si>
  <si>
    <t>&gt;455:ACTACG:22.00:50.00:Warning:6:1776.22:</t>
  </si>
  <si>
    <t>&gt;456:ACTACT:16.00:33.33:OK:6:1751.20:</t>
  </si>
  <si>
    <t>&gt;457:ACTAGA:24.00:33.33:OK:6:1800.25:</t>
  </si>
  <si>
    <t>&gt;458:ACTAGC:22.00:50.00:Warning:6:1776.22:</t>
  </si>
  <si>
    <t>&gt;459:ACTAGG:22.00:50.00:Warning:6:1816.25:</t>
  </si>
  <si>
    <t>&gt;460:ACTAGT:16.00:33.33:OK:6:1791.23:</t>
  </si>
  <si>
    <t>&gt;461:ACTATA:18.00:16.67:OK:6:1775.23:</t>
  </si>
  <si>
    <t>&gt;462:ACTATC:16.00:33.33:OK:6:1751.20:</t>
  </si>
  <si>
    <t>&gt;463:ACTATG:16.00:33.33:OK:6:1791.23:</t>
  </si>
  <si>
    <t>&gt;464:ACTATT:10.00:16.67:OK:6:1766.21:</t>
  </si>
  <si>
    <t>&gt;465:ACTCAA:24.00:33.33:OK:6:1760.22:</t>
  </si>
  <si>
    <t>&gt;466:ACTCAC:22.00:50.00:Warning:6:1736.19:</t>
  </si>
  <si>
    <t>&gt;467:ACTCAG:22.00:50.00:Warning:6:1776.22:</t>
  </si>
  <si>
    <t>&gt;468:ACTCAT:16.00:33.33:OK:6:1751.20:</t>
  </si>
  <si>
    <t>&gt;469:ACTCCA:22.00:50.00:Warning:6:1736.19:</t>
  </si>
  <si>
    <t>&gt;470:ACTCCC:20.00:66.67:Warning:6:1712.16:</t>
  </si>
  <si>
    <t>&gt;471:ACTCCG:20.00:66.67:Warning:6:1752.19:</t>
  </si>
  <si>
    <t>&gt;472:ACTCCT:14.00:50.00:Warning:6:1727.17:</t>
  </si>
  <si>
    <t>&gt;473:ACTCGA:22.00:50.00:Warning:6:1776.22:</t>
  </si>
  <si>
    <t>&gt;474:ACTCGC:20.00:66.67:Warning:6:1752.19:</t>
  </si>
  <si>
    <t>&gt;475:ACTCGG:20.00:66.67:Warning:6:1792.22:</t>
  </si>
  <si>
    <t>&gt;476:ACTCGT:14.00:50.00:Warning:6:1767.20:</t>
  </si>
  <si>
    <t>&gt;477:ACTCTA:16.00:33.33:OK:6:1751.20:</t>
  </si>
  <si>
    <t>&gt;478:ACTCTC:14.00:50.00:Warning:6:1727.17:</t>
  </si>
  <si>
    <t>&gt;479:ACTCTG:14.00:50.00:Warning:6:1767.20:</t>
  </si>
  <si>
    <t>&gt;480:ACTCTT:8.00:33.33:OK:6:1742.18:</t>
  </si>
  <si>
    <t>&gt;481:ACTGAA:24.00:33.33:OK:6:1800.25:</t>
  </si>
  <si>
    <t>&gt;482:ACTGAC:22.00:50.00:Warning:6:1776.22:</t>
  </si>
  <si>
    <t>&gt;483:ACTGAG:22.00:50.00:Warning:6:1816.25:</t>
  </si>
  <si>
    <t>&gt;484:ACTGAT:16.00:33.33:OK:6:1791.23:</t>
  </si>
  <si>
    <t>&gt;485:ACTGCA:22.00:50.00:Warning:6:1776.22:</t>
  </si>
  <si>
    <t>&gt;486:ACTGCC:20.00:66.67:Warning:6:1752.19:</t>
  </si>
  <si>
    <t>&gt;487:ACTGCG:20.00:66.67:Warning:6:1792.22:</t>
  </si>
  <si>
    <t>&gt;488:ACTGCT:14.00:50.00:Warning:6:1767.20:</t>
  </si>
  <si>
    <t>&gt;489:ACTGGA:22.00:50.00:Warning:6:1816.25:</t>
  </si>
  <si>
    <t>&gt;490:ACTGGC:20.00:66.67:Warning:6:1792.22:</t>
  </si>
  <si>
    <t>&gt;491:ACTGGG:20.00:66.67:Warning:6:1832.25:</t>
  </si>
  <si>
    <t>&gt;492:ACTGGT:14.00:50.00:Warning:6:1807.23:</t>
  </si>
  <si>
    <t>&gt;493:ACTGTA:16.00:33.33:OK:6:1791.23:</t>
  </si>
  <si>
    <t>&gt;494:ACTGTC:14.00:50.00:Warning:6:1767.20:</t>
  </si>
  <si>
    <t>&gt;495:ACTGTG:14.00:50.00:Warning:6:1807.23:</t>
  </si>
  <si>
    <t>&gt;496:ACTGTT:8.00:33.33:OK:6:1782.21:</t>
  </si>
  <si>
    <t>&gt;497:ACTTAA:18.00:16.67:OK:6:1775.23:</t>
  </si>
  <si>
    <t>&gt;498:ACTTAC:16.00:33.33:OK:6:1751.20:</t>
  </si>
  <si>
    <t>&gt;499:ACTTAG:16.00:33.33:OK:6:1791.23:</t>
  </si>
  <si>
    <t>&gt;500:ACTTAT:10.00:16.67:OK:6:1766.21:</t>
  </si>
  <si>
    <t>&gt;501:ACTTCA:16.00:33.33:OK:6:1751.20:</t>
  </si>
  <si>
    <t>&gt;502:ACTTCC:14.00:50.00:Warning:6:1727.17:</t>
  </si>
  <si>
    <t>&gt;503:ACTTCG:14.00:50.00:Warning:6:1767.20:</t>
  </si>
  <si>
    <t>&gt;504:ACTTCT:8.00:33.33:OK:6:1742.18:</t>
  </si>
  <si>
    <t>&gt;505:ACTTGA:16.00:33.33:OK:6:1791.23:</t>
  </si>
  <si>
    <t>&gt;506:ACTTGC:14.00:50.00:Warning:6:1767.20:</t>
  </si>
  <si>
    <t>&gt;507:ACTTGG:14.00:50.00:Warning:6:1807.23:</t>
  </si>
  <si>
    <t>&gt;508:ACTTGT:8.00:33.33:OK:6:1782.21:</t>
  </si>
  <si>
    <t>&gt;509:ACTTTA:10.00:16.67:OK:6:1766.21:</t>
  </si>
  <si>
    <t>&gt;510:ACTTTC:8.00:33.33:OK:6:1742.18:</t>
  </si>
  <si>
    <t>&gt;511:ACTTTG:8.00:33.33:OK:6:1782.21:</t>
  </si>
  <si>
    <t>&gt;512:ACTTTT:2.00:16.67:OK:6:1757.19:</t>
  </si>
  <si>
    <t>&gt;513:AGAAAA:34.00:16.67:OK:6:1833.30:</t>
  </si>
  <si>
    <t>&gt;514:AGAAAC:32.00:33.33:OK:6:1809.27:</t>
  </si>
  <si>
    <t>&gt;515:AGAAAG:32.00:33.33:OK:6:1849.30:</t>
  </si>
  <si>
    <t>&gt;516:AGAAAT:26.00:16.67:OK:6:1824.28:</t>
  </si>
  <si>
    <t>&gt;517:AGAACA:32.00:33.33:OK:6:1809.27:</t>
  </si>
  <si>
    <t>&gt;518:AGAACC:30.00:50.00:Warning:6:1785.24:</t>
  </si>
  <si>
    <t>&gt;519:AGAACG:30.00:50.00:Warning:6:1825.27:</t>
  </si>
  <si>
    <t>&gt;520:AGAACT:24.00:33.33:OK:6:1800.25:</t>
  </si>
  <si>
    <t>&gt;521:AGAAGA:32.00:33.33:OK:6:1849.30:</t>
  </si>
  <si>
    <t>&gt;522:AGAAGC:30.00:50.00:Warning:6:1825.27:</t>
  </si>
  <si>
    <t>&gt;523:AGAAGG:30.00:50.00:Warning:6:1865.30:</t>
  </si>
  <si>
    <t>&gt;524:AGAAGT:24.00:33.33:OK:6:1840.28:</t>
  </si>
  <si>
    <t>&gt;525:AGAATA:26.00:16.67:OK:6:1824.28:</t>
  </si>
  <si>
    <t>&gt;526:AGAATC:24.00:33.33:OK:6:1800.25:</t>
  </si>
  <si>
    <t>&gt;527:AGAATG:24.00:33.33:OK:6:1840.28:</t>
  </si>
  <si>
    <t>&gt;528:AGAATT:18.00:16.67:OK:6:1815.26:</t>
  </si>
  <si>
    <t>&gt;529:AGACAA:32.00:33.33:OK:6:1809.27:</t>
  </si>
  <si>
    <t>&gt;530:AGACAC:30.00:50.00:Warning:6:1785.24:</t>
  </si>
  <si>
    <t>&gt;531:AGACAG:30.00:50.00:Warning:6:1825.27:</t>
  </si>
  <si>
    <t>&gt;532:AGACAT:24.00:33.33:OK:6:1800.25:</t>
  </si>
  <si>
    <t>&gt;533:AGACCA:30.00:50.00:Warning:6:1785.24:</t>
  </si>
  <si>
    <t>&gt;534:AGACCC:28.00:66.67:Warning:6:1761.21:</t>
  </si>
  <si>
    <t>&gt;535:AGACCG:28.00:66.67:Warning:6:1801.24:</t>
  </si>
  <si>
    <t>&gt;536:AGACCT:22.00:50.00:Warning:6:1776.22:</t>
  </si>
  <si>
    <t>&gt;537:AGACGA:30.00:50.00:Warning:6:1825.27:</t>
  </si>
  <si>
    <t>&gt;538:AGACGC:28.00:66.67:Warning:6:1801.24:</t>
  </si>
  <si>
    <t>&gt;539:AGACGG:28.00:66.67:Warning:6:1841.27:</t>
  </si>
  <si>
    <t>&gt;540:AGACGT:22.00:50.00:Warning:6:1816.25:</t>
  </si>
  <si>
    <t>&gt;541:AGACTA:24.00:33.33:OK:6:1800.25:</t>
  </si>
  <si>
    <t>&gt;542:AGACTC:22.00:50.00:Warning:6:1776.22:</t>
  </si>
  <si>
    <t>&gt;543:AGACTG:22.00:50.00:Warning:6:1816.25:</t>
  </si>
  <si>
    <t>&gt;544:AGACTT:16.00:33.33:OK:6:1791.23:</t>
  </si>
  <si>
    <t>&gt;545:AGAGAA:32.00:33.33:OK:6:1849.30:</t>
  </si>
  <si>
    <t>&gt;546:AGAGAC:30.00:50.00:Warning:6:1825.27:</t>
  </si>
  <si>
    <t>&gt;547:AGAGAG:30.00:50.00:Warning:6:1865.30:</t>
  </si>
  <si>
    <t>&gt;548:AGAGAT:24.00:33.33:OK:6:1840.28:</t>
  </si>
  <si>
    <t>&gt;549:AGAGCA:30.00:50.00:Warning:6:1825.27:</t>
  </si>
  <si>
    <t>&gt;550:AGAGCC:28.00:66.67:Warning:6:1801.24:</t>
  </si>
  <si>
    <t>&gt;551:AGAGCG:28.00:66.67:Warning:6:1841.27:</t>
  </si>
  <si>
    <t>&gt;552:AGAGCT:22.00:50.00:Warning:6:1816.25:</t>
  </si>
  <si>
    <t>&gt;553:AGAGGA:30.00:50.00:Warning:6:1865.30:</t>
  </si>
  <si>
    <t>&gt;554:AGAGGC:28.00:66.67:Warning:6:1841.27:</t>
  </si>
  <si>
    <t>&gt;555:AGAGGG:28.00:66.67:Warning:6:1881.30:</t>
  </si>
  <si>
    <t>&gt;556:AGAGGT:22.00:50.00:Warning:6:1856.28:</t>
  </si>
  <si>
    <t>&gt;557:AGAGTA:24.00:33.33:OK:6:1840.28:</t>
  </si>
  <si>
    <t>&gt;558:AGAGTC:22.00:50.00:Warning:6:1816.25:</t>
  </si>
  <si>
    <t>&gt;559:AGAGTG:22.00:50.00:Warning:6:1856.28:</t>
  </si>
  <si>
    <t>&gt;560:AGAGTT:16.00:33.33:OK:6:1831.26:</t>
  </si>
  <si>
    <t>&gt;561:AGATAA:26.00:16.67:OK:6:1824.28:</t>
  </si>
  <si>
    <t>&gt;562:AGATAC:24.00:33.33:OK:6:1800.25:</t>
  </si>
  <si>
    <t>&gt;563:AGATAG:24.00:33.33:OK:6:1840.28:</t>
  </si>
  <si>
    <t>&gt;564:AGATAT:18.00:16.67:OK:6:1815.26:</t>
  </si>
  <si>
    <t>&gt;565:AGATCA:24.00:33.33:OK:6:1800.25:</t>
  </si>
  <si>
    <t>&gt;566:AGATCC:22.00:50.00:Warning:6:1776.22:</t>
  </si>
  <si>
    <t>&gt;567:AGATCG:22.00:50.00:Warning:6:1816.25:</t>
  </si>
  <si>
    <t>&gt;568:AGATCT:16.00:33.33:OK:6:1791.23:</t>
  </si>
  <si>
    <t>&gt;569:AGATGA:24.00:33.33:OK:6:1840.28:</t>
  </si>
  <si>
    <t>&gt;570:AGATGC:22.00:50.00:Warning:6:1816.25:</t>
  </si>
  <si>
    <t>&gt;571:AGATGG:22.00:50.00:Warning:6:1856.28:</t>
  </si>
  <si>
    <t>&gt;572:AGATGT:16.00:33.33:OK:6:1831.26:</t>
  </si>
  <si>
    <t>&gt;573:AGATTA:18.00:16.67:OK:6:1815.26:</t>
  </si>
  <si>
    <t>&gt;574:AGATTC:16.00:33.33:OK:6:1791.23:</t>
  </si>
  <si>
    <t>&gt;575:AGATTG:16.00:33.33:OK:6:1831.26:</t>
  </si>
  <si>
    <t>&gt;576:AGATTT:10.00:16.67:OK:6:1806.24:</t>
  </si>
  <si>
    <t>&gt;577:AGCAAA:32.00:33.33:OK:6:1809.27:</t>
  </si>
  <si>
    <t>&gt;578:AGCAAC:30.00:50.00:Warning:6:1785.24:</t>
  </si>
  <si>
    <t>&gt;579:AGCAAG:30.00:50.00:Warning:6:1825.27:</t>
  </si>
  <si>
    <t>&gt;580:AGCAAT:24.00:33.33:OK:6:1800.25:</t>
  </si>
  <si>
    <t>&gt;581:AGCACA:30.00:50.00:Warning:6:1785.24:</t>
  </si>
  <si>
    <t>&gt;582:AGCACC:28.00:66.67:Warning:6:1761.21:</t>
  </si>
  <si>
    <t>&gt;583:AGCACG:28.00:66.67:Warning:6:1801.24:</t>
  </si>
  <si>
    <t>&gt;584:AGCACT:22.00:50.00:Warning:6:1776.22:</t>
  </si>
  <si>
    <t>&gt;585:AGCAGA:30.00:50.00:Warning:6:1825.27:</t>
  </si>
  <si>
    <t>&gt;586:AGCAGC:28.00:66.67:Warning:6:1801.24:</t>
  </si>
  <si>
    <t>&gt;587:AGCAGG:28.00:66.67:Warning:6:1841.27:</t>
  </si>
  <si>
    <t>&gt;588:AGCAGT:22.00:50.00:Warning:6:1816.25:</t>
  </si>
  <si>
    <t>&gt;589:AGCATA:24.00:33.33:OK:6:1800.25:</t>
  </si>
  <si>
    <t>&gt;590:AGCATC:22.00:50.00:Warning:6:1776.22:</t>
  </si>
  <si>
    <t>&gt;591:AGCATG:22.00:50.00:Warning:6:1816.25:</t>
  </si>
  <si>
    <t>&gt;592:AGCATT:16.00:33.33:OK:6:1791.23:</t>
  </si>
  <si>
    <t>&gt;593:AGCCAA:30.00:50.00:Warning:6:1785.24:</t>
  </si>
  <si>
    <t>&gt;594:AGCCAC:28.00:66.67:Warning:6:1761.21:</t>
  </si>
  <si>
    <t>&gt;595:AGCCAG:28.00:66.67:Warning:6:1801.24:</t>
  </si>
  <si>
    <t>&gt;596:AGCCAT:22.00:50.00:Warning:6:1776.22:</t>
  </si>
  <si>
    <t>&gt;597:AGCCCA:28.00:66.67:Warning:6:1761.21:</t>
  </si>
  <si>
    <t>&gt;598:AGCCCC:26.00:83.33:Warning:6:1737.18:</t>
  </si>
  <si>
    <t>&gt;599:AGCCCG:26.00:83.33:Warning:6:1777.21:</t>
  </si>
  <si>
    <t>&gt;600:AGCCCT:20.00:66.67:Warning:6:1752.19:</t>
  </si>
  <si>
    <t>&gt;601:AGCCGA:28.00:66.67:Warning:6:1801.24:</t>
  </si>
  <si>
    <t>&gt;602:AGCCGC:26.00:83.33:Warning:6:1777.21:</t>
  </si>
  <si>
    <t>&gt;603:AGCCGG:26.00:83.33:Warning:6:1817.24:</t>
  </si>
  <si>
    <t>&gt;604:AGCCGT:20.00:66.67:Warning:6:1792.22:</t>
  </si>
  <si>
    <t>&gt;605:AGCCTA:22.00:50.00:Warning:6:1776.22:</t>
  </si>
  <si>
    <t>&gt;606:AGCCTC:20.00:66.67:Warning:6:1752.19:</t>
  </si>
  <si>
    <t>&gt;607:AGCCTG:20.00:66.67:Warning:6:1792.22:</t>
  </si>
  <si>
    <t>&gt;608:AGCCTT:14.00:50.00:Warning:6:1767.20:</t>
  </si>
  <si>
    <t>&gt;609:AGCGAA:30.00:50.00:Warning:6:1825.27:</t>
  </si>
  <si>
    <t>&gt;610:AGCGAC:28.00:66.67:Warning:6:1801.24:</t>
  </si>
  <si>
    <t>&gt;611:AGCGAG:28.00:66.67:Warning:6:1841.27:</t>
  </si>
  <si>
    <t>&gt;612:AGCGAT:22.00:50.00:Warning:6:1816.25:</t>
  </si>
  <si>
    <t>&gt;613:AGCGCA:28.00:66.67:Warning:6:1801.24:</t>
  </si>
  <si>
    <t>&gt;614:AGCGCC:26.00:83.33:Warning:6:1777.21:</t>
  </si>
  <si>
    <t>&gt;615:AGCGCG:26.00:83.33:Warning:6:1817.24:</t>
  </si>
  <si>
    <t>&gt;616:AGCGCT:20.00:66.67:Warning:6:1792.22:</t>
  </si>
  <si>
    <t>&gt;617:AGCGGA:28.00:66.67:Warning:6:1841.27:</t>
  </si>
  <si>
    <t>&gt;618:AGCGGC:26.00:83.33:Warning:6:1817.24:</t>
  </si>
  <si>
    <t>&gt;619:AGCGGG:26.00:83.33:Warning:6:1857.27:</t>
  </si>
  <si>
    <t>&gt;620:AGCGGT:20.00:66.67:Warning:6:1832.25:</t>
  </si>
  <si>
    <t>&gt;621:AGCGTA:22.00:50.00:Warning:6:1816.25:</t>
  </si>
  <si>
    <t>&gt;622:AGCGTC:20.00:66.67:Warning:6:1792.22:</t>
  </si>
  <si>
    <t>&gt;623:AGCGTG:20.00:66.67:Warning:6:1832.25:</t>
  </si>
  <si>
    <t>&gt;624:AGCGTT:14.00:50.00:Warning:6:1807.23:</t>
  </si>
  <si>
    <t>&gt;625:AGCTAA:24.00:33.33:OK:6:1800.25:</t>
  </si>
  <si>
    <t>&gt;626:AGCTAC:22.00:50.00:Warning:6:1776.22:</t>
  </si>
  <si>
    <t>&gt;627:AGCTAG:22.00:50.00:Warning:6:1816.25:</t>
  </si>
  <si>
    <t>&gt;628:AGCTAT:16.00:33.33:OK:6:1791.23:</t>
  </si>
  <si>
    <t>&gt;629:AGCTCA:22.00:50.00:Warning:6:1776.22:</t>
  </si>
  <si>
    <t>&gt;630:AGCTCC:20.00:66.67:Warning:6:1752.19:</t>
  </si>
  <si>
    <t>&gt;631:AGCTCG:20.00:66.67:Warning:6:1792.22:</t>
  </si>
  <si>
    <t>&gt;632:AGCTCT:14.00:50.00:Warning:6:1767.20:</t>
  </si>
  <si>
    <t>&gt;633:AGCTGA:22.00:50.00:Warning:6:1816.25:</t>
  </si>
  <si>
    <t>&gt;634:AGCTGC:20.00:66.67:Warning:6:1792.22:</t>
  </si>
  <si>
    <t>&gt;635:AGCTGG:20.00:66.67:Warning:6:1832.25:</t>
  </si>
  <si>
    <t>&gt;636:AGCTGT:14.00:50.00:Warning:6:1807.23:</t>
  </si>
  <si>
    <t>&gt;637:AGCTTA:16.00:33.33:OK:6:1791.23:</t>
  </si>
  <si>
    <t>&gt;638:AGCTTC:14.00:50.00:Warning:6:1767.20:</t>
  </si>
  <si>
    <t>&gt;639:AGCTTG:14.00:50.00:Warning:6:1807.23:</t>
  </si>
  <si>
    <t>&gt;640:AGCTTT:8.00:33.33:OK:6:1782.21:</t>
  </si>
  <si>
    <t>&gt;641:AGGAAA:32.00:33.33:OK:6:1849.30:</t>
  </si>
  <si>
    <t>&gt;642:AGGAAC:30.00:50.00:Warning:6:1825.27:</t>
  </si>
  <si>
    <t>&gt;643:AGGAAG:30.00:50.00:Warning:6:1865.30:</t>
  </si>
  <si>
    <t>&gt;644:AGGAAT:24.00:33.33:OK:6:1840.28:</t>
  </si>
  <si>
    <t>&gt;645:AGGACA:30.00:50.00:Warning:6:1825.27:</t>
  </si>
  <si>
    <t>&gt;646:AGGACC:28.00:66.67:Warning:6:1801.24:</t>
  </si>
  <si>
    <t>&gt;647:AGGACG:28.00:66.67:Warning:6:1841.27:</t>
  </si>
  <si>
    <t>&gt;648:AGGACT:22.00:50.00:Warning:6:1816.25:</t>
  </si>
  <si>
    <t>&gt;649:AGGAGA:30.00:50.00:Warning:6:1865.30:</t>
  </si>
  <si>
    <t>&gt;650:AGGAGC:28.00:66.67:Warning:6:1841.27:</t>
  </si>
  <si>
    <t>&gt;651:AGGAGG:28.00:66.67:Warning:6:1881.30:</t>
  </si>
  <si>
    <t>&gt;652:AGGAGT:22.00:50.00:Warning:6:1856.28:</t>
  </si>
  <si>
    <t>&gt;653:AGGATA:24.00:33.33:OK:6:1840.28:</t>
  </si>
  <si>
    <t>&gt;654:AGGATC:22.00:50.00:Warning:6:1816.25:</t>
  </si>
  <si>
    <t>&gt;655:AGGATG:22.00:50.00:Warning:6:1856.28:</t>
  </si>
  <si>
    <t>&gt;656:AGGATT:16.00:33.33:OK:6:1831.26:</t>
  </si>
  <si>
    <t>&gt;657:AGGCAA:30.00:50.00:Warning:6:1825.27:</t>
  </si>
  <si>
    <t>&gt;658:AGGCAC:28.00:66.67:Warning:6:1801.24:</t>
  </si>
  <si>
    <t>&gt;659:AGGCAG:28.00:66.67:Warning:6:1841.27:</t>
  </si>
  <si>
    <t>&gt;660:AGGCAT:22.00:50.00:Warning:6:1816.25:</t>
  </si>
  <si>
    <t>&gt;661:AGGCCA:28.00:66.67:Warning:6:1801.24:</t>
  </si>
  <si>
    <t>&gt;662:AGGCCC:26.00:83.33:Warning:6:1777.21:</t>
  </si>
  <si>
    <t>&gt;663:AGGCCG:26.00:83.33:Warning:6:1817.24:</t>
  </si>
  <si>
    <t>&gt;664:AGGCCT:20.00:66.67:Warning:6:1792.22:</t>
  </si>
  <si>
    <t>&gt;665:AGGCGA:28.00:66.67:Warning:6:1841.27:</t>
  </si>
  <si>
    <t>&gt;666:AGGCGC:26.00:83.33:Warning:6:1817.24:</t>
  </si>
  <si>
    <t>&gt;667:AGGCGG:26.00:83.33:Warning:6:1857.27:</t>
  </si>
  <si>
    <t>&gt;668:AGGCGT:20.00:66.67:Warning:6:1832.25:</t>
  </si>
  <si>
    <t>&gt;669:AGGCTA:22.00:50.00:Warning:6:1816.25:</t>
  </si>
  <si>
    <t>&gt;670:AGGCTC:20.00:66.67:Warning:6:1792.22:</t>
  </si>
  <si>
    <t>&gt;671:AGGCTG:20.00:66.67:Warning:6:1832.25:</t>
  </si>
  <si>
    <t>&gt;672:AGGCTT:14.00:50.00:Warning:6:1807.23:</t>
  </si>
  <si>
    <t>&gt;673:AGGGAA:30.00:50.00:Warning:6:1865.30:</t>
  </si>
  <si>
    <t>&gt;674:AGGGAC:28.00:66.67:Warning:6:1841.27:</t>
  </si>
  <si>
    <t>&gt;675:AGGGAG:28.00:66.67:Warning:6:1881.30:</t>
  </si>
  <si>
    <t>&gt;676:AGGGAT:22.00:50.00:Warning:6:1856.28:</t>
  </si>
  <si>
    <t>&gt;677:AGGGCA:28.00:66.67:Warning:6:1841.27:</t>
  </si>
  <si>
    <t>&gt;678:AGGGCC:26.00:83.33:Warning:6:1817.24:</t>
  </si>
  <si>
    <t>&gt;679:AGGGCG:26.00:83.33:Warning:6:1857.27:</t>
  </si>
  <si>
    <t>&gt;680:AGGGCT:20.00:66.67:Warning:6:1832.25:</t>
  </si>
  <si>
    <t>&gt;681:AGGGGA:28.00:66.67:Warning:6:1881.30:</t>
  </si>
  <si>
    <t>&gt;682:AGGGGC:26.00:83.33:Warning:6:1857.27:</t>
  </si>
  <si>
    <t>&gt;683:AGGGGG:26.00:83.33:Warning:6:1897.30:</t>
  </si>
  <si>
    <t>&gt;684:AGGGGT:20.00:66.67:Warning:6:1872.28:</t>
  </si>
  <si>
    <t>&gt;685:AGGGTA:22.00:50.00:Warning:6:1856.28:</t>
  </si>
  <si>
    <t>&gt;686:AGGGTC:20.00:66.67:Warning:6:1832.25:</t>
  </si>
  <si>
    <t>&gt;687:AGGGTG:20.00:66.67:Warning:6:1872.28:</t>
  </si>
  <si>
    <t>&gt;688:AGGGTT:14.00:50.00:Warning:6:1847.26:</t>
  </si>
  <si>
    <t>&gt;689:AGGTAA:24.00:33.33:OK:6:1840.28:</t>
  </si>
  <si>
    <t>&gt;690:AGGTAC:22.00:50.00:Warning:6:1816.25:</t>
  </si>
  <si>
    <t>&gt;691:AGGTAG:22.00:50.00:Warning:6:1856.28:</t>
  </si>
  <si>
    <t>&gt;692:AGGTAT:16.00:33.33:OK:6:1831.26:</t>
  </si>
  <si>
    <t>&gt;693:AGGTCA:22.00:50.00:Warning:6:1816.25:</t>
  </si>
  <si>
    <t>&gt;694:AGGTCC:20.00:66.67:Warning:6:1792.22:</t>
  </si>
  <si>
    <t>&gt;695:AGGTCG:20.00:66.67:Warning:6:1832.25:</t>
  </si>
  <si>
    <t>&gt;696:AGGTCT:14.00:50.00:Warning:6:1807.23:</t>
  </si>
  <si>
    <t>&gt;697:AGGTGA:22.00:50.00:Warning:6:1856.28:</t>
  </si>
  <si>
    <t>&gt;698:AGGTGC:20.00:66.67:Warning:6:1832.25:</t>
  </si>
  <si>
    <t>&gt;699:AGGTGG:20.00:66.67:Warning:6:1872.28:</t>
  </si>
  <si>
    <t>&gt;700:AGGTGT:14.00:50.00:Warning:6:1847.26:</t>
  </si>
  <si>
    <t>&gt;701:AGGTTA:16.00:33.33:OK:6:1831.26:</t>
  </si>
  <si>
    <t>&gt;702:AGGTTC:14.00:50.00:Warning:6:1807.23:</t>
  </si>
  <si>
    <t>&gt;703:AGGTTG:14.00:50.00:Warning:6:1847.26:</t>
  </si>
  <si>
    <t>&gt;704:AGGTTT:8.00:33.33:OK:6:1822.24:</t>
  </si>
  <si>
    <t>&gt;705:AGTAAA:26.00:16.67:OK:6:1824.28:</t>
  </si>
  <si>
    <t>&gt;706:AGTAAC:24.00:33.33:OK:6:1800.25:</t>
  </si>
  <si>
    <t>&gt;707:AGTAAG:24.00:33.33:OK:6:1840.28:</t>
  </si>
  <si>
    <t>&gt;708:AGTAAT:18.00:16.67:OK:6:1815.26:</t>
  </si>
  <si>
    <t>&gt;709:AGTACA:24.00:33.33:OK:6:1800.25:</t>
  </si>
  <si>
    <t>&gt;710:AGTACC:22.00:50.00:Warning:6:1776.22:</t>
  </si>
  <si>
    <t>&gt;711:AGTACG:22.00:50.00:Warning:6:1816.25:</t>
  </si>
  <si>
    <t>&gt;712:AGTACT:16.00:33.33:OK:6:1791.23:</t>
  </si>
  <si>
    <t>&gt;713:AGTAGA:24.00:33.33:OK:6:1840.28:</t>
  </si>
  <si>
    <t>&gt;714:AGTAGC:22.00:50.00:Warning:6:1816.25:</t>
  </si>
  <si>
    <t>&gt;715:AGTAGG:22.00:50.00:Warning:6:1856.28:</t>
  </si>
  <si>
    <t>&gt;716:AGTAGT:16.00:33.33:OK:6:1831.26:</t>
  </si>
  <si>
    <t>&gt;717:AGTATA:18.00:16.67:OK:6:1815.26:</t>
  </si>
  <si>
    <t>&gt;718:AGTATC:16.00:33.33:OK:6:1791.23:</t>
  </si>
  <si>
    <t>&gt;719:AGTATG:16.00:33.33:OK:6:1831.26:</t>
  </si>
  <si>
    <t>&gt;720:AGTATT:10.00:16.67:OK:6:1806.24:</t>
  </si>
  <si>
    <t>&gt;721:AGTCAA:24.00:33.33:OK:6:1800.25:</t>
  </si>
  <si>
    <t>&gt;722:AGTCAC:22.00:50.00:Warning:6:1776.22:</t>
  </si>
  <si>
    <t>&gt;723:AGTCAG:22.00:50.00:Warning:6:1816.25:</t>
  </si>
  <si>
    <t>&gt;724:AGTCAT:16.00:33.33:OK:6:1791.23:</t>
  </si>
  <si>
    <t>&gt;725:AGTCCA:22.00:50.00:Warning:6:1776.22:</t>
  </si>
  <si>
    <t>&gt;726:AGTCCC:20.00:66.67:Warning:6:1752.19:</t>
  </si>
  <si>
    <t>&gt;727:AGTCCG:20.00:66.67:Warning:6:1792.22:</t>
  </si>
  <si>
    <t>&gt;728:AGTCCT:14.00:50.00:Warning:6:1767.20:</t>
  </si>
  <si>
    <t>&gt;729:AGTCGA:22.00:50.00:Warning:6:1816.25:</t>
  </si>
  <si>
    <t>&gt;730:AGTCGC:20.00:66.67:Warning:6:1792.22:</t>
  </si>
  <si>
    <t>&gt;731:AGTCGG:20.00:66.67:Warning:6:1832.25:</t>
  </si>
  <si>
    <t>&gt;732:AGTCGT:14.00:50.00:Warning:6:1807.23:</t>
  </si>
  <si>
    <t>&gt;733:AGTCTA:16.00:33.33:OK:6:1791.23:</t>
  </si>
  <si>
    <t>&gt;734:AGTCTC:14.00:50.00:Warning:6:1767.20:</t>
  </si>
  <si>
    <t>&gt;735:AGTCTG:14.00:50.00:Warning:6:1807.23:</t>
  </si>
  <si>
    <t>&gt;736:AGTCTT:8.00:33.33:OK:6:1782.21:</t>
  </si>
  <si>
    <t>&gt;737:AGTGAA:24.00:33.33:OK:6:1840.28:</t>
  </si>
  <si>
    <t>&gt;738:AGTGAC:22.00:50.00:Warning:6:1816.25:</t>
  </si>
  <si>
    <t>&gt;739:AGTGAG:22.00:50.00:Warning:6:1856.28:</t>
  </si>
  <si>
    <t>&gt;740:AGTGAT:16.00:33.33:OK:6:1831.26:</t>
  </si>
  <si>
    <t>&gt;741:AGTGCA:22.00:50.00:Warning:6:1816.25:</t>
  </si>
  <si>
    <t>&gt;742:AGTGCC:20.00:66.67:Warning:6:1792.22:</t>
  </si>
  <si>
    <t>&gt;743:AGTGCG:20.00:66.67:Warning:6:1832.25:</t>
  </si>
  <si>
    <t>&gt;744:AGTGCT:14.00:50.00:Warning:6:1807.23:</t>
  </si>
  <si>
    <t>&gt;745:AGTGGA:22.00:50.00:Warning:6:1856.28:</t>
  </si>
  <si>
    <t>&gt;746:AGTGGC:20.00:66.67:Warning:6:1832.25:</t>
  </si>
  <si>
    <t>&gt;747:AGTGGG:20.00:66.67:Warning:6:1872.28:</t>
  </si>
  <si>
    <t>&gt;748:AGTGGT:14.00:50.00:Warning:6:1847.26:</t>
  </si>
  <si>
    <t>&gt;749:AGTGTA:16.00:33.33:OK:6:1831.26:</t>
  </si>
  <si>
    <t>&gt;750:AGTGTC:14.00:50.00:Warning:6:1807.23:</t>
  </si>
  <si>
    <t>&gt;751:AGTGTG:14.00:50.00:Warning:6:1847.26:</t>
  </si>
  <si>
    <t>&gt;752:AGTGTT:8.00:33.33:OK:6:1822.24:</t>
  </si>
  <si>
    <t>&gt;753:AGTTAA:18.00:16.67:OK:6:1815.26:</t>
  </si>
  <si>
    <t>&gt;754:AGTTAC:16.00:33.33:OK:6:1791.23:</t>
  </si>
  <si>
    <t>&gt;755:AGTTAG:16.00:33.33:OK:6:1831.26:</t>
  </si>
  <si>
    <t>&gt;756:AGTTAT:10.00:16.67:OK:6:1806.24:</t>
  </si>
  <si>
    <t>&gt;757:AGTTCA:16.00:33.33:OK:6:1791.23:</t>
  </si>
  <si>
    <t>&gt;758:AGTTCC:14.00:50.00:Warning:6:1767.20:</t>
  </si>
  <si>
    <t>&gt;759:AGTTCG:14.00:50.00:Warning:6:1807.23:</t>
  </si>
  <si>
    <t>&gt;760:AGTTCT:8.00:33.33:OK:6:1782.21:</t>
  </si>
  <si>
    <t>&gt;761:AGTTGA:16.00:33.33:OK:6:1831.26:</t>
  </si>
  <si>
    <t>&gt;762:AGTTGC:14.00:50.00:Warning:6:1807.23:</t>
  </si>
  <si>
    <t>&gt;763:AGTTGG:14.00:50.00:Warning:6:1847.26:</t>
  </si>
  <si>
    <t>&gt;764:AGTTGT:8.00:33.33:OK:6:1822.24:</t>
  </si>
  <si>
    <t>&gt;765:AGTTTA:10.00:16.67:OK:6:1806.24:</t>
  </si>
  <si>
    <t>&gt;766:AGTTTC:8.00:33.33:OK:6:1782.21:</t>
  </si>
  <si>
    <t>&gt;767:AGTTTG:8.00:33.33:OK:6:1822.24:</t>
  </si>
  <si>
    <t>&gt;768:AGTTTT:2.00:16.67:OK:6:1797.22:</t>
  </si>
  <si>
    <t>&gt;769:ATAAAA:28.00:0.00:OK:6:1808.28:</t>
  </si>
  <si>
    <t>&gt;770:ATAAAC:26.00:16.67:OK:6:1784.25:</t>
  </si>
  <si>
    <t>&gt;771:ATAAAG:26.00:16.67:OK:6:1824.28:</t>
  </si>
  <si>
    <t>&gt;772:ATAAAT:20.00:0.00:OK:6:1799.26:</t>
  </si>
  <si>
    <t>&gt;773:ATAACA:26.00:16.67:OK:6:1784.25:</t>
  </si>
  <si>
    <t>&gt;774:ATAACC:24.00:33.33:OK:6:1760.22:</t>
  </si>
  <si>
    <t>&gt;775:ATAACG:24.00:33.33:OK:6:1800.25:</t>
  </si>
  <si>
    <t>&gt;776:ATAACT:18.00:16.67:OK:6:1775.23:</t>
  </si>
  <si>
    <t>&gt;777:ATAAGA:26.00:16.67:OK:6:1824.28:</t>
  </si>
  <si>
    <t>&gt;778:ATAAGC:24.00:33.33:OK:6:1800.25:</t>
  </si>
  <si>
    <t>&gt;779:ATAAGG:24.00:33.33:OK:6:1840.28:</t>
  </si>
  <si>
    <t>&gt;780:ATAAGT:18.00:16.67:OK:6:1815.26:</t>
  </si>
  <si>
    <t>&gt;781:ATAATA:20.00:0.00:OK:6:1799.26:</t>
  </si>
  <si>
    <t>&gt;782:ATAATC:18.00:16.67:OK:6:1775.23:</t>
  </si>
  <si>
    <t>&gt;783:ATAATG:18.00:16.67:OK:6:1815.26:</t>
  </si>
  <si>
    <t>&gt;784:ATAATT:12.00:0.00:OK:6:1790.24:</t>
  </si>
  <si>
    <t>&gt;785:ATACAA:26.00:16.67:OK:6:1784.25:</t>
  </si>
  <si>
    <t>&gt;786:ATACAC:24.00:33.33:OK:6:1760.22:</t>
  </si>
  <si>
    <t>&gt;787:ATACAG:24.00:33.33:OK:6:1800.25:</t>
  </si>
  <si>
    <t>&gt;788:ATACAT:18.00:16.67:OK:6:1775.23:</t>
  </si>
  <si>
    <t>&gt;789:ATACCA:24.00:33.33:OK:6:1760.22:</t>
  </si>
  <si>
    <t>&gt;790:ATACCC:22.00:50.00:Warning:6:1736.19:</t>
  </si>
  <si>
    <t>&gt;791:ATACCG:22.00:50.00:Warning:6:1776.22:</t>
  </si>
  <si>
    <t>&gt;792:ATACCT:16.00:33.33:OK:6:1751.20:</t>
  </si>
  <si>
    <t>&gt;793:ATACGA:24.00:33.33:OK:6:1800.25:</t>
  </si>
  <si>
    <t>&gt;794:ATACGC:22.00:50.00:Warning:6:1776.22:</t>
  </si>
  <si>
    <t>&gt;795:ATACGG:22.00:50.00:Warning:6:1816.25:</t>
  </si>
  <si>
    <t>&gt;796:ATACGT:16.00:33.33:OK:6:1791.23:</t>
  </si>
  <si>
    <t>&gt;797:ATACTA:18.00:16.67:OK:6:1775.23:</t>
  </si>
  <si>
    <t>&gt;798:ATACTC:16.00:33.33:OK:6:1751.20:</t>
  </si>
  <si>
    <t>&gt;799:ATACTG:16.00:33.33:OK:6:1791.23:</t>
  </si>
  <si>
    <t>&gt;800:ATACTT:10.00:16.67:OK:6:1766.21:</t>
  </si>
  <si>
    <t>&gt;801:ATAGAA:26.00:16.67:OK:6:1824.28:</t>
  </si>
  <si>
    <t>&gt;802:ATAGAC:24.00:33.33:OK:6:1800.25:</t>
  </si>
  <si>
    <t>&gt;803:ATAGAG:24.00:33.33:OK:6:1840.28:</t>
  </si>
  <si>
    <t>&gt;804:ATAGAT:18.00:16.67:OK:6:1815.26:</t>
  </si>
  <si>
    <t>&gt;805:ATAGCA:24.00:33.33:OK:6:1800.25:</t>
  </si>
  <si>
    <t>&gt;806:ATAGCC:22.00:50.00:Warning:6:1776.22:</t>
  </si>
  <si>
    <t>&gt;807:ATAGCG:22.00:50.00:Warning:6:1816.25:</t>
  </si>
  <si>
    <t>&gt;808:ATAGCT:16.00:33.33:OK:6:1791.23:</t>
  </si>
  <si>
    <t>&gt;809:ATAGGA:24.00:33.33:OK:6:1840.28:</t>
  </si>
  <si>
    <t>&gt;810:ATAGGC:22.00:50.00:Warning:6:1816.25:</t>
  </si>
  <si>
    <t>&gt;811:ATAGGG:22.00:50.00:Warning:6:1856.28:</t>
  </si>
  <si>
    <t>&gt;812:ATAGGT:16.00:33.33:OK:6:1831.26:</t>
  </si>
  <si>
    <t>&gt;813:ATAGTA:18.00:16.67:OK:6:1815.26:</t>
  </si>
  <si>
    <t>&gt;814:ATAGTC:16.00:33.33:OK:6:1791.23:</t>
  </si>
  <si>
    <t>&gt;815:ATAGTG:16.00:33.33:OK:6:1831.26:</t>
  </si>
  <si>
    <t>&gt;816:ATAGTT:10.00:16.67:OK:6:1806.24:</t>
  </si>
  <si>
    <t>&gt;817:ATATAA:20.00:0.00:OK:6:1799.26:</t>
  </si>
  <si>
    <t>&gt;818:ATATAC:18.00:16.67:OK:6:1775.23:</t>
  </si>
  <si>
    <t>&gt;819:ATATAG:18.00:16.67:OK:6:1815.26:</t>
  </si>
  <si>
    <t>&gt;820:ATATAT:12.00:0.00:OK:6:1790.24:</t>
  </si>
  <si>
    <t>&gt;821:ATATCA:18.00:16.67:OK:6:1775.23:</t>
  </si>
  <si>
    <t>&gt;822:ATATCC:16.00:33.33:OK:6:1751.20:</t>
  </si>
  <si>
    <t>&gt;823:ATATCG:16.00:33.33:OK:6:1791.23:</t>
  </si>
  <si>
    <t>&gt;824:ATATCT:10.00:16.67:OK:6:1766.21:</t>
  </si>
  <si>
    <t>&gt;825:ATATGA:18.00:16.67:OK:6:1815.26:</t>
  </si>
  <si>
    <t>&gt;826:ATATGC:16.00:33.33:OK:6:1791.23:</t>
  </si>
  <si>
    <t>&gt;827:ATATGG:16.00:33.33:OK:6:1831.26:</t>
  </si>
  <si>
    <t>&gt;828:ATATGT:10.00:16.67:OK:6:1806.24:</t>
  </si>
  <si>
    <t>&gt;829:ATATTA:12.00:0.00:OK:6:1790.24:</t>
  </si>
  <si>
    <t>&gt;830:ATATTC:10.00:16.67:OK:6:1766.21:</t>
  </si>
  <si>
    <t>&gt;831:ATATTG:10.00:16.67:OK:6:1806.24:</t>
  </si>
  <si>
    <t>&gt;832:ATATTT:4.00:0.00:OK:6:1781.22:</t>
  </si>
  <si>
    <t>&gt;833:ATCAAA:26.00:16.67:OK:6:1784.25:</t>
  </si>
  <si>
    <t>&gt;834:ATCAAC:24.00:33.33:OK:6:1760.22:</t>
  </si>
  <si>
    <t>&gt;835:ATCAAG:24.00:33.33:OK:6:1800.25:</t>
  </si>
  <si>
    <t>&gt;836:ATCAAT:18.00:16.67:OK:6:1775.23:</t>
  </si>
  <si>
    <t>&gt;837:ATCACA:24.00:33.33:OK:6:1760.22:</t>
  </si>
  <si>
    <t>&gt;838:ATCACC:22.00:50.00:Warning:6:1736.19:</t>
  </si>
  <si>
    <t>&gt;839:ATCACG:22.00:50.00:Warning:6:1776.22:</t>
  </si>
  <si>
    <t>&gt;840:ATCACT:16.00:33.33:OK:6:1751.20:</t>
  </si>
  <si>
    <t>&gt;841:ATCAGA:24.00:33.33:OK:6:1800.25:</t>
  </si>
  <si>
    <t>&gt;842:ATCAGC:22.00:50.00:Warning:6:1776.22:</t>
  </si>
  <si>
    <t>&gt;843:ATCAGG:22.00:50.00:Warning:6:1816.25:</t>
  </si>
  <si>
    <t>&gt;844:ATCAGT:16.00:33.33:OK:6:1791.23:</t>
  </si>
  <si>
    <t>&gt;845:ATCATA:18.00:16.67:OK:6:1775.23:</t>
  </si>
  <si>
    <t>&gt;846:ATCATC:16.00:33.33:OK:6:1751.20:</t>
  </si>
  <si>
    <t>&gt;847:ATCATG:16.00:33.33:OK:6:1791.23:</t>
  </si>
  <si>
    <t>&gt;848:ATCATT:10.00:16.67:OK:6:1766.21:</t>
  </si>
  <si>
    <t>&gt;849:ATCCAA:24.00:33.33:OK:6:1760.22:</t>
  </si>
  <si>
    <t>&gt;850:ATCCAC:22.00:50.00:Warning:6:1736.19:</t>
  </si>
  <si>
    <t>&gt;851:ATCCAG:22.00:50.00:Warning:6:1776.22:</t>
  </si>
  <si>
    <t>&gt;852:ATCCAT:16.00:33.33:OK:6:1751.20:</t>
  </si>
  <si>
    <t>&gt;853:ATCCCA:22.00:50.00:Warning:6:1736.19:</t>
  </si>
  <si>
    <t>&gt;854:ATCCCC:20.00:66.67:Warning:6:1712.16:</t>
  </si>
  <si>
    <t>&gt;855:ATCCCG:20.00:66.67:Warning:6:1752.19:</t>
  </si>
  <si>
    <t>&gt;856:ATCCCT:14.00:50.00:Warning:6:1727.17:</t>
  </si>
  <si>
    <t>&gt;857:ATCCGA:22.00:50.00:Warning:6:1776.22:</t>
  </si>
  <si>
    <t>&gt;858:ATCCGC:20.00:66.67:Warning:6:1752.19:</t>
  </si>
  <si>
    <t>&gt;859:ATCCGG:20.00:66.67:Warning:6:1792.22:</t>
  </si>
  <si>
    <t>&gt;860:ATCCGT:14.00:50.00:Warning:6:1767.20:</t>
  </si>
  <si>
    <t>&gt;861:ATCCTA:16.00:33.33:OK:6:1751.20:</t>
  </si>
  <si>
    <t>&gt;862:ATCCTC:14.00:50.00:Warning:6:1727.17:</t>
  </si>
  <si>
    <t>&gt;863:ATCCTG:14.00:50.00:Warning:6:1767.20:</t>
  </si>
  <si>
    <t>&gt;864:ATCCTT:8.00:33.33:OK:6:1742.18:</t>
  </si>
  <si>
    <t>&gt;865:ATCGAA:24.00:33.33:OK:6:1800.25:</t>
  </si>
  <si>
    <t>&gt;866:ATCGAC:22.00:50.00:Warning:6:1776.22:</t>
  </si>
  <si>
    <t>&gt;867:ATCGAG:22.00:50.00:Warning:6:1816.25:</t>
  </si>
  <si>
    <t>&gt;868:ATCGAT:16.00:33.33:OK:6:1791.23:</t>
  </si>
  <si>
    <t>&gt;869:ATCGCA:22.00:50.00:Warning:6:1776.22:</t>
  </si>
  <si>
    <t>&gt;870:ATCGCC:20.00:66.67:Warning:6:1752.19:</t>
  </si>
  <si>
    <t>&gt;871:ATCGCG:20.00:66.67:Warning:6:1792.22:</t>
  </si>
  <si>
    <t>&gt;872:ATCGCT:14.00:50.00:Warning:6:1767.20:</t>
  </si>
  <si>
    <t>&gt;873:ATCGGA:22.00:50.00:Warning:6:1816.25:</t>
  </si>
  <si>
    <t>&gt;874:ATCGGC:20.00:66.67:Warning:6:1792.22:</t>
  </si>
  <si>
    <t>&gt;875:ATCGGG:20.00:66.67:Warning:6:1832.25:</t>
  </si>
  <si>
    <t>&gt;876:ATCGGT:14.00:50.00:Warning:6:1807.23:</t>
  </si>
  <si>
    <t>&gt;877:ATCGTA:16.00:33.33:OK:6:1791.23:</t>
  </si>
  <si>
    <t>&gt;878:ATCGTC:14.00:50.00:Warning:6:1767.20:</t>
  </si>
  <si>
    <t>&gt;879:ATCGTG:14.00:50.00:Warning:6:1807.23:</t>
  </si>
  <si>
    <t>&gt;880:ATCGTT:8.00:33.33:OK:6:1782.21:</t>
  </si>
  <si>
    <t>&gt;881:ATCTAA:18.00:16.67:OK:6:1775.23:</t>
  </si>
  <si>
    <t>&gt;882:ATCTAC:16.00:33.33:OK:6:1751.20:</t>
  </si>
  <si>
    <t>&gt;883:ATCTAG:16.00:33.33:OK:6:1791.23:</t>
  </si>
  <si>
    <t>&gt;884:ATCTAT:10.00:16.67:OK:6:1766.21:</t>
  </si>
  <si>
    <t>&gt;885:ATCTCA:16.00:33.33:OK:6:1751.20:</t>
  </si>
  <si>
    <t>&gt;886:ATCTCC:14.00:50.00:Warning:6:1727.17:</t>
  </si>
  <si>
    <t>&gt;887:ATCTCG:14.00:50.00:Warning:6:1767.20:</t>
  </si>
  <si>
    <t>&gt;888:ATCTCT:8.00:33.33:OK:6:1742.18:</t>
  </si>
  <si>
    <t>&gt;889:ATCTGA:16.00:33.33:OK:6:1791.23:</t>
  </si>
  <si>
    <t>&gt;890:ATCTGC:14.00:50.00:Warning:6:1767.20:</t>
  </si>
  <si>
    <t>&gt;891:ATCTGG:14.00:50.00:Warning:6:1807.23:</t>
  </si>
  <si>
    <t>&gt;892:ATCTGT:8.00:33.33:OK:6:1782.21:</t>
  </si>
  <si>
    <t>&gt;893:ATCTTA:10.00:16.67:OK:6:1766.21:</t>
  </si>
  <si>
    <t>&gt;894:ATCTTC:8.00:33.33:OK:6:1742.18:</t>
  </si>
  <si>
    <t>&gt;895:ATCTTG:8.00:33.33:OK:6:1782.21:</t>
  </si>
  <si>
    <t>&gt;896:ATCTTT:2.00:16.67:OK:6:1757.19:</t>
  </si>
  <si>
    <t>&gt;897:ATGAAA:26.00:16.67:OK:6:1824.28:</t>
  </si>
  <si>
    <t>&gt;898:ATGAAC:24.00:33.33:OK:6:1800.25:</t>
  </si>
  <si>
    <t>&gt;899:ATGAAG:24.00:33.33:OK:6:1840.28:</t>
  </si>
  <si>
    <t>&gt;900:ATGAAT:18.00:16.67:OK:6:1815.26:</t>
  </si>
  <si>
    <t>&gt;901:ATGACA:24.00:33.33:OK:6:1800.25:</t>
  </si>
  <si>
    <t>&gt;902:ATGACC:22.00:50.00:Warning:6:1776.22:</t>
  </si>
  <si>
    <t>&gt;903:ATGACG:22.00:50.00:Warning:6:1816.25:</t>
  </si>
  <si>
    <t>&gt;904:ATGACT:16.00:33.33:OK:6:1791.23:</t>
  </si>
  <si>
    <t>&gt;905:ATGAGA:24.00:33.33:OK:6:1840.28:</t>
  </si>
  <si>
    <t>&gt;906:ATGAGC:22.00:50.00:Warning:6:1816.25:</t>
  </si>
  <si>
    <t>&gt;907:ATGAGG:22.00:50.00:Warning:6:1856.28:</t>
  </si>
  <si>
    <t>&gt;908:ATGAGT:16.00:33.33:OK:6:1831.26:</t>
  </si>
  <si>
    <t>&gt;909:ATGATA:18.00:16.67:OK:6:1815.26:</t>
  </si>
  <si>
    <t>&gt;910:ATGATC:16.00:33.33:OK:6:1791.23:</t>
  </si>
  <si>
    <t>&gt;911:ATGATG:16.00:33.33:OK:6:1831.26:</t>
  </si>
  <si>
    <t>&gt;912:ATGATT:10.00:16.67:OK:6:1806.24:</t>
  </si>
  <si>
    <t>&gt;913:ATGCAA:24.00:33.33:OK:6:1800.25:</t>
  </si>
  <si>
    <t>&gt;914:ATGCAC:22.00:50.00:Warning:6:1776.22:</t>
  </si>
  <si>
    <t>&gt;915:ATGCAG:22.00:50.00:Warning:6:1816.25:</t>
  </si>
  <si>
    <t>&gt;916:ATGCAT:16.00:33.33:OK:6:1791.23:</t>
  </si>
  <si>
    <t>&gt;917:ATGCCA:22.00:50.00:Warning:6:1776.22:</t>
  </si>
  <si>
    <t>&gt;918:ATGCCC:20.00:66.67:Warning:6:1752.19:</t>
  </si>
  <si>
    <t>&gt;919:ATGCCG:20.00:66.67:Warning:6:1792.22:</t>
  </si>
  <si>
    <t>&gt;920:ATGCCT:14.00:50.00:Warning:6:1767.20:</t>
  </si>
  <si>
    <t>&gt;921:ATGCGA:22.00:50.00:Warning:6:1816.25:</t>
  </si>
  <si>
    <t>&gt;922:ATGCGC:20.00:66.67:Warning:6:1792.22:</t>
  </si>
  <si>
    <t>&gt;923:ATGCGG:20.00:66.67:Warning:6:1832.25:</t>
  </si>
  <si>
    <t>&gt;924:ATGCGT:14.00:50.00:Warning:6:1807.23:</t>
  </si>
  <si>
    <t>&gt;925:ATGCTA:16.00:33.33:OK:6:1791.23:</t>
  </si>
  <si>
    <t>&gt;926:ATGCTC:14.00:50.00:Warning:6:1767.20:</t>
  </si>
  <si>
    <t>&gt;927:ATGCTG:14.00:50.00:Warning:6:1807.23:</t>
  </si>
  <si>
    <t>&gt;928:ATGCTT:8.00:33.33:OK:6:1782.21:</t>
  </si>
  <si>
    <t>&gt;929:ATGGAA:24.00:33.33:OK:6:1840.28:</t>
  </si>
  <si>
    <t>&gt;930:ATGGAC:22.00:50.00:Warning:6:1816.25:</t>
  </si>
  <si>
    <t>&gt;931:ATGGAG:22.00:50.00:Warning:6:1856.28:</t>
  </si>
  <si>
    <t>&gt;932:ATGGAT:16.00:33.33:OK:6:1831.26:</t>
  </si>
  <si>
    <t>&gt;933:ATGGCA:22.00:50.00:Warning:6:1816.25:</t>
  </si>
  <si>
    <t>&gt;934:ATGGCC:20.00:66.67:Warning:6:1792.22:</t>
  </si>
  <si>
    <t>&gt;935:ATGGCG:20.00:66.67:Warning:6:1832.25:</t>
  </si>
  <si>
    <t>&gt;936:ATGGCT:14.00:50.00:Warning:6:1807.23:</t>
  </si>
  <si>
    <t>&gt;937:ATGGGA:22.00:50.00:Warning:6:1856.28:</t>
  </si>
  <si>
    <t>&gt;938:ATGGGC:20.00:66.67:Warning:6:1832.25:</t>
  </si>
  <si>
    <t>&gt;939:ATGGGG:20.00:66.67:Warning:6:1872.28:</t>
  </si>
  <si>
    <t>&gt;940:ATGGGT:14.00:50.00:Warning:6:1847.26:</t>
  </si>
  <si>
    <t>&gt;941:ATGGTA:16.00:33.33:OK:6:1831.26:</t>
  </si>
  <si>
    <t>&gt;942:ATGGTC:14.00:50.00:Warning:6:1807.23:</t>
  </si>
  <si>
    <t>&gt;943:ATGGTG:14.00:50.00:Warning:6:1847.26:</t>
  </si>
  <si>
    <t>&gt;944:ATGGTT:8.00:33.33:OK:6:1822.24:</t>
  </si>
  <si>
    <t>&gt;945:ATGTAA:18.00:16.67:OK:6:1815.26:</t>
  </si>
  <si>
    <t>&gt;946:ATGTAC:16.00:33.33:OK:6:1791.23:</t>
  </si>
  <si>
    <t>&gt;947:ATGTAG:16.00:33.33:OK:6:1831.26:</t>
  </si>
  <si>
    <t>&gt;948:ATGTAT:10.00:16.67:OK:6:1806.24:</t>
  </si>
  <si>
    <t>&gt;949:ATGTCA:16.00:33.33:OK:6:1791.23:</t>
  </si>
  <si>
    <t>&gt;950:ATGTCC:14.00:50.00:Warning:6:1767.20:</t>
  </si>
  <si>
    <t>&gt;951:ATGTCG:14.00:50.00:Warning:6:1807.23:</t>
  </si>
  <si>
    <t>&gt;952:ATGTCT:8.00:33.33:OK:6:1782.21:</t>
  </si>
  <si>
    <t>&gt;953:ATGTGA:16.00:33.33:OK:6:1831.26:</t>
  </si>
  <si>
    <t>&gt;954:ATGTGC:14.00:50.00:Warning:6:1807.23:</t>
  </si>
  <si>
    <t>&gt;955:ATGTGG:14.00:50.00:Warning:6:1847.26:</t>
  </si>
  <si>
    <t>&gt;956:ATGTGT:8.00:33.33:OK:6:1822.24:</t>
  </si>
  <si>
    <t>&gt;957:ATGTTA:10.00:16.67:OK:6:1806.24:</t>
  </si>
  <si>
    <t>&gt;958:ATGTTC:8.00:33.33:OK:6:1782.21:</t>
  </si>
  <si>
    <t>&gt;959:ATGTTG:8.00:33.33:OK:6:1822.24:</t>
  </si>
  <si>
    <t>&gt;960:ATGTTT:2.00:16.67:OK:6:1797.22:</t>
  </si>
  <si>
    <t>&gt;961:ATTAAA:20.00:0.00:OK:6:1799.26:</t>
  </si>
  <si>
    <t>&gt;962:ATTAAC:18.00:16.67:OK:6:1775.23:</t>
  </si>
  <si>
    <t>&gt;963:ATTAAG:18.00:16.67:OK:6:1815.26:</t>
  </si>
  <si>
    <t>&gt;964:ATTAAT:12.00:0.00:OK:6:1790.24:</t>
  </si>
  <si>
    <t>&gt;965:ATTACA:18.00:16.67:OK:6:1775.23:</t>
  </si>
  <si>
    <t>&gt;966:ATTACC:16.00:33.33:OK:6:1751.20:</t>
  </si>
  <si>
    <t>&gt;967:ATTACG:16.00:33.33:OK:6:1791.23:</t>
  </si>
  <si>
    <t>&gt;968:ATTACT:10.00:16.67:OK:6:1766.21:</t>
  </si>
  <si>
    <t>&gt;969:ATTAGA:18.00:16.67:OK:6:1815.26:</t>
  </si>
  <si>
    <t>&gt;970:ATTAGC:16.00:33.33:OK:6:1791.23:</t>
  </si>
  <si>
    <t>&gt;971:ATTAGG:16.00:33.33:OK:6:1831.26:</t>
  </si>
  <si>
    <t>&gt;972:ATTAGT:10.00:16.67:OK:6:1806.24:</t>
  </si>
  <si>
    <t>&gt;973:ATTATA:12.00:0.00:OK:6:1790.24:</t>
  </si>
  <si>
    <t>&gt;974:ATTATC:10.00:16.67:OK:6:1766.21:</t>
  </si>
  <si>
    <t>&gt;975:ATTATG:10.00:16.67:OK:6:1806.24:</t>
  </si>
  <si>
    <t>&gt;976:ATTATT:4.00:0.00:OK:6:1781.22:</t>
  </si>
  <si>
    <t>&gt;977:ATTCAA:18.00:16.67:OK:6:1775.23:</t>
  </si>
  <si>
    <t>&gt;978:ATTCAC:16.00:33.33:OK:6:1751.20:</t>
  </si>
  <si>
    <t>&gt;979:ATTCAG:16.00:33.33:OK:6:1791.23:</t>
  </si>
  <si>
    <t>&gt;980:ATTCAT:10.00:16.67:OK:6:1766.21:</t>
  </si>
  <si>
    <t>&gt;981:ATTCCA:16.00:33.33:OK:6:1751.20:</t>
  </si>
  <si>
    <t>&gt;982:ATTCCC:14.00:50.00:Warning:6:1727.17:</t>
  </si>
  <si>
    <t>&gt;983:ATTCCG:14.00:50.00:Warning:6:1767.20:</t>
  </si>
  <si>
    <t>&gt;984:ATTCCT:8.00:33.33:OK:6:1742.18:</t>
  </si>
  <si>
    <t>&gt;985:ATTCGA:16.00:33.33:OK:6:1791.23:</t>
  </si>
  <si>
    <t>&gt;986:ATTCGC:14.00:50.00:Warning:6:1767.20:</t>
  </si>
  <si>
    <t>&gt;987:ATTCGG:14.00:50.00:Warning:6:1807.23:</t>
  </si>
  <si>
    <t>&gt;988:ATTCGT:8.00:33.33:OK:6:1782.21:</t>
  </si>
  <si>
    <t>&gt;989:ATTCTA:10.00:16.67:OK:6:1766.21:</t>
  </si>
  <si>
    <t>&gt;990:ATTCTC:8.00:33.33:OK:6:1742.18:</t>
  </si>
  <si>
    <t>&gt;991:ATTCTG:8.00:33.33:OK:6:1782.21:</t>
  </si>
  <si>
    <t>&gt;992:ATTCTT:2.00:16.67:OK:6:1757.19:</t>
  </si>
  <si>
    <t>&gt;993:ATTGAA:18.00:16.67:OK:6:1815.26:</t>
  </si>
  <si>
    <t>&gt;994:ATTGAC:16.00:33.33:OK:6:1791.23:</t>
  </si>
  <si>
    <t>&gt;995:ATTGAG:16.00:33.33:OK:6:1831.26:</t>
  </si>
  <si>
    <t>&gt;996:ATTGAT:10.00:16.67:OK:6:1806.24:</t>
  </si>
  <si>
    <t>&gt;997:ATTGCA:16.00:33.33:OK:6:1791.23:</t>
  </si>
  <si>
    <t>&gt;998:ATTGCC:14.00:50.00:Warning:6:1767.20:</t>
  </si>
  <si>
    <t>&gt;999:ATTGCG:14.00:50.00:Warning:6:1807.23:</t>
  </si>
  <si>
    <t>&gt;1000:ATTGCT:8.00:33.33:OK:6:1782.21:</t>
  </si>
  <si>
    <t>&gt;1001:ATTGGA:16.00:33.33:OK:6:1831.26:</t>
  </si>
  <si>
    <t>&gt;1002:ATTGGC:14.00:50.00:Warning:6:1807.23:</t>
  </si>
  <si>
    <t>&gt;1003:ATTGGG:14.00:50.00:Warning:6:1847.26:</t>
  </si>
  <si>
    <t>&gt;1004:ATTGGT:8.00:33.33:OK:6:1822.24:</t>
  </si>
  <si>
    <t>&gt;1005:ATTGTA:10.00:16.67:OK:6:1806.24:</t>
  </si>
  <si>
    <t>&gt;1006:ATTGTC:8.00:33.33:OK:6:1782.21:</t>
  </si>
  <si>
    <t>&gt;1007:ATTGTG:8.00:33.33:OK:6:1822.24:</t>
  </si>
  <si>
    <t>&gt;1008:ATTGTT:2.00:16.67:OK:6:1797.22:</t>
  </si>
  <si>
    <t>&gt;1009:ATTTAA:12.00:0.00:OK:6:1790.24:</t>
  </si>
  <si>
    <t>&gt;1010:ATTTAC:10.00:16.67:OK:6:1766.21:</t>
  </si>
  <si>
    <t>&gt;1011:ATTTAG:10.00:16.67:OK:6:1806.24:</t>
  </si>
  <si>
    <t>&gt;1012:ATTTAT:4.00:0.00:OK:6:1781.22:</t>
  </si>
  <si>
    <t>&gt;1013:ATTTCA:10.00:16.67:OK:6:1766.21:</t>
  </si>
  <si>
    <t>&gt;1014:ATTTCC:8.00:33.33:OK:6:1742.18:</t>
  </si>
  <si>
    <t>&gt;1015:ATTTCG:8.00:33.33:OK:6:1782.21:</t>
  </si>
  <si>
    <t>&gt;1016:ATTTCT:2.00:16.67:OK:6:1757.19:</t>
  </si>
  <si>
    <t>&gt;1017:ATTTGA:10.00:16.67:OK:6:1806.24:</t>
  </si>
  <si>
    <t>&gt;1018:ATTTGC:8.00:33.33:OK:6:1782.21:</t>
  </si>
  <si>
    <t>&gt;1019:ATTTGG:8.00:33.33:OK:6:1822.24:</t>
  </si>
  <si>
    <t>&gt;1020:ATTTGT:2.00:16.67:OK:6:1797.22:</t>
  </si>
  <si>
    <t>&gt;1021:ATTTTA:4.00:0.00:OK:6:1781.22:</t>
  </si>
  <si>
    <t>&gt;1022:ATTTTC:2.00:16.67:OK:6:1757.19:</t>
  </si>
  <si>
    <t>&gt;1023:ATTTTG:2.00:16.67:OK:6:1797.22:</t>
  </si>
  <si>
    <t>&gt;1024:ATTTTT:-4.00:0.00:OK:6:1772.20:</t>
  </si>
  <si>
    <t>&gt;1025:CAAAAA:34.00:16.67:OK:6:1793.27:</t>
  </si>
  <si>
    <t>&gt;1026:CAAAAC:32.00:33.33:OK:6:1769.24:</t>
  </si>
  <si>
    <t>&gt;1027:CAAAAG:32.00:33.33:OK:6:1809.27:</t>
  </si>
  <si>
    <t>&gt;1028:CAAAAT:26.00:16.67:OK:6:1784.25:</t>
  </si>
  <si>
    <t>&gt;1029:CAAACA:32.00:33.33:OK:6:1769.24:</t>
  </si>
  <si>
    <t>&gt;1030:CAAACC:30.00:50.00:OK:6:1745.21:</t>
  </si>
  <si>
    <t>&gt;1031:CAAACG:30.00:50.00:OK:6:1785.24:</t>
  </si>
  <si>
    <t>&gt;1032:CAAACT:24.00:33.33:OK:6:1760.22:</t>
  </si>
  <si>
    <t>&gt;1033:CAAAGA:32.00:33.33:OK:6:1809.27:</t>
  </si>
  <si>
    <t>&gt;1034:CAAAGC:30.00:50.00:OK:6:1785.24:</t>
  </si>
  <si>
    <t>&gt;1035:CAAAGG:30.00:50.00:OK:6:1825.27:</t>
  </si>
  <si>
    <t>&gt;1036:CAAAGT:24.00:33.33:OK:6:1800.25:</t>
  </si>
  <si>
    <t>&gt;1037:CAAATA:26.00:16.67:OK:6:1784.25:</t>
  </si>
  <si>
    <t>&gt;1038:CAAATC:24.00:33.33:OK:6:1760.22:</t>
  </si>
  <si>
    <t>&gt;1039:CAAATG:24.00:33.33:OK:6:1800.25:</t>
  </si>
  <si>
    <t>&gt;1040:CAAATT:18.00:16.67:OK:6:1775.23:</t>
  </si>
  <si>
    <t>&gt;1041:CAACAA:32.00:33.33:OK:6:1769.24:</t>
  </si>
  <si>
    <t>&gt;1042:CAACAC:30.00:50.00:OK:6:1745.21:</t>
  </si>
  <si>
    <t>&gt;1043:CAACAG:30.00:50.00:OK:6:1785.24:</t>
  </si>
  <si>
    <t>&gt;1044:CAACAT:24.00:33.33:OK:6:1760.22:</t>
  </si>
  <si>
    <t>&gt;1045:CAACCA:30.00:50.00:OK:6:1745.21:</t>
  </si>
  <si>
    <t>&gt;1046:CAACCC:28.00:66.67:Warning:6:1721.18:</t>
  </si>
  <si>
    <t>&gt;1047:CAACCG:28.00:66.67:Warning:6:1761.21:</t>
  </si>
  <si>
    <t>&gt;1048:CAACCT:22.00:50.00:OK:6:1736.19:</t>
  </si>
  <si>
    <t>&gt;1049:CAACGA:30.00:50.00:OK:6:1785.24:</t>
  </si>
  <si>
    <t>&gt;1050:CAACGC:28.00:66.67:Warning:6:1761.21:</t>
  </si>
  <si>
    <t>&gt;1051:CAACGG:28.00:66.67:Warning:6:1801.24:</t>
  </si>
  <si>
    <t>&gt;1052:CAACGT:22.00:50.00:OK:6:1776.22:</t>
  </si>
  <si>
    <t>&gt;1053:CAACTA:24.00:33.33:OK:6:1760.22:</t>
  </si>
  <si>
    <t>&gt;1054:CAACTC:22.00:50.00:OK:6:1736.19:</t>
  </si>
  <si>
    <t>&gt;1055:CAACTG:22.00:50.00:OK:6:1776.22:</t>
  </si>
  <si>
    <t>&gt;1056:CAACTT:16.00:33.33:OK:6:1751.20:</t>
  </si>
  <si>
    <t>&gt;1057:CAAGAA:32.00:33.33:OK:6:1809.27:</t>
  </si>
  <si>
    <t>&gt;1058:CAAGAC:30.00:50.00:OK:6:1785.24:</t>
  </si>
  <si>
    <t>&gt;1059:CAAGAG:30.00:50.00:OK:6:1825.27:</t>
  </si>
  <si>
    <t>&gt;1060:CAAGAT:24.00:33.33:OK:6:1800.25:</t>
  </si>
  <si>
    <t>&gt;1061:CAAGCA:30.00:50.00:OK:6:1785.24:</t>
  </si>
  <si>
    <t>&gt;1062:CAAGCC:28.00:66.67:Warning:6:1761.21:</t>
  </si>
  <si>
    <t>&gt;1063:CAAGCG:28.00:66.67:Warning:6:1801.24:</t>
  </si>
  <si>
    <t>&gt;1064:CAAGCT:22.00:50.00:OK:6:1776.22:</t>
  </si>
  <si>
    <t>&gt;1065:CAAGGA:30.00:50.00:OK:6:1825.27:</t>
  </si>
  <si>
    <t>&gt;1066:CAAGGC:28.00:66.67:Warning:6:1801.24:</t>
  </si>
  <si>
    <t>&gt;1067:CAAGGG:28.00:66.67:Warning:6:1841.27:</t>
  </si>
  <si>
    <t>&gt;1068:CAAGGT:22.00:50.00:OK:6:1816.25:</t>
  </si>
  <si>
    <t>&gt;1069:CAAGTA:24.00:33.33:OK:6:1800.25:</t>
  </si>
  <si>
    <t>&gt;1070:CAAGTC:22.00:50.00:OK:6:1776.22:</t>
  </si>
  <si>
    <t>&gt;1071:CAAGTG:22.00:50.00:OK:6:1816.25:</t>
  </si>
  <si>
    <t>&gt;1072:CAAGTT:16.00:33.33:OK:6:1791.23:</t>
  </si>
  <si>
    <t>&gt;1073:CAATAA:26.00:16.67:OK:6:1784.25:</t>
  </si>
  <si>
    <t>&gt;1074:CAATAC:24.00:33.33:OK:6:1760.22:</t>
  </si>
  <si>
    <t>&gt;1075:CAATAG:24.00:33.33:OK:6:1800.25:</t>
  </si>
  <si>
    <t>&gt;1076:CAATAT:18.00:16.67:OK:6:1775.23:</t>
  </si>
  <si>
    <t>&gt;1077:CAATCA:24.00:33.33:OK:6:1760.22:</t>
  </si>
  <si>
    <t>&gt;1078:CAATCC:22.00:50.00:OK:6:1736.19:</t>
  </si>
  <si>
    <t>&gt;1079:CAATCG:22.00:50.00:OK:6:1776.22:</t>
  </si>
  <si>
    <t>&gt;1080:CAATCT:16.00:33.33:OK:6:1751.20:</t>
  </si>
  <si>
    <t>&gt;1081:CAATGA:24.00:33.33:OK:6:1800.25:</t>
  </si>
  <si>
    <t>&gt;1082:CAATGC:22.00:50.00:OK:6:1776.22:</t>
  </si>
  <si>
    <t>&gt;1083:CAATGG:22.00:50.00:OK:6:1816.25:</t>
  </si>
  <si>
    <t>&gt;1084:CAATGT:16.00:33.33:OK:6:1791.23:</t>
  </si>
  <si>
    <t>&gt;1085:CAATTA:18.00:16.67:OK:6:1775.23:</t>
  </si>
  <si>
    <t>&gt;1086:CAATTC:16.00:33.33:OK:6:1751.20:</t>
  </si>
  <si>
    <t>&gt;1087:CAATTG:16.00:33.33:OK:6:1791.23:</t>
  </si>
  <si>
    <t>&gt;1088:CAATTT:10.00:16.67:OK:6:1766.21:</t>
  </si>
  <si>
    <t>&gt;1089:CACAAA:32.00:33.33:OK:6:1769.24:</t>
  </si>
  <si>
    <t>&gt;1090:CACAAC:30.00:50.00:OK:6:1745.21:</t>
  </si>
  <si>
    <t>&gt;1091:CACAAG:30.00:50.00:OK:6:1785.24:</t>
  </si>
  <si>
    <t>&gt;1092:CACAAT:24.00:33.33:OK:6:1760.22:</t>
  </si>
  <si>
    <t>&gt;1093:CACACA:30.00:50.00:OK:6:1745.21:</t>
  </si>
  <si>
    <t>&gt;1094:CACACC:28.00:66.67:Warning:6:1721.18:</t>
  </si>
  <si>
    <t>&gt;1095:CACACG:28.00:66.67:Warning:6:1761.21:</t>
  </si>
  <si>
    <t>&gt;1096:CACACT:22.00:50.00:OK:6:1736.19:</t>
  </si>
  <si>
    <t>&gt;1097:CACAGA:30.00:50.00:OK:6:1785.24:</t>
  </si>
  <si>
    <t>&gt;1098:CACAGC:28.00:66.67:Warning:6:1761.21:</t>
  </si>
  <si>
    <t>&gt;1099:CACAGG:28.00:66.67:Warning:6:1801.24:</t>
  </si>
  <si>
    <t>&gt;1100:CACAGT:22.00:50.00:OK:6:1776.22:</t>
  </si>
  <si>
    <t>&gt;1101:CACATA:24.00:33.33:OK:6:1760.22:</t>
  </si>
  <si>
    <t>&gt;1102:CACATC:22.00:50.00:OK:6:1736.19:</t>
  </si>
  <si>
    <t>&gt;1103:CACATG:22.00:50.00:OK:6:1776.22:</t>
  </si>
  <si>
    <t>&gt;1104:CACATT:16.00:33.33:OK:6:1751.20:</t>
  </si>
  <si>
    <t>&gt;1105:CACCAA:30.00:50.00:OK:6:1745.21:</t>
  </si>
  <si>
    <t>&gt;1106:CACCAC:28.00:66.67:Warning:6:1721.18:</t>
  </si>
  <si>
    <t>&gt;1107:CACCAG:28.00:66.67:Warning:6:1761.21:</t>
  </si>
  <si>
    <t>&gt;1108:CACCAT:22.00:50.00:OK:6:1736.19:</t>
  </si>
  <si>
    <t>&gt;1109:CACCCA:28.00:66.67:Warning:6:1721.18:</t>
  </si>
  <si>
    <t>&gt;1110:CACCCC:26.00:83.33:Warning:6:1697.15:</t>
  </si>
  <si>
    <t>&gt;1111:CACCCG:26.00:83.33:Warning:6:1737.18:</t>
  </si>
  <si>
    <t>&gt;1112:CACCCT:20.00:66.67:Warning:6:1712.16:</t>
  </si>
  <si>
    <t>&gt;1113:CACCGA:28.00:66.67:Warning:6:1761.21:</t>
  </si>
  <si>
    <t>&gt;1114:CACCGC:26.00:83.33:Warning:6:1737.18:</t>
  </si>
  <si>
    <t>&gt;1115:CACCGG:26.00:83.33:Warning:6:1777.21:</t>
  </si>
  <si>
    <t>&gt;1116:CACCGT:20.00:66.67:Warning:6:1752.19:</t>
  </si>
  <si>
    <t>&gt;1117:CACCTA:22.00:50.00:OK:6:1736.19:</t>
  </si>
  <si>
    <t>&gt;1118:CACCTC:20.00:66.67:Warning:6:1712.16:</t>
  </si>
  <si>
    <t>&gt;1119:CACCTG:20.00:66.67:Warning:6:1752.19:</t>
  </si>
  <si>
    <t>&gt;1120:CACCTT:14.00:50.00:OK:6:1727.17:</t>
  </si>
  <si>
    <t>&gt;1121:CACGAA:30.00:50.00:OK:6:1785.24:</t>
  </si>
  <si>
    <t>&gt;1122:CACGAC:28.00:66.67:Warning:6:1761.21:</t>
  </si>
  <si>
    <t>&gt;1123:CACGAG:28.00:66.67:Warning:6:1801.24:</t>
  </si>
  <si>
    <t>&gt;1124:CACGAT:22.00:50.00:OK:6:1776.22:</t>
  </si>
  <si>
    <t>&gt;1125:CACGCA:28.00:66.67:Warning:6:1761.21:</t>
  </si>
  <si>
    <t>&gt;1126:CACGCC:26.00:83.33:Warning:6:1737.18:</t>
  </si>
  <si>
    <t>&gt;1127:CACGCG:26.00:83.33:Warning:6:1777.21:</t>
  </si>
  <si>
    <t>&gt;1128:CACGCT:20.00:66.67:Warning:6:1752.19:</t>
  </si>
  <si>
    <t>&gt;1129:CACGGA:28.00:66.67:Warning:6:1801.24:</t>
  </si>
  <si>
    <t>&gt;1130:CACGGC:26.00:83.33:Warning:6:1777.21:</t>
  </si>
  <si>
    <t>&gt;1131:CACGGG:26.00:83.33:Warning:6:1817.24:</t>
  </si>
  <si>
    <t>&gt;1132:CACGGT:20.00:66.67:Warning:6:1792.22:</t>
  </si>
  <si>
    <t>&gt;1133:CACGTA:22.00:50.00:OK:6:1776.22:</t>
  </si>
  <si>
    <t>&gt;1134:CACGTC:20.00:66.67:Warning:6:1752.19:</t>
  </si>
  <si>
    <t>&gt;1135:CACGTG:20.00:66.67:Warning:6:1792.22:</t>
  </si>
  <si>
    <t>&gt;1136:CACGTT:14.00:50.00:OK:6:1767.20:</t>
  </si>
  <si>
    <t>&gt;1137:CACTAA:24.00:33.33:OK:6:1760.22:</t>
  </si>
  <si>
    <t>&gt;1138:CACTAC:22.00:50.00:OK:6:1736.19:</t>
  </si>
  <si>
    <t>&gt;1139:CACTAG:22.00:50.00:OK:6:1776.22:</t>
  </si>
  <si>
    <t>&gt;1140:CACTAT:16.00:33.33:OK:6:1751.20:</t>
  </si>
  <si>
    <t>&gt;1141:CACTCA:22.00:50.00:OK:6:1736.19:</t>
  </si>
  <si>
    <t>&gt;1142:CACTCC:20.00:66.67:Warning:6:1712.16:</t>
  </si>
  <si>
    <t>&gt;1143:CACTCG:20.00:66.67:Warning:6:1752.19:</t>
  </si>
  <si>
    <t>&gt;1144:CACTCT:14.00:50.00:OK:6:1727.17:</t>
  </si>
  <si>
    <t>&gt;1145:CACTGA:22.00:50.00:OK:6:1776.22:</t>
  </si>
  <si>
    <t>&gt;1146:CACTGC:20.00:66.67:Warning:6:1752.19:</t>
  </si>
  <si>
    <t>&gt;1147:CACTGG:20.00:66.67:Warning:6:1792.22:</t>
  </si>
  <si>
    <t>&gt;1148:CACTGT:14.00:50.00:OK:6:1767.20:</t>
  </si>
  <si>
    <t>&gt;1149:CACTTA:16.00:33.33:OK:6:1751.20:</t>
  </si>
  <si>
    <t>&gt;1150:CACTTC:14.00:50.00:OK:6:1727.17:</t>
  </si>
  <si>
    <t>&gt;1151:CACTTG:14.00:50.00:OK:6:1767.20:</t>
  </si>
  <si>
    <t>&gt;1152:CACTTT:8.00:33.33:OK:6:1742.18:</t>
  </si>
  <si>
    <t>&gt;1153:CAGAAA:32.00:33.33:OK:6:1809.27:</t>
  </si>
  <si>
    <t>&gt;1154:CAGAAC:30.00:50.00:OK:6:1785.24:</t>
  </si>
  <si>
    <t>&gt;1155:CAGAAG:30.00:50.00:OK:6:1825.27:</t>
  </si>
  <si>
    <t>&gt;1156:CAGAAT:24.00:33.33:OK:6:1800.25:</t>
  </si>
  <si>
    <t>&gt;1157:CAGACA:30.00:50.00:OK:6:1785.24:</t>
  </si>
  <si>
    <t>&gt;1158:CAGACC:28.00:66.67:Warning:6:1761.21:</t>
  </si>
  <si>
    <t>&gt;1159:CAGACG:28.00:66.67:Warning:6:1801.24:</t>
  </si>
  <si>
    <t>&gt;1160:CAGACT:22.00:50.00:OK:6:1776.22:</t>
  </si>
  <si>
    <t>&gt;1161:CAGAGA:30.00:50.00:OK:6:1825.27:</t>
  </si>
  <si>
    <t>&gt;1162:CAGAGC:28.00:66.67:Warning:6:1801.24:</t>
  </si>
  <si>
    <t>&gt;1163:CAGAGG:28.00:66.67:Warning:6:1841.27:</t>
  </si>
  <si>
    <t>&gt;1164:CAGAGT:22.00:50.00:OK:6:1816.25:</t>
  </si>
  <si>
    <t>&gt;1165:CAGATA:24.00:33.33:OK:6:1800.25:</t>
  </si>
  <si>
    <t>&gt;1166:CAGATC:22.00:50.00:OK:6:1776.22:</t>
  </si>
  <si>
    <t>&gt;1167:CAGATG:22.00:50.00:OK:6:1816.25:</t>
  </si>
  <si>
    <t>&gt;1168:CAGATT:16.00:33.33:OK:6:1791.23:</t>
  </si>
  <si>
    <t>&gt;1169:CAGCAA:30.00:50.00:OK:6:1785.24:</t>
  </si>
  <si>
    <t>&gt;1170:CAGCAC:28.00:66.67:Warning:6:1761.21:</t>
  </si>
  <si>
    <t>&gt;1171:CAGCAG:28.00:66.67:Warning:6:1801.24:</t>
  </si>
  <si>
    <t>&gt;1172:CAGCAT:22.00:50.00:OK:6:1776.22:</t>
  </si>
  <si>
    <t>&gt;1173:CAGCCA:28.00:66.67:Warning:6:1761.21:</t>
  </si>
  <si>
    <t>&gt;1174:CAGCCC:26.00:83.33:Warning:6:1737.18:</t>
  </si>
  <si>
    <t>&gt;1175:CAGCCG:26.00:83.33:Warning:6:1777.21:</t>
  </si>
  <si>
    <t>&gt;1176:CAGCCT:20.00:66.67:Warning:6:1752.19:</t>
  </si>
  <si>
    <t>&gt;1177:CAGCGA:28.00:66.67:Warning:6:1801.24:</t>
  </si>
  <si>
    <t>&gt;1178:CAGCGC:26.00:83.33:Warning:6:1777.21:</t>
  </si>
  <si>
    <t>&gt;1179:CAGCGG:26.00:83.33:Warning:6:1817.24:</t>
  </si>
  <si>
    <t>&gt;1180:CAGCGT:20.00:66.67:Warning:6:1792.22:</t>
  </si>
  <si>
    <t>&gt;1181:CAGCTA:22.00:50.00:OK:6:1776.22:</t>
  </si>
  <si>
    <t>&gt;1182:CAGCTC:20.00:66.67:Warning:6:1752.19:</t>
  </si>
  <si>
    <t>&gt;1183:CAGCTG:20.00:66.67:Warning:6:1792.22:</t>
  </si>
  <si>
    <t>&gt;1184:CAGCTT:14.00:50.00:OK:6:1767.20:</t>
  </si>
  <si>
    <t>&gt;1185:CAGGAA:30.00:50.00:OK:6:1825.27:</t>
  </si>
  <si>
    <t>&gt;1186:CAGGAC:28.00:66.67:Warning:6:1801.24:</t>
  </si>
  <si>
    <t>&gt;1187:CAGGAG:28.00:66.67:Warning:6:1841.27:</t>
  </si>
  <si>
    <t>&gt;1188:CAGGAT:22.00:50.00:OK:6:1816.25:</t>
  </si>
  <si>
    <t>&gt;1189:CAGGCA:28.00:66.67:Warning:6:1801.24:</t>
  </si>
  <si>
    <t>&gt;1190:CAGGCC:26.00:83.33:Warning:6:1777.21:</t>
  </si>
  <si>
    <t>&gt;1191:CAGGCG:26.00:83.33:Warning:6:1817.24:</t>
  </si>
  <si>
    <t>&gt;1192:CAGGCT:20.00:66.67:Warning:6:1792.22:</t>
  </si>
  <si>
    <t>&gt;1193:CAGGGA:28.00:66.67:Warning:6:1841.27:</t>
  </si>
  <si>
    <t>&gt;1194:CAGGGC:26.00:83.33:Warning:6:1817.24:</t>
  </si>
  <si>
    <t>&gt;1195:CAGGGG:26.00:83.33:Warning:6:1857.27:</t>
  </si>
  <si>
    <t>&gt;1196:CAGGGT:20.00:66.67:Warning:6:1832.25:</t>
  </si>
  <si>
    <t>&gt;1197:CAGGTA:22.00:50.00:OK:6:1816.25:</t>
  </si>
  <si>
    <t>&gt;1198:CAGGTC:20.00:66.67:Warning:6:1792.22:</t>
  </si>
  <si>
    <t>&gt;1199:CAGGTG:20.00:66.67:Warning:6:1832.25:</t>
  </si>
  <si>
    <t>&gt;1200:CAGGTT:14.00:50.00:OK:6:1807.23:</t>
  </si>
  <si>
    <t>&gt;1201:CAGTAA:24.00:33.33:OK:6:1800.25:</t>
  </si>
  <si>
    <t>&gt;1202:CAGTAC:22.00:50.00:OK:6:1776.22:</t>
  </si>
  <si>
    <t>&gt;1203:CAGTAG:22.00:50.00:OK:6:1816.25:</t>
  </si>
  <si>
    <t>&gt;1204:CAGTAT:16.00:33.33:OK:6:1791.23:</t>
  </si>
  <si>
    <t>&gt;1205:CAGTCA:22.00:50.00:OK:6:1776.22:</t>
  </si>
  <si>
    <t>&gt;1206:CAGTCC:20.00:66.67:Warning:6:1752.19:</t>
  </si>
  <si>
    <t>&gt;1207:CAGTCG:20.00:66.67:Warning:6:1792.22:</t>
  </si>
  <si>
    <t>&gt;1208:CAGTCT:14.00:50.00:OK:6:1767.20:</t>
  </si>
  <si>
    <t>&gt;1209:CAGTGA:22.00:50.00:OK:6:1816.25:</t>
  </si>
  <si>
    <t>&gt;1210:CAGTGC:20.00:66.67:Warning:6:1792.22:</t>
  </si>
  <si>
    <t>&gt;1211:CAGTGG:20.00:66.67:Warning:6:1832.25:</t>
  </si>
  <si>
    <t>&gt;1212:CAGTGT:14.00:50.00:OK:6:1807.23:</t>
  </si>
  <si>
    <t>&gt;1213:CAGTTA:16.00:33.33:OK:6:1791.23:</t>
  </si>
  <si>
    <t>&gt;1214:CAGTTC:14.00:50.00:OK:6:1767.20:</t>
  </si>
  <si>
    <t>&gt;1215:CAGTTG:14.00:50.00:OK:6:1807.23:</t>
  </si>
  <si>
    <t>&gt;1216:CAGTTT:8.00:33.33:OK:6:1782.21:</t>
  </si>
  <si>
    <t>&gt;1217:CATAAA:26.00:16.67:OK:6:1784.25:</t>
  </si>
  <si>
    <t>&gt;1218:CATAAC:24.00:33.33:OK:6:1760.22:</t>
  </si>
  <si>
    <t>&gt;1219:CATAAG:24.00:33.33:OK:6:1800.25:</t>
  </si>
  <si>
    <t>&gt;1220:CATAAT:18.00:16.67:OK:6:1775.23:</t>
  </si>
  <si>
    <t>&gt;1221:CATACA:24.00:33.33:OK:6:1760.22:</t>
  </si>
  <si>
    <t>&gt;1222:CATACC:22.00:50.00:OK:6:1736.19:</t>
  </si>
  <si>
    <t>&gt;1223:CATACG:22.00:50.00:OK:6:1776.22:</t>
  </si>
  <si>
    <t>&gt;1224:CATACT:16.00:33.33:OK:6:1751.20:</t>
  </si>
  <si>
    <t>&gt;1225:CATAGA:24.00:33.33:OK:6:1800.25:</t>
  </si>
  <si>
    <t>&gt;1226:CATAGC:22.00:50.00:OK:6:1776.22:</t>
  </si>
  <si>
    <t>&gt;1227:CATAGG:22.00:50.00:OK:6:1816.25:</t>
  </si>
  <si>
    <t>&gt;1228:CATAGT:16.00:33.33:OK:6:1791.23:</t>
  </si>
  <si>
    <t>&gt;1229:CATATA:18.00:16.67:OK:6:1775.23:</t>
  </si>
  <si>
    <t>&gt;1230:CATATC:16.00:33.33:OK:6:1751.20:</t>
  </si>
  <si>
    <t>&gt;1231:CATATG:16.00:33.33:OK:6:1791.23:</t>
  </si>
  <si>
    <t>&gt;1232:CATATT:10.00:16.67:OK:6:1766.21:</t>
  </si>
  <si>
    <t>&gt;1233:CATCAA:24.00:33.33:OK:6:1760.22:</t>
  </si>
  <si>
    <t>&gt;1234:CATCAC:22.00:50.00:OK:6:1736.19:</t>
  </si>
  <si>
    <t>&gt;1235:CATCAG:22.00:50.00:OK:6:1776.22:</t>
  </si>
  <si>
    <t>&gt;1236:CATCAT:16.00:33.33:OK:6:1751.20:</t>
  </si>
  <si>
    <t>&gt;1237:CATCCA:22.00:50.00:OK:6:1736.19:</t>
  </si>
  <si>
    <t>&gt;1238:CATCCC:20.00:66.67:Warning:6:1712.16:</t>
  </si>
  <si>
    <t>&gt;1239:CATCCG:20.00:66.67:Warning:6:1752.19:</t>
  </si>
  <si>
    <t>&gt;1240:CATCCT:14.00:50.00:OK:6:1727.17:</t>
  </si>
  <si>
    <t>&gt;1241:CATCGA:22.00:50.00:OK:6:1776.22:</t>
  </si>
  <si>
    <t>&gt;1242:CATCGC:20.00:66.67:Warning:6:1752.19:</t>
  </si>
  <si>
    <t>&gt;1243:CATCGG:20.00:66.67:Warning:6:1792.22:</t>
  </si>
  <si>
    <t>&gt;1244:CATCGT:14.00:50.00:OK:6:1767.20:</t>
  </si>
  <si>
    <t>&gt;1245:CATCTA:16.00:33.33:OK:6:1751.20:</t>
  </si>
  <si>
    <t>&gt;1246:CATCTC:14.00:50.00:OK:6:1727.17:</t>
  </si>
  <si>
    <t>&gt;1247:CATCTG:14.00:50.00:OK:6:1767.20:</t>
  </si>
  <si>
    <t>&gt;1248:CATCTT:8.00:33.33:OK:6:1742.18:</t>
  </si>
  <si>
    <t>&gt;1249:CATGAA:24.00:33.33:OK:6:1800.25:</t>
  </si>
  <si>
    <t>&gt;1250:CATGAC:22.00:50.00:OK:6:1776.22:</t>
  </si>
  <si>
    <t>&gt;1251:CATGAG:22.00:50.00:OK:6:1816.25:</t>
  </si>
  <si>
    <t>&gt;1252:CATGAT:16.00:33.33:OK:6:1791.23:</t>
  </si>
  <si>
    <t>&gt;1253:CATGCA:22.00:50.00:OK:6:1776.22:</t>
  </si>
  <si>
    <t>&gt;1254:CATGCC:20.00:66.67:Warning:6:1752.19:</t>
  </si>
  <si>
    <t>&gt;1255:CATGCG:20.00:66.67:Warning:6:1792.22:</t>
  </si>
  <si>
    <t>&gt;1256:CATGCT:14.00:50.00:OK:6:1767.20:</t>
  </si>
  <si>
    <t>&gt;1257:CATGGA:22.00:50.00:OK:6:1816.25:</t>
  </si>
  <si>
    <t>&gt;1258:CATGGC:20.00:66.67:Warning:6:1792.22:</t>
  </si>
  <si>
    <t>&gt;1259:CATGGG:20.00:66.67:Warning:6:1832.25:</t>
  </si>
  <si>
    <t>&gt;1260:CATGGT:14.00:50.00:OK:6:1807.23:</t>
  </si>
  <si>
    <t>&gt;1261:CATGTA:16.00:33.33:OK:6:1791.23:</t>
  </si>
  <si>
    <t>&gt;1262:CATGTC:14.00:50.00:OK:6:1767.20:</t>
  </si>
  <si>
    <t>&gt;1263:CATGTG:14.00:50.00:OK:6:1807.23:</t>
  </si>
  <si>
    <t>&gt;1264:CATGTT:8.00:33.33:OK:6:1782.21:</t>
  </si>
  <si>
    <t>&gt;1265:CATTAA:18.00:16.67:OK:6:1775.23:</t>
  </si>
  <si>
    <t>&gt;1266:CATTAC:16.00:33.33:OK:6:1751.20:</t>
  </si>
  <si>
    <t>&gt;1267:CATTAG:16.00:33.33:OK:6:1791.23:</t>
  </si>
  <si>
    <t>&gt;1268:CATTAT:10.00:16.67:OK:6:1766.21:</t>
  </si>
  <si>
    <t>&gt;1269:CATTCA:16.00:33.33:OK:6:1751.20:</t>
  </si>
  <si>
    <t>&gt;1270:CATTCC:14.00:50.00:OK:6:1727.17:</t>
  </si>
  <si>
    <t>&gt;1271:CATTCG:14.00:50.00:OK:6:1767.20:</t>
  </si>
  <si>
    <t>&gt;1272:CATTCT:8.00:33.33:OK:6:1742.18:</t>
  </si>
  <si>
    <t>&gt;1273:CATTGA:16.00:33.33:OK:6:1791.23:</t>
  </si>
  <si>
    <t>&gt;1274:CATTGC:14.00:50.00:OK:6:1767.20:</t>
  </si>
  <si>
    <t>&gt;1275:CATTGG:14.00:50.00:OK:6:1807.23:</t>
  </si>
  <si>
    <t>&gt;1276:CATTGT:8.00:33.33:OK:6:1782.21:</t>
  </si>
  <si>
    <t>&gt;1277:CATTTA:10.00:16.67:OK:6:1766.21:</t>
  </si>
  <si>
    <t>&gt;1278:CATTTC:8.00:33.33:OK:6:1742.18:</t>
  </si>
  <si>
    <t>&gt;1279:CATTTG:8.00:33.33:OK:6:1782.21:</t>
  </si>
  <si>
    <t>&gt;1280:CATTTT:2.00:16.67:OK:6:1757.19:</t>
  </si>
  <si>
    <t>&gt;1281:CCAAAA:32.00:33.33:OK:6:1769.24:</t>
  </si>
  <si>
    <t>&gt;1282:CCAAAC:30.00:50.00:OK:6:1745.21:</t>
  </si>
  <si>
    <t>&gt;1283:CCAAAG:30.00:50.00:OK:6:1785.24:</t>
  </si>
  <si>
    <t>&gt;1284:CCAAAT:24.00:33.33:OK:6:1760.22:</t>
  </si>
  <si>
    <t>&gt;1285:CCAACA:30.00:50.00:OK:6:1745.21:</t>
  </si>
  <si>
    <t>&gt;1286:CCAACC:28.00:66.67:Warning:6:1721.18:</t>
  </si>
  <si>
    <t>&gt;1287:CCAACG:28.00:66.67:Warning:6:1761.21:</t>
  </si>
  <si>
    <t>&gt;1288:CCAACT:22.00:50.00:OK:6:1736.19:</t>
  </si>
  <si>
    <t>&gt;1289:CCAAGA:30.00:50.00:OK:6:1785.24:</t>
  </si>
  <si>
    <t>&gt;1290:CCAAGC:28.00:66.67:Warning:6:1761.21:</t>
  </si>
  <si>
    <t>&gt;1291:CCAAGG:28.00:66.67:Warning:6:1801.24:</t>
  </si>
  <si>
    <t>&gt;1292:CCAAGT:22.00:50.00:OK:6:1776.22:</t>
  </si>
  <si>
    <t>&gt;1293:CCAATA:24.00:33.33:OK:6:1760.22:</t>
  </si>
  <si>
    <t>&gt;1294:CCAATC:22.00:50.00:OK:6:1736.19:</t>
  </si>
  <si>
    <t>&gt;1295:CCAATG:22.00:50.00:OK:6:1776.22:</t>
  </si>
  <si>
    <t>&gt;1296:CCAATT:16.00:33.33:OK:6:1751.20:</t>
  </si>
  <si>
    <t>&gt;1297:CCACAA:30.00:50.00:OK:6:1745.21:</t>
  </si>
  <si>
    <t>&gt;1298:CCACAC:28.00:66.67:Warning:6:1721.18:</t>
  </si>
  <si>
    <t>&gt;1299:CCACAG:28.00:66.67:Warning:6:1761.21:</t>
  </si>
  <si>
    <t>&gt;1300:CCACAT:22.00:50.00:OK:6:1736.19:</t>
  </si>
  <si>
    <t>&gt;1301:CCACCA:28.00:66.67:Warning:6:1721.18:</t>
  </si>
  <si>
    <t>&gt;1302:CCACCC:26.00:83.33:Warning:6:1697.15:</t>
  </si>
  <si>
    <t>&gt;1303:CCACCG:26.00:83.33:Warning:6:1737.18:</t>
  </si>
  <si>
    <t>&gt;1304:CCACCT:20.00:66.67:Warning:6:1712.16:</t>
  </si>
  <si>
    <t>&gt;1305:CCACGA:28.00:66.67:Warning:6:1761.21:</t>
  </si>
  <si>
    <t>&gt;1306:CCACGC:26.00:83.33:Warning:6:1737.18:</t>
  </si>
  <si>
    <t>&gt;1307:CCACGG:26.00:83.33:Warning:6:1777.21:</t>
  </si>
  <si>
    <t>&gt;1308:CCACGT:20.00:66.67:Warning:6:1752.19:</t>
  </si>
  <si>
    <t>&gt;1309:CCACTA:22.00:50.00:OK:6:1736.19:</t>
  </si>
  <si>
    <t>&gt;1310:CCACTC:20.00:66.67:Warning:6:1712.16:</t>
  </si>
  <si>
    <t>&gt;1311:CCACTG:20.00:66.67:Warning:6:1752.19:</t>
  </si>
  <si>
    <t>&gt;1312:CCACTT:14.00:50.00:OK:6:1727.17:</t>
  </si>
  <si>
    <t>&gt;1313:CCAGAA:30.00:50.00:OK:6:1785.24:</t>
  </si>
  <si>
    <t>&gt;1314:CCAGAC:28.00:66.67:Warning:6:1761.21:</t>
  </si>
  <si>
    <t>&gt;1315:CCAGAG:28.00:66.67:Warning:6:1801.24:</t>
  </si>
  <si>
    <t>&gt;1316:CCAGAT:22.00:50.00:OK:6:1776.22:</t>
  </si>
  <si>
    <t>&gt;1317:CCAGCA:28.00:66.67:Warning:6:1761.21:</t>
  </si>
  <si>
    <t>&gt;1318:CCAGCC:26.00:83.33:Warning:6:1737.18:</t>
  </si>
  <si>
    <t>&gt;1319:CCAGCG:26.00:83.33:Warning:6:1777.21:</t>
  </si>
  <si>
    <t>&gt;1320:CCAGCT:20.00:66.67:Warning:6:1752.19:</t>
  </si>
  <si>
    <t>&gt;1321:CCAGGA:28.00:66.67:Warning:6:1801.24:</t>
  </si>
  <si>
    <t>&gt;1322:CCAGGC:26.00:83.33:Warning:6:1777.21:</t>
  </si>
  <si>
    <t>&gt;1323:CCAGGG:26.00:83.33:Warning:6:1817.24:</t>
  </si>
  <si>
    <t>&gt;1324:CCAGGT:20.00:66.67:Warning:6:1792.22:</t>
  </si>
  <si>
    <t>&gt;1325:CCAGTA:22.00:50.00:OK:6:1776.22:</t>
  </si>
  <si>
    <t>&gt;1326:CCAGTC:20.00:66.67:Warning:6:1752.19:</t>
  </si>
  <si>
    <t>&gt;1327:CCAGTG:20.00:66.67:Warning:6:1792.22:</t>
  </si>
  <si>
    <t>&gt;1328:CCAGTT:14.00:50.00:OK:6:1767.20:</t>
  </si>
  <si>
    <t>&gt;1329:CCATAA:24.00:33.33:OK:6:1760.22:</t>
  </si>
  <si>
    <t>&gt;1330:CCATAC:22.00:50.00:OK:6:1736.19:</t>
  </si>
  <si>
    <t>&gt;1331:CCATAG:22.00:50.00:OK:6:1776.22:</t>
  </si>
  <si>
    <t>&gt;1332:CCATAT:16.00:33.33:OK:6:1751.20:</t>
  </si>
  <si>
    <t>&gt;1333:CCATCA:22.00:50.00:OK:6:1736.19:</t>
  </si>
  <si>
    <t>&gt;1334:CCATCC:20.00:66.67:Warning:6:1712.16:</t>
  </si>
  <si>
    <t>&gt;1335:CCATCG:20.00:66.67:Warning:6:1752.19:</t>
  </si>
  <si>
    <t>&gt;1336:CCATCT:14.00:50.00:OK:6:1727.17:</t>
  </si>
  <si>
    <t>&gt;1337:CCATGA:22.00:50.00:OK:6:1776.22:</t>
  </si>
  <si>
    <t>&gt;1338:CCATGC:20.00:66.67:Warning:6:1752.19:</t>
  </si>
  <si>
    <t>&gt;1339:CCATGG:20.00:66.67:Warning:6:1792.22:</t>
  </si>
  <si>
    <t>&gt;1340:CCATGT:14.00:50.00:OK:6:1767.20:</t>
  </si>
  <si>
    <t>&gt;1341:CCATTA:16.00:33.33:OK:6:1751.20:</t>
  </si>
  <si>
    <t>&gt;1342:CCATTC:14.00:50.00:OK:6:1727.17:</t>
  </si>
  <si>
    <t>&gt;1343:CCATTG:14.00:50.00:OK:6:1767.20:</t>
  </si>
  <si>
    <t>&gt;1344:CCATTT:8.00:33.33:OK:6:1742.18:</t>
  </si>
  <si>
    <t>&gt;1345:CCCAAA:30.00:50.00:OK:6:1745.21:</t>
  </si>
  <si>
    <t>&gt;1346:CCCAAC:28.00:66.67:Warning:6:1721.18:</t>
  </si>
  <si>
    <t>&gt;1347:CCCAAG:28.00:66.67:Warning:6:1761.21:</t>
  </si>
  <si>
    <t>&gt;1348:CCCAAT:22.00:50.00:OK:6:1736.19:</t>
  </si>
  <si>
    <t>&gt;1349:CCCACA:28.00:66.67:Warning:6:1721.18:</t>
  </si>
  <si>
    <t>&gt;1350:CCCACC:26.00:83.33:Warning:6:1697.15:</t>
  </si>
  <si>
    <t>&gt;1351:CCCACG:26.00:83.33:Warning:6:1737.18:</t>
  </si>
  <si>
    <t>&gt;1352:CCCACT:20.00:66.67:Warning:6:1712.16:</t>
  </si>
  <si>
    <t>&gt;1353:CCCAGA:28.00:66.67:Warning:6:1761.21:</t>
  </si>
  <si>
    <t>&gt;1354:CCCAGC:26.00:83.33:Warning:6:1737.18:</t>
  </si>
  <si>
    <t>&gt;1355:CCCAGG:26.00:83.33:Warning:6:1777.21:</t>
  </si>
  <si>
    <t>&gt;1356:CCCAGT:20.00:66.67:Warning:6:1752.19:</t>
  </si>
  <si>
    <t>&gt;1357:CCCATA:22.00:50.00:OK:6:1736.19:</t>
  </si>
  <si>
    <t>&gt;1358:CCCATC:20.00:66.67:Warning:6:1712.16:</t>
  </si>
  <si>
    <t>&gt;1359:CCCATG:20.00:66.67:Warning:6:1752.19:</t>
  </si>
  <si>
    <t>&gt;1360:CCCATT:14.00:50.00:OK:6:1727.17:</t>
  </si>
  <si>
    <t>&gt;1361:CCCCAA:28.00:66.67:Warning:6:1721.18:</t>
  </si>
  <si>
    <t>&gt;1362:CCCCAC:26.00:83.33:Warning:6:1697.15:</t>
  </si>
  <si>
    <t>&gt;1363:CCCCAG:26.00:83.33:Warning:6:1737.18:</t>
  </si>
  <si>
    <t>&gt;1364:CCCCAT:20.00:66.67:Warning:6:1712.16:</t>
  </si>
  <si>
    <t>&gt;1365:CCCCCA:26.00:83.33:Warning:6:1697.15:</t>
  </si>
  <si>
    <t>&gt;1366:CCCCCC:24.00:100.00:Warning:6:1673.12:</t>
  </si>
  <si>
    <t>&gt;1367:CCCCCG:24.00:100.00:Warning:6:1713.15:</t>
  </si>
  <si>
    <t>&gt;1368:CCCCCT:18.00:83.33:Warning:6:1688.13:</t>
  </si>
  <si>
    <t>&gt;1369:CCCCGA:26.00:83.33:Warning:6:1737.18:</t>
  </si>
  <si>
    <t>&gt;1370:CCCCGC:24.00:100.00:Warning:6:1713.15:</t>
  </si>
  <si>
    <t>&gt;1371:CCCCGG:24.00:100.00:Warning:6:1753.18:</t>
  </si>
  <si>
    <t>&gt;1372:CCCCGT:18.00:83.33:Warning:6:1728.16:</t>
  </si>
  <si>
    <t>&gt;1373:CCCCTA:20.00:66.67:Warning:6:1712.16:</t>
  </si>
  <si>
    <t>&gt;1374:CCCCTC:18.00:83.33:Warning:6:1688.13:</t>
  </si>
  <si>
    <t>&gt;1375:CCCCTG:18.00:83.33:Warning:6:1728.16:</t>
  </si>
  <si>
    <t>&gt;1376:CCCCTT:12.00:66.67:Warning:6:1703.14:</t>
  </si>
  <si>
    <t>&gt;1377:CCCGAA:28.00:66.67:Warning:6:1761.21:</t>
  </si>
  <si>
    <t>&gt;1378:CCCGAC:26.00:83.33:Warning:6:1737.18:</t>
  </si>
  <si>
    <t>&gt;1379:CCCGAG:26.00:83.33:Warning:6:1777.21:</t>
  </si>
  <si>
    <t>&gt;1380:CCCGAT:20.00:66.67:Warning:6:1752.19:</t>
  </si>
  <si>
    <t>&gt;1381:CCCGCA:26.00:83.33:Warning:6:1737.18:</t>
  </si>
  <si>
    <t>&gt;1382:CCCGCC:24.00:100.00:Warning:6:1713.15:</t>
  </si>
  <si>
    <t>&gt;1383:CCCGCG:24.00:100.00:Warning:6:1753.18:</t>
  </si>
  <si>
    <t>&gt;1384:CCCGCT:18.00:83.33:Warning:6:1728.16:</t>
  </si>
  <si>
    <t>&gt;1385:CCCGGA:26.00:83.33:Warning:6:1777.21:</t>
  </si>
  <si>
    <t>&gt;1386:CCCGGC:24.00:100.00:Warning:6:1753.18:</t>
  </si>
  <si>
    <t>&gt;1387:CCCGGG:24.00:100.00:Warning:6:1793.21:</t>
  </si>
  <si>
    <t>&gt;1388:CCCGGT:18.00:83.33:Warning:6:1768.19:</t>
  </si>
  <si>
    <t>&gt;1389:CCCGTA:20.00:66.67:Warning:6:1752.19:</t>
  </si>
  <si>
    <t>&gt;1390:CCCGTC:18.00:83.33:Warning:6:1728.16:</t>
  </si>
  <si>
    <t>&gt;1391:CCCGTG:18.00:83.33:Warning:6:1768.19:</t>
  </si>
  <si>
    <t>&gt;1392:CCCGTT:12.00:66.67:Warning:6:1743.17:</t>
  </si>
  <si>
    <t>&gt;1393:CCCTAA:22.00:50.00:OK:6:1736.19:</t>
  </si>
  <si>
    <t>&gt;1394:CCCTAC:20.00:66.67:Warning:6:1712.16:</t>
  </si>
  <si>
    <t>&gt;1395:CCCTAG:20.00:66.67:Warning:6:1752.19:</t>
  </si>
  <si>
    <t>&gt;1396:CCCTAT:14.00:50.00:OK:6:1727.17:</t>
  </si>
  <si>
    <t>&gt;1397:CCCTCA:20.00:66.67:Warning:6:1712.16:</t>
  </si>
  <si>
    <t>&gt;1398:CCCTCC:18.00:83.33:Warning:6:1688.13:</t>
  </si>
  <si>
    <t>&gt;1399:CCCTCG:18.00:83.33:Warning:6:1728.16:</t>
  </si>
  <si>
    <t>&gt;1400:CCCTCT:12.00:66.67:Warning:6:1703.14:</t>
  </si>
  <si>
    <t>&gt;1401:CCCTGA:20.00:66.67:Warning:6:1752.19:</t>
  </si>
  <si>
    <t>&gt;1402:CCCTGC:18.00:83.33:Warning:6:1728.16:</t>
  </si>
  <si>
    <t>&gt;1403:CCCTGG:18.00:83.33:Warning:6:1768.19:</t>
  </si>
  <si>
    <t>&gt;1404:CCCTGT:12.00:66.67:Warning:6:1743.17:</t>
  </si>
  <si>
    <t>&gt;1405:CCCTTA:14.00:50.00:OK:6:1727.17:</t>
  </si>
  <si>
    <t>&gt;1406:CCCTTC:12.00:66.67:Warning:6:1703.14:</t>
  </si>
  <si>
    <t>&gt;1407:CCCTTG:12.00:66.67:Warning:6:1743.17:</t>
  </si>
  <si>
    <t>&gt;1408:CCCTTT:6.00:50.00:OK:6:1718.15:</t>
  </si>
  <si>
    <t>&gt;1409:CCGAAA:30.00:50.00:OK:6:1785.24:</t>
  </si>
  <si>
    <t>&gt;1410:CCGAAC:28.00:66.67:Warning:6:1761.21:</t>
  </si>
  <si>
    <t>&gt;1411:CCGAAG:28.00:66.67:Warning:6:1801.24:</t>
  </si>
  <si>
    <t>&gt;1412:CCGAAT:22.00:50.00:OK:6:1776.22:</t>
  </si>
  <si>
    <t>&gt;1413:CCGACA:28.00:66.67:Warning:6:1761.21:</t>
  </si>
  <si>
    <t>&gt;1414:CCGACC:26.00:83.33:Warning:6:1737.18:</t>
  </si>
  <si>
    <t>&gt;1415:CCGACG:26.00:83.33:Warning:6:1777.21:</t>
  </si>
  <si>
    <t>&gt;1416:CCGACT:20.00:66.67:Warning:6:1752.19:</t>
  </si>
  <si>
    <t>&gt;1417:CCGAGA:28.00:66.67:Warning:6:1801.24:</t>
  </si>
  <si>
    <t>&gt;1418:CCGAGC:26.00:83.33:Warning:6:1777.21:</t>
  </si>
  <si>
    <t>&gt;1419:CCGAGG:26.00:83.33:Warning:6:1817.24:</t>
  </si>
  <si>
    <t>&gt;1420:CCGAGT:20.00:66.67:Warning:6:1792.22:</t>
  </si>
  <si>
    <t>&gt;1421:CCGATA:22.00:50.00:OK:6:1776.22:</t>
  </si>
  <si>
    <t>&gt;1422:CCGATC:20.00:66.67:Warning:6:1752.19:</t>
  </si>
  <si>
    <t>&gt;1423:CCGATG:20.00:66.67:Warning:6:1792.22:</t>
  </si>
  <si>
    <t>&gt;1424:CCGATT:14.00:50.00:OK:6:1767.20:</t>
  </si>
  <si>
    <t>&gt;1425:CCGCAA:28.00:66.67:Warning:6:1761.21:</t>
  </si>
  <si>
    <t>&gt;1426:CCGCAC:26.00:83.33:Warning:6:1737.18:</t>
  </si>
  <si>
    <t>&gt;1427:CCGCAG:26.00:83.33:Warning:6:1777.21:</t>
  </si>
  <si>
    <t>&gt;1428:CCGCAT:20.00:66.67:Warning:6:1752.19:</t>
  </si>
  <si>
    <t>&gt;1429:CCGCCA:26.00:83.33:Warning:6:1737.18:</t>
  </si>
  <si>
    <t>&gt;1430:CCGCCC:24.00:100.00:Warning:6:1713.15:</t>
  </si>
  <si>
    <t>&gt;1431:CCGCCG:24.00:100.00:Warning:6:1753.18:</t>
  </si>
  <si>
    <t>&gt;1432:CCGCCT:18.00:83.33:Warning:6:1728.16:</t>
  </si>
  <si>
    <t>&gt;1433:CCGCGA:26.00:83.33:Warning:6:1777.21:</t>
  </si>
  <si>
    <t>&gt;1434:CCGCGC:24.00:100.00:Warning:6:1753.18:</t>
  </si>
  <si>
    <t>&gt;1435:CCGCGG:24.00:100.00:Warning:6:1793.21:</t>
  </si>
  <si>
    <t>&gt;1436:CCGCGT:18.00:83.33:Warning:6:1768.19:</t>
  </si>
  <si>
    <t>&gt;1437:CCGCTA:20.00:66.67:Warning:6:1752.19:</t>
  </si>
  <si>
    <t>&gt;1438:CCGCTC:18.00:83.33:Warning:6:1728.16:</t>
  </si>
  <si>
    <t>&gt;1439:CCGCTG:18.00:83.33:Warning:6:1768.19:</t>
  </si>
  <si>
    <t>&gt;1440:CCGCTT:12.00:66.67:Warning:6:1743.17:</t>
  </si>
  <si>
    <t>&gt;1441:CCGGAA:28.00:66.67:Warning:6:1801.24:</t>
  </si>
  <si>
    <t>&gt;1442:CCGGAC:26.00:83.33:Warning:6:1777.21:</t>
  </si>
  <si>
    <t>&gt;1443:CCGGAG:26.00:83.33:Warning:6:1817.24:</t>
  </si>
  <si>
    <t>&gt;1444:CCGGAT:20.00:66.67:Warning:6:1792.22:</t>
  </si>
  <si>
    <t>&gt;1445:CCGGCA:26.00:83.33:Warning:6:1777.21:</t>
  </si>
  <si>
    <t>&gt;1446:CCGGCC:24.00:100.00:Warning:6:1753.18:</t>
  </si>
  <si>
    <t>&gt;1447:CCGGCG:24.00:100.00:Warning:6:1793.21:</t>
  </si>
  <si>
    <t>&gt;1448:CCGGCT:18.00:83.33:Warning:6:1768.19:</t>
  </si>
  <si>
    <t>&gt;1449:CCGGGA:26.00:83.33:Warning:6:1817.24:</t>
  </si>
  <si>
    <t>&gt;1450:CCGGGC:24.00:100.00:Warning:6:1793.21:</t>
  </si>
  <si>
    <t>&gt;1451:CCGGGG:24.00:100.00:Warning:6:1833.24:</t>
  </si>
  <si>
    <t>&gt;1452:CCGGGT:18.00:83.33:Warning:6:1808.22:</t>
  </si>
  <si>
    <t>&gt;1453:CCGGTA:20.00:66.67:Warning:6:1792.22:</t>
  </si>
  <si>
    <t>&gt;1454:CCGGTC:18.00:83.33:Warning:6:1768.19:</t>
  </si>
  <si>
    <t>&gt;1455:CCGGTG:18.00:83.33:Warning:6:1808.22:</t>
  </si>
  <si>
    <t>&gt;1456:CCGGTT:12.00:66.67:Warning:6:1783.20:</t>
  </si>
  <si>
    <t>&gt;1457:CCGTAA:22.00:50.00:OK:6:1776.22:</t>
  </si>
  <si>
    <t>&gt;1458:CCGTAC:20.00:66.67:Warning:6:1752.19:</t>
  </si>
  <si>
    <t>&gt;1459:CCGTAG:20.00:66.67:Warning:6:1792.22:</t>
  </si>
  <si>
    <t>&gt;1460:CCGTAT:14.00:50.00:OK:6:1767.20:</t>
  </si>
  <si>
    <t>&gt;1461:CCGTCA:20.00:66.67:Warning:6:1752.19:</t>
  </si>
  <si>
    <t>&gt;1462:CCGTCC:18.00:83.33:Warning:6:1728.16:</t>
  </si>
  <si>
    <t>&gt;1463:CCGTCG:18.00:83.33:Warning:6:1768.19:</t>
  </si>
  <si>
    <t>&gt;1464:CCGTCT:12.00:66.67:Warning:6:1743.17:</t>
  </si>
  <si>
    <t>&gt;1465:CCGTGA:20.00:66.67:Warning:6:1792.22:</t>
  </si>
  <si>
    <t>&gt;1466:CCGTGC:18.00:83.33:Warning:6:1768.19:</t>
  </si>
  <si>
    <t>&gt;1467:CCGTGG:18.00:83.33:Warning:6:1808.22:</t>
  </si>
  <si>
    <t>&gt;1468:CCGTGT:12.00:66.67:Warning:6:1783.20:</t>
  </si>
  <si>
    <t>&gt;1469:CCGTTA:14.00:50.00:OK:6:1767.20:</t>
  </si>
  <si>
    <t>&gt;1470:CCGTTC:12.00:66.67:Warning:6:1743.17:</t>
  </si>
  <si>
    <t>&gt;1471:CCGTTG:12.00:66.67:Warning:6:1783.20:</t>
  </si>
  <si>
    <t>&gt;1472:CCGTTT:6.00:50.00:OK:6:1758.18:</t>
  </si>
  <si>
    <t>&gt;1473:CCTAAA:24.00:33.33:OK:6:1760.22:</t>
  </si>
  <si>
    <t>&gt;1474:CCTAAC:22.00:50.00:OK:6:1736.19:</t>
  </si>
  <si>
    <t>&gt;1475:CCTAAG:22.00:50.00:OK:6:1776.22:</t>
  </si>
  <si>
    <t>&gt;1476:CCTAAT:16.00:33.33:OK:6:1751.20:</t>
  </si>
  <si>
    <t>&gt;1477:CCTACA:22.00:50.00:OK:6:1736.19:</t>
  </si>
  <si>
    <t>&gt;1478:CCTACC:20.00:66.67:Warning:6:1712.16:</t>
  </si>
  <si>
    <t>&gt;1479:CCTACG:20.00:66.67:Warning:6:1752.19:</t>
  </si>
  <si>
    <t>&gt;1480:CCTACT:14.00:50.00:OK:6:1727.17:</t>
  </si>
  <si>
    <t>&gt;1481:CCTAGA:22.00:50.00:OK:6:1776.22:</t>
  </si>
  <si>
    <t>&gt;1482:CCTAGC:20.00:66.67:Warning:6:1752.19:</t>
  </si>
  <si>
    <t>&gt;1483:CCTAGG:20.00:66.67:Warning:6:1792.22:</t>
  </si>
  <si>
    <t>&gt;1484:CCTAGT:14.00:50.00:OK:6:1767.20:</t>
  </si>
  <si>
    <t>&gt;1485:CCTATA:16.00:33.33:OK:6:1751.20:</t>
  </si>
  <si>
    <t>&gt;1486:CCTATC:14.00:50.00:OK:6:1727.17:</t>
  </si>
  <si>
    <t>&gt;1487:CCTATG:14.00:50.00:OK:6:1767.20:</t>
  </si>
  <si>
    <t>&gt;1488:CCTATT:8.00:33.33:OK:6:1742.18:</t>
  </si>
  <si>
    <t>&gt;1489:CCTCAA:22.00:50.00:OK:6:1736.19:</t>
  </si>
  <si>
    <t>&gt;1490:CCTCAC:20.00:66.67:Warning:6:1712.16:</t>
  </si>
  <si>
    <t>&gt;1491:CCTCAG:20.00:66.67:Warning:6:1752.19:</t>
  </si>
  <si>
    <t>&gt;1492:CCTCAT:14.00:50.00:OK:6:1727.17:</t>
  </si>
  <si>
    <t>&gt;1493:CCTCCA:20.00:66.67:Warning:6:1712.16:</t>
  </si>
  <si>
    <t>&gt;1494:CCTCCC:18.00:83.33:Warning:6:1688.13:</t>
  </si>
  <si>
    <t>&gt;1495:CCTCCG:18.00:83.33:Warning:6:1728.16:</t>
  </si>
  <si>
    <t>&gt;1496:CCTCCT:12.00:66.67:Warning:6:1703.14:</t>
  </si>
  <si>
    <t>&gt;1497:CCTCGA:20.00:66.67:Warning:6:1752.19:</t>
  </si>
  <si>
    <t>&gt;1498:CCTCGC:18.00:83.33:Warning:6:1728.16:</t>
  </si>
  <si>
    <t>&gt;1499:CCTCGG:18.00:83.33:Warning:6:1768.19:</t>
  </si>
  <si>
    <t>&gt;1500:CCTCGT:12.00:66.67:Warning:6:1743.17:</t>
  </si>
  <si>
    <t>&gt;1501:CCTCTA:14.00:50.00:OK:6:1727.17:</t>
  </si>
  <si>
    <t>&gt;1502:CCTCTC:12.00:66.67:Warning:6:1703.14:</t>
  </si>
  <si>
    <t>&gt;1503:CCTCTG:12.00:66.67:Warning:6:1743.17:</t>
  </si>
  <si>
    <t>&gt;1504:CCTCTT:6.00:50.00:OK:6:1718.15:</t>
  </si>
  <si>
    <t>&gt;1505:CCTGAA:22.00:50.00:OK:6:1776.22:</t>
  </si>
  <si>
    <t>&gt;1506:CCTGAC:20.00:66.67:Warning:6:1752.19:</t>
  </si>
  <si>
    <t>&gt;1507:CCTGAG:20.00:66.67:Warning:6:1792.22:</t>
  </si>
  <si>
    <t>&gt;1508:CCTGAT:14.00:50.00:OK:6:1767.20:</t>
  </si>
  <si>
    <t>&gt;1509:CCTGCA:20.00:66.67:Warning:6:1752.19:</t>
  </si>
  <si>
    <t>&gt;1510:CCTGCC:18.00:83.33:Warning:6:1728.16:</t>
  </si>
  <si>
    <t>&gt;1511:CCTGCG:18.00:83.33:Warning:6:1768.19:</t>
  </si>
  <si>
    <t>&gt;1512:CCTGCT:12.00:66.67:Warning:6:1743.17:</t>
  </si>
  <si>
    <t>&gt;1513:CCTGGA:20.00:66.67:Warning:6:1792.22:</t>
  </si>
  <si>
    <t>&gt;1514:CCTGGC:18.00:83.33:Warning:6:1768.19:</t>
  </si>
  <si>
    <t>&gt;1515:CCTGGG:18.00:83.33:Warning:6:1808.22:</t>
  </si>
  <si>
    <t>&gt;1516:CCTGGT:12.00:66.67:Warning:6:1783.20:</t>
  </si>
  <si>
    <t>&gt;1517:CCTGTA:14.00:50.00:OK:6:1767.20:</t>
  </si>
  <si>
    <t>&gt;1518:CCTGTC:12.00:66.67:Warning:6:1743.17:</t>
  </si>
  <si>
    <t>&gt;1519:CCTGTG:12.00:66.67:Warning:6:1783.20:</t>
  </si>
  <si>
    <t>&gt;1520:CCTGTT:6.00:50.00:OK:6:1758.18:</t>
  </si>
  <si>
    <t>&gt;1521:CCTTAA:16.00:33.33:OK:6:1751.20:</t>
  </si>
  <si>
    <t>&gt;1522:CCTTAC:14.00:50.00:OK:6:1727.17:</t>
  </si>
  <si>
    <t>&gt;1523:CCTTAG:14.00:50.00:OK:6:1767.20:</t>
  </si>
  <si>
    <t>&gt;1524:CCTTAT:8.00:33.33:OK:6:1742.18:</t>
  </si>
  <si>
    <t>&gt;1525:CCTTCA:14.00:50.00:OK:6:1727.17:</t>
  </si>
  <si>
    <t>&gt;1526:CCTTCC:12.00:66.67:Warning:6:1703.14:</t>
  </si>
  <si>
    <t>&gt;1527:CCTTCG:12.00:66.67:Warning:6:1743.17:</t>
  </si>
  <si>
    <t>&gt;1528:CCTTCT:6.00:50.00:OK:6:1718.15:</t>
  </si>
  <si>
    <t>&gt;1529:CCTTGA:14.00:50.00:OK:6:1767.20:</t>
  </si>
  <si>
    <t>&gt;1530:CCTTGC:12.00:66.67:Warning:6:1743.17:</t>
  </si>
  <si>
    <t>&gt;1531:CCTTGG:12.00:66.67:Warning:6:1783.20:</t>
  </si>
  <si>
    <t>&gt;1532:CCTTGT:6.00:50.00:OK:6:1758.18:</t>
  </si>
  <si>
    <t>&gt;1533:CCTTTA:8.00:33.33:OK:6:1742.18:</t>
  </si>
  <si>
    <t>&gt;1534:CCTTTC:6.00:50.00:OK:6:1718.15:</t>
  </si>
  <si>
    <t>&gt;1535:CCTTTG:6.00:50.00:OK:6:1758.18:</t>
  </si>
  <si>
    <t>&gt;1536:CCTTTT:0.00:33.33:OK:6:1733.16:</t>
  </si>
  <si>
    <t>&gt;1537:CGAAAA:32.00:33.33:OK:6:1809.27:</t>
  </si>
  <si>
    <t>&gt;1538:CGAAAC:30.00:50.00:OK:6:1785.24:</t>
  </si>
  <si>
    <t>&gt;1539:CGAAAG:30.00:50.00:OK:6:1825.27:</t>
  </si>
  <si>
    <t>&gt;1540:CGAAAT:24.00:33.33:OK:6:1800.25:</t>
  </si>
  <si>
    <t>&gt;1541:CGAACA:30.00:50.00:OK:6:1785.24:</t>
  </si>
  <si>
    <t>&gt;1542:CGAACC:28.00:66.67:Warning:6:1761.21:</t>
  </si>
  <si>
    <t>&gt;1543:CGAACG:28.00:66.67:Warning:6:1801.24:</t>
  </si>
  <si>
    <t>&gt;1544:CGAACT:22.00:50.00:OK:6:1776.22:</t>
  </si>
  <si>
    <t>&gt;1545:CGAAGA:30.00:50.00:OK:6:1825.27:</t>
  </si>
  <si>
    <t>&gt;1546:CGAAGC:28.00:66.67:Warning:6:1801.24:</t>
  </si>
  <si>
    <t>&gt;1547:CGAAGG:28.00:66.67:Warning:6:1841.27:</t>
  </si>
  <si>
    <t>&gt;1548:CGAAGT:22.00:50.00:OK:6:1816.25:</t>
  </si>
  <si>
    <t>&gt;1549:CGAATA:24.00:33.33:OK:6:1800.25:</t>
  </si>
  <si>
    <t>&gt;1550:CGAATC:22.00:50.00:OK:6:1776.22:</t>
  </si>
  <si>
    <t>&gt;1551:CGAATG:22.00:50.00:OK:6:1816.25:</t>
  </si>
  <si>
    <t>&gt;1552:CGAATT:16.00:33.33:OK:6:1791.23:</t>
  </si>
  <si>
    <t>&gt;1553:CGACAA:30.00:50.00:OK:6:1785.24:</t>
  </si>
  <si>
    <t>&gt;1554:CGACAC:28.00:66.67:Warning:6:1761.21:</t>
  </si>
  <si>
    <t>&gt;1555:CGACAG:28.00:66.67:Warning:6:1801.24:</t>
  </si>
  <si>
    <t>&gt;1556:CGACAT:22.00:50.00:OK:6:1776.22:</t>
  </si>
  <si>
    <t>&gt;1557:CGACCA:28.00:66.67:Warning:6:1761.21:</t>
  </si>
  <si>
    <t>&gt;1558:CGACCC:26.00:83.33:Warning:6:1737.18:</t>
  </si>
  <si>
    <t>&gt;1559:CGACCG:26.00:83.33:Warning:6:1777.21:</t>
  </si>
  <si>
    <t>&gt;1560:CGACCT:20.00:66.67:Warning:6:1752.19:</t>
  </si>
  <si>
    <t>&gt;1561:CGACGA:28.00:66.67:Warning:6:1801.24:</t>
  </si>
  <si>
    <t>&gt;1562:CGACGC:26.00:83.33:Warning:6:1777.21:</t>
  </si>
  <si>
    <t>&gt;1563:CGACGG:26.00:83.33:Warning:6:1817.24:</t>
  </si>
  <si>
    <t>&gt;1564:CGACGT:20.00:66.67:Warning:6:1792.22:</t>
  </si>
  <si>
    <t>&gt;1565:CGACTA:22.00:50.00:OK:6:1776.22:</t>
  </si>
  <si>
    <t>&gt;1566:CGACTC:20.00:66.67:Warning:6:1752.19:</t>
  </si>
  <si>
    <t>&gt;1567:CGACTG:20.00:66.67:Warning:6:1792.22:</t>
  </si>
  <si>
    <t>&gt;1568:CGACTT:14.00:50.00:OK:6:1767.20:</t>
  </si>
  <si>
    <t>&gt;1569:CGAGAA:30.00:50.00:OK:6:1825.27:</t>
  </si>
  <si>
    <t>&gt;1570:CGAGAC:28.00:66.67:Warning:6:1801.24:</t>
  </si>
  <si>
    <t>&gt;1571:CGAGAG:28.00:66.67:Warning:6:1841.27:</t>
  </si>
  <si>
    <t>&gt;1572:CGAGAT:22.00:50.00:OK:6:1816.25:</t>
  </si>
  <si>
    <t>&gt;1573:CGAGCA:28.00:66.67:Warning:6:1801.24:</t>
  </si>
  <si>
    <t>&gt;1574:CGAGCC:26.00:83.33:Warning:6:1777.21:</t>
  </si>
  <si>
    <t>&gt;1575:CGAGCG:26.00:83.33:Warning:6:1817.24:</t>
  </si>
  <si>
    <t>&gt;1576:CGAGCT:20.00:66.67:Warning:6:1792.22:</t>
  </si>
  <si>
    <t>&gt;1577:CGAGGA:28.00:66.67:Warning:6:1841.27:</t>
  </si>
  <si>
    <t>&gt;1578:CGAGGC:26.00:83.33:Warning:6:1817.24:</t>
  </si>
  <si>
    <t>&gt;1579:CGAGGG:26.00:83.33:Warning:6:1857.27:</t>
  </si>
  <si>
    <t>&gt;1580:CGAGGT:20.00:66.67:Warning:6:1832.25:</t>
  </si>
  <si>
    <t>&gt;1581:CGAGTA:22.00:50.00:OK:6:1816.25:</t>
  </si>
  <si>
    <t>&gt;1582:CGAGTC:20.00:66.67:Warning:6:1792.22:</t>
  </si>
  <si>
    <t>&gt;1583:CGAGTG:20.00:66.67:Warning:6:1832.25:</t>
  </si>
  <si>
    <t>&gt;1584:CGAGTT:14.00:50.00:OK:6:1807.23:</t>
  </si>
  <si>
    <t>&gt;1585:CGATAA:24.00:33.33:OK:6:1800.25:</t>
  </si>
  <si>
    <t>&gt;1586:CGATAC:22.00:50.00:OK:6:1776.22:</t>
  </si>
  <si>
    <t>&gt;1587:CGATAG:22.00:50.00:OK:6:1816.25:</t>
  </si>
  <si>
    <t>&gt;1588:CGATAT:16.00:33.33:OK:6:1791.23:</t>
  </si>
  <si>
    <t>&gt;1589:CGATCA:22.00:50.00:OK:6:1776.22:</t>
  </si>
  <si>
    <t>&gt;1590:CGATCC:20.00:66.67:Warning:6:1752.19:</t>
  </si>
  <si>
    <t>&gt;1591:CGATCG:20.00:66.67:Warning:6:1792.22:</t>
  </si>
  <si>
    <t>&gt;1592:CGATCT:14.00:50.00:OK:6:1767.20:</t>
  </si>
  <si>
    <t>&gt;1593:CGATGA:22.00:50.00:OK:6:1816.25:</t>
  </si>
  <si>
    <t>&gt;1594:CGATGC:20.00:66.67:Warning:6:1792.22:</t>
  </si>
  <si>
    <t>&gt;1595:CGATGG:20.00:66.67:Warning:6:1832.25:</t>
  </si>
  <si>
    <t>&gt;1596:CGATGT:14.00:50.00:OK:6:1807.23:</t>
  </si>
  <si>
    <t>&gt;1597:CGATTA:16.00:33.33:OK:6:1791.23:</t>
  </si>
  <si>
    <t>&gt;1598:CGATTC:14.00:50.00:OK:6:1767.20:</t>
  </si>
  <si>
    <t>&gt;1599:CGATTG:14.00:50.00:OK:6:1807.23:</t>
  </si>
  <si>
    <t>&gt;1600:CGATTT:8.00:33.33:OK:6:1782.21:</t>
  </si>
  <si>
    <t>&gt;1601:CGCAAA:30.00:50.00:OK:6:1785.24:</t>
  </si>
  <si>
    <t>&gt;1602:CGCAAC:28.00:66.67:Warning:6:1761.21:</t>
  </si>
  <si>
    <t>&gt;1603:CGCAAG:28.00:66.67:Warning:6:1801.24:</t>
  </si>
  <si>
    <t>&gt;1604:CGCAAT:22.00:50.00:OK:6:1776.22:</t>
  </si>
  <si>
    <t>&gt;1605:CGCACA:28.00:66.67:Warning:6:1761.21:</t>
  </si>
  <si>
    <t>&gt;1606:CGCACC:26.00:83.33:Warning:6:1737.18:</t>
  </si>
  <si>
    <t>&gt;1607:CGCACG:26.00:83.33:Warning:6:1777.21:</t>
  </si>
  <si>
    <t>&gt;1608:CGCACT:20.00:66.67:Warning:6:1752.19:</t>
  </si>
  <si>
    <t>&gt;1609:CGCAGA:28.00:66.67:Warning:6:1801.24:</t>
  </si>
  <si>
    <t>&gt;1610:CGCAGC:26.00:83.33:Warning:6:1777.21:</t>
  </si>
  <si>
    <t>&gt;1611:CGCAGG:26.00:83.33:Warning:6:1817.24:</t>
  </si>
  <si>
    <t>&gt;1612:CGCAGT:20.00:66.67:Warning:6:1792.22:</t>
  </si>
  <si>
    <t>&gt;1613:CGCATA:22.00:50.00:OK:6:1776.22:</t>
  </si>
  <si>
    <t>&gt;1614:CGCATC:20.00:66.67:Warning:6:1752.19:</t>
  </si>
  <si>
    <t>&gt;1615:CGCATG:20.00:66.67:Warning:6:1792.22:</t>
  </si>
  <si>
    <t>&gt;1616:CGCATT:14.00:50.00:OK:6:1767.20:</t>
  </si>
  <si>
    <t>&gt;1617:CGCCAA:28.00:66.67:Warning:6:1761.21:</t>
  </si>
  <si>
    <t>&gt;1618:CGCCAC:26.00:83.33:Warning:6:1737.18:</t>
  </si>
  <si>
    <t>&gt;1619:CGCCAG:26.00:83.33:Warning:6:1777.21:</t>
  </si>
  <si>
    <t>&gt;1620:CGCCAT:20.00:66.67:Warning:6:1752.19:</t>
  </si>
  <si>
    <t>&gt;1621:CGCCCA:26.00:83.33:Warning:6:1737.18:</t>
  </si>
  <si>
    <t>&gt;1622:CGCCCC:24.00:100.00:Warning:6:1713.15:</t>
  </si>
  <si>
    <t>&gt;1623:CGCCCG:24.00:100.00:Warning:6:1753.18:</t>
  </si>
  <si>
    <t>&gt;1624:CGCCCT:18.00:83.33:Warning:6:1728.16:</t>
  </si>
  <si>
    <t>&gt;1625:CGCCGA:26.00:83.33:Warning:6:1777.21:</t>
  </si>
  <si>
    <t>&gt;1626:CGCCGC:24.00:100.00:Warning:6:1753.18:</t>
  </si>
  <si>
    <t>&gt;1627:CGCCGG:24.00:100.00:Warning:6:1793.21:</t>
  </si>
  <si>
    <t>&gt;1628:CGCCGT:18.00:83.33:Warning:6:1768.19:</t>
  </si>
  <si>
    <t>&gt;1629:CGCCTA:20.00:66.67:Warning:6:1752.19:</t>
  </si>
  <si>
    <t>&gt;1630:CGCCTC:18.00:83.33:Warning:6:1728.16:</t>
  </si>
  <si>
    <t>&gt;1631:CGCCTG:18.00:83.33:Warning:6:1768.19:</t>
  </si>
  <si>
    <t>&gt;1632:CGCCTT:12.00:66.67:Warning:6:1743.17:</t>
  </si>
  <si>
    <t>&gt;1633:CGCGAA:28.00:66.67:Warning:6:1801.24:</t>
  </si>
  <si>
    <t>&gt;1634:CGCGAC:26.00:83.33:Warning:6:1777.21:</t>
  </si>
  <si>
    <t>&gt;1635:CGCGAG:26.00:83.33:Warning:6:1817.24:</t>
  </si>
  <si>
    <t>&gt;1636:CGCGAT:20.00:66.67:Warning:6:1792.22:</t>
  </si>
  <si>
    <t>&gt;1637:CGCGCA:26.00:83.33:Warning:6:1777.21:</t>
  </si>
  <si>
    <t>&gt;1638:CGCGCC:24.00:100.00:Warning:6:1753.18:</t>
  </si>
  <si>
    <t>&gt;1639:CGCGCG:24.00:100.00:Warning:6:1793.21:</t>
  </si>
  <si>
    <t>&gt;1640:CGCGCT:18.00:83.33:Warning:6:1768.19:</t>
  </si>
  <si>
    <t>&gt;1641:CGCGGA:26.00:83.33:Warning:6:1817.24:</t>
  </si>
  <si>
    <t>&gt;1642:CGCGGC:24.00:100.00:Warning:6:1793.21:</t>
  </si>
  <si>
    <t>&gt;1643:CGCGGG:24.00:100.00:Warning:6:1833.24:</t>
  </si>
  <si>
    <t>&gt;1644:CGCGGT:18.00:83.33:Warning:6:1808.22:</t>
  </si>
  <si>
    <t>&gt;1645:CGCGTA:20.00:66.67:Warning:6:1792.22:</t>
  </si>
  <si>
    <t>&gt;1646:CGCGTC:18.00:83.33:Warning:6:1768.19:</t>
  </si>
  <si>
    <t>&gt;1647:CGCGTG:18.00:83.33:Warning:6:1808.22:</t>
  </si>
  <si>
    <t>&gt;1648:CGCGTT:12.00:66.67:Warning:6:1783.20:</t>
  </si>
  <si>
    <t>&gt;1649:CGCTAA:22.00:50.00:OK:6:1776.22:</t>
  </si>
  <si>
    <t>&gt;1650:CGCTAC:20.00:66.67:Warning:6:1752.19:</t>
  </si>
  <si>
    <t>&gt;1651:CGCTAG:20.00:66.67:Warning:6:1792.22:</t>
  </si>
  <si>
    <t>&gt;1652:CGCTAT:14.00:50.00:OK:6:1767.20:</t>
  </si>
  <si>
    <t>&gt;1653:CGCTCA:20.00:66.67:Warning:6:1752.19:</t>
  </si>
  <si>
    <t>&gt;1654:CGCTCC:18.00:83.33:Warning:6:1728.16:</t>
  </si>
  <si>
    <t>&gt;1655:CGCTCG:18.00:83.33:Warning:6:1768.19:</t>
  </si>
  <si>
    <t>&gt;1656:CGCTCT:12.00:66.67:Warning:6:1743.17:</t>
  </si>
  <si>
    <t>&gt;1657:CGCTGA:20.00:66.67:Warning:6:1792.22:</t>
  </si>
  <si>
    <t>&gt;1658:CGCTGC:18.00:83.33:Warning:6:1768.19:</t>
  </si>
  <si>
    <t>&gt;1659:CGCTGG:18.00:83.33:Warning:6:1808.22:</t>
  </si>
  <si>
    <t>&gt;1660:CGCTGT:12.00:66.67:Warning:6:1783.20:</t>
  </si>
  <si>
    <t>&gt;1661:CGCTTA:14.00:50.00:OK:6:1767.20:</t>
  </si>
  <si>
    <t>&gt;1662:CGCTTC:12.00:66.67:Warning:6:1743.17:</t>
  </si>
  <si>
    <t>&gt;1663:CGCTTG:12.00:66.67:Warning:6:1783.20:</t>
  </si>
  <si>
    <t>&gt;1664:CGCTTT:6.00:50.00:OK:6:1758.18:</t>
  </si>
  <si>
    <t>&gt;1665:CGGAAA:30.00:50.00:OK:6:1825.27:</t>
  </si>
  <si>
    <t>&gt;1666:CGGAAC:28.00:66.67:Warning:6:1801.24:</t>
  </si>
  <si>
    <t>&gt;1667:CGGAAG:28.00:66.67:Warning:6:1841.27:</t>
  </si>
  <si>
    <t>&gt;1668:CGGAAT:22.00:50.00:OK:6:1816.25:</t>
  </si>
  <si>
    <t>&gt;1669:CGGACA:28.00:66.67:Warning:6:1801.24:</t>
  </si>
  <si>
    <t>&gt;1670:CGGACC:26.00:83.33:Warning:6:1777.21:</t>
  </si>
  <si>
    <t>&gt;1671:CGGACG:26.00:83.33:Warning:6:1817.24:</t>
  </si>
  <si>
    <t>&gt;1672:CGGACT:20.00:66.67:Warning:6:1792.22:</t>
  </si>
  <si>
    <t>&gt;1673:CGGAGA:28.00:66.67:Warning:6:1841.27:</t>
  </si>
  <si>
    <t>&gt;1674:CGGAGC:26.00:83.33:Warning:6:1817.24:</t>
  </si>
  <si>
    <t>&gt;1675:CGGAGG:26.00:83.33:Warning:6:1857.27:</t>
  </si>
  <si>
    <t>&gt;1676:CGGAGT:20.00:66.67:Warning:6:1832.25:</t>
  </si>
  <si>
    <t>&gt;1677:CGGATA:22.00:50.00:OK:6:1816.25:</t>
  </si>
  <si>
    <t>&gt;1678:CGGATC:20.00:66.67:Warning:6:1792.22:</t>
  </si>
  <si>
    <t>&gt;1679:CGGATG:20.00:66.67:Warning:6:1832.25:</t>
  </si>
  <si>
    <t>&gt;1680:CGGATT:14.00:50.00:OK:6:1807.23:</t>
  </si>
  <si>
    <t>&gt;1681:CGGCAA:28.00:66.67:Warning:6:1801.24:</t>
  </si>
  <si>
    <t>&gt;1682:CGGCAC:26.00:83.33:Warning:6:1777.21:</t>
  </si>
  <si>
    <t>&gt;1683:CGGCAG:26.00:83.33:Warning:6:1817.24:</t>
  </si>
  <si>
    <t>&gt;1684:CGGCAT:20.00:66.67:Warning:6:1792.22:</t>
  </si>
  <si>
    <t>&gt;1685:CGGCCA:26.00:83.33:Warning:6:1777.21:</t>
  </si>
  <si>
    <t>&gt;1686:CGGCCC:24.00:100.00:Warning:6:1753.18:</t>
  </si>
  <si>
    <t>&gt;1687:CGGCCG:24.00:100.00:Warning:6:1793.21:</t>
  </si>
  <si>
    <t>&gt;1688:CGGCCT:18.00:83.33:Warning:6:1768.19:</t>
  </si>
  <si>
    <t>&gt;1689:CGGCGA:26.00:83.33:Warning:6:1817.24:</t>
  </si>
  <si>
    <t>&gt;1690:CGGCGC:24.00:100.00:Warning:6:1793.21:</t>
  </si>
  <si>
    <t>&gt;1691:CGGCGG:24.00:100.00:Warning:6:1833.24:</t>
  </si>
  <si>
    <t>&gt;1692:CGGCGT:18.00:83.33:Warning:6:1808.22:</t>
  </si>
  <si>
    <t>&gt;1693:CGGCTA:20.00:66.67:Warning:6:1792.22:</t>
  </si>
  <si>
    <t>&gt;1694:CGGCTC:18.00:83.33:Warning:6:1768.19:</t>
  </si>
  <si>
    <t>&gt;1695:CGGCTG:18.00:83.33:Warning:6:1808.22:</t>
  </si>
  <si>
    <t>&gt;1696:CGGCTT:12.00:66.67:Warning:6:1783.20:</t>
  </si>
  <si>
    <t>&gt;1697:CGGGAA:28.00:66.67:Warning:6:1841.27:</t>
  </si>
  <si>
    <t>&gt;1698:CGGGAC:26.00:83.33:Warning:6:1817.24:</t>
  </si>
  <si>
    <t>&gt;1699:CGGGAG:26.00:83.33:Warning:6:1857.27:</t>
  </si>
  <si>
    <t>&gt;1700:CGGGAT:20.00:66.67:Warning:6:1832.25:</t>
  </si>
  <si>
    <t>&gt;1701:CGGGCA:26.00:83.33:Warning:6:1817.24:</t>
  </si>
  <si>
    <t>&gt;1702:CGGGCC:24.00:100.00:Warning:6:1793.21:</t>
  </si>
  <si>
    <t>&gt;1703:CGGGCG:24.00:100.00:Warning:6:1833.24:</t>
  </si>
  <si>
    <t>&gt;1704:CGGGCT:18.00:83.33:Warning:6:1808.22:</t>
  </si>
  <si>
    <t>&gt;1705:CGGGGA:26.00:83.33:Warning:6:1857.27:</t>
  </si>
  <si>
    <t>&gt;1706:CGGGGC:24.00:100.00:Warning:6:1833.24:</t>
  </si>
  <si>
    <t>&gt;1707:CGGGGG:24.00:100.00:Warning:6:1873.27:</t>
  </si>
  <si>
    <t>&gt;1708:CGGGGT:18.00:83.33:Warning:6:1848.25:</t>
  </si>
  <si>
    <t>&gt;1709:CGGGTA:20.00:66.67:Warning:6:1832.25:</t>
  </si>
  <si>
    <t>&gt;1710:CGGGTC:18.00:83.33:Warning:6:1808.22:</t>
  </si>
  <si>
    <t>&gt;1711:CGGGTG:18.00:83.33:Warning:6:1848.25:</t>
  </si>
  <si>
    <t>&gt;1712:CGGGTT:12.00:66.67:Warning:6:1823.23:</t>
  </si>
  <si>
    <t>&gt;1713:CGGTAA:22.00:50.00:OK:6:1816.25:</t>
  </si>
  <si>
    <t>&gt;1714:CGGTAC:20.00:66.67:Warning:6:1792.22:</t>
  </si>
  <si>
    <t>&gt;1715:CGGTAG:20.00:66.67:Warning:6:1832.25:</t>
  </si>
  <si>
    <t>&gt;1716:CGGTAT:14.00:50.00:OK:6:1807.23:</t>
  </si>
  <si>
    <t>&gt;1717:CGGTCA:20.00:66.67:Warning:6:1792.22:</t>
  </si>
  <si>
    <t>&gt;1718:CGGTCC:18.00:83.33:Warning:6:1768.19:</t>
  </si>
  <si>
    <t>&gt;1719:CGGTCG:18.00:83.33:Warning:6:1808.22:</t>
  </si>
  <si>
    <t>&gt;1720:CGGTCT:12.00:66.67:Warning:6:1783.20:</t>
  </si>
  <si>
    <t>&gt;1721:CGGTGA:20.00:66.67:Warning:6:1832.25:</t>
  </si>
  <si>
    <t>&gt;1722:CGGTGC:18.00:83.33:Warning:6:1808.22:</t>
  </si>
  <si>
    <t>&gt;1723:CGGTGG:18.00:83.33:Warning:6:1848.25:</t>
  </si>
  <si>
    <t>&gt;1724:CGGTGT:12.00:66.67:Warning:6:1823.23:</t>
  </si>
  <si>
    <t>&gt;1725:CGGTTA:14.00:50.00:OK:6:1807.23:</t>
  </si>
  <si>
    <t>&gt;1726:CGGTTC:12.00:66.67:Warning:6:1783.20:</t>
  </si>
  <si>
    <t>&gt;1727:CGGTTG:12.00:66.67:Warning:6:1823.23:</t>
  </si>
  <si>
    <t>&gt;1728:CGGTTT:6.00:50.00:OK:6:1798.21:</t>
  </si>
  <si>
    <t>&gt;1729:CGTAAA:24.00:33.33:OK:6:1800.25:</t>
  </si>
  <si>
    <t>&gt;1730:CGTAAC:22.00:50.00:OK:6:1776.22:</t>
  </si>
  <si>
    <t>&gt;1731:CGTAAG:22.00:50.00:OK:6:1816.25:</t>
  </si>
  <si>
    <t>&gt;1732:CGTAAT:16.00:33.33:OK:6:1791.23:</t>
  </si>
  <si>
    <t>&gt;1733:CGTACA:22.00:50.00:OK:6:1776.22:</t>
  </si>
  <si>
    <t>&gt;1734:CGTACC:20.00:66.67:Warning:6:1752.19:</t>
  </si>
  <si>
    <t>&gt;1735:CGTACG:20.00:66.67:Warning:6:1792.22:</t>
  </si>
  <si>
    <t>&gt;1736:CGTACT:14.00:50.00:OK:6:1767.20:</t>
  </si>
  <si>
    <t>&gt;1737:CGTAGA:22.00:50.00:OK:6:1816.25:</t>
  </si>
  <si>
    <t>&gt;1738:CGTAGC:20.00:66.67:Warning:6:1792.22:</t>
  </si>
  <si>
    <t>&gt;1739:CGTAGG:20.00:66.67:Warning:6:1832.25:</t>
  </si>
  <si>
    <t>&gt;1740:CGTAGT:14.00:50.00:OK:6:1807.23:</t>
  </si>
  <si>
    <t>&gt;1741:CGTATA:16.00:33.33:OK:6:1791.23:</t>
  </si>
  <si>
    <t>&gt;1742:CGTATC:14.00:50.00:OK:6:1767.20:</t>
  </si>
  <si>
    <t>&gt;1743:CGTATG:14.00:50.00:OK:6:1807.23:</t>
  </si>
  <si>
    <t>&gt;1744:CGTATT:8.00:33.33:OK:6:1782.21:</t>
  </si>
  <si>
    <t>&gt;1745:CGTCAA:22.00:50.00:OK:6:1776.22:</t>
  </si>
  <si>
    <t>&gt;1746:CGTCAC:20.00:66.67:Warning:6:1752.19:</t>
  </si>
  <si>
    <t>&gt;1747:CGTCAG:20.00:66.67:Warning:6:1792.22:</t>
  </si>
  <si>
    <t>&gt;1748:CGTCAT:14.00:50.00:OK:6:1767.20:</t>
  </si>
  <si>
    <t>&gt;1749:CGTCCA:20.00:66.67:Warning:6:1752.19:</t>
  </si>
  <si>
    <t>&gt;1750:CGTCCC:18.00:83.33:Warning:6:1728.16:</t>
  </si>
  <si>
    <t>&gt;1751:CGTCCG:18.00:83.33:Warning:6:1768.19:</t>
  </si>
  <si>
    <t>&gt;1752:CGTCCT:12.00:66.67:Warning:6:1743.17:</t>
  </si>
  <si>
    <t>&gt;1753:CGTCGA:20.00:66.67:Warning:6:1792.22:</t>
  </si>
  <si>
    <t>&gt;1754:CGTCGC:18.00:83.33:Warning:6:1768.19:</t>
  </si>
  <si>
    <t>&gt;1755:CGTCGG:18.00:83.33:Warning:6:1808.22:</t>
  </si>
  <si>
    <t>&gt;1756:CGTCGT:12.00:66.67:Warning:6:1783.20:</t>
  </si>
  <si>
    <t>&gt;1757:CGTCTA:14.00:50.00:OK:6:1767.20:</t>
  </si>
  <si>
    <t>&gt;1758:CGTCTC:12.00:66.67:Warning:6:1743.17:</t>
  </si>
  <si>
    <t>&gt;1759:CGTCTG:12.00:66.67:Warning:6:1783.20:</t>
  </si>
  <si>
    <t>&gt;1760:CGTCTT:6.00:50.00:OK:6:1758.18:</t>
  </si>
  <si>
    <t>&gt;1761:CGTGAA:22.00:50.00:OK:6:1816.25:</t>
  </si>
  <si>
    <t>&gt;1762:CGTGAC:20.00:66.67:Warning:6:1792.22:</t>
  </si>
  <si>
    <t>&gt;1763:CGTGAG:20.00:66.67:Warning:6:1832.25:</t>
  </si>
  <si>
    <t>&gt;1764:CGTGAT:14.00:50.00:OK:6:1807.23:</t>
  </si>
  <si>
    <t>&gt;1765:CGTGCA:20.00:66.67:Warning:6:1792.22:</t>
  </si>
  <si>
    <t>&gt;1766:CGTGCC:18.00:83.33:Warning:6:1768.19:</t>
  </si>
  <si>
    <t>&gt;1767:CGTGCG:18.00:83.33:Warning:6:1808.22:</t>
  </si>
  <si>
    <t>&gt;1768:CGTGCT:12.00:66.67:Warning:6:1783.20:</t>
  </si>
  <si>
    <t>&gt;1769:CGTGGA:20.00:66.67:Warning:6:1832.25:</t>
  </si>
  <si>
    <t>&gt;1770:CGTGGC:18.00:83.33:Warning:6:1808.22:</t>
  </si>
  <si>
    <t>&gt;1771:CGTGGG:18.00:83.33:Warning:6:1848.25:</t>
  </si>
  <si>
    <t>&gt;1772:CGTGGT:12.00:66.67:Warning:6:1823.23:</t>
  </si>
  <si>
    <t>&gt;1773:CGTGTA:14.00:50.00:OK:6:1807.23:</t>
  </si>
  <si>
    <t>&gt;1774:CGTGTC:12.00:66.67:Warning:6:1783.20:</t>
  </si>
  <si>
    <t>&gt;1775:CGTGTG:12.00:66.67:Warning:6:1823.23:</t>
  </si>
  <si>
    <t>&gt;1776:CGTGTT:6.00:50.00:OK:6:1798.21:</t>
  </si>
  <si>
    <t>&gt;1777:CGTTAA:16.00:33.33:OK:6:1791.23:</t>
  </si>
  <si>
    <t>&gt;1778:CGTTAC:14.00:50.00:OK:6:1767.20:</t>
  </si>
  <si>
    <t>&gt;1779:CGTTAG:14.00:50.00:OK:6:1807.23:</t>
  </si>
  <si>
    <t>&gt;1780:CGTTAT:8.00:33.33:OK:6:1782.21:</t>
  </si>
  <si>
    <t>&gt;1781:CGTTCA:14.00:50.00:OK:6:1767.20:</t>
  </si>
  <si>
    <t>&gt;1782:CGTTCC:12.00:66.67:Warning:6:1743.17:</t>
  </si>
  <si>
    <t>&gt;1783:CGTTCG:12.00:66.67:Warning:6:1783.20:</t>
  </si>
  <si>
    <t>&gt;1784:CGTTCT:6.00:50.00:OK:6:1758.18:</t>
  </si>
  <si>
    <t>&gt;1785:CGTTGA:14.00:50.00:OK:6:1807.23:</t>
  </si>
  <si>
    <t>&gt;1786:CGTTGC:12.00:66.67:Warning:6:1783.20:</t>
  </si>
  <si>
    <t>&gt;1787:CGTTGG:12.00:66.67:Warning:6:1823.23:</t>
  </si>
  <si>
    <t>&gt;1788:CGTTGT:6.00:50.00:OK:6:1798.21:</t>
  </si>
  <si>
    <t>&gt;1789:CGTTTA:8.00:33.33:OK:6:1782.21:</t>
  </si>
  <si>
    <t>&gt;1790:CGTTTC:6.00:50.00:OK:6:1758.18:</t>
  </si>
  <si>
    <t>&gt;1791:CGTTTG:6.00:50.00:OK:6:1798.21:</t>
  </si>
  <si>
    <t>&gt;1792:CGTTTT:0.00:33.33:OK:6:1773.19:</t>
  </si>
  <si>
    <t>&gt;1793:CTAAAA:26.00:16.67:OK:6:1784.25:</t>
  </si>
  <si>
    <t>&gt;1794:CTAAAC:24.00:33.33:OK:6:1760.22:</t>
  </si>
  <si>
    <t>&gt;1795:CTAAAG:24.00:33.33:OK:6:1800.25:</t>
  </si>
  <si>
    <t>&gt;1796:CTAAAT:18.00:16.67:OK:6:1775.23:</t>
  </si>
  <si>
    <t>&gt;1797:CTAACA:24.00:33.33:OK:6:1760.22:</t>
  </si>
  <si>
    <t>&gt;1798:CTAACC:22.00:50.00:OK:6:1736.19:</t>
  </si>
  <si>
    <t>&gt;1799:CTAACG:22.00:50.00:OK:6:1776.22:</t>
  </si>
  <si>
    <t>&gt;1800:CTAACT:16.00:33.33:OK:6:1751.20:</t>
  </si>
  <si>
    <t>&gt;1801:CTAAGA:24.00:33.33:OK:6:1800.25:</t>
  </si>
  <si>
    <t>&gt;1802:CTAAGC:22.00:50.00:OK:6:1776.22:</t>
  </si>
  <si>
    <t>&gt;1803:CTAAGG:22.00:50.00:OK:6:1816.25:</t>
  </si>
  <si>
    <t>&gt;1804:CTAAGT:16.00:33.33:OK:6:1791.23:</t>
  </si>
  <si>
    <t>&gt;1805:CTAATA:18.00:16.67:OK:6:1775.23:</t>
  </si>
  <si>
    <t>&gt;1806:CTAATC:16.00:33.33:OK:6:1751.20:</t>
  </si>
  <si>
    <t>&gt;1807:CTAATG:16.00:33.33:OK:6:1791.23:</t>
  </si>
  <si>
    <t>&gt;1808:CTAATT:10.00:16.67:OK:6:1766.21:</t>
  </si>
  <si>
    <t>&gt;1809:CTACAA:24.00:33.33:OK:6:1760.22:</t>
  </si>
  <si>
    <t>&gt;1810:CTACAC:22.00:50.00:OK:6:1736.19:</t>
  </si>
  <si>
    <t>&gt;1811:CTACAG:22.00:50.00:OK:6:1776.22:</t>
  </si>
  <si>
    <t>&gt;1812:CTACAT:16.00:33.33:OK:6:1751.20:</t>
  </si>
  <si>
    <t>&gt;1813:CTACCA:22.00:50.00:OK:6:1736.19:</t>
  </si>
  <si>
    <t>&gt;1814:CTACCC:20.00:66.67:Warning:6:1712.16:</t>
  </si>
  <si>
    <t>&gt;1815:CTACCG:20.00:66.67:Warning:6:1752.19:</t>
  </si>
  <si>
    <t>&gt;1816:CTACCT:14.00:50.00:OK:6:1727.17:</t>
  </si>
  <si>
    <t>&gt;1817:CTACGA:22.00:50.00:OK:6:1776.22:</t>
  </si>
  <si>
    <t>&gt;1818:CTACGC:20.00:66.67:Warning:6:1752.19:</t>
  </si>
  <si>
    <t>&gt;1819:CTACGG:20.00:66.67:Warning:6:1792.22:</t>
  </si>
  <si>
    <t>&gt;1820:CTACGT:14.00:50.00:OK:6:1767.20:</t>
  </si>
  <si>
    <t>&gt;1821:CTACTA:16.00:33.33:OK:6:1751.20:</t>
  </si>
  <si>
    <t>&gt;1822:CTACTC:14.00:50.00:OK:6:1727.17:</t>
  </si>
  <si>
    <t>&gt;1823:CTACTG:14.00:50.00:OK:6:1767.20:</t>
  </si>
  <si>
    <t>&gt;1824:CTACTT:8.00:33.33:OK:6:1742.18:</t>
  </si>
  <si>
    <t>&gt;1825:CTAGAA:24.00:33.33:OK:6:1800.25:</t>
  </si>
  <si>
    <t>&gt;1826:CTAGAC:22.00:50.00:OK:6:1776.22:</t>
  </si>
  <si>
    <t>&gt;1827:CTAGAG:22.00:50.00:OK:6:1816.25:</t>
  </si>
  <si>
    <t>&gt;1828:CTAGAT:16.00:33.33:OK:6:1791.23:</t>
  </si>
  <si>
    <t>&gt;1829:CTAGCA:22.00:50.00:OK:6:1776.22:</t>
  </si>
  <si>
    <t>&gt;1830:CTAGCC:20.00:66.67:Warning:6:1752.19:</t>
  </si>
  <si>
    <t>&gt;1831:CTAGCG:20.00:66.67:Warning:6:1792.22:</t>
  </si>
  <si>
    <t>&gt;1832:CTAGCT:14.00:50.00:OK:6:1767.20:</t>
  </si>
  <si>
    <t>&gt;1833:CTAGGA:22.00:50.00:OK:6:1816.25:</t>
  </si>
  <si>
    <t>&gt;1834:CTAGGC:20.00:66.67:Warning:6:1792.22:</t>
  </si>
  <si>
    <t>&gt;1835:CTAGGG:20.00:66.67:Warning:6:1832.25:</t>
  </si>
  <si>
    <t>&gt;1836:CTAGGT:14.00:50.00:OK:6:1807.23:</t>
  </si>
  <si>
    <t>&gt;1837:CTAGTA:16.00:33.33:OK:6:1791.23:</t>
  </si>
  <si>
    <t>&gt;1838:CTAGTC:14.00:50.00:OK:6:1767.20:</t>
  </si>
  <si>
    <t>&gt;1839:CTAGTG:14.00:50.00:OK:6:1807.23:</t>
  </si>
  <si>
    <t>&gt;1840:CTAGTT:8.00:33.33:OK:6:1782.21:</t>
  </si>
  <si>
    <t>&gt;1841:CTATAA:18.00:16.67:OK:6:1775.23:</t>
  </si>
  <si>
    <t>&gt;1842:CTATAC:16.00:33.33:OK:6:1751.20:</t>
  </si>
  <si>
    <t>&gt;1843:CTATAG:16.00:33.33:OK:6:1791.23:</t>
  </si>
  <si>
    <t>&gt;1844:CTATAT:10.00:16.67:OK:6:1766.21:</t>
  </si>
  <si>
    <t>&gt;1845:CTATCA:16.00:33.33:OK:6:1751.20:</t>
  </si>
  <si>
    <t>&gt;1846:CTATCC:14.00:50.00:OK:6:1727.17:</t>
  </si>
  <si>
    <t>&gt;1847:CTATCG:14.00:50.00:OK:6:1767.20:</t>
  </si>
  <si>
    <t>&gt;1848:CTATCT:8.00:33.33:OK:6:1742.18:</t>
  </si>
  <si>
    <t>&gt;1849:CTATGA:16.00:33.33:OK:6:1791.23:</t>
  </si>
  <si>
    <t>&gt;1850:CTATGC:14.00:50.00:OK:6:1767.20:</t>
  </si>
  <si>
    <t>&gt;1851:CTATGG:14.00:50.00:OK:6:1807.23:</t>
  </si>
  <si>
    <t>&gt;1852:CTATGT:8.00:33.33:OK:6:1782.21:</t>
  </si>
  <si>
    <t>&gt;1853:CTATTA:10.00:16.67:OK:6:1766.21:</t>
  </si>
  <si>
    <t>&gt;1854:CTATTC:8.00:33.33:OK:6:1742.18:</t>
  </si>
  <si>
    <t>&gt;1855:CTATTG:8.00:33.33:OK:6:1782.21:</t>
  </si>
  <si>
    <t>&gt;1856:CTATTT:2.00:16.67:OK:6:1757.19:</t>
  </si>
  <si>
    <t>&gt;1857:CTCAAA:24.00:33.33:OK:6:1760.22:</t>
  </si>
  <si>
    <t>&gt;1858:CTCAAC:22.00:50.00:OK:6:1736.19:</t>
  </si>
  <si>
    <t>&gt;1859:CTCAAG:22.00:50.00:OK:6:1776.22:</t>
  </si>
  <si>
    <t>&gt;1860:CTCAAT:16.00:33.33:OK:6:1751.20:</t>
  </si>
  <si>
    <t>&gt;1861:CTCACA:22.00:50.00:OK:6:1736.19:</t>
  </si>
  <si>
    <t>&gt;1862:CTCACC:20.00:66.67:Warning:6:1712.16:</t>
  </si>
  <si>
    <t>&gt;1863:CTCACG:20.00:66.67:Warning:6:1752.19:</t>
  </si>
  <si>
    <t>&gt;1864:CTCACT:14.00:50.00:OK:6:1727.17:</t>
  </si>
  <si>
    <t>&gt;1865:CTCAGA:22.00:50.00:OK:6:1776.22:</t>
  </si>
  <si>
    <t>&gt;1866:CTCAGC:20.00:66.67:Warning:6:1752.19:</t>
  </si>
  <si>
    <t>&gt;1867:CTCAGG:20.00:66.67:Warning:6:1792.22:</t>
  </si>
  <si>
    <t>&gt;1868:CTCAGT:14.00:50.00:OK:6:1767.20:</t>
  </si>
  <si>
    <t>&gt;1869:CTCATA:16.00:33.33:OK:6:1751.20:</t>
  </si>
  <si>
    <t>&gt;1870:CTCATC:14.00:50.00:OK:6:1727.17:</t>
  </si>
  <si>
    <t>&gt;1871:CTCATG:14.00:50.00:OK:6:1767.20:</t>
  </si>
  <si>
    <t>&gt;1872:CTCATT:8.00:33.33:OK:6:1742.18:</t>
  </si>
  <si>
    <t>&gt;1873:CTCCAA:22.00:50.00:OK:6:1736.19:</t>
  </si>
  <si>
    <t>&gt;1874:CTCCAC:20.00:66.67:Warning:6:1712.16:</t>
  </si>
  <si>
    <t>&gt;1875:CTCCAG:20.00:66.67:Warning:6:1752.19:</t>
  </si>
  <si>
    <t>&gt;1876:CTCCAT:14.00:50.00:OK:6:1727.17:</t>
  </si>
  <si>
    <t>&gt;1877:CTCCCA:20.00:66.67:Warning:6:1712.16:</t>
  </si>
  <si>
    <t>&gt;1878:CTCCCC:18.00:83.33:Warning:6:1688.13:</t>
  </si>
  <si>
    <t>&gt;1879:CTCCCG:18.00:83.33:Warning:6:1728.16:</t>
  </si>
  <si>
    <t>&gt;1880:CTCCCT:12.00:66.67:Warning:6:1703.14:</t>
  </si>
  <si>
    <t>&gt;1881:CTCCGA:20.00:66.67:Warning:6:1752.19:</t>
  </si>
  <si>
    <t>&gt;1882:CTCCGC:18.00:83.33:Warning:6:1728.16:</t>
  </si>
  <si>
    <t>&gt;1883:CTCCGG:18.00:83.33:Warning:6:1768.19:</t>
  </si>
  <si>
    <t>&gt;1884:CTCCGT:12.00:66.67:Warning:6:1743.17:</t>
  </si>
  <si>
    <t>&gt;1885:CTCCTA:14.00:50.00:OK:6:1727.17:</t>
  </si>
  <si>
    <t>&gt;1886:CTCCTC:12.00:66.67:Warning:6:1703.14:</t>
  </si>
  <si>
    <t>&gt;1887:CTCCTG:12.00:66.67:Warning:6:1743.17:</t>
  </si>
  <si>
    <t>&gt;1888:CTCCTT:6.00:50.00:OK:6:1718.15:</t>
  </si>
  <si>
    <t>&gt;1889:CTCGAA:22.00:50.00:OK:6:1776.22:</t>
  </si>
  <si>
    <t>&gt;1890:CTCGAC:20.00:66.67:Warning:6:1752.19:</t>
  </si>
  <si>
    <t>&gt;1891:CTCGAG:20.00:66.67:Warning:6:1792.22:</t>
  </si>
  <si>
    <t>&gt;1892:CTCGAT:14.00:50.00:OK:6:1767.20:</t>
  </si>
  <si>
    <t>&gt;1893:CTCGCA:20.00:66.67:Warning:6:1752.19:</t>
  </si>
  <si>
    <t>&gt;1894:CTCGCC:18.00:83.33:Warning:6:1728.16:</t>
  </si>
  <si>
    <t>&gt;1895:CTCGCG:18.00:83.33:Warning:6:1768.19:</t>
  </si>
  <si>
    <t>&gt;1896:CTCGCT:12.00:66.67:Warning:6:1743.17:</t>
  </si>
  <si>
    <t>&gt;1897:CTCGGA:20.00:66.67:Warning:6:1792.22:</t>
  </si>
  <si>
    <t>&gt;1898:CTCGGC:18.00:83.33:Warning:6:1768.19:</t>
  </si>
  <si>
    <t>&gt;1899:CTCGGG:18.00:83.33:Warning:6:1808.22:</t>
  </si>
  <si>
    <t>&gt;1900:CTCGGT:12.00:66.67:Warning:6:1783.20:</t>
  </si>
  <si>
    <t>&gt;1901:CTCGTA:14.00:50.00:OK:6:1767.20:</t>
  </si>
  <si>
    <t>&gt;1902:CTCGTC:12.00:66.67:Warning:6:1743.17:</t>
  </si>
  <si>
    <t>&gt;1903:CTCGTG:12.00:66.67:Warning:6:1783.20:</t>
  </si>
  <si>
    <t>&gt;1904:CTCGTT:6.00:50.00:OK:6:1758.18:</t>
  </si>
  <si>
    <t>&gt;1905:CTCTAA:16.00:33.33:OK:6:1751.20:</t>
  </si>
  <si>
    <t>&gt;1906:CTCTAC:14.00:50.00:OK:6:1727.17:</t>
  </si>
  <si>
    <t>&gt;1907:CTCTAG:14.00:50.00:OK:6:1767.20:</t>
  </si>
  <si>
    <t>&gt;1908:CTCTAT:8.00:33.33:OK:6:1742.18:</t>
  </si>
  <si>
    <t>&gt;1909:CTCTCA:14.00:50.00:OK:6:1727.17:</t>
  </si>
  <si>
    <t>&gt;1910:CTCTCC:12.00:66.67:Warning:6:1703.14:</t>
  </si>
  <si>
    <t>&gt;1911:CTCTCG:12.00:66.67:Warning:6:1743.17:</t>
  </si>
  <si>
    <t>&gt;1912:CTCTCT:6.00:50.00:OK:6:1718.15:</t>
  </si>
  <si>
    <t>&gt;1913:CTCTGA:14.00:50.00:OK:6:1767.20:</t>
  </si>
  <si>
    <t>&gt;1914:CTCTGC:12.00:66.67:Warning:6:1743.17:</t>
  </si>
  <si>
    <t>&gt;1915:CTCTGG:12.00:66.67:Warning:6:1783.20:</t>
  </si>
  <si>
    <t>&gt;1916:CTCTGT:6.00:50.00:OK:6:1758.18:</t>
  </si>
  <si>
    <t>&gt;1917:CTCTTA:8.00:33.33:OK:6:1742.18:</t>
  </si>
  <si>
    <t>&gt;1918:CTCTTC:6.00:50.00:OK:6:1718.15:</t>
  </si>
  <si>
    <t>&gt;1919:CTCTTG:6.00:50.00:OK:6:1758.18:</t>
  </si>
  <si>
    <t>&gt;1920:CTCTTT:0.00:33.33:OK:6:1733.16:</t>
  </si>
  <si>
    <t>&gt;1921:CTGAAA:24.00:33.33:OK:6:1800.25:</t>
  </si>
  <si>
    <t>&gt;1922:CTGAAC:22.00:50.00:OK:6:1776.22:</t>
  </si>
  <si>
    <t>&gt;1923:CTGAAG:22.00:50.00:OK:6:1816.25:</t>
  </si>
  <si>
    <t>&gt;1924:CTGAAT:16.00:33.33:OK:6:1791.23:</t>
  </si>
  <si>
    <t>&gt;1925:CTGACA:22.00:50.00:OK:6:1776.22:</t>
  </si>
  <si>
    <t>&gt;1926:CTGACC:20.00:66.67:Warning:6:1752.19:</t>
  </si>
  <si>
    <t>&gt;1927:CTGACG:20.00:66.67:Warning:6:1792.22:</t>
  </si>
  <si>
    <t>&gt;1928:CTGACT:14.00:50.00:OK:6:1767.20:</t>
  </si>
  <si>
    <t>&gt;1929:CTGAGA:22.00:50.00:OK:6:1816.25:</t>
  </si>
  <si>
    <t>&gt;1930:CTGAGC:20.00:66.67:Warning:6:1792.22:</t>
  </si>
  <si>
    <t>&gt;1931:CTGAGG:20.00:66.67:Warning:6:1832.25:</t>
  </si>
  <si>
    <t>&gt;1932:CTGAGT:14.00:50.00:OK:6:1807.23:</t>
  </si>
  <si>
    <t>&gt;1933:CTGATA:16.00:33.33:OK:6:1791.23:</t>
  </si>
  <si>
    <t>&gt;1934:CTGATC:14.00:50.00:OK:6:1767.20:</t>
  </si>
  <si>
    <t>&gt;1935:CTGATG:14.00:50.00:OK:6:1807.23:</t>
  </si>
  <si>
    <t>&gt;1936:CTGATT:8.00:33.33:OK:6:1782.21:</t>
  </si>
  <si>
    <t>&gt;1937:CTGCAA:22.00:50.00:OK:6:1776.22:</t>
  </si>
  <si>
    <t>&gt;1938:CTGCAC:20.00:66.67:Warning:6:1752.19:</t>
  </si>
  <si>
    <t>&gt;1939:CTGCAG:20.00:66.67:Warning:6:1792.22:</t>
  </si>
  <si>
    <t>&gt;1940:CTGCAT:14.00:50.00:OK:6:1767.20:</t>
  </si>
  <si>
    <t>&gt;1941:CTGCCA:20.00:66.67:Warning:6:1752.19:</t>
  </si>
  <si>
    <t>&gt;1942:CTGCCC:18.00:83.33:Warning:6:1728.16:</t>
  </si>
  <si>
    <t>&gt;1943:CTGCCG:18.00:83.33:Warning:6:1768.19:</t>
  </si>
  <si>
    <t>&gt;1944:CTGCCT:12.00:66.67:Warning:6:1743.17:</t>
  </si>
  <si>
    <t>&gt;1945:CTGCGA:20.00:66.67:Warning:6:1792.22:</t>
  </si>
  <si>
    <t>&gt;1946:CTGCGC:18.00:83.33:Warning:6:1768.19:</t>
  </si>
  <si>
    <t>&gt;1947:CTGCGG:18.00:83.33:Warning:6:1808.22:</t>
  </si>
  <si>
    <t>&gt;1948:CTGCGT:12.00:66.67:Warning:6:1783.20:</t>
  </si>
  <si>
    <t>&gt;1949:CTGCTA:14.00:50.00:OK:6:1767.20:</t>
  </si>
  <si>
    <t>&gt;1950:CTGCTC:12.00:66.67:Warning:6:1743.17:</t>
  </si>
  <si>
    <t>&gt;1951:CTGCTG:12.00:66.67:Warning:6:1783.20:</t>
  </si>
  <si>
    <t>&gt;1952:CTGCTT:6.00:50.00:OK:6:1758.18:</t>
  </si>
  <si>
    <t>&gt;1953:CTGGAA:22.00:50.00:OK:6:1816.25:</t>
  </si>
  <si>
    <t>&gt;1954:CTGGAC:20.00:66.67:Warning:6:1792.22:</t>
  </si>
  <si>
    <t>&gt;1955:CTGGAG:20.00:66.67:Warning:6:1832.25:</t>
  </si>
  <si>
    <t>&gt;1956:CTGGAT:14.00:50.00:OK:6:1807.23:</t>
  </si>
  <si>
    <t>&gt;1957:CTGGCA:20.00:66.67:Warning:6:1792.22:</t>
  </si>
  <si>
    <t>&gt;1958:CTGGCC:18.00:83.33:Warning:6:1768.19:</t>
  </si>
  <si>
    <t>&gt;1959:CTGGCG:18.00:83.33:Warning:6:1808.22:</t>
  </si>
  <si>
    <t>&gt;1960:CTGGCT:12.00:66.67:Warning:6:1783.20:</t>
  </si>
  <si>
    <t>&gt;1961:CTGGGA:20.00:66.67:Warning:6:1832.25:</t>
  </si>
  <si>
    <t>&gt;1962:CTGGGC:18.00:83.33:Warning:6:1808.22:</t>
  </si>
  <si>
    <t>&gt;1963:CTGGGG:18.00:83.33:Warning:6:1848.25:</t>
  </si>
  <si>
    <t>&gt;1964:CTGGGT:12.00:66.67:Warning:6:1823.23:</t>
  </si>
  <si>
    <t>&gt;1965:CTGGTA:14.00:50.00:OK:6:1807.23:</t>
  </si>
  <si>
    <t>&gt;1966:CTGGTC:12.00:66.67:Warning:6:1783.20:</t>
  </si>
  <si>
    <t>&gt;1967:CTGGTG:12.00:66.67:Warning:6:1823.23:</t>
  </si>
  <si>
    <t>&gt;1968:CTGGTT:6.00:50.00:OK:6:1798.21:</t>
  </si>
  <si>
    <t>&gt;1969:CTGTAA:16.00:33.33:OK:6:1791.23:</t>
  </si>
  <si>
    <t>&gt;1970:CTGTAC:14.00:50.00:OK:6:1767.20:</t>
  </si>
  <si>
    <t>&gt;1971:CTGTAG:14.00:50.00:OK:6:1807.23:</t>
  </si>
  <si>
    <t>&gt;1972:CTGTAT:8.00:33.33:OK:6:1782.21:</t>
  </si>
  <si>
    <t>&gt;1973:CTGTCA:14.00:50.00:OK:6:1767.20:</t>
  </si>
  <si>
    <t>&gt;1974:CTGTCC:12.00:66.67:Warning:6:1743.17:</t>
  </si>
  <si>
    <t>&gt;1975:CTGTCG:12.00:66.67:Warning:6:1783.20:</t>
  </si>
  <si>
    <t>&gt;1976:CTGTCT:6.00:50.00:OK:6:1758.18:</t>
  </si>
  <si>
    <t>&gt;1977:CTGTGA:14.00:50.00:OK:6:1807.23:</t>
  </si>
  <si>
    <t>&gt;1978:CTGTGC:12.00:66.67:Warning:6:1783.20:</t>
  </si>
  <si>
    <t>&gt;1979:CTGTGG:12.00:66.67:Warning:6:1823.23:</t>
  </si>
  <si>
    <t>&gt;1980:CTGTGT:6.00:50.00:OK:6:1798.21:</t>
  </si>
  <si>
    <t>&gt;1981:CTGTTA:8.00:33.33:OK:6:1782.21:</t>
  </si>
  <si>
    <t>&gt;1982:CTGTTC:6.00:50.00:OK:6:1758.18:</t>
  </si>
  <si>
    <t>&gt;1983:CTGTTG:6.00:50.00:OK:6:1798.21:</t>
  </si>
  <si>
    <t>&gt;1984:CTGTTT:0.00:33.33:OK:6:1773.19:</t>
  </si>
  <si>
    <t>&gt;1985:CTTAAA:18.00:16.67:OK:6:1775.23:</t>
  </si>
  <si>
    <t>&gt;1986:CTTAAC:16.00:33.33:OK:6:1751.20:</t>
  </si>
  <si>
    <t>&gt;1987:CTTAAG:16.00:33.33:OK:6:1791.23:</t>
  </si>
  <si>
    <t>&gt;1988:CTTAAT:10.00:16.67:OK:6:1766.21:</t>
  </si>
  <si>
    <t>&gt;1989:CTTACA:16.00:33.33:OK:6:1751.20:</t>
  </si>
  <si>
    <t>&gt;1990:CTTACC:14.00:50.00:OK:6:1727.17:</t>
  </si>
  <si>
    <t>&gt;1991:CTTACG:14.00:50.00:OK:6:1767.20:</t>
  </si>
  <si>
    <t>&gt;1992:CTTACT:8.00:33.33:OK:6:1742.18:</t>
  </si>
  <si>
    <t>&gt;1993:CTTAGA:16.00:33.33:OK:6:1791.23:</t>
  </si>
  <si>
    <t>&gt;1994:CTTAGC:14.00:50.00:OK:6:1767.20:</t>
  </si>
  <si>
    <t>&gt;1995:CTTAGG:14.00:50.00:OK:6:1807.23:</t>
  </si>
  <si>
    <t>&gt;1996:CTTAGT:8.00:33.33:OK:6:1782.21:</t>
  </si>
  <si>
    <t>&gt;1997:CTTATA:10.00:16.67:OK:6:1766.21:</t>
  </si>
  <si>
    <t>&gt;1998:CTTATC:8.00:33.33:OK:6:1742.18:</t>
  </si>
  <si>
    <t>&gt;1999:CTTATG:8.00:33.33:OK:6:1782.21:</t>
  </si>
  <si>
    <t>&gt;2000:CTTATT:2.00:16.67:OK:6:1757.19:</t>
  </si>
  <si>
    <t>&gt;2001:CTTCAA:16.00:33.33:OK:6:1751.20:</t>
  </si>
  <si>
    <t>&gt;2002:CTTCAC:14.00:50.00:OK:6:1727.17:</t>
  </si>
  <si>
    <t>&gt;2003:CTTCAG:14.00:50.00:OK:6:1767.20:</t>
  </si>
  <si>
    <t>&gt;2004:CTTCAT:8.00:33.33:OK:6:1742.18:</t>
  </si>
  <si>
    <t>&gt;2005:CTTCCA:14.00:50.00:OK:6:1727.17:</t>
  </si>
  <si>
    <t>&gt;2006:CTTCCC:12.00:66.67:Warning:6:1703.14:</t>
  </si>
  <si>
    <t>&gt;2007:CTTCCG:12.00:66.67:Warning:6:1743.17:</t>
  </si>
  <si>
    <t>&gt;2008:CTTCCT:6.00:50.00:OK:6:1718.15:</t>
  </si>
  <si>
    <t>&gt;2009:CTTCGA:14.00:50.00:OK:6:1767.20:</t>
  </si>
  <si>
    <t>&gt;2010:CTTCGC:12.00:66.67:Warning:6:1743.17:</t>
  </si>
  <si>
    <t>&gt;2011:CTTCGG:12.00:66.67:Warning:6:1783.20:</t>
  </si>
  <si>
    <t>&gt;2012:CTTCGT:6.00:50.00:OK:6:1758.18:</t>
  </si>
  <si>
    <t>&gt;2013:CTTCTA:8.00:33.33:OK:6:1742.18:</t>
  </si>
  <si>
    <t>&gt;2014:CTTCTC:6.00:50.00:OK:6:1718.15:</t>
  </si>
  <si>
    <t>&gt;2015:CTTCTG:6.00:50.00:OK:6:1758.18:</t>
  </si>
  <si>
    <t>&gt;2016:CTTCTT:0.00:33.33:OK:6:1733.16:</t>
  </si>
  <si>
    <t>&gt;2017:CTTGAA:16.00:33.33:OK:6:1791.23:</t>
  </si>
  <si>
    <t>&gt;2018:CTTGAC:14.00:50.00:OK:6:1767.20:</t>
  </si>
  <si>
    <t>&gt;2019:CTTGAG:14.00:50.00:OK:6:1807.23:</t>
  </si>
  <si>
    <t>&gt;2020:CTTGAT:8.00:33.33:OK:6:1782.21:</t>
  </si>
  <si>
    <t>&gt;2021:CTTGCA:14.00:50.00:OK:6:1767.20:</t>
  </si>
  <si>
    <t>&gt;2022:CTTGCC:12.00:66.67:Warning:6:1743.17:</t>
  </si>
  <si>
    <t>&gt;2023:CTTGCG:12.00:66.67:Warning:6:1783.20:</t>
  </si>
  <si>
    <t>&gt;2024:CTTGCT:6.00:50.00:OK:6:1758.18:</t>
  </si>
  <si>
    <t>&gt;2025:CTTGGA:14.00:50.00:OK:6:1807.23:</t>
  </si>
  <si>
    <t>&gt;2026:CTTGGC:12.00:66.67:Warning:6:1783.20:</t>
  </si>
  <si>
    <t>&gt;2027:CTTGGG:12.00:66.67:Warning:6:1823.23:</t>
  </si>
  <si>
    <t>&gt;2028:CTTGGT:6.00:50.00:OK:6:1798.21:</t>
  </si>
  <si>
    <t>&gt;2029:CTTGTA:8.00:33.33:OK:6:1782.21:</t>
  </si>
  <si>
    <t>&gt;2030:CTTGTC:6.00:50.00:OK:6:1758.18:</t>
  </si>
  <si>
    <t>&gt;2031:CTTGTG:6.00:50.00:OK:6:1798.21:</t>
  </si>
  <si>
    <t>&gt;2032:CTTGTT:0.00:33.33:OK:6:1773.19:</t>
  </si>
  <si>
    <t>&gt;2033:CTTTAA:10.00:16.67:OK:6:1766.21:</t>
  </si>
  <si>
    <t>&gt;2034:CTTTAC:8.00:33.33:OK:6:1742.18:</t>
  </si>
  <si>
    <t>&gt;2035:CTTTAG:8.00:33.33:OK:6:1782.21:</t>
  </si>
  <si>
    <t>&gt;2036:CTTTAT:2.00:16.67:OK:6:1757.19:</t>
  </si>
  <si>
    <t>&gt;2037:CTTTCA:8.00:33.33:OK:6:1742.18:</t>
  </si>
  <si>
    <t>&gt;2038:CTTTCC:6.00:50.00:OK:6:1718.15:</t>
  </si>
  <si>
    <t>&gt;2039:CTTTCG:6.00:50.00:OK:6:1758.18:</t>
  </si>
  <si>
    <t>&gt;2040:CTTTCT:0.00:33.33:OK:6:1733.16:</t>
  </si>
  <si>
    <t>&gt;2041:CTTTGA:8.00:33.33:OK:6:1782.21:</t>
  </si>
  <si>
    <t>&gt;2042:CTTTGC:6.00:50.00:OK:6:1758.18:</t>
  </si>
  <si>
    <t>&gt;2043:CTTTGG:6.00:50.00:OK:6:1798.21:</t>
  </si>
  <si>
    <t>&gt;2044:CTTTGT:0.00:33.33:OK:6:1773.19:</t>
  </si>
  <si>
    <t>&gt;2045:CTTTTA:2.00:16.67:OK:6:1757.19:</t>
  </si>
  <si>
    <t>&gt;2046:CTTTTC:0.00:33.33:OK:6:1733.16:</t>
  </si>
  <si>
    <t>&gt;2047:CTTTTG:0.00:33.33:OK:6:1773.19:</t>
  </si>
  <si>
    <t>&gt;2048:CTTTTT:-6.00:16.67:OK:6:1748.17:</t>
  </si>
  <si>
    <t>&gt;2049:GAAAAA:34.00:16.67:OK:6:1833.30:</t>
  </si>
  <si>
    <t>&gt;2050:GAAAAC:32.00:33.33:OK:6:1809.27:</t>
  </si>
  <si>
    <t>&gt;2051:GAAAAG:32.00:33.33:OK:6:1849.30:</t>
  </si>
  <si>
    <t>&gt;2052:GAAAAT:26.00:16.67:OK:6:1824.28:</t>
  </si>
  <si>
    <t>&gt;2053:GAAACA:32.00:33.33:OK:6:1809.27:</t>
  </si>
  <si>
    <t>&gt;2054:GAAACC:30.00:50.00:OK:6:1785.24:</t>
  </si>
  <si>
    <t>&gt;2055:GAAACG:30.00:50.00:OK:6:1825.27:</t>
  </si>
  <si>
    <t>&gt;2056:GAAACT:24.00:33.33:OK:6:1800.25:</t>
  </si>
  <si>
    <t>&gt;2057:GAAAGA:32.00:33.33:OK:6:1849.30:</t>
  </si>
  <si>
    <t>&gt;2058:GAAAGC:30.00:50.00:OK:6:1825.27:</t>
  </si>
  <si>
    <t>&gt;2059:GAAAGG:30.00:50.00:OK:6:1865.30:</t>
  </si>
  <si>
    <t>&gt;2060:GAAAGT:24.00:33.33:OK:6:1840.28:</t>
  </si>
  <si>
    <t>&gt;2061:GAAATA:26.00:16.67:OK:6:1824.28:</t>
  </si>
  <si>
    <t>&gt;2062:GAAATC:24.00:33.33:OK:6:1800.25:</t>
  </si>
  <si>
    <t>&gt;2063:GAAATG:24.00:33.33:OK:6:1840.28:</t>
  </si>
  <si>
    <t>&gt;2064:GAAATT:18.00:16.67:OK:6:1815.26:</t>
  </si>
  <si>
    <t>&gt;2065:GAACAA:32.00:33.33:OK:6:1809.27:</t>
  </si>
  <si>
    <t>&gt;2066:GAACAC:30.00:50.00:OK:6:1785.24:</t>
  </si>
  <si>
    <t>&gt;2067:GAACAG:30.00:50.00:OK:6:1825.27:</t>
  </si>
  <si>
    <t>&gt;2068:GAACAT:24.00:33.33:OK:6:1800.25:</t>
  </si>
  <si>
    <t>&gt;2069:GAACCA:30.00:50.00:OK:6:1785.24:</t>
  </si>
  <si>
    <t>&gt;2070:GAACCC:28.00:66.67:Warning:6:1761.21:</t>
  </si>
  <si>
    <t>&gt;2071:GAACCG:28.00:66.67:Warning:6:1801.24:</t>
  </si>
  <si>
    <t>&gt;2072:GAACCT:22.00:50.00:OK:6:1776.22:</t>
  </si>
  <si>
    <t>&gt;2073:GAACGA:30.00:50.00:OK:6:1825.27:</t>
  </si>
  <si>
    <t>&gt;2074:GAACGC:28.00:66.67:Warning:6:1801.24:</t>
  </si>
  <si>
    <t>&gt;2075:GAACGG:28.00:66.67:Warning:6:1841.27:</t>
  </si>
  <si>
    <t>&gt;2076:GAACGT:22.00:50.00:OK:6:1816.25:</t>
  </si>
  <si>
    <t>&gt;2077:GAACTA:24.00:33.33:OK:6:1800.25:</t>
  </si>
  <si>
    <t>&gt;2078:GAACTC:22.00:50.00:OK:6:1776.22:</t>
  </si>
  <si>
    <t>&gt;2079:GAACTG:22.00:50.00:OK:6:1816.25:</t>
  </si>
  <si>
    <t>&gt;2080:GAACTT:16.00:33.33:OK:6:1791.23:</t>
  </si>
  <si>
    <t>&gt;2081:GAAGAA:32.00:33.33:OK:6:1849.30:</t>
  </si>
  <si>
    <t>&gt;2082:GAAGAC:30.00:50.00:OK:6:1825.27:</t>
  </si>
  <si>
    <t>&gt;2083:GAAGAG:30.00:50.00:OK:6:1865.30:</t>
  </si>
  <si>
    <t>&gt;2084:GAAGAT:24.00:33.33:OK:6:1840.28:</t>
  </si>
  <si>
    <t>&gt;2085:GAAGCA:30.00:50.00:OK:6:1825.27:</t>
  </si>
  <si>
    <t>&gt;2086:GAAGCC:28.00:66.67:Warning:6:1801.24:</t>
  </si>
  <si>
    <t>&gt;2087:GAAGCG:28.00:66.67:Warning:6:1841.27:</t>
  </si>
  <si>
    <t>&gt;2088:GAAGCT:22.00:50.00:OK:6:1816.25:</t>
  </si>
  <si>
    <t>&gt;2089:GAAGGA:30.00:50.00:OK:6:1865.30:</t>
  </si>
  <si>
    <t>&gt;2090:GAAGGC:28.00:66.67:Warning:6:1841.27:</t>
  </si>
  <si>
    <t>&gt;2091:GAAGGG:28.00:66.67:Warning:6:1881.30:</t>
  </si>
  <si>
    <t>&gt;2092:GAAGGT:22.00:50.00:OK:6:1856.28:</t>
  </si>
  <si>
    <t>&gt;2093:GAAGTA:24.00:33.33:OK:6:1840.28:</t>
  </si>
  <si>
    <t>&gt;2094:GAAGTC:22.00:50.00:OK:6:1816.25:</t>
  </si>
  <si>
    <t>&gt;2095:GAAGTG:22.00:50.00:OK:6:1856.28:</t>
  </si>
  <si>
    <t>&gt;2096:GAAGTT:16.00:33.33:OK:6:1831.26:</t>
  </si>
  <si>
    <t>&gt;2097:GAATAA:26.00:16.67:OK:6:1824.28:</t>
  </si>
  <si>
    <t>&gt;2098:GAATAC:24.00:33.33:OK:6:1800.25:</t>
  </si>
  <si>
    <t>&gt;2099:GAATAG:24.00:33.33:OK:6:1840.28:</t>
  </si>
  <si>
    <t>&gt;2100:GAATAT:18.00:16.67:OK:6:1815.26:</t>
  </si>
  <si>
    <t>&gt;2101:GAATCA:24.00:33.33:OK:6:1800.25:</t>
  </si>
  <si>
    <t>&gt;2102:GAATCC:22.00:50.00:OK:6:1776.22:</t>
  </si>
  <si>
    <t>&gt;2103:GAATCG:22.00:50.00:OK:6:1816.25:</t>
  </si>
  <si>
    <t>&gt;2104:GAATCT:16.00:33.33:OK:6:1791.23:</t>
  </si>
  <si>
    <t>&gt;2105:GAATGA:24.00:33.33:OK:6:1840.28:</t>
  </si>
  <si>
    <t>&gt;2106:GAATGC:22.00:50.00:OK:6:1816.25:</t>
  </si>
  <si>
    <t>&gt;2107:GAATGG:22.00:50.00:OK:6:1856.28:</t>
  </si>
  <si>
    <t>&gt;2108:GAATGT:16.00:33.33:OK:6:1831.26:</t>
  </si>
  <si>
    <t>&gt;2109:GAATTA:18.00:16.67:OK:6:1815.26:</t>
  </si>
  <si>
    <t>&gt;2110:GAATTC:16.00:33.33:OK:6:1791.23:</t>
  </si>
  <si>
    <t>&gt;2111:GAATTG:16.00:33.33:OK:6:1831.26:</t>
  </si>
  <si>
    <t>&gt;2112:GAATTT:10.00:16.67:OK:6:1806.24:</t>
  </si>
  <si>
    <t>&gt;2113:GACAAA:32.00:33.33:OK:6:1809.27:</t>
  </si>
  <si>
    <t>&gt;2114:GACAAC:30.00:50.00:OK:6:1785.24:</t>
  </si>
  <si>
    <t>&gt;2115:GACAAG:30.00:50.00:OK:6:1825.27:</t>
  </si>
  <si>
    <t>&gt;2116:GACAAT:24.00:33.33:OK:6:1800.25:</t>
  </si>
  <si>
    <t>&gt;2117:GACACA:30.00:50.00:OK:6:1785.24:</t>
  </si>
  <si>
    <t>&gt;2118:GACACC:28.00:66.67:Warning:6:1761.21:</t>
  </si>
  <si>
    <t>&gt;2119:GACACG:28.00:66.67:Warning:6:1801.24:</t>
  </si>
  <si>
    <t>&gt;2120:GACACT:22.00:50.00:OK:6:1776.22:</t>
  </si>
  <si>
    <t>&gt;2121:GACAGA:30.00:50.00:OK:6:1825.27:</t>
  </si>
  <si>
    <t>&gt;2122:GACAGC:28.00:66.67:Warning:6:1801.24:</t>
  </si>
  <si>
    <t>&gt;2123:GACAGG:28.00:66.67:Warning:6:1841.27:</t>
  </si>
  <si>
    <t>&gt;2124:GACAGT:22.00:50.00:OK:6:1816.25:</t>
  </si>
  <si>
    <t>&gt;2125:GACATA:24.00:33.33:OK:6:1800.25:</t>
  </si>
  <si>
    <t>&gt;2126:GACATC:22.00:50.00:OK:6:1776.22:</t>
  </si>
  <si>
    <t>&gt;2127:GACATG:22.00:50.00:OK:6:1816.25:</t>
  </si>
  <si>
    <t>&gt;2128:GACATT:16.00:33.33:OK:6:1791.23:</t>
  </si>
  <si>
    <t>&gt;2129:GACCAA:30.00:50.00:OK:6:1785.24:</t>
  </si>
  <si>
    <t>&gt;2130:GACCAC:28.00:66.67:Warning:6:1761.21:</t>
  </si>
  <si>
    <t>&gt;2131:GACCAG:28.00:66.67:Warning:6:1801.24:</t>
  </si>
  <si>
    <t>&gt;2132:GACCAT:22.00:50.00:OK:6:1776.22:</t>
  </si>
  <si>
    <t>&gt;2133:GACCCA:28.00:66.67:Warning:6:1761.21:</t>
  </si>
  <si>
    <t>&gt;2134:GACCCC:26.00:83.33:Warning:6:1737.18:</t>
  </si>
  <si>
    <t>&gt;2135:GACCCG:26.00:83.33:Warning:6:1777.21:</t>
  </si>
  <si>
    <t>&gt;2136:GACCCT:20.00:66.67:Warning:6:1752.19:</t>
  </si>
  <si>
    <t>&gt;2137:GACCGA:28.00:66.67:Warning:6:1801.24:</t>
  </si>
  <si>
    <t>&gt;2138:GACCGC:26.00:83.33:Warning:6:1777.21:</t>
  </si>
  <si>
    <t>&gt;2139:GACCGG:26.00:83.33:Warning:6:1817.24:</t>
  </si>
  <si>
    <t>&gt;2140:GACCGT:20.00:66.67:Warning:6:1792.22:</t>
  </si>
  <si>
    <t>&gt;2141:GACCTA:22.00:50.00:OK:6:1776.22:</t>
  </si>
  <si>
    <t>&gt;2142:GACCTC:20.00:66.67:Warning:6:1752.19:</t>
  </si>
  <si>
    <t>&gt;2143:GACCTG:20.00:66.67:Warning:6:1792.22:</t>
  </si>
  <si>
    <t>&gt;2144:GACCTT:14.00:50.00:OK:6:1767.20:</t>
  </si>
  <si>
    <t>&gt;2145:GACGAA:30.00:50.00:OK:6:1825.27:</t>
  </si>
  <si>
    <t>&gt;2146:GACGAC:28.00:66.67:Warning:6:1801.24:</t>
  </si>
  <si>
    <t>&gt;2147:GACGAG:28.00:66.67:Warning:6:1841.27:</t>
  </si>
  <si>
    <t>&gt;2148:GACGAT:22.00:50.00:OK:6:1816.25:</t>
  </si>
  <si>
    <t>&gt;2149:GACGCA:28.00:66.67:Warning:6:1801.24:</t>
  </si>
  <si>
    <t>&gt;2150:GACGCC:26.00:83.33:Warning:6:1777.21:</t>
  </si>
  <si>
    <t>&gt;2151:GACGCG:26.00:83.33:Warning:6:1817.24:</t>
  </si>
  <si>
    <t>&gt;2152:GACGCT:20.00:66.67:Warning:6:1792.22:</t>
  </si>
  <si>
    <t>&gt;2153:GACGGA:28.00:66.67:Warning:6:1841.27:</t>
  </si>
  <si>
    <t>&gt;2154:GACGGC:26.00:83.33:Warning:6:1817.24:</t>
  </si>
  <si>
    <t>&gt;2155:GACGGG:26.00:83.33:Warning:6:1857.27:</t>
  </si>
  <si>
    <t>&gt;2156:GACGGT:20.00:66.67:Warning:6:1832.25:</t>
  </si>
  <si>
    <t>&gt;2157:GACGTA:22.00:50.00:OK:6:1816.25:</t>
  </si>
  <si>
    <t>&gt;2158:GACGTC:20.00:66.67:Warning:6:1792.22:</t>
  </si>
  <si>
    <t>&gt;2159:GACGTG:20.00:66.67:Warning:6:1832.25:</t>
  </si>
  <si>
    <t>&gt;2160:GACGTT:14.00:50.00:OK:6:1807.23:</t>
  </si>
  <si>
    <t>&gt;2161:GACTAA:24.00:33.33:OK:6:1800.25:</t>
  </si>
  <si>
    <t>&gt;2162:GACTAC:22.00:50.00:OK:6:1776.22:</t>
  </si>
  <si>
    <t>&gt;2163:GACTAG:22.00:50.00:OK:6:1816.25:</t>
  </si>
  <si>
    <t>&gt;2164:GACTAT:16.00:33.33:OK:6:1791.23:</t>
  </si>
  <si>
    <t>&gt;2165:GACTCA:22.00:50.00:OK:6:1776.22:</t>
  </si>
  <si>
    <t>&gt;2166:GACTCC:20.00:66.67:Warning:6:1752.19:</t>
  </si>
  <si>
    <t>&gt;2167:GACTCG:20.00:66.67:Warning:6:1792.22:</t>
  </si>
  <si>
    <t>&gt;2168:GACTCT:14.00:50.00:OK:6:1767.20:</t>
  </si>
  <si>
    <t>&gt;2169:GACTGA:22.00:50.00:OK:6:1816.25:</t>
  </si>
  <si>
    <t>&gt;2170:GACTGC:20.00:66.67:Warning:6:1792.22:</t>
  </si>
  <si>
    <t>&gt;2171:GACTGG:20.00:66.67:Warning:6:1832.25:</t>
  </si>
  <si>
    <t>&gt;2172:GACTGT:14.00:50.00:OK:6:1807.23:</t>
  </si>
  <si>
    <t>&gt;2173:GACTTA:16.00:33.33:OK:6:1791.23:</t>
  </si>
  <si>
    <t>&gt;2174:GACTTC:14.00:50.00:OK:6:1767.20:</t>
  </si>
  <si>
    <t>&gt;2175:GACTTG:14.00:50.00:OK:6:1807.23:</t>
  </si>
  <si>
    <t>&gt;2176:GACTTT:8.00:33.33:OK:6:1782.21:</t>
  </si>
  <si>
    <t>&gt;2177:GAGAAA:32.00:33.33:OK:6:1849.30:</t>
  </si>
  <si>
    <t>&gt;2178:GAGAAC:30.00:50.00:OK:6:1825.27:</t>
  </si>
  <si>
    <t>&gt;2179:GAGAAG:30.00:50.00:OK:6:1865.30:</t>
  </si>
  <si>
    <t>&gt;2180:GAGAAT:24.00:33.33:OK:6:1840.28:</t>
  </si>
  <si>
    <t>&gt;2181:GAGACA:30.00:50.00:OK:6:1825.27:</t>
  </si>
  <si>
    <t>&gt;2182:GAGACC:28.00:66.67:Warning:6:1801.24:</t>
  </si>
  <si>
    <t>&gt;2183:GAGACG:28.00:66.67:Warning:6:1841.27:</t>
  </si>
  <si>
    <t>&gt;2184:GAGACT:22.00:50.00:OK:6:1816.25:</t>
  </si>
  <si>
    <t>&gt;2185:GAGAGA:30.00:50.00:OK:6:1865.30:</t>
  </si>
  <si>
    <t>&gt;2186:GAGAGC:28.00:66.67:Warning:6:1841.27:</t>
  </si>
  <si>
    <t>&gt;2187:GAGAGG:28.00:66.67:Warning:6:1881.30:</t>
  </si>
  <si>
    <t>&gt;2188:GAGAGT:22.00:50.00:OK:6:1856.28:</t>
  </si>
  <si>
    <t>&gt;2189:GAGATA:24.00:33.33:OK:6:1840.28:</t>
  </si>
  <si>
    <t>&gt;2190:GAGATC:22.00:50.00:OK:6:1816.25:</t>
  </si>
  <si>
    <t>&gt;2191:GAGATG:22.00:50.00:OK:6:1856.28:</t>
  </si>
  <si>
    <t>&gt;2192:GAGATT:16.00:33.33:OK:6:1831.26:</t>
  </si>
  <si>
    <t>&gt;2193:GAGCAA:30.00:50.00:OK:6:1825.27:</t>
  </si>
  <si>
    <t>&gt;2194:GAGCAC:28.00:66.67:Warning:6:1801.24:</t>
  </si>
  <si>
    <t>&gt;2195:GAGCAG:28.00:66.67:Warning:6:1841.27:</t>
  </si>
  <si>
    <t>&gt;2196:GAGCAT:22.00:50.00:OK:6:1816.25:</t>
  </si>
  <si>
    <t>&gt;2197:GAGCCA:28.00:66.67:Warning:6:1801.24:</t>
  </si>
  <si>
    <t>&gt;2198:GAGCCC:26.00:83.33:Warning:6:1777.21:</t>
  </si>
  <si>
    <t>&gt;2199:GAGCCG:26.00:83.33:Warning:6:1817.24:</t>
  </si>
  <si>
    <t>&gt;2200:GAGCCT:20.00:66.67:Warning:6:1792.22:</t>
  </si>
  <si>
    <t>&gt;2201:GAGCGA:28.00:66.67:Warning:6:1841.27:</t>
  </si>
  <si>
    <t>&gt;2202:GAGCGC:26.00:83.33:Warning:6:1817.24:</t>
  </si>
  <si>
    <t>&gt;2203:GAGCGG:26.00:83.33:Warning:6:1857.27:</t>
  </si>
  <si>
    <t>&gt;2204:GAGCGT:20.00:66.67:Warning:6:1832.25:</t>
  </si>
  <si>
    <t>&gt;2205:GAGCTA:22.00:50.00:OK:6:1816.25:</t>
  </si>
  <si>
    <t>&gt;2206:GAGCTC:20.00:66.67:Warning:6:1792.22:</t>
  </si>
  <si>
    <t>&gt;2207:GAGCTG:20.00:66.67:Warning:6:1832.25:</t>
  </si>
  <si>
    <t>&gt;2208:GAGCTT:14.00:50.00:OK:6:1807.23:</t>
  </si>
  <si>
    <t>&gt;2209:GAGGAA:30.00:50.00:OK:6:1865.30:</t>
  </si>
  <si>
    <t>&gt;2210:GAGGAC:28.00:66.67:Warning:6:1841.27:</t>
  </si>
  <si>
    <t>&gt;2211:GAGGAG:28.00:66.67:Warning:6:1881.30:</t>
  </si>
  <si>
    <t>&gt;2212:GAGGAT:22.00:50.00:OK:6:1856.28:</t>
  </si>
  <si>
    <t>&gt;2213:GAGGCA:28.00:66.67:Warning:6:1841.27:</t>
  </si>
  <si>
    <t>&gt;2214:GAGGCC:26.00:83.33:Warning:6:1817.24:</t>
  </si>
  <si>
    <t>&gt;2215:GAGGCG:26.00:83.33:Warning:6:1857.27:</t>
  </si>
  <si>
    <t>&gt;2216:GAGGCT:20.00:66.67:Warning:6:1832.25:</t>
  </si>
  <si>
    <t>&gt;2217:GAGGGA:28.00:66.67:Warning:6:1881.30:</t>
  </si>
  <si>
    <t>&gt;2218:GAGGGC:26.00:83.33:Warning:6:1857.27:</t>
  </si>
  <si>
    <t>&gt;2219:GAGGGG:26.00:83.33:Warning:6:1897.30:</t>
  </si>
  <si>
    <t>&gt;2220:GAGGGT:20.00:66.67:Warning:6:1872.28:</t>
  </si>
  <si>
    <t>&gt;2221:GAGGTA:22.00:50.00:OK:6:1856.28:</t>
  </si>
  <si>
    <t>&gt;2222:GAGGTC:20.00:66.67:Warning:6:1832.25:</t>
  </si>
  <si>
    <t>&gt;2223:GAGGTG:20.00:66.67:Warning:6:1872.28:</t>
  </si>
  <si>
    <t>&gt;2224:GAGGTT:14.00:50.00:OK:6:1847.26:</t>
  </si>
  <si>
    <t>&gt;2225:GAGTAA:24.00:33.33:OK:6:1840.28:</t>
  </si>
  <si>
    <t>&gt;2226:GAGTAC:22.00:50.00:OK:6:1816.25:</t>
  </si>
  <si>
    <t>&gt;2227:GAGTAG:22.00:50.00:OK:6:1856.28:</t>
  </si>
  <si>
    <t>&gt;2228:GAGTAT:16.00:33.33:OK:6:1831.26:</t>
  </si>
  <si>
    <t>&gt;2229:GAGTCA:22.00:50.00:OK:6:1816.25:</t>
  </si>
  <si>
    <t>&gt;2230:GAGTCC:20.00:66.67:Warning:6:1792.22:</t>
  </si>
  <si>
    <t>&gt;2231:GAGTCG:20.00:66.67:Warning:6:1832.25:</t>
  </si>
  <si>
    <t>&gt;2232:GAGTCT:14.00:50.00:OK:6:1807.23:</t>
  </si>
  <si>
    <t>&gt;2233:GAGTGA:22.00:50.00:OK:6:1856.28:</t>
  </si>
  <si>
    <t>&gt;2234:GAGTGC:20.00:66.67:Warning:6:1832.25:</t>
  </si>
  <si>
    <t>&gt;2235:GAGTGG:20.00:66.67:Warning:6:1872.28:</t>
  </si>
  <si>
    <t>&gt;2236:GAGTGT:14.00:50.00:OK:6:1847.26:</t>
  </si>
  <si>
    <t>&gt;2237:GAGTTA:16.00:33.33:OK:6:1831.26:</t>
  </si>
  <si>
    <t>&gt;2238:GAGTTC:14.00:50.00:OK:6:1807.23:</t>
  </si>
  <si>
    <t>&gt;2239:GAGTTG:14.00:50.00:OK:6:1847.26:</t>
  </si>
  <si>
    <t>&gt;2240:GAGTTT:8.00:33.33:OK:6:1822.24:</t>
  </si>
  <si>
    <t>&gt;2241:GATAAA:26.00:16.67:OK:6:1824.28:</t>
  </si>
  <si>
    <t>&gt;2242:GATAAC:24.00:33.33:OK:6:1800.25:</t>
  </si>
  <si>
    <t>&gt;2243:GATAAG:24.00:33.33:OK:6:1840.28:</t>
  </si>
  <si>
    <t>&gt;2244:GATAAT:18.00:16.67:OK:6:1815.26:</t>
  </si>
  <si>
    <t>&gt;2245:GATACA:24.00:33.33:OK:6:1800.25:</t>
  </si>
  <si>
    <t>&gt;2246:GATACC:22.00:50.00:OK:6:1776.22:</t>
  </si>
  <si>
    <t>&gt;2247:GATACG:22.00:50.00:OK:6:1816.25:</t>
  </si>
  <si>
    <t>&gt;2248:GATACT:16.00:33.33:OK:6:1791.23:</t>
  </si>
  <si>
    <t>&gt;2249:GATAGA:24.00:33.33:OK:6:1840.28:</t>
  </si>
  <si>
    <t>&gt;2250:GATAGC:22.00:50.00:OK:6:1816.25:</t>
  </si>
  <si>
    <t>&gt;2251:GATAGG:22.00:50.00:OK:6:1856.28:</t>
  </si>
  <si>
    <t>&gt;2252:GATAGT:16.00:33.33:OK:6:1831.26:</t>
  </si>
  <si>
    <t>&gt;2253:GATATA:18.00:16.67:OK:6:1815.26:</t>
  </si>
  <si>
    <t>&gt;2254:GATATC:16.00:33.33:OK:6:1791.23:</t>
  </si>
  <si>
    <t>&gt;2255:GATATG:16.00:33.33:OK:6:1831.26:</t>
  </si>
  <si>
    <t>&gt;2256:GATATT:10.00:16.67:OK:6:1806.24:</t>
  </si>
  <si>
    <t>&gt;2257:GATCAA:24.00:33.33:OK:6:1800.25:</t>
  </si>
  <si>
    <t>&gt;2258:GATCAC:22.00:50.00:OK:6:1776.22:</t>
  </si>
  <si>
    <t>&gt;2259:GATCAG:22.00:50.00:OK:6:1816.25:</t>
  </si>
  <si>
    <t>&gt;2260:GATCAT:16.00:33.33:OK:6:1791.23:</t>
  </si>
  <si>
    <t>&gt;2261:GATCCA:22.00:50.00:OK:6:1776.22:</t>
  </si>
  <si>
    <t>&gt;2262:GATCCC:20.00:66.67:Warning:6:1752.19:</t>
  </si>
  <si>
    <t>&gt;2263:GATCCG:20.00:66.67:Warning:6:1792.22:</t>
  </si>
  <si>
    <t>&gt;2264:GATCCT:14.00:50.00:OK:6:1767.20:</t>
  </si>
  <si>
    <t>&gt;2265:GATCGA:22.00:50.00:OK:6:1816.25:</t>
  </si>
  <si>
    <t>&gt;2266:GATCGC:20.00:66.67:Warning:6:1792.22:</t>
  </si>
  <si>
    <t>&gt;2267:GATCGG:20.00:66.67:Warning:6:1832.25:</t>
  </si>
  <si>
    <t>&gt;2268:GATCGT:14.00:50.00:OK:6:1807.23:</t>
  </si>
  <si>
    <t>&gt;2269:GATCTA:16.00:33.33:OK:6:1791.23:</t>
  </si>
  <si>
    <t>&gt;2270:GATCTC:14.00:50.00:OK:6:1767.20:</t>
  </si>
  <si>
    <t>&gt;2271:GATCTG:14.00:50.00:OK:6:1807.23:</t>
  </si>
  <si>
    <t>&gt;2272:GATCTT:8.00:33.33:OK:6:1782.21:</t>
  </si>
  <si>
    <t>&gt;2273:GATGAA:24.00:33.33:OK:6:1840.28:</t>
  </si>
  <si>
    <t>&gt;2274:GATGAC:22.00:50.00:OK:6:1816.25:</t>
  </si>
  <si>
    <t>&gt;2275:GATGAG:22.00:50.00:OK:6:1856.28:</t>
  </si>
  <si>
    <t>&gt;2276:GATGAT:16.00:33.33:OK:6:1831.26:</t>
  </si>
  <si>
    <t>&gt;2277:GATGCA:22.00:50.00:OK:6:1816.25:</t>
  </si>
  <si>
    <t>&gt;2278:GATGCC:20.00:66.67:Warning:6:1792.22:</t>
  </si>
  <si>
    <t>&gt;2279:GATGCG:20.00:66.67:Warning:6:1832.25:</t>
  </si>
  <si>
    <t>&gt;2280:GATGCT:14.00:50.00:OK:6:1807.23:</t>
  </si>
  <si>
    <t>&gt;2281:GATGGA:22.00:50.00:OK:6:1856.28:</t>
  </si>
  <si>
    <t>&gt;2282:GATGGC:20.00:66.67:Warning:6:1832.25:</t>
  </si>
  <si>
    <t>&gt;2283:GATGGG:20.00:66.67:Warning:6:1872.28:</t>
  </si>
  <si>
    <t>&gt;2284:GATGGT:14.00:50.00:OK:6:1847.26:</t>
  </si>
  <si>
    <t>&gt;2285:GATGTA:16.00:33.33:OK:6:1831.26:</t>
  </si>
  <si>
    <t>&gt;2286:GATGTC:14.00:50.00:OK:6:1807.23:</t>
  </si>
  <si>
    <t>&gt;2287:GATGTG:14.00:50.00:OK:6:1847.26:</t>
  </si>
  <si>
    <t>&gt;2288:GATGTT:8.00:33.33:OK:6:1822.24:</t>
  </si>
  <si>
    <t>&gt;2289:GATTAA:18.00:16.67:OK:6:1815.26:</t>
  </si>
  <si>
    <t>&gt;2290:GATTAC:16.00:33.33:OK:6:1791.23:</t>
  </si>
  <si>
    <t>&gt;2291:GATTAG:16.00:33.33:OK:6:1831.26:</t>
  </si>
  <si>
    <t>&gt;2292:GATTAT:10.00:16.67:OK:6:1806.24:</t>
  </si>
  <si>
    <t>&gt;2293:GATTCA:16.00:33.33:OK:6:1791.23:</t>
  </si>
  <si>
    <t>&gt;2294:GATTCC:14.00:50.00:OK:6:1767.20:</t>
  </si>
  <si>
    <t>&gt;2295:GATTCG:14.00:50.00:OK:6:1807.23:</t>
  </si>
  <si>
    <t>&gt;2296:GATTCT:8.00:33.33:OK:6:1782.21:</t>
  </si>
  <si>
    <t>&gt;2297:GATTGA:16.00:33.33:OK:6:1831.26:</t>
  </si>
  <si>
    <t>&gt;2298:GATTGC:14.00:50.00:OK:6:1807.23:</t>
  </si>
  <si>
    <t>&gt;2299:GATTGG:14.00:50.00:OK:6:1847.26:</t>
  </si>
  <si>
    <t>&gt;2300:GATTGT:8.00:33.33:OK:6:1822.24:</t>
  </si>
  <si>
    <t>&gt;2301:GATTTA:10.00:16.67:OK:6:1806.24:</t>
  </si>
  <si>
    <t>&gt;2302:GATTTC:8.00:33.33:OK:6:1782.21:</t>
  </si>
  <si>
    <t>&gt;2303:GATTTG:8.00:33.33:OK:6:1822.24:</t>
  </si>
  <si>
    <t>&gt;2304:GATTTT:2.00:16.67:OK:6:1797.22:</t>
  </si>
  <si>
    <t>&gt;2305:GCAAAA:32.00:33.33:OK:6:1809.27:</t>
  </si>
  <si>
    <t>&gt;2306:GCAAAC:30.00:50.00:OK:6:1785.24:</t>
  </si>
  <si>
    <t>&gt;2307:GCAAAG:30.00:50.00:OK:6:1825.27:</t>
  </si>
  <si>
    <t>&gt;2308:GCAAAT:24.00:33.33:OK:6:1800.25:</t>
  </si>
  <si>
    <t>&gt;2309:GCAACA:30.00:50.00:OK:6:1785.24:</t>
  </si>
  <si>
    <t>&gt;2310:GCAACC:28.00:66.67:Warning:6:1761.21:</t>
  </si>
  <si>
    <t>&gt;2311:GCAACG:28.00:66.67:Warning:6:1801.24:</t>
  </si>
  <si>
    <t>&gt;2312:GCAACT:22.00:50.00:OK:6:1776.22:</t>
  </si>
  <si>
    <t>&gt;2313:GCAAGA:30.00:50.00:OK:6:1825.27:</t>
  </si>
  <si>
    <t>&gt;2314:GCAAGC:28.00:66.67:Warning:6:1801.24:</t>
  </si>
  <si>
    <t>&gt;2315:GCAAGG:28.00:66.67:Warning:6:1841.27:</t>
  </si>
  <si>
    <t>&gt;2316:GCAAGT:22.00:50.00:OK:6:1816.25:</t>
  </si>
  <si>
    <t>&gt;2317:GCAATA:24.00:33.33:OK:6:1800.25:</t>
  </si>
  <si>
    <t>&gt;2318:GCAATC:22.00:50.00:OK:6:1776.22:</t>
  </si>
  <si>
    <t>&gt;2319:GCAATG:22.00:50.00:OK:6:1816.25:</t>
  </si>
  <si>
    <t>&gt;2320:GCAATT:16.00:33.33:OK:6:1791.23:</t>
  </si>
  <si>
    <t>&gt;2321:GCACAA:30.00:50.00:OK:6:1785.24:</t>
  </si>
  <si>
    <t>&gt;2322:GCACAC:28.00:66.67:Warning:6:1761.21:</t>
  </si>
  <si>
    <t>&gt;2323:GCACAG:28.00:66.67:Warning:6:1801.24:</t>
  </si>
  <si>
    <t>&gt;2324:GCACAT:22.00:50.00:OK:6:1776.22:</t>
  </si>
  <si>
    <t>&gt;2325:GCACCA:28.00:66.67:Warning:6:1761.21:</t>
  </si>
  <si>
    <t>&gt;2326:GCACCC:26.00:83.33:Warning:6:1737.18:</t>
  </si>
  <si>
    <t>&gt;2327:GCACCG:26.00:83.33:Warning:6:1777.21:</t>
  </si>
  <si>
    <t>&gt;2328:GCACCT:20.00:66.67:Warning:6:1752.19:</t>
  </si>
  <si>
    <t>&gt;2329:GCACGA:28.00:66.67:Warning:6:1801.24:</t>
  </si>
  <si>
    <t>&gt;2330:GCACGC:26.00:83.33:Warning:6:1777.21:</t>
  </si>
  <si>
    <t>&gt;2331:GCACGG:26.00:83.33:Warning:6:1817.24:</t>
  </si>
  <si>
    <t>&gt;2332:GCACGT:20.00:66.67:Warning:6:1792.22:</t>
  </si>
  <si>
    <t>&gt;2333:GCACTA:22.00:50.00:OK:6:1776.22:</t>
  </si>
  <si>
    <t>&gt;2334:GCACTC:20.00:66.67:Warning:6:1752.19:</t>
  </si>
  <si>
    <t>&gt;2335:GCACTG:20.00:66.67:Warning:6:1792.22:</t>
  </si>
  <si>
    <t>&gt;2336:GCACTT:14.00:50.00:OK:6:1767.20:</t>
  </si>
  <si>
    <t>&gt;2337:GCAGAA:30.00:50.00:OK:6:1825.27:</t>
  </si>
  <si>
    <t>&gt;2338:GCAGAC:28.00:66.67:Warning:6:1801.24:</t>
  </si>
  <si>
    <t>&gt;2339:GCAGAG:28.00:66.67:Warning:6:1841.27:</t>
  </si>
  <si>
    <t>&gt;2340:GCAGAT:22.00:50.00:OK:6:1816.25:</t>
  </si>
  <si>
    <t>&gt;2341:GCAGCA:28.00:66.67:Warning:6:1801.24:</t>
  </si>
  <si>
    <t>&gt;2342:GCAGCC:26.00:83.33:Warning:6:1777.21:</t>
  </si>
  <si>
    <t>&gt;2343:GCAGCG:26.00:83.33:Warning:6:1817.24:</t>
  </si>
  <si>
    <t>&gt;2344:GCAGCT:20.00:66.67:Warning:6:1792.22:</t>
  </si>
  <si>
    <t>&gt;2345:GCAGGA:28.00:66.67:Warning:6:1841.27:</t>
  </si>
  <si>
    <t>&gt;2346:GCAGGC:26.00:83.33:Warning:6:1817.24:</t>
  </si>
  <si>
    <t>&gt;2347:GCAGGG:26.00:83.33:Warning:6:1857.27:</t>
  </si>
  <si>
    <t>&gt;2348:GCAGGT:20.00:66.67:Warning:6:1832.25:</t>
  </si>
  <si>
    <t>&gt;2349:GCAGTA:22.00:50.00:OK:6:1816.25:</t>
  </si>
  <si>
    <t>&gt;2350:GCAGTC:20.00:66.67:Warning:6:1792.22:</t>
  </si>
  <si>
    <t>&gt;2351:GCAGTG:20.00:66.67:Warning:6:1832.25:</t>
  </si>
  <si>
    <t>&gt;2352:GCAGTT:14.00:50.00:OK:6:1807.23:</t>
  </si>
  <si>
    <t>&gt;2353:GCATAA:24.00:33.33:OK:6:1800.25:</t>
  </si>
  <si>
    <t>&gt;2354:GCATAC:22.00:50.00:OK:6:1776.22:</t>
  </si>
  <si>
    <t>&gt;2355:GCATAG:22.00:50.00:OK:6:1816.25:</t>
  </si>
  <si>
    <t>&gt;2356:GCATAT:16.00:33.33:OK:6:1791.23:</t>
  </si>
  <si>
    <t>&gt;2357:GCATCA:22.00:50.00:OK:6:1776.22:</t>
  </si>
  <si>
    <t>&gt;2358:GCATCC:20.00:66.67:Warning:6:1752.19:</t>
  </si>
  <si>
    <t>&gt;2359:GCATCG:20.00:66.67:Warning:6:1792.22:</t>
  </si>
  <si>
    <t>&gt;2360:GCATCT:14.00:50.00:OK:6:1767.20:</t>
  </si>
  <si>
    <t>&gt;2361:GCATGA:22.00:50.00:OK:6:1816.25:</t>
  </si>
  <si>
    <t>&gt;2362:GCATGC:20.00:66.67:Warning:6:1792.22:</t>
  </si>
  <si>
    <t>&gt;2363:GCATGG:20.00:66.67:Warning:6:1832.25:</t>
  </si>
  <si>
    <t>&gt;2364:GCATGT:14.00:50.00:OK:6:1807.23:</t>
  </si>
  <si>
    <t>&gt;2365:GCATTA:16.00:33.33:OK:6:1791.23:</t>
  </si>
  <si>
    <t>&gt;2366:GCATTC:14.00:50.00:OK:6:1767.20:</t>
  </si>
  <si>
    <t>&gt;2367:GCATTG:14.00:50.00:OK:6:1807.23:</t>
  </si>
  <si>
    <t>&gt;2368:GCATTT:8.00:33.33:OK:6:1782.21:</t>
  </si>
  <si>
    <t>&gt;2369:GCCAAA:30.00:50.00:OK:6:1785.24:</t>
  </si>
  <si>
    <t>&gt;2370:GCCAAC:28.00:66.67:Warning:6:1761.21:</t>
  </si>
  <si>
    <t>&gt;2371:GCCAAG:28.00:66.67:Warning:6:1801.24:</t>
  </si>
  <si>
    <t>&gt;2372:GCCAAT:22.00:50.00:OK:6:1776.22:</t>
  </si>
  <si>
    <t>&gt;2373:GCCACA:28.00:66.67:Warning:6:1761.21:</t>
  </si>
  <si>
    <t>&gt;2374:GCCACC:26.00:83.33:Warning:6:1737.18:</t>
  </si>
  <si>
    <t>&gt;2375:GCCACG:26.00:83.33:Warning:6:1777.21:</t>
  </si>
  <si>
    <t>&gt;2376:GCCACT:20.00:66.67:Warning:6:1752.19:</t>
  </si>
  <si>
    <t>&gt;2377:GCCAGA:28.00:66.67:Warning:6:1801.24:</t>
  </si>
  <si>
    <t>&gt;2378:GCCAGC:26.00:83.33:Warning:6:1777.21:</t>
  </si>
  <si>
    <t>&gt;2379:GCCAGG:26.00:83.33:Warning:6:1817.24:</t>
  </si>
  <si>
    <t>&gt;2380:GCCAGT:20.00:66.67:Warning:6:1792.22:</t>
  </si>
  <si>
    <t>&gt;2381:GCCATA:22.00:50.00:OK:6:1776.22:</t>
  </si>
  <si>
    <t>&gt;2382:GCCATC:20.00:66.67:Warning:6:1752.19:</t>
  </si>
  <si>
    <t>&gt;2383:GCCATG:20.00:66.67:Warning:6:1792.22:</t>
  </si>
  <si>
    <t>&gt;2384:GCCATT:14.00:50.00:OK:6:1767.20:</t>
  </si>
  <si>
    <t>&gt;2385:GCCCAA:28.00:66.67:Warning:6:1761.21:</t>
  </si>
  <si>
    <t>&gt;2386:GCCCAC:26.00:83.33:Warning:6:1737.18:</t>
  </si>
  <si>
    <t>&gt;2387:GCCCAG:26.00:83.33:Warning:6:1777.21:</t>
  </si>
  <si>
    <t>&gt;2388:GCCCAT:20.00:66.67:Warning:6:1752.19:</t>
  </si>
  <si>
    <t>&gt;2389:GCCCCA:26.00:83.33:Warning:6:1737.18:</t>
  </si>
  <si>
    <t>&gt;2390:GCCCCC:24.00:100.00:Warning:6:1713.15:</t>
  </si>
  <si>
    <t>&gt;2391:GCCCCG:24.00:100.00:Warning:6:1753.18:</t>
  </si>
  <si>
    <t>&gt;2392:GCCCCT:18.00:83.33:Warning:6:1728.16:</t>
  </si>
  <si>
    <t>&gt;2393:GCCCGA:26.00:83.33:Warning:6:1777.21:</t>
  </si>
  <si>
    <t>&gt;2394:GCCCGC:24.00:100.00:Warning:6:1753.18:</t>
  </si>
  <si>
    <t>&gt;2395:GCCCGG:24.00:100.00:Warning:6:1793.21:</t>
  </si>
  <si>
    <t>&gt;2396:GCCCGT:18.00:83.33:Warning:6:1768.19:</t>
  </si>
  <si>
    <t>&gt;2397:GCCCTA:20.00:66.67:Warning:6:1752.19:</t>
  </si>
  <si>
    <t>&gt;2398:GCCCTC:18.00:83.33:Warning:6:1728.16:</t>
  </si>
  <si>
    <t>&gt;2399:GCCCTG:18.00:83.33:Warning:6:1768.19:</t>
  </si>
  <si>
    <t>&gt;2400:GCCCTT:12.00:66.67:Warning:6:1743.17:</t>
  </si>
  <si>
    <t>&gt;2401:GCCGAA:28.00:66.67:Warning:6:1801.24:</t>
  </si>
  <si>
    <t>&gt;2402:GCCGAC:26.00:83.33:Warning:6:1777.21:</t>
  </si>
  <si>
    <t>&gt;2403:GCCGAG:26.00:83.33:Warning:6:1817.24:</t>
  </si>
  <si>
    <t>&gt;2404:GCCGAT:20.00:66.67:Warning:6:1792.22:</t>
  </si>
  <si>
    <t>&gt;2405:GCCGCA:26.00:83.33:Warning:6:1777.21:</t>
  </si>
  <si>
    <t>&gt;2406:GCCGCC:24.00:100.00:Warning:6:1753.18:</t>
  </si>
  <si>
    <t>&gt;2407:GCCGCG:24.00:100.00:Warning:6:1793.21:</t>
  </si>
  <si>
    <t>&gt;2408:GCCGCT:18.00:83.33:Warning:6:1768.19:</t>
  </si>
  <si>
    <t>&gt;2409:GCCGGA:26.00:83.33:Warning:6:1817.24:</t>
  </si>
  <si>
    <t>&gt;2410:GCCGGC:24.00:100.00:Warning:6:1793.21:</t>
  </si>
  <si>
    <t>&gt;2411:GCCGGG:24.00:100.00:Warning:6:1833.24:</t>
  </si>
  <si>
    <t>&gt;2412:GCCGGT:18.00:83.33:Warning:6:1808.22:</t>
  </si>
  <si>
    <t>&gt;2413:GCCGTA:20.00:66.67:Warning:6:1792.22:</t>
  </si>
  <si>
    <t>&gt;2414:GCCGTC:18.00:83.33:Warning:6:1768.19:</t>
  </si>
  <si>
    <t>&gt;2415:GCCGTG:18.00:83.33:Warning:6:1808.22:</t>
  </si>
  <si>
    <t>&gt;2416:GCCGTT:12.00:66.67:Warning:6:1783.20:</t>
  </si>
  <si>
    <t>&gt;2417:GCCTAA:22.00:50.00:OK:6:1776.22:</t>
  </si>
  <si>
    <t>&gt;2418:GCCTAC:20.00:66.67:Warning:6:1752.19:</t>
  </si>
  <si>
    <t>&gt;2419:GCCTAG:20.00:66.67:Warning:6:1792.22:</t>
  </si>
  <si>
    <t>&gt;2420:GCCTAT:14.00:50.00:OK:6:1767.20:</t>
  </si>
  <si>
    <t>&gt;2421:GCCTCA:20.00:66.67:Warning:6:1752.19:</t>
  </si>
  <si>
    <t>&gt;2422:GCCTCC:18.00:83.33:Warning:6:1728.16:</t>
  </si>
  <si>
    <t>&gt;2423:GCCTCG:18.00:83.33:Warning:6:1768.19:</t>
  </si>
  <si>
    <t>&gt;2424:GCCTCT:12.00:66.67:Warning:6:1743.17:</t>
  </si>
  <si>
    <t>&gt;2425:GCCTGA:20.00:66.67:Warning:6:1792.22:</t>
  </si>
  <si>
    <t>&gt;2426:GCCTGC:18.00:83.33:Warning:6:1768.19:</t>
  </si>
  <si>
    <t>&gt;2427:GCCTGG:18.00:83.33:Warning:6:1808.22:</t>
  </si>
  <si>
    <t>&gt;2428:GCCTGT:12.00:66.67:Warning:6:1783.20:</t>
  </si>
  <si>
    <t>&gt;2429:GCCTTA:14.00:50.00:OK:6:1767.20:</t>
  </si>
  <si>
    <t>&gt;2430:GCCTTC:12.00:66.67:Warning:6:1743.17:</t>
  </si>
  <si>
    <t>&gt;2431:GCCTTG:12.00:66.67:Warning:6:1783.20:</t>
  </si>
  <si>
    <t>&gt;2432:GCCTTT:6.00:50.00:OK:6:1758.18:</t>
  </si>
  <si>
    <t>&gt;2433:GCGAAA:30.00:50.00:OK:6:1825.27:</t>
  </si>
  <si>
    <t>&gt;2434:GCGAAC:28.00:66.67:Warning:6:1801.24:</t>
  </si>
  <si>
    <t>&gt;2435:GCGAAG:28.00:66.67:Warning:6:1841.27:</t>
  </si>
  <si>
    <t>&gt;2436:GCGAAT:22.00:50.00:OK:6:1816.25:</t>
  </si>
  <si>
    <t>&gt;2437:GCGACA:28.00:66.67:Warning:6:1801.24:</t>
  </si>
  <si>
    <t>&gt;2438:GCGACC:26.00:83.33:Warning:6:1777.21:</t>
  </si>
  <si>
    <t>&gt;2439:GCGACG:26.00:83.33:Warning:6:1817.24:</t>
  </si>
  <si>
    <t>&gt;2440:GCGACT:20.00:66.67:Warning:6:1792.22:</t>
  </si>
  <si>
    <t>&gt;2441:GCGAGA:28.00:66.67:Warning:6:1841.27:</t>
  </si>
  <si>
    <t>&gt;2442:GCGAGC:26.00:83.33:Warning:6:1817.24:</t>
  </si>
  <si>
    <t>&gt;2443:GCGAGG:26.00:83.33:Warning:6:1857.27:</t>
  </si>
  <si>
    <t>&gt;2444:GCGAGT:20.00:66.67:Warning:6:1832.25:</t>
  </si>
  <si>
    <t>&gt;2445:GCGATA:22.00:50.00:OK:6:1816.25:</t>
  </si>
  <si>
    <t>&gt;2446:GCGATC:20.00:66.67:Warning:6:1792.22:</t>
  </si>
  <si>
    <t>&gt;2447:GCGATG:20.00:66.67:Warning:6:1832.25:</t>
  </si>
  <si>
    <t>&gt;2448:GCGATT:14.00:50.00:OK:6:1807.23:</t>
  </si>
  <si>
    <t>&gt;2449:GCGCAA:28.00:66.67:Warning:6:1801.24:</t>
  </si>
  <si>
    <t>&gt;2450:GCGCAC:26.00:83.33:Warning:6:1777.21:</t>
  </si>
  <si>
    <t>&gt;2451:GCGCAG:26.00:83.33:Warning:6:1817.24:</t>
  </si>
  <si>
    <t>&gt;2452:GCGCAT:20.00:66.67:Warning:6:1792.22:</t>
  </si>
  <si>
    <t>&gt;2453:GCGCCA:26.00:83.33:Warning:6:1777.21:</t>
  </si>
  <si>
    <t>&gt;2454:GCGCCC:24.00:100.00:Warning:6:1753.18:</t>
  </si>
  <si>
    <t>&gt;2455:GCGCCG:24.00:100.00:Warning:6:1793.21:</t>
  </si>
  <si>
    <t>&gt;2456:GCGCCT:18.00:83.33:Warning:6:1768.19:</t>
  </si>
  <si>
    <t>&gt;2457:GCGCGA:26.00:83.33:Warning:6:1817.24:</t>
  </si>
  <si>
    <t>&gt;2458:GCGCGC:24.00:100.00:Warning:6:1793.21:</t>
  </si>
  <si>
    <t>&gt;2459:GCGCGG:24.00:100.00:Warning:6:1833.24:</t>
  </si>
  <si>
    <t>&gt;2460:GCGCGT:18.00:83.33:Warning:6:1808.22:</t>
  </si>
  <si>
    <t>&gt;2461:GCGCTA:20.00:66.67:Warning:6:1792.22:</t>
  </si>
  <si>
    <t>&gt;2462:GCGCTC:18.00:83.33:Warning:6:1768.19:</t>
  </si>
  <si>
    <t>&gt;2463:GCGCTG:18.00:83.33:Warning:6:1808.22:</t>
  </si>
  <si>
    <t>&gt;2464:GCGCTT:12.00:66.67:Warning:6:1783.20:</t>
  </si>
  <si>
    <t>&gt;2465:GCGGAA:28.00:66.67:Warning:6:1841.27:</t>
  </si>
  <si>
    <t>&gt;2466:GCGGAC:26.00:83.33:Warning:6:1817.24:</t>
  </si>
  <si>
    <t>&gt;2467:GCGGAG:26.00:83.33:Warning:6:1857.27:</t>
  </si>
  <si>
    <t>&gt;2468:GCGGAT:20.00:66.67:Warning:6:1832.25:</t>
  </si>
  <si>
    <t>&gt;2469:GCGGCA:26.00:83.33:Warning:6:1817.24:</t>
  </si>
  <si>
    <t>&gt;2470:GCGGCC:24.00:100.00:Warning:6:1793.21:</t>
  </si>
  <si>
    <t>&gt;2471:GCGGCG:24.00:100.00:Warning:6:1833.24:</t>
  </si>
  <si>
    <t>&gt;2472:GCGGCT:18.00:83.33:Warning:6:1808.22:</t>
  </si>
  <si>
    <t>&gt;2473:GCGGGA:26.00:83.33:Warning:6:1857.27:</t>
  </si>
  <si>
    <t>&gt;2474:GCGGGC:24.00:100.00:Warning:6:1833.24:</t>
  </si>
  <si>
    <t>&gt;2475:GCGGGG:24.00:100.00:Warning:6:1873.27:</t>
  </si>
  <si>
    <t>&gt;2476:GCGGGT:18.00:83.33:Warning:6:1848.25:</t>
  </si>
  <si>
    <t>&gt;2477:GCGGTA:20.00:66.67:Warning:6:1832.25:</t>
  </si>
  <si>
    <t>&gt;2478:GCGGTC:18.00:83.33:Warning:6:1808.22:</t>
  </si>
  <si>
    <t>&gt;2479:GCGGTG:18.00:83.33:Warning:6:1848.25:</t>
  </si>
  <si>
    <t>&gt;2480:GCGGTT:12.00:66.67:Warning:6:1823.23:</t>
  </si>
  <si>
    <t>&gt;2481:GCGTAA:22.00:50.00:OK:6:1816.25:</t>
  </si>
  <si>
    <t>&gt;2482:GCGTAC:20.00:66.67:Warning:6:1792.22:</t>
  </si>
  <si>
    <t>&gt;2483:GCGTAG:20.00:66.67:Warning:6:1832.25:</t>
  </si>
  <si>
    <t>&gt;2484:GCGTAT:14.00:50.00:OK:6:1807.23:</t>
  </si>
  <si>
    <t>&gt;2485:GCGTCA:20.00:66.67:Warning:6:1792.22:</t>
  </si>
  <si>
    <t>&gt;2486:GCGTCC:18.00:83.33:Warning:6:1768.19:</t>
  </si>
  <si>
    <t>&gt;2487:GCGTCG:18.00:83.33:Warning:6:1808.22:</t>
  </si>
  <si>
    <t>&gt;2488:GCGTCT:12.00:66.67:Warning:6:1783.20:</t>
  </si>
  <si>
    <t>&gt;2489:GCGTGA:20.00:66.67:Warning:6:1832.25:</t>
  </si>
  <si>
    <t>&gt;2490:GCGTGC:18.00:83.33:Warning:6:1808.22:</t>
  </si>
  <si>
    <t>&gt;2491:GCGTGG:18.00:83.33:Warning:6:1848.25:</t>
  </si>
  <si>
    <t>&gt;2492:GCGTGT:12.00:66.67:Warning:6:1823.23:</t>
  </si>
  <si>
    <t>&gt;2493:GCGTTA:14.00:50.00:OK:6:1807.23:</t>
  </si>
  <si>
    <t>&gt;2494:GCGTTC:12.00:66.67:Warning:6:1783.20:</t>
  </si>
  <si>
    <t>&gt;2495:GCGTTG:12.00:66.67:Warning:6:1823.23:</t>
  </si>
  <si>
    <t>&gt;2496:GCGTTT:6.00:50.00:OK:6:1798.21:</t>
  </si>
  <si>
    <t>&gt;2497:GCTAAA:24.00:33.33:OK:6:1800.25:</t>
  </si>
  <si>
    <t>&gt;2498:GCTAAC:22.00:50.00:OK:6:1776.22:</t>
  </si>
  <si>
    <t>&gt;2499:GCTAAG:22.00:50.00:OK:6:1816.25:</t>
  </si>
  <si>
    <t>&gt;2500:GCTAAT:16.00:33.33:OK:6:1791.23:</t>
  </si>
  <si>
    <t>&gt;2501:GCTACA:22.00:50.00:OK:6:1776.22:</t>
  </si>
  <si>
    <t>&gt;2502:GCTACC:20.00:66.67:Warning:6:1752.19:</t>
  </si>
  <si>
    <t>&gt;2503:GCTACG:20.00:66.67:Warning:6:1792.22:</t>
  </si>
  <si>
    <t>&gt;2504:GCTACT:14.00:50.00:OK:6:1767.20:</t>
  </si>
  <si>
    <t>&gt;2505:GCTAGA:22.00:50.00:OK:6:1816.25:</t>
  </si>
  <si>
    <t>&gt;2506:GCTAGC:20.00:66.67:Warning:6:1792.22:</t>
  </si>
  <si>
    <t>&gt;2507:GCTAGG:20.00:66.67:Warning:6:1832.25:</t>
  </si>
  <si>
    <t>&gt;2508:GCTAGT:14.00:50.00:OK:6:1807.23:</t>
  </si>
  <si>
    <t>&gt;2509:GCTATA:16.00:33.33:OK:6:1791.23:</t>
  </si>
  <si>
    <t>&gt;2510:GCTATC:14.00:50.00:OK:6:1767.20:</t>
  </si>
  <si>
    <t>&gt;2511:GCTATG:14.00:50.00:OK:6:1807.23:</t>
  </si>
  <si>
    <t>&gt;2512:GCTATT:8.00:33.33:OK:6:1782.21:</t>
  </si>
  <si>
    <t>&gt;2513:GCTCAA:22.00:50.00:OK:6:1776.22:</t>
  </si>
  <si>
    <t>&gt;2514:GCTCAC:20.00:66.67:Warning:6:1752.19:</t>
  </si>
  <si>
    <t>&gt;2515:GCTCAG:20.00:66.67:Warning:6:1792.22:</t>
  </si>
  <si>
    <t>&gt;2516:GCTCAT:14.00:50.00:OK:6:1767.20:</t>
  </si>
  <si>
    <t>&gt;2517:GCTCCA:20.00:66.67:Warning:6:1752.19:</t>
  </si>
  <si>
    <t>&gt;2518:GCTCCC:18.00:83.33:Warning:6:1728.16:</t>
  </si>
  <si>
    <t>&gt;2519:GCTCCG:18.00:83.33:Warning:6:1768.19:</t>
  </si>
  <si>
    <t>&gt;2520:GCTCCT:12.00:66.67:Warning:6:1743.17:</t>
  </si>
  <si>
    <t>&gt;2521:GCTCGA:20.00:66.67:Warning:6:1792.22:</t>
  </si>
  <si>
    <t>&gt;2522:GCTCGC:18.00:83.33:Warning:6:1768.19:</t>
  </si>
  <si>
    <t>&gt;2523:GCTCGG:18.00:83.33:Warning:6:1808.22:</t>
  </si>
  <si>
    <t>&gt;2524:GCTCGT:12.00:66.67:Warning:6:1783.20:</t>
  </si>
  <si>
    <t>&gt;2525:GCTCTA:14.00:50.00:OK:6:1767.20:</t>
  </si>
  <si>
    <t>&gt;2526:GCTCTC:12.00:66.67:Warning:6:1743.17:</t>
  </si>
  <si>
    <t>&gt;2527:GCTCTG:12.00:66.67:Warning:6:1783.20:</t>
  </si>
  <si>
    <t>&gt;2528:GCTCTT:6.00:50.00:OK:6:1758.18:</t>
  </si>
  <si>
    <t>&gt;2529:GCTGAA:22.00:50.00:OK:6:1816.25:</t>
  </si>
  <si>
    <t>&gt;2530:GCTGAC:20.00:66.67:Warning:6:1792.22:</t>
  </si>
  <si>
    <t>&gt;2531:GCTGAG:20.00:66.67:Warning:6:1832.25:</t>
  </si>
  <si>
    <t>&gt;2532:GCTGAT:14.00:50.00:OK:6:1807.23:</t>
  </si>
  <si>
    <t>&gt;2533:GCTGCA:20.00:66.67:Warning:6:1792.22:</t>
  </si>
  <si>
    <t>&gt;2534:GCTGCC:18.00:83.33:Warning:6:1768.19:</t>
  </si>
  <si>
    <t>&gt;2535:GCTGCG:18.00:83.33:Warning:6:1808.22:</t>
  </si>
  <si>
    <t>&gt;2536:GCTGCT:12.00:66.67:Warning:6:1783.20:</t>
  </si>
  <si>
    <t>&gt;2537:GCTGGA:20.00:66.67:Warning:6:1832.25:</t>
  </si>
  <si>
    <t>&gt;2538:GCTGGC:18.00:83.33:Warning:6:1808.22:</t>
  </si>
  <si>
    <t>&gt;2539:GCTGGG:18.00:83.33:Warning:6:1848.25:</t>
  </si>
  <si>
    <t>&gt;2540:GCTGGT:12.00:66.67:Warning:6:1823.23:</t>
  </si>
  <si>
    <t>&gt;2541:GCTGTA:14.00:50.00:OK:6:1807.23:</t>
  </si>
  <si>
    <t>&gt;2542:GCTGTC:12.00:66.67:Warning:6:1783.20:</t>
  </si>
  <si>
    <t>&gt;2543:GCTGTG:12.00:66.67:Warning:6:1823.23:</t>
  </si>
  <si>
    <t>&gt;2544:GCTGTT:6.00:50.00:OK:6:1798.21:</t>
  </si>
  <si>
    <t>&gt;2545:GCTTAA:16.00:33.33:OK:6:1791.23:</t>
  </si>
  <si>
    <t>&gt;2546:GCTTAC:14.00:50.00:OK:6:1767.20:</t>
  </si>
  <si>
    <t>&gt;2547:GCTTAG:14.00:50.00:OK:6:1807.23:</t>
  </si>
  <si>
    <t>&gt;2548:GCTTAT:8.00:33.33:OK:6:1782.21:</t>
  </si>
  <si>
    <t>&gt;2549:GCTTCA:14.00:50.00:OK:6:1767.20:</t>
  </si>
  <si>
    <t>&gt;2550:GCTTCC:12.00:66.67:Warning:6:1743.17:</t>
  </si>
  <si>
    <t>&gt;2551:GCTTCG:12.00:66.67:Warning:6:1783.20:</t>
  </si>
  <si>
    <t>&gt;2552:GCTTCT:6.00:50.00:OK:6:1758.18:</t>
  </si>
  <si>
    <t>&gt;2553:GCTTGA:14.00:50.00:OK:6:1807.23:</t>
  </si>
  <si>
    <t>&gt;2554:GCTTGC:12.00:66.67:Warning:6:1783.20:</t>
  </si>
  <si>
    <t>&gt;2555:GCTTGG:12.00:66.67:Warning:6:1823.23:</t>
  </si>
  <si>
    <t>&gt;2556:GCTTGT:6.00:50.00:OK:6:1798.21:</t>
  </si>
  <si>
    <t>&gt;2557:GCTTTA:8.00:33.33:OK:6:1782.21:</t>
  </si>
  <si>
    <t>&gt;2558:GCTTTC:6.00:50.00:OK:6:1758.18:</t>
  </si>
  <si>
    <t>&gt;2559:GCTTTG:6.00:50.00:OK:6:1798.21:</t>
  </si>
  <si>
    <t>&gt;2560:GCTTTT:0.00:33.33:OK:6:1773.19:</t>
  </si>
  <si>
    <t>&gt;2561:GGAAAA:32.00:33.33:OK:6:1849.30:</t>
  </si>
  <si>
    <t>&gt;2562:GGAAAC:30.00:50.00:OK:6:1825.27:</t>
  </si>
  <si>
    <t>&gt;2563:GGAAAG:30.00:50.00:OK:6:1865.30:</t>
  </si>
  <si>
    <t>&gt;2564:GGAAAT:24.00:33.33:OK:6:1840.28:</t>
  </si>
  <si>
    <t>&gt;2565:GGAACA:30.00:50.00:OK:6:1825.27:</t>
  </si>
  <si>
    <t>&gt;2566:GGAACC:28.00:66.67:Warning:6:1801.24:</t>
  </si>
  <si>
    <t>&gt;2567:GGAACG:28.00:66.67:Warning:6:1841.27:</t>
  </si>
  <si>
    <t>&gt;2568:GGAACT:22.00:50.00:OK:6:1816.25:</t>
  </si>
  <si>
    <t>&gt;2569:GGAAGA:30.00:50.00:OK:6:1865.30:</t>
  </si>
  <si>
    <t>&gt;2570:GGAAGC:28.00:66.67:Warning:6:1841.27:</t>
  </si>
  <si>
    <t>&gt;2571:GGAAGG:28.00:66.67:Warning:6:1881.30:</t>
  </si>
  <si>
    <t>&gt;2572:GGAAGT:22.00:50.00:OK:6:1856.28:</t>
  </si>
  <si>
    <t>&gt;2573:GGAATA:24.00:33.33:OK:6:1840.28:</t>
  </si>
  <si>
    <t>&gt;2574:GGAATC:22.00:50.00:OK:6:1816.25:</t>
  </si>
  <si>
    <t>&gt;2575:GGAATG:22.00:50.00:OK:6:1856.28:</t>
  </si>
  <si>
    <t>&gt;2576:GGAATT:16.00:33.33:OK:6:1831.26:</t>
  </si>
  <si>
    <t>&gt;2577:GGACAA:30.00:50.00:OK:6:1825.27:</t>
  </si>
  <si>
    <t>&gt;2578:GGACAC:28.00:66.67:Warning:6:1801.24:</t>
  </si>
  <si>
    <t>&gt;2579:GGACAG:28.00:66.67:Warning:6:1841.27:</t>
  </si>
  <si>
    <t>&gt;2580:GGACAT:22.00:50.00:OK:6:1816.25:</t>
  </si>
  <si>
    <t>&gt;2581:GGACCA:28.00:66.67:Warning:6:1801.24:</t>
  </si>
  <si>
    <t>&gt;2582:GGACCC:26.00:83.33:Warning:6:1777.21:</t>
  </si>
  <si>
    <t>&gt;2583:GGACCG:26.00:83.33:Warning:6:1817.24:</t>
  </si>
  <si>
    <t>&gt;2584:GGACCT:20.00:66.67:Warning:6:1792.22:</t>
  </si>
  <si>
    <t>&gt;2585:GGACGA:28.00:66.67:Warning:6:1841.27:</t>
  </si>
  <si>
    <t>&gt;2586:GGACGC:26.00:83.33:Warning:6:1817.24:</t>
  </si>
  <si>
    <t>&gt;2587:GGACGG:26.00:83.33:Warning:6:1857.27:</t>
  </si>
  <si>
    <t>&gt;2588:GGACGT:20.00:66.67:Warning:6:1832.25:</t>
  </si>
  <si>
    <t>&gt;2589:GGACTA:22.00:50.00:OK:6:1816.25:</t>
  </si>
  <si>
    <t>&gt;2590:GGACTC:20.00:66.67:Warning:6:1792.22:</t>
  </si>
  <si>
    <t>&gt;2591:GGACTG:20.00:66.67:Warning:6:1832.25:</t>
  </si>
  <si>
    <t>&gt;2592:GGACTT:14.00:50.00:OK:6:1807.23:</t>
  </si>
  <si>
    <t>&gt;2593:GGAGAA:30.00:50.00:OK:6:1865.30:</t>
  </si>
  <si>
    <t>&gt;2594:GGAGAC:28.00:66.67:Warning:6:1841.27:</t>
  </si>
  <si>
    <t>&gt;2595:GGAGAG:28.00:66.67:Warning:6:1881.30:</t>
  </si>
  <si>
    <t>&gt;2596:GGAGAT:22.00:50.00:OK:6:1856.28:</t>
  </si>
  <si>
    <t>&gt;2597:GGAGCA:28.00:66.67:Warning:6:1841.27:</t>
  </si>
  <si>
    <t>&gt;2598:GGAGCC:26.00:83.33:Warning:6:1817.24:</t>
  </si>
  <si>
    <t>&gt;2599:GGAGCG:26.00:83.33:Warning:6:1857.27:</t>
  </si>
  <si>
    <t>&gt;2600:GGAGCT:20.00:66.67:Warning:6:1832.25:</t>
  </si>
  <si>
    <t>&gt;2601:GGAGGA:28.00:66.67:Warning:6:1881.30:</t>
  </si>
  <si>
    <t>&gt;2602:GGAGGC:26.00:83.33:Warning:6:1857.27:</t>
  </si>
  <si>
    <t>&gt;2603:GGAGGG:26.00:83.33:Warning:6:1897.30:</t>
  </si>
  <si>
    <t>&gt;2604:GGAGGT:20.00:66.67:Warning:6:1872.28:</t>
  </si>
  <si>
    <t>&gt;2605:GGAGTA:22.00:50.00:OK:6:1856.28:</t>
  </si>
  <si>
    <t>&gt;2606:GGAGTC:20.00:66.67:Warning:6:1832.25:</t>
  </si>
  <si>
    <t>&gt;2607:GGAGTG:20.00:66.67:Warning:6:1872.28:</t>
  </si>
  <si>
    <t>&gt;2608:GGAGTT:14.00:50.00:OK:6:1847.26:</t>
  </si>
  <si>
    <t>&gt;2609:GGATAA:24.00:33.33:OK:6:1840.28:</t>
  </si>
  <si>
    <t>&gt;2610:GGATAC:22.00:50.00:OK:6:1816.25:</t>
  </si>
  <si>
    <t>&gt;2611:GGATAG:22.00:50.00:OK:6:1856.28:</t>
  </si>
  <si>
    <t>&gt;2612:GGATAT:16.00:33.33:OK:6:1831.26:</t>
  </si>
  <si>
    <t>&gt;2613:GGATCA:22.00:50.00:OK:6:1816.25:</t>
  </si>
  <si>
    <t>&gt;2614:GGATCC:20.00:66.67:Warning:6:1792.22:</t>
  </si>
  <si>
    <t>&gt;2615:GGATCG:20.00:66.67:Warning:6:1832.25:</t>
  </si>
  <si>
    <t>&gt;2616:GGATCT:14.00:50.00:OK:6:1807.23:</t>
  </si>
  <si>
    <t>&gt;2617:GGATGA:22.00:50.00:OK:6:1856.28:</t>
  </si>
  <si>
    <t>&gt;2618:GGATGC:20.00:66.67:Warning:6:1832.25:</t>
  </si>
  <si>
    <t>&gt;2619:GGATGG:20.00:66.67:Warning:6:1872.28:</t>
  </si>
  <si>
    <t>&gt;2620:GGATGT:14.00:50.00:OK:6:1847.26:</t>
  </si>
  <si>
    <t>&gt;2621:GGATTA:16.00:33.33:OK:6:1831.26:</t>
  </si>
  <si>
    <t>&gt;2622:GGATTC:14.00:50.00:OK:6:1807.23:</t>
  </si>
  <si>
    <t>&gt;2623:GGATTG:14.00:50.00:OK:6:1847.26:</t>
  </si>
  <si>
    <t>&gt;2624:GGATTT:8.00:33.33:OK:6:1822.24:</t>
  </si>
  <si>
    <t>&gt;2625:GGCAAA:30.00:50.00:OK:6:1825.27:</t>
  </si>
  <si>
    <t>&gt;2626:GGCAAC:28.00:66.67:Warning:6:1801.24:</t>
  </si>
  <si>
    <t>&gt;2627:GGCAAG:28.00:66.67:Warning:6:1841.27:</t>
  </si>
  <si>
    <t>&gt;2628:GGCAAT:22.00:50.00:OK:6:1816.25:</t>
  </si>
  <si>
    <t>&gt;2629:GGCACA:28.00:66.67:Warning:6:1801.24:</t>
  </si>
  <si>
    <t>&gt;2630:GGCACC:26.00:83.33:Warning:6:1777.21:</t>
  </si>
  <si>
    <t>&gt;2631:GGCACG:26.00:83.33:Warning:6:1817.24:</t>
  </si>
  <si>
    <t>&gt;2632:GGCACT:20.00:66.67:Warning:6:1792.22:</t>
  </si>
  <si>
    <t>&gt;2633:GGCAGA:28.00:66.67:Warning:6:1841.27:</t>
  </si>
  <si>
    <t>&gt;2634:GGCAGC:26.00:83.33:Warning:6:1817.24:</t>
  </si>
  <si>
    <t>&gt;2635:GGCAGG:26.00:83.33:Warning:6:1857.27:</t>
  </si>
  <si>
    <t>&gt;2636:GGCAGT:20.00:66.67:Warning:6:1832.25:</t>
  </si>
  <si>
    <t>&gt;2637:GGCATA:22.00:50.00:OK:6:1816.25:</t>
  </si>
  <si>
    <t>&gt;2638:GGCATC:20.00:66.67:Warning:6:1792.22:</t>
  </si>
  <si>
    <t>&gt;2639:GGCATG:20.00:66.67:Warning:6:1832.25:</t>
  </si>
  <si>
    <t>&gt;2640:GGCATT:14.00:50.00:OK:6:1807.23:</t>
  </si>
  <si>
    <t>&gt;2641:GGCCAA:28.00:66.67:Warning:6:1801.24:</t>
  </si>
  <si>
    <t>&gt;2642:GGCCAC:26.00:83.33:Warning:6:1777.21:</t>
  </si>
  <si>
    <t>&gt;2643:GGCCAG:26.00:83.33:Warning:6:1817.24:</t>
  </si>
  <si>
    <t>&gt;2644:GGCCAT:20.00:66.67:Warning:6:1792.22:</t>
  </si>
  <si>
    <t>&gt;2645:GGCCCA:26.00:83.33:Warning:6:1777.21:</t>
  </si>
  <si>
    <t>&gt;2646:GGCCCC:24.00:100.00:Warning:6:1753.18:</t>
  </si>
  <si>
    <t>&gt;2647:GGCCCG:24.00:100.00:Warning:6:1793.21:</t>
  </si>
  <si>
    <t>&gt;2648:GGCCCT:18.00:83.33:Warning:6:1768.19:</t>
  </si>
  <si>
    <t>&gt;2649:GGCCGA:26.00:83.33:Warning:6:1817.24:</t>
  </si>
  <si>
    <t>&gt;2650:GGCCGC:24.00:100.00:Warning:6:1793.21:</t>
  </si>
  <si>
    <t>&gt;2651:GGCCGG:24.00:100.00:Warning:6:1833.24:</t>
  </si>
  <si>
    <t>&gt;2652:GGCCGT:18.00:83.33:Warning:6:1808.22:</t>
  </si>
  <si>
    <t>&gt;2653:GGCCTA:20.00:66.67:Warning:6:1792.22:</t>
  </si>
  <si>
    <t>&gt;2654:GGCCTC:18.00:83.33:Warning:6:1768.19:</t>
  </si>
  <si>
    <t>&gt;2655:GGCCTG:18.00:83.33:Warning:6:1808.22:</t>
  </si>
  <si>
    <t>&gt;2656:GGCCTT:12.00:66.67:Warning:6:1783.20:</t>
  </si>
  <si>
    <t>&gt;2657:GGCGAA:28.00:66.67:Warning:6:1841.27:</t>
  </si>
  <si>
    <t>&gt;2658:GGCGAC:26.00:83.33:Warning:6:1817.24:</t>
  </si>
  <si>
    <t>&gt;2659:GGCGAG:26.00:83.33:Warning:6:1857.27:</t>
  </si>
  <si>
    <t>&gt;2660:GGCGAT:20.00:66.67:Warning:6:1832.25:</t>
  </si>
  <si>
    <t>&gt;2661:GGCGCA:26.00:83.33:Warning:6:1817.24:</t>
  </si>
  <si>
    <t>&gt;2662:GGCGCC:24.00:100.00:Warning:6:1793.21:</t>
  </si>
  <si>
    <t>&gt;2663:GGCGCG:24.00:100.00:Warning:6:1833.24:</t>
  </si>
  <si>
    <t>&gt;2664:GGCGCT:18.00:83.33:Warning:6:1808.22:</t>
  </si>
  <si>
    <t>&gt;2665:GGCGGA:26.00:83.33:Warning:6:1857.27:</t>
  </si>
  <si>
    <t>&gt;2666:GGCGGC:24.00:100.00:Warning:6:1833.24:</t>
  </si>
  <si>
    <t>&gt;2667:GGCGGG:24.00:100.00:Warning:6:1873.27:</t>
  </si>
  <si>
    <t>&gt;2668:GGCGGT:18.00:83.33:Warning:6:1848.25:</t>
  </si>
  <si>
    <t>&gt;2669:GGCGTA:20.00:66.67:Warning:6:1832.25:</t>
  </si>
  <si>
    <t>&gt;2670:GGCGTC:18.00:83.33:Warning:6:1808.22:</t>
  </si>
  <si>
    <t>&gt;2671:GGCGTG:18.00:83.33:Warning:6:1848.25:</t>
  </si>
  <si>
    <t>&gt;2672:GGCGTT:12.00:66.67:Warning:6:1823.23:</t>
  </si>
  <si>
    <t>&gt;2673:GGCTAA:22.00:50.00:OK:6:1816.25:</t>
  </si>
  <si>
    <t>&gt;2674:GGCTAC:20.00:66.67:Warning:6:1792.22:</t>
  </si>
  <si>
    <t>&gt;2675:GGCTAG:20.00:66.67:Warning:6:1832.25:</t>
  </si>
  <si>
    <t>&gt;2676:GGCTAT:14.00:50.00:OK:6:1807.23:</t>
  </si>
  <si>
    <t>&gt;2677:GGCTCA:20.00:66.67:Warning:6:1792.22:</t>
  </si>
  <si>
    <t>&gt;2678:GGCTCC:18.00:83.33:Warning:6:1768.19:</t>
  </si>
  <si>
    <t>&gt;2679:GGCTCG:18.00:83.33:Warning:6:1808.22:</t>
  </si>
  <si>
    <t>&gt;2680:GGCTCT:12.00:66.67:Warning:6:1783.20:</t>
  </si>
  <si>
    <t>&gt;2681:GGCTGA:20.00:66.67:Warning:6:1832.25:</t>
  </si>
  <si>
    <t>&gt;2682:GGCTGC:18.00:83.33:Warning:6:1808.22:</t>
  </si>
  <si>
    <t>&gt;2683:GGCTGG:18.00:83.33:Warning:6:1848.25:</t>
  </si>
  <si>
    <t>&gt;2684:GGCTGT:12.00:66.67:Warning:6:1823.23:</t>
  </si>
  <si>
    <t>&gt;2685:GGCTTA:14.00:50.00:OK:6:1807.23:</t>
  </si>
  <si>
    <t>&gt;2686:GGCTTC:12.00:66.67:Warning:6:1783.20:</t>
  </si>
  <si>
    <t>&gt;2687:GGCTTG:12.00:66.67:Warning:6:1823.23:</t>
  </si>
  <si>
    <t>&gt;2688:GGCTTT:6.00:50.00:OK:6:1798.21:</t>
  </si>
  <si>
    <t>&gt;2689:GGGAAA:30.00:50.00:OK:6:1865.30:</t>
  </si>
  <si>
    <t>&gt;2690:GGGAAC:28.00:66.67:Warning:6:1841.27:</t>
  </si>
  <si>
    <t>&gt;2691:GGGAAG:28.00:66.67:Warning:6:1881.30:</t>
  </si>
  <si>
    <t>&gt;2692:GGGAAT:22.00:50.00:OK:6:1856.28:</t>
  </si>
  <si>
    <t>&gt;2693:GGGACA:28.00:66.67:Warning:6:1841.27:</t>
  </si>
  <si>
    <t>&gt;2694:GGGACC:26.00:83.33:Warning:6:1817.24:</t>
  </si>
  <si>
    <t>&gt;2695:GGGACG:26.00:83.33:Warning:6:1857.27:</t>
  </si>
  <si>
    <t>&gt;2696:GGGACT:20.00:66.67:Warning:6:1832.25:</t>
  </si>
  <si>
    <t>&gt;2697:GGGAGA:28.00:66.67:Warning:6:1881.30:</t>
  </si>
  <si>
    <t>&gt;2698:GGGAGC:26.00:83.33:Warning:6:1857.27:</t>
  </si>
  <si>
    <t>&gt;2699:GGGAGG:26.00:83.33:Warning:6:1897.30:</t>
  </si>
  <si>
    <t>&gt;2700:GGGAGT:20.00:66.67:Warning:6:1872.28:</t>
  </si>
  <si>
    <t>&gt;2701:GGGATA:22.00:50.00:OK:6:1856.28:</t>
  </si>
  <si>
    <t>&gt;2702:GGGATC:20.00:66.67:Warning:6:1832.25:</t>
  </si>
  <si>
    <t>&gt;2703:GGGATG:20.00:66.67:Warning:6:1872.28:</t>
  </si>
  <si>
    <t>&gt;2704:GGGATT:14.00:50.00:OK:6:1847.26:</t>
  </si>
  <si>
    <t>&gt;2705:GGGCAA:28.00:66.67:Warning:6:1841.27:</t>
  </si>
  <si>
    <t>&gt;2706:GGGCAC:26.00:83.33:Warning:6:1817.24:</t>
  </si>
  <si>
    <t>&gt;2707:GGGCAG:26.00:83.33:Warning:6:1857.27:</t>
  </si>
  <si>
    <t>&gt;2708:GGGCAT:20.00:66.67:Warning:6:1832.25:</t>
  </si>
  <si>
    <t>&gt;2709:GGGCCA:26.00:83.33:Warning:6:1817.24:</t>
  </si>
  <si>
    <t>&gt;2710:GGGCCC:24.00:100.00:Warning:6:1793.21:</t>
  </si>
  <si>
    <t>&gt;2711:GGGCCG:24.00:100.00:Warning:6:1833.24:</t>
  </si>
  <si>
    <t>&gt;2712:GGGCCT:18.00:83.33:Warning:6:1808.22:</t>
  </si>
  <si>
    <t>&gt;2713:GGGCGA:26.00:83.33:Warning:6:1857.27:</t>
  </si>
  <si>
    <t>&gt;2714:GGGCGC:24.00:100.00:Warning:6:1833.24:</t>
  </si>
  <si>
    <t>&gt;2715:GGGCGG:24.00:100.00:Warning:6:1873.27:</t>
  </si>
  <si>
    <t>&gt;2716:GGGCGT:18.00:83.33:Warning:6:1848.25:</t>
  </si>
  <si>
    <t>&gt;2717:GGGCTA:20.00:66.67:Warning:6:1832.25:</t>
  </si>
  <si>
    <t>&gt;2718:GGGCTC:18.00:83.33:Warning:6:1808.22:</t>
  </si>
  <si>
    <t>&gt;2719:GGGCTG:18.00:83.33:Warning:6:1848.25:</t>
  </si>
  <si>
    <t>&gt;2720:GGGCTT:12.00:66.67:Warning:6:1823.23:</t>
  </si>
  <si>
    <t>&gt;2721:GGGGAA:28.00:66.67:Warning:6:1881.30:</t>
  </si>
  <si>
    <t>&gt;2722:GGGGAC:26.00:83.33:Warning:6:1857.27:</t>
  </si>
  <si>
    <t>&gt;2723:GGGGAG:26.00:83.33:Warning:6:1897.30:</t>
  </si>
  <si>
    <t>&gt;2724:GGGGAT:20.00:66.67:Warning:6:1872.28:</t>
  </si>
  <si>
    <t>&gt;2725:GGGGCA:26.00:83.33:Warning:6:1857.27:</t>
  </si>
  <si>
    <t>&gt;2726:GGGGCC:24.00:100.00:Warning:6:1833.24:</t>
  </si>
  <si>
    <t>&gt;2727:GGGGCG:24.00:100.00:Warning:6:1873.27:</t>
  </si>
  <si>
    <t>&gt;2728:GGGGCT:18.00:83.33:Warning:6:1848.25:</t>
  </si>
  <si>
    <t>&gt;2729:GGGGGA:26.00:83.33:Warning:6:1897.30:</t>
  </si>
  <si>
    <t>&gt;2730:GGGGGC:24.00:100.00:Warning:6:1873.27:</t>
  </si>
  <si>
    <t>&gt;2731:GGGGGG:24.00:100.00:Warning:6:1913.30:</t>
  </si>
  <si>
    <t>&gt;2732:GGGGGT:18.00:83.33:Warning:6:1888.28:</t>
  </si>
  <si>
    <t>&gt;2733:GGGGTA:20.00:66.67:Warning:6:1872.28:</t>
  </si>
  <si>
    <t>&gt;2734:GGGGTC:18.00:83.33:Warning:6:1848.25:</t>
  </si>
  <si>
    <t>&gt;2735:GGGGTG:18.00:83.33:Warning:6:1888.28:</t>
  </si>
  <si>
    <t>&gt;2736:GGGGTT:12.00:66.67:Warning:6:1863.26:</t>
  </si>
  <si>
    <t>&gt;2737:GGGTAA:22.00:50.00:OK:6:1856.28:</t>
  </si>
  <si>
    <t>&gt;2738:GGGTAC:20.00:66.67:Warning:6:1832.25:</t>
  </si>
  <si>
    <t>&gt;2739:GGGTAG:20.00:66.67:Warning:6:1872.28:</t>
  </si>
  <si>
    <t>&gt;2740:GGGTAT:14.00:50.00:OK:6:1847.26:</t>
  </si>
  <si>
    <t>&gt;2741:GGGTCA:20.00:66.67:Warning:6:1832.25:</t>
  </si>
  <si>
    <t>&gt;2742:GGGTCC:18.00:83.33:Warning:6:1808.22:</t>
  </si>
  <si>
    <t>&gt;2743:GGGTCG:18.00:83.33:Warning:6:1848.25:</t>
  </si>
  <si>
    <t>&gt;2744:GGGTCT:12.00:66.67:Warning:6:1823.23:</t>
  </si>
  <si>
    <t>&gt;2745:GGGTGA:20.00:66.67:Warning:6:1872.28:</t>
  </si>
  <si>
    <t>&gt;2746:GGGTGC:18.00:83.33:Warning:6:1848.25:</t>
  </si>
  <si>
    <t>&gt;2747:GGGTGG:18.00:83.33:Warning:6:1888.28:</t>
  </si>
  <si>
    <t>&gt;2748:GGGTGT:12.00:66.67:Warning:6:1863.26:</t>
  </si>
  <si>
    <t>&gt;2749:GGGTTA:14.00:50.00:OK:6:1847.26:</t>
  </si>
  <si>
    <t>&gt;2750:GGGTTC:12.00:66.67:Warning:6:1823.23:</t>
  </si>
  <si>
    <t>&gt;2751:GGGTTG:12.00:66.67:Warning:6:1863.26:</t>
  </si>
  <si>
    <t>&gt;2752:GGGTTT:6.00:50.00:OK:6:1838.24:</t>
  </si>
  <si>
    <t>&gt;2753:GGTAAA:24.00:33.33:OK:6:1840.28:</t>
  </si>
  <si>
    <t>&gt;2754:GGTAAC:22.00:50.00:OK:6:1816.25:</t>
  </si>
  <si>
    <t>&gt;2755:GGTAAG:22.00:50.00:OK:6:1856.28:</t>
  </si>
  <si>
    <t>&gt;2756:GGTAAT:16.00:33.33:OK:6:1831.26:</t>
  </si>
  <si>
    <t>&gt;2757:GGTACA:22.00:50.00:OK:6:1816.25:</t>
  </si>
  <si>
    <t>&gt;2758:GGTACC:20.00:66.67:Warning:6:1792.22:</t>
  </si>
  <si>
    <t>&gt;2759:GGTACG:20.00:66.67:Warning:6:1832.25:</t>
  </si>
  <si>
    <t>&gt;2760:GGTACT:14.00:50.00:OK:6:1807.23:</t>
  </si>
  <si>
    <t>&gt;2761:GGTAGA:22.00:50.00:OK:6:1856.28:</t>
  </si>
  <si>
    <t>&gt;2762:GGTAGC:20.00:66.67:Warning:6:1832.25:</t>
  </si>
  <si>
    <t>&gt;2763:GGTAGG:20.00:66.67:Warning:6:1872.28:</t>
  </si>
  <si>
    <t>&gt;2764:GGTAGT:14.00:50.00:OK:6:1847.26:</t>
  </si>
  <si>
    <t>&gt;2765:GGTATA:16.00:33.33:OK:6:1831.26:</t>
  </si>
  <si>
    <t>&gt;2766:GGTATC:14.00:50.00:OK:6:1807.23:</t>
  </si>
  <si>
    <t>&gt;2767:GGTATG:14.00:50.00:OK:6:1847.26:</t>
  </si>
  <si>
    <t>&gt;2768:GGTATT:8.00:33.33:OK:6:1822.24:</t>
  </si>
  <si>
    <t>&gt;2769:GGTCAA:22.00:50.00:OK:6:1816.25:</t>
  </si>
  <si>
    <t>&gt;2770:GGTCAC:20.00:66.67:Warning:6:1792.22:</t>
  </si>
  <si>
    <t>&gt;2771:GGTCAG:20.00:66.67:Warning:6:1832.25:</t>
  </si>
  <si>
    <t>&gt;2772:GGTCAT:14.00:50.00:OK:6:1807.23:</t>
  </si>
  <si>
    <t>&gt;2773:GGTCCA:20.00:66.67:Warning:6:1792.22:</t>
  </si>
  <si>
    <t>&gt;2774:GGTCCC:18.00:83.33:Warning:6:1768.19:</t>
  </si>
  <si>
    <t>&gt;2775:GGTCCG:18.00:83.33:Warning:6:1808.22:</t>
  </si>
  <si>
    <t>&gt;2776:GGTCCT:12.00:66.67:Warning:6:1783.20:</t>
  </si>
  <si>
    <t>&gt;2777:GGTCGA:20.00:66.67:Warning:6:1832.25:</t>
  </si>
  <si>
    <t>&gt;2778:GGTCGC:18.00:83.33:Warning:6:1808.22:</t>
  </si>
  <si>
    <t>&gt;2779:GGTCGG:18.00:83.33:Warning:6:1848.25:</t>
  </si>
  <si>
    <t>&gt;2780:GGTCGT:12.00:66.67:Warning:6:1823.23:</t>
  </si>
  <si>
    <t>&gt;2781:GGTCTA:14.00:50.00:OK:6:1807.23:</t>
  </si>
  <si>
    <t>&gt;2782:GGTCTC:12.00:66.67:Warning:6:1783.20:</t>
  </si>
  <si>
    <t>&gt;2783:GGTCTG:12.00:66.67:Warning:6:1823.23:</t>
  </si>
  <si>
    <t>&gt;2784:GGTCTT:6.00:50.00:OK:6:1798.21:</t>
  </si>
  <si>
    <t>&gt;2785:GGTGAA:22.00:50.00:OK:6:1856.28:</t>
  </si>
  <si>
    <t>&gt;2786:GGTGAC:20.00:66.67:Warning:6:1832.25:</t>
  </si>
  <si>
    <t>&gt;2787:GGTGAG:20.00:66.67:Warning:6:1872.28:</t>
  </si>
  <si>
    <t>&gt;2788:GGTGAT:14.00:50.00:OK:6:1847.26:</t>
  </si>
  <si>
    <t>&gt;2789:GGTGCA:20.00:66.67:Warning:6:1832.25:</t>
  </si>
  <si>
    <t>&gt;2790:GGTGCC:18.00:83.33:Warning:6:1808.22:</t>
  </si>
  <si>
    <t>&gt;2791:GGTGCG:18.00:83.33:Warning:6:1848.25:</t>
  </si>
  <si>
    <t>&gt;2792:GGTGCT:12.00:66.67:Warning:6:1823.23:</t>
  </si>
  <si>
    <t>&gt;2793:GGTGGA:20.00:66.67:Warning:6:1872.28:</t>
  </si>
  <si>
    <t>&gt;2794:GGTGGC:18.00:83.33:Warning:6:1848.25:</t>
  </si>
  <si>
    <t>&gt;2795:GGTGGG:18.00:83.33:Warning:6:1888.28:</t>
  </si>
  <si>
    <t>&gt;2796:GGTGGT:12.00:66.67:Warning:6:1863.26:</t>
  </si>
  <si>
    <t>&gt;2797:GGTGTA:14.00:50.00:OK:6:1847.26:</t>
  </si>
  <si>
    <t>&gt;2798:GGTGTC:12.00:66.67:Warning:6:1823.23:</t>
  </si>
  <si>
    <t>&gt;2799:GGTGTG:12.00:66.67:Warning:6:1863.26:</t>
  </si>
  <si>
    <t>&gt;2800:GGTGTT:6.00:50.00:OK:6:1838.24:</t>
  </si>
  <si>
    <t>&gt;2801:GGTTAA:16.00:33.33:OK:6:1831.26:</t>
  </si>
  <si>
    <t>&gt;2802:GGTTAC:14.00:50.00:OK:6:1807.23:</t>
  </si>
  <si>
    <t>&gt;2803:GGTTAG:14.00:50.00:OK:6:1847.26:</t>
  </si>
  <si>
    <t>&gt;2804:GGTTAT:8.00:33.33:OK:6:1822.24:</t>
  </si>
  <si>
    <t>&gt;2805:GGTTCA:14.00:50.00:OK:6:1807.23:</t>
  </si>
  <si>
    <t>&gt;2806:GGTTCC:12.00:66.67:Warning:6:1783.20:</t>
  </si>
  <si>
    <t>&gt;2807:GGTTCG:12.00:66.67:Warning:6:1823.23:</t>
  </si>
  <si>
    <t>&gt;2808:GGTTCT:6.00:50.00:OK:6:1798.21:</t>
  </si>
  <si>
    <t>&gt;2809:GGTTGA:14.00:50.00:OK:6:1847.26:</t>
  </si>
  <si>
    <t>&gt;2810:GGTTGC:12.00:66.67:Warning:6:1823.23:</t>
  </si>
  <si>
    <t>&gt;2811:GGTTGG:12.00:66.67:Warning:6:1863.26:</t>
  </si>
  <si>
    <t>&gt;2812:GGTTGT:6.00:50.00:OK:6:1838.24:</t>
  </si>
  <si>
    <t>&gt;2813:GGTTTA:8.00:33.33:OK:6:1822.24:</t>
  </si>
  <si>
    <t>&gt;2814:GGTTTC:6.00:50.00:OK:6:1798.21:</t>
  </si>
  <si>
    <t>&gt;2815:GGTTTG:6.00:50.00:OK:6:1838.24:</t>
  </si>
  <si>
    <t>&gt;2816:GGTTTT:0.00:33.33:OK:6:1813.22:</t>
  </si>
  <si>
    <t>&gt;2817:GTAAAA:26.00:16.67:OK:6:1824.28:</t>
  </si>
  <si>
    <t>&gt;2818:GTAAAC:24.00:33.33:OK:6:1800.25:</t>
  </si>
  <si>
    <t>&gt;2819:GTAAAG:24.00:33.33:OK:6:1840.28:</t>
  </si>
  <si>
    <t>&gt;2820:GTAAAT:18.00:16.67:OK:6:1815.26:</t>
  </si>
  <si>
    <t>&gt;2821:GTAACA:24.00:33.33:OK:6:1800.25:</t>
  </si>
  <si>
    <t>&gt;2822:GTAACC:22.00:50.00:OK:6:1776.22:</t>
  </si>
  <si>
    <t>&gt;2823:GTAACG:22.00:50.00:OK:6:1816.25:</t>
  </si>
  <si>
    <t>&gt;2824:GTAACT:16.00:33.33:OK:6:1791.23:</t>
  </si>
  <si>
    <t>&gt;2825:GTAAGA:24.00:33.33:OK:6:1840.28:</t>
  </si>
  <si>
    <t>&gt;2826:GTAAGC:22.00:50.00:OK:6:1816.25:</t>
  </si>
  <si>
    <t>&gt;2827:GTAAGG:22.00:50.00:OK:6:1856.28:</t>
  </si>
  <si>
    <t>&gt;2828:GTAAGT:16.00:33.33:OK:6:1831.26:</t>
  </si>
  <si>
    <t>&gt;2829:GTAATA:18.00:16.67:OK:6:1815.26:</t>
  </si>
  <si>
    <t>&gt;2830:GTAATC:16.00:33.33:OK:6:1791.23:</t>
  </si>
  <si>
    <t>&gt;2831:GTAATG:16.00:33.33:OK:6:1831.26:</t>
  </si>
  <si>
    <t>&gt;2832:GTAATT:10.00:16.67:OK:6:1806.24:</t>
  </si>
  <si>
    <t>&gt;2833:GTACAA:24.00:33.33:OK:6:1800.25:</t>
  </si>
  <si>
    <t>&gt;2834:GTACAC:22.00:50.00:OK:6:1776.22:</t>
  </si>
  <si>
    <t>&gt;2835:GTACAG:22.00:50.00:OK:6:1816.25:</t>
  </si>
  <si>
    <t>&gt;2836:GTACAT:16.00:33.33:OK:6:1791.23:</t>
  </si>
  <si>
    <t>&gt;2837:GTACCA:22.00:50.00:OK:6:1776.22:</t>
  </si>
  <si>
    <t>&gt;2838:GTACCC:20.00:66.67:Warning:6:1752.19:</t>
  </si>
  <si>
    <t>&gt;2839:GTACCG:20.00:66.67:Warning:6:1792.22:</t>
  </si>
  <si>
    <t>&gt;2840:GTACCT:14.00:50.00:OK:6:1767.20:</t>
  </si>
  <si>
    <t>&gt;2841:GTACGA:22.00:50.00:OK:6:1816.25:</t>
  </si>
  <si>
    <t>&gt;2842:GTACGC:20.00:66.67:Warning:6:1792.22:</t>
  </si>
  <si>
    <t>&gt;2843:GTACGG:20.00:66.67:Warning:6:1832.25:</t>
  </si>
  <si>
    <t>&gt;2844:GTACGT:14.00:50.00:OK:6:1807.23:</t>
  </si>
  <si>
    <t>&gt;2845:GTACTA:16.00:33.33:OK:6:1791.23:</t>
  </si>
  <si>
    <t>&gt;2846:GTACTC:14.00:50.00:OK:6:1767.20:</t>
  </si>
  <si>
    <t>&gt;2847:GTACTG:14.00:50.00:OK:6:1807.23:</t>
  </si>
  <si>
    <t>&gt;2848:GTACTT:8.00:33.33:OK:6:1782.21:</t>
  </si>
  <si>
    <t>&gt;2849:GTAGAA:24.00:33.33:OK:6:1840.28:</t>
  </si>
  <si>
    <t>&gt;2850:GTAGAC:22.00:50.00:OK:6:1816.25:</t>
  </si>
  <si>
    <t>&gt;2851:GTAGAG:22.00:50.00:OK:6:1856.28:</t>
  </si>
  <si>
    <t>&gt;2852:GTAGAT:16.00:33.33:OK:6:1831.26:</t>
  </si>
  <si>
    <t>&gt;2853:GTAGCA:22.00:50.00:OK:6:1816.25:</t>
  </si>
  <si>
    <t>&gt;2854:GTAGCC:20.00:66.67:Warning:6:1792.22:</t>
  </si>
  <si>
    <t>&gt;2855:GTAGCG:20.00:66.67:Warning:6:1832.25:</t>
  </si>
  <si>
    <t>&gt;2856:GTAGCT:14.00:50.00:OK:6:1807.23:</t>
  </si>
  <si>
    <t>&gt;2857:GTAGGA:22.00:50.00:OK:6:1856.28:</t>
  </si>
  <si>
    <t>&gt;2858:GTAGGC:20.00:66.67:Warning:6:1832.25:</t>
  </si>
  <si>
    <t>&gt;2859:GTAGGG:20.00:66.67:Warning:6:1872.28:</t>
  </si>
  <si>
    <t>&gt;2860:GTAGGT:14.00:50.00:OK:6:1847.26:</t>
  </si>
  <si>
    <t>&gt;2861:GTAGTA:16.00:33.33:OK:6:1831.26:</t>
  </si>
  <si>
    <t>&gt;2862:GTAGTC:14.00:50.00:OK:6:1807.23:</t>
  </si>
  <si>
    <t>&gt;2863:GTAGTG:14.00:50.00:OK:6:1847.26:</t>
  </si>
  <si>
    <t>&gt;2864:GTAGTT:8.00:33.33:OK:6:1822.24:</t>
  </si>
  <si>
    <t>&gt;2865:GTATAA:18.00:16.67:OK:6:1815.26:</t>
  </si>
  <si>
    <t>&gt;2866:GTATAC:16.00:33.33:OK:6:1791.23:</t>
  </si>
  <si>
    <t>&gt;2867:GTATAG:16.00:33.33:OK:6:1831.26:</t>
  </si>
  <si>
    <t>&gt;2868:GTATAT:10.00:16.67:OK:6:1806.24:</t>
  </si>
  <si>
    <t>&gt;2869:GTATCA:16.00:33.33:OK:6:1791.23:</t>
  </si>
  <si>
    <t>&gt;2870:GTATCC:14.00:50.00:OK:6:1767.20:</t>
  </si>
  <si>
    <t>&gt;2871:GTATCG:14.00:50.00:OK:6:1807.23:</t>
  </si>
  <si>
    <t>&gt;2872:GTATCT:8.00:33.33:OK:6:1782.21:</t>
  </si>
  <si>
    <t>&gt;2873:GTATGA:16.00:33.33:OK:6:1831.26:</t>
  </si>
  <si>
    <t>&gt;2874:GTATGC:14.00:50.00:OK:6:1807.23:</t>
  </si>
  <si>
    <t>&gt;2875:GTATGG:14.00:50.00:OK:6:1847.26:</t>
  </si>
  <si>
    <t>&gt;2876:GTATGT:8.00:33.33:OK:6:1822.24:</t>
  </si>
  <si>
    <t>&gt;2877:GTATTA:10.00:16.67:OK:6:1806.24:</t>
  </si>
  <si>
    <t>&gt;2878:GTATTC:8.00:33.33:OK:6:1782.21:</t>
  </si>
  <si>
    <t>&gt;2879:GTATTG:8.00:33.33:OK:6:1822.24:</t>
  </si>
  <si>
    <t>&gt;2880:GTATTT:2.00:16.67:OK:6:1797.22:</t>
  </si>
  <si>
    <t>&gt;2881:GTCAAA:24.00:33.33:OK:6:1800.25:</t>
  </si>
  <si>
    <t>&gt;2882:GTCAAC:22.00:50.00:OK:6:1776.22:</t>
  </si>
  <si>
    <t>&gt;2883:GTCAAG:22.00:50.00:OK:6:1816.25:</t>
  </si>
  <si>
    <t>&gt;2884:GTCAAT:16.00:33.33:OK:6:1791.23:</t>
  </si>
  <si>
    <t>&gt;2885:GTCACA:22.00:50.00:OK:6:1776.22:</t>
  </si>
  <si>
    <t>&gt;2886:GTCACC:20.00:66.67:Warning:6:1752.19:</t>
  </si>
  <si>
    <t>&gt;2887:GTCACG:20.00:66.67:Warning:6:1792.22:</t>
  </si>
  <si>
    <t>&gt;2888:GTCACT:14.00:50.00:OK:6:1767.20:</t>
  </si>
  <si>
    <t>&gt;2889:GTCAGA:22.00:50.00:OK:6:1816.25:</t>
  </si>
  <si>
    <t>&gt;2890:GTCAGC:20.00:66.67:Warning:6:1792.22:</t>
  </si>
  <si>
    <t>&gt;2891:GTCAGG:20.00:66.67:Warning:6:1832.25:</t>
  </si>
  <si>
    <t>&gt;2892:GTCAGT:14.00:50.00:OK:6:1807.23:</t>
  </si>
  <si>
    <t>&gt;2893:GTCATA:16.00:33.33:OK:6:1791.23:</t>
  </si>
  <si>
    <t>&gt;2894:GTCATC:14.00:50.00:OK:6:1767.20:</t>
  </si>
  <si>
    <t>&gt;2895:GTCATG:14.00:50.00:OK:6:1807.23:</t>
  </si>
  <si>
    <t>&gt;2896:GTCATT:8.00:33.33:OK:6:1782.21:</t>
  </si>
  <si>
    <t>&gt;2897:GTCCAA:22.00:50.00:OK:6:1776.22:</t>
  </si>
  <si>
    <t>&gt;2898:GTCCAC:20.00:66.67:Warning:6:1752.19:</t>
  </si>
  <si>
    <t>&gt;2899:GTCCAG:20.00:66.67:Warning:6:1792.22:</t>
  </si>
  <si>
    <t>&gt;2900:GTCCAT:14.00:50.00:OK:6:1767.20:</t>
  </si>
  <si>
    <t>&gt;2901:GTCCCA:20.00:66.67:Warning:6:1752.19:</t>
  </si>
  <si>
    <t>&gt;2902:GTCCCC:18.00:83.33:Warning:6:1728.16:</t>
  </si>
  <si>
    <t>&gt;2903:GTCCCG:18.00:83.33:Warning:6:1768.19:</t>
  </si>
  <si>
    <t>&gt;2904:GTCCCT:12.00:66.67:Warning:6:1743.17:</t>
  </si>
  <si>
    <t>&gt;2905:GTCCGA:20.00:66.67:Warning:6:1792.22:</t>
  </si>
  <si>
    <t>&gt;2906:GTCCGC:18.00:83.33:Warning:6:1768.19:</t>
  </si>
  <si>
    <t>&gt;2907:GTCCGG:18.00:83.33:Warning:6:1808.22:</t>
  </si>
  <si>
    <t>&gt;2908:GTCCGT:12.00:66.67:Warning:6:1783.20:</t>
  </si>
  <si>
    <t>&gt;2909:GTCCTA:14.00:50.00:OK:6:1767.20:</t>
  </si>
  <si>
    <t>&gt;2910:GTCCTC:12.00:66.67:Warning:6:1743.17:</t>
  </si>
  <si>
    <t>&gt;2911:GTCCTG:12.00:66.67:Warning:6:1783.20:</t>
  </si>
  <si>
    <t>&gt;2912:GTCCTT:6.00:50.00:OK:6:1758.18:</t>
  </si>
  <si>
    <t>&gt;2913:GTCGAA:22.00:50.00:OK:6:1816.25:</t>
  </si>
  <si>
    <t>&gt;2914:GTCGAC:20.00:66.67:Warning:6:1792.22:</t>
  </si>
  <si>
    <t>&gt;2915:GTCGAG:20.00:66.67:Warning:6:1832.25:</t>
  </si>
  <si>
    <t>&gt;2916:GTCGAT:14.00:50.00:OK:6:1807.23:</t>
  </si>
  <si>
    <t>&gt;2917:GTCGCA:20.00:66.67:Warning:6:1792.22:</t>
  </si>
  <si>
    <t>&gt;2918:GTCGCC:18.00:83.33:Warning:6:1768.19:</t>
  </si>
  <si>
    <t>&gt;2919:GTCGCG:18.00:83.33:Warning:6:1808.22:</t>
  </si>
  <si>
    <t>&gt;2920:GTCGCT:12.00:66.67:Warning:6:1783.20:</t>
  </si>
  <si>
    <t>&gt;2921:GTCGGA:20.00:66.67:Warning:6:1832.25:</t>
  </si>
  <si>
    <t>&gt;2922:GTCGGC:18.00:83.33:Warning:6:1808.22:</t>
  </si>
  <si>
    <t>&gt;2923:GTCGGG:18.00:83.33:Warning:6:1848.25:</t>
  </si>
  <si>
    <t>&gt;2924:GTCGGT:12.00:66.67:Warning:6:1823.23:</t>
  </si>
  <si>
    <t>&gt;2925:GTCGTA:14.00:50.00:OK:6:1807.23:</t>
  </si>
  <si>
    <t>&gt;2926:GTCGTC:12.00:66.67:Warning:6:1783.20:</t>
  </si>
  <si>
    <t>&gt;2927:GTCGTG:12.00:66.67:Warning:6:1823.23:</t>
  </si>
  <si>
    <t>&gt;2928:GTCGTT:6.00:50.00:OK:6:1798.21:</t>
  </si>
  <si>
    <t>&gt;2929:GTCTAA:16.00:33.33:OK:6:1791.23:</t>
  </si>
  <si>
    <t>&gt;2930:GTCTAC:14.00:50.00:OK:6:1767.20:</t>
  </si>
  <si>
    <t>&gt;2931:GTCTAG:14.00:50.00:OK:6:1807.23:</t>
  </si>
  <si>
    <t>&gt;2932:GTCTAT:8.00:33.33:OK:6:1782.21:</t>
  </si>
  <si>
    <t>&gt;2933:GTCTCA:14.00:50.00:OK:6:1767.20:</t>
  </si>
  <si>
    <t>&gt;2934:GTCTCC:12.00:66.67:Warning:6:1743.17:</t>
  </si>
  <si>
    <t>&gt;2935:GTCTCG:12.00:66.67:Warning:6:1783.20:</t>
  </si>
  <si>
    <t>&gt;2936:GTCTCT:6.00:50.00:OK:6:1758.18:</t>
  </si>
  <si>
    <t>&gt;2937:GTCTGA:14.00:50.00:OK:6:1807.23:</t>
  </si>
  <si>
    <t>&gt;2938:GTCTGC:12.00:66.67:Warning:6:1783.20:</t>
  </si>
  <si>
    <t>&gt;2939:GTCTGG:12.00:66.67:Warning:6:1823.23:</t>
  </si>
  <si>
    <t>&gt;2940:GTCTGT:6.00:50.00:OK:6:1798.21:</t>
  </si>
  <si>
    <t>&gt;2941:GTCTTA:8.00:33.33:OK:6:1782.21:</t>
  </si>
  <si>
    <t>&gt;2942:GTCTTC:6.00:50.00:OK:6:1758.18:</t>
  </si>
  <si>
    <t>&gt;2943:GTCTTG:6.00:50.00:OK:6:1798.21:</t>
  </si>
  <si>
    <t>&gt;2944:GTCTTT:0.00:33.33:OK:6:1773.19:</t>
  </si>
  <si>
    <t>&gt;2945:GTGAAA:24.00:33.33:OK:6:1840.28:</t>
  </si>
  <si>
    <t>&gt;2946:GTGAAC:22.00:50.00:OK:6:1816.25:</t>
  </si>
  <si>
    <t>&gt;2947:GTGAAG:22.00:50.00:OK:6:1856.28:</t>
  </si>
  <si>
    <t>&gt;2948:GTGAAT:16.00:33.33:OK:6:1831.26:</t>
  </si>
  <si>
    <t>&gt;2949:GTGACA:22.00:50.00:OK:6:1816.25:</t>
  </si>
  <si>
    <t>&gt;2950:GTGACC:20.00:66.67:Warning:6:1792.22:</t>
  </si>
  <si>
    <t>&gt;2951:GTGACG:20.00:66.67:Warning:6:1832.25:</t>
  </si>
  <si>
    <t>&gt;2952:GTGACT:14.00:50.00:OK:6:1807.23:</t>
  </si>
  <si>
    <t>&gt;2953:GTGAGA:22.00:50.00:OK:6:1856.28:</t>
  </si>
  <si>
    <t>&gt;2954:GTGAGC:20.00:66.67:Warning:6:1832.25:</t>
  </si>
  <si>
    <t>&gt;2955:GTGAGG:20.00:66.67:Warning:6:1872.28:</t>
  </si>
  <si>
    <t>&gt;2956:GTGAGT:14.00:50.00:OK:6:1847.26:</t>
  </si>
  <si>
    <t>&gt;2957:GTGATA:16.00:33.33:OK:6:1831.26:</t>
  </si>
  <si>
    <t>&gt;2958:GTGATC:14.00:50.00:OK:6:1807.23:</t>
  </si>
  <si>
    <t>&gt;2959:GTGATG:14.00:50.00:OK:6:1847.26:</t>
  </si>
  <si>
    <t>&gt;2960:GTGATT:8.00:33.33:OK:6:1822.24:</t>
  </si>
  <si>
    <t>&gt;2961:GTGCAA:22.00:50.00:OK:6:1816.25:</t>
  </si>
  <si>
    <t>&gt;2962:GTGCAC:20.00:66.67:Warning:6:1792.22:</t>
  </si>
  <si>
    <t>&gt;2963:GTGCAG:20.00:66.67:Warning:6:1832.25:</t>
  </si>
  <si>
    <t>&gt;2964:GTGCAT:14.00:50.00:OK:6:1807.23:</t>
  </si>
  <si>
    <t>&gt;2965:GTGCCA:20.00:66.67:Warning:6:1792.22:</t>
  </si>
  <si>
    <t>&gt;2966:GTGCCC:18.00:83.33:Warning:6:1768.19:</t>
  </si>
  <si>
    <t>&gt;2967:GTGCCG:18.00:83.33:Warning:6:1808.22:</t>
  </si>
  <si>
    <t>&gt;2968:GTGCCT:12.00:66.67:Warning:6:1783.20:</t>
  </si>
  <si>
    <t>&gt;2969:GTGCGA:20.00:66.67:Warning:6:1832.25:</t>
  </si>
  <si>
    <t>&gt;2970:GTGCGC:18.00:83.33:Warning:6:1808.22:</t>
  </si>
  <si>
    <t>&gt;2971:GTGCGG:18.00:83.33:Warning:6:1848.25:</t>
  </si>
  <si>
    <t>&gt;2972:GTGCGT:12.00:66.67:Warning:6:1823.23:</t>
  </si>
  <si>
    <t>&gt;2973:GTGCTA:14.00:50.00:OK:6:1807.23:</t>
  </si>
  <si>
    <t>&gt;2974:GTGCTC:12.00:66.67:Warning:6:1783.20:</t>
  </si>
  <si>
    <t>&gt;2975:GTGCTG:12.00:66.67:Warning:6:1823.23:</t>
  </si>
  <si>
    <t>&gt;2976:GTGCTT:6.00:50.00:OK:6:1798.21:</t>
  </si>
  <si>
    <t>&gt;2977:GTGGAA:22.00:50.00:OK:6:1856.28:</t>
  </si>
  <si>
    <t>&gt;2978:GTGGAC:20.00:66.67:Warning:6:1832.25:</t>
  </si>
  <si>
    <t>&gt;2979:GTGGAG:20.00:66.67:Warning:6:1872.28:</t>
  </si>
  <si>
    <t>&gt;2980:GTGGAT:14.00:50.00:OK:6:1847.26:</t>
  </si>
  <si>
    <t>&gt;2981:GTGGCA:20.00:66.67:Warning:6:1832.25:</t>
  </si>
  <si>
    <t>&gt;2982:GTGGCC:18.00:83.33:Warning:6:1808.22:</t>
  </si>
  <si>
    <t>&gt;2983:GTGGCG:18.00:83.33:Warning:6:1848.25:</t>
  </si>
  <si>
    <t>&gt;2984:GTGGCT:12.00:66.67:Warning:6:1823.23:</t>
  </si>
  <si>
    <t>&gt;2985:GTGGGA:20.00:66.67:Warning:6:1872.28:</t>
  </si>
  <si>
    <t>&gt;2986:GTGGGC:18.00:83.33:Warning:6:1848.25:</t>
  </si>
  <si>
    <t>&gt;2987:GTGGGG:18.00:83.33:Warning:6:1888.28:</t>
  </si>
  <si>
    <t>&gt;2988:GTGGGT:12.00:66.67:Warning:6:1863.26:</t>
  </si>
  <si>
    <t>&gt;2989:GTGGTA:14.00:50.00:OK:6:1847.26:</t>
  </si>
  <si>
    <t>&gt;2990:GTGGTC:12.00:66.67:Warning:6:1823.23:</t>
  </si>
  <si>
    <t>&gt;2991:GTGGTG:12.00:66.67:Warning:6:1863.26:</t>
  </si>
  <si>
    <t>&gt;2992:GTGGTT:6.00:50.00:OK:6:1838.24:</t>
  </si>
  <si>
    <t>&gt;2993:GTGTAA:16.00:33.33:OK:6:1831.26:</t>
  </si>
  <si>
    <t>&gt;2994:GTGTAC:14.00:50.00:OK:6:1807.23:</t>
  </si>
  <si>
    <t>&gt;2995:GTGTAG:14.00:50.00:OK:6:1847.26:</t>
  </si>
  <si>
    <t>&gt;2996:GTGTAT:8.00:33.33:OK:6:1822.24:</t>
  </si>
  <si>
    <t>&gt;2997:GTGTCA:14.00:50.00:OK:6:1807.23:</t>
  </si>
  <si>
    <t>&gt;2998:GTGTCC:12.00:66.67:Warning:6:1783.20:</t>
  </si>
  <si>
    <t>&gt;2999:GTGTCG:12.00:66.67:Warning:6:1823.23:</t>
  </si>
  <si>
    <t>&gt;3000:GTGTCT:6.00:50.00:OK:6:1798.21:</t>
  </si>
  <si>
    <t>&gt;3001:GTGTGA:14.00:50.00:OK:6:1847.26:</t>
  </si>
  <si>
    <t>&gt;3002:GTGTGC:12.00:66.67:Warning:6:1823.23:</t>
  </si>
  <si>
    <t>&gt;3003:GTGTGG:12.00:66.67:Warning:6:1863.26:</t>
  </si>
  <si>
    <t>&gt;3004:GTGTGT:6.00:50.00:OK:6:1838.24:</t>
  </si>
  <si>
    <t>&gt;3005:GTGTTA:8.00:33.33:OK:6:1822.24:</t>
  </si>
  <si>
    <t>&gt;3006:GTGTTC:6.00:50.00:OK:6:1798.21:</t>
  </si>
  <si>
    <t>&gt;3007:GTGTTG:6.00:50.00:OK:6:1838.24:</t>
  </si>
  <si>
    <t>&gt;3008:GTGTTT:0.00:33.33:OK:6:1813.22:</t>
  </si>
  <si>
    <t>&gt;3009:GTTAAA:18.00:16.67:OK:6:1815.26:</t>
  </si>
  <si>
    <t>&gt;3010:GTTAAC:16.00:33.33:OK:6:1791.23:</t>
  </si>
  <si>
    <t>&gt;3011:GTTAAG:16.00:33.33:OK:6:1831.26:</t>
  </si>
  <si>
    <t>&gt;3012:GTTAAT:10.00:16.67:OK:6:1806.24:</t>
  </si>
  <si>
    <t>&gt;3013:GTTACA:16.00:33.33:OK:6:1791.23:</t>
  </si>
  <si>
    <t>&gt;3014:GTTACC:14.00:50.00:OK:6:1767.20:</t>
  </si>
  <si>
    <t>&gt;3015:GTTACG:14.00:50.00:OK:6:1807.23:</t>
  </si>
  <si>
    <t>&gt;3016:GTTACT:8.00:33.33:OK:6:1782.21:</t>
  </si>
  <si>
    <t>&gt;3017:GTTAGA:16.00:33.33:OK:6:1831.26:</t>
  </si>
  <si>
    <t>&gt;3018:GTTAGC:14.00:50.00:OK:6:1807.23:</t>
  </si>
  <si>
    <t>&gt;3019:GTTAGG:14.00:50.00:OK:6:1847.26:</t>
  </si>
  <si>
    <t>&gt;3020:GTTAGT:8.00:33.33:OK:6:1822.24:</t>
  </si>
  <si>
    <t>&gt;3021:GTTATA:10.00:16.67:OK:6:1806.24:</t>
  </si>
  <si>
    <t>&gt;3022:GTTATC:8.00:33.33:OK:6:1782.21:</t>
  </si>
  <si>
    <t>&gt;3023:GTTATG:8.00:33.33:OK:6:1822.24:</t>
  </si>
  <si>
    <t>&gt;3024:GTTATT:2.00:16.67:OK:6:1797.22:</t>
  </si>
  <si>
    <t>&gt;3025:GTTCAA:16.00:33.33:OK:6:1791.23:</t>
  </si>
  <si>
    <t>&gt;3026:GTTCAC:14.00:50.00:OK:6:1767.20:</t>
  </si>
  <si>
    <t>&gt;3027:GTTCAG:14.00:50.00:OK:6:1807.23:</t>
  </si>
  <si>
    <t>&gt;3028:GTTCAT:8.00:33.33:OK:6:1782.21:</t>
  </si>
  <si>
    <t>&gt;3029:GTTCCA:14.00:50.00:OK:6:1767.20:</t>
  </si>
  <si>
    <t>&gt;3030:GTTCCC:12.00:66.67:Warning:6:1743.17:</t>
  </si>
  <si>
    <t>&gt;3031:GTTCCG:12.00:66.67:Warning:6:1783.20:</t>
  </si>
  <si>
    <t>&gt;3032:GTTCCT:6.00:50.00:OK:6:1758.18:</t>
  </si>
  <si>
    <t>&gt;3033:GTTCGA:14.00:50.00:OK:6:1807.23:</t>
  </si>
  <si>
    <t>&gt;3034:GTTCGC:12.00:66.67:Warning:6:1783.20:</t>
  </si>
  <si>
    <t>&gt;3035:GTTCGG:12.00:66.67:Warning:6:1823.23:</t>
  </si>
  <si>
    <t>&gt;3036:GTTCGT:6.00:50.00:OK:6:1798.21:</t>
  </si>
  <si>
    <t>&gt;3037:GTTCTA:8.00:33.33:OK:6:1782.21:</t>
  </si>
  <si>
    <t>&gt;3038:GTTCTC:6.00:50.00:OK:6:1758.18:</t>
  </si>
  <si>
    <t>&gt;3039:GTTCTG:6.00:50.00:OK:6:1798.21:</t>
  </si>
  <si>
    <t>&gt;3040:GTTCTT:0.00:33.33:OK:6:1773.19:</t>
  </si>
  <si>
    <t>&gt;3041:GTTGAA:16.00:33.33:OK:6:1831.26:</t>
  </si>
  <si>
    <t>&gt;3042:GTTGAC:14.00:50.00:OK:6:1807.23:</t>
  </si>
  <si>
    <t>&gt;3043:GTTGAG:14.00:50.00:OK:6:1847.26:</t>
  </si>
  <si>
    <t>&gt;3044:GTTGAT:8.00:33.33:OK:6:1822.24:</t>
  </si>
  <si>
    <t>&gt;3045:GTTGCA:14.00:50.00:OK:6:1807.23:</t>
  </si>
  <si>
    <t>&gt;3046:GTTGCC:12.00:66.67:Warning:6:1783.20:</t>
  </si>
  <si>
    <t>&gt;3047:GTTGCG:12.00:66.67:Warning:6:1823.23:</t>
  </si>
  <si>
    <t>&gt;3048:GTTGCT:6.00:50.00:OK:6:1798.21:</t>
  </si>
  <si>
    <t>&gt;3049:GTTGGA:14.00:50.00:OK:6:1847.26:</t>
  </si>
  <si>
    <t>&gt;3050:GTTGGC:12.00:66.67:Warning:6:1823.23:</t>
  </si>
  <si>
    <t>&gt;3051:GTTGGG:12.00:66.67:Warning:6:1863.26:</t>
  </si>
  <si>
    <t>&gt;3052:GTTGGT:6.00:50.00:OK:6:1838.24:</t>
  </si>
  <si>
    <t>&gt;3053:GTTGTA:8.00:33.33:OK:6:1822.24:</t>
  </si>
  <si>
    <t>&gt;3054:GTTGTC:6.00:50.00:OK:6:1798.21:</t>
  </si>
  <si>
    <t>&gt;3055:GTTGTG:6.00:50.00:OK:6:1838.24:</t>
  </si>
  <si>
    <t>&gt;3056:GTTGTT:0.00:33.33:OK:6:1813.22:</t>
  </si>
  <si>
    <t>&gt;3057:GTTTAA:10.00:16.67:OK:6:1806.24:</t>
  </si>
  <si>
    <t>&gt;3058:GTTTAC:8.00:33.33:OK:6:1782.21:</t>
  </si>
  <si>
    <t>&gt;3059:GTTTAG:8.00:33.33:OK:6:1822.24:</t>
  </si>
  <si>
    <t>&gt;3060:GTTTAT:2.00:16.67:OK:6:1797.22:</t>
  </si>
  <si>
    <t>&gt;3061:GTTTCA:8.00:33.33:OK:6:1782.21:</t>
  </si>
  <si>
    <t>&gt;3062:GTTTCC:6.00:50.00:OK:6:1758.18:</t>
  </si>
  <si>
    <t>&gt;3063:GTTTCG:6.00:50.00:OK:6:1798.21:</t>
  </si>
  <si>
    <t>&gt;3064:GTTTCT:0.00:33.33:OK:6:1773.19:</t>
  </si>
  <si>
    <t>&gt;3065:GTTTGA:8.00:33.33:OK:6:1822.24:</t>
  </si>
  <si>
    <t>&gt;3066:GTTTGC:6.00:50.00:OK:6:1798.21:</t>
  </si>
  <si>
    <t>&gt;3067:GTTTGG:6.00:50.00:OK:6:1838.24:</t>
  </si>
  <si>
    <t>&gt;3068:GTTTGT:0.00:33.33:OK:6:1813.22:</t>
  </si>
  <si>
    <t>&gt;3069:GTTTTA:2.00:16.67:OK:6:1797.22:</t>
  </si>
  <si>
    <t>&gt;3070:GTTTTC:0.00:33.33:OK:6:1773.19:</t>
  </si>
  <si>
    <t>&gt;3071:GTTTTG:0.00:33.33:OK:6:1813.22:</t>
  </si>
  <si>
    <t>&gt;3072:GTTTTT:-6.00:16.67:OK:6:1788.20:</t>
  </si>
  <si>
    <t>&gt;3073:TAAAAA:28.00:0.00:OK:6:1808.28:</t>
  </si>
  <si>
    <t>&gt;3074:TAAAAC:26.00:16.67:OK:6:1784.25:</t>
  </si>
  <si>
    <t>&gt;3075:TAAAAG:26.00:16.67:OK:6:1824.28:</t>
  </si>
  <si>
    <t>&gt;3076:TAAAAT:20.00:0.00:OK:6:1799.26:</t>
  </si>
  <si>
    <t>&gt;3077:TAAACA:26.00:16.67:OK:6:1784.25:</t>
  </si>
  <si>
    <t>&gt;3078:TAAACC:24.00:33.33:OK:6:1760.22:</t>
  </si>
  <si>
    <t>&gt;3079:TAAACG:24.00:33.33:OK:6:1800.25:</t>
  </si>
  <si>
    <t>&gt;3080:TAAACT:18.00:16.67:OK:6:1775.23:</t>
  </si>
  <si>
    <t>&gt;3081:TAAAGA:26.00:16.67:OK:6:1824.28:</t>
  </si>
  <si>
    <t>&gt;3082:TAAAGC:24.00:33.33:OK:6:1800.25:</t>
  </si>
  <si>
    <t>&gt;3083:TAAAGG:24.00:33.33:OK:6:1840.28:</t>
  </si>
  <si>
    <t>&gt;3084:TAAAGT:18.00:16.67:OK:6:1815.26:</t>
  </si>
  <si>
    <t>&gt;3085:TAAATA:20.00:0.00:OK:6:1799.26:</t>
  </si>
  <si>
    <t>&gt;3086:TAAATC:18.00:16.67:OK:6:1775.23:</t>
  </si>
  <si>
    <t>&gt;3087:TAAATG:18.00:16.67:OK:6:1815.26:</t>
  </si>
  <si>
    <t>&gt;3088:TAAATT:12.00:0.00:OK:6:1790.24:</t>
  </si>
  <si>
    <t>&gt;3089:TAACAA:26.00:16.67:OK:6:1784.25:</t>
  </si>
  <si>
    <t>&gt;3090:TAACAC:24.00:33.33:OK:6:1760.22:</t>
  </si>
  <si>
    <t>&gt;3091:TAACAG:24.00:33.33:OK:6:1800.25:</t>
  </si>
  <si>
    <t>&gt;3092:TAACAT:18.00:16.67:OK:6:1775.23:</t>
  </si>
  <si>
    <t>&gt;3093:TAACCA:24.00:33.33:OK:6:1760.22:</t>
  </si>
  <si>
    <t>&gt;3094:TAACCC:22.00:50.00:Warning:6:1736.19:</t>
  </si>
  <si>
    <t>&gt;3095:TAACCG:22.00:50.00:Warning:6:1776.22:</t>
  </si>
  <si>
    <t>&gt;3096:TAACCT:16.00:33.33:OK:6:1751.20:</t>
  </si>
  <si>
    <t>&gt;3097:TAACGA:24.00:33.33:OK:6:1800.25:</t>
  </si>
  <si>
    <t>&gt;3098:TAACGC:22.00:50.00:Warning:6:1776.22:</t>
  </si>
  <si>
    <t>&gt;3099:TAACGG:22.00:50.00:Warning:6:1816.25:</t>
  </si>
  <si>
    <t>&gt;3100:TAACGT:16.00:33.33:OK:6:1791.23:</t>
  </si>
  <si>
    <t>&gt;3101:TAACTA:18.00:16.67:OK:6:1775.23:</t>
  </si>
  <si>
    <t>&gt;3102:TAACTC:16.00:33.33:OK:6:1751.20:</t>
  </si>
  <si>
    <t>&gt;3103:TAACTG:16.00:33.33:OK:6:1791.23:</t>
  </si>
  <si>
    <t>&gt;3104:TAACTT:10.00:16.67:OK:6:1766.21:</t>
  </si>
  <si>
    <t>&gt;3105:TAAGAA:26.00:16.67:OK:6:1824.28:</t>
  </si>
  <si>
    <t>&gt;3106:TAAGAC:24.00:33.33:OK:6:1800.25:</t>
  </si>
  <si>
    <t>&gt;3107:TAAGAG:24.00:33.33:OK:6:1840.28:</t>
  </si>
  <si>
    <t>&gt;3108:TAAGAT:18.00:16.67:OK:6:1815.26:</t>
  </si>
  <si>
    <t>&gt;3109:TAAGCA:24.00:33.33:OK:6:1800.25:</t>
  </si>
  <si>
    <t>&gt;3110:TAAGCC:22.00:50.00:Warning:6:1776.22:</t>
  </si>
  <si>
    <t>&gt;3111:TAAGCG:22.00:50.00:Warning:6:1816.25:</t>
  </si>
  <si>
    <t>&gt;3112:TAAGCT:16.00:33.33:OK:6:1791.23:</t>
  </si>
  <si>
    <t>&gt;3113:TAAGGA:24.00:33.33:OK:6:1840.28:</t>
  </si>
  <si>
    <t>&gt;3114:TAAGGC:22.00:50.00:Warning:6:1816.25:</t>
  </si>
  <si>
    <t>&gt;3115:TAAGGG:22.00:50.00:Warning:6:1856.28:</t>
  </si>
  <si>
    <t>&gt;3116:TAAGGT:16.00:33.33:OK:6:1831.26:</t>
  </si>
  <si>
    <t>&gt;3117:TAAGTA:18.00:16.67:OK:6:1815.26:</t>
  </si>
  <si>
    <t>&gt;3118:TAAGTC:16.00:33.33:OK:6:1791.23:</t>
  </si>
  <si>
    <t>&gt;3119:TAAGTG:16.00:33.33:OK:6:1831.26:</t>
  </si>
  <si>
    <t>&gt;3120:TAAGTT:10.00:16.67:OK:6:1806.24:</t>
  </si>
  <si>
    <t>&gt;3121:TAATAA:20.00:0.00:OK:6:1799.26:</t>
  </si>
  <si>
    <t>&gt;3122:TAATAC:18.00:16.67:OK:6:1775.23:</t>
  </si>
  <si>
    <t>&gt;3123:TAATAG:18.00:16.67:OK:6:1815.26:</t>
  </si>
  <si>
    <t>&gt;3124:TAATAT:12.00:0.00:OK:6:1790.24:</t>
  </si>
  <si>
    <t>&gt;3125:TAATCA:18.00:16.67:OK:6:1775.23:</t>
  </si>
  <si>
    <t>&gt;3126:TAATCC:16.00:33.33:OK:6:1751.20:</t>
  </si>
  <si>
    <t>&gt;3127:TAATCG:16.00:33.33:OK:6:1791.23:</t>
  </si>
  <si>
    <t>&gt;3128:TAATCT:10.00:16.67:OK:6:1766.21:</t>
  </si>
  <si>
    <t>&gt;3129:TAATGA:18.00:16.67:OK:6:1815.26:</t>
  </si>
  <si>
    <t>&gt;3130:TAATGC:16.00:33.33:OK:6:1791.23:</t>
  </si>
  <si>
    <t>&gt;3131:TAATGG:16.00:33.33:OK:6:1831.26:</t>
  </si>
  <si>
    <t>&gt;3132:TAATGT:10.00:16.67:OK:6:1806.24:</t>
  </si>
  <si>
    <t>&gt;3133:TAATTA:12.00:0.00:OK:6:1790.24:</t>
  </si>
  <si>
    <t>&gt;3134:TAATTC:10.00:16.67:OK:6:1766.21:</t>
  </si>
  <si>
    <t>&gt;3135:TAATTG:10.00:16.67:OK:6:1806.24:</t>
  </si>
  <si>
    <t>&gt;3136:TAATTT:4.00:0.00:OK:6:1781.22:</t>
  </si>
  <si>
    <t>&gt;3137:TACAAA:26.00:16.67:OK:6:1784.25:</t>
  </si>
  <si>
    <t>&gt;3138:TACAAC:24.00:33.33:OK:6:1760.22:</t>
  </si>
  <si>
    <t>&gt;3139:TACAAG:24.00:33.33:OK:6:1800.25:</t>
  </si>
  <si>
    <t>&gt;3140:TACAAT:18.00:16.67:OK:6:1775.23:</t>
  </si>
  <si>
    <t>&gt;3141:TACACA:24.00:33.33:OK:6:1760.22:</t>
  </si>
  <si>
    <t>&gt;3142:TACACC:22.00:50.00:Warning:6:1736.19:</t>
  </si>
  <si>
    <t>&gt;3143:TACACG:22.00:50.00:Warning:6:1776.22:</t>
  </si>
  <si>
    <t>&gt;3144:TACACT:16.00:33.33:OK:6:1751.20:</t>
  </si>
  <si>
    <t>&gt;3145:TACAGA:24.00:33.33:OK:6:1800.25:</t>
  </si>
  <si>
    <t>&gt;3146:TACAGC:22.00:50.00:Warning:6:1776.22:</t>
  </si>
  <si>
    <t>&gt;3147:TACAGG:22.00:50.00:Warning:6:1816.25:</t>
  </si>
  <si>
    <t>&gt;3148:TACAGT:16.00:33.33:OK:6:1791.23:</t>
  </si>
  <si>
    <t>&gt;3149:TACATA:18.00:16.67:OK:6:1775.23:</t>
  </si>
  <si>
    <t>&gt;3150:TACATC:16.00:33.33:OK:6:1751.20:</t>
  </si>
  <si>
    <t>&gt;3151:TACATG:16.00:33.33:OK:6:1791.23:</t>
  </si>
  <si>
    <t>&gt;3152:TACATT:10.00:16.67:OK:6:1766.21:</t>
  </si>
  <si>
    <t>&gt;3153:TACCAA:24.00:33.33:OK:6:1760.22:</t>
  </si>
  <si>
    <t>&gt;3154:TACCAC:22.00:50.00:Warning:6:1736.19:</t>
  </si>
  <si>
    <t>&gt;3155:TACCAG:22.00:50.00:Warning:6:1776.22:</t>
  </si>
  <si>
    <t>&gt;3156:TACCAT:16.00:33.33:OK:6:1751.20:</t>
  </si>
  <si>
    <t>&gt;3157:TACCCA:22.00:50.00:Warning:6:1736.19:</t>
  </si>
  <si>
    <t>&gt;3158:TACCCC:20.00:66.67:Warning:6:1712.16:</t>
  </si>
  <si>
    <t>&gt;3159:TACCCG:20.00:66.67:Warning:6:1752.19:</t>
  </si>
  <si>
    <t>&gt;3160:TACCCT:14.00:50.00:Warning:6:1727.17:</t>
  </si>
  <si>
    <t>&gt;3161:TACCGA:22.00:50.00:Warning:6:1776.22:</t>
  </si>
  <si>
    <t>&gt;3162:TACCGC:20.00:66.67:Warning:6:1752.19:</t>
  </si>
  <si>
    <t>&gt;3163:TACCGG:20.00:66.67:Warning:6:1792.22:</t>
  </si>
  <si>
    <t>&gt;3164:TACCGT:14.00:50.00:Warning:6:1767.20:</t>
  </si>
  <si>
    <t>&gt;3165:TACCTA:16.00:33.33:OK:6:1751.20:</t>
  </si>
  <si>
    <t>&gt;3166:TACCTC:14.00:50.00:Warning:6:1727.17:</t>
  </si>
  <si>
    <t>&gt;3167:TACCTG:14.00:50.00:Warning:6:1767.20:</t>
  </si>
  <si>
    <t>&gt;3168:TACCTT:8.00:33.33:OK:6:1742.18:</t>
  </si>
  <si>
    <t>&gt;3169:TACGAA:24.00:33.33:OK:6:1800.25:</t>
  </si>
  <si>
    <t>&gt;3170:TACGAC:22.00:50.00:Warning:6:1776.22:</t>
  </si>
  <si>
    <t>&gt;3171:TACGAG:22.00:50.00:Warning:6:1816.25:</t>
  </si>
  <si>
    <t>&gt;3172:TACGAT:16.00:33.33:OK:6:1791.23:</t>
  </si>
  <si>
    <t>&gt;3173:TACGCA:22.00:50.00:Warning:6:1776.22:</t>
  </si>
  <si>
    <t>&gt;3174:TACGCC:20.00:66.67:Warning:6:1752.19:</t>
  </si>
  <si>
    <t>&gt;3175:TACGCG:20.00:66.67:Warning:6:1792.22:</t>
  </si>
  <si>
    <t>&gt;3176:TACGCT:14.00:50.00:Warning:6:1767.20:</t>
  </si>
  <si>
    <t>&gt;3177:TACGGA:22.00:50.00:Warning:6:1816.25:</t>
  </si>
  <si>
    <t>&gt;3178:TACGGC:20.00:66.67:Warning:6:1792.22:</t>
  </si>
  <si>
    <t>&gt;3179:TACGGG:20.00:66.67:Warning:6:1832.25:</t>
  </si>
  <si>
    <t>&gt;3180:TACGGT:14.00:50.00:Warning:6:1807.23:</t>
  </si>
  <si>
    <t>&gt;3181:TACGTA:16.00:33.33:OK:6:1791.23:</t>
  </si>
  <si>
    <t>&gt;3182:TACGTC:14.00:50.00:Warning:6:1767.20:</t>
  </si>
  <si>
    <t>&gt;3183:TACGTG:14.00:50.00:Warning:6:1807.23:</t>
  </si>
  <si>
    <t>&gt;3184:TACGTT:8.00:33.33:OK:6:1782.21:</t>
  </si>
  <si>
    <t>&gt;3185:TACTAA:18.00:16.67:OK:6:1775.23:</t>
  </si>
  <si>
    <t>&gt;3186:TACTAC:16.00:33.33:OK:6:1751.20:</t>
  </si>
  <si>
    <t>&gt;3187:TACTAG:16.00:33.33:OK:6:1791.23:</t>
  </si>
  <si>
    <t>&gt;3188:TACTAT:10.00:16.67:OK:6:1766.21:</t>
  </si>
  <si>
    <t>&gt;3189:TACTCA:16.00:33.33:OK:6:1751.20:</t>
  </si>
  <si>
    <t>&gt;3190:TACTCC:14.00:50.00:Warning:6:1727.17:</t>
  </si>
  <si>
    <t>&gt;3191:TACTCG:14.00:50.00:Warning:6:1767.20:</t>
  </si>
  <si>
    <t>&gt;3192:TACTCT:8.00:33.33:OK:6:1742.18:</t>
  </si>
  <si>
    <t>&gt;3193:TACTGA:16.00:33.33:OK:6:1791.23:</t>
  </si>
  <si>
    <t>&gt;3194:TACTGC:14.00:50.00:Warning:6:1767.20:</t>
  </si>
  <si>
    <t>&gt;3195:TACTGG:14.00:50.00:Warning:6:1807.23:</t>
  </si>
  <si>
    <t>&gt;3196:TACTGT:8.00:33.33:OK:6:1782.21:</t>
  </si>
  <si>
    <t>&gt;3197:TACTTA:10.00:16.67:OK:6:1766.21:</t>
  </si>
  <si>
    <t>&gt;3198:TACTTC:8.00:33.33:OK:6:1742.18:</t>
  </si>
  <si>
    <t>&gt;3199:TACTTG:8.00:33.33:OK:6:1782.21:</t>
  </si>
  <si>
    <t>&gt;3200:TACTTT:2.00:16.67:OK:6:1757.19:</t>
  </si>
  <si>
    <t>&gt;3201:TAGAAA:26.00:16.67:OK:6:1824.28:</t>
  </si>
  <si>
    <t>&gt;3202:TAGAAC:24.00:33.33:OK:6:1800.25:</t>
  </si>
  <si>
    <t>&gt;3203:TAGAAG:24.00:33.33:OK:6:1840.28:</t>
  </si>
  <si>
    <t>&gt;3204:TAGAAT:18.00:16.67:OK:6:1815.26:</t>
  </si>
  <si>
    <t>&gt;3205:TAGACA:24.00:33.33:OK:6:1800.25:</t>
  </si>
  <si>
    <t>&gt;3206:TAGACC:22.00:50.00:Warning:6:1776.22:</t>
  </si>
  <si>
    <t>&gt;3207:TAGACG:22.00:50.00:Warning:6:1816.25:</t>
  </si>
  <si>
    <t>&gt;3208:TAGACT:16.00:33.33:OK:6:1791.23:</t>
  </si>
  <si>
    <t>&gt;3209:TAGAGA:24.00:33.33:OK:6:1840.28:</t>
  </si>
  <si>
    <t>&gt;3210:TAGAGC:22.00:50.00:Warning:6:1816.25:</t>
  </si>
  <si>
    <t>&gt;3211:TAGAGG:22.00:50.00:Warning:6:1856.28:</t>
  </si>
  <si>
    <t>&gt;3212:TAGAGT:16.00:33.33:OK:6:1831.26:</t>
  </si>
  <si>
    <t>&gt;3213:TAGATA:18.00:16.67:OK:6:1815.26:</t>
  </si>
  <si>
    <t>&gt;3214:TAGATC:16.00:33.33:OK:6:1791.23:</t>
  </si>
  <si>
    <t>&gt;3215:TAGATG:16.00:33.33:OK:6:1831.26:</t>
  </si>
  <si>
    <t>&gt;3216:TAGATT:10.00:16.67:OK:6:1806.24:</t>
  </si>
  <si>
    <t>&gt;3217:TAGCAA:24.00:33.33:OK:6:1800.25:</t>
  </si>
  <si>
    <t>&gt;3218:TAGCAC:22.00:50.00:Warning:6:1776.22:</t>
  </si>
  <si>
    <t>&gt;3219:TAGCAG:22.00:50.00:Warning:6:1816.25:</t>
  </si>
  <si>
    <t>&gt;3220:TAGCAT:16.00:33.33:OK:6:1791.23:</t>
  </si>
  <si>
    <t>&gt;3221:TAGCCA:22.00:50.00:Warning:6:1776.22:</t>
  </si>
  <si>
    <t>&gt;3222:TAGCCC:20.00:66.67:Warning:6:1752.19:</t>
  </si>
  <si>
    <t>&gt;3223:TAGCCG:20.00:66.67:Warning:6:1792.22:</t>
  </si>
  <si>
    <t>&gt;3224:TAGCCT:14.00:50.00:Warning:6:1767.20:</t>
  </si>
  <si>
    <t>&gt;3225:TAGCGA:22.00:50.00:Warning:6:1816.25:</t>
  </si>
  <si>
    <t>&gt;3226:TAGCGC:20.00:66.67:Warning:6:1792.22:</t>
  </si>
  <si>
    <t>&gt;3227:TAGCGG:20.00:66.67:Warning:6:1832.25:</t>
  </si>
  <si>
    <t>&gt;3228:TAGCGT:14.00:50.00:Warning:6:1807.23:</t>
  </si>
  <si>
    <t>&gt;3229:TAGCTA:16.00:33.33:OK:6:1791.23:</t>
  </si>
  <si>
    <t>&gt;3230:TAGCTC:14.00:50.00:Warning:6:1767.20:</t>
  </si>
  <si>
    <t>&gt;3231:TAGCTG:14.00:50.00:Warning:6:1807.23:</t>
  </si>
  <si>
    <t>&gt;3232:TAGCTT:8.00:33.33:OK:6:1782.21:</t>
  </si>
  <si>
    <t>&gt;3233:TAGGAA:24.00:33.33:OK:6:1840.28:</t>
  </si>
  <si>
    <t>&gt;3234:TAGGAC:22.00:50.00:Warning:6:1816.25:</t>
  </si>
  <si>
    <t>&gt;3235:TAGGAG:22.00:50.00:Warning:6:1856.28:</t>
  </si>
  <si>
    <t>&gt;3236:TAGGAT:16.00:33.33:OK:6:1831.26:</t>
  </si>
  <si>
    <t>&gt;3237:TAGGCA:22.00:50.00:Warning:6:1816.25:</t>
  </si>
  <si>
    <t>&gt;3238:TAGGCC:20.00:66.67:Warning:6:1792.22:</t>
  </si>
  <si>
    <t>&gt;3239:TAGGCG:20.00:66.67:Warning:6:1832.25:</t>
  </si>
  <si>
    <t>&gt;3240:TAGGCT:14.00:50.00:Warning:6:1807.23:</t>
  </si>
  <si>
    <t>&gt;3241:TAGGGA:22.00:50.00:Warning:6:1856.28:</t>
  </si>
  <si>
    <t>&gt;3242:TAGGGC:20.00:66.67:Warning:6:1832.25:</t>
  </si>
  <si>
    <t>&gt;3243:TAGGGG:20.00:66.67:Warning:6:1872.28:</t>
  </si>
  <si>
    <t>&gt;3244:TAGGGT:14.00:50.00:Warning:6:1847.26:</t>
  </si>
  <si>
    <t>&gt;3245:TAGGTA:16.00:33.33:OK:6:1831.26:</t>
  </si>
  <si>
    <t>&gt;3246:TAGGTC:14.00:50.00:Warning:6:1807.23:</t>
  </si>
  <si>
    <t>&gt;3247:TAGGTG:14.00:50.00:Warning:6:1847.26:</t>
  </si>
  <si>
    <t>&gt;3248:TAGGTT:8.00:33.33:OK:6:1822.24:</t>
  </si>
  <si>
    <t>&gt;3249:TAGTAA:18.00:16.67:OK:6:1815.26:</t>
  </si>
  <si>
    <t>&gt;3250:TAGTAC:16.00:33.33:OK:6:1791.23:</t>
  </si>
  <si>
    <t>&gt;3251:TAGTAG:16.00:33.33:OK:6:1831.26:</t>
  </si>
  <si>
    <t>&gt;3252:TAGTAT:10.00:16.67:OK:6:1806.24:</t>
  </si>
  <si>
    <t>&gt;3253:TAGTCA:16.00:33.33:OK:6:1791.23:</t>
  </si>
  <si>
    <t>&gt;3254:TAGTCC:14.00:50.00:Warning:6:1767.20:</t>
  </si>
  <si>
    <t>&gt;3255:TAGTCG:14.00:50.00:Warning:6:1807.23:</t>
  </si>
  <si>
    <t>&gt;3256:TAGTCT:8.00:33.33:OK:6:1782.21:</t>
  </si>
  <si>
    <t>&gt;3257:TAGTGA:16.00:33.33:OK:6:1831.26:</t>
  </si>
  <si>
    <t>&gt;3258:TAGTGC:14.00:50.00:Warning:6:1807.23:</t>
  </si>
  <si>
    <t>&gt;3259:TAGTGG:14.00:50.00:Warning:6:1847.26:</t>
  </si>
  <si>
    <t>&gt;3260:TAGTGT:8.00:33.33:OK:6:1822.24:</t>
  </si>
  <si>
    <t>&gt;3261:TAGTTA:10.00:16.67:OK:6:1806.24:</t>
  </si>
  <si>
    <t>&gt;3262:TAGTTC:8.00:33.33:OK:6:1782.21:</t>
  </si>
  <si>
    <t>&gt;3263:TAGTTG:8.00:33.33:OK:6:1822.24:</t>
  </si>
  <si>
    <t>&gt;3264:TAGTTT:2.00:16.67:OK:6:1797.22:</t>
  </si>
  <si>
    <t>&gt;3265:TATAAA:20.00:0.00:OK:6:1799.26:</t>
  </si>
  <si>
    <t>&gt;3266:TATAAC:18.00:16.67:OK:6:1775.23:</t>
  </si>
  <si>
    <t>&gt;3267:TATAAG:18.00:16.67:OK:6:1815.26:</t>
  </si>
  <si>
    <t>&gt;3268:TATAAT:12.00:0.00:OK:6:1790.24:</t>
  </si>
  <si>
    <t>&gt;3269:TATACA:18.00:16.67:OK:6:1775.23:</t>
  </si>
  <si>
    <t>&gt;3270:TATACC:16.00:33.33:OK:6:1751.20:</t>
  </si>
  <si>
    <t>&gt;3271:TATACG:16.00:33.33:OK:6:1791.23:</t>
  </si>
  <si>
    <t>&gt;3272:TATACT:10.00:16.67:OK:6:1766.21:</t>
  </si>
  <si>
    <t>&gt;3273:TATAGA:18.00:16.67:OK:6:1815.26:</t>
  </si>
  <si>
    <t>&gt;3274:TATAGC:16.00:33.33:OK:6:1791.23:</t>
  </si>
  <si>
    <t>&gt;3275:TATAGG:16.00:33.33:OK:6:1831.26:</t>
  </si>
  <si>
    <t>&gt;3276:TATAGT:10.00:16.67:OK:6:1806.24:</t>
  </si>
  <si>
    <t>&gt;3277:TATATA:12.00:0.00:OK:6:1790.24:</t>
  </si>
  <si>
    <t>&gt;3278:TATATC:10.00:16.67:OK:6:1766.21:</t>
  </si>
  <si>
    <t>&gt;3279:TATATG:10.00:16.67:OK:6:1806.24:</t>
  </si>
  <si>
    <t>&gt;3280:TATATT:4.00:0.00:OK:6:1781.22:</t>
  </si>
  <si>
    <t>&gt;3281:TATCAA:18.00:16.67:OK:6:1775.23:</t>
  </si>
  <si>
    <t>&gt;3282:TATCAC:16.00:33.33:OK:6:1751.20:</t>
  </si>
  <si>
    <t>&gt;3283:TATCAG:16.00:33.33:OK:6:1791.23:</t>
  </si>
  <si>
    <t>&gt;3284:TATCAT:10.00:16.67:OK:6:1766.21:</t>
  </si>
  <si>
    <t>&gt;3285:TATCCA:16.00:33.33:OK:6:1751.20:</t>
  </si>
  <si>
    <t>&gt;3286:TATCCC:14.00:50.00:Warning:6:1727.17:</t>
  </si>
  <si>
    <t>&gt;3287:TATCCG:14.00:50.00:Warning:6:1767.20:</t>
  </si>
  <si>
    <t>&gt;3288:TATCCT:8.00:33.33:OK:6:1742.18:</t>
  </si>
  <si>
    <t>&gt;3289:TATCGA:16.00:33.33:OK:6:1791.23:</t>
  </si>
  <si>
    <t>&gt;3290:TATCGC:14.00:50.00:Warning:6:1767.20:</t>
  </si>
  <si>
    <t>&gt;3291:TATCGG:14.00:50.00:Warning:6:1807.23:</t>
  </si>
  <si>
    <t>&gt;3292:TATCGT:8.00:33.33:OK:6:1782.21:</t>
  </si>
  <si>
    <t>&gt;3293:TATCTA:10.00:16.67:OK:6:1766.21:</t>
  </si>
  <si>
    <t>&gt;3294:TATCTC:8.00:33.33:OK:6:1742.18:</t>
  </si>
  <si>
    <t>&gt;3295:TATCTG:8.00:33.33:OK:6:1782.21:</t>
  </si>
  <si>
    <t>&gt;3296:TATCTT:2.00:16.67:OK:6:1757.19:</t>
  </si>
  <si>
    <t>&gt;3297:TATGAA:18.00:16.67:OK:6:1815.26:</t>
  </si>
  <si>
    <t>&gt;3298:TATGAC:16.00:33.33:OK:6:1791.23:</t>
  </si>
  <si>
    <t>&gt;3299:TATGAG:16.00:33.33:OK:6:1831.26:</t>
  </si>
  <si>
    <t>&gt;3300:TATGAT:10.00:16.67:OK:6:1806.24:</t>
  </si>
  <si>
    <t>&gt;3301:TATGCA:16.00:33.33:OK:6:1791.23:</t>
  </si>
  <si>
    <t>&gt;3302:TATGCC:14.00:50.00:Warning:6:1767.20:</t>
  </si>
  <si>
    <t>&gt;3303:TATGCG:14.00:50.00:Warning:6:1807.23:</t>
  </si>
  <si>
    <t>&gt;3304:TATGCT:8.00:33.33:OK:6:1782.21:</t>
  </si>
  <si>
    <t>&gt;3305:TATGGA:16.00:33.33:OK:6:1831.26:</t>
  </si>
  <si>
    <t>&gt;3306:TATGGC:14.00:50.00:Warning:6:1807.23:</t>
  </si>
  <si>
    <t>&gt;3307:TATGGG:14.00:50.00:Warning:6:1847.26:</t>
  </si>
  <si>
    <t>&gt;3308:TATGGT:8.00:33.33:OK:6:1822.24:</t>
  </si>
  <si>
    <t>&gt;3309:TATGTA:10.00:16.67:OK:6:1806.24:</t>
  </si>
  <si>
    <t>&gt;3310:TATGTC:8.00:33.33:OK:6:1782.21:</t>
  </si>
  <si>
    <t>&gt;3311:TATGTG:8.00:33.33:OK:6:1822.24:</t>
  </si>
  <si>
    <t>&gt;3312:TATGTT:2.00:16.67:OK:6:1797.22:</t>
  </si>
  <si>
    <t>&gt;3313:TATTAA:12.00:0.00:OK:6:1790.24:</t>
  </si>
  <si>
    <t>&gt;3314:TATTAC:10.00:16.67:OK:6:1766.21:</t>
  </si>
  <si>
    <t>&gt;3315:TATTAG:10.00:16.67:OK:6:1806.24:</t>
  </si>
  <si>
    <t>&gt;3316:TATTAT:4.00:0.00:OK:6:1781.22:</t>
  </si>
  <si>
    <t>&gt;3317:TATTCA:10.00:16.67:OK:6:1766.21:</t>
  </si>
  <si>
    <t>&gt;3318:TATTCC:8.00:33.33:OK:6:1742.18:</t>
  </si>
  <si>
    <t>&gt;3319:TATTCG:8.00:33.33:OK:6:1782.21:</t>
  </si>
  <si>
    <t>&gt;3320:TATTCT:2.00:16.67:OK:6:1757.19:</t>
  </si>
  <si>
    <t>&gt;3321:TATTGA:10.00:16.67:OK:6:1806.24:</t>
  </si>
  <si>
    <t>&gt;3322:TATTGC:8.00:33.33:OK:6:1782.21:</t>
  </si>
  <si>
    <t>&gt;3323:TATTGG:8.00:33.33:OK:6:1822.24:</t>
  </si>
  <si>
    <t>&gt;3324:TATTGT:2.00:16.67:OK:6:1797.22:</t>
  </si>
  <si>
    <t>&gt;3325:TATTTA:4.00:0.00:OK:6:1781.22:</t>
  </si>
  <si>
    <t>&gt;3326:TATTTC:2.00:16.67:OK:6:1757.19:</t>
  </si>
  <si>
    <t>&gt;3327:TATTTG:2.00:16.67:OK:6:1797.22:</t>
  </si>
  <si>
    <t>&gt;3328:TATTTT:-4.00:0.00:OK:6:1772.20:</t>
  </si>
  <si>
    <t>&gt;3329:TCAAAA:26.00:16.67:OK:6:1784.25:</t>
  </si>
  <si>
    <t>&gt;3330:TCAAAC:24.00:33.33:OK:6:1760.22:</t>
  </si>
  <si>
    <t>&gt;3331:TCAAAG:24.00:33.33:OK:6:1800.25:</t>
  </si>
  <si>
    <t>&gt;3332:TCAAAT:18.00:16.67:OK:6:1775.23:</t>
  </si>
  <si>
    <t>&gt;3333:TCAACA:24.00:33.33:OK:6:1760.22:</t>
  </si>
  <si>
    <t>&gt;3334:TCAACC:22.00:50.00:Warning:6:1736.19:</t>
  </si>
  <si>
    <t>&gt;3335:TCAACG:22.00:50.00:Warning:6:1776.22:</t>
  </si>
  <si>
    <t>&gt;3336:TCAACT:16.00:33.33:OK:6:1751.20:</t>
  </si>
  <si>
    <t>&gt;3337:TCAAGA:24.00:33.33:OK:6:1800.25:</t>
  </si>
  <si>
    <t>&gt;3338:TCAAGC:22.00:50.00:Warning:6:1776.22:</t>
  </si>
  <si>
    <t>&gt;3339:TCAAGG:22.00:50.00:Warning:6:1816.25:</t>
  </si>
  <si>
    <t>&gt;3340:TCAAGT:16.00:33.33:OK:6:1791.23:</t>
  </si>
  <si>
    <t>&gt;3341:TCAATA:18.00:16.67:OK:6:1775.23:</t>
  </si>
  <si>
    <t>&gt;3342:TCAATC:16.00:33.33:OK:6:1751.20:</t>
  </si>
  <si>
    <t>&gt;3343:TCAATG:16.00:33.33:OK:6:1791.23:</t>
  </si>
  <si>
    <t>&gt;3344:TCAATT:10.00:16.67:OK:6:1766.21:</t>
  </si>
  <si>
    <t>&gt;3345:TCACAA:24.00:33.33:OK:6:1760.22:</t>
  </si>
  <si>
    <t>&gt;3346:TCACAC:22.00:50.00:Warning:6:1736.19:</t>
  </si>
  <si>
    <t>&gt;3347:TCACAG:22.00:50.00:Warning:6:1776.22:</t>
  </si>
  <si>
    <t>&gt;3348:TCACAT:16.00:33.33:OK:6:1751.20:</t>
  </si>
  <si>
    <t>&gt;3349:TCACCA:22.00:50.00:Warning:6:1736.19:</t>
  </si>
  <si>
    <t>&gt;3350:TCACCC:20.00:66.67:Warning:6:1712.16:</t>
  </si>
  <si>
    <t>&gt;3351:TCACCG:20.00:66.67:Warning:6:1752.19:</t>
  </si>
  <si>
    <t>&gt;3352:TCACCT:14.00:50.00:Warning:6:1727.17:</t>
  </si>
  <si>
    <t>&gt;3353:TCACGA:22.00:50.00:Warning:6:1776.22:</t>
  </si>
  <si>
    <t>&gt;3354:TCACGC:20.00:66.67:Warning:6:1752.19:</t>
  </si>
  <si>
    <t>&gt;3355:TCACGG:20.00:66.67:Warning:6:1792.22:</t>
  </si>
  <si>
    <t>&gt;3356:TCACGT:14.00:50.00:Warning:6:1767.20:</t>
  </si>
  <si>
    <t>&gt;3357:TCACTA:16.00:33.33:OK:6:1751.20:</t>
  </si>
  <si>
    <t>&gt;3358:TCACTC:14.00:50.00:Warning:6:1727.17:</t>
  </si>
  <si>
    <t>&gt;3359:TCACTG:14.00:50.00:Warning:6:1767.20:</t>
  </si>
  <si>
    <t>&gt;3360:TCACTT:8.00:33.33:OK:6:1742.18:</t>
  </si>
  <si>
    <t>&gt;3361:TCAGAA:24.00:33.33:OK:6:1800.25:</t>
  </si>
  <si>
    <t>&gt;3362:TCAGAC:22.00:50.00:Warning:6:1776.22:</t>
  </si>
  <si>
    <t>&gt;3363:TCAGAG:22.00:50.00:Warning:6:1816.25:</t>
  </si>
  <si>
    <t>&gt;3364:TCAGAT:16.00:33.33:OK:6:1791.23:</t>
  </si>
  <si>
    <t>&gt;3365:TCAGCA:22.00:50.00:Warning:6:1776.22:</t>
  </si>
  <si>
    <t>&gt;3366:TCAGCC:20.00:66.67:Warning:6:1752.19:</t>
  </si>
  <si>
    <t>&gt;3367:TCAGCG:20.00:66.67:Warning:6:1792.22:</t>
  </si>
  <si>
    <t>&gt;3368:TCAGCT:14.00:50.00:Warning:6:1767.20:</t>
  </si>
  <si>
    <t>&gt;3369:TCAGGA:22.00:50.00:Warning:6:1816.25:</t>
  </si>
  <si>
    <t>&gt;3370:TCAGGC:20.00:66.67:Warning:6:1792.22:</t>
  </si>
  <si>
    <t>&gt;3371:TCAGGG:20.00:66.67:Warning:6:1832.25:</t>
  </si>
  <si>
    <t>&gt;3372:TCAGGT:14.00:50.00:Warning:6:1807.23:</t>
  </si>
  <si>
    <t>&gt;3373:TCAGTA:16.00:33.33:OK:6:1791.23:</t>
  </si>
  <si>
    <t>&gt;3374:TCAGTC:14.00:50.00:Warning:6:1767.20:</t>
  </si>
  <si>
    <t>&gt;3375:TCAGTG:14.00:50.00:Warning:6:1807.23:</t>
  </si>
  <si>
    <t>&gt;3376:TCAGTT:8.00:33.33:OK:6:1782.21:</t>
  </si>
  <si>
    <t>&gt;3377:TCATAA:18.00:16.67:OK:6:1775.23:</t>
  </si>
  <si>
    <t>&gt;3378:TCATAC:16.00:33.33:OK:6:1751.20:</t>
  </si>
  <si>
    <t>&gt;3379:TCATAG:16.00:33.33:OK:6:1791.23:</t>
  </si>
  <si>
    <t>&gt;3380:TCATAT:10.00:16.67:OK:6:1766.21:</t>
  </si>
  <si>
    <t>&gt;3381:TCATCA:16.00:33.33:OK:6:1751.20:</t>
  </si>
  <si>
    <t>&gt;3382:TCATCC:14.00:50.00:Warning:6:1727.17:</t>
  </si>
  <si>
    <t>&gt;3383:TCATCG:14.00:50.00:Warning:6:1767.20:</t>
  </si>
  <si>
    <t>&gt;3384:TCATCT:8.00:33.33:OK:6:1742.18:</t>
  </si>
  <si>
    <t>&gt;3385:TCATGA:16.00:33.33:OK:6:1791.23:</t>
  </si>
  <si>
    <t>&gt;3386:TCATGC:14.00:50.00:Warning:6:1767.20:</t>
  </si>
  <si>
    <t>&gt;3387:TCATGG:14.00:50.00:Warning:6:1807.23:</t>
  </si>
  <si>
    <t>&gt;3388:TCATGT:8.00:33.33:OK:6:1782.21:</t>
  </si>
  <si>
    <t>&gt;3389:TCATTA:10.00:16.67:OK:6:1766.21:</t>
  </si>
  <si>
    <t>&gt;3390:TCATTC:8.00:33.33:OK:6:1742.18:</t>
  </si>
  <si>
    <t>&gt;3391:TCATTG:8.00:33.33:OK:6:1782.21:</t>
  </si>
  <si>
    <t>&gt;3392:TCATTT:2.00:16.67:OK:6:1757.19:</t>
  </si>
  <si>
    <t>&gt;3393:TCCAAA:24.00:33.33:OK:6:1760.22:</t>
  </si>
  <si>
    <t>&gt;3394:TCCAAC:22.00:50.00:Warning:6:1736.19:</t>
  </si>
  <si>
    <t>&gt;3395:TCCAAG:22.00:50.00:Warning:6:1776.22:</t>
  </si>
  <si>
    <t>&gt;3396:TCCAAT:16.00:33.33:OK:6:1751.20:</t>
  </si>
  <si>
    <t>&gt;3397:TCCACA:22.00:50.00:Warning:6:1736.19:</t>
  </si>
  <si>
    <t>&gt;3398:TCCACC:20.00:66.67:Warning:6:1712.16:</t>
  </si>
  <si>
    <t>&gt;3399:TCCACG:20.00:66.67:Warning:6:1752.19:</t>
  </si>
  <si>
    <t>&gt;3400:TCCACT:14.00:50.00:Warning:6:1727.17:</t>
  </si>
  <si>
    <t>&gt;3401:TCCAGA:22.00:50.00:Warning:6:1776.22:</t>
  </si>
  <si>
    <t>&gt;3402:TCCAGC:20.00:66.67:Warning:6:1752.19:</t>
  </si>
  <si>
    <t>&gt;3403:TCCAGG:20.00:66.67:Warning:6:1792.22:</t>
  </si>
  <si>
    <t>&gt;3404:TCCAGT:14.00:50.00:Warning:6:1767.20:</t>
  </si>
  <si>
    <t>&gt;3405:TCCATA:16.00:33.33:OK:6:1751.20:</t>
  </si>
  <si>
    <t>&gt;3406:TCCATC:14.00:50.00:Warning:6:1727.17:</t>
  </si>
  <si>
    <t>&gt;3407:TCCATG:14.00:50.00:Warning:6:1767.20:</t>
  </si>
  <si>
    <t>&gt;3408:TCCATT:8.00:33.33:OK:6:1742.18:</t>
  </si>
  <si>
    <t>&gt;3409:TCCCAA:22.00:50.00:Warning:6:1736.19:</t>
  </si>
  <si>
    <t>&gt;3410:TCCCAC:20.00:66.67:Warning:6:1712.16:</t>
  </si>
  <si>
    <t>&gt;3411:TCCCAG:20.00:66.67:Warning:6:1752.19:</t>
  </si>
  <si>
    <t>&gt;3412:TCCCAT:14.00:50.00:Warning:6:1727.17:</t>
  </si>
  <si>
    <t>&gt;3413:TCCCCA:20.00:66.67:Warning:6:1712.16:</t>
  </si>
  <si>
    <t>&gt;3414:TCCCCC:18.00:83.33:Warning:6:1688.13:</t>
  </si>
  <si>
    <t>&gt;3415:TCCCCG:18.00:83.33:Warning:6:1728.16:</t>
  </si>
  <si>
    <t>&gt;3416:TCCCCT:12.00:66.67:Warning:6:1703.14:</t>
  </si>
  <si>
    <t>&gt;3417:TCCCGA:20.00:66.67:Warning:6:1752.19:</t>
  </si>
  <si>
    <t>&gt;3418:TCCCGC:18.00:83.33:Warning:6:1728.16:</t>
  </si>
  <si>
    <t>&gt;3419:TCCCGG:18.00:83.33:Warning:6:1768.19:</t>
  </si>
  <si>
    <t>&gt;3420:TCCCGT:12.00:66.67:Warning:6:1743.17:</t>
  </si>
  <si>
    <t>&gt;3421:TCCCTA:14.00:50.00:Warning:6:1727.17:</t>
  </si>
  <si>
    <t>&gt;3422:TCCCTC:12.00:66.67:Warning:6:1703.14:</t>
  </si>
  <si>
    <t>&gt;3423:TCCCTG:12.00:66.67:Warning:6:1743.17:</t>
  </si>
  <si>
    <t>&gt;3424:TCCCTT:6.00:50.00:Warning:6:1718.15:</t>
  </si>
  <si>
    <t>&gt;3425:TCCGAA:22.00:50.00:Warning:6:1776.22:</t>
  </si>
  <si>
    <t>&gt;3426:TCCGAC:20.00:66.67:Warning:6:1752.19:</t>
  </si>
  <si>
    <t>&gt;3427:TCCGAG:20.00:66.67:Warning:6:1792.22:</t>
  </si>
  <si>
    <t>&gt;3428:TCCGAT:14.00:50.00:Warning:6:1767.20:</t>
  </si>
  <si>
    <t>&gt;3429:TCCGCA:20.00:66.67:Warning:6:1752.19:</t>
  </si>
  <si>
    <t>&gt;3430:TCCGCC:18.00:83.33:Warning:6:1728.16:</t>
  </si>
  <si>
    <t>&gt;3431:TCCGCG:18.00:83.33:Warning:6:1768.19:</t>
  </si>
  <si>
    <t>&gt;3432:TCCGCT:12.00:66.67:Warning:6:1743.17:</t>
  </si>
  <si>
    <t>&gt;3433:TCCGGA:20.00:66.67:Warning:6:1792.22:</t>
  </si>
  <si>
    <t>&gt;3434:TCCGGC:18.00:83.33:Warning:6:1768.19:</t>
  </si>
  <si>
    <t>&gt;3435:TCCGGG:18.00:83.33:Warning:6:1808.22:</t>
  </si>
  <si>
    <t>&gt;3436:TCCGGT:12.00:66.67:Warning:6:1783.20:</t>
  </si>
  <si>
    <t>&gt;3437:TCCGTA:14.00:50.00:Warning:6:1767.20:</t>
  </si>
  <si>
    <t>&gt;3438:TCCGTC:12.00:66.67:Warning:6:1743.17:</t>
  </si>
  <si>
    <t>&gt;3439:TCCGTG:12.00:66.67:Warning:6:1783.20:</t>
  </si>
  <si>
    <t>&gt;3440:TCCGTT:6.00:50.00:Warning:6:1758.18:</t>
  </si>
  <si>
    <t>&gt;3441:TCCTAA:16.00:33.33:OK:6:1751.20:</t>
  </si>
  <si>
    <t>&gt;3442:TCCTAC:14.00:50.00:Warning:6:1727.17:</t>
  </si>
  <si>
    <t>&gt;3443:TCCTAG:14.00:50.00:Warning:6:1767.20:</t>
  </si>
  <si>
    <t>&gt;3444:TCCTAT:8.00:33.33:OK:6:1742.18:</t>
  </si>
  <si>
    <t>&gt;3445:TCCTCA:14.00:50.00:Warning:6:1727.17:</t>
  </si>
  <si>
    <t>&gt;3446:TCCTCC:12.00:66.67:Warning:6:1703.14:</t>
  </si>
  <si>
    <t>&gt;3447:TCCTCG:12.00:66.67:Warning:6:1743.17:</t>
  </si>
  <si>
    <t>&gt;3448:TCCTCT:6.00:50.00:Warning:6:1718.15:</t>
  </si>
  <si>
    <t>&gt;3449:TCCTGA:14.00:50.00:Warning:6:1767.20:</t>
  </si>
  <si>
    <t>&gt;3450:TCCTGC:12.00:66.67:Warning:6:1743.17:</t>
  </si>
  <si>
    <t>&gt;3451:TCCTGG:12.00:66.67:Warning:6:1783.20:</t>
  </si>
  <si>
    <t>&gt;3452:TCCTGT:6.00:50.00:Warning:6:1758.18:</t>
  </si>
  <si>
    <t>&gt;3453:TCCTTA:8.00:33.33:OK:6:1742.18:</t>
  </si>
  <si>
    <t>&gt;3454:TCCTTC:6.00:50.00:Warning:6:1718.15:</t>
  </si>
  <si>
    <t>&gt;3455:TCCTTG:6.00:50.00:Warning:6:1758.18:</t>
  </si>
  <si>
    <t>&gt;3456:TCCTTT:0.00:33.33:OK:6:1733.16:</t>
  </si>
  <si>
    <t>&gt;3457:TCGAAA:24.00:33.33:OK:6:1800.25:</t>
  </si>
  <si>
    <t>&gt;3458:TCGAAC:22.00:50.00:Warning:6:1776.22:</t>
  </si>
  <si>
    <t>&gt;3459:TCGAAG:22.00:50.00:Warning:6:1816.25:</t>
  </si>
  <si>
    <t>&gt;3460:TCGAAT:16.00:33.33:OK:6:1791.23:</t>
  </si>
  <si>
    <t>&gt;3461:TCGACA:22.00:50.00:Warning:6:1776.22:</t>
  </si>
  <si>
    <t>&gt;3462:TCGACC:20.00:66.67:Warning:6:1752.19:</t>
  </si>
  <si>
    <t>&gt;3463:TCGACG:20.00:66.67:Warning:6:1792.22:</t>
  </si>
  <si>
    <t>&gt;3464:TCGACT:14.00:50.00:Warning:6:1767.20:</t>
  </si>
  <si>
    <t>&gt;3465:TCGAGA:22.00:50.00:Warning:6:1816.25:</t>
  </si>
  <si>
    <t>&gt;3466:TCGAGC:20.00:66.67:Warning:6:1792.22:</t>
  </si>
  <si>
    <t>&gt;3467:TCGAGG:20.00:66.67:Warning:6:1832.25:</t>
  </si>
  <si>
    <t>&gt;3468:TCGAGT:14.00:50.00:Warning:6:1807.23:</t>
  </si>
  <si>
    <t>&gt;3469:TCGATA:16.00:33.33:OK:6:1791.23:</t>
  </si>
  <si>
    <t>&gt;3470:TCGATC:14.00:50.00:Warning:6:1767.20:</t>
  </si>
  <si>
    <t>&gt;3471:TCGATG:14.00:50.00:Warning:6:1807.23:</t>
  </si>
  <si>
    <t>&gt;3472:TCGATT:8.00:33.33:OK:6:1782.21:</t>
  </si>
  <si>
    <t>&gt;3473:TCGCAA:22.00:50.00:Warning:6:1776.22:</t>
  </si>
  <si>
    <t>&gt;3474:TCGCAC:20.00:66.67:Warning:6:1752.19:</t>
  </si>
  <si>
    <t>&gt;3475:TCGCAG:20.00:66.67:Warning:6:1792.22:</t>
  </si>
  <si>
    <t>&gt;3476:TCGCAT:14.00:50.00:Warning:6:1767.20:</t>
  </si>
  <si>
    <t>&gt;3477:TCGCCA:20.00:66.67:Warning:6:1752.19:</t>
  </si>
  <si>
    <t>&gt;3478:TCGCCC:18.00:83.33:Warning:6:1728.16:</t>
  </si>
  <si>
    <t>&gt;3479:TCGCCG:18.00:83.33:Warning:6:1768.19:</t>
  </si>
  <si>
    <t>&gt;3480:TCGCCT:12.00:66.67:Warning:6:1743.17:</t>
  </si>
  <si>
    <t>&gt;3481:TCGCGA:20.00:66.67:Warning:6:1792.22:</t>
  </si>
  <si>
    <t>&gt;3482:TCGCGC:18.00:83.33:Warning:6:1768.19:</t>
  </si>
  <si>
    <t>&gt;3483:TCGCGG:18.00:83.33:Warning:6:1808.22:</t>
  </si>
  <si>
    <t>&gt;3484:TCGCGT:12.00:66.67:Warning:6:1783.20:</t>
  </si>
  <si>
    <t>&gt;3485:TCGCTA:14.00:50.00:Warning:6:1767.20:</t>
  </si>
  <si>
    <t>&gt;3486:TCGCTC:12.00:66.67:Warning:6:1743.17:</t>
  </si>
  <si>
    <t>&gt;3487:TCGCTG:12.00:66.67:Warning:6:1783.20:</t>
  </si>
  <si>
    <t>&gt;3488:TCGCTT:6.00:50.00:Warning:6:1758.18:</t>
  </si>
  <si>
    <t>&gt;3489:TCGGAA:22.00:50.00:Warning:6:1816.25:</t>
  </si>
  <si>
    <t>&gt;3490:TCGGAC:20.00:66.67:Warning:6:1792.22:</t>
  </si>
  <si>
    <t>&gt;3491:TCGGAG:20.00:66.67:Warning:6:1832.25:</t>
  </si>
  <si>
    <t>&gt;3492:TCGGAT:14.00:50.00:Warning:6:1807.23:</t>
  </si>
  <si>
    <t>&gt;3493:TCGGCA:20.00:66.67:Warning:6:1792.22:</t>
  </si>
  <si>
    <t>&gt;3494:TCGGCC:18.00:83.33:Warning:6:1768.19:</t>
  </si>
  <si>
    <t>&gt;3495:TCGGCG:18.00:83.33:Warning:6:1808.22:</t>
  </si>
  <si>
    <t>&gt;3496:TCGGCT:12.00:66.67:Warning:6:1783.20:</t>
  </si>
  <si>
    <t>&gt;3497:TCGGGA:20.00:66.67:Warning:6:1832.25:</t>
  </si>
  <si>
    <t>&gt;3498:TCGGGC:18.00:83.33:Warning:6:1808.22:</t>
  </si>
  <si>
    <t>&gt;3499:TCGGGG:18.00:83.33:Warning:6:1848.25:</t>
  </si>
  <si>
    <t>&gt;3500:TCGGGT:12.00:66.67:Warning:6:1823.23:</t>
  </si>
  <si>
    <t>&gt;3501:TCGGTA:14.00:50.00:Warning:6:1807.23:</t>
  </si>
  <si>
    <t>&gt;3502:TCGGTC:12.00:66.67:Warning:6:1783.20:</t>
  </si>
  <si>
    <t>&gt;3503:TCGGTG:12.00:66.67:Warning:6:1823.23:</t>
  </si>
  <si>
    <t>&gt;3504:TCGGTT:6.00:50.00:Warning:6:1798.21:</t>
  </si>
  <si>
    <t>&gt;3505:TCGTAA:16.00:33.33:OK:6:1791.23:</t>
  </si>
  <si>
    <t>&gt;3506:TCGTAC:14.00:50.00:Warning:6:1767.20:</t>
  </si>
  <si>
    <t>&gt;3507:TCGTAG:14.00:50.00:Warning:6:1807.23:</t>
  </si>
  <si>
    <t>&gt;3508:TCGTAT:8.00:33.33:OK:6:1782.21:</t>
  </si>
  <si>
    <t>&gt;3509:TCGTCA:14.00:50.00:Warning:6:1767.20:</t>
  </si>
  <si>
    <t>&gt;3510:TCGTCC:12.00:66.67:Warning:6:1743.17:</t>
  </si>
  <si>
    <t>&gt;3511:TCGTCG:12.00:66.67:Warning:6:1783.20:</t>
  </si>
  <si>
    <t>&gt;3512:TCGTCT:6.00:50.00:Warning:6:1758.18:</t>
  </si>
  <si>
    <t>&gt;3513:TCGTGA:14.00:50.00:Warning:6:1807.23:</t>
  </si>
  <si>
    <t>&gt;3514:TCGTGC:12.00:66.67:Warning:6:1783.20:</t>
  </si>
  <si>
    <t>&gt;3515:TCGTGG:12.00:66.67:Warning:6:1823.23:</t>
  </si>
  <si>
    <t>&gt;3516:TCGTGT:6.00:50.00:Warning:6:1798.21:</t>
  </si>
  <si>
    <t>&gt;3517:TCGTTA:8.00:33.33:OK:6:1782.21:</t>
  </si>
  <si>
    <t>&gt;3518:TCGTTC:6.00:50.00:Warning:6:1758.18:</t>
  </si>
  <si>
    <t>&gt;3519:TCGTTG:6.00:50.00:Warning:6:1798.21:</t>
  </si>
  <si>
    <t>&gt;3520:TCGTTT:0.00:33.33:OK:6:1773.19:</t>
  </si>
  <si>
    <t>&gt;3521:TCTAAA:18.00:16.67:OK:6:1775.23:</t>
  </si>
  <si>
    <t>&gt;3522:TCTAAC:16.00:33.33:OK:6:1751.20:</t>
  </si>
  <si>
    <t>&gt;3523:TCTAAG:16.00:33.33:OK:6:1791.23:</t>
  </si>
  <si>
    <t>&gt;3524:TCTAAT:10.00:16.67:OK:6:1766.21:</t>
  </si>
  <si>
    <t>&gt;3525:TCTACA:16.00:33.33:OK:6:1751.20:</t>
  </si>
  <si>
    <t>&gt;3526:TCTACC:14.00:50.00:Warning:6:1727.17:</t>
  </si>
  <si>
    <t>&gt;3527:TCTACG:14.00:50.00:Warning:6:1767.20:</t>
  </si>
  <si>
    <t>&gt;3528:TCTACT:8.00:33.33:OK:6:1742.18:</t>
  </si>
  <si>
    <t>&gt;3529:TCTAGA:16.00:33.33:OK:6:1791.23:</t>
  </si>
  <si>
    <t>&gt;3530:TCTAGC:14.00:50.00:Warning:6:1767.20:</t>
  </si>
  <si>
    <t>&gt;3531:TCTAGG:14.00:50.00:Warning:6:1807.23:</t>
  </si>
  <si>
    <t>&gt;3532:TCTAGT:8.00:33.33:OK:6:1782.21:</t>
  </si>
  <si>
    <t>&gt;3533:TCTATA:10.00:16.67:OK:6:1766.21:</t>
  </si>
  <si>
    <t>&gt;3534:TCTATC:8.00:33.33:OK:6:1742.18:</t>
  </si>
  <si>
    <t>&gt;3535:TCTATG:8.00:33.33:OK:6:1782.21:</t>
  </si>
  <si>
    <t>&gt;3536:TCTATT:2.00:16.67:OK:6:1757.19:</t>
  </si>
  <si>
    <t>&gt;3537:TCTCAA:16.00:33.33:OK:6:1751.20:</t>
  </si>
  <si>
    <t>&gt;3538:TCTCAC:14.00:50.00:Warning:6:1727.17:</t>
  </si>
  <si>
    <t>&gt;3539:TCTCAG:14.00:50.00:Warning:6:1767.20:</t>
  </si>
  <si>
    <t>&gt;3540:TCTCAT:8.00:33.33:OK:6:1742.18:</t>
  </si>
  <si>
    <t>&gt;3541:TCTCCA:14.00:50.00:Warning:6:1727.17:</t>
  </si>
  <si>
    <t>&gt;3542:TCTCCC:12.00:66.67:Warning:6:1703.14:</t>
  </si>
  <si>
    <t>&gt;3543:TCTCCG:12.00:66.67:Warning:6:1743.17:</t>
  </si>
  <si>
    <t>&gt;3544:TCTCCT:6.00:50.00:Warning:6:1718.15:</t>
  </si>
  <si>
    <t>&gt;3545:TCTCGA:14.00:50.00:Warning:6:1767.20:</t>
  </si>
  <si>
    <t>&gt;3546:TCTCGC:12.00:66.67:Warning:6:1743.17:</t>
  </si>
  <si>
    <t>&gt;3547:TCTCGG:12.00:66.67:Warning:6:1783.20:</t>
  </si>
  <si>
    <t>&gt;3548:TCTCGT:6.00:50.00:Warning:6:1758.18:</t>
  </si>
  <si>
    <t>&gt;3549:TCTCTA:8.00:33.33:OK:6:1742.18:</t>
  </si>
  <si>
    <t>&gt;3550:TCTCTC:6.00:50.00:Warning:6:1718.15:</t>
  </si>
  <si>
    <t>&gt;3551:TCTCTG:6.00:50.00:Warning:6:1758.18:</t>
  </si>
  <si>
    <t>&gt;3552:TCTCTT:0.00:33.33:OK:6:1733.16:</t>
  </si>
  <si>
    <t>&gt;3553:TCTGAA:16.00:33.33:OK:6:1791.23:</t>
  </si>
  <si>
    <t>&gt;3554:TCTGAC:14.00:50.00:Warning:6:1767.20:</t>
  </si>
  <si>
    <t>&gt;3555:TCTGAG:14.00:50.00:Warning:6:1807.23:</t>
  </si>
  <si>
    <t>&gt;3556:TCTGAT:8.00:33.33:OK:6:1782.21:</t>
  </si>
  <si>
    <t>&gt;3557:TCTGCA:14.00:50.00:Warning:6:1767.20:</t>
  </si>
  <si>
    <t>&gt;3558:TCTGCC:12.00:66.67:Warning:6:1743.17:</t>
  </si>
  <si>
    <t>&gt;3559:TCTGCG:12.00:66.67:Warning:6:1783.20:</t>
  </si>
  <si>
    <t>&gt;3560:TCTGCT:6.00:50.00:Warning:6:1758.18:</t>
  </si>
  <si>
    <t>&gt;3561:TCTGGA:14.00:50.00:Warning:6:1807.23:</t>
  </si>
  <si>
    <t>&gt;3562:TCTGGC:12.00:66.67:Warning:6:1783.20:</t>
  </si>
  <si>
    <t>&gt;3563:TCTGGG:12.00:66.67:Warning:6:1823.23:</t>
  </si>
  <si>
    <t>&gt;3564:TCTGGT:6.00:50.00:Warning:6:1798.21:</t>
  </si>
  <si>
    <t>&gt;3565:TCTGTA:8.00:33.33:OK:6:1782.21:</t>
  </si>
  <si>
    <t>&gt;3566:TCTGTC:6.00:50.00:Warning:6:1758.18:</t>
  </si>
  <si>
    <t>&gt;3567:TCTGTG:6.00:50.00:Warning:6:1798.21:</t>
  </si>
  <si>
    <t>&gt;3568:TCTGTT:0.00:33.33:OK:6:1773.19:</t>
  </si>
  <si>
    <t>&gt;3569:TCTTAA:10.00:16.67:OK:6:1766.21:</t>
  </si>
  <si>
    <t>&gt;3570:TCTTAC:8.00:33.33:OK:6:1742.18:</t>
  </si>
  <si>
    <t>&gt;3571:TCTTAG:8.00:33.33:OK:6:1782.21:</t>
  </si>
  <si>
    <t>&gt;3572:TCTTAT:2.00:16.67:OK:6:1757.19:</t>
  </si>
  <si>
    <t>&gt;3573:TCTTCA:8.00:33.33:OK:6:1742.18:</t>
  </si>
  <si>
    <t>&gt;3574:TCTTCC:6.00:50.00:Warning:6:1718.15:</t>
  </si>
  <si>
    <t>&gt;3575:TCTTCG:6.00:50.00:Warning:6:1758.18:</t>
  </si>
  <si>
    <t>&gt;3576:TCTTCT:0.00:33.33:OK:6:1733.16:</t>
  </si>
  <si>
    <t>&gt;3577:TCTTGA:8.00:33.33:OK:6:1782.21:</t>
  </si>
  <si>
    <t>&gt;3578:TCTTGC:6.00:50.00:Warning:6:1758.18:</t>
  </si>
  <si>
    <t>&gt;3579:TCTTGG:6.00:50.00:Warning:6:1798.21:</t>
  </si>
  <si>
    <t>&gt;3580:TCTTGT:0.00:33.33:OK:6:1773.19:</t>
  </si>
  <si>
    <t>&gt;3581:TCTTTA:2.00:16.67:OK:6:1757.19:</t>
  </si>
  <si>
    <t>&gt;3582:TCTTTC:0.00:33.33:OK:6:1733.16:</t>
  </si>
  <si>
    <t>&gt;3583:TCTTTG:0.00:33.33:OK:6:1773.19:</t>
  </si>
  <si>
    <t>&gt;3584:TCTTTT:-6.00:16.67:OK:6:1748.17:</t>
  </si>
  <si>
    <t>&gt;3585:TGAAAA:26.00:16.67:OK:6:1824.28:</t>
  </si>
  <si>
    <t>&gt;3586:TGAAAC:24.00:33.33:OK:6:1800.25:</t>
  </si>
  <si>
    <t>&gt;3587:TGAAAG:24.00:33.33:OK:6:1840.28:</t>
  </si>
  <si>
    <t>&gt;3588:TGAAAT:18.00:16.67:OK:6:1815.26:</t>
  </si>
  <si>
    <t>&gt;3589:TGAACA:24.00:33.33:OK:6:1800.25:</t>
  </si>
  <si>
    <t>&gt;3590:TGAACC:22.00:50.00:Warning:6:1776.22:</t>
  </si>
  <si>
    <t>&gt;3591:TGAACG:22.00:50.00:Warning:6:1816.25:</t>
  </si>
  <si>
    <t>&gt;3592:TGAACT:16.00:33.33:OK:6:1791.23:</t>
  </si>
  <si>
    <t>&gt;3593:TGAAGA:24.00:33.33:OK:6:1840.28:</t>
  </si>
  <si>
    <t>&gt;3594:TGAAGC:22.00:50.00:Warning:6:1816.25:</t>
  </si>
  <si>
    <t>&gt;3595:TGAAGG:22.00:50.00:Warning:6:1856.28:</t>
  </si>
  <si>
    <t>&gt;3596:TGAAGT:16.00:33.33:OK:6:1831.26:</t>
  </si>
  <si>
    <t>&gt;3597:TGAATA:18.00:16.67:OK:6:1815.26:</t>
  </si>
  <si>
    <t>&gt;3598:TGAATC:16.00:33.33:OK:6:1791.23:</t>
  </si>
  <si>
    <t>&gt;3599:TGAATG:16.00:33.33:OK:6:1831.26:</t>
  </si>
  <si>
    <t>&gt;3600:TGAATT:10.00:16.67:OK:6:1806.24:</t>
  </si>
  <si>
    <t>&gt;3601:TGACAA:24.00:33.33:OK:6:1800.25:</t>
  </si>
  <si>
    <t>&gt;3602:TGACAC:22.00:50.00:Warning:6:1776.22:</t>
  </si>
  <si>
    <t>&gt;3603:TGACAG:22.00:50.00:Warning:6:1816.25:</t>
  </si>
  <si>
    <t>&gt;3604:TGACAT:16.00:33.33:OK:6:1791.23:</t>
  </si>
  <si>
    <t>&gt;3605:TGACCA:22.00:50.00:Warning:6:1776.22:</t>
  </si>
  <si>
    <t>&gt;3606:TGACCC:20.00:66.67:Warning:6:1752.19:</t>
  </si>
  <si>
    <t>&gt;3607:TGACCG:20.00:66.67:Warning:6:1792.22:</t>
  </si>
  <si>
    <t>&gt;3608:TGACCT:14.00:50.00:Warning:6:1767.20:</t>
  </si>
  <si>
    <t>&gt;3609:TGACGA:22.00:50.00:Warning:6:1816.25:</t>
  </si>
  <si>
    <t>&gt;3610:TGACGC:20.00:66.67:Warning:6:1792.22:</t>
  </si>
  <si>
    <t>&gt;3611:TGACGG:20.00:66.67:Warning:6:1832.25:</t>
  </si>
  <si>
    <t>&gt;3612:TGACGT:14.00:50.00:Warning:6:1807.23:</t>
  </si>
  <si>
    <t>&gt;3613:TGACTA:16.00:33.33:OK:6:1791.23:</t>
  </si>
  <si>
    <t>&gt;3614:TGACTC:14.00:50.00:Warning:6:1767.20:</t>
  </si>
  <si>
    <t>&gt;3615:TGACTG:14.00:50.00:Warning:6:1807.23:</t>
  </si>
  <si>
    <t>&gt;3616:TGACTT:8.00:33.33:OK:6:1782.21:</t>
  </si>
  <si>
    <t>&gt;3617:TGAGAA:24.00:33.33:OK:6:1840.28:</t>
  </si>
  <si>
    <t>&gt;3618:TGAGAC:22.00:50.00:Warning:6:1816.25:</t>
  </si>
  <si>
    <t>&gt;3619:TGAGAG:22.00:50.00:Warning:6:1856.28:</t>
  </si>
  <si>
    <t>&gt;3620:TGAGAT:16.00:33.33:OK:6:1831.26:</t>
  </si>
  <si>
    <t>&gt;3621:TGAGCA:22.00:50.00:Warning:6:1816.25:</t>
  </si>
  <si>
    <t>&gt;3622:TGAGCC:20.00:66.67:Warning:6:1792.22:</t>
  </si>
  <si>
    <t>&gt;3623:TGAGCG:20.00:66.67:Warning:6:1832.25:</t>
  </si>
  <si>
    <t>&gt;3624:TGAGCT:14.00:50.00:Warning:6:1807.23:</t>
  </si>
  <si>
    <t>&gt;3625:TGAGGA:22.00:50.00:Warning:6:1856.28:</t>
  </si>
  <si>
    <t>&gt;3626:TGAGGC:20.00:66.67:Warning:6:1832.25:</t>
  </si>
  <si>
    <t>&gt;3627:TGAGGG:20.00:66.67:Warning:6:1872.28:</t>
  </si>
  <si>
    <t>&gt;3628:TGAGGT:14.00:50.00:Warning:6:1847.26:</t>
  </si>
  <si>
    <t>&gt;3629:TGAGTA:16.00:33.33:OK:6:1831.26:</t>
  </si>
  <si>
    <t>&gt;3630:TGAGTC:14.00:50.00:Warning:6:1807.23:</t>
  </si>
  <si>
    <t>&gt;3631:TGAGTG:14.00:50.00:Warning:6:1847.26:</t>
  </si>
  <si>
    <t>&gt;3632:TGAGTT:8.00:33.33:OK:6:1822.24:</t>
  </si>
  <si>
    <t>&gt;3633:TGATAA:18.00:16.67:OK:6:1815.26:</t>
  </si>
  <si>
    <t>&gt;3634:TGATAC:16.00:33.33:OK:6:1791.23:</t>
  </si>
  <si>
    <t>&gt;3635:TGATAG:16.00:33.33:OK:6:1831.26:</t>
  </si>
  <si>
    <t>&gt;3636:TGATAT:10.00:16.67:OK:6:1806.24:</t>
  </si>
  <si>
    <t>&gt;3637:TGATCA:16.00:33.33:OK:6:1791.23:</t>
  </si>
  <si>
    <t>&gt;3638:TGATCC:14.00:50.00:Warning:6:1767.20:</t>
  </si>
  <si>
    <t>&gt;3639:TGATCG:14.00:50.00:Warning:6:1807.23:</t>
  </si>
  <si>
    <t>&gt;3640:TGATCT:8.00:33.33:OK:6:1782.21:</t>
  </si>
  <si>
    <t>&gt;3641:TGATGA:16.00:33.33:OK:6:1831.26:</t>
  </si>
  <si>
    <t>&gt;3642:TGATGC:14.00:50.00:Warning:6:1807.23:</t>
  </si>
  <si>
    <t>&gt;3643:TGATGG:14.00:50.00:Warning:6:1847.26:</t>
  </si>
  <si>
    <t>&gt;3644:TGATGT:8.00:33.33:OK:6:1822.24:</t>
  </si>
  <si>
    <t>&gt;3645:TGATTA:10.00:16.67:OK:6:1806.24:</t>
  </si>
  <si>
    <t>&gt;3646:TGATTC:8.00:33.33:OK:6:1782.21:</t>
  </si>
  <si>
    <t>&gt;3647:TGATTG:8.00:33.33:OK:6:1822.24:</t>
  </si>
  <si>
    <t>&gt;3648:TGATTT:2.00:16.67:OK:6:1797.22:</t>
  </si>
  <si>
    <t>&gt;3649:TGCAAA:24.00:33.33:OK:6:1800.25:</t>
  </si>
  <si>
    <t>&gt;3650:TGCAAC:22.00:50.00:Warning:6:1776.22:</t>
  </si>
  <si>
    <t>&gt;3651:TGCAAG:22.00:50.00:Warning:6:1816.25:</t>
  </si>
  <si>
    <t>&gt;3652:TGCAAT:16.00:33.33:OK:6:1791.23:</t>
  </si>
  <si>
    <t>&gt;3653:TGCACA:22.00:50.00:Warning:6:1776.22:</t>
  </si>
  <si>
    <t>&gt;3654:TGCACC:20.00:66.67:Warning:6:1752.19:</t>
  </si>
  <si>
    <t>&gt;3655:TGCACG:20.00:66.67:Warning:6:1792.22:</t>
  </si>
  <si>
    <t>&gt;3656:TGCACT:14.00:50.00:Warning:6:1767.20:</t>
  </si>
  <si>
    <t>&gt;3657:TGCAGA:22.00:50.00:Warning:6:1816.25:</t>
  </si>
  <si>
    <t>&gt;3658:TGCAGC:20.00:66.67:Warning:6:1792.22:</t>
  </si>
  <si>
    <t>&gt;3659:TGCAGG:20.00:66.67:Warning:6:1832.25:</t>
  </si>
  <si>
    <t>&gt;3660:TGCAGT:14.00:50.00:Warning:6:1807.23:</t>
  </si>
  <si>
    <t>&gt;3661:TGCATA:16.00:33.33:OK:6:1791.23:</t>
  </si>
  <si>
    <t>&gt;3662:TGCATC:14.00:50.00:Warning:6:1767.20:</t>
  </si>
  <si>
    <t>&gt;3663:TGCATG:14.00:50.00:Warning:6:1807.23:</t>
  </si>
  <si>
    <t>&gt;3664:TGCATT:8.00:33.33:OK:6:1782.21:</t>
  </si>
  <si>
    <t>&gt;3665:TGCCAA:22.00:50.00:Warning:6:1776.22:</t>
  </si>
  <si>
    <t>&gt;3666:TGCCAC:20.00:66.67:Warning:6:1752.19:</t>
  </si>
  <si>
    <t>&gt;3667:TGCCAG:20.00:66.67:Warning:6:1792.22:</t>
  </si>
  <si>
    <t>&gt;3668:TGCCAT:14.00:50.00:Warning:6:1767.20:</t>
  </si>
  <si>
    <t>&gt;3669:TGCCCA:20.00:66.67:Warning:6:1752.19:</t>
  </si>
  <si>
    <t>&gt;3670:TGCCCC:18.00:83.33:Warning:6:1728.16:</t>
  </si>
  <si>
    <t>&gt;3671:TGCCCG:18.00:83.33:Warning:6:1768.19:</t>
  </si>
  <si>
    <t>&gt;3672:TGCCCT:12.00:66.67:Warning:6:1743.17:</t>
  </si>
  <si>
    <t>&gt;3673:TGCCGA:20.00:66.67:Warning:6:1792.22:</t>
  </si>
  <si>
    <t>&gt;3674:TGCCGC:18.00:83.33:Warning:6:1768.19:</t>
  </si>
  <si>
    <t>&gt;3675:TGCCGG:18.00:83.33:Warning:6:1808.22:</t>
  </si>
  <si>
    <t>&gt;3676:TGCCGT:12.00:66.67:Warning:6:1783.20:</t>
  </si>
  <si>
    <t>&gt;3677:TGCCTA:14.00:50.00:Warning:6:1767.20:</t>
  </si>
  <si>
    <t>&gt;3678:TGCCTC:12.00:66.67:Warning:6:1743.17:</t>
  </si>
  <si>
    <t>&gt;3679:TGCCTG:12.00:66.67:Warning:6:1783.20:</t>
  </si>
  <si>
    <t>&gt;3680:TGCCTT:6.00:50.00:Warning:6:1758.18:</t>
  </si>
  <si>
    <t>&gt;3681:TGCGAA:22.00:50.00:Warning:6:1816.25:</t>
  </si>
  <si>
    <t>&gt;3682:TGCGAC:20.00:66.67:Warning:6:1792.22:</t>
  </si>
  <si>
    <t>&gt;3683:TGCGAG:20.00:66.67:Warning:6:1832.25:</t>
  </si>
  <si>
    <t>&gt;3684:TGCGAT:14.00:50.00:Warning:6:1807.23:</t>
  </si>
  <si>
    <t>&gt;3685:TGCGCA:20.00:66.67:Warning:6:1792.22:</t>
  </si>
  <si>
    <t>&gt;3686:TGCGCC:18.00:83.33:Warning:6:1768.19:</t>
  </si>
  <si>
    <t>&gt;3687:TGCGCG:18.00:83.33:Warning:6:1808.22:</t>
  </si>
  <si>
    <t>&gt;3688:TGCGCT:12.00:66.67:Warning:6:1783.20:</t>
  </si>
  <si>
    <t>&gt;3689:TGCGGA:20.00:66.67:Warning:6:1832.25:</t>
  </si>
  <si>
    <t>&gt;3690:TGCGGC:18.00:83.33:Warning:6:1808.22:</t>
  </si>
  <si>
    <t>&gt;3691:TGCGGG:18.00:83.33:Warning:6:1848.25:</t>
  </si>
  <si>
    <t>&gt;3692:TGCGGT:12.00:66.67:Warning:6:1823.23:</t>
  </si>
  <si>
    <t>&gt;3693:TGCGTA:14.00:50.00:Warning:6:1807.23:</t>
  </si>
  <si>
    <t>&gt;3694:TGCGTC:12.00:66.67:Warning:6:1783.20:</t>
  </si>
  <si>
    <t>&gt;3695:TGCGTG:12.00:66.67:Warning:6:1823.23:</t>
  </si>
  <si>
    <t>&gt;3696:TGCGTT:6.00:50.00:Warning:6:1798.21:</t>
  </si>
  <si>
    <t>&gt;3697:TGCTAA:16.00:33.33:OK:6:1791.23:</t>
  </si>
  <si>
    <t>&gt;3698:TGCTAC:14.00:50.00:Warning:6:1767.20:</t>
  </si>
  <si>
    <t>&gt;3699:TGCTAG:14.00:50.00:Warning:6:1807.23:</t>
  </si>
  <si>
    <t>&gt;3700:TGCTAT:8.00:33.33:OK:6:1782.21:</t>
  </si>
  <si>
    <t>&gt;3701:TGCTCA:14.00:50.00:Warning:6:1767.20:</t>
  </si>
  <si>
    <t>&gt;3702:TGCTCC:12.00:66.67:Warning:6:1743.17:</t>
  </si>
  <si>
    <t>&gt;3703:TGCTCG:12.00:66.67:Warning:6:1783.20:</t>
  </si>
  <si>
    <t>&gt;3704:TGCTCT:6.00:50.00:Warning:6:1758.18:</t>
  </si>
  <si>
    <t>&gt;3705:TGCTGA:14.00:50.00:Warning:6:1807.23:</t>
  </si>
  <si>
    <t>&gt;3706:TGCTGC:12.00:66.67:Warning:6:1783.20:</t>
  </si>
  <si>
    <t>&gt;3707:TGCTGG:12.00:66.67:Warning:6:1823.23:</t>
  </si>
  <si>
    <t>&gt;3708:TGCTGT:6.00:50.00:Warning:6:1798.21:</t>
  </si>
  <si>
    <t>&gt;3709:TGCTTA:8.00:33.33:OK:6:1782.21:</t>
  </si>
  <si>
    <t>&gt;3710:TGCTTC:6.00:50.00:Warning:6:1758.18:</t>
  </si>
  <si>
    <t>&gt;3711:TGCTTG:6.00:50.00:Warning:6:1798.21:</t>
  </si>
  <si>
    <t>&gt;3712:TGCTTT:0.00:33.33:OK:6:1773.19:</t>
  </si>
  <si>
    <t>&gt;3713:TGGAAA:24.00:33.33:OK:6:1840.28:</t>
  </si>
  <si>
    <t>&gt;3714:TGGAAC:22.00:50.00:Warning:6:1816.25:</t>
  </si>
  <si>
    <t>&gt;3715:TGGAAG:22.00:50.00:Warning:6:1856.28:</t>
  </si>
  <si>
    <t>&gt;3716:TGGAAT:16.00:33.33:OK:6:1831.26:</t>
  </si>
  <si>
    <t>&gt;3717:TGGACA:22.00:50.00:Warning:6:1816.25:</t>
  </si>
  <si>
    <t>&gt;3718:TGGACC:20.00:66.67:Warning:6:1792.22:</t>
  </si>
  <si>
    <t>&gt;3719:TGGACG:20.00:66.67:Warning:6:1832.25:</t>
  </si>
  <si>
    <t>&gt;3720:TGGACT:14.00:50.00:Warning:6:1807.23:</t>
  </si>
  <si>
    <t>&gt;3721:TGGAGA:22.00:50.00:Warning:6:1856.28:</t>
  </si>
  <si>
    <t>&gt;3722:TGGAGC:20.00:66.67:Warning:6:1832.25:</t>
  </si>
  <si>
    <t>&gt;3723:TGGAGG:20.00:66.67:Warning:6:1872.28:</t>
  </si>
  <si>
    <t>&gt;3724:TGGAGT:14.00:50.00:Warning:6:1847.26:</t>
  </si>
  <si>
    <t>&gt;3725:TGGATA:16.00:33.33:OK:6:1831.26:</t>
  </si>
  <si>
    <t>&gt;3726:TGGATC:14.00:50.00:Warning:6:1807.23:</t>
  </si>
  <si>
    <t>&gt;3727:TGGATG:14.00:50.00:Warning:6:1847.26:</t>
  </si>
  <si>
    <t>&gt;3728:TGGATT:8.00:33.33:OK:6:1822.24:</t>
  </si>
  <si>
    <t>&gt;3729:TGGCAA:22.00:50.00:Warning:6:1816.25:</t>
  </si>
  <si>
    <t>&gt;3730:TGGCAC:20.00:66.67:Warning:6:1792.22:</t>
  </si>
  <si>
    <t>&gt;3731:TGGCAG:20.00:66.67:Warning:6:1832.25:</t>
  </si>
  <si>
    <t>&gt;3732:TGGCAT:14.00:50.00:Warning:6:1807.23:</t>
  </si>
  <si>
    <t>&gt;3733:TGGCCA:20.00:66.67:Warning:6:1792.22:</t>
  </si>
  <si>
    <t>&gt;3734:TGGCCC:18.00:83.33:Warning:6:1768.19:</t>
  </si>
  <si>
    <t>&gt;3735:TGGCCG:18.00:83.33:Warning:6:1808.22:</t>
  </si>
  <si>
    <t>&gt;3736:TGGCCT:12.00:66.67:Warning:6:1783.20:</t>
  </si>
  <si>
    <t>&gt;3737:TGGCGA:20.00:66.67:Warning:6:1832.25:</t>
  </si>
  <si>
    <t>&gt;3738:TGGCGC:18.00:83.33:Warning:6:1808.22:</t>
  </si>
  <si>
    <t>&gt;3739:TGGCGG:18.00:83.33:Warning:6:1848.25:</t>
  </si>
  <si>
    <t>&gt;3740:TGGCGT:12.00:66.67:Warning:6:1823.23:</t>
  </si>
  <si>
    <t>&gt;3741:TGGCTA:14.00:50.00:Warning:6:1807.23:</t>
  </si>
  <si>
    <t>&gt;3742:TGGCTC:12.00:66.67:Warning:6:1783.20:</t>
  </si>
  <si>
    <t>&gt;3743:TGGCTG:12.00:66.67:Warning:6:1823.23:</t>
  </si>
  <si>
    <t>&gt;3744:TGGCTT:6.00:50.00:Warning:6:1798.21:</t>
  </si>
  <si>
    <t>&gt;3745:TGGGAA:22.00:50.00:Warning:6:1856.28:</t>
  </si>
  <si>
    <t>&gt;3746:TGGGAC:20.00:66.67:Warning:6:1832.25:</t>
  </si>
  <si>
    <t>&gt;3747:TGGGAG:20.00:66.67:Warning:6:1872.28:</t>
  </si>
  <si>
    <t>&gt;3748:TGGGAT:14.00:50.00:Warning:6:1847.26:</t>
  </si>
  <si>
    <t>&gt;3749:TGGGCA:20.00:66.67:Warning:6:1832.25:</t>
  </si>
  <si>
    <t>&gt;3750:TGGGCC:18.00:83.33:Warning:6:1808.22:</t>
  </si>
  <si>
    <t>&gt;3751:TGGGCG:18.00:83.33:Warning:6:1848.25:</t>
  </si>
  <si>
    <t>&gt;3752:TGGGCT:12.00:66.67:Warning:6:1823.23:</t>
  </si>
  <si>
    <t>&gt;3753:TGGGGA:20.00:66.67:Warning:6:1872.28:</t>
  </si>
  <si>
    <t>&gt;3754:TGGGGC:18.00:83.33:Warning:6:1848.25:</t>
  </si>
  <si>
    <t>&gt;3755:TGGGGG:18.00:83.33:Warning:6:1888.28:</t>
  </si>
  <si>
    <t>&gt;3756:TGGGGT:12.00:66.67:Warning:6:1863.26:</t>
  </si>
  <si>
    <t>&gt;3757:TGGGTA:14.00:50.00:Warning:6:1847.26:</t>
  </si>
  <si>
    <t>&gt;3758:TGGGTC:12.00:66.67:Warning:6:1823.23:</t>
  </si>
  <si>
    <t>&gt;3759:TGGGTG:12.00:66.67:Warning:6:1863.26:</t>
  </si>
  <si>
    <t>&gt;3760:TGGGTT:6.00:50.00:Warning:6:1838.24:</t>
  </si>
  <si>
    <t>&gt;3761:TGGTAA:16.00:33.33:OK:6:1831.26:</t>
  </si>
  <si>
    <t>&gt;3762:TGGTAC:14.00:50.00:Warning:6:1807.23:</t>
  </si>
  <si>
    <t>&gt;3763:TGGTAG:14.00:50.00:Warning:6:1847.26:</t>
  </si>
  <si>
    <t>&gt;3764:TGGTAT:8.00:33.33:OK:6:1822.24:</t>
  </si>
  <si>
    <t>&gt;3765:TGGTCA:14.00:50.00:Warning:6:1807.23:</t>
  </si>
  <si>
    <t>&gt;3766:TGGTCC:12.00:66.67:Warning:6:1783.20:</t>
  </si>
  <si>
    <t>&gt;3767:TGGTCG:12.00:66.67:Warning:6:1823.23:</t>
  </si>
  <si>
    <t>&gt;3768:TGGTCT:6.00:50.00:Warning:6:1798.21:</t>
  </si>
  <si>
    <t>&gt;3769:TGGTGA:14.00:50.00:Warning:6:1847.26:</t>
  </si>
  <si>
    <t>&gt;3770:TGGTGC:12.00:66.67:Warning:6:1823.23:</t>
  </si>
  <si>
    <t>&gt;3771:TGGTGG:12.00:66.67:Warning:6:1863.26:</t>
  </si>
  <si>
    <t>&gt;3772:TGGTGT:6.00:50.00:Warning:6:1838.24:</t>
  </si>
  <si>
    <t>&gt;3773:TGGTTA:8.00:33.33:OK:6:1822.24:</t>
  </si>
  <si>
    <t>&gt;3774:TGGTTC:6.00:50.00:Warning:6:1798.21:</t>
  </si>
  <si>
    <t>&gt;3775:TGGTTG:6.00:50.00:Warning:6:1838.24:</t>
  </si>
  <si>
    <t>&gt;3776:TGGTTT:0.00:33.33:OK:6:1813.22:</t>
  </si>
  <si>
    <t>&gt;3777:TGTAAA:18.00:16.67:OK:6:1815.26:</t>
  </si>
  <si>
    <t>&gt;3778:TGTAAC:16.00:33.33:OK:6:1791.23:</t>
  </si>
  <si>
    <t>&gt;3779:TGTAAG:16.00:33.33:OK:6:1831.26:</t>
  </si>
  <si>
    <t>&gt;3780:TGTAAT:10.00:16.67:OK:6:1806.24:</t>
  </si>
  <si>
    <t>&gt;3781:TGTACA:16.00:33.33:OK:6:1791.23:</t>
  </si>
  <si>
    <t>&gt;3782:TGTACC:14.00:50.00:Warning:6:1767.20:</t>
  </si>
  <si>
    <t>&gt;3783:TGTACG:14.00:50.00:Warning:6:1807.23:</t>
  </si>
  <si>
    <t>&gt;3784:TGTACT:8.00:33.33:OK:6:1782.21:</t>
  </si>
  <si>
    <t>&gt;3785:TGTAGA:16.00:33.33:OK:6:1831.26:</t>
  </si>
  <si>
    <t>&gt;3786:TGTAGC:14.00:50.00:Warning:6:1807.23:</t>
  </si>
  <si>
    <t>&gt;3787:TGTAGG:14.00:50.00:Warning:6:1847.26:</t>
  </si>
  <si>
    <t>&gt;3788:TGTAGT:8.00:33.33:OK:6:1822.24:</t>
  </si>
  <si>
    <t>&gt;3789:TGTATA:10.00:16.67:OK:6:1806.24:</t>
  </si>
  <si>
    <t>&gt;3790:TGTATC:8.00:33.33:OK:6:1782.21:</t>
  </si>
  <si>
    <t>&gt;3791:TGTATG:8.00:33.33:OK:6:1822.24:</t>
  </si>
  <si>
    <t>&gt;3792:TGTATT:2.00:16.67:OK:6:1797.22:</t>
  </si>
  <si>
    <t>&gt;3793:TGTCAA:16.00:33.33:OK:6:1791.23:</t>
  </si>
  <si>
    <t>&gt;3794:TGTCAC:14.00:50.00:Warning:6:1767.20:</t>
  </si>
  <si>
    <t>&gt;3795:TGTCAG:14.00:50.00:Warning:6:1807.23:</t>
  </si>
  <si>
    <t>&gt;3796:TGTCAT:8.00:33.33:OK:6:1782.21:</t>
  </si>
  <si>
    <t>&gt;3797:TGTCCA:14.00:50.00:Warning:6:1767.20:</t>
  </si>
  <si>
    <t>&gt;3798:TGTCCC:12.00:66.67:Warning:6:1743.17:</t>
  </si>
  <si>
    <t>&gt;3799:TGTCCG:12.00:66.67:Warning:6:1783.20:</t>
  </si>
  <si>
    <t>&gt;3800:TGTCCT:6.00:50.00:Warning:6:1758.18:</t>
  </si>
  <si>
    <t>&gt;3801:TGTCGA:14.00:50.00:Warning:6:1807.23:</t>
  </si>
  <si>
    <t>&gt;3802:TGTCGC:12.00:66.67:Warning:6:1783.20:</t>
  </si>
  <si>
    <t>&gt;3803:TGTCGG:12.00:66.67:Warning:6:1823.23:</t>
  </si>
  <si>
    <t>&gt;3804:TGTCGT:6.00:50.00:Warning:6:1798.21:</t>
  </si>
  <si>
    <t>&gt;3805:TGTCTA:8.00:33.33:OK:6:1782.21:</t>
  </si>
  <si>
    <t>&gt;3806:TGTCTC:6.00:50.00:Warning:6:1758.18:</t>
  </si>
  <si>
    <t>&gt;3807:TGTCTG:6.00:50.00:Warning:6:1798.21:</t>
  </si>
  <si>
    <t>&gt;3808:TGTCTT:0.00:33.33:OK:6:1773.19:</t>
  </si>
  <si>
    <t>&gt;3809:TGTGAA:16.00:33.33:OK:6:1831.26:</t>
  </si>
  <si>
    <t>&gt;3810:TGTGAC:14.00:50.00:Warning:6:1807.23:</t>
  </si>
  <si>
    <t>&gt;3811:TGTGAG:14.00:50.00:Warning:6:1847.26:</t>
  </si>
  <si>
    <t>&gt;3812:TGTGAT:8.00:33.33:OK:6:1822.24:</t>
  </si>
  <si>
    <t>&gt;3813:TGTGCA:14.00:50.00:Warning:6:1807.23:</t>
  </si>
  <si>
    <t>&gt;3814:TGTGCC:12.00:66.67:Warning:6:1783.20:</t>
  </si>
  <si>
    <t>&gt;3815:TGTGCG:12.00:66.67:Warning:6:1823.23:</t>
  </si>
  <si>
    <t>&gt;3816:TGTGCT:6.00:50.00:Warning:6:1798.21:</t>
  </si>
  <si>
    <t>&gt;3817:TGTGGA:14.00:50.00:Warning:6:1847.26:</t>
  </si>
  <si>
    <t>&gt;3818:TGTGGC:12.00:66.67:Warning:6:1823.23:</t>
  </si>
  <si>
    <t>&gt;3819:TGTGGG:12.00:66.67:Warning:6:1863.26:</t>
  </si>
  <si>
    <t>&gt;3820:TGTGGT:6.00:50.00:Warning:6:1838.24:</t>
  </si>
  <si>
    <t>&gt;3821:TGTGTA:8.00:33.33:OK:6:1822.24:</t>
  </si>
  <si>
    <t>&gt;3822:TGTGTC:6.00:50.00:Warning:6:1798.21:</t>
  </si>
  <si>
    <t>&gt;3823:TGTGTG:6.00:50.00:Warning:6:1838.24:</t>
  </si>
  <si>
    <t>&gt;3824:TGTGTT:0.00:33.33:OK:6:1813.22:</t>
  </si>
  <si>
    <t>&gt;3825:TGTTAA:10.00:16.67:OK:6:1806.24:</t>
  </si>
  <si>
    <t>&gt;3826:TGTTAC:8.00:33.33:OK:6:1782.21:</t>
  </si>
  <si>
    <t>&gt;3827:TGTTAG:8.00:33.33:OK:6:1822.24:</t>
  </si>
  <si>
    <t>&gt;3828:TGTTAT:2.00:16.67:OK:6:1797.22:</t>
  </si>
  <si>
    <t>&gt;3829:TGTTCA:8.00:33.33:OK:6:1782.21:</t>
  </si>
  <si>
    <t>&gt;3830:TGTTCC:6.00:50.00:Warning:6:1758.18:</t>
  </si>
  <si>
    <t>&gt;3831:TGTTCG:6.00:50.00:Warning:6:1798.21:</t>
  </si>
  <si>
    <t>&gt;3832:TGTTCT:0.00:33.33:OK:6:1773.19:</t>
  </si>
  <si>
    <t>&gt;3833:TGTTGA:8.00:33.33:OK:6:1822.24:</t>
  </si>
  <si>
    <t>&gt;3834:TGTTGC:6.00:50.00:Warning:6:1798.21:</t>
  </si>
  <si>
    <t>&gt;3835:TGTTGG:6.00:50.00:Warning:6:1838.24:</t>
  </si>
  <si>
    <t>&gt;3836:TGTTGT:0.00:33.33:OK:6:1813.22:</t>
  </si>
  <si>
    <t>&gt;3837:TGTTTA:2.00:16.67:OK:6:1797.22:</t>
  </si>
  <si>
    <t>&gt;3838:TGTTTC:0.00:33.33:OK:6:1773.19:</t>
  </si>
  <si>
    <t>&gt;3839:TGTTTG:0.00:33.33:OK:6:1813.22:</t>
  </si>
  <si>
    <t>&gt;3840:TGTTTT:-6.00:16.67:OK:6:1788.20:</t>
  </si>
  <si>
    <t>&gt;3841:TTAAAA:20.00:0.00:OK:6:1799.26:</t>
  </si>
  <si>
    <t>&gt;3842:TTAAAC:18.00:16.67:OK:6:1775.23:</t>
  </si>
  <si>
    <t>&gt;3843:TTAAAG:18.00:16.67:OK:6:1815.26:</t>
  </si>
  <si>
    <t>&gt;3844:TTAAAT:12.00:0.00:OK:6:1790.24:</t>
  </si>
  <si>
    <t>&gt;3845:TTAACA:18.00:16.67:OK:6:1775.23:</t>
  </si>
  <si>
    <t>&gt;3846:TTAACC:16.00:33.33:OK:6:1751.20:</t>
  </si>
  <si>
    <t>&gt;3847:TTAACG:16.00:33.33:OK:6:1791.23:</t>
  </si>
  <si>
    <t>&gt;3848:TTAACT:10.00:16.67:OK:6:1766.21:</t>
  </si>
  <si>
    <t>&gt;3849:TTAAGA:18.00:16.67:OK:6:1815.26:</t>
  </si>
  <si>
    <t>&gt;3850:TTAAGC:16.00:33.33:OK:6:1791.23:</t>
  </si>
  <si>
    <t>&gt;3851:TTAAGG:16.00:33.33:OK:6:1831.26:</t>
  </si>
  <si>
    <t>&gt;3852:TTAAGT:10.00:16.67:OK:6:1806.24:</t>
  </si>
  <si>
    <t>&gt;3853:TTAATA:12.00:0.00:OK:6:1790.24:</t>
  </si>
  <si>
    <t>&gt;3854:TTAATC:10.00:16.67:OK:6:1766.21:</t>
  </si>
  <si>
    <t>&gt;3855:TTAATG:10.00:16.67:OK:6:1806.24:</t>
  </si>
  <si>
    <t>&gt;3856:TTAATT:4.00:0.00:OK:6:1781.22:</t>
  </si>
  <si>
    <t>&gt;3857:TTACAA:18.00:16.67:OK:6:1775.23:</t>
  </si>
  <si>
    <t>&gt;3858:TTACAC:16.00:33.33:OK:6:1751.20:</t>
  </si>
  <si>
    <t>&gt;3859:TTACAG:16.00:33.33:OK:6:1791.23:</t>
  </si>
  <si>
    <t>&gt;3860:TTACAT:10.00:16.67:OK:6:1766.21:</t>
  </si>
  <si>
    <t>&gt;3861:TTACCA:16.00:33.33:OK:6:1751.20:</t>
  </si>
  <si>
    <t>&gt;3862:TTACCC:14.00:50.00:Warning:6:1727.17:</t>
  </si>
  <si>
    <t>&gt;3863:TTACCG:14.00:50.00:Warning:6:1767.20:</t>
  </si>
  <si>
    <t>&gt;3864:TTACCT:8.00:33.33:OK:6:1742.18:</t>
  </si>
  <si>
    <t>&gt;3865:TTACGA:16.00:33.33:OK:6:1791.23:</t>
  </si>
  <si>
    <t>&gt;3866:TTACGC:14.00:50.00:Warning:6:1767.20:</t>
  </si>
  <si>
    <t>&gt;3867:TTACGG:14.00:50.00:Warning:6:1807.23:</t>
  </si>
  <si>
    <t>&gt;3868:TTACGT:8.00:33.33:OK:6:1782.21:</t>
  </si>
  <si>
    <t>&gt;3869:TTACTA:10.00:16.67:OK:6:1766.21:</t>
  </si>
  <si>
    <t>&gt;3870:TTACTC:8.00:33.33:OK:6:1742.18:</t>
  </si>
  <si>
    <t>&gt;3871:TTACTG:8.00:33.33:OK:6:1782.21:</t>
  </si>
  <si>
    <t>&gt;3872:TTACTT:2.00:16.67:OK:6:1757.19:</t>
  </si>
  <si>
    <t>&gt;3873:TTAGAA:18.00:16.67:OK:6:1815.26:</t>
  </si>
  <si>
    <t>&gt;3874:TTAGAC:16.00:33.33:OK:6:1791.23:</t>
  </si>
  <si>
    <t>&gt;3875:TTAGAG:16.00:33.33:OK:6:1831.26:</t>
  </si>
  <si>
    <t>&gt;3876:TTAGAT:10.00:16.67:OK:6:1806.24:</t>
  </si>
  <si>
    <t>&gt;3877:TTAGCA:16.00:33.33:OK:6:1791.23:</t>
  </si>
  <si>
    <t>&gt;3878:TTAGCC:14.00:50.00:Warning:6:1767.20:</t>
  </si>
  <si>
    <t>&gt;3879:TTAGCG:14.00:50.00:Warning:6:1807.23:</t>
  </si>
  <si>
    <t>&gt;3880:TTAGCT:8.00:33.33:OK:6:1782.21:</t>
  </si>
  <si>
    <t>&gt;3881:TTAGGA:16.00:33.33:OK:6:1831.26:</t>
  </si>
  <si>
    <t>&gt;3882:TTAGGC:14.00:50.00:Warning:6:1807.23:</t>
  </si>
  <si>
    <t>&gt;3883:TTAGGG:14.00:50.00:Warning:6:1847.26:</t>
  </si>
  <si>
    <t>&gt;3884:TTAGGT:8.00:33.33:OK:6:1822.24:</t>
  </si>
  <si>
    <t>&gt;3885:TTAGTA:10.00:16.67:OK:6:1806.24:</t>
  </si>
  <si>
    <t>&gt;3886:TTAGTC:8.00:33.33:OK:6:1782.21:</t>
  </si>
  <si>
    <t>&gt;3887:TTAGTG:8.00:33.33:OK:6:1822.24:</t>
  </si>
  <si>
    <t>&gt;3888:TTAGTT:2.00:16.67:OK:6:1797.22:</t>
  </si>
  <si>
    <t>&gt;3889:TTATAA:12.00:0.00:OK:6:1790.24:</t>
  </si>
  <si>
    <t>&gt;3890:TTATAC:10.00:16.67:OK:6:1766.21:</t>
  </si>
  <si>
    <t>&gt;3891:TTATAG:10.00:16.67:OK:6:1806.24:</t>
  </si>
  <si>
    <t>&gt;3892:TTATAT:4.00:0.00:OK:6:1781.22:</t>
  </si>
  <si>
    <t>&gt;3893:TTATCA:10.00:16.67:OK:6:1766.21:</t>
  </si>
  <si>
    <t>&gt;3894:TTATCC:8.00:33.33:OK:6:1742.18:</t>
  </si>
  <si>
    <t>&gt;3895:TTATCG:8.00:33.33:OK:6:1782.21:</t>
  </si>
  <si>
    <t>&gt;3896:TTATCT:2.00:16.67:OK:6:1757.19:</t>
  </si>
  <si>
    <t>&gt;3897:TTATGA:10.00:16.67:OK:6:1806.24:</t>
  </si>
  <si>
    <t>&gt;3898:TTATGC:8.00:33.33:OK:6:1782.21:</t>
  </si>
  <si>
    <t>&gt;3899:TTATGG:8.00:33.33:OK:6:1822.24:</t>
  </si>
  <si>
    <t>&gt;3900:TTATGT:2.00:16.67:OK:6:1797.22:</t>
  </si>
  <si>
    <t>&gt;3901:TTATTA:4.00:0.00:OK:6:1781.22:</t>
  </si>
  <si>
    <t>&gt;3902:TTATTC:2.00:16.67:OK:6:1757.19:</t>
  </si>
  <si>
    <t>&gt;3903:TTATTG:2.00:16.67:OK:6:1797.22:</t>
  </si>
  <si>
    <t>&gt;3904:TTATTT:-4.00:0.00:OK:6:1772.20:</t>
  </si>
  <si>
    <t>&gt;3905:TTCAAA:18.00:16.67:OK:6:1775.23:</t>
  </si>
  <si>
    <t>&gt;3906:TTCAAC:16.00:33.33:OK:6:1751.20:</t>
  </si>
  <si>
    <t>&gt;3907:TTCAAG:16.00:33.33:OK:6:1791.23:</t>
  </si>
  <si>
    <t>&gt;3908:TTCAAT:10.00:16.67:OK:6:1766.21:</t>
  </si>
  <si>
    <t>&gt;3909:TTCACA:16.00:33.33:OK:6:1751.20:</t>
  </si>
  <si>
    <t>&gt;3910:TTCACC:14.00:50.00:Warning:6:1727.17:</t>
  </si>
  <si>
    <t>&gt;3911:TTCACG:14.00:50.00:Warning:6:1767.20:</t>
  </si>
  <si>
    <t>&gt;3912:TTCACT:8.00:33.33:OK:6:1742.18:</t>
  </si>
  <si>
    <t>&gt;3913:TTCAGA:16.00:33.33:OK:6:1791.23:</t>
  </si>
  <si>
    <t>&gt;3914:TTCAGC:14.00:50.00:Warning:6:1767.20:</t>
  </si>
  <si>
    <t>&gt;3915:TTCAGG:14.00:50.00:Warning:6:1807.23:</t>
  </si>
  <si>
    <t>&gt;3916:TTCAGT:8.00:33.33:OK:6:1782.21:</t>
  </si>
  <si>
    <t>&gt;3917:TTCATA:10.00:16.67:OK:6:1766.21:</t>
  </si>
  <si>
    <t>&gt;3918:TTCATC:8.00:33.33:OK:6:1742.18:</t>
  </si>
  <si>
    <t>&gt;3919:TTCATG:8.00:33.33:OK:6:1782.21:</t>
  </si>
  <si>
    <t>&gt;3920:TTCATT:2.00:16.67:OK:6:1757.19:</t>
  </si>
  <si>
    <t>&gt;3921:TTCCAA:16.00:33.33:OK:6:1751.20:</t>
  </si>
  <si>
    <t>&gt;3922:TTCCAC:14.00:50.00:Warning:6:1727.17:</t>
  </si>
  <si>
    <t>&gt;3923:TTCCAG:14.00:50.00:Warning:6:1767.20:</t>
  </si>
  <si>
    <t>&gt;3924:TTCCAT:8.00:33.33:OK:6:1742.18:</t>
  </si>
  <si>
    <t>&gt;3925:TTCCCA:14.00:50.00:Warning:6:1727.17:</t>
  </si>
  <si>
    <t>&gt;3926:TTCCCC:12.00:66.67:Warning:6:1703.14:</t>
  </si>
  <si>
    <t>&gt;3927:TTCCCG:12.00:66.67:Warning:6:1743.17:</t>
  </si>
  <si>
    <t>&gt;3928:TTCCCT:6.00:50.00:Warning:6:1718.15:</t>
  </si>
  <si>
    <t>&gt;3929:TTCCGA:14.00:50.00:Warning:6:1767.20:</t>
  </si>
  <si>
    <t>&gt;3930:TTCCGC:12.00:66.67:Warning:6:1743.17:</t>
  </si>
  <si>
    <t>&gt;3931:TTCCGG:12.00:66.67:Warning:6:1783.20:</t>
  </si>
  <si>
    <t>&gt;3932:TTCCGT:6.00:50.00:Warning:6:1758.18:</t>
  </si>
  <si>
    <t>&gt;3933:TTCCTA:8.00:33.33:OK:6:1742.18:</t>
  </si>
  <si>
    <t>&gt;3934:TTCCTC:6.00:50.00:Warning:6:1718.15:</t>
  </si>
  <si>
    <t>&gt;3935:TTCCTG:6.00:50.00:Warning:6:1758.18:</t>
  </si>
  <si>
    <t>&gt;3936:TTCCTT:0.00:33.33:OK:6:1733.16:</t>
  </si>
  <si>
    <t>&gt;3937:TTCGAA:16.00:33.33:OK:6:1791.23:</t>
  </si>
  <si>
    <t>&gt;3938:TTCGAC:14.00:50.00:Warning:6:1767.20:</t>
  </si>
  <si>
    <t>&gt;3939:TTCGAG:14.00:50.00:Warning:6:1807.23:</t>
  </si>
  <si>
    <t>&gt;3940:TTCGAT:8.00:33.33:OK:6:1782.21:</t>
  </si>
  <si>
    <t>&gt;3941:TTCGCA:14.00:50.00:Warning:6:1767.20:</t>
  </si>
  <si>
    <t>&gt;3942:TTCGCC:12.00:66.67:Warning:6:1743.17:</t>
  </si>
  <si>
    <t>&gt;3943:TTCGCG:12.00:66.67:Warning:6:1783.20:</t>
  </si>
  <si>
    <t>&gt;3944:TTCGCT:6.00:50.00:Warning:6:1758.18:</t>
  </si>
  <si>
    <t>&gt;3945:TTCGGA:14.00:50.00:Warning:6:1807.23:</t>
  </si>
  <si>
    <t>&gt;3946:TTCGGC:12.00:66.67:Warning:6:1783.20:</t>
  </si>
  <si>
    <t>&gt;3947:TTCGGG:12.00:66.67:Warning:6:1823.23:</t>
  </si>
  <si>
    <t>&gt;3948:TTCGGT:6.00:50.00:Warning:6:1798.21:</t>
  </si>
  <si>
    <t>&gt;3949:TTCGTA:8.00:33.33:OK:6:1782.21:</t>
  </si>
  <si>
    <t>&gt;3950:TTCGTC:6.00:50.00:Warning:6:1758.18:</t>
  </si>
  <si>
    <t>&gt;3951:TTCGTG:6.00:50.00:Warning:6:1798.21:</t>
  </si>
  <si>
    <t>&gt;3952:TTCGTT:0.00:33.33:OK:6:1773.19:</t>
  </si>
  <si>
    <t>&gt;3953:TTCTAA:10.00:16.67:OK:6:1766.21:</t>
  </si>
  <si>
    <t>&gt;3954:TTCTAC:8.00:33.33:OK:6:1742.18:</t>
  </si>
  <si>
    <t>&gt;3955:TTCTAG:8.00:33.33:OK:6:1782.21:</t>
  </si>
  <si>
    <t>&gt;3956:TTCTAT:2.00:16.67:OK:6:1757.19:</t>
  </si>
  <si>
    <t>&gt;3957:TTCTCA:8.00:33.33:OK:6:1742.18:</t>
  </si>
  <si>
    <t>&gt;3958:TTCTCC:6.00:50.00:Warning:6:1718.15:</t>
  </si>
  <si>
    <t>&gt;3959:TTCTCG:6.00:50.00:Warning:6:1758.18:</t>
  </si>
  <si>
    <t>&gt;3960:TTCTCT:0.00:33.33:OK:6:1733.16:</t>
  </si>
  <si>
    <t>&gt;3961:TTCTGA:8.00:33.33:OK:6:1782.21:</t>
  </si>
  <si>
    <t>&gt;3962:TTCTGC:6.00:50.00:Warning:6:1758.18:</t>
  </si>
  <si>
    <t>&gt;3963:TTCTGG:6.00:50.00:Warning:6:1798.21:</t>
  </si>
  <si>
    <t>&gt;3964:TTCTGT:0.00:33.33:OK:6:1773.19:</t>
  </si>
  <si>
    <t>&gt;3965:TTCTTA:2.00:16.67:OK:6:1757.19:</t>
  </si>
  <si>
    <t>&gt;3966:TTCTTC:0.00:33.33:OK:6:1733.16:</t>
  </si>
  <si>
    <t>&gt;3967:TTCTTG:0.00:33.33:OK:6:1773.19:</t>
  </si>
  <si>
    <t>&gt;3968:TTCTTT:-6.00:16.67:OK:6:1748.17:</t>
  </si>
  <si>
    <t>&gt;3969:TTGAAA:18.00:16.67:OK:6:1815.26:</t>
  </si>
  <si>
    <t>&gt;3970:TTGAAC:16.00:33.33:OK:6:1791.23:</t>
  </si>
  <si>
    <t>&gt;3971:TTGAAG:16.00:33.33:OK:6:1831.26:</t>
  </si>
  <si>
    <t>&gt;3972:TTGAAT:10.00:16.67:OK:6:1806.24:</t>
  </si>
  <si>
    <t>&gt;3973:TTGACA:16.00:33.33:OK:6:1791.23:</t>
  </si>
  <si>
    <t>&gt;3974:TTGACC:14.00:50.00:Warning:6:1767.20:</t>
  </si>
  <si>
    <t>&gt;3975:TTGACG:14.00:50.00:Warning:6:1807.23:</t>
  </si>
  <si>
    <t>&gt;3976:TTGACT:8.00:33.33:OK:6:1782.21:</t>
  </si>
  <si>
    <t>&gt;3977:TTGAGA:16.00:33.33:OK:6:1831.26:</t>
  </si>
  <si>
    <t>&gt;3978:TTGAGC:14.00:50.00:Warning:6:1807.23:</t>
  </si>
  <si>
    <t>&gt;3979:TTGAGG:14.00:50.00:Warning:6:1847.26:</t>
  </si>
  <si>
    <t>&gt;3980:TTGAGT:8.00:33.33:OK:6:1822.24:</t>
  </si>
  <si>
    <t>&gt;3981:TTGATA:10.00:16.67:OK:6:1806.24:</t>
  </si>
  <si>
    <t>&gt;3982:TTGATC:8.00:33.33:OK:6:1782.21:</t>
  </si>
  <si>
    <t>&gt;3983:TTGATG:8.00:33.33:OK:6:1822.24:</t>
  </si>
  <si>
    <t>&gt;3984:TTGATT:2.00:16.67:OK:6:1797.22:</t>
  </si>
  <si>
    <t>&gt;3985:TTGCAA:16.00:33.33:OK:6:1791.23:</t>
  </si>
  <si>
    <t>&gt;3986:TTGCAC:14.00:50.00:Warning:6:1767.20:</t>
  </si>
  <si>
    <t>&gt;3987:TTGCAG:14.00:50.00:Warning:6:1807.23:</t>
  </si>
  <si>
    <t>&gt;3988:TTGCAT:8.00:33.33:OK:6:1782.21:</t>
  </si>
  <si>
    <t>&gt;3989:TTGCCA:14.00:50.00:Warning:6:1767.20:</t>
  </si>
  <si>
    <t>&gt;3990:TTGCCC:12.00:66.67:Warning:6:1743.17:</t>
  </si>
  <si>
    <t>&gt;3991:TTGCCG:12.00:66.67:Warning:6:1783.20:</t>
  </si>
  <si>
    <t>&gt;3992:TTGCCT:6.00:50.00:Warning:6:1758.18:</t>
  </si>
  <si>
    <t>&gt;3993:TTGCGA:14.00:50.00:Warning:6:1807.23:</t>
  </si>
  <si>
    <t>&gt;3994:TTGCGC:12.00:66.67:Warning:6:1783.20:</t>
  </si>
  <si>
    <t>&gt;3995:TTGCGG:12.00:66.67:Warning:6:1823.23:</t>
  </si>
  <si>
    <t>&gt;3996:TTGCGT:6.00:50.00:Warning:6:1798.21:</t>
  </si>
  <si>
    <t>&gt;3997:TTGCTA:8.00:33.33:OK:6:1782.21:</t>
  </si>
  <si>
    <t>&gt;3998:TTGCTC:6.00:50.00:Warning:6:1758.18:</t>
  </si>
  <si>
    <t>&gt;3999:TTGCTG:6.00:50.00:Warning:6:1798.21:</t>
  </si>
  <si>
    <t>&gt;4000:TTGCTT:0.00:33.33:OK:6:1773.19:</t>
  </si>
  <si>
    <t>&gt;4001:TTGGAA:16.00:33.33:OK:6:1831.26:</t>
  </si>
  <si>
    <t>&gt;4002:TTGGAC:14.00:50.00:Warning:6:1807.23:</t>
  </si>
  <si>
    <t>&gt;4003:TTGGAG:14.00:50.00:Warning:6:1847.26:</t>
  </si>
  <si>
    <t>&gt;4004:TTGGAT:8.00:33.33:OK:6:1822.24:</t>
  </si>
  <si>
    <t>&gt;4005:TTGGCA:14.00:50.00:Warning:6:1807.23:</t>
  </si>
  <si>
    <t>&gt;4006:TTGGCC:12.00:66.67:Warning:6:1783.20:</t>
  </si>
  <si>
    <t>&gt;4007:TTGGCG:12.00:66.67:Warning:6:1823.23:</t>
  </si>
  <si>
    <t>&gt;4008:TTGGCT:6.00:50.00:Warning:6:1798.21:</t>
  </si>
  <si>
    <t>&gt;4009:TTGGGA:14.00:50.00:Warning:6:1847.26:</t>
  </si>
  <si>
    <t>&gt;4010:TTGGGC:12.00:66.67:Warning:6:1823.23:</t>
  </si>
  <si>
    <t>&gt;4011:TTGGGG:12.00:66.67:Warning:6:1863.26:</t>
  </si>
  <si>
    <t>&gt;4012:TTGGGT:6.00:50.00:Warning:6:1838.24:</t>
  </si>
  <si>
    <t>&gt;4013:TTGGTA:8.00:33.33:OK:6:1822.24:</t>
  </si>
  <si>
    <t>&gt;4014:TTGGTC:6.00:50.00:Warning:6:1798.21:</t>
  </si>
  <si>
    <t>&gt;4015:TTGGTG:6.00:50.00:Warning:6:1838.24:</t>
  </si>
  <si>
    <t>&gt;4016:TTGGTT:0.00:33.33:OK:6:1813.22:</t>
  </si>
  <si>
    <t>&gt;4017:TTGTAA:10.00:16.67:OK:6:1806.24:</t>
  </si>
  <si>
    <t>&gt;4018:TTGTAC:8.00:33.33:OK:6:1782.21:</t>
  </si>
  <si>
    <t>&gt;4019:TTGTAG:8.00:33.33:OK:6:1822.24:</t>
  </si>
  <si>
    <t>&gt;4020:TTGTAT:2.00:16.67:OK:6:1797.22:</t>
  </si>
  <si>
    <t>&gt;4021:TTGTCA:8.00:33.33:OK:6:1782.21:</t>
  </si>
  <si>
    <t>&gt;4022:TTGTCC:6.00:50.00:Warning:6:1758.18:</t>
  </si>
  <si>
    <t>&gt;4023:TTGTCG:6.00:50.00:Warning:6:1798.21:</t>
  </si>
  <si>
    <t>&gt;4024:TTGTCT:0.00:33.33:OK:6:1773.19:</t>
  </si>
  <si>
    <t>&gt;4025:TTGTGA:8.00:33.33:OK:6:1822.24:</t>
  </si>
  <si>
    <t>&gt;4026:TTGTGC:6.00:50.00:Warning:6:1798.21:</t>
  </si>
  <si>
    <t>&gt;4027:TTGTGG:6.00:50.00:Warning:6:1838.24:</t>
  </si>
  <si>
    <t>&gt;4028:TTGTGT:0.00:33.33:OK:6:1813.22:</t>
  </si>
  <si>
    <t>&gt;4029:TTGTTA:2.00:16.67:OK:6:1797.22:</t>
  </si>
  <si>
    <t>&gt;4030:TTGTTC:0.00:33.33:OK:6:1773.19:</t>
  </si>
  <si>
    <t>&gt;4031:TTGTTG:0.00:33.33:OK:6:1813.22:</t>
  </si>
  <si>
    <t>&gt;4032:TTGTTT:-6.00:16.67:OK:6:1788.20:</t>
  </si>
  <si>
    <t>&gt;4033:TTTAAA:12.00:0.00:OK:6:1790.24:</t>
  </si>
  <si>
    <t>&gt;4034:TTTAAC:10.00:16.67:OK:6:1766.21:</t>
  </si>
  <si>
    <t>&gt;4035:TTTAAG:10.00:16.67:OK:6:1806.24:</t>
  </si>
  <si>
    <t>&gt;4036:TTTAAT:4.00:0.00:OK:6:1781.22:</t>
  </si>
  <si>
    <t>&gt;4037:TTTACA:10.00:16.67:OK:6:1766.21:</t>
  </si>
  <si>
    <t>&gt;4038:TTTACC:8.00:33.33:OK:6:1742.18:</t>
  </si>
  <si>
    <t>&gt;4039:TTTACG:8.00:33.33:OK:6:1782.21:</t>
  </si>
  <si>
    <t>&gt;4040:TTTACT:2.00:16.67:OK:6:1757.19:</t>
  </si>
  <si>
    <t>&gt;4041:TTTAGA:10.00:16.67:OK:6:1806.24:</t>
  </si>
  <si>
    <t>&gt;4042:TTTAGC:8.00:33.33:OK:6:1782.21:</t>
  </si>
  <si>
    <t>&gt;4043:TTTAGG:8.00:33.33:OK:6:1822.24:</t>
  </si>
  <si>
    <t>&gt;4044:TTTAGT:2.00:16.67:OK:6:1797.22:</t>
  </si>
  <si>
    <t>&gt;4045:TTTATA:4.00:0.00:OK:6:1781.22:</t>
  </si>
  <si>
    <t>&gt;4046:TTTATC:2.00:16.67:OK:6:1757.19:</t>
  </si>
  <si>
    <t>&gt;4047:TTTATG:2.00:16.67:OK:6:1797.22:</t>
  </si>
  <si>
    <t>&gt;4048:TTTATT:-4.00:0.00:OK:6:1772.20:</t>
  </si>
  <si>
    <t>&gt;4049:TTTCAA:10.00:16.67:OK:6:1766.21:</t>
  </si>
  <si>
    <t>&gt;4050:TTTCAC:8.00:33.33:OK:6:1742.18:</t>
  </si>
  <si>
    <t>&gt;4051:TTTCAG:8.00:33.33:OK:6:1782.21:</t>
  </si>
  <si>
    <t>&gt;4052:TTTCAT:2.00:16.67:OK:6:1757.19:</t>
  </si>
  <si>
    <t>&gt;4053:TTTCCA:8.00:33.33:OK:6:1742.18:</t>
  </si>
  <si>
    <t>&gt;4054:TTTCCC:6.00:50.00:Warning:6:1718.15:</t>
  </si>
  <si>
    <t>&gt;4055:TTTCCG:6.00:50.00:Warning:6:1758.18:</t>
  </si>
  <si>
    <t>&gt;4056:TTTCCT:0.00:33.33:OK:6:1733.16:</t>
  </si>
  <si>
    <t>&gt;4057:TTTCGA:8.00:33.33:OK:6:1782.21:</t>
  </si>
  <si>
    <t>&gt;4058:TTTCGC:6.00:50.00:Warning:6:1758.18:</t>
  </si>
  <si>
    <t>&gt;4059:TTTCGG:6.00:50.00:Warning:6:1798.21:</t>
  </si>
  <si>
    <t>&gt;4060:TTTCGT:0.00:33.33:OK:6:1773.19:</t>
  </si>
  <si>
    <t>&gt;4061:TTTCTA:2.00:16.67:OK:6:1757.19:</t>
  </si>
  <si>
    <t>&gt;4062:TTTCTC:0.00:33.33:OK:6:1733.16:</t>
  </si>
  <si>
    <t>&gt;4063:TTTCTG:0.00:33.33:OK:6:1773.19:</t>
  </si>
  <si>
    <t>&gt;4064:TTTCTT:-6.00:16.67:OK:6:1748.17:</t>
  </si>
  <si>
    <t>&gt;4065:TTTGAA:10.00:16.67:OK:6:1806.24:</t>
  </si>
  <si>
    <t>&gt;4066:TTTGAC:8.00:33.33:OK:6:1782.21:</t>
  </si>
  <si>
    <t>&gt;4067:TTTGAG:8.00:33.33:OK:6:1822.24:</t>
  </si>
  <si>
    <t>&gt;4068:TTTGAT:2.00:16.67:OK:6:1797.22:</t>
  </si>
  <si>
    <t>&gt;4069:TTTGCA:8.00:33.33:OK:6:1782.21:</t>
  </si>
  <si>
    <t>&gt;4070:TTTGCC:6.00:50.00:Warning:6:1758.18:</t>
  </si>
  <si>
    <t>&gt;4071:TTTGCG:6.00:50.00:Warning:6:1798.21:</t>
  </si>
  <si>
    <t>&gt;4072:TTTGCT:0.00:33.33:OK:6:1773.19:</t>
  </si>
  <si>
    <t>&gt;4073:TTTGGA:8.00:33.33:OK:6:1822.24:</t>
  </si>
  <si>
    <t>&gt;4074:TTTGGC:6.00:50.00:Warning:6:1798.21:</t>
  </si>
  <si>
    <t>&gt;4075:TTTGGG:6.00:50.00:Warning:6:1838.24:</t>
  </si>
  <si>
    <t>&gt;4076:TTTGGT:0.00:33.33:OK:6:1813.22:</t>
  </si>
  <si>
    <t>&gt;4077:TTTGTA:2.00:16.67:OK:6:1797.22:</t>
  </si>
  <si>
    <t>&gt;4078:TTTGTC:0.00:33.33:OK:6:1773.19:</t>
  </si>
  <si>
    <t>&gt;4079:TTTGTG:0.00:33.33:OK:6:1813.22:</t>
  </si>
  <si>
    <t>&gt;4080:TTTGTT:-6.00:16.67:OK:6:1788.20:</t>
  </si>
  <si>
    <t>&gt;4081:TTTTAA:4.00:0.00:OK:6:1781.22:</t>
  </si>
  <si>
    <t>&gt;4082:TTTTAC:2.00:16.67:OK:6:1757.19:</t>
  </si>
  <si>
    <t>&gt;4083:TTTTAG:2.00:16.67:OK:6:1797.22:</t>
  </si>
  <si>
    <t>&gt;4084:TTTTAT:-4.00:0.00:OK:6:1772.20:</t>
  </si>
  <si>
    <t>&gt;4085:TTTTCA:2.00:16.67:OK:6:1757.19:</t>
  </si>
  <si>
    <t>&gt;4086:TTTTCC:0.00:33.33:OK:6:1733.16:</t>
  </si>
  <si>
    <t>&gt;4087:TTTTCG:0.00:33.33:OK:6:1773.19:</t>
  </si>
  <si>
    <t>&gt;4088:TTTTCT:-6.00:16.67:OK:6:1748.17:</t>
  </si>
  <si>
    <t>&gt;4089:TTTTGA:2.00:16.67:OK:6:1797.22:</t>
  </si>
  <si>
    <t>&gt;4090:TTTTGC:0.00:33.33:OK:6:1773.19:</t>
  </si>
  <si>
    <t>&gt;4091:TTTTGG:0.00:33.33:OK:6:1813.22:</t>
  </si>
  <si>
    <t>&gt;4092:TTTTGT:-6.00:16.67:OK:6:1788.20:</t>
  </si>
  <si>
    <t>&gt;4093:TTTTTA:-4.00:0.00:OK:6:1772.20:</t>
  </si>
  <si>
    <t>&gt;4094:TTTTTC:-6.00:16.67:OK:6:1748.17:</t>
  </si>
  <si>
    <t>&gt;4095:TTTTTG:-6.00:16.67:OK:6:1788.20:</t>
  </si>
  <si>
    <t>&gt;4096:TTTTTT:-12.00:0.00:OK:6:1763.18:</t>
  </si>
  <si>
    <t>Revcomp</t>
  </si>
  <si>
    <t>probes x pool if we have 8 pools</t>
  </si>
  <si>
    <t>probes x pool if we have 4 pools</t>
  </si>
  <si>
    <t>probes x pool if we have 16 pools</t>
  </si>
  <si>
    <t>probes x pool if we have 32 pools</t>
  </si>
  <si>
    <t>TOTAL probes</t>
  </si>
  <si>
    <t>ok status</t>
  </si>
  <si>
    <t>warning status</t>
  </si>
  <si>
    <t>probes x pool if we have 64 pools</t>
  </si>
  <si>
    <t>Range</t>
  </si>
  <si>
    <t>TTTTTT - AAAAAA</t>
  </si>
  <si>
    <t>STEPS</t>
  </si>
  <si>
    <t>START</t>
  </si>
  <si>
    <t>DEGREE RANGE</t>
  </si>
  <si>
    <t>DEG INCREMENT</t>
  </si>
  <si>
    <t>TM range</t>
  </si>
  <si>
    <t>&lt;strictly by TM</t>
  </si>
  <si>
    <t>&lt;BackUpSwapPools</t>
  </si>
  <si>
    <t>Pool</t>
  </si>
  <si>
    <t>TMPool</t>
  </si>
  <si>
    <t>OK</t>
  </si>
  <si>
    <t>Warning</t>
  </si>
  <si>
    <t>Freq</t>
  </si>
  <si>
    <t>SPLIT</t>
  </si>
  <si>
    <t>number</t>
  </si>
  <si>
    <t>need 12 pools at least</t>
  </si>
  <si>
    <t>this will slow down sequencing and make the S6 file larger</t>
  </si>
  <si>
    <t>c1p1…c100p12</t>
  </si>
  <si>
    <t>if 6 pools and 100 cycles</t>
  </si>
  <si>
    <t>at 1 minute x pool x cycle</t>
  </si>
  <si>
    <t>mins</t>
  </si>
  <si>
    <t>hours</t>
  </si>
  <si>
    <t>if 12 pools and 100 cycles</t>
  </si>
  <si>
    <t>if 3 pools and 10 cycles</t>
  </si>
  <si>
    <t>days</t>
  </si>
  <si>
    <t>at 3 minutes x pool x cycle</t>
  </si>
  <si>
    <t>MER</t>
  </si>
  <si>
    <t>Combinations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</si>
</sst>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0.0"/>
  </numFmts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</font>
    <font>
      <sz val="12"/>
      <color rgb="FF000000"/>
      <name val="Calibri"/>
    </font>
    <font>
      <sz val="12"/>
      <color rgb="FF666666"/>
      <name val="Arial"/>
    </font>
    <font>
      <b/>
      <u/>
      <sz val="12"/>
      <color theme="1"/>
      <name val="Calibri"/>
      <scheme val="minor"/>
    </font>
    <font>
      <sz val="12"/>
      <color rgb="FFFF0000"/>
      <name val="Calibri"/>
    </font>
    <font>
      <sz val="12"/>
      <color rgb="FF333333"/>
      <name val="Calibri"/>
    </font>
    <font>
      <sz val="12"/>
      <color rgb="FF1044EE"/>
      <name val="Courier New"/>
    </font>
    <font>
      <sz val="12"/>
      <color theme="1"/>
      <name val="Calibri"/>
    </font>
    <font>
      <sz val="12"/>
      <color rgb="FF222222"/>
      <name val="Calibri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2" fontId="0" fillId="0" borderId="0" xfId="0" applyNumberFormat="1" applyFill="1" applyAlignment="1" applyProtection="1">
      <alignment horizontal="center"/>
    </xf>
    <xf numFmtId="2" fontId="3" fillId="0" borderId="0" xfId="0" applyNumberFormat="1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Fill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5" fillId="0" borderId="0" xfId="0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6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protection locked="0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 applyProtection="1">
      <alignment horizontal="center" vertical="center"/>
      <protection locked="0"/>
    </xf>
    <xf numFmtId="0" fontId="1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2" fontId="0" fillId="0" borderId="0" xfId="0" applyNumberFormat="1" applyAlignment="1" applyProtection="1">
      <alignment horizontal="right"/>
    </xf>
    <xf numFmtId="0" fontId="0" fillId="0" borderId="0" xfId="0" quotePrefix="1" applyProtection="1">
      <protection locked="0"/>
    </xf>
    <xf numFmtId="0" fontId="0" fillId="4" borderId="0" xfId="0" applyFill="1"/>
    <xf numFmtId="0" fontId="1" fillId="2" borderId="3" xfId="0" applyFont="1" applyFill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2" fontId="1" fillId="2" borderId="3" xfId="0" applyNumberFormat="1" applyFont="1" applyFill="1" applyBorder="1" applyAlignment="1" applyProtection="1">
      <alignment horizontal="center"/>
    </xf>
    <xf numFmtId="49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0" fillId="0" borderId="2" xfId="0" applyBorder="1" applyProtection="1">
      <protection locked="0"/>
    </xf>
    <xf numFmtId="0" fontId="0" fillId="0" borderId="2" xfId="0" quotePrefix="1" applyBorder="1" applyProtection="1">
      <protection locked="0"/>
    </xf>
    <xf numFmtId="0" fontId="0" fillId="0" borderId="2" xfId="0" applyBorder="1"/>
    <xf numFmtId="0" fontId="0" fillId="5" borderId="2" xfId="0" applyFill="1" applyBorder="1"/>
    <xf numFmtId="0" fontId="0" fillId="5" borderId="2" xfId="0" applyFill="1" applyBorder="1" applyProtection="1">
      <protection locked="0"/>
    </xf>
    <xf numFmtId="0" fontId="1" fillId="2" borderId="2" xfId="0" applyFont="1" applyFill="1" applyBorder="1" applyAlignment="1">
      <alignment horizontal="center"/>
    </xf>
    <xf numFmtId="0" fontId="0" fillId="8" borderId="0" xfId="0" applyFill="1"/>
    <xf numFmtId="167" fontId="0" fillId="0" borderId="2" xfId="0" applyNumberFormat="1" applyBorder="1"/>
    <xf numFmtId="0" fontId="0" fillId="8" borderId="2" xfId="0" applyFill="1" applyBorder="1"/>
    <xf numFmtId="0" fontId="0" fillId="6" borderId="2" xfId="0" applyFill="1" applyBorder="1"/>
    <xf numFmtId="0" fontId="0" fillId="7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-Reverse-Complement/revcom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evcom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07"/>
  <sheetViews>
    <sheetView workbookViewId="0">
      <selection activeCell="B22" sqref="B22"/>
    </sheetView>
  </sheetViews>
  <sheetFormatPr defaultRowHeight="14.4" x14ac:dyDescent="0.3"/>
  <sheetData>
    <row r="1" spans="1:12" x14ac:dyDescent="0.3">
      <c r="A1" t="s">
        <v>8214</v>
      </c>
      <c r="F1" s="29" t="s">
        <v>8204</v>
      </c>
      <c r="G1">
        <f>SUM(G2:G3)</f>
        <v>4096</v>
      </c>
      <c r="K1">
        <f>4096/8</f>
        <v>512</v>
      </c>
      <c r="L1" t="s">
        <v>8200</v>
      </c>
    </row>
    <row r="2" spans="1:12" x14ac:dyDescent="0.3">
      <c r="A2" s="42" t="s">
        <v>8212</v>
      </c>
      <c r="B2" s="43">
        <f>36+12</f>
        <v>48</v>
      </c>
      <c r="C2" s="2"/>
      <c r="D2" s="1"/>
      <c r="E2" s="3"/>
      <c r="F2" s="30" t="s">
        <v>8205</v>
      </c>
      <c r="G2">
        <f>COUNTIF(G12:G4107,"OK")</f>
        <v>2048</v>
      </c>
      <c r="H2" s="5"/>
      <c r="I2" s="6"/>
      <c r="K2">
        <f>4096/4</f>
        <v>1024</v>
      </c>
      <c r="L2" t="s">
        <v>8201</v>
      </c>
    </row>
    <row r="3" spans="1:12" x14ac:dyDescent="0.3">
      <c r="A3" s="39" t="s">
        <v>8210</v>
      </c>
      <c r="B3" s="39">
        <f>B2/6</f>
        <v>8</v>
      </c>
      <c r="C3" s="2"/>
      <c r="D3" s="1"/>
      <c r="E3" s="3"/>
      <c r="F3" s="30" t="s">
        <v>8206</v>
      </c>
      <c r="G3">
        <f>COUNTIF(G12:G4107,"WARNING")</f>
        <v>2048</v>
      </c>
      <c r="H3" s="5"/>
      <c r="I3" s="6"/>
      <c r="K3" s="32">
        <f>4096/16</f>
        <v>256</v>
      </c>
      <c r="L3" s="32" t="s">
        <v>8202</v>
      </c>
    </row>
    <row r="4" spans="1:12" x14ac:dyDescent="0.3">
      <c r="A4" s="42" t="s">
        <v>8213</v>
      </c>
      <c r="B4" s="42">
        <v>6</v>
      </c>
      <c r="C4" s="2"/>
      <c r="D4" s="1"/>
      <c r="E4" s="3" t="s">
        <v>8209</v>
      </c>
      <c r="F4" s="3"/>
      <c r="H4" s="5"/>
      <c r="I4" s="6"/>
      <c r="K4">
        <f>4096/32</f>
        <v>128</v>
      </c>
      <c r="L4" t="s">
        <v>8203</v>
      </c>
    </row>
    <row r="5" spans="1:12" x14ac:dyDescent="0.3">
      <c r="A5" s="39" t="s">
        <v>8211</v>
      </c>
      <c r="B5" s="39">
        <f>-12</f>
        <v>-12</v>
      </c>
      <c r="C5" s="2"/>
      <c r="D5" s="1" t="s">
        <v>8208</v>
      </c>
      <c r="E5" s="3" t="str">
        <f>MIN(E12:E4107)&amp;" - "&amp;MAX(E12:E4107)</f>
        <v>-12 - 36</v>
      </c>
      <c r="F5" s="3"/>
      <c r="H5" s="5"/>
      <c r="I5" s="6"/>
      <c r="K5">
        <f>4096/64</f>
        <v>64</v>
      </c>
      <c r="L5" t="s">
        <v>8207</v>
      </c>
    </row>
    <row r="6" spans="1:12" x14ac:dyDescent="0.3">
      <c r="A6" s="43">
        <v>1</v>
      </c>
      <c r="B6" s="43">
        <v>2</v>
      </c>
      <c r="C6" s="43">
        <v>3</v>
      </c>
      <c r="D6" s="43">
        <v>4</v>
      </c>
      <c r="E6" s="43">
        <v>5</v>
      </c>
      <c r="F6" s="43">
        <v>6</v>
      </c>
      <c r="G6" s="43">
        <v>7</v>
      </c>
      <c r="H6" s="43">
        <v>8</v>
      </c>
      <c r="I6" s="6"/>
    </row>
    <row r="7" spans="1:12" x14ac:dyDescent="0.3">
      <c r="A7" s="40" t="str">
        <f>B5&amp;" - " &amp;B5+B4</f>
        <v>-12 - -6</v>
      </c>
      <c r="B7" s="40" t="str">
        <f>RIGHT(A7,2)+1&amp;" - "&amp;RIGHT(A7,2)+B4</f>
        <v>-5 - 0</v>
      </c>
      <c r="C7" s="40" t="str">
        <f>RIGHT(B7,2)+1&amp;" - "&amp;RIGHT(B7,2)+$B$4</f>
        <v>1 - 6</v>
      </c>
      <c r="D7" s="40" t="str">
        <f>RIGHT(C7,2)+1&amp;" - "&amp;RIGHT(C7,2)+$B$4</f>
        <v>7 - 12</v>
      </c>
      <c r="E7" s="40" t="str">
        <f>RIGHT(D7,2)+1&amp;" - "&amp;RIGHT(D7,2)+$B$4</f>
        <v>13 - 18</v>
      </c>
      <c r="F7" s="40" t="str">
        <f>RIGHT(E7,2)+1&amp;" - "&amp;RIGHT(E7,2)+$B$4</f>
        <v>19 - 24</v>
      </c>
      <c r="G7" s="40" t="str">
        <f>RIGHT(F7,2)+1&amp;" - "&amp;RIGHT(F7,2)+$B$4</f>
        <v>25 - 30</v>
      </c>
      <c r="H7" s="40" t="str">
        <f>RIGHT(G7,2)+1&amp;" - "&amp;RIGHT(G7,2)+$B$4</f>
        <v>31 - 36</v>
      </c>
      <c r="I7" s="31" t="s">
        <v>8215</v>
      </c>
    </row>
    <row r="8" spans="1:12" x14ac:dyDescent="0.3">
      <c r="A8" s="43">
        <v>9</v>
      </c>
      <c r="B8" s="43">
        <v>10</v>
      </c>
      <c r="C8" s="43">
        <v>11</v>
      </c>
      <c r="D8" s="43">
        <v>12</v>
      </c>
      <c r="E8" s="43">
        <v>13</v>
      </c>
      <c r="F8" s="43">
        <v>14</v>
      </c>
      <c r="G8" s="43">
        <v>15</v>
      </c>
      <c r="H8" s="43">
        <v>16</v>
      </c>
      <c r="I8" s="31"/>
    </row>
    <row r="9" spans="1:12" ht="15" thickBot="1" x14ac:dyDescent="0.35">
      <c r="A9" s="40"/>
      <c r="B9" s="40"/>
      <c r="C9" s="40"/>
      <c r="D9" s="40"/>
      <c r="E9" s="40"/>
      <c r="F9" s="40"/>
      <c r="G9" s="40"/>
      <c r="H9" s="40"/>
      <c r="I9" s="31" t="s">
        <v>8216</v>
      </c>
    </row>
    <row r="10" spans="1:12" ht="16.2" thickBot="1" x14ac:dyDescent="0.35">
      <c r="A10" s="33" t="s">
        <v>0</v>
      </c>
      <c r="B10" s="34"/>
      <c r="C10" s="35" t="s">
        <v>1</v>
      </c>
      <c r="D10" s="34"/>
      <c r="E10" s="36" t="s">
        <v>2</v>
      </c>
      <c r="F10" s="36" t="s">
        <v>3</v>
      </c>
      <c r="G10" s="37" t="s">
        <v>4</v>
      </c>
      <c r="H10" s="38" t="s">
        <v>5</v>
      </c>
      <c r="I10" s="7" t="s">
        <v>6</v>
      </c>
      <c r="K10" s="7" t="s">
        <v>8199</v>
      </c>
      <c r="L10" s="7" t="s">
        <v>8218</v>
      </c>
    </row>
    <row r="11" spans="1:12" x14ac:dyDescent="0.3">
      <c r="A11" s="8"/>
      <c r="B11" s="8"/>
      <c r="C11" s="2"/>
      <c r="D11" s="8"/>
      <c r="E11" s="3"/>
      <c r="F11" s="3"/>
      <c r="G11" s="4"/>
      <c r="H11" s="5"/>
      <c r="I11" s="6"/>
    </row>
    <row r="12" spans="1:12" ht="15.6" x14ac:dyDescent="0.3">
      <c r="A12" s="9">
        <v>1</v>
      </c>
      <c r="B12" s="9"/>
      <c r="C12" s="10" t="s">
        <v>7</v>
      </c>
      <c r="D12" s="9"/>
      <c r="E12" s="11">
        <f>IF(LEN(C12)&gt;15,(69.3+((41*((LEN(C12)-(((LEN(C12)-(LEN(SUBSTITUTE(C12,"A",""))))+((LEN(C12)-(LEN(SUBSTITUTE(C12,"T","")))))))))/(LEN(C12)))-(650/(LEN(C12))))),(2*((LEN(C12)-(((LEN(C12)-(LEN(SUBSTITUTE(C12,"C",""))))+((LEN(C12)-(LEN(SUBSTITUTE(C12,"G",""))))))))))+(4*((LEN(C12)-(((LEN(C12)-(LEN(SUBSTITUTE(C12,"T",""))))+((LEN(C12)-(LEN(SUBSTITUTE(C12,"T","")))))))))))</f>
        <v>36</v>
      </c>
      <c r="F12" s="12">
        <f>((LEN(C12)- LEN(SUBSTITUTE(C12,"G","")))+(LEN(C12)- LEN(SUBSTITUTE(C12,"C",""))) )/LEN(C12)*100</f>
        <v>0</v>
      </c>
      <c r="G12" s="12" t="str">
        <f>IF((-5+((LEN(SUBSTITUTE(RIGHT(C12,5),"C","")))+((LEN(SUBSTITUTE(RIGHT(C12,5),"G",""))))))&gt;=3,"OK","Warning")</f>
        <v>OK</v>
      </c>
      <c r="H12" s="13">
        <f>LEN(C12)</f>
        <v>6</v>
      </c>
      <c r="I12" s="14">
        <f>((LEN(C12)-(LEN(SUBSTITUTE(C12,"A",""))))*249.23)+((LEN(C12)-(LEN(SUBSTITUTE(C12,"T",""))))*240.21)+((LEN(C12)-(LEN(SUBSTITUTE(C12,"C",""))))*225.2)+((LEN(C12)-(LEN(SUBSTITUTE(C12,"G",""))))*265.23)+(63.98*(LEN(C12)-1)+(2.02))</f>
        <v>1817.2999999999997</v>
      </c>
      <c r="K12" t="str">
        <f>[1]!revcom(C12)</f>
        <v>TTTTTT</v>
      </c>
      <c r="L12">
        <v>8</v>
      </c>
    </row>
    <row r="13" spans="1:12" ht="15.6" x14ac:dyDescent="0.3">
      <c r="A13" s="9">
        <v>2</v>
      </c>
      <c r="B13" s="9"/>
      <c r="C13" s="10" t="s">
        <v>8</v>
      </c>
      <c r="D13" s="9"/>
      <c r="E13" s="11">
        <f>IF(LEN(C13)&gt;15,(69.3+((41*((LEN(C13)-(((LEN(C13)-(LEN(SUBSTITUTE(C13,"A",""))))+((LEN(C13)-(LEN(SUBSTITUTE(C13,"T","")))))))))/(LEN(C13)))-(650/(LEN(C13))))),(2*((LEN(C13)-(((LEN(C13)-(LEN(SUBSTITUTE(C13,"C",""))))+((LEN(C13)-(LEN(SUBSTITUTE(C13,"G",""))))))))))+(4*((LEN(C13)-(((LEN(C13)-(LEN(SUBSTITUTE(C13,"T",""))))+((LEN(C13)-(LEN(SUBSTITUTE(C13,"T","")))))))))))</f>
        <v>34</v>
      </c>
      <c r="F13" s="12">
        <f>((LEN(C13)- LEN(SUBSTITUTE(C13,"G","")))+(LEN(C13)- LEN(SUBSTITUTE(C13,"C",""))) )/LEN(C13)*100</f>
        <v>16.666666666666664</v>
      </c>
      <c r="G13" s="12" t="str">
        <f>IF((-5+((LEN(SUBSTITUTE(RIGHT(C13,5),"C","")))+((LEN(SUBSTITUTE(RIGHT(C13,5),"G",""))))))&gt;=3,"OK","Warning")</f>
        <v>OK</v>
      </c>
      <c r="H13" s="13">
        <f>LEN(C13)</f>
        <v>6</v>
      </c>
      <c r="I13" s="14">
        <f t="shared" ref="I13:I76" si="0">((LEN(C13)-(LEN(SUBSTITUTE(C13,"A",""))))*249.23)+((LEN(C13)-(LEN(SUBSTITUTE(C13,"T",""))))*240.21)+((LEN(C13)-(LEN(SUBSTITUTE(C13,"C",""))))*225.2)+((LEN(C13)-(LEN(SUBSTITUTE(C13,"G",""))))*265.23)+(63.98*(LEN(C13)-1)+(2.02))</f>
        <v>1793.27</v>
      </c>
      <c r="K13" t="str">
        <f>[1]!revcom(C13)</f>
        <v>GTTTTT</v>
      </c>
      <c r="L13">
        <v>8</v>
      </c>
    </row>
    <row r="14" spans="1:12" ht="15.6" x14ac:dyDescent="0.3">
      <c r="A14" s="9">
        <v>3</v>
      </c>
      <c r="B14" s="9"/>
      <c r="C14" s="15" t="s">
        <v>9</v>
      </c>
      <c r="D14" s="9"/>
      <c r="E14" s="11">
        <f t="shared" ref="E14:E77" si="1">IF(LEN(C14)&gt;15,(69.3+((41*((LEN(C14)-(((LEN(C14)-(LEN(SUBSTITUTE(C14,"A",""))))+((LEN(C14)-(LEN(SUBSTITUTE(C14,"T","")))))))))/(LEN(C14)))-(650/(LEN(C14))))),(2*((LEN(C14)-(((LEN(C14)-(LEN(SUBSTITUTE(C14,"C",""))))+((LEN(C14)-(LEN(SUBSTITUTE(C14,"G",""))))))))))+(4*((LEN(C14)-(((LEN(C14)-(LEN(SUBSTITUTE(C14,"T",""))))+((LEN(C14)-(LEN(SUBSTITUTE(C14,"T","")))))))))))</f>
        <v>34</v>
      </c>
      <c r="F14" s="12">
        <f t="shared" ref="F14:F77" si="2">((LEN(C14)- LEN(SUBSTITUTE(C14,"G","")))+(LEN(C14)- LEN(SUBSTITUTE(C14,"C",""))) )/LEN(C14)*100</f>
        <v>16.666666666666664</v>
      </c>
      <c r="G14" s="12" t="str">
        <f t="shared" ref="G14:G77" si="3">IF((-5+((LEN(SUBSTITUTE(RIGHT(C14,5),"C","")))+((LEN(SUBSTITUTE(RIGHT(C14,5),"G",""))))))&gt;=3,"OK","Warning")</f>
        <v>OK</v>
      </c>
      <c r="H14" s="13">
        <f t="shared" ref="H14:H77" si="4">LEN(C14)</f>
        <v>6</v>
      </c>
      <c r="I14" s="14">
        <f t="shared" si="0"/>
        <v>1833.2999999999997</v>
      </c>
      <c r="K14" t="str">
        <f>[1]!revcom(C14)</f>
        <v>CTTTTT</v>
      </c>
      <c r="L14">
        <v>8</v>
      </c>
    </row>
    <row r="15" spans="1:12" ht="15.6" x14ac:dyDescent="0.3">
      <c r="A15" s="9">
        <v>4</v>
      </c>
      <c r="B15" s="8"/>
      <c r="C15" s="15" t="s">
        <v>10</v>
      </c>
      <c r="D15" s="9"/>
      <c r="E15" s="11">
        <f t="shared" si="1"/>
        <v>28</v>
      </c>
      <c r="F15" s="12">
        <f t="shared" si="2"/>
        <v>0</v>
      </c>
      <c r="G15" s="12" t="str">
        <f t="shared" si="3"/>
        <v>OK</v>
      </c>
      <c r="H15" s="13">
        <f t="shared" si="4"/>
        <v>6</v>
      </c>
      <c r="I15" s="14">
        <f t="shared" si="0"/>
        <v>1808.2799999999997</v>
      </c>
      <c r="K15" t="str">
        <f>[1]!revcom(C15)</f>
        <v>ATTTTT</v>
      </c>
      <c r="L15">
        <v>7</v>
      </c>
    </row>
    <row r="16" spans="1:12" ht="15.6" x14ac:dyDescent="0.3">
      <c r="A16" s="9">
        <v>5</v>
      </c>
      <c r="B16" s="8"/>
      <c r="C16" s="10" t="s">
        <v>11</v>
      </c>
      <c r="D16" s="8"/>
      <c r="E16" s="11">
        <f t="shared" si="1"/>
        <v>34</v>
      </c>
      <c r="F16" s="12">
        <f t="shared" si="2"/>
        <v>16.666666666666664</v>
      </c>
      <c r="G16" s="12" t="str">
        <f t="shared" si="3"/>
        <v>OK</v>
      </c>
      <c r="H16" s="13">
        <f t="shared" si="4"/>
        <v>6</v>
      </c>
      <c r="I16" s="14">
        <f t="shared" si="0"/>
        <v>1793.27</v>
      </c>
      <c r="K16" t="str">
        <f>[1]!revcom(C16)</f>
        <v>TGTTTT</v>
      </c>
      <c r="L16">
        <v>8</v>
      </c>
    </row>
    <row r="17" spans="1:12" ht="15.6" x14ac:dyDescent="0.3">
      <c r="A17" s="9">
        <v>6</v>
      </c>
      <c r="B17" s="8"/>
      <c r="C17" s="2" t="s">
        <v>12</v>
      </c>
      <c r="D17" s="8"/>
      <c r="E17" s="11">
        <f t="shared" si="1"/>
        <v>32</v>
      </c>
      <c r="F17" s="12">
        <f t="shared" si="2"/>
        <v>33.333333333333329</v>
      </c>
      <c r="G17" s="12" t="str">
        <f t="shared" si="3"/>
        <v>OK</v>
      </c>
      <c r="H17" s="13">
        <f t="shared" si="4"/>
        <v>6</v>
      </c>
      <c r="I17" s="14">
        <f t="shared" si="0"/>
        <v>1769.2399999999998</v>
      </c>
      <c r="K17" t="str">
        <f>[1]!revcom(C17)</f>
        <v>GGTTTT</v>
      </c>
      <c r="L17">
        <v>8</v>
      </c>
    </row>
    <row r="18" spans="1:12" ht="15.6" x14ac:dyDescent="0.3">
      <c r="A18" s="9">
        <v>7</v>
      </c>
      <c r="B18" s="8"/>
      <c r="C18" s="2" t="s">
        <v>13</v>
      </c>
      <c r="D18" s="8"/>
      <c r="E18" s="11">
        <f t="shared" si="1"/>
        <v>32</v>
      </c>
      <c r="F18" s="12">
        <f t="shared" si="2"/>
        <v>33.333333333333329</v>
      </c>
      <c r="G18" s="12" t="str">
        <f t="shared" si="3"/>
        <v>OK</v>
      </c>
      <c r="H18" s="13">
        <f t="shared" si="4"/>
        <v>6</v>
      </c>
      <c r="I18" s="14">
        <f t="shared" si="0"/>
        <v>1809.27</v>
      </c>
      <c r="K18" t="str">
        <f>[1]!revcom(C18)</f>
        <v>CGTTTT</v>
      </c>
      <c r="L18">
        <v>8</v>
      </c>
    </row>
    <row r="19" spans="1:12" ht="15.6" x14ac:dyDescent="0.3">
      <c r="A19" s="9">
        <v>8</v>
      </c>
      <c r="B19" s="8"/>
      <c r="C19" s="2" t="s">
        <v>14</v>
      </c>
      <c r="D19" s="8"/>
      <c r="E19" s="11">
        <f t="shared" si="1"/>
        <v>26</v>
      </c>
      <c r="F19" s="12">
        <f t="shared" si="2"/>
        <v>16.666666666666664</v>
      </c>
      <c r="G19" s="12" t="str">
        <f t="shared" si="3"/>
        <v>OK</v>
      </c>
      <c r="H19" s="13">
        <f t="shared" si="4"/>
        <v>6</v>
      </c>
      <c r="I19" s="14">
        <f t="shared" si="0"/>
        <v>1784.25</v>
      </c>
      <c r="K19" t="str">
        <f>[1]!revcom(C19)</f>
        <v>AGTTTT</v>
      </c>
      <c r="L19">
        <v>7</v>
      </c>
    </row>
    <row r="20" spans="1:12" ht="15.6" x14ac:dyDescent="0.3">
      <c r="A20" s="9">
        <v>9</v>
      </c>
      <c r="B20" s="8"/>
      <c r="C20" s="2" t="s">
        <v>15</v>
      </c>
      <c r="D20" s="8"/>
      <c r="E20" s="11">
        <f t="shared" si="1"/>
        <v>34</v>
      </c>
      <c r="F20" s="12">
        <f t="shared" si="2"/>
        <v>16.666666666666664</v>
      </c>
      <c r="G20" s="12" t="str">
        <f t="shared" si="3"/>
        <v>OK</v>
      </c>
      <c r="H20" s="13">
        <f t="shared" si="4"/>
        <v>6</v>
      </c>
      <c r="I20" s="14">
        <f t="shared" si="0"/>
        <v>1833.2999999999997</v>
      </c>
      <c r="K20" t="str">
        <f>[1]!revcom(C20)</f>
        <v>TCTTTT</v>
      </c>
      <c r="L20">
        <v>8</v>
      </c>
    </row>
    <row r="21" spans="1:12" ht="15.6" x14ac:dyDescent="0.3">
      <c r="A21" s="9">
        <v>10</v>
      </c>
      <c r="B21" s="8"/>
      <c r="C21" s="2" t="s">
        <v>16</v>
      </c>
      <c r="D21" s="8"/>
      <c r="E21" s="11">
        <f t="shared" si="1"/>
        <v>32</v>
      </c>
      <c r="F21" s="12">
        <f t="shared" si="2"/>
        <v>33.333333333333329</v>
      </c>
      <c r="G21" s="12" t="str">
        <f t="shared" si="3"/>
        <v>OK</v>
      </c>
      <c r="H21" s="13">
        <f t="shared" si="4"/>
        <v>6</v>
      </c>
      <c r="I21" s="14">
        <f t="shared" si="0"/>
        <v>1809.27</v>
      </c>
      <c r="K21" t="str">
        <f>[1]!revcom(C21)</f>
        <v>GCTTTT</v>
      </c>
      <c r="L21">
        <v>8</v>
      </c>
    </row>
    <row r="22" spans="1:12" ht="15.6" x14ac:dyDescent="0.3">
      <c r="A22" s="9">
        <v>11</v>
      </c>
      <c r="B22" s="8"/>
      <c r="C22" s="2" t="s">
        <v>17</v>
      </c>
      <c r="D22" s="8"/>
      <c r="E22" s="11">
        <f t="shared" si="1"/>
        <v>32</v>
      </c>
      <c r="F22" s="12">
        <f t="shared" si="2"/>
        <v>33.333333333333329</v>
      </c>
      <c r="G22" s="12" t="str">
        <f t="shared" si="3"/>
        <v>OK</v>
      </c>
      <c r="H22" s="13">
        <f t="shared" si="4"/>
        <v>6</v>
      </c>
      <c r="I22" s="14">
        <f t="shared" si="0"/>
        <v>1849.3000000000002</v>
      </c>
      <c r="K22" t="str">
        <f>[1]!revcom(C22)</f>
        <v>CCTTTT</v>
      </c>
      <c r="L22">
        <v>8</v>
      </c>
    </row>
    <row r="23" spans="1:12" ht="15.6" x14ac:dyDescent="0.3">
      <c r="A23" s="9">
        <v>12</v>
      </c>
      <c r="B23" s="8"/>
      <c r="C23" s="2" t="s">
        <v>18</v>
      </c>
      <c r="D23" s="8"/>
      <c r="E23" s="11">
        <f t="shared" si="1"/>
        <v>26</v>
      </c>
      <c r="F23" s="12">
        <f t="shared" si="2"/>
        <v>16.666666666666664</v>
      </c>
      <c r="G23" s="12" t="str">
        <f t="shared" si="3"/>
        <v>OK</v>
      </c>
      <c r="H23" s="13">
        <f t="shared" si="4"/>
        <v>6</v>
      </c>
      <c r="I23" s="14">
        <f t="shared" si="0"/>
        <v>1824.2799999999997</v>
      </c>
      <c r="K23" t="str">
        <f>[1]!revcom(C23)</f>
        <v>ACTTTT</v>
      </c>
      <c r="L23">
        <v>7</v>
      </c>
    </row>
    <row r="24" spans="1:12" ht="15.6" x14ac:dyDescent="0.3">
      <c r="A24" s="9">
        <v>13</v>
      </c>
      <c r="B24" s="8"/>
      <c r="C24" s="16" t="s">
        <v>19</v>
      </c>
      <c r="D24" s="8"/>
      <c r="E24" s="11">
        <f t="shared" si="1"/>
        <v>28</v>
      </c>
      <c r="F24" s="12">
        <f t="shared" si="2"/>
        <v>0</v>
      </c>
      <c r="G24" s="12" t="str">
        <f t="shared" si="3"/>
        <v>OK</v>
      </c>
      <c r="H24" s="13">
        <f t="shared" si="4"/>
        <v>6</v>
      </c>
      <c r="I24" s="14">
        <f t="shared" si="0"/>
        <v>1808.2799999999997</v>
      </c>
      <c r="K24" t="str">
        <f>[1]!revcom(C24)</f>
        <v>TATTTT</v>
      </c>
      <c r="L24">
        <v>7</v>
      </c>
    </row>
    <row r="25" spans="1:12" ht="15.6" x14ac:dyDescent="0.3">
      <c r="A25" s="9">
        <v>14</v>
      </c>
      <c r="B25" s="8"/>
      <c r="C25" s="16" t="s">
        <v>20</v>
      </c>
      <c r="D25" s="8"/>
      <c r="E25" s="11">
        <f t="shared" si="1"/>
        <v>26</v>
      </c>
      <c r="F25" s="12">
        <f t="shared" si="2"/>
        <v>16.666666666666664</v>
      </c>
      <c r="G25" s="12" t="str">
        <f t="shared" si="3"/>
        <v>OK</v>
      </c>
      <c r="H25" s="13">
        <f t="shared" si="4"/>
        <v>6</v>
      </c>
      <c r="I25" s="14">
        <f t="shared" si="0"/>
        <v>1784.25</v>
      </c>
      <c r="K25" t="str">
        <f>[1]!revcom(C25)</f>
        <v>GATTTT</v>
      </c>
      <c r="L25">
        <v>7</v>
      </c>
    </row>
    <row r="26" spans="1:12" ht="15.6" x14ac:dyDescent="0.3">
      <c r="A26" s="9">
        <v>15</v>
      </c>
      <c r="B26" s="17"/>
      <c r="C26" s="18" t="s">
        <v>21</v>
      </c>
      <c r="D26" s="17"/>
      <c r="E26" s="11">
        <f t="shared" si="1"/>
        <v>26</v>
      </c>
      <c r="F26" s="12">
        <f t="shared" si="2"/>
        <v>16.666666666666664</v>
      </c>
      <c r="G26" s="12" t="str">
        <f t="shared" si="3"/>
        <v>OK</v>
      </c>
      <c r="H26" s="13">
        <f t="shared" si="4"/>
        <v>6</v>
      </c>
      <c r="I26" s="14">
        <f t="shared" si="0"/>
        <v>1824.2799999999997</v>
      </c>
      <c r="K26" t="str">
        <f>[1]!revcom(C26)</f>
        <v>CATTTT</v>
      </c>
      <c r="L26">
        <v>7</v>
      </c>
    </row>
    <row r="27" spans="1:12" ht="15.6" x14ac:dyDescent="0.3">
      <c r="A27" s="9">
        <v>16</v>
      </c>
      <c r="B27" s="9"/>
      <c r="C27" s="16" t="s">
        <v>22</v>
      </c>
      <c r="D27" s="9"/>
      <c r="E27" s="11">
        <f t="shared" si="1"/>
        <v>20</v>
      </c>
      <c r="F27" s="12">
        <f t="shared" si="2"/>
        <v>0</v>
      </c>
      <c r="G27" s="12" t="str">
        <f t="shared" si="3"/>
        <v>OK</v>
      </c>
      <c r="H27" s="13">
        <f t="shared" si="4"/>
        <v>6</v>
      </c>
      <c r="I27" s="14">
        <f t="shared" si="0"/>
        <v>1799.2599999999998</v>
      </c>
      <c r="K27" t="str">
        <f>[1]!revcom(C27)</f>
        <v>AATTTT</v>
      </c>
      <c r="L27">
        <v>6</v>
      </c>
    </row>
    <row r="28" spans="1:12" ht="15.6" x14ac:dyDescent="0.3">
      <c r="A28" s="9">
        <v>17</v>
      </c>
      <c r="B28" s="9"/>
      <c r="C28" s="15" t="s">
        <v>23</v>
      </c>
      <c r="D28" s="9"/>
      <c r="E28" s="11">
        <f t="shared" si="1"/>
        <v>34</v>
      </c>
      <c r="F28" s="12">
        <f t="shared" si="2"/>
        <v>16.666666666666664</v>
      </c>
      <c r="G28" s="12" t="str">
        <f t="shared" si="3"/>
        <v>OK</v>
      </c>
      <c r="H28" s="13">
        <f t="shared" si="4"/>
        <v>6</v>
      </c>
      <c r="I28" s="14">
        <f t="shared" si="0"/>
        <v>1793.27</v>
      </c>
      <c r="K28" t="str">
        <f>[1]!revcom(C28)</f>
        <v>TTGTTT</v>
      </c>
      <c r="L28">
        <v>8</v>
      </c>
    </row>
    <row r="29" spans="1:12" ht="15.6" x14ac:dyDescent="0.3">
      <c r="A29" s="9">
        <v>18</v>
      </c>
      <c r="B29" s="9"/>
      <c r="C29" s="15" t="s">
        <v>24</v>
      </c>
      <c r="D29" s="9"/>
      <c r="E29" s="11">
        <f t="shared" si="1"/>
        <v>32</v>
      </c>
      <c r="F29" s="12">
        <f t="shared" si="2"/>
        <v>33.333333333333329</v>
      </c>
      <c r="G29" s="12" t="str">
        <f t="shared" si="3"/>
        <v>OK</v>
      </c>
      <c r="H29" s="13">
        <f t="shared" si="4"/>
        <v>6</v>
      </c>
      <c r="I29" s="14">
        <f t="shared" si="0"/>
        <v>1769.2399999999998</v>
      </c>
      <c r="K29" t="str">
        <f>[1]!revcom(C29)</f>
        <v>GTGTTT</v>
      </c>
      <c r="L29">
        <v>8</v>
      </c>
    </row>
    <row r="30" spans="1:12" ht="15.6" x14ac:dyDescent="0.3">
      <c r="A30" s="9">
        <v>19</v>
      </c>
      <c r="B30" s="9"/>
      <c r="C30" s="16" t="s">
        <v>25</v>
      </c>
      <c r="D30" s="9"/>
      <c r="E30" s="11">
        <f t="shared" si="1"/>
        <v>32</v>
      </c>
      <c r="F30" s="12">
        <f t="shared" si="2"/>
        <v>33.333333333333329</v>
      </c>
      <c r="G30" s="12" t="str">
        <f t="shared" si="3"/>
        <v>OK</v>
      </c>
      <c r="H30" s="13">
        <f t="shared" si="4"/>
        <v>6</v>
      </c>
      <c r="I30" s="14">
        <f t="shared" si="0"/>
        <v>1809.27</v>
      </c>
      <c r="K30" t="str">
        <f>[1]!revcom(C30)</f>
        <v>CTGTTT</v>
      </c>
      <c r="L30">
        <v>8</v>
      </c>
    </row>
    <row r="31" spans="1:12" ht="15.6" x14ac:dyDescent="0.3">
      <c r="A31" s="9">
        <v>20</v>
      </c>
      <c r="B31" s="19"/>
      <c r="C31" s="15" t="s">
        <v>26</v>
      </c>
      <c r="D31" s="19"/>
      <c r="E31" s="11">
        <f t="shared" si="1"/>
        <v>26</v>
      </c>
      <c r="F31" s="12">
        <f t="shared" si="2"/>
        <v>16.666666666666664</v>
      </c>
      <c r="G31" s="12" t="str">
        <f t="shared" si="3"/>
        <v>OK</v>
      </c>
      <c r="H31" s="13">
        <f t="shared" si="4"/>
        <v>6</v>
      </c>
      <c r="I31" s="14">
        <f t="shared" si="0"/>
        <v>1784.25</v>
      </c>
      <c r="K31" t="str">
        <f>[1]!revcom(C31)</f>
        <v>ATGTTT</v>
      </c>
      <c r="L31">
        <v>7</v>
      </c>
    </row>
    <row r="32" spans="1:12" ht="15.6" x14ac:dyDescent="0.3">
      <c r="A32" s="9">
        <v>21</v>
      </c>
      <c r="B32" s="19"/>
      <c r="C32" s="15" t="s">
        <v>27</v>
      </c>
      <c r="D32" s="19"/>
      <c r="E32" s="11">
        <f t="shared" si="1"/>
        <v>32</v>
      </c>
      <c r="F32" s="12">
        <f t="shared" si="2"/>
        <v>33.333333333333329</v>
      </c>
      <c r="G32" s="12" t="str">
        <f t="shared" si="3"/>
        <v>OK</v>
      </c>
      <c r="H32" s="13">
        <f t="shared" si="4"/>
        <v>6</v>
      </c>
      <c r="I32" s="14">
        <f t="shared" si="0"/>
        <v>1769.2399999999998</v>
      </c>
      <c r="K32" t="str">
        <f>[1]!revcom(C32)</f>
        <v>TGGTTT</v>
      </c>
      <c r="L32">
        <v>8</v>
      </c>
    </row>
    <row r="33" spans="1:12" ht="15.6" x14ac:dyDescent="0.3">
      <c r="A33" s="9">
        <v>22</v>
      </c>
      <c r="B33" s="19"/>
      <c r="C33" s="15" t="s">
        <v>28</v>
      </c>
      <c r="D33" s="19"/>
      <c r="E33" s="11">
        <f t="shared" si="1"/>
        <v>30</v>
      </c>
      <c r="F33" s="12">
        <f t="shared" si="2"/>
        <v>50</v>
      </c>
      <c r="G33" s="12" t="str">
        <f t="shared" si="3"/>
        <v>Warning</v>
      </c>
      <c r="H33" s="13">
        <f t="shared" si="4"/>
        <v>6</v>
      </c>
      <c r="I33" s="14">
        <f t="shared" si="0"/>
        <v>1745.21</v>
      </c>
      <c r="K33" t="str">
        <f>[1]!revcom(C33)</f>
        <v>GGGTTT</v>
      </c>
      <c r="L33">
        <v>7</v>
      </c>
    </row>
    <row r="34" spans="1:12" ht="15.6" x14ac:dyDescent="0.3">
      <c r="A34" s="9">
        <v>23</v>
      </c>
      <c r="B34" s="19"/>
      <c r="C34" s="15" t="s">
        <v>29</v>
      </c>
      <c r="D34" s="19"/>
      <c r="E34" s="11">
        <f t="shared" si="1"/>
        <v>30</v>
      </c>
      <c r="F34" s="12">
        <f t="shared" si="2"/>
        <v>50</v>
      </c>
      <c r="G34" s="12" t="str">
        <f t="shared" si="3"/>
        <v>Warning</v>
      </c>
      <c r="H34" s="13">
        <f t="shared" si="4"/>
        <v>6</v>
      </c>
      <c r="I34" s="14">
        <f t="shared" si="0"/>
        <v>1785.2399999999998</v>
      </c>
      <c r="K34" t="str">
        <f>[1]!revcom(C34)</f>
        <v>CGGTTT</v>
      </c>
      <c r="L34">
        <v>7</v>
      </c>
    </row>
    <row r="35" spans="1:12" ht="15.6" x14ac:dyDescent="0.3">
      <c r="A35" s="9">
        <v>24</v>
      </c>
      <c r="B35" s="19"/>
      <c r="C35" s="20" t="s">
        <v>30</v>
      </c>
      <c r="D35" s="19"/>
      <c r="E35" s="11">
        <f t="shared" si="1"/>
        <v>24</v>
      </c>
      <c r="F35" s="12">
        <f t="shared" si="2"/>
        <v>33.333333333333329</v>
      </c>
      <c r="G35" s="12" t="str">
        <f t="shared" si="3"/>
        <v>OK</v>
      </c>
      <c r="H35" s="13">
        <f t="shared" si="4"/>
        <v>6</v>
      </c>
      <c r="I35" s="14">
        <f t="shared" si="0"/>
        <v>1760.2199999999998</v>
      </c>
      <c r="K35" t="str">
        <f>[1]!revcom(C35)</f>
        <v>AGGTTT</v>
      </c>
      <c r="L35">
        <v>6</v>
      </c>
    </row>
    <row r="36" spans="1:12" ht="15.6" x14ac:dyDescent="0.3">
      <c r="A36" s="9">
        <v>25</v>
      </c>
      <c r="B36" s="19"/>
      <c r="C36" s="15" t="s">
        <v>31</v>
      </c>
      <c r="D36" s="19"/>
      <c r="E36" s="11">
        <f t="shared" si="1"/>
        <v>32</v>
      </c>
      <c r="F36" s="12">
        <f t="shared" si="2"/>
        <v>33.333333333333329</v>
      </c>
      <c r="G36" s="12" t="str">
        <f t="shared" si="3"/>
        <v>OK</v>
      </c>
      <c r="H36" s="13">
        <f t="shared" si="4"/>
        <v>6</v>
      </c>
      <c r="I36" s="14">
        <f t="shared" si="0"/>
        <v>1809.27</v>
      </c>
      <c r="K36" t="str">
        <f>[1]!revcom(C36)</f>
        <v>TCGTTT</v>
      </c>
      <c r="L36">
        <v>8</v>
      </c>
    </row>
    <row r="37" spans="1:12" ht="15.6" x14ac:dyDescent="0.3">
      <c r="A37" s="9">
        <v>26</v>
      </c>
      <c r="B37" s="21"/>
      <c r="C37" s="18" t="s">
        <v>32</v>
      </c>
      <c r="D37" s="21"/>
      <c r="E37" s="11">
        <f t="shared" si="1"/>
        <v>30</v>
      </c>
      <c r="F37" s="12">
        <f t="shared" si="2"/>
        <v>50</v>
      </c>
      <c r="G37" s="12" t="str">
        <f t="shared" si="3"/>
        <v>Warning</v>
      </c>
      <c r="H37" s="13">
        <f t="shared" si="4"/>
        <v>6</v>
      </c>
      <c r="I37" s="14">
        <f t="shared" si="0"/>
        <v>1785.2399999999998</v>
      </c>
      <c r="K37" t="str">
        <f>[1]!revcom(C37)</f>
        <v>GCGTTT</v>
      </c>
      <c r="L37">
        <v>7</v>
      </c>
    </row>
    <row r="38" spans="1:12" ht="15.6" x14ac:dyDescent="0.3">
      <c r="A38" s="9">
        <v>27</v>
      </c>
      <c r="B38" s="19"/>
      <c r="C38" s="15" t="s">
        <v>33</v>
      </c>
      <c r="D38" s="19"/>
      <c r="E38" s="11">
        <f t="shared" si="1"/>
        <v>30</v>
      </c>
      <c r="F38" s="12">
        <f t="shared" si="2"/>
        <v>50</v>
      </c>
      <c r="G38" s="12" t="str">
        <f t="shared" si="3"/>
        <v>Warning</v>
      </c>
      <c r="H38" s="13">
        <f t="shared" si="4"/>
        <v>6</v>
      </c>
      <c r="I38" s="14">
        <f t="shared" si="0"/>
        <v>1825.27</v>
      </c>
      <c r="K38" t="str">
        <f>[1]!revcom(C38)</f>
        <v>CCGTTT</v>
      </c>
      <c r="L38">
        <v>7</v>
      </c>
    </row>
    <row r="39" spans="1:12" ht="15.6" x14ac:dyDescent="0.3">
      <c r="A39" s="9">
        <v>28</v>
      </c>
      <c r="B39" s="19"/>
      <c r="C39" s="15" t="s">
        <v>34</v>
      </c>
      <c r="D39" s="19"/>
      <c r="E39" s="11">
        <f t="shared" si="1"/>
        <v>24</v>
      </c>
      <c r="F39" s="12">
        <f t="shared" si="2"/>
        <v>33.333333333333329</v>
      </c>
      <c r="G39" s="12" t="str">
        <f t="shared" si="3"/>
        <v>OK</v>
      </c>
      <c r="H39" s="13">
        <f t="shared" si="4"/>
        <v>6</v>
      </c>
      <c r="I39" s="14">
        <f t="shared" si="0"/>
        <v>1800.25</v>
      </c>
      <c r="K39" t="str">
        <f>[1]!revcom(C39)</f>
        <v>ACGTTT</v>
      </c>
      <c r="L39">
        <v>6</v>
      </c>
    </row>
    <row r="40" spans="1:12" ht="15.6" x14ac:dyDescent="0.3">
      <c r="A40" s="9">
        <v>29</v>
      </c>
      <c r="B40" s="19"/>
      <c r="C40" s="22" t="s">
        <v>35</v>
      </c>
      <c r="D40" s="19"/>
      <c r="E40" s="11">
        <f t="shared" si="1"/>
        <v>26</v>
      </c>
      <c r="F40" s="12">
        <f t="shared" si="2"/>
        <v>16.666666666666664</v>
      </c>
      <c r="G40" s="12" t="str">
        <f t="shared" si="3"/>
        <v>OK</v>
      </c>
      <c r="H40" s="13">
        <f t="shared" si="4"/>
        <v>6</v>
      </c>
      <c r="I40" s="14">
        <f t="shared" si="0"/>
        <v>1784.25</v>
      </c>
      <c r="K40" t="str">
        <f>[1]!revcom(C40)</f>
        <v>TAGTTT</v>
      </c>
      <c r="L40">
        <v>7</v>
      </c>
    </row>
    <row r="41" spans="1:12" ht="15.6" x14ac:dyDescent="0.3">
      <c r="A41" s="9">
        <v>30</v>
      </c>
      <c r="B41" s="19"/>
      <c r="C41" s="15" t="s">
        <v>36</v>
      </c>
      <c r="D41" s="19"/>
      <c r="E41" s="11">
        <f t="shared" si="1"/>
        <v>24</v>
      </c>
      <c r="F41" s="12">
        <f t="shared" si="2"/>
        <v>33.333333333333329</v>
      </c>
      <c r="G41" s="12" t="str">
        <f t="shared" si="3"/>
        <v>OK</v>
      </c>
      <c r="H41" s="13">
        <f t="shared" si="4"/>
        <v>6</v>
      </c>
      <c r="I41" s="14">
        <f t="shared" si="0"/>
        <v>1760.2199999999998</v>
      </c>
      <c r="K41" t="str">
        <f>[1]!revcom(C41)</f>
        <v>GAGTTT</v>
      </c>
      <c r="L41">
        <v>6</v>
      </c>
    </row>
    <row r="42" spans="1:12" ht="15.6" x14ac:dyDescent="0.3">
      <c r="A42" s="9">
        <v>31</v>
      </c>
      <c r="B42" s="19"/>
      <c r="C42" s="15" t="s">
        <v>37</v>
      </c>
      <c r="D42" s="19"/>
      <c r="E42" s="11">
        <f t="shared" si="1"/>
        <v>24</v>
      </c>
      <c r="F42" s="12">
        <f t="shared" si="2"/>
        <v>33.333333333333329</v>
      </c>
      <c r="G42" s="12" t="str">
        <f t="shared" si="3"/>
        <v>OK</v>
      </c>
      <c r="H42" s="13">
        <f t="shared" si="4"/>
        <v>6</v>
      </c>
      <c r="I42" s="14">
        <f t="shared" si="0"/>
        <v>1800.25</v>
      </c>
      <c r="K42" t="str">
        <f>[1]!revcom(C42)</f>
        <v>CAGTTT</v>
      </c>
      <c r="L42">
        <v>6</v>
      </c>
    </row>
    <row r="43" spans="1:12" ht="15.6" x14ac:dyDescent="0.3">
      <c r="A43" s="9">
        <v>32</v>
      </c>
      <c r="B43" s="19"/>
      <c r="C43" s="15" t="s">
        <v>38</v>
      </c>
      <c r="D43" s="19"/>
      <c r="E43" s="11">
        <f t="shared" si="1"/>
        <v>18</v>
      </c>
      <c r="F43" s="12">
        <f t="shared" si="2"/>
        <v>16.666666666666664</v>
      </c>
      <c r="G43" s="12" t="str">
        <f t="shared" si="3"/>
        <v>OK</v>
      </c>
      <c r="H43" s="13">
        <f t="shared" si="4"/>
        <v>6</v>
      </c>
      <c r="I43" s="14">
        <f t="shared" si="0"/>
        <v>1775.23</v>
      </c>
      <c r="K43" t="str">
        <f>[1]!revcom(C43)</f>
        <v>AAGTTT</v>
      </c>
      <c r="L43">
        <v>5</v>
      </c>
    </row>
    <row r="44" spans="1:12" ht="15.6" x14ac:dyDescent="0.3">
      <c r="A44" s="9">
        <v>33</v>
      </c>
      <c r="B44" s="19"/>
      <c r="C44" s="15" t="s">
        <v>39</v>
      </c>
      <c r="D44" s="19"/>
      <c r="E44" s="11">
        <f t="shared" si="1"/>
        <v>34</v>
      </c>
      <c r="F44" s="12">
        <f t="shared" si="2"/>
        <v>16.666666666666664</v>
      </c>
      <c r="G44" s="12" t="str">
        <f t="shared" si="3"/>
        <v>OK</v>
      </c>
      <c r="H44" s="13">
        <f t="shared" si="4"/>
        <v>6</v>
      </c>
      <c r="I44" s="14">
        <f t="shared" si="0"/>
        <v>1833.2999999999997</v>
      </c>
      <c r="K44" t="str">
        <f>[1]!revcom(C44)</f>
        <v>TTCTTT</v>
      </c>
      <c r="L44">
        <v>8</v>
      </c>
    </row>
    <row r="45" spans="1:12" ht="15.6" x14ac:dyDescent="0.3">
      <c r="A45" s="9">
        <v>34</v>
      </c>
      <c r="B45" s="19"/>
      <c r="C45" s="15" t="s">
        <v>40</v>
      </c>
      <c r="D45" s="19"/>
      <c r="E45" s="11">
        <f t="shared" si="1"/>
        <v>32</v>
      </c>
      <c r="F45" s="12">
        <f t="shared" si="2"/>
        <v>33.333333333333329</v>
      </c>
      <c r="G45" s="12" t="str">
        <f t="shared" si="3"/>
        <v>OK</v>
      </c>
      <c r="H45" s="13">
        <f t="shared" si="4"/>
        <v>6</v>
      </c>
      <c r="I45" s="14">
        <f t="shared" si="0"/>
        <v>1809.27</v>
      </c>
      <c r="K45" t="str">
        <f>[1]!revcom(C45)</f>
        <v>GTCTTT</v>
      </c>
      <c r="L45">
        <v>8</v>
      </c>
    </row>
    <row r="46" spans="1:12" ht="15.6" x14ac:dyDescent="0.3">
      <c r="A46" s="9">
        <v>35</v>
      </c>
      <c r="B46" s="19"/>
      <c r="C46" s="20" t="s">
        <v>41</v>
      </c>
      <c r="D46" s="19"/>
      <c r="E46" s="11">
        <f t="shared" si="1"/>
        <v>32</v>
      </c>
      <c r="F46" s="12">
        <f t="shared" si="2"/>
        <v>33.333333333333329</v>
      </c>
      <c r="G46" s="12" t="str">
        <f t="shared" si="3"/>
        <v>OK</v>
      </c>
      <c r="H46" s="13">
        <f t="shared" si="4"/>
        <v>6</v>
      </c>
      <c r="I46" s="14">
        <f t="shared" si="0"/>
        <v>1849.3000000000002</v>
      </c>
      <c r="K46" t="str">
        <f>[1]!revcom(C46)</f>
        <v>CTCTTT</v>
      </c>
      <c r="L46">
        <v>8</v>
      </c>
    </row>
    <row r="47" spans="1:12" ht="15.6" x14ac:dyDescent="0.3">
      <c r="A47" s="9">
        <v>36</v>
      </c>
      <c r="B47" s="19"/>
      <c r="C47" s="15" t="s">
        <v>42</v>
      </c>
      <c r="D47" s="19"/>
      <c r="E47" s="11">
        <f t="shared" si="1"/>
        <v>26</v>
      </c>
      <c r="F47" s="12">
        <f t="shared" si="2"/>
        <v>16.666666666666664</v>
      </c>
      <c r="G47" s="12" t="str">
        <f t="shared" si="3"/>
        <v>OK</v>
      </c>
      <c r="H47" s="13">
        <f t="shared" si="4"/>
        <v>6</v>
      </c>
      <c r="I47" s="14">
        <f t="shared" si="0"/>
        <v>1824.2799999999997</v>
      </c>
      <c r="K47" t="str">
        <f>[1]!revcom(C47)</f>
        <v>ATCTTT</v>
      </c>
      <c r="L47">
        <v>7</v>
      </c>
    </row>
    <row r="48" spans="1:12" ht="15.6" x14ac:dyDescent="0.3">
      <c r="A48" s="9">
        <v>37</v>
      </c>
      <c r="B48" s="21"/>
      <c r="C48" s="18" t="s">
        <v>43</v>
      </c>
      <c r="D48" s="21"/>
      <c r="E48" s="11">
        <f t="shared" si="1"/>
        <v>32</v>
      </c>
      <c r="F48" s="12">
        <f t="shared" si="2"/>
        <v>33.333333333333329</v>
      </c>
      <c r="G48" s="12" t="str">
        <f t="shared" si="3"/>
        <v>OK</v>
      </c>
      <c r="H48" s="13">
        <f t="shared" si="4"/>
        <v>6</v>
      </c>
      <c r="I48" s="14">
        <f t="shared" si="0"/>
        <v>1809.27</v>
      </c>
      <c r="K48" t="str">
        <f>[1]!revcom(C48)</f>
        <v>TGCTTT</v>
      </c>
      <c r="L48">
        <v>8</v>
      </c>
    </row>
    <row r="49" spans="1:12" ht="15.6" x14ac:dyDescent="0.3">
      <c r="A49" s="9">
        <v>38</v>
      </c>
      <c r="B49" s="19"/>
      <c r="C49" s="23" t="s">
        <v>44</v>
      </c>
      <c r="D49" s="19"/>
      <c r="E49" s="11">
        <f t="shared" si="1"/>
        <v>30</v>
      </c>
      <c r="F49" s="12">
        <f t="shared" si="2"/>
        <v>50</v>
      </c>
      <c r="G49" s="12" t="str">
        <f t="shared" si="3"/>
        <v>Warning</v>
      </c>
      <c r="H49" s="13">
        <f t="shared" si="4"/>
        <v>6</v>
      </c>
      <c r="I49" s="14">
        <f t="shared" si="0"/>
        <v>1785.2399999999998</v>
      </c>
      <c r="K49" t="str">
        <f>[1]!revcom(C49)</f>
        <v>GGCTTT</v>
      </c>
      <c r="L49">
        <v>7</v>
      </c>
    </row>
    <row r="50" spans="1:12" ht="15.6" x14ac:dyDescent="0.3">
      <c r="A50" s="9">
        <v>39</v>
      </c>
      <c r="B50" s="19"/>
      <c r="C50" s="15" t="s">
        <v>45</v>
      </c>
      <c r="D50" s="19"/>
      <c r="E50" s="11">
        <f t="shared" si="1"/>
        <v>30</v>
      </c>
      <c r="F50" s="12">
        <f t="shared" si="2"/>
        <v>50</v>
      </c>
      <c r="G50" s="12" t="str">
        <f t="shared" si="3"/>
        <v>Warning</v>
      </c>
      <c r="H50" s="13">
        <f t="shared" si="4"/>
        <v>6</v>
      </c>
      <c r="I50" s="14">
        <f t="shared" si="0"/>
        <v>1825.27</v>
      </c>
      <c r="K50" t="str">
        <f>[1]!revcom(C50)</f>
        <v>CGCTTT</v>
      </c>
      <c r="L50">
        <v>7</v>
      </c>
    </row>
    <row r="51" spans="1:12" ht="15.6" x14ac:dyDescent="0.3">
      <c r="A51" s="9">
        <v>40</v>
      </c>
      <c r="B51" s="19"/>
      <c r="C51" s="15" t="s">
        <v>46</v>
      </c>
      <c r="D51" s="19"/>
      <c r="E51" s="11">
        <f t="shared" si="1"/>
        <v>24</v>
      </c>
      <c r="F51" s="12">
        <f t="shared" si="2"/>
        <v>33.333333333333329</v>
      </c>
      <c r="G51" s="12" t="str">
        <f t="shared" si="3"/>
        <v>OK</v>
      </c>
      <c r="H51" s="13">
        <f t="shared" si="4"/>
        <v>6</v>
      </c>
      <c r="I51" s="14">
        <f t="shared" si="0"/>
        <v>1800.25</v>
      </c>
      <c r="K51" t="str">
        <f>[1]!revcom(C51)</f>
        <v>AGCTTT</v>
      </c>
      <c r="L51">
        <v>6</v>
      </c>
    </row>
    <row r="52" spans="1:12" ht="15.6" x14ac:dyDescent="0.3">
      <c r="A52" s="9">
        <v>41</v>
      </c>
      <c r="B52" s="19"/>
      <c r="C52" s="15" t="s">
        <v>47</v>
      </c>
      <c r="D52" s="19"/>
      <c r="E52" s="11">
        <f t="shared" si="1"/>
        <v>32</v>
      </c>
      <c r="F52" s="12">
        <f t="shared" si="2"/>
        <v>33.333333333333329</v>
      </c>
      <c r="G52" s="12" t="str">
        <f t="shared" si="3"/>
        <v>OK</v>
      </c>
      <c r="H52" s="13">
        <f t="shared" si="4"/>
        <v>6</v>
      </c>
      <c r="I52" s="14">
        <f t="shared" si="0"/>
        <v>1849.3000000000002</v>
      </c>
      <c r="K52" t="str">
        <f>[1]!revcom(C52)</f>
        <v>TCCTTT</v>
      </c>
      <c r="L52">
        <v>8</v>
      </c>
    </row>
    <row r="53" spans="1:12" ht="15.6" x14ac:dyDescent="0.3">
      <c r="A53" s="9">
        <v>42</v>
      </c>
      <c r="B53" s="19"/>
      <c r="C53" s="15" t="s">
        <v>48</v>
      </c>
      <c r="D53" s="19"/>
      <c r="E53" s="11">
        <f t="shared" si="1"/>
        <v>30</v>
      </c>
      <c r="F53" s="12">
        <f t="shared" si="2"/>
        <v>50</v>
      </c>
      <c r="G53" s="12" t="str">
        <f t="shared" si="3"/>
        <v>Warning</v>
      </c>
      <c r="H53" s="13">
        <f t="shared" si="4"/>
        <v>6</v>
      </c>
      <c r="I53" s="14">
        <f t="shared" si="0"/>
        <v>1825.27</v>
      </c>
      <c r="K53" t="str">
        <f>[1]!revcom(C53)</f>
        <v>GCCTTT</v>
      </c>
      <c r="L53">
        <v>7</v>
      </c>
    </row>
    <row r="54" spans="1:12" ht="15.6" x14ac:dyDescent="0.3">
      <c r="A54" s="9">
        <v>43</v>
      </c>
      <c r="B54" s="19"/>
      <c r="C54" s="15" t="s">
        <v>49</v>
      </c>
      <c r="D54" s="19"/>
      <c r="E54" s="11">
        <f t="shared" si="1"/>
        <v>30</v>
      </c>
      <c r="F54" s="12">
        <f t="shared" si="2"/>
        <v>50</v>
      </c>
      <c r="G54" s="12" t="str">
        <f t="shared" si="3"/>
        <v>Warning</v>
      </c>
      <c r="H54" s="13">
        <f t="shared" si="4"/>
        <v>6</v>
      </c>
      <c r="I54" s="14">
        <f t="shared" si="0"/>
        <v>1865.3000000000002</v>
      </c>
      <c r="K54" t="str">
        <f>[1]!revcom(C54)</f>
        <v>CCCTTT</v>
      </c>
      <c r="L54">
        <v>7</v>
      </c>
    </row>
    <row r="55" spans="1:12" ht="15.6" x14ac:dyDescent="0.3">
      <c r="A55" s="9">
        <v>44</v>
      </c>
      <c r="B55" s="19"/>
      <c r="C55" s="15" t="s">
        <v>50</v>
      </c>
      <c r="D55" s="19"/>
      <c r="E55" s="11">
        <f t="shared" si="1"/>
        <v>24</v>
      </c>
      <c r="F55" s="12">
        <f t="shared" si="2"/>
        <v>33.333333333333329</v>
      </c>
      <c r="G55" s="12" t="str">
        <f t="shared" si="3"/>
        <v>OK</v>
      </c>
      <c r="H55" s="13">
        <f t="shared" si="4"/>
        <v>6</v>
      </c>
      <c r="I55" s="14">
        <f t="shared" si="0"/>
        <v>1840.2800000000002</v>
      </c>
      <c r="K55" t="str">
        <f>[1]!revcom(C55)</f>
        <v>ACCTTT</v>
      </c>
      <c r="L55">
        <v>6</v>
      </c>
    </row>
    <row r="56" spans="1:12" ht="15.6" x14ac:dyDescent="0.3">
      <c r="A56" s="9">
        <v>45</v>
      </c>
      <c r="B56" s="19"/>
      <c r="C56" s="15" t="s">
        <v>51</v>
      </c>
      <c r="D56" s="19"/>
      <c r="E56" s="11">
        <f t="shared" si="1"/>
        <v>26</v>
      </c>
      <c r="F56" s="12">
        <f t="shared" si="2"/>
        <v>16.666666666666664</v>
      </c>
      <c r="G56" s="12" t="str">
        <f t="shared" si="3"/>
        <v>OK</v>
      </c>
      <c r="H56" s="13">
        <f t="shared" si="4"/>
        <v>6</v>
      </c>
      <c r="I56" s="14">
        <f t="shared" si="0"/>
        <v>1824.2799999999997</v>
      </c>
      <c r="K56" t="str">
        <f>[1]!revcom(C56)</f>
        <v>TACTTT</v>
      </c>
      <c r="L56">
        <v>7</v>
      </c>
    </row>
    <row r="57" spans="1:12" ht="15.6" x14ac:dyDescent="0.3">
      <c r="A57" s="9">
        <v>46</v>
      </c>
      <c r="B57" s="19"/>
      <c r="C57" s="20" t="s">
        <v>52</v>
      </c>
      <c r="D57" s="19"/>
      <c r="E57" s="11">
        <f t="shared" si="1"/>
        <v>24</v>
      </c>
      <c r="F57" s="12">
        <f t="shared" si="2"/>
        <v>33.333333333333329</v>
      </c>
      <c r="G57" s="12" t="str">
        <f t="shared" si="3"/>
        <v>OK</v>
      </c>
      <c r="H57" s="13">
        <f t="shared" si="4"/>
        <v>6</v>
      </c>
      <c r="I57" s="14">
        <f t="shared" si="0"/>
        <v>1800.25</v>
      </c>
      <c r="K57" t="str">
        <f>[1]!revcom(C57)</f>
        <v>GACTTT</v>
      </c>
      <c r="L57">
        <v>6</v>
      </c>
    </row>
    <row r="58" spans="1:12" ht="15.6" x14ac:dyDescent="0.3">
      <c r="A58" s="9">
        <v>47</v>
      </c>
      <c r="B58" s="19"/>
      <c r="C58" s="15" t="s">
        <v>53</v>
      </c>
      <c r="D58" s="19"/>
      <c r="E58" s="11">
        <f t="shared" si="1"/>
        <v>24</v>
      </c>
      <c r="F58" s="12">
        <f t="shared" si="2"/>
        <v>33.333333333333329</v>
      </c>
      <c r="G58" s="12" t="str">
        <f t="shared" si="3"/>
        <v>OK</v>
      </c>
      <c r="H58" s="13">
        <f t="shared" si="4"/>
        <v>6</v>
      </c>
      <c r="I58" s="14">
        <f t="shared" si="0"/>
        <v>1840.2800000000002</v>
      </c>
      <c r="K58" t="str">
        <f>[1]!revcom(C58)</f>
        <v>CACTTT</v>
      </c>
      <c r="L58">
        <v>6</v>
      </c>
    </row>
    <row r="59" spans="1:12" ht="15.6" x14ac:dyDescent="0.3">
      <c r="A59" s="9">
        <v>48</v>
      </c>
      <c r="B59" s="21"/>
      <c r="C59" s="18" t="s">
        <v>54</v>
      </c>
      <c r="D59" s="21"/>
      <c r="E59" s="11">
        <f t="shared" si="1"/>
        <v>18</v>
      </c>
      <c r="F59" s="12">
        <f t="shared" si="2"/>
        <v>16.666666666666664</v>
      </c>
      <c r="G59" s="12" t="str">
        <f t="shared" si="3"/>
        <v>OK</v>
      </c>
      <c r="H59" s="13">
        <f t="shared" si="4"/>
        <v>6</v>
      </c>
      <c r="I59" s="14">
        <f t="shared" si="0"/>
        <v>1815.2599999999998</v>
      </c>
      <c r="K59" t="str">
        <f>[1]!revcom(C59)</f>
        <v>AACTTT</v>
      </c>
      <c r="L59">
        <v>5</v>
      </c>
    </row>
    <row r="60" spans="1:12" ht="15.6" x14ac:dyDescent="0.3">
      <c r="A60" s="9">
        <v>49</v>
      </c>
      <c r="B60" s="19"/>
      <c r="C60" s="23" t="s">
        <v>55</v>
      </c>
      <c r="D60" s="19"/>
      <c r="E60" s="11">
        <f t="shared" si="1"/>
        <v>28</v>
      </c>
      <c r="F60" s="12">
        <f t="shared" si="2"/>
        <v>0</v>
      </c>
      <c r="G60" s="12" t="str">
        <f t="shared" si="3"/>
        <v>OK</v>
      </c>
      <c r="H60" s="13">
        <f t="shared" si="4"/>
        <v>6</v>
      </c>
      <c r="I60" s="14">
        <f t="shared" si="0"/>
        <v>1808.2799999999997</v>
      </c>
      <c r="K60" t="str">
        <f>[1]!revcom(C60)</f>
        <v>TTATTT</v>
      </c>
      <c r="L60">
        <v>7</v>
      </c>
    </row>
    <row r="61" spans="1:12" ht="15.6" x14ac:dyDescent="0.3">
      <c r="A61" s="9">
        <v>50</v>
      </c>
      <c r="B61" s="19"/>
      <c r="C61" s="15" t="s">
        <v>56</v>
      </c>
      <c r="D61" s="19"/>
      <c r="E61" s="11">
        <f t="shared" si="1"/>
        <v>26</v>
      </c>
      <c r="F61" s="12">
        <f t="shared" si="2"/>
        <v>16.666666666666664</v>
      </c>
      <c r="G61" s="12" t="str">
        <f t="shared" si="3"/>
        <v>OK</v>
      </c>
      <c r="H61" s="13">
        <f t="shared" si="4"/>
        <v>6</v>
      </c>
      <c r="I61" s="14">
        <f t="shared" si="0"/>
        <v>1784.25</v>
      </c>
      <c r="K61" t="str">
        <f>[1]!revcom(C61)</f>
        <v>GTATTT</v>
      </c>
      <c r="L61">
        <v>7</v>
      </c>
    </row>
    <row r="62" spans="1:12" ht="15.6" x14ac:dyDescent="0.3">
      <c r="A62" s="9">
        <v>51</v>
      </c>
      <c r="B62" s="19"/>
      <c r="C62" s="24" t="s">
        <v>57</v>
      </c>
      <c r="D62" s="19"/>
      <c r="E62" s="11">
        <f t="shared" si="1"/>
        <v>26</v>
      </c>
      <c r="F62" s="12">
        <f t="shared" si="2"/>
        <v>16.666666666666664</v>
      </c>
      <c r="G62" s="12" t="str">
        <f t="shared" si="3"/>
        <v>OK</v>
      </c>
      <c r="H62" s="13">
        <f t="shared" si="4"/>
        <v>6</v>
      </c>
      <c r="I62" s="14">
        <f t="shared" si="0"/>
        <v>1824.2799999999997</v>
      </c>
      <c r="K62" t="str">
        <f>[1]!revcom(C62)</f>
        <v>CTATTT</v>
      </c>
      <c r="L62">
        <v>7</v>
      </c>
    </row>
    <row r="63" spans="1:12" ht="15.6" x14ac:dyDescent="0.3">
      <c r="A63" s="9">
        <v>52</v>
      </c>
      <c r="B63" s="19"/>
      <c r="C63" s="24" t="s">
        <v>58</v>
      </c>
      <c r="D63" s="19"/>
      <c r="E63" s="11">
        <f t="shared" si="1"/>
        <v>20</v>
      </c>
      <c r="F63" s="12">
        <f t="shared" si="2"/>
        <v>0</v>
      </c>
      <c r="G63" s="12" t="str">
        <f t="shared" si="3"/>
        <v>OK</v>
      </c>
      <c r="H63" s="13">
        <f t="shared" si="4"/>
        <v>6</v>
      </c>
      <c r="I63" s="14">
        <f t="shared" si="0"/>
        <v>1799.2599999999998</v>
      </c>
      <c r="K63" t="str">
        <f>[1]!revcom(C63)</f>
        <v>ATATTT</v>
      </c>
      <c r="L63">
        <v>6</v>
      </c>
    </row>
    <row r="64" spans="1:12" ht="15.6" x14ac:dyDescent="0.3">
      <c r="A64" s="9">
        <v>53</v>
      </c>
      <c r="B64" s="19"/>
      <c r="C64" s="24" t="s">
        <v>59</v>
      </c>
      <c r="D64" s="19"/>
      <c r="E64" s="11">
        <f t="shared" si="1"/>
        <v>26</v>
      </c>
      <c r="F64" s="12">
        <f t="shared" si="2"/>
        <v>16.666666666666664</v>
      </c>
      <c r="G64" s="12" t="str">
        <f t="shared" si="3"/>
        <v>OK</v>
      </c>
      <c r="H64" s="13">
        <f t="shared" si="4"/>
        <v>6</v>
      </c>
      <c r="I64" s="14">
        <f t="shared" si="0"/>
        <v>1784.25</v>
      </c>
      <c r="K64" t="str">
        <f>[1]!revcom(C64)</f>
        <v>TGATTT</v>
      </c>
      <c r="L64">
        <v>7</v>
      </c>
    </row>
    <row r="65" spans="1:12" ht="15.6" x14ac:dyDescent="0.3">
      <c r="A65" s="9">
        <v>54</v>
      </c>
      <c r="B65" s="19"/>
      <c r="C65" s="24" t="s">
        <v>60</v>
      </c>
      <c r="D65" s="19"/>
      <c r="E65" s="11">
        <f t="shared" si="1"/>
        <v>24</v>
      </c>
      <c r="F65" s="12">
        <f t="shared" si="2"/>
        <v>33.333333333333329</v>
      </c>
      <c r="G65" s="12" t="str">
        <f t="shared" si="3"/>
        <v>OK</v>
      </c>
      <c r="H65" s="13">
        <f t="shared" si="4"/>
        <v>6</v>
      </c>
      <c r="I65" s="14">
        <f t="shared" si="0"/>
        <v>1760.2199999999998</v>
      </c>
      <c r="K65" t="str">
        <f>[1]!revcom(C65)</f>
        <v>GGATTT</v>
      </c>
      <c r="L65">
        <v>6</v>
      </c>
    </row>
    <row r="66" spans="1:12" ht="15.6" x14ac:dyDescent="0.3">
      <c r="A66" s="9">
        <v>55</v>
      </c>
      <c r="B66" s="19"/>
      <c r="C66" s="24" t="s">
        <v>61</v>
      </c>
      <c r="D66" s="19"/>
      <c r="E66" s="11">
        <f t="shared" si="1"/>
        <v>24</v>
      </c>
      <c r="F66" s="12">
        <f t="shared" si="2"/>
        <v>33.333333333333329</v>
      </c>
      <c r="G66" s="12" t="str">
        <f t="shared" si="3"/>
        <v>OK</v>
      </c>
      <c r="H66" s="13">
        <f t="shared" si="4"/>
        <v>6</v>
      </c>
      <c r="I66" s="14">
        <f t="shared" si="0"/>
        <v>1800.25</v>
      </c>
      <c r="K66" t="str">
        <f>[1]!revcom(C66)</f>
        <v>CGATTT</v>
      </c>
      <c r="L66">
        <v>6</v>
      </c>
    </row>
    <row r="67" spans="1:12" ht="15.6" x14ac:dyDescent="0.3">
      <c r="A67" s="9">
        <v>56</v>
      </c>
      <c r="B67" s="19"/>
      <c r="C67" s="24" t="s">
        <v>62</v>
      </c>
      <c r="D67" s="19"/>
      <c r="E67" s="11">
        <f t="shared" si="1"/>
        <v>18</v>
      </c>
      <c r="F67" s="12">
        <f t="shared" si="2"/>
        <v>16.666666666666664</v>
      </c>
      <c r="G67" s="12" t="str">
        <f t="shared" si="3"/>
        <v>OK</v>
      </c>
      <c r="H67" s="13">
        <f t="shared" si="4"/>
        <v>6</v>
      </c>
      <c r="I67" s="14">
        <f t="shared" si="0"/>
        <v>1775.23</v>
      </c>
      <c r="K67" t="str">
        <f>[1]!revcom(C67)</f>
        <v>AGATTT</v>
      </c>
      <c r="L67">
        <v>5</v>
      </c>
    </row>
    <row r="68" spans="1:12" ht="15.6" x14ac:dyDescent="0.3">
      <c r="A68" s="9">
        <v>57</v>
      </c>
      <c r="B68" s="19"/>
      <c r="C68" s="25" t="s">
        <v>63</v>
      </c>
      <c r="D68" s="19"/>
      <c r="E68" s="11">
        <f t="shared" si="1"/>
        <v>26</v>
      </c>
      <c r="F68" s="12">
        <f t="shared" si="2"/>
        <v>16.666666666666664</v>
      </c>
      <c r="G68" s="12" t="str">
        <f t="shared" si="3"/>
        <v>OK</v>
      </c>
      <c r="H68" s="13">
        <f t="shared" si="4"/>
        <v>6</v>
      </c>
      <c r="I68" s="14">
        <f t="shared" si="0"/>
        <v>1824.2799999999997</v>
      </c>
      <c r="K68" t="str">
        <f>[1]!revcom(C68)</f>
        <v>TCATTT</v>
      </c>
      <c r="L68">
        <v>7</v>
      </c>
    </row>
    <row r="69" spans="1:12" ht="15.6" x14ac:dyDescent="0.3">
      <c r="A69" s="9">
        <v>58</v>
      </c>
      <c r="B69" s="19"/>
      <c r="C69" s="24" t="s">
        <v>64</v>
      </c>
      <c r="D69" s="19"/>
      <c r="E69" s="11">
        <f t="shared" si="1"/>
        <v>24</v>
      </c>
      <c r="F69" s="12">
        <f t="shared" si="2"/>
        <v>33.333333333333329</v>
      </c>
      <c r="G69" s="12" t="str">
        <f t="shared" si="3"/>
        <v>OK</v>
      </c>
      <c r="H69" s="13">
        <f t="shared" si="4"/>
        <v>6</v>
      </c>
      <c r="I69" s="14">
        <f t="shared" si="0"/>
        <v>1800.25</v>
      </c>
      <c r="K69" t="str">
        <f>[1]!revcom(C69)</f>
        <v>GCATTT</v>
      </c>
      <c r="L69">
        <v>6</v>
      </c>
    </row>
    <row r="70" spans="1:12" ht="15.6" x14ac:dyDescent="0.3">
      <c r="A70" s="9">
        <v>59</v>
      </c>
      <c r="B70" s="19"/>
      <c r="C70" s="24" t="s">
        <v>65</v>
      </c>
      <c r="D70" s="19"/>
      <c r="E70" s="11">
        <f t="shared" si="1"/>
        <v>24</v>
      </c>
      <c r="F70" s="12">
        <f t="shared" si="2"/>
        <v>33.333333333333329</v>
      </c>
      <c r="G70" s="12" t="str">
        <f t="shared" si="3"/>
        <v>OK</v>
      </c>
      <c r="H70" s="13">
        <f t="shared" si="4"/>
        <v>6</v>
      </c>
      <c r="I70" s="14">
        <f t="shared" si="0"/>
        <v>1840.2800000000002</v>
      </c>
      <c r="K70" t="str">
        <f>[1]!revcom(C70)</f>
        <v>CCATTT</v>
      </c>
      <c r="L70">
        <v>6</v>
      </c>
    </row>
    <row r="71" spans="1:12" ht="15.6" x14ac:dyDescent="0.3">
      <c r="A71" s="9">
        <v>60</v>
      </c>
      <c r="B71" s="19"/>
      <c r="C71" s="15" t="s">
        <v>66</v>
      </c>
      <c r="D71" s="19"/>
      <c r="E71" s="11">
        <f t="shared" si="1"/>
        <v>18</v>
      </c>
      <c r="F71" s="12">
        <f t="shared" si="2"/>
        <v>16.666666666666664</v>
      </c>
      <c r="G71" s="12" t="str">
        <f t="shared" si="3"/>
        <v>OK</v>
      </c>
      <c r="H71" s="13">
        <f t="shared" si="4"/>
        <v>6</v>
      </c>
      <c r="I71" s="14">
        <f t="shared" si="0"/>
        <v>1815.2599999999998</v>
      </c>
      <c r="K71" t="str">
        <f>[1]!revcom(C71)</f>
        <v>ACATTT</v>
      </c>
      <c r="L71">
        <v>5</v>
      </c>
    </row>
    <row r="72" spans="1:12" ht="15.6" x14ac:dyDescent="0.3">
      <c r="A72" s="9">
        <v>61</v>
      </c>
      <c r="B72" s="19"/>
      <c r="C72" s="15" t="s">
        <v>67</v>
      </c>
      <c r="D72" s="19"/>
      <c r="E72" s="11">
        <f t="shared" si="1"/>
        <v>20</v>
      </c>
      <c r="F72" s="12">
        <f t="shared" si="2"/>
        <v>0</v>
      </c>
      <c r="G72" s="12" t="str">
        <f t="shared" si="3"/>
        <v>OK</v>
      </c>
      <c r="H72" s="13">
        <f t="shared" si="4"/>
        <v>6</v>
      </c>
      <c r="I72" s="14">
        <f t="shared" si="0"/>
        <v>1799.2599999999998</v>
      </c>
      <c r="K72" t="str">
        <f>[1]!revcom(C72)</f>
        <v>TAATTT</v>
      </c>
      <c r="L72">
        <v>6</v>
      </c>
    </row>
    <row r="73" spans="1:12" ht="15.6" x14ac:dyDescent="0.3">
      <c r="A73" s="9">
        <v>62</v>
      </c>
      <c r="B73" s="19"/>
      <c r="C73" s="15" t="s">
        <v>68</v>
      </c>
      <c r="D73" s="19"/>
      <c r="E73" s="11">
        <f t="shared" si="1"/>
        <v>18</v>
      </c>
      <c r="F73" s="12">
        <f t="shared" si="2"/>
        <v>16.666666666666664</v>
      </c>
      <c r="G73" s="12" t="str">
        <f t="shared" si="3"/>
        <v>OK</v>
      </c>
      <c r="H73" s="13">
        <f t="shared" si="4"/>
        <v>6</v>
      </c>
      <c r="I73" s="14">
        <f t="shared" si="0"/>
        <v>1775.23</v>
      </c>
      <c r="K73" t="str">
        <f>[1]!revcom(C73)</f>
        <v>GAATTT</v>
      </c>
      <c r="L73">
        <v>5</v>
      </c>
    </row>
    <row r="74" spans="1:12" ht="15.6" x14ac:dyDescent="0.3">
      <c r="A74" s="9">
        <v>63</v>
      </c>
      <c r="B74" s="19"/>
      <c r="C74" s="24" t="s">
        <v>69</v>
      </c>
      <c r="D74" s="19"/>
      <c r="E74" s="11">
        <f t="shared" si="1"/>
        <v>18</v>
      </c>
      <c r="F74" s="12">
        <f t="shared" si="2"/>
        <v>16.666666666666664</v>
      </c>
      <c r="G74" s="12" t="str">
        <f t="shared" si="3"/>
        <v>OK</v>
      </c>
      <c r="H74" s="13">
        <f t="shared" si="4"/>
        <v>6</v>
      </c>
      <c r="I74" s="14">
        <f t="shared" si="0"/>
        <v>1815.2599999999998</v>
      </c>
      <c r="K74" t="str">
        <f>[1]!revcom(C74)</f>
        <v>CAATTT</v>
      </c>
      <c r="L74">
        <v>5</v>
      </c>
    </row>
    <row r="75" spans="1:12" ht="15.6" x14ac:dyDescent="0.3">
      <c r="A75" s="9">
        <v>64</v>
      </c>
      <c r="B75" s="19"/>
      <c r="C75" s="24" t="s">
        <v>70</v>
      </c>
      <c r="D75" s="19"/>
      <c r="E75" s="11">
        <f t="shared" si="1"/>
        <v>12</v>
      </c>
      <c r="F75" s="12">
        <f t="shared" si="2"/>
        <v>0</v>
      </c>
      <c r="G75" s="12" t="str">
        <f t="shared" si="3"/>
        <v>OK</v>
      </c>
      <c r="H75" s="13">
        <f t="shared" si="4"/>
        <v>6</v>
      </c>
      <c r="I75" s="14">
        <f t="shared" si="0"/>
        <v>1790.2399999999998</v>
      </c>
      <c r="K75" t="str">
        <f>[1]!revcom(C75)</f>
        <v>AAATTT</v>
      </c>
      <c r="L75">
        <v>4</v>
      </c>
    </row>
    <row r="76" spans="1:12" ht="15.6" x14ac:dyDescent="0.3">
      <c r="A76" s="9">
        <v>65</v>
      </c>
      <c r="B76" s="19"/>
      <c r="C76" s="24" t="s">
        <v>71</v>
      </c>
      <c r="D76" s="19"/>
      <c r="E76" s="11">
        <f t="shared" si="1"/>
        <v>34</v>
      </c>
      <c r="F76" s="12">
        <f t="shared" si="2"/>
        <v>16.666666666666664</v>
      </c>
      <c r="G76" s="12" t="str">
        <f t="shared" si="3"/>
        <v>OK</v>
      </c>
      <c r="H76" s="13">
        <f t="shared" si="4"/>
        <v>6</v>
      </c>
      <c r="I76" s="14">
        <f t="shared" si="0"/>
        <v>1793.27</v>
      </c>
      <c r="K76" t="str">
        <f>[1]!revcom(C76)</f>
        <v>TTTGTT</v>
      </c>
      <c r="L76">
        <v>8</v>
      </c>
    </row>
    <row r="77" spans="1:12" ht="15.6" x14ac:dyDescent="0.3">
      <c r="A77" s="9">
        <v>66</v>
      </c>
      <c r="B77" s="19"/>
      <c r="C77" s="25" t="s">
        <v>72</v>
      </c>
      <c r="D77" s="19"/>
      <c r="E77" s="11">
        <f t="shared" si="1"/>
        <v>32</v>
      </c>
      <c r="F77" s="12">
        <f t="shared" si="2"/>
        <v>33.333333333333329</v>
      </c>
      <c r="G77" s="12" t="str">
        <f t="shared" si="3"/>
        <v>OK</v>
      </c>
      <c r="H77" s="13">
        <f t="shared" si="4"/>
        <v>6</v>
      </c>
      <c r="I77" s="14">
        <f t="shared" ref="I77:I140" si="5">((LEN(C77)-(LEN(SUBSTITUTE(C77,"A",""))))*249.23)+((LEN(C77)-(LEN(SUBSTITUTE(C77,"T",""))))*240.21)+((LEN(C77)-(LEN(SUBSTITUTE(C77,"C",""))))*225.2)+((LEN(C77)-(LEN(SUBSTITUTE(C77,"G",""))))*265.23)+(63.98*(LEN(C77)-1)+(2.02))</f>
        <v>1769.2399999999998</v>
      </c>
      <c r="K77" t="str">
        <f>[1]!revcom(C77)</f>
        <v>GTTGTT</v>
      </c>
      <c r="L77">
        <v>8</v>
      </c>
    </row>
    <row r="78" spans="1:12" ht="15.6" x14ac:dyDescent="0.3">
      <c r="A78" s="9">
        <v>67</v>
      </c>
      <c r="B78" s="19"/>
      <c r="C78" s="20" t="s">
        <v>73</v>
      </c>
      <c r="D78" s="19"/>
      <c r="E78" s="11">
        <f t="shared" ref="E78:E141" si="6">IF(LEN(C78)&gt;15,(69.3+((41*((LEN(C78)-(((LEN(C78)-(LEN(SUBSTITUTE(C78,"A",""))))+((LEN(C78)-(LEN(SUBSTITUTE(C78,"T","")))))))))/(LEN(C78)))-(650/(LEN(C78))))),(2*((LEN(C78)-(((LEN(C78)-(LEN(SUBSTITUTE(C78,"C",""))))+((LEN(C78)-(LEN(SUBSTITUTE(C78,"G",""))))))))))+(4*((LEN(C78)-(((LEN(C78)-(LEN(SUBSTITUTE(C78,"T",""))))+((LEN(C78)-(LEN(SUBSTITUTE(C78,"T","")))))))))))</f>
        <v>32</v>
      </c>
      <c r="F78" s="12">
        <f t="shared" ref="F78:F141" si="7">((LEN(C78)- LEN(SUBSTITUTE(C78,"G","")))+(LEN(C78)- LEN(SUBSTITUTE(C78,"C",""))) )/LEN(C78)*100</f>
        <v>33.333333333333329</v>
      </c>
      <c r="G78" s="12" t="str">
        <f t="shared" ref="G78:G141" si="8">IF((-5+((LEN(SUBSTITUTE(RIGHT(C78,5),"C","")))+((LEN(SUBSTITUTE(RIGHT(C78,5),"G",""))))))&gt;=3,"OK","Warning")</f>
        <v>OK</v>
      </c>
      <c r="H78" s="13">
        <f t="shared" ref="H78:H141" si="9">LEN(C78)</f>
        <v>6</v>
      </c>
      <c r="I78" s="14">
        <f t="shared" si="5"/>
        <v>1809.27</v>
      </c>
      <c r="K78" t="str">
        <f>[1]!revcom(C78)</f>
        <v>CTTGTT</v>
      </c>
      <c r="L78">
        <v>8</v>
      </c>
    </row>
    <row r="79" spans="1:12" ht="15.6" x14ac:dyDescent="0.3">
      <c r="A79" s="9">
        <v>68</v>
      </c>
      <c r="B79" s="19"/>
      <c r="C79" s="15" t="s">
        <v>74</v>
      </c>
      <c r="D79" s="19"/>
      <c r="E79" s="11">
        <f t="shared" si="6"/>
        <v>26</v>
      </c>
      <c r="F79" s="12">
        <f t="shared" si="7"/>
        <v>16.666666666666664</v>
      </c>
      <c r="G79" s="12" t="str">
        <f t="shared" si="8"/>
        <v>OK</v>
      </c>
      <c r="H79" s="13">
        <f t="shared" si="9"/>
        <v>6</v>
      </c>
      <c r="I79" s="14">
        <f t="shared" si="5"/>
        <v>1784.25</v>
      </c>
      <c r="K79" t="str">
        <f>[1]!revcom(C79)</f>
        <v>ATTGTT</v>
      </c>
      <c r="L79">
        <v>7</v>
      </c>
    </row>
    <row r="80" spans="1:12" ht="15.6" x14ac:dyDescent="0.3">
      <c r="A80" s="9">
        <v>69</v>
      </c>
      <c r="B80" s="19"/>
      <c r="C80" s="15" t="s">
        <v>75</v>
      </c>
      <c r="D80" s="19"/>
      <c r="E80" s="11">
        <f t="shared" si="6"/>
        <v>32</v>
      </c>
      <c r="F80" s="12">
        <f t="shared" si="7"/>
        <v>33.333333333333329</v>
      </c>
      <c r="G80" s="12" t="str">
        <f t="shared" si="8"/>
        <v>OK</v>
      </c>
      <c r="H80" s="13">
        <f t="shared" si="9"/>
        <v>6</v>
      </c>
      <c r="I80" s="14">
        <f t="shared" si="5"/>
        <v>1769.2399999999998</v>
      </c>
      <c r="K80" t="str">
        <f>[1]!revcom(C80)</f>
        <v>TGTGTT</v>
      </c>
      <c r="L80">
        <v>8</v>
      </c>
    </row>
    <row r="81" spans="1:12" ht="15.6" x14ac:dyDescent="0.3">
      <c r="A81" s="9">
        <v>70</v>
      </c>
      <c r="B81" s="21"/>
      <c r="C81" s="18" t="s">
        <v>76</v>
      </c>
      <c r="D81" s="21"/>
      <c r="E81" s="11">
        <f t="shared" si="6"/>
        <v>30</v>
      </c>
      <c r="F81" s="12">
        <f t="shared" si="7"/>
        <v>50</v>
      </c>
      <c r="G81" s="12" t="str">
        <f t="shared" si="8"/>
        <v>Warning</v>
      </c>
      <c r="H81" s="13">
        <f t="shared" si="9"/>
        <v>6</v>
      </c>
      <c r="I81" s="14">
        <f t="shared" si="5"/>
        <v>1745.21</v>
      </c>
      <c r="K81" t="str">
        <f>[1]!revcom(C81)</f>
        <v>GGTGTT</v>
      </c>
      <c r="L81">
        <v>7</v>
      </c>
    </row>
    <row r="82" spans="1:12" ht="15.6" x14ac:dyDescent="0.3">
      <c r="A82" s="9">
        <v>71</v>
      </c>
      <c r="B82" s="19"/>
      <c r="C82" s="23" t="s">
        <v>77</v>
      </c>
      <c r="D82" s="19"/>
      <c r="E82" s="11">
        <f t="shared" si="6"/>
        <v>30</v>
      </c>
      <c r="F82" s="12">
        <f t="shared" si="7"/>
        <v>50</v>
      </c>
      <c r="G82" s="12" t="str">
        <f t="shared" si="8"/>
        <v>Warning</v>
      </c>
      <c r="H82" s="13">
        <f t="shared" si="9"/>
        <v>6</v>
      </c>
      <c r="I82" s="14">
        <f t="shared" si="5"/>
        <v>1785.2399999999998</v>
      </c>
      <c r="K82" t="str">
        <f>[1]!revcom(C82)</f>
        <v>CGTGTT</v>
      </c>
      <c r="L82">
        <v>7</v>
      </c>
    </row>
    <row r="83" spans="1:12" ht="15.6" x14ac:dyDescent="0.3">
      <c r="A83" s="9">
        <v>72</v>
      </c>
      <c r="B83" s="19"/>
      <c r="C83" s="15" t="s">
        <v>78</v>
      </c>
      <c r="D83" s="19"/>
      <c r="E83" s="11">
        <f t="shared" si="6"/>
        <v>24</v>
      </c>
      <c r="F83" s="12">
        <f t="shared" si="7"/>
        <v>33.333333333333329</v>
      </c>
      <c r="G83" s="12" t="str">
        <f t="shared" si="8"/>
        <v>OK</v>
      </c>
      <c r="H83" s="13">
        <f t="shared" si="9"/>
        <v>6</v>
      </c>
      <c r="I83" s="14">
        <f t="shared" si="5"/>
        <v>1760.2199999999998</v>
      </c>
      <c r="K83" t="str">
        <f>[1]!revcom(C83)</f>
        <v>AGTGTT</v>
      </c>
      <c r="L83">
        <v>6</v>
      </c>
    </row>
    <row r="84" spans="1:12" ht="15.6" x14ac:dyDescent="0.3">
      <c r="A84" s="9">
        <v>73</v>
      </c>
      <c r="B84" s="19"/>
      <c r="C84" s="15" t="s">
        <v>79</v>
      </c>
      <c r="D84" s="19"/>
      <c r="E84" s="11">
        <f t="shared" si="6"/>
        <v>32</v>
      </c>
      <c r="F84" s="12">
        <f t="shared" si="7"/>
        <v>33.333333333333329</v>
      </c>
      <c r="G84" s="12" t="str">
        <f t="shared" si="8"/>
        <v>OK</v>
      </c>
      <c r="H84" s="13">
        <f t="shared" si="9"/>
        <v>6</v>
      </c>
      <c r="I84" s="14">
        <f t="shared" si="5"/>
        <v>1809.27</v>
      </c>
      <c r="K84" t="str">
        <f>[1]!revcom(C84)</f>
        <v>TCTGTT</v>
      </c>
      <c r="L84">
        <v>8</v>
      </c>
    </row>
    <row r="85" spans="1:12" ht="15.6" x14ac:dyDescent="0.3">
      <c r="A85" s="9">
        <v>74</v>
      </c>
      <c r="B85" s="19"/>
      <c r="C85" s="25" t="s">
        <v>80</v>
      </c>
      <c r="D85" s="19"/>
      <c r="E85" s="11">
        <f t="shared" si="6"/>
        <v>30</v>
      </c>
      <c r="F85" s="12">
        <f t="shared" si="7"/>
        <v>50</v>
      </c>
      <c r="G85" s="12" t="str">
        <f t="shared" si="8"/>
        <v>Warning</v>
      </c>
      <c r="H85" s="13">
        <f t="shared" si="9"/>
        <v>6</v>
      </c>
      <c r="I85" s="14">
        <f t="shared" si="5"/>
        <v>1785.2399999999998</v>
      </c>
      <c r="K85" t="str">
        <f>[1]!revcom(C85)</f>
        <v>GCTGTT</v>
      </c>
      <c r="L85">
        <v>7</v>
      </c>
    </row>
    <row r="86" spans="1:12" ht="15.6" x14ac:dyDescent="0.3">
      <c r="A86" s="9">
        <v>75</v>
      </c>
      <c r="B86" s="19"/>
      <c r="C86" s="15" t="s">
        <v>81</v>
      </c>
      <c r="D86" s="19"/>
      <c r="E86" s="11">
        <f t="shared" si="6"/>
        <v>30</v>
      </c>
      <c r="F86" s="12">
        <f t="shared" si="7"/>
        <v>50</v>
      </c>
      <c r="G86" s="12" t="str">
        <f t="shared" si="8"/>
        <v>Warning</v>
      </c>
      <c r="H86" s="13">
        <f t="shared" si="9"/>
        <v>6</v>
      </c>
      <c r="I86" s="14">
        <f t="shared" si="5"/>
        <v>1825.27</v>
      </c>
      <c r="K86" t="str">
        <f>[1]!revcom(C86)</f>
        <v>CCTGTT</v>
      </c>
      <c r="L86">
        <v>7</v>
      </c>
    </row>
    <row r="87" spans="1:12" ht="15.6" x14ac:dyDescent="0.3">
      <c r="A87" s="9">
        <v>76</v>
      </c>
      <c r="B87" s="19"/>
      <c r="C87" s="15" t="s">
        <v>82</v>
      </c>
      <c r="D87" s="19"/>
      <c r="E87" s="11">
        <f t="shared" si="6"/>
        <v>24</v>
      </c>
      <c r="F87" s="12">
        <f t="shared" si="7"/>
        <v>33.333333333333329</v>
      </c>
      <c r="G87" s="12" t="str">
        <f t="shared" si="8"/>
        <v>OK</v>
      </c>
      <c r="H87" s="13">
        <f t="shared" si="9"/>
        <v>6</v>
      </c>
      <c r="I87" s="14">
        <f t="shared" si="5"/>
        <v>1800.25</v>
      </c>
      <c r="K87" t="str">
        <f>[1]!revcom(C87)</f>
        <v>ACTGTT</v>
      </c>
      <c r="L87">
        <v>6</v>
      </c>
    </row>
    <row r="88" spans="1:12" ht="15.6" x14ac:dyDescent="0.3">
      <c r="A88" s="9">
        <v>77</v>
      </c>
      <c r="B88" s="19"/>
      <c r="C88" s="15" t="s">
        <v>83</v>
      </c>
      <c r="D88" s="19"/>
      <c r="E88" s="11">
        <f t="shared" si="6"/>
        <v>26</v>
      </c>
      <c r="F88" s="12">
        <f t="shared" si="7"/>
        <v>16.666666666666664</v>
      </c>
      <c r="G88" s="12" t="str">
        <f t="shared" si="8"/>
        <v>OK</v>
      </c>
      <c r="H88" s="13">
        <f t="shared" si="9"/>
        <v>6</v>
      </c>
      <c r="I88" s="14">
        <f t="shared" si="5"/>
        <v>1784.25</v>
      </c>
      <c r="K88" t="str">
        <f>[1]!revcom(C88)</f>
        <v>TATGTT</v>
      </c>
      <c r="L88">
        <v>7</v>
      </c>
    </row>
    <row r="89" spans="1:12" ht="15.6" x14ac:dyDescent="0.3">
      <c r="A89" s="9">
        <v>78</v>
      </c>
      <c r="B89" s="19"/>
      <c r="C89" s="15" t="s">
        <v>84</v>
      </c>
      <c r="D89" s="19"/>
      <c r="E89" s="11">
        <f t="shared" si="6"/>
        <v>24</v>
      </c>
      <c r="F89" s="12">
        <f t="shared" si="7"/>
        <v>33.333333333333329</v>
      </c>
      <c r="G89" s="12" t="str">
        <f t="shared" si="8"/>
        <v>OK</v>
      </c>
      <c r="H89" s="13">
        <f t="shared" si="9"/>
        <v>6</v>
      </c>
      <c r="I89" s="14">
        <f t="shared" si="5"/>
        <v>1760.2199999999998</v>
      </c>
      <c r="K89" t="str">
        <f>[1]!revcom(C89)</f>
        <v>GATGTT</v>
      </c>
      <c r="L89">
        <v>6</v>
      </c>
    </row>
    <row r="90" spans="1:12" ht="15.6" x14ac:dyDescent="0.3">
      <c r="A90" s="9">
        <v>79</v>
      </c>
      <c r="B90" s="19"/>
      <c r="C90" s="15" t="s">
        <v>85</v>
      </c>
      <c r="D90" s="19"/>
      <c r="E90" s="11">
        <f t="shared" si="6"/>
        <v>24</v>
      </c>
      <c r="F90" s="12">
        <f t="shared" si="7"/>
        <v>33.333333333333329</v>
      </c>
      <c r="G90" s="12" t="str">
        <f t="shared" si="8"/>
        <v>OK</v>
      </c>
      <c r="H90" s="13">
        <f t="shared" si="9"/>
        <v>6</v>
      </c>
      <c r="I90" s="14">
        <f t="shared" si="5"/>
        <v>1800.25</v>
      </c>
      <c r="K90" t="str">
        <f>[1]!revcom(C90)</f>
        <v>CATGTT</v>
      </c>
      <c r="L90">
        <v>6</v>
      </c>
    </row>
    <row r="91" spans="1:12" ht="15.6" x14ac:dyDescent="0.3">
      <c r="A91" s="9">
        <v>80</v>
      </c>
      <c r="B91" s="19"/>
      <c r="C91" s="15" t="s">
        <v>86</v>
      </c>
      <c r="D91" s="19"/>
      <c r="E91" s="11">
        <f t="shared" si="6"/>
        <v>18</v>
      </c>
      <c r="F91" s="12">
        <f t="shared" si="7"/>
        <v>16.666666666666664</v>
      </c>
      <c r="G91" s="12" t="str">
        <f t="shared" si="8"/>
        <v>OK</v>
      </c>
      <c r="H91" s="13">
        <f t="shared" si="9"/>
        <v>6</v>
      </c>
      <c r="I91" s="14">
        <f t="shared" si="5"/>
        <v>1775.23</v>
      </c>
      <c r="K91" t="str">
        <f>[1]!revcom(C91)</f>
        <v>AATGTT</v>
      </c>
      <c r="L91">
        <v>5</v>
      </c>
    </row>
    <row r="92" spans="1:12" ht="15.6" x14ac:dyDescent="0.3">
      <c r="A92" s="9">
        <v>81</v>
      </c>
      <c r="B92" s="19"/>
      <c r="C92" s="15" t="s">
        <v>87</v>
      </c>
      <c r="D92" s="19"/>
      <c r="E92" s="11">
        <f t="shared" si="6"/>
        <v>32</v>
      </c>
      <c r="F92" s="12">
        <f t="shared" si="7"/>
        <v>33.333333333333329</v>
      </c>
      <c r="G92" s="12" t="str">
        <f t="shared" si="8"/>
        <v>OK</v>
      </c>
      <c r="H92" s="13">
        <f t="shared" si="9"/>
        <v>6</v>
      </c>
      <c r="I92" s="14">
        <f t="shared" si="5"/>
        <v>1769.2399999999998</v>
      </c>
      <c r="K92" t="str">
        <f>[1]!revcom(C92)</f>
        <v>TTGGTT</v>
      </c>
      <c r="L92">
        <v>8</v>
      </c>
    </row>
    <row r="93" spans="1:12" ht="15.6" x14ac:dyDescent="0.3">
      <c r="A93" s="9">
        <v>82</v>
      </c>
      <c r="B93" s="19"/>
      <c r="C93" s="25" t="s">
        <v>88</v>
      </c>
      <c r="D93" s="19"/>
      <c r="E93" s="11">
        <f t="shared" si="6"/>
        <v>30</v>
      </c>
      <c r="F93" s="12">
        <f t="shared" si="7"/>
        <v>50</v>
      </c>
      <c r="G93" s="12" t="str">
        <f t="shared" si="8"/>
        <v>Warning</v>
      </c>
      <c r="H93" s="13">
        <f t="shared" si="9"/>
        <v>6</v>
      </c>
      <c r="I93" s="14">
        <f t="shared" si="5"/>
        <v>1745.21</v>
      </c>
      <c r="K93" t="str">
        <f>[1]!revcom(C93)</f>
        <v>GTGGTT</v>
      </c>
      <c r="L93">
        <v>7</v>
      </c>
    </row>
    <row r="94" spans="1:12" ht="15.6" x14ac:dyDescent="0.3">
      <c r="A94" s="9">
        <v>83</v>
      </c>
      <c r="B94" s="19"/>
      <c r="C94" s="15" t="s">
        <v>89</v>
      </c>
      <c r="D94" s="19"/>
      <c r="E94" s="11">
        <f t="shared" si="6"/>
        <v>30</v>
      </c>
      <c r="F94" s="12">
        <f t="shared" si="7"/>
        <v>50</v>
      </c>
      <c r="G94" s="12" t="str">
        <f t="shared" si="8"/>
        <v>Warning</v>
      </c>
      <c r="H94" s="13">
        <f t="shared" si="9"/>
        <v>6</v>
      </c>
      <c r="I94" s="14">
        <f t="shared" si="5"/>
        <v>1785.2399999999998</v>
      </c>
      <c r="K94" t="str">
        <f>[1]!revcom(C94)</f>
        <v>CTGGTT</v>
      </c>
      <c r="L94">
        <v>7</v>
      </c>
    </row>
    <row r="95" spans="1:12" ht="15.6" x14ac:dyDescent="0.3">
      <c r="A95" s="9">
        <v>84</v>
      </c>
      <c r="B95" s="19"/>
      <c r="C95" s="20" t="s">
        <v>90</v>
      </c>
      <c r="D95" s="19"/>
      <c r="E95" s="11">
        <f t="shared" si="6"/>
        <v>24</v>
      </c>
      <c r="F95" s="12">
        <f t="shared" si="7"/>
        <v>33.333333333333329</v>
      </c>
      <c r="G95" s="12" t="str">
        <f t="shared" si="8"/>
        <v>OK</v>
      </c>
      <c r="H95" s="13">
        <f t="shared" si="9"/>
        <v>6</v>
      </c>
      <c r="I95" s="14">
        <f t="shared" si="5"/>
        <v>1760.2199999999998</v>
      </c>
      <c r="K95" t="str">
        <f>[1]!revcom(C95)</f>
        <v>ATGGTT</v>
      </c>
      <c r="L95">
        <v>6</v>
      </c>
    </row>
    <row r="96" spans="1:12" ht="15.6" x14ac:dyDescent="0.3">
      <c r="A96" s="9">
        <v>85</v>
      </c>
      <c r="B96" s="19"/>
      <c r="C96" s="20" t="s">
        <v>91</v>
      </c>
      <c r="D96" s="19"/>
      <c r="E96" s="11">
        <f t="shared" si="6"/>
        <v>30</v>
      </c>
      <c r="F96" s="12">
        <f t="shared" si="7"/>
        <v>50</v>
      </c>
      <c r="G96" s="12" t="str">
        <f t="shared" si="8"/>
        <v>Warning</v>
      </c>
      <c r="H96" s="13">
        <f t="shared" si="9"/>
        <v>6</v>
      </c>
      <c r="I96" s="14">
        <f t="shared" si="5"/>
        <v>1745.21</v>
      </c>
      <c r="K96" t="str">
        <f>[1]!revcom(C96)</f>
        <v>TGGGTT</v>
      </c>
      <c r="L96">
        <v>7</v>
      </c>
    </row>
    <row r="97" spans="1:12" ht="15.6" x14ac:dyDescent="0.3">
      <c r="A97" s="9">
        <v>86</v>
      </c>
      <c r="B97" s="21"/>
      <c r="C97" s="18" t="s">
        <v>92</v>
      </c>
      <c r="D97" s="21"/>
      <c r="E97" s="11">
        <f t="shared" si="6"/>
        <v>28</v>
      </c>
      <c r="F97" s="12">
        <f t="shared" si="7"/>
        <v>66.666666666666657</v>
      </c>
      <c r="G97" s="12" t="str">
        <f t="shared" si="8"/>
        <v>Warning</v>
      </c>
      <c r="H97" s="13">
        <f t="shared" si="9"/>
        <v>6</v>
      </c>
      <c r="I97" s="14">
        <f t="shared" si="5"/>
        <v>1721.1799999999998</v>
      </c>
      <c r="K97" t="str">
        <f>[1]!revcom(C97)</f>
        <v>GGGGTT</v>
      </c>
      <c r="L97">
        <v>7</v>
      </c>
    </row>
    <row r="98" spans="1:12" ht="15.6" x14ac:dyDescent="0.3">
      <c r="A98" s="9">
        <v>87</v>
      </c>
      <c r="B98" s="19"/>
      <c r="C98" s="23" t="s">
        <v>93</v>
      </c>
      <c r="D98" s="19"/>
      <c r="E98" s="11">
        <f t="shared" si="6"/>
        <v>28</v>
      </c>
      <c r="F98" s="12">
        <f t="shared" si="7"/>
        <v>66.666666666666657</v>
      </c>
      <c r="G98" s="12" t="str">
        <f t="shared" si="8"/>
        <v>Warning</v>
      </c>
      <c r="H98" s="13">
        <f t="shared" si="9"/>
        <v>6</v>
      </c>
      <c r="I98" s="14">
        <f t="shared" si="5"/>
        <v>1761.21</v>
      </c>
      <c r="K98" t="str">
        <f>[1]!revcom(C98)</f>
        <v>CGGGTT</v>
      </c>
      <c r="L98">
        <v>7</v>
      </c>
    </row>
    <row r="99" spans="1:12" ht="15.6" x14ac:dyDescent="0.3">
      <c r="A99" s="9">
        <v>88</v>
      </c>
      <c r="B99" s="19"/>
      <c r="C99" s="15" t="s">
        <v>94</v>
      </c>
      <c r="D99" s="19"/>
      <c r="E99" s="11">
        <f t="shared" si="6"/>
        <v>22</v>
      </c>
      <c r="F99" s="12">
        <f t="shared" si="7"/>
        <v>50</v>
      </c>
      <c r="G99" s="12" t="str">
        <f t="shared" si="8"/>
        <v>Warning</v>
      </c>
      <c r="H99" s="13">
        <f t="shared" si="9"/>
        <v>6</v>
      </c>
      <c r="I99" s="14">
        <f t="shared" si="5"/>
        <v>1736.19</v>
      </c>
      <c r="K99" t="str">
        <f>[1]!revcom(C99)</f>
        <v>AGGGTT</v>
      </c>
      <c r="L99">
        <v>6</v>
      </c>
    </row>
    <row r="100" spans="1:12" ht="15.6" x14ac:dyDescent="0.3">
      <c r="A100" s="9">
        <v>89</v>
      </c>
      <c r="B100" s="19"/>
      <c r="C100" s="15" t="s">
        <v>95</v>
      </c>
      <c r="D100" s="19"/>
      <c r="E100" s="11">
        <f t="shared" si="6"/>
        <v>30</v>
      </c>
      <c r="F100" s="12">
        <f t="shared" si="7"/>
        <v>50</v>
      </c>
      <c r="G100" s="12" t="str">
        <f t="shared" si="8"/>
        <v>Warning</v>
      </c>
      <c r="H100" s="13">
        <f t="shared" si="9"/>
        <v>6</v>
      </c>
      <c r="I100" s="14">
        <f t="shared" si="5"/>
        <v>1785.2399999999998</v>
      </c>
      <c r="K100" t="str">
        <f>[1]!revcom(C100)</f>
        <v>TCGGTT</v>
      </c>
      <c r="L100">
        <v>7</v>
      </c>
    </row>
    <row r="101" spans="1:12" ht="15.6" x14ac:dyDescent="0.3">
      <c r="A101" s="9">
        <v>90</v>
      </c>
      <c r="B101" s="19"/>
      <c r="C101" s="22" t="s">
        <v>96</v>
      </c>
      <c r="D101" s="19"/>
      <c r="E101" s="11">
        <f t="shared" si="6"/>
        <v>28</v>
      </c>
      <c r="F101" s="12">
        <f t="shared" si="7"/>
        <v>66.666666666666657</v>
      </c>
      <c r="G101" s="12" t="str">
        <f t="shared" si="8"/>
        <v>Warning</v>
      </c>
      <c r="H101" s="13">
        <f t="shared" si="9"/>
        <v>6</v>
      </c>
      <c r="I101" s="14">
        <f t="shared" si="5"/>
        <v>1761.21</v>
      </c>
      <c r="K101" t="str">
        <f>[1]!revcom(C101)</f>
        <v>GCGGTT</v>
      </c>
      <c r="L101">
        <v>7</v>
      </c>
    </row>
    <row r="102" spans="1:12" ht="15.6" x14ac:dyDescent="0.3">
      <c r="A102" s="9">
        <v>91</v>
      </c>
      <c r="B102" s="19"/>
      <c r="C102" s="15" t="s">
        <v>97</v>
      </c>
      <c r="D102" s="19"/>
      <c r="E102" s="11">
        <f t="shared" si="6"/>
        <v>28</v>
      </c>
      <c r="F102" s="12">
        <f t="shared" si="7"/>
        <v>66.666666666666657</v>
      </c>
      <c r="G102" s="12" t="str">
        <f t="shared" si="8"/>
        <v>Warning</v>
      </c>
      <c r="H102" s="13">
        <f t="shared" si="9"/>
        <v>6</v>
      </c>
      <c r="I102" s="14">
        <f t="shared" si="5"/>
        <v>1801.2399999999998</v>
      </c>
      <c r="K102" t="str">
        <f>[1]!revcom(C102)</f>
        <v>CCGGTT</v>
      </c>
      <c r="L102">
        <v>7</v>
      </c>
    </row>
    <row r="103" spans="1:12" ht="15.6" x14ac:dyDescent="0.3">
      <c r="A103" s="9">
        <v>92</v>
      </c>
      <c r="B103" s="19"/>
      <c r="C103" s="15" t="s">
        <v>98</v>
      </c>
      <c r="D103" s="19"/>
      <c r="E103" s="11">
        <f t="shared" si="6"/>
        <v>22</v>
      </c>
      <c r="F103" s="12">
        <f t="shared" si="7"/>
        <v>50</v>
      </c>
      <c r="G103" s="12" t="str">
        <f t="shared" si="8"/>
        <v>Warning</v>
      </c>
      <c r="H103" s="13">
        <f t="shared" si="9"/>
        <v>6</v>
      </c>
      <c r="I103" s="14">
        <f t="shared" si="5"/>
        <v>1776.2199999999998</v>
      </c>
      <c r="K103" t="str">
        <f>[1]!revcom(C103)</f>
        <v>ACGGTT</v>
      </c>
      <c r="L103">
        <v>6</v>
      </c>
    </row>
    <row r="104" spans="1:12" ht="15.6" x14ac:dyDescent="0.3">
      <c r="A104" s="9">
        <v>93</v>
      </c>
      <c r="B104" s="19"/>
      <c r="C104" s="15" t="s">
        <v>99</v>
      </c>
      <c r="D104" s="19"/>
      <c r="E104" s="11">
        <f t="shared" si="6"/>
        <v>24</v>
      </c>
      <c r="F104" s="12">
        <f t="shared" si="7"/>
        <v>33.333333333333329</v>
      </c>
      <c r="G104" s="12" t="str">
        <f t="shared" si="8"/>
        <v>OK</v>
      </c>
      <c r="H104" s="13">
        <f t="shared" si="9"/>
        <v>6</v>
      </c>
      <c r="I104" s="14">
        <f t="shared" si="5"/>
        <v>1760.2199999999998</v>
      </c>
      <c r="K104" t="str">
        <f>[1]!revcom(C104)</f>
        <v>TAGGTT</v>
      </c>
      <c r="L104">
        <v>6</v>
      </c>
    </row>
    <row r="105" spans="1:12" ht="15.6" x14ac:dyDescent="0.3">
      <c r="A105" s="9">
        <v>94</v>
      </c>
      <c r="B105" s="19"/>
      <c r="C105" s="15" t="s">
        <v>100</v>
      </c>
      <c r="D105" s="19"/>
      <c r="E105" s="11">
        <f t="shared" si="6"/>
        <v>22</v>
      </c>
      <c r="F105" s="12">
        <f t="shared" si="7"/>
        <v>50</v>
      </c>
      <c r="G105" s="12" t="str">
        <f t="shared" si="8"/>
        <v>Warning</v>
      </c>
      <c r="H105" s="13">
        <f t="shared" si="9"/>
        <v>6</v>
      </c>
      <c r="I105" s="14">
        <f t="shared" si="5"/>
        <v>1736.19</v>
      </c>
      <c r="K105" t="str">
        <f>[1]!revcom(C105)</f>
        <v>GAGGTT</v>
      </c>
      <c r="L105">
        <v>6</v>
      </c>
    </row>
    <row r="106" spans="1:12" ht="15.6" x14ac:dyDescent="0.3">
      <c r="A106" s="9">
        <v>95</v>
      </c>
      <c r="B106" s="19"/>
      <c r="C106" s="20" t="s">
        <v>101</v>
      </c>
      <c r="D106" s="19"/>
      <c r="E106" s="11">
        <f t="shared" si="6"/>
        <v>22</v>
      </c>
      <c r="F106" s="12">
        <f t="shared" si="7"/>
        <v>50</v>
      </c>
      <c r="G106" s="12" t="str">
        <f t="shared" si="8"/>
        <v>Warning</v>
      </c>
      <c r="H106" s="13">
        <f t="shared" si="9"/>
        <v>6</v>
      </c>
      <c r="I106" s="14">
        <f t="shared" si="5"/>
        <v>1776.2199999999998</v>
      </c>
      <c r="K106" t="str">
        <f>[1]!revcom(C106)</f>
        <v>CAGGTT</v>
      </c>
      <c r="L106">
        <v>6</v>
      </c>
    </row>
    <row r="107" spans="1:12" ht="15.6" x14ac:dyDescent="0.3">
      <c r="A107" s="9">
        <v>96</v>
      </c>
      <c r="B107" s="19"/>
      <c r="C107" s="15" t="s">
        <v>102</v>
      </c>
      <c r="D107" s="19"/>
      <c r="E107" s="11">
        <f t="shared" si="6"/>
        <v>16</v>
      </c>
      <c r="F107" s="12">
        <f t="shared" si="7"/>
        <v>33.333333333333329</v>
      </c>
      <c r="G107" s="12" t="str">
        <f t="shared" si="8"/>
        <v>OK</v>
      </c>
      <c r="H107" s="13">
        <f t="shared" si="9"/>
        <v>6</v>
      </c>
      <c r="I107" s="14">
        <f t="shared" si="5"/>
        <v>1751.1999999999998</v>
      </c>
      <c r="K107" t="str">
        <f>[1]!revcom(C107)</f>
        <v>AAGGTT</v>
      </c>
      <c r="L107">
        <v>5</v>
      </c>
    </row>
    <row r="108" spans="1:12" ht="15.6" x14ac:dyDescent="0.3">
      <c r="A108" s="9">
        <v>97</v>
      </c>
      <c r="B108" s="21"/>
      <c r="C108" s="18" t="s">
        <v>103</v>
      </c>
      <c r="D108" s="21"/>
      <c r="E108" s="11">
        <f t="shared" si="6"/>
        <v>32</v>
      </c>
      <c r="F108" s="12">
        <f t="shared" si="7"/>
        <v>33.333333333333329</v>
      </c>
      <c r="G108" s="12" t="str">
        <f t="shared" si="8"/>
        <v>OK</v>
      </c>
      <c r="H108" s="13">
        <f t="shared" si="9"/>
        <v>6</v>
      </c>
      <c r="I108" s="14">
        <f t="shared" si="5"/>
        <v>1809.27</v>
      </c>
      <c r="K108" t="str">
        <f>[1]!revcom(C108)</f>
        <v>TTCGTT</v>
      </c>
      <c r="L108">
        <v>8</v>
      </c>
    </row>
    <row r="109" spans="1:12" ht="15.6" x14ac:dyDescent="0.3">
      <c r="A109" s="9">
        <v>98</v>
      </c>
      <c r="B109" s="19"/>
      <c r="C109" s="23" t="s">
        <v>104</v>
      </c>
      <c r="D109" s="19"/>
      <c r="E109" s="11">
        <f t="shared" si="6"/>
        <v>30</v>
      </c>
      <c r="F109" s="12">
        <f t="shared" si="7"/>
        <v>50</v>
      </c>
      <c r="G109" s="12" t="str">
        <f t="shared" si="8"/>
        <v>Warning</v>
      </c>
      <c r="H109" s="13">
        <f t="shared" si="9"/>
        <v>6</v>
      </c>
      <c r="I109" s="14">
        <f t="shared" si="5"/>
        <v>1785.2399999999998</v>
      </c>
      <c r="K109" t="str">
        <f>[1]!revcom(C109)</f>
        <v>GTCGTT</v>
      </c>
      <c r="L109">
        <v>7</v>
      </c>
    </row>
    <row r="110" spans="1:12" ht="15.6" x14ac:dyDescent="0.3">
      <c r="A110" s="9">
        <v>99</v>
      </c>
      <c r="B110" s="19"/>
      <c r="C110" s="23" t="s">
        <v>105</v>
      </c>
      <c r="D110" s="19"/>
      <c r="E110" s="11">
        <f t="shared" si="6"/>
        <v>30</v>
      </c>
      <c r="F110" s="12">
        <f t="shared" si="7"/>
        <v>50</v>
      </c>
      <c r="G110" s="12" t="str">
        <f t="shared" si="8"/>
        <v>Warning</v>
      </c>
      <c r="H110" s="13">
        <f t="shared" si="9"/>
        <v>6</v>
      </c>
      <c r="I110" s="14">
        <f t="shared" si="5"/>
        <v>1825.27</v>
      </c>
      <c r="K110" t="str">
        <f>[1]!revcom(C110)</f>
        <v>CTCGTT</v>
      </c>
      <c r="L110">
        <v>7</v>
      </c>
    </row>
    <row r="111" spans="1:12" ht="15.6" x14ac:dyDescent="0.3">
      <c r="A111" s="9">
        <v>100</v>
      </c>
      <c r="B111" s="19"/>
      <c r="C111" s="26" t="s">
        <v>106</v>
      </c>
      <c r="D111" s="19"/>
      <c r="E111" s="11">
        <f t="shared" si="6"/>
        <v>24</v>
      </c>
      <c r="F111" s="12">
        <f t="shared" si="7"/>
        <v>33.333333333333329</v>
      </c>
      <c r="G111" s="12" t="str">
        <f t="shared" si="8"/>
        <v>OK</v>
      </c>
      <c r="H111" s="13">
        <f t="shared" si="9"/>
        <v>6</v>
      </c>
      <c r="I111" s="14">
        <f t="shared" si="5"/>
        <v>1800.25</v>
      </c>
      <c r="K111" t="str">
        <f>[1]!revcom(C111)</f>
        <v>ATCGTT</v>
      </c>
      <c r="L111">
        <v>6</v>
      </c>
    </row>
    <row r="112" spans="1:12" ht="15.6" x14ac:dyDescent="0.3">
      <c r="A112" s="9">
        <v>101</v>
      </c>
      <c r="B112" s="19"/>
      <c r="C112" s="26" t="s">
        <v>107</v>
      </c>
      <c r="D112" s="19"/>
      <c r="E112" s="11">
        <f t="shared" si="6"/>
        <v>30</v>
      </c>
      <c r="F112" s="12">
        <f t="shared" si="7"/>
        <v>50</v>
      </c>
      <c r="G112" s="12" t="str">
        <f t="shared" si="8"/>
        <v>Warning</v>
      </c>
      <c r="H112" s="13">
        <f t="shared" si="9"/>
        <v>6</v>
      </c>
      <c r="I112" s="14">
        <f t="shared" si="5"/>
        <v>1785.2399999999998</v>
      </c>
      <c r="K112" t="str">
        <f>[1]!revcom(C112)</f>
        <v>TGCGTT</v>
      </c>
      <c r="L112">
        <v>7</v>
      </c>
    </row>
    <row r="113" spans="1:12" ht="15.6" x14ac:dyDescent="0.3">
      <c r="A113" s="9">
        <v>102</v>
      </c>
      <c r="B113" s="19"/>
      <c r="C113" s="26" t="s">
        <v>108</v>
      </c>
      <c r="D113" s="19"/>
      <c r="E113" s="11">
        <f t="shared" si="6"/>
        <v>28</v>
      </c>
      <c r="F113" s="12">
        <f t="shared" si="7"/>
        <v>66.666666666666657</v>
      </c>
      <c r="G113" s="12" t="str">
        <f t="shared" si="8"/>
        <v>Warning</v>
      </c>
      <c r="H113" s="13">
        <f t="shared" si="9"/>
        <v>6</v>
      </c>
      <c r="I113" s="14">
        <f t="shared" si="5"/>
        <v>1761.21</v>
      </c>
      <c r="K113" t="str">
        <f>[1]!revcom(C113)</f>
        <v>GGCGTT</v>
      </c>
      <c r="L113">
        <v>7</v>
      </c>
    </row>
    <row r="114" spans="1:12" ht="15.6" x14ac:dyDescent="0.3">
      <c r="A114" s="9">
        <v>103</v>
      </c>
      <c r="B114" s="19"/>
      <c r="C114" s="26" t="s">
        <v>109</v>
      </c>
      <c r="D114" s="19"/>
      <c r="E114" s="11">
        <f t="shared" si="6"/>
        <v>28</v>
      </c>
      <c r="F114" s="12">
        <f t="shared" si="7"/>
        <v>66.666666666666657</v>
      </c>
      <c r="G114" s="12" t="str">
        <f t="shared" si="8"/>
        <v>Warning</v>
      </c>
      <c r="H114" s="13">
        <f t="shared" si="9"/>
        <v>6</v>
      </c>
      <c r="I114" s="14">
        <f t="shared" si="5"/>
        <v>1801.2399999999998</v>
      </c>
      <c r="K114" t="str">
        <f>[1]!revcom(C114)</f>
        <v>CGCGTT</v>
      </c>
      <c r="L114">
        <v>7</v>
      </c>
    </row>
    <row r="115" spans="1:12" ht="15.6" x14ac:dyDescent="0.3">
      <c r="A115" s="9">
        <v>104</v>
      </c>
      <c r="B115" s="19"/>
      <c r="C115" s="15" t="s">
        <v>110</v>
      </c>
      <c r="D115" s="19"/>
      <c r="E115" s="11">
        <f t="shared" si="6"/>
        <v>22</v>
      </c>
      <c r="F115" s="12">
        <f t="shared" si="7"/>
        <v>50</v>
      </c>
      <c r="G115" s="12" t="str">
        <f t="shared" si="8"/>
        <v>Warning</v>
      </c>
      <c r="H115" s="13">
        <f t="shared" si="9"/>
        <v>6</v>
      </c>
      <c r="I115" s="14">
        <f t="shared" si="5"/>
        <v>1776.2199999999998</v>
      </c>
      <c r="K115" t="str">
        <f>[1]!revcom(C115)</f>
        <v>AGCGTT</v>
      </c>
      <c r="L115">
        <v>6</v>
      </c>
    </row>
    <row r="116" spans="1:12" ht="15.6" x14ac:dyDescent="0.3">
      <c r="A116" s="9">
        <v>105</v>
      </c>
      <c r="B116" s="19"/>
      <c r="C116" s="15" t="s">
        <v>111</v>
      </c>
      <c r="D116" s="19"/>
      <c r="E116" s="11">
        <f t="shared" si="6"/>
        <v>30</v>
      </c>
      <c r="F116" s="12">
        <f t="shared" si="7"/>
        <v>50</v>
      </c>
      <c r="G116" s="12" t="str">
        <f t="shared" si="8"/>
        <v>Warning</v>
      </c>
      <c r="H116" s="13">
        <f t="shared" si="9"/>
        <v>6</v>
      </c>
      <c r="I116" s="14">
        <f t="shared" si="5"/>
        <v>1825.27</v>
      </c>
      <c r="K116" t="str">
        <f>[1]!revcom(C116)</f>
        <v>TCCGTT</v>
      </c>
      <c r="L116">
        <v>7</v>
      </c>
    </row>
    <row r="117" spans="1:12" ht="15.6" x14ac:dyDescent="0.3">
      <c r="A117" s="9">
        <v>106</v>
      </c>
      <c r="B117" s="19"/>
      <c r="C117" s="15" t="s">
        <v>112</v>
      </c>
      <c r="D117" s="19"/>
      <c r="E117" s="11">
        <f t="shared" si="6"/>
        <v>28</v>
      </c>
      <c r="F117" s="12">
        <f t="shared" si="7"/>
        <v>66.666666666666657</v>
      </c>
      <c r="G117" s="12" t="str">
        <f t="shared" si="8"/>
        <v>Warning</v>
      </c>
      <c r="H117" s="13">
        <f t="shared" si="9"/>
        <v>6</v>
      </c>
      <c r="I117" s="14">
        <f t="shared" si="5"/>
        <v>1801.2399999999998</v>
      </c>
      <c r="K117" t="str">
        <f>[1]!revcom(C117)</f>
        <v>GCCGTT</v>
      </c>
      <c r="L117">
        <v>7</v>
      </c>
    </row>
    <row r="118" spans="1:12" ht="15.6" x14ac:dyDescent="0.3">
      <c r="A118" s="9">
        <v>107</v>
      </c>
      <c r="B118" s="19"/>
      <c r="C118" s="15" t="s">
        <v>113</v>
      </c>
      <c r="D118" s="19"/>
      <c r="E118" s="11">
        <f t="shared" si="6"/>
        <v>28</v>
      </c>
      <c r="F118" s="12">
        <f t="shared" si="7"/>
        <v>66.666666666666657</v>
      </c>
      <c r="G118" s="12" t="str">
        <f t="shared" si="8"/>
        <v>Warning</v>
      </c>
      <c r="H118" s="13">
        <f t="shared" si="9"/>
        <v>6</v>
      </c>
      <c r="I118" s="14">
        <f t="shared" si="5"/>
        <v>1841.27</v>
      </c>
      <c r="K118" t="str">
        <f>[1]!revcom(C118)</f>
        <v>CCCGTT</v>
      </c>
      <c r="L118">
        <v>7</v>
      </c>
    </row>
    <row r="119" spans="1:12" ht="15.6" x14ac:dyDescent="0.3">
      <c r="A119" s="9">
        <v>108</v>
      </c>
      <c r="B119" s="19"/>
      <c r="C119" s="15" t="s">
        <v>114</v>
      </c>
      <c r="D119" s="19"/>
      <c r="E119" s="11">
        <f t="shared" si="6"/>
        <v>22</v>
      </c>
      <c r="F119" s="12">
        <f t="shared" si="7"/>
        <v>50</v>
      </c>
      <c r="G119" s="12" t="str">
        <f t="shared" si="8"/>
        <v>Warning</v>
      </c>
      <c r="H119" s="13">
        <f t="shared" si="9"/>
        <v>6</v>
      </c>
      <c r="I119" s="14">
        <f t="shared" si="5"/>
        <v>1816.25</v>
      </c>
      <c r="K119" t="str">
        <f>[1]!revcom(C119)</f>
        <v>ACCGTT</v>
      </c>
      <c r="L119">
        <v>6</v>
      </c>
    </row>
    <row r="120" spans="1:12" ht="15.6" x14ac:dyDescent="0.3">
      <c r="A120" s="9">
        <v>109</v>
      </c>
      <c r="B120" s="19"/>
      <c r="C120" s="26" t="s">
        <v>115</v>
      </c>
      <c r="D120" s="19"/>
      <c r="E120" s="11">
        <f t="shared" si="6"/>
        <v>24</v>
      </c>
      <c r="F120" s="12">
        <f t="shared" si="7"/>
        <v>33.333333333333329</v>
      </c>
      <c r="G120" s="12" t="str">
        <f t="shared" si="8"/>
        <v>OK</v>
      </c>
      <c r="H120" s="13">
        <f t="shared" si="9"/>
        <v>6</v>
      </c>
      <c r="I120" s="14">
        <f t="shared" si="5"/>
        <v>1800.25</v>
      </c>
      <c r="K120" t="str">
        <f>[1]!revcom(C120)</f>
        <v>TACGTT</v>
      </c>
      <c r="L120">
        <v>6</v>
      </c>
    </row>
    <row r="121" spans="1:12" ht="15.6" x14ac:dyDescent="0.3">
      <c r="A121" s="9">
        <v>110</v>
      </c>
      <c r="B121" s="19"/>
      <c r="C121" s="26" t="s">
        <v>116</v>
      </c>
      <c r="D121" s="19"/>
      <c r="E121" s="11">
        <f t="shared" si="6"/>
        <v>22</v>
      </c>
      <c r="F121" s="12">
        <f t="shared" si="7"/>
        <v>50</v>
      </c>
      <c r="G121" s="12" t="str">
        <f t="shared" si="8"/>
        <v>Warning</v>
      </c>
      <c r="H121" s="13">
        <f t="shared" si="9"/>
        <v>6</v>
      </c>
      <c r="I121" s="14">
        <f t="shared" si="5"/>
        <v>1776.2199999999998</v>
      </c>
      <c r="K121" t="str">
        <f>[1]!revcom(C121)</f>
        <v>GACGTT</v>
      </c>
      <c r="L121">
        <v>6</v>
      </c>
    </row>
    <row r="122" spans="1:12" ht="15.6" x14ac:dyDescent="0.3">
      <c r="A122" s="9">
        <v>111</v>
      </c>
      <c r="B122" s="19"/>
      <c r="C122" s="20" t="s">
        <v>117</v>
      </c>
      <c r="D122" s="19"/>
      <c r="E122" s="11">
        <f t="shared" si="6"/>
        <v>22</v>
      </c>
      <c r="F122" s="12">
        <f t="shared" si="7"/>
        <v>50</v>
      </c>
      <c r="G122" s="12" t="str">
        <f t="shared" si="8"/>
        <v>Warning</v>
      </c>
      <c r="H122" s="13">
        <f t="shared" si="9"/>
        <v>6</v>
      </c>
      <c r="I122" s="14">
        <f t="shared" si="5"/>
        <v>1816.25</v>
      </c>
      <c r="K122" t="str">
        <f>[1]!revcom(C122)</f>
        <v>CACGTT</v>
      </c>
      <c r="L122">
        <v>6</v>
      </c>
    </row>
    <row r="123" spans="1:12" ht="15.6" x14ac:dyDescent="0.3">
      <c r="A123" s="9">
        <v>112</v>
      </c>
      <c r="B123" s="19"/>
      <c r="C123" s="15" t="s">
        <v>118</v>
      </c>
      <c r="D123" s="19"/>
      <c r="E123" s="11">
        <f t="shared" si="6"/>
        <v>16</v>
      </c>
      <c r="F123" s="12">
        <f t="shared" si="7"/>
        <v>33.333333333333329</v>
      </c>
      <c r="G123" s="12" t="str">
        <f t="shared" si="8"/>
        <v>OK</v>
      </c>
      <c r="H123" s="13">
        <f t="shared" si="9"/>
        <v>6</v>
      </c>
      <c r="I123" s="14">
        <f t="shared" si="5"/>
        <v>1791.23</v>
      </c>
      <c r="K123" t="str">
        <f>[1]!revcom(C123)</f>
        <v>AACGTT</v>
      </c>
      <c r="L123">
        <v>5</v>
      </c>
    </row>
    <row r="124" spans="1:12" ht="15.6" x14ac:dyDescent="0.3">
      <c r="A124" s="9">
        <v>113</v>
      </c>
      <c r="B124" s="21"/>
      <c r="C124" s="18" t="s">
        <v>119</v>
      </c>
      <c r="D124" s="21"/>
      <c r="E124" s="11">
        <f t="shared" si="6"/>
        <v>26</v>
      </c>
      <c r="F124" s="12">
        <f t="shared" si="7"/>
        <v>16.666666666666664</v>
      </c>
      <c r="G124" s="12" t="str">
        <f t="shared" si="8"/>
        <v>OK</v>
      </c>
      <c r="H124" s="13">
        <f t="shared" si="9"/>
        <v>6</v>
      </c>
      <c r="I124" s="14">
        <f t="shared" si="5"/>
        <v>1784.25</v>
      </c>
      <c r="K124" t="str">
        <f>[1]!revcom(C124)</f>
        <v>TTAGTT</v>
      </c>
      <c r="L124">
        <v>7</v>
      </c>
    </row>
    <row r="125" spans="1:12" ht="15.6" x14ac:dyDescent="0.3">
      <c r="A125" s="9">
        <v>114</v>
      </c>
      <c r="B125" s="19"/>
      <c r="C125" s="23" t="s">
        <v>120</v>
      </c>
      <c r="D125" s="19"/>
      <c r="E125" s="11">
        <f t="shared" si="6"/>
        <v>24</v>
      </c>
      <c r="F125" s="12">
        <f t="shared" si="7"/>
        <v>33.333333333333329</v>
      </c>
      <c r="G125" s="12" t="str">
        <f t="shared" si="8"/>
        <v>OK</v>
      </c>
      <c r="H125" s="13">
        <f t="shared" si="9"/>
        <v>6</v>
      </c>
      <c r="I125" s="14">
        <f t="shared" si="5"/>
        <v>1760.2199999999998</v>
      </c>
      <c r="K125" t="str">
        <f>[1]!revcom(C125)</f>
        <v>GTAGTT</v>
      </c>
      <c r="L125">
        <v>6</v>
      </c>
    </row>
    <row r="126" spans="1:12" ht="15.6" x14ac:dyDescent="0.3">
      <c r="A126" s="9">
        <v>115</v>
      </c>
      <c r="B126" s="19"/>
      <c r="C126" s="15" t="s">
        <v>121</v>
      </c>
      <c r="D126" s="19"/>
      <c r="E126" s="11">
        <f t="shared" si="6"/>
        <v>24</v>
      </c>
      <c r="F126" s="12">
        <f t="shared" si="7"/>
        <v>33.333333333333329</v>
      </c>
      <c r="G126" s="12" t="str">
        <f t="shared" si="8"/>
        <v>OK</v>
      </c>
      <c r="H126" s="13">
        <f t="shared" si="9"/>
        <v>6</v>
      </c>
      <c r="I126" s="14">
        <f t="shared" si="5"/>
        <v>1800.25</v>
      </c>
      <c r="K126" t="str">
        <f>[1]!revcom(C126)</f>
        <v>CTAGTT</v>
      </c>
      <c r="L126">
        <v>6</v>
      </c>
    </row>
    <row r="127" spans="1:12" ht="15.6" x14ac:dyDescent="0.3">
      <c r="A127" s="9">
        <v>116</v>
      </c>
      <c r="B127" s="19"/>
      <c r="C127" s="15" t="s">
        <v>122</v>
      </c>
      <c r="D127" s="19"/>
      <c r="E127" s="11">
        <f t="shared" si="6"/>
        <v>18</v>
      </c>
      <c r="F127" s="12">
        <f t="shared" si="7"/>
        <v>16.666666666666664</v>
      </c>
      <c r="G127" s="12" t="str">
        <f t="shared" si="8"/>
        <v>OK</v>
      </c>
      <c r="H127" s="13">
        <f t="shared" si="9"/>
        <v>6</v>
      </c>
      <c r="I127" s="14">
        <f t="shared" si="5"/>
        <v>1775.23</v>
      </c>
      <c r="K127" t="str">
        <f>[1]!revcom(C127)</f>
        <v>ATAGTT</v>
      </c>
      <c r="L127">
        <v>5</v>
      </c>
    </row>
    <row r="128" spans="1:12" ht="15.6" x14ac:dyDescent="0.3">
      <c r="A128" s="9">
        <v>117</v>
      </c>
      <c r="B128" s="19"/>
      <c r="C128" s="15" t="s">
        <v>123</v>
      </c>
      <c r="D128" s="19"/>
      <c r="E128" s="11">
        <f t="shared" si="6"/>
        <v>24</v>
      </c>
      <c r="F128" s="12">
        <f t="shared" si="7"/>
        <v>33.333333333333329</v>
      </c>
      <c r="G128" s="12" t="str">
        <f t="shared" si="8"/>
        <v>OK</v>
      </c>
      <c r="H128" s="13">
        <f t="shared" si="9"/>
        <v>6</v>
      </c>
      <c r="I128" s="14">
        <f t="shared" si="5"/>
        <v>1760.2199999999998</v>
      </c>
      <c r="K128" t="str">
        <f>[1]!revcom(C128)</f>
        <v>TGAGTT</v>
      </c>
      <c r="L128">
        <v>6</v>
      </c>
    </row>
    <row r="129" spans="1:12" ht="15.6" x14ac:dyDescent="0.3">
      <c r="A129" s="9">
        <v>118</v>
      </c>
      <c r="B129" s="19"/>
      <c r="C129" s="15" t="s">
        <v>124</v>
      </c>
      <c r="D129" s="19"/>
      <c r="E129" s="11">
        <f t="shared" si="6"/>
        <v>22</v>
      </c>
      <c r="F129" s="12">
        <f t="shared" si="7"/>
        <v>50</v>
      </c>
      <c r="G129" s="12" t="str">
        <f t="shared" si="8"/>
        <v>Warning</v>
      </c>
      <c r="H129" s="13">
        <f t="shared" si="9"/>
        <v>6</v>
      </c>
      <c r="I129" s="14">
        <f t="shared" si="5"/>
        <v>1736.19</v>
      </c>
      <c r="K129" t="str">
        <f>[1]!revcom(C129)</f>
        <v>GGAGTT</v>
      </c>
      <c r="L129">
        <v>6</v>
      </c>
    </row>
    <row r="130" spans="1:12" ht="15.6" x14ac:dyDescent="0.3">
      <c r="A130" s="9">
        <v>119</v>
      </c>
      <c r="B130" s="19"/>
      <c r="C130" s="15" t="s">
        <v>125</v>
      </c>
      <c r="D130" s="19"/>
      <c r="E130" s="11">
        <f t="shared" si="6"/>
        <v>22</v>
      </c>
      <c r="F130" s="12">
        <f t="shared" si="7"/>
        <v>50</v>
      </c>
      <c r="G130" s="12" t="str">
        <f t="shared" si="8"/>
        <v>Warning</v>
      </c>
      <c r="H130" s="13">
        <f t="shared" si="9"/>
        <v>6</v>
      </c>
      <c r="I130" s="14">
        <f t="shared" si="5"/>
        <v>1776.2199999999998</v>
      </c>
      <c r="K130" t="str">
        <f>[1]!revcom(C130)</f>
        <v>CGAGTT</v>
      </c>
      <c r="L130">
        <v>6</v>
      </c>
    </row>
    <row r="131" spans="1:12" ht="15.6" x14ac:dyDescent="0.3">
      <c r="A131" s="9">
        <v>120</v>
      </c>
      <c r="B131" s="19"/>
      <c r="C131" s="15" t="s">
        <v>126</v>
      </c>
      <c r="D131" s="19"/>
      <c r="E131" s="11">
        <f t="shared" si="6"/>
        <v>16</v>
      </c>
      <c r="F131" s="12">
        <f t="shared" si="7"/>
        <v>33.333333333333329</v>
      </c>
      <c r="G131" s="12" t="str">
        <f t="shared" si="8"/>
        <v>OK</v>
      </c>
      <c r="H131" s="13">
        <f t="shared" si="9"/>
        <v>6</v>
      </c>
      <c r="I131" s="14">
        <f t="shared" si="5"/>
        <v>1751.1999999999998</v>
      </c>
      <c r="K131" t="str">
        <f>[1]!revcom(C131)</f>
        <v>AGAGTT</v>
      </c>
      <c r="L131">
        <v>5</v>
      </c>
    </row>
    <row r="132" spans="1:12" ht="15.6" x14ac:dyDescent="0.3">
      <c r="A132" s="9">
        <v>121</v>
      </c>
      <c r="B132" s="19"/>
      <c r="C132" s="15" t="s">
        <v>127</v>
      </c>
      <c r="D132" s="19"/>
      <c r="E132" s="11">
        <f t="shared" si="6"/>
        <v>24</v>
      </c>
      <c r="F132" s="12">
        <f t="shared" si="7"/>
        <v>33.333333333333329</v>
      </c>
      <c r="G132" s="12" t="str">
        <f t="shared" si="8"/>
        <v>OK</v>
      </c>
      <c r="H132" s="13">
        <f t="shared" si="9"/>
        <v>6</v>
      </c>
      <c r="I132" s="14">
        <f t="shared" si="5"/>
        <v>1800.25</v>
      </c>
      <c r="K132" t="str">
        <f>[1]!revcom(C132)</f>
        <v>TCAGTT</v>
      </c>
      <c r="L132">
        <v>6</v>
      </c>
    </row>
    <row r="133" spans="1:12" ht="15.6" x14ac:dyDescent="0.3">
      <c r="A133" s="9">
        <v>122</v>
      </c>
      <c r="B133" s="19"/>
      <c r="C133" s="15" t="s">
        <v>128</v>
      </c>
      <c r="D133" s="19"/>
      <c r="E133" s="11">
        <f t="shared" si="6"/>
        <v>22</v>
      </c>
      <c r="F133" s="12">
        <f t="shared" si="7"/>
        <v>50</v>
      </c>
      <c r="G133" s="12" t="str">
        <f t="shared" si="8"/>
        <v>Warning</v>
      </c>
      <c r="H133" s="13">
        <f t="shared" si="9"/>
        <v>6</v>
      </c>
      <c r="I133" s="14">
        <f t="shared" si="5"/>
        <v>1776.2199999999998</v>
      </c>
      <c r="K133" t="str">
        <f>[1]!revcom(C133)</f>
        <v>GCAGTT</v>
      </c>
      <c r="L133">
        <v>6</v>
      </c>
    </row>
    <row r="134" spans="1:12" ht="15.6" x14ac:dyDescent="0.3">
      <c r="A134" s="9">
        <v>123</v>
      </c>
      <c r="B134" s="19"/>
      <c r="C134" s="15" t="s">
        <v>129</v>
      </c>
      <c r="D134" s="19"/>
      <c r="E134" s="11">
        <f t="shared" si="6"/>
        <v>22</v>
      </c>
      <c r="F134" s="12">
        <f t="shared" si="7"/>
        <v>50</v>
      </c>
      <c r="G134" s="12" t="str">
        <f t="shared" si="8"/>
        <v>Warning</v>
      </c>
      <c r="H134" s="13">
        <f t="shared" si="9"/>
        <v>6</v>
      </c>
      <c r="I134" s="14">
        <f t="shared" si="5"/>
        <v>1816.25</v>
      </c>
      <c r="K134" t="str">
        <f>[1]!revcom(C134)</f>
        <v>CCAGTT</v>
      </c>
      <c r="L134">
        <v>6</v>
      </c>
    </row>
    <row r="135" spans="1:12" ht="15.6" x14ac:dyDescent="0.3">
      <c r="A135" s="9">
        <v>124</v>
      </c>
      <c r="B135" s="19"/>
      <c r="C135" s="15" t="s">
        <v>130</v>
      </c>
      <c r="D135" s="19"/>
      <c r="E135" s="11">
        <f t="shared" si="6"/>
        <v>16</v>
      </c>
      <c r="F135" s="12">
        <f t="shared" si="7"/>
        <v>33.333333333333329</v>
      </c>
      <c r="G135" s="12" t="str">
        <f t="shared" si="8"/>
        <v>OK</v>
      </c>
      <c r="H135" s="13">
        <f t="shared" si="9"/>
        <v>6</v>
      </c>
      <c r="I135" s="14">
        <f t="shared" si="5"/>
        <v>1791.23</v>
      </c>
      <c r="K135" t="str">
        <f>[1]!revcom(C135)</f>
        <v>ACAGTT</v>
      </c>
      <c r="L135">
        <v>5</v>
      </c>
    </row>
    <row r="136" spans="1:12" ht="15.6" x14ac:dyDescent="0.3">
      <c r="A136" s="9">
        <v>125</v>
      </c>
      <c r="B136" s="19"/>
      <c r="C136" s="15" t="s">
        <v>131</v>
      </c>
      <c r="D136" s="19"/>
      <c r="E136" s="11">
        <f t="shared" si="6"/>
        <v>18</v>
      </c>
      <c r="F136" s="12">
        <f t="shared" si="7"/>
        <v>16.666666666666664</v>
      </c>
      <c r="G136" s="12" t="str">
        <f t="shared" si="8"/>
        <v>OK</v>
      </c>
      <c r="H136" s="13">
        <f t="shared" si="9"/>
        <v>6</v>
      </c>
      <c r="I136" s="14">
        <f t="shared" si="5"/>
        <v>1775.23</v>
      </c>
      <c r="K136" t="str">
        <f>[1]!revcom(C136)</f>
        <v>TAAGTT</v>
      </c>
      <c r="L136">
        <v>5</v>
      </c>
    </row>
    <row r="137" spans="1:12" ht="15.6" x14ac:dyDescent="0.3">
      <c r="A137" s="9">
        <v>126</v>
      </c>
      <c r="B137" s="19"/>
      <c r="C137" s="15" t="s">
        <v>132</v>
      </c>
      <c r="D137" s="19"/>
      <c r="E137" s="11">
        <f t="shared" si="6"/>
        <v>16</v>
      </c>
      <c r="F137" s="12">
        <f t="shared" si="7"/>
        <v>33.333333333333329</v>
      </c>
      <c r="G137" s="12" t="str">
        <f t="shared" si="8"/>
        <v>OK</v>
      </c>
      <c r="H137" s="13">
        <f t="shared" si="9"/>
        <v>6</v>
      </c>
      <c r="I137" s="14">
        <f t="shared" si="5"/>
        <v>1751.1999999999998</v>
      </c>
      <c r="K137" t="str">
        <f>[1]!revcom(C137)</f>
        <v>GAAGTT</v>
      </c>
      <c r="L137">
        <v>5</v>
      </c>
    </row>
    <row r="138" spans="1:12" ht="15.6" x14ac:dyDescent="0.3">
      <c r="A138" s="9">
        <v>127</v>
      </c>
      <c r="B138" s="19"/>
      <c r="C138" s="20" t="s">
        <v>133</v>
      </c>
      <c r="D138" s="19"/>
      <c r="E138" s="11">
        <f t="shared" si="6"/>
        <v>16</v>
      </c>
      <c r="F138" s="12">
        <f t="shared" si="7"/>
        <v>33.333333333333329</v>
      </c>
      <c r="G138" s="12" t="str">
        <f t="shared" si="8"/>
        <v>OK</v>
      </c>
      <c r="H138" s="13">
        <f t="shared" si="9"/>
        <v>6</v>
      </c>
      <c r="I138" s="14">
        <f t="shared" si="5"/>
        <v>1791.23</v>
      </c>
      <c r="K138" t="str">
        <f>[1]!revcom(C138)</f>
        <v>CAAGTT</v>
      </c>
      <c r="L138">
        <v>5</v>
      </c>
    </row>
    <row r="139" spans="1:12" ht="15.6" x14ac:dyDescent="0.3">
      <c r="A139" s="9">
        <v>128</v>
      </c>
      <c r="B139" s="19"/>
      <c r="C139" s="15" t="s">
        <v>134</v>
      </c>
      <c r="D139" s="19"/>
      <c r="E139" s="11">
        <f t="shared" si="6"/>
        <v>10</v>
      </c>
      <c r="F139" s="12">
        <f t="shared" si="7"/>
        <v>16.666666666666664</v>
      </c>
      <c r="G139" s="12" t="str">
        <f t="shared" si="8"/>
        <v>OK</v>
      </c>
      <c r="H139" s="13">
        <f t="shared" si="9"/>
        <v>6</v>
      </c>
      <c r="I139" s="14">
        <f t="shared" si="5"/>
        <v>1766.21</v>
      </c>
      <c r="K139" t="str">
        <f>[1]!revcom(C139)</f>
        <v>AAAGTT</v>
      </c>
      <c r="L139">
        <v>4</v>
      </c>
    </row>
    <row r="140" spans="1:12" ht="15.6" x14ac:dyDescent="0.3">
      <c r="A140" s="9">
        <v>129</v>
      </c>
      <c r="B140" s="21"/>
      <c r="C140" s="18" t="s">
        <v>135</v>
      </c>
      <c r="D140" s="21"/>
      <c r="E140" s="11">
        <f t="shared" si="6"/>
        <v>34</v>
      </c>
      <c r="F140" s="12">
        <f t="shared" si="7"/>
        <v>16.666666666666664</v>
      </c>
      <c r="G140" s="12" t="str">
        <f t="shared" si="8"/>
        <v>OK</v>
      </c>
      <c r="H140" s="13">
        <f t="shared" si="9"/>
        <v>6</v>
      </c>
      <c r="I140" s="14">
        <f t="shared" si="5"/>
        <v>1833.2999999999997</v>
      </c>
      <c r="K140" t="str">
        <f>[1]!revcom(C140)</f>
        <v>TTTCTT</v>
      </c>
      <c r="L140">
        <v>8</v>
      </c>
    </row>
    <row r="141" spans="1:12" ht="15.6" x14ac:dyDescent="0.3">
      <c r="A141" s="9">
        <v>130</v>
      </c>
      <c r="B141" s="19"/>
      <c r="C141" s="15" t="s">
        <v>136</v>
      </c>
      <c r="D141" s="19"/>
      <c r="E141" s="11">
        <f t="shared" si="6"/>
        <v>32</v>
      </c>
      <c r="F141" s="12">
        <f t="shared" si="7"/>
        <v>33.333333333333329</v>
      </c>
      <c r="G141" s="12" t="str">
        <f t="shared" si="8"/>
        <v>OK</v>
      </c>
      <c r="H141" s="13">
        <f t="shared" si="9"/>
        <v>6</v>
      </c>
      <c r="I141" s="14">
        <f t="shared" ref="I141:I204" si="10">((LEN(C141)-(LEN(SUBSTITUTE(C141,"A",""))))*249.23)+((LEN(C141)-(LEN(SUBSTITUTE(C141,"T",""))))*240.21)+((LEN(C141)-(LEN(SUBSTITUTE(C141,"C",""))))*225.2)+((LEN(C141)-(LEN(SUBSTITUTE(C141,"G",""))))*265.23)+(63.98*(LEN(C141)-1)+(2.02))</f>
        <v>1809.27</v>
      </c>
      <c r="K141" t="str">
        <f>[1]!revcom(C141)</f>
        <v>GTTCTT</v>
      </c>
      <c r="L141">
        <v>8</v>
      </c>
    </row>
    <row r="142" spans="1:12" ht="15.6" x14ac:dyDescent="0.3">
      <c r="A142" s="9">
        <v>131</v>
      </c>
      <c r="B142" s="19"/>
      <c r="C142" s="15" t="s">
        <v>137</v>
      </c>
      <c r="D142" s="19"/>
      <c r="E142" s="11">
        <f t="shared" ref="E142:E205" si="11">IF(LEN(C142)&gt;15,(69.3+((41*((LEN(C142)-(((LEN(C142)-(LEN(SUBSTITUTE(C142,"A",""))))+((LEN(C142)-(LEN(SUBSTITUTE(C142,"T","")))))))))/(LEN(C142)))-(650/(LEN(C142))))),(2*((LEN(C142)-(((LEN(C142)-(LEN(SUBSTITUTE(C142,"C",""))))+((LEN(C142)-(LEN(SUBSTITUTE(C142,"G",""))))))))))+(4*((LEN(C142)-(((LEN(C142)-(LEN(SUBSTITUTE(C142,"T",""))))+((LEN(C142)-(LEN(SUBSTITUTE(C142,"T","")))))))))))</f>
        <v>32</v>
      </c>
      <c r="F142" s="12">
        <f t="shared" ref="F142:F205" si="12">((LEN(C142)- LEN(SUBSTITUTE(C142,"G","")))+(LEN(C142)- LEN(SUBSTITUTE(C142,"C",""))) )/LEN(C142)*100</f>
        <v>33.333333333333329</v>
      </c>
      <c r="G142" s="12" t="str">
        <f t="shared" ref="G142:G205" si="13">IF((-5+((LEN(SUBSTITUTE(RIGHT(C142,5),"C","")))+((LEN(SUBSTITUTE(RIGHT(C142,5),"G",""))))))&gt;=3,"OK","Warning")</f>
        <v>OK</v>
      </c>
      <c r="H142" s="13">
        <f t="shared" ref="H142:H205" si="14">LEN(C142)</f>
        <v>6</v>
      </c>
      <c r="I142" s="14">
        <f t="shared" si="10"/>
        <v>1849.3000000000002</v>
      </c>
      <c r="K142" t="str">
        <f>[1]!revcom(C142)</f>
        <v>CTTCTT</v>
      </c>
      <c r="L142">
        <v>8</v>
      </c>
    </row>
    <row r="143" spans="1:12" ht="15.6" x14ac:dyDescent="0.3">
      <c r="A143" s="9">
        <v>132</v>
      </c>
      <c r="B143" s="19"/>
      <c r="C143" s="15" t="s">
        <v>138</v>
      </c>
      <c r="D143" s="19"/>
      <c r="E143" s="11">
        <f t="shared" si="11"/>
        <v>26</v>
      </c>
      <c r="F143" s="12">
        <f t="shared" si="12"/>
        <v>16.666666666666664</v>
      </c>
      <c r="G143" s="12" t="str">
        <f t="shared" si="13"/>
        <v>OK</v>
      </c>
      <c r="H143" s="13">
        <f t="shared" si="14"/>
        <v>6</v>
      </c>
      <c r="I143" s="14">
        <f t="shared" si="10"/>
        <v>1824.2799999999997</v>
      </c>
      <c r="K143" t="str">
        <f>[1]!revcom(C143)</f>
        <v>ATTCTT</v>
      </c>
      <c r="L143">
        <v>7</v>
      </c>
    </row>
    <row r="144" spans="1:12" ht="15.6" x14ac:dyDescent="0.3">
      <c r="A144" s="9">
        <v>133</v>
      </c>
      <c r="B144" s="19"/>
      <c r="C144" s="15" t="s">
        <v>139</v>
      </c>
      <c r="D144" s="19"/>
      <c r="E144" s="11">
        <f t="shared" si="11"/>
        <v>32</v>
      </c>
      <c r="F144" s="12">
        <f t="shared" si="12"/>
        <v>33.333333333333329</v>
      </c>
      <c r="G144" s="12" t="str">
        <f t="shared" si="13"/>
        <v>OK</v>
      </c>
      <c r="H144" s="13">
        <f t="shared" si="14"/>
        <v>6</v>
      </c>
      <c r="I144" s="14">
        <f t="shared" si="10"/>
        <v>1809.27</v>
      </c>
      <c r="K144" t="str">
        <f>[1]!revcom(C144)</f>
        <v>TGTCTT</v>
      </c>
      <c r="L144">
        <v>8</v>
      </c>
    </row>
    <row r="145" spans="1:12" ht="15.6" x14ac:dyDescent="0.3">
      <c r="A145" s="9">
        <v>134</v>
      </c>
      <c r="B145" s="19"/>
      <c r="C145" s="15" t="s">
        <v>140</v>
      </c>
      <c r="D145" s="19"/>
      <c r="E145" s="11">
        <f t="shared" si="11"/>
        <v>30</v>
      </c>
      <c r="F145" s="12">
        <f t="shared" si="12"/>
        <v>50</v>
      </c>
      <c r="G145" s="12" t="str">
        <f t="shared" si="13"/>
        <v>Warning</v>
      </c>
      <c r="H145" s="13">
        <f t="shared" si="14"/>
        <v>6</v>
      </c>
      <c r="I145" s="14">
        <f t="shared" si="10"/>
        <v>1785.2399999999998</v>
      </c>
      <c r="K145" t="str">
        <f>[1]!revcom(C145)</f>
        <v>GGTCTT</v>
      </c>
      <c r="L145">
        <v>7</v>
      </c>
    </row>
    <row r="146" spans="1:12" ht="15.6" x14ac:dyDescent="0.3">
      <c r="A146" s="9">
        <v>135</v>
      </c>
      <c r="B146" s="19"/>
      <c r="C146" s="15" t="s">
        <v>141</v>
      </c>
      <c r="D146" s="19"/>
      <c r="E146" s="11">
        <f t="shared" si="11"/>
        <v>30</v>
      </c>
      <c r="F146" s="12">
        <f t="shared" si="12"/>
        <v>50</v>
      </c>
      <c r="G146" s="12" t="str">
        <f t="shared" si="13"/>
        <v>Warning</v>
      </c>
      <c r="H146" s="13">
        <f t="shared" si="14"/>
        <v>6</v>
      </c>
      <c r="I146" s="14">
        <f t="shared" si="10"/>
        <v>1825.27</v>
      </c>
      <c r="K146" t="str">
        <f>[1]!revcom(C146)</f>
        <v>CGTCTT</v>
      </c>
      <c r="L146">
        <v>7</v>
      </c>
    </row>
    <row r="147" spans="1:12" ht="15.6" x14ac:dyDescent="0.3">
      <c r="A147" s="9">
        <v>136</v>
      </c>
      <c r="B147" s="19"/>
      <c r="C147" s="15" t="s">
        <v>142</v>
      </c>
      <c r="D147" s="19"/>
      <c r="E147" s="11">
        <f t="shared" si="11"/>
        <v>24</v>
      </c>
      <c r="F147" s="12">
        <f t="shared" si="12"/>
        <v>33.333333333333329</v>
      </c>
      <c r="G147" s="12" t="str">
        <f t="shared" si="13"/>
        <v>OK</v>
      </c>
      <c r="H147" s="13">
        <f t="shared" si="14"/>
        <v>6</v>
      </c>
      <c r="I147" s="14">
        <f t="shared" si="10"/>
        <v>1800.25</v>
      </c>
      <c r="K147" t="str">
        <f>[1]!revcom(C147)</f>
        <v>AGTCTT</v>
      </c>
      <c r="L147">
        <v>6</v>
      </c>
    </row>
    <row r="148" spans="1:12" ht="15.6" x14ac:dyDescent="0.3">
      <c r="A148" s="9">
        <v>137</v>
      </c>
      <c r="B148" s="19"/>
      <c r="C148" s="15" t="s">
        <v>143</v>
      </c>
      <c r="D148" s="19"/>
      <c r="E148" s="11">
        <f t="shared" si="11"/>
        <v>32</v>
      </c>
      <c r="F148" s="12">
        <f t="shared" si="12"/>
        <v>33.333333333333329</v>
      </c>
      <c r="G148" s="12" t="str">
        <f t="shared" si="13"/>
        <v>OK</v>
      </c>
      <c r="H148" s="13">
        <f t="shared" si="14"/>
        <v>6</v>
      </c>
      <c r="I148" s="14">
        <f t="shared" si="10"/>
        <v>1849.3000000000002</v>
      </c>
      <c r="K148" t="str">
        <f>[1]!revcom(C148)</f>
        <v>TCTCTT</v>
      </c>
      <c r="L148">
        <v>8</v>
      </c>
    </row>
    <row r="149" spans="1:12" ht="15.6" x14ac:dyDescent="0.3">
      <c r="A149" s="9">
        <v>138</v>
      </c>
      <c r="B149" s="19"/>
      <c r="C149" s="15" t="s">
        <v>144</v>
      </c>
      <c r="D149" s="19"/>
      <c r="E149" s="11">
        <f t="shared" si="11"/>
        <v>30</v>
      </c>
      <c r="F149" s="12">
        <f t="shared" si="12"/>
        <v>50</v>
      </c>
      <c r="G149" s="12" t="str">
        <f t="shared" si="13"/>
        <v>Warning</v>
      </c>
      <c r="H149" s="13">
        <f t="shared" si="14"/>
        <v>6</v>
      </c>
      <c r="I149" s="14">
        <f t="shared" si="10"/>
        <v>1825.27</v>
      </c>
      <c r="K149" t="str">
        <f>[1]!revcom(C149)</f>
        <v>GCTCTT</v>
      </c>
      <c r="L149">
        <v>7</v>
      </c>
    </row>
    <row r="150" spans="1:12" ht="15.6" x14ac:dyDescent="0.3">
      <c r="A150" s="9">
        <v>139</v>
      </c>
      <c r="B150" s="19"/>
      <c r="C150" s="15" t="s">
        <v>145</v>
      </c>
      <c r="D150" s="19"/>
      <c r="E150" s="11">
        <f t="shared" si="11"/>
        <v>30</v>
      </c>
      <c r="F150" s="12">
        <f t="shared" si="12"/>
        <v>50</v>
      </c>
      <c r="G150" s="12" t="str">
        <f t="shared" si="13"/>
        <v>Warning</v>
      </c>
      <c r="H150" s="13">
        <f t="shared" si="14"/>
        <v>6</v>
      </c>
      <c r="I150" s="14">
        <f t="shared" si="10"/>
        <v>1865.3000000000002</v>
      </c>
      <c r="K150" t="str">
        <f>[1]!revcom(C150)</f>
        <v>CCTCTT</v>
      </c>
      <c r="L150">
        <v>7</v>
      </c>
    </row>
    <row r="151" spans="1:12" ht="15.6" x14ac:dyDescent="0.3">
      <c r="A151" s="9">
        <v>140</v>
      </c>
      <c r="B151" s="1"/>
      <c r="C151" s="2" t="s">
        <v>146</v>
      </c>
      <c r="D151" s="1"/>
      <c r="E151" s="11">
        <f t="shared" si="11"/>
        <v>24</v>
      </c>
      <c r="F151" s="12">
        <f t="shared" si="12"/>
        <v>33.333333333333329</v>
      </c>
      <c r="G151" s="12" t="str">
        <f t="shared" si="13"/>
        <v>OK</v>
      </c>
      <c r="H151" s="13">
        <f t="shared" si="14"/>
        <v>6</v>
      </c>
      <c r="I151" s="14">
        <f t="shared" si="10"/>
        <v>1840.2800000000002</v>
      </c>
      <c r="K151" t="str">
        <f>[1]!revcom(C151)</f>
        <v>ACTCTT</v>
      </c>
      <c r="L151">
        <v>6</v>
      </c>
    </row>
    <row r="152" spans="1:12" ht="15.6" x14ac:dyDescent="0.3">
      <c r="A152" s="9">
        <v>141</v>
      </c>
      <c r="B152" s="1"/>
      <c r="C152" s="2" t="s">
        <v>147</v>
      </c>
      <c r="D152" s="3"/>
      <c r="E152" s="11">
        <f t="shared" si="11"/>
        <v>26</v>
      </c>
      <c r="F152" s="12">
        <f t="shared" si="12"/>
        <v>16.666666666666664</v>
      </c>
      <c r="G152" s="12" t="str">
        <f t="shared" si="13"/>
        <v>OK</v>
      </c>
      <c r="H152" s="13">
        <f t="shared" si="14"/>
        <v>6</v>
      </c>
      <c r="I152" s="14">
        <f t="shared" si="10"/>
        <v>1824.2799999999997</v>
      </c>
      <c r="K152" t="str">
        <f>[1]!revcom(C152)</f>
        <v>TATCTT</v>
      </c>
      <c r="L152">
        <v>7</v>
      </c>
    </row>
    <row r="153" spans="1:12" ht="15.6" x14ac:dyDescent="0.3">
      <c r="A153" s="9">
        <v>142</v>
      </c>
      <c r="B153" s="1"/>
      <c r="C153" s="2" t="s">
        <v>148</v>
      </c>
      <c r="D153" s="3"/>
      <c r="E153" s="11">
        <f t="shared" si="11"/>
        <v>24</v>
      </c>
      <c r="F153" s="12">
        <f t="shared" si="12"/>
        <v>33.333333333333329</v>
      </c>
      <c r="G153" s="12" t="str">
        <f t="shared" si="13"/>
        <v>OK</v>
      </c>
      <c r="H153" s="13">
        <f t="shared" si="14"/>
        <v>6</v>
      </c>
      <c r="I153" s="14">
        <f t="shared" si="10"/>
        <v>1800.25</v>
      </c>
      <c r="K153" t="str">
        <f>[1]!revcom(C153)</f>
        <v>GATCTT</v>
      </c>
      <c r="L153">
        <v>6</v>
      </c>
    </row>
    <row r="154" spans="1:12" ht="15.6" x14ac:dyDescent="0.3">
      <c r="A154" s="9">
        <v>143</v>
      </c>
      <c r="B154" s="1"/>
      <c r="C154" s="2" t="s">
        <v>149</v>
      </c>
      <c r="D154" s="3"/>
      <c r="E154" s="11">
        <f t="shared" si="11"/>
        <v>24</v>
      </c>
      <c r="F154" s="12">
        <f t="shared" si="12"/>
        <v>33.333333333333329</v>
      </c>
      <c r="G154" s="12" t="str">
        <f t="shared" si="13"/>
        <v>OK</v>
      </c>
      <c r="H154" s="13">
        <f t="shared" si="14"/>
        <v>6</v>
      </c>
      <c r="I154" s="14">
        <f t="shared" si="10"/>
        <v>1840.2800000000002</v>
      </c>
      <c r="K154" t="str">
        <f>[1]!revcom(C154)</f>
        <v>CATCTT</v>
      </c>
      <c r="L154">
        <v>6</v>
      </c>
    </row>
    <row r="155" spans="1:12" ht="15.6" x14ac:dyDescent="0.3">
      <c r="A155" s="9">
        <v>144</v>
      </c>
      <c r="B155" s="1"/>
      <c r="C155" s="2" t="s">
        <v>150</v>
      </c>
      <c r="D155" s="3"/>
      <c r="E155" s="11">
        <f t="shared" si="11"/>
        <v>18</v>
      </c>
      <c r="F155" s="12">
        <f t="shared" si="12"/>
        <v>16.666666666666664</v>
      </c>
      <c r="G155" s="12" t="str">
        <f t="shared" si="13"/>
        <v>OK</v>
      </c>
      <c r="H155" s="13">
        <f t="shared" si="14"/>
        <v>6</v>
      </c>
      <c r="I155" s="14">
        <f t="shared" si="10"/>
        <v>1815.2599999999998</v>
      </c>
      <c r="K155" t="str">
        <f>[1]!revcom(C155)</f>
        <v>AATCTT</v>
      </c>
      <c r="L155">
        <v>5</v>
      </c>
    </row>
    <row r="156" spans="1:12" ht="15.6" x14ac:dyDescent="0.3">
      <c r="A156" s="9">
        <v>145</v>
      </c>
      <c r="B156" s="1"/>
      <c r="C156" s="2" t="s">
        <v>151</v>
      </c>
      <c r="D156" s="3"/>
      <c r="E156" s="11">
        <f t="shared" si="11"/>
        <v>32</v>
      </c>
      <c r="F156" s="12">
        <f t="shared" si="12"/>
        <v>33.333333333333329</v>
      </c>
      <c r="G156" s="12" t="str">
        <f t="shared" si="13"/>
        <v>OK</v>
      </c>
      <c r="H156" s="13">
        <f t="shared" si="14"/>
        <v>6</v>
      </c>
      <c r="I156" s="14">
        <f t="shared" si="10"/>
        <v>1809.27</v>
      </c>
      <c r="K156" t="str">
        <f>[1]!revcom(C156)</f>
        <v>TTGCTT</v>
      </c>
      <c r="L156">
        <v>8</v>
      </c>
    </row>
    <row r="157" spans="1:12" ht="15.6" x14ac:dyDescent="0.3">
      <c r="A157" s="9">
        <v>146</v>
      </c>
      <c r="B157" s="1"/>
      <c r="C157" s="2" t="s">
        <v>152</v>
      </c>
      <c r="D157" s="3"/>
      <c r="E157" s="11">
        <f t="shared" si="11"/>
        <v>30</v>
      </c>
      <c r="F157" s="12">
        <f t="shared" si="12"/>
        <v>50</v>
      </c>
      <c r="G157" s="12" t="str">
        <f t="shared" si="13"/>
        <v>Warning</v>
      </c>
      <c r="H157" s="13">
        <f t="shared" si="14"/>
        <v>6</v>
      </c>
      <c r="I157" s="14">
        <f t="shared" si="10"/>
        <v>1785.2399999999998</v>
      </c>
      <c r="K157" t="str">
        <f>[1]!revcom(C157)</f>
        <v>GTGCTT</v>
      </c>
      <c r="L157">
        <v>7</v>
      </c>
    </row>
    <row r="158" spans="1:12" ht="15.6" x14ac:dyDescent="0.3">
      <c r="A158" s="9">
        <v>147</v>
      </c>
      <c r="B158" s="1"/>
      <c r="C158" s="2" t="s">
        <v>153</v>
      </c>
      <c r="D158" s="3"/>
      <c r="E158" s="11">
        <f t="shared" si="11"/>
        <v>30</v>
      </c>
      <c r="F158" s="12">
        <f t="shared" si="12"/>
        <v>50</v>
      </c>
      <c r="G158" s="12" t="str">
        <f t="shared" si="13"/>
        <v>Warning</v>
      </c>
      <c r="H158" s="13">
        <f t="shared" si="14"/>
        <v>6</v>
      </c>
      <c r="I158" s="14">
        <f t="shared" si="10"/>
        <v>1825.27</v>
      </c>
      <c r="K158" t="str">
        <f>[1]!revcom(C158)</f>
        <v>CTGCTT</v>
      </c>
      <c r="L158">
        <v>7</v>
      </c>
    </row>
    <row r="159" spans="1:12" ht="15.6" x14ac:dyDescent="0.3">
      <c r="A159" s="9">
        <v>148</v>
      </c>
      <c r="B159" s="1"/>
      <c r="C159" s="2" t="s">
        <v>154</v>
      </c>
      <c r="D159" s="3"/>
      <c r="E159" s="11">
        <f t="shared" si="11"/>
        <v>24</v>
      </c>
      <c r="F159" s="12">
        <f t="shared" si="12"/>
        <v>33.333333333333329</v>
      </c>
      <c r="G159" s="12" t="str">
        <f t="shared" si="13"/>
        <v>OK</v>
      </c>
      <c r="H159" s="13">
        <f t="shared" si="14"/>
        <v>6</v>
      </c>
      <c r="I159" s="14">
        <f t="shared" si="10"/>
        <v>1800.25</v>
      </c>
      <c r="K159" t="str">
        <f>[1]!revcom(C159)</f>
        <v>ATGCTT</v>
      </c>
      <c r="L159">
        <v>6</v>
      </c>
    </row>
    <row r="160" spans="1:12" ht="15.6" x14ac:dyDescent="0.3">
      <c r="A160" s="9">
        <v>149</v>
      </c>
      <c r="B160" s="1"/>
      <c r="C160" s="2" t="s">
        <v>155</v>
      </c>
      <c r="D160" s="3"/>
      <c r="E160" s="11">
        <f t="shared" si="11"/>
        <v>30</v>
      </c>
      <c r="F160" s="12">
        <f t="shared" si="12"/>
        <v>50</v>
      </c>
      <c r="G160" s="12" t="str">
        <f t="shared" si="13"/>
        <v>Warning</v>
      </c>
      <c r="H160" s="13">
        <f t="shared" si="14"/>
        <v>6</v>
      </c>
      <c r="I160" s="14">
        <f t="shared" si="10"/>
        <v>1785.2399999999998</v>
      </c>
      <c r="K160" t="str">
        <f>[1]!revcom(C160)</f>
        <v>TGGCTT</v>
      </c>
      <c r="L160">
        <v>7</v>
      </c>
    </row>
    <row r="161" spans="1:12" ht="15.6" x14ac:dyDescent="0.3">
      <c r="A161" s="9">
        <v>150</v>
      </c>
      <c r="B161" s="1"/>
      <c r="C161" s="2" t="s">
        <v>156</v>
      </c>
      <c r="D161" s="3"/>
      <c r="E161" s="11">
        <f t="shared" si="11"/>
        <v>28</v>
      </c>
      <c r="F161" s="12">
        <f t="shared" si="12"/>
        <v>66.666666666666657</v>
      </c>
      <c r="G161" s="12" t="str">
        <f t="shared" si="13"/>
        <v>Warning</v>
      </c>
      <c r="H161" s="13">
        <f t="shared" si="14"/>
        <v>6</v>
      </c>
      <c r="I161" s="14">
        <f t="shared" si="10"/>
        <v>1761.21</v>
      </c>
      <c r="K161" t="str">
        <f>[1]!revcom(C161)</f>
        <v>GGGCTT</v>
      </c>
      <c r="L161">
        <v>7</v>
      </c>
    </row>
    <row r="162" spans="1:12" ht="15.6" x14ac:dyDescent="0.3">
      <c r="A162" s="9">
        <v>151</v>
      </c>
      <c r="B162" s="1"/>
      <c r="C162" s="2" t="s">
        <v>157</v>
      </c>
      <c r="D162" s="3"/>
      <c r="E162" s="11">
        <f t="shared" si="11"/>
        <v>28</v>
      </c>
      <c r="F162" s="12">
        <f t="shared" si="12"/>
        <v>66.666666666666657</v>
      </c>
      <c r="G162" s="12" t="str">
        <f t="shared" si="13"/>
        <v>Warning</v>
      </c>
      <c r="H162" s="13">
        <f t="shared" si="14"/>
        <v>6</v>
      </c>
      <c r="I162" s="14">
        <f t="shared" si="10"/>
        <v>1801.2399999999998</v>
      </c>
      <c r="K162" t="str">
        <f>[1]!revcom(C162)</f>
        <v>CGGCTT</v>
      </c>
      <c r="L162">
        <v>7</v>
      </c>
    </row>
    <row r="163" spans="1:12" ht="15.6" x14ac:dyDescent="0.3">
      <c r="A163" s="9">
        <v>152</v>
      </c>
      <c r="B163" s="1"/>
      <c r="C163" s="2" t="s">
        <v>158</v>
      </c>
      <c r="D163" s="3"/>
      <c r="E163" s="11">
        <f t="shared" si="11"/>
        <v>22</v>
      </c>
      <c r="F163" s="12">
        <f t="shared" si="12"/>
        <v>50</v>
      </c>
      <c r="G163" s="12" t="str">
        <f t="shared" si="13"/>
        <v>Warning</v>
      </c>
      <c r="H163" s="13">
        <f t="shared" si="14"/>
        <v>6</v>
      </c>
      <c r="I163" s="14">
        <f t="shared" si="10"/>
        <v>1776.2199999999998</v>
      </c>
      <c r="K163" t="str">
        <f>[1]!revcom(C163)</f>
        <v>AGGCTT</v>
      </c>
      <c r="L163">
        <v>6</v>
      </c>
    </row>
    <row r="164" spans="1:12" ht="15.6" x14ac:dyDescent="0.3">
      <c r="A164" s="9">
        <v>153</v>
      </c>
      <c r="B164" s="1"/>
      <c r="C164" s="2" t="s">
        <v>159</v>
      </c>
      <c r="D164" s="1"/>
      <c r="E164" s="11">
        <f t="shared" si="11"/>
        <v>30</v>
      </c>
      <c r="F164" s="12">
        <f t="shared" si="12"/>
        <v>50</v>
      </c>
      <c r="G164" s="12" t="str">
        <f t="shared" si="13"/>
        <v>Warning</v>
      </c>
      <c r="H164" s="13">
        <f t="shared" si="14"/>
        <v>6</v>
      </c>
      <c r="I164" s="14">
        <f t="shared" si="10"/>
        <v>1825.27</v>
      </c>
      <c r="K164" t="str">
        <f>[1]!revcom(C164)</f>
        <v>TCGCTT</v>
      </c>
      <c r="L164">
        <v>7</v>
      </c>
    </row>
    <row r="165" spans="1:12" ht="15.6" x14ac:dyDescent="0.3">
      <c r="A165" s="9">
        <v>154</v>
      </c>
      <c r="B165" s="1"/>
      <c r="C165" s="2" t="s">
        <v>160</v>
      </c>
      <c r="D165" s="1"/>
      <c r="E165" s="11">
        <f t="shared" si="11"/>
        <v>28</v>
      </c>
      <c r="F165" s="12">
        <f t="shared" si="12"/>
        <v>66.666666666666657</v>
      </c>
      <c r="G165" s="12" t="str">
        <f t="shared" si="13"/>
        <v>Warning</v>
      </c>
      <c r="H165" s="13">
        <f t="shared" si="14"/>
        <v>6</v>
      </c>
      <c r="I165" s="14">
        <f t="shared" si="10"/>
        <v>1801.2399999999998</v>
      </c>
      <c r="K165" t="str">
        <f>[1]!revcom(C165)</f>
        <v>GCGCTT</v>
      </c>
      <c r="L165">
        <v>7</v>
      </c>
    </row>
    <row r="166" spans="1:12" ht="15.6" x14ac:dyDescent="0.3">
      <c r="A166" s="9">
        <v>155</v>
      </c>
      <c r="B166" s="1"/>
      <c r="C166" s="2" t="s">
        <v>161</v>
      </c>
      <c r="D166" s="1"/>
      <c r="E166" s="11">
        <f t="shared" si="11"/>
        <v>28</v>
      </c>
      <c r="F166" s="12">
        <f t="shared" si="12"/>
        <v>66.666666666666657</v>
      </c>
      <c r="G166" s="12" t="str">
        <f t="shared" si="13"/>
        <v>Warning</v>
      </c>
      <c r="H166" s="13">
        <f t="shared" si="14"/>
        <v>6</v>
      </c>
      <c r="I166" s="14">
        <f t="shared" si="10"/>
        <v>1841.27</v>
      </c>
      <c r="K166" t="str">
        <f>[1]!revcom(C166)</f>
        <v>CCGCTT</v>
      </c>
      <c r="L166">
        <v>7</v>
      </c>
    </row>
    <row r="167" spans="1:12" ht="15.6" x14ac:dyDescent="0.3">
      <c r="A167" s="9">
        <v>156</v>
      </c>
      <c r="B167" s="1"/>
      <c r="C167" s="2" t="s">
        <v>162</v>
      </c>
      <c r="D167" s="1"/>
      <c r="E167" s="11">
        <f t="shared" si="11"/>
        <v>22</v>
      </c>
      <c r="F167" s="12">
        <f t="shared" si="12"/>
        <v>50</v>
      </c>
      <c r="G167" s="12" t="str">
        <f t="shared" si="13"/>
        <v>Warning</v>
      </c>
      <c r="H167" s="13">
        <f t="shared" si="14"/>
        <v>6</v>
      </c>
      <c r="I167" s="14">
        <f t="shared" si="10"/>
        <v>1816.25</v>
      </c>
      <c r="K167" t="str">
        <f>[1]!revcom(C167)</f>
        <v>ACGCTT</v>
      </c>
      <c r="L167">
        <v>6</v>
      </c>
    </row>
    <row r="168" spans="1:12" ht="15.6" x14ac:dyDescent="0.3">
      <c r="A168" s="9">
        <v>157</v>
      </c>
      <c r="B168" s="1"/>
      <c r="C168" s="2" t="s">
        <v>163</v>
      </c>
      <c r="D168" s="1"/>
      <c r="E168" s="11">
        <f t="shared" si="11"/>
        <v>24</v>
      </c>
      <c r="F168" s="12">
        <f t="shared" si="12"/>
        <v>33.333333333333329</v>
      </c>
      <c r="G168" s="12" t="str">
        <f t="shared" si="13"/>
        <v>OK</v>
      </c>
      <c r="H168" s="13">
        <f t="shared" si="14"/>
        <v>6</v>
      </c>
      <c r="I168" s="14">
        <f t="shared" si="10"/>
        <v>1800.25</v>
      </c>
      <c r="K168" t="str">
        <f>[1]!revcom(C168)</f>
        <v>TAGCTT</v>
      </c>
      <c r="L168">
        <v>6</v>
      </c>
    </row>
    <row r="169" spans="1:12" ht="15.6" x14ac:dyDescent="0.3">
      <c r="A169" s="9">
        <v>158</v>
      </c>
      <c r="B169" s="1"/>
      <c r="C169" s="2" t="s">
        <v>164</v>
      </c>
      <c r="D169" s="1"/>
      <c r="E169" s="11">
        <f t="shared" si="11"/>
        <v>22</v>
      </c>
      <c r="F169" s="12">
        <f t="shared" si="12"/>
        <v>50</v>
      </c>
      <c r="G169" s="12" t="str">
        <f t="shared" si="13"/>
        <v>Warning</v>
      </c>
      <c r="H169" s="13">
        <f t="shared" si="14"/>
        <v>6</v>
      </c>
      <c r="I169" s="14">
        <f t="shared" si="10"/>
        <v>1776.2199999999998</v>
      </c>
      <c r="K169" t="str">
        <f>[1]!revcom(C169)</f>
        <v>GAGCTT</v>
      </c>
      <c r="L169">
        <v>6</v>
      </c>
    </row>
    <row r="170" spans="1:12" ht="15.6" x14ac:dyDescent="0.3">
      <c r="A170" s="9">
        <v>159</v>
      </c>
      <c r="B170" s="1"/>
      <c r="C170" s="2" t="s">
        <v>165</v>
      </c>
      <c r="D170" s="1"/>
      <c r="E170" s="11">
        <f t="shared" si="11"/>
        <v>22</v>
      </c>
      <c r="F170" s="12">
        <f t="shared" si="12"/>
        <v>50</v>
      </c>
      <c r="G170" s="12" t="str">
        <f t="shared" si="13"/>
        <v>Warning</v>
      </c>
      <c r="H170" s="13">
        <f t="shared" si="14"/>
        <v>6</v>
      </c>
      <c r="I170" s="14">
        <f t="shared" si="10"/>
        <v>1816.25</v>
      </c>
      <c r="K170" t="str">
        <f>[1]!revcom(C170)</f>
        <v>CAGCTT</v>
      </c>
      <c r="L170">
        <v>6</v>
      </c>
    </row>
    <row r="171" spans="1:12" ht="15.6" x14ac:dyDescent="0.3">
      <c r="A171" s="9">
        <v>160</v>
      </c>
      <c r="B171" s="1"/>
      <c r="C171" s="2" t="s">
        <v>166</v>
      </c>
      <c r="D171" s="1"/>
      <c r="E171" s="11">
        <f t="shared" si="11"/>
        <v>16</v>
      </c>
      <c r="F171" s="12">
        <f t="shared" si="12"/>
        <v>33.333333333333329</v>
      </c>
      <c r="G171" s="12" t="str">
        <f t="shared" si="13"/>
        <v>OK</v>
      </c>
      <c r="H171" s="13">
        <f t="shared" si="14"/>
        <v>6</v>
      </c>
      <c r="I171" s="14">
        <f t="shared" si="10"/>
        <v>1791.23</v>
      </c>
      <c r="K171" t="str">
        <f>[1]!revcom(C171)</f>
        <v>AAGCTT</v>
      </c>
      <c r="L171">
        <v>5</v>
      </c>
    </row>
    <row r="172" spans="1:12" ht="15.6" x14ac:dyDescent="0.3">
      <c r="A172" s="9">
        <v>161</v>
      </c>
      <c r="B172" s="1"/>
      <c r="C172" s="2" t="s">
        <v>167</v>
      </c>
      <c r="D172" s="1"/>
      <c r="E172" s="11">
        <f t="shared" si="11"/>
        <v>32</v>
      </c>
      <c r="F172" s="12">
        <f t="shared" si="12"/>
        <v>33.333333333333329</v>
      </c>
      <c r="G172" s="12" t="str">
        <f t="shared" si="13"/>
        <v>OK</v>
      </c>
      <c r="H172" s="13">
        <f t="shared" si="14"/>
        <v>6</v>
      </c>
      <c r="I172" s="14">
        <f t="shared" si="10"/>
        <v>1849.3000000000002</v>
      </c>
      <c r="K172" t="str">
        <f>[1]!revcom(C172)</f>
        <v>TTCCTT</v>
      </c>
      <c r="L172">
        <v>8</v>
      </c>
    </row>
    <row r="173" spans="1:12" ht="15.6" x14ac:dyDescent="0.3">
      <c r="A173" s="9">
        <v>162</v>
      </c>
      <c r="B173" s="1"/>
      <c r="C173" s="2" t="s">
        <v>168</v>
      </c>
      <c r="D173" s="1"/>
      <c r="E173" s="11">
        <f t="shared" si="11"/>
        <v>30</v>
      </c>
      <c r="F173" s="12">
        <f t="shared" si="12"/>
        <v>50</v>
      </c>
      <c r="G173" s="12" t="str">
        <f t="shared" si="13"/>
        <v>Warning</v>
      </c>
      <c r="H173" s="13">
        <f t="shared" si="14"/>
        <v>6</v>
      </c>
      <c r="I173" s="14">
        <f t="shared" si="10"/>
        <v>1825.27</v>
      </c>
      <c r="K173" t="str">
        <f>[1]!revcom(C173)</f>
        <v>GTCCTT</v>
      </c>
      <c r="L173">
        <v>7</v>
      </c>
    </row>
    <row r="174" spans="1:12" ht="15.6" x14ac:dyDescent="0.3">
      <c r="A174" s="9">
        <v>163</v>
      </c>
      <c r="B174" s="1"/>
      <c r="C174" s="2" t="s">
        <v>169</v>
      </c>
      <c r="D174" s="1"/>
      <c r="E174" s="11">
        <f t="shared" si="11"/>
        <v>30</v>
      </c>
      <c r="F174" s="12">
        <f t="shared" si="12"/>
        <v>50</v>
      </c>
      <c r="G174" s="12" t="str">
        <f t="shared" si="13"/>
        <v>Warning</v>
      </c>
      <c r="H174" s="13">
        <f t="shared" si="14"/>
        <v>6</v>
      </c>
      <c r="I174" s="14">
        <f t="shared" si="10"/>
        <v>1865.3000000000002</v>
      </c>
      <c r="K174" t="str">
        <f>[1]!revcom(C174)</f>
        <v>CTCCTT</v>
      </c>
      <c r="L174">
        <v>7</v>
      </c>
    </row>
    <row r="175" spans="1:12" ht="15.6" x14ac:dyDescent="0.3">
      <c r="A175" s="9">
        <v>164</v>
      </c>
      <c r="B175" s="1"/>
      <c r="C175" s="2" t="s">
        <v>170</v>
      </c>
      <c r="D175" s="1"/>
      <c r="E175" s="11">
        <f t="shared" si="11"/>
        <v>24</v>
      </c>
      <c r="F175" s="12">
        <f t="shared" si="12"/>
        <v>33.333333333333329</v>
      </c>
      <c r="G175" s="12" t="str">
        <f t="shared" si="13"/>
        <v>OK</v>
      </c>
      <c r="H175" s="13">
        <f t="shared" si="14"/>
        <v>6</v>
      </c>
      <c r="I175" s="14">
        <f t="shared" si="10"/>
        <v>1840.2800000000002</v>
      </c>
      <c r="K175" t="str">
        <f>[1]!revcom(C175)</f>
        <v>ATCCTT</v>
      </c>
      <c r="L175">
        <v>6</v>
      </c>
    </row>
    <row r="176" spans="1:12" ht="15.6" x14ac:dyDescent="0.3">
      <c r="A176" s="9">
        <v>165</v>
      </c>
      <c r="B176" s="1"/>
      <c r="C176" s="2" t="s">
        <v>171</v>
      </c>
      <c r="D176" s="1"/>
      <c r="E176" s="11">
        <f t="shared" si="11"/>
        <v>30</v>
      </c>
      <c r="F176" s="12">
        <f t="shared" si="12"/>
        <v>50</v>
      </c>
      <c r="G176" s="12" t="str">
        <f t="shared" si="13"/>
        <v>Warning</v>
      </c>
      <c r="H176" s="13">
        <f t="shared" si="14"/>
        <v>6</v>
      </c>
      <c r="I176" s="14">
        <f t="shared" si="10"/>
        <v>1825.27</v>
      </c>
      <c r="K176" t="str">
        <f>[1]!revcom(C176)</f>
        <v>TGCCTT</v>
      </c>
      <c r="L176">
        <v>7</v>
      </c>
    </row>
    <row r="177" spans="1:12" ht="15.6" x14ac:dyDescent="0.3">
      <c r="A177" s="9">
        <v>166</v>
      </c>
      <c r="B177" s="1"/>
      <c r="C177" s="2" t="s">
        <v>172</v>
      </c>
      <c r="D177" s="1"/>
      <c r="E177" s="11">
        <f t="shared" si="11"/>
        <v>28</v>
      </c>
      <c r="F177" s="12">
        <f t="shared" si="12"/>
        <v>66.666666666666657</v>
      </c>
      <c r="G177" s="12" t="str">
        <f t="shared" si="13"/>
        <v>Warning</v>
      </c>
      <c r="H177" s="13">
        <f t="shared" si="14"/>
        <v>6</v>
      </c>
      <c r="I177" s="14">
        <f t="shared" si="10"/>
        <v>1801.2399999999998</v>
      </c>
      <c r="K177" t="str">
        <f>[1]!revcom(C177)</f>
        <v>GGCCTT</v>
      </c>
      <c r="L177">
        <v>7</v>
      </c>
    </row>
    <row r="178" spans="1:12" ht="15.6" x14ac:dyDescent="0.3">
      <c r="A178" s="9">
        <v>167</v>
      </c>
      <c r="B178" s="1"/>
      <c r="C178" s="2" t="s">
        <v>173</v>
      </c>
      <c r="D178" s="1"/>
      <c r="E178" s="11">
        <f t="shared" si="11"/>
        <v>28</v>
      </c>
      <c r="F178" s="12">
        <f t="shared" si="12"/>
        <v>66.666666666666657</v>
      </c>
      <c r="G178" s="12" t="str">
        <f t="shared" si="13"/>
        <v>Warning</v>
      </c>
      <c r="H178" s="13">
        <f t="shared" si="14"/>
        <v>6</v>
      </c>
      <c r="I178" s="14">
        <f t="shared" si="10"/>
        <v>1841.27</v>
      </c>
      <c r="K178" t="str">
        <f>[1]!revcom(C178)</f>
        <v>CGCCTT</v>
      </c>
      <c r="L178">
        <v>7</v>
      </c>
    </row>
    <row r="179" spans="1:12" ht="15.6" x14ac:dyDescent="0.3">
      <c r="A179" s="9">
        <v>168</v>
      </c>
      <c r="B179" s="1"/>
      <c r="C179" s="2" t="s">
        <v>174</v>
      </c>
      <c r="D179" s="1"/>
      <c r="E179" s="11">
        <f t="shared" si="11"/>
        <v>22</v>
      </c>
      <c r="F179" s="12">
        <f t="shared" si="12"/>
        <v>50</v>
      </c>
      <c r="G179" s="12" t="str">
        <f t="shared" si="13"/>
        <v>Warning</v>
      </c>
      <c r="H179" s="13">
        <f t="shared" si="14"/>
        <v>6</v>
      </c>
      <c r="I179" s="14">
        <f t="shared" si="10"/>
        <v>1816.25</v>
      </c>
      <c r="K179" t="str">
        <f>[1]!revcom(C179)</f>
        <v>AGCCTT</v>
      </c>
      <c r="L179">
        <v>6</v>
      </c>
    </row>
    <row r="180" spans="1:12" ht="15.6" x14ac:dyDescent="0.3">
      <c r="A180" s="9">
        <v>169</v>
      </c>
      <c r="B180" s="1"/>
      <c r="C180" s="2" t="s">
        <v>175</v>
      </c>
      <c r="D180" s="1"/>
      <c r="E180" s="11">
        <f t="shared" si="11"/>
        <v>30</v>
      </c>
      <c r="F180" s="12">
        <f t="shared" si="12"/>
        <v>50</v>
      </c>
      <c r="G180" s="12" t="str">
        <f t="shared" si="13"/>
        <v>Warning</v>
      </c>
      <c r="H180" s="13">
        <f t="shared" si="14"/>
        <v>6</v>
      </c>
      <c r="I180" s="14">
        <f t="shared" si="10"/>
        <v>1865.3000000000002</v>
      </c>
      <c r="K180" t="str">
        <f>[1]!revcom(C180)</f>
        <v>TCCCTT</v>
      </c>
      <c r="L180">
        <v>7</v>
      </c>
    </row>
    <row r="181" spans="1:12" ht="15.6" x14ac:dyDescent="0.3">
      <c r="A181" s="9">
        <v>170</v>
      </c>
      <c r="B181" s="1"/>
      <c r="C181" s="2" t="s">
        <v>176</v>
      </c>
      <c r="D181" s="1"/>
      <c r="E181" s="11">
        <f t="shared" si="11"/>
        <v>28</v>
      </c>
      <c r="F181" s="12">
        <f t="shared" si="12"/>
        <v>66.666666666666657</v>
      </c>
      <c r="G181" s="12" t="str">
        <f t="shared" si="13"/>
        <v>Warning</v>
      </c>
      <c r="H181" s="13">
        <f t="shared" si="14"/>
        <v>6</v>
      </c>
      <c r="I181" s="14">
        <f t="shared" si="10"/>
        <v>1841.27</v>
      </c>
      <c r="K181" t="str">
        <f>[1]!revcom(C181)</f>
        <v>GCCCTT</v>
      </c>
      <c r="L181">
        <v>7</v>
      </c>
    </row>
    <row r="182" spans="1:12" ht="15.6" x14ac:dyDescent="0.3">
      <c r="A182" s="9">
        <v>171</v>
      </c>
      <c r="B182" s="1"/>
      <c r="C182" s="2" t="s">
        <v>177</v>
      </c>
      <c r="D182" s="1"/>
      <c r="E182" s="11">
        <f t="shared" si="11"/>
        <v>28</v>
      </c>
      <c r="F182" s="12">
        <f t="shared" si="12"/>
        <v>66.666666666666657</v>
      </c>
      <c r="G182" s="12" t="str">
        <f t="shared" si="13"/>
        <v>Warning</v>
      </c>
      <c r="H182" s="13">
        <f t="shared" si="14"/>
        <v>6</v>
      </c>
      <c r="I182" s="14">
        <f t="shared" si="10"/>
        <v>1881.3000000000002</v>
      </c>
      <c r="K182" t="str">
        <f>[1]!revcom(C182)</f>
        <v>CCCCTT</v>
      </c>
      <c r="L182">
        <v>7</v>
      </c>
    </row>
    <row r="183" spans="1:12" ht="15.6" x14ac:dyDescent="0.3">
      <c r="A183" s="9">
        <v>172</v>
      </c>
      <c r="B183" s="21"/>
      <c r="C183" s="18" t="s">
        <v>178</v>
      </c>
      <c r="D183" s="21"/>
      <c r="E183" s="11">
        <f t="shared" si="11"/>
        <v>22</v>
      </c>
      <c r="F183" s="12">
        <f t="shared" si="12"/>
        <v>50</v>
      </c>
      <c r="G183" s="12" t="str">
        <f t="shared" si="13"/>
        <v>Warning</v>
      </c>
      <c r="H183" s="13">
        <f t="shared" si="14"/>
        <v>6</v>
      </c>
      <c r="I183" s="14">
        <f t="shared" si="10"/>
        <v>1856.2800000000002</v>
      </c>
      <c r="K183" t="str">
        <f>[1]!revcom(C183)</f>
        <v>ACCCTT</v>
      </c>
      <c r="L183">
        <v>6</v>
      </c>
    </row>
    <row r="184" spans="1:12" ht="15.6" x14ac:dyDescent="0.3">
      <c r="A184" s="9">
        <v>173</v>
      </c>
      <c r="B184" s="1"/>
      <c r="C184" s="27" t="s">
        <v>179</v>
      </c>
      <c r="D184" s="1"/>
      <c r="E184" s="11">
        <f t="shared" si="11"/>
        <v>24</v>
      </c>
      <c r="F184" s="12">
        <f t="shared" si="12"/>
        <v>33.333333333333329</v>
      </c>
      <c r="G184" s="12" t="str">
        <f t="shared" si="13"/>
        <v>OK</v>
      </c>
      <c r="H184" s="13">
        <f t="shared" si="14"/>
        <v>6</v>
      </c>
      <c r="I184" s="14">
        <f t="shared" si="10"/>
        <v>1840.2800000000002</v>
      </c>
      <c r="K184" t="str">
        <f>[1]!revcom(C184)</f>
        <v>TACCTT</v>
      </c>
      <c r="L184">
        <v>6</v>
      </c>
    </row>
    <row r="185" spans="1:12" ht="15.6" x14ac:dyDescent="0.3">
      <c r="A185" s="9">
        <v>174</v>
      </c>
      <c r="B185" s="1"/>
      <c r="C185" s="2" t="s">
        <v>180</v>
      </c>
      <c r="D185" s="1"/>
      <c r="E185" s="11">
        <f t="shared" si="11"/>
        <v>22</v>
      </c>
      <c r="F185" s="12">
        <f t="shared" si="12"/>
        <v>50</v>
      </c>
      <c r="G185" s="12" t="str">
        <f t="shared" si="13"/>
        <v>Warning</v>
      </c>
      <c r="H185" s="13">
        <f t="shared" si="14"/>
        <v>6</v>
      </c>
      <c r="I185" s="14">
        <f t="shared" si="10"/>
        <v>1816.25</v>
      </c>
      <c r="K185" t="str">
        <f>[1]!revcom(C185)</f>
        <v>GACCTT</v>
      </c>
      <c r="L185">
        <v>6</v>
      </c>
    </row>
    <row r="186" spans="1:12" ht="15.6" x14ac:dyDescent="0.3">
      <c r="A186" s="9">
        <v>175</v>
      </c>
      <c r="B186" s="1"/>
      <c r="C186" s="2" t="s">
        <v>181</v>
      </c>
      <c r="D186" s="1"/>
      <c r="E186" s="11">
        <f t="shared" si="11"/>
        <v>22</v>
      </c>
      <c r="F186" s="12">
        <f t="shared" si="12"/>
        <v>50</v>
      </c>
      <c r="G186" s="12" t="str">
        <f t="shared" si="13"/>
        <v>Warning</v>
      </c>
      <c r="H186" s="13">
        <f t="shared" si="14"/>
        <v>6</v>
      </c>
      <c r="I186" s="14">
        <f t="shared" si="10"/>
        <v>1856.2800000000002</v>
      </c>
      <c r="K186" t="str">
        <f>[1]!revcom(C186)</f>
        <v>CACCTT</v>
      </c>
      <c r="L186">
        <v>6</v>
      </c>
    </row>
    <row r="187" spans="1:12" ht="15.6" x14ac:dyDescent="0.3">
      <c r="A187" s="9">
        <v>176</v>
      </c>
      <c r="B187" s="1"/>
      <c r="C187" s="2" t="s">
        <v>182</v>
      </c>
      <c r="D187" s="1"/>
      <c r="E187" s="11">
        <f t="shared" si="11"/>
        <v>16</v>
      </c>
      <c r="F187" s="12">
        <f t="shared" si="12"/>
        <v>33.333333333333329</v>
      </c>
      <c r="G187" s="12" t="str">
        <f t="shared" si="13"/>
        <v>OK</v>
      </c>
      <c r="H187" s="13">
        <f t="shared" si="14"/>
        <v>6</v>
      </c>
      <c r="I187" s="14">
        <f t="shared" si="10"/>
        <v>1831.2600000000002</v>
      </c>
      <c r="K187" t="str">
        <f>[1]!revcom(C187)</f>
        <v>AACCTT</v>
      </c>
      <c r="L187">
        <v>5</v>
      </c>
    </row>
    <row r="188" spans="1:12" ht="15.6" x14ac:dyDescent="0.3">
      <c r="A188" s="9">
        <v>177</v>
      </c>
      <c r="B188" s="1"/>
      <c r="C188" s="2" t="s">
        <v>183</v>
      </c>
      <c r="D188" s="1"/>
      <c r="E188" s="11">
        <f t="shared" si="11"/>
        <v>26</v>
      </c>
      <c r="F188" s="12">
        <f t="shared" si="12"/>
        <v>16.666666666666664</v>
      </c>
      <c r="G188" s="12" t="str">
        <f t="shared" si="13"/>
        <v>OK</v>
      </c>
      <c r="H188" s="13">
        <f t="shared" si="14"/>
        <v>6</v>
      </c>
      <c r="I188" s="14">
        <f t="shared" si="10"/>
        <v>1824.2799999999997</v>
      </c>
      <c r="K188" t="str">
        <f>[1]!revcom(C188)</f>
        <v>TTACTT</v>
      </c>
      <c r="L188">
        <v>7</v>
      </c>
    </row>
    <row r="189" spans="1:12" ht="15.6" x14ac:dyDescent="0.3">
      <c r="A189" s="9">
        <v>178</v>
      </c>
      <c r="B189" s="1"/>
      <c r="C189" s="2" t="s">
        <v>184</v>
      </c>
      <c r="D189" s="1"/>
      <c r="E189" s="11">
        <f t="shared" si="11"/>
        <v>24</v>
      </c>
      <c r="F189" s="12">
        <f t="shared" si="12"/>
        <v>33.333333333333329</v>
      </c>
      <c r="G189" s="12" t="str">
        <f t="shared" si="13"/>
        <v>OK</v>
      </c>
      <c r="H189" s="13">
        <f t="shared" si="14"/>
        <v>6</v>
      </c>
      <c r="I189" s="14">
        <f t="shared" si="10"/>
        <v>1800.25</v>
      </c>
      <c r="K189" t="str">
        <f>[1]!revcom(C189)</f>
        <v>GTACTT</v>
      </c>
      <c r="L189">
        <v>6</v>
      </c>
    </row>
    <row r="190" spans="1:12" ht="15.6" x14ac:dyDescent="0.3">
      <c r="A190" s="9">
        <v>179</v>
      </c>
      <c r="B190" s="1"/>
      <c r="C190" s="2" t="s">
        <v>185</v>
      </c>
      <c r="D190" s="1"/>
      <c r="E190" s="11">
        <f t="shared" si="11"/>
        <v>24</v>
      </c>
      <c r="F190" s="12">
        <f t="shared" si="12"/>
        <v>33.333333333333329</v>
      </c>
      <c r="G190" s="12" t="str">
        <f t="shared" si="13"/>
        <v>OK</v>
      </c>
      <c r="H190" s="13">
        <f t="shared" si="14"/>
        <v>6</v>
      </c>
      <c r="I190" s="14">
        <f t="shared" si="10"/>
        <v>1840.2800000000002</v>
      </c>
      <c r="K190" t="str">
        <f>[1]!revcom(C190)</f>
        <v>CTACTT</v>
      </c>
      <c r="L190">
        <v>6</v>
      </c>
    </row>
    <row r="191" spans="1:12" ht="15.6" x14ac:dyDescent="0.3">
      <c r="A191" s="9">
        <v>180</v>
      </c>
      <c r="B191" s="1"/>
      <c r="C191" s="2" t="s">
        <v>186</v>
      </c>
      <c r="D191" s="1"/>
      <c r="E191" s="11">
        <f t="shared" si="11"/>
        <v>18</v>
      </c>
      <c r="F191" s="12">
        <f t="shared" si="12"/>
        <v>16.666666666666664</v>
      </c>
      <c r="G191" s="12" t="str">
        <f t="shared" si="13"/>
        <v>OK</v>
      </c>
      <c r="H191" s="13">
        <f t="shared" si="14"/>
        <v>6</v>
      </c>
      <c r="I191" s="14">
        <f t="shared" si="10"/>
        <v>1815.2599999999998</v>
      </c>
      <c r="K191" t="str">
        <f>[1]!revcom(C191)</f>
        <v>ATACTT</v>
      </c>
      <c r="L191">
        <v>5</v>
      </c>
    </row>
    <row r="192" spans="1:12" ht="15.6" x14ac:dyDescent="0.3">
      <c r="A192" s="9">
        <v>181</v>
      </c>
      <c r="B192" s="1"/>
      <c r="C192" s="28" t="s">
        <v>187</v>
      </c>
      <c r="D192" s="1"/>
      <c r="E192" s="11">
        <f t="shared" si="11"/>
        <v>24</v>
      </c>
      <c r="F192" s="12">
        <f t="shared" si="12"/>
        <v>33.333333333333329</v>
      </c>
      <c r="G192" s="12" t="str">
        <f t="shared" si="13"/>
        <v>OK</v>
      </c>
      <c r="H192" s="13">
        <f t="shared" si="14"/>
        <v>6</v>
      </c>
      <c r="I192" s="14">
        <f t="shared" si="10"/>
        <v>1800.25</v>
      </c>
      <c r="K192" t="str">
        <f>[1]!revcom(C192)</f>
        <v>TGACTT</v>
      </c>
      <c r="L192">
        <v>6</v>
      </c>
    </row>
    <row r="193" spans="1:12" ht="15.6" x14ac:dyDescent="0.3">
      <c r="A193" s="9">
        <v>182</v>
      </c>
      <c r="B193" s="1"/>
      <c r="C193" s="2" t="s">
        <v>188</v>
      </c>
      <c r="D193" s="1"/>
      <c r="E193" s="11">
        <f t="shared" si="11"/>
        <v>22</v>
      </c>
      <c r="F193" s="12">
        <f t="shared" si="12"/>
        <v>50</v>
      </c>
      <c r="G193" s="12" t="str">
        <f t="shared" si="13"/>
        <v>Warning</v>
      </c>
      <c r="H193" s="13">
        <f t="shared" si="14"/>
        <v>6</v>
      </c>
      <c r="I193" s="14">
        <f t="shared" si="10"/>
        <v>1776.2199999999998</v>
      </c>
      <c r="K193" t="str">
        <f>[1]!revcom(C193)</f>
        <v>GGACTT</v>
      </c>
      <c r="L193">
        <v>6</v>
      </c>
    </row>
    <row r="194" spans="1:12" ht="15.6" x14ac:dyDescent="0.3">
      <c r="A194" s="9">
        <v>183</v>
      </c>
      <c r="B194" s="1"/>
      <c r="C194" s="2" t="s">
        <v>189</v>
      </c>
      <c r="D194" s="1"/>
      <c r="E194" s="11">
        <f t="shared" si="11"/>
        <v>22</v>
      </c>
      <c r="F194" s="12">
        <f t="shared" si="12"/>
        <v>50</v>
      </c>
      <c r="G194" s="12" t="str">
        <f t="shared" si="13"/>
        <v>Warning</v>
      </c>
      <c r="H194" s="13">
        <f t="shared" si="14"/>
        <v>6</v>
      </c>
      <c r="I194" s="14">
        <f t="shared" si="10"/>
        <v>1816.25</v>
      </c>
      <c r="K194" t="str">
        <f>[1]!revcom(C194)</f>
        <v>CGACTT</v>
      </c>
      <c r="L194">
        <v>6</v>
      </c>
    </row>
    <row r="195" spans="1:12" ht="15.6" x14ac:dyDescent="0.3">
      <c r="A195" s="9">
        <v>184</v>
      </c>
      <c r="B195" s="1"/>
      <c r="C195" s="2" t="s">
        <v>190</v>
      </c>
      <c r="D195" s="1"/>
      <c r="E195" s="11">
        <f t="shared" si="11"/>
        <v>16</v>
      </c>
      <c r="F195" s="12">
        <f t="shared" si="12"/>
        <v>33.333333333333329</v>
      </c>
      <c r="G195" s="12" t="str">
        <f t="shared" si="13"/>
        <v>OK</v>
      </c>
      <c r="H195" s="13">
        <f t="shared" si="14"/>
        <v>6</v>
      </c>
      <c r="I195" s="14">
        <f t="shared" si="10"/>
        <v>1791.23</v>
      </c>
      <c r="K195" t="str">
        <f>[1]!revcom(C195)</f>
        <v>AGACTT</v>
      </c>
      <c r="L195">
        <v>5</v>
      </c>
    </row>
    <row r="196" spans="1:12" ht="15.6" x14ac:dyDescent="0.3">
      <c r="A196" s="9">
        <v>185</v>
      </c>
      <c r="B196" s="1"/>
      <c r="C196" s="2" t="s">
        <v>191</v>
      </c>
      <c r="D196" s="1"/>
      <c r="E196" s="11">
        <f t="shared" si="11"/>
        <v>24</v>
      </c>
      <c r="F196" s="12">
        <f t="shared" si="12"/>
        <v>33.333333333333329</v>
      </c>
      <c r="G196" s="12" t="str">
        <f t="shared" si="13"/>
        <v>OK</v>
      </c>
      <c r="H196" s="13">
        <f t="shared" si="14"/>
        <v>6</v>
      </c>
      <c r="I196" s="14">
        <f t="shared" si="10"/>
        <v>1840.2800000000002</v>
      </c>
      <c r="K196" t="str">
        <f>[1]!revcom(C196)</f>
        <v>TCACTT</v>
      </c>
      <c r="L196">
        <v>6</v>
      </c>
    </row>
    <row r="197" spans="1:12" ht="15.6" x14ac:dyDescent="0.3">
      <c r="A197" s="9">
        <v>186</v>
      </c>
      <c r="B197" s="1"/>
      <c r="C197" s="2" t="s">
        <v>192</v>
      </c>
      <c r="D197" s="1"/>
      <c r="E197" s="11">
        <f t="shared" si="11"/>
        <v>22</v>
      </c>
      <c r="F197" s="12">
        <f t="shared" si="12"/>
        <v>50</v>
      </c>
      <c r="G197" s="12" t="str">
        <f t="shared" si="13"/>
        <v>Warning</v>
      </c>
      <c r="H197" s="13">
        <f t="shared" si="14"/>
        <v>6</v>
      </c>
      <c r="I197" s="14">
        <f t="shared" si="10"/>
        <v>1816.25</v>
      </c>
      <c r="K197" t="str">
        <f>[1]!revcom(C197)</f>
        <v>GCACTT</v>
      </c>
      <c r="L197">
        <v>6</v>
      </c>
    </row>
    <row r="198" spans="1:12" ht="15.6" x14ac:dyDescent="0.3">
      <c r="A198" s="9">
        <v>187</v>
      </c>
      <c r="B198" s="1"/>
      <c r="C198" s="2" t="s">
        <v>193</v>
      </c>
      <c r="D198" s="1"/>
      <c r="E198" s="11">
        <f t="shared" si="11"/>
        <v>22</v>
      </c>
      <c r="F198" s="12">
        <f t="shared" si="12"/>
        <v>50</v>
      </c>
      <c r="G198" s="12" t="str">
        <f t="shared" si="13"/>
        <v>Warning</v>
      </c>
      <c r="H198" s="13">
        <f t="shared" si="14"/>
        <v>6</v>
      </c>
      <c r="I198" s="14">
        <f t="shared" si="10"/>
        <v>1856.2800000000002</v>
      </c>
      <c r="K198" t="str">
        <f>[1]!revcom(C198)</f>
        <v>CCACTT</v>
      </c>
      <c r="L198">
        <v>6</v>
      </c>
    </row>
    <row r="199" spans="1:12" ht="15.6" x14ac:dyDescent="0.3">
      <c r="A199" s="9">
        <v>188</v>
      </c>
      <c r="B199" s="1"/>
      <c r="C199" s="2" t="s">
        <v>194</v>
      </c>
      <c r="D199" s="1"/>
      <c r="E199" s="11">
        <f t="shared" si="11"/>
        <v>16</v>
      </c>
      <c r="F199" s="12">
        <f t="shared" si="12"/>
        <v>33.333333333333329</v>
      </c>
      <c r="G199" s="12" t="str">
        <f t="shared" si="13"/>
        <v>OK</v>
      </c>
      <c r="H199" s="13">
        <f t="shared" si="14"/>
        <v>6</v>
      </c>
      <c r="I199" s="14">
        <f t="shared" si="10"/>
        <v>1831.2600000000002</v>
      </c>
      <c r="K199" t="str">
        <f>[1]!revcom(C199)</f>
        <v>ACACTT</v>
      </c>
      <c r="L199">
        <v>5</v>
      </c>
    </row>
    <row r="200" spans="1:12" ht="15.6" x14ac:dyDescent="0.3">
      <c r="A200" s="9">
        <v>189</v>
      </c>
      <c r="B200" s="1"/>
      <c r="C200" s="2" t="s">
        <v>195</v>
      </c>
      <c r="D200" s="1"/>
      <c r="E200" s="11">
        <f t="shared" si="11"/>
        <v>18</v>
      </c>
      <c r="F200" s="12">
        <f t="shared" si="12"/>
        <v>16.666666666666664</v>
      </c>
      <c r="G200" s="12" t="str">
        <f t="shared" si="13"/>
        <v>OK</v>
      </c>
      <c r="H200" s="13">
        <f t="shared" si="14"/>
        <v>6</v>
      </c>
      <c r="I200" s="14">
        <f t="shared" si="10"/>
        <v>1815.2599999999998</v>
      </c>
      <c r="K200" t="str">
        <f>[1]!revcom(C200)</f>
        <v>TAACTT</v>
      </c>
      <c r="L200">
        <v>5</v>
      </c>
    </row>
    <row r="201" spans="1:12" ht="15.6" x14ac:dyDescent="0.3">
      <c r="A201" s="9">
        <v>190</v>
      </c>
      <c r="B201" s="1"/>
      <c r="C201" s="2" t="s">
        <v>196</v>
      </c>
      <c r="D201" s="1"/>
      <c r="E201" s="11">
        <f t="shared" si="11"/>
        <v>16</v>
      </c>
      <c r="F201" s="12">
        <f t="shared" si="12"/>
        <v>33.333333333333329</v>
      </c>
      <c r="G201" s="12" t="str">
        <f t="shared" si="13"/>
        <v>OK</v>
      </c>
      <c r="H201" s="13">
        <f t="shared" si="14"/>
        <v>6</v>
      </c>
      <c r="I201" s="14">
        <f t="shared" si="10"/>
        <v>1791.23</v>
      </c>
      <c r="K201" t="str">
        <f>[1]!revcom(C201)</f>
        <v>GAACTT</v>
      </c>
      <c r="L201">
        <v>5</v>
      </c>
    </row>
    <row r="202" spans="1:12" ht="15.6" x14ac:dyDescent="0.3">
      <c r="A202" s="9">
        <v>191</v>
      </c>
      <c r="B202" s="1"/>
      <c r="C202" s="2" t="s">
        <v>197</v>
      </c>
      <c r="D202" s="1"/>
      <c r="E202" s="11">
        <f t="shared" si="11"/>
        <v>16</v>
      </c>
      <c r="F202" s="12">
        <f t="shared" si="12"/>
        <v>33.333333333333329</v>
      </c>
      <c r="G202" s="12" t="str">
        <f t="shared" si="13"/>
        <v>OK</v>
      </c>
      <c r="H202" s="13">
        <f t="shared" si="14"/>
        <v>6</v>
      </c>
      <c r="I202" s="14">
        <f t="shared" si="10"/>
        <v>1831.2600000000002</v>
      </c>
      <c r="K202" t="str">
        <f>[1]!revcom(C202)</f>
        <v>CAACTT</v>
      </c>
      <c r="L202">
        <v>5</v>
      </c>
    </row>
    <row r="203" spans="1:12" ht="15.6" x14ac:dyDescent="0.3">
      <c r="A203" s="9">
        <v>192</v>
      </c>
      <c r="B203" s="1"/>
      <c r="C203" s="2" t="s">
        <v>198</v>
      </c>
      <c r="D203" s="1"/>
      <c r="E203" s="11">
        <f t="shared" si="11"/>
        <v>10</v>
      </c>
      <c r="F203" s="12">
        <f t="shared" si="12"/>
        <v>16.666666666666664</v>
      </c>
      <c r="G203" s="12" t="str">
        <f t="shared" si="13"/>
        <v>OK</v>
      </c>
      <c r="H203" s="13">
        <f t="shared" si="14"/>
        <v>6</v>
      </c>
      <c r="I203" s="14">
        <f t="shared" si="10"/>
        <v>1806.2399999999998</v>
      </c>
      <c r="K203" t="str">
        <f>[1]!revcom(C203)</f>
        <v>AAACTT</v>
      </c>
      <c r="L203">
        <v>4</v>
      </c>
    </row>
    <row r="204" spans="1:12" ht="15.6" x14ac:dyDescent="0.3">
      <c r="A204" s="9">
        <v>193</v>
      </c>
      <c r="B204" s="1"/>
      <c r="C204" s="2" t="s">
        <v>199</v>
      </c>
      <c r="D204" s="1"/>
      <c r="E204" s="11">
        <f t="shared" si="11"/>
        <v>28</v>
      </c>
      <c r="F204" s="12">
        <f t="shared" si="12"/>
        <v>0</v>
      </c>
      <c r="G204" s="12" t="str">
        <f t="shared" si="13"/>
        <v>OK</v>
      </c>
      <c r="H204" s="13">
        <f t="shared" si="14"/>
        <v>6</v>
      </c>
      <c r="I204" s="14">
        <f t="shared" si="10"/>
        <v>1808.2799999999997</v>
      </c>
      <c r="K204" t="str">
        <f>[1]!revcom(C204)</f>
        <v>TTTATT</v>
      </c>
      <c r="L204">
        <v>7</v>
      </c>
    </row>
    <row r="205" spans="1:12" ht="15.6" x14ac:dyDescent="0.3">
      <c r="A205" s="9">
        <v>194</v>
      </c>
      <c r="B205" s="1"/>
      <c r="C205" s="2" t="s">
        <v>200</v>
      </c>
      <c r="D205" s="1"/>
      <c r="E205" s="11">
        <f t="shared" si="11"/>
        <v>26</v>
      </c>
      <c r="F205" s="12">
        <f t="shared" si="12"/>
        <v>16.666666666666664</v>
      </c>
      <c r="G205" s="12" t="str">
        <f t="shared" si="13"/>
        <v>OK</v>
      </c>
      <c r="H205" s="13">
        <f t="shared" si="14"/>
        <v>6</v>
      </c>
      <c r="I205" s="14">
        <f t="shared" ref="I205:I268" si="15">((LEN(C205)-(LEN(SUBSTITUTE(C205,"A",""))))*249.23)+((LEN(C205)-(LEN(SUBSTITUTE(C205,"T",""))))*240.21)+((LEN(C205)-(LEN(SUBSTITUTE(C205,"C",""))))*225.2)+((LEN(C205)-(LEN(SUBSTITUTE(C205,"G",""))))*265.23)+(63.98*(LEN(C205)-1)+(2.02))</f>
        <v>1784.25</v>
      </c>
      <c r="K205" t="str">
        <f>[1]!revcom(C205)</f>
        <v>GTTATT</v>
      </c>
      <c r="L205">
        <v>7</v>
      </c>
    </row>
    <row r="206" spans="1:12" ht="15.6" x14ac:dyDescent="0.3">
      <c r="A206" s="9">
        <v>195</v>
      </c>
      <c r="B206" s="1"/>
      <c r="C206" s="2" t="s">
        <v>201</v>
      </c>
      <c r="D206" s="1"/>
      <c r="E206" s="11">
        <f t="shared" ref="E206:E269" si="16">IF(LEN(C206)&gt;15,(69.3+((41*((LEN(C206)-(((LEN(C206)-(LEN(SUBSTITUTE(C206,"A",""))))+((LEN(C206)-(LEN(SUBSTITUTE(C206,"T","")))))))))/(LEN(C206)))-(650/(LEN(C206))))),(2*((LEN(C206)-(((LEN(C206)-(LEN(SUBSTITUTE(C206,"C",""))))+((LEN(C206)-(LEN(SUBSTITUTE(C206,"G",""))))))))))+(4*((LEN(C206)-(((LEN(C206)-(LEN(SUBSTITUTE(C206,"T",""))))+((LEN(C206)-(LEN(SUBSTITUTE(C206,"T","")))))))))))</f>
        <v>26</v>
      </c>
      <c r="F206" s="12">
        <f t="shared" ref="F206:F269" si="17">((LEN(C206)- LEN(SUBSTITUTE(C206,"G","")))+(LEN(C206)- LEN(SUBSTITUTE(C206,"C",""))) )/LEN(C206)*100</f>
        <v>16.666666666666664</v>
      </c>
      <c r="G206" s="12" t="str">
        <f t="shared" ref="G206:G269" si="18">IF((-5+((LEN(SUBSTITUTE(RIGHT(C206,5),"C","")))+((LEN(SUBSTITUTE(RIGHT(C206,5),"G",""))))))&gt;=3,"OK","Warning")</f>
        <v>OK</v>
      </c>
      <c r="H206" s="13">
        <f t="shared" ref="H206:H269" si="19">LEN(C206)</f>
        <v>6</v>
      </c>
      <c r="I206" s="14">
        <f t="shared" si="15"/>
        <v>1824.2799999999997</v>
      </c>
      <c r="K206" t="str">
        <f>[1]!revcom(C206)</f>
        <v>CTTATT</v>
      </c>
      <c r="L206">
        <v>7</v>
      </c>
    </row>
    <row r="207" spans="1:12" ht="15.6" x14ac:dyDescent="0.3">
      <c r="A207" s="9">
        <v>196</v>
      </c>
      <c r="B207" s="1"/>
      <c r="C207" s="2" t="s">
        <v>202</v>
      </c>
      <c r="D207" s="1"/>
      <c r="E207" s="11">
        <f t="shared" si="16"/>
        <v>20</v>
      </c>
      <c r="F207" s="12">
        <f t="shared" si="17"/>
        <v>0</v>
      </c>
      <c r="G207" s="12" t="str">
        <f t="shared" si="18"/>
        <v>OK</v>
      </c>
      <c r="H207" s="13">
        <f t="shared" si="19"/>
        <v>6</v>
      </c>
      <c r="I207" s="14">
        <f t="shared" si="15"/>
        <v>1799.2599999999998</v>
      </c>
      <c r="K207" t="str">
        <f>[1]!revcom(C207)</f>
        <v>ATTATT</v>
      </c>
      <c r="L207">
        <v>6</v>
      </c>
    </row>
    <row r="208" spans="1:12" ht="15.6" x14ac:dyDescent="0.3">
      <c r="A208" s="9">
        <v>197</v>
      </c>
      <c r="B208" s="1"/>
      <c r="C208" s="2" t="s">
        <v>203</v>
      </c>
      <c r="D208" s="1"/>
      <c r="E208" s="11">
        <f t="shared" si="16"/>
        <v>26</v>
      </c>
      <c r="F208" s="12">
        <f t="shared" si="17"/>
        <v>16.666666666666664</v>
      </c>
      <c r="G208" s="12" t="str">
        <f t="shared" si="18"/>
        <v>OK</v>
      </c>
      <c r="H208" s="13">
        <f t="shared" si="19"/>
        <v>6</v>
      </c>
      <c r="I208" s="14">
        <f t="shared" si="15"/>
        <v>1784.25</v>
      </c>
      <c r="K208" t="str">
        <f>[1]!revcom(C208)</f>
        <v>TGTATT</v>
      </c>
      <c r="L208">
        <v>7</v>
      </c>
    </row>
    <row r="209" spans="1:12" ht="15.6" x14ac:dyDescent="0.3">
      <c r="A209" s="9">
        <v>198</v>
      </c>
      <c r="B209" s="1"/>
      <c r="C209" s="2" t="s">
        <v>204</v>
      </c>
      <c r="D209" s="1"/>
      <c r="E209" s="11">
        <f t="shared" si="16"/>
        <v>24</v>
      </c>
      <c r="F209" s="12">
        <f t="shared" si="17"/>
        <v>33.333333333333329</v>
      </c>
      <c r="G209" s="12" t="str">
        <f t="shared" si="18"/>
        <v>OK</v>
      </c>
      <c r="H209" s="13">
        <f t="shared" si="19"/>
        <v>6</v>
      </c>
      <c r="I209" s="14">
        <f t="shared" si="15"/>
        <v>1760.2199999999998</v>
      </c>
      <c r="K209" t="str">
        <f>[1]!revcom(C209)</f>
        <v>GGTATT</v>
      </c>
      <c r="L209">
        <v>6</v>
      </c>
    </row>
    <row r="210" spans="1:12" ht="15.6" x14ac:dyDescent="0.3">
      <c r="A210" s="9">
        <v>199</v>
      </c>
      <c r="B210" s="1"/>
      <c r="C210" s="2" t="s">
        <v>205</v>
      </c>
      <c r="D210" s="1"/>
      <c r="E210" s="11">
        <f t="shared" si="16"/>
        <v>24</v>
      </c>
      <c r="F210" s="12">
        <f t="shared" si="17"/>
        <v>33.333333333333329</v>
      </c>
      <c r="G210" s="12" t="str">
        <f t="shared" si="18"/>
        <v>OK</v>
      </c>
      <c r="H210" s="13">
        <f t="shared" si="19"/>
        <v>6</v>
      </c>
      <c r="I210" s="14">
        <f t="shared" si="15"/>
        <v>1800.25</v>
      </c>
      <c r="K210" t="str">
        <f>[1]!revcom(C210)</f>
        <v>CGTATT</v>
      </c>
      <c r="L210">
        <v>6</v>
      </c>
    </row>
    <row r="211" spans="1:12" ht="15.6" x14ac:dyDescent="0.3">
      <c r="A211" s="9">
        <v>200</v>
      </c>
      <c r="B211" s="1"/>
      <c r="C211" s="2" t="s">
        <v>206</v>
      </c>
      <c r="D211" s="1"/>
      <c r="E211" s="11">
        <f t="shared" si="16"/>
        <v>18</v>
      </c>
      <c r="F211" s="12">
        <f t="shared" si="17"/>
        <v>16.666666666666664</v>
      </c>
      <c r="G211" s="12" t="str">
        <f t="shared" si="18"/>
        <v>OK</v>
      </c>
      <c r="H211" s="13">
        <f t="shared" si="19"/>
        <v>6</v>
      </c>
      <c r="I211" s="14">
        <f t="shared" si="15"/>
        <v>1775.23</v>
      </c>
      <c r="K211" t="str">
        <f>[1]!revcom(C211)</f>
        <v>AGTATT</v>
      </c>
      <c r="L211">
        <v>5</v>
      </c>
    </row>
    <row r="212" spans="1:12" ht="15.6" x14ac:dyDescent="0.3">
      <c r="A212" s="9">
        <v>201</v>
      </c>
      <c r="B212" s="1"/>
      <c r="C212" s="2" t="s">
        <v>207</v>
      </c>
      <c r="D212" s="1"/>
      <c r="E212" s="11">
        <f t="shared" si="16"/>
        <v>26</v>
      </c>
      <c r="F212" s="12">
        <f t="shared" si="17"/>
        <v>16.666666666666664</v>
      </c>
      <c r="G212" s="12" t="str">
        <f t="shared" si="18"/>
        <v>OK</v>
      </c>
      <c r="H212" s="13">
        <f t="shared" si="19"/>
        <v>6</v>
      </c>
      <c r="I212" s="14">
        <f t="shared" si="15"/>
        <v>1824.2799999999997</v>
      </c>
      <c r="K212" t="str">
        <f>[1]!revcom(C212)</f>
        <v>TCTATT</v>
      </c>
      <c r="L212">
        <v>7</v>
      </c>
    </row>
    <row r="213" spans="1:12" ht="15.6" x14ac:dyDescent="0.3">
      <c r="A213" s="9">
        <v>202</v>
      </c>
      <c r="B213" s="1"/>
      <c r="C213" s="2" t="s">
        <v>208</v>
      </c>
      <c r="D213" s="1"/>
      <c r="E213" s="11">
        <f t="shared" si="16"/>
        <v>24</v>
      </c>
      <c r="F213" s="12">
        <f t="shared" si="17"/>
        <v>33.333333333333329</v>
      </c>
      <c r="G213" s="12" t="str">
        <f t="shared" si="18"/>
        <v>OK</v>
      </c>
      <c r="H213" s="13">
        <f t="shared" si="19"/>
        <v>6</v>
      </c>
      <c r="I213" s="14">
        <f t="shared" si="15"/>
        <v>1800.25</v>
      </c>
      <c r="K213" t="str">
        <f>[1]!revcom(C213)</f>
        <v>GCTATT</v>
      </c>
      <c r="L213">
        <v>6</v>
      </c>
    </row>
    <row r="214" spans="1:12" ht="15.6" x14ac:dyDescent="0.3">
      <c r="A214" s="9">
        <v>203</v>
      </c>
      <c r="B214" s="1"/>
      <c r="C214" s="2" t="s">
        <v>209</v>
      </c>
      <c r="D214" s="1"/>
      <c r="E214" s="11">
        <f t="shared" si="16"/>
        <v>24</v>
      </c>
      <c r="F214" s="12">
        <f t="shared" si="17"/>
        <v>33.333333333333329</v>
      </c>
      <c r="G214" s="12" t="str">
        <f t="shared" si="18"/>
        <v>OK</v>
      </c>
      <c r="H214" s="13">
        <f t="shared" si="19"/>
        <v>6</v>
      </c>
      <c r="I214" s="14">
        <f t="shared" si="15"/>
        <v>1840.2800000000002</v>
      </c>
      <c r="K214" t="str">
        <f>[1]!revcom(C214)</f>
        <v>CCTATT</v>
      </c>
      <c r="L214">
        <v>6</v>
      </c>
    </row>
    <row r="215" spans="1:12" ht="15.6" x14ac:dyDescent="0.3">
      <c r="A215" s="9">
        <v>204</v>
      </c>
      <c r="B215" s="1"/>
      <c r="C215" s="2" t="s">
        <v>210</v>
      </c>
      <c r="D215" s="1"/>
      <c r="E215" s="11">
        <f t="shared" si="16"/>
        <v>18</v>
      </c>
      <c r="F215" s="12">
        <f t="shared" si="17"/>
        <v>16.666666666666664</v>
      </c>
      <c r="G215" s="12" t="str">
        <f t="shared" si="18"/>
        <v>OK</v>
      </c>
      <c r="H215" s="13">
        <f t="shared" si="19"/>
        <v>6</v>
      </c>
      <c r="I215" s="14">
        <f t="shared" si="15"/>
        <v>1815.2599999999998</v>
      </c>
      <c r="K215" t="str">
        <f>[1]!revcom(C215)</f>
        <v>ACTATT</v>
      </c>
      <c r="L215">
        <v>5</v>
      </c>
    </row>
    <row r="216" spans="1:12" ht="15.6" x14ac:dyDescent="0.3">
      <c r="A216" s="9">
        <v>205</v>
      </c>
      <c r="B216" s="1"/>
      <c r="C216" s="2" t="s">
        <v>211</v>
      </c>
      <c r="D216" s="1"/>
      <c r="E216" s="11">
        <f t="shared" si="16"/>
        <v>20</v>
      </c>
      <c r="F216" s="12">
        <f t="shared" si="17"/>
        <v>0</v>
      </c>
      <c r="G216" s="12" t="str">
        <f t="shared" si="18"/>
        <v>OK</v>
      </c>
      <c r="H216" s="13">
        <f t="shared" si="19"/>
        <v>6</v>
      </c>
      <c r="I216" s="14">
        <f t="shared" si="15"/>
        <v>1799.2599999999998</v>
      </c>
      <c r="K216" t="str">
        <f>[1]!revcom(C216)</f>
        <v>TATATT</v>
      </c>
      <c r="L216">
        <v>6</v>
      </c>
    </row>
    <row r="217" spans="1:12" ht="15.6" x14ac:dyDescent="0.3">
      <c r="A217" s="9">
        <v>206</v>
      </c>
      <c r="B217" s="1"/>
      <c r="C217" s="2" t="s">
        <v>212</v>
      </c>
      <c r="D217" s="1"/>
      <c r="E217" s="11">
        <f t="shared" si="16"/>
        <v>18</v>
      </c>
      <c r="F217" s="12">
        <f t="shared" si="17"/>
        <v>16.666666666666664</v>
      </c>
      <c r="G217" s="12" t="str">
        <f t="shared" si="18"/>
        <v>OK</v>
      </c>
      <c r="H217" s="13">
        <f t="shared" si="19"/>
        <v>6</v>
      </c>
      <c r="I217" s="14">
        <f t="shared" si="15"/>
        <v>1775.23</v>
      </c>
      <c r="K217" t="str">
        <f>[1]!revcom(C217)</f>
        <v>GATATT</v>
      </c>
      <c r="L217">
        <v>5</v>
      </c>
    </row>
    <row r="218" spans="1:12" ht="15.6" x14ac:dyDescent="0.3">
      <c r="A218" s="9">
        <v>207</v>
      </c>
      <c r="B218" s="1"/>
      <c r="C218" s="2" t="s">
        <v>213</v>
      </c>
      <c r="D218" s="1"/>
      <c r="E218" s="11">
        <f t="shared" si="16"/>
        <v>18</v>
      </c>
      <c r="F218" s="12">
        <f t="shared" si="17"/>
        <v>16.666666666666664</v>
      </c>
      <c r="G218" s="12" t="str">
        <f t="shared" si="18"/>
        <v>OK</v>
      </c>
      <c r="H218" s="13">
        <f t="shared" si="19"/>
        <v>6</v>
      </c>
      <c r="I218" s="14">
        <f t="shared" si="15"/>
        <v>1815.2599999999998</v>
      </c>
      <c r="K218" t="str">
        <f>[1]!revcom(C218)</f>
        <v>CATATT</v>
      </c>
      <c r="L218">
        <v>5</v>
      </c>
    </row>
    <row r="219" spans="1:12" ht="15.6" x14ac:dyDescent="0.3">
      <c r="A219" s="9">
        <v>208</v>
      </c>
      <c r="B219" s="1"/>
      <c r="C219" s="2" t="s">
        <v>214</v>
      </c>
      <c r="D219" s="1"/>
      <c r="E219" s="11">
        <f t="shared" si="16"/>
        <v>12</v>
      </c>
      <c r="F219" s="12">
        <f t="shared" si="17"/>
        <v>0</v>
      </c>
      <c r="G219" s="12" t="str">
        <f t="shared" si="18"/>
        <v>OK</v>
      </c>
      <c r="H219" s="13">
        <f t="shared" si="19"/>
        <v>6</v>
      </c>
      <c r="I219" s="14">
        <f t="shared" si="15"/>
        <v>1790.2399999999998</v>
      </c>
      <c r="K219" t="str">
        <f>[1]!revcom(C219)</f>
        <v>AATATT</v>
      </c>
      <c r="L219">
        <v>4</v>
      </c>
    </row>
    <row r="220" spans="1:12" ht="15.6" x14ac:dyDescent="0.3">
      <c r="A220" s="9">
        <v>209</v>
      </c>
      <c r="B220" s="1"/>
      <c r="C220" s="2" t="s">
        <v>215</v>
      </c>
      <c r="D220" s="1"/>
      <c r="E220" s="11">
        <f t="shared" si="16"/>
        <v>26</v>
      </c>
      <c r="F220" s="12">
        <f t="shared" si="17"/>
        <v>16.666666666666664</v>
      </c>
      <c r="G220" s="12" t="str">
        <f t="shared" si="18"/>
        <v>OK</v>
      </c>
      <c r="H220" s="13">
        <f t="shared" si="19"/>
        <v>6</v>
      </c>
      <c r="I220" s="14">
        <f t="shared" si="15"/>
        <v>1784.25</v>
      </c>
      <c r="K220" t="str">
        <f>[1]!revcom(C220)</f>
        <v>TTGATT</v>
      </c>
      <c r="L220">
        <v>7</v>
      </c>
    </row>
    <row r="221" spans="1:12" ht="15.6" x14ac:dyDescent="0.3">
      <c r="A221" s="9">
        <v>210</v>
      </c>
      <c r="B221" s="1"/>
      <c r="C221" s="2" t="s">
        <v>216</v>
      </c>
      <c r="D221" s="1"/>
      <c r="E221" s="11">
        <f t="shared" si="16"/>
        <v>24</v>
      </c>
      <c r="F221" s="12">
        <f t="shared" si="17"/>
        <v>33.333333333333329</v>
      </c>
      <c r="G221" s="12" t="str">
        <f t="shared" si="18"/>
        <v>OK</v>
      </c>
      <c r="H221" s="13">
        <f t="shared" si="19"/>
        <v>6</v>
      </c>
      <c r="I221" s="14">
        <f t="shared" si="15"/>
        <v>1760.2199999999998</v>
      </c>
      <c r="K221" t="str">
        <f>[1]!revcom(C221)</f>
        <v>GTGATT</v>
      </c>
      <c r="L221">
        <v>6</v>
      </c>
    </row>
    <row r="222" spans="1:12" ht="15.6" x14ac:dyDescent="0.3">
      <c r="A222" s="9">
        <v>211</v>
      </c>
      <c r="B222" s="1"/>
      <c r="C222" s="2" t="s">
        <v>217</v>
      </c>
      <c r="D222" s="1"/>
      <c r="E222" s="11">
        <f t="shared" si="16"/>
        <v>24</v>
      </c>
      <c r="F222" s="12">
        <f t="shared" si="17"/>
        <v>33.333333333333329</v>
      </c>
      <c r="G222" s="12" t="str">
        <f t="shared" si="18"/>
        <v>OK</v>
      </c>
      <c r="H222" s="13">
        <f t="shared" si="19"/>
        <v>6</v>
      </c>
      <c r="I222" s="14">
        <f t="shared" si="15"/>
        <v>1800.25</v>
      </c>
      <c r="K222" t="str">
        <f>[1]!revcom(C222)</f>
        <v>CTGATT</v>
      </c>
      <c r="L222">
        <v>6</v>
      </c>
    </row>
    <row r="223" spans="1:12" ht="15.6" x14ac:dyDescent="0.3">
      <c r="A223" s="9">
        <v>212</v>
      </c>
      <c r="B223" s="1"/>
      <c r="C223" s="2" t="s">
        <v>218</v>
      </c>
      <c r="D223" s="1"/>
      <c r="E223" s="11">
        <f t="shared" si="16"/>
        <v>18</v>
      </c>
      <c r="F223" s="12">
        <f t="shared" si="17"/>
        <v>16.666666666666664</v>
      </c>
      <c r="G223" s="12" t="str">
        <f t="shared" si="18"/>
        <v>OK</v>
      </c>
      <c r="H223" s="13">
        <f t="shared" si="19"/>
        <v>6</v>
      </c>
      <c r="I223" s="14">
        <f t="shared" si="15"/>
        <v>1775.23</v>
      </c>
      <c r="K223" t="str">
        <f>[1]!revcom(C223)</f>
        <v>ATGATT</v>
      </c>
      <c r="L223">
        <v>5</v>
      </c>
    </row>
    <row r="224" spans="1:12" ht="15.6" x14ac:dyDescent="0.3">
      <c r="A224" s="9">
        <v>213</v>
      </c>
      <c r="B224" s="1"/>
      <c r="C224" s="2" t="s">
        <v>219</v>
      </c>
      <c r="D224" s="1"/>
      <c r="E224" s="11">
        <f t="shared" si="16"/>
        <v>24</v>
      </c>
      <c r="F224" s="12">
        <f t="shared" si="17"/>
        <v>33.333333333333329</v>
      </c>
      <c r="G224" s="12" t="str">
        <f t="shared" si="18"/>
        <v>OK</v>
      </c>
      <c r="H224" s="13">
        <f t="shared" si="19"/>
        <v>6</v>
      </c>
      <c r="I224" s="14">
        <f t="shared" si="15"/>
        <v>1760.2199999999998</v>
      </c>
      <c r="K224" t="str">
        <f>[1]!revcom(C224)</f>
        <v>TGGATT</v>
      </c>
      <c r="L224">
        <v>6</v>
      </c>
    </row>
    <row r="225" spans="1:12" ht="15.6" x14ac:dyDescent="0.3">
      <c r="A225" s="9">
        <v>214</v>
      </c>
      <c r="B225" s="1"/>
      <c r="C225" s="2" t="s">
        <v>220</v>
      </c>
      <c r="D225" s="1"/>
      <c r="E225" s="11">
        <f t="shared" si="16"/>
        <v>22</v>
      </c>
      <c r="F225" s="12">
        <f t="shared" si="17"/>
        <v>50</v>
      </c>
      <c r="G225" s="12" t="str">
        <f t="shared" si="18"/>
        <v>Warning</v>
      </c>
      <c r="H225" s="13">
        <f t="shared" si="19"/>
        <v>6</v>
      </c>
      <c r="I225" s="14">
        <f t="shared" si="15"/>
        <v>1736.19</v>
      </c>
      <c r="K225" t="str">
        <f>[1]!revcom(C225)</f>
        <v>GGGATT</v>
      </c>
      <c r="L225">
        <v>6</v>
      </c>
    </row>
    <row r="226" spans="1:12" ht="15.6" x14ac:dyDescent="0.3">
      <c r="A226" s="9">
        <v>215</v>
      </c>
      <c r="B226" s="1"/>
      <c r="C226" s="2" t="s">
        <v>221</v>
      </c>
      <c r="D226" s="1"/>
      <c r="E226" s="11">
        <f t="shared" si="16"/>
        <v>22</v>
      </c>
      <c r="F226" s="12">
        <f t="shared" si="17"/>
        <v>50</v>
      </c>
      <c r="G226" s="12" t="str">
        <f t="shared" si="18"/>
        <v>Warning</v>
      </c>
      <c r="H226" s="13">
        <f t="shared" si="19"/>
        <v>6</v>
      </c>
      <c r="I226" s="14">
        <f t="shared" si="15"/>
        <v>1776.2199999999998</v>
      </c>
      <c r="K226" t="str">
        <f>[1]!revcom(C226)</f>
        <v>CGGATT</v>
      </c>
      <c r="L226">
        <v>6</v>
      </c>
    </row>
    <row r="227" spans="1:12" ht="15.6" x14ac:dyDescent="0.3">
      <c r="A227" s="9">
        <v>216</v>
      </c>
      <c r="B227" s="1"/>
      <c r="C227" s="2" t="s">
        <v>222</v>
      </c>
      <c r="D227" s="1"/>
      <c r="E227" s="11">
        <f t="shared" si="16"/>
        <v>16</v>
      </c>
      <c r="F227" s="12">
        <f t="shared" si="17"/>
        <v>33.333333333333329</v>
      </c>
      <c r="G227" s="12" t="str">
        <f t="shared" si="18"/>
        <v>OK</v>
      </c>
      <c r="H227" s="13">
        <f t="shared" si="19"/>
        <v>6</v>
      </c>
      <c r="I227" s="14">
        <f t="shared" si="15"/>
        <v>1751.1999999999998</v>
      </c>
      <c r="K227" t="str">
        <f>[1]!revcom(C227)</f>
        <v>AGGATT</v>
      </c>
      <c r="L227">
        <v>5</v>
      </c>
    </row>
    <row r="228" spans="1:12" ht="15.6" x14ac:dyDescent="0.3">
      <c r="A228" s="9">
        <v>217</v>
      </c>
      <c r="B228" s="1"/>
      <c r="C228" s="2" t="s">
        <v>223</v>
      </c>
      <c r="D228" s="1"/>
      <c r="E228" s="11">
        <f t="shared" si="16"/>
        <v>24</v>
      </c>
      <c r="F228" s="12">
        <f t="shared" si="17"/>
        <v>33.333333333333329</v>
      </c>
      <c r="G228" s="12" t="str">
        <f t="shared" si="18"/>
        <v>OK</v>
      </c>
      <c r="H228" s="13">
        <f t="shared" si="19"/>
        <v>6</v>
      </c>
      <c r="I228" s="14">
        <f t="shared" si="15"/>
        <v>1800.25</v>
      </c>
      <c r="K228" t="str">
        <f>[1]!revcom(C228)</f>
        <v>TCGATT</v>
      </c>
      <c r="L228">
        <v>6</v>
      </c>
    </row>
    <row r="229" spans="1:12" ht="15.6" x14ac:dyDescent="0.3">
      <c r="A229" s="9">
        <v>218</v>
      </c>
      <c r="B229" s="1"/>
      <c r="C229" s="2" t="s">
        <v>224</v>
      </c>
      <c r="D229" s="1"/>
      <c r="E229" s="11">
        <f t="shared" si="16"/>
        <v>22</v>
      </c>
      <c r="F229" s="12">
        <f t="shared" si="17"/>
        <v>50</v>
      </c>
      <c r="G229" s="12" t="str">
        <f t="shared" si="18"/>
        <v>Warning</v>
      </c>
      <c r="H229" s="13">
        <f t="shared" si="19"/>
        <v>6</v>
      </c>
      <c r="I229" s="14">
        <f t="shared" si="15"/>
        <v>1776.2199999999998</v>
      </c>
      <c r="K229" t="str">
        <f>[1]!revcom(C229)</f>
        <v>GCGATT</v>
      </c>
      <c r="L229">
        <v>6</v>
      </c>
    </row>
    <row r="230" spans="1:12" ht="15.6" x14ac:dyDescent="0.3">
      <c r="A230" s="9">
        <v>219</v>
      </c>
      <c r="B230" s="1"/>
      <c r="C230" s="2" t="s">
        <v>225</v>
      </c>
      <c r="D230" s="1"/>
      <c r="E230" s="11">
        <f t="shared" si="16"/>
        <v>22</v>
      </c>
      <c r="F230" s="12">
        <f t="shared" si="17"/>
        <v>50</v>
      </c>
      <c r="G230" s="12" t="str">
        <f t="shared" si="18"/>
        <v>Warning</v>
      </c>
      <c r="H230" s="13">
        <f t="shared" si="19"/>
        <v>6</v>
      </c>
      <c r="I230" s="14">
        <f t="shared" si="15"/>
        <v>1816.25</v>
      </c>
      <c r="K230" t="str">
        <f>[1]!revcom(C230)</f>
        <v>CCGATT</v>
      </c>
      <c r="L230">
        <v>6</v>
      </c>
    </row>
    <row r="231" spans="1:12" ht="15.6" x14ac:dyDescent="0.3">
      <c r="A231" s="9">
        <v>220</v>
      </c>
      <c r="B231" s="1"/>
      <c r="C231" s="2" t="s">
        <v>226</v>
      </c>
      <c r="D231" s="1"/>
      <c r="E231" s="11">
        <f t="shared" si="16"/>
        <v>16</v>
      </c>
      <c r="F231" s="12">
        <f t="shared" si="17"/>
        <v>33.333333333333329</v>
      </c>
      <c r="G231" s="12" t="str">
        <f t="shared" si="18"/>
        <v>OK</v>
      </c>
      <c r="H231" s="13">
        <f t="shared" si="19"/>
        <v>6</v>
      </c>
      <c r="I231" s="14">
        <f t="shared" si="15"/>
        <v>1791.23</v>
      </c>
      <c r="K231" t="str">
        <f>[1]!revcom(C231)</f>
        <v>ACGATT</v>
      </c>
      <c r="L231">
        <v>5</v>
      </c>
    </row>
    <row r="232" spans="1:12" ht="15.6" x14ac:dyDescent="0.3">
      <c r="A232" s="9">
        <v>221</v>
      </c>
      <c r="B232" s="1"/>
      <c r="C232" s="2" t="s">
        <v>227</v>
      </c>
      <c r="D232" s="1"/>
      <c r="E232" s="11">
        <f t="shared" si="16"/>
        <v>18</v>
      </c>
      <c r="F232" s="12">
        <f t="shared" si="17"/>
        <v>16.666666666666664</v>
      </c>
      <c r="G232" s="12" t="str">
        <f t="shared" si="18"/>
        <v>OK</v>
      </c>
      <c r="H232" s="13">
        <f t="shared" si="19"/>
        <v>6</v>
      </c>
      <c r="I232" s="14">
        <f t="shared" si="15"/>
        <v>1775.23</v>
      </c>
      <c r="K232" t="str">
        <f>[1]!revcom(C232)</f>
        <v>TAGATT</v>
      </c>
      <c r="L232">
        <v>5</v>
      </c>
    </row>
    <row r="233" spans="1:12" ht="15.6" x14ac:dyDescent="0.3">
      <c r="A233" s="9">
        <v>222</v>
      </c>
      <c r="B233" s="1"/>
      <c r="C233" s="2" t="s">
        <v>228</v>
      </c>
      <c r="D233" s="1"/>
      <c r="E233" s="11">
        <f t="shared" si="16"/>
        <v>16</v>
      </c>
      <c r="F233" s="12">
        <f t="shared" si="17"/>
        <v>33.333333333333329</v>
      </c>
      <c r="G233" s="12" t="str">
        <f t="shared" si="18"/>
        <v>OK</v>
      </c>
      <c r="H233" s="13">
        <f t="shared" si="19"/>
        <v>6</v>
      </c>
      <c r="I233" s="14">
        <f t="shared" si="15"/>
        <v>1751.1999999999998</v>
      </c>
      <c r="K233" t="str">
        <f>[1]!revcom(C233)</f>
        <v>GAGATT</v>
      </c>
      <c r="L233">
        <v>5</v>
      </c>
    </row>
    <row r="234" spans="1:12" ht="15.6" x14ac:dyDescent="0.3">
      <c r="A234" s="9">
        <v>223</v>
      </c>
      <c r="B234" s="1"/>
      <c r="C234" s="2" t="s">
        <v>229</v>
      </c>
      <c r="D234" s="1"/>
      <c r="E234" s="11">
        <f t="shared" si="16"/>
        <v>16</v>
      </c>
      <c r="F234" s="12">
        <f t="shared" si="17"/>
        <v>33.333333333333329</v>
      </c>
      <c r="G234" s="12" t="str">
        <f t="shared" si="18"/>
        <v>OK</v>
      </c>
      <c r="H234" s="13">
        <f t="shared" si="19"/>
        <v>6</v>
      </c>
      <c r="I234" s="14">
        <f t="shared" si="15"/>
        <v>1791.23</v>
      </c>
      <c r="K234" t="str">
        <f>[1]!revcom(C234)</f>
        <v>CAGATT</v>
      </c>
      <c r="L234">
        <v>5</v>
      </c>
    </row>
    <row r="235" spans="1:12" ht="15.6" x14ac:dyDescent="0.3">
      <c r="A235" s="9">
        <v>224</v>
      </c>
      <c r="B235" s="1"/>
      <c r="C235" s="2" t="s">
        <v>230</v>
      </c>
      <c r="D235" s="1"/>
      <c r="E235" s="11">
        <f t="shared" si="16"/>
        <v>10</v>
      </c>
      <c r="F235" s="12">
        <f t="shared" si="17"/>
        <v>16.666666666666664</v>
      </c>
      <c r="G235" s="12" t="str">
        <f t="shared" si="18"/>
        <v>OK</v>
      </c>
      <c r="H235" s="13">
        <f t="shared" si="19"/>
        <v>6</v>
      </c>
      <c r="I235" s="14">
        <f t="shared" si="15"/>
        <v>1766.21</v>
      </c>
      <c r="K235" t="str">
        <f>[1]!revcom(C235)</f>
        <v>AAGATT</v>
      </c>
      <c r="L235">
        <v>4</v>
      </c>
    </row>
    <row r="236" spans="1:12" ht="15.6" x14ac:dyDescent="0.3">
      <c r="A236" s="9">
        <v>225</v>
      </c>
      <c r="B236" s="1"/>
      <c r="C236" s="2" t="s">
        <v>231</v>
      </c>
      <c r="D236" s="1"/>
      <c r="E236" s="11">
        <f t="shared" si="16"/>
        <v>26</v>
      </c>
      <c r="F236" s="12">
        <f t="shared" si="17"/>
        <v>16.666666666666664</v>
      </c>
      <c r="G236" s="12" t="str">
        <f t="shared" si="18"/>
        <v>OK</v>
      </c>
      <c r="H236" s="13">
        <f t="shared" si="19"/>
        <v>6</v>
      </c>
      <c r="I236" s="14">
        <f t="shared" si="15"/>
        <v>1824.2799999999997</v>
      </c>
      <c r="K236" t="str">
        <f>[1]!revcom(C236)</f>
        <v>TTCATT</v>
      </c>
      <c r="L236">
        <v>7</v>
      </c>
    </row>
    <row r="237" spans="1:12" ht="15.6" x14ac:dyDescent="0.3">
      <c r="A237" s="9">
        <v>226</v>
      </c>
      <c r="B237" s="1"/>
      <c r="C237" s="2" t="s">
        <v>232</v>
      </c>
      <c r="D237" s="1"/>
      <c r="E237" s="11">
        <f t="shared" si="16"/>
        <v>24</v>
      </c>
      <c r="F237" s="12">
        <f t="shared" si="17"/>
        <v>33.333333333333329</v>
      </c>
      <c r="G237" s="12" t="str">
        <f t="shared" si="18"/>
        <v>OK</v>
      </c>
      <c r="H237" s="13">
        <f t="shared" si="19"/>
        <v>6</v>
      </c>
      <c r="I237" s="14">
        <f t="shared" si="15"/>
        <v>1800.25</v>
      </c>
      <c r="K237" t="str">
        <f>[1]!revcom(C237)</f>
        <v>GTCATT</v>
      </c>
      <c r="L237">
        <v>6</v>
      </c>
    </row>
    <row r="238" spans="1:12" ht="15.6" x14ac:dyDescent="0.3">
      <c r="A238" s="9">
        <v>227</v>
      </c>
      <c r="B238" s="1"/>
      <c r="C238" s="2" t="s">
        <v>233</v>
      </c>
      <c r="D238" s="1"/>
      <c r="E238" s="11">
        <f t="shared" si="16"/>
        <v>24</v>
      </c>
      <c r="F238" s="12">
        <f t="shared" si="17"/>
        <v>33.333333333333329</v>
      </c>
      <c r="G238" s="12" t="str">
        <f t="shared" si="18"/>
        <v>OK</v>
      </c>
      <c r="H238" s="13">
        <f t="shared" si="19"/>
        <v>6</v>
      </c>
      <c r="I238" s="14">
        <f t="shared" si="15"/>
        <v>1840.2800000000002</v>
      </c>
      <c r="K238" t="str">
        <f>[1]!revcom(C238)</f>
        <v>CTCATT</v>
      </c>
      <c r="L238">
        <v>6</v>
      </c>
    </row>
    <row r="239" spans="1:12" ht="15.6" x14ac:dyDescent="0.3">
      <c r="A239" s="9">
        <v>228</v>
      </c>
      <c r="B239" s="1"/>
      <c r="C239" s="2" t="s">
        <v>234</v>
      </c>
      <c r="D239" s="1"/>
      <c r="E239" s="11">
        <f t="shared" si="16"/>
        <v>18</v>
      </c>
      <c r="F239" s="12">
        <f t="shared" si="17"/>
        <v>16.666666666666664</v>
      </c>
      <c r="G239" s="12" t="str">
        <f t="shared" si="18"/>
        <v>OK</v>
      </c>
      <c r="H239" s="13">
        <f t="shared" si="19"/>
        <v>6</v>
      </c>
      <c r="I239" s="14">
        <f t="shared" si="15"/>
        <v>1815.2599999999998</v>
      </c>
      <c r="K239" t="str">
        <f>[1]!revcom(C239)</f>
        <v>ATCATT</v>
      </c>
      <c r="L239">
        <v>5</v>
      </c>
    </row>
    <row r="240" spans="1:12" ht="15.6" x14ac:dyDescent="0.3">
      <c r="A240" s="9">
        <v>229</v>
      </c>
      <c r="B240" s="1"/>
      <c r="C240" s="2" t="s">
        <v>235</v>
      </c>
      <c r="D240" s="1"/>
      <c r="E240" s="11">
        <f t="shared" si="16"/>
        <v>24</v>
      </c>
      <c r="F240" s="12">
        <f t="shared" si="17"/>
        <v>33.333333333333329</v>
      </c>
      <c r="G240" s="12" t="str">
        <f t="shared" si="18"/>
        <v>OK</v>
      </c>
      <c r="H240" s="13">
        <f t="shared" si="19"/>
        <v>6</v>
      </c>
      <c r="I240" s="14">
        <f t="shared" si="15"/>
        <v>1800.25</v>
      </c>
      <c r="K240" t="str">
        <f>[1]!revcom(C240)</f>
        <v>TGCATT</v>
      </c>
      <c r="L240">
        <v>6</v>
      </c>
    </row>
    <row r="241" spans="1:12" ht="15.6" x14ac:dyDescent="0.3">
      <c r="A241" s="9">
        <v>230</v>
      </c>
      <c r="B241" s="1"/>
      <c r="C241" s="2" t="s">
        <v>236</v>
      </c>
      <c r="D241" s="1"/>
      <c r="E241" s="11">
        <f t="shared" si="16"/>
        <v>22</v>
      </c>
      <c r="F241" s="12">
        <f t="shared" si="17"/>
        <v>50</v>
      </c>
      <c r="G241" s="12" t="str">
        <f t="shared" si="18"/>
        <v>Warning</v>
      </c>
      <c r="H241" s="13">
        <f t="shared" si="19"/>
        <v>6</v>
      </c>
      <c r="I241" s="14">
        <f t="shared" si="15"/>
        <v>1776.2199999999998</v>
      </c>
      <c r="K241" t="str">
        <f>[1]!revcom(C241)</f>
        <v>GGCATT</v>
      </c>
      <c r="L241">
        <v>6</v>
      </c>
    </row>
    <row r="242" spans="1:12" ht="15.6" x14ac:dyDescent="0.3">
      <c r="A242" s="9">
        <v>231</v>
      </c>
      <c r="B242" s="1"/>
      <c r="C242" s="2" t="s">
        <v>237</v>
      </c>
      <c r="D242" s="1"/>
      <c r="E242" s="11">
        <f t="shared" si="16"/>
        <v>22</v>
      </c>
      <c r="F242" s="12">
        <f t="shared" si="17"/>
        <v>50</v>
      </c>
      <c r="G242" s="12" t="str">
        <f t="shared" si="18"/>
        <v>Warning</v>
      </c>
      <c r="H242" s="13">
        <f t="shared" si="19"/>
        <v>6</v>
      </c>
      <c r="I242" s="14">
        <f t="shared" si="15"/>
        <v>1816.25</v>
      </c>
      <c r="K242" t="str">
        <f>[1]!revcom(C242)</f>
        <v>CGCATT</v>
      </c>
      <c r="L242">
        <v>6</v>
      </c>
    </row>
    <row r="243" spans="1:12" ht="15.6" x14ac:dyDescent="0.3">
      <c r="A243" s="9">
        <v>232</v>
      </c>
      <c r="B243" s="1"/>
      <c r="C243" s="2" t="s">
        <v>238</v>
      </c>
      <c r="D243" s="1"/>
      <c r="E243" s="11">
        <f t="shared" si="16"/>
        <v>16</v>
      </c>
      <c r="F243" s="12">
        <f t="shared" si="17"/>
        <v>33.333333333333329</v>
      </c>
      <c r="G243" s="12" t="str">
        <f t="shared" si="18"/>
        <v>OK</v>
      </c>
      <c r="H243" s="13">
        <f t="shared" si="19"/>
        <v>6</v>
      </c>
      <c r="I243" s="14">
        <f t="shared" si="15"/>
        <v>1791.23</v>
      </c>
      <c r="K243" t="str">
        <f>[1]!revcom(C243)</f>
        <v>AGCATT</v>
      </c>
      <c r="L243">
        <v>5</v>
      </c>
    </row>
    <row r="244" spans="1:12" ht="15.6" x14ac:dyDescent="0.3">
      <c r="A244" s="9">
        <v>233</v>
      </c>
      <c r="B244" s="1"/>
      <c r="C244" s="2" t="s">
        <v>239</v>
      </c>
      <c r="D244" s="1"/>
      <c r="E244" s="11">
        <f t="shared" si="16"/>
        <v>24</v>
      </c>
      <c r="F244" s="12">
        <f t="shared" si="17"/>
        <v>33.333333333333329</v>
      </c>
      <c r="G244" s="12" t="str">
        <f t="shared" si="18"/>
        <v>OK</v>
      </c>
      <c r="H244" s="13">
        <f t="shared" si="19"/>
        <v>6</v>
      </c>
      <c r="I244" s="14">
        <f t="shared" si="15"/>
        <v>1840.2800000000002</v>
      </c>
      <c r="K244" t="str">
        <f>[1]!revcom(C244)</f>
        <v>TCCATT</v>
      </c>
      <c r="L244">
        <v>6</v>
      </c>
    </row>
    <row r="245" spans="1:12" ht="15.6" x14ac:dyDescent="0.3">
      <c r="A245" s="9">
        <v>234</v>
      </c>
      <c r="B245" s="1"/>
      <c r="C245" s="2" t="s">
        <v>240</v>
      </c>
      <c r="D245" s="1"/>
      <c r="E245" s="11">
        <f t="shared" si="16"/>
        <v>22</v>
      </c>
      <c r="F245" s="12">
        <f t="shared" si="17"/>
        <v>50</v>
      </c>
      <c r="G245" s="12" t="str">
        <f t="shared" si="18"/>
        <v>Warning</v>
      </c>
      <c r="H245" s="13">
        <f t="shared" si="19"/>
        <v>6</v>
      </c>
      <c r="I245" s="14">
        <f t="shared" si="15"/>
        <v>1816.25</v>
      </c>
      <c r="K245" t="str">
        <f>[1]!revcom(C245)</f>
        <v>GCCATT</v>
      </c>
      <c r="L245">
        <v>6</v>
      </c>
    </row>
    <row r="246" spans="1:12" ht="15.6" x14ac:dyDescent="0.3">
      <c r="A246" s="9">
        <v>235</v>
      </c>
      <c r="B246" s="1"/>
      <c r="C246" s="2" t="s">
        <v>241</v>
      </c>
      <c r="D246" s="1"/>
      <c r="E246" s="11">
        <f t="shared" si="16"/>
        <v>22</v>
      </c>
      <c r="F246" s="12">
        <f t="shared" si="17"/>
        <v>50</v>
      </c>
      <c r="G246" s="12" t="str">
        <f t="shared" si="18"/>
        <v>Warning</v>
      </c>
      <c r="H246" s="13">
        <f t="shared" si="19"/>
        <v>6</v>
      </c>
      <c r="I246" s="14">
        <f t="shared" si="15"/>
        <v>1856.2800000000002</v>
      </c>
      <c r="K246" t="str">
        <f>[1]!revcom(C246)</f>
        <v>CCCATT</v>
      </c>
      <c r="L246">
        <v>6</v>
      </c>
    </row>
    <row r="247" spans="1:12" ht="15.6" x14ac:dyDescent="0.3">
      <c r="A247" s="9">
        <v>236</v>
      </c>
      <c r="B247" s="1"/>
      <c r="C247" s="2" t="s">
        <v>242</v>
      </c>
      <c r="D247" s="1"/>
      <c r="E247" s="11">
        <f t="shared" si="16"/>
        <v>16</v>
      </c>
      <c r="F247" s="12">
        <f t="shared" si="17"/>
        <v>33.333333333333329</v>
      </c>
      <c r="G247" s="12" t="str">
        <f t="shared" si="18"/>
        <v>OK</v>
      </c>
      <c r="H247" s="13">
        <f t="shared" si="19"/>
        <v>6</v>
      </c>
      <c r="I247" s="14">
        <f t="shared" si="15"/>
        <v>1831.2600000000002</v>
      </c>
      <c r="K247" t="str">
        <f>[1]!revcom(C247)</f>
        <v>ACCATT</v>
      </c>
      <c r="L247">
        <v>5</v>
      </c>
    </row>
    <row r="248" spans="1:12" ht="15.6" x14ac:dyDescent="0.3">
      <c r="A248" s="9">
        <v>237</v>
      </c>
      <c r="B248" s="1"/>
      <c r="C248" s="2" t="s">
        <v>243</v>
      </c>
      <c r="D248" s="1"/>
      <c r="E248" s="11">
        <f t="shared" si="16"/>
        <v>18</v>
      </c>
      <c r="F248" s="12">
        <f t="shared" si="17"/>
        <v>16.666666666666664</v>
      </c>
      <c r="G248" s="12" t="str">
        <f t="shared" si="18"/>
        <v>OK</v>
      </c>
      <c r="H248" s="13">
        <f t="shared" si="19"/>
        <v>6</v>
      </c>
      <c r="I248" s="14">
        <f t="shared" si="15"/>
        <v>1815.2599999999998</v>
      </c>
      <c r="K248" t="str">
        <f>[1]!revcom(C248)</f>
        <v>TACATT</v>
      </c>
      <c r="L248">
        <v>5</v>
      </c>
    </row>
    <row r="249" spans="1:12" ht="15.6" x14ac:dyDescent="0.3">
      <c r="A249" s="9">
        <v>238</v>
      </c>
      <c r="B249" s="1"/>
      <c r="C249" s="2" t="s">
        <v>244</v>
      </c>
      <c r="D249" s="1"/>
      <c r="E249" s="11">
        <f t="shared" si="16"/>
        <v>16</v>
      </c>
      <c r="F249" s="12">
        <f t="shared" si="17"/>
        <v>33.333333333333329</v>
      </c>
      <c r="G249" s="12" t="str">
        <f t="shared" si="18"/>
        <v>OK</v>
      </c>
      <c r="H249" s="13">
        <f t="shared" si="19"/>
        <v>6</v>
      </c>
      <c r="I249" s="14">
        <f t="shared" si="15"/>
        <v>1791.23</v>
      </c>
      <c r="K249" t="str">
        <f>[1]!revcom(C249)</f>
        <v>GACATT</v>
      </c>
      <c r="L249">
        <v>5</v>
      </c>
    </row>
    <row r="250" spans="1:12" ht="15.6" x14ac:dyDescent="0.3">
      <c r="A250" s="9">
        <v>239</v>
      </c>
      <c r="B250" s="1"/>
      <c r="C250" s="2" t="s">
        <v>245</v>
      </c>
      <c r="D250" s="1"/>
      <c r="E250" s="11">
        <f t="shared" si="16"/>
        <v>16</v>
      </c>
      <c r="F250" s="12">
        <f t="shared" si="17"/>
        <v>33.333333333333329</v>
      </c>
      <c r="G250" s="12" t="str">
        <f t="shared" si="18"/>
        <v>OK</v>
      </c>
      <c r="H250" s="13">
        <f t="shared" si="19"/>
        <v>6</v>
      </c>
      <c r="I250" s="14">
        <f t="shared" si="15"/>
        <v>1831.2600000000002</v>
      </c>
      <c r="K250" t="str">
        <f>[1]!revcom(C250)</f>
        <v>CACATT</v>
      </c>
      <c r="L250">
        <v>5</v>
      </c>
    </row>
    <row r="251" spans="1:12" ht="15.6" x14ac:dyDescent="0.3">
      <c r="A251" s="9">
        <v>240</v>
      </c>
      <c r="B251" s="1"/>
      <c r="C251" s="2" t="s">
        <v>246</v>
      </c>
      <c r="D251" s="1"/>
      <c r="E251" s="11">
        <f t="shared" si="16"/>
        <v>10</v>
      </c>
      <c r="F251" s="12">
        <f t="shared" si="17"/>
        <v>16.666666666666664</v>
      </c>
      <c r="G251" s="12" t="str">
        <f t="shared" si="18"/>
        <v>OK</v>
      </c>
      <c r="H251" s="13">
        <f t="shared" si="19"/>
        <v>6</v>
      </c>
      <c r="I251" s="14">
        <f t="shared" si="15"/>
        <v>1806.2399999999998</v>
      </c>
      <c r="K251" t="str">
        <f>[1]!revcom(C251)</f>
        <v>AACATT</v>
      </c>
      <c r="L251">
        <v>4</v>
      </c>
    </row>
    <row r="252" spans="1:12" ht="15.6" x14ac:dyDescent="0.3">
      <c r="A252" s="9">
        <v>241</v>
      </c>
      <c r="B252" s="1"/>
      <c r="C252" s="2" t="s">
        <v>247</v>
      </c>
      <c r="D252" s="1"/>
      <c r="E252" s="11">
        <f t="shared" si="16"/>
        <v>20</v>
      </c>
      <c r="F252" s="12">
        <f t="shared" si="17"/>
        <v>0</v>
      </c>
      <c r="G252" s="12" t="str">
        <f t="shared" si="18"/>
        <v>OK</v>
      </c>
      <c r="H252" s="13">
        <f t="shared" si="19"/>
        <v>6</v>
      </c>
      <c r="I252" s="14">
        <f t="shared" si="15"/>
        <v>1799.2599999999998</v>
      </c>
      <c r="K252" t="str">
        <f>[1]!revcom(C252)</f>
        <v>TTAATT</v>
      </c>
      <c r="L252">
        <v>6</v>
      </c>
    </row>
    <row r="253" spans="1:12" ht="15.6" x14ac:dyDescent="0.3">
      <c r="A253" s="9">
        <v>242</v>
      </c>
      <c r="B253" s="1"/>
      <c r="C253" s="2" t="s">
        <v>248</v>
      </c>
      <c r="D253" s="1"/>
      <c r="E253" s="11">
        <f t="shared" si="16"/>
        <v>18</v>
      </c>
      <c r="F253" s="12">
        <f t="shared" si="17"/>
        <v>16.666666666666664</v>
      </c>
      <c r="G253" s="12" t="str">
        <f t="shared" si="18"/>
        <v>OK</v>
      </c>
      <c r="H253" s="13">
        <f t="shared" si="19"/>
        <v>6</v>
      </c>
      <c r="I253" s="14">
        <f t="shared" si="15"/>
        <v>1775.23</v>
      </c>
      <c r="K253" t="str">
        <f>[1]!revcom(C253)</f>
        <v>GTAATT</v>
      </c>
      <c r="L253">
        <v>5</v>
      </c>
    </row>
    <row r="254" spans="1:12" ht="15.6" x14ac:dyDescent="0.3">
      <c r="A254" s="9">
        <v>243</v>
      </c>
      <c r="B254" s="1"/>
      <c r="C254" s="2" t="s">
        <v>249</v>
      </c>
      <c r="D254" s="1"/>
      <c r="E254" s="11">
        <f t="shared" si="16"/>
        <v>18</v>
      </c>
      <c r="F254" s="12">
        <f t="shared" si="17"/>
        <v>16.666666666666664</v>
      </c>
      <c r="G254" s="12" t="str">
        <f t="shared" si="18"/>
        <v>OK</v>
      </c>
      <c r="H254" s="13">
        <f t="shared" si="19"/>
        <v>6</v>
      </c>
      <c r="I254" s="14">
        <f t="shared" si="15"/>
        <v>1815.2599999999998</v>
      </c>
      <c r="K254" t="str">
        <f>[1]!revcom(C254)</f>
        <v>CTAATT</v>
      </c>
      <c r="L254">
        <v>5</v>
      </c>
    </row>
    <row r="255" spans="1:12" ht="15.6" x14ac:dyDescent="0.3">
      <c r="A255" s="9">
        <v>244</v>
      </c>
      <c r="B255" s="1"/>
      <c r="C255" s="2" t="s">
        <v>250</v>
      </c>
      <c r="D255" s="1"/>
      <c r="E255" s="11">
        <f t="shared" si="16"/>
        <v>12</v>
      </c>
      <c r="F255" s="12">
        <f t="shared" si="17"/>
        <v>0</v>
      </c>
      <c r="G255" s="12" t="str">
        <f t="shared" si="18"/>
        <v>OK</v>
      </c>
      <c r="H255" s="13">
        <f t="shared" si="19"/>
        <v>6</v>
      </c>
      <c r="I255" s="14">
        <f t="shared" si="15"/>
        <v>1790.2399999999998</v>
      </c>
      <c r="K255" t="str">
        <f>[1]!revcom(C255)</f>
        <v>ATAATT</v>
      </c>
      <c r="L255">
        <v>4</v>
      </c>
    </row>
    <row r="256" spans="1:12" ht="15.6" x14ac:dyDescent="0.3">
      <c r="A256" s="9">
        <v>245</v>
      </c>
      <c r="B256" s="1"/>
      <c r="C256" s="2" t="s">
        <v>251</v>
      </c>
      <c r="D256" s="1"/>
      <c r="E256" s="11">
        <f t="shared" si="16"/>
        <v>18</v>
      </c>
      <c r="F256" s="12">
        <f t="shared" si="17"/>
        <v>16.666666666666664</v>
      </c>
      <c r="G256" s="12" t="str">
        <f t="shared" si="18"/>
        <v>OK</v>
      </c>
      <c r="H256" s="13">
        <f t="shared" si="19"/>
        <v>6</v>
      </c>
      <c r="I256" s="14">
        <f t="shared" si="15"/>
        <v>1775.23</v>
      </c>
      <c r="K256" t="str">
        <f>[1]!revcom(C256)</f>
        <v>TGAATT</v>
      </c>
      <c r="L256">
        <v>5</v>
      </c>
    </row>
    <row r="257" spans="1:12" ht="15.6" x14ac:dyDescent="0.3">
      <c r="A257" s="9">
        <v>246</v>
      </c>
      <c r="B257" s="1"/>
      <c r="C257" s="2" t="s">
        <v>252</v>
      </c>
      <c r="D257" s="1"/>
      <c r="E257" s="11">
        <f t="shared" si="16"/>
        <v>16</v>
      </c>
      <c r="F257" s="12">
        <f t="shared" si="17"/>
        <v>33.333333333333329</v>
      </c>
      <c r="G257" s="12" t="str">
        <f t="shared" si="18"/>
        <v>OK</v>
      </c>
      <c r="H257" s="13">
        <f t="shared" si="19"/>
        <v>6</v>
      </c>
      <c r="I257" s="14">
        <f t="shared" si="15"/>
        <v>1751.1999999999998</v>
      </c>
      <c r="K257" t="str">
        <f>[1]!revcom(C257)</f>
        <v>GGAATT</v>
      </c>
      <c r="L257">
        <v>5</v>
      </c>
    </row>
    <row r="258" spans="1:12" ht="15.6" x14ac:dyDescent="0.3">
      <c r="A258" s="9">
        <v>247</v>
      </c>
      <c r="B258" s="1"/>
      <c r="C258" s="2" t="s">
        <v>253</v>
      </c>
      <c r="D258" s="1"/>
      <c r="E258" s="11">
        <f t="shared" si="16"/>
        <v>16</v>
      </c>
      <c r="F258" s="12">
        <f t="shared" si="17"/>
        <v>33.333333333333329</v>
      </c>
      <c r="G258" s="12" t="str">
        <f t="shared" si="18"/>
        <v>OK</v>
      </c>
      <c r="H258" s="13">
        <f t="shared" si="19"/>
        <v>6</v>
      </c>
      <c r="I258" s="14">
        <f t="shared" si="15"/>
        <v>1791.23</v>
      </c>
      <c r="K258" t="str">
        <f>[1]!revcom(C258)</f>
        <v>CGAATT</v>
      </c>
      <c r="L258">
        <v>5</v>
      </c>
    </row>
    <row r="259" spans="1:12" ht="15.6" x14ac:dyDescent="0.3">
      <c r="A259" s="9">
        <v>248</v>
      </c>
      <c r="B259" s="1"/>
      <c r="C259" s="2" t="s">
        <v>254</v>
      </c>
      <c r="D259" s="1"/>
      <c r="E259" s="11">
        <f t="shared" si="16"/>
        <v>10</v>
      </c>
      <c r="F259" s="12">
        <f t="shared" si="17"/>
        <v>16.666666666666664</v>
      </c>
      <c r="G259" s="12" t="str">
        <f t="shared" si="18"/>
        <v>OK</v>
      </c>
      <c r="H259" s="13">
        <f t="shared" si="19"/>
        <v>6</v>
      </c>
      <c r="I259" s="14">
        <f t="shared" si="15"/>
        <v>1766.21</v>
      </c>
      <c r="K259" t="str">
        <f>[1]!revcom(C259)</f>
        <v>AGAATT</v>
      </c>
      <c r="L259">
        <v>4</v>
      </c>
    </row>
    <row r="260" spans="1:12" ht="15.6" x14ac:dyDescent="0.3">
      <c r="A260" s="9">
        <v>249</v>
      </c>
      <c r="B260" s="1"/>
      <c r="C260" s="2" t="s">
        <v>255</v>
      </c>
      <c r="D260" s="1"/>
      <c r="E260" s="11">
        <f t="shared" si="16"/>
        <v>18</v>
      </c>
      <c r="F260" s="12">
        <f t="shared" si="17"/>
        <v>16.666666666666664</v>
      </c>
      <c r="G260" s="12" t="str">
        <f t="shared" si="18"/>
        <v>OK</v>
      </c>
      <c r="H260" s="13">
        <f t="shared" si="19"/>
        <v>6</v>
      </c>
      <c r="I260" s="14">
        <f t="shared" si="15"/>
        <v>1815.2599999999998</v>
      </c>
      <c r="K260" t="str">
        <f>[1]!revcom(C260)</f>
        <v>TCAATT</v>
      </c>
      <c r="L260">
        <v>5</v>
      </c>
    </row>
    <row r="261" spans="1:12" ht="15.6" x14ac:dyDescent="0.3">
      <c r="A261" s="9">
        <v>250</v>
      </c>
      <c r="B261" s="1"/>
      <c r="C261" s="2" t="s">
        <v>256</v>
      </c>
      <c r="D261" s="1"/>
      <c r="E261" s="11">
        <f t="shared" si="16"/>
        <v>16</v>
      </c>
      <c r="F261" s="12">
        <f t="shared" si="17"/>
        <v>33.333333333333329</v>
      </c>
      <c r="G261" s="12" t="str">
        <f t="shared" si="18"/>
        <v>OK</v>
      </c>
      <c r="H261" s="13">
        <f t="shared" si="19"/>
        <v>6</v>
      </c>
      <c r="I261" s="14">
        <f t="shared" si="15"/>
        <v>1791.23</v>
      </c>
      <c r="K261" t="str">
        <f>[1]!revcom(C261)</f>
        <v>GCAATT</v>
      </c>
      <c r="L261">
        <v>5</v>
      </c>
    </row>
    <row r="262" spans="1:12" ht="15.6" x14ac:dyDescent="0.3">
      <c r="A262" s="9">
        <v>251</v>
      </c>
      <c r="B262" s="1"/>
      <c r="C262" s="2" t="s">
        <v>257</v>
      </c>
      <c r="D262" s="1"/>
      <c r="E262" s="11">
        <f t="shared" si="16"/>
        <v>16</v>
      </c>
      <c r="F262" s="12">
        <f t="shared" si="17"/>
        <v>33.333333333333329</v>
      </c>
      <c r="G262" s="12" t="str">
        <f t="shared" si="18"/>
        <v>OK</v>
      </c>
      <c r="H262" s="13">
        <f t="shared" si="19"/>
        <v>6</v>
      </c>
      <c r="I262" s="14">
        <f t="shared" si="15"/>
        <v>1831.2600000000002</v>
      </c>
      <c r="K262" t="str">
        <f>[1]!revcom(C262)</f>
        <v>CCAATT</v>
      </c>
      <c r="L262">
        <v>5</v>
      </c>
    </row>
    <row r="263" spans="1:12" ht="15.6" x14ac:dyDescent="0.3">
      <c r="A263" s="9">
        <v>252</v>
      </c>
      <c r="B263" s="1"/>
      <c r="C263" s="2" t="s">
        <v>258</v>
      </c>
      <c r="D263" s="1"/>
      <c r="E263" s="11">
        <f t="shared" si="16"/>
        <v>10</v>
      </c>
      <c r="F263" s="12">
        <f t="shared" si="17"/>
        <v>16.666666666666664</v>
      </c>
      <c r="G263" s="12" t="str">
        <f t="shared" si="18"/>
        <v>OK</v>
      </c>
      <c r="H263" s="13">
        <f t="shared" si="19"/>
        <v>6</v>
      </c>
      <c r="I263" s="14">
        <f t="shared" si="15"/>
        <v>1806.2399999999998</v>
      </c>
      <c r="K263" t="str">
        <f>[1]!revcom(C263)</f>
        <v>ACAATT</v>
      </c>
      <c r="L263">
        <v>4</v>
      </c>
    </row>
    <row r="264" spans="1:12" ht="15.6" x14ac:dyDescent="0.3">
      <c r="A264" s="9">
        <v>253</v>
      </c>
      <c r="B264" s="1"/>
      <c r="C264" s="2" t="s">
        <v>259</v>
      </c>
      <c r="D264" s="1"/>
      <c r="E264" s="11">
        <f t="shared" si="16"/>
        <v>12</v>
      </c>
      <c r="F264" s="12">
        <f t="shared" si="17"/>
        <v>0</v>
      </c>
      <c r="G264" s="12" t="str">
        <f t="shared" si="18"/>
        <v>OK</v>
      </c>
      <c r="H264" s="13">
        <f t="shared" si="19"/>
        <v>6</v>
      </c>
      <c r="I264" s="14">
        <f t="shared" si="15"/>
        <v>1790.2399999999998</v>
      </c>
      <c r="K264" t="str">
        <f>[1]!revcom(C264)</f>
        <v>TAAATT</v>
      </c>
      <c r="L264">
        <v>4</v>
      </c>
    </row>
    <row r="265" spans="1:12" ht="15.6" x14ac:dyDescent="0.3">
      <c r="A265" s="9">
        <v>254</v>
      </c>
      <c r="B265" s="1"/>
      <c r="C265" s="2" t="s">
        <v>260</v>
      </c>
      <c r="D265" s="1"/>
      <c r="E265" s="11">
        <f t="shared" si="16"/>
        <v>10</v>
      </c>
      <c r="F265" s="12">
        <f t="shared" si="17"/>
        <v>16.666666666666664</v>
      </c>
      <c r="G265" s="12" t="str">
        <f t="shared" si="18"/>
        <v>OK</v>
      </c>
      <c r="H265" s="13">
        <f t="shared" si="19"/>
        <v>6</v>
      </c>
      <c r="I265" s="14">
        <f t="shared" si="15"/>
        <v>1766.21</v>
      </c>
      <c r="K265" t="str">
        <f>[1]!revcom(C265)</f>
        <v>GAAATT</v>
      </c>
      <c r="L265">
        <v>4</v>
      </c>
    </row>
    <row r="266" spans="1:12" ht="15.6" x14ac:dyDescent="0.3">
      <c r="A266" s="9">
        <v>255</v>
      </c>
      <c r="B266" s="1"/>
      <c r="C266" s="2" t="s">
        <v>261</v>
      </c>
      <c r="D266" s="1"/>
      <c r="E266" s="11">
        <f t="shared" si="16"/>
        <v>10</v>
      </c>
      <c r="F266" s="12">
        <f t="shared" si="17"/>
        <v>16.666666666666664</v>
      </c>
      <c r="G266" s="12" t="str">
        <f t="shared" si="18"/>
        <v>OK</v>
      </c>
      <c r="H266" s="13">
        <f t="shared" si="19"/>
        <v>6</v>
      </c>
      <c r="I266" s="14">
        <f t="shared" si="15"/>
        <v>1806.2399999999998</v>
      </c>
      <c r="K266" t="str">
        <f>[1]!revcom(C266)</f>
        <v>CAAATT</v>
      </c>
      <c r="L266">
        <v>4</v>
      </c>
    </row>
    <row r="267" spans="1:12" ht="15.6" x14ac:dyDescent="0.3">
      <c r="A267" s="9">
        <v>256</v>
      </c>
      <c r="B267" s="1"/>
      <c r="C267" s="2" t="s">
        <v>262</v>
      </c>
      <c r="D267" s="1"/>
      <c r="E267" s="11">
        <f t="shared" si="16"/>
        <v>4</v>
      </c>
      <c r="F267" s="12">
        <f t="shared" si="17"/>
        <v>0</v>
      </c>
      <c r="G267" s="12" t="str">
        <f t="shared" si="18"/>
        <v>OK</v>
      </c>
      <c r="H267" s="13">
        <f t="shared" si="19"/>
        <v>6</v>
      </c>
      <c r="I267" s="14">
        <f t="shared" si="15"/>
        <v>1781.2199999999998</v>
      </c>
      <c r="K267" t="str">
        <f>[1]!revcom(C267)</f>
        <v>AAAATT</v>
      </c>
      <c r="L267">
        <v>3</v>
      </c>
    </row>
    <row r="268" spans="1:12" ht="15.6" x14ac:dyDescent="0.3">
      <c r="A268" s="9">
        <v>257</v>
      </c>
      <c r="B268" s="1"/>
      <c r="C268" s="2" t="s">
        <v>263</v>
      </c>
      <c r="D268" s="1"/>
      <c r="E268" s="11">
        <f t="shared" si="16"/>
        <v>34</v>
      </c>
      <c r="F268" s="12">
        <f t="shared" si="17"/>
        <v>16.666666666666664</v>
      </c>
      <c r="G268" s="12" t="str">
        <f t="shared" si="18"/>
        <v>OK</v>
      </c>
      <c r="H268" s="13">
        <f t="shared" si="19"/>
        <v>6</v>
      </c>
      <c r="I268" s="14">
        <f t="shared" si="15"/>
        <v>1793.27</v>
      </c>
      <c r="K268" t="str">
        <f>[1]!revcom(C268)</f>
        <v>TTTTGT</v>
      </c>
      <c r="L268">
        <v>8</v>
      </c>
    </row>
    <row r="269" spans="1:12" ht="15.6" x14ac:dyDescent="0.3">
      <c r="A269" s="9">
        <v>258</v>
      </c>
      <c r="B269" s="1"/>
      <c r="C269" s="2" t="s">
        <v>264</v>
      </c>
      <c r="D269" s="1"/>
      <c r="E269" s="11">
        <f t="shared" si="16"/>
        <v>32</v>
      </c>
      <c r="F269" s="12">
        <f t="shared" si="17"/>
        <v>33.333333333333329</v>
      </c>
      <c r="G269" s="12" t="str">
        <f t="shared" si="18"/>
        <v>OK</v>
      </c>
      <c r="H269" s="13">
        <f t="shared" si="19"/>
        <v>6</v>
      </c>
      <c r="I269" s="14">
        <f t="shared" ref="I269:I332" si="20">((LEN(C269)-(LEN(SUBSTITUTE(C269,"A",""))))*249.23)+((LEN(C269)-(LEN(SUBSTITUTE(C269,"T",""))))*240.21)+((LEN(C269)-(LEN(SUBSTITUTE(C269,"C",""))))*225.2)+((LEN(C269)-(LEN(SUBSTITUTE(C269,"G",""))))*265.23)+(63.98*(LEN(C269)-1)+(2.02))</f>
        <v>1769.2399999999998</v>
      </c>
      <c r="K269" t="str">
        <f>[1]!revcom(C269)</f>
        <v>GTTTGT</v>
      </c>
      <c r="L269">
        <v>8</v>
      </c>
    </row>
    <row r="270" spans="1:12" ht="15.6" x14ac:dyDescent="0.3">
      <c r="A270" s="9">
        <v>259</v>
      </c>
      <c r="B270" s="1"/>
      <c r="C270" s="2" t="s">
        <v>265</v>
      </c>
      <c r="D270" s="1"/>
      <c r="E270" s="11">
        <f t="shared" ref="E270:E333" si="21">IF(LEN(C270)&gt;15,(69.3+((41*((LEN(C270)-(((LEN(C270)-(LEN(SUBSTITUTE(C270,"A",""))))+((LEN(C270)-(LEN(SUBSTITUTE(C270,"T","")))))))))/(LEN(C270)))-(650/(LEN(C270))))),(2*((LEN(C270)-(((LEN(C270)-(LEN(SUBSTITUTE(C270,"C",""))))+((LEN(C270)-(LEN(SUBSTITUTE(C270,"G",""))))))))))+(4*((LEN(C270)-(((LEN(C270)-(LEN(SUBSTITUTE(C270,"T",""))))+((LEN(C270)-(LEN(SUBSTITUTE(C270,"T","")))))))))))</f>
        <v>32</v>
      </c>
      <c r="F270" s="12">
        <f t="shared" ref="F270:F333" si="22">((LEN(C270)- LEN(SUBSTITUTE(C270,"G","")))+(LEN(C270)- LEN(SUBSTITUTE(C270,"C",""))) )/LEN(C270)*100</f>
        <v>33.333333333333329</v>
      </c>
      <c r="G270" s="12" t="str">
        <f t="shared" ref="G270:G333" si="23">IF((-5+((LEN(SUBSTITUTE(RIGHT(C270,5),"C","")))+((LEN(SUBSTITUTE(RIGHT(C270,5),"G",""))))))&gt;=3,"OK","Warning")</f>
        <v>OK</v>
      </c>
      <c r="H270" s="13">
        <f t="shared" ref="H270:H333" si="24">LEN(C270)</f>
        <v>6</v>
      </c>
      <c r="I270" s="14">
        <f t="shared" si="20"/>
        <v>1809.27</v>
      </c>
      <c r="K270" t="str">
        <f>[1]!revcom(C270)</f>
        <v>CTTTGT</v>
      </c>
      <c r="L270">
        <v>8</v>
      </c>
    </row>
    <row r="271" spans="1:12" ht="15.6" x14ac:dyDescent="0.3">
      <c r="A271" s="9">
        <v>260</v>
      </c>
      <c r="B271" s="1"/>
      <c r="C271" s="2" t="s">
        <v>266</v>
      </c>
      <c r="D271" s="1"/>
      <c r="E271" s="11">
        <f t="shared" si="21"/>
        <v>26</v>
      </c>
      <c r="F271" s="12">
        <f t="shared" si="22"/>
        <v>16.666666666666664</v>
      </c>
      <c r="G271" s="12" t="str">
        <f t="shared" si="23"/>
        <v>OK</v>
      </c>
      <c r="H271" s="13">
        <f t="shared" si="24"/>
        <v>6</v>
      </c>
      <c r="I271" s="14">
        <f t="shared" si="20"/>
        <v>1784.25</v>
      </c>
      <c r="K271" t="str">
        <f>[1]!revcom(C271)</f>
        <v>ATTTGT</v>
      </c>
      <c r="L271">
        <v>7</v>
      </c>
    </row>
    <row r="272" spans="1:12" ht="15.6" x14ac:dyDescent="0.3">
      <c r="A272" s="9">
        <v>261</v>
      </c>
      <c r="B272" s="1"/>
      <c r="C272" s="2" t="s">
        <v>267</v>
      </c>
      <c r="D272" s="1"/>
      <c r="E272" s="11">
        <f t="shared" si="21"/>
        <v>32</v>
      </c>
      <c r="F272" s="12">
        <f t="shared" si="22"/>
        <v>33.333333333333329</v>
      </c>
      <c r="G272" s="12" t="str">
        <f t="shared" si="23"/>
        <v>OK</v>
      </c>
      <c r="H272" s="13">
        <f t="shared" si="24"/>
        <v>6</v>
      </c>
      <c r="I272" s="14">
        <f t="shared" si="20"/>
        <v>1769.2399999999998</v>
      </c>
      <c r="K272" t="str">
        <f>[1]!revcom(C272)</f>
        <v>TGTTGT</v>
      </c>
      <c r="L272">
        <v>8</v>
      </c>
    </row>
    <row r="273" spans="1:12" ht="15.6" x14ac:dyDescent="0.3">
      <c r="A273" s="9">
        <v>262</v>
      </c>
      <c r="B273" s="1"/>
      <c r="C273" s="2" t="s">
        <v>268</v>
      </c>
      <c r="D273" s="1"/>
      <c r="E273" s="11">
        <f t="shared" si="21"/>
        <v>30</v>
      </c>
      <c r="F273" s="12">
        <f t="shared" si="22"/>
        <v>50</v>
      </c>
      <c r="G273" s="12" t="str">
        <f t="shared" si="23"/>
        <v>Warning</v>
      </c>
      <c r="H273" s="13">
        <f t="shared" si="24"/>
        <v>6</v>
      </c>
      <c r="I273" s="14">
        <f t="shared" si="20"/>
        <v>1745.21</v>
      </c>
      <c r="K273" t="str">
        <f>[1]!revcom(C273)</f>
        <v>GGTTGT</v>
      </c>
      <c r="L273">
        <v>7</v>
      </c>
    </row>
    <row r="274" spans="1:12" ht="15.6" x14ac:dyDescent="0.3">
      <c r="A274" s="9">
        <v>263</v>
      </c>
      <c r="B274" s="1"/>
      <c r="C274" s="2" t="s">
        <v>269</v>
      </c>
      <c r="D274" s="1"/>
      <c r="E274" s="11">
        <f t="shared" si="21"/>
        <v>30</v>
      </c>
      <c r="F274" s="12">
        <f t="shared" si="22"/>
        <v>50</v>
      </c>
      <c r="G274" s="12" t="str">
        <f t="shared" si="23"/>
        <v>Warning</v>
      </c>
      <c r="H274" s="13">
        <f t="shared" si="24"/>
        <v>6</v>
      </c>
      <c r="I274" s="14">
        <f t="shared" si="20"/>
        <v>1785.2399999999998</v>
      </c>
      <c r="K274" t="str">
        <f>[1]!revcom(C274)</f>
        <v>CGTTGT</v>
      </c>
      <c r="L274">
        <v>7</v>
      </c>
    </row>
    <row r="275" spans="1:12" ht="15.6" x14ac:dyDescent="0.3">
      <c r="A275" s="9">
        <v>264</v>
      </c>
      <c r="B275" s="1"/>
      <c r="C275" s="2" t="s">
        <v>270</v>
      </c>
      <c r="D275" s="1"/>
      <c r="E275" s="11">
        <f t="shared" si="21"/>
        <v>24</v>
      </c>
      <c r="F275" s="12">
        <f t="shared" si="22"/>
        <v>33.333333333333329</v>
      </c>
      <c r="G275" s="12" t="str">
        <f t="shared" si="23"/>
        <v>OK</v>
      </c>
      <c r="H275" s="13">
        <f t="shared" si="24"/>
        <v>6</v>
      </c>
      <c r="I275" s="14">
        <f t="shared" si="20"/>
        <v>1760.2199999999998</v>
      </c>
      <c r="K275" t="str">
        <f>[1]!revcom(C275)</f>
        <v>AGTTGT</v>
      </c>
      <c r="L275">
        <v>6</v>
      </c>
    </row>
    <row r="276" spans="1:12" ht="15.6" x14ac:dyDescent="0.3">
      <c r="A276" s="9">
        <v>265</v>
      </c>
      <c r="B276" s="1"/>
      <c r="C276" s="2" t="s">
        <v>271</v>
      </c>
      <c r="D276" s="1"/>
      <c r="E276" s="11">
        <f t="shared" si="21"/>
        <v>32</v>
      </c>
      <c r="F276" s="12">
        <f t="shared" si="22"/>
        <v>33.333333333333329</v>
      </c>
      <c r="G276" s="12" t="str">
        <f t="shared" si="23"/>
        <v>OK</v>
      </c>
      <c r="H276" s="13">
        <f t="shared" si="24"/>
        <v>6</v>
      </c>
      <c r="I276" s="14">
        <f t="shared" si="20"/>
        <v>1809.27</v>
      </c>
      <c r="K276" t="str">
        <f>[1]!revcom(C276)</f>
        <v>TCTTGT</v>
      </c>
      <c r="L276">
        <v>8</v>
      </c>
    </row>
    <row r="277" spans="1:12" ht="15.6" x14ac:dyDescent="0.3">
      <c r="A277" s="9">
        <v>266</v>
      </c>
      <c r="B277" s="1"/>
      <c r="C277" s="2" t="s">
        <v>272</v>
      </c>
      <c r="D277" s="1"/>
      <c r="E277" s="11">
        <f t="shared" si="21"/>
        <v>30</v>
      </c>
      <c r="F277" s="12">
        <f t="shared" si="22"/>
        <v>50</v>
      </c>
      <c r="G277" s="12" t="str">
        <f t="shared" si="23"/>
        <v>Warning</v>
      </c>
      <c r="H277" s="13">
        <f t="shared" si="24"/>
        <v>6</v>
      </c>
      <c r="I277" s="14">
        <f t="shared" si="20"/>
        <v>1785.2399999999998</v>
      </c>
      <c r="K277" t="str">
        <f>[1]!revcom(C277)</f>
        <v>GCTTGT</v>
      </c>
      <c r="L277">
        <v>7</v>
      </c>
    </row>
    <row r="278" spans="1:12" ht="15.6" x14ac:dyDescent="0.3">
      <c r="A278" s="9">
        <v>267</v>
      </c>
      <c r="B278" s="1"/>
      <c r="C278" s="2" t="s">
        <v>273</v>
      </c>
      <c r="D278" s="1"/>
      <c r="E278" s="11">
        <f t="shared" si="21"/>
        <v>30</v>
      </c>
      <c r="F278" s="12">
        <f t="shared" si="22"/>
        <v>50</v>
      </c>
      <c r="G278" s="12" t="str">
        <f t="shared" si="23"/>
        <v>Warning</v>
      </c>
      <c r="H278" s="13">
        <f t="shared" si="24"/>
        <v>6</v>
      </c>
      <c r="I278" s="14">
        <f t="shared" si="20"/>
        <v>1825.27</v>
      </c>
      <c r="K278" t="str">
        <f>[1]!revcom(C278)</f>
        <v>CCTTGT</v>
      </c>
      <c r="L278">
        <v>7</v>
      </c>
    </row>
    <row r="279" spans="1:12" ht="15.6" x14ac:dyDescent="0.3">
      <c r="A279" s="9">
        <v>268</v>
      </c>
      <c r="B279" s="1"/>
      <c r="C279" s="2" t="s">
        <v>274</v>
      </c>
      <c r="D279" s="1"/>
      <c r="E279" s="11">
        <f t="shared" si="21"/>
        <v>24</v>
      </c>
      <c r="F279" s="12">
        <f t="shared" si="22"/>
        <v>33.333333333333329</v>
      </c>
      <c r="G279" s="12" t="str">
        <f t="shared" si="23"/>
        <v>OK</v>
      </c>
      <c r="H279" s="13">
        <f t="shared" si="24"/>
        <v>6</v>
      </c>
      <c r="I279" s="14">
        <f t="shared" si="20"/>
        <v>1800.25</v>
      </c>
      <c r="K279" t="str">
        <f>[1]!revcom(C279)</f>
        <v>ACTTGT</v>
      </c>
      <c r="L279">
        <v>6</v>
      </c>
    </row>
    <row r="280" spans="1:12" ht="15.6" x14ac:dyDescent="0.3">
      <c r="A280" s="9">
        <v>269</v>
      </c>
      <c r="B280" s="1"/>
      <c r="C280" s="2" t="s">
        <v>275</v>
      </c>
      <c r="D280" s="1"/>
      <c r="E280" s="11">
        <f t="shared" si="21"/>
        <v>26</v>
      </c>
      <c r="F280" s="12">
        <f t="shared" si="22"/>
        <v>16.666666666666664</v>
      </c>
      <c r="G280" s="12" t="str">
        <f t="shared" si="23"/>
        <v>OK</v>
      </c>
      <c r="H280" s="13">
        <f t="shared" si="24"/>
        <v>6</v>
      </c>
      <c r="I280" s="14">
        <f t="shared" si="20"/>
        <v>1784.25</v>
      </c>
      <c r="K280" t="str">
        <f>[1]!revcom(C280)</f>
        <v>TATTGT</v>
      </c>
      <c r="L280">
        <v>7</v>
      </c>
    </row>
    <row r="281" spans="1:12" ht="15.6" x14ac:dyDescent="0.3">
      <c r="A281" s="9">
        <v>270</v>
      </c>
      <c r="B281" s="1"/>
      <c r="C281" s="2" t="s">
        <v>276</v>
      </c>
      <c r="D281" s="1"/>
      <c r="E281" s="11">
        <f t="shared" si="21"/>
        <v>24</v>
      </c>
      <c r="F281" s="12">
        <f t="shared" si="22"/>
        <v>33.333333333333329</v>
      </c>
      <c r="G281" s="12" t="str">
        <f t="shared" si="23"/>
        <v>OK</v>
      </c>
      <c r="H281" s="13">
        <f t="shared" si="24"/>
        <v>6</v>
      </c>
      <c r="I281" s="14">
        <f t="shared" si="20"/>
        <v>1760.2199999999998</v>
      </c>
      <c r="K281" t="str">
        <f>[1]!revcom(C281)</f>
        <v>GATTGT</v>
      </c>
      <c r="L281">
        <v>6</v>
      </c>
    </row>
    <row r="282" spans="1:12" ht="15.6" x14ac:dyDescent="0.3">
      <c r="A282" s="9">
        <v>271</v>
      </c>
      <c r="B282" s="1"/>
      <c r="C282" s="2" t="s">
        <v>277</v>
      </c>
      <c r="D282" s="1"/>
      <c r="E282" s="11">
        <f t="shared" si="21"/>
        <v>24</v>
      </c>
      <c r="F282" s="12">
        <f t="shared" si="22"/>
        <v>33.333333333333329</v>
      </c>
      <c r="G282" s="12" t="str">
        <f t="shared" si="23"/>
        <v>OK</v>
      </c>
      <c r="H282" s="13">
        <f t="shared" si="24"/>
        <v>6</v>
      </c>
      <c r="I282" s="14">
        <f t="shared" si="20"/>
        <v>1800.25</v>
      </c>
      <c r="K282" t="str">
        <f>[1]!revcom(C282)</f>
        <v>CATTGT</v>
      </c>
      <c r="L282">
        <v>6</v>
      </c>
    </row>
    <row r="283" spans="1:12" ht="15.6" x14ac:dyDescent="0.3">
      <c r="A283" s="9">
        <v>272</v>
      </c>
      <c r="B283" s="1"/>
      <c r="C283" s="2" t="s">
        <v>278</v>
      </c>
      <c r="D283" s="1"/>
      <c r="E283" s="11">
        <f t="shared" si="21"/>
        <v>18</v>
      </c>
      <c r="F283" s="12">
        <f t="shared" si="22"/>
        <v>16.666666666666664</v>
      </c>
      <c r="G283" s="12" t="str">
        <f t="shared" si="23"/>
        <v>OK</v>
      </c>
      <c r="H283" s="13">
        <f t="shared" si="24"/>
        <v>6</v>
      </c>
      <c r="I283" s="14">
        <f t="shared" si="20"/>
        <v>1775.23</v>
      </c>
      <c r="K283" t="str">
        <f>[1]!revcom(C283)</f>
        <v>AATTGT</v>
      </c>
      <c r="L283">
        <v>5</v>
      </c>
    </row>
    <row r="284" spans="1:12" ht="15.6" x14ac:dyDescent="0.3">
      <c r="A284" s="9">
        <v>273</v>
      </c>
      <c r="B284" s="1"/>
      <c r="C284" s="2" t="s">
        <v>279</v>
      </c>
      <c r="D284" s="1"/>
      <c r="E284" s="11">
        <f t="shared" si="21"/>
        <v>32</v>
      </c>
      <c r="F284" s="12">
        <f t="shared" si="22"/>
        <v>33.333333333333329</v>
      </c>
      <c r="G284" s="12" t="str">
        <f t="shared" si="23"/>
        <v>OK</v>
      </c>
      <c r="H284" s="13">
        <f t="shared" si="24"/>
        <v>6</v>
      </c>
      <c r="I284" s="14">
        <f t="shared" si="20"/>
        <v>1769.2399999999998</v>
      </c>
      <c r="K284" t="str">
        <f>[1]!revcom(C284)</f>
        <v>TTGTGT</v>
      </c>
      <c r="L284">
        <v>8</v>
      </c>
    </row>
    <row r="285" spans="1:12" ht="15.6" x14ac:dyDescent="0.3">
      <c r="A285" s="9">
        <v>274</v>
      </c>
      <c r="B285" s="1"/>
      <c r="C285" s="2" t="s">
        <v>280</v>
      </c>
      <c r="D285" s="1"/>
      <c r="E285" s="11">
        <f t="shared" si="21"/>
        <v>30</v>
      </c>
      <c r="F285" s="12">
        <f t="shared" si="22"/>
        <v>50</v>
      </c>
      <c r="G285" s="12" t="str">
        <f t="shared" si="23"/>
        <v>Warning</v>
      </c>
      <c r="H285" s="13">
        <f t="shared" si="24"/>
        <v>6</v>
      </c>
      <c r="I285" s="14">
        <f t="shared" si="20"/>
        <v>1745.21</v>
      </c>
      <c r="K285" t="str">
        <f>[1]!revcom(C285)</f>
        <v>GTGTGT</v>
      </c>
      <c r="L285">
        <v>7</v>
      </c>
    </row>
    <row r="286" spans="1:12" ht="15.6" x14ac:dyDescent="0.3">
      <c r="A286" s="9">
        <v>275</v>
      </c>
      <c r="B286" s="1"/>
      <c r="C286" s="2" t="s">
        <v>281</v>
      </c>
      <c r="D286" s="1"/>
      <c r="E286" s="11">
        <f t="shared" si="21"/>
        <v>30</v>
      </c>
      <c r="F286" s="12">
        <f t="shared" si="22"/>
        <v>50</v>
      </c>
      <c r="G286" s="12" t="str">
        <f t="shared" si="23"/>
        <v>Warning</v>
      </c>
      <c r="H286" s="13">
        <f t="shared" si="24"/>
        <v>6</v>
      </c>
      <c r="I286" s="14">
        <f t="shared" si="20"/>
        <v>1785.2399999999998</v>
      </c>
      <c r="K286" t="str">
        <f>[1]!revcom(C286)</f>
        <v>CTGTGT</v>
      </c>
      <c r="L286">
        <v>7</v>
      </c>
    </row>
    <row r="287" spans="1:12" ht="15.6" x14ac:dyDescent="0.3">
      <c r="A287" s="9">
        <v>276</v>
      </c>
      <c r="B287" s="1"/>
      <c r="C287" s="2" t="s">
        <v>282</v>
      </c>
      <c r="D287" s="1"/>
      <c r="E287" s="11">
        <f t="shared" si="21"/>
        <v>24</v>
      </c>
      <c r="F287" s="12">
        <f t="shared" si="22"/>
        <v>33.333333333333329</v>
      </c>
      <c r="G287" s="12" t="str">
        <f t="shared" si="23"/>
        <v>OK</v>
      </c>
      <c r="H287" s="13">
        <f t="shared" si="24"/>
        <v>6</v>
      </c>
      <c r="I287" s="14">
        <f t="shared" si="20"/>
        <v>1760.2199999999998</v>
      </c>
      <c r="K287" t="str">
        <f>[1]!revcom(C287)</f>
        <v>ATGTGT</v>
      </c>
      <c r="L287">
        <v>6</v>
      </c>
    </row>
    <row r="288" spans="1:12" ht="15.6" x14ac:dyDescent="0.3">
      <c r="A288" s="9">
        <v>277</v>
      </c>
      <c r="B288" s="1"/>
      <c r="C288" s="2" t="s">
        <v>283</v>
      </c>
      <c r="D288" s="1"/>
      <c r="E288" s="11">
        <f t="shared" si="21"/>
        <v>30</v>
      </c>
      <c r="F288" s="12">
        <f t="shared" si="22"/>
        <v>50</v>
      </c>
      <c r="G288" s="12" t="str">
        <f t="shared" si="23"/>
        <v>Warning</v>
      </c>
      <c r="H288" s="13">
        <f t="shared" si="24"/>
        <v>6</v>
      </c>
      <c r="I288" s="14">
        <f t="shared" si="20"/>
        <v>1745.21</v>
      </c>
      <c r="K288" t="str">
        <f>[1]!revcom(C288)</f>
        <v>TGGTGT</v>
      </c>
      <c r="L288">
        <v>7</v>
      </c>
    </row>
    <row r="289" spans="1:12" ht="15.6" x14ac:dyDescent="0.3">
      <c r="A289" s="9">
        <v>278</v>
      </c>
      <c r="B289" s="1"/>
      <c r="C289" s="2" t="s">
        <v>284</v>
      </c>
      <c r="D289" s="1"/>
      <c r="E289" s="11">
        <f t="shared" si="21"/>
        <v>28</v>
      </c>
      <c r="F289" s="12">
        <f t="shared" si="22"/>
        <v>66.666666666666657</v>
      </c>
      <c r="G289" s="12" t="str">
        <f t="shared" si="23"/>
        <v>Warning</v>
      </c>
      <c r="H289" s="13">
        <f t="shared" si="24"/>
        <v>6</v>
      </c>
      <c r="I289" s="14">
        <f t="shared" si="20"/>
        <v>1721.1799999999998</v>
      </c>
      <c r="K289" t="str">
        <f>[1]!revcom(C289)</f>
        <v>GGGTGT</v>
      </c>
      <c r="L289">
        <v>7</v>
      </c>
    </row>
    <row r="290" spans="1:12" ht="15.6" x14ac:dyDescent="0.3">
      <c r="A290" s="9">
        <v>279</v>
      </c>
      <c r="B290" s="1"/>
      <c r="C290" s="2" t="s">
        <v>285</v>
      </c>
      <c r="D290" s="1"/>
      <c r="E290" s="11">
        <f t="shared" si="21"/>
        <v>28</v>
      </c>
      <c r="F290" s="12">
        <f t="shared" si="22"/>
        <v>66.666666666666657</v>
      </c>
      <c r="G290" s="12" t="str">
        <f t="shared" si="23"/>
        <v>Warning</v>
      </c>
      <c r="H290" s="13">
        <f t="shared" si="24"/>
        <v>6</v>
      </c>
      <c r="I290" s="14">
        <f t="shared" si="20"/>
        <v>1761.21</v>
      </c>
      <c r="K290" t="str">
        <f>[1]!revcom(C290)</f>
        <v>CGGTGT</v>
      </c>
      <c r="L290">
        <v>7</v>
      </c>
    </row>
    <row r="291" spans="1:12" ht="15.6" x14ac:dyDescent="0.3">
      <c r="A291" s="9">
        <v>280</v>
      </c>
      <c r="B291" s="1"/>
      <c r="C291" s="2" t="s">
        <v>286</v>
      </c>
      <c r="D291" s="1"/>
      <c r="E291" s="11">
        <f t="shared" si="21"/>
        <v>22</v>
      </c>
      <c r="F291" s="12">
        <f t="shared" si="22"/>
        <v>50</v>
      </c>
      <c r="G291" s="12" t="str">
        <f t="shared" si="23"/>
        <v>Warning</v>
      </c>
      <c r="H291" s="13">
        <f t="shared" si="24"/>
        <v>6</v>
      </c>
      <c r="I291" s="14">
        <f t="shared" si="20"/>
        <v>1736.19</v>
      </c>
      <c r="K291" t="str">
        <f>[1]!revcom(C291)</f>
        <v>AGGTGT</v>
      </c>
      <c r="L291">
        <v>6</v>
      </c>
    </row>
    <row r="292" spans="1:12" ht="15.6" x14ac:dyDescent="0.3">
      <c r="A292" s="9">
        <v>281</v>
      </c>
      <c r="B292" s="1"/>
      <c r="C292" s="2" t="s">
        <v>287</v>
      </c>
      <c r="D292" s="1"/>
      <c r="E292" s="11">
        <f t="shared" si="21"/>
        <v>30</v>
      </c>
      <c r="F292" s="12">
        <f t="shared" si="22"/>
        <v>50</v>
      </c>
      <c r="G292" s="12" t="str">
        <f t="shared" si="23"/>
        <v>Warning</v>
      </c>
      <c r="H292" s="13">
        <f t="shared" si="24"/>
        <v>6</v>
      </c>
      <c r="I292" s="14">
        <f t="shared" si="20"/>
        <v>1785.2399999999998</v>
      </c>
      <c r="K292" t="str">
        <f>[1]!revcom(C292)</f>
        <v>TCGTGT</v>
      </c>
      <c r="L292">
        <v>7</v>
      </c>
    </row>
    <row r="293" spans="1:12" ht="15.6" x14ac:dyDescent="0.3">
      <c r="A293" s="9">
        <v>282</v>
      </c>
      <c r="B293" s="1"/>
      <c r="C293" s="2" t="s">
        <v>288</v>
      </c>
      <c r="D293" s="1"/>
      <c r="E293" s="11">
        <f t="shared" si="21"/>
        <v>28</v>
      </c>
      <c r="F293" s="12">
        <f t="shared" si="22"/>
        <v>66.666666666666657</v>
      </c>
      <c r="G293" s="12" t="str">
        <f t="shared" si="23"/>
        <v>Warning</v>
      </c>
      <c r="H293" s="13">
        <f t="shared" si="24"/>
        <v>6</v>
      </c>
      <c r="I293" s="14">
        <f t="shared" si="20"/>
        <v>1761.21</v>
      </c>
      <c r="K293" t="str">
        <f>[1]!revcom(C293)</f>
        <v>GCGTGT</v>
      </c>
      <c r="L293">
        <v>7</v>
      </c>
    </row>
    <row r="294" spans="1:12" ht="15.6" x14ac:dyDescent="0.3">
      <c r="A294" s="9">
        <v>283</v>
      </c>
      <c r="B294" s="1"/>
      <c r="C294" s="2" t="s">
        <v>289</v>
      </c>
      <c r="D294" s="1"/>
      <c r="E294" s="11">
        <f t="shared" si="21"/>
        <v>28</v>
      </c>
      <c r="F294" s="12">
        <f t="shared" si="22"/>
        <v>66.666666666666657</v>
      </c>
      <c r="G294" s="12" t="str">
        <f t="shared" si="23"/>
        <v>Warning</v>
      </c>
      <c r="H294" s="13">
        <f t="shared" si="24"/>
        <v>6</v>
      </c>
      <c r="I294" s="14">
        <f t="shared" si="20"/>
        <v>1801.2399999999998</v>
      </c>
      <c r="K294" t="str">
        <f>[1]!revcom(C294)</f>
        <v>CCGTGT</v>
      </c>
      <c r="L294">
        <v>7</v>
      </c>
    </row>
    <row r="295" spans="1:12" ht="15.6" x14ac:dyDescent="0.3">
      <c r="A295" s="9">
        <v>284</v>
      </c>
      <c r="B295" s="1"/>
      <c r="C295" s="2" t="s">
        <v>290</v>
      </c>
      <c r="D295" s="1"/>
      <c r="E295" s="11">
        <f t="shared" si="21"/>
        <v>22</v>
      </c>
      <c r="F295" s="12">
        <f t="shared" si="22"/>
        <v>50</v>
      </c>
      <c r="G295" s="12" t="str">
        <f t="shared" si="23"/>
        <v>Warning</v>
      </c>
      <c r="H295" s="13">
        <f t="shared" si="24"/>
        <v>6</v>
      </c>
      <c r="I295" s="14">
        <f t="shared" si="20"/>
        <v>1776.2199999999998</v>
      </c>
      <c r="K295" t="str">
        <f>[1]!revcom(C295)</f>
        <v>ACGTGT</v>
      </c>
      <c r="L295">
        <v>6</v>
      </c>
    </row>
    <row r="296" spans="1:12" ht="15.6" x14ac:dyDescent="0.3">
      <c r="A296" s="9">
        <v>285</v>
      </c>
      <c r="B296" s="1"/>
      <c r="C296" s="2" t="s">
        <v>291</v>
      </c>
      <c r="D296" s="1"/>
      <c r="E296" s="11">
        <f t="shared" si="21"/>
        <v>24</v>
      </c>
      <c r="F296" s="12">
        <f t="shared" si="22"/>
        <v>33.333333333333329</v>
      </c>
      <c r="G296" s="12" t="str">
        <f t="shared" si="23"/>
        <v>OK</v>
      </c>
      <c r="H296" s="13">
        <f t="shared" si="24"/>
        <v>6</v>
      </c>
      <c r="I296" s="14">
        <f t="shared" si="20"/>
        <v>1760.2199999999998</v>
      </c>
      <c r="K296" t="str">
        <f>[1]!revcom(C296)</f>
        <v>TAGTGT</v>
      </c>
      <c r="L296">
        <v>6</v>
      </c>
    </row>
    <row r="297" spans="1:12" ht="15.6" x14ac:dyDescent="0.3">
      <c r="A297" s="9">
        <v>286</v>
      </c>
      <c r="B297" s="1"/>
      <c r="C297" s="2" t="s">
        <v>292</v>
      </c>
      <c r="D297" s="1"/>
      <c r="E297" s="11">
        <f t="shared" si="21"/>
        <v>22</v>
      </c>
      <c r="F297" s="12">
        <f t="shared" si="22"/>
        <v>50</v>
      </c>
      <c r="G297" s="12" t="str">
        <f t="shared" si="23"/>
        <v>Warning</v>
      </c>
      <c r="H297" s="13">
        <f t="shared" si="24"/>
        <v>6</v>
      </c>
      <c r="I297" s="14">
        <f t="shared" si="20"/>
        <v>1736.19</v>
      </c>
      <c r="K297" t="str">
        <f>[1]!revcom(C297)</f>
        <v>GAGTGT</v>
      </c>
      <c r="L297">
        <v>6</v>
      </c>
    </row>
    <row r="298" spans="1:12" ht="15.6" x14ac:dyDescent="0.3">
      <c r="A298" s="9">
        <v>287</v>
      </c>
      <c r="B298" s="1"/>
      <c r="C298" s="2" t="s">
        <v>293</v>
      </c>
      <c r="D298" s="1"/>
      <c r="E298" s="11">
        <f t="shared" si="21"/>
        <v>22</v>
      </c>
      <c r="F298" s="12">
        <f t="shared" si="22"/>
        <v>50</v>
      </c>
      <c r="G298" s="12" t="str">
        <f t="shared" si="23"/>
        <v>Warning</v>
      </c>
      <c r="H298" s="13">
        <f t="shared" si="24"/>
        <v>6</v>
      </c>
      <c r="I298" s="14">
        <f t="shared" si="20"/>
        <v>1776.2199999999998</v>
      </c>
      <c r="K298" t="str">
        <f>[1]!revcom(C298)</f>
        <v>CAGTGT</v>
      </c>
      <c r="L298">
        <v>6</v>
      </c>
    </row>
    <row r="299" spans="1:12" ht="15.6" x14ac:dyDescent="0.3">
      <c r="A299" s="9">
        <v>288</v>
      </c>
      <c r="B299" s="1"/>
      <c r="C299" s="2" t="s">
        <v>294</v>
      </c>
      <c r="D299" s="1"/>
      <c r="E299" s="11">
        <f t="shared" si="21"/>
        <v>16</v>
      </c>
      <c r="F299" s="12">
        <f t="shared" si="22"/>
        <v>33.333333333333329</v>
      </c>
      <c r="G299" s="12" t="str">
        <f t="shared" si="23"/>
        <v>OK</v>
      </c>
      <c r="H299" s="13">
        <f t="shared" si="24"/>
        <v>6</v>
      </c>
      <c r="I299" s="14">
        <f t="shared" si="20"/>
        <v>1751.1999999999998</v>
      </c>
      <c r="K299" t="str">
        <f>[1]!revcom(C299)</f>
        <v>AAGTGT</v>
      </c>
      <c r="L299">
        <v>5</v>
      </c>
    </row>
    <row r="300" spans="1:12" ht="15.6" x14ac:dyDescent="0.3">
      <c r="A300" s="9">
        <v>289</v>
      </c>
      <c r="B300" s="1"/>
      <c r="C300" s="2" t="s">
        <v>295</v>
      </c>
      <c r="D300" s="1"/>
      <c r="E300" s="11">
        <f t="shared" si="21"/>
        <v>32</v>
      </c>
      <c r="F300" s="12">
        <f t="shared" si="22"/>
        <v>33.333333333333329</v>
      </c>
      <c r="G300" s="12" t="str">
        <f t="shared" si="23"/>
        <v>OK</v>
      </c>
      <c r="H300" s="13">
        <f t="shared" si="24"/>
        <v>6</v>
      </c>
      <c r="I300" s="14">
        <f t="shared" si="20"/>
        <v>1809.27</v>
      </c>
      <c r="K300" t="str">
        <f>[1]!revcom(C300)</f>
        <v>TTCTGT</v>
      </c>
      <c r="L300">
        <v>8</v>
      </c>
    </row>
    <row r="301" spans="1:12" ht="15.6" x14ac:dyDescent="0.3">
      <c r="A301" s="9">
        <v>290</v>
      </c>
      <c r="B301" s="1"/>
      <c r="C301" s="2" t="s">
        <v>296</v>
      </c>
      <c r="D301" s="1"/>
      <c r="E301" s="11">
        <f t="shared" si="21"/>
        <v>30</v>
      </c>
      <c r="F301" s="12">
        <f t="shared" si="22"/>
        <v>50</v>
      </c>
      <c r="G301" s="12" t="str">
        <f t="shared" si="23"/>
        <v>Warning</v>
      </c>
      <c r="H301" s="13">
        <f t="shared" si="24"/>
        <v>6</v>
      </c>
      <c r="I301" s="14">
        <f t="shared" si="20"/>
        <v>1785.2399999999998</v>
      </c>
      <c r="K301" t="str">
        <f>[1]!revcom(C301)</f>
        <v>GTCTGT</v>
      </c>
      <c r="L301">
        <v>7</v>
      </c>
    </row>
    <row r="302" spans="1:12" ht="15.6" x14ac:dyDescent="0.3">
      <c r="A302" s="9">
        <v>291</v>
      </c>
      <c r="B302" s="1"/>
      <c r="C302" s="2" t="s">
        <v>297</v>
      </c>
      <c r="D302" s="1"/>
      <c r="E302" s="11">
        <f t="shared" si="21"/>
        <v>30</v>
      </c>
      <c r="F302" s="12">
        <f t="shared" si="22"/>
        <v>50</v>
      </c>
      <c r="G302" s="12" t="str">
        <f t="shared" si="23"/>
        <v>Warning</v>
      </c>
      <c r="H302" s="13">
        <f t="shared" si="24"/>
        <v>6</v>
      </c>
      <c r="I302" s="14">
        <f t="shared" si="20"/>
        <v>1825.27</v>
      </c>
      <c r="K302" t="str">
        <f>[1]!revcom(C302)</f>
        <v>CTCTGT</v>
      </c>
      <c r="L302">
        <v>7</v>
      </c>
    </row>
    <row r="303" spans="1:12" ht="15.6" x14ac:dyDescent="0.3">
      <c r="A303" s="9">
        <v>292</v>
      </c>
      <c r="B303" s="1"/>
      <c r="C303" s="2" t="s">
        <v>298</v>
      </c>
      <c r="D303" s="1"/>
      <c r="E303" s="11">
        <f t="shared" si="21"/>
        <v>24</v>
      </c>
      <c r="F303" s="12">
        <f t="shared" si="22"/>
        <v>33.333333333333329</v>
      </c>
      <c r="G303" s="12" t="str">
        <f t="shared" si="23"/>
        <v>OK</v>
      </c>
      <c r="H303" s="13">
        <f t="shared" si="24"/>
        <v>6</v>
      </c>
      <c r="I303" s="14">
        <f t="shared" si="20"/>
        <v>1800.25</v>
      </c>
      <c r="K303" t="str">
        <f>[1]!revcom(C303)</f>
        <v>ATCTGT</v>
      </c>
      <c r="L303">
        <v>6</v>
      </c>
    </row>
    <row r="304" spans="1:12" ht="15.6" x14ac:dyDescent="0.3">
      <c r="A304" s="9">
        <v>293</v>
      </c>
      <c r="B304" s="1"/>
      <c r="C304" s="2" t="s">
        <v>299</v>
      </c>
      <c r="D304" s="1"/>
      <c r="E304" s="11">
        <f t="shared" si="21"/>
        <v>30</v>
      </c>
      <c r="F304" s="12">
        <f t="shared" si="22"/>
        <v>50</v>
      </c>
      <c r="G304" s="12" t="str">
        <f t="shared" si="23"/>
        <v>Warning</v>
      </c>
      <c r="H304" s="13">
        <f t="shared" si="24"/>
        <v>6</v>
      </c>
      <c r="I304" s="14">
        <f t="shared" si="20"/>
        <v>1785.2399999999998</v>
      </c>
      <c r="K304" t="str">
        <f>[1]!revcom(C304)</f>
        <v>TGCTGT</v>
      </c>
      <c r="L304">
        <v>7</v>
      </c>
    </row>
    <row r="305" spans="1:12" ht="15.6" x14ac:dyDescent="0.3">
      <c r="A305" s="9">
        <v>294</v>
      </c>
      <c r="B305" s="1"/>
      <c r="C305" s="2" t="s">
        <v>300</v>
      </c>
      <c r="D305" s="1"/>
      <c r="E305" s="11">
        <f t="shared" si="21"/>
        <v>28</v>
      </c>
      <c r="F305" s="12">
        <f t="shared" si="22"/>
        <v>66.666666666666657</v>
      </c>
      <c r="G305" s="12" t="str">
        <f t="shared" si="23"/>
        <v>Warning</v>
      </c>
      <c r="H305" s="13">
        <f t="shared" si="24"/>
        <v>6</v>
      </c>
      <c r="I305" s="14">
        <f t="shared" si="20"/>
        <v>1761.21</v>
      </c>
      <c r="K305" t="str">
        <f>[1]!revcom(C305)</f>
        <v>GGCTGT</v>
      </c>
      <c r="L305">
        <v>7</v>
      </c>
    </row>
    <row r="306" spans="1:12" ht="15.6" x14ac:dyDescent="0.3">
      <c r="A306" s="9">
        <v>295</v>
      </c>
      <c r="B306" s="1"/>
      <c r="C306" s="2" t="s">
        <v>301</v>
      </c>
      <c r="D306" s="1"/>
      <c r="E306" s="11">
        <f t="shared" si="21"/>
        <v>28</v>
      </c>
      <c r="F306" s="12">
        <f t="shared" si="22"/>
        <v>66.666666666666657</v>
      </c>
      <c r="G306" s="12" t="str">
        <f t="shared" si="23"/>
        <v>Warning</v>
      </c>
      <c r="H306" s="13">
        <f t="shared" si="24"/>
        <v>6</v>
      </c>
      <c r="I306" s="14">
        <f t="shared" si="20"/>
        <v>1801.2399999999998</v>
      </c>
      <c r="K306" t="str">
        <f>[1]!revcom(C306)</f>
        <v>CGCTGT</v>
      </c>
      <c r="L306">
        <v>7</v>
      </c>
    </row>
    <row r="307" spans="1:12" ht="15.6" x14ac:dyDescent="0.3">
      <c r="A307" s="9">
        <v>296</v>
      </c>
      <c r="B307" s="1"/>
      <c r="C307" s="2" t="s">
        <v>302</v>
      </c>
      <c r="D307" s="1"/>
      <c r="E307" s="11">
        <f t="shared" si="21"/>
        <v>22</v>
      </c>
      <c r="F307" s="12">
        <f t="shared" si="22"/>
        <v>50</v>
      </c>
      <c r="G307" s="12" t="str">
        <f t="shared" si="23"/>
        <v>Warning</v>
      </c>
      <c r="H307" s="13">
        <f t="shared" si="24"/>
        <v>6</v>
      </c>
      <c r="I307" s="14">
        <f t="shared" si="20"/>
        <v>1776.2199999999998</v>
      </c>
      <c r="K307" t="str">
        <f>[1]!revcom(C307)</f>
        <v>AGCTGT</v>
      </c>
      <c r="L307">
        <v>6</v>
      </c>
    </row>
    <row r="308" spans="1:12" ht="15.6" x14ac:dyDescent="0.3">
      <c r="A308" s="9">
        <v>297</v>
      </c>
      <c r="B308" s="1"/>
      <c r="C308" s="2" t="s">
        <v>303</v>
      </c>
      <c r="D308" s="1"/>
      <c r="E308" s="11">
        <f t="shared" si="21"/>
        <v>30</v>
      </c>
      <c r="F308" s="12">
        <f t="shared" si="22"/>
        <v>50</v>
      </c>
      <c r="G308" s="12" t="str">
        <f t="shared" si="23"/>
        <v>Warning</v>
      </c>
      <c r="H308" s="13">
        <f t="shared" si="24"/>
        <v>6</v>
      </c>
      <c r="I308" s="14">
        <f t="shared" si="20"/>
        <v>1825.27</v>
      </c>
      <c r="K308" t="str">
        <f>[1]!revcom(C308)</f>
        <v>TCCTGT</v>
      </c>
      <c r="L308">
        <v>7</v>
      </c>
    </row>
    <row r="309" spans="1:12" ht="15.6" x14ac:dyDescent="0.3">
      <c r="A309" s="9">
        <v>298</v>
      </c>
      <c r="B309" s="1"/>
      <c r="C309" s="2" t="s">
        <v>304</v>
      </c>
      <c r="D309" s="1"/>
      <c r="E309" s="11">
        <f t="shared" si="21"/>
        <v>28</v>
      </c>
      <c r="F309" s="12">
        <f t="shared" si="22"/>
        <v>66.666666666666657</v>
      </c>
      <c r="G309" s="12" t="str">
        <f t="shared" si="23"/>
        <v>Warning</v>
      </c>
      <c r="H309" s="13">
        <f t="shared" si="24"/>
        <v>6</v>
      </c>
      <c r="I309" s="14">
        <f t="shared" si="20"/>
        <v>1801.2399999999998</v>
      </c>
      <c r="K309" t="str">
        <f>[1]!revcom(C309)</f>
        <v>GCCTGT</v>
      </c>
      <c r="L309">
        <v>7</v>
      </c>
    </row>
    <row r="310" spans="1:12" ht="15.6" x14ac:dyDescent="0.3">
      <c r="A310" s="9">
        <v>299</v>
      </c>
      <c r="B310" s="1"/>
      <c r="C310" s="2" t="s">
        <v>305</v>
      </c>
      <c r="D310" s="1"/>
      <c r="E310" s="11">
        <f t="shared" si="21"/>
        <v>28</v>
      </c>
      <c r="F310" s="12">
        <f t="shared" si="22"/>
        <v>66.666666666666657</v>
      </c>
      <c r="G310" s="12" t="str">
        <f t="shared" si="23"/>
        <v>Warning</v>
      </c>
      <c r="H310" s="13">
        <f t="shared" si="24"/>
        <v>6</v>
      </c>
      <c r="I310" s="14">
        <f t="shared" si="20"/>
        <v>1841.27</v>
      </c>
      <c r="K310" t="str">
        <f>[1]!revcom(C310)</f>
        <v>CCCTGT</v>
      </c>
      <c r="L310">
        <v>7</v>
      </c>
    </row>
    <row r="311" spans="1:12" ht="15.6" x14ac:dyDescent="0.3">
      <c r="A311" s="9">
        <v>300</v>
      </c>
      <c r="B311" s="1"/>
      <c r="C311" s="2" t="s">
        <v>306</v>
      </c>
      <c r="D311" s="1"/>
      <c r="E311" s="11">
        <f t="shared" si="21"/>
        <v>22</v>
      </c>
      <c r="F311" s="12">
        <f t="shared" si="22"/>
        <v>50</v>
      </c>
      <c r="G311" s="12" t="str">
        <f t="shared" si="23"/>
        <v>Warning</v>
      </c>
      <c r="H311" s="13">
        <f t="shared" si="24"/>
        <v>6</v>
      </c>
      <c r="I311" s="14">
        <f t="shared" si="20"/>
        <v>1816.25</v>
      </c>
      <c r="K311" t="str">
        <f>[1]!revcom(C311)</f>
        <v>ACCTGT</v>
      </c>
      <c r="L311">
        <v>6</v>
      </c>
    </row>
    <row r="312" spans="1:12" ht="15.6" x14ac:dyDescent="0.3">
      <c r="A312" s="9">
        <v>301</v>
      </c>
      <c r="B312" s="1"/>
      <c r="C312" s="2" t="s">
        <v>307</v>
      </c>
      <c r="D312" s="1"/>
      <c r="E312" s="11">
        <f t="shared" si="21"/>
        <v>24</v>
      </c>
      <c r="F312" s="12">
        <f t="shared" si="22"/>
        <v>33.333333333333329</v>
      </c>
      <c r="G312" s="12" t="str">
        <f t="shared" si="23"/>
        <v>OK</v>
      </c>
      <c r="H312" s="13">
        <f t="shared" si="24"/>
        <v>6</v>
      </c>
      <c r="I312" s="14">
        <f t="shared" si="20"/>
        <v>1800.25</v>
      </c>
      <c r="K312" t="str">
        <f>[1]!revcom(C312)</f>
        <v>TACTGT</v>
      </c>
      <c r="L312">
        <v>6</v>
      </c>
    </row>
    <row r="313" spans="1:12" ht="15.6" x14ac:dyDescent="0.3">
      <c r="A313" s="9">
        <v>302</v>
      </c>
      <c r="B313" s="1"/>
      <c r="C313" s="2" t="s">
        <v>308</v>
      </c>
      <c r="D313" s="1"/>
      <c r="E313" s="11">
        <f t="shared" si="21"/>
        <v>22</v>
      </c>
      <c r="F313" s="12">
        <f t="shared" si="22"/>
        <v>50</v>
      </c>
      <c r="G313" s="12" t="str">
        <f t="shared" si="23"/>
        <v>Warning</v>
      </c>
      <c r="H313" s="13">
        <f t="shared" si="24"/>
        <v>6</v>
      </c>
      <c r="I313" s="14">
        <f t="shared" si="20"/>
        <v>1776.2199999999998</v>
      </c>
      <c r="K313" t="str">
        <f>[1]!revcom(C313)</f>
        <v>GACTGT</v>
      </c>
      <c r="L313">
        <v>6</v>
      </c>
    </row>
    <row r="314" spans="1:12" ht="15.6" x14ac:dyDescent="0.3">
      <c r="A314" s="9">
        <v>303</v>
      </c>
      <c r="B314" s="1"/>
      <c r="C314" s="2" t="s">
        <v>309</v>
      </c>
      <c r="D314" s="1"/>
      <c r="E314" s="11">
        <f t="shared" si="21"/>
        <v>22</v>
      </c>
      <c r="F314" s="12">
        <f t="shared" si="22"/>
        <v>50</v>
      </c>
      <c r="G314" s="12" t="str">
        <f t="shared" si="23"/>
        <v>Warning</v>
      </c>
      <c r="H314" s="13">
        <f t="shared" si="24"/>
        <v>6</v>
      </c>
      <c r="I314" s="14">
        <f t="shared" si="20"/>
        <v>1816.25</v>
      </c>
      <c r="K314" t="str">
        <f>[1]!revcom(C314)</f>
        <v>CACTGT</v>
      </c>
      <c r="L314">
        <v>6</v>
      </c>
    </row>
    <row r="315" spans="1:12" ht="15.6" x14ac:dyDescent="0.3">
      <c r="A315" s="9">
        <v>304</v>
      </c>
      <c r="B315" s="1"/>
      <c r="C315" s="2" t="s">
        <v>310</v>
      </c>
      <c r="D315" s="1"/>
      <c r="E315" s="11">
        <f t="shared" si="21"/>
        <v>16</v>
      </c>
      <c r="F315" s="12">
        <f t="shared" si="22"/>
        <v>33.333333333333329</v>
      </c>
      <c r="G315" s="12" t="str">
        <f t="shared" si="23"/>
        <v>OK</v>
      </c>
      <c r="H315" s="13">
        <f t="shared" si="24"/>
        <v>6</v>
      </c>
      <c r="I315" s="14">
        <f t="shared" si="20"/>
        <v>1791.23</v>
      </c>
      <c r="K315" t="str">
        <f>[1]!revcom(C315)</f>
        <v>AACTGT</v>
      </c>
      <c r="L315">
        <v>5</v>
      </c>
    </row>
    <row r="316" spans="1:12" ht="15.6" x14ac:dyDescent="0.3">
      <c r="A316" s="9">
        <v>305</v>
      </c>
      <c r="B316" s="1"/>
      <c r="C316" s="2" t="s">
        <v>311</v>
      </c>
      <c r="D316" s="1"/>
      <c r="E316" s="11">
        <f t="shared" si="21"/>
        <v>26</v>
      </c>
      <c r="F316" s="12">
        <f t="shared" si="22"/>
        <v>16.666666666666664</v>
      </c>
      <c r="G316" s="12" t="str">
        <f t="shared" si="23"/>
        <v>OK</v>
      </c>
      <c r="H316" s="13">
        <f t="shared" si="24"/>
        <v>6</v>
      </c>
      <c r="I316" s="14">
        <f t="shared" si="20"/>
        <v>1784.25</v>
      </c>
      <c r="K316" t="str">
        <f>[1]!revcom(C316)</f>
        <v>TTATGT</v>
      </c>
      <c r="L316">
        <v>7</v>
      </c>
    </row>
    <row r="317" spans="1:12" ht="15.6" x14ac:dyDescent="0.3">
      <c r="A317" s="9">
        <v>306</v>
      </c>
      <c r="B317" s="1"/>
      <c r="C317" s="2" t="s">
        <v>312</v>
      </c>
      <c r="D317" s="1"/>
      <c r="E317" s="11">
        <f t="shared" si="21"/>
        <v>24</v>
      </c>
      <c r="F317" s="12">
        <f t="shared" si="22"/>
        <v>33.333333333333329</v>
      </c>
      <c r="G317" s="12" t="str">
        <f t="shared" si="23"/>
        <v>OK</v>
      </c>
      <c r="H317" s="13">
        <f t="shared" si="24"/>
        <v>6</v>
      </c>
      <c r="I317" s="14">
        <f t="shared" si="20"/>
        <v>1760.2199999999998</v>
      </c>
      <c r="K317" t="str">
        <f>[1]!revcom(C317)</f>
        <v>GTATGT</v>
      </c>
      <c r="L317">
        <v>6</v>
      </c>
    </row>
    <row r="318" spans="1:12" ht="15.6" x14ac:dyDescent="0.3">
      <c r="A318" s="9">
        <v>307</v>
      </c>
      <c r="B318" s="1"/>
      <c r="C318" s="2" t="s">
        <v>313</v>
      </c>
      <c r="D318" s="1"/>
      <c r="E318" s="11">
        <f t="shared" si="21"/>
        <v>24</v>
      </c>
      <c r="F318" s="12">
        <f t="shared" si="22"/>
        <v>33.333333333333329</v>
      </c>
      <c r="G318" s="12" t="str">
        <f t="shared" si="23"/>
        <v>OK</v>
      </c>
      <c r="H318" s="13">
        <f t="shared" si="24"/>
        <v>6</v>
      </c>
      <c r="I318" s="14">
        <f t="shared" si="20"/>
        <v>1800.25</v>
      </c>
      <c r="K318" t="str">
        <f>[1]!revcom(C318)</f>
        <v>CTATGT</v>
      </c>
      <c r="L318">
        <v>6</v>
      </c>
    </row>
    <row r="319" spans="1:12" ht="15.6" x14ac:dyDescent="0.3">
      <c r="A319" s="9">
        <v>308</v>
      </c>
      <c r="B319" s="1"/>
      <c r="C319" s="2" t="s">
        <v>314</v>
      </c>
      <c r="D319" s="1"/>
      <c r="E319" s="11">
        <f t="shared" si="21"/>
        <v>18</v>
      </c>
      <c r="F319" s="12">
        <f t="shared" si="22"/>
        <v>16.666666666666664</v>
      </c>
      <c r="G319" s="12" t="str">
        <f t="shared" si="23"/>
        <v>OK</v>
      </c>
      <c r="H319" s="13">
        <f t="shared" si="24"/>
        <v>6</v>
      </c>
      <c r="I319" s="14">
        <f t="shared" si="20"/>
        <v>1775.23</v>
      </c>
      <c r="K319" t="str">
        <f>[1]!revcom(C319)</f>
        <v>ATATGT</v>
      </c>
      <c r="L319">
        <v>5</v>
      </c>
    </row>
    <row r="320" spans="1:12" ht="15.6" x14ac:dyDescent="0.3">
      <c r="A320" s="9">
        <v>309</v>
      </c>
      <c r="B320" s="1"/>
      <c r="C320" s="2" t="s">
        <v>315</v>
      </c>
      <c r="D320" s="1"/>
      <c r="E320" s="11">
        <f t="shared" si="21"/>
        <v>24</v>
      </c>
      <c r="F320" s="12">
        <f t="shared" si="22"/>
        <v>33.333333333333329</v>
      </c>
      <c r="G320" s="12" t="str">
        <f t="shared" si="23"/>
        <v>OK</v>
      </c>
      <c r="H320" s="13">
        <f t="shared" si="24"/>
        <v>6</v>
      </c>
      <c r="I320" s="14">
        <f t="shared" si="20"/>
        <v>1760.2199999999998</v>
      </c>
      <c r="K320" t="str">
        <f>[1]!revcom(C320)</f>
        <v>TGATGT</v>
      </c>
      <c r="L320">
        <v>6</v>
      </c>
    </row>
    <row r="321" spans="1:12" ht="15.6" x14ac:dyDescent="0.3">
      <c r="A321" s="9">
        <v>310</v>
      </c>
      <c r="B321" s="1"/>
      <c r="C321" s="2" t="s">
        <v>316</v>
      </c>
      <c r="D321" s="1"/>
      <c r="E321" s="11">
        <f t="shared" si="21"/>
        <v>22</v>
      </c>
      <c r="F321" s="12">
        <f t="shared" si="22"/>
        <v>50</v>
      </c>
      <c r="G321" s="12" t="str">
        <f t="shared" si="23"/>
        <v>Warning</v>
      </c>
      <c r="H321" s="13">
        <f t="shared" si="24"/>
        <v>6</v>
      </c>
      <c r="I321" s="14">
        <f t="shared" si="20"/>
        <v>1736.19</v>
      </c>
      <c r="K321" t="str">
        <f>[1]!revcom(C321)</f>
        <v>GGATGT</v>
      </c>
      <c r="L321">
        <v>6</v>
      </c>
    </row>
    <row r="322" spans="1:12" ht="15.6" x14ac:dyDescent="0.3">
      <c r="A322" s="9">
        <v>311</v>
      </c>
      <c r="B322" s="1"/>
      <c r="C322" s="2" t="s">
        <v>317</v>
      </c>
      <c r="D322" s="1"/>
      <c r="E322" s="11">
        <f t="shared" si="21"/>
        <v>22</v>
      </c>
      <c r="F322" s="12">
        <f t="shared" si="22"/>
        <v>50</v>
      </c>
      <c r="G322" s="12" t="str">
        <f t="shared" si="23"/>
        <v>Warning</v>
      </c>
      <c r="H322" s="13">
        <f t="shared" si="24"/>
        <v>6</v>
      </c>
      <c r="I322" s="14">
        <f t="shared" si="20"/>
        <v>1776.2199999999998</v>
      </c>
      <c r="K322" t="str">
        <f>[1]!revcom(C322)</f>
        <v>CGATGT</v>
      </c>
      <c r="L322">
        <v>6</v>
      </c>
    </row>
    <row r="323" spans="1:12" ht="15.6" x14ac:dyDescent="0.3">
      <c r="A323" s="9">
        <v>312</v>
      </c>
      <c r="B323" s="1"/>
      <c r="C323" s="2" t="s">
        <v>318</v>
      </c>
      <c r="D323" s="1"/>
      <c r="E323" s="11">
        <f t="shared" si="21"/>
        <v>16</v>
      </c>
      <c r="F323" s="12">
        <f t="shared" si="22"/>
        <v>33.333333333333329</v>
      </c>
      <c r="G323" s="12" t="str">
        <f t="shared" si="23"/>
        <v>OK</v>
      </c>
      <c r="H323" s="13">
        <f t="shared" si="24"/>
        <v>6</v>
      </c>
      <c r="I323" s="14">
        <f t="shared" si="20"/>
        <v>1751.1999999999998</v>
      </c>
      <c r="K323" t="str">
        <f>[1]!revcom(C323)</f>
        <v>AGATGT</v>
      </c>
      <c r="L323">
        <v>5</v>
      </c>
    </row>
    <row r="324" spans="1:12" ht="15.6" x14ac:dyDescent="0.3">
      <c r="A324" s="9">
        <v>313</v>
      </c>
      <c r="B324" s="1"/>
      <c r="C324" s="2" t="s">
        <v>319</v>
      </c>
      <c r="D324" s="1"/>
      <c r="E324" s="11">
        <f t="shared" si="21"/>
        <v>24</v>
      </c>
      <c r="F324" s="12">
        <f t="shared" si="22"/>
        <v>33.333333333333329</v>
      </c>
      <c r="G324" s="12" t="str">
        <f t="shared" si="23"/>
        <v>OK</v>
      </c>
      <c r="H324" s="13">
        <f t="shared" si="24"/>
        <v>6</v>
      </c>
      <c r="I324" s="14">
        <f t="shared" si="20"/>
        <v>1800.25</v>
      </c>
      <c r="K324" t="str">
        <f>[1]!revcom(C324)</f>
        <v>TCATGT</v>
      </c>
      <c r="L324">
        <v>6</v>
      </c>
    </row>
    <row r="325" spans="1:12" ht="15.6" x14ac:dyDescent="0.3">
      <c r="A325" s="9">
        <v>314</v>
      </c>
      <c r="B325" s="1"/>
      <c r="C325" s="2" t="s">
        <v>320</v>
      </c>
      <c r="D325" s="1"/>
      <c r="E325" s="11">
        <f t="shared" si="21"/>
        <v>22</v>
      </c>
      <c r="F325" s="12">
        <f t="shared" si="22"/>
        <v>50</v>
      </c>
      <c r="G325" s="12" t="str">
        <f t="shared" si="23"/>
        <v>Warning</v>
      </c>
      <c r="H325" s="13">
        <f t="shared" si="24"/>
        <v>6</v>
      </c>
      <c r="I325" s="14">
        <f t="shared" si="20"/>
        <v>1776.2199999999998</v>
      </c>
      <c r="K325" t="str">
        <f>[1]!revcom(C325)</f>
        <v>GCATGT</v>
      </c>
      <c r="L325">
        <v>6</v>
      </c>
    </row>
    <row r="326" spans="1:12" ht="15.6" x14ac:dyDescent="0.3">
      <c r="A326" s="9">
        <v>315</v>
      </c>
      <c r="B326" s="1"/>
      <c r="C326" s="2" t="s">
        <v>321</v>
      </c>
      <c r="D326" s="1"/>
      <c r="E326" s="11">
        <f t="shared" si="21"/>
        <v>22</v>
      </c>
      <c r="F326" s="12">
        <f t="shared" si="22"/>
        <v>50</v>
      </c>
      <c r="G326" s="12" t="str">
        <f t="shared" si="23"/>
        <v>Warning</v>
      </c>
      <c r="H326" s="13">
        <f t="shared" si="24"/>
        <v>6</v>
      </c>
      <c r="I326" s="14">
        <f t="shared" si="20"/>
        <v>1816.25</v>
      </c>
      <c r="K326" t="str">
        <f>[1]!revcom(C326)</f>
        <v>CCATGT</v>
      </c>
      <c r="L326">
        <v>6</v>
      </c>
    </row>
    <row r="327" spans="1:12" ht="15.6" x14ac:dyDescent="0.3">
      <c r="A327" s="9">
        <v>316</v>
      </c>
      <c r="B327" s="1"/>
      <c r="C327" s="2" t="s">
        <v>322</v>
      </c>
      <c r="D327" s="1"/>
      <c r="E327" s="11">
        <f t="shared" si="21"/>
        <v>16</v>
      </c>
      <c r="F327" s="12">
        <f t="shared" si="22"/>
        <v>33.333333333333329</v>
      </c>
      <c r="G327" s="12" t="str">
        <f t="shared" si="23"/>
        <v>OK</v>
      </c>
      <c r="H327" s="13">
        <f t="shared" si="24"/>
        <v>6</v>
      </c>
      <c r="I327" s="14">
        <f t="shared" si="20"/>
        <v>1791.23</v>
      </c>
      <c r="K327" t="str">
        <f>[1]!revcom(C327)</f>
        <v>ACATGT</v>
      </c>
      <c r="L327">
        <v>5</v>
      </c>
    </row>
    <row r="328" spans="1:12" ht="15.6" x14ac:dyDescent="0.3">
      <c r="A328" s="9">
        <v>317</v>
      </c>
      <c r="B328" s="1"/>
      <c r="C328" s="2" t="s">
        <v>323</v>
      </c>
      <c r="D328" s="1"/>
      <c r="E328" s="11">
        <f t="shared" si="21"/>
        <v>18</v>
      </c>
      <c r="F328" s="12">
        <f t="shared" si="22"/>
        <v>16.666666666666664</v>
      </c>
      <c r="G328" s="12" t="str">
        <f t="shared" si="23"/>
        <v>OK</v>
      </c>
      <c r="H328" s="13">
        <f t="shared" si="24"/>
        <v>6</v>
      </c>
      <c r="I328" s="14">
        <f t="shared" si="20"/>
        <v>1775.23</v>
      </c>
      <c r="K328" t="str">
        <f>[1]!revcom(C328)</f>
        <v>TAATGT</v>
      </c>
      <c r="L328">
        <v>5</v>
      </c>
    </row>
    <row r="329" spans="1:12" ht="15.6" x14ac:dyDescent="0.3">
      <c r="A329" s="9">
        <v>318</v>
      </c>
      <c r="B329" s="1"/>
      <c r="C329" s="2" t="s">
        <v>324</v>
      </c>
      <c r="D329" s="1"/>
      <c r="E329" s="11">
        <f t="shared" si="21"/>
        <v>16</v>
      </c>
      <c r="F329" s="12">
        <f t="shared" si="22"/>
        <v>33.333333333333329</v>
      </c>
      <c r="G329" s="12" t="str">
        <f t="shared" si="23"/>
        <v>OK</v>
      </c>
      <c r="H329" s="13">
        <f t="shared" si="24"/>
        <v>6</v>
      </c>
      <c r="I329" s="14">
        <f t="shared" si="20"/>
        <v>1751.1999999999998</v>
      </c>
      <c r="K329" t="str">
        <f>[1]!revcom(C329)</f>
        <v>GAATGT</v>
      </c>
      <c r="L329">
        <v>5</v>
      </c>
    </row>
    <row r="330" spans="1:12" ht="15.6" x14ac:dyDescent="0.3">
      <c r="A330" s="9">
        <v>319</v>
      </c>
      <c r="B330" s="1"/>
      <c r="C330" s="2" t="s">
        <v>325</v>
      </c>
      <c r="D330" s="1"/>
      <c r="E330" s="11">
        <f t="shared" si="21"/>
        <v>16</v>
      </c>
      <c r="F330" s="12">
        <f t="shared" si="22"/>
        <v>33.333333333333329</v>
      </c>
      <c r="G330" s="12" t="str">
        <f t="shared" si="23"/>
        <v>OK</v>
      </c>
      <c r="H330" s="13">
        <f t="shared" si="24"/>
        <v>6</v>
      </c>
      <c r="I330" s="14">
        <f t="shared" si="20"/>
        <v>1791.23</v>
      </c>
      <c r="K330" t="str">
        <f>[1]!revcom(C330)</f>
        <v>CAATGT</v>
      </c>
      <c r="L330">
        <v>5</v>
      </c>
    </row>
    <row r="331" spans="1:12" ht="15.6" x14ac:dyDescent="0.3">
      <c r="A331" s="9">
        <v>320</v>
      </c>
      <c r="B331" s="1"/>
      <c r="C331" s="2" t="s">
        <v>326</v>
      </c>
      <c r="D331" s="1"/>
      <c r="E331" s="11">
        <f t="shared" si="21"/>
        <v>10</v>
      </c>
      <c r="F331" s="12">
        <f t="shared" si="22"/>
        <v>16.666666666666664</v>
      </c>
      <c r="G331" s="12" t="str">
        <f t="shared" si="23"/>
        <v>OK</v>
      </c>
      <c r="H331" s="13">
        <f t="shared" si="24"/>
        <v>6</v>
      </c>
      <c r="I331" s="14">
        <f t="shared" si="20"/>
        <v>1766.21</v>
      </c>
      <c r="K331" t="str">
        <f>[1]!revcom(C331)</f>
        <v>AAATGT</v>
      </c>
      <c r="L331">
        <v>4</v>
      </c>
    </row>
    <row r="332" spans="1:12" ht="15.6" x14ac:dyDescent="0.3">
      <c r="A332" s="9">
        <v>321</v>
      </c>
      <c r="B332" s="1"/>
      <c r="C332" s="2" t="s">
        <v>327</v>
      </c>
      <c r="D332" s="1"/>
      <c r="E332" s="11">
        <f t="shared" si="21"/>
        <v>32</v>
      </c>
      <c r="F332" s="12">
        <f t="shared" si="22"/>
        <v>33.333333333333329</v>
      </c>
      <c r="G332" s="12" t="str">
        <f t="shared" si="23"/>
        <v>OK</v>
      </c>
      <c r="H332" s="13">
        <f t="shared" si="24"/>
        <v>6</v>
      </c>
      <c r="I332" s="14">
        <f t="shared" si="20"/>
        <v>1769.2399999999998</v>
      </c>
      <c r="K332" t="str">
        <f>[1]!revcom(C332)</f>
        <v>TTTGGT</v>
      </c>
      <c r="L332">
        <v>8</v>
      </c>
    </row>
    <row r="333" spans="1:12" ht="15.6" x14ac:dyDescent="0.3">
      <c r="A333" s="9">
        <v>322</v>
      </c>
      <c r="B333" s="1"/>
      <c r="C333" s="2" t="s">
        <v>328</v>
      </c>
      <c r="D333" s="1"/>
      <c r="E333" s="11">
        <f t="shared" si="21"/>
        <v>30</v>
      </c>
      <c r="F333" s="12">
        <f t="shared" si="22"/>
        <v>50</v>
      </c>
      <c r="G333" s="12" t="str">
        <f t="shared" si="23"/>
        <v>Warning</v>
      </c>
      <c r="H333" s="13">
        <f t="shared" si="24"/>
        <v>6</v>
      </c>
      <c r="I333" s="14">
        <f t="shared" ref="I333:I396" si="25">((LEN(C333)-(LEN(SUBSTITUTE(C333,"A",""))))*249.23)+((LEN(C333)-(LEN(SUBSTITUTE(C333,"T",""))))*240.21)+((LEN(C333)-(LEN(SUBSTITUTE(C333,"C",""))))*225.2)+((LEN(C333)-(LEN(SUBSTITUTE(C333,"G",""))))*265.23)+(63.98*(LEN(C333)-1)+(2.02))</f>
        <v>1745.21</v>
      </c>
      <c r="K333" t="str">
        <f>[1]!revcom(C333)</f>
        <v>GTTGGT</v>
      </c>
      <c r="L333">
        <v>7</v>
      </c>
    </row>
    <row r="334" spans="1:12" ht="15.6" x14ac:dyDescent="0.3">
      <c r="A334" s="9">
        <v>323</v>
      </c>
      <c r="B334" s="1"/>
      <c r="C334" s="2" t="s">
        <v>329</v>
      </c>
      <c r="D334" s="1"/>
      <c r="E334" s="11">
        <f t="shared" ref="E334:E397" si="26">IF(LEN(C334)&gt;15,(69.3+((41*((LEN(C334)-(((LEN(C334)-(LEN(SUBSTITUTE(C334,"A",""))))+((LEN(C334)-(LEN(SUBSTITUTE(C334,"T","")))))))))/(LEN(C334)))-(650/(LEN(C334))))),(2*((LEN(C334)-(((LEN(C334)-(LEN(SUBSTITUTE(C334,"C",""))))+((LEN(C334)-(LEN(SUBSTITUTE(C334,"G",""))))))))))+(4*((LEN(C334)-(((LEN(C334)-(LEN(SUBSTITUTE(C334,"T",""))))+((LEN(C334)-(LEN(SUBSTITUTE(C334,"T","")))))))))))</f>
        <v>30</v>
      </c>
      <c r="F334" s="12">
        <f t="shared" ref="F334:F397" si="27">((LEN(C334)- LEN(SUBSTITUTE(C334,"G","")))+(LEN(C334)- LEN(SUBSTITUTE(C334,"C",""))) )/LEN(C334)*100</f>
        <v>50</v>
      </c>
      <c r="G334" s="12" t="str">
        <f t="shared" ref="G334:G397" si="28">IF((-5+((LEN(SUBSTITUTE(RIGHT(C334,5),"C","")))+((LEN(SUBSTITUTE(RIGHT(C334,5),"G",""))))))&gt;=3,"OK","Warning")</f>
        <v>Warning</v>
      </c>
      <c r="H334" s="13">
        <f t="shared" ref="H334:H397" si="29">LEN(C334)</f>
        <v>6</v>
      </c>
      <c r="I334" s="14">
        <f t="shared" si="25"/>
        <v>1785.2399999999998</v>
      </c>
      <c r="K334" t="str">
        <f>[1]!revcom(C334)</f>
        <v>CTTGGT</v>
      </c>
      <c r="L334">
        <v>7</v>
      </c>
    </row>
    <row r="335" spans="1:12" ht="15.6" x14ac:dyDescent="0.3">
      <c r="A335" s="9">
        <v>324</v>
      </c>
      <c r="B335" s="1"/>
      <c r="C335" s="2" t="s">
        <v>330</v>
      </c>
      <c r="D335" s="1"/>
      <c r="E335" s="11">
        <f t="shared" si="26"/>
        <v>24</v>
      </c>
      <c r="F335" s="12">
        <f t="shared" si="27"/>
        <v>33.333333333333329</v>
      </c>
      <c r="G335" s="12" t="str">
        <f t="shared" si="28"/>
        <v>OK</v>
      </c>
      <c r="H335" s="13">
        <f t="shared" si="29"/>
        <v>6</v>
      </c>
      <c r="I335" s="14">
        <f t="shared" si="25"/>
        <v>1760.2199999999998</v>
      </c>
      <c r="K335" t="str">
        <f>[1]!revcom(C335)</f>
        <v>ATTGGT</v>
      </c>
      <c r="L335">
        <v>6</v>
      </c>
    </row>
    <row r="336" spans="1:12" ht="15.6" x14ac:dyDescent="0.3">
      <c r="A336" s="9">
        <v>325</v>
      </c>
      <c r="B336" s="1"/>
      <c r="C336" s="2" t="s">
        <v>331</v>
      </c>
      <c r="D336" s="1"/>
      <c r="E336" s="11">
        <f t="shared" si="26"/>
        <v>30</v>
      </c>
      <c r="F336" s="12">
        <f t="shared" si="27"/>
        <v>50</v>
      </c>
      <c r="G336" s="12" t="str">
        <f t="shared" si="28"/>
        <v>Warning</v>
      </c>
      <c r="H336" s="13">
        <f t="shared" si="29"/>
        <v>6</v>
      </c>
      <c r="I336" s="14">
        <f t="shared" si="25"/>
        <v>1745.21</v>
      </c>
      <c r="K336" t="str">
        <f>[1]!revcom(C336)</f>
        <v>TGTGGT</v>
      </c>
      <c r="L336">
        <v>7</v>
      </c>
    </row>
    <row r="337" spans="1:12" ht="15.6" x14ac:dyDescent="0.3">
      <c r="A337" s="9">
        <v>326</v>
      </c>
      <c r="B337" s="1"/>
      <c r="C337" s="2" t="s">
        <v>332</v>
      </c>
      <c r="D337" s="1"/>
      <c r="E337" s="11">
        <f t="shared" si="26"/>
        <v>28</v>
      </c>
      <c r="F337" s="12">
        <f t="shared" si="27"/>
        <v>66.666666666666657</v>
      </c>
      <c r="G337" s="12" t="str">
        <f t="shared" si="28"/>
        <v>Warning</v>
      </c>
      <c r="H337" s="13">
        <f t="shared" si="29"/>
        <v>6</v>
      </c>
      <c r="I337" s="14">
        <f t="shared" si="25"/>
        <v>1721.1799999999998</v>
      </c>
      <c r="K337" t="str">
        <f>[1]!revcom(C337)</f>
        <v>GGTGGT</v>
      </c>
      <c r="L337">
        <v>7</v>
      </c>
    </row>
    <row r="338" spans="1:12" ht="15.6" x14ac:dyDescent="0.3">
      <c r="A338" s="9">
        <v>327</v>
      </c>
      <c r="B338" s="1"/>
      <c r="C338" s="2" t="s">
        <v>333</v>
      </c>
      <c r="D338" s="1"/>
      <c r="E338" s="11">
        <f t="shared" si="26"/>
        <v>28</v>
      </c>
      <c r="F338" s="12">
        <f t="shared" si="27"/>
        <v>66.666666666666657</v>
      </c>
      <c r="G338" s="12" t="str">
        <f t="shared" si="28"/>
        <v>Warning</v>
      </c>
      <c r="H338" s="13">
        <f t="shared" si="29"/>
        <v>6</v>
      </c>
      <c r="I338" s="14">
        <f t="shared" si="25"/>
        <v>1761.21</v>
      </c>
      <c r="K338" t="str">
        <f>[1]!revcom(C338)</f>
        <v>CGTGGT</v>
      </c>
      <c r="L338">
        <v>7</v>
      </c>
    </row>
    <row r="339" spans="1:12" ht="15.6" x14ac:dyDescent="0.3">
      <c r="A339" s="9">
        <v>328</v>
      </c>
      <c r="B339" s="1"/>
      <c r="C339" s="2" t="s">
        <v>334</v>
      </c>
      <c r="D339" s="1"/>
      <c r="E339" s="11">
        <f t="shared" si="26"/>
        <v>22</v>
      </c>
      <c r="F339" s="12">
        <f t="shared" si="27"/>
        <v>50</v>
      </c>
      <c r="G339" s="12" t="str">
        <f t="shared" si="28"/>
        <v>Warning</v>
      </c>
      <c r="H339" s="13">
        <f t="shared" si="29"/>
        <v>6</v>
      </c>
      <c r="I339" s="14">
        <f t="shared" si="25"/>
        <v>1736.19</v>
      </c>
      <c r="K339" t="str">
        <f>[1]!revcom(C339)</f>
        <v>AGTGGT</v>
      </c>
      <c r="L339">
        <v>6</v>
      </c>
    </row>
    <row r="340" spans="1:12" ht="15.6" x14ac:dyDescent="0.3">
      <c r="A340" s="9">
        <v>329</v>
      </c>
      <c r="B340" s="1"/>
      <c r="C340" s="2" t="s">
        <v>335</v>
      </c>
      <c r="D340" s="1"/>
      <c r="E340" s="11">
        <f t="shared" si="26"/>
        <v>30</v>
      </c>
      <c r="F340" s="12">
        <f t="shared" si="27"/>
        <v>50</v>
      </c>
      <c r="G340" s="12" t="str">
        <f t="shared" si="28"/>
        <v>Warning</v>
      </c>
      <c r="H340" s="13">
        <f t="shared" si="29"/>
        <v>6</v>
      </c>
      <c r="I340" s="14">
        <f t="shared" si="25"/>
        <v>1785.2399999999998</v>
      </c>
      <c r="K340" t="str">
        <f>[1]!revcom(C340)</f>
        <v>TCTGGT</v>
      </c>
      <c r="L340">
        <v>7</v>
      </c>
    </row>
    <row r="341" spans="1:12" ht="15.6" x14ac:dyDescent="0.3">
      <c r="A341" s="9">
        <v>330</v>
      </c>
      <c r="B341" s="1"/>
      <c r="C341" s="2" t="s">
        <v>336</v>
      </c>
      <c r="D341" s="1"/>
      <c r="E341" s="11">
        <f t="shared" si="26"/>
        <v>28</v>
      </c>
      <c r="F341" s="12">
        <f t="shared" si="27"/>
        <v>66.666666666666657</v>
      </c>
      <c r="G341" s="12" t="str">
        <f t="shared" si="28"/>
        <v>Warning</v>
      </c>
      <c r="H341" s="13">
        <f t="shared" si="29"/>
        <v>6</v>
      </c>
      <c r="I341" s="14">
        <f t="shared" si="25"/>
        <v>1761.21</v>
      </c>
      <c r="K341" t="str">
        <f>[1]!revcom(C341)</f>
        <v>GCTGGT</v>
      </c>
      <c r="L341">
        <v>7</v>
      </c>
    </row>
    <row r="342" spans="1:12" ht="15.6" x14ac:dyDescent="0.3">
      <c r="A342" s="9">
        <v>331</v>
      </c>
      <c r="B342" s="1"/>
      <c r="C342" s="2" t="s">
        <v>337</v>
      </c>
      <c r="D342" s="1"/>
      <c r="E342" s="11">
        <f t="shared" si="26"/>
        <v>28</v>
      </c>
      <c r="F342" s="12">
        <f t="shared" si="27"/>
        <v>66.666666666666657</v>
      </c>
      <c r="G342" s="12" t="str">
        <f t="shared" si="28"/>
        <v>Warning</v>
      </c>
      <c r="H342" s="13">
        <f t="shared" si="29"/>
        <v>6</v>
      </c>
      <c r="I342" s="14">
        <f t="shared" si="25"/>
        <v>1801.2399999999998</v>
      </c>
      <c r="K342" t="str">
        <f>[1]!revcom(C342)</f>
        <v>CCTGGT</v>
      </c>
      <c r="L342">
        <v>7</v>
      </c>
    </row>
    <row r="343" spans="1:12" ht="15.6" x14ac:dyDescent="0.3">
      <c r="A343" s="9">
        <v>332</v>
      </c>
      <c r="B343" s="1"/>
      <c r="C343" s="2" t="s">
        <v>338</v>
      </c>
      <c r="D343" s="1"/>
      <c r="E343" s="11">
        <f t="shared" si="26"/>
        <v>22</v>
      </c>
      <c r="F343" s="12">
        <f t="shared" si="27"/>
        <v>50</v>
      </c>
      <c r="G343" s="12" t="str">
        <f t="shared" si="28"/>
        <v>Warning</v>
      </c>
      <c r="H343" s="13">
        <f t="shared" si="29"/>
        <v>6</v>
      </c>
      <c r="I343" s="14">
        <f t="shared" si="25"/>
        <v>1776.2199999999998</v>
      </c>
      <c r="K343" t="str">
        <f>[1]!revcom(C343)</f>
        <v>ACTGGT</v>
      </c>
      <c r="L343">
        <v>6</v>
      </c>
    </row>
    <row r="344" spans="1:12" ht="15.6" x14ac:dyDescent="0.3">
      <c r="A344" s="9">
        <v>333</v>
      </c>
      <c r="B344" s="1"/>
      <c r="C344" s="2" t="s">
        <v>339</v>
      </c>
      <c r="D344" s="1"/>
      <c r="E344" s="11">
        <f t="shared" si="26"/>
        <v>24</v>
      </c>
      <c r="F344" s="12">
        <f t="shared" si="27"/>
        <v>33.333333333333329</v>
      </c>
      <c r="G344" s="12" t="str">
        <f t="shared" si="28"/>
        <v>OK</v>
      </c>
      <c r="H344" s="13">
        <f t="shared" si="29"/>
        <v>6</v>
      </c>
      <c r="I344" s="14">
        <f t="shared" si="25"/>
        <v>1760.2199999999998</v>
      </c>
      <c r="K344" t="str">
        <f>[1]!revcom(C344)</f>
        <v>TATGGT</v>
      </c>
      <c r="L344">
        <v>6</v>
      </c>
    </row>
    <row r="345" spans="1:12" ht="15.6" x14ac:dyDescent="0.3">
      <c r="A345" s="9">
        <v>334</v>
      </c>
      <c r="B345" s="1"/>
      <c r="C345" s="2" t="s">
        <v>340</v>
      </c>
      <c r="D345" s="1"/>
      <c r="E345" s="11">
        <f t="shared" si="26"/>
        <v>22</v>
      </c>
      <c r="F345" s="12">
        <f t="shared" si="27"/>
        <v>50</v>
      </c>
      <c r="G345" s="12" t="str">
        <f t="shared" si="28"/>
        <v>Warning</v>
      </c>
      <c r="H345" s="13">
        <f t="shared" si="29"/>
        <v>6</v>
      </c>
      <c r="I345" s="14">
        <f t="shared" si="25"/>
        <v>1736.19</v>
      </c>
      <c r="K345" t="str">
        <f>[1]!revcom(C345)</f>
        <v>GATGGT</v>
      </c>
      <c r="L345">
        <v>6</v>
      </c>
    </row>
    <row r="346" spans="1:12" ht="15.6" x14ac:dyDescent="0.3">
      <c r="A346" s="9">
        <v>335</v>
      </c>
      <c r="B346" s="1"/>
      <c r="C346" s="2" t="s">
        <v>341</v>
      </c>
      <c r="D346" s="1"/>
      <c r="E346" s="11">
        <f t="shared" si="26"/>
        <v>22</v>
      </c>
      <c r="F346" s="12">
        <f t="shared" si="27"/>
        <v>50</v>
      </c>
      <c r="G346" s="12" t="str">
        <f t="shared" si="28"/>
        <v>Warning</v>
      </c>
      <c r="H346" s="13">
        <f t="shared" si="29"/>
        <v>6</v>
      </c>
      <c r="I346" s="14">
        <f t="shared" si="25"/>
        <v>1776.2199999999998</v>
      </c>
      <c r="K346" t="str">
        <f>[1]!revcom(C346)</f>
        <v>CATGGT</v>
      </c>
      <c r="L346">
        <v>6</v>
      </c>
    </row>
    <row r="347" spans="1:12" ht="15.6" x14ac:dyDescent="0.3">
      <c r="A347" s="9">
        <v>336</v>
      </c>
      <c r="B347" s="1"/>
      <c r="C347" s="2" t="s">
        <v>342</v>
      </c>
      <c r="D347" s="1"/>
      <c r="E347" s="11">
        <f t="shared" si="26"/>
        <v>16</v>
      </c>
      <c r="F347" s="12">
        <f t="shared" si="27"/>
        <v>33.333333333333329</v>
      </c>
      <c r="G347" s="12" t="str">
        <f t="shared" si="28"/>
        <v>OK</v>
      </c>
      <c r="H347" s="13">
        <f t="shared" si="29"/>
        <v>6</v>
      </c>
      <c r="I347" s="14">
        <f t="shared" si="25"/>
        <v>1751.1999999999998</v>
      </c>
      <c r="K347" t="str">
        <f>[1]!revcom(C347)</f>
        <v>AATGGT</v>
      </c>
      <c r="L347">
        <v>5</v>
      </c>
    </row>
    <row r="348" spans="1:12" ht="15.6" x14ac:dyDescent="0.3">
      <c r="A348" s="9">
        <v>337</v>
      </c>
      <c r="B348" s="1"/>
      <c r="C348" s="2" t="s">
        <v>343</v>
      </c>
      <c r="D348" s="1"/>
      <c r="E348" s="11">
        <f t="shared" si="26"/>
        <v>30</v>
      </c>
      <c r="F348" s="12">
        <f t="shared" si="27"/>
        <v>50</v>
      </c>
      <c r="G348" s="12" t="str">
        <f t="shared" si="28"/>
        <v>Warning</v>
      </c>
      <c r="H348" s="13">
        <f t="shared" si="29"/>
        <v>6</v>
      </c>
      <c r="I348" s="14">
        <f t="shared" si="25"/>
        <v>1745.21</v>
      </c>
      <c r="K348" t="str">
        <f>[1]!revcom(C348)</f>
        <v>TTGGGT</v>
      </c>
      <c r="L348">
        <v>7</v>
      </c>
    </row>
    <row r="349" spans="1:12" ht="15.6" x14ac:dyDescent="0.3">
      <c r="A349" s="9">
        <v>338</v>
      </c>
      <c r="B349" s="1"/>
      <c r="C349" s="2" t="s">
        <v>344</v>
      </c>
      <c r="D349" s="1"/>
      <c r="E349" s="11">
        <f t="shared" si="26"/>
        <v>28</v>
      </c>
      <c r="F349" s="12">
        <f t="shared" si="27"/>
        <v>66.666666666666657</v>
      </c>
      <c r="G349" s="12" t="str">
        <f t="shared" si="28"/>
        <v>Warning</v>
      </c>
      <c r="H349" s="13">
        <f t="shared" si="29"/>
        <v>6</v>
      </c>
      <c r="I349" s="14">
        <f t="shared" si="25"/>
        <v>1721.1799999999998</v>
      </c>
      <c r="K349" t="str">
        <f>[1]!revcom(C349)</f>
        <v>GTGGGT</v>
      </c>
      <c r="L349">
        <v>7</v>
      </c>
    </row>
    <row r="350" spans="1:12" ht="15.6" x14ac:dyDescent="0.3">
      <c r="A350" s="9">
        <v>339</v>
      </c>
      <c r="B350" s="1"/>
      <c r="C350" s="2" t="s">
        <v>345</v>
      </c>
      <c r="D350" s="1"/>
      <c r="E350" s="11">
        <f t="shared" si="26"/>
        <v>28</v>
      </c>
      <c r="F350" s="12">
        <f t="shared" si="27"/>
        <v>66.666666666666657</v>
      </c>
      <c r="G350" s="12" t="str">
        <f t="shared" si="28"/>
        <v>Warning</v>
      </c>
      <c r="H350" s="13">
        <f t="shared" si="29"/>
        <v>6</v>
      </c>
      <c r="I350" s="14">
        <f t="shared" si="25"/>
        <v>1761.21</v>
      </c>
      <c r="K350" t="str">
        <f>[1]!revcom(C350)</f>
        <v>CTGGGT</v>
      </c>
      <c r="L350">
        <v>7</v>
      </c>
    </row>
    <row r="351" spans="1:12" ht="15.6" x14ac:dyDescent="0.3">
      <c r="A351" s="9">
        <v>340</v>
      </c>
      <c r="B351" s="1"/>
      <c r="C351" s="2" t="s">
        <v>346</v>
      </c>
      <c r="D351" s="1"/>
      <c r="E351" s="11">
        <f t="shared" si="26"/>
        <v>22</v>
      </c>
      <c r="F351" s="12">
        <f t="shared" si="27"/>
        <v>50</v>
      </c>
      <c r="G351" s="12" t="str">
        <f t="shared" si="28"/>
        <v>Warning</v>
      </c>
      <c r="H351" s="13">
        <f t="shared" si="29"/>
        <v>6</v>
      </c>
      <c r="I351" s="14">
        <f t="shared" si="25"/>
        <v>1736.19</v>
      </c>
      <c r="K351" t="str">
        <f>[1]!revcom(C351)</f>
        <v>ATGGGT</v>
      </c>
      <c r="L351">
        <v>6</v>
      </c>
    </row>
    <row r="352" spans="1:12" ht="15.6" x14ac:dyDescent="0.3">
      <c r="A352" s="9">
        <v>341</v>
      </c>
      <c r="B352" s="1"/>
      <c r="C352" s="2" t="s">
        <v>347</v>
      </c>
      <c r="D352" s="1"/>
      <c r="E352" s="11">
        <f t="shared" si="26"/>
        <v>28</v>
      </c>
      <c r="F352" s="12">
        <f t="shared" si="27"/>
        <v>66.666666666666657</v>
      </c>
      <c r="G352" s="12" t="str">
        <f t="shared" si="28"/>
        <v>Warning</v>
      </c>
      <c r="H352" s="13">
        <f t="shared" si="29"/>
        <v>6</v>
      </c>
      <c r="I352" s="14">
        <f t="shared" si="25"/>
        <v>1721.1799999999998</v>
      </c>
      <c r="K352" t="str">
        <f>[1]!revcom(C352)</f>
        <v>TGGGGT</v>
      </c>
      <c r="L352">
        <v>7</v>
      </c>
    </row>
    <row r="353" spans="1:12" ht="15.6" x14ac:dyDescent="0.3">
      <c r="A353" s="9">
        <v>342</v>
      </c>
      <c r="B353" s="1"/>
      <c r="C353" s="2" t="s">
        <v>348</v>
      </c>
      <c r="D353" s="1"/>
      <c r="E353" s="11">
        <f t="shared" si="26"/>
        <v>26</v>
      </c>
      <c r="F353" s="12">
        <f t="shared" si="27"/>
        <v>83.333333333333343</v>
      </c>
      <c r="G353" s="12" t="str">
        <f t="shared" si="28"/>
        <v>Warning</v>
      </c>
      <c r="H353" s="13">
        <f t="shared" si="29"/>
        <v>6</v>
      </c>
      <c r="I353" s="14">
        <f t="shared" si="25"/>
        <v>1697.15</v>
      </c>
      <c r="K353" t="str">
        <f>[1]!revcom(C353)</f>
        <v>GGGGGT</v>
      </c>
      <c r="L353">
        <v>7</v>
      </c>
    </row>
    <row r="354" spans="1:12" ht="15.6" x14ac:dyDescent="0.3">
      <c r="A354" s="9">
        <v>343</v>
      </c>
      <c r="B354" s="1"/>
      <c r="C354" s="2" t="s">
        <v>349</v>
      </c>
      <c r="D354" s="1"/>
      <c r="E354" s="11">
        <f t="shared" si="26"/>
        <v>26</v>
      </c>
      <c r="F354" s="12">
        <f t="shared" si="27"/>
        <v>83.333333333333343</v>
      </c>
      <c r="G354" s="12" t="str">
        <f t="shared" si="28"/>
        <v>Warning</v>
      </c>
      <c r="H354" s="13">
        <f t="shared" si="29"/>
        <v>6</v>
      </c>
      <c r="I354" s="14">
        <f t="shared" si="25"/>
        <v>1737.1799999999998</v>
      </c>
      <c r="K354" t="str">
        <f>[1]!revcom(C354)</f>
        <v>CGGGGT</v>
      </c>
      <c r="L354">
        <v>7</v>
      </c>
    </row>
    <row r="355" spans="1:12" ht="15.6" x14ac:dyDescent="0.3">
      <c r="A355" s="9">
        <v>344</v>
      </c>
      <c r="B355" s="1"/>
      <c r="C355" s="2" t="s">
        <v>350</v>
      </c>
      <c r="D355" s="1"/>
      <c r="E355" s="11">
        <f t="shared" si="26"/>
        <v>20</v>
      </c>
      <c r="F355" s="12">
        <f t="shared" si="27"/>
        <v>66.666666666666657</v>
      </c>
      <c r="G355" s="12" t="str">
        <f t="shared" si="28"/>
        <v>Warning</v>
      </c>
      <c r="H355" s="13">
        <f t="shared" si="29"/>
        <v>6</v>
      </c>
      <c r="I355" s="14">
        <f t="shared" si="25"/>
        <v>1712.1599999999999</v>
      </c>
      <c r="K355" t="str">
        <f>[1]!revcom(C355)</f>
        <v>AGGGGT</v>
      </c>
      <c r="L355">
        <v>6</v>
      </c>
    </row>
    <row r="356" spans="1:12" ht="15.6" x14ac:dyDescent="0.3">
      <c r="A356" s="9">
        <v>345</v>
      </c>
      <c r="B356" s="1"/>
      <c r="C356" s="2" t="s">
        <v>351</v>
      </c>
      <c r="D356" s="1"/>
      <c r="E356" s="11">
        <f t="shared" si="26"/>
        <v>28</v>
      </c>
      <c r="F356" s="12">
        <f t="shared" si="27"/>
        <v>66.666666666666657</v>
      </c>
      <c r="G356" s="12" t="str">
        <f t="shared" si="28"/>
        <v>Warning</v>
      </c>
      <c r="H356" s="13">
        <f t="shared" si="29"/>
        <v>6</v>
      </c>
      <c r="I356" s="14">
        <f t="shared" si="25"/>
        <v>1761.21</v>
      </c>
      <c r="K356" t="str">
        <f>[1]!revcom(C356)</f>
        <v>TCGGGT</v>
      </c>
      <c r="L356">
        <v>7</v>
      </c>
    </row>
    <row r="357" spans="1:12" ht="15.6" x14ac:dyDescent="0.3">
      <c r="A357" s="9">
        <v>346</v>
      </c>
      <c r="B357" s="1"/>
      <c r="C357" s="2" t="s">
        <v>352</v>
      </c>
      <c r="D357" s="1"/>
      <c r="E357" s="11">
        <f t="shared" si="26"/>
        <v>26</v>
      </c>
      <c r="F357" s="12">
        <f t="shared" si="27"/>
        <v>83.333333333333343</v>
      </c>
      <c r="G357" s="12" t="str">
        <f t="shared" si="28"/>
        <v>Warning</v>
      </c>
      <c r="H357" s="13">
        <f t="shared" si="29"/>
        <v>6</v>
      </c>
      <c r="I357" s="14">
        <f t="shared" si="25"/>
        <v>1737.1799999999998</v>
      </c>
      <c r="K357" t="str">
        <f>[1]!revcom(C357)</f>
        <v>GCGGGT</v>
      </c>
      <c r="L357">
        <v>7</v>
      </c>
    </row>
    <row r="358" spans="1:12" ht="15.6" x14ac:dyDescent="0.3">
      <c r="A358" s="9">
        <v>347</v>
      </c>
      <c r="B358" s="1"/>
      <c r="C358" s="2" t="s">
        <v>353</v>
      </c>
      <c r="D358" s="1"/>
      <c r="E358" s="11">
        <f t="shared" si="26"/>
        <v>26</v>
      </c>
      <c r="F358" s="12">
        <f t="shared" si="27"/>
        <v>83.333333333333343</v>
      </c>
      <c r="G358" s="12" t="str">
        <f t="shared" si="28"/>
        <v>Warning</v>
      </c>
      <c r="H358" s="13">
        <f t="shared" si="29"/>
        <v>6</v>
      </c>
      <c r="I358" s="14">
        <f t="shared" si="25"/>
        <v>1777.21</v>
      </c>
      <c r="K358" t="str">
        <f>[1]!revcom(C358)</f>
        <v>CCGGGT</v>
      </c>
      <c r="L358">
        <v>7</v>
      </c>
    </row>
    <row r="359" spans="1:12" ht="15.6" x14ac:dyDescent="0.3">
      <c r="A359" s="9">
        <v>348</v>
      </c>
      <c r="B359" s="1"/>
      <c r="C359" s="2" t="s">
        <v>354</v>
      </c>
      <c r="D359" s="1"/>
      <c r="E359" s="11">
        <f t="shared" si="26"/>
        <v>20</v>
      </c>
      <c r="F359" s="12">
        <f t="shared" si="27"/>
        <v>66.666666666666657</v>
      </c>
      <c r="G359" s="12" t="str">
        <f t="shared" si="28"/>
        <v>Warning</v>
      </c>
      <c r="H359" s="13">
        <f t="shared" si="29"/>
        <v>6</v>
      </c>
      <c r="I359" s="14">
        <f t="shared" si="25"/>
        <v>1752.19</v>
      </c>
      <c r="K359" t="str">
        <f>[1]!revcom(C359)</f>
        <v>ACGGGT</v>
      </c>
      <c r="L359">
        <v>6</v>
      </c>
    </row>
    <row r="360" spans="1:12" ht="15.6" x14ac:dyDescent="0.3">
      <c r="A360" s="9">
        <v>349</v>
      </c>
      <c r="B360" s="1"/>
      <c r="C360" s="2" t="s">
        <v>355</v>
      </c>
      <c r="D360" s="1"/>
      <c r="E360" s="11">
        <f t="shared" si="26"/>
        <v>22</v>
      </c>
      <c r="F360" s="12">
        <f t="shared" si="27"/>
        <v>50</v>
      </c>
      <c r="G360" s="12" t="str">
        <f t="shared" si="28"/>
        <v>Warning</v>
      </c>
      <c r="H360" s="13">
        <f t="shared" si="29"/>
        <v>6</v>
      </c>
      <c r="I360" s="14">
        <f t="shared" si="25"/>
        <v>1736.19</v>
      </c>
      <c r="K360" t="str">
        <f>[1]!revcom(C360)</f>
        <v>TAGGGT</v>
      </c>
      <c r="L360">
        <v>6</v>
      </c>
    </row>
    <row r="361" spans="1:12" ht="15.6" x14ac:dyDescent="0.3">
      <c r="A361" s="9">
        <v>350</v>
      </c>
      <c r="B361" s="1"/>
      <c r="C361" s="2" t="s">
        <v>356</v>
      </c>
      <c r="D361" s="1"/>
      <c r="E361" s="11">
        <f t="shared" si="26"/>
        <v>20</v>
      </c>
      <c r="F361" s="12">
        <f t="shared" si="27"/>
        <v>66.666666666666657</v>
      </c>
      <c r="G361" s="12" t="str">
        <f t="shared" si="28"/>
        <v>Warning</v>
      </c>
      <c r="H361" s="13">
        <f t="shared" si="29"/>
        <v>6</v>
      </c>
      <c r="I361" s="14">
        <f t="shared" si="25"/>
        <v>1712.1599999999999</v>
      </c>
      <c r="K361" t="str">
        <f>[1]!revcom(C361)</f>
        <v>GAGGGT</v>
      </c>
      <c r="L361">
        <v>6</v>
      </c>
    </row>
    <row r="362" spans="1:12" ht="15.6" x14ac:dyDescent="0.3">
      <c r="A362" s="9">
        <v>351</v>
      </c>
      <c r="B362" s="1"/>
      <c r="C362" s="2" t="s">
        <v>357</v>
      </c>
      <c r="D362" s="1"/>
      <c r="E362" s="11">
        <f t="shared" si="26"/>
        <v>20</v>
      </c>
      <c r="F362" s="12">
        <f t="shared" si="27"/>
        <v>66.666666666666657</v>
      </c>
      <c r="G362" s="12" t="str">
        <f t="shared" si="28"/>
        <v>Warning</v>
      </c>
      <c r="H362" s="13">
        <f t="shared" si="29"/>
        <v>6</v>
      </c>
      <c r="I362" s="14">
        <f t="shared" si="25"/>
        <v>1752.19</v>
      </c>
      <c r="K362" t="str">
        <f>[1]!revcom(C362)</f>
        <v>CAGGGT</v>
      </c>
      <c r="L362">
        <v>6</v>
      </c>
    </row>
    <row r="363" spans="1:12" ht="15.6" x14ac:dyDescent="0.3">
      <c r="A363" s="9">
        <v>352</v>
      </c>
      <c r="B363" s="1"/>
      <c r="C363" s="2" t="s">
        <v>358</v>
      </c>
      <c r="D363" s="1"/>
      <c r="E363" s="11">
        <f t="shared" si="26"/>
        <v>14</v>
      </c>
      <c r="F363" s="12">
        <f t="shared" si="27"/>
        <v>50</v>
      </c>
      <c r="G363" s="12" t="str">
        <f t="shared" si="28"/>
        <v>Warning</v>
      </c>
      <c r="H363" s="13">
        <f t="shared" si="29"/>
        <v>6</v>
      </c>
      <c r="I363" s="14">
        <f t="shared" si="25"/>
        <v>1727.17</v>
      </c>
      <c r="K363" t="str">
        <f>[1]!revcom(C363)</f>
        <v>AAGGGT</v>
      </c>
      <c r="L363">
        <v>5</v>
      </c>
    </row>
    <row r="364" spans="1:12" ht="15.6" x14ac:dyDescent="0.3">
      <c r="A364" s="9">
        <v>353</v>
      </c>
      <c r="B364" s="1"/>
      <c r="C364" s="2" t="s">
        <v>359</v>
      </c>
      <c r="D364" s="1"/>
      <c r="E364" s="11">
        <f t="shared" si="26"/>
        <v>30</v>
      </c>
      <c r="F364" s="12">
        <f t="shared" si="27"/>
        <v>50</v>
      </c>
      <c r="G364" s="12" t="str">
        <f t="shared" si="28"/>
        <v>Warning</v>
      </c>
      <c r="H364" s="13">
        <f t="shared" si="29"/>
        <v>6</v>
      </c>
      <c r="I364" s="14">
        <f t="shared" si="25"/>
        <v>1785.2399999999998</v>
      </c>
      <c r="K364" t="str">
        <f>[1]!revcom(C364)</f>
        <v>TTCGGT</v>
      </c>
      <c r="L364">
        <v>7</v>
      </c>
    </row>
    <row r="365" spans="1:12" ht="15.6" x14ac:dyDescent="0.3">
      <c r="A365" s="9">
        <v>354</v>
      </c>
      <c r="B365" s="1"/>
      <c r="C365" s="2" t="s">
        <v>360</v>
      </c>
      <c r="D365" s="1"/>
      <c r="E365" s="11">
        <f t="shared" si="26"/>
        <v>28</v>
      </c>
      <c r="F365" s="12">
        <f t="shared" si="27"/>
        <v>66.666666666666657</v>
      </c>
      <c r="G365" s="12" t="str">
        <f t="shared" si="28"/>
        <v>Warning</v>
      </c>
      <c r="H365" s="13">
        <f t="shared" si="29"/>
        <v>6</v>
      </c>
      <c r="I365" s="14">
        <f t="shared" si="25"/>
        <v>1761.21</v>
      </c>
      <c r="K365" t="str">
        <f>[1]!revcom(C365)</f>
        <v>GTCGGT</v>
      </c>
      <c r="L365">
        <v>7</v>
      </c>
    </row>
    <row r="366" spans="1:12" ht="15.6" x14ac:dyDescent="0.3">
      <c r="A366" s="9">
        <v>355</v>
      </c>
      <c r="B366" s="1"/>
      <c r="C366" s="2" t="s">
        <v>361</v>
      </c>
      <c r="D366" s="1"/>
      <c r="E366" s="11">
        <f t="shared" si="26"/>
        <v>28</v>
      </c>
      <c r="F366" s="12">
        <f t="shared" si="27"/>
        <v>66.666666666666657</v>
      </c>
      <c r="G366" s="12" t="str">
        <f t="shared" si="28"/>
        <v>Warning</v>
      </c>
      <c r="H366" s="13">
        <f t="shared" si="29"/>
        <v>6</v>
      </c>
      <c r="I366" s="14">
        <f t="shared" si="25"/>
        <v>1801.2399999999998</v>
      </c>
      <c r="K366" t="str">
        <f>[1]!revcom(C366)</f>
        <v>CTCGGT</v>
      </c>
      <c r="L366">
        <v>7</v>
      </c>
    </row>
    <row r="367" spans="1:12" ht="15.6" x14ac:dyDescent="0.3">
      <c r="A367" s="9">
        <v>356</v>
      </c>
      <c r="B367" s="1"/>
      <c r="C367" s="2" t="s">
        <v>362</v>
      </c>
      <c r="D367" s="1"/>
      <c r="E367" s="11">
        <f t="shared" si="26"/>
        <v>22</v>
      </c>
      <c r="F367" s="12">
        <f t="shared" si="27"/>
        <v>50</v>
      </c>
      <c r="G367" s="12" t="str">
        <f t="shared" si="28"/>
        <v>Warning</v>
      </c>
      <c r="H367" s="13">
        <f t="shared" si="29"/>
        <v>6</v>
      </c>
      <c r="I367" s="14">
        <f t="shared" si="25"/>
        <v>1776.2199999999998</v>
      </c>
      <c r="K367" t="str">
        <f>[1]!revcom(C367)</f>
        <v>ATCGGT</v>
      </c>
      <c r="L367">
        <v>6</v>
      </c>
    </row>
    <row r="368" spans="1:12" ht="15.6" x14ac:dyDescent="0.3">
      <c r="A368" s="9">
        <v>357</v>
      </c>
      <c r="B368" s="1"/>
      <c r="C368" s="2" t="s">
        <v>363</v>
      </c>
      <c r="D368" s="1"/>
      <c r="E368" s="11">
        <f t="shared" si="26"/>
        <v>28</v>
      </c>
      <c r="F368" s="12">
        <f t="shared" si="27"/>
        <v>66.666666666666657</v>
      </c>
      <c r="G368" s="12" t="str">
        <f t="shared" si="28"/>
        <v>Warning</v>
      </c>
      <c r="H368" s="13">
        <f t="shared" si="29"/>
        <v>6</v>
      </c>
      <c r="I368" s="14">
        <f t="shared" si="25"/>
        <v>1761.21</v>
      </c>
      <c r="K368" t="str">
        <f>[1]!revcom(C368)</f>
        <v>TGCGGT</v>
      </c>
      <c r="L368">
        <v>7</v>
      </c>
    </row>
    <row r="369" spans="1:12" ht="15.6" x14ac:dyDescent="0.3">
      <c r="A369" s="9">
        <v>358</v>
      </c>
      <c r="B369" s="1"/>
      <c r="C369" s="2" t="s">
        <v>364</v>
      </c>
      <c r="D369" s="1"/>
      <c r="E369" s="11">
        <f t="shared" si="26"/>
        <v>26</v>
      </c>
      <c r="F369" s="12">
        <f t="shared" si="27"/>
        <v>83.333333333333343</v>
      </c>
      <c r="G369" s="12" t="str">
        <f t="shared" si="28"/>
        <v>Warning</v>
      </c>
      <c r="H369" s="13">
        <f t="shared" si="29"/>
        <v>6</v>
      </c>
      <c r="I369" s="14">
        <f t="shared" si="25"/>
        <v>1737.1799999999998</v>
      </c>
      <c r="K369" t="str">
        <f>[1]!revcom(C369)</f>
        <v>GGCGGT</v>
      </c>
      <c r="L369">
        <v>7</v>
      </c>
    </row>
    <row r="370" spans="1:12" ht="15.6" x14ac:dyDescent="0.3">
      <c r="A370" s="9">
        <v>359</v>
      </c>
      <c r="B370" s="1"/>
      <c r="C370" s="2" t="s">
        <v>365</v>
      </c>
      <c r="D370" s="1"/>
      <c r="E370" s="11">
        <f t="shared" si="26"/>
        <v>26</v>
      </c>
      <c r="F370" s="12">
        <f t="shared" si="27"/>
        <v>83.333333333333343</v>
      </c>
      <c r="G370" s="12" t="str">
        <f t="shared" si="28"/>
        <v>Warning</v>
      </c>
      <c r="H370" s="13">
        <f t="shared" si="29"/>
        <v>6</v>
      </c>
      <c r="I370" s="14">
        <f t="shared" si="25"/>
        <v>1777.21</v>
      </c>
      <c r="K370" t="str">
        <f>[1]!revcom(C370)</f>
        <v>CGCGGT</v>
      </c>
      <c r="L370">
        <v>7</v>
      </c>
    </row>
    <row r="371" spans="1:12" ht="15.6" x14ac:dyDescent="0.3">
      <c r="A371" s="9">
        <v>360</v>
      </c>
      <c r="B371" s="1"/>
      <c r="C371" s="2" t="s">
        <v>366</v>
      </c>
      <c r="D371" s="1"/>
      <c r="E371" s="11">
        <f t="shared" si="26"/>
        <v>20</v>
      </c>
      <c r="F371" s="12">
        <f t="shared" si="27"/>
        <v>66.666666666666657</v>
      </c>
      <c r="G371" s="12" t="str">
        <f t="shared" si="28"/>
        <v>Warning</v>
      </c>
      <c r="H371" s="13">
        <f t="shared" si="29"/>
        <v>6</v>
      </c>
      <c r="I371" s="14">
        <f t="shared" si="25"/>
        <v>1752.19</v>
      </c>
      <c r="K371" t="str">
        <f>[1]!revcom(C371)</f>
        <v>AGCGGT</v>
      </c>
      <c r="L371">
        <v>6</v>
      </c>
    </row>
    <row r="372" spans="1:12" ht="15.6" x14ac:dyDescent="0.3">
      <c r="A372" s="9">
        <v>361</v>
      </c>
      <c r="B372" s="1"/>
      <c r="C372" s="2" t="s">
        <v>367</v>
      </c>
      <c r="D372" s="1"/>
      <c r="E372" s="11">
        <f t="shared" si="26"/>
        <v>28</v>
      </c>
      <c r="F372" s="12">
        <f t="shared" si="27"/>
        <v>66.666666666666657</v>
      </c>
      <c r="G372" s="12" t="str">
        <f t="shared" si="28"/>
        <v>Warning</v>
      </c>
      <c r="H372" s="13">
        <f t="shared" si="29"/>
        <v>6</v>
      </c>
      <c r="I372" s="14">
        <f t="shared" si="25"/>
        <v>1801.2399999999998</v>
      </c>
      <c r="K372" t="str">
        <f>[1]!revcom(C372)</f>
        <v>TCCGGT</v>
      </c>
      <c r="L372">
        <v>7</v>
      </c>
    </row>
    <row r="373" spans="1:12" ht="15.6" x14ac:dyDescent="0.3">
      <c r="A373" s="9">
        <v>362</v>
      </c>
      <c r="B373" s="1"/>
      <c r="C373" s="2" t="s">
        <v>368</v>
      </c>
      <c r="D373" s="1"/>
      <c r="E373" s="11">
        <f t="shared" si="26"/>
        <v>26</v>
      </c>
      <c r="F373" s="12">
        <f t="shared" si="27"/>
        <v>83.333333333333343</v>
      </c>
      <c r="G373" s="12" t="str">
        <f t="shared" si="28"/>
        <v>Warning</v>
      </c>
      <c r="H373" s="13">
        <f t="shared" si="29"/>
        <v>6</v>
      </c>
      <c r="I373" s="14">
        <f t="shared" si="25"/>
        <v>1777.21</v>
      </c>
      <c r="K373" t="str">
        <f>[1]!revcom(C373)</f>
        <v>GCCGGT</v>
      </c>
      <c r="L373">
        <v>7</v>
      </c>
    </row>
    <row r="374" spans="1:12" ht="15.6" x14ac:dyDescent="0.3">
      <c r="A374" s="9">
        <v>363</v>
      </c>
      <c r="B374" s="1"/>
      <c r="C374" s="2" t="s">
        <v>369</v>
      </c>
      <c r="D374" s="1"/>
      <c r="E374" s="11">
        <f t="shared" si="26"/>
        <v>26</v>
      </c>
      <c r="F374" s="12">
        <f t="shared" si="27"/>
        <v>83.333333333333343</v>
      </c>
      <c r="G374" s="12" t="str">
        <f t="shared" si="28"/>
        <v>Warning</v>
      </c>
      <c r="H374" s="13">
        <f t="shared" si="29"/>
        <v>6</v>
      </c>
      <c r="I374" s="14">
        <f t="shared" si="25"/>
        <v>1817.2400000000002</v>
      </c>
      <c r="K374" t="str">
        <f>[1]!revcom(C374)</f>
        <v>CCCGGT</v>
      </c>
      <c r="L374">
        <v>7</v>
      </c>
    </row>
    <row r="375" spans="1:12" ht="15.6" x14ac:dyDescent="0.3">
      <c r="A375" s="9">
        <v>364</v>
      </c>
      <c r="B375" s="1"/>
      <c r="C375" s="2" t="s">
        <v>370</v>
      </c>
      <c r="D375" s="1"/>
      <c r="E375" s="11">
        <f t="shared" si="26"/>
        <v>20</v>
      </c>
      <c r="F375" s="12">
        <f t="shared" si="27"/>
        <v>66.666666666666657</v>
      </c>
      <c r="G375" s="12" t="str">
        <f t="shared" si="28"/>
        <v>Warning</v>
      </c>
      <c r="H375" s="13">
        <f t="shared" si="29"/>
        <v>6</v>
      </c>
      <c r="I375" s="14">
        <f t="shared" si="25"/>
        <v>1792.2199999999998</v>
      </c>
      <c r="K375" t="str">
        <f>[1]!revcom(C375)</f>
        <v>ACCGGT</v>
      </c>
      <c r="L375">
        <v>6</v>
      </c>
    </row>
    <row r="376" spans="1:12" ht="15.6" x14ac:dyDescent="0.3">
      <c r="A376" s="9">
        <v>365</v>
      </c>
      <c r="B376" s="1"/>
      <c r="C376" s="2" t="s">
        <v>371</v>
      </c>
      <c r="D376" s="1"/>
      <c r="E376" s="11">
        <f t="shared" si="26"/>
        <v>22</v>
      </c>
      <c r="F376" s="12">
        <f t="shared" si="27"/>
        <v>50</v>
      </c>
      <c r="G376" s="12" t="str">
        <f t="shared" si="28"/>
        <v>Warning</v>
      </c>
      <c r="H376" s="13">
        <f t="shared" si="29"/>
        <v>6</v>
      </c>
      <c r="I376" s="14">
        <f t="shared" si="25"/>
        <v>1776.2199999999998</v>
      </c>
      <c r="K376" t="str">
        <f>[1]!revcom(C376)</f>
        <v>TACGGT</v>
      </c>
      <c r="L376">
        <v>6</v>
      </c>
    </row>
    <row r="377" spans="1:12" ht="15.6" x14ac:dyDescent="0.3">
      <c r="A377" s="9">
        <v>366</v>
      </c>
      <c r="B377" s="1"/>
      <c r="C377" s="2" t="s">
        <v>372</v>
      </c>
      <c r="D377" s="1"/>
      <c r="E377" s="11">
        <f t="shared" si="26"/>
        <v>20</v>
      </c>
      <c r="F377" s="12">
        <f t="shared" si="27"/>
        <v>66.666666666666657</v>
      </c>
      <c r="G377" s="12" t="str">
        <f t="shared" si="28"/>
        <v>Warning</v>
      </c>
      <c r="H377" s="13">
        <f t="shared" si="29"/>
        <v>6</v>
      </c>
      <c r="I377" s="14">
        <f t="shared" si="25"/>
        <v>1752.19</v>
      </c>
      <c r="K377" t="str">
        <f>[1]!revcom(C377)</f>
        <v>GACGGT</v>
      </c>
      <c r="L377">
        <v>6</v>
      </c>
    </row>
    <row r="378" spans="1:12" ht="15.6" x14ac:dyDescent="0.3">
      <c r="A378" s="9">
        <v>367</v>
      </c>
      <c r="B378" s="1"/>
      <c r="C378" s="2" t="s">
        <v>373</v>
      </c>
      <c r="D378" s="1"/>
      <c r="E378" s="11">
        <f t="shared" si="26"/>
        <v>20</v>
      </c>
      <c r="F378" s="12">
        <f t="shared" si="27"/>
        <v>66.666666666666657</v>
      </c>
      <c r="G378" s="12" t="str">
        <f t="shared" si="28"/>
        <v>Warning</v>
      </c>
      <c r="H378" s="13">
        <f t="shared" si="29"/>
        <v>6</v>
      </c>
      <c r="I378" s="14">
        <f t="shared" si="25"/>
        <v>1792.2199999999998</v>
      </c>
      <c r="K378" t="str">
        <f>[1]!revcom(C378)</f>
        <v>CACGGT</v>
      </c>
      <c r="L378">
        <v>6</v>
      </c>
    </row>
    <row r="379" spans="1:12" ht="15.6" x14ac:dyDescent="0.3">
      <c r="A379" s="9">
        <v>368</v>
      </c>
      <c r="B379" s="1"/>
      <c r="C379" s="2" t="s">
        <v>374</v>
      </c>
      <c r="D379" s="1"/>
      <c r="E379" s="11">
        <f t="shared" si="26"/>
        <v>14</v>
      </c>
      <c r="F379" s="12">
        <f t="shared" si="27"/>
        <v>50</v>
      </c>
      <c r="G379" s="12" t="str">
        <f t="shared" si="28"/>
        <v>Warning</v>
      </c>
      <c r="H379" s="13">
        <f t="shared" si="29"/>
        <v>6</v>
      </c>
      <c r="I379" s="14">
        <f t="shared" si="25"/>
        <v>1767.1999999999998</v>
      </c>
      <c r="K379" t="str">
        <f>[1]!revcom(C379)</f>
        <v>AACGGT</v>
      </c>
      <c r="L379">
        <v>5</v>
      </c>
    </row>
    <row r="380" spans="1:12" ht="15.6" x14ac:dyDescent="0.3">
      <c r="A380" s="9">
        <v>369</v>
      </c>
      <c r="B380" s="1"/>
      <c r="C380" s="2" t="s">
        <v>375</v>
      </c>
      <c r="D380" s="1"/>
      <c r="E380" s="11">
        <f t="shared" si="26"/>
        <v>24</v>
      </c>
      <c r="F380" s="12">
        <f t="shared" si="27"/>
        <v>33.333333333333329</v>
      </c>
      <c r="G380" s="12" t="str">
        <f t="shared" si="28"/>
        <v>OK</v>
      </c>
      <c r="H380" s="13">
        <f t="shared" si="29"/>
        <v>6</v>
      </c>
      <c r="I380" s="14">
        <f t="shared" si="25"/>
        <v>1760.2199999999998</v>
      </c>
      <c r="K380" t="str">
        <f>[1]!revcom(C380)</f>
        <v>TTAGGT</v>
      </c>
      <c r="L380">
        <v>6</v>
      </c>
    </row>
    <row r="381" spans="1:12" ht="15.6" x14ac:dyDescent="0.3">
      <c r="A381" s="9">
        <v>370</v>
      </c>
      <c r="B381" s="1"/>
      <c r="C381" s="2" t="s">
        <v>376</v>
      </c>
      <c r="D381" s="1"/>
      <c r="E381" s="11">
        <f t="shared" si="26"/>
        <v>22</v>
      </c>
      <c r="F381" s="12">
        <f t="shared" si="27"/>
        <v>50</v>
      </c>
      <c r="G381" s="12" t="str">
        <f t="shared" si="28"/>
        <v>Warning</v>
      </c>
      <c r="H381" s="13">
        <f t="shared" si="29"/>
        <v>6</v>
      </c>
      <c r="I381" s="14">
        <f t="shared" si="25"/>
        <v>1736.19</v>
      </c>
      <c r="K381" t="str">
        <f>[1]!revcom(C381)</f>
        <v>GTAGGT</v>
      </c>
      <c r="L381">
        <v>6</v>
      </c>
    </row>
    <row r="382" spans="1:12" ht="15.6" x14ac:dyDescent="0.3">
      <c r="A382" s="9">
        <v>371</v>
      </c>
      <c r="B382" s="1"/>
      <c r="C382" s="2" t="s">
        <v>377</v>
      </c>
      <c r="D382" s="1"/>
      <c r="E382" s="11">
        <f t="shared" si="26"/>
        <v>22</v>
      </c>
      <c r="F382" s="12">
        <f t="shared" si="27"/>
        <v>50</v>
      </c>
      <c r="G382" s="12" t="str">
        <f t="shared" si="28"/>
        <v>Warning</v>
      </c>
      <c r="H382" s="13">
        <f t="shared" si="29"/>
        <v>6</v>
      </c>
      <c r="I382" s="14">
        <f t="shared" si="25"/>
        <v>1776.2199999999998</v>
      </c>
      <c r="K382" t="str">
        <f>[1]!revcom(C382)</f>
        <v>CTAGGT</v>
      </c>
      <c r="L382">
        <v>6</v>
      </c>
    </row>
    <row r="383" spans="1:12" ht="15.6" x14ac:dyDescent="0.3">
      <c r="A383" s="9">
        <v>372</v>
      </c>
      <c r="B383" s="1"/>
      <c r="C383" s="2" t="s">
        <v>378</v>
      </c>
      <c r="D383" s="1"/>
      <c r="E383" s="11">
        <f t="shared" si="26"/>
        <v>16</v>
      </c>
      <c r="F383" s="12">
        <f t="shared" si="27"/>
        <v>33.333333333333329</v>
      </c>
      <c r="G383" s="12" t="str">
        <f t="shared" si="28"/>
        <v>OK</v>
      </c>
      <c r="H383" s="13">
        <f t="shared" si="29"/>
        <v>6</v>
      </c>
      <c r="I383" s="14">
        <f t="shared" si="25"/>
        <v>1751.1999999999998</v>
      </c>
      <c r="K383" t="str">
        <f>[1]!revcom(C383)</f>
        <v>ATAGGT</v>
      </c>
      <c r="L383">
        <v>5</v>
      </c>
    </row>
    <row r="384" spans="1:12" ht="15.6" x14ac:dyDescent="0.3">
      <c r="A384" s="9">
        <v>373</v>
      </c>
      <c r="B384" s="1"/>
      <c r="C384" s="2" t="s">
        <v>379</v>
      </c>
      <c r="D384" s="1"/>
      <c r="E384" s="11">
        <f t="shared" si="26"/>
        <v>22</v>
      </c>
      <c r="F384" s="12">
        <f t="shared" si="27"/>
        <v>50</v>
      </c>
      <c r="G384" s="12" t="str">
        <f t="shared" si="28"/>
        <v>Warning</v>
      </c>
      <c r="H384" s="13">
        <f t="shared" si="29"/>
        <v>6</v>
      </c>
      <c r="I384" s="14">
        <f t="shared" si="25"/>
        <v>1736.19</v>
      </c>
      <c r="K384" t="str">
        <f>[1]!revcom(C384)</f>
        <v>TGAGGT</v>
      </c>
      <c r="L384">
        <v>6</v>
      </c>
    </row>
    <row r="385" spans="1:12" ht="15.6" x14ac:dyDescent="0.3">
      <c r="A385" s="9">
        <v>374</v>
      </c>
      <c r="B385" s="1"/>
      <c r="C385" s="2" t="s">
        <v>380</v>
      </c>
      <c r="D385" s="1"/>
      <c r="E385" s="11">
        <f t="shared" si="26"/>
        <v>20</v>
      </c>
      <c r="F385" s="12">
        <f t="shared" si="27"/>
        <v>66.666666666666657</v>
      </c>
      <c r="G385" s="12" t="str">
        <f t="shared" si="28"/>
        <v>Warning</v>
      </c>
      <c r="H385" s="13">
        <f t="shared" si="29"/>
        <v>6</v>
      </c>
      <c r="I385" s="14">
        <f t="shared" si="25"/>
        <v>1712.1599999999999</v>
      </c>
      <c r="K385" t="str">
        <f>[1]!revcom(C385)</f>
        <v>GGAGGT</v>
      </c>
      <c r="L385">
        <v>6</v>
      </c>
    </row>
    <row r="386" spans="1:12" ht="15.6" x14ac:dyDescent="0.3">
      <c r="A386" s="9">
        <v>375</v>
      </c>
      <c r="B386" s="1"/>
      <c r="C386" s="2" t="s">
        <v>381</v>
      </c>
      <c r="D386" s="1"/>
      <c r="E386" s="11">
        <f t="shared" si="26"/>
        <v>20</v>
      </c>
      <c r="F386" s="12">
        <f t="shared" si="27"/>
        <v>66.666666666666657</v>
      </c>
      <c r="G386" s="12" t="str">
        <f t="shared" si="28"/>
        <v>Warning</v>
      </c>
      <c r="H386" s="13">
        <f t="shared" si="29"/>
        <v>6</v>
      </c>
      <c r="I386" s="14">
        <f t="shared" si="25"/>
        <v>1752.19</v>
      </c>
      <c r="K386" t="str">
        <f>[1]!revcom(C386)</f>
        <v>CGAGGT</v>
      </c>
      <c r="L386">
        <v>6</v>
      </c>
    </row>
    <row r="387" spans="1:12" ht="15.6" x14ac:dyDescent="0.3">
      <c r="A387" s="9">
        <v>376</v>
      </c>
      <c r="B387" s="1"/>
      <c r="C387" s="2" t="s">
        <v>382</v>
      </c>
      <c r="D387" s="1"/>
      <c r="E387" s="11">
        <f t="shared" si="26"/>
        <v>14</v>
      </c>
      <c r="F387" s="12">
        <f t="shared" si="27"/>
        <v>50</v>
      </c>
      <c r="G387" s="12" t="str">
        <f t="shared" si="28"/>
        <v>Warning</v>
      </c>
      <c r="H387" s="13">
        <f t="shared" si="29"/>
        <v>6</v>
      </c>
      <c r="I387" s="14">
        <f t="shared" si="25"/>
        <v>1727.17</v>
      </c>
      <c r="K387" t="str">
        <f>[1]!revcom(C387)</f>
        <v>AGAGGT</v>
      </c>
      <c r="L387">
        <v>5</v>
      </c>
    </row>
    <row r="388" spans="1:12" ht="15.6" x14ac:dyDescent="0.3">
      <c r="A388" s="9">
        <v>377</v>
      </c>
      <c r="B388" s="1"/>
      <c r="C388" s="2" t="s">
        <v>383</v>
      </c>
      <c r="D388" s="1"/>
      <c r="E388" s="11">
        <f t="shared" si="26"/>
        <v>22</v>
      </c>
      <c r="F388" s="12">
        <f t="shared" si="27"/>
        <v>50</v>
      </c>
      <c r="G388" s="12" t="str">
        <f t="shared" si="28"/>
        <v>Warning</v>
      </c>
      <c r="H388" s="13">
        <f t="shared" si="29"/>
        <v>6</v>
      </c>
      <c r="I388" s="14">
        <f t="shared" si="25"/>
        <v>1776.2199999999998</v>
      </c>
      <c r="K388" t="str">
        <f>[1]!revcom(C388)</f>
        <v>TCAGGT</v>
      </c>
      <c r="L388">
        <v>6</v>
      </c>
    </row>
    <row r="389" spans="1:12" ht="15.6" x14ac:dyDescent="0.3">
      <c r="A389" s="9">
        <v>378</v>
      </c>
      <c r="B389" s="1"/>
      <c r="C389" s="2" t="s">
        <v>384</v>
      </c>
      <c r="D389" s="1"/>
      <c r="E389" s="11">
        <f t="shared" si="26"/>
        <v>20</v>
      </c>
      <c r="F389" s="12">
        <f t="shared" si="27"/>
        <v>66.666666666666657</v>
      </c>
      <c r="G389" s="12" t="str">
        <f t="shared" si="28"/>
        <v>Warning</v>
      </c>
      <c r="H389" s="13">
        <f t="shared" si="29"/>
        <v>6</v>
      </c>
      <c r="I389" s="14">
        <f t="shared" si="25"/>
        <v>1752.19</v>
      </c>
      <c r="K389" t="str">
        <f>[1]!revcom(C389)</f>
        <v>GCAGGT</v>
      </c>
      <c r="L389">
        <v>6</v>
      </c>
    </row>
    <row r="390" spans="1:12" ht="15.6" x14ac:dyDescent="0.3">
      <c r="A390" s="9">
        <v>379</v>
      </c>
      <c r="B390" s="1"/>
      <c r="C390" s="2" t="s">
        <v>385</v>
      </c>
      <c r="D390" s="1"/>
      <c r="E390" s="11">
        <f t="shared" si="26"/>
        <v>20</v>
      </c>
      <c r="F390" s="12">
        <f t="shared" si="27"/>
        <v>66.666666666666657</v>
      </c>
      <c r="G390" s="12" t="str">
        <f t="shared" si="28"/>
        <v>Warning</v>
      </c>
      <c r="H390" s="13">
        <f t="shared" si="29"/>
        <v>6</v>
      </c>
      <c r="I390" s="14">
        <f t="shared" si="25"/>
        <v>1792.2199999999998</v>
      </c>
      <c r="K390" t="str">
        <f>[1]!revcom(C390)</f>
        <v>CCAGGT</v>
      </c>
      <c r="L390">
        <v>6</v>
      </c>
    </row>
    <row r="391" spans="1:12" ht="15.6" x14ac:dyDescent="0.3">
      <c r="A391" s="9">
        <v>380</v>
      </c>
      <c r="B391" s="1"/>
      <c r="C391" s="2" t="s">
        <v>386</v>
      </c>
      <c r="D391" s="1"/>
      <c r="E391" s="11">
        <f t="shared" si="26"/>
        <v>14</v>
      </c>
      <c r="F391" s="12">
        <f t="shared" si="27"/>
        <v>50</v>
      </c>
      <c r="G391" s="12" t="str">
        <f t="shared" si="28"/>
        <v>Warning</v>
      </c>
      <c r="H391" s="13">
        <f t="shared" si="29"/>
        <v>6</v>
      </c>
      <c r="I391" s="14">
        <f t="shared" si="25"/>
        <v>1767.1999999999998</v>
      </c>
      <c r="K391" t="str">
        <f>[1]!revcom(C391)</f>
        <v>ACAGGT</v>
      </c>
      <c r="L391">
        <v>5</v>
      </c>
    </row>
    <row r="392" spans="1:12" ht="15.6" x14ac:dyDescent="0.3">
      <c r="A392" s="9">
        <v>381</v>
      </c>
      <c r="B392" s="1"/>
      <c r="C392" s="2" t="s">
        <v>387</v>
      </c>
      <c r="D392" s="1"/>
      <c r="E392" s="11">
        <f t="shared" si="26"/>
        <v>16</v>
      </c>
      <c r="F392" s="12">
        <f t="shared" si="27"/>
        <v>33.333333333333329</v>
      </c>
      <c r="G392" s="12" t="str">
        <f t="shared" si="28"/>
        <v>OK</v>
      </c>
      <c r="H392" s="13">
        <f t="shared" si="29"/>
        <v>6</v>
      </c>
      <c r="I392" s="14">
        <f t="shared" si="25"/>
        <v>1751.1999999999998</v>
      </c>
      <c r="K392" t="str">
        <f>[1]!revcom(C392)</f>
        <v>TAAGGT</v>
      </c>
      <c r="L392">
        <v>5</v>
      </c>
    </row>
    <row r="393" spans="1:12" ht="15.6" x14ac:dyDescent="0.3">
      <c r="A393" s="9">
        <v>382</v>
      </c>
      <c r="B393" s="1"/>
      <c r="C393" s="2" t="s">
        <v>388</v>
      </c>
      <c r="D393" s="1"/>
      <c r="E393" s="11">
        <f t="shared" si="26"/>
        <v>14</v>
      </c>
      <c r="F393" s="12">
        <f t="shared" si="27"/>
        <v>50</v>
      </c>
      <c r="G393" s="12" t="str">
        <f t="shared" si="28"/>
        <v>Warning</v>
      </c>
      <c r="H393" s="13">
        <f t="shared" si="29"/>
        <v>6</v>
      </c>
      <c r="I393" s="14">
        <f t="shared" si="25"/>
        <v>1727.17</v>
      </c>
      <c r="K393" t="str">
        <f>[1]!revcom(C393)</f>
        <v>GAAGGT</v>
      </c>
      <c r="L393">
        <v>5</v>
      </c>
    </row>
    <row r="394" spans="1:12" ht="15.6" x14ac:dyDescent="0.3">
      <c r="A394" s="9">
        <v>383</v>
      </c>
      <c r="B394" s="1"/>
      <c r="C394" s="2" t="s">
        <v>389</v>
      </c>
      <c r="D394" s="1"/>
      <c r="E394" s="11">
        <f t="shared" si="26"/>
        <v>14</v>
      </c>
      <c r="F394" s="12">
        <f t="shared" si="27"/>
        <v>50</v>
      </c>
      <c r="G394" s="12" t="str">
        <f t="shared" si="28"/>
        <v>Warning</v>
      </c>
      <c r="H394" s="13">
        <f t="shared" si="29"/>
        <v>6</v>
      </c>
      <c r="I394" s="14">
        <f t="shared" si="25"/>
        <v>1767.1999999999998</v>
      </c>
      <c r="K394" t="str">
        <f>[1]!revcom(C394)</f>
        <v>CAAGGT</v>
      </c>
      <c r="L394">
        <v>5</v>
      </c>
    </row>
    <row r="395" spans="1:12" ht="15.6" x14ac:dyDescent="0.3">
      <c r="A395" s="9">
        <v>384</v>
      </c>
      <c r="B395" s="1"/>
      <c r="C395" s="2" t="s">
        <v>390</v>
      </c>
      <c r="D395" s="1"/>
      <c r="E395" s="11">
        <f t="shared" si="26"/>
        <v>8</v>
      </c>
      <c r="F395" s="12">
        <f t="shared" si="27"/>
        <v>33.333333333333329</v>
      </c>
      <c r="G395" s="12" t="str">
        <f t="shared" si="28"/>
        <v>OK</v>
      </c>
      <c r="H395" s="13">
        <f t="shared" si="29"/>
        <v>6</v>
      </c>
      <c r="I395" s="14">
        <f t="shared" si="25"/>
        <v>1742.1799999999998</v>
      </c>
      <c r="K395" t="str">
        <f>[1]!revcom(C395)</f>
        <v>AAAGGT</v>
      </c>
      <c r="L395">
        <v>4</v>
      </c>
    </row>
    <row r="396" spans="1:12" ht="15.6" x14ac:dyDescent="0.3">
      <c r="A396" s="9">
        <v>385</v>
      </c>
      <c r="B396" s="1"/>
      <c r="C396" s="2" t="s">
        <v>391</v>
      </c>
      <c r="D396" s="1"/>
      <c r="E396" s="11">
        <f t="shared" si="26"/>
        <v>32</v>
      </c>
      <c r="F396" s="12">
        <f t="shared" si="27"/>
        <v>33.333333333333329</v>
      </c>
      <c r="G396" s="12" t="str">
        <f t="shared" si="28"/>
        <v>OK</v>
      </c>
      <c r="H396" s="13">
        <f t="shared" si="29"/>
        <v>6</v>
      </c>
      <c r="I396" s="14">
        <f t="shared" si="25"/>
        <v>1809.27</v>
      </c>
      <c r="K396" t="str">
        <f>[1]!revcom(C396)</f>
        <v>TTTCGT</v>
      </c>
      <c r="L396">
        <v>8</v>
      </c>
    </row>
    <row r="397" spans="1:12" ht="15.6" x14ac:dyDescent="0.3">
      <c r="A397" s="9">
        <v>386</v>
      </c>
      <c r="B397" s="1"/>
      <c r="C397" s="2" t="s">
        <v>392</v>
      </c>
      <c r="D397" s="1"/>
      <c r="E397" s="11">
        <f t="shared" si="26"/>
        <v>30</v>
      </c>
      <c r="F397" s="12">
        <f t="shared" si="27"/>
        <v>50</v>
      </c>
      <c r="G397" s="12" t="str">
        <f t="shared" si="28"/>
        <v>Warning</v>
      </c>
      <c r="H397" s="13">
        <f t="shared" si="29"/>
        <v>6</v>
      </c>
      <c r="I397" s="14">
        <f t="shared" ref="I397:I460" si="30">((LEN(C397)-(LEN(SUBSTITUTE(C397,"A",""))))*249.23)+((LEN(C397)-(LEN(SUBSTITUTE(C397,"T",""))))*240.21)+((LEN(C397)-(LEN(SUBSTITUTE(C397,"C",""))))*225.2)+((LEN(C397)-(LEN(SUBSTITUTE(C397,"G",""))))*265.23)+(63.98*(LEN(C397)-1)+(2.02))</f>
        <v>1785.2399999999998</v>
      </c>
      <c r="K397" t="str">
        <f>[1]!revcom(C397)</f>
        <v>GTTCGT</v>
      </c>
      <c r="L397">
        <v>7</v>
      </c>
    </row>
    <row r="398" spans="1:12" ht="15.6" x14ac:dyDescent="0.3">
      <c r="A398" s="9">
        <v>387</v>
      </c>
      <c r="B398" s="1"/>
      <c r="C398" s="2" t="s">
        <v>393</v>
      </c>
      <c r="D398" s="1"/>
      <c r="E398" s="11">
        <f t="shared" ref="E398:E461" si="31">IF(LEN(C398)&gt;15,(69.3+((41*((LEN(C398)-(((LEN(C398)-(LEN(SUBSTITUTE(C398,"A",""))))+((LEN(C398)-(LEN(SUBSTITUTE(C398,"T","")))))))))/(LEN(C398)))-(650/(LEN(C398))))),(2*((LEN(C398)-(((LEN(C398)-(LEN(SUBSTITUTE(C398,"C",""))))+((LEN(C398)-(LEN(SUBSTITUTE(C398,"G",""))))))))))+(4*((LEN(C398)-(((LEN(C398)-(LEN(SUBSTITUTE(C398,"T",""))))+((LEN(C398)-(LEN(SUBSTITUTE(C398,"T","")))))))))))</f>
        <v>30</v>
      </c>
      <c r="F398" s="12">
        <f t="shared" ref="F398:F461" si="32">((LEN(C398)- LEN(SUBSTITUTE(C398,"G","")))+(LEN(C398)- LEN(SUBSTITUTE(C398,"C",""))) )/LEN(C398)*100</f>
        <v>50</v>
      </c>
      <c r="G398" s="12" t="str">
        <f t="shared" ref="G398:G461" si="33">IF((-5+((LEN(SUBSTITUTE(RIGHT(C398,5),"C","")))+((LEN(SUBSTITUTE(RIGHT(C398,5),"G",""))))))&gt;=3,"OK","Warning")</f>
        <v>Warning</v>
      </c>
      <c r="H398" s="13">
        <f t="shared" ref="H398:H461" si="34">LEN(C398)</f>
        <v>6</v>
      </c>
      <c r="I398" s="14">
        <f t="shared" si="30"/>
        <v>1825.27</v>
      </c>
      <c r="K398" t="str">
        <f>[1]!revcom(C398)</f>
        <v>CTTCGT</v>
      </c>
      <c r="L398">
        <v>7</v>
      </c>
    </row>
    <row r="399" spans="1:12" ht="15.6" x14ac:dyDescent="0.3">
      <c r="A399" s="9">
        <v>388</v>
      </c>
      <c r="B399" s="1"/>
      <c r="C399" s="2" t="s">
        <v>394</v>
      </c>
      <c r="D399" s="1"/>
      <c r="E399" s="11">
        <f t="shared" si="31"/>
        <v>24</v>
      </c>
      <c r="F399" s="12">
        <f t="shared" si="32"/>
        <v>33.333333333333329</v>
      </c>
      <c r="G399" s="12" t="str">
        <f t="shared" si="33"/>
        <v>OK</v>
      </c>
      <c r="H399" s="13">
        <f t="shared" si="34"/>
        <v>6</v>
      </c>
      <c r="I399" s="14">
        <f t="shared" si="30"/>
        <v>1800.25</v>
      </c>
      <c r="K399" t="str">
        <f>[1]!revcom(C399)</f>
        <v>ATTCGT</v>
      </c>
      <c r="L399">
        <v>6</v>
      </c>
    </row>
    <row r="400" spans="1:12" ht="15.6" x14ac:dyDescent="0.3">
      <c r="A400" s="9">
        <v>389</v>
      </c>
      <c r="B400" s="1"/>
      <c r="C400" s="2" t="s">
        <v>395</v>
      </c>
      <c r="D400" s="1"/>
      <c r="E400" s="11">
        <f t="shared" si="31"/>
        <v>30</v>
      </c>
      <c r="F400" s="12">
        <f t="shared" si="32"/>
        <v>50</v>
      </c>
      <c r="G400" s="12" t="str">
        <f t="shared" si="33"/>
        <v>Warning</v>
      </c>
      <c r="H400" s="13">
        <f t="shared" si="34"/>
        <v>6</v>
      </c>
      <c r="I400" s="14">
        <f t="shared" si="30"/>
        <v>1785.2399999999998</v>
      </c>
      <c r="K400" t="str">
        <f>[1]!revcom(C400)</f>
        <v>TGTCGT</v>
      </c>
      <c r="L400">
        <v>7</v>
      </c>
    </row>
    <row r="401" spans="1:12" ht="15.6" x14ac:dyDescent="0.3">
      <c r="A401" s="9">
        <v>390</v>
      </c>
      <c r="B401" s="1"/>
      <c r="C401" s="2" t="s">
        <v>396</v>
      </c>
      <c r="D401" s="1"/>
      <c r="E401" s="11">
        <f t="shared" si="31"/>
        <v>28</v>
      </c>
      <c r="F401" s="12">
        <f t="shared" si="32"/>
        <v>66.666666666666657</v>
      </c>
      <c r="G401" s="12" t="str">
        <f t="shared" si="33"/>
        <v>Warning</v>
      </c>
      <c r="H401" s="13">
        <f t="shared" si="34"/>
        <v>6</v>
      </c>
      <c r="I401" s="14">
        <f t="shared" si="30"/>
        <v>1761.21</v>
      </c>
      <c r="K401" t="str">
        <f>[1]!revcom(C401)</f>
        <v>GGTCGT</v>
      </c>
      <c r="L401">
        <v>7</v>
      </c>
    </row>
    <row r="402" spans="1:12" ht="15.6" x14ac:dyDescent="0.3">
      <c r="A402" s="9">
        <v>391</v>
      </c>
      <c r="B402" s="1"/>
      <c r="C402" s="2" t="s">
        <v>397</v>
      </c>
      <c r="D402" s="1"/>
      <c r="E402" s="11">
        <f t="shared" si="31"/>
        <v>28</v>
      </c>
      <c r="F402" s="12">
        <f t="shared" si="32"/>
        <v>66.666666666666657</v>
      </c>
      <c r="G402" s="12" t="str">
        <f t="shared" si="33"/>
        <v>Warning</v>
      </c>
      <c r="H402" s="13">
        <f t="shared" si="34"/>
        <v>6</v>
      </c>
      <c r="I402" s="14">
        <f t="shared" si="30"/>
        <v>1801.2399999999998</v>
      </c>
      <c r="K402" t="str">
        <f>[1]!revcom(C402)</f>
        <v>CGTCGT</v>
      </c>
      <c r="L402">
        <v>7</v>
      </c>
    </row>
    <row r="403" spans="1:12" ht="15.6" x14ac:dyDescent="0.3">
      <c r="A403" s="9">
        <v>392</v>
      </c>
      <c r="B403" s="1"/>
      <c r="C403" s="2" t="s">
        <v>398</v>
      </c>
      <c r="D403" s="1"/>
      <c r="E403" s="11">
        <f t="shared" si="31"/>
        <v>22</v>
      </c>
      <c r="F403" s="12">
        <f t="shared" si="32"/>
        <v>50</v>
      </c>
      <c r="G403" s="12" t="str">
        <f t="shared" si="33"/>
        <v>Warning</v>
      </c>
      <c r="H403" s="13">
        <f t="shared" si="34"/>
        <v>6</v>
      </c>
      <c r="I403" s="14">
        <f t="shared" si="30"/>
        <v>1776.2199999999998</v>
      </c>
      <c r="K403" t="str">
        <f>[1]!revcom(C403)</f>
        <v>AGTCGT</v>
      </c>
      <c r="L403">
        <v>6</v>
      </c>
    </row>
    <row r="404" spans="1:12" ht="15.6" x14ac:dyDescent="0.3">
      <c r="A404" s="9">
        <v>393</v>
      </c>
      <c r="B404" s="1"/>
      <c r="C404" s="2" t="s">
        <v>399</v>
      </c>
      <c r="D404" s="1"/>
      <c r="E404" s="11">
        <f t="shared" si="31"/>
        <v>30</v>
      </c>
      <c r="F404" s="12">
        <f t="shared" si="32"/>
        <v>50</v>
      </c>
      <c r="G404" s="12" t="str">
        <f t="shared" si="33"/>
        <v>Warning</v>
      </c>
      <c r="H404" s="13">
        <f t="shared" si="34"/>
        <v>6</v>
      </c>
      <c r="I404" s="14">
        <f t="shared" si="30"/>
        <v>1825.27</v>
      </c>
      <c r="K404" t="str">
        <f>[1]!revcom(C404)</f>
        <v>TCTCGT</v>
      </c>
      <c r="L404">
        <v>7</v>
      </c>
    </row>
    <row r="405" spans="1:12" ht="15.6" x14ac:dyDescent="0.3">
      <c r="A405" s="9">
        <v>394</v>
      </c>
      <c r="B405" s="1"/>
      <c r="C405" s="2" t="s">
        <v>400</v>
      </c>
      <c r="D405" s="1"/>
      <c r="E405" s="11">
        <f t="shared" si="31"/>
        <v>28</v>
      </c>
      <c r="F405" s="12">
        <f t="shared" si="32"/>
        <v>66.666666666666657</v>
      </c>
      <c r="G405" s="12" t="str">
        <f t="shared" si="33"/>
        <v>Warning</v>
      </c>
      <c r="H405" s="13">
        <f t="shared" si="34"/>
        <v>6</v>
      </c>
      <c r="I405" s="14">
        <f t="shared" si="30"/>
        <v>1801.2399999999998</v>
      </c>
      <c r="K405" t="str">
        <f>[1]!revcom(C405)</f>
        <v>GCTCGT</v>
      </c>
      <c r="L405">
        <v>7</v>
      </c>
    </row>
    <row r="406" spans="1:12" ht="15.6" x14ac:dyDescent="0.3">
      <c r="A406" s="9">
        <v>395</v>
      </c>
      <c r="B406" s="1"/>
      <c r="C406" s="2" t="s">
        <v>401</v>
      </c>
      <c r="D406" s="1"/>
      <c r="E406" s="11">
        <f t="shared" si="31"/>
        <v>28</v>
      </c>
      <c r="F406" s="12">
        <f t="shared" si="32"/>
        <v>66.666666666666657</v>
      </c>
      <c r="G406" s="12" t="str">
        <f t="shared" si="33"/>
        <v>Warning</v>
      </c>
      <c r="H406" s="13">
        <f t="shared" si="34"/>
        <v>6</v>
      </c>
      <c r="I406" s="14">
        <f t="shared" si="30"/>
        <v>1841.27</v>
      </c>
      <c r="K406" t="str">
        <f>[1]!revcom(C406)</f>
        <v>CCTCGT</v>
      </c>
      <c r="L406">
        <v>7</v>
      </c>
    </row>
    <row r="407" spans="1:12" ht="15.6" x14ac:dyDescent="0.3">
      <c r="A407" s="9">
        <v>396</v>
      </c>
      <c r="B407" s="1"/>
      <c r="C407" s="2" t="s">
        <v>402</v>
      </c>
      <c r="D407" s="1"/>
      <c r="E407" s="11">
        <f t="shared" si="31"/>
        <v>22</v>
      </c>
      <c r="F407" s="12">
        <f t="shared" si="32"/>
        <v>50</v>
      </c>
      <c r="G407" s="12" t="str">
        <f t="shared" si="33"/>
        <v>Warning</v>
      </c>
      <c r="H407" s="13">
        <f t="shared" si="34"/>
        <v>6</v>
      </c>
      <c r="I407" s="14">
        <f t="shared" si="30"/>
        <v>1816.25</v>
      </c>
      <c r="K407" t="str">
        <f>[1]!revcom(C407)</f>
        <v>ACTCGT</v>
      </c>
      <c r="L407">
        <v>6</v>
      </c>
    </row>
    <row r="408" spans="1:12" ht="15.6" x14ac:dyDescent="0.3">
      <c r="A408" s="9">
        <v>397</v>
      </c>
      <c r="B408" s="1"/>
      <c r="C408" s="2" t="s">
        <v>403</v>
      </c>
      <c r="D408" s="1"/>
      <c r="E408" s="11">
        <f t="shared" si="31"/>
        <v>24</v>
      </c>
      <c r="F408" s="12">
        <f t="shared" si="32"/>
        <v>33.333333333333329</v>
      </c>
      <c r="G408" s="12" t="str">
        <f t="shared" si="33"/>
        <v>OK</v>
      </c>
      <c r="H408" s="13">
        <f t="shared" si="34"/>
        <v>6</v>
      </c>
      <c r="I408" s="14">
        <f t="shared" si="30"/>
        <v>1800.25</v>
      </c>
      <c r="K408" t="str">
        <f>[1]!revcom(C408)</f>
        <v>TATCGT</v>
      </c>
      <c r="L408">
        <v>6</v>
      </c>
    </row>
    <row r="409" spans="1:12" ht="15.6" x14ac:dyDescent="0.3">
      <c r="A409" s="9">
        <v>398</v>
      </c>
      <c r="B409" s="1"/>
      <c r="C409" s="2" t="s">
        <v>404</v>
      </c>
      <c r="D409" s="1"/>
      <c r="E409" s="11">
        <f t="shared" si="31"/>
        <v>22</v>
      </c>
      <c r="F409" s="12">
        <f t="shared" si="32"/>
        <v>50</v>
      </c>
      <c r="G409" s="12" t="str">
        <f t="shared" si="33"/>
        <v>Warning</v>
      </c>
      <c r="H409" s="13">
        <f t="shared" si="34"/>
        <v>6</v>
      </c>
      <c r="I409" s="14">
        <f t="shared" si="30"/>
        <v>1776.2199999999998</v>
      </c>
      <c r="K409" t="str">
        <f>[1]!revcom(C409)</f>
        <v>GATCGT</v>
      </c>
      <c r="L409">
        <v>6</v>
      </c>
    </row>
    <row r="410" spans="1:12" ht="15.6" x14ac:dyDescent="0.3">
      <c r="A410" s="9">
        <v>399</v>
      </c>
      <c r="B410" s="1"/>
      <c r="C410" s="2" t="s">
        <v>405</v>
      </c>
      <c r="D410" s="1"/>
      <c r="E410" s="11">
        <f t="shared" si="31"/>
        <v>22</v>
      </c>
      <c r="F410" s="12">
        <f t="shared" si="32"/>
        <v>50</v>
      </c>
      <c r="G410" s="12" t="str">
        <f t="shared" si="33"/>
        <v>Warning</v>
      </c>
      <c r="H410" s="13">
        <f t="shared" si="34"/>
        <v>6</v>
      </c>
      <c r="I410" s="14">
        <f t="shared" si="30"/>
        <v>1816.25</v>
      </c>
      <c r="K410" t="str">
        <f>[1]!revcom(C410)</f>
        <v>CATCGT</v>
      </c>
      <c r="L410">
        <v>6</v>
      </c>
    </row>
    <row r="411" spans="1:12" ht="15.6" x14ac:dyDescent="0.3">
      <c r="A411" s="9">
        <v>400</v>
      </c>
      <c r="B411" s="1"/>
      <c r="C411" s="2" t="s">
        <v>406</v>
      </c>
      <c r="D411" s="1"/>
      <c r="E411" s="11">
        <f t="shared" si="31"/>
        <v>16</v>
      </c>
      <c r="F411" s="12">
        <f t="shared" si="32"/>
        <v>33.333333333333329</v>
      </c>
      <c r="G411" s="12" t="str">
        <f t="shared" si="33"/>
        <v>OK</v>
      </c>
      <c r="H411" s="13">
        <f t="shared" si="34"/>
        <v>6</v>
      </c>
      <c r="I411" s="14">
        <f t="shared" si="30"/>
        <v>1791.23</v>
      </c>
      <c r="K411" t="str">
        <f>[1]!revcom(C411)</f>
        <v>AATCGT</v>
      </c>
      <c r="L411">
        <v>5</v>
      </c>
    </row>
    <row r="412" spans="1:12" ht="15.6" x14ac:dyDescent="0.3">
      <c r="A412" s="9">
        <v>401</v>
      </c>
      <c r="B412" s="1"/>
      <c r="C412" s="2" t="s">
        <v>407</v>
      </c>
      <c r="D412" s="1"/>
      <c r="E412" s="11">
        <f t="shared" si="31"/>
        <v>30</v>
      </c>
      <c r="F412" s="12">
        <f t="shared" si="32"/>
        <v>50</v>
      </c>
      <c r="G412" s="12" t="str">
        <f t="shared" si="33"/>
        <v>Warning</v>
      </c>
      <c r="H412" s="13">
        <f t="shared" si="34"/>
        <v>6</v>
      </c>
      <c r="I412" s="14">
        <f t="shared" si="30"/>
        <v>1785.2399999999998</v>
      </c>
      <c r="K412" t="str">
        <f>[1]!revcom(C412)</f>
        <v>TTGCGT</v>
      </c>
      <c r="L412">
        <v>7</v>
      </c>
    </row>
    <row r="413" spans="1:12" ht="15.6" x14ac:dyDescent="0.3">
      <c r="A413" s="9">
        <v>402</v>
      </c>
      <c r="B413" s="1"/>
      <c r="C413" s="2" t="s">
        <v>408</v>
      </c>
      <c r="D413" s="1"/>
      <c r="E413" s="11">
        <f t="shared" si="31"/>
        <v>28</v>
      </c>
      <c r="F413" s="12">
        <f t="shared" si="32"/>
        <v>66.666666666666657</v>
      </c>
      <c r="G413" s="12" t="str">
        <f t="shared" si="33"/>
        <v>Warning</v>
      </c>
      <c r="H413" s="13">
        <f t="shared" si="34"/>
        <v>6</v>
      </c>
      <c r="I413" s="14">
        <f t="shared" si="30"/>
        <v>1761.21</v>
      </c>
      <c r="K413" t="str">
        <f>[1]!revcom(C413)</f>
        <v>GTGCGT</v>
      </c>
      <c r="L413">
        <v>7</v>
      </c>
    </row>
    <row r="414" spans="1:12" ht="15.6" x14ac:dyDescent="0.3">
      <c r="A414" s="9">
        <v>403</v>
      </c>
      <c r="B414" s="1"/>
      <c r="C414" s="2" t="s">
        <v>409</v>
      </c>
      <c r="D414" s="1"/>
      <c r="E414" s="11">
        <f t="shared" si="31"/>
        <v>28</v>
      </c>
      <c r="F414" s="12">
        <f t="shared" si="32"/>
        <v>66.666666666666657</v>
      </c>
      <c r="G414" s="12" t="str">
        <f t="shared" si="33"/>
        <v>Warning</v>
      </c>
      <c r="H414" s="13">
        <f t="shared" si="34"/>
        <v>6</v>
      </c>
      <c r="I414" s="14">
        <f t="shared" si="30"/>
        <v>1801.2399999999998</v>
      </c>
      <c r="K414" t="str">
        <f>[1]!revcom(C414)</f>
        <v>CTGCGT</v>
      </c>
      <c r="L414">
        <v>7</v>
      </c>
    </row>
    <row r="415" spans="1:12" ht="15.6" x14ac:dyDescent="0.3">
      <c r="A415" s="9">
        <v>404</v>
      </c>
      <c r="B415" s="1"/>
      <c r="C415" s="2" t="s">
        <v>410</v>
      </c>
      <c r="D415" s="1"/>
      <c r="E415" s="11">
        <f t="shared" si="31"/>
        <v>22</v>
      </c>
      <c r="F415" s="12">
        <f t="shared" si="32"/>
        <v>50</v>
      </c>
      <c r="G415" s="12" t="str">
        <f t="shared" si="33"/>
        <v>Warning</v>
      </c>
      <c r="H415" s="13">
        <f t="shared" si="34"/>
        <v>6</v>
      </c>
      <c r="I415" s="14">
        <f t="shared" si="30"/>
        <v>1776.2199999999998</v>
      </c>
      <c r="K415" t="str">
        <f>[1]!revcom(C415)</f>
        <v>ATGCGT</v>
      </c>
      <c r="L415">
        <v>6</v>
      </c>
    </row>
    <row r="416" spans="1:12" ht="15.6" x14ac:dyDescent="0.3">
      <c r="A416" s="9">
        <v>405</v>
      </c>
      <c r="B416" s="1"/>
      <c r="C416" s="2" t="s">
        <v>411</v>
      </c>
      <c r="D416" s="1"/>
      <c r="E416" s="11">
        <f t="shared" si="31"/>
        <v>28</v>
      </c>
      <c r="F416" s="12">
        <f t="shared" si="32"/>
        <v>66.666666666666657</v>
      </c>
      <c r="G416" s="12" t="str">
        <f t="shared" si="33"/>
        <v>Warning</v>
      </c>
      <c r="H416" s="13">
        <f t="shared" si="34"/>
        <v>6</v>
      </c>
      <c r="I416" s="14">
        <f t="shared" si="30"/>
        <v>1761.21</v>
      </c>
      <c r="K416" t="str">
        <f>[1]!revcom(C416)</f>
        <v>TGGCGT</v>
      </c>
      <c r="L416">
        <v>7</v>
      </c>
    </row>
    <row r="417" spans="1:12" ht="15.6" x14ac:dyDescent="0.3">
      <c r="A417" s="9">
        <v>406</v>
      </c>
      <c r="B417" s="1"/>
      <c r="C417" s="2" t="s">
        <v>412</v>
      </c>
      <c r="D417" s="1"/>
      <c r="E417" s="11">
        <f t="shared" si="31"/>
        <v>26</v>
      </c>
      <c r="F417" s="12">
        <f t="shared" si="32"/>
        <v>83.333333333333343</v>
      </c>
      <c r="G417" s="12" t="str">
        <f t="shared" si="33"/>
        <v>Warning</v>
      </c>
      <c r="H417" s="13">
        <f t="shared" si="34"/>
        <v>6</v>
      </c>
      <c r="I417" s="14">
        <f t="shared" si="30"/>
        <v>1737.1799999999998</v>
      </c>
      <c r="K417" t="str">
        <f>[1]!revcom(C417)</f>
        <v>GGGCGT</v>
      </c>
      <c r="L417">
        <v>7</v>
      </c>
    </row>
    <row r="418" spans="1:12" ht="15.6" x14ac:dyDescent="0.3">
      <c r="A418" s="9">
        <v>407</v>
      </c>
      <c r="B418" s="1"/>
      <c r="C418" s="2" t="s">
        <v>413</v>
      </c>
      <c r="D418" s="1"/>
      <c r="E418" s="11">
        <f t="shared" si="31"/>
        <v>26</v>
      </c>
      <c r="F418" s="12">
        <f t="shared" si="32"/>
        <v>83.333333333333343</v>
      </c>
      <c r="G418" s="12" t="str">
        <f t="shared" si="33"/>
        <v>Warning</v>
      </c>
      <c r="H418" s="13">
        <f t="shared" si="34"/>
        <v>6</v>
      </c>
      <c r="I418" s="14">
        <f t="shared" si="30"/>
        <v>1777.21</v>
      </c>
      <c r="K418" t="str">
        <f>[1]!revcom(C418)</f>
        <v>CGGCGT</v>
      </c>
      <c r="L418">
        <v>7</v>
      </c>
    </row>
    <row r="419" spans="1:12" ht="15.6" x14ac:dyDescent="0.3">
      <c r="A419" s="9">
        <v>408</v>
      </c>
      <c r="B419" s="1"/>
      <c r="C419" s="2" t="s">
        <v>414</v>
      </c>
      <c r="D419" s="1"/>
      <c r="E419" s="11">
        <f t="shared" si="31"/>
        <v>20</v>
      </c>
      <c r="F419" s="12">
        <f t="shared" si="32"/>
        <v>66.666666666666657</v>
      </c>
      <c r="G419" s="12" t="str">
        <f t="shared" si="33"/>
        <v>Warning</v>
      </c>
      <c r="H419" s="13">
        <f t="shared" si="34"/>
        <v>6</v>
      </c>
      <c r="I419" s="14">
        <f t="shared" si="30"/>
        <v>1752.19</v>
      </c>
      <c r="K419" t="str">
        <f>[1]!revcom(C419)</f>
        <v>AGGCGT</v>
      </c>
      <c r="L419">
        <v>6</v>
      </c>
    </row>
    <row r="420" spans="1:12" ht="15.6" x14ac:dyDescent="0.3">
      <c r="A420" s="9">
        <v>409</v>
      </c>
      <c r="B420" s="1"/>
      <c r="C420" s="2" t="s">
        <v>415</v>
      </c>
      <c r="D420" s="1"/>
      <c r="E420" s="11">
        <f t="shared" si="31"/>
        <v>28</v>
      </c>
      <c r="F420" s="12">
        <f t="shared" si="32"/>
        <v>66.666666666666657</v>
      </c>
      <c r="G420" s="12" t="str">
        <f t="shared" si="33"/>
        <v>Warning</v>
      </c>
      <c r="H420" s="13">
        <f t="shared" si="34"/>
        <v>6</v>
      </c>
      <c r="I420" s="14">
        <f t="shared" si="30"/>
        <v>1801.2399999999998</v>
      </c>
      <c r="K420" t="str">
        <f>[1]!revcom(C420)</f>
        <v>TCGCGT</v>
      </c>
      <c r="L420">
        <v>7</v>
      </c>
    </row>
    <row r="421" spans="1:12" ht="15.6" x14ac:dyDescent="0.3">
      <c r="A421" s="9">
        <v>410</v>
      </c>
      <c r="B421" s="1"/>
      <c r="C421" s="2" t="s">
        <v>416</v>
      </c>
      <c r="D421" s="1"/>
      <c r="E421" s="11">
        <f t="shared" si="31"/>
        <v>26</v>
      </c>
      <c r="F421" s="12">
        <f t="shared" si="32"/>
        <v>83.333333333333343</v>
      </c>
      <c r="G421" s="12" t="str">
        <f t="shared" si="33"/>
        <v>Warning</v>
      </c>
      <c r="H421" s="13">
        <f t="shared" si="34"/>
        <v>6</v>
      </c>
      <c r="I421" s="14">
        <f t="shared" si="30"/>
        <v>1777.21</v>
      </c>
      <c r="K421" t="str">
        <f>[1]!revcom(C421)</f>
        <v>GCGCGT</v>
      </c>
      <c r="L421">
        <v>7</v>
      </c>
    </row>
    <row r="422" spans="1:12" ht="15.6" x14ac:dyDescent="0.3">
      <c r="A422" s="9">
        <v>411</v>
      </c>
      <c r="B422" s="1"/>
      <c r="C422" s="2" t="s">
        <v>417</v>
      </c>
      <c r="D422" s="1"/>
      <c r="E422" s="11">
        <f t="shared" si="31"/>
        <v>26</v>
      </c>
      <c r="F422" s="12">
        <f t="shared" si="32"/>
        <v>83.333333333333343</v>
      </c>
      <c r="G422" s="12" t="str">
        <f t="shared" si="33"/>
        <v>Warning</v>
      </c>
      <c r="H422" s="13">
        <f t="shared" si="34"/>
        <v>6</v>
      </c>
      <c r="I422" s="14">
        <f t="shared" si="30"/>
        <v>1817.2400000000002</v>
      </c>
      <c r="K422" t="str">
        <f>[1]!revcom(C422)</f>
        <v>CCGCGT</v>
      </c>
      <c r="L422">
        <v>7</v>
      </c>
    </row>
    <row r="423" spans="1:12" ht="15.6" x14ac:dyDescent="0.3">
      <c r="A423" s="9">
        <v>412</v>
      </c>
      <c r="B423" s="1"/>
      <c r="C423" s="2" t="s">
        <v>418</v>
      </c>
      <c r="D423" s="1"/>
      <c r="E423" s="11">
        <f t="shared" si="31"/>
        <v>20</v>
      </c>
      <c r="F423" s="12">
        <f t="shared" si="32"/>
        <v>66.666666666666657</v>
      </c>
      <c r="G423" s="12" t="str">
        <f t="shared" si="33"/>
        <v>Warning</v>
      </c>
      <c r="H423" s="13">
        <f t="shared" si="34"/>
        <v>6</v>
      </c>
      <c r="I423" s="14">
        <f t="shared" si="30"/>
        <v>1792.2199999999998</v>
      </c>
      <c r="K423" t="str">
        <f>[1]!revcom(C423)</f>
        <v>ACGCGT</v>
      </c>
      <c r="L423">
        <v>6</v>
      </c>
    </row>
    <row r="424" spans="1:12" ht="15.6" x14ac:dyDescent="0.3">
      <c r="A424" s="9">
        <v>413</v>
      </c>
      <c r="B424" s="1"/>
      <c r="C424" s="2" t="s">
        <v>419</v>
      </c>
      <c r="D424" s="1"/>
      <c r="E424" s="11">
        <f t="shared" si="31"/>
        <v>22</v>
      </c>
      <c r="F424" s="12">
        <f t="shared" si="32"/>
        <v>50</v>
      </c>
      <c r="G424" s="12" t="str">
        <f t="shared" si="33"/>
        <v>Warning</v>
      </c>
      <c r="H424" s="13">
        <f t="shared" si="34"/>
        <v>6</v>
      </c>
      <c r="I424" s="14">
        <f t="shared" si="30"/>
        <v>1776.2199999999998</v>
      </c>
      <c r="K424" t="str">
        <f>[1]!revcom(C424)</f>
        <v>TAGCGT</v>
      </c>
      <c r="L424">
        <v>6</v>
      </c>
    </row>
    <row r="425" spans="1:12" ht="15.6" x14ac:dyDescent="0.3">
      <c r="A425" s="9">
        <v>414</v>
      </c>
      <c r="B425" s="1"/>
      <c r="C425" s="2" t="s">
        <v>420</v>
      </c>
      <c r="D425" s="1"/>
      <c r="E425" s="11">
        <f t="shared" si="31"/>
        <v>20</v>
      </c>
      <c r="F425" s="12">
        <f t="shared" si="32"/>
        <v>66.666666666666657</v>
      </c>
      <c r="G425" s="12" t="str">
        <f t="shared" si="33"/>
        <v>Warning</v>
      </c>
      <c r="H425" s="13">
        <f t="shared" si="34"/>
        <v>6</v>
      </c>
      <c r="I425" s="14">
        <f t="shared" si="30"/>
        <v>1752.19</v>
      </c>
      <c r="K425" t="str">
        <f>[1]!revcom(C425)</f>
        <v>GAGCGT</v>
      </c>
      <c r="L425">
        <v>6</v>
      </c>
    </row>
    <row r="426" spans="1:12" ht="15.6" x14ac:dyDescent="0.3">
      <c r="A426" s="9">
        <v>415</v>
      </c>
      <c r="B426" s="1"/>
      <c r="C426" s="2" t="s">
        <v>421</v>
      </c>
      <c r="D426" s="1"/>
      <c r="E426" s="11">
        <f t="shared" si="31"/>
        <v>20</v>
      </c>
      <c r="F426" s="12">
        <f t="shared" si="32"/>
        <v>66.666666666666657</v>
      </c>
      <c r="G426" s="12" t="str">
        <f t="shared" si="33"/>
        <v>Warning</v>
      </c>
      <c r="H426" s="13">
        <f t="shared" si="34"/>
        <v>6</v>
      </c>
      <c r="I426" s="14">
        <f t="shared" si="30"/>
        <v>1792.2199999999998</v>
      </c>
      <c r="K426" t="str">
        <f>[1]!revcom(C426)</f>
        <v>CAGCGT</v>
      </c>
      <c r="L426">
        <v>6</v>
      </c>
    </row>
    <row r="427" spans="1:12" ht="15.6" x14ac:dyDescent="0.3">
      <c r="A427" s="9">
        <v>416</v>
      </c>
      <c r="B427" s="1"/>
      <c r="C427" s="2" t="s">
        <v>422</v>
      </c>
      <c r="D427" s="1"/>
      <c r="E427" s="11">
        <f t="shared" si="31"/>
        <v>14</v>
      </c>
      <c r="F427" s="12">
        <f t="shared" si="32"/>
        <v>50</v>
      </c>
      <c r="G427" s="12" t="str">
        <f t="shared" si="33"/>
        <v>Warning</v>
      </c>
      <c r="H427" s="13">
        <f t="shared" si="34"/>
        <v>6</v>
      </c>
      <c r="I427" s="14">
        <f t="shared" si="30"/>
        <v>1767.1999999999998</v>
      </c>
      <c r="K427" t="str">
        <f>[1]!revcom(C427)</f>
        <v>AAGCGT</v>
      </c>
      <c r="L427">
        <v>5</v>
      </c>
    </row>
    <row r="428" spans="1:12" ht="15.6" x14ac:dyDescent="0.3">
      <c r="A428" s="9">
        <v>417</v>
      </c>
      <c r="B428" s="1"/>
      <c r="C428" s="2" t="s">
        <v>423</v>
      </c>
      <c r="D428" s="1"/>
      <c r="E428" s="11">
        <f t="shared" si="31"/>
        <v>30</v>
      </c>
      <c r="F428" s="12">
        <f t="shared" si="32"/>
        <v>50</v>
      </c>
      <c r="G428" s="12" t="str">
        <f t="shared" si="33"/>
        <v>Warning</v>
      </c>
      <c r="H428" s="13">
        <f t="shared" si="34"/>
        <v>6</v>
      </c>
      <c r="I428" s="14">
        <f t="shared" si="30"/>
        <v>1825.27</v>
      </c>
      <c r="K428" t="str">
        <f>[1]!revcom(C428)</f>
        <v>TTCCGT</v>
      </c>
      <c r="L428">
        <v>7</v>
      </c>
    </row>
    <row r="429" spans="1:12" ht="15.6" x14ac:dyDescent="0.3">
      <c r="A429" s="9">
        <v>418</v>
      </c>
      <c r="B429" s="1"/>
      <c r="C429" s="2" t="s">
        <v>424</v>
      </c>
      <c r="D429" s="1"/>
      <c r="E429" s="11">
        <f t="shared" si="31"/>
        <v>28</v>
      </c>
      <c r="F429" s="12">
        <f t="shared" si="32"/>
        <v>66.666666666666657</v>
      </c>
      <c r="G429" s="12" t="str">
        <f t="shared" si="33"/>
        <v>Warning</v>
      </c>
      <c r="H429" s="13">
        <f t="shared" si="34"/>
        <v>6</v>
      </c>
      <c r="I429" s="14">
        <f t="shared" si="30"/>
        <v>1801.2399999999998</v>
      </c>
      <c r="K429" t="str">
        <f>[1]!revcom(C429)</f>
        <v>GTCCGT</v>
      </c>
      <c r="L429">
        <v>7</v>
      </c>
    </row>
    <row r="430" spans="1:12" ht="15.6" x14ac:dyDescent="0.3">
      <c r="A430" s="9">
        <v>419</v>
      </c>
      <c r="B430" s="1"/>
      <c r="C430" s="2" t="s">
        <v>425</v>
      </c>
      <c r="D430" s="1"/>
      <c r="E430" s="11">
        <f t="shared" si="31"/>
        <v>28</v>
      </c>
      <c r="F430" s="12">
        <f t="shared" si="32"/>
        <v>66.666666666666657</v>
      </c>
      <c r="G430" s="12" t="str">
        <f t="shared" si="33"/>
        <v>Warning</v>
      </c>
      <c r="H430" s="13">
        <f t="shared" si="34"/>
        <v>6</v>
      </c>
      <c r="I430" s="14">
        <f t="shared" si="30"/>
        <v>1841.27</v>
      </c>
      <c r="K430" t="str">
        <f>[1]!revcom(C430)</f>
        <v>CTCCGT</v>
      </c>
      <c r="L430">
        <v>7</v>
      </c>
    </row>
    <row r="431" spans="1:12" ht="15.6" x14ac:dyDescent="0.3">
      <c r="A431" s="9">
        <v>420</v>
      </c>
      <c r="B431" s="1"/>
      <c r="C431" s="2" t="s">
        <v>426</v>
      </c>
      <c r="D431" s="1"/>
      <c r="E431" s="11">
        <f t="shared" si="31"/>
        <v>22</v>
      </c>
      <c r="F431" s="12">
        <f t="shared" si="32"/>
        <v>50</v>
      </c>
      <c r="G431" s="12" t="str">
        <f t="shared" si="33"/>
        <v>Warning</v>
      </c>
      <c r="H431" s="13">
        <f t="shared" si="34"/>
        <v>6</v>
      </c>
      <c r="I431" s="14">
        <f t="shared" si="30"/>
        <v>1816.25</v>
      </c>
      <c r="K431" t="str">
        <f>[1]!revcom(C431)</f>
        <v>ATCCGT</v>
      </c>
      <c r="L431">
        <v>6</v>
      </c>
    </row>
    <row r="432" spans="1:12" ht="15.6" x14ac:dyDescent="0.3">
      <c r="A432" s="9">
        <v>421</v>
      </c>
      <c r="B432" s="1"/>
      <c r="C432" s="2" t="s">
        <v>427</v>
      </c>
      <c r="D432" s="1"/>
      <c r="E432" s="11">
        <f t="shared" si="31"/>
        <v>28</v>
      </c>
      <c r="F432" s="12">
        <f t="shared" si="32"/>
        <v>66.666666666666657</v>
      </c>
      <c r="G432" s="12" t="str">
        <f t="shared" si="33"/>
        <v>Warning</v>
      </c>
      <c r="H432" s="13">
        <f t="shared" si="34"/>
        <v>6</v>
      </c>
      <c r="I432" s="14">
        <f t="shared" si="30"/>
        <v>1801.2399999999998</v>
      </c>
      <c r="K432" t="str">
        <f>[1]!revcom(C432)</f>
        <v>TGCCGT</v>
      </c>
      <c r="L432">
        <v>7</v>
      </c>
    </row>
    <row r="433" spans="1:12" ht="15.6" x14ac:dyDescent="0.3">
      <c r="A433" s="9">
        <v>422</v>
      </c>
      <c r="B433" s="1"/>
      <c r="C433" s="2" t="s">
        <v>428</v>
      </c>
      <c r="D433" s="1"/>
      <c r="E433" s="11">
        <f t="shared" si="31"/>
        <v>26</v>
      </c>
      <c r="F433" s="12">
        <f t="shared" si="32"/>
        <v>83.333333333333343</v>
      </c>
      <c r="G433" s="12" t="str">
        <f t="shared" si="33"/>
        <v>Warning</v>
      </c>
      <c r="H433" s="13">
        <f t="shared" si="34"/>
        <v>6</v>
      </c>
      <c r="I433" s="14">
        <f t="shared" si="30"/>
        <v>1777.21</v>
      </c>
      <c r="K433" t="str">
        <f>[1]!revcom(C433)</f>
        <v>GGCCGT</v>
      </c>
      <c r="L433">
        <v>7</v>
      </c>
    </row>
    <row r="434" spans="1:12" ht="15.6" x14ac:dyDescent="0.3">
      <c r="A434" s="9">
        <v>423</v>
      </c>
      <c r="B434" s="1"/>
      <c r="C434" s="2" t="s">
        <v>429</v>
      </c>
      <c r="D434" s="1"/>
      <c r="E434" s="11">
        <f t="shared" si="31"/>
        <v>26</v>
      </c>
      <c r="F434" s="12">
        <f t="shared" si="32"/>
        <v>83.333333333333343</v>
      </c>
      <c r="G434" s="12" t="str">
        <f t="shared" si="33"/>
        <v>Warning</v>
      </c>
      <c r="H434" s="13">
        <f t="shared" si="34"/>
        <v>6</v>
      </c>
      <c r="I434" s="14">
        <f t="shared" si="30"/>
        <v>1817.2400000000002</v>
      </c>
      <c r="K434" t="str">
        <f>[1]!revcom(C434)</f>
        <v>CGCCGT</v>
      </c>
      <c r="L434">
        <v>7</v>
      </c>
    </row>
    <row r="435" spans="1:12" ht="15.6" x14ac:dyDescent="0.3">
      <c r="A435" s="9">
        <v>424</v>
      </c>
      <c r="B435" s="1"/>
      <c r="C435" s="2" t="s">
        <v>430</v>
      </c>
      <c r="D435" s="1"/>
      <c r="E435" s="11">
        <f t="shared" si="31"/>
        <v>20</v>
      </c>
      <c r="F435" s="12">
        <f t="shared" si="32"/>
        <v>66.666666666666657</v>
      </c>
      <c r="G435" s="12" t="str">
        <f t="shared" si="33"/>
        <v>Warning</v>
      </c>
      <c r="H435" s="13">
        <f t="shared" si="34"/>
        <v>6</v>
      </c>
      <c r="I435" s="14">
        <f t="shared" si="30"/>
        <v>1792.2199999999998</v>
      </c>
      <c r="K435" t="str">
        <f>[1]!revcom(C435)</f>
        <v>AGCCGT</v>
      </c>
      <c r="L435">
        <v>6</v>
      </c>
    </row>
    <row r="436" spans="1:12" ht="15.6" x14ac:dyDescent="0.3">
      <c r="A436" s="9">
        <v>425</v>
      </c>
      <c r="B436" s="1"/>
      <c r="C436" s="2" t="s">
        <v>431</v>
      </c>
      <c r="D436" s="1"/>
      <c r="E436" s="11">
        <f t="shared" si="31"/>
        <v>28</v>
      </c>
      <c r="F436" s="12">
        <f t="shared" si="32"/>
        <v>66.666666666666657</v>
      </c>
      <c r="G436" s="12" t="str">
        <f t="shared" si="33"/>
        <v>Warning</v>
      </c>
      <c r="H436" s="13">
        <f t="shared" si="34"/>
        <v>6</v>
      </c>
      <c r="I436" s="14">
        <f t="shared" si="30"/>
        <v>1841.27</v>
      </c>
      <c r="K436" t="str">
        <f>[1]!revcom(C436)</f>
        <v>TCCCGT</v>
      </c>
      <c r="L436">
        <v>7</v>
      </c>
    </row>
    <row r="437" spans="1:12" ht="15.6" x14ac:dyDescent="0.3">
      <c r="A437" s="9">
        <v>426</v>
      </c>
      <c r="B437" s="1"/>
      <c r="C437" s="2" t="s">
        <v>432</v>
      </c>
      <c r="D437" s="1"/>
      <c r="E437" s="11">
        <f t="shared" si="31"/>
        <v>26</v>
      </c>
      <c r="F437" s="12">
        <f t="shared" si="32"/>
        <v>83.333333333333343</v>
      </c>
      <c r="G437" s="12" t="str">
        <f t="shared" si="33"/>
        <v>Warning</v>
      </c>
      <c r="H437" s="13">
        <f t="shared" si="34"/>
        <v>6</v>
      </c>
      <c r="I437" s="14">
        <f t="shared" si="30"/>
        <v>1817.2400000000002</v>
      </c>
      <c r="K437" t="str">
        <f>[1]!revcom(C437)</f>
        <v>GCCCGT</v>
      </c>
      <c r="L437">
        <v>7</v>
      </c>
    </row>
    <row r="438" spans="1:12" ht="15.6" x14ac:dyDescent="0.3">
      <c r="A438" s="9">
        <v>427</v>
      </c>
      <c r="B438" s="1"/>
      <c r="C438" s="2" t="s">
        <v>433</v>
      </c>
      <c r="D438" s="1"/>
      <c r="E438" s="11">
        <f t="shared" si="31"/>
        <v>26</v>
      </c>
      <c r="F438" s="12">
        <f t="shared" si="32"/>
        <v>83.333333333333343</v>
      </c>
      <c r="G438" s="12" t="str">
        <f t="shared" si="33"/>
        <v>Warning</v>
      </c>
      <c r="H438" s="13">
        <f t="shared" si="34"/>
        <v>6</v>
      </c>
      <c r="I438" s="14">
        <f t="shared" si="30"/>
        <v>1857.27</v>
      </c>
      <c r="K438" t="str">
        <f>[1]!revcom(C438)</f>
        <v>CCCCGT</v>
      </c>
      <c r="L438">
        <v>7</v>
      </c>
    </row>
    <row r="439" spans="1:12" ht="15.6" x14ac:dyDescent="0.3">
      <c r="A439" s="9">
        <v>428</v>
      </c>
      <c r="B439" s="1"/>
      <c r="C439" s="2" t="s">
        <v>434</v>
      </c>
      <c r="D439" s="1"/>
      <c r="E439" s="11">
        <f t="shared" si="31"/>
        <v>20</v>
      </c>
      <c r="F439" s="12">
        <f t="shared" si="32"/>
        <v>66.666666666666657</v>
      </c>
      <c r="G439" s="12" t="str">
        <f t="shared" si="33"/>
        <v>Warning</v>
      </c>
      <c r="H439" s="13">
        <f t="shared" si="34"/>
        <v>6</v>
      </c>
      <c r="I439" s="14">
        <f t="shared" si="30"/>
        <v>1832.25</v>
      </c>
      <c r="K439" t="str">
        <f>[1]!revcom(C439)</f>
        <v>ACCCGT</v>
      </c>
      <c r="L439">
        <v>6</v>
      </c>
    </row>
    <row r="440" spans="1:12" ht="15.6" x14ac:dyDescent="0.3">
      <c r="A440" s="9">
        <v>429</v>
      </c>
      <c r="B440" s="1"/>
      <c r="C440" s="2" t="s">
        <v>435</v>
      </c>
      <c r="D440" s="1"/>
      <c r="E440" s="11">
        <f t="shared" si="31"/>
        <v>22</v>
      </c>
      <c r="F440" s="12">
        <f t="shared" si="32"/>
        <v>50</v>
      </c>
      <c r="G440" s="12" t="str">
        <f t="shared" si="33"/>
        <v>Warning</v>
      </c>
      <c r="H440" s="13">
        <f t="shared" si="34"/>
        <v>6</v>
      </c>
      <c r="I440" s="14">
        <f t="shared" si="30"/>
        <v>1816.25</v>
      </c>
      <c r="K440" t="str">
        <f>[1]!revcom(C440)</f>
        <v>TACCGT</v>
      </c>
      <c r="L440">
        <v>6</v>
      </c>
    </row>
    <row r="441" spans="1:12" ht="15.6" x14ac:dyDescent="0.3">
      <c r="A441" s="9">
        <v>430</v>
      </c>
      <c r="B441" s="1"/>
      <c r="C441" s="2" t="s">
        <v>436</v>
      </c>
      <c r="D441" s="1"/>
      <c r="E441" s="11">
        <f t="shared" si="31"/>
        <v>20</v>
      </c>
      <c r="F441" s="12">
        <f t="shared" si="32"/>
        <v>66.666666666666657</v>
      </c>
      <c r="G441" s="12" t="str">
        <f t="shared" si="33"/>
        <v>Warning</v>
      </c>
      <c r="H441" s="13">
        <f t="shared" si="34"/>
        <v>6</v>
      </c>
      <c r="I441" s="14">
        <f t="shared" si="30"/>
        <v>1792.2199999999998</v>
      </c>
      <c r="K441" t="str">
        <f>[1]!revcom(C441)</f>
        <v>GACCGT</v>
      </c>
      <c r="L441">
        <v>6</v>
      </c>
    </row>
    <row r="442" spans="1:12" ht="15.6" x14ac:dyDescent="0.3">
      <c r="A442" s="9">
        <v>431</v>
      </c>
      <c r="B442" s="1"/>
      <c r="C442" s="2" t="s">
        <v>437</v>
      </c>
      <c r="D442" s="1"/>
      <c r="E442" s="11">
        <f t="shared" si="31"/>
        <v>20</v>
      </c>
      <c r="F442" s="12">
        <f t="shared" si="32"/>
        <v>66.666666666666657</v>
      </c>
      <c r="G442" s="12" t="str">
        <f t="shared" si="33"/>
        <v>Warning</v>
      </c>
      <c r="H442" s="13">
        <f t="shared" si="34"/>
        <v>6</v>
      </c>
      <c r="I442" s="14">
        <f t="shared" si="30"/>
        <v>1832.25</v>
      </c>
      <c r="K442" t="str">
        <f>[1]!revcom(C442)</f>
        <v>CACCGT</v>
      </c>
      <c r="L442">
        <v>6</v>
      </c>
    </row>
    <row r="443" spans="1:12" ht="15.6" x14ac:dyDescent="0.3">
      <c r="A443" s="9">
        <v>432</v>
      </c>
      <c r="B443" s="1"/>
      <c r="C443" s="2" t="s">
        <v>438</v>
      </c>
      <c r="D443" s="1"/>
      <c r="E443" s="11">
        <f t="shared" si="31"/>
        <v>14</v>
      </c>
      <c r="F443" s="12">
        <f t="shared" si="32"/>
        <v>50</v>
      </c>
      <c r="G443" s="12" t="str">
        <f t="shared" si="33"/>
        <v>Warning</v>
      </c>
      <c r="H443" s="13">
        <f t="shared" si="34"/>
        <v>6</v>
      </c>
      <c r="I443" s="14">
        <f t="shared" si="30"/>
        <v>1807.23</v>
      </c>
      <c r="K443" t="str">
        <f>[1]!revcom(C443)</f>
        <v>AACCGT</v>
      </c>
      <c r="L443">
        <v>5</v>
      </c>
    </row>
    <row r="444" spans="1:12" ht="15.6" x14ac:dyDescent="0.3">
      <c r="A444" s="9">
        <v>433</v>
      </c>
      <c r="B444" s="1"/>
      <c r="C444" s="2" t="s">
        <v>439</v>
      </c>
      <c r="D444" s="1"/>
      <c r="E444" s="11">
        <f t="shared" si="31"/>
        <v>24</v>
      </c>
      <c r="F444" s="12">
        <f t="shared" si="32"/>
        <v>33.333333333333329</v>
      </c>
      <c r="G444" s="12" t="str">
        <f t="shared" si="33"/>
        <v>OK</v>
      </c>
      <c r="H444" s="13">
        <f t="shared" si="34"/>
        <v>6</v>
      </c>
      <c r="I444" s="14">
        <f t="shared" si="30"/>
        <v>1800.25</v>
      </c>
      <c r="K444" t="str">
        <f>[1]!revcom(C444)</f>
        <v>TTACGT</v>
      </c>
      <c r="L444">
        <v>6</v>
      </c>
    </row>
    <row r="445" spans="1:12" ht="15.6" x14ac:dyDescent="0.3">
      <c r="A445" s="9">
        <v>434</v>
      </c>
      <c r="B445" s="1"/>
      <c r="C445" s="2" t="s">
        <v>440</v>
      </c>
      <c r="D445" s="1"/>
      <c r="E445" s="11">
        <f t="shared" si="31"/>
        <v>22</v>
      </c>
      <c r="F445" s="12">
        <f t="shared" si="32"/>
        <v>50</v>
      </c>
      <c r="G445" s="12" t="str">
        <f t="shared" si="33"/>
        <v>Warning</v>
      </c>
      <c r="H445" s="13">
        <f t="shared" si="34"/>
        <v>6</v>
      </c>
      <c r="I445" s="14">
        <f t="shared" si="30"/>
        <v>1776.2199999999998</v>
      </c>
      <c r="K445" t="str">
        <f>[1]!revcom(C445)</f>
        <v>GTACGT</v>
      </c>
      <c r="L445">
        <v>6</v>
      </c>
    </row>
    <row r="446" spans="1:12" ht="15.6" x14ac:dyDescent="0.3">
      <c r="A446" s="9">
        <v>435</v>
      </c>
      <c r="B446" s="1"/>
      <c r="C446" s="2" t="s">
        <v>441</v>
      </c>
      <c r="D446" s="1"/>
      <c r="E446" s="11">
        <f t="shared" si="31"/>
        <v>22</v>
      </c>
      <c r="F446" s="12">
        <f t="shared" si="32"/>
        <v>50</v>
      </c>
      <c r="G446" s="12" t="str">
        <f t="shared" si="33"/>
        <v>Warning</v>
      </c>
      <c r="H446" s="13">
        <f t="shared" si="34"/>
        <v>6</v>
      </c>
      <c r="I446" s="14">
        <f t="shared" si="30"/>
        <v>1816.25</v>
      </c>
      <c r="K446" t="str">
        <f>[1]!revcom(C446)</f>
        <v>CTACGT</v>
      </c>
      <c r="L446">
        <v>6</v>
      </c>
    </row>
    <row r="447" spans="1:12" ht="15.6" x14ac:dyDescent="0.3">
      <c r="A447" s="9">
        <v>436</v>
      </c>
      <c r="B447" s="1"/>
      <c r="C447" s="2" t="s">
        <v>442</v>
      </c>
      <c r="D447" s="1"/>
      <c r="E447" s="11">
        <f t="shared" si="31"/>
        <v>16</v>
      </c>
      <c r="F447" s="12">
        <f t="shared" si="32"/>
        <v>33.333333333333329</v>
      </c>
      <c r="G447" s="12" t="str">
        <f t="shared" si="33"/>
        <v>OK</v>
      </c>
      <c r="H447" s="13">
        <f t="shared" si="34"/>
        <v>6</v>
      </c>
      <c r="I447" s="14">
        <f t="shared" si="30"/>
        <v>1791.23</v>
      </c>
      <c r="K447" t="str">
        <f>[1]!revcom(C447)</f>
        <v>ATACGT</v>
      </c>
      <c r="L447">
        <v>5</v>
      </c>
    </row>
    <row r="448" spans="1:12" ht="15.6" x14ac:dyDescent="0.3">
      <c r="A448" s="9">
        <v>437</v>
      </c>
      <c r="B448" s="1"/>
      <c r="C448" s="2" t="s">
        <v>443</v>
      </c>
      <c r="D448" s="1"/>
      <c r="E448" s="11">
        <f t="shared" si="31"/>
        <v>22</v>
      </c>
      <c r="F448" s="12">
        <f t="shared" si="32"/>
        <v>50</v>
      </c>
      <c r="G448" s="12" t="str">
        <f t="shared" si="33"/>
        <v>Warning</v>
      </c>
      <c r="H448" s="13">
        <f t="shared" si="34"/>
        <v>6</v>
      </c>
      <c r="I448" s="14">
        <f t="shared" si="30"/>
        <v>1776.2199999999998</v>
      </c>
      <c r="K448" t="str">
        <f>[1]!revcom(C448)</f>
        <v>TGACGT</v>
      </c>
      <c r="L448">
        <v>6</v>
      </c>
    </row>
    <row r="449" spans="1:12" ht="15.6" x14ac:dyDescent="0.3">
      <c r="A449" s="9">
        <v>438</v>
      </c>
      <c r="B449" s="1"/>
      <c r="C449" s="2" t="s">
        <v>444</v>
      </c>
      <c r="D449" s="1"/>
      <c r="E449" s="11">
        <f t="shared" si="31"/>
        <v>20</v>
      </c>
      <c r="F449" s="12">
        <f t="shared" si="32"/>
        <v>66.666666666666657</v>
      </c>
      <c r="G449" s="12" t="str">
        <f t="shared" si="33"/>
        <v>Warning</v>
      </c>
      <c r="H449" s="13">
        <f t="shared" si="34"/>
        <v>6</v>
      </c>
      <c r="I449" s="14">
        <f t="shared" si="30"/>
        <v>1752.19</v>
      </c>
      <c r="K449" t="str">
        <f>[1]!revcom(C449)</f>
        <v>GGACGT</v>
      </c>
      <c r="L449">
        <v>6</v>
      </c>
    </row>
    <row r="450" spans="1:12" ht="15.6" x14ac:dyDescent="0.3">
      <c r="A450" s="9">
        <v>439</v>
      </c>
      <c r="B450" s="1"/>
      <c r="C450" s="2" t="s">
        <v>445</v>
      </c>
      <c r="D450" s="1"/>
      <c r="E450" s="11">
        <f t="shared" si="31"/>
        <v>20</v>
      </c>
      <c r="F450" s="12">
        <f t="shared" si="32"/>
        <v>66.666666666666657</v>
      </c>
      <c r="G450" s="12" t="str">
        <f t="shared" si="33"/>
        <v>Warning</v>
      </c>
      <c r="H450" s="13">
        <f t="shared" si="34"/>
        <v>6</v>
      </c>
      <c r="I450" s="14">
        <f t="shared" si="30"/>
        <v>1792.2199999999998</v>
      </c>
      <c r="K450" t="str">
        <f>[1]!revcom(C450)</f>
        <v>CGACGT</v>
      </c>
      <c r="L450">
        <v>6</v>
      </c>
    </row>
    <row r="451" spans="1:12" ht="15.6" x14ac:dyDescent="0.3">
      <c r="A451" s="9">
        <v>440</v>
      </c>
      <c r="B451" s="1"/>
      <c r="C451" s="2" t="s">
        <v>446</v>
      </c>
      <c r="D451" s="1"/>
      <c r="E451" s="11">
        <f t="shared" si="31"/>
        <v>14</v>
      </c>
      <c r="F451" s="12">
        <f t="shared" si="32"/>
        <v>50</v>
      </c>
      <c r="G451" s="12" t="str">
        <f t="shared" si="33"/>
        <v>Warning</v>
      </c>
      <c r="H451" s="13">
        <f t="shared" si="34"/>
        <v>6</v>
      </c>
      <c r="I451" s="14">
        <f t="shared" si="30"/>
        <v>1767.1999999999998</v>
      </c>
      <c r="K451" t="str">
        <f>[1]!revcom(C451)</f>
        <v>AGACGT</v>
      </c>
      <c r="L451">
        <v>5</v>
      </c>
    </row>
    <row r="452" spans="1:12" ht="15.6" x14ac:dyDescent="0.3">
      <c r="A452" s="9">
        <v>441</v>
      </c>
      <c r="B452" s="1"/>
      <c r="C452" s="2" t="s">
        <v>447</v>
      </c>
      <c r="D452" s="1"/>
      <c r="E452" s="11">
        <f t="shared" si="31"/>
        <v>22</v>
      </c>
      <c r="F452" s="12">
        <f t="shared" si="32"/>
        <v>50</v>
      </c>
      <c r="G452" s="12" t="str">
        <f t="shared" si="33"/>
        <v>Warning</v>
      </c>
      <c r="H452" s="13">
        <f t="shared" si="34"/>
        <v>6</v>
      </c>
      <c r="I452" s="14">
        <f t="shared" si="30"/>
        <v>1816.25</v>
      </c>
      <c r="K452" t="str">
        <f>[1]!revcom(C452)</f>
        <v>TCACGT</v>
      </c>
      <c r="L452">
        <v>6</v>
      </c>
    </row>
    <row r="453" spans="1:12" ht="15.6" x14ac:dyDescent="0.3">
      <c r="A453" s="9">
        <v>442</v>
      </c>
      <c r="B453" s="1"/>
      <c r="C453" s="2" t="s">
        <v>448</v>
      </c>
      <c r="D453" s="1"/>
      <c r="E453" s="11">
        <f t="shared" si="31"/>
        <v>20</v>
      </c>
      <c r="F453" s="12">
        <f t="shared" si="32"/>
        <v>66.666666666666657</v>
      </c>
      <c r="G453" s="12" t="str">
        <f t="shared" si="33"/>
        <v>Warning</v>
      </c>
      <c r="H453" s="13">
        <f t="shared" si="34"/>
        <v>6</v>
      </c>
      <c r="I453" s="14">
        <f t="shared" si="30"/>
        <v>1792.2199999999998</v>
      </c>
      <c r="K453" t="str">
        <f>[1]!revcom(C453)</f>
        <v>GCACGT</v>
      </c>
      <c r="L453">
        <v>6</v>
      </c>
    </row>
    <row r="454" spans="1:12" ht="15.6" x14ac:dyDescent="0.3">
      <c r="A454" s="9">
        <v>443</v>
      </c>
      <c r="B454" s="1"/>
      <c r="C454" s="2" t="s">
        <v>449</v>
      </c>
      <c r="D454" s="1"/>
      <c r="E454" s="11">
        <f t="shared" si="31"/>
        <v>20</v>
      </c>
      <c r="F454" s="12">
        <f t="shared" si="32"/>
        <v>66.666666666666657</v>
      </c>
      <c r="G454" s="12" t="str">
        <f t="shared" si="33"/>
        <v>Warning</v>
      </c>
      <c r="H454" s="13">
        <f t="shared" si="34"/>
        <v>6</v>
      </c>
      <c r="I454" s="14">
        <f t="shared" si="30"/>
        <v>1832.25</v>
      </c>
      <c r="K454" t="str">
        <f>[1]!revcom(C454)</f>
        <v>CCACGT</v>
      </c>
      <c r="L454">
        <v>6</v>
      </c>
    </row>
    <row r="455" spans="1:12" ht="15.6" x14ac:dyDescent="0.3">
      <c r="A455" s="9">
        <v>444</v>
      </c>
      <c r="B455" s="1"/>
      <c r="C455" s="2" t="s">
        <v>450</v>
      </c>
      <c r="D455" s="1"/>
      <c r="E455" s="11">
        <f t="shared" si="31"/>
        <v>14</v>
      </c>
      <c r="F455" s="12">
        <f t="shared" si="32"/>
        <v>50</v>
      </c>
      <c r="G455" s="12" t="str">
        <f t="shared" si="33"/>
        <v>Warning</v>
      </c>
      <c r="H455" s="13">
        <f t="shared" si="34"/>
        <v>6</v>
      </c>
      <c r="I455" s="14">
        <f t="shared" si="30"/>
        <v>1807.23</v>
      </c>
      <c r="K455" t="str">
        <f>[1]!revcom(C455)</f>
        <v>ACACGT</v>
      </c>
      <c r="L455">
        <v>5</v>
      </c>
    </row>
    <row r="456" spans="1:12" ht="15.6" x14ac:dyDescent="0.3">
      <c r="A456" s="9">
        <v>445</v>
      </c>
      <c r="B456" s="1"/>
      <c r="C456" s="2" t="s">
        <v>451</v>
      </c>
      <c r="D456" s="1"/>
      <c r="E456" s="11">
        <f t="shared" si="31"/>
        <v>16</v>
      </c>
      <c r="F456" s="12">
        <f t="shared" si="32"/>
        <v>33.333333333333329</v>
      </c>
      <c r="G456" s="12" t="str">
        <f t="shared" si="33"/>
        <v>OK</v>
      </c>
      <c r="H456" s="13">
        <f t="shared" si="34"/>
        <v>6</v>
      </c>
      <c r="I456" s="14">
        <f t="shared" si="30"/>
        <v>1791.23</v>
      </c>
      <c r="K456" t="str">
        <f>[1]!revcom(C456)</f>
        <v>TAACGT</v>
      </c>
      <c r="L456">
        <v>5</v>
      </c>
    </row>
    <row r="457" spans="1:12" ht="15.6" x14ac:dyDescent="0.3">
      <c r="A457" s="9">
        <v>446</v>
      </c>
      <c r="B457" s="1"/>
      <c r="C457" s="2" t="s">
        <v>452</v>
      </c>
      <c r="D457" s="1"/>
      <c r="E457" s="11">
        <f t="shared" si="31"/>
        <v>14</v>
      </c>
      <c r="F457" s="12">
        <f t="shared" si="32"/>
        <v>50</v>
      </c>
      <c r="G457" s="12" t="str">
        <f t="shared" si="33"/>
        <v>Warning</v>
      </c>
      <c r="H457" s="13">
        <f t="shared" si="34"/>
        <v>6</v>
      </c>
      <c r="I457" s="14">
        <f t="shared" si="30"/>
        <v>1767.1999999999998</v>
      </c>
      <c r="K457" t="str">
        <f>[1]!revcom(C457)</f>
        <v>GAACGT</v>
      </c>
      <c r="L457">
        <v>5</v>
      </c>
    </row>
    <row r="458" spans="1:12" ht="15.6" x14ac:dyDescent="0.3">
      <c r="A458" s="9">
        <v>447</v>
      </c>
      <c r="B458" s="1"/>
      <c r="C458" s="2" t="s">
        <v>453</v>
      </c>
      <c r="D458" s="1"/>
      <c r="E458" s="11">
        <f t="shared" si="31"/>
        <v>14</v>
      </c>
      <c r="F458" s="12">
        <f t="shared" si="32"/>
        <v>50</v>
      </c>
      <c r="G458" s="12" t="str">
        <f t="shared" si="33"/>
        <v>Warning</v>
      </c>
      <c r="H458" s="13">
        <f t="shared" si="34"/>
        <v>6</v>
      </c>
      <c r="I458" s="14">
        <f t="shared" si="30"/>
        <v>1807.23</v>
      </c>
      <c r="K458" t="str">
        <f>[1]!revcom(C458)</f>
        <v>CAACGT</v>
      </c>
      <c r="L458">
        <v>5</v>
      </c>
    </row>
    <row r="459" spans="1:12" ht="15.6" x14ac:dyDescent="0.3">
      <c r="A459" s="9">
        <v>448</v>
      </c>
      <c r="B459" s="1"/>
      <c r="C459" s="2" t="s">
        <v>454</v>
      </c>
      <c r="D459" s="1"/>
      <c r="E459" s="11">
        <f t="shared" si="31"/>
        <v>8</v>
      </c>
      <c r="F459" s="12">
        <f t="shared" si="32"/>
        <v>33.333333333333329</v>
      </c>
      <c r="G459" s="12" t="str">
        <f t="shared" si="33"/>
        <v>OK</v>
      </c>
      <c r="H459" s="13">
        <f t="shared" si="34"/>
        <v>6</v>
      </c>
      <c r="I459" s="14">
        <f t="shared" si="30"/>
        <v>1782.21</v>
      </c>
      <c r="K459" t="str">
        <f>[1]!revcom(C459)</f>
        <v>AAACGT</v>
      </c>
      <c r="L459">
        <v>4</v>
      </c>
    </row>
    <row r="460" spans="1:12" ht="15.6" x14ac:dyDescent="0.3">
      <c r="A460" s="9">
        <v>449</v>
      </c>
      <c r="B460" s="1"/>
      <c r="C460" s="2" t="s">
        <v>455</v>
      </c>
      <c r="D460" s="1"/>
      <c r="E460" s="11">
        <f t="shared" si="31"/>
        <v>26</v>
      </c>
      <c r="F460" s="12">
        <f t="shared" si="32"/>
        <v>16.666666666666664</v>
      </c>
      <c r="G460" s="12" t="str">
        <f t="shared" si="33"/>
        <v>OK</v>
      </c>
      <c r="H460" s="13">
        <f t="shared" si="34"/>
        <v>6</v>
      </c>
      <c r="I460" s="14">
        <f t="shared" si="30"/>
        <v>1784.25</v>
      </c>
      <c r="K460" t="str">
        <f>[1]!revcom(C460)</f>
        <v>TTTAGT</v>
      </c>
      <c r="L460">
        <v>7</v>
      </c>
    </row>
    <row r="461" spans="1:12" ht="15.6" x14ac:dyDescent="0.3">
      <c r="A461" s="9">
        <v>450</v>
      </c>
      <c r="B461" s="1"/>
      <c r="C461" s="2" t="s">
        <v>456</v>
      </c>
      <c r="D461" s="1"/>
      <c r="E461" s="11">
        <f t="shared" si="31"/>
        <v>24</v>
      </c>
      <c r="F461" s="12">
        <f t="shared" si="32"/>
        <v>33.333333333333329</v>
      </c>
      <c r="G461" s="12" t="str">
        <f t="shared" si="33"/>
        <v>OK</v>
      </c>
      <c r="H461" s="13">
        <f t="shared" si="34"/>
        <v>6</v>
      </c>
      <c r="I461" s="14">
        <f t="shared" ref="I461:I524" si="35">((LEN(C461)-(LEN(SUBSTITUTE(C461,"A",""))))*249.23)+((LEN(C461)-(LEN(SUBSTITUTE(C461,"T",""))))*240.21)+((LEN(C461)-(LEN(SUBSTITUTE(C461,"C",""))))*225.2)+((LEN(C461)-(LEN(SUBSTITUTE(C461,"G",""))))*265.23)+(63.98*(LEN(C461)-1)+(2.02))</f>
        <v>1760.2199999999998</v>
      </c>
      <c r="K461" t="str">
        <f>[1]!revcom(C461)</f>
        <v>GTTAGT</v>
      </c>
      <c r="L461">
        <v>6</v>
      </c>
    </row>
    <row r="462" spans="1:12" ht="15.6" x14ac:dyDescent="0.3">
      <c r="A462" s="9">
        <v>451</v>
      </c>
      <c r="B462" s="1"/>
      <c r="C462" s="2" t="s">
        <v>457</v>
      </c>
      <c r="D462" s="1"/>
      <c r="E462" s="11">
        <f t="shared" ref="E462:E525" si="36">IF(LEN(C462)&gt;15,(69.3+((41*((LEN(C462)-(((LEN(C462)-(LEN(SUBSTITUTE(C462,"A",""))))+((LEN(C462)-(LEN(SUBSTITUTE(C462,"T","")))))))))/(LEN(C462)))-(650/(LEN(C462))))),(2*((LEN(C462)-(((LEN(C462)-(LEN(SUBSTITUTE(C462,"C",""))))+((LEN(C462)-(LEN(SUBSTITUTE(C462,"G",""))))))))))+(4*((LEN(C462)-(((LEN(C462)-(LEN(SUBSTITUTE(C462,"T",""))))+((LEN(C462)-(LEN(SUBSTITUTE(C462,"T","")))))))))))</f>
        <v>24</v>
      </c>
      <c r="F462" s="12">
        <f t="shared" ref="F462:F525" si="37">((LEN(C462)- LEN(SUBSTITUTE(C462,"G","")))+(LEN(C462)- LEN(SUBSTITUTE(C462,"C",""))) )/LEN(C462)*100</f>
        <v>33.333333333333329</v>
      </c>
      <c r="G462" s="12" t="str">
        <f t="shared" ref="G462:G525" si="38">IF((-5+((LEN(SUBSTITUTE(RIGHT(C462,5),"C","")))+((LEN(SUBSTITUTE(RIGHT(C462,5),"G",""))))))&gt;=3,"OK","Warning")</f>
        <v>OK</v>
      </c>
      <c r="H462" s="13">
        <f t="shared" ref="H462:H525" si="39">LEN(C462)</f>
        <v>6</v>
      </c>
      <c r="I462" s="14">
        <f t="shared" si="35"/>
        <v>1800.25</v>
      </c>
      <c r="K462" t="str">
        <f>[1]!revcom(C462)</f>
        <v>CTTAGT</v>
      </c>
      <c r="L462">
        <v>6</v>
      </c>
    </row>
    <row r="463" spans="1:12" ht="15.6" x14ac:dyDescent="0.3">
      <c r="A463" s="9">
        <v>452</v>
      </c>
      <c r="B463" s="1"/>
      <c r="C463" s="2" t="s">
        <v>458</v>
      </c>
      <c r="D463" s="1"/>
      <c r="E463" s="11">
        <f t="shared" si="36"/>
        <v>18</v>
      </c>
      <c r="F463" s="12">
        <f t="shared" si="37"/>
        <v>16.666666666666664</v>
      </c>
      <c r="G463" s="12" t="str">
        <f t="shared" si="38"/>
        <v>OK</v>
      </c>
      <c r="H463" s="13">
        <f t="shared" si="39"/>
        <v>6</v>
      </c>
      <c r="I463" s="14">
        <f t="shared" si="35"/>
        <v>1775.23</v>
      </c>
      <c r="K463" t="str">
        <f>[1]!revcom(C463)</f>
        <v>ATTAGT</v>
      </c>
      <c r="L463">
        <v>5</v>
      </c>
    </row>
    <row r="464" spans="1:12" ht="15.6" x14ac:dyDescent="0.3">
      <c r="A464" s="9">
        <v>453</v>
      </c>
      <c r="B464" s="1"/>
      <c r="C464" s="2" t="s">
        <v>459</v>
      </c>
      <c r="D464" s="1"/>
      <c r="E464" s="11">
        <f t="shared" si="36"/>
        <v>24</v>
      </c>
      <c r="F464" s="12">
        <f t="shared" si="37"/>
        <v>33.333333333333329</v>
      </c>
      <c r="G464" s="12" t="str">
        <f t="shared" si="38"/>
        <v>OK</v>
      </c>
      <c r="H464" s="13">
        <f t="shared" si="39"/>
        <v>6</v>
      </c>
      <c r="I464" s="14">
        <f t="shared" si="35"/>
        <v>1760.2199999999998</v>
      </c>
      <c r="K464" t="str">
        <f>[1]!revcom(C464)</f>
        <v>TGTAGT</v>
      </c>
      <c r="L464">
        <v>6</v>
      </c>
    </row>
    <row r="465" spans="1:12" ht="15.6" x14ac:dyDescent="0.3">
      <c r="A465" s="9">
        <v>454</v>
      </c>
      <c r="B465" s="1"/>
      <c r="C465" s="2" t="s">
        <v>460</v>
      </c>
      <c r="D465" s="1"/>
      <c r="E465" s="11">
        <f t="shared" si="36"/>
        <v>22</v>
      </c>
      <c r="F465" s="12">
        <f t="shared" si="37"/>
        <v>50</v>
      </c>
      <c r="G465" s="12" t="str">
        <f t="shared" si="38"/>
        <v>Warning</v>
      </c>
      <c r="H465" s="13">
        <f t="shared" si="39"/>
        <v>6</v>
      </c>
      <c r="I465" s="14">
        <f t="shared" si="35"/>
        <v>1736.19</v>
      </c>
      <c r="K465" t="str">
        <f>[1]!revcom(C465)</f>
        <v>GGTAGT</v>
      </c>
      <c r="L465">
        <v>6</v>
      </c>
    </row>
    <row r="466" spans="1:12" ht="15.6" x14ac:dyDescent="0.3">
      <c r="A466" s="9">
        <v>455</v>
      </c>
      <c r="B466" s="1"/>
      <c r="C466" s="2" t="s">
        <v>461</v>
      </c>
      <c r="D466" s="1"/>
      <c r="E466" s="11">
        <f t="shared" si="36"/>
        <v>22</v>
      </c>
      <c r="F466" s="12">
        <f t="shared" si="37"/>
        <v>50</v>
      </c>
      <c r="G466" s="12" t="str">
        <f t="shared" si="38"/>
        <v>Warning</v>
      </c>
      <c r="H466" s="13">
        <f t="shared" si="39"/>
        <v>6</v>
      </c>
      <c r="I466" s="14">
        <f t="shared" si="35"/>
        <v>1776.2199999999998</v>
      </c>
      <c r="K466" t="str">
        <f>[1]!revcom(C466)</f>
        <v>CGTAGT</v>
      </c>
      <c r="L466">
        <v>6</v>
      </c>
    </row>
    <row r="467" spans="1:12" ht="15.6" x14ac:dyDescent="0.3">
      <c r="A467" s="9">
        <v>456</v>
      </c>
      <c r="B467" s="1"/>
      <c r="C467" s="2" t="s">
        <v>462</v>
      </c>
      <c r="D467" s="1"/>
      <c r="E467" s="11">
        <f t="shared" si="36"/>
        <v>16</v>
      </c>
      <c r="F467" s="12">
        <f t="shared" si="37"/>
        <v>33.333333333333329</v>
      </c>
      <c r="G467" s="12" t="str">
        <f t="shared" si="38"/>
        <v>OK</v>
      </c>
      <c r="H467" s="13">
        <f t="shared" si="39"/>
        <v>6</v>
      </c>
      <c r="I467" s="14">
        <f t="shared" si="35"/>
        <v>1751.1999999999998</v>
      </c>
      <c r="K467" t="str">
        <f>[1]!revcom(C467)</f>
        <v>AGTAGT</v>
      </c>
      <c r="L467">
        <v>5</v>
      </c>
    </row>
    <row r="468" spans="1:12" ht="15.6" x14ac:dyDescent="0.3">
      <c r="A468" s="9">
        <v>457</v>
      </c>
      <c r="B468" s="1"/>
      <c r="C468" s="2" t="s">
        <v>463</v>
      </c>
      <c r="D468" s="1"/>
      <c r="E468" s="11">
        <f t="shared" si="36"/>
        <v>24</v>
      </c>
      <c r="F468" s="12">
        <f t="shared" si="37"/>
        <v>33.333333333333329</v>
      </c>
      <c r="G468" s="12" t="str">
        <f t="shared" si="38"/>
        <v>OK</v>
      </c>
      <c r="H468" s="13">
        <f t="shared" si="39"/>
        <v>6</v>
      </c>
      <c r="I468" s="14">
        <f t="shared" si="35"/>
        <v>1800.25</v>
      </c>
      <c r="K468" t="str">
        <f>[1]!revcom(C468)</f>
        <v>TCTAGT</v>
      </c>
      <c r="L468">
        <v>6</v>
      </c>
    </row>
    <row r="469" spans="1:12" ht="15.6" x14ac:dyDescent="0.3">
      <c r="A469" s="9">
        <v>458</v>
      </c>
      <c r="B469" s="1"/>
      <c r="C469" s="2" t="s">
        <v>464</v>
      </c>
      <c r="D469" s="1"/>
      <c r="E469" s="11">
        <f t="shared" si="36"/>
        <v>22</v>
      </c>
      <c r="F469" s="12">
        <f t="shared" si="37"/>
        <v>50</v>
      </c>
      <c r="G469" s="12" t="str">
        <f t="shared" si="38"/>
        <v>Warning</v>
      </c>
      <c r="H469" s="13">
        <f t="shared" si="39"/>
        <v>6</v>
      </c>
      <c r="I469" s="14">
        <f t="shared" si="35"/>
        <v>1776.2199999999998</v>
      </c>
      <c r="K469" t="str">
        <f>[1]!revcom(C469)</f>
        <v>GCTAGT</v>
      </c>
      <c r="L469">
        <v>6</v>
      </c>
    </row>
    <row r="470" spans="1:12" ht="15.6" x14ac:dyDescent="0.3">
      <c r="A470" s="9">
        <v>459</v>
      </c>
      <c r="B470" s="1"/>
      <c r="C470" s="2" t="s">
        <v>465</v>
      </c>
      <c r="D470" s="1"/>
      <c r="E470" s="11">
        <f t="shared" si="36"/>
        <v>22</v>
      </c>
      <c r="F470" s="12">
        <f t="shared" si="37"/>
        <v>50</v>
      </c>
      <c r="G470" s="12" t="str">
        <f t="shared" si="38"/>
        <v>Warning</v>
      </c>
      <c r="H470" s="13">
        <f t="shared" si="39"/>
        <v>6</v>
      </c>
      <c r="I470" s="14">
        <f t="shared" si="35"/>
        <v>1816.25</v>
      </c>
      <c r="K470" t="str">
        <f>[1]!revcom(C470)</f>
        <v>CCTAGT</v>
      </c>
      <c r="L470">
        <v>6</v>
      </c>
    </row>
    <row r="471" spans="1:12" ht="15.6" x14ac:dyDescent="0.3">
      <c r="A471" s="9">
        <v>460</v>
      </c>
      <c r="B471" s="1"/>
      <c r="C471" s="2" t="s">
        <v>466</v>
      </c>
      <c r="D471" s="1"/>
      <c r="E471" s="11">
        <f t="shared" si="36"/>
        <v>16</v>
      </c>
      <c r="F471" s="12">
        <f t="shared" si="37"/>
        <v>33.333333333333329</v>
      </c>
      <c r="G471" s="12" t="str">
        <f t="shared" si="38"/>
        <v>OK</v>
      </c>
      <c r="H471" s="13">
        <f t="shared" si="39"/>
        <v>6</v>
      </c>
      <c r="I471" s="14">
        <f t="shared" si="35"/>
        <v>1791.23</v>
      </c>
      <c r="K471" t="str">
        <f>[1]!revcom(C471)</f>
        <v>ACTAGT</v>
      </c>
      <c r="L471">
        <v>5</v>
      </c>
    </row>
    <row r="472" spans="1:12" ht="15.6" x14ac:dyDescent="0.3">
      <c r="A472" s="9">
        <v>461</v>
      </c>
      <c r="B472" s="1"/>
      <c r="C472" s="2" t="s">
        <v>467</v>
      </c>
      <c r="D472" s="1"/>
      <c r="E472" s="11">
        <f t="shared" si="36"/>
        <v>18</v>
      </c>
      <c r="F472" s="12">
        <f t="shared" si="37"/>
        <v>16.666666666666664</v>
      </c>
      <c r="G472" s="12" t="str">
        <f t="shared" si="38"/>
        <v>OK</v>
      </c>
      <c r="H472" s="13">
        <f t="shared" si="39"/>
        <v>6</v>
      </c>
      <c r="I472" s="14">
        <f t="shared" si="35"/>
        <v>1775.23</v>
      </c>
      <c r="K472" t="str">
        <f>[1]!revcom(C472)</f>
        <v>TATAGT</v>
      </c>
      <c r="L472">
        <v>5</v>
      </c>
    </row>
    <row r="473" spans="1:12" ht="15.6" x14ac:dyDescent="0.3">
      <c r="A473" s="9">
        <v>462</v>
      </c>
      <c r="B473" s="1"/>
      <c r="C473" s="2" t="s">
        <v>468</v>
      </c>
      <c r="D473" s="1"/>
      <c r="E473" s="11">
        <f t="shared" si="36"/>
        <v>16</v>
      </c>
      <c r="F473" s="12">
        <f t="shared" si="37"/>
        <v>33.333333333333329</v>
      </c>
      <c r="G473" s="12" t="str">
        <f t="shared" si="38"/>
        <v>OK</v>
      </c>
      <c r="H473" s="13">
        <f t="shared" si="39"/>
        <v>6</v>
      </c>
      <c r="I473" s="14">
        <f t="shared" si="35"/>
        <v>1751.1999999999998</v>
      </c>
      <c r="K473" t="str">
        <f>[1]!revcom(C473)</f>
        <v>GATAGT</v>
      </c>
      <c r="L473">
        <v>5</v>
      </c>
    </row>
    <row r="474" spans="1:12" ht="15.6" x14ac:dyDescent="0.3">
      <c r="A474" s="9">
        <v>463</v>
      </c>
      <c r="B474" s="1"/>
      <c r="C474" s="2" t="s">
        <v>469</v>
      </c>
      <c r="D474" s="1"/>
      <c r="E474" s="11">
        <f t="shared" si="36"/>
        <v>16</v>
      </c>
      <c r="F474" s="12">
        <f t="shared" si="37"/>
        <v>33.333333333333329</v>
      </c>
      <c r="G474" s="12" t="str">
        <f t="shared" si="38"/>
        <v>OK</v>
      </c>
      <c r="H474" s="13">
        <f t="shared" si="39"/>
        <v>6</v>
      </c>
      <c r="I474" s="14">
        <f t="shared" si="35"/>
        <v>1791.23</v>
      </c>
      <c r="K474" t="str">
        <f>[1]!revcom(C474)</f>
        <v>CATAGT</v>
      </c>
      <c r="L474">
        <v>5</v>
      </c>
    </row>
    <row r="475" spans="1:12" ht="15.6" x14ac:dyDescent="0.3">
      <c r="A475" s="9">
        <v>464</v>
      </c>
      <c r="B475" s="1"/>
      <c r="C475" s="2" t="s">
        <v>470</v>
      </c>
      <c r="D475" s="1"/>
      <c r="E475" s="11">
        <f t="shared" si="36"/>
        <v>10</v>
      </c>
      <c r="F475" s="12">
        <f t="shared" si="37"/>
        <v>16.666666666666664</v>
      </c>
      <c r="G475" s="12" t="str">
        <f t="shared" si="38"/>
        <v>OK</v>
      </c>
      <c r="H475" s="13">
        <f t="shared" si="39"/>
        <v>6</v>
      </c>
      <c r="I475" s="14">
        <f t="shared" si="35"/>
        <v>1766.21</v>
      </c>
      <c r="K475" t="str">
        <f>[1]!revcom(C475)</f>
        <v>AATAGT</v>
      </c>
      <c r="L475">
        <v>4</v>
      </c>
    </row>
    <row r="476" spans="1:12" ht="15.6" x14ac:dyDescent="0.3">
      <c r="A476" s="9">
        <v>465</v>
      </c>
      <c r="B476" s="1"/>
      <c r="C476" s="2" t="s">
        <v>471</v>
      </c>
      <c r="D476" s="1"/>
      <c r="E476" s="11">
        <f t="shared" si="36"/>
        <v>24</v>
      </c>
      <c r="F476" s="12">
        <f t="shared" si="37"/>
        <v>33.333333333333329</v>
      </c>
      <c r="G476" s="12" t="str">
        <f t="shared" si="38"/>
        <v>OK</v>
      </c>
      <c r="H476" s="13">
        <f t="shared" si="39"/>
        <v>6</v>
      </c>
      <c r="I476" s="14">
        <f t="shared" si="35"/>
        <v>1760.2199999999998</v>
      </c>
      <c r="K476" t="str">
        <f>[1]!revcom(C476)</f>
        <v>TTGAGT</v>
      </c>
      <c r="L476">
        <v>6</v>
      </c>
    </row>
    <row r="477" spans="1:12" ht="15.6" x14ac:dyDescent="0.3">
      <c r="A477" s="9">
        <v>466</v>
      </c>
      <c r="B477" s="1"/>
      <c r="C477" s="2" t="s">
        <v>472</v>
      </c>
      <c r="D477" s="1"/>
      <c r="E477" s="11">
        <f t="shared" si="36"/>
        <v>22</v>
      </c>
      <c r="F477" s="12">
        <f t="shared" si="37"/>
        <v>50</v>
      </c>
      <c r="G477" s="12" t="str">
        <f t="shared" si="38"/>
        <v>Warning</v>
      </c>
      <c r="H477" s="13">
        <f t="shared" si="39"/>
        <v>6</v>
      </c>
      <c r="I477" s="14">
        <f t="shared" si="35"/>
        <v>1736.19</v>
      </c>
      <c r="K477" t="str">
        <f>[1]!revcom(C477)</f>
        <v>GTGAGT</v>
      </c>
      <c r="L477">
        <v>6</v>
      </c>
    </row>
    <row r="478" spans="1:12" ht="15.6" x14ac:dyDescent="0.3">
      <c r="A478" s="9">
        <v>467</v>
      </c>
      <c r="B478" s="1"/>
      <c r="C478" s="2" t="s">
        <v>473</v>
      </c>
      <c r="D478" s="1"/>
      <c r="E478" s="11">
        <f t="shared" si="36"/>
        <v>22</v>
      </c>
      <c r="F478" s="12">
        <f t="shared" si="37"/>
        <v>50</v>
      </c>
      <c r="G478" s="12" t="str">
        <f t="shared" si="38"/>
        <v>Warning</v>
      </c>
      <c r="H478" s="13">
        <f t="shared" si="39"/>
        <v>6</v>
      </c>
      <c r="I478" s="14">
        <f t="shared" si="35"/>
        <v>1776.2199999999998</v>
      </c>
      <c r="K478" t="str">
        <f>[1]!revcom(C478)</f>
        <v>CTGAGT</v>
      </c>
      <c r="L478">
        <v>6</v>
      </c>
    </row>
    <row r="479" spans="1:12" ht="15.6" x14ac:dyDescent="0.3">
      <c r="A479" s="9">
        <v>468</v>
      </c>
      <c r="B479" s="1"/>
      <c r="C479" s="2" t="s">
        <v>474</v>
      </c>
      <c r="D479" s="1"/>
      <c r="E479" s="11">
        <f t="shared" si="36"/>
        <v>16</v>
      </c>
      <c r="F479" s="12">
        <f t="shared" si="37"/>
        <v>33.333333333333329</v>
      </c>
      <c r="G479" s="12" t="str">
        <f t="shared" si="38"/>
        <v>OK</v>
      </c>
      <c r="H479" s="13">
        <f t="shared" si="39"/>
        <v>6</v>
      </c>
      <c r="I479" s="14">
        <f t="shared" si="35"/>
        <v>1751.1999999999998</v>
      </c>
      <c r="K479" t="str">
        <f>[1]!revcom(C479)</f>
        <v>ATGAGT</v>
      </c>
      <c r="L479">
        <v>5</v>
      </c>
    </row>
    <row r="480" spans="1:12" ht="15.6" x14ac:dyDescent="0.3">
      <c r="A480" s="9">
        <v>469</v>
      </c>
      <c r="B480" s="1"/>
      <c r="C480" s="2" t="s">
        <v>475</v>
      </c>
      <c r="D480" s="1"/>
      <c r="E480" s="11">
        <f t="shared" si="36"/>
        <v>22</v>
      </c>
      <c r="F480" s="12">
        <f t="shared" si="37"/>
        <v>50</v>
      </c>
      <c r="G480" s="12" t="str">
        <f t="shared" si="38"/>
        <v>Warning</v>
      </c>
      <c r="H480" s="13">
        <f t="shared" si="39"/>
        <v>6</v>
      </c>
      <c r="I480" s="14">
        <f t="shared" si="35"/>
        <v>1736.19</v>
      </c>
      <c r="K480" t="str">
        <f>[1]!revcom(C480)</f>
        <v>TGGAGT</v>
      </c>
      <c r="L480">
        <v>6</v>
      </c>
    </row>
    <row r="481" spans="1:12" ht="15.6" x14ac:dyDescent="0.3">
      <c r="A481" s="9">
        <v>470</v>
      </c>
      <c r="B481" s="1"/>
      <c r="C481" s="2" t="s">
        <v>476</v>
      </c>
      <c r="D481" s="1"/>
      <c r="E481" s="11">
        <f t="shared" si="36"/>
        <v>20</v>
      </c>
      <c r="F481" s="12">
        <f t="shared" si="37"/>
        <v>66.666666666666657</v>
      </c>
      <c r="G481" s="12" t="str">
        <f t="shared" si="38"/>
        <v>Warning</v>
      </c>
      <c r="H481" s="13">
        <f t="shared" si="39"/>
        <v>6</v>
      </c>
      <c r="I481" s="14">
        <f t="shared" si="35"/>
        <v>1712.1599999999999</v>
      </c>
      <c r="K481" t="str">
        <f>[1]!revcom(C481)</f>
        <v>GGGAGT</v>
      </c>
      <c r="L481">
        <v>6</v>
      </c>
    </row>
    <row r="482" spans="1:12" ht="15.6" x14ac:dyDescent="0.3">
      <c r="A482" s="9">
        <v>471</v>
      </c>
      <c r="B482" s="1"/>
      <c r="C482" s="2" t="s">
        <v>477</v>
      </c>
      <c r="D482" s="1"/>
      <c r="E482" s="11">
        <f t="shared" si="36"/>
        <v>20</v>
      </c>
      <c r="F482" s="12">
        <f t="shared" si="37"/>
        <v>66.666666666666657</v>
      </c>
      <c r="G482" s="12" t="str">
        <f t="shared" si="38"/>
        <v>Warning</v>
      </c>
      <c r="H482" s="13">
        <f t="shared" si="39"/>
        <v>6</v>
      </c>
      <c r="I482" s="14">
        <f t="shared" si="35"/>
        <v>1752.19</v>
      </c>
      <c r="K482" t="str">
        <f>[1]!revcom(C482)</f>
        <v>CGGAGT</v>
      </c>
      <c r="L482">
        <v>6</v>
      </c>
    </row>
    <row r="483" spans="1:12" ht="15.6" x14ac:dyDescent="0.3">
      <c r="A483" s="9">
        <v>472</v>
      </c>
      <c r="B483" s="1"/>
      <c r="C483" s="2" t="s">
        <v>478</v>
      </c>
      <c r="D483" s="1"/>
      <c r="E483" s="11">
        <f t="shared" si="36"/>
        <v>14</v>
      </c>
      <c r="F483" s="12">
        <f t="shared" si="37"/>
        <v>50</v>
      </c>
      <c r="G483" s="12" t="str">
        <f t="shared" si="38"/>
        <v>Warning</v>
      </c>
      <c r="H483" s="13">
        <f t="shared" si="39"/>
        <v>6</v>
      </c>
      <c r="I483" s="14">
        <f t="shared" si="35"/>
        <v>1727.17</v>
      </c>
      <c r="K483" t="str">
        <f>[1]!revcom(C483)</f>
        <v>AGGAGT</v>
      </c>
      <c r="L483">
        <v>5</v>
      </c>
    </row>
    <row r="484" spans="1:12" ht="15.6" x14ac:dyDescent="0.3">
      <c r="A484" s="9">
        <v>473</v>
      </c>
      <c r="B484" s="1"/>
      <c r="C484" s="2" t="s">
        <v>479</v>
      </c>
      <c r="D484" s="1"/>
      <c r="E484" s="11">
        <f t="shared" si="36"/>
        <v>22</v>
      </c>
      <c r="F484" s="12">
        <f t="shared" si="37"/>
        <v>50</v>
      </c>
      <c r="G484" s="12" t="str">
        <f t="shared" si="38"/>
        <v>Warning</v>
      </c>
      <c r="H484" s="13">
        <f t="shared" si="39"/>
        <v>6</v>
      </c>
      <c r="I484" s="14">
        <f t="shared" si="35"/>
        <v>1776.2199999999998</v>
      </c>
      <c r="K484" t="str">
        <f>[1]!revcom(C484)</f>
        <v>TCGAGT</v>
      </c>
      <c r="L484">
        <v>6</v>
      </c>
    </row>
    <row r="485" spans="1:12" ht="15.6" x14ac:dyDescent="0.3">
      <c r="A485" s="9">
        <v>474</v>
      </c>
      <c r="B485" s="1"/>
      <c r="C485" s="2" t="s">
        <v>480</v>
      </c>
      <c r="D485" s="1"/>
      <c r="E485" s="11">
        <f t="shared" si="36"/>
        <v>20</v>
      </c>
      <c r="F485" s="12">
        <f t="shared" si="37"/>
        <v>66.666666666666657</v>
      </c>
      <c r="G485" s="12" t="str">
        <f t="shared" si="38"/>
        <v>Warning</v>
      </c>
      <c r="H485" s="13">
        <f t="shared" si="39"/>
        <v>6</v>
      </c>
      <c r="I485" s="14">
        <f t="shared" si="35"/>
        <v>1752.19</v>
      </c>
      <c r="K485" t="str">
        <f>[1]!revcom(C485)</f>
        <v>GCGAGT</v>
      </c>
      <c r="L485">
        <v>6</v>
      </c>
    </row>
    <row r="486" spans="1:12" ht="15.6" x14ac:dyDescent="0.3">
      <c r="A486" s="9">
        <v>475</v>
      </c>
      <c r="B486" s="1"/>
      <c r="C486" s="2" t="s">
        <v>481</v>
      </c>
      <c r="D486" s="1"/>
      <c r="E486" s="11">
        <f t="shared" si="36"/>
        <v>20</v>
      </c>
      <c r="F486" s="12">
        <f t="shared" si="37"/>
        <v>66.666666666666657</v>
      </c>
      <c r="G486" s="12" t="str">
        <f t="shared" si="38"/>
        <v>Warning</v>
      </c>
      <c r="H486" s="13">
        <f t="shared" si="39"/>
        <v>6</v>
      </c>
      <c r="I486" s="14">
        <f t="shared" si="35"/>
        <v>1792.2199999999998</v>
      </c>
      <c r="K486" t="str">
        <f>[1]!revcom(C486)</f>
        <v>CCGAGT</v>
      </c>
      <c r="L486">
        <v>6</v>
      </c>
    </row>
    <row r="487" spans="1:12" ht="15.6" x14ac:dyDescent="0.3">
      <c r="A487" s="9">
        <v>476</v>
      </c>
      <c r="B487" s="1"/>
      <c r="C487" s="2" t="s">
        <v>482</v>
      </c>
      <c r="D487" s="1"/>
      <c r="E487" s="11">
        <f t="shared" si="36"/>
        <v>14</v>
      </c>
      <c r="F487" s="12">
        <f t="shared" si="37"/>
        <v>50</v>
      </c>
      <c r="G487" s="12" t="str">
        <f t="shared" si="38"/>
        <v>Warning</v>
      </c>
      <c r="H487" s="13">
        <f t="shared" si="39"/>
        <v>6</v>
      </c>
      <c r="I487" s="14">
        <f t="shared" si="35"/>
        <v>1767.1999999999998</v>
      </c>
      <c r="K487" t="str">
        <f>[1]!revcom(C487)</f>
        <v>ACGAGT</v>
      </c>
      <c r="L487">
        <v>5</v>
      </c>
    </row>
    <row r="488" spans="1:12" ht="15.6" x14ac:dyDescent="0.3">
      <c r="A488" s="9">
        <v>477</v>
      </c>
      <c r="B488" s="1"/>
      <c r="C488" s="2" t="s">
        <v>483</v>
      </c>
      <c r="D488" s="1"/>
      <c r="E488" s="11">
        <f t="shared" si="36"/>
        <v>16</v>
      </c>
      <c r="F488" s="12">
        <f t="shared" si="37"/>
        <v>33.333333333333329</v>
      </c>
      <c r="G488" s="12" t="str">
        <f t="shared" si="38"/>
        <v>OK</v>
      </c>
      <c r="H488" s="13">
        <f t="shared" si="39"/>
        <v>6</v>
      </c>
      <c r="I488" s="14">
        <f t="shared" si="35"/>
        <v>1751.1999999999998</v>
      </c>
      <c r="K488" t="str">
        <f>[1]!revcom(C488)</f>
        <v>TAGAGT</v>
      </c>
      <c r="L488">
        <v>5</v>
      </c>
    </row>
    <row r="489" spans="1:12" ht="15.6" x14ac:dyDescent="0.3">
      <c r="A489" s="9">
        <v>478</v>
      </c>
      <c r="B489" s="1"/>
      <c r="C489" s="2" t="s">
        <v>484</v>
      </c>
      <c r="D489" s="1"/>
      <c r="E489" s="11">
        <f t="shared" si="36"/>
        <v>14</v>
      </c>
      <c r="F489" s="12">
        <f t="shared" si="37"/>
        <v>50</v>
      </c>
      <c r="G489" s="12" t="str">
        <f t="shared" si="38"/>
        <v>Warning</v>
      </c>
      <c r="H489" s="13">
        <f t="shared" si="39"/>
        <v>6</v>
      </c>
      <c r="I489" s="14">
        <f t="shared" si="35"/>
        <v>1727.17</v>
      </c>
      <c r="K489" t="str">
        <f>[1]!revcom(C489)</f>
        <v>GAGAGT</v>
      </c>
      <c r="L489">
        <v>5</v>
      </c>
    </row>
    <row r="490" spans="1:12" ht="15.6" x14ac:dyDescent="0.3">
      <c r="A490" s="9">
        <v>479</v>
      </c>
      <c r="B490" s="1"/>
      <c r="C490" s="2" t="s">
        <v>485</v>
      </c>
      <c r="D490" s="1"/>
      <c r="E490" s="11">
        <f t="shared" si="36"/>
        <v>14</v>
      </c>
      <c r="F490" s="12">
        <f t="shared" si="37"/>
        <v>50</v>
      </c>
      <c r="G490" s="12" t="str">
        <f t="shared" si="38"/>
        <v>Warning</v>
      </c>
      <c r="H490" s="13">
        <f t="shared" si="39"/>
        <v>6</v>
      </c>
      <c r="I490" s="14">
        <f t="shared" si="35"/>
        <v>1767.1999999999998</v>
      </c>
      <c r="K490" t="str">
        <f>[1]!revcom(C490)</f>
        <v>CAGAGT</v>
      </c>
      <c r="L490">
        <v>5</v>
      </c>
    </row>
    <row r="491" spans="1:12" ht="15.6" x14ac:dyDescent="0.3">
      <c r="A491" s="9">
        <v>480</v>
      </c>
      <c r="B491" s="1"/>
      <c r="C491" s="2" t="s">
        <v>486</v>
      </c>
      <c r="D491" s="1"/>
      <c r="E491" s="11">
        <f t="shared" si="36"/>
        <v>8</v>
      </c>
      <c r="F491" s="12">
        <f t="shared" si="37"/>
        <v>33.333333333333329</v>
      </c>
      <c r="G491" s="12" t="str">
        <f t="shared" si="38"/>
        <v>OK</v>
      </c>
      <c r="H491" s="13">
        <f t="shared" si="39"/>
        <v>6</v>
      </c>
      <c r="I491" s="14">
        <f t="shared" si="35"/>
        <v>1742.1799999999998</v>
      </c>
      <c r="K491" t="str">
        <f>[1]!revcom(C491)</f>
        <v>AAGAGT</v>
      </c>
      <c r="L491">
        <v>4</v>
      </c>
    </row>
    <row r="492" spans="1:12" ht="15.6" x14ac:dyDescent="0.3">
      <c r="A492" s="9">
        <v>481</v>
      </c>
      <c r="B492" s="1"/>
      <c r="C492" s="2" t="s">
        <v>487</v>
      </c>
      <c r="D492" s="1"/>
      <c r="E492" s="11">
        <f t="shared" si="36"/>
        <v>24</v>
      </c>
      <c r="F492" s="12">
        <f t="shared" si="37"/>
        <v>33.333333333333329</v>
      </c>
      <c r="G492" s="12" t="str">
        <f t="shared" si="38"/>
        <v>OK</v>
      </c>
      <c r="H492" s="13">
        <f t="shared" si="39"/>
        <v>6</v>
      </c>
      <c r="I492" s="14">
        <f t="shared" si="35"/>
        <v>1800.25</v>
      </c>
      <c r="K492" t="str">
        <f>[1]!revcom(C492)</f>
        <v>TTCAGT</v>
      </c>
      <c r="L492">
        <v>6</v>
      </c>
    </row>
    <row r="493" spans="1:12" ht="15.6" x14ac:dyDescent="0.3">
      <c r="A493" s="9">
        <v>482</v>
      </c>
      <c r="B493" s="1"/>
      <c r="C493" s="2" t="s">
        <v>488</v>
      </c>
      <c r="D493" s="1"/>
      <c r="E493" s="11">
        <f t="shared" si="36"/>
        <v>22</v>
      </c>
      <c r="F493" s="12">
        <f t="shared" si="37"/>
        <v>50</v>
      </c>
      <c r="G493" s="12" t="str">
        <f t="shared" si="38"/>
        <v>Warning</v>
      </c>
      <c r="H493" s="13">
        <f t="shared" si="39"/>
        <v>6</v>
      </c>
      <c r="I493" s="14">
        <f t="shared" si="35"/>
        <v>1776.2199999999998</v>
      </c>
      <c r="K493" t="str">
        <f>[1]!revcom(C493)</f>
        <v>GTCAGT</v>
      </c>
      <c r="L493">
        <v>6</v>
      </c>
    </row>
    <row r="494" spans="1:12" ht="15.6" x14ac:dyDescent="0.3">
      <c r="A494" s="9">
        <v>483</v>
      </c>
      <c r="B494" s="1"/>
      <c r="C494" s="2" t="s">
        <v>489</v>
      </c>
      <c r="D494" s="1"/>
      <c r="E494" s="11">
        <f t="shared" si="36"/>
        <v>22</v>
      </c>
      <c r="F494" s="12">
        <f t="shared" si="37"/>
        <v>50</v>
      </c>
      <c r="G494" s="12" t="str">
        <f t="shared" si="38"/>
        <v>Warning</v>
      </c>
      <c r="H494" s="13">
        <f t="shared" si="39"/>
        <v>6</v>
      </c>
      <c r="I494" s="14">
        <f t="shared" si="35"/>
        <v>1816.25</v>
      </c>
      <c r="K494" t="str">
        <f>[1]!revcom(C494)</f>
        <v>CTCAGT</v>
      </c>
      <c r="L494">
        <v>6</v>
      </c>
    </row>
    <row r="495" spans="1:12" ht="15.6" x14ac:dyDescent="0.3">
      <c r="A495" s="9">
        <v>484</v>
      </c>
      <c r="B495" s="1"/>
      <c r="C495" s="2" t="s">
        <v>490</v>
      </c>
      <c r="D495" s="1"/>
      <c r="E495" s="11">
        <f t="shared" si="36"/>
        <v>16</v>
      </c>
      <c r="F495" s="12">
        <f t="shared" si="37"/>
        <v>33.333333333333329</v>
      </c>
      <c r="G495" s="12" t="str">
        <f t="shared" si="38"/>
        <v>OK</v>
      </c>
      <c r="H495" s="13">
        <f t="shared" si="39"/>
        <v>6</v>
      </c>
      <c r="I495" s="14">
        <f t="shared" si="35"/>
        <v>1791.23</v>
      </c>
      <c r="K495" t="str">
        <f>[1]!revcom(C495)</f>
        <v>ATCAGT</v>
      </c>
      <c r="L495">
        <v>5</v>
      </c>
    </row>
    <row r="496" spans="1:12" ht="15.6" x14ac:dyDescent="0.3">
      <c r="A496" s="9">
        <v>485</v>
      </c>
      <c r="B496" s="1"/>
      <c r="C496" s="2" t="s">
        <v>491</v>
      </c>
      <c r="D496" s="1"/>
      <c r="E496" s="11">
        <f t="shared" si="36"/>
        <v>22</v>
      </c>
      <c r="F496" s="12">
        <f t="shared" si="37"/>
        <v>50</v>
      </c>
      <c r="G496" s="12" t="str">
        <f t="shared" si="38"/>
        <v>Warning</v>
      </c>
      <c r="H496" s="13">
        <f t="shared" si="39"/>
        <v>6</v>
      </c>
      <c r="I496" s="14">
        <f t="shared" si="35"/>
        <v>1776.2199999999998</v>
      </c>
      <c r="K496" t="str">
        <f>[1]!revcom(C496)</f>
        <v>TGCAGT</v>
      </c>
      <c r="L496">
        <v>6</v>
      </c>
    </row>
    <row r="497" spans="1:12" ht="15.6" x14ac:dyDescent="0.3">
      <c r="A497" s="9">
        <v>486</v>
      </c>
      <c r="B497" s="1"/>
      <c r="C497" s="2" t="s">
        <v>492</v>
      </c>
      <c r="D497" s="1"/>
      <c r="E497" s="11">
        <f t="shared" si="36"/>
        <v>20</v>
      </c>
      <c r="F497" s="12">
        <f t="shared" si="37"/>
        <v>66.666666666666657</v>
      </c>
      <c r="G497" s="12" t="str">
        <f t="shared" si="38"/>
        <v>Warning</v>
      </c>
      <c r="H497" s="13">
        <f t="shared" si="39"/>
        <v>6</v>
      </c>
      <c r="I497" s="14">
        <f t="shared" si="35"/>
        <v>1752.19</v>
      </c>
      <c r="K497" t="str">
        <f>[1]!revcom(C497)</f>
        <v>GGCAGT</v>
      </c>
      <c r="L497">
        <v>6</v>
      </c>
    </row>
    <row r="498" spans="1:12" ht="15.6" x14ac:dyDescent="0.3">
      <c r="A498" s="9">
        <v>487</v>
      </c>
      <c r="B498" s="1"/>
      <c r="C498" s="2" t="s">
        <v>493</v>
      </c>
      <c r="D498" s="1"/>
      <c r="E498" s="11">
        <f t="shared" si="36"/>
        <v>20</v>
      </c>
      <c r="F498" s="12">
        <f t="shared" si="37"/>
        <v>66.666666666666657</v>
      </c>
      <c r="G498" s="12" t="str">
        <f t="shared" si="38"/>
        <v>Warning</v>
      </c>
      <c r="H498" s="13">
        <f t="shared" si="39"/>
        <v>6</v>
      </c>
      <c r="I498" s="14">
        <f t="shared" si="35"/>
        <v>1792.2199999999998</v>
      </c>
      <c r="K498" t="str">
        <f>[1]!revcom(C498)</f>
        <v>CGCAGT</v>
      </c>
      <c r="L498">
        <v>6</v>
      </c>
    </row>
    <row r="499" spans="1:12" ht="15.6" x14ac:dyDescent="0.3">
      <c r="A499" s="9">
        <v>488</v>
      </c>
      <c r="B499" s="1"/>
      <c r="C499" s="2" t="s">
        <v>494</v>
      </c>
      <c r="D499" s="1"/>
      <c r="E499" s="11">
        <f t="shared" si="36"/>
        <v>14</v>
      </c>
      <c r="F499" s="12">
        <f t="shared" si="37"/>
        <v>50</v>
      </c>
      <c r="G499" s="12" t="str">
        <f t="shared" si="38"/>
        <v>Warning</v>
      </c>
      <c r="H499" s="13">
        <f t="shared" si="39"/>
        <v>6</v>
      </c>
      <c r="I499" s="14">
        <f t="shared" si="35"/>
        <v>1767.1999999999998</v>
      </c>
      <c r="K499" t="str">
        <f>[1]!revcom(C499)</f>
        <v>AGCAGT</v>
      </c>
      <c r="L499">
        <v>5</v>
      </c>
    </row>
    <row r="500" spans="1:12" ht="15.6" x14ac:dyDescent="0.3">
      <c r="A500" s="9">
        <v>489</v>
      </c>
      <c r="B500" s="1"/>
      <c r="C500" s="2" t="s">
        <v>495</v>
      </c>
      <c r="D500" s="1"/>
      <c r="E500" s="11">
        <f t="shared" si="36"/>
        <v>22</v>
      </c>
      <c r="F500" s="12">
        <f t="shared" si="37"/>
        <v>50</v>
      </c>
      <c r="G500" s="12" t="str">
        <f t="shared" si="38"/>
        <v>Warning</v>
      </c>
      <c r="H500" s="13">
        <f t="shared" si="39"/>
        <v>6</v>
      </c>
      <c r="I500" s="14">
        <f t="shared" si="35"/>
        <v>1816.25</v>
      </c>
      <c r="K500" t="str">
        <f>[1]!revcom(C500)</f>
        <v>TCCAGT</v>
      </c>
      <c r="L500">
        <v>6</v>
      </c>
    </row>
    <row r="501" spans="1:12" ht="15.6" x14ac:dyDescent="0.3">
      <c r="A501" s="9">
        <v>490</v>
      </c>
      <c r="B501" s="1"/>
      <c r="C501" s="2" t="s">
        <v>496</v>
      </c>
      <c r="D501" s="1"/>
      <c r="E501" s="11">
        <f t="shared" si="36"/>
        <v>20</v>
      </c>
      <c r="F501" s="12">
        <f t="shared" si="37"/>
        <v>66.666666666666657</v>
      </c>
      <c r="G501" s="12" t="str">
        <f t="shared" si="38"/>
        <v>Warning</v>
      </c>
      <c r="H501" s="13">
        <f t="shared" si="39"/>
        <v>6</v>
      </c>
      <c r="I501" s="14">
        <f t="shared" si="35"/>
        <v>1792.2199999999998</v>
      </c>
      <c r="K501" t="str">
        <f>[1]!revcom(C501)</f>
        <v>GCCAGT</v>
      </c>
      <c r="L501">
        <v>6</v>
      </c>
    </row>
    <row r="502" spans="1:12" ht="15.6" x14ac:dyDescent="0.3">
      <c r="A502" s="9">
        <v>491</v>
      </c>
      <c r="B502" s="1"/>
      <c r="C502" s="2" t="s">
        <v>497</v>
      </c>
      <c r="D502" s="1"/>
      <c r="E502" s="11">
        <f t="shared" si="36"/>
        <v>20</v>
      </c>
      <c r="F502" s="12">
        <f t="shared" si="37"/>
        <v>66.666666666666657</v>
      </c>
      <c r="G502" s="12" t="str">
        <f t="shared" si="38"/>
        <v>Warning</v>
      </c>
      <c r="H502" s="13">
        <f t="shared" si="39"/>
        <v>6</v>
      </c>
      <c r="I502" s="14">
        <f t="shared" si="35"/>
        <v>1832.25</v>
      </c>
      <c r="K502" t="str">
        <f>[1]!revcom(C502)</f>
        <v>CCCAGT</v>
      </c>
      <c r="L502">
        <v>6</v>
      </c>
    </row>
    <row r="503" spans="1:12" ht="15.6" x14ac:dyDescent="0.3">
      <c r="A503" s="9">
        <v>492</v>
      </c>
      <c r="B503" s="1"/>
      <c r="C503" s="2" t="s">
        <v>498</v>
      </c>
      <c r="D503" s="1"/>
      <c r="E503" s="11">
        <f t="shared" si="36"/>
        <v>14</v>
      </c>
      <c r="F503" s="12">
        <f t="shared" si="37"/>
        <v>50</v>
      </c>
      <c r="G503" s="12" t="str">
        <f t="shared" si="38"/>
        <v>Warning</v>
      </c>
      <c r="H503" s="13">
        <f t="shared" si="39"/>
        <v>6</v>
      </c>
      <c r="I503" s="14">
        <f t="shared" si="35"/>
        <v>1807.23</v>
      </c>
      <c r="K503" t="str">
        <f>[1]!revcom(C503)</f>
        <v>ACCAGT</v>
      </c>
      <c r="L503">
        <v>5</v>
      </c>
    </row>
    <row r="504" spans="1:12" ht="15.6" x14ac:dyDescent="0.3">
      <c r="A504" s="9">
        <v>493</v>
      </c>
      <c r="B504" s="1"/>
      <c r="C504" s="2" t="s">
        <v>499</v>
      </c>
      <c r="D504" s="1"/>
      <c r="E504" s="11">
        <f t="shared" si="36"/>
        <v>16</v>
      </c>
      <c r="F504" s="12">
        <f t="shared" si="37"/>
        <v>33.333333333333329</v>
      </c>
      <c r="G504" s="12" t="str">
        <f t="shared" si="38"/>
        <v>OK</v>
      </c>
      <c r="H504" s="13">
        <f t="shared" si="39"/>
        <v>6</v>
      </c>
      <c r="I504" s="14">
        <f t="shared" si="35"/>
        <v>1791.23</v>
      </c>
      <c r="K504" t="str">
        <f>[1]!revcom(C504)</f>
        <v>TACAGT</v>
      </c>
      <c r="L504">
        <v>5</v>
      </c>
    </row>
    <row r="505" spans="1:12" ht="15.6" x14ac:dyDescent="0.3">
      <c r="A505" s="9">
        <v>494</v>
      </c>
      <c r="B505" s="1"/>
      <c r="C505" s="2" t="s">
        <v>500</v>
      </c>
      <c r="D505" s="1"/>
      <c r="E505" s="11">
        <f t="shared" si="36"/>
        <v>14</v>
      </c>
      <c r="F505" s="12">
        <f t="shared" si="37"/>
        <v>50</v>
      </c>
      <c r="G505" s="12" t="str">
        <f t="shared" si="38"/>
        <v>Warning</v>
      </c>
      <c r="H505" s="13">
        <f t="shared" si="39"/>
        <v>6</v>
      </c>
      <c r="I505" s="14">
        <f t="shared" si="35"/>
        <v>1767.1999999999998</v>
      </c>
      <c r="K505" t="str">
        <f>[1]!revcom(C505)</f>
        <v>GACAGT</v>
      </c>
      <c r="L505">
        <v>5</v>
      </c>
    </row>
    <row r="506" spans="1:12" ht="15.6" x14ac:dyDescent="0.3">
      <c r="A506" s="9">
        <v>495</v>
      </c>
      <c r="B506" s="1"/>
      <c r="C506" s="2" t="s">
        <v>501</v>
      </c>
      <c r="D506" s="1"/>
      <c r="E506" s="11">
        <f t="shared" si="36"/>
        <v>14</v>
      </c>
      <c r="F506" s="12">
        <f t="shared" si="37"/>
        <v>50</v>
      </c>
      <c r="G506" s="12" t="str">
        <f t="shared" si="38"/>
        <v>Warning</v>
      </c>
      <c r="H506" s="13">
        <f t="shared" si="39"/>
        <v>6</v>
      </c>
      <c r="I506" s="14">
        <f t="shared" si="35"/>
        <v>1807.23</v>
      </c>
      <c r="K506" t="str">
        <f>[1]!revcom(C506)</f>
        <v>CACAGT</v>
      </c>
      <c r="L506">
        <v>5</v>
      </c>
    </row>
    <row r="507" spans="1:12" ht="15.6" x14ac:dyDescent="0.3">
      <c r="A507" s="9">
        <v>496</v>
      </c>
      <c r="B507" s="1"/>
      <c r="C507" s="2" t="s">
        <v>502</v>
      </c>
      <c r="D507" s="1"/>
      <c r="E507" s="11">
        <f t="shared" si="36"/>
        <v>8</v>
      </c>
      <c r="F507" s="12">
        <f t="shared" si="37"/>
        <v>33.333333333333329</v>
      </c>
      <c r="G507" s="12" t="str">
        <f t="shared" si="38"/>
        <v>OK</v>
      </c>
      <c r="H507" s="13">
        <f t="shared" si="39"/>
        <v>6</v>
      </c>
      <c r="I507" s="14">
        <f t="shared" si="35"/>
        <v>1782.21</v>
      </c>
      <c r="K507" t="str">
        <f>[1]!revcom(C507)</f>
        <v>AACAGT</v>
      </c>
      <c r="L507">
        <v>4</v>
      </c>
    </row>
    <row r="508" spans="1:12" ht="15.6" x14ac:dyDescent="0.3">
      <c r="A508" s="9">
        <v>497</v>
      </c>
      <c r="B508" s="1"/>
      <c r="C508" s="2" t="s">
        <v>503</v>
      </c>
      <c r="D508" s="1"/>
      <c r="E508" s="11">
        <f t="shared" si="36"/>
        <v>18</v>
      </c>
      <c r="F508" s="12">
        <f t="shared" si="37"/>
        <v>16.666666666666664</v>
      </c>
      <c r="G508" s="12" t="str">
        <f t="shared" si="38"/>
        <v>OK</v>
      </c>
      <c r="H508" s="13">
        <f t="shared" si="39"/>
        <v>6</v>
      </c>
      <c r="I508" s="14">
        <f t="shared" si="35"/>
        <v>1775.23</v>
      </c>
      <c r="K508" t="str">
        <f>[1]!revcom(C508)</f>
        <v>TTAAGT</v>
      </c>
      <c r="L508">
        <v>5</v>
      </c>
    </row>
    <row r="509" spans="1:12" ht="15.6" x14ac:dyDescent="0.3">
      <c r="A509" s="9">
        <v>498</v>
      </c>
      <c r="B509" s="1"/>
      <c r="C509" s="2" t="s">
        <v>504</v>
      </c>
      <c r="D509" s="1"/>
      <c r="E509" s="11">
        <f t="shared" si="36"/>
        <v>16</v>
      </c>
      <c r="F509" s="12">
        <f t="shared" si="37"/>
        <v>33.333333333333329</v>
      </c>
      <c r="G509" s="12" t="str">
        <f t="shared" si="38"/>
        <v>OK</v>
      </c>
      <c r="H509" s="13">
        <f t="shared" si="39"/>
        <v>6</v>
      </c>
      <c r="I509" s="14">
        <f t="shared" si="35"/>
        <v>1751.1999999999998</v>
      </c>
      <c r="K509" t="str">
        <f>[1]!revcom(C509)</f>
        <v>GTAAGT</v>
      </c>
      <c r="L509">
        <v>5</v>
      </c>
    </row>
    <row r="510" spans="1:12" ht="15.6" x14ac:dyDescent="0.3">
      <c r="A510" s="9">
        <v>499</v>
      </c>
      <c r="B510" s="1"/>
      <c r="C510" s="2" t="s">
        <v>505</v>
      </c>
      <c r="D510" s="1"/>
      <c r="E510" s="11">
        <f t="shared" si="36"/>
        <v>16</v>
      </c>
      <c r="F510" s="12">
        <f t="shared" si="37"/>
        <v>33.333333333333329</v>
      </c>
      <c r="G510" s="12" t="str">
        <f t="shared" si="38"/>
        <v>OK</v>
      </c>
      <c r="H510" s="13">
        <f t="shared" si="39"/>
        <v>6</v>
      </c>
      <c r="I510" s="14">
        <f t="shared" si="35"/>
        <v>1791.23</v>
      </c>
      <c r="K510" t="str">
        <f>[1]!revcom(C510)</f>
        <v>CTAAGT</v>
      </c>
      <c r="L510">
        <v>5</v>
      </c>
    </row>
    <row r="511" spans="1:12" ht="15.6" x14ac:dyDescent="0.3">
      <c r="A511" s="9">
        <v>500</v>
      </c>
      <c r="B511" s="1"/>
      <c r="C511" s="2" t="s">
        <v>506</v>
      </c>
      <c r="D511" s="1"/>
      <c r="E511" s="11">
        <f t="shared" si="36"/>
        <v>10</v>
      </c>
      <c r="F511" s="12">
        <f t="shared" si="37"/>
        <v>16.666666666666664</v>
      </c>
      <c r="G511" s="12" t="str">
        <f t="shared" si="38"/>
        <v>OK</v>
      </c>
      <c r="H511" s="13">
        <f t="shared" si="39"/>
        <v>6</v>
      </c>
      <c r="I511" s="14">
        <f t="shared" si="35"/>
        <v>1766.21</v>
      </c>
      <c r="K511" t="str">
        <f>[1]!revcom(C511)</f>
        <v>ATAAGT</v>
      </c>
      <c r="L511">
        <v>4</v>
      </c>
    </row>
    <row r="512" spans="1:12" ht="15.6" x14ac:dyDescent="0.3">
      <c r="A512" s="9">
        <v>501</v>
      </c>
      <c r="B512" s="1"/>
      <c r="C512" s="2" t="s">
        <v>507</v>
      </c>
      <c r="D512" s="1"/>
      <c r="E512" s="11">
        <f t="shared" si="36"/>
        <v>16</v>
      </c>
      <c r="F512" s="12">
        <f t="shared" si="37"/>
        <v>33.333333333333329</v>
      </c>
      <c r="G512" s="12" t="str">
        <f t="shared" si="38"/>
        <v>OK</v>
      </c>
      <c r="H512" s="13">
        <f t="shared" si="39"/>
        <v>6</v>
      </c>
      <c r="I512" s="14">
        <f t="shared" si="35"/>
        <v>1751.1999999999998</v>
      </c>
      <c r="K512" t="str">
        <f>[1]!revcom(C512)</f>
        <v>TGAAGT</v>
      </c>
      <c r="L512">
        <v>5</v>
      </c>
    </row>
    <row r="513" spans="1:12" ht="15.6" x14ac:dyDescent="0.3">
      <c r="A513" s="9">
        <v>502</v>
      </c>
      <c r="B513" s="1"/>
      <c r="C513" s="2" t="s">
        <v>508</v>
      </c>
      <c r="D513" s="1"/>
      <c r="E513" s="11">
        <f t="shared" si="36"/>
        <v>14</v>
      </c>
      <c r="F513" s="12">
        <f t="shared" si="37"/>
        <v>50</v>
      </c>
      <c r="G513" s="12" t="str">
        <f t="shared" si="38"/>
        <v>Warning</v>
      </c>
      <c r="H513" s="13">
        <f t="shared" si="39"/>
        <v>6</v>
      </c>
      <c r="I513" s="14">
        <f t="shared" si="35"/>
        <v>1727.17</v>
      </c>
      <c r="K513" t="str">
        <f>[1]!revcom(C513)</f>
        <v>GGAAGT</v>
      </c>
      <c r="L513">
        <v>5</v>
      </c>
    </row>
    <row r="514" spans="1:12" ht="15.6" x14ac:dyDescent="0.3">
      <c r="A514" s="9">
        <v>503</v>
      </c>
      <c r="B514" s="1"/>
      <c r="C514" s="2" t="s">
        <v>509</v>
      </c>
      <c r="D514" s="1"/>
      <c r="E514" s="11">
        <f t="shared" si="36"/>
        <v>14</v>
      </c>
      <c r="F514" s="12">
        <f t="shared" si="37"/>
        <v>50</v>
      </c>
      <c r="G514" s="12" t="str">
        <f t="shared" si="38"/>
        <v>Warning</v>
      </c>
      <c r="H514" s="13">
        <f t="shared" si="39"/>
        <v>6</v>
      </c>
      <c r="I514" s="14">
        <f t="shared" si="35"/>
        <v>1767.1999999999998</v>
      </c>
      <c r="K514" t="str">
        <f>[1]!revcom(C514)</f>
        <v>CGAAGT</v>
      </c>
      <c r="L514">
        <v>5</v>
      </c>
    </row>
    <row r="515" spans="1:12" ht="15.6" x14ac:dyDescent="0.3">
      <c r="A515" s="9">
        <v>504</v>
      </c>
      <c r="B515" s="1"/>
      <c r="C515" s="2" t="s">
        <v>510</v>
      </c>
      <c r="D515" s="1"/>
      <c r="E515" s="11">
        <f t="shared" si="36"/>
        <v>8</v>
      </c>
      <c r="F515" s="12">
        <f t="shared" si="37"/>
        <v>33.333333333333329</v>
      </c>
      <c r="G515" s="12" t="str">
        <f t="shared" si="38"/>
        <v>OK</v>
      </c>
      <c r="H515" s="13">
        <f t="shared" si="39"/>
        <v>6</v>
      </c>
      <c r="I515" s="14">
        <f t="shared" si="35"/>
        <v>1742.1799999999998</v>
      </c>
      <c r="K515" t="str">
        <f>[1]!revcom(C515)</f>
        <v>AGAAGT</v>
      </c>
      <c r="L515">
        <v>4</v>
      </c>
    </row>
    <row r="516" spans="1:12" ht="15.6" x14ac:dyDescent="0.3">
      <c r="A516" s="9">
        <v>505</v>
      </c>
      <c r="B516" s="1"/>
      <c r="C516" s="2" t="s">
        <v>511</v>
      </c>
      <c r="D516" s="1"/>
      <c r="E516" s="11">
        <f t="shared" si="36"/>
        <v>16</v>
      </c>
      <c r="F516" s="12">
        <f t="shared" si="37"/>
        <v>33.333333333333329</v>
      </c>
      <c r="G516" s="12" t="str">
        <f t="shared" si="38"/>
        <v>OK</v>
      </c>
      <c r="H516" s="13">
        <f t="shared" si="39"/>
        <v>6</v>
      </c>
      <c r="I516" s="14">
        <f t="shared" si="35"/>
        <v>1791.23</v>
      </c>
      <c r="K516" t="str">
        <f>[1]!revcom(C516)</f>
        <v>TCAAGT</v>
      </c>
      <c r="L516">
        <v>5</v>
      </c>
    </row>
    <row r="517" spans="1:12" ht="15.6" x14ac:dyDescent="0.3">
      <c r="A517" s="9">
        <v>506</v>
      </c>
      <c r="B517" s="1"/>
      <c r="C517" s="2" t="s">
        <v>512</v>
      </c>
      <c r="D517" s="1"/>
      <c r="E517" s="11">
        <f t="shared" si="36"/>
        <v>14</v>
      </c>
      <c r="F517" s="12">
        <f t="shared" si="37"/>
        <v>50</v>
      </c>
      <c r="G517" s="12" t="str">
        <f t="shared" si="38"/>
        <v>Warning</v>
      </c>
      <c r="H517" s="13">
        <f t="shared" si="39"/>
        <v>6</v>
      </c>
      <c r="I517" s="14">
        <f t="shared" si="35"/>
        <v>1767.1999999999998</v>
      </c>
      <c r="K517" t="str">
        <f>[1]!revcom(C517)</f>
        <v>GCAAGT</v>
      </c>
      <c r="L517">
        <v>5</v>
      </c>
    </row>
    <row r="518" spans="1:12" ht="15.6" x14ac:dyDescent="0.3">
      <c r="A518" s="9">
        <v>507</v>
      </c>
      <c r="B518" s="1"/>
      <c r="C518" s="2" t="s">
        <v>513</v>
      </c>
      <c r="D518" s="1"/>
      <c r="E518" s="11">
        <f t="shared" si="36"/>
        <v>14</v>
      </c>
      <c r="F518" s="12">
        <f t="shared" si="37"/>
        <v>50</v>
      </c>
      <c r="G518" s="12" t="str">
        <f t="shared" si="38"/>
        <v>Warning</v>
      </c>
      <c r="H518" s="13">
        <f t="shared" si="39"/>
        <v>6</v>
      </c>
      <c r="I518" s="14">
        <f t="shared" si="35"/>
        <v>1807.23</v>
      </c>
      <c r="K518" t="str">
        <f>[1]!revcom(C518)</f>
        <v>CCAAGT</v>
      </c>
      <c r="L518">
        <v>5</v>
      </c>
    </row>
    <row r="519" spans="1:12" ht="15.6" x14ac:dyDescent="0.3">
      <c r="A519" s="9">
        <v>508</v>
      </c>
      <c r="B519" s="1"/>
      <c r="C519" s="2" t="s">
        <v>514</v>
      </c>
      <c r="D519" s="1"/>
      <c r="E519" s="11">
        <f t="shared" si="36"/>
        <v>8</v>
      </c>
      <c r="F519" s="12">
        <f t="shared" si="37"/>
        <v>33.333333333333329</v>
      </c>
      <c r="G519" s="12" t="str">
        <f t="shared" si="38"/>
        <v>OK</v>
      </c>
      <c r="H519" s="13">
        <f t="shared" si="39"/>
        <v>6</v>
      </c>
      <c r="I519" s="14">
        <f t="shared" si="35"/>
        <v>1782.21</v>
      </c>
      <c r="K519" t="str">
        <f>[1]!revcom(C519)</f>
        <v>ACAAGT</v>
      </c>
      <c r="L519">
        <v>4</v>
      </c>
    </row>
    <row r="520" spans="1:12" ht="15.6" x14ac:dyDescent="0.3">
      <c r="A520" s="9">
        <v>509</v>
      </c>
      <c r="B520" s="1"/>
      <c r="C520" s="2" t="s">
        <v>515</v>
      </c>
      <c r="D520" s="1"/>
      <c r="E520" s="11">
        <f t="shared" si="36"/>
        <v>10</v>
      </c>
      <c r="F520" s="12">
        <f t="shared" si="37"/>
        <v>16.666666666666664</v>
      </c>
      <c r="G520" s="12" t="str">
        <f t="shared" si="38"/>
        <v>OK</v>
      </c>
      <c r="H520" s="13">
        <f t="shared" si="39"/>
        <v>6</v>
      </c>
      <c r="I520" s="14">
        <f t="shared" si="35"/>
        <v>1766.21</v>
      </c>
      <c r="K520" t="str">
        <f>[1]!revcom(C520)</f>
        <v>TAAAGT</v>
      </c>
      <c r="L520">
        <v>4</v>
      </c>
    </row>
    <row r="521" spans="1:12" ht="15.6" x14ac:dyDescent="0.3">
      <c r="A521" s="9">
        <v>510</v>
      </c>
      <c r="B521" s="1"/>
      <c r="C521" s="2" t="s">
        <v>516</v>
      </c>
      <c r="D521" s="1"/>
      <c r="E521" s="11">
        <f t="shared" si="36"/>
        <v>8</v>
      </c>
      <c r="F521" s="12">
        <f t="shared" si="37"/>
        <v>33.333333333333329</v>
      </c>
      <c r="G521" s="12" t="str">
        <f t="shared" si="38"/>
        <v>OK</v>
      </c>
      <c r="H521" s="13">
        <f t="shared" si="39"/>
        <v>6</v>
      </c>
      <c r="I521" s="14">
        <f t="shared" si="35"/>
        <v>1742.1799999999998</v>
      </c>
      <c r="K521" t="str">
        <f>[1]!revcom(C521)</f>
        <v>GAAAGT</v>
      </c>
      <c r="L521">
        <v>4</v>
      </c>
    </row>
    <row r="522" spans="1:12" ht="15.6" x14ac:dyDescent="0.3">
      <c r="A522" s="9">
        <v>511</v>
      </c>
      <c r="B522" s="1"/>
      <c r="C522" s="2" t="s">
        <v>517</v>
      </c>
      <c r="D522" s="1"/>
      <c r="E522" s="11">
        <f t="shared" si="36"/>
        <v>8</v>
      </c>
      <c r="F522" s="12">
        <f t="shared" si="37"/>
        <v>33.333333333333329</v>
      </c>
      <c r="G522" s="12" t="str">
        <f t="shared" si="38"/>
        <v>OK</v>
      </c>
      <c r="H522" s="13">
        <f t="shared" si="39"/>
        <v>6</v>
      </c>
      <c r="I522" s="14">
        <f t="shared" si="35"/>
        <v>1782.21</v>
      </c>
      <c r="K522" t="str">
        <f>[1]!revcom(C522)</f>
        <v>CAAAGT</v>
      </c>
      <c r="L522">
        <v>4</v>
      </c>
    </row>
    <row r="523" spans="1:12" ht="15.6" x14ac:dyDescent="0.3">
      <c r="A523" s="9">
        <v>512</v>
      </c>
      <c r="B523" s="1"/>
      <c r="C523" s="2" t="s">
        <v>518</v>
      </c>
      <c r="D523" s="1"/>
      <c r="E523" s="11">
        <f t="shared" si="36"/>
        <v>2</v>
      </c>
      <c r="F523" s="12">
        <f t="shared" si="37"/>
        <v>16.666666666666664</v>
      </c>
      <c r="G523" s="12" t="str">
        <f t="shared" si="38"/>
        <v>OK</v>
      </c>
      <c r="H523" s="13">
        <f t="shared" si="39"/>
        <v>6</v>
      </c>
      <c r="I523" s="14">
        <f t="shared" si="35"/>
        <v>1757.19</v>
      </c>
      <c r="K523" t="str">
        <f>[1]!revcom(C523)</f>
        <v>AAAAGT</v>
      </c>
      <c r="L523">
        <v>3</v>
      </c>
    </row>
    <row r="524" spans="1:12" ht="15.6" x14ac:dyDescent="0.3">
      <c r="A524" s="9">
        <v>513</v>
      </c>
      <c r="B524" s="1"/>
      <c r="C524" s="2" t="s">
        <v>519</v>
      </c>
      <c r="D524" s="1"/>
      <c r="E524" s="11">
        <f t="shared" si="36"/>
        <v>34</v>
      </c>
      <c r="F524" s="12">
        <f t="shared" si="37"/>
        <v>16.666666666666664</v>
      </c>
      <c r="G524" s="12" t="str">
        <f t="shared" si="38"/>
        <v>OK</v>
      </c>
      <c r="H524" s="13">
        <f t="shared" si="39"/>
        <v>6</v>
      </c>
      <c r="I524" s="14">
        <f t="shared" si="35"/>
        <v>1833.2999999999997</v>
      </c>
      <c r="K524" t="str">
        <f>[1]!revcom(C524)</f>
        <v>TTTTCT</v>
      </c>
      <c r="L524">
        <v>8</v>
      </c>
    </row>
    <row r="525" spans="1:12" ht="15.6" x14ac:dyDescent="0.3">
      <c r="A525" s="9">
        <v>514</v>
      </c>
      <c r="B525" s="1"/>
      <c r="C525" s="2" t="s">
        <v>520</v>
      </c>
      <c r="D525" s="1"/>
      <c r="E525" s="11">
        <f t="shared" si="36"/>
        <v>32</v>
      </c>
      <c r="F525" s="12">
        <f t="shared" si="37"/>
        <v>33.333333333333329</v>
      </c>
      <c r="G525" s="12" t="str">
        <f t="shared" si="38"/>
        <v>OK</v>
      </c>
      <c r="H525" s="13">
        <f t="shared" si="39"/>
        <v>6</v>
      </c>
      <c r="I525" s="14">
        <f t="shared" ref="I525:I588" si="40">((LEN(C525)-(LEN(SUBSTITUTE(C525,"A",""))))*249.23)+((LEN(C525)-(LEN(SUBSTITUTE(C525,"T",""))))*240.21)+((LEN(C525)-(LEN(SUBSTITUTE(C525,"C",""))))*225.2)+((LEN(C525)-(LEN(SUBSTITUTE(C525,"G",""))))*265.23)+(63.98*(LEN(C525)-1)+(2.02))</f>
        <v>1809.27</v>
      </c>
      <c r="K525" t="str">
        <f>[1]!revcom(C525)</f>
        <v>GTTTCT</v>
      </c>
      <c r="L525">
        <v>8</v>
      </c>
    </row>
    <row r="526" spans="1:12" ht="15.6" x14ac:dyDescent="0.3">
      <c r="A526" s="9">
        <v>515</v>
      </c>
      <c r="B526" s="1"/>
      <c r="C526" s="2" t="s">
        <v>521</v>
      </c>
      <c r="D526" s="1"/>
      <c r="E526" s="11">
        <f t="shared" ref="E526:E589" si="41">IF(LEN(C526)&gt;15,(69.3+((41*((LEN(C526)-(((LEN(C526)-(LEN(SUBSTITUTE(C526,"A",""))))+((LEN(C526)-(LEN(SUBSTITUTE(C526,"T","")))))))))/(LEN(C526)))-(650/(LEN(C526))))),(2*((LEN(C526)-(((LEN(C526)-(LEN(SUBSTITUTE(C526,"C",""))))+((LEN(C526)-(LEN(SUBSTITUTE(C526,"G",""))))))))))+(4*((LEN(C526)-(((LEN(C526)-(LEN(SUBSTITUTE(C526,"T",""))))+((LEN(C526)-(LEN(SUBSTITUTE(C526,"T","")))))))))))</f>
        <v>32</v>
      </c>
      <c r="F526" s="12">
        <f t="shared" ref="F526:F589" si="42">((LEN(C526)- LEN(SUBSTITUTE(C526,"G","")))+(LEN(C526)- LEN(SUBSTITUTE(C526,"C",""))) )/LEN(C526)*100</f>
        <v>33.333333333333329</v>
      </c>
      <c r="G526" s="12" t="str">
        <f t="shared" ref="G526:G589" si="43">IF((-5+((LEN(SUBSTITUTE(RIGHT(C526,5),"C","")))+((LEN(SUBSTITUTE(RIGHT(C526,5),"G",""))))))&gt;=3,"OK","Warning")</f>
        <v>OK</v>
      </c>
      <c r="H526" s="13">
        <f t="shared" ref="H526:H589" si="44">LEN(C526)</f>
        <v>6</v>
      </c>
      <c r="I526" s="14">
        <f t="shared" si="40"/>
        <v>1849.3000000000002</v>
      </c>
      <c r="K526" t="str">
        <f>[1]!revcom(C526)</f>
        <v>CTTTCT</v>
      </c>
      <c r="L526">
        <v>8</v>
      </c>
    </row>
    <row r="527" spans="1:12" ht="15.6" x14ac:dyDescent="0.3">
      <c r="A527" s="9">
        <v>516</v>
      </c>
      <c r="B527" s="1"/>
      <c r="C527" s="2" t="s">
        <v>522</v>
      </c>
      <c r="D527" s="1"/>
      <c r="E527" s="11">
        <f t="shared" si="41"/>
        <v>26</v>
      </c>
      <c r="F527" s="12">
        <f t="shared" si="42"/>
        <v>16.666666666666664</v>
      </c>
      <c r="G527" s="12" t="str">
        <f t="shared" si="43"/>
        <v>OK</v>
      </c>
      <c r="H527" s="13">
        <f t="shared" si="44"/>
        <v>6</v>
      </c>
      <c r="I527" s="14">
        <f t="shared" si="40"/>
        <v>1824.2799999999997</v>
      </c>
      <c r="K527" t="str">
        <f>[1]!revcom(C527)</f>
        <v>ATTTCT</v>
      </c>
      <c r="L527">
        <v>7</v>
      </c>
    </row>
    <row r="528" spans="1:12" ht="15.6" x14ac:dyDescent="0.3">
      <c r="A528" s="9">
        <v>517</v>
      </c>
      <c r="B528" s="1"/>
      <c r="C528" s="2" t="s">
        <v>523</v>
      </c>
      <c r="D528" s="1"/>
      <c r="E528" s="11">
        <f t="shared" si="41"/>
        <v>32</v>
      </c>
      <c r="F528" s="12">
        <f t="shared" si="42"/>
        <v>33.333333333333329</v>
      </c>
      <c r="G528" s="12" t="str">
        <f t="shared" si="43"/>
        <v>OK</v>
      </c>
      <c r="H528" s="13">
        <f t="shared" si="44"/>
        <v>6</v>
      </c>
      <c r="I528" s="14">
        <f t="shared" si="40"/>
        <v>1809.27</v>
      </c>
      <c r="K528" t="str">
        <f>[1]!revcom(C528)</f>
        <v>TGTTCT</v>
      </c>
      <c r="L528">
        <v>8</v>
      </c>
    </row>
    <row r="529" spans="1:12" ht="15.6" x14ac:dyDescent="0.3">
      <c r="A529" s="9">
        <v>518</v>
      </c>
      <c r="B529" s="1"/>
      <c r="C529" s="2" t="s">
        <v>524</v>
      </c>
      <c r="D529" s="1"/>
      <c r="E529" s="11">
        <f t="shared" si="41"/>
        <v>30</v>
      </c>
      <c r="F529" s="12">
        <f t="shared" si="42"/>
        <v>50</v>
      </c>
      <c r="G529" s="12" t="str">
        <f t="shared" si="43"/>
        <v>Warning</v>
      </c>
      <c r="H529" s="13">
        <f t="shared" si="44"/>
        <v>6</v>
      </c>
      <c r="I529" s="14">
        <f t="shared" si="40"/>
        <v>1785.2399999999998</v>
      </c>
      <c r="K529" t="str">
        <f>[1]!revcom(C529)</f>
        <v>GGTTCT</v>
      </c>
      <c r="L529">
        <v>7</v>
      </c>
    </row>
    <row r="530" spans="1:12" ht="15.6" x14ac:dyDescent="0.3">
      <c r="A530" s="9">
        <v>519</v>
      </c>
      <c r="B530" s="1"/>
      <c r="C530" s="2" t="s">
        <v>525</v>
      </c>
      <c r="D530" s="1"/>
      <c r="E530" s="11">
        <f t="shared" si="41"/>
        <v>30</v>
      </c>
      <c r="F530" s="12">
        <f t="shared" si="42"/>
        <v>50</v>
      </c>
      <c r="G530" s="12" t="str">
        <f t="shared" si="43"/>
        <v>Warning</v>
      </c>
      <c r="H530" s="13">
        <f t="shared" si="44"/>
        <v>6</v>
      </c>
      <c r="I530" s="14">
        <f t="shared" si="40"/>
        <v>1825.27</v>
      </c>
      <c r="K530" t="str">
        <f>[1]!revcom(C530)</f>
        <v>CGTTCT</v>
      </c>
      <c r="L530">
        <v>7</v>
      </c>
    </row>
    <row r="531" spans="1:12" ht="15.6" x14ac:dyDescent="0.3">
      <c r="A531" s="9">
        <v>520</v>
      </c>
      <c r="B531" s="1"/>
      <c r="C531" s="2" t="s">
        <v>526</v>
      </c>
      <c r="D531" s="1"/>
      <c r="E531" s="11">
        <f t="shared" si="41"/>
        <v>24</v>
      </c>
      <c r="F531" s="12">
        <f t="shared" si="42"/>
        <v>33.333333333333329</v>
      </c>
      <c r="G531" s="12" t="str">
        <f t="shared" si="43"/>
        <v>OK</v>
      </c>
      <c r="H531" s="13">
        <f t="shared" si="44"/>
        <v>6</v>
      </c>
      <c r="I531" s="14">
        <f t="shared" si="40"/>
        <v>1800.25</v>
      </c>
      <c r="K531" t="str">
        <f>[1]!revcom(C531)</f>
        <v>AGTTCT</v>
      </c>
      <c r="L531">
        <v>6</v>
      </c>
    </row>
    <row r="532" spans="1:12" ht="15.6" x14ac:dyDescent="0.3">
      <c r="A532" s="9">
        <v>521</v>
      </c>
      <c r="B532" s="1"/>
      <c r="C532" s="2" t="s">
        <v>527</v>
      </c>
      <c r="D532" s="1"/>
      <c r="E532" s="11">
        <f t="shared" si="41"/>
        <v>32</v>
      </c>
      <c r="F532" s="12">
        <f t="shared" si="42"/>
        <v>33.333333333333329</v>
      </c>
      <c r="G532" s="12" t="str">
        <f t="shared" si="43"/>
        <v>OK</v>
      </c>
      <c r="H532" s="13">
        <f t="shared" si="44"/>
        <v>6</v>
      </c>
      <c r="I532" s="14">
        <f t="shared" si="40"/>
        <v>1849.3000000000002</v>
      </c>
      <c r="K532" t="str">
        <f>[1]!revcom(C532)</f>
        <v>TCTTCT</v>
      </c>
      <c r="L532">
        <v>8</v>
      </c>
    </row>
    <row r="533" spans="1:12" ht="15.6" x14ac:dyDescent="0.3">
      <c r="A533" s="9">
        <v>522</v>
      </c>
      <c r="B533" s="1"/>
      <c r="C533" s="2" t="s">
        <v>528</v>
      </c>
      <c r="D533" s="1"/>
      <c r="E533" s="11">
        <f t="shared" si="41"/>
        <v>30</v>
      </c>
      <c r="F533" s="12">
        <f t="shared" si="42"/>
        <v>50</v>
      </c>
      <c r="G533" s="12" t="str">
        <f t="shared" si="43"/>
        <v>Warning</v>
      </c>
      <c r="H533" s="13">
        <f t="shared" si="44"/>
        <v>6</v>
      </c>
      <c r="I533" s="14">
        <f t="shared" si="40"/>
        <v>1825.27</v>
      </c>
      <c r="K533" t="str">
        <f>[1]!revcom(C533)</f>
        <v>GCTTCT</v>
      </c>
      <c r="L533">
        <v>7</v>
      </c>
    </row>
    <row r="534" spans="1:12" ht="15.6" x14ac:dyDescent="0.3">
      <c r="A534" s="9">
        <v>523</v>
      </c>
      <c r="B534" s="1"/>
      <c r="C534" s="2" t="s">
        <v>529</v>
      </c>
      <c r="D534" s="1"/>
      <c r="E534" s="11">
        <f t="shared" si="41"/>
        <v>30</v>
      </c>
      <c r="F534" s="12">
        <f t="shared" si="42"/>
        <v>50</v>
      </c>
      <c r="G534" s="12" t="str">
        <f t="shared" si="43"/>
        <v>Warning</v>
      </c>
      <c r="H534" s="13">
        <f t="shared" si="44"/>
        <v>6</v>
      </c>
      <c r="I534" s="14">
        <f t="shared" si="40"/>
        <v>1865.3000000000002</v>
      </c>
      <c r="K534" t="str">
        <f>[1]!revcom(C534)</f>
        <v>CCTTCT</v>
      </c>
      <c r="L534">
        <v>7</v>
      </c>
    </row>
    <row r="535" spans="1:12" ht="15.6" x14ac:dyDescent="0.3">
      <c r="A535" s="9">
        <v>524</v>
      </c>
      <c r="B535" s="1"/>
      <c r="C535" s="2" t="s">
        <v>530</v>
      </c>
      <c r="D535" s="1"/>
      <c r="E535" s="11">
        <f t="shared" si="41"/>
        <v>24</v>
      </c>
      <c r="F535" s="12">
        <f t="shared" si="42"/>
        <v>33.333333333333329</v>
      </c>
      <c r="G535" s="12" t="str">
        <f t="shared" si="43"/>
        <v>OK</v>
      </c>
      <c r="H535" s="13">
        <f t="shared" si="44"/>
        <v>6</v>
      </c>
      <c r="I535" s="14">
        <f t="shared" si="40"/>
        <v>1840.2800000000002</v>
      </c>
      <c r="K535" t="str">
        <f>[1]!revcom(C535)</f>
        <v>ACTTCT</v>
      </c>
      <c r="L535">
        <v>6</v>
      </c>
    </row>
    <row r="536" spans="1:12" ht="15.6" x14ac:dyDescent="0.3">
      <c r="A536" s="9">
        <v>525</v>
      </c>
      <c r="B536" s="1"/>
      <c r="C536" s="2" t="s">
        <v>531</v>
      </c>
      <c r="D536" s="1"/>
      <c r="E536" s="11">
        <f t="shared" si="41"/>
        <v>26</v>
      </c>
      <c r="F536" s="12">
        <f t="shared" si="42"/>
        <v>16.666666666666664</v>
      </c>
      <c r="G536" s="12" t="str">
        <f t="shared" si="43"/>
        <v>OK</v>
      </c>
      <c r="H536" s="13">
        <f t="shared" si="44"/>
        <v>6</v>
      </c>
      <c r="I536" s="14">
        <f t="shared" si="40"/>
        <v>1824.2799999999997</v>
      </c>
      <c r="K536" t="str">
        <f>[1]!revcom(C536)</f>
        <v>TATTCT</v>
      </c>
      <c r="L536">
        <v>7</v>
      </c>
    </row>
    <row r="537" spans="1:12" ht="15.6" x14ac:dyDescent="0.3">
      <c r="A537" s="9">
        <v>526</v>
      </c>
      <c r="B537" s="1"/>
      <c r="C537" s="2" t="s">
        <v>532</v>
      </c>
      <c r="D537" s="1"/>
      <c r="E537" s="11">
        <f t="shared" si="41"/>
        <v>24</v>
      </c>
      <c r="F537" s="12">
        <f t="shared" si="42"/>
        <v>33.333333333333329</v>
      </c>
      <c r="G537" s="12" t="str">
        <f t="shared" si="43"/>
        <v>OK</v>
      </c>
      <c r="H537" s="13">
        <f t="shared" si="44"/>
        <v>6</v>
      </c>
      <c r="I537" s="14">
        <f t="shared" si="40"/>
        <v>1800.25</v>
      </c>
      <c r="K537" t="str">
        <f>[1]!revcom(C537)</f>
        <v>GATTCT</v>
      </c>
      <c r="L537">
        <v>6</v>
      </c>
    </row>
    <row r="538" spans="1:12" ht="15.6" x14ac:dyDescent="0.3">
      <c r="A538" s="9">
        <v>527</v>
      </c>
      <c r="B538" s="1"/>
      <c r="C538" s="2" t="s">
        <v>533</v>
      </c>
      <c r="D538" s="1"/>
      <c r="E538" s="11">
        <f t="shared" si="41"/>
        <v>24</v>
      </c>
      <c r="F538" s="12">
        <f t="shared" si="42"/>
        <v>33.333333333333329</v>
      </c>
      <c r="G538" s="12" t="str">
        <f t="shared" si="43"/>
        <v>OK</v>
      </c>
      <c r="H538" s="13">
        <f t="shared" si="44"/>
        <v>6</v>
      </c>
      <c r="I538" s="14">
        <f t="shared" si="40"/>
        <v>1840.2800000000002</v>
      </c>
      <c r="K538" t="str">
        <f>[1]!revcom(C538)</f>
        <v>CATTCT</v>
      </c>
      <c r="L538">
        <v>6</v>
      </c>
    </row>
    <row r="539" spans="1:12" ht="15.6" x14ac:dyDescent="0.3">
      <c r="A539" s="9">
        <v>528</v>
      </c>
      <c r="B539" s="1"/>
      <c r="C539" s="2" t="s">
        <v>534</v>
      </c>
      <c r="D539" s="1"/>
      <c r="E539" s="11">
        <f t="shared" si="41"/>
        <v>18</v>
      </c>
      <c r="F539" s="12">
        <f t="shared" si="42"/>
        <v>16.666666666666664</v>
      </c>
      <c r="G539" s="12" t="str">
        <f t="shared" si="43"/>
        <v>OK</v>
      </c>
      <c r="H539" s="13">
        <f t="shared" si="44"/>
        <v>6</v>
      </c>
      <c r="I539" s="14">
        <f t="shared" si="40"/>
        <v>1815.2599999999998</v>
      </c>
      <c r="K539" t="str">
        <f>[1]!revcom(C539)</f>
        <v>AATTCT</v>
      </c>
      <c r="L539">
        <v>5</v>
      </c>
    </row>
    <row r="540" spans="1:12" ht="15.6" x14ac:dyDescent="0.3">
      <c r="A540" s="9">
        <v>529</v>
      </c>
      <c r="B540" s="1"/>
      <c r="C540" s="2" t="s">
        <v>535</v>
      </c>
      <c r="D540" s="1"/>
      <c r="E540" s="11">
        <f t="shared" si="41"/>
        <v>32</v>
      </c>
      <c r="F540" s="12">
        <f t="shared" si="42"/>
        <v>33.333333333333329</v>
      </c>
      <c r="G540" s="12" t="str">
        <f t="shared" si="43"/>
        <v>OK</v>
      </c>
      <c r="H540" s="13">
        <f t="shared" si="44"/>
        <v>6</v>
      </c>
      <c r="I540" s="14">
        <f t="shared" si="40"/>
        <v>1809.27</v>
      </c>
      <c r="K540" t="str">
        <f>[1]!revcom(C540)</f>
        <v>TTGTCT</v>
      </c>
      <c r="L540">
        <v>8</v>
      </c>
    </row>
    <row r="541" spans="1:12" ht="15.6" x14ac:dyDescent="0.3">
      <c r="A541" s="9">
        <v>530</v>
      </c>
      <c r="B541" s="1"/>
      <c r="C541" s="2" t="s">
        <v>536</v>
      </c>
      <c r="D541" s="1"/>
      <c r="E541" s="11">
        <f t="shared" si="41"/>
        <v>30</v>
      </c>
      <c r="F541" s="12">
        <f t="shared" si="42"/>
        <v>50</v>
      </c>
      <c r="G541" s="12" t="str">
        <f t="shared" si="43"/>
        <v>Warning</v>
      </c>
      <c r="H541" s="13">
        <f t="shared" si="44"/>
        <v>6</v>
      </c>
      <c r="I541" s="14">
        <f t="shared" si="40"/>
        <v>1785.2399999999998</v>
      </c>
      <c r="K541" t="str">
        <f>[1]!revcom(C541)</f>
        <v>GTGTCT</v>
      </c>
      <c r="L541">
        <v>7</v>
      </c>
    </row>
    <row r="542" spans="1:12" ht="15.6" x14ac:dyDescent="0.3">
      <c r="A542" s="9">
        <v>531</v>
      </c>
      <c r="B542" s="1"/>
      <c r="C542" s="2" t="s">
        <v>537</v>
      </c>
      <c r="D542" s="1"/>
      <c r="E542" s="11">
        <f t="shared" si="41"/>
        <v>30</v>
      </c>
      <c r="F542" s="12">
        <f t="shared" si="42"/>
        <v>50</v>
      </c>
      <c r="G542" s="12" t="str">
        <f t="shared" si="43"/>
        <v>Warning</v>
      </c>
      <c r="H542" s="13">
        <f t="shared" si="44"/>
        <v>6</v>
      </c>
      <c r="I542" s="14">
        <f t="shared" si="40"/>
        <v>1825.27</v>
      </c>
      <c r="K542" t="str">
        <f>[1]!revcom(C542)</f>
        <v>CTGTCT</v>
      </c>
      <c r="L542">
        <v>7</v>
      </c>
    </row>
    <row r="543" spans="1:12" ht="15.6" x14ac:dyDescent="0.3">
      <c r="A543" s="9">
        <v>532</v>
      </c>
      <c r="B543" s="1"/>
      <c r="C543" s="2" t="s">
        <v>538</v>
      </c>
      <c r="D543" s="1"/>
      <c r="E543" s="11">
        <f t="shared" si="41"/>
        <v>24</v>
      </c>
      <c r="F543" s="12">
        <f t="shared" si="42"/>
        <v>33.333333333333329</v>
      </c>
      <c r="G543" s="12" t="str">
        <f t="shared" si="43"/>
        <v>OK</v>
      </c>
      <c r="H543" s="13">
        <f t="shared" si="44"/>
        <v>6</v>
      </c>
      <c r="I543" s="14">
        <f t="shared" si="40"/>
        <v>1800.25</v>
      </c>
      <c r="K543" t="str">
        <f>[1]!revcom(C543)</f>
        <v>ATGTCT</v>
      </c>
      <c r="L543">
        <v>6</v>
      </c>
    </row>
    <row r="544" spans="1:12" ht="15.6" x14ac:dyDescent="0.3">
      <c r="A544" s="9">
        <v>533</v>
      </c>
      <c r="B544" s="1"/>
      <c r="C544" s="2" t="s">
        <v>539</v>
      </c>
      <c r="D544" s="1"/>
      <c r="E544" s="11">
        <f t="shared" si="41"/>
        <v>30</v>
      </c>
      <c r="F544" s="12">
        <f t="shared" si="42"/>
        <v>50</v>
      </c>
      <c r="G544" s="12" t="str">
        <f t="shared" si="43"/>
        <v>Warning</v>
      </c>
      <c r="H544" s="13">
        <f t="shared" si="44"/>
        <v>6</v>
      </c>
      <c r="I544" s="14">
        <f t="shared" si="40"/>
        <v>1785.2399999999998</v>
      </c>
      <c r="K544" t="str">
        <f>[1]!revcom(C544)</f>
        <v>TGGTCT</v>
      </c>
      <c r="L544">
        <v>7</v>
      </c>
    </row>
    <row r="545" spans="1:12" ht="15.6" x14ac:dyDescent="0.3">
      <c r="A545" s="9">
        <v>534</v>
      </c>
      <c r="B545" s="1"/>
      <c r="C545" s="2" t="s">
        <v>540</v>
      </c>
      <c r="D545" s="1"/>
      <c r="E545" s="11">
        <f t="shared" si="41"/>
        <v>28</v>
      </c>
      <c r="F545" s="12">
        <f t="shared" si="42"/>
        <v>66.666666666666657</v>
      </c>
      <c r="G545" s="12" t="str">
        <f t="shared" si="43"/>
        <v>Warning</v>
      </c>
      <c r="H545" s="13">
        <f t="shared" si="44"/>
        <v>6</v>
      </c>
      <c r="I545" s="14">
        <f t="shared" si="40"/>
        <v>1761.21</v>
      </c>
      <c r="K545" t="str">
        <f>[1]!revcom(C545)</f>
        <v>GGGTCT</v>
      </c>
      <c r="L545">
        <v>7</v>
      </c>
    </row>
    <row r="546" spans="1:12" ht="15.6" x14ac:dyDescent="0.3">
      <c r="A546" s="9">
        <v>535</v>
      </c>
      <c r="B546" s="1"/>
      <c r="C546" s="2" t="s">
        <v>541</v>
      </c>
      <c r="D546" s="1"/>
      <c r="E546" s="11">
        <f t="shared" si="41"/>
        <v>28</v>
      </c>
      <c r="F546" s="12">
        <f t="shared" si="42"/>
        <v>66.666666666666657</v>
      </c>
      <c r="G546" s="12" t="str">
        <f t="shared" si="43"/>
        <v>Warning</v>
      </c>
      <c r="H546" s="13">
        <f t="shared" si="44"/>
        <v>6</v>
      </c>
      <c r="I546" s="14">
        <f t="shared" si="40"/>
        <v>1801.2399999999998</v>
      </c>
      <c r="K546" t="str">
        <f>[1]!revcom(C546)</f>
        <v>CGGTCT</v>
      </c>
      <c r="L546">
        <v>7</v>
      </c>
    </row>
    <row r="547" spans="1:12" ht="15.6" x14ac:dyDescent="0.3">
      <c r="A547" s="9">
        <v>536</v>
      </c>
      <c r="B547" s="1"/>
      <c r="C547" s="2" t="s">
        <v>542</v>
      </c>
      <c r="D547" s="1"/>
      <c r="E547" s="11">
        <f t="shared" si="41"/>
        <v>22</v>
      </c>
      <c r="F547" s="12">
        <f t="shared" si="42"/>
        <v>50</v>
      </c>
      <c r="G547" s="12" t="str">
        <f t="shared" si="43"/>
        <v>Warning</v>
      </c>
      <c r="H547" s="13">
        <f t="shared" si="44"/>
        <v>6</v>
      </c>
      <c r="I547" s="14">
        <f t="shared" si="40"/>
        <v>1776.2199999999998</v>
      </c>
      <c r="K547" t="str">
        <f>[1]!revcom(C547)</f>
        <v>AGGTCT</v>
      </c>
      <c r="L547">
        <v>6</v>
      </c>
    </row>
    <row r="548" spans="1:12" ht="15.6" x14ac:dyDescent="0.3">
      <c r="A548" s="9">
        <v>537</v>
      </c>
      <c r="B548" s="1"/>
      <c r="C548" s="2" t="s">
        <v>543</v>
      </c>
      <c r="D548" s="1"/>
      <c r="E548" s="11">
        <f t="shared" si="41"/>
        <v>30</v>
      </c>
      <c r="F548" s="12">
        <f t="shared" si="42"/>
        <v>50</v>
      </c>
      <c r="G548" s="12" t="str">
        <f t="shared" si="43"/>
        <v>Warning</v>
      </c>
      <c r="H548" s="13">
        <f t="shared" si="44"/>
        <v>6</v>
      </c>
      <c r="I548" s="14">
        <f t="shared" si="40"/>
        <v>1825.27</v>
      </c>
      <c r="K548" t="str">
        <f>[1]!revcom(C548)</f>
        <v>TCGTCT</v>
      </c>
      <c r="L548">
        <v>7</v>
      </c>
    </row>
    <row r="549" spans="1:12" ht="15.6" x14ac:dyDescent="0.3">
      <c r="A549" s="9">
        <v>538</v>
      </c>
      <c r="B549" s="1"/>
      <c r="C549" s="2" t="s">
        <v>544</v>
      </c>
      <c r="D549" s="1"/>
      <c r="E549" s="11">
        <f t="shared" si="41"/>
        <v>28</v>
      </c>
      <c r="F549" s="12">
        <f t="shared" si="42"/>
        <v>66.666666666666657</v>
      </c>
      <c r="G549" s="12" t="str">
        <f t="shared" si="43"/>
        <v>Warning</v>
      </c>
      <c r="H549" s="13">
        <f t="shared" si="44"/>
        <v>6</v>
      </c>
      <c r="I549" s="14">
        <f t="shared" si="40"/>
        <v>1801.2399999999998</v>
      </c>
      <c r="K549" t="str">
        <f>[1]!revcom(C549)</f>
        <v>GCGTCT</v>
      </c>
      <c r="L549">
        <v>7</v>
      </c>
    </row>
    <row r="550" spans="1:12" ht="15.6" x14ac:dyDescent="0.3">
      <c r="A550" s="9">
        <v>539</v>
      </c>
      <c r="B550" s="1"/>
      <c r="C550" s="2" t="s">
        <v>545</v>
      </c>
      <c r="D550" s="1"/>
      <c r="E550" s="11">
        <f t="shared" si="41"/>
        <v>28</v>
      </c>
      <c r="F550" s="12">
        <f t="shared" si="42"/>
        <v>66.666666666666657</v>
      </c>
      <c r="G550" s="12" t="str">
        <f t="shared" si="43"/>
        <v>Warning</v>
      </c>
      <c r="H550" s="13">
        <f t="shared" si="44"/>
        <v>6</v>
      </c>
      <c r="I550" s="14">
        <f t="shared" si="40"/>
        <v>1841.27</v>
      </c>
      <c r="K550" t="str">
        <f>[1]!revcom(C550)</f>
        <v>CCGTCT</v>
      </c>
      <c r="L550">
        <v>7</v>
      </c>
    </row>
    <row r="551" spans="1:12" ht="15.6" x14ac:dyDescent="0.3">
      <c r="A551" s="9">
        <v>540</v>
      </c>
      <c r="B551" s="1"/>
      <c r="C551" s="2" t="s">
        <v>546</v>
      </c>
      <c r="D551" s="1"/>
      <c r="E551" s="11">
        <f t="shared" si="41"/>
        <v>22</v>
      </c>
      <c r="F551" s="12">
        <f t="shared" si="42"/>
        <v>50</v>
      </c>
      <c r="G551" s="12" t="str">
        <f t="shared" si="43"/>
        <v>Warning</v>
      </c>
      <c r="H551" s="13">
        <f t="shared" si="44"/>
        <v>6</v>
      </c>
      <c r="I551" s="14">
        <f t="shared" si="40"/>
        <v>1816.25</v>
      </c>
      <c r="K551" t="str">
        <f>[1]!revcom(C551)</f>
        <v>ACGTCT</v>
      </c>
      <c r="L551">
        <v>6</v>
      </c>
    </row>
    <row r="552" spans="1:12" ht="15.6" x14ac:dyDescent="0.3">
      <c r="A552" s="9">
        <v>541</v>
      </c>
      <c r="B552" s="1"/>
      <c r="C552" s="2" t="s">
        <v>547</v>
      </c>
      <c r="D552" s="1"/>
      <c r="E552" s="11">
        <f t="shared" si="41"/>
        <v>24</v>
      </c>
      <c r="F552" s="12">
        <f t="shared" si="42"/>
        <v>33.333333333333329</v>
      </c>
      <c r="G552" s="12" t="str">
        <f t="shared" si="43"/>
        <v>OK</v>
      </c>
      <c r="H552" s="13">
        <f t="shared" si="44"/>
        <v>6</v>
      </c>
      <c r="I552" s="14">
        <f t="shared" si="40"/>
        <v>1800.25</v>
      </c>
      <c r="K552" t="str">
        <f>[1]!revcom(C552)</f>
        <v>TAGTCT</v>
      </c>
      <c r="L552">
        <v>6</v>
      </c>
    </row>
    <row r="553" spans="1:12" ht="15.6" x14ac:dyDescent="0.3">
      <c r="A553" s="9">
        <v>542</v>
      </c>
      <c r="B553" s="1"/>
      <c r="C553" s="2" t="s">
        <v>548</v>
      </c>
      <c r="D553" s="1"/>
      <c r="E553" s="11">
        <f t="shared" si="41"/>
        <v>22</v>
      </c>
      <c r="F553" s="12">
        <f t="shared" si="42"/>
        <v>50</v>
      </c>
      <c r="G553" s="12" t="str">
        <f t="shared" si="43"/>
        <v>Warning</v>
      </c>
      <c r="H553" s="13">
        <f t="shared" si="44"/>
        <v>6</v>
      </c>
      <c r="I553" s="14">
        <f t="shared" si="40"/>
        <v>1776.2199999999998</v>
      </c>
      <c r="K553" t="str">
        <f>[1]!revcom(C553)</f>
        <v>GAGTCT</v>
      </c>
      <c r="L553">
        <v>6</v>
      </c>
    </row>
    <row r="554" spans="1:12" ht="15.6" x14ac:dyDescent="0.3">
      <c r="A554" s="9">
        <v>543</v>
      </c>
      <c r="B554" s="1"/>
      <c r="C554" s="2" t="s">
        <v>549</v>
      </c>
      <c r="D554" s="1"/>
      <c r="E554" s="11">
        <f t="shared" si="41"/>
        <v>22</v>
      </c>
      <c r="F554" s="12">
        <f t="shared" si="42"/>
        <v>50</v>
      </c>
      <c r="G554" s="12" t="str">
        <f t="shared" si="43"/>
        <v>Warning</v>
      </c>
      <c r="H554" s="13">
        <f t="shared" si="44"/>
        <v>6</v>
      </c>
      <c r="I554" s="14">
        <f t="shared" si="40"/>
        <v>1816.25</v>
      </c>
      <c r="K554" t="str">
        <f>[1]!revcom(C554)</f>
        <v>CAGTCT</v>
      </c>
      <c r="L554">
        <v>6</v>
      </c>
    </row>
    <row r="555" spans="1:12" ht="15.6" x14ac:dyDescent="0.3">
      <c r="A555" s="9">
        <v>544</v>
      </c>
      <c r="B555" s="1"/>
      <c r="C555" s="2" t="s">
        <v>550</v>
      </c>
      <c r="D555" s="1"/>
      <c r="E555" s="11">
        <f t="shared" si="41"/>
        <v>16</v>
      </c>
      <c r="F555" s="12">
        <f t="shared" si="42"/>
        <v>33.333333333333329</v>
      </c>
      <c r="G555" s="12" t="str">
        <f t="shared" si="43"/>
        <v>OK</v>
      </c>
      <c r="H555" s="13">
        <f t="shared" si="44"/>
        <v>6</v>
      </c>
      <c r="I555" s="14">
        <f t="shared" si="40"/>
        <v>1791.23</v>
      </c>
      <c r="K555" t="str">
        <f>[1]!revcom(C555)</f>
        <v>AAGTCT</v>
      </c>
      <c r="L555">
        <v>5</v>
      </c>
    </row>
    <row r="556" spans="1:12" ht="15.6" x14ac:dyDescent="0.3">
      <c r="A556" s="9">
        <v>545</v>
      </c>
      <c r="B556" s="1"/>
      <c r="C556" s="2" t="s">
        <v>551</v>
      </c>
      <c r="D556" s="1"/>
      <c r="E556" s="11">
        <f t="shared" si="41"/>
        <v>32</v>
      </c>
      <c r="F556" s="12">
        <f t="shared" si="42"/>
        <v>33.333333333333329</v>
      </c>
      <c r="G556" s="12" t="str">
        <f t="shared" si="43"/>
        <v>OK</v>
      </c>
      <c r="H556" s="13">
        <f t="shared" si="44"/>
        <v>6</v>
      </c>
      <c r="I556" s="14">
        <f t="shared" si="40"/>
        <v>1849.3000000000002</v>
      </c>
      <c r="K556" t="str">
        <f>[1]!revcom(C556)</f>
        <v>TTCTCT</v>
      </c>
      <c r="L556">
        <v>8</v>
      </c>
    </row>
    <row r="557" spans="1:12" ht="15.6" x14ac:dyDescent="0.3">
      <c r="A557" s="9">
        <v>546</v>
      </c>
      <c r="B557" s="1"/>
      <c r="C557" s="2" t="s">
        <v>552</v>
      </c>
      <c r="D557" s="1"/>
      <c r="E557" s="11">
        <f t="shared" si="41"/>
        <v>30</v>
      </c>
      <c r="F557" s="12">
        <f t="shared" si="42"/>
        <v>50</v>
      </c>
      <c r="G557" s="12" t="str">
        <f t="shared" si="43"/>
        <v>Warning</v>
      </c>
      <c r="H557" s="13">
        <f t="shared" si="44"/>
        <v>6</v>
      </c>
      <c r="I557" s="14">
        <f t="shared" si="40"/>
        <v>1825.27</v>
      </c>
      <c r="K557" t="str">
        <f>[1]!revcom(C557)</f>
        <v>GTCTCT</v>
      </c>
      <c r="L557">
        <v>7</v>
      </c>
    </row>
    <row r="558" spans="1:12" ht="15.6" x14ac:dyDescent="0.3">
      <c r="A558" s="9">
        <v>547</v>
      </c>
      <c r="B558" s="1"/>
      <c r="C558" s="2" t="s">
        <v>553</v>
      </c>
      <c r="D558" s="1"/>
      <c r="E558" s="11">
        <f t="shared" si="41"/>
        <v>30</v>
      </c>
      <c r="F558" s="12">
        <f t="shared" si="42"/>
        <v>50</v>
      </c>
      <c r="G558" s="12" t="str">
        <f t="shared" si="43"/>
        <v>Warning</v>
      </c>
      <c r="H558" s="13">
        <f t="shared" si="44"/>
        <v>6</v>
      </c>
      <c r="I558" s="14">
        <f t="shared" si="40"/>
        <v>1865.3000000000002</v>
      </c>
      <c r="K558" t="str">
        <f>[1]!revcom(C558)</f>
        <v>CTCTCT</v>
      </c>
      <c r="L558">
        <v>7</v>
      </c>
    </row>
    <row r="559" spans="1:12" ht="15.6" x14ac:dyDescent="0.3">
      <c r="A559" s="9">
        <v>548</v>
      </c>
      <c r="B559" s="1"/>
      <c r="C559" s="2" t="s">
        <v>554</v>
      </c>
      <c r="D559" s="1"/>
      <c r="E559" s="11">
        <f t="shared" si="41"/>
        <v>24</v>
      </c>
      <c r="F559" s="12">
        <f t="shared" si="42"/>
        <v>33.333333333333329</v>
      </c>
      <c r="G559" s="12" t="str">
        <f t="shared" si="43"/>
        <v>OK</v>
      </c>
      <c r="H559" s="13">
        <f t="shared" si="44"/>
        <v>6</v>
      </c>
      <c r="I559" s="14">
        <f t="shared" si="40"/>
        <v>1840.2800000000002</v>
      </c>
      <c r="K559" t="str">
        <f>[1]!revcom(C559)</f>
        <v>ATCTCT</v>
      </c>
      <c r="L559">
        <v>6</v>
      </c>
    </row>
    <row r="560" spans="1:12" ht="15.6" x14ac:dyDescent="0.3">
      <c r="A560" s="9">
        <v>549</v>
      </c>
      <c r="B560" s="1"/>
      <c r="C560" s="2" t="s">
        <v>555</v>
      </c>
      <c r="D560" s="1"/>
      <c r="E560" s="11">
        <f t="shared" si="41"/>
        <v>30</v>
      </c>
      <c r="F560" s="12">
        <f t="shared" si="42"/>
        <v>50</v>
      </c>
      <c r="G560" s="12" t="str">
        <f t="shared" si="43"/>
        <v>Warning</v>
      </c>
      <c r="H560" s="13">
        <f t="shared" si="44"/>
        <v>6</v>
      </c>
      <c r="I560" s="14">
        <f t="shared" si="40"/>
        <v>1825.27</v>
      </c>
      <c r="K560" t="str">
        <f>[1]!revcom(C560)</f>
        <v>TGCTCT</v>
      </c>
      <c r="L560">
        <v>7</v>
      </c>
    </row>
    <row r="561" spans="1:12" ht="15.6" x14ac:dyDescent="0.3">
      <c r="A561" s="9">
        <v>550</v>
      </c>
      <c r="B561" s="1"/>
      <c r="C561" s="2" t="s">
        <v>556</v>
      </c>
      <c r="D561" s="1"/>
      <c r="E561" s="11">
        <f t="shared" si="41"/>
        <v>28</v>
      </c>
      <c r="F561" s="12">
        <f t="shared" si="42"/>
        <v>66.666666666666657</v>
      </c>
      <c r="G561" s="12" t="str">
        <f t="shared" si="43"/>
        <v>Warning</v>
      </c>
      <c r="H561" s="13">
        <f t="shared" si="44"/>
        <v>6</v>
      </c>
      <c r="I561" s="14">
        <f t="shared" si="40"/>
        <v>1801.2399999999998</v>
      </c>
      <c r="K561" t="str">
        <f>[1]!revcom(C561)</f>
        <v>GGCTCT</v>
      </c>
      <c r="L561">
        <v>7</v>
      </c>
    </row>
    <row r="562" spans="1:12" ht="15.6" x14ac:dyDescent="0.3">
      <c r="A562" s="9">
        <v>551</v>
      </c>
      <c r="B562" s="1"/>
      <c r="C562" s="2" t="s">
        <v>557</v>
      </c>
      <c r="D562" s="1"/>
      <c r="E562" s="11">
        <f t="shared" si="41"/>
        <v>28</v>
      </c>
      <c r="F562" s="12">
        <f t="shared" si="42"/>
        <v>66.666666666666657</v>
      </c>
      <c r="G562" s="12" t="str">
        <f t="shared" si="43"/>
        <v>Warning</v>
      </c>
      <c r="H562" s="13">
        <f t="shared" si="44"/>
        <v>6</v>
      </c>
      <c r="I562" s="14">
        <f t="shared" si="40"/>
        <v>1841.27</v>
      </c>
      <c r="K562" t="str">
        <f>[1]!revcom(C562)</f>
        <v>CGCTCT</v>
      </c>
      <c r="L562">
        <v>7</v>
      </c>
    </row>
    <row r="563" spans="1:12" ht="15.6" x14ac:dyDescent="0.3">
      <c r="A563" s="9">
        <v>552</v>
      </c>
      <c r="B563" s="1"/>
      <c r="C563" s="2" t="s">
        <v>558</v>
      </c>
      <c r="D563" s="1"/>
      <c r="E563" s="11">
        <f t="shared" si="41"/>
        <v>22</v>
      </c>
      <c r="F563" s="12">
        <f t="shared" si="42"/>
        <v>50</v>
      </c>
      <c r="G563" s="12" t="str">
        <f t="shared" si="43"/>
        <v>Warning</v>
      </c>
      <c r="H563" s="13">
        <f t="shared" si="44"/>
        <v>6</v>
      </c>
      <c r="I563" s="14">
        <f t="shared" si="40"/>
        <v>1816.25</v>
      </c>
      <c r="K563" t="str">
        <f>[1]!revcom(C563)</f>
        <v>AGCTCT</v>
      </c>
      <c r="L563">
        <v>6</v>
      </c>
    </row>
    <row r="564" spans="1:12" ht="15.6" x14ac:dyDescent="0.3">
      <c r="A564" s="9">
        <v>553</v>
      </c>
      <c r="B564" s="1"/>
      <c r="C564" s="2" t="s">
        <v>559</v>
      </c>
      <c r="D564" s="1"/>
      <c r="E564" s="11">
        <f t="shared" si="41"/>
        <v>30</v>
      </c>
      <c r="F564" s="12">
        <f t="shared" si="42"/>
        <v>50</v>
      </c>
      <c r="G564" s="12" t="str">
        <f t="shared" si="43"/>
        <v>Warning</v>
      </c>
      <c r="H564" s="13">
        <f t="shared" si="44"/>
        <v>6</v>
      </c>
      <c r="I564" s="14">
        <f t="shared" si="40"/>
        <v>1865.3000000000002</v>
      </c>
      <c r="K564" t="str">
        <f>[1]!revcom(C564)</f>
        <v>TCCTCT</v>
      </c>
      <c r="L564">
        <v>7</v>
      </c>
    </row>
    <row r="565" spans="1:12" ht="15.6" x14ac:dyDescent="0.3">
      <c r="A565" s="9">
        <v>554</v>
      </c>
      <c r="B565" s="1"/>
      <c r="C565" s="2" t="s">
        <v>560</v>
      </c>
      <c r="D565" s="1"/>
      <c r="E565" s="11">
        <f t="shared" si="41"/>
        <v>28</v>
      </c>
      <c r="F565" s="12">
        <f t="shared" si="42"/>
        <v>66.666666666666657</v>
      </c>
      <c r="G565" s="12" t="str">
        <f t="shared" si="43"/>
        <v>Warning</v>
      </c>
      <c r="H565" s="13">
        <f t="shared" si="44"/>
        <v>6</v>
      </c>
      <c r="I565" s="14">
        <f t="shared" si="40"/>
        <v>1841.27</v>
      </c>
      <c r="K565" t="str">
        <f>[1]!revcom(C565)</f>
        <v>GCCTCT</v>
      </c>
      <c r="L565">
        <v>7</v>
      </c>
    </row>
    <row r="566" spans="1:12" ht="15.6" x14ac:dyDescent="0.3">
      <c r="A566" s="9">
        <v>555</v>
      </c>
      <c r="B566" s="1"/>
      <c r="C566" s="2" t="s">
        <v>561</v>
      </c>
      <c r="D566" s="1"/>
      <c r="E566" s="11">
        <f t="shared" si="41"/>
        <v>28</v>
      </c>
      <c r="F566" s="12">
        <f t="shared" si="42"/>
        <v>66.666666666666657</v>
      </c>
      <c r="G566" s="12" t="str">
        <f t="shared" si="43"/>
        <v>Warning</v>
      </c>
      <c r="H566" s="13">
        <f t="shared" si="44"/>
        <v>6</v>
      </c>
      <c r="I566" s="14">
        <f t="shared" si="40"/>
        <v>1881.3000000000002</v>
      </c>
      <c r="K566" t="str">
        <f>[1]!revcom(C566)</f>
        <v>CCCTCT</v>
      </c>
      <c r="L566">
        <v>7</v>
      </c>
    </row>
    <row r="567" spans="1:12" ht="15.6" x14ac:dyDescent="0.3">
      <c r="A567" s="9">
        <v>556</v>
      </c>
      <c r="B567" s="1"/>
      <c r="C567" s="2" t="s">
        <v>562</v>
      </c>
      <c r="D567" s="1"/>
      <c r="E567" s="11">
        <f t="shared" si="41"/>
        <v>22</v>
      </c>
      <c r="F567" s="12">
        <f t="shared" si="42"/>
        <v>50</v>
      </c>
      <c r="G567" s="12" t="str">
        <f t="shared" si="43"/>
        <v>Warning</v>
      </c>
      <c r="H567" s="13">
        <f t="shared" si="44"/>
        <v>6</v>
      </c>
      <c r="I567" s="14">
        <f t="shared" si="40"/>
        <v>1856.2800000000002</v>
      </c>
      <c r="K567" t="str">
        <f>[1]!revcom(C567)</f>
        <v>ACCTCT</v>
      </c>
      <c r="L567">
        <v>6</v>
      </c>
    </row>
    <row r="568" spans="1:12" ht="15.6" x14ac:dyDescent="0.3">
      <c r="A568" s="9">
        <v>557</v>
      </c>
      <c r="B568" s="1"/>
      <c r="C568" s="2" t="s">
        <v>563</v>
      </c>
      <c r="D568" s="1"/>
      <c r="E568" s="11">
        <f t="shared" si="41"/>
        <v>24</v>
      </c>
      <c r="F568" s="12">
        <f t="shared" si="42"/>
        <v>33.333333333333329</v>
      </c>
      <c r="G568" s="12" t="str">
        <f t="shared" si="43"/>
        <v>OK</v>
      </c>
      <c r="H568" s="13">
        <f t="shared" si="44"/>
        <v>6</v>
      </c>
      <c r="I568" s="14">
        <f t="shared" si="40"/>
        <v>1840.2800000000002</v>
      </c>
      <c r="K568" t="str">
        <f>[1]!revcom(C568)</f>
        <v>TACTCT</v>
      </c>
      <c r="L568">
        <v>6</v>
      </c>
    </row>
    <row r="569" spans="1:12" ht="15.6" x14ac:dyDescent="0.3">
      <c r="A569" s="9">
        <v>558</v>
      </c>
      <c r="B569" s="1"/>
      <c r="C569" s="2" t="s">
        <v>564</v>
      </c>
      <c r="D569" s="1"/>
      <c r="E569" s="11">
        <f t="shared" si="41"/>
        <v>22</v>
      </c>
      <c r="F569" s="12">
        <f t="shared" si="42"/>
        <v>50</v>
      </c>
      <c r="G569" s="12" t="str">
        <f t="shared" si="43"/>
        <v>Warning</v>
      </c>
      <c r="H569" s="13">
        <f t="shared" si="44"/>
        <v>6</v>
      </c>
      <c r="I569" s="14">
        <f t="shared" si="40"/>
        <v>1816.25</v>
      </c>
      <c r="K569" t="str">
        <f>[1]!revcom(C569)</f>
        <v>GACTCT</v>
      </c>
      <c r="L569">
        <v>6</v>
      </c>
    </row>
    <row r="570" spans="1:12" ht="15.6" x14ac:dyDescent="0.3">
      <c r="A570" s="9">
        <v>559</v>
      </c>
      <c r="B570" s="1"/>
      <c r="C570" s="2" t="s">
        <v>565</v>
      </c>
      <c r="D570" s="1"/>
      <c r="E570" s="11">
        <f t="shared" si="41"/>
        <v>22</v>
      </c>
      <c r="F570" s="12">
        <f t="shared" si="42"/>
        <v>50</v>
      </c>
      <c r="G570" s="12" t="str">
        <f t="shared" si="43"/>
        <v>Warning</v>
      </c>
      <c r="H570" s="13">
        <f t="shared" si="44"/>
        <v>6</v>
      </c>
      <c r="I570" s="14">
        <f t="shared" si="40"/>
        <v>1856.2800000000002</v>
      </c>
      <c r="K570" t="str">
        <f>[1]!revcom(C570)</f>
        <v>CACTCT</v>
      </c>
      <c r="L570">
        <v>6</v>
      </c>
    </row>
    <row r="571" spans="1:12" ht="15.6" x14ac:dyDescent="0.3">
      <c r="A571" s="9">
        <v>560</v>
      </c>
      <c r="B571" s="1"/>
      <c r="C571" s="2" t="s">
        <v>566</v>
      </c>
      <c r="D571" s="1"/>
      <c r="E571" s="11">
        <f t="shared" si="41"/>
        <v>16</v>
      </c>
      <c r="F571" s="12">
        <f t="shared" si="42"/>
        <v>33.333333333333329</v>
      </c>
      <c r="G571" s="12" t="str">
        <f t="shared" si="43"/>
        <v>OK</v>
      </c>
      <c r="H571" s="13">
        <f t="shared" si="44"/>
        <v>6</v>
      </c>
      <c r="I571" s="14">
        <f t="shared" si="40"/>
        <v>1831.2600000000002</v>
      </c>
      <c r="K571" t="str">
        <f>[1]!revcom(C571)</f>
        <v>AACTCT</v>
      </c>
      <c r="L571">
        <v>5</v>
      </c>
    </row>
    <row r="572" spans="1:12" ht="15.6" x14ac:dyDescent="0.3">
      <c r="A572" s="9">
        <v>561</v>
      </c>
      <c r="B572" s="1"/>
      <c r="C572" s="2" t="s">
        <v>567</v>
      </c>
      <c r="D572" s="1"/>
      <c r="E572" s="11">
        <f t="shared" si="41"/>
        <v>26</v>
      </c>
      <c r="F572" s="12">
        <f t="shared" si="42"/>
        <v>16.666666666666664</v>
      </c>
      <c r="G572" s="12" t="str">
        <f t="shared" si="43"/>
        <v>OK</v>
      </c>
      <c r="H572" s="13">
        <f t="shared" si="44"/>
        <v>6</v>
      </c>
      <c r="I572" s="14">
        <f t="shared" si="40"/>
        <v>1824.2799999999997</v>
      </c>
      <c r="K572" t="str">
        <f>[1]!revcom(C572)</f>
        <v>TTATCT</v>
      </c>
      <c r="L572">
        <v>7</v>
      </c>
    </row>
    <row r="573" spans="1:12" ht="15.6" x14ac:dyDescent="0.3">
      <c r="A573" s="9">
        <v>562</v>
      </c>
      <c r="B573" s="1"/>
      <c r="C573" s="2" t="s">
        <v>568</v>
      </c>
      <c r="D573" s="1"/>
      <c r="E573" s="11">
        <f t="shared" si="41"/>
        <v>24</v>
      </c>
      <c r="F573" s="12">
        <f t="shared" si="42"/>
        <v>33.333333333333329</v>
      </c>
      <c r="G573" s="12" t="str">
        <f t="shared" si="43"/>
        <v>OK</v>
      </c>
      <c r="H573" s="13">
        <f t="shared" si="44"/>
        <v>6</v>
      </c>
      <c r="I573" s="14">
        <f t="shared" si="40"/>
        <v>1800.25</v>
      </c>
      <c r="K573" t="str">
        <f>[1]!revcom(C573)</f>
        <v>GTATCT</v>
      </c>
      <c r="L573">
        <v>6</v>
      </c>
    </row>
    <row r="574" spans="1:12" ht="15.6" x14ac:dyDescent="0.3">
      <c r="A574" s="9">
        <v>563</v>
      </c>
      <c r="B574" s="1"/>
      <c r="C574" s="2" t="s">
        <v>569</v>
      </c>
      <c r="D574" s="1"/>
      <c r="E574" s="11">
        <f t="shared" si="41"/>
        <v>24</v>
      </c>
      <c r="F574" s="12">
        <f t="shared" si="42"/>
        <v>33.333333333333329</v>
      </c>
      <c r="G574" s="12" t="str">
        <f t="shared" si="43"/>
        <v>OK</v>
      </c>
      <c r="H574" s="13">
        <f t="shared" si="44"/>
        <v>6</v>
      </c>
      <c r="I574" s="14">
        <f t="shared" si="40"/>
        <v>1840.2800000000002</v>
      </c>
      <c r="K574" t="str">
        <f>[1]!revcom(C574)</f>
        <v>CTATCT</v>
      </c>
      <c r="L574">
        <v>6</v>
      </c>
    </row>
    <row r="575" spans="1:12" ht="15.6" x14ac:dyDescent="0.3">
      <c r="A575" s="9">
        <v>564</v>
      </c>
      <c r="B575" s="1"/>
      <c r="C575" s="2" t="s">
        <v>570</v>
      </c>
      <c r="D575" s="1"/>
      <c r="E575" s="11">
        <f t="shared" si="41"/>
        <v>18</v>
      </c>
      <c r="F575" s="12">
        <f t="shared" si="42"/>
        <v>16.666666666666664</v>
      </c>
      <c r="G575" s="12" t="str">
        <f t="shared" si="43"/>
        <v>OK</v>
      </c>
      <c r="H575" s="13">
        <f t="shared" si="44"/>
        <v>6</v>
      </c>
      <c r="I575" s="14">
        <f t="shared" si="40"/>
        <v>1815.2599999999998</v>
      </c>
      <c r="K575" t="str">
        <f>[1]!revcom(C575)</f>
        <v>ATATCT</v>
      </c>
      <c r="L575">
        <v>5</v>
      </c>
    </row>
    <row r="576" spans="1:12" ht="15.6" x14ac:dyDescent="0.3">
      <c r="A576" s="9">
        <v>565</v>
      </c>
      <c r="B576" s="1"/>
      <c r="C576" s="2" t="s">
        <v>571</v>
      </c>
      <c r="D576" s="1"/>
      <c r="E576" s="11">
        <f t="shared" si="41"/>
        <v>24</v>
      </c>
      <c r="F576" s="12">
        <f t="shared" si="42"/>
        <v>33.333333333333329</v>
      </c>
      <c r="G576" s="12" t="str">
        <f t="shared" si="43"/>
        <v>OK</v>
      </c>
      <c r="H576" s="13">
        <f t="shared" si="44"/>
        <v>6</v>
      </c>
      <c r="I576" s="14">
        <f t="shared" si="40"/>
        <v>1800.25</v>
      </c>
      <c r="K576" t="str">
        <f>[1]!revcom(C576)</f>
        <v>TGATCT</v>
      </c>
      <c r="L576">
        <v>6</v>
      </c>
    </row>
    <row r="577" spans="1:12" ht="15.6" x14ac:dyDescent="0.3">
      <c r="A577" s="9">
        <v>566</v>
      </c>
      <c r="B577" s="1"/>
      <c r="C577" s="2" t="s">
        <v>572</v>
      </c>
      <c r="D577" s="1"/>
      <c r="E577" s="11">
        <f t="shared" si="41"/>
        <v>22</v>
      </c>
      <c r="F577" s="12">
        <f t="shared" si="42"/>
        <v>50</v>
      </c>
      <c r="G577" s="12" t="str">
        <f t="shared" si="43"/>
        <v>Warning</v>
      </c>
      <c r="H577" s="13">
        <f t="shared" si="44"/>
        <v>6</v>
      </c>
      <c r="I577" s="14">
        <f t="shared" si="40"/>
        <v>1776.2199999999998</v>
      </c>
      <c r="K577" t="str">
        <f>[1]!revcom(C577)</f>
        <v>GGATCT</v>
      </c>
      <c r="L577">
        <v>6</v>
      </c>
    </row>
    <row r="578" spans="1:12" ht="15.6" x14ac:dyDescent="0.3">
      <c r="A578" s="9">
        <v>567</v>
      </c>
      <c r="B578" s="1"/>
      <c r="C578" s="2" t="s">
        <v>573</v>
      </c>
      <c r="D578" s="1"/>
      <c r="E578" s="11">
        <f t="shared" si="41"/>
        <v>22</v>
      </c>
      <c r="F578" s="12">
        <f t="shared" si="42"/>
        <v>50</v>
      </c>
      <c r="G578" s="12" t="str">
        <f t="shared" si="43"/>
        <v>Warning</v>
      </c>
      <c r="H578" s="13">
        <f t="shared" si="44"/>
        <v>6</v>
      </c>
      <c r="I578" s="14">
        <f t="shared" si="40"/>
        <v>1816.25</v>
      </c>
      <c r="K578" t="str">
        <f>[1]!revcom(C578)</f>
        <v>CGATCT</v>
      </c>
      <c r="L578">
        <v>6</v>
      </c>
    </row>
    <row r="579" spans="1:12" ht="15.6" x14ac:dyDescent="0.3">
      <c r="A579" s="9">
        <v>568</v>
      </c>
      <c r="B579" s="1"/>
      <c r="C579" s="2" t="s">
        <v>574</v>
      </c>
      <c r="D579" s="1"/>
      <c r="E579" s="11">
        <f t="shared" si="41"/>
        <v>16</v>
      </c>
      <c r="F579" s="12">
        <f t="shared" si="42"/>
        <v>33.333333333333329</v>
      </c>
      <c r="G579" s="12" t="str">
        <f t="shared" si="43"/>
        <v>OK</v>
      </c>
      <c r="H579" s="13">
        <f t="shared" si="44"/>
        <v>6</v>
      </c>
      <c r="I579" s="14">
        <f t="shared" si="40"/>
        <v>1791.23</v>
      </c>
      <c r="K579" t="str">
        <f>[1]!revcom(C579)</f>
        <v>AGATCT</v>
      </c>
      <c r="L579">
        <v>5</v>
      </c>
    </row>
    <row r="580" spans="1:12" ht="15.6" x14ac:dyDescent="0.3">
      <c r="A580" s="9">
        <v>569</v>
      </c>
      <c r="B580" s="1"/>
      <c r="C580" s="2" t="s">
        <v>575</v>
      </c>
      <c r="D580" s="1"/>
      <c r="E580" s="11">
        <f t="shared" si="41"/>
        <v>24</v>
      </c>
      <c r="F580" s="12">
        <f t="shared" si="42"/>
        <v>33.333333333333329</v>
      </c>
      <c r="G580" s="12" t="str">
        <f t="shared" si="43"/>
        <v>OK</v>
      </c>
      <c r="H580" s="13">
        <f t="shared" si="44"/>
        <v>6</v>
      </c>
      <c r="I580" s="14">
        <f t="shared" si="40"/>
        <v>1840.2800000000002</v>
      </c>
      <c r="K580" t="str">
        <f>[1]!revcom(C580)</f>
        <v>TCATCT</v>
      </c>
      <c r="L580">
        <v>6</v>
      </c>
    </row>
    <row r="581" spans="1:12" ht="15.6" x14ac:dyDescent="0.3">
      <c r="A581" s="9">
        <v>570</v>
      </c>
      <c r="B581" s="1"/>
      <c r="C581" s="2" t="s">
        <v>576</v>
      </c>
      <c r="D581" s="1"/>
      <c r="E581" s="11">
        <f t="shared" si="41"/>
        <v>22</v>
      </c>
      <c r="F581" s="12">
        <f t="shared" si="42"/>
        <v>50</v>
      </c>
      <c r="G581" s="12" t="str">
        <f t="shared" si="43"/>
        <v>Warning</v>
      </c>
      <c r="H581" s="13">
        <f t="shared" si="44"/>
        <v>6</v>
      </c>
      <c r="I581" s="14">
        <f t="shared" si="40"/>
        <v>1816.25</v>
      </c>
      <c r="K581" t="str">
        <f>[1]!revcom(C581)</f>
        <v>GCATCT</v>
      </c>
      <c r="L581">
        <v>6</v>
      </c>
    </row>
    <row r="582" spans="1:12" ht="15.6" x14ac:dyDescent="0.3">
      <c r="A582" s="9">
        <v>571</v>
      </c>
      <c r="B582" s="1"/>
      <c r="C582" s="2" t="s">
        <v>577</v>
      </c>
      <c r="D582" s="1"/>
      <c r="E582" s="11">
        <f t="shared" si="41"/>
        <v>22</v>
      </c>
      <c r="F582" s="12">
        <f t="shared" si="42"/>
        <v>50</v>
      </c>
      <c r="G582" s="12" t="str">
        <f t="shared" si="43"/>
        <v>Warning</v>
      </c>
      <c r="H582" s="13">
        <f t="shared" si="44"/>
        <v>6</v>
      </c>
      <c r="I582" s="14">
        <f t="shared" si="40"/>
        <v>1856.2800000000002</v>
      </c>
      <c r="K582" t="str">
        <f>[1]!revcom(C582)</f>
        <v>CCATCT</v>
      </c>
      <c r="L582">
        <v>6</v>
      </c>
    </row>
    <row r="583" spans="1:12" ht="15.6" x14ac:dyDescent="0.3">
      <c r="A583" s="9">
        <v>572</v>
      </c>
      <c r="B583" s="1"/>
      <c r="C583" s="2" t="s">
        <v>578</v>
      </c>
      <c r="D583" s="1"/>
      <c r="E583" s="11">
        <f t="shared" si="41"/>
        <v>16</v>
      </c>
      <c r="F583" s="12">
        <f t="shared" si="42"/>
        <v>33.333333333333329</v>
      </c>
      <c r="G583" s="12" t="str">
        <f t="shared" si="43"/>
        <v>OK</v>
      </c>
      <c r="H583" s="13">
        <f t="shared" si="44"/>
        <v>6</v>
      </c>
      <c r="I583" s="14">
        <f t="shared" si="40"/>
        <v>1831.2600000000002</v>
      </c>
      <c r="K583" t="str">
        <f>[1]!revcom(C583)</f>
        <v>ACATCT</v>
      </c>
      <c r="L583">
        <v>5</v>
      </c>
    </row>
    <row r="584" spans="1:12" ht="15.6" x14ac:dyDescent="0.3">
      <c r="A584" s="9">
        <v>573</v>
      </c>
      <c r="B584" s="1"/>
      <c r="C584" s="2" t="s">
        <v>579</v>
      </c>
      <c r="D584" s="1"/>
      <c r="E584" s="11">
        <f t="shared" si="41"/>
        <v>18</v>
      </c>
      <c r="F584" s="12">
        <f t="shared" si="42"/>
        <v>16.666666666666664</v>
      </c>
      <c r="G584" s="12" t="str">
        <f t="shared" si="43"/>
        <v>OK</v>
      </c>
      <c r="H584" s="13">
        <f t="shared" si="44"/>
        <v>6</v>
      </c>
      <c r="I584" s="14">
        <f t="shared" si="40"/>
        <v>1815.2599999999998</v>
      </c>
      <c r="K584" t="str">
        <f>[1]!revcom(C584)</f>
        <v>TAATCT</v>
      </c>
      <c r="L584">
        <v>5</v>
      </c>
    </row>
    <row r="585" spans="1:12" ht="15.6" x14ac:dyDescent="0.3">
      <c r="A585" s="9">
        <v>574</v>
      </c>
      <c r="B585" s="1"/>
      <c r="C585" s="2" t="s">
        <v>580</v>
      </c>
      <c r="D585" s="1"/>
      <c r="E585" s="11">
        <f t="shared" si="41"/>
        <v>16</v>
      </c>
      <c r="F585" s="12">
        <f t="shared" si="42"/>
        <v>33.333333333333329</v>
      </c>
      <c r="G585" s="12" t="str">
        <f t="shared" si="43"/>
        <v>OK</v>
      </c>
      <c r="H585" s="13">
        <f t="shared" si="44"/>
        <v>6</v>
      </c>
      <c r="I585" s="14">
        <f t="shared" si="40"/>
        <v>1791.23</v>
      </c>
      <c r="K585" t="str">
        <f>[1]!revcom(C585)</f>
        <v>GAATCT</v>
      </c>
      <c r="L585">
        <v>5</v>
      </c>
    </row>
    <row r="586" spans="1:12" ht="15.6" x14ac:dyDescent="0.3">
      <c r="A586" s="9">
        <v>575</v>
      </c>
      <c r="B586" s="1"/>
      <c r="C586" s="2" t="s">
        <v>581</v>
      </c>
      <c r="D586" s="1"/>
      <c r="E586" s="11">
        <f t="shared" si="41"/>
        <v>16</v>
      </c>
      <c r="F586" s="12">
        <f t="shared" si="42"/>
        <v>33.333333333333329</v>
      </c>
      <c r="G586" s="12" t="str">
        <f t="shared" si="43"/>
        <v>OK</v>
      </c>
      <c r="H586" s="13">
        <f t="shared" si="44"/>
        <v>6</v>
      </c>
      <c r="I586" s="14">
        <f t="shared" si="40"/>
        <v>1831.2600000000002</v>
      </c>
      <c r="K586" t="str">
        <f>[1]!revcom(C586)</f>
        <v>CAATCT</v>
      </c>
      <c r="L586">
        <v>5</v>
      </c>
    </row>
    <row r="587" spans="1:12" ht="15.6" x14ac:dyDescent="0.3">
      <c r="A587" s="9">
        <v>576</v>
      </c>
      <c r="B587" s="1"/>
      <c r="C587" s="2" t="s">
        <v>582</v>
      </c>
      <c r="D587" s="1"/>
      <c r="E587" s="11">
        <f t="shared" si="41"/>
        <v>10</v>
      </c>
      <c r="F587" s="12">
        <f t="shared" si="42"/>
        <v>16.666666666666664</v>
      </c>
      <c r="G587" s="12" t="str">
        <f t="shared" si="43"/>
        <v>OK</v>
      </c>
      <c r="H587" s="13">
        <f t="shared" si="44"/>
        <v>6</v>
      </c>
      <c r="I587" s="14">
        <f t="shared" si="40"/>
        <v>1806.2399999999998</v>
      </c>
      <c r="K587" t="str">
        <f>[1]!revcom(C587)</f>
        <v>AAATCT</v>
      </c>
      <c r="L587">
        <v>4</v>
      </c>
    </row>
    <row r="588" spans="1:12" ht="15.6" x14ac:dyDescent="0.3">
      <c r="A588" s="9">
        <v>577</v>
      </c>
      <c r="B588" s="1"/>
      <c r="C588" s="2" t="s">
        <v>583</v>
      </c>
      <c r="D588" s="1"/>
      <c r="E588" s="11">
        <f t="shared" si="41"/>
        <v>32</v>
      </c>
      <c r="F588" s="12">
        <f t="shared" si="42"/>
        <v>33.333333333333329</v>
      </c>
      <c r="G588" s="12" t="str">
        <f t="shared" si="43"/>
        <v>OK</v>
      </c>
      <c r="H588" s="13">
        <f t="shared" si="44"/>
        <v>6</v>
      </c>
      <c r="I588" s="14">
        <f t="shared" si="40"/>
        <v>1809.27</v>
      </c>
      <c r="K588" t="str">
        <f>[1]!revcom(C588)</f>
        <v>TTTGCT</v>
      </c>
      <c r="L588">
        <v>8</v>
      </c>
    </row>
    <row r="589" spans="1:12" ht="15.6" x14ac:dyDescent="0.3">
      <c r="A589" s="9">
        <v>578</v>
      </c>
      <c r="B589" s="1"/>
      <c r="C589" s="2" t="s">
        <v>584</v>
      </c>
      <c r="D589" s="1"/>
      <c r="E589" s="11">
        <f t="shared" si="41"/>
        <v>30</v>
      </c>
      <c r="F589" s="12">
        <f t="shared" si="42"/>
        <v>50</v>
      </c>
      <c r="G589" s="12" t="str">
        <f t="shared" si="43"/>
        <v>Warning</v>
      </c>
      <c r="H589" s="13">
        <f t="shared" si="44"/>
        <v>6</v>
      </c>
      <c r="I589" s="14">
        <f t="shared" ref="I589:I652" si="45">((LEN(C589)-(LEN(SUBSTITUTE(C589,"A",""))))*249.23)+((LEN(C589)-(LEN(SUBSTITUTE(C589,"T",""))))*240.21)+((LEN(C589)-(LEN(SUBSTITUTE(C589,"C",""))))*225.2)+((LEN(C589)-(LEN(SUBSTITUTE(C589,"G",""))))*265.23)+(63.98*(LEN(C589)-1)+(2.02))</f>
        <v>1785.2399999999998</v>
      </c>
      <c r="K589" t="str">
        <f>[1]!revcom(C589)</f>
        <v>GTTGCT</v>
      </c>
      <c r="L589">
        <v>7</v>
      </c>
    </row>
    <row r="590" spans="1:12" ht="15.6" x14ac:dyDescent="0.3">
      <c r="A590" s="9">
        <v>579</v>
      </c>
      <c r="B590" s="1"/>
      <c r="C590" s="2" t="s">
        <v>585</v>
      </c>
      <c r="D590" s="1"/>
      <c r="E590" s="11">
        <f t="shared" ref="E590:E653" si="46">IF(LEN(C590)&gt;15,(69.3+((41*((LEN(C590)-(((LEN(C590)-(LEN(SUBSTITUTE(C590,"A",""))))+((LEN(C590)-(LEN(SUBSTITUTE(C590,"T","")))))))))/(LEN(C590)))-(650/(LEN(C590))))),(2*((LEN(C590)-(((LEN(C590)-(LEN(SUBSTITUTE(C590,"C",""))))+((LEN(C590)-(LEN(SUBSTITUTE(C590,"G",""))))))))))+(4*((LEN(C590)-(((LEN(C590)-(LEN(SUBSTITUTE(C590,"T",""))))+((LEN(C590)-(LEN(SUBSTITUTE(C590,"T","")))))))))))</f>
        <v>30</v>
      </c>
      <c r="F590" s="12">
        <f t="shared" ref="F590:F653" si="47">((LEN(C590)- LEN(SUBSTITUTE(C590,"G","")))+(LEN(C590)- LEN(SUBSTITUTE(C590,"C",""))) )/LEN(C590)*100</f>
        <v>50</v>
      </c>
      <c r="G590" s="12" t="str">
        <f t="shared" ref="G590:G653" si="48">IF((-5+((LEN(SUBSTITUTE(RIGHT(C590,5),"C","")))+((LEN(SUBSTITUTE(RIGHT(C590,5),"G",""))))))&gt;=3,"OK","Warning")</f>
        <v>Warning</v>
      </c>
      <c r="H590" s="13">
        <f t="shared" ref="H590:H653" si="49">LEN(C590)</f>
        <v>6</v>
      </c>
      <c r="I590" s="14">
        <f t="shared" si="45"/>
        <v>1825.27</v>
      </c>
      <c r="K590" t="str">
        <f>[1]!revcom(C590)</f>
        <v>CTTGCT</v>
      </c>
      <c r="L590">
        <v>7</v>
      </c>
    </row>
    <row r="591" spans="1:12" ht="15.6" x14ac:dyDescent="0.3">
      <c r="A591" s="9">
        <v>580</v>
      </c>
      <c r="B591" s="1"/>
      <c r="C591" s="2" t="s">
        <v>586</v>
      </c>
      <c r="D591" s="1"/>
      <c r="E591" s="11">
        <f t="shared" si="46"/>
        <v>24</v>
      </c>
      <c r="F591" s="12">
        <f t="shared" si="47"/>
        <v>33.333333333333329</v>
      </c>
      <c r="G591" s="12" t="str">
        <f t="shared" si="48"/>
        <v>OK</v>
      </c>
      <c r="H591" s="13">
        <f t="shared" si="49"/>
        <v>6</v>
      </c>
      <c r="I591" s="14">
        <f t="shared" si="45"/>
        <v>1800.25</v>
      </c>
      <c r="K591" t="str">
        <f>[1]!revcom(C591)</f>
        <v>ATTGCT</v>
      </c>
      <c r="L591">
        <v>6</v>
      </c>
    </row>
    <row r="592" spans="1:12" ht="15.6" x14ac:dyDescent="0.3">
      <c r="A592" s="9">
        <v>581</v>
      </c>
      <c r="B592" s="1"/>
      <c r="C592" s="2" t="s">
        <v>587</v>
      </c>
      <c r="D592" s="1"/>
      <c r="E592" s="11">
        <f t="shared" si="46"/>
        <v>30</v>
      </c>
      <c r="F592" s="12">
        <f t="shared" si="47"/>
        <v>50</v>
      </c>
      <c r="G592" s="12" t="str">
        <f t="shared" si="48"/>
        <v>Warning</v>
      </c>
      <c r="H592" s="13">
        <f t="shared" si="49"/>
        <v>6</v>
      </c>
      <c r="I592" s="14">
        <f t="shared" si="45"/>
        <v>1785.2399999999998</v>
      </c>
      <c r="K592" t="str">
        <f>[1]!revcom(C592)</f>
        <v>TGTGCT</v>
      </c>
      <c r="L592">
        <v>7</v>
      </c>
    </row>
    <row r="593" spans="1:12" ht="15.6" x14ac:dyDescent="0.3">
      <c r="A593" s="9">
        <v>582</v>
      </c>
      <c r="B593" s="1"/>
      <c r="C593" s="2" t="s">
        <v>588</v>
      </c>
      <c r="D593" s="1"/>
      <c r="E593" s="11">
        <f t="shared" si="46"/>
        <v>28</v>
      </c>
      <c r="F593" s="12">
        <f t="shared" si="47"/>
        <v>66.666666666666657</v>
      </c>
      <c r="G593" s="12" t="str">
        <f t="shared" si="48"/>
        <v>Warning</v>
      </c>
      <c r="H593" s="13">
        <f t="shared" si="49"/>
        <v>6</v>
      </c>
      <c r="I593" s="14">
        <f t="shared" si="45"/>
        <v>1761.21</v>
      </c>
      <c r="K593" t="str">
        <f>[1]!revcom(C593)</f>
        <v>GGTGCT</v>
      </c>
      <c r="L593">
        <v>7</v>
      </c>
    </row>
    <row r="594" spans="1:12" ht="15.6" x14ac:dyDescent="0.3">
      <c r="A594" s="9">
        <v>583</v>
      </c>
      <c r="B594" s="1"/>
      <c r="C594" s="2" t="s">
        <v>589</v>
      </c>
      <c r="D594" s="1"/>
      <c r="E594" s="11">
        <f t="shared" si="46"/>
        <v>28</v>
      </c>
      <c r="F594" s="12">
        <f t="shared" si="47"/>
        <v>66.666666666666657</v>
      </c>
      <c r="G594" s="12" t="str">
        <f t="shared" si="48"/>
        <v>Warning</v>
      </c>
      <c r="H594" s="13">
        <f t="shared" si="49"/>
        <v>6</v>
      </c>
      <c r="I594" s="14">
        <f t="shared" si="45"/>
        <v>1801.2399999999998</v>
      </c>
      <c r="K594" t="str">
        <f>[1]!revcom(C594)</f>
        <v>CGTGCT</v>
      </c>
      <c r="L594">
        <v>7</v>
      </c>
    </row>
    <row r="595" spans="1:12" ht="15.6" x14ac:dyDescent="0.3">
      <c r="A595" s="9">
        <v>584</v>
      </c>
      <c r="B595" s="1"/>
      <c r="C595" s="2" t="s">
        <v>590</v>
      </c>
      <c r="D595" s="1"/>
      <c r="E595" s="11">
        <f t="shared" si="46"/>
        <v>22</v>
      </c>
      <c r="F595" s="12">
        <f t="shared" si="47"/>
        <v>50</v>
      </c>
      <c r="G595" s="12" t="str">
        <f t="shared" si="48"/>
        <v>Warning</v>
      </c>
      <c r="H595" s="13">
        <f t="shared" si="49"/>
        <v>6</v>
      </c>
      <c r="I595" s="14">
        <f t="shared" si="45"/>
        <v>1776.2199999999998</v>
      </c>
      <c r="K595" t="str">
        <f>[1]!revcom(C595)</f>
        <v>AGTGCT</v>
      </c>
      <c r="L595">
        <v>6</v>
      </c>
    </row>
    <row r="596" spans="1:12" ht="15.6" x14ac:dyDescent="0.3">
      <c r="A596" s="9">
        <v>585</v>
      </c>
      <c r="B596" s="1"/>
      <c r="C596" s="2" t="s">
        <v>591</v>
      </c>
      <c r="D596" s="1"/>
      <c r="E596" s="11">
        <f t="shared" si="46"/>
        <v>30</v>
      </c>
      <c r="F596" s="12">
        <f t="shared" si="47"/>
        <v>50</v>
      </c>
      <c r="G596" s="12" t="str">
        <f t="shared" si="48"/>
        <v>Warning</v>
      </c>
      <c r="H596" s="13">
        <f t="shared" si="49"/>
        <v>6</v>
      </c>
      <c r="I596" s="14">
        <f t="shared" si="45"/>
        <v>1825.27</v>
      </c>
      <c r="K596" t="str">
        <f>[1]!revcom(C596)</f>
        <v>TCTGCT</v>
      </c>
      <c r="L596">
        <v>7</v>
      </c>
    </row>
    <row r="597" spans="1:12" ht="15.6" x14ac:dyDescent="0.3">
      <c r="A597" s="9">
        <v>586</v>
      </c>
      <c r="B597" s="1"/>
      <c r="C597" s="2" t="s">
        <v>592</v>
      </c>
      <c r="D597" s="1"/>
      <c r="E597" s="11">
        <f t="shared" si="46"/>
        <v>28</v>
      </c>
      <c r="F597" s="12">
        <f t="shared" si="47"/>
        <v>66.666666666666657</v>
      </c>
      <c r="G597" s="12" t="str">
        <f t="shared" si="48"/>
        <v>Warning</v>
      </c>
      <c r="H597" s="13">
        <f t="shared" si="49"/>
        <v>6</v>
      </c>
      <c r="I597" s="14">
        <f t="shared" si="45"/>
        <v>1801.2399999999998</v>
      </c>
      <c r="K597" t="str">
        <f>[1]!revcom(C597)</f>
        <v>GCTGCT</v>
      </c>
      <c r="L597">
        <v>7</v>
      </c>
    </row>
    <row r="598" spans="1:12" ht="15.6" x14ac:dyDescent="0.3">
      <c r="A598" s="9">
        <v>587</v>
      </c>
      <c r="B598" s="1"/>
      <c r="C598" s="2" t="s">
        <v>593</v>
      </c>
      <c r="D598" s="1"/>
      <c r="E598" s="11">
        <f t="shared" si="46"/>
        <v>28</v>
      </c>
      <c r="F598" s="12">
        <f t="shared" si="47"/>
        <v>66.666666666666657</v>
      </c>
      <c r="G598" s="12" t="str">
        <f t="shared" si="48"/>
        <v>Warning</v>
      </c>
      <c r="H598" s="13">
        <f t="shared" si="49"/>
        <v>6</v>
      </c>
      <c r="I598" s="14">
        <f t="shared" si="45"/>
        <v>1841.27</v>
      </c>
      <c r="K598" t="str">
        <f>[1]!revcom(C598)</f>
        <v>CCTGCT</v>
      </c>
      <c r="L598">
        <v>7</v>
      </c>
    </row>
    <row r="599" spans="1:12" ht="15.6" x14ac:dyDescent="0.3">
      <c r="A599" s="9">
        <v>588</v>
      </c>
      <c r="B599" s="1"/>
      <c r="C599" s="2" t="s">
        <v>594</v>
      </c>
      <c r="D599" s="1"/>
      <c r="E599" s="11">
        <f t="shared" si="46"/>
        <v>22</v>
      </c>
      <c r="F599" s="12">
        <f t="shared" si="47"/>
        <v>50</v>
      </c>
      <c r="G599" s="12" t="str">
        <f t="shared" si="48"/>
        <v>Warning</v>
      </c>
      <c r="H599" s="13">
        <f t="shared" si="49"/>
        <v>6</v>
      </c>
      <c r="I599" s="14">
        <f t="shared" si="45"/>
        <v>1816.25</v>
      </c>
      <c r="K599" t="str">
        <f>[1]!revcom(C599)</f>
        <v>ACTGCT</v>
      </c>
      <c r="L599">
        <v>6</v>
      </c>
    </row>
    <row r="600" spans="1:12" ht="15.6" x14ac:dyDescent="0.3">
      <c r="A600" s="9">
        <v>589</v>
      </c>
      <c r="B600" s="1"/>
      <c r="C600" s="2" t="s">
        <v>595</v>
      </c>
      <c r="D600" s="1"/>
      <c r="E600" s="11">
        <f t="shared" si="46"/>
        <v>24</v>
      </c>
      <c r="F600" s="12">
        <f t="shared" si="47"/>
        <v>33.333333333333329</v>
      </c>
      <c r="G600" s="12" t="str">
        <f t="shared" si="48"/>
        <v>OK</v>
      </c>
      <c r="H600" s="13">
        <f t="shared" si="49"/>
        <v>6</v>
      </c>
      <c r="I600" s="14">
        <f t="shared" si="45"/>
        <v>1800.25</v>
      </c>
      <c r="K600" t="str">
        <f>[1]!revcom(C600)</f>
        <v>TATGCT</v>
      </c>
      <c r="L600">
        <v>6</v>
      </c>
    </row>
    <row r="601" spans="1:12" ht="15.6" x14ac:dyDescent="0.3">
      <c r="A601" s="9">
        <v>590</v>
      </c>
      <c r="B601" s="1"/>
      <c r="C601" s="2" t="s">
        <v>596</v>
      </c>
      <c r="D601" s="1"/>
      <c r="E601" s="11">
        <f t="shared" si="46"/>
        <v>22</v>
      </c>
      <c r="F601" s="12">
        <f t="shared" si="47"/>
        <v>50</v>
      </c>
      <c r="G601" s="12" t="str">
        <f t="shared" si="48"/>
        <v>Warning</v>
      </c>
      <c r="H601" s="13">
        <f t="shared" si="49"/>
        <v>6</v>
      </c>
      <c r="I601" s="14">
        <f t="shared" si="45"/>
        <v>1776.2199999999998</v>
      </c>
      <c r="K601" t="str">
        <f>[1]!revcom(C601)</f>
        <v>GATGCT</v>
      </c>
      <c r="L601">
        <v>6</v>
      </c>
    </row>
    <row r="602" spans="1:12" ht="15.6" x14ac:dyDescent="0.3">
      <c r="A602" s="9">
        <v>591</v>
      </c>
      <c r="B602" s="1"/>
      <c r="C602" s="2" t="s">
        <v>597</v>
      </c>
      <c r="D602" s="1"/>
      <c r="E602" s="11">
        <f t="shared" si="46"/>
        <v>22</v>
      </c>
      <c r="F602" s="12">
        <f t="shared" si="47"/>
        <v>50</v>
      </c>
      <c r="G602" s="12" t="str">
        <f t="shared" si="48"/>
        <v>Warning</v>
      </c>
      <c r="H602" s="13">
        <f t="shared" si="49"/>
        <v>6</v>
      </c>
      <c r="I602" s="14">
        <f t="shared" si="45"/>
        <v>1816.25</v>
      </c>
      <c r="K602" t="str">
        <f>[1]!revcom(C602)</f>
        <v>CATGCT</v>
      </c>
      <c r="L602">
        <v>6</v>
      </c>
    </row>
    <row r="603" spans="1:12" ht="15.6" x14ac:dyDescent="0.3">
      <c r="A603" s="9">
        <v>592</v>
      </c>
      <c r="B603" s="1"/>
      <c r="C603" s="2" t="s">
        <v>598</v>
      </c>
      <c r="D603" s="1"/>
      <c r="E603" s="11">
        <f t="shared" si="46"/>
        <v>16</v>
      </c>
      <c r="F603" s="12">
        <f t="shared" si="47"/>
        <v>33.333333333333329</v>
      </c>
      <c r="G603" s="12" t="str">
        <f t="shared" si="48"/>
        <v>OK</v>
      </c>
      <c r="H603" s="13">
        <f t="shared" si="49"/>
        <v>6</v>
      </c>
      <c r="I603" s="14">
        <f t="shared" si="45"/>
        <v>1791.23</v>
      </c>
      <c r="K603" t="str">
        <f>[1]!revcom(C603)</f>
        <v>AATGCT</v>
      </c>
      <c r="L603">
        <v>5</v>
      </c>
    </row>
    <row r="604" spans="1:12" ht="15.6" x14ac:dyDescent="0.3">
      <c r="A604" s="9">
        <v>593</v>
      </c>
      <c r="B604" s="1"/>
      <c r="C604" s="2" t="s">
        <v>599</v>
      </c>
      <c r="D604" s="1"/>
      <c r="E604" s="11">
        <f t="shared" si="46"/>
        <v>30</v>
      </c>
      <c r="F604" s="12">
        <f t="shared" si="47"/>
        <v>50</v>
      </c>
      <c r="G604" s="12" t="str">
        <f t="shared" si="48"/>
        <v>Warning</v>
      </c>
      <c r="H604" s="13">
        <f t="shared" si="49"/>
        <v>6</v>
      </c>
      <c r="I604" s="14">
        <f t="shared" si="45"/>
        <v>1785.2399999999998</v>
      </c>
      <c r="K604" t="str">
        <f>[1]!revcom(C604)</f>
        <v>TTGGCT</v>
      </c>
      <c r="L604">
        <v>7</v>
      </c>
    </row>
    <row r="605" spans="1:12" ht="15.6" x14ac:dyDescent="0.3">
      <c r="A605" s="9">
        <v>594</v>
      </c>
      <c r="B605" s="1"/>
      <c r="C605" s="2" t="s">
        <v>600</v>
      </c>
      <c r="D605" s="1"/>
      <c r="E605" s="11">
        <f t="shared" si="46"/>
        <v>28</v>
      </c>
      <c r="F605" s="12">
        <f t="shared" si="47"/>
        <v>66.666666666666657</v>
      </c>
      <c r="G605" s="12" t="str">
        <f t="shared" si="48"/>
        <v>Warning</v>
      </c>
      <c r="H605" s="13">
        <f t="shared" si="49"/>
        <v>6</v>
      </c>
      <c r="I605" s="14">
        <f t="shared" si="45"/>
        <v>1761.21</v>
      </c>
      <c r="K605" t="str">
        <f>[1]!revcom(C605)</f>
        <v>GTGGCT</v>
      </c>
      <c r="L605">
        <v>7</v>
      </c>
    </row>
    <row r="606" spans="1:12" ht="15.6" x14ac:dyDescent="0.3">
      <c r="A606" s="9">
        <v>595</v>
      </c>
      <c r="B606" s="1"/>
      <c r="C606" s="2" t="s">
        <v>601</v>
      </c>
      <c r="D606" s="1"/>
      <c r="E606" s="11">
        <f t="shared" si="46"/>
        <v>28</v>
      </c>
      <c r="F606" s="12">
        <f t="shared" si="47"/>
        <v>66.666666666666657</v>
      </c>
      <c r="G606" s="12" t="str">
        <f t="shared" si="48"/>
        <v>Warning</v>
      </c>
      <c r="H606" s="13">
        <f t="shared" si="49"/>
        <v>6</v>
      </c>
      <c r="I606" s="14">
        <f t="shared" si="45"/>
        <v>1801.2399999999998</v>
      </c>
      <c r="K606" t="str">
        <f>[1]!revcom(C606)</f>
        <v>CTGGCT</v>
      </c>
      <c r="L606">
        <v>7</v>
      </c>
    </row>
    <row r="607" spans="1:12" ht="15.6" x14ac:dyDescent="0.3">
      <c r="A607" s="9">
        <v>596</v>
      </c>
      <c r="B607" s="1"/>
      <c r="C607" s="2" t="s">
        <v>602</v>
      </c>
      <c r="D607" s="1"/>
      <c r="E607" s="11">
        <f t="shared" si="46"/>
        <v>22</v>
      </c>
      <c r="F607" s="12">
        <f t="shared" si="47"/>
        <v>50</v>
      </c>
      <c r="G607" s="12" t="str">
        <f t="shared" si="48"/>
        <v>Warning</v>
      </c>
      <c r="H607" s="13">
        <f t="shared" si="49"/>
        <v>6</v>
      </c>
      <c r="I607" s="14">
        <f t="shared" si="45"/>
        <v>1776.2199999999998</v>
      </c>
      <c r="K607" t="str">
        <f>[1]!revcom(C607)</f>
        <v>ATGGCT</v>
      </c>
      <c r="L607">
        <v>6</v>
      </c>
    </row>
    <row r="608" spans="1:12" ht="15.6" x14ac:dyDescent="0.3">
      <c r="A608" s="9">
        <v>597</v>
      </c>
      <c r="B608" s="1"/>
      <c r="C608" s="2" t="s">
        <v>603</v>
      </c>
      <c r="D608" s="1"/>
      <c r="E608" s="11">
        <f t="shared" si="46"/>
        <v>28</v>
      </c>
      <c r="F608" s="12">
        <f t="shared" si="47"/>
        <v>66.666666666666657</v>
      </c>
      <c r="G608" s="12" t="str">
        <f t="shared" si="48"/>
        <v>Warning</v>
      </c>
      <c r="H608" s="13">
        <f t="shared" si="49"/>
        <v>6</v>
      </c>
      <c r="I608" s="14">
        <f t="shared" si="45"/>
        <v>1761.21</v>
      </c>
      <c r="K608" t="str">
        <f>[1]!revcom(C608)</f>
        <v>TGGGCT</v>
      </c>
      <c r="L608">
        <v>7</v>
      </c>
    </row>
    <row r="609" spans="1:12" ht="15.6" x14ac:dyDescent="0.3">
      <c r="A609" s="9">
        <v>598</v>
      </c>
      <c r="B609" s="1"/>
      <c r="C609" s="2" t="s">
        <v>604</v>
      </c>
      <c r="D609" s="1"/>
      <c r="E609" s="11">
        <f t="shared" si="46"/>
        <v>26</v>
      </c>
      <c r="F609" s="12">
        <f t="shared" si="47"/>
        <v>83.333333333333343</v>
      </c>
      <c r="G609" s="12" t="str">
        <f t="shared" si="48"/>
        <v>Warning</v>
      </c>
      <c r="H609" s="13">
        <f t="shared" si="49"/>
        <v>6</v>
      </c>
      <c r="I609" s="14">
        <f t="shared" si="45"/>
        <v>1737.1799999999998</v>
      </c>
      <c r="K609" t="str">
        <f>[1]!revcom(C609)</f>
        <v>GGGGCT</v>
      </c>
      <c r="L609">
        <v>7</v>
      </c>
    </row>
    <row r="610" spans="1:12" ht="15.6" x14ac:dyDescent="0.3">
      <c r="A610" s="9">
        <v>599</v>
      </c>
      <c r="B610" s="1"/>
      <c r="C610" s="2" t="s">
        <v>605</v>
      </c>
      <c r="D610" s="1"/>
      <c r="E610" s="11">
        <f t="shared" si="46"/>
        <v>26</v>
      </c>
      <c r="F610" s="12">
        <f t="shared" si="47"/>
        <v>83.333333333333343</v>
      </c>
      <c r="G610" s="12" t="str">
        <f t="shared" si="48"/>
        <v>Warning</v>
      </c>
      <c r="H610" s="13">
        <f t="shared" si="49"/>
        <v>6</v>
      </c>
      <c r="I610" s="14">
        <f t="shared" si="45"/>
        <v>1777.21</v>
      </c>
      <c r="K610" t="str">
        <f>[1]!revcom(C610)</f>
        <v>CGGGCT</v>
      </c>
      <c r="L610">
        <v>7</v>
      </c>
    </row>
    <row r="611" spans="1:12" ht="15.6" x14ac:dyDescent="0.3">
      <c r="A611" s="9">
        <v>600</v>
      </c>
      <c r="B611" s="1"/>
      <c r="C611" s="2" t="s">
        <v>606</v>
      </c>
      <c r="D611" s="1"/>
      <c r="E611" s="11">
        <f t="shared" si="46"/>
        <v>20</v>
      </c>
      <c r="F611" s="12">
        <f t="shared" si="47"/>
        <v>66.666666666666657</v>
      </c>
      <c r="G611" s="12" t="str">
        <f t="shared" si="48"/>
        <v>Warning</v>
      </c>
      <c r="H611" s="13">
        <f t="shared" si="49"/>
        <v>6</v>
      </c>
      <c r="I611" s="14">
        <f t="shared" si="45"/>
        <v>1752.19</v>
      </c>
      <c r="K611" t="str">
        <f>[1]!revcom(C611)</f>
        <v>AGGGCT</v>
      </c>
      <c r="L611">
        <v>6</v>
      </c>
    </row>
    <row r="612" spans="1:12" ht="15.6" x14ac:dyDescent="0.3">
      <c r="A612" s="9">
        <v>601</v>
      </c>
      <c r="B612" s="1"/>
      <c r="C612" s="2" t="s">
        <v>607</v>
      </c>
      <c r="D612" s="1"/>
      <c r="E612" s="11">
        <f t="shared" si="46"/>
        <v>28</v>
      </c>
      <c r="F612" s="12">
        <f t="shared" si="47"/>
        <v>66.666666666666657</v>
      </c>
      <c r="G612" s="12" t="str">
        <f t="shared" si="48"/>
        <v>Warning</v>
      </c>
      <c r="H612" s="13">
        <f t="shared" si="49"/>
        <v>6</v>
      </c>
      <c r="I612" s="14">
        <f t="shared" si="45"/>
        <v>1801.2399999999998</v>
      </c>
      <c r="K612" t="str">
        <f>[1]!revcom(C612)</f>
        <v>TCGGCT</v>
      </c>
      <c r="L612">
        <v>7</v>
      </c>
    </row>
    <row r="613" spans="1:12" ht="15.6" x14ac:dyDescent="0.3">
      <c r="A613" s="9">
        <v>602</v>
      </c>
      <c r="B613" s="1"/>
      <c r="C613" s="2" t="s">
        <v>608</v>
      </c>
      <c r="D613" s="1"/>
      <c r="E613" s="11">
        <f t="shared" si="46"/>
        <v>26</v>
      </c>
      <c r="F613" s="12">
        <f t="shared" si="47"/>
        <v>83.333333333333343</v>
      </c>
      <c r="G613" s="12" t="str">
        <f t="shared" si="48"/>
        <v>Warning</v>
      </c>
      <c r="H613" s="13">
        <f t="shared" si="49"/>
        <v>6</v>
      </c>
      <c r="I613" s="14">
        <f t="shared" si="45"/>
        <v>1777.21</v>
      </c>
      <c r="K613" t="str">
        <f>[1]!revcom(C613)</f>
        <v>GCGGCT</v>
      </c>
      <c r="L613">
        <v>7</v>
      </c>
    </row>
    <row r="614" spans="1:12" ht="15.6" x14ac:dyDescent="0.3">
      <c r="A614" s="9">
        <v>603</v>
      </c>
      <c r="B614" s="1"/>
      <c r="C614" s="2" t="s">
        <v>609</v>
      </c>
      <c r="D614" s="1"/>
      <c r="E614" s="11">
        <f t="shared" si="46"/>
        <v>26</v>
      </c>
      <c r="F614" s="12">
        <f t="shared" si="47"/>
        <v>83.333333333333343</v>
      </c>
      <c r="G614" s="12" t="str">
        <f t="shared" si="48"/>
        <v>Warning</v>
      </c>
      <c r="H614" s="13">
        <f t="shared" si="49"/>
        <v>6</v>
      </c>
      <c r="I614" s="14">
        <f t="shared" si="45"/>
        <v>1817.2400000000002</v>
      </c>
      <c r="K614" t="str">
        <f>[1]!revcom(C614)</f>
        <v>CCGGCT</v>
      </c>
      <c r="L614">
        <v>7</v>
      </c>
    </row>
    <row r="615" spans="1:12" ht="15.6" x14ac:dyDescent="0.3">
      <c r="A615" s="9">
        <v>604</v>
      </c>
      <c r="B615" s="1"/>
      <c r="C615" s="2" t="s">
        <v>610</v>
      </c>
      <c r="D615" s="1"/>
      <c r="E615" s="11">
        <f t="shared" si="46"/>
        <v>20</v>
      </c>
      <c r="F615" s="12">
        <f t="shared" si="47"/>
        <v>66.666666666666657</v>
      </c>
      <c r="G615" s="12" t="str">
        <f t="shared" si="48"/>
        <v>Warning</v>
      </c>
      <c r="H615" s="13">
        <f t="shared" si="49"/>
        <v>6</v>
      </c>
      <c r="I615" s="14">
        <f t="shared" si="45"/>
        <v>1792.2199999999998</v>
      </c>
      <c r="K615" t="str">
        <f>[1]!revcom(C615)</f>
        <v>ACGGCT</v>
      </c>
      <c r="L615">
        <v>6</v>
      </c>
    </row>
    <row r="616" spans="1:12" ht="15.6" x14ac:dyDescent="0.3">
      <c r="A616" s="9">
        <v>605</v>
      </c>
      <c r="B616" s="1"/>
      <c r="C616" s="2" t="s">
        <v>611</v>
      </c>
      <c r="D616" s="1"/>
      <c r="E616" s="11">
        <f t="shared" si="46"/>
        <v>22</v>
      </c>
      <c r="F616" s="12">
        <f t="shared" si="47"/>
        <v>50</v>
      </c>
      <c r="G616" s="12" t="str">
        <f t="shared" si="48"/>
        <v>Warning</v>
      </c>
      <c r="H616" s="13">
        <f t="shared" si="49"/>
        <v>6</v>
      </c>
      <c r="I616" s="14">
        <f t="shared" si="45"/>
        <v>1776.2199999999998</v>
      </c>
      <c r="K616" t="str">
        <f>[1]!revcom(C616)</f>
        <v>TAGGCT</v>
      </c>
      <c r="L616">
        <v>6</v>
      </c>
    </row>
    <row r="617" spans="1:12" ht="15.6" x14ac:dyDescent="0.3">
      <c r="A617" s="9">
        <v>606</v>
      </c>
      <c r="B617" s="1"/>
      <c r="C617" s="2" t="s">
        <v>612</v>
      </c>
      <c r="D617" s="1"/>
      <c r="E617" s="11">
        <f t="shared" si="46"/>
        <v>20</v>
      </c>
      <c r="F617" s="12">
        <f t="shared" si="47"/>
        <v>66.666666666666657</v>
      </c>
      <c r="G617" s="12" t="str">
        <f t="shared" si="48"/>
        <v>Warning</v>
      </c>
      <c r="H617" s="13">
        <f t="shared" si="49"/>
        <v>6</v>
      </c>
      <c r="I617" s="14">
        <f t="shared" si="45"/>
        <v>1752.19</v>
      </c>
      <c r="K617" t="str">
        <f>[1]!revcom(C617)</f>
        <v>GAGGCT</v>
      </c>
      <c r="L617">
        <v>6</v>
      </c>
    </row>
    <row r="618" spans="1:12" ht="15.6" x14ac:dyDescent="0.3">
      <c r="A618" s="9">
        <v>607</v>
      </c>
      <c r="B618" s="1"/>
      <c r="C618" s="2" t="s">
        <v>613</v>
      </c>
      <c r="D618" s="1"/>
      <c r="E618" s="11">
        <f t="shared" si="46"/>
        <v>20</v>
      </c>
      <c r="F618" s="12">
        <f t="shared" si="47"/>
        <v>66.666666666666657</v>
      </c>
      <c r="G618" s="12" t="str">
        <f t="shared" si="48"/>
        <v>Warning</v>
      </c>
      <c r="H618" s="13">
        <f t="shared" si="49"/>
        <v>6</v>
      </c>
      <c r="I618" s="14">
        <f t="shared" si="45"/>
        <v>1792.2199999999998</v>
      </c>
      <c r="K618" t="str">
        <f>[1]!revcom(C618)</f>
        <v>CAGGCT</v>
      </c>
      <c r="L618">
        <v>6</v>
      </c>
    </row>
    <row r="619" spans="1:12" ht="15.6" x14ac:dyDescent="0.3">
      <c r="A619" s="9">
        <v>608</v>
      </c>
      <c r="B619" s="1"/>
      <c r="C619" s="2" t="s">
        <v>614</v>
      </c>
      <c r="D619" s="1"/>
      <c r="E619" s="11">
        <f t="shared" si="46"/>
        <v>14</v>
      </c>
      <c r="F619" s="12">
        <f t="shared" si="47"/>
        <v>50</v>
      </c>
      <c r="G619" s="12" t="str">
        <f t="shared" si="48"/>
        <v>Warning</v>
      </c>
      <c r="H619" s="13">
        <f t="shared" si="49"/>
        <v>6</v>
      </c>
      <c r="I619" s="14">
        <f t="shared" si="45"/>
        <v>1767.1999999999998</v>
      </c>
      <c r="K619" t="str">
        <f>[1]!revcom(C619)</f>
        <v>AAGGCT</v>
      </c>
      <c r="L619">
        <v>5</v>
      </c>
    </row>
    <row r="620" spans="1:12" ht="15.6" x14ac:dyDescent="0.3">
      <c r="A620" s="9">
        <v>609</v>
      </c>
      <c r="B620" s="1"/>
      <c r="C620" s="2" t="s">
        <v>615</v>
      </c>
      <c r="D620" s="1"/>
      <c r="E620" s="11">
        <f t="shared" si="46"/>
        <v>30</v>
      </c>
      <c r="F620" s="12">
        <f t="shared" si="47"/>
        <v>50</v>
      </c>
      <c r="G620" s="12" t="str">
        <f t="shared" si="48"/>
        <v>Warning</v>
      </c>
      <c r="H620" s="13">
        <f t="shared" si="49"/>
        <v>6</v>
      </c>
      <c r="I620" s="14">
        <f t="shared" si="45"/>
        <v>1825.27</v>
      </c>
      <c r="K620" t="str">
        <f>[1]!revcom(C620)</f>
        <v>TTCGCT</v>
      </c>
      <c r="L620">
        <v>7</v>
      </c>
    </row>
    <row r="621" spans="1:12" ht="15.6" x14ac:dyDescent="0.3">
      <c r="A621" s="9">
        <v>610</v>
      </c>
      <c r="B621" s="1"/>
      <c r="C621" s="2" t="s">
        <v>616</v>
      </c>
      <c r="D621" s="1"/>
      <c r="E621" s="11">
        <f t="shared" si="46"/>
        <v>28</v>
      </c>
      <c r="F621" s="12">
        <f t="shared" si="47"/>
        <v>66.666666666666657</v>
      </c>
      <c r="G621" s="12" t="str">
        <f t="shared" si="48"/>
        <v>Warning</v>
      </c>
      <c r="H621" s="13">
        <f t="shared" si="49"/>
        <v>6</v>
      </c>
      <c r="I621" s="14">
        <f t="shared" si="45"/>
        <v>1801.2399999999998</v>
      </c>
      <c r="K621" t="str">
        <f>[1]!revcom(C621)</f>
        <v>GTCGCT</v>
      </c>
      <c r="L621">
        <v>7</v>
      </c>
    </row>
    <row r="622" spans="1:12" ht="15.6" x14ac:dyDescent="0.3">
      <c r="A622" s="9">
        <v>611</v>
      </c>
      <c r="B622" s="1"/>
      <c r="C622" s="2" t="s">
        <v>617</v>
      </c>
      <c r="D622" s="1"/>
      <c r="E622" s="11">
        <f t="shared" si="46"/>
        <v>28</v>
      </c>
      <c r="F622" s="12">
        <f t="shared" si="47"/>
        <v>66.666666666666657</v>
      </c>
      <c r="G622" s="12" t="str">
        <f t="shared" si="48"/>
        <v>Warning</v>
      </c>
      <c r="H622" s="13">
        <f t="shared" si="49"/>
        <v>6</v>
      </c>
      <c r="I622" s="14">
        <f t="shared" si="45"/>
        <v>1841.27</v>
      </c>
      <c r="K622" t="str">
        <f>[1]!revcom(C622)</f>
        <v>CTCGCT</v>
      </c>
      <c r="L622">
        <v>7</v>
      </c>
    </row>
    <row r="623" spans="1:12" ht="15.6" x14ac:dyDescent="0.3">
      <c r="A623" s="9">
        <v>612</v>
      </c>
      <c r="B623" s="1"/>
      <c r="C623" s="2" t="s">
        <v>618</v>
      </c>
      <c r="D623" s="1"/>
      <c r="E623" s="11">
        <f t="shared" si="46"/>
        <v>22</v>
      </c>
      <c r="F623" s="12">
        <f t="shared" si="47"/>
        <v>50</v>
      </c>
      <c r="G623" s="12" t="str">
        <f t="shared" si="48"/>
        <v>Warning</v>
      </c>
      <c r="H623" s="13">
        <f t="shared" si="49"/>
        <v>6</v>
      </c>
      <c r="I623" s="14">
        <f t="shared" si="45"/>
        <v>1816.25</v>
      </c>
      <c r="K623" t="str">
        <f>[1]!revcom(C623)</f>
        <v>ATCGCT</v>
      </c>
      <c r="L623">
        <v>6</v>
      </c>
    </row>
    <row r="624" spans="1:12" ht="15.6" x14ac:dyDescent="0.3">
      <c r="A624" s="9">
        <v>613</v>
      </c>
      <c r="B624" s="1"/>
      <c r="C624" s="2" t="s">
        <v>619</v>
      </c>
      <c r="D624" s="1"/>
      <c r="E624" s="11">
        <f t="shared" si="46"/>
        <v>28</v>
      </c>
      <c r="F624" s="12">
        <f t="shared" si="47"/>
        <v>66.666666666666657</v>
      </c>
      <c r="G624" s="12" t="str">
        <f t="shared" si="48"/>
        <v>Warning</v>
      </c>
      <c r="H624" s="13">
        <f t="shared" si="49"/>
        <v>6</v>
      </c>
      <c r="I624" s="14">
        <f t="shared" si="45"/>
        <v>1801.2399999999998</v>
      </c>
      <c r="K624" t="str">
        <f>[1]!revcom(C624)</f>
        <v>TGCGCT</v>
      </c>
      <c r="L624">
        <v>7</v>
      </c>
    </row>
    <row r="625" spans="1:12" ht="15.6" x14ac:dyDescent="0.3">
      <c r="A625" s="9">
        <v>614</v>
      </c>
      <c r="B625" s="1"/>
      <c r="C625" s="2" t="s">
        <v>620</v>
      </c>
      <c r="D625" s="1"/>
      <c r="E625" s="11">
        <f t="shared" si="46"/>
        <v>26</v>
      </c>
      <c r="F625" s="12">
        <f t="shared" si="47"/>
        <v>83.333333333333343</v>
      </c>
      <c r="G625" s="12" t="str">
        <f t="shared" si="48"/>
        <v>Warning</v>
      </c>
      <c r="H625" s="13">
        <f t="shared" si="49"/>
        <v>6</v>
      </c>
      <c r="I625" s="14">
        <f t="shared" si="45"/>
        <v>1777.21</v>
      </c>
      <c r="K625" t="str">
        <f>[1]!revcom(C625)</f>
        <v>GGCGCT</v>
      </c>
      <c r="L625">
        <v>7</v>
      </c>
    </row>
    <row r="626" spans="1:12" ht="15.6" x14ac:dyDescent="0.3">
      <c r="A626" s="9">
        <v>615</v>
      </c>
      <c r="B626" s="1"/>
      <c r="C626" s="2" t="s">
        <v>621</v>
      </c>
      <c r="D626" s="1"/>
      <c r="E626" s="11">
        <f t="shared" si="46"/>
        <v>26</v>
      </c>
      <c r="F626" s="12">
        <f t="shared" si="47"/>
        <v>83.333333333333343</v>
      </c>
      <c r="G626" s="12" t="str">
        <f t="shared" si="48"/>
        <v>Warning</v>
      </c>
      <c r="H626" s="13">
        <f t="shared" si="49"/>
        <v>6</v>
      </c>
      <c r="I626" s="14">
        <f t="shared" si="45"/>
        <v>1817.2400000000002</v>
      </c>
      <c r="K626" t="str">
        <f>[1]!revcom(C626)</f>
        <v>CGCGCT</v>
      </c>
      <c r="L626">
        <v>7</v>
      </c>
    </row>
    <row r="627" spans="1:12" ht="15.6" x14ac:dyDescent="0.3">
      <c r="A627" s="9">
        <v>616</v>
      </c>
      <c r="B627" s="1"/>
      <c r="C627" s="2" t="s">
        <v>622</v>
      </c>
      <c r="D627" s="1"/>
      <c r="E627" s="11">
        <f t="shared" si="46"/>
        <v>20</v>
      </c>
      <c r="F627" s="12">
        <f t="shared" si="47"/>
        <v>66.666666666666657</v>
      </c>
      <c r="G627" s="12" t="str">
        <f t="shared" si="48"/>
        <v>Warning</v>
      </c>
      <c r="H627" s="13">
        <f t="shared" si="49"/>
        <v>6</v>
      </c>
      <c r="I627" s="14">
        <f t="shared" si="45"/>
        <v>1792.2199999999998</v>
      </c>
      <c r="K627" t="str">
        <f>[1]!revcom(C627)</f>
        <v>AGCGCT</v>
      </c>
      <c r="L627">
        <v>6</v>
      </c>
    </row>
    <row r="628" spans="1:12" ht="15.6" x14ac:dyDescent="0.3">
      <c r="A628" s="9">
        <v>617</v>
      </c>
      <c r="B628" s="1"/>
      <c r="C628" s="2" t="s">
        <v>623</v>
      </c>
      <c r="D628" s="1"/>
      <c r="E628" s="11">
        <f t="shared" si="46"/>
        <v>28</v>
      </c>
      <c r="F628" s="12">
        <f t="shared" si="47"/>
        <v>66.666666666666657</v>
      </c>
      <c r="G628" s="12" t="str">
        <f t="shared" si="48"/>
        <v>Warning</v>
      </c>
      <c r="H628" s="13">
        <f t="shared" si="49"/>
        <v>6</v>
      </c>
      <c r="I628" s="14">
        <f t="shared" si="45"/>
        <v>1841.27</v>
      </c>
      <c r="K628" t="str">
        <f>[1]!revcom(C628)</f>
        <v>TCCGCT</v>
      </c>
      <c r="L628">
        <v>7</v>
      </c>
    </row>
    <row r="629" spans="1:12" ht="15.6" x14ac:dyDescent="0.3">
      <c r="A629" s="9">
        <v>618</v>
      </c>
      <c r="B629" s="1"/>
      <c r="C629" s="2" t="s">
        <v>624</v>
      </c>
      <c r="D629" s="1"/>
      <c r="E629" s="11">
        <f t="shared" si="46"/>
        <v>26</v>
      </c>
      <c r="F629" s="12">
        <f t="shared" si="47"/>
        <v>83.333333333333343</v>
      </c>
      <c r="G629" s="12" t="str">
        <f t="shared" si="48"/>
        <v>Warning</v>
      </c>
      <c r="H629" s="13">
        <f t="shared" si="49"/>
        <v>6</v>
      </c>
      <c r="I629" s="14">
        <f t="shared" si="45"/>
        <v>1817.2400000000002</v>
      </c>
      <c r="K629" t="str">
        <f>[1]!revcom(C629)</f>
        <v>GCCGCT</v>
      </c>
      <c r="L629">
        <v>7</v>
      </c>
    </row>
    <row r="630" spans="1:12" ht="15.6" x14ac:dyDescent="0.3">
      <c r="A630" s="9">
        <v>619</v>
      </c>
      <c r="B630" s="1"/>
      <c r="C630" s="2" t="s">
        <v>625</v>
      </c>
      <c r="D630" s="1"/>
      <c r="E630" s="11">
        <f t="shared" si="46"/>
        <v>26</v>
      </c>
      <c r="F630" s="12">
        <f t="shared" si="47"/>
        <v>83.333333333333343</v>
      </c>
      <c r="G630" s="12" t="str">
        <f t="shared" si="48"/>
        <v>Warning</v>
      </c>
      <c r="H630" s="13">
        <f t="shared" si="49"/>
        <v>6</v>
      </c>
      <c r="I630" s="14">
        <f t="shared" si="45"/>
        <v>1857.27</v>
      </c>
      <c r="K630" t="str">
        <f>[1]!revcom(C630)</f>
        <v>CCCGCT</v>
      </c>
      <c r="L630">
        <v>7</v>
      </c>
    </row>
    <row r="631" spans="1:12" ht="15.6" x14ac:dyDescent="0.3">
      <c r="A631" s="9">
        <v>620</v>
      </c>
      <c r="B631" s="1"/>
      <c r="C631" s="2" t="s">
        <v>626</v>
      </c>
      <c r="D631" s="1"/>
      <c r="E631" s="11">
        <f t="shared" si="46"/>
        <v>20</v>
      </c>
      <c r="F631" s="12">
        <f t="shared" si="47"/>
        <v>66.666666666666657</v>
      </c>
      <c r="G631" s="12" t="str">
        <f t="shared" si="48"/>
        <v>Warning</v>
      </c>
      <c r="H631" s="13">
        <f t="shared" si="49"/>
        <v>6</v>
      </c>
      <c r="I631" s="14">
        <f t="shared" si="45"/>
        <v>1832.25</v>
      </c>
      <c r="K631" t="str">
        <f>[1]!revcom(C631)</f>
        <v>ACCGCT</v>
      </c>
      <c r="L631">
        <v>6</v>
      </c>
    </row>
    <row r="632" spans="1:12" ht="15.6" x14ac:dyDescent="0.3">
      <c r="A632" s="9">
        <v>621</v>
      </c>
      <c r="B632" s="1"/>
      <c r="C632" s="2" t="s">
        <v>627</v>
      </c>
      <c r="D632" s="1"/>
      <c r="E632" s="11">
        <f t="shared" si="46"/>
        <v>22</v>
      </c>
      <c r="F632" s="12">
        <f t="shared" si="47"/>
        <v>50</v>
      </c>
      <c r="G632" s="12" t="str">
        <f t="shared" si="48"/>
        <v>Warning</v>
      </c>
      <c r="H632" s="13">
        <f t="shared" si="49"/>
        <v>6</v>
      </c>
      <c r="I632" s="14">
        <f t="shared" si="45"/>
        <v>1816.25</v>
      </c>
      <c r="K632" t="str">
        <f>[1]!revcom(C632)</f>
        <v>TACGCT</v>
      </c>
      <c r="L632">
        <v>6</v>
      </c>
    </row>
    <row r="633" spans="1:12" ht="15.6" x14ac:dyDescent="0.3">
      <c r="A633" s="9">
        <v>622</v>
      </c>
      <c r="B633" s="1"/>
      <c r="C633" s="2" t="s">
        <v>628</v>
      </c>
      <c r="D633" s="1"/>
      <c r="E633" s="11">
        <f t="shared" si="46"/>
        <v>20</v>
      </c>
      <c r="F633" s="12">
        <f t="shared" si="47"/>
        <v>66.666666666666657</v>
      </c>
      <c r="G633" s="12" t="str">
        <f t="shared" si="48"/>
        <v>Warning</v>
      </c>
      <c r="H633" s="13">
        <f t="shared" si="49"/>
        <v>6</v>
      </c>
      <c r="I633" s="14">
        <f t="shared" si="45"/>
        <v>1792.2199999999998</v>
      </c>
      <c r="K633" t="str">
        <f>[1]!revcom(C633)</f>
        <v>GACGCT</v>
      </c>
      <c r="L633">
        <v>6</v>
      </c>
    </row>
    <row r="634" spans="1:12" ht="15.6" x14ac:dyDescent="0.3">
      <c r="A634" s="9">
        <v>623</v>
      </c>
      <c r="B634" s="1"/>
      <c r="C634" s="2" t="s">
        <v>629</v>
      </c>
      <c r="D634" s="1"/>
      <c r="E634" s="11">
        <f t="shared" si="46"/>
        <v>20</v>
      </c>
      <c r="F634" s="12">
        <f t="shared" si="47"/>
        <v>66.666666666666657</v>
      </c>
      <c r="G634" s="12" t="str">
        <f t="shared" si="48"/>
        <v>Warning</v>
      </c>
      <c r="H634" s="13">
        <f t="shared" si="49"/>
        <v>6</v>
      </c>
      <c r="I634" s="14">
        <f t="shared" si="45"/>
        <v>1832.25</v>
      </c>
      <c r="K634" t="str">
        <f>[1]!revcom(C634)</f>
        <v>CACGCT</v>
      </c>
      <c r="L634">
        <v>6</v>
      </c>
    </row>
    <row r="635" spans="1:12" ht="15.6" x14ac:dyDescent="0.3">
      <c r="A635" s="9">
        <v>624</v>
      </c>
      <c r="B635" s="1"/>
      <c r="C635" s="2" t="s">
        <v>630</v>
      </c>
      <c r="D635" s="1"/>
      <c r="E635" s="11">
        <f t="shared" si="46"/>
        <v>14</v>
      </c>
      <c r="F635" s="12">
        <f t="shared" si="47"/>
        <v>50</v>
      </c>
      <c r="G635" s="12" t="str">
        <f t="shared" si="48"/>
        <v>Warning</v>
      </c>
      <c r="H635" s="13">
        <f t="shared" si="49"/>
        <v>6</v>
      </c>
      <c r="I635" s="14">
        <f t="shared" si="45"/>
        <v>1807.23</v>
      </c>
      <c r="K635" t="str">
        <f>[1]!revcom(C635)</f>
        <v>AACGCT</v>
      </c>
      <c r="L635">
        <v>5</v>
      </c>
    </row>
    <row r="636" spans="1:12" ht="15.6" x14ac:dyDescent="0.3">
      <c r="A636" s="9">
        <v>625</v>
      </c>
      <c r="B636" s="1"/>
      <c r="C636" s="2" t="s">
        <v>631</v>
      </c>
      <c r="D636" s="1"/>
      <c r="E636" s="11">
        <f t="shared" si="46"/>
        <v>24</v>
      </c>
      <c r="F636" s="12">
        <f t="shared" si="47"/>
        <v>33.333333333333329</v>
      </c>
      <c r="G636" s="12" t="str">
        <f t="shared" si="48"/>
        <v>OK</v>
      </c>
      <c r="H636" s="13">
        <f t="shared" si="49"/>
        <v>6</v>
      </c>
      <c r="I636" s="14">
        <f t="shared" si="45"/>
        <v>1800.25</v>
      </c>
      <c r="K636" t="str">
        <f>[1]!revcom(C636)</f>
        <v>TTAGCT</v>
      </c>
      <c r="L636">
        <v>6</v>
      </c>
    </row>
    <row r="637" spans="1:12" ht="15.6" x14ac:dyDescent="0.3">
      <c r="A637" s="9">
        <v>626</v>
      </c>
      <c r="B637" s="1"/>
      <c r="C637" s="2" t="s">
        <v>632</v>
      </c>
      <c r="D637" s="1"/>
      <c r="E637" s="11">
        <f t="shared" si="46"/>
        <v>22</v>
      </c>
      <c r="F637" s="12">
        <f t="shared" si="47"/>
        <v>50</v>
      </c>
      <c r="G637" s="12" t="str">
        <f t="shared" si="48"/>
        <v>Warning</v>
      </c>
      <c r="H637" s="13">
        <f t="shared" si="49"/>
        <v>6</v>
      </c>
      <c r="I637" s="14">
        <f t="shared" si="45"/>
        <v>1776.2199999999998</v>
      </c>
      <c r="K637" t="str">
        <f>[1]!revcom(C637)</f>
        <v>GTAGCT</v>
      </c>
      <c r="L637">
        <v>6</v>
      </c>
    </row>
    <row r="638" spans="1:12" ht="15.6" x14ac:dyDescent="0.3">
      <c r="A638" s="9">
        <v>627</v>
      </c>
      <c r="B638" s="1"/>
      <c r="C638" s="2" t="s">
        <v>633</v>
      </c>
      <c r="D638" s="1"/>
      <c r="E638" s="11">
        <f t="shared" si="46"/>
        <v>22</v>
      </c>
      <c r="F638" s="12">
        <f t="shared" si="47"/>
        <v>50</v>
      </c>
      <c r="G638" s="12" t="str">
        <f t="shared" si="48"/>
        <v>Warning</v>
      </c>
      <c r="H638" s="13">
        <f t="shared" si="49"/>
        <v>6</v>
      </c>
      <c r="I638" s="14">
        <f t="shared" si="45"/>
        <v>1816.25</v>
      </c>
      <c r="K638" t="str">
        <f>[1]!revcom(C638)</f>
        <v>CTAGCT</v>
      </c>
      <c r="L638">
        <v>6</v>
      </c>
    </row>
    <row r="639" spans="1:12" ht="15.6" x14ac:dyDescent="0.3">
      <c r="A639" s="9">
        <v>628</v>
      </c>
      <c r="B639" s="1"/>
      <c r="C639" s="2" t="s">
        <v>634</v>
      </c>
      <c r="D639" s="1"/>
      <c r="E639" s="11">
        <f t="shared" si="46"/>
        <v>16</v>
      </c>
      <c r="F639" s="12">
        <f t="shared" si="47"/>
        <v>33.333333333333329</v>
      </c>
      <c r="G639" s="12" t="str">
        <f t="shared" si="48"/>
        <v>OK</v>
      </c>
      <c r="H639" s="13">
        <f t="shared" si="49"/>
        <v>6</v>
      </c>
      <c r="I639" s="14">
        <f t="shared" si="45"/>
        <v>1791.23</v>
      </c>
      <c r="K639" t="str">
        <f>[1]!revcom(C639)</f>
        <v>ATAGCT</v>
      </c>
      <c r="L639">
        <v>5</v>
      </c>
    </row>
    <row r="640" spans="1:12" ht="15.6" x14ac:dyDescent="0.3">
      <c r="A640" s="9">
        <v>629</v>
      </c>
      <c r="B640" s="1"/>
      <c r="C640" s="2" t="s">
        <v>635</v>
      </c>
      <c r="D640" s="1"/>
      <c r="E640" s="11">
        <f t="shared" si="46"/>
        <v>22</v>
      </c>
      <c r="F640" s="12">
        <f t="shared" si="47"/>
        <v>50</v>
      </c>
      <c r="G640" s="12" t="str">
        <f t="shared" si="48"/>
        <v>Warning</v>
      </c>
      <c r="H640" s="13">
        <f t="shared" si="49"/>
        <v>6</v>
      </c>
      <c r="I640" s="14">
        <f t="shared" si="45"/>
        <v>1776.2199999999998</v>
      </c>
      <c r="K640" t="str">
        <f>[1]!revcom(C640)</f>
        <v>TGAGCT</v>
      </c>
      <c r="L640">
        <v>6</v>
      </c>
    </row>
    <row r="641" spans="1:12" ht="15.6" x14ac:dyDescent="0.3">
      <c r="A641" s="9">
        <v>630</v>
      </c>
      <c r="B641" s="1"/>
      <c r="C641" s="2" t="s">
        <v>636</v>
      </c>
      <c r="D641" s="1"/>
      <c r="E641" s="11">
        <f t="shared" si="46"/>
        <v>20</v>
      </c>
      <c r="F641" s="12">
        <f t="shared" si="47"/>
        <v>66.666666666666657</v>
      </c>
      <c r="G641" s="12" t="str">
        <f t="shared" si="48"/>
        <v>Warning</v>
      </c>
      <c r="H641" s="13">
        <f t="shared" si="49"/>
        <v>6</v>
      </c>
      <c r="I641" s="14">
        <f t="shared" si="45"/>
        <v>1752.19</v>
      </c>
      <c r="K641" t="str">
        <f>[1]!revcom(C641)</f>
        <v>GGAGCT</v>
      </c>
      <c r="L641">
        <v>6</v>
      </c>
    </row>
    <row r="642" spans="1:12" ht="15.6" x14ac:dyDescent="0.3">
      <c r="A642" s="9">
        <v>631</v>
      </c>
      <c r="B642" s="1"/>
      <c r="C642" s="2" t="s">
        <v>637</v>
      </c>
      <c r="D642" s="1"/>
      <c r="E642" s="11">
        <f t="shared" si="46"/>
        <v>20</v>
      </c>
      <c r="F642" s="12">
        <f t="shared" si="47"/>
        <v>66.666666666666657</v>
      </c>
      <c r="G642" s="12" t="str">
        <f t="shared" si="48"/>
        <v>Warning</v>
      </c>
      <c r="H642" s="13">
        <f t="shared" si="49"/>
        <v>6</v>
      </c>
      <c r="I642" s="14">
        <f t="shared" si="45"/>
        <v>1792.2199999999998</v>
      </c>
      <c r="K642" t="str">
        <f>[1]!revcom(C642)</f>
        <v>CGAGCT</v>
      </c>
      <c r="L642">
        <v>6</v>
      </c>
    </row>
    <row r="643" spans="1:12" ht="15.6" x14ac:dyDescent="0.3">
      <c r="A643" s="9">
        <v>632</v>
      </c>
      <c r="B643" s="1"/>
      <c r="C643" s="2" t="s">
        <v>638</v>
      </c>
      <c r="D643" s="1"/>
      <c r="E643" s="11">
        <f t="shared" si="46"/>
        <v>14</v>
      </c>
      <c r="F643" s="12">
        <f t="shared" si="47"/>
        <v>50</v>
      </c>
      <c r="G643" s="12" t="str">
        <f t="shared" si="48"/>
        <v>Warning</v>
      </c>
      <c r="H643" s="13">
        <f t="shared" si="49"/>
        <v>6</v>
      </c>
      <c r="I643" s="14">
        <f t="shared" si="45"/>
        <v>1767.1999999999998</v>
      </c>
      <c r="K643" t="str">
        <f>[1]!revcom(C643)</f>
        <v>AGAGCT</v>
      </c>
      <c r="L643">
        <v>5</v>
      </c>
    </row>
    <row r="644" spans="1:12" ht="15.6" x14ac:dyDescent="0.3">
      <c r="A644" s="9">
        <v>633</v>
      </c>
      <c r="B644" s="1"/>
      <c r="C644" s="2" t="s">
        <v>639</v>
      </c>
      <c r="D644" s="1"/>
      <c r="E644" s="11">
        <f t="shared" si="46"/>
        <v>22</v>
      </c>
      <c r="F644" s="12">
        <f t="shared" si="47"/>
        <v>50</v>
      </c>
      <c r="G644" s="12" t="str">
        <f t="shared" si="48"/>
        <v>Warning</v>
      </c>
      <c r="H644" s="13">
        <f t="shared" si="49"/>
        <v>6</v>
      </c>
      <c r="I644" s="14">
        <f t="shared" si="45"/>
        <v>1816.25</v>
      </c>
      <c r="K644" t="str">
        <f>[1]!revcom(C644)</f>
        <v>TCAGCT</v>
      </c>
      <c r="L644">
        <v>6</v>
      </c>
    </row>
    <row r="645" spans="1:12" ht="15.6" x14ac:dyDescent="0.3">
      <c r="A645" s="9">
        <v>634</v>
      </c>
      <c r="B645" s="1"/>
      <c r="C645" s="2" t="s">
        <v>640</v>
      </c>
      <c r="D645" s="1"/>
      <c r="E645" s="11">
        <f t="shared" si="46"/>
        <v>20</v>
      </c>
      <c r="F645" s="12">
        <f t="shared" si="47"/>
        <v>66.666666666666657</v>
      </c>
      <c r="G645" s="12" t="str">
        <f t="shared" si="48"/>
        <v>Warning</v>
      </c>
      <c r="H645" s="13">
        <f t="shared" si="49"/>
        <v>6</v>
      </c>
      <c r="I645" s="14">
        <f t="shared" si="45"/>
        <v>1792.2199999999998</v>
      </c>
      <c r="K645" t="str">
        <f>[1]!revcom(C645)</f>
        <v>GCAGCT</v>
      </c>
      <c r="L645">
        <v>6</v>
      </c>
    </row>
    <row r="646" spans="1:12" ht="15.6" x14ac:dyDescent="0.3">
      <c r="A646" s="9">
        <v>635</v>
      </c>
      <c r="B646" s="1"/>
      <c r="C646" s="2" t="s">
        <v>641</v>
      </c>
      <c r="D646" s="1"/>
      <c r="E646" s="11">
        <f t="shared" si="46"/>
        <v>20</v>
      </c>
      <c r="F646" s="12">
        <f t="shared" si="47"/>
        <v>66.666666666666657</v>
      </c>
      <c r="G646" s="12" t="str">
        <f t="shared" si="48"/>
        <v>Warning</v>
      </c>
      <c r="H646" s="13">
        <f t="shared" si="49"/>
        <v>6</v>
      </c>
      <c r="I646" s="14">
        <f t="shared" si="45"/>
        <v>1832.25</v>
      </c>
      <c r="K646" t="str">
        <f>[1]!revcom(C646)</f>
        <v>CCAGCT</v>
      </c>
      <c r="L646">
        <v>6</v>
      </c>
    </row>
    <row r="647" spans="1:12" ht="15.6" x14ac:dyDescent="0.3">
      <c r="A647" s="9">
        <v>636</v>
      </c>
      <c r="B647" s="1"/>
      <c r="C647" s="2" t="s">
        <v>642</v>
      </c>
      <c r="D647" s="1"/>
      <c r="E647" s="11">
        <f t="shared" si="46"/>
        <v>14</v>
      </c>
      <c r="F647" s="12">
        <f t="shared" si="47"/>
        <v>50</v>
      </c>
      <c r="G647" s="12" t="str">
        <f t="shared" si="48"/>
        <v>Warning</v>
      </c>
      <c r="H647" s="13">
        <f t="shared" si="49"/>
        <v>6</v>
      </c>
      <c r="I647" s="14">
        <f t="shared" si="45"/>
        <v>1807.23</v>
      </c>
      <c r="K647" t="str">
        <f>[1]!revcom(C647)</f>
        <v>ACAGCT</v>
      </c>
      <c r="L647">
        <v>5</v>
      </c>
    </row>
    <row r="648" spans="1:12" ht="15.6" x14ac:dyDescent="0.3">
      <c r="A648" s="9">
        <v>637</v>
      </c>
      <c r="B648" s="1"/>
      <c r="C648" s="2" t="s">
        <v>643</v>
      </c>
      <c r="D648" s="1"/>
      <c r="E648" s="11">
        <f t="shared" si="46"/>
        <v>16</v>
      </c>
      <c r="F648" s="12">
        <f t="shared" si="47"/>
        <v>33.333333333333329</v>
      </c>
      <c r="G648" s="12" t="str">
        <f t="shared" si="48"/>
        <v>OK</v>
      </c>
      <c r="H648" s="13">
        <f t="shared" si="49"/>
        <v>6</v>
      </c>
      <c r="I648" s="14">
        <f t="shared" si="45"/>
        <v>1791.23</v>
      </c>
      <c r="K648" t="str">
        <f>[1]!revcom(C648)</f>
        <v>TAAGCT</v>
      </c>
      <c r="L648">
        <v>5</v>
      </c>
    </row>
    <row r="649" spans="1:12" ht="15.6" x14ac:dyDescent="0.3">
      <c r="A649" s="9">
        <v>638</v>
      </c>
      <c r="B649" s="1"/>
      <c r="C649" s="2" t="s">
        <v>644</v>
      </c>
      <c r="D649" s="1"/>
      <c r="E649" s="11">
        <f t="shared" si="46"/>
        <v>14</v>
      </c>
      <c r="F649" s="12">
        <f t="shared" si="47"/>
        <v>50</v>
      </c>
      <c r="G649" s="12" t="str">
        <f t="shared" si="48"/>
        <v>Warning</v>
      </c>
      <c r="H649" s="13">
        <f t="shared" si="49"/>
        <v>6</v>
      </c>
      <c r="I649" s="14">
        <f t="shared" si="45"/>
        <v>1767.1999999999998</v>
      </c>
      <c r="K649" t="str">
        <f>[1]!revcom(C649)</f>
        <v>GAAGCT</v>
      </c>
      <c r="L649">
        <v>5</v>
      </c>
    </row>
    <row r="650" spans="1:12" ht="15.6" x14ac:dyDescent="0.3">
      <c r="A650" s="9">
        <v>639</v>
      </c>
      <c r="B650" s="1"/>
      <c r="C650" s="2" t="s">
        <v>645</v>
      </c>
      <c r="D650" s="1"/>
      <c r="E650" s="11">
        <f t="shared" si="46"/>
        <v>14</v>
      </c>
      <c r="F650" s="12">
        <f t="shared" si="47"/>
        <v>50</v>
      </c>
      <c r="G650" s="12" t="str">
        <f t="shared" si="48"/>
        <v>Warning</v>
      </c>
      <c r="H650" s="13">
        <f t="shared" si="49"/>
        <v>6</v>
      </c>
      <c r="I650" s="14">
        <f t="shared" si="45"/>
        <v>1807.23</v>
      </c>
      <c r="K650" t="str">
        <f>[1]!revcom(C650)</f>
        <v>CAAGCT</v>
      </c>
      <c r="L650">
        <v>5</v>
      </c>
    </row>
    <row r="651" spans="1:12" ht="15.6" x14ac:dyDescent="0.3">
      <c r="A651" s="9">
        <v>640</v>
      </c>
      <c r="B651" s="1"/>
      <c r="C651" s="2" t="s">
        <v>646</v>
      </c>
      <c r="D651" s="1"/>
      <c r="E651" s="11">
        <f t="shared" si="46"/>
        <v>8</v>
      </c>
      <c r="F651" s="12">
        <f t="shared" si="47"/>
        <v>33.333333333333329</v>
      </c>
      <c r="G651" s="12" t="str">
        <f t="shared" si="48"/>
        <v>OK</v>
      </c>
      <c r="H651" s="13">
        <f t="shared" si="49"/>
        <v>6</v>
      </c>
      <c r="I651" s="14">
        <f t="shared" si="45"/>
        <v>1782.21</v>
      </c>
      <c r="K651" t="str">
        <f>[1]!revcom(C651)</f>
        <v>AAAGCT</v>
      </c>
      <c r="L651">
        <v>4</v>
      </c>
    </row>
    <row r="652" spans="1:12" ht="15.6" x14ac:dyDescent="0.3">
      <c r="A652" s="9">
        <v>641</v>
      </c>
      <c r="B652" s="1"/>
      <c r="C652" s="2" t="s">
        <v>647</v>
      </c>
      <c r="D652" s="1"/>
      <c r="E652" s="11">
        <f t="shared" si="46"/>
        <v>32</v>
      </c>
      <c r="F652" s="12">
        <f t="shared" si="47"/>
        <v>33.333333333333329</v>
      </c>
      <c r="G652" s="12" t="str">
        <f t="shared" si="48"/>
        <v>OK</v>
      </c>
      <c r="H652" s="13">
        <f t="shared" si="49"/>
        <v>6</v>
      </c>
      <c r="I652" s="14">
        <f t="shared" si="45"/>
        <v>1849.3000000000002</v>
      </c>
      <c r="K652" t="str">
        <f>[1]!revcom(C652)</f>
        <v>TTTCCT</v>
      </c>
      <c r="L652">
        <v>8</v>
      </c>
    </row>
    <row r="653" spans="1:12" ht="15.6" x14ac:dyDescent="0.3">
      <c r="A653" s="9">
        <v>642</v>
      </c>
      <c r="B653" s="1"/>
      <c r="C653" s="2" t="s">
        <v>648</v>
      </c>
      <c r="D653" s="1"/>
      <c r="E653" s="11">
        <f t="shared" si="46"/>
        <v>30</v>
      </c>
      <c r="F653" s="12">
        <f t="shared" si="47"/>
        <v>50</v>
      </c>
      <c r="G653" s="12" t="str">
        <f t="shared" si="48"/>
        <v>Warning</v>
      </c>
      <c r="H653" s="13">
        <f t="shared" si="49"/>
        <v>6</v>
      </c>
      <c r="I653" s="14">
        <f t="shared" ref="I653:I716" si="50">((LEN(C653)-(LEN(SUBSTITUTE(C653,"A",""))))*249.23)+((LEN(C653)-(LEN(SUBSTITUTE(C653,"T",""))))*240.21)+((LEN(C653)-(LEN(SUBSTITUTE(C653,"C",""))))*225.2)+((LEN(C653)-(LEN(SUBSTITUTE(C653,"G",""))))*265.23)+(63.98*(LEN(C653)-1)+(2.02))</f>
        <v>1825.27</v>
      </c>
      <c r="K653" t="str">
        <f>[1]!revcom(C653)</f>
        <v>GTTCCT</v>
      </c>
      <c r="L653">
        <v>7</v>
      </c>
    </row>
    <row r="654" spans="1:12" ht="15.6" x14ac:dyDescent="0.3">
      <c r="A654" s="9">
        <v>643</v>
      </c>
      <c r="B654" s="1"/>
      <c r="C654" s="2" t="s">
        <v>649</v>
      </c>
      <c r="D654" s="1"/>
      <c r="E654" s="11">
        <f t="shared" ref="E654:E717" si="51">IF(LEN(C654)&gt;15,(69.3+((41*((LEN(C654)-(((LEN(C654)-(LEN(SUBSTITUTE(C654,"A",""))))+((LEN(C654)-(LEN(SUBSTITUTE(C654,"T","")))))))))/(LEN(C654)))-(650/(LEN(C654))))),(2*((LEN(C654)-(((LEN(C654)-(LEN(SUBSTITUTE(C654,"C",""))))+((LEN(C654)-(LEN(SUBSTITUTE(C654,"G",""))))))))))+(4*((LEN(C654)-(((LEN(C654)-(LEN(SUBSTITUTE(C654,"T",""))))+((LEN(C654)-(LEN(SUBSTITUTE(C654,"T","")))))))))))</f>
        <v>30</v>
      </c>
      <c r="F654" s="12">
        <f t="shared" ref="F654:F717" si="52">((LEN(C654)- LEN(SUBSTITUTE(C654,"G","")))+(LEN(C654)- LEN(SUBSTITUTE(C654,"C",""))) )/LEN(C654)*100</f>
        <v>50</v>
      </c>
      <c r="G654" s="12" t="str">
        <f t="shared" ref="G654:G717" si="53">IF((-5+((LEN(SUBSTITUTE(RIGHT(C654,5),"C","")))+((LEN(SUBSTITUTE(RIGHT(C654,5),"G",""))))))&gt;=3,"OK","Warning")</f>
        <v>Warning</v>
      </c>
      <c r="H654" s="13">
        <f t="shared" ref="H654:H717" si="54">LEN(C654)</f>
        <v>6</v>
      </c>
      <c r="I654" s="14">
        <f t="shared" si="50"/>
        <v>1865.3000000000002</v>
      </c>
      <c r="K654" t="str">
        <f>[1]!revcom(C654)</f>
        <v>CTTCCT</v>
      </c>
      <c r="L654">
        <v>7</v>
      </c>
    </row>
    <row r="655" spans="1:12" ht="15.6" x14ac:dyDescent="0.3">
      <c r="A655" s="9">
        <v>644</v>
      </c>
      <c r="B655" s="1"/>
      <c r="C655" s="2" t="s">
        <v>650</v>
      </c>
      <c r="D655" s="1"/>
      <c r="E655" s="11">
        <f t="shared" si="51"/>
        <v>24</v>
      </c>
      <c r="F655" s="12">
        <f t="shared" si="52"/>
        <v>33.333333333333329</v>
      </c>
      <c r="G655" s="12" t="str">
        <f t="shared" si="53"/>
        <v>OK</v>
      </c>
      <c r="H655" s="13">
        <f t="shared" si="54"/>
        <v>6</v>
      </c>
      <c r="I655" s="14">
        <f t="shared" si="50"/>
        <v>1840.2800000000002</v>
      </c>
      <c r="K655" t="str">
        <f>[1]!revcom(C655)</f>
        <v>ATTCCT</v>
      </c>
      <c r="L655">
        <v>6</v>
      </c>
    </row>
    <row r="656" spans="1:12" ht="15.6" x14ac:dyDescent="0.3">
      <c r="A656" s="9">
        <v>645</v>
      </c>
      <c r="B656" s="1"/>
      <c r="C656" s="2" t="s">
        <v>651</v>
      </c>
      <c r="D656" s="1"/>
      <c r="E656" s="11">
        <f t="shared" si="51"/>
        <v>30</v>
      </c>
      <c r="F656" s="12">
        <f t="shared" si="52"/>
        <v>50</v>
      </c>
      <c r="G656" s="12" t="str">
        <f t="shared" si="53"/>
        <v>Warning</v>
      </c>
      <c r="H656" s="13">
        <f t="shared" si="54"/>
        <v>6</v>
      </c>
      <c r="I656" s="14">
        <f t="shared" si="50"/>
        <v>1825.27</v>
      </c>
      <c r="K656" t="str">
        <f>[1]!revcom(C656)</f>
        <v>TGTCCT</v>
      </c>
      <c r="L656">
        <v>7</v>
      </c>
    </row>
    <row r="657" spans="1:12" ht="15.6" x14ac:dyDescent="0.3">
      <c r="A657" s="9">
        <v>646</v>
      </c>
      <c r="B657" s="1"/>
      <c r="C657" s="2" t="s">
        <v>652</v>
      </c>
      <c r="D657" s="1"/>
      <c r="E657" s="11">
        <f t="shared" si="51"/>
        <v>28</v>
      </c>
      <c r="F657" s="12">
        <f t="shared" si="52"/>
        <v>66.666666666666657</v>
      </c>
      <c r="G657" s="12" t="str">
        <f t="shared" si="53"/>
        <v>Warning</v>
      </c>
      <c r="H657" s="13">
        <f t="shared" si="54"/>
        <v>6</v>
      </c>
      <c r="I657" s="14">
        <f t="shared" si="50"/>
        <v>1801.2399999999998</v>
      </c>
      <c r="K657" t="str">
        <f>[1]!revcom(C657)</f>
        <v>GGTCCT</v>
      </c>
      <c r="L657">
        <v>7</v>
      </c>
    </row>
    <row r="658" spans="1:12" ht="15.6" x14ac:dyDescent="0.3">
      <c r="A658" s="9">
        <v>647</v>
      </c>
      <c r="B658" s="1"/>
      <c r="C658" s="2" t="s">
        <v>653</v>
      </c>
      <c r="D658" s="1"/>
      <c r="E658" s="11">
        <f t="shared" si="51"/>
        <v>28</v>
      </c>
      <c r="F658" s="12">
        <f t="shared" si="52"/>
        <v>66.666666666666657</v>
      </c>
      <c r="G658" s="12" t="str">
        <f t="shared" si="53"/>
        <v>Warning</v>
      </c>
      <c r="H658" s="13">
        <f t="shared" si="54"/>
        <v>6</v>
      </c>
      <c r="I658" s="14">
        <f t="shared" si="50"/>
        <v>1841.27</v>
      </c>
      <c r="K658" t="str">
        <f>[1]!revcom(C658)</f>
        <v>CGTCCT</v>
      </c>
      <c r="L658">
        <v>7</v>
      </c>
    </row>
    <row r="659" spans="1:12" ht="15.6" x14ac:dyDescent="0.3">
      <c r="A659" s="9">
        <v>648</v>
      </c>
      <c r="B659" s="1"/>
      <c r="C659" s="2" t="s">
        <v>654</v>
      </c>
      <c r="D659" s="1"/>
      <c r="E659" s="11">
        <f t="shared" si="51"/>
        <v>22</v>
      </c>
      <c r="F659" s="12">
        <f t="shared" si="52"/>
        <v>50</v>
      </c>
      <c r="G659" s="12" t="str">
        <f t="shared" si="53"/>
        <v>Warning</v>
      </c>
      <c r="H659" s="13">
        <f t="shared" si="54"/>
        <v>6</v>
      </c>
      <c r="I659" s="14">
        <f t="shared" si="50"/>
        <v>1816.25</v>
      </c>
      <c r="K659" t="str">
        <f>[1]!revcom(C659)</f>
        <v>AGTCCT</v>
      </c>
      <c r="L659">
        <v>6</v>
      </c>
    </row>
    <row r="660" spans="1:12" ht="15.6" x14ac:dyDescent="0.3">
      <c r="A660" s="9">
        <v>649</v>
      </c>
      <c r="B660" s="1"/>
      <c r="C660" s="2" t="s">
        <v>655</v>
      </c>
      <c r="D660" s="1"/>
      <c r="E660" s="11">
        <f t="shared" si="51"/>
        <v>30</v>
      </c>
      <c r="F660" s="12">
        <f t="shared" si="52"/>
        <v>50</v>
      </c>
      <c r="G660" s="12" t="str">
        <f t="shared" si="53"/>
        <v>Warning</v>
      </c>
      <c r="H660" s="13">
        <f t="shared" si="54"/>
        <v>6</v>
      </c>
      <c r="I660" s="14">
        <f t="shared" si="50"/>
        <v>1865.3000000000002</v>
      </c>
      <c r="K660" t="str">
        <f>[1]!revcom(C660)</f>
        <v>TCTCCT</v>
      </c>
      <c r="L660">
        <v>7</v>
      </c>
    </row>
    <row r="661" spans="1:12" ht="15.6" x14ac:dyDescent="0.3">
      <c r="A661" s="9">
        <v>650</v>
      </c>
      <c r="B661" s="1"/>
      <c r="C661" s="2" t="s">
        <v>656</v>
      </c>
      <c r="D661" s="1"/>
      <c r="E661" s="11">
        <f t="shared" si="51"/>
        <v>28</v>
      </c>
      <c r="F661" s="12">
        <f t="shared" si="52"/>
        <v>66.666666666666657</v>
      </c>
      <c r="G661" s="12" t="str">
        <f t="shared" si="53"/>
        <v>Warning</v>
      </c>
      <c r="H661" s="13">
        <f t="shared" si="54"/>
        <v>6</v>
      </c>
      <c r="I661" s="14">
        <f t="shared" si="50"/>
        <v>1841.27</v>
      </c>
      <c r="K661" t="str">
        <f>[1]!revcom(C661)</f>
        <v>GCTCCT</v>
      </c>
      <c r="L661">
        <v>7</v>
      </c>
    </row>
    <row r="662" spans="1:12" ht="15.6" x14ac:dyDescent="0.3">
      <c r="A662" s="9">
        <v>651</v>
      </c>
      <c r="B662" s="1"/>
      <c r="C662" s="2" t="s">
        <v>657</v>
      </c>
      <c r="D662" s="1"/>
      <c r="E662" s="11">
        <f t="shared" si="51"/>
        <v>28</v>
      </c>
      <c r="F662" s="12">
        <f t="shared" si="52"/>
        <v>66.666666666666657</v>
      </c>
      <c r="G662" s="12" t="str">
        <f t="shared" si="53"/>
        <v>Warning</v>
      </c>
      <c r="H662" s="13">
        <f t="shared" si="54"/>
        <v>6</v>
      </c>
      <c r="I662" s="14">
        <f t="shared" si="50"/>
        <v>1881.3000000000002</v>
      </c>
      <c r="K662" t="str">
        <f>[1]!revcom(C662)</f>
        <v>CCTCCT</v>
      </c>
      <c r="L662">
        <v>7</v>
      </c>
    </row>
    <row r="663" spans="1:12" ht="15.6" x14ac:dyDescent="0.3">
      <c r="A663" s="9">
        <v>652</v>
      </c>
      <c r="B663" s="1"/>
      <c r="C663" s="2" t="s">
        <v>658</v>
      </c>
      <c r="D663" s="1"/>
      <c r="E663" s="11">
        <f t="shared" si="51"/>
        <v>22</v>
      </c>
      <c r="F663" s="12">
        <f t="shared" si="52"/>
        <v>50</v>
      </c>
      <c r="G663" s="12" t="str">
        <f t="shared" si="53"/>
        <v>Warning</v>
      </c>
      <c r="H663" s="13">
        <f t="shared" si="54"/>
        <v>6</v>
      </c>
      <c r="I663" s="14">
        <f t="shared" si="50"/>
        <v>1856.2800000000002</v>
      </c>
      <c r="K663" t="str">
        <f>[1]!revcom(C663)</f>
        <v>ACTCCT</v>
      </c>
      <c r="L663">
        <v>6</v>
      </c>
    </row>
    <row r="664" spans="1:12" ht="15.6" x14ac:dyDescent="0.3">
      <c r="A664" s="9">
        <v>653</v>
      </c>
      <c r="B664" s="1"/>
      <c r="C664" s="2" t="s">
        <v>659</v>
      </c>
      <c r="D664" s="1"/>
      <c r="E664" s="11">
        <f t="shared" si="51"/>
        <v>24</v>
      </c>
      <c r="F664" s="12">
        <f t="shared" si="52"/>
        <v>33.333333333333329</v>
      </c>
      <c r="G664" s="12" t="str">
        <f t="shared" si="53"/>
        <v>OK</v>
      </c>
      <c r="H664" s="13">
        <f t="shared" si="54"/>
        <v>6</v>
      </c>
      <c r="I664" s="14">
        <f t="shared" si="50"/>
        <v>1840.2800000000002</v>
      </c>
      <c r="K664" t="str">
        <f>[1]!revcom(C664)</f>
        <v>TATCCT</v>
      </c>
      <c r="L664">
        <v>6</v>
      </c>
    </row>
    <row r="665" spans="1:12" ht="15.6" x14ac:dyDescent="0.3">
      <c r="A665" s="9">
        <v>654</v>
      </c>
      <c r="B665" s="1"/>
      <c r="C665" s="2" t="s">
        <v>660</v>
      </c>
      <c r="D665" s="1"/>
      <c r="E665" s="11">
        <f t="shared" si="51"/>
        <v>22</v>
      </c>
      <c r="F665" s="12">
        <f t="shared" si="52"/>
        <v>50</v>
      </c>
      <c r="G665" s="12" t="str">
        <f t="shared" si="53"/>
        <v>Warning</v>
      </c>
      <c r="H665" s="13">
        <f t="shared" si="54"/>
        <v>6</v>
      </c>
      <c r="I665" s="14">
        <f t="shared" si="50"/>
        <v>1816.25</v>
      </c>
      <c r="K665" t="str">
        <f>[1]!revcom(C665)</f>
        <v>GATCCT</v>
      </c>
      <c r="L665">
        <v>6</v>
      </c>
    </row>
    <row r="666" spans="1:12" ht="15.6" x14ac:dyDescent="0.3">
      <c r="A666" s="9">
        <v>655</v>
      </c>
      <c r="B666" s="1"/>
      <c r="C666" s="2" t="s">
        <v>661</v>
      </c>
      <c r="D666" s="1"/>
      <c r="E666" s="11">
        <f t="shared" si="51"/>
        <v>22</v>
      </c>
      <c r="F666" s="12">
        <f t="shared" si="52"/>
        <v>50</v>
      </c>
      <c r="G666" s="12" t="str">
        <f t="shared" si="53"/>
        <v>Warning</v>
      </c>
      <c r="H666" s="13">
        <f t="shared" si="54"/>
        <v>6</v>
      </c>
      <c r="I666" s="14">
        <f t="shared" si="50"/>
        <v>1856.2800000000002</v>
      </c>
      <c r="K666" t="str">
        <f>[1]!revcom(C666)</f>
        <v>CATCCT</v>
      </c>
      <c r="L666">
        <v>6</v>
      </c>
    </row>
    <row r="667" spans="1:12" ht="15.6" x14ac:dyDescent="0.3">
      <c r="A667" s="9">
        <v>656</v>
      </c>
      <c r="B667" s="1"/>
      <c r="C667" s="2" t="s">
        <v>662</v>
      </c>
      <c r="D667" s="1"/>
      <c r="E667" s="11">
        <f t="shared" si="51"/>
        <v>16</v>
      </c>
      <c r="F667" s="12">
        <f t="shared" si="52"/>
        <v>33.333333333333329</v>
      </c>
      <c r="G667" s="12" t="str">
        <f t="shared" si="53"/>
        <v>OK</v>
      </c>
      <c r="H667" s="13">
        <f t="shared" si="54"/>
        <v>6</v>
      </c>
      <c r="I667" s="14">
        <f t="shared" si="50"/>
        <v>1831.2600000000002</v>
      </c>
      <c r="K667" t="str">
        <f>[1]!revcom(C667)</f>
        <v>AATCCT</v>
      </c>
      <c r="L667">
        <v>5</v>
      </c>
    </row>
    <row r="668" spans="1:12" ht="15.6" x14ac:dyDescent="0.3">
      <c r="A668" s="9">
        <v>657</v>
      </c>
      <c r="B668" s="1"/>
      <c r="C668" s="2" t="s">
        <v>663</v>
      </c>
      <c r="D668" s="1"/>
      <c r="E668" s="11">
        <f t="shared" si="51"/>
        <v>30</v>
      </c>
      <c r="F668" s="12">
        <f t="shared" si="52"/>
        <v>50</v>
      </c>
      <c r="G668" s="12" t="str">
        <f t="shared" si="53"/>
        <v>Warning</v>
      </c>
      <c r="H668" s="13">
        <f t="shared" si="54"/>
        <v>6</v>
      </c>
      <c r="I668" s="14">
        <f t="shared" si="50"/>
        <v>1825.27</v>
      </c>
      <c r="K668" t="str">
        <f>[1]!revcom(C668)</f>
        <v>TTGCCT</v>
      </c>
      <c r="L668">
        <v>7</v>
      </c>
    </row>
    <row r="669" spans="1:12" ht="15.6" x14ac:dyDescent="0.3">
      <c r="A669" s="9">
        <v>658</v>
      </c>
      <c r="B669" s="1"/>
      <c r="C669" s="2" t="s">
        <v>664</v>
      </c>
      <c r="D669" s="1"/>
      <c r="E669" s="11">
        <f t="shared" si="51"/>
        <v>28</v>
      </c>
      <c r="F669" s="12">
        <f t="shared" si="52"/>
        <v>66.666666666666657</v>
      </c>
      <c r="G669" s="12" t="str">
        <f t="shared" si="53"/>
        <v>Warning</v>
      </c>
      <c r="H669" s="13">
        <f t="shared" si="54"/>
        <v>6</v>
      </c>
      <c r="I669" s="14">
        <f t="shared" si="50"/>
        <v>1801.2399999999998</v>
      </c>
      <c r="K669" t="str">
        <f>[1]!revcom(C669)</f>
        <v>GTGCCT</v>
      </c>
      <c r="L669">
        <v>7</v>
      </c>
    </row>
    <row r="670" spans="1:12" ht="15.6" x14ac:dyDescent="0.3">
      <c r="A670" s="9">
        <v>659</v>
      </c>
      <c r="B670" s="1"/>
      <c r="C670" s="2" t="s">
        <v>665</v>
      </c>
      <c r="D670" s="1"/>
      <c r="E670" s="11">
        <f t="shared" si="51"/>
        <v>28</v>
      </c>
      <c r="F670" s="12">
        <f t="shared" si="52"/>
        <v>66.666666666666657</v>
      </c>
      <c r="G670" s="12" t="str">
        <f t="shared" si="53"/>
        <v>Warning</v>
      </c>
      <c r="H670" s="13">
        <f t="shared" si="54"/>
        <v>6</v>
      </c>
      <c r="I670" s="14">
        <f t="shared" si="50"/>
        <v>1841.27</v>
      </c>
      <c r="K670" t="str">
        <f>[1]!revcom(C670)</f>
        <v>CTGCCT</v>
      </c>
      <c r="L670">
        <v>7</v>
      </c>
    </row>
    <row r="671" spans="1:12" ht="15.6" x14ac:dyDescent="0.3">
      <c r="A671" s="9">
        <v>660</v>
      </c>
      <c r="B671" s="1"/>
      <c r="C671" s="2" t="s">
        <v>666</v>
      </c>
      <c r="D671" s="1"/>
      <c r="E671" s="11">
        <f t="shared" si="51"/>
        <v>22</v>
      </c>
      <c r="F671" s="12">
        <f t="shared" si="52"/>
        <v>50</v>
      </c>
      <c r="G671" s="12" t="str">
        <f t="shared" si="53"/>
        <v>Warning</v>
      </c>
      <c r="H671" s="13">
        <f t="shared" si="54"/>
        <v>6</v>
      </c>
      <c r="I671" s="14">
        <f t="shared" si="50"/>
        <v>1816.25</v>
      </c>
      <c r="K671" t="str">
        <f>[1]!revcom(C671)</f>
        <v>ATGCCT</v>
      </c>
      <c r="L671">
        <v>6</v>
      </c>
    </row>
    <row r="672" spans="1:12" ht="15.6" x14ac:dyDescent="0.3">
      <c r="A672" s="9">
        <v>661</v>
      </c>
      <c r="B672" s="1"/>
      <c r="C672" s="2" t="s">
        <v>667</v>
      </c>
      <c r="D672" s="1"/>
      <c r="E672" s="11">
        <f t="shared" si="51"/>
        <v>28</v>
      </c>
      <c r="F672" s="12">
        <f t="shared" si="52"/>
        <v>66.666666666666657</v>
      </c>
      <c r="G672" s="12" t="str">
        <f t="shared" si="53"/>
        <v>Warning</v>
      </c>
      <c r="H672" s="13">
        <f t="shared" si="54"/>
        <v>6</v>
      </c>
      <c r="I672" s="14">
        <f t="shared" si="50"/>
        <v>1801.2399999999998</v>
      </c>
      <c r="K672" t="str">
        <f>[1]!revcom(C672)</f>
        <v>TGGCCT</v>
      </c>
      <c r="L672">
        <v>7</v>
      </c>
    </row>
    <row r="673" spans="1:12" ht="15.6" x14ac:dyDescent="0.3">
      <c r="A673" s="9">
        <v>662</v>
      </c>
      <c r="B673" s="1"/>
      <c r="C673" s="2" t="s">
        <v>668</v>
      </c>
      <c r="D673" s="1"/>
      <c r="E673" s="11">
        <f t="shared" si="51"/>
        <v>26</v>
      </c>
      <c r="F673" s="12">
        <f t="shared" si="52"/>
        <v>83.333333333333343</v>
      </c>
      <c r="G673" s="12" t="str">
        <f t="shared" si="53"/>
        <v>Warning</v>
      </c>
      <c r="H673" s="13">
        <f t="shared" si="54"/>
        <v>6</v>
      </c>
      <c r="I673" s="14">
        <f t="shared" si="50"/>
        <v>1777.21</v>
      </c>
      <c r="K673" t="str">
        <f>[1]!revcom(C673)</f>
        <v>GGGCCT</v>
      </c>
      <c r="L673">
        <v>7</v>
      </c>
    </row>
    <row r="674" spans="1:12" ht="15.6" x14ac:dyDescent="0.3">
      <c r="A674" s="9">
        <v>663</v>
      </c>
      <c r="B674" s="1"/>
      <c r="C674" s="2" t="s">
        <v>669</v>
      </c>
      <c r="D674" s="1"/>
      <c r="E674" s="11">
        <f t="shared" si="51"/>
        <v>26</v>
      </c>
      <c r="F674" s="12">
        <f t="shared" si="52"/>
        <v>83.333333333333343</v>
      </c>
      <c r="G674" s="12" t="str">
        <f t="shared" si="53"/>
        <v>Warning</v>
      </c>
      <c r="H674" s="13">
        <f t="shared" si="54"/>
        <v>6</v>
      </c>
      <c r="I674" s="14">
        <f t="shared" si="50"/>
        <v>1817.2400000000002</v>
      </c>
      <c r="K674" t="str">
        <f>[1]!revcom(C674)</f>
        <v>CGGCCT</v>
      </c>
      <c r="L674">
        <v>7</v>
      </c>
    </row>
    <row r="675" spans="1:12" ht="15.6" x14ac:dyDescent="0.3">
      <c r="A675" s="9">
        <v>664</v>
      </c>
      <c r="B675" s="1"/>
      <c r="C675" s="2" t="s">
        <v>670</v>
      </c>
      <c r="D675" s="1"/>
      <c r="E675" s="11">
        <f t="shared" si="51"/>
        <v>20</v>
      </c>
      <c r="F675" s="12">
        <f t="shared" si="52"/>
        <v>66.666666666666657</v>
      </c>
      <c r="G675" s="12" t="str">
        <f t="shared" si="53"/>
        <v>Warning</v>
      </c>
      <c r="H675" s="13">
        <f t="shared" si="54"/>
        <v>6</v>
      </c>
      <c r="I675" s="14">
        <f t="shared" si="50"/>
        <v>1792.2199999999998</v>
      </c>
      <c r="K675" t="str">
        <f>[1]!revcom(C675)</f>
        <v>AGGCCT</v>
      </c>
      <c r="L675">
        <v>6</v>
      </c>
    </row>
    <row r="676" spans="1:12" ht="15.6" x14ac:dyDescent="0.3">
      <c r="A676" s="9">
        <v>665</v>
      </c>
      <c r="B676" s="1"/>
      <c r="C676" s="2" t="s">
        <v>671</v>
      </c>
      <c r="D676" s="1"/>
      <c r="E676" s="11">
        <f t="shared" si="51"/>
        <v>28</v>
      </c>
      <c r="F676" s="12">
        <f t="shared" si="52"/>
        <v>66.666666666666657</v>
      </c>
      <c r="G676" s="12" t="str">
        <f t="shared" si="53"/>
        <v>Warning</v>
      </c>
      <c r="H676" s="13">
        <f t="shared" si="54"/>
        <v>6</v>
      </c>
      <c r="I676" s="14">
        <f t="shared" si="50"/>
        <v>1841.27</v>
      </c>
      <c r="K676" t="str">
        <f>[1]!revcom(C676)</f>
        <v>TCGCCT</v>
      </c>
      <c r="L676">
        <v>7</v>
      </c>
    </row>
    <row r="677" spans="1:12" ht="15.6" x14ac:dyDescent="0.3">
      <c r="A677" s="9">
        <v>666</v>
      </c>
      <c r="B677" s="1"/>
      <c r="C677" s="2" t="s">
        <v>672</v>
      </c>
      <c r="D677" s="1"/>
      <c r="E677" s="11">
        <f t="shared" si="51"/>
        <v>26</v>
      </c>
      <c r="F677" s="12">
        <f t="shared" si="52"/>
        <v>83.333333333333343</v>
      </c>
      <c r="G677" s="12" t="str">
        <f t="shared" si="53"/>
        <v>Warning</v>
      </c>
      <c r="H677" s="13">
        <f t="shared" si="54"/>
        <v>6</v>
      </c>
      <c r="I677" s="14">
        <f t="shared" si="50"/>
        <v>1817.2400000000002</v>
      </c>
      <c r="K677" t="str">
        <f>[1]!revcom(C677)</f>
        <v>GCGCCT</v>
      </c>
      <c r="L677">
        <v>7</v>
      </c>
    </row>
    <row r="678" spans="1:12" ht="15.6" x14ac:dyDescent="0.3">
      <c r="A678" s="9">
        <v>667</v>
      </c>
      <c r="B678" s="1"/>
      <c r="C678" s="2" t="s">
        <v>673</v>
      </c>
      <c r="D678" s="1"/>
      <c r="E678" s="11">
        <f t="shared" si="51"/>
        <v>26</v>
      </c>
      <c r="F678" s="12">
        <f t="shared" si="52"/>
        <v>83.333333333333343</v>
      </c>
      <c r="G678" s="12" t="str">
        <f t="shared" si="53"/>
        <v>Warning</v>
      </c>
      <c r="H678" s="13">
        <f t="shared" si="54"/>
        <v>6</v>
      </c>
      <c r="I678" s="14">
        <f t="shared" si="50"/>
        <v>1857.27</v>
      </c>
      <c r="K678" t="str">
        <f>[1]!revcom(C678)</f>
        <v>CCGCCT</v>
      </c>
      <c r="L678">
        <v>7</v>
      </c>
    </row>
    <row r="679" spans="1:12" ht="15.6" x14ac:dyDescent="0.3">
      <c r="A679" s="9">
        <v>668</v>
      </c>
      <c r="B679" s="1"/>
      <c r="C679" s="2" t="s">
        <v>674</v>
      </c>
      <c r="D679" s="1"/>
      <c r="E679" s="11">
        <f t="shared" si="51"/>
        <v>20</v>
      </c>
      <c r="F679" s="12">
        <f t="shared" si="52"/>
        <v>66.666666666666657</v>
      </c>
      <c r="G679" s="12" t="str">
        <f t="shared" si="53"/>
        <v>Warning</v>
      </c>
      <c r="H679" s="13">
        <f t="shared" si="54"/>
        <v>6</v>
      </c>
      <c r="I679" s="14">
        <f t="shared" si="50"/>
        <v>1832.25</v>
      </c>
      <c r="K679" t="str">
        <f>[1]!revcom(C679)</f>
        <v>ACGCCT</v>
      </c>
      <c r="L679">
        <v>6</v>
      </c>
    </row>
    <row r="680" spans="1:12" ht="15.6" x14ac:dyDescent="0.3">
      <c r="A680" s="9">
        <v>669</v>
      </c>
      <c r="B680" s="1"/>
      <c r="C680" s="2" t="s">
        <v>675</v>
      </c>
      <c r="D680" s="1"/>
      <c r="E680" s="11">
        <f t="shared" si="51"/>
        <v>22</v>
      </c>
      <c r="F680" s="12">
        <f t="shared" si="52"/>
        <v>50</v>
      </c>
      <c r="G680" s="12" t="str">
        <f t="shared" si="53"/>
        <v>Warning</v>
      </c>
      <c r="H680" s="13">
        <f t="shared" si="54"/>
        <v>6</v>
      </c>
      <c r="I680" s="14">
        <f t="shared" si="50"/>
        <v>1816.25</v>
      </c>
      <c r="K680" t="str">
        <f>[1]!revcom(C680)</f>
        <v>TAGCCT</v>
      </c>
      <c r="L680">
        <v>6</v>
      </c>
    </row>
    <row r="681" spans="1:12" ht="15.6" x14ac:dyDescent="0.3">
      <c r="A681" s="9">
        <v>670</v>
      </c>
      <c r="B681" s="1"/>
      <c r="C681" s="2" t="s">
        <v>676</v>
      </c>
      <c r="D681" s="1"/>
      <c r="E681" s="11">
        <f t="shared" si="51"/>
        <v>20</v>
      </c>
      <c r="F681" s="12">
        <f t="shared" si="52"/>
        <v>66.666666666666657</v>
      </c>
      <c r="G681" s="12" t="str">
        <f t="shared" si="53"/>
        <v>Warning</v>
      </c>
      <c r="H681" s="13">
        <f t="shared" si="54"/>
        <v>6</v>
      </c>
      <c r="I681" s="14">
        <f t="shared" si="50"/>
        <v>1792.2199999999998</v>
      </c>
      <c r="K681" t="str">
        <f>[1]!revcom(C681)</f>
        <v>GAGCCT</v>
      </c>
      <c r="L681">
        <v>6</v>
      </c>
    </row>
    <row r="682" spans="1:12" ht="15.6" x14ac:dyDescent="0.3">
      <c r="A682" s="9">
        <v>671</v>
      </c>
      <c r="B682" s="1"/>
      <c r="C682" s="2" t="s">
        <v>677</v>
      </c>
      <c r="D682" s="1"/>
      <c r="E682" s="11">
        <f t="shared" si="51"/>
        <v>20</v>
      </c>
      <c r="F682" s="12">
        <f t="shared" si="52"/>
        <v>66.666666666666657</v>
      </c>
      <c r="G682" s="12" t="str">
        <f t="shared" si="53"/>
        <v>Warning</v>
      </c>
      <c r="H682" s="13">
        <f t="shared" si="54"/>
        <v>6</v>
      </c>
      <c r="I682" s="14">
        <f t="shared" si="50"/>
        <v>1832.25</v>
      </c>
      <c r="K682" t="str">
        <f>[1]!revcom(C682)</f>
        <v>CAGCCT</v>
      </c>
      <c r="L682">
        <v>6</v>
      </c>
    </row>
    <row r="683" spans="1:12" ht="15.6" x14ac:dyDescent="0.3">
      <c r="A683" s="9">
        <v>672</v>
      </c>
      <c r="B683" s="1"/>
      <c r="C683" s="2" t="s">
        <v>678</v>
      </c>
      <c r="D683" s="1"/>
      <c r="E683" s="11">
        <f t="shared" si="51"/>
        <v>14</v>
      </c>
      <c r="F683" s="12">
        <f t="shared" si="52"/>
        <v>50</v>
      </c>
      <c r="G683" s="12" t="str">
        <f t="shared" si="53"/>
        <v>Warning</v>
      </c>
      <c r="H683" s="13">
        <f t="shared" si="54"/>
        <v>6</v>
      </c>
      <c r="I683" s="14">
        <f t="shared" si="50"/>
        <v>1807.23</v>
      </c>
      <c r="K683" t="str">
        <f>[1]!revcom(C683)</f>
        <v>AAGCCT</v>
      </c>
      <c r="L683">
        <v>5</v>
      </c>
    </row>
    <row r="684" spans="1:12" ht="15.6" x14ac:dyDescent="0.3">
      <c r="A684" s="9">
        <v>673</v>
      </c>
      <c r="B684" s="1"/>
      <c r="C684" s="2" t="s">
        <v>679</v>
      </c>
      <c r="D684" s="1"/>
      <c r="E684" s="11">
        <f t="shared" si="51"/>
        <v>30</v>
      </c>
      <c r="F684" s="12">
        <f t="shared" si="52"/>
        <v>50</v>
      </c>
      <c r="G684" s="12" t="str">
        <f t="shared" si="53"/>
        <v>Warning</v>
      </c>
      <c r="H684" s="13">
        <f t="shared" si="54"/>
        <v>6</v>
      </c>
      <c r="I684" s="14">
        <f t="shared" si="50"/>
        <v>1865.3000000000002</v>
      </c>
      <c r="K684" t="str">
        <f>[1]!revcom(C684)</f>
        <v>TTCCCT</v>
      </c>
      <c r="L684">
        <v>7</v>
      </c>
    </row>
    <row r="685" spans="1:12" ht="15.6" x14ac:dyDescent="0.3">
      <c r="A685" s="9">
        <v>674</v>
      </c>
      <c r="B685" s="1"/>
      <c r="C685" s="2" t="s">
        <v>680</v>
      </c>
      <c r="D685" s="1"/>
      <c r="E685" s="11">
        <f t="shared" si="51"/>
        <v>28</v>
      </c>
      <c r="F685" s="12">
        <f t="shared" si="52"/>
        <v>66.666666666666657</v>
      </c>
      <c r="G685" s="12" t="str">
        <f t="shared" si="53"/>
        <v>Warning</v>
      </c>
      <c r="H685" s="13">
        <f t="shared" si="54"/>
        <v>6</v>
      </c>
      <c r="I685" s="14">
        <f t="shared" si="50"/>
        <v>1841.27</v>
      </c>
      <c r="K685" t="str">
        <f>[1]!revcom(C685)</f>
        <v>GTCCCT</v>
      </c>
      <c r="L685">
        <v>7</v>
      </c>
    </row>
    <row r="686" spans="1:12" ht="15.6" x14ac:dyDescent="0.3">
      <c r="A686" s="9">
        <v>675</v>
      </c>
      <c r="B686" s="1"/>
      <c r="C686" s="2" t="s">
        <v>681</v>
      </c>
      <c r="D686" s="1"/>
      <c r="E686" s="11">
        <f t="shared" si="51"/>
        <v>28</v>
      </c>
      <c r="F686" s="12">
        <f t="shared" si="52"/>
        <v>66.666666666666657</v>
      </c>
      <c r="G686" s="12" t="str">
        <f t="shared" si="53"/>
        <v>Warning</v>
      </c>
      <c r="H686" s="13">
        <f t="shared" si="54"/>
        <v>6</v>
      </c>
      <c r="I686" s="14">
        <f t="shared" si="50"/>
        <v>1881.3000000000002</v>
      </c>
      <c r="K686" t="str">
        <f>[1]!revcom(C686)</f>
        <v>CTCCCT</v>
      </c>
      <c r="L686">
        <v>7</v>
      </c>
    </row>
    <row r="687" spans="1:12" ht="15.6" x14ac:dyDescent="0.3">
      <c r="A687" s="9">
        <v>676</v>
      </c>
      <c r="B687" s="1"/>
      <c r="C687" s="2" t="s">
        <v>682</v>
      </c>
      <c r="D687" s="1"/>
      <c r="E687" s="11">
        <f t="shared" si="51"/>
        <v>22</v>
      </c>
      <c r="F687" s="12">
        <f t="shared" si="52"/>
        <v>50</v>
      </c>
      <c r="G687" s="12" t="str">
        <f t="shared" si="53"/>
        <v>Warning</v>
      </c>
      <c r="H687" s="13">
        <f t="shared" si="54"/>
        <v>6</v>
      </c>
      <c r="I687" s="14">
        <f t="shared" si="50"/>
        <v>1856.2800000000002</v>
      </c>
      <c r="K687" t="str">
        <f>[1]!revcom(C687)</f>
        <v>ATCCCT</v>
      </c>
      <c r="L687">
        <v>6</v>
      </c>
    </row>
    <row r="688" spans="1:12" ht="15.6" x14ac:dyDescent="0.3">
      <c r="A688" s="9">
        <v>677</v>
      </c>
      <c r="B688" s="1"/>
      <c r="C688" s="2" t="s">
        <v>683</v>
      </c>
      <c r="D688" s="1"/>
      <c r="E688" s="11">
        <f t="shared" si="51"/>
        <v>28</v>
      </c>
      <c r="F688" s="12">
        <f t="shared" si="52"/>
        <v>66.666666666666657</v>
      </c>
      <c r="G688" s="12" t="str">
        <f t="shared" si="53"/>
        <v>Warning</v>
      </c>
      <c r="H688" s="13">
        <f t="shared" si="54"/>
        <v>6</v>
      </c>
      <c r="I688" s="14">
        <f t="shared" si="50"/>
        <v>1841.27</v>
      </c>
      <c r="K688" t="str">
        <f>[1]!revcom(C688)</f>
        <v>TGCCCT</v>
      </c>
      <c r="L688">
        <v>7</v>
      </c>
    </row>
    <row r="689" spans="1:12" ht="15.6" x14ac:dyDescent="0.3">
      <c r="A689" s="9">
        <v>678</v>
      </c>
      <c r="B689" s="1"/>
      <c r="C689" s="2" t="s">
        <v>684</v>
      </c>
      <c r="D689" s="1"/>
      <c r="E689" s="11">
        <f t="shared" si="51"/>
        <v>26</v>
      </c>
      <c r="F689" s="12">
        <f t="shared" si="52"/>
        <v>83.333333333333343</v>
      </c>
      <c r="G689" s="12" t="str">
        <f t="shared" si="53"/>
        <v>Warning</v>
      </c>
      <c r="H689" s="13">
        <f t="shared" si="54"/>
        <v>6</v>
      </c>
      <c r="I689" s="14">
        <f t="shared" si="50"/>
        <v>1817.2400000000002</v>
      </c>
      <c r="K689" t="str">
        <f>[1]!revcom(C689)</f>
        <v>GGCCCT</v>
      </c>
      <c r="L689">
        <v>7</v>
      </c>
    </row>
    <row r="690" spans="1:12" ht="15.6" x14ac:dyDescent="0.3">
      <c r="A690" s="9">
        <v>679</v>
      </c>
      <c r="B690" s="1"/>
      <c r="C690" s="2" t="s">
        <v>685</v>
      </c>
      <c r="D690" s="1"/>
      <c r="E690" s="11">
        <f t="shared" si="51"/>
        <v>26</v>
      </c>
      <c r="F690" s="12">
        <f t="shared" si="52"/>
        <v>83.333333333333343</v>
      </c>
      <c r="G690" s="12" t="str">
        <f t="shared" si="53"/>
        <v>Warning</v>
      </c>
      <c r="H690" s="13">
        <f t="shared" si="54"/>
        <v>6</v>
      </c>
      <c r="I690" s="14">
        <f t="shared" si="50"/>
        <v>1857.27</v>
      </c>
      <c r="K690" t="str">
        <f>[1]!revcom(C690)</f>
        <v>CGCCCT</v>
      </c>
      <c r="L690">
        <v>7</v>
      </c>
    </row>
    <row r="691" spans="1:12" ht="15.6" x14ac:dyDescent="0.3">
      <c r="A691" s="9">
        <v>680</v>
      </c>
      <c r="B691" s="1"/>
      <c r="C691" s="2" t="s">
        <v>686</v>
      </c>
      <c r="D691" s="1"/>
      <c r="E691" s="11">
        <f t="shared" si="51"/>
        <v>20</v>
      </c>
      <c r="F691" s="12">
        <f t="shared" si="52"/>
        <v>66.666666666666657</v>
      </c>
      <c r="G691" s="12" t="str">
        <f t="shared" si="53"/>
        <v>Warning</v>
      </c>
      <c r="H691" s="13">
        <f t="shared" si="54"/>
        <v>6</v>
      </c>
      <c r="I691" s="14">
        <f t="shared" si="50"/>
        <v>1832.25</v>
      </c>
      <c r="K691" t="str">
        <f>[1]!revcom(C691)</f>
        <v>AGCCCT</v>
      </c>
      <c r="L691">
        <v>6</v>
      </c>
    </row>
    <row r="692" spans="1:12" ht="15.6" x14ac:dyDescent="0.3">
      <c r="A692" s="9">
        <v>681</v>
      </c>
      <c r="B692" s="1"/>
      <c r="C692" s="2" t="s">
        <v>687</v>
      </c>
      <c r="D692" s="1"/>
      <c r="E692" s="11">
        <f t="shared" si="51"/>
        <v>28</v>
      </c>
      <c r="F692" s="12">
        <f t="shared" si="52"/>
        <v>66.666666666666657</v>
      </c>
      <c r="G692" s="12" t="str">
        <f t="shared" si="53"/>
        <v>Warning</v>
      </c>
      <c r="H692" s="13">
        <f t="shared" si="54"/>
        <v>6</v>
      </c>
      <c r="I692" s="14">
        <f t="shared" si="50"/>
        <v>1881.3000000000002</v>
      </c>
      <c r="K692" t="str">
        <f>[1]!revcom(C692)</f>
        <v>TCCCCT</v>
      </c>
      <c r="L692">
        <v>7</v>
      </c>
    </row>
    <row r="693" spans="1:12" ht="15.6" x14ac:dyDescent="0.3">
      <c r="A693" s="9">
        <v>682</v>
      </c>
      <c r="B693" s="1"/>
      <c r="C693" s="2" t="s">
        <v>688</v>
      </c>
      <c r="D693" s="1"/>
      <c r="E693" s="11">
        <f t="shared" si="51"/>
        <v>26</v>
      </c>
      <c r="F693" s="12">
        <f t="shared" si="52"/>
        <v>83.333333333333343</v>
      </c>
      <c r="G693" s="12" t="str">
        <f t="shared" si="53"/>
        <v>Warning</v>
      </c>
      <c r="H693" s="13">
        <f t="shared" si="54"/>
        <v>6</v>
      </c>
      <c r="I693" s="14">
        <f t="shared" si="50"/>
        <v>1857.27</v>
      </c>
      <c r="K693" t="str">
        <f>[1]!revcom(C693)</f>
        <v>GCCCCT</v>
      </c>
      <c r="L693">
        <v>7</v>
      </c>
    </row>
    <row r="694" spans="1:12" ht="15.6" x14ac:dyDescent="0.3">
      <c r="A694" s="9">
        <v>683</v>
      </c>
      <c r="B694" s="1"/>
      <c r="C694" s="2" t="s">
        <v>689</v>
      </c>
      <c r="D694" s="1"/>
      <c r="E694" s="11">
        <f t="shared" si="51"/>
        <v>26</v>
      </c>
      <c r="F694" s="12">
        <f t="shared" si="52"/>
        <v>83.333333333333343</v>
      </c>
      <c r="G694" s="12" t="str">
        <f t="shared" si="53"/>
        <v>Warning</v>
      </c>
      <c r="H694" s="13">
        <f t="shared" si="54"/>
        <v>6</v>
      </c>
      <c r="I694" s="14">
        <f t="shared" si="50"/>
        <v>1897.3000000000002</v>
      </c>
      <c r="K694" t="str">
        <f>[1]!revcom(C694)</f>
        <v>CCCCCT</v>
      </c>
      <c r="L694">
        <v>7</v>
      </c>
    </row>
    <row r="695" spans="1:12" ht="15.6" x14ac:dyDescent="0.3">
      <c r="A695" s="9">
        <v>684</v>
      </c>
      <c r="B695" s="1"/>
      <c r="C695" s="2" t="s">
        <v>690</v>
      </c>
      <c r="D695" s="1"/>
      <c r="E695" s="11">
        <f t="shared" si="51"/>
        <v>20</v>
      </c>
      <c r="F695" s="12">
        <f t="shared" si="52"/>
        <v>66.666666666666657</v>
      </c>
      <c r="G695" s="12" t="str">
        <f t="shared" si="53"/>
        <v>Warning</v>
      </c>
      <c r="H695" s="13">
        <f t="shared" si="54"/>
        <v>6</v>
      </c>
      <c r="I695" s="14">
        <f t="shared" si="50"/>
        <v>1872.2800000000002</v>
      </c>
      <c r="K695" t="str">
        <f>[1]!revcom(C695)</f>
        <v>ACCCCT</v>
      </c>
      <c r="L695">
        <v>6</v>
      </c>
    </row>
    <row r="696" spans="1:12" ht="15.6" x14ac:dyDescent="0.3">
      <c r="A696" s="9">
        <v>685</v>
      </c>
      <c r="B696" s="1"/>
      <c r="C696" s="2" t="s">
        <v>691</v>
      </c>
      <c r="D696" s="1"/>
      <c r="E696" s="11">
        <f t="shared" si="51"/>
        <v>22</v>
      </c>
      <c r="F696" s="12">
        <f t="shared" si="52"/>
        <v>50</v>
      </c>
      <c r="G696" s="12" t="str">
        <f t="shared" si="53"/>
        <v>Warning</v>
      </c>
      <c r="H696" s="13">
        <f t="shared" si="54"/>
        <v>6</v>
      </c>
      <c r="I696" s="14">
        <f t="shared" si="50"/>
        <v>1856.2800000000002</v>
      </c>
      <c r="K696" t="str">
        <f>[1]!revcom(C696)</f>
        <v>TACCCT</v>
      </c>
      <c r="L696">
        <v>6</v>
      </c>
    </row>
    <row r="697" spans="1:12" ht="15.6" x14ac:dyDescent="0.3">
      <c r="A697" s="9">
        <v>686</v>
      </c>
      <c r="B697" s="1"/>
      <c r="C697" s="2" t="s">
        <v>692</v>
      </c>
      <c r="D697" s="1"/>
      <c r="E697" s="11">
        <f t="shared" si="51"/>
        <v>20</v>
      </c>
      <c r="F697" s="12">
        <f t="shared" si="52"/>
        <v>66.666666666666657</v>
      </c>
      <c r="G697" s="12" t="str">
        <f t="shared" si="53"/>
        <v>Warning</v>
      </c>
      <c r="H697" s="13">
        <f t="shared" si="54"/>
        <v>6</v>
      </c>
      <c r="I697" s="14">
        <f t="shared" si="50"/>
        <v>1832.25</v>
      </c>
      <c r="K697" t="str">
        <f>[1]!revcom(C697)</f>
        <v>GACCCT</v>
      </c>
      <c r="L697">
        <v>6</v>
      </c>
    </row>
    <row r="698" spans="1:12" ht="15.6" x14ac:dyDescent="0.3">
      <c r="A698" s="9">
        <v>687</v>
      </c>
      <c r="B698" s="1"/>
      <c r="C698" s="2" t="s">
        <v>693</v>
      </c>
      <c r="D698" s="1"/>
      <c r="E698" s="11">
        <f t="shared" si="51"/>
        <v>20</v>
      </c>
      <c r="F698" s="12">
        <f t="shared" si="52"/>
        <v>66.666666666666657</v>
      </c>
      <c r="G698" s="12" t="str">
        <f t="shared" si="53"/>
        <v>Warning</v>
      </c>
      <c r="H698" s="13">
        <f t="shared" si="54"/>
        <v>6</v>
      </c>
      <c r="I698" s="14">
        <f t="shared" si="50"/>
        <v>1872.2800000000002</v>
      </c>
      <c r="K698" t="str">
        <f>[1]!revcom(C698)</f>
        <v>CACCCT</v>
      </c>
      <c r="L698">
        <v>6</v>
      </c>
    </row>
    <row r="699" spans="1:12" ht="15.6" x14ac:dyDescent="0.3">
      <c r="A699" s="9">
        <v>688</v>
      </c>
      <c r="B699" s="1"/>
      <c r="C699" s="2" t="s">
        <v>694</v>
      </c>
      <c r="D699" s="1"/>
      <c r="E699" s="11">
        <f t="shared" si="51"/>
        <v>14</v>
      </c>
      <c r="F699" s="12">
        <f t="shared" si="52"/>
        <v>50</v>
      </c>
      <c r="G699" s="12" t="str">
        <f t="shared" si="53"/>
        <v>Warning</v>
      </c>
      <c r="H699" s="13">
        <f t="shared" si="54"/>
        <v>6</v>
      </c>
      <c r="I699" s="14">
        <f t="shared" si="50"/>
        <v>1847.2600000000002</v>
      </c>
      <c r="K699" t="str">
        <f>[1]!revcom(C699)</f>
        <v>AACCCT</v>
      </c>
      <c r="L699">
        <v>5</v>
      </c>
    </row>
    <row r="700" spans="1:12" ht="15.6" x14ac:dyDescent="0.3">
      <c r="A700" s="9">
        <v>689</v>
      </c>
      <c r="B700" s="1"/>
      <c r="C700" s="2" t="s">
        <v>695</v>
      </c>
      <c r="D700" s="1"/>
      <c r="E700" s="11">
        <f t="shared" si="51"/>
        <v>24</v>
      </c>
      <c r="F700" s="12">
        <f t="shared" si="52"/>
        <v>33.333333333333329</v>
      </c>
      <c r="G700" s="12" t="str">
        <f t="shared" si="53"/>
        <v>OK</v>
      </c>
      <c r="H700" s="13">
        <f t="shared" si="54"/>
        <v>6</v>
      </c>
      <c r="I700" s="14">
        <f t="shared" si="50"/>
        <v>1840.2800000000002</v>
      </c>
      <c r="K700" t="str">
        <f>[1]!revcom(C700)</f>
        <v>TTACCT</v>
      </c>
      <c r="L700">
        <v>6</v>
      </c>
    </row>
    <row r="701" spans="1:12" ht="15.6" x14ac:dyDescent="0.3">
      <c r="A701" s="9">
        <v>690</v>
      </c>
      <c r="B701" s="1"/>
      <c r="C701" s="2" t="s">
        <v>696</v>
      </c>
      <c r="D701" s="1"/>
      <c r="E701" s="11">
        <f t="shared" si="51"/>
        <v>22</v>
      </c>
      <c r="F701" s="12">
        <f t="shared" si="52"/>
        <v>50</v>
      </c>
      <c r="G701" s="12" t="str">
        <f t="shared" si="53"/>
        <v>Warning</v>
      </c>
      <c r="H701" s="13">
        <f t="shared" si="54"/>
        <v>6</v>
      </c>
      <c r="I701" s="14">
        <f t="shared" si="50"/>
        <v>1816.25</v>
      </c>
      <c r="K701" t="str">
        <f>[1]!revcom(C701)</f>
        <v>GTACCT</v>
      </c>
      <c r="L701">
        <v>6</v>
      </c>
    </row>
    <row r="702" spans="1:12" ht="15.6" x14ac:dyDescent="0.3">
      <c r="A702" s="9">
        <v>691</v>
      </c>
      <c r="B702" s="1"/>
      <c r="C702" s="2" t="s">
        <v>697</v>
      </c>
      <c r="D702" s="1"/>
      <c r="E702" s="11">
        <f t="shared" si="51"/>
        <v>22</v>
      </c>
      <c r="F702" s="12">
        <f t="shared" si="52"/>
        <v>50</v>
      </c>
      <c r="G702" s="12" t="str">
        <f t="shared" si="53"/>
        <v>Warning</v>
      </c>
      <c r="H702" s="13">
        <f t="shared" si="54"/>
        <v>6</v>
      </c>
      <c r="I702" s="14">
        <f t="shared" si="50"/>
        <v>1856.2800000000002</v>
      </c>
      <c r="K702" t="str">
        <f>[1]!revcom(C702)</f>
        <v>CTACCT</v>
      </c>
      <c r="L702">
        <v>6</v>
      </c>
    </row>
    <row r="703" spans="1:12" ht="15.6" x14ac:dyDescent="0.3">
      <c r="A703" s="9">
        <v>692</v>
      </c>
      <c r="B703" s="1"/>
      <c r="C703" s="2" t="s">
        <v>698</v>
      </c>
      <c r="D703" s="1"/>
      <c r="E703" s="11">
        <f t="shared" si="51"/>
        <v>16</v>
      </c>
      <c r="F703" s="12">
        <f t="shared" si="52"/>
        <v>33.333333333333329</v>
      </c>
      <c r="G703" s="12" t="str">
        <f t="shared" si="53"/>
        <v>OK</v>
      </c>
      <c r="H703" s="13">
        <f t="shared" si="54"/>
        <v>6</v>
      </c>
      <c r="I703" s="14">
        <f t="shared" si="50"/>
        <v>1831.2600000000002</v>
      </c>
      <c r="K703" t="str">
        <f>[1]!revcom(C703)</f>
        <v>ATACCT</v>
      </c>
      <c r="L703">
        <v>5</v>
      </c>
    </row>
    <row r="704" spans="1:12" ht="15.6" x14ac:dyDescent="0.3">
      <c r="A704" s="9">
        <v>693</v>
      </c>
      <c r="B704" s="1"/>
      <c r="C704" s="2" t="s">
        <v>699</v>
      </c>
      <c r="D704" s="1"/>
      <c r="E704" s="11">
        <f t="shared" si="51"/>
        <v>22</v>
      </c>
      <c r="F704" s="12">
        <f t="shared" si="52"/>
        <v>50</v>
      </c>
      <c r="G704" s="12" t="str">
        <f t="shared" si="53"/>
        <v>Warning</v>
      </c>
      <c r="H704" s="13">
        <f t="shared" si="54"/>
        <v>6</v>
      </c>
      <c r="I704" s="14">
        <f t="shared" si="50"/>
        <v>1816.25</v>
      </c>
      <c r="K704" t="str">
        <f>[1]!revcom(C704)</f>
        <v>TGACCT</v>
      </c>
      <c r="L704">
        <v>6</v>
      </c>
    </row>
    <row r="705" spans="1:12" ht="15.6" x14ac:dyDescent="0.3">
      <c r="A705" s="9">
        <v>694</v>
      </c>
      <c r="B705" s="1"/>
      <c r="C705" s="2" t="s">
        <v>700</v>
      </c>
      <c r="D705" s="1"/>
      <c r="E705" s="11">
        <f t="shared" si="51"/>
        <v>20</v>
      </c>
      <c r="F705" s="12">
        <f t="shared" si="52"/>
        <v>66.666666666666657</v>
      </c>
      <c r="G705" s="12" t="str">
        <f t="shared" si="53"/>
        <v>Warning</v>
      </c>
      <c r="H705" s="13">
        <f t="shared" si="54"/>
        <v>6</v>
      </c>
      <c r="I705" s="14">
        <f t="shared" si="50"/>
        <v>1792.2199999999998</v>
      </c>
      <c r="K705" t="str">
        <f>[1]!revcom(C705)</f>
        <v>GGACCT</v>
      </c>
      <c r="L705">
        <v>6</v>
      </c>
    </row>
    <row r="706" spans="1:12" ht="15.6" x14ac:dyDescent="0.3">
      <c r="A706" s="9">
        <v>695</v>
      </c>
      <c r="B706" s="1"/>
      <c r="C706" s="2" t="s">
        <v>701</v>
      </c>
      <c r="D706" s="1"/>
      <c r="E706" s="11">
        <f t="shared" si="51"/>
        <v>20</v>
      </c>
      <c r="F706" s="12">
        <f t="shared" si="52"/>
        <v>66.666666666666657</v>
      </c>
      <c r="G706" s="12" t="str">
        <f t="shared" si="53"/>
        <v>Warning</v>
      </c>
      <c r="H706" s="13">
        <f t="shared" si="54"/>
        <v>6</v>
      </c>
      <c r="I706" s="14">
        <f t="shared" si="50"/>
        <v>1832.25</v>
      </c>
      <c r="K706" t="str">
        <f>[1]!revcom(C706)</f>
        <v>CGACCT</v>
      </c>
      <c r="L706">
        <v>6</v>
      </c>
    </row>
    <row r="707" spans="1:12" ht="15.6" x14ac:dyDescent="0.3">
      <c r="A707" s="9">
        <v>696</v>
      </c>
      <c r="B707" s="1"/>
      <c r="C707" s="2" t="s">
        <v>702</v>
      </c>
      <c r="D707" s="1"/>
      <c r="E707" s="11">
        <f t="shared" si="51"/>
        <v>14</v>
      </c>
      <c r="F707" s="12">
        <f t="shared" si="52"/>
        <v>50</v>
      </c>
      <c r="G707" s="12" t="str">
        <f t="shared" si="53"/>
        <v>Warning</v>
      </c>
      <c r="H707" s="13">
        <f t="shared" si="54"/>
        <v>6</v>
      </c>
      <c r="I707" s="14">
        <f t="shared" si="50"/>
        <v>1807.23</v>
      </c>
      <c r="K707" t="str">
        <f>[1]!revcom(C707)</f>
        <v>AGACCT</v>
      </c>
      <c r="L707">
        <v>5</v>
      </c>
    </row>
    <row r="708" spans="1:12" ht="15.6" x14ac:dyDescent="0.3">
      <c r="A708" s="9">
        <v>697</v>
      </c>
      <c r="B708" s="1"/>
      <c r="C708" s="2" t="s">
        <v>703</v>
      </c>
      <c r="D708" s="1"/>
      <c r="E708" s="11">
        <f t="shared" si="51"/>
        <v>22</v>
      </c>
      <c r="F708" s="12">
        <f t="shared" si="52"/>
        <v>50</v>
      </c>
      <c r="G708" s="12" t="str">
        <f t="shared" si="53"/>
        <v>Warning</v>
      </c>
      <c r="H708" s="13">
        <f t="shared" si="54"/>
        <v>6</v>
      </c>
      <c r="I708" s="14">
        <f t="shared" si="50"/>
        <v>1856.2800000000002</v>
      </c>
      <c r="K708" t="str">
        <f>[1]!revcom(C708)</f>
        <v>TCACCT</v>
      </c>
      <c r="L708">
        <v>6</v>
      </c>
    </row>
    <row r="709" spans="1:12" ht="15.6" x14ac:dyDescent="0.3">
      <c r="A709" s="9">
        <v>698</v>
      </c>
      <c r="B709" s="1"/>
      <c r="C709" s="2" t="s">
        <v>704</v>
      </c>
      <c r="D709" s="1"/>
      <c r="E709" s="11">
        <f t="shared" si="51"/>
        <v>20</v>
      </c>
      <c r="F709" s="12">
        <f t="shared" si="52"/>
        <v>66.666666666666657</v>
      </c>
      <c r="G709" s="12" t="str">
        <f t="shared" si="53"/>
        <v>Warning</v>
      </c>
      <c r="H709" s="13">
        <f t="shared" si="54"/>
        <v>6</v>
      </c>
      <c r="I709" s="14">
        <f t="shared" si="50"/>
        <v>1832.25</v>
      </c>
      <c r="K709" t="str">
        <f>[1]!revcom(C709)</f>
        <v>GCACCT</v>
      </c>
      <c r="L709">
        <v>6</v>
      </c>
    </row>
    <row r="710" spans="1:12" ht="15.6" x14ac:dyDescent="0.3">
      <c r="A710" s="9">
        <v>699</v>
      </c>
      <c r="B710" s="1"/>
      <c r="C710" s="2" t="s">
        <v>705</v>
      </c>
      <c r="D710" s="1"/>
      <c r="E710" s="11">
        <f t="shared" si="51"/>
        <v>20</v>
      </c>
      <c r="F710" s="12">
        <f t="shared" si="52"/>
        <v>66.666666666666657</v>
      </c>
      <c r="G710" s="12" t="str">
        <f t="shared" si="53"/>
        <v>Warning</v>
      </c>
      <c r="H710" s="13">
        <f t="shared" si="54"/>
        <v>6</v>
      </c>
      <c r="I710" s="14">
        <f t="shared" si="50"/>
        <v>1872.2800000000002</v>
      </c>
      <c r="K710" t="str">
        <f>[1]!revcom(C710)</f>
        <v>CCACCT</v>
      </c>
      <c r="L710">
        <v>6</v>
      </c>
    </row>
    <row r="711" spans="1:12" ht="15.6" x14ac:dyDescent="0.3">
      <c r="A711" s="9">
        <v>700</v>
      </c>
      <c r="B711" s="1"/>
      <c r="C711" s="2" t="s">
        <v>706</v>
      </c>
      <c r="D711" s="1"/>
      <c r="E711" s="11">
        <f t="shared" si="51"/>
        <v>14</v>
      </c>
      <c r="F711" s="12">
        <f t="shared" si="52"/>
        <v>50</v>
      </c>
      <c r="G711" s="12" t="str">
        <f t="shared" si="53"/>
        <v>Warning</v>
      </c>
      <c r="H711" s="13">
        <f t="shared" si="54"/>
        <v>6</v>
      </c>
      <c r="I711" s="14">
        <f t="shared" si="50"/>
        <v>1847.2600000000002</v>
      </c>
      <c r="K711" t="str">
        <f>[1]!revcom(C711)</f>
        <v>ACACCT</v>
      </c>
      <c r="L711">
        <v>5</v>
      </c>
    </row>
    <row r="712" spans="1:12" ht="15.6" x14ac:dyDescent="0.3">
      <c r="A712" s="9">
        <v>701</v>
      </c>
      <c r="B712" s="1"/>
      <c r="C712" s="2" t="s">
        <v>707</v>
      </c>
      <c r="D712" s="1"/>
      <c r="E712" s="11">
        <f t="shared" si="51"/>
        <v>16</v>
      </c>
      <c r="F712" s="12">
        <f t="shared" si="52"/>
        <v>33.333333333333329</v>
      </c>
      <c r="G712" s="12" t="str">
        <f t="shared" si="53"/>
        <v>OK</v>
      </c>
      <c r="H712" s="13">
        <f t="shared" si="54"/>
        <v>6</v>
      </c>
      <c r="I712" s="14">
        <f t="shared" si="50"/>
        <v>1831.2600000000002</v>
      </c>
      <c r="K712" t="str">
        <f>[1]!revcom(C712)</f>
        <v>TAACCT</v>
      </c>
      <c r="L712">
        <v>5</v>
      </c>
    </row>
    <row r="713" spans="1:12" ht="15.6" x14ac:dyDescent="0.3">
      <c r="A713" s="9">
        <v>702</v>
      </c>
      <c r="B713" s="1"/>
      <c r="C713" s="2" t="s">
        <v>708</v>
      </c>
      <c r="D713" s="1"/>
      <c r="E713" s="11">
        <f t="shared" si="51"/>
        <v>14</v>
      </c>
      <c r="F713" s="12">
        <f t="shared" si="52"/>
        <v>50</v>
      </c>
      <c r="G713" s="12" t="str">
        <f t="shared" si="53"/>
        <v>Warning</v>
      </c>
      <c r="H713" s="13">
        <f t="shared" si="54"/>
        <v>6</v>
      </c>
      <c r="I713" s="14">
        <f t="shared" si="50"/>
        <v>1807.23</v>
      </c>
      <c r="K713" t="str">
        <f>[1]!revcom(C713)</f>
        <v>GAACCT</v>
      </c>
      <c r="L713">
        <v>5</v>
      </c>
    </row>
    <row r="714" spans="1:12" ht="15.6" x14ac:dyDescent="0.3">
      <c r="A714" s="9">
        <v>703</v>
      </c>
      <c r="B714" s="1"/>
      <c r="C714" s="2" t="s">
        <v>709</v>
      </c>
      <c r="D714" s="1"/>
      <c r="E714" s="11">
        <f t="shared" si="51"/>
        <v>14</v>
      </c>
      <c r="F714" s="12">
        <f t="shared" si="52"/>
        <v>50</v>
      </c>
      <c r="G714" s="12" t="str">
        <f t="shared" si="53"/>
        <v>Warning</v>
      </c>
      <c r="H714" s="13">
        <f t="shared" si="54"/>
        <v>6</v>
      </c>
      <c r="I714" s="14">
        <f t="shared" si="50"/>
        <v>1847.2600000000002</v>
      </c>
      <c r="K714" t="str">
        <f>[1]!revcom(C714)</f>
        <v>CAACCT</v>
      </c>
      <c r="L714">
        <v>5</v>
      </c>
    </row>
    <row r="715" spans="1:12" ht="15.6" x14ac:dyDescent="0.3">
      <c r="A715" s="9">
        <v>704</v>
      </c>
      <c r="B715" s="1"/>
      <c r="C715" s="2" t="s">
        <v>710</v>
      </c>
      <c r="D715" s="1"/>
      <c r="E715" s="11">
        <f t="shared" si="51"/>
        <v>8</v>
      </c>
      <c r="F715" s="12">
        <f t="shared" si="52"/>
        <v>33.333333333333329</v>
      </c>
      <c r="G715" s="12" t="str">
        <f t="shared" si="53"/>
        <v>OK</v>
      </c>
      <c r="H715" s="13">
        <f t="shared" si="54"/>
        <v>6</v>
      </c>
      <c r="I715" s="14">
        <f t="shared" si="50"/>
        <v>1822.2400000000002</v>
      </c>
      <c r="K715" t="str">
        <f>[1]!revcom(C715)</f>
        <v>AAACCT</v>
      </c>
      <c r="L715">
        <v>4</v>
      </c>
    </row>
    <row r="716" spans="1:12" ht="15.6" x14ac:dyDescent="0.3">
      <c r="A716" s="9">
        <v>705</v>
      </c>
      <c r="B716" s="1"/>
      <c r="C716" s="2" t="s">
        <v>711</v>
      </c>
      <c r="D716" s="1"/>
      <c r="E716" s="11">
        <f t="shared" si="51"/>
        <v>26</v>
      </c>
      <c r="F716" s="12">
        <f t="shared" si="52"/>
        <v>16.666666666666664</v>
      </c>
      <c r="G716" s="12" t="str">
        <f t="shared" si="53"/>
        <v>OK</v>
      </c>
      <c r="H716" s="13">
        <f t="shared" si="54"/>
        <v>6</v>
      </c>
      <c r="I716" s="14">
        <f t="shared" si="50"/>
        <v>1824.2799999999997</v>
      </c>
      <c r="K716" t="str">
        <f>[1]!revcom(C716)</f>
        <v>TTTACT</v>
      </c>
      <c r="L716">
        <v>7</v>
      </c>
    </row>
    <row r="717" spans="1:12" ht="15.6" x14ac:dyDescent="0.3">
      <c r="A717" s="9">
        <v>706</v>
      </c>
      <c r="B717" s="1"/>
      <c r="C717" s="2" t="s">
        <v>712</v>
      </c>
      <c r="D717" s="1"/>
      <c r="E717" s="11">
        <f t="shared" si="51"/>
        <v>24</v>
      </c>
      <c r="F717" s="12">
        <f t="shared" si="52"/>
        <v>33.333333333333329</v>
      </c>
      <c r="G717" s="12" t="str">
        <f t="shared" si="53"/>
        <v>OK</v>
      </c>
      <c r="H717" s="13">
        <f t="shared" si="54"/>
        <v>6</v>
      </c>
      <c r="I717" s="14">
        <f t="shared" ref="I717:I780" si="55">((LEN(C717)-(LEN(SUBSTITUTE(C717,"A",""))))*249.23)+((LEN(C717)-(LEN(SUBSTITUTE(C717,"T",""))))*240.21)+((LEN(C717)-(LEN(SUBSTITUTE(C717,"C",""))))*225.2)+((LEN(C717)-(LEN(SUBSTITUTE(C717,"G",""))))*265.23)+(63.98*(LEN(C717)-1)+(2.02))</f>
        <v>1800.25</v>
      </c>
      <c r="K717" t="str">
        <f>[1]!revcom(C717)</f>
        <v>GTTACT</v>
      </c>
      <c r="L717">
        <v>6</v>
      </c>
    </row>
    <row r="718" spans="1:12" ht="15.6" x14ac:dyDescent="0.3">
      <c r="A718" s="9">
        <v>707</v>
      </c>
      <c r="B718" s="1"/>
      <c r="C718" s="2" t="s">
        <v>713</v>
      </c>
      <c r="D718" s="1"/>
      <c r="E718" s="11">
        <f t="shared" ref="E718:E781" si="56">IF(LEN(C718)&gt;15,(69.3+((41*((LEN(C718)-(((LEN(C718)-(LEN(SUBSTITUTE(C718,"A",""))))+((LEN(C718)-(LEN(SUBSTITUTE(C718,"T","")))))))))/(LEN(C718)))-(650/(LEN(C718))))),(2*((LEN(C718)-(((LEN(C718)-(LEN(SUBSTITUTE(C718,"C",""))))+((LEN(C718)-(LEN(SUBSTITUTE(C718,"G",""))))))))))+(4*((LEN(C718)-(((LEN(C718)-(LEN(SUBSTITUTE(C718,"T",""))))+((LEN(C718)-(LEN(SUBSTITUTE(C718,"T","")))))))))))</f>
        <v>24</v>
      </c>
      <c r="F718" s="12">
        <f t="shared" ref="F718:F781" si="57">((LEN(C718)- LEN(SUBSTITUTE(C718,"G","")))+(LEN(C718)- LEN(SUBSTITUTE(C718,"C",""))) )/LEN(C718)*100</f>
        <v>33.333333333333329</v>
      </c>
      <c r="G718" s="12" t="str">
        <f t="shared" ref="G718:G781" si="58">IF((-5+((LEN(SUBSTITUTE(RIGHT(C718,5),"C","")))+((LEN(SUBSTITUTE(RIGHT(C718,5),"G",""))))))&gt;=3,"OK","Warning")</f>
        <v>OK</v>
      </c>
      <c r="H718" s="13">
        <f t="shared" ref="H718:H781" si="59">LEN(C718)</f>
        <v>6</v>
      </c>
      <c r="I718" s="14">
        <f t="shared" si="55"/>
        <v>1840.2800000000002</v>
      </c>
      <c r="K718" t="str">
        <f>[1]!revcom(C718)</f>
        <v>CTTACT</v>
      </c>
      <c r="L718">
        <v>6</v>
      </c>
    </row>
    <row r="719" spans="1:12" ht="15.6" x14ac:dyDescent="0.3">
      <c r="A719" s="9">
        <v>708</v>
      </c>
      <c r="B719" s="1"/>
      <c r="C719" s="2" t="s">
        <v>714</v>
      </c>
      <c r="D719" s="1"/>
      <c r="E719" s="11">
        <f t="shared" si="56"/>
        <v>18</v>
      </c>
      <c r="F719" s="12">
        <f t="shared" si="57"/>
        <v>16.666666666666664</v>
      </c>
      <c r="G719" s="12" t="str">
        <f t="shared" si="58"/>
        <v>OK</v>
      </c>
      <c r="H719" s="13">
        <f t="shared" si="59"/>
        <v>6</v>
      </c>
      <c r="I719" s="14">
        <f t="shared" si="55"/>
        <v>1815.2599999999998</v>
      </c>
      <c r="K719" t="str">
        <f>[1]!revcom(C719)</f>
        <v>ATTACT</v>
      </c>
      <c r="L719">
        <v>5</v>
      </c>
    </row>
    <row r="720" spans="1:12" ht="15.6" x14ac:dyDescent="0.3">
      <c r="A720" s="9">
        <v>709</v>
      </c>
      <c r="B720" s="1"/>
      <c r="C720" s="2" t="s">
        <v>715</v>
      </c>
      <c r="D720" s="1"/>
      <c r="E720" s="11">
        <f t="shared" si="56"/>
        <v>24</v>
      </c>
      <c r="F720" s="12">
        <f t="shared" si="57"/>
        <v>33.333333333333329</v>
      </c>
      <c r="G720" s="12" t="str">
        <f t="shared" si="58"/>
        <v>OK</v>
      </c>
      <c r="H720" s="13">
        <f t="shared" si="59"/>
        <v>6</v>
      </c>
      <c r="I720" s="14">
        <f t="shared" si="55"/>
        <v>1800.25</v>
      </c>
      <c r="K720" t="str">
        <f>[1]!revcom(C720)</f>
        <v>TGTACT</v>
      </c>
      <c r="L720">
        <v>6</v>
      </c>
    </row>
    <row r="721" spans="1:12" ht="15.6" x14ac:dyDescent="0.3">
      <c r="A721" s="9">
        <v>710</v>
      </c>
      <c r="B721" s="1"/>
      <c r="C721" s="2" t="s">
        <v>716</v>
      </c>
      <c r="D721" s="1"/>
      <c r="E721" s="11">
        <f t="shared" si="56"/>
        <v>22</v>
      </c>
      <c r="F721" s="12">
        <f t="shared" si="57"/>
        <v>50</v>
      </c>
      <c r="G721" s="12" t="str">
        <f t="shared" si="58"/>
        <v>Warning</v>
      </c>
      <c r="H721" s="13">
        <f t="shared" si="59"/>
        <v>6</v>
      </c>
      <c r="I721" s="14">
        <f t="shared" si="55"/>
        <v>1776.2199999999998</v>
      </c>
      <c r="K721" t="str">
        <f>[1]!revcom(C721)</f>
        <v>GGTACT</v>
      </c>
      <c r="L721">
        <v>6</v>
      </c>
    </row>
    <row r="722" spans="1:12" ht="15.6" x14ac:dyDescent="0.3">
      <c r="A722" s="9">
        <v>711</v>
      </c>
      <c r="B722" s="1"/>
      <c r="C722" s="2" t="s">
        <v>717</v>
      </c>
      <c r="D722" s="1"/>
      <c r="E722" s="11">
        <f t="shared" si="56"/>
        <v>22</v>
      </c>
      <c r="F722" s="12">
        <f t="shared" si="57"/>
        <v>50</v>
      </c>
      <c r="G722" s="12" t="str">
        <f t="shared" si="58"/>
        <v>Warning</v>
      </c>
      <c r="H722" s="13">
        <f t="shared" si="59"/>
        <v>6</v>
      </c>
      <c r="I722" s="14">
        <f t="shared" si="55"/>
        <v>1816.25</v>
      </c>
      <c r="K722" t="str">
        <f>[1]!revcom(C722)</f>
        <v>CGTACT</v>
      </c>
      <c r="L722">
        <v>6</v>
      </c>
    </row>
    <row r="723" spans="1:12" ht="15.6" x14ac:dyDescent="0.3">
      <c r="A723" s="9">
        <v>712</v>
      </c>
      <c r="B723" s="1"/>
      <c r="C723" s="2" t="s">
        <v>718</v>
      </c>
      <c r="D723" s="1"/>
      <c r="E723" s="11">
        <f t="shared" si="56"/>
        <v>16</v>
      </c>
      <c r="F723" s="12">
        <f t="shared" si="57"/>
        <v>33.333333333333329</v>
      </c>
      <c r="G723" s="12" t="str">
        <f t="shared" si="58"/>
        <v>OK</v>
      </c>
      <c r="H723" s="13">
        <f t="shared" si="59"/>
        <v>6</v>
      </c>
      <c r="I723" s="14">
        <f t="shared" si="55"/>
        <v>1791.23</v>
      </c>
      <c r="K723" t="str">
        <f>[1]!revcom(C723)</f>
        <v>AGTACT</v>
      </c>
      <c r="L723">
        <v>5</v>
      </c>
    </row>
    <row r="724" spans="1:12" ht="15.6" x14ac:dyDescent="0.3">
      <c r="A724" s="9">
        <v>713</v>
      </c>
      <c r="B724" s="1"/>
      <c r="C724" s="2" t="s">
        <v>719</v>
      </c>
      <c r="D724" s="1"/>
      <c r="E724" s="11">
        <f t="shared" si="56"/>
        <v>24</v>
      </c>
      <c r="F724" s="12">
        <f t="shared" si="57"/>
        <v>33.333333333333329</v>
      </c>
      <c r="G724" s="12" t="str">
        <f t="shared" si="58"/>
        <v>OK</v>
      </c>
      <c r="H724" s="13">
        <f t="shared" si="59"/>
        <v>6</v>
      </c>
      <c r="I724" s="14">
        <f t="shared" si="55"/>
        <v>1840.2800000000002</v>
      </c>
      <c r="K724" t="str">
        <f>[1]!revcom(C724)</f>
        <v>TCTACT</v>
      </c>
      <c r="L724">
        <v>6</v>
      </c>
    </row>
    <row r="725" spans="1:12" ht="15.6" x14ac:dyDescent="0.3">
      <c r="A725" s="9">
        <v>714</v>
      </c>
      <c r="B725" s="1"/>
      <c r="C725" s="2" t="s">
        <v>720</v>
      </c>
      <c r="D725" s="1"/>
      <c r="E725" s="11">
        <f t="shared" si="56"/>
        <v>22</v>
      </c>
      <c r="F725" s="12">
        <f t="shared" si="57"/>
        <v>50</v>
      </c>
      <c r="G725" s="12" t="str">
        <f t="shared" si="58"/>
        <v>Warning</v>
      </c>
      <c r="H725" s="13">
        <f t="shared" si="59"/>
        <v>6</v>
      </c>
      <c r="I725" s="14">
        <f t="shared" si="55"/>
        <v>1816.25</v>
      </c>
      <c r="K725" t="str">
        <f>[1]!revcom(C725)</f>
        <v>GCTACT</v>
      </c>
      <c r="L725">
        <v>6</v>
      </c>
    </row>
    <row r="726" spans="1:12" ht="15.6" x14ac:dyDescent="0.3">
      <c r="A726" s="9">
        <v>715</v>
      </c>
      <c r="B726" s="1"/>
      <c r="C726" s="2" t="s">
        <v>721</v>
      </c>
      <c r="D726" s="1"/>
      <c r="E726" s="11">
        <f t="shared" si="56"/>
        <v>22</v>
      </c>
      <c r="F726" s="12">
        <f t="shared" si="57"/>
        <v>50</v>
      </c>
      <c r="G726" s="12" t="str">
        <f t="shared" si="58"/>
        <v>Warning</v>
      </c>
      <c r="H726" s="13">
        <f t="shared" si="59"/>
        <v>6</v>
      </c>
      <c r="I726" s="14">
        <f t="shared" si="55"/>
        <v>1856.2800000000002</v>
      </c>
      <c r="K726" t="str">
        <f>[1]!revcom(C726)</f>
        <v>CCTACT</v>
      </c>
      <c r="L726">
        <v>6</v>
      </c>
    </row>
    <row r="727" spans="1:12" ht="15.6" x14ac:dyDescent="0.3">
      <c r="A727" s="9">
        <v>716</v>
      </c>
      <c r="B727" s="1"/>
      <c r="C727" s="2" t="s">
        <v>722</v>
      </c>
      <c r="D727" s="1"/>
      <c r="E727" s="11">
        <f t="shared" si="56"/>
        <v>16</v>
      </c>
      <c r="F727" s="12">
        <f t="shared" si="57"/>
        <v>33.333333333333329</v>
      </c>
      <c r="G727" s="12" t="str">
        <f t="shared" si="58"/>
        <v>OK</v>
      </c>
      <c r="H727" s="13">
        <f t="shared" si="59"/>
        <v>6</v>
      </c>
      <c r="I727" s="14">
        <f t="shared" si="55"/>
        <v>1831.2600000000002</v>
      </c>
      <c r="K727" t="str">
        <f>[1]!revcom(C727)</f>
        <v>ACTACT</v>
      </c>
      <c r="L727">
        <v>5</v>
      </c>
    </row>
    <row r="728" spans="1:12" ht="15.6" x14ac:dyDescent="0.3">
      <c r="A728" s="9">
        <v>717</v>
      </c>
      <c r="B728" s="1"/>
      <c r="C728" s="2" t="s">
        <v>723</v>
      </c>
      <c r="D728" s="1"/>
      <c r="E728" s="11">
        <f t="shared" si="56"/>
        <v>18</v>
      </c>
      <c r="F728" s="12">
        <f t="shared" si="57"/>
        <v>16.666666666666664</v>
      </c>
      <c r="G728" s="12" t="str">
        <f t="shared" si="58"/>
        <v>OK</v>
      </c>
      <c r="H728" s="13">
        <f t="shared" si="59"/>
        <v>6</v>
      </c>
      <c r="I728" s="14">
        <f t="shared" si="55"/>
        <v>1815.2599999999998</v>
      </c>
      <c r="K728" t="str">
        <f>[1]!revcom(C728)</f>
        <v>TATACT</v>
      </c>
      <c r="L728">
        <v>5</v>
      </c>
    </row>
    <row r="729" spans="1:12" ht="15.6" x14ac:dyDescent="0.3">
      <c r="A729" s="9">
        <v>718</v>
      </c>
      <c r="B729" s="1"/>
      <c r="C729" s="2" t="s">
        <v>724</v>
      </c>
      <c r="D729" s="1"/>
      <c r="E729" s="11">
        <f t="shared" si="56"/>
        <v>16</v>
      </c>
      <c r="F729" s="12">
        <f t="shared" si="57"/>
        <v>33.333333333333329</v>
      </c>
      <c r="G729" s="12" t="str">
        <f t="shared" si="58"/>
        <v>OK</v>
      </c>
      <c r="H729" s="13">
        <f t="shared" si="59"/>
        <v>6</v>
      </c>
      <c r="I729" s="14">
        <f t="shared" si="55"/>
        <v>1791.23</v>
      </c>
      <c r="K729" t="str">
        <f>[1]!revcom(C729)</f>
        <v>GATACT</v>
      </c>
      <c r="L729">
        <v>5</v>
      </c>
    </row>
    <row r="730" spans="1:12" ht="15.6" x14ac:dyDescent="0.3">
      <c r="A730" s="9">
        <v>719</v>
      </c>
      <c r="B730" s="1"/>
      <c r="C730" s="2" t="s">
        <v>725</v>
      </c>
      <c r="D730" s="1"/>
      <c r="E730" s="11">
        <f t="shared" si="56"/>
        <v>16</v>
      </c>
      <c r="F730" s="12">
        <f t="shared" si="57"/>
        <v>33.333333333333329</v>
      </c>
      <c r="G730" s="12" t="str">
        <f t="shared" si="58"/>
        <v>OK</v>
      </c>
      <c r="H730" s="13">
        <f t="shared" si="59"/>
        <v>6</v>
      </c>
      <c r="I730" s="14">
        <f t="shared" si="55"/>
        <v>1831.2600000000002</v>
      </c>
      <c r="K730" t="str">
        <f>[1]!revcom(C730)</f>
        <v>CATACT</v>
      </c>
      <c r="L730">
        <v>5</v>
      </c>
    </row>
    <row r="731" spans="1:12" ht="15.6" x14ac:dyDescent="0.3">
      <c r="A731" s="9">
        <v>720</v>
      </c>
      <c r="B731" s="1"/>
      <c r="C731" s="2" t="s">
        <v>726</v>
      </c>
      <c r="D731" s="1"/>
      <c r="E731" s="11">
        <f t="shared" si="56"/>
        <v>10</v>
      </c>
      <c r="F731" s="12">
        <f t="shared" si="57"/>
        <v>16.666666666666664</v>
      </c>
      <c r="G731" s="12" t="str">
        <f t="shared" si="58"/>
        <v>OK</v>
      </c>
      <c r="H731" s="13">
        <f t="shared" si="59"/>
        <v>6</v>
      </c>
      <c r="I731" s="14">
        <f t="shared" si="55"/>
        <v>1806.2399999999998</v>
      </c>
      <c r="K731" t="str">
        <f>[1]!revcom(C731)</f>
        <v>AATACT</v>
      </c>
      <c r="L731">
        <v>4</v>
      </c>
    </row>
    <row r="732" spans="1:12" ht="15.6" x14ac:dyDescent="0.3">
      <c r="A732" s="9">
        <v>721</v>
      </c>
      <c r="B732" s="1"/>
      <c r="C732" s="2" t="s">
        <v>727</v>
      </c>
      <c r="D732" s="1"/>
      <c r="E732" s="11">
        <f t="shared" si="56"/>
        <v>24</v>
      </c>
      <c r="F732" s="12">
        <f t="shared" si="57"/>
        <v>33.333333333333329</v>
      </c>
      <c r="G732" s="12" t="str">
        <f t="shared" si="58"/>
        <v>OK</v>
      </c>
      <c r="H732" s="13">
        <f t="shared" si="59"/>
        <v>6</v>
      </c>
      <c r="I732" s="14">
        <f t="shared" si="55"/>
        <v>1800.25</v>
      </c>
      <c r="K732" t="str">
        <f>[1]!revcom(C732)</f>
        <v>TTGACT</v>
      </c>
      <c r="L732">
        <v>6</v>
      </c>
    </row>
    <row r="733" spans="1:12" ht="15.6" x14ac:dyDescent="0.3">
      <c r="A733" s="9">
        <v>722</v>
      </c>
      <c r="B733" s="1"/>
      <c r="C733" s="2" t="s">
        <v>728</v>
      </c>
      <c r="D733" s="1"/>
      <c r="E733" s="11">
        <f t="shared" si="56"/>
        <v>22</v>
      </c>
      <c r="F733" s="12">
        <f t="shared" si="57"/>
        <v>50</v>
      </c>
      <c r="G733" s="12" t="str">
        <f t="shared" si="58"/>
        <v>Warning</v>
      </c>
      <c r="H733" s="13">
        <f t="shared" si="59"/>
        <v>6</v>
      </c>
      <c r="I733" s="14">
        <f t="shared" si="55"/>
        <v>1776.2199999999998</v>
      </c>
      <c r="K733" t="str">
        <f>[1]!revcom(C733)</f>
        <v>GTGACT</v>
      </c>
      <c r="L733">
        <v>6</v>
      </c>
    </row>
    <row r="734" spans="1:12" ht="15.6" x14ac:dyDescent="0.3">
      <c r="A734" s="9">
        <v>723</v>
      </c>
      <c r="B734" s="1"/>
      <c r="C734" s="2" t="s">
        <v>729</v>
      </c>
      <c r="D734" s="1"/>
      <c r="E734" s="11">
        <f t="shared" si="56"/>
        <v>22</v>
      </c>
      <c r="F734" s="12">
        <f t="shared" si="57"/>
        <v>50</v>
      </c>
      <c r="G734" s="12" t="str">
        <f t="shared" si="58"/>
        <v>Warning</v>
      </c>
      <c r="H734" s="13">
        <f t="shared" si="59"/>
        <v>6</v>
      </c>
      <c r="I734" s="14">
        <f t="shared" si="55"/>
        <v>1816.25</v>
      </c>
      <c r="K734" t="str">
        <f>[1]!revcom(C734)</f>
        <v>CTGACT</v>
      </c>
      <c r="L734">
        <v>6</v>
      </c>
    </row>
    <row r="735" spans="1:12" ht="15.6" x14ac:dyDescent="0.3">
      <c r="A735" s="9">
        <v>724</v>
      </c>
      <c r="B735" s="1"/>
      <c r="C735" s="2" t="s">
        <v>730</v>
      </c>
      <c r="D735" s="1"/>
      <c r="E735" s="11">
        <f t="shared" si="56"/>
        <v>16</v>
      </c>
      <c r="F735" s="12">
        <f t="shared" si="57"/>
        <v>33.333333333333329</v>
      </c>
      <c r="G735" s="12" t="str">
        <f t="shared" si="58"/>
        <v>OK</v>
      </c>
      <c r="H735" s="13">
        <f t="shared" si="59"/>
        <v>6</v>
      </c>
      <c r="I735" s="14">
        <f t="shared" si="55"/>
        <v>1791.23</v>
      </c>
      <c r="K735" t="str">
        <f>[1]!revcom(C735)</f>
        <v>ATGACT</v>
      </c>
      <c r="L735">
        <v>5</v>
      </c>
    </row>
    <row r="736" spans="1:12" ht="15.6" x14ac:dyDescent="0.3">
      <c r="A736" s="9">
        <v>725</v>
      </c>
      <c r="B736" s="1"/>
      <c r="C736" s="2" t="s">
        <v>731</v>
      </c>
      <c r="D736" s="1"/>
      <c r="E736" s="11">
        <f t="shared" si="56"/>
        <v>22</v>
      </c>
      <c r="F736" s="12">
        <f t="shared" si="57"/>
        <v>50</v>
      </c>
      <c r="G736" s="12" t="str">
        <f t="shared" si="58"/>
        <v>Warning</v>
      </c>
      <c r="H736" s="13">
        <f t="shared" si="59"/>
        <v>6</v>
      </c>
      <c r="I736" s="14">
        <f t="shared" si="55"/>
        <v>1776.2199999999998</v>
      </c>
      <c r="K736" t="str">
        <f>[1]!revcom(C736)</f>
        <v>TGGACT</v>
      </c>
      <c r="L736">
        <v>6</v>
      </c>
    </row>
    <row r="737" spans="1:12" ht="15.6" x14ac:dyDescent="0.3">
      <c r="A737" s="9">
        <v>726</v>
      </c>
      <c r="B737" s="1"/>
      <c r="C737" s="2" t="s">
        <v>732</v>
      </c>
      <c r="D737" s="1"/>
      <c r="E737" s="11">
        <f t="shared" si="56"/>
        <v>20</v>
      </c>
      <c r="F737" s="12">
        <f t="shared" si="57"/>
        <v>66.666666666666657</v>
      </c>
      <c r="G737" s="12" t="str">
        <f t="shared" si="58"/>
        <v>Warning</v>
      </c>
      <c r="H737" s="13">
        <f t="shared" si="59"/>
        <v>6</v>
      </c>
      <c r="I737" s="14">
        <f t="shared" si="55"/>
        <v>1752.19</v>
      </c>
      <c r="K737" t="str">
        <f>[1]!revcom(C737)</f>
        <v>GGGACT</v>
      </c>
      <c r="L737">
        <v>6</v>
      </c>
    </row>
    <row r="738" spans="1:12" ht="15.6" x14ac:dyDescent="0.3">
      <c r="A738" s="9">
        <v>727</v>
      </c>
      <c r="B738" s="1"/>
      <c r="C738" s="2" t="s">
        <v>733</v>
      </c>
      <c r="D738" s="1"/>
      <c r="E738" s="11">
        <f t="shared" si="56"/>
        <v>20</v>
      </c>
      <c r="F738" s="12">
        <f t="shared" si="57"/>
        <v>66.666666666666657</v>
      </c>
      <c r="G738" s="12" t="str">
        <f t="shared" si="58"/>
        <v>Warning</v>
      </c>
      <c r="H738" s="13">
        <f t="shared" si="59"/>
        <v>6</v>
      </c>
      <c r="I738" s="14">
        <f t="shared" si="55"/>
        <v>1792.2199999999998</v>
      </c>
      <c r="K738" t="str">
        <f>[1]!revcom(C738)</f>
        <v>CGGACT</v>
      </c>
      <c r="L738">
        <v>6</v>
      </c>
    </row>
    <row r="739" spans="1:12" ht="15.6" x14ac:dyDescent="0.3">
      <c r="A739" s="9">
        <v>728</v>
      </c>
      <c r="B739" s="1"/>
      <c r="C739" s="2" t="s">
        <v>734</v>
      </c>
      <c r="D739" s="1"/>
      <c r="E739" s="11">
        <f t="shared" si="56"/>
        <v>14</v>
      </c>
      <c r="F739" s="12">
        <f t="shared" si="57"/>
        <v>50</v>
      </c>
      <c r="G739" s="12" t="str">
        <f t="shared" si="58"/>
        <v>Warning</v>
      </c>
      <c r="H739" s="13">
        <f t="shared" si="59"/>
        <v>6</v>
      </c>
      <c r="I739" s="14">
        <f t="shared" si="55"/>
        <v>1767.1999999999998</v>
      </c>
      <c r="K739" t="str">
        <f>[1]!revcom(C739)</f>
        <v>AGGACT</v>
      </c>
      <c r="L739">
        <v>5</v>
      </c>
    </row>
    <row r="740" spans="1:12" ht="15.6" x14ac:dyDescent="0.3">
      <c r="A740" s="9">
        <v>729</v>
      </c>
      <c r="B740" s="1"/>
      <c r="C740" s="2" t="s">
        <v>735</v>
      </c>
      <c r="D740" s="1"/>
      <c r="E740" s="11">
        <f t="shared" si="56"/>
        <v>22</v>
      </c>
      <c r="F740" s="12">
        <f t="shared" si="57"/>
        <v>50</v>
      </c>
      <c r="G740" s="12" t="str">
        <f t="shared" si="58"/>
        <v>Warning</v>
      </c>
      <c r="H740" s="13">
        <f t="shared" si="59"/>
        <v>6</v>
      </c>
      <c r="I740" s="14">
        <f t="shared" si="55"/>
        <v>1816.25</v>
      </c>
      <c r="K740" t="str">
        <f>[1]!revcom(C740)</f>
        <v>TCGACT</v>
      </c>
      <c r="L740">
        <v>6</v>
      </c>
    </row>
    <row r="741" spans="1:12" ht="15.6" x14ac:dyDescent="0.3">
      <c r="A741" s="9">
        <v>730</v>
      </c>
      <c r="B741" s="1"/>
      <c r="C741" s="2" t="s">
        <v>736</v>
      </c>
      <c r="D741" s="1"/>
      <c r="E741" s="11">
        <f t="shared" si="56"/>
        <v>20</v>
      </c>
      <c r="F741" s="12">
        <f t="shared" si="57"/>
        <v>66.666666666666657</v>
      </c>
      <c r="G741" s="12" t="str">
        <f t="shared" si="58"/>
        <v>Warning</v>
      </c>
      <c r="H741" s="13">
        <f t="shared" si="59"/>
        <v>6</v>
      </c>
      <c r="I741" s="14">
        <f t="shared" si="55"/>
        <v>1792.2199999999998</v>
      </c>
      <c r="K741" t="str">
        <f>[1]!revcom(C741)</f>
        <v>GCGACT</v>
      </c>
      <c r="L741">
        <v>6</v>
      </c>
    </row>
    <row r="742" spans="1:12" ht="15.6" x14ac:dyDescent="0.3">
      <c r="A742" s="9">
        <v>731</v>
      </c>
      <c r="B742" s="1"/>
      <c r="C742" s="2" t="s">
        <v>737</v>
      </c>
      <c r="D742" s="1"/>
      <c r="E742" s="11">
        <f t="shared" si="56"/>
        <v>20</v>
      </c>
      <c r="F742" s="12">
        <f t="shared" si="57"/>
        <v>66.666666666666657</v>
      </c>
      <c r="G742" s="12" t="str">
        <f t="shared" si="58"/>
        <v>Warning</v>
      </c>
      <c r="H742" s="13">
        <f t="shared" si="59"/>
        <v>6</v>
      </c>
      <c r="I742" s="14">
        <f t="shared" si="55"/>
        <v>1832.25</v>
      </c>
      <c r="K742" t="str">
        <f>[1]!revcom(C742)</f>
        <v>CCGACT</v>
      </c>
      <c r="L742">
        <v>6</v>
      </c>
    </row>
    <row r="743" spans="1:12" ht="15.6" x14ac:dyDescent="0.3">
      <c r="A743" s="9">
        <v>732</v>
      </c>
      <c r="B743" s="1"/>
      <c r="C743" s="2" t="s">
        <v>738</v>
      </c>
      <c r="D743" s="1"/>
      <c r="E743" s="11">
        <f t="shared" si="56"/>
        <v>14</v>
      </c>
      <c r="F743" s="12">
        <f t="shared" si="57"/>
        <v>50</v>
      </c>
      <c r="G743" s="12" t="str">
        <f t="shared" si="58"/>
        <v>Warning</v>
      </c>
      <c r="H743" s="13">
        <f t="shared" si="59"/>
        <v>6</v>
      </c>
      <c r="I743" s="14">
        <f t="shared" si="55"/>
        <v>1807.23</v>
      </c>
      <c r="K743" t="str">
        <f>[1]!revcom(C743)</f>
        <v>ACGACT</v>
      </c>
      <c r="L743">
        <v>5</v>
      </c>
    </row>
    <row r="744" spans="1:12" ht="15.6" x14ac:dyDescent="0.3">
      <c r="A744" s="9">
        <v>733</v>
      </c>
      <c r="B744" s="1"/>
      <c r="C744" s="2" t="s">
        <v>739</v>
      </c>
      <c r="D744" s="1"/>
      <c r="E744" s="11">
        <f t="shared" si="56"/>
        <v>16</v>
      </c>
      <c r="F744" s="12">
        <f t="shared" si="57"/>
        <v>33.333333333333329</v>
      </c>
      <c r="G744" s="12" t="str">
        <f t="shared" si="58"/>
        <v>OK</v>
      </c>
      <c r="H744" s="13">
        <f t="shared" si="59"/>
        <v>6</v>
      </c>
      <c r="I744" s="14">
        <f t="shared" si="55"/>
        <v>1791.23</v>
      </c>
      <c r="K744" t="str">
        <f>[1]!revcom(C744)</f>
        <v>TAGACT</v>
      </c>
      <c r="L744">
        <v>5</v>
      </c>
    </row>
    <row r="745" spans="1:12" ht="15.6" x14ac:dyDescent="0.3">
      <c r="A745" s="9">
        <v>734</v>
      </c>
      <c r="B745" s="1"/>
      <c r="C745" s="2" t="s">
        <v>740</v>
      </c>
      <c r="D745" s="1"/>
      <c r="E745" s="11">
        <f t="shared" si="56"/>
        <v>14</v>
      </c>
      <c r="F745" s="12">
        <f t="shared" si="57"/>
        <v>50</v>
      </c>
      <c r="G745" s="12" t="str">
        <f t="shared" si="58"/>
        <v>Warning</v>
      </c>
      <c r="H745" s="13">
        <f t="shared" si="59"/>
        <v>6</v>
      </c>
      <c r="I745" s="14">
        <f t="shared" si="55"/>
        <v>1767.1999999999998</v>
      </c>
      <c r="K745" t="str">
        <f>[1]!revcom(C745)</f>
        <v>GAGACT</v>
      </c>
      <c r="L745">
        <v>5</v>
      </c>
    </row>
    <row r="746" spans="1:12" ht="15.6" x14ac:dyDescent="0.3">
      <c r="A746" s="9">
        <v>735</v>
      </c>
      <c r="B746" s="1"/>
      <c r="C746" s="2" t="s">
        <v>741</v>
      </c>
      <c r="D746" s="1"/>
      <c r="E746" s="11">
        <f t="shared" si="56"/>
        <v>14</v>
      </c>
      <c r="F746" s="12">
        <f t="shared" si="57"/>
        <v>50</v>
      </c>
      <c r="G746" s="12" t="str">
        <f t="shared" si="58"/>
        <v>Warning</v>
      </c>
      <c r="H746" s="13">
        <f t="shared" si="59"/>
        <v>6</v>
      </c>
      <c r="I746" s="14">
        <f t="shared" si="55"/>
        <v>1807.23</v>
      </c>
      <c r="K746" t="str">
        <f>[1]!revcom(C746)</f>
        <v>CAGACT</v>
      </c>
      <c r="L746">
        <v>5</v>
      </c>
    </row>
    <row r="747" spans="1:12" ht="15.6" x14ac:dyDescent="0.3">
      <c r="A747" s="9">
        <v>736</v>
      </c>
      <c r="B747" s="1"/>
      <c r="C747" s="2" t="s">
        <v>742</v>
      </c>
      <c r="D747" s="1"/>
      <c r="E747" s="11">
        <f t="shared" si="56"/>
        <v>8</v>
      </c>
      <c r="F747" s="12">
        <f t="shared" si="57"/>
        <v>33.333333333333329</v>
      </c>
      <c r="G747" s="12" t="str">
        <f t="shared" si="58"/>
        <v>OK</v>
      </c>
      <c r="H747" s="13">
        <f t="shared" si="59"/>
        <v>6</v>
      </c>
      <c r="I747" s="14">
        <f t="shared" si="55"/>
        <v>1782.21</v>
      </c>
      <c r="K747" t="str">
        <f>[1]!revcom(C747)</f>
        <v>AAGACT</v>
      </c>
      <c r="L747">
        <v>4</v>
      </c>
    </row>
    <row r="748" spans="1:12" ht="15.6" x14ac:dyDescent="0.3">
      <c r="A748" s="9">
        <v>737</v>
      </c>
      <c r="B748" s="1"/>
      <c r="C748" s="2" t="s">
        <v>743</v>
      </c>
      <c r="D748" s="1"/>
      <c r="E748" s="11">
        <f t="shared" si="56"/>
        <v>24</v>
      </c>
      <c r="F748" s="12">
        <f t="shared" si="57"/>
        <v>33.333333333333329</v>
      </c>
      <c r="G748" s="12" t="str">
        <f t="shared" si="58"/>
        <v>OK</v>
      </c>
      <c r="H748" s="13">
        <f t="shared" si="59"/>
        <v>6</v>
      </c>
      <c r="I748" s="14">
        <f t="shared" si="55"/>
        <v>1840.2800000000002</v>
      </c>
      <c r="K748" t="str">
        <f>[1]!revcom(C748)</f>
        <v>TTCACT</v>
      </c>
      <c r="L748">
        <v>6</v>
      </c>
    </row>
    <row r="749" spans="1:12" ht="15.6" x14ac:dyDescent="0.3">
      <c r="A749" s="9">
        <v>738</v>
      </c>
      <c r="B749" s="1"/>
      <c r="C749" s="2" t="s">
        <v>744</v>
      </c>
      <c r="D749" s="1"/>
      <c r="E749" s="11">
        <f t="shared" si="56"/>
        <v>22</v>
      </c>
      <c r="F749" s="12">
        <f t="shared" si="57"/>
        <v>50</v>
      </c>
      <c r="G749" s="12" t="str">
        <f t="shared" si="58"/>
        <v>Warning</v>
      </c>
      <c r="H749" s="13">
        <f t="shared" si="59"/>
        <v>6</v>
      </c>
      <c r="I749" s="14">
        <f t="shared" si="55"/>
        <v>1816.25</v>
      </c>
      <c r="K749" t="str">
        <f>[1]!revcom(C749)</f>
        <v>GTCACT</v>
      </c>
      <c r="L749">
        <v>6</v>
      </c>
    </row>
    <row r="750" spans="1:12" ht="15.6" x14ac:dyDescent="0.3">
      <c r="A750" s="9">
        <v>739</v>
      </c>
      <c r="B750" s="1"/>
      <c r="C750" s="2" t="s">
        <v>745</v>
      </c>
      <c r="D750" s="1"/>
      <c r="E750" s="11">
        <f t="shared" si="56"/>
        <v>22</v>
      </c>
      <c r="F750" s="12">
        <f t="shared" si="57"/>
        <v>50</v>
      </c>
      <c r="G750" s="12" t="str">
        <f t="shared" si="58"/>
        <v>Warning</v>
      </c>
      <c r="H750" s="13">
        <f t="shared" si="59"/>
        <v>6</v>
      </c>
      <c r="I750" s="14">
        <f t="shared" si="55"/>
        <v>1856.2800000000002</v>
      </c>
      <c r="K750" t="str">
        <f>[1]!revcom(C750)</f>
        <v>CTCACT</v>
      </c>
      <c r="L750">
        <v>6</v>
      </c>
    </row>
    <row r="751" spans="1:12" ht="15.6" x14ac:dyDescent="0.3">
      <c r="A751" s="9">
        <v>740</v>
      </c>
      <c r="B751" s="1"/>
      <c r="C751" s="2" t="s">
        <v>746</v>
      </c>
      <c r="D751" s="1"/>
      <c r="E751" s="11">
        <f t="shared" si="56"/>
        <v>16</v>
      </c>
      <c r="F751" s="12">
        <f t="shared" si="57"/>
        <v>33.333333333333329</v>
      </c>
      <c r="G751" s="12" t="str">
        <f t="shared" si="58"/>
        <v>OK</v>
      </c>
      <c r="H751" s="13">
        <f t="shared" si="59"/>
        <v>6</v>
      </c>
      <c r="I751" s="14">
        <f t="shared" si="55"/>
        <v>1831.2600000000002</v>
      </c>
      <c r="K751" t="str">
        <f>[1]!revcom(C751)</f>
        <v>ATCACT</v>
      </c>
      <c r="L751">
        <v>5</v>
      </c>
    </row>
    <row r="752" spans="1:12" ht="15.6" x14ac:dyDescent="0.3">
      <c r="A752" s="9">
        <v>741</v>
      </c>
      <c r="B752" s="1"/>
      <c r="C752" s="2" t="s">
        <v>747</v>
      </c>
      <c r="D752" s="1"/>
      <c r="E752" s="11">
        <f t="shared" si="56"/>
        <v>22</v>
      </c>
      <c r="F752" s="12">
        <f t="shared" si="57"/>
        <v>50</v>
      </c>
      <c r="G752" s="12" t="str">
        <f t="shared" si="58"/>
        <v>Warning</v>
      </c>
      <c r="H752" s="13">
        <f t="shared" si="59"/>
        <v>6</v>
      </c>
      <c r="I752" s="14">
        <f t="shared" si="55"/>
        <v>1816.25</v>
      </c>
      <c r="K752" t="str">
        <f>[1]!revcom(C752)</f>
        <v>TGCACT</v>
      </c>
      <c r="L752">
        <v>6</v>
      </c>
    </row>
    <row r="753" spans="1:12" ht="15.6" x14ac:dyDescent="0.3">
      <c r="A753" s="9">
        <v>742</v>
      </c>
      <c r="B753" s="1"/>
      <c r="C753" s="2" t="s">
        <v>748</v>
      </c>
      <c r="D753" s="1"/>
      <c r="E753" s="11">
        <f t="shared" si="56"/>
        <v>20</v>
      </c>
      <c r="F753" s="12">
        <f t="shared" si="57"/>
        <v>66.666666666666657</v>
      </c>
      <c r="G753" s="12" t="str">
        <f t="shared" si="58"/>
        <v>Warning</v>
      </c>
      <c r="H753" s="13">
        <f t="shared" si="59"/>
        <v>6</v>
      </c>
      <c r="I753" s="14">
        <f t="shared" si="55"/>
        <v>1792.2199999999998</v>
      </c>
      <c r="K753" t="str">
        <f>[1]!revcom(C753)</f>
        <v>GGCACT</v>
      </c>
      <c r="L753">
        <v>6</v>
      </c>
    </row>
    <row r="754" spans="1:12" ht="15.6" x14ac:dyDescent="0.3">
      <c r="A754" s="9">
        <v>743</v>
      </c>
      <c r="B754" s="1"/>
      <c r="C754" s="2" t="s">
        <v>749</v>
      </c>
      <c r="D754" s="1"/>
      <c r="E754" s="11">
        <f t="shared" si="56"/>
        <v>20</v>
      </c>
      <c r="F754" s="12">
        <f t="shared" si="57"/>
        <v>66.666666666666657</v>
      </c>
      <c r="G754" s="12" t="str">
        <f t="shared" si="58"/>
        <v>Warning</v>
      </c>
      <c r="H754" s="13">
        <f t="shared" si="59"/>
        <v>6</v>
      </c>
      <c r="I754" s="14">
        <f t="shared" si="55"/>
        <v>1832.25</v>
      </c>
      <c r="K754" t="str">
        <f>[1]!revcom(C754)</f>
        <v>CGCACT</v>
      </c>
      <c r="L754">
        <v>6</v>
      </c>
    </row>
    <row r="755" spans="1:12" ht="15.6" x14ac:dyDescent="0.3">
      <c r="A755" s="9">
        <v>744</v>
      </c>
      <c r="B755" s="1"/>
      <c r="C755" s="2" t="s">
        <v>750</v>
      </c>
      <c r="D755" s="1"/>
      <c r="E755" s="11">
        <f t="shared" si="56"/>
        <v>14</v>
      </c>
      <c r="F755" s="12">
        <f t="shared" si="57"/>
        <v>50</v>
      </c>
      <c r="G755" s="12" t="str">
        <f t="shared" si="58"/>
        <v>Warning</v>
      </c>
      <c r="H755" s="13">
        <f t="shared" si="59"/>
        <v>6</v>
      </c>
      <c r="I755" s="14">
        <f t="shared" si="55"/>
        <v>1807.23</v>
      </c>
      <c r="K755" t="str">
        <f>[1]!revcom(C755)</f>
        <v>AGCACT</v>
      </c>
      <c r="L755">
        <v>5</v>
      </c>
    </row>
    <row r="756" spans="1:12" ht="15.6" x14ac:dyDescent="0.3">
      <c r="A756" s="9">
        <v>745</v>
      </c>
      <c r="B756" s="1"/>
      <c r="C756" s="2" t="s">
        <v>751</v>
      </c>
      <c r="D756" s="1"/>
      <c r="E756" s="11">
        <f t="shared" si="56"/>
        <v>22</v>
      </c>
      <c r="F756" s="12">
        <f t="shared" si="57"/>
        <v>50</v>
      </c>
      <c r="G756" s="12" t="str">
        <f t="shared" si="58"/>
        <v>Warning</v>
      </c>
      <c r="H756" s="13">
        <f t="shared" si="59"/>
        <v>6</v>
      </c>
      <c r="I756" s="14">
        <f t="shared" si="55"/>
        <v>1856.2800000000002</v>
      </c>
      <c r="K756" t="str">
        <f>[1]!revcom(C756)</f>
        <v>TCCACT</v>
      </c>
      <c r="L756">
        <v>6</v>
      </c>
    </row>
    <row r="757" spans="1:12" ht="15.6" x14ac:dyDescent="0.3">
      <c r="A757" s="9">
        <v>746</v>
      </c>
      <c r="B757" s="1"/>
      <c r="C757" s="2" t="s">
        <v>752</v>
      </c>
      <c r="D757" s="1"/>
      <c r="E757" s="11">
        <f t="shared" si="56"/>
        <v>20</v>
      </c>
      <c r="F757" s="12">
        <f t="shared" si="57"/>
        <v>66.666666666666657</v>
      </c>
      <c r="G757" s="12" t="str">
        <f t="shared" si="58"/>
        <v>Warning</v>
      </c>
      <c r="H757" s="13">
        <f t="shared" si="59"/>
        <v>6</v>
      </c>
      <c r="I757" s="14">
        <f t="shared" si="55"/>
        <v>1832.25</v>
      </c>
      <c r="K757" t="str">
        <f>[1]!revcom(C757)</f>
        <v>GCCACT</v>
      </c>
      <c r="L757">
        <v>6</v>
      </c>
    </row>
    <row r="758" spans="1:12" ht="15.6" x14ac:dyDescent="0.3">
      <c r="A758" s="9">
        <v>747</v>
      </c>
      <c r="B758" s="1"/>
      <c r="C758" s="2" t="s">
        <v>753</v>
      </c>
      <c r="D758" s="1"/>
      <c r="E758" s="11">
        <f t="shared" si="56"/>
        <v>20</v>
      </c>
      <c r="F758" s="12">
        <f t="shared" si="57"/>
        <v>66.666666666666657</v>
      </c>
      <c r="G758" s="12" t="str">
        <f t="shared" si="58"/>
        <v>Warning</v>
      </c>
      <c r="H758" s="13">
        <f t="shared" si="59"/>
        <v>6</v>
      </c>
      <c r="I758" s="14">
        <f t="shared" si="55"/>
        <v>1872.2800000000002</v>
      </c>
      <c r="K758" t="str">
        <f>[1]!revcom(C758)</f>
        <v>CCCACT</v>
      </c>
      <c r="L758">
        <v>6</v>
      </c>
    </row>
    <row r="759" spans="1:12" ht="15.6" x14ac:dyDescent="0.3">
      <c r="A759" s="9">
        <v>748</v>
      </c>
      <c r="B759" s="1"/>
      <c r="C759" s="2" t="s">
        <v>754</v>
      </c>
      <c r="D759" s="1"/>
      <c r="E759" s="11">
        <f t="shared" si="56"/>
        <v>14</v>
      </c>
      <c r="F759" s="12">
        <f t="shared" si="57"/>
        <v>50</v>
      </c>
      <c r="G759" s="12" t="str">
        <f t="shared" si="58"/>
        <v>Warning</v>
      </c>
      <c r="H759" s="13">
        <f t="shared" si="59"/>
        <v>6</v>
      </c>
      <c r="I759" s="14">
        <f t="shared" si="55"/>
        <v>1847.2600000000002</v>
      </c>
      <c r="K759" t="str">
        <f>[1]!revcom(C759)</f>
        <v>ACCACT</v>
      </c>
      <c r="L759">
        <v>5</v>
      </c>
    </row>
    <row r="760" spans="1:12" ht="15.6" x14ac:dyDescent="0.3">
      <c r="A760" s="9">
        <v>749</v>
      </c>
      <c r="B760" s="1"/>
      <c r="C760" s="2" t="s">
        <v>755</v>
      </c>
      <c r="D760" s="1"/>
      <c r="E760" s="11">
        <f t="shared" si="56"/>
        <v>16</v>
      </c>
      <c r="F760" s="12">
        <f t="shared" si="57"/>
        <v>33.333333333333329</v>
      </c>
      <c r="G760" s="12" t="str">
        <f t="shared" si="58"/>
        <v>OK</v>
      </c>
      <c r="H760" s="13">
        <f t="shared" si="59"/>
        <v>6</v>
      </c>
      <c r="I760" s="14">
        <f t="shared" si="55"/>
        <v>1831.2600000000002</v>
      </c>
      <c r="K760" t="str">
        <f>[1]!revcom(C760)</f>
        <v>TACACT</v>
      </c>
      <c r="L760">
        <v>5</v>
      </c>
    </row>
    <row r="761" spans="1:12" ht="15.6" x14ac:dyDescent="0.3">
      <c r="A761" s="9">
        <v>750</v>
      </c>
      <c r="B761" s="1"/>
      <c r="C761" s="2" t="s">
        <v>756</v>
      </c>
      <c r="D761" s="1"/>
      <c r="E761" s="11">
        <f t="shared" si="56"/>
        <v>14</v>
      </c>
      <c r="F761" s="12">
        <f t="shared" si="57"/>
        <v>50</v>
      </c>
      <c r="G761" s="12" t="str">
        <f t="shared" si="58"/>
        <v>Warning</v>
      </c>
      <c r="H761" s="13">
        <f t="shared" si="59"/>
        <v>6</v>
      </c>
      <c r="I761" s="14">
        <f t="shared" si="55"/>
        <v>1807.23</v>
      </c>
      <c r="K761" t="str">
        <f>[1]!revcom(C761)</f>
        <v>GACACT</v>
      </c>
      <c r="L761">
        <v>5</v>
      </c>
    </row>
    <row r="762" spans="1:12" ht="15.6" x14ac:dyDescent="0.3">
      <c r="A762" s="9">
        <v>751</v>
      </c>
      <c r="B762" s="1"/>
      <c r="C762" s="2" t="s">
        <v>757</v>
      </c>
      <c r="D762" s="1"/>
      <c r="E762" s="11">
        <f t="shared" si="56"/>
        <v>14</v>
      </c>
      <c r="F762" s="12">
        <f t="shared" si="57"/>
        <v>50</v>
      </c>
      <c r="G762" s="12" t="str">
        <f t="shared" si="58"/>
        <v>Warning</v>
      </c>
      <c r="H762" s="13">
        <f t="shared" si="59"/>
        <v>6</v>
      </c>
      <c r="I762" s="14">
        <f t="shared" si="55"/>
        <v>1847.2600000000002</v>
      </c>
      <c r="K762" t="str">
        <f>[1]!revcom(C762)</f>
        <v>CACACT</v>
      </c>
      <c r="L762">
        <v>5</v>
      </c>
    </row>
    <row r="763" spans="1:12" ht="15.6" x14ac:dyDescent="0.3">
      <c r="A763" s="9">
        <v>752</v>
      </c>
      <c r="B763" s="1"/>
      <c r="C763" s="2" t="s">
        <v>758</v>
      </c>
      <c r="D763" s="1"/>
      <c r="E763" s="11">
        <f t="shared" si="56"/>
        <v>8</v>
      </c>
      <c r="F763" s="12">
        <f t="shared" si="57"/>
        <v>33.333333333333329</v>
      </c>
      <c r="G763" s="12" t="str">
        <f t="shared" si="58"/>
        <v>OK</v>
      </c>
      <c r="H763" s="13">
        <f t="shared" si="59"/>
        <v>6</v>
      </c>
      <c r="I763" s="14">
        <f t="shared" si="55"/>
        <v>1822.2400000000002</v>
      </c>
      <c r="K763" t="str">
        <f>[1]!revcom(C763)</f>
        <v>AACACT</v>
      </c>
      <c r="L763">
        <v>4</v>
      </c>
    </row>
    <row r="764" spans="1:12" ht="15.6" x14ac:dyDescent="0.3">
      <c r="A764" s="9">
        <v>753</v>
      </c>
      <c r="B764" s="1"/>
      <c r="C764" s="2" t="s">
        <v>759</v>
      </c>
      <c r="D764" s="1"/>
      <c r="E764" s="11">
        <f t="shared" si="56"/>
        <v>18</v>
      </c>
      <c r="F764" s="12">
        <f t="shared" si="57"/>
        <v>16.666666666666664</v>
      </c>
      <c r="G764" s="12" t="str">
        <f t="shared" si="58"/>
        <v>OK</v>
      </c>
      <c r="H764" s="13">
        <f t="shared" si="59"/>
        <v>6</v>
      </c>
      <c r="I764" s="14">
        <f t="shared" si="55"/>
        <v>1815.2599999999998</v>
      </c>
      <c r="K764" t="str">
        <f>[1]!revcom(C764)</f>
        <v>TTAACT</v>
      </c>
      <c r="L764">
        <v>5</v>
      </c>
    </row>
    <row r="765" spans="1:12" ht="15.6" x14ac:dyDescent="0.3">
      <c r="A765" s="9">
        <v>754</v>
      </c>
      <c r="B765" s="1"/>
      <c r="C765" s="2" t="s">
        <v>760</v>
      </c>
      <c r="D765" s="1"/>
      <c r="E765" s="11">
        <f t="shared" si="56"/>
        <v>16</v>
      </c>
      <c r="F765" s="12">
        <f t="shared" si="57"/>
        <v>33.333333333333329</v>
      </c>
      <c r="G765" s="12" t="str">
        <f t="shared" si="58"/>
        <v>OK</v>
      </c>
      <c r="H765" s="13">
        <f t="shared" si="59"/>
        <v>6</v>
      </c>
      <c r="I765" s="14">
        <f t="shared" si="55"/>
        <v>1791.23</v>
      </c>
      <c r="K765" t="str">
        <f>[1]!revcom(C765)</f>
        <v>GTAACT</v>
      </c>
      <c r="L765">
        <v>5</v>
      </c>
    </row>
    <row r="766" spans="1:12" ht="15.6" x14ac:dyDescent="0.3">
      <c r="A766" s="9">
        <v>755</v>
      </c>
      <c r="B766" s="1"/>
      <c r="C766" s="2" t="s">
        <v>761</v>
      </c>
      <c r="D766" s="1"/>
      <c r="E766" s="11">
        <f t="shared" si="56"/>
        <v>16</v>
      </c>
      <c r="F766" s="12">
        <f t="shared" si="57"/>
        <v>33.333333333333329</v>
      </c>
      <c r="G766" s="12" t="str">
        <f t="shared" si="58"/>
        <v>OK</v>
      </c>
      <c r="H766" s="13">
        <f t="shared" si="59"/>
        <v>6</v>
      </c>
      <c r="I766" s="14">
        <f t="shared" si="55"/>
        <v>1831.2600000000002</v>
      </c>
      <c r="K766" t="str">
        <f>[1]!revcom(C766)</f>
        <v>CTAACT</v>
      </c>
      <c r="L766">
        <v>5</v>
      </c>
    </row>
    <row r="767" spans="1:12" ht="15.6" x14ac:dyDescent="0.3">
      <c r="A767" s="9">
        <v>756</v>
      </c>
      <c r="B767" s="1"/>
      <c r="C767" s="2" t="s">
        <v>762</v>
      </c>
      <c r="D767" s="1"/>
      <c r="E767" s="11">
        <f t="shared" si="56"/>
        <v>10</v>
      </c>
      <c r="F767" s="12">
        <f t="shared" si="57"/>
        <v>16.666666666666664</v>
      </c>
      <c r="G767" s="12" t="str">
        <f t="shared" si="58"/>
        <v>OK</v>
      </c>
      <c r="H767" s="13">
        <f t="shared" si="59"/>
        <v>6</v>
      </c>
      <c r="I767" s="14">
        <f t="shared" si="55"/>
        <v>1806.2399999999998</v>
      </c>
      <c r="K767" t="str">
        <f>[1]!revcom(C767)</f>
        <v>ATAACT</v>
      </c>
      <c r="L767">
        <v>4</v>
      </c>
    </row>
    <row r="768" spans="1:12" ht="15.6" x14ac:dyDescent="0.3">
      <c r="A768" s="9">
        <v>757</v>
      </c>
      <c r="B768" s="1"/>
      <c r="C768" s="2" t="s">
        <v>763</v>
      </c>
      <c r="D768" s="1"/>
      <c r="E768" s="11">
        <f t="shared" si="56"/>
        <v>16</v>
      </c>
      <c r="F768" s="12">
        <f t="shared" si="57"/>
        <v>33.333333333333329</v>
      </c>
      <c r="G768" s="12" t="str">
        <f t="shared" si="58"/>
        <v>OK</v>
      </c>
      <c r="H768" s="13">
        <f t="shared" si="59"/>
        <v>6</v>
      </c>
      <c r="I768" s="14">
        <f t="shared" si="55"/>
        <v>1791.23</v>
      </c>
      <c r="K768" t="str">
        <f>[1]!revcom(C768)</f>
        <v>TGAACT</v>
      </c>
      <c r="L768">
        <v>5</v>
      </c>
    </row>
    <row r="769" spans="1:12" ht="15.6" x14ac:dyDescent="0.3">
      <c r="A769" s="9">
        <v>758</v>
      </c>
      <c r="B769" s="1"/>
      <c r="C769" s="2" t="s">
        <v>764</v>
      </c>
      <c r="D769" s="1"/>
      <c r="E769" s="11">
        <f t="shared" si="56"/>
        <v>14</v>
      </c>
      <c r="F769" s="12">
        <f t="shared" si="57"/>
        <v>50</v>
      </c>
      <c r="G769" s="12" t="str">
        <f t="shared" si="58"/>
        <v>Warning</v>
      </c>
      <c r="H769" s="13">
        <f t="shared" si="59"/>
        <v>6</v>
      </c>
      <c r="I769" s="14">
        <f t="shared" si="55"/>
        <v>1767.1999999999998</v>
      </c>
      <c r="K769" t="str">
        <f>[1]!revcom(C769)</f>
        <v>GGAACT</v>
      </c>
      <c r="L769">
        <v>5</v>
      </c>
    </row>
    <row r="770" spans="1:12" ht="15.6" x14ac:dyDescent="0.3">
      <c r="A770" s="9">
        <v>759</v>
      </c>
      <c r="B770" s="1"/>
      <c r="C770" s="2" t="s">
        <v>765</v>
      </c>
      <c r="D770" s="1"/>
      <c r="E770" s="11">
        <f t="shared" si="56"/>
        <v>14</v>
      </c>
      <c r="F770" s="12">
        <f t="shared" si="57"/>
        <v>50</v>
      </c>
      <c r="G770" s="12" t="str">
        <f t="shared" si="58"/>
        <v>Warning</v>
      </c>
      <c r="H770" s="13">
        <f t="shared" si="59"/>
        <v>6</v>
      </c>
      <c r="I770" s="14">
        <f t="shared" si="55"/>
        <v>1807.23</v>
      </c>
      <c r="K770" t="str">
        <f>[1]!revcom(C770)</f>
        <v>CGAACT</v>
      </c>
      <c r="L770">
        <v>5</v>
      </c>
    </row>
    <row r="771" spans="1:12" ht="15.6" x14ac:dyDescent="0.3">
      <c r="A771" s="9">
        <v>760</v>
      </c>
      <c r="B771" s="1"/>
      <c r="C771" s="2" t="s">
        <v>766</v>
      </c>
      <c r="D771" s="1"/>
      <c r="E771" s="11">
        <f t="shared" si="56"/>
        <v>8</v>
      </c>
      <c r="F771" s="12">
        <f t="shared" si="57"/>
        <v>33.333333333333329</v>
      </c>
      <c r="G771" s="12" t="str">
        <f t="shared" si="58"/>
        <v>OK</v>
      </c>
      <c r="H771" s="13">
        <f t="shared" si="59"/>
        <v>6</v>
      </c>
      <c r="I771" s="14">
        <f t="shared" si="55"/>
        <v>1782.21</v>
      </c>
      <c r="K771" t="str">
        <f>[1]!revcom(C771)</f>
        <v>AGAACT</v>
      </c>
      <c r="L771">
        <v>4</v>
      </c>
    </row>
    <row r="772" spans="1:12" ht="15.6" x14ac:dyDescent="0.3">
      <c r="A772" s="9">
        <v>761</v>
      </c>
      <c r="B772" s="1"/>
      <c r="C772" s="2" t="s">
        <v>767</v>
      </c>
      <c r="D772" s="1"/>
      <c r="E772" s="11">
        <f t="shared" si="56"/>
        <v>16</v>
      </c>
      <c r="F772" s="12">
        <f t="shared" si="57"/>
        <v>33.333333333333329</v>
      </c>
      <c r="G772" s="12" t="str">
        <f t="shared" si="58"/>
        <v>OK</v>
      </c>
      <c r="H772" s="13">
        <f t="shared" si="59"/>
        <v>6</v>
      </c>
      <c r="I772" s="14">
        <f t="shared" si="55"/>
        <v>1831.2600000000002</v>
      </c>
      <c r="K772" t="str">
        <f>[1]!revcom(C772)</f>
        <v>TCAACT</v>
      </c>
      <c r="L772">
        <v>5</v>
      </c>
    </row>
    <row r="773" spans="1:12" ht="15.6" x14ac:dyDescent="0.3">
      <c r="A773" s="9">
        <v>762</v>
      </c>
      <c r="B773" s="1"/>
      <c r="C773" s="2" t="s">
        <v>768</v>
      </c>
      <c r="D773" s="1"/>
      <c r="E773" s="11">
        <f t="shared" si="56"/>
        <v>14</v>
      </c>
      <c r="F773" s="12">
        <f t="shared" si="57"/>
        <v>50</v>
      </c>
      <c r="G773" s="12" t="str">
        <f t="shared" si="58"/>
        <v>Warning</v>
      </c>
      <c r="H773" s="13">
        <f t="shared" si="59"/>
        <v>6</v>
      </c>
      <c r="I773" s="14">
        <f t="shared" si="55"/>
        <v>1807.23</v>
      </c>
      <c r="K773" t="str">
        <f>[1]!revcom(C773)</f>
        <v>GCAACT</v>
      </c>
      <c r="L773">
        <v>5</v>
      </c>
    </row>
    <row r="774" spans="1:12" ht="15.6" x14ac:dyDescent="0.3">
      <c r="A774" s="9">
        <v>763</v>
      </c>
      <c r="B774" s="1"/>
      <c r="C774" s="2" t="s">
        <v>769</v>
      </c>
      <c r="D774" s="1"/>
      <c r="E774" s="11">
        <f t="shared" si="56"/>
        <v>14</v>
      </c>
      <c r="F774" s="12">
        <f t="shared" si="57"/>
        <v>50</v>
      </c>
      <c r="G774" s="12" t="str">
        <f t="shared" si="58"/>
        <v>Warning</v>
      </c>
      <c r="H774" s="13">
        <f t="shared" si="59"/>
        <v>6</v>
      </c>
      <c r="I774" s="14">
        <f t="shared" si="55"/>
        <v>1847.2600000000002</v>
      </c>
      <c r="K774" t="str">
        <f>[1]!revcom(C774)</f>
        <v>CCAACT</v>
      </c>
      <c r="L774">
        <v>5</v>
      </c>
    </row>
    <row r="775" spans="1:12" ht="15.6" x14ac:dyDescent="0.3">
      <c r="A775" s="9">
        <v>764</v>
      </c>
      <c r="B775" s="1"/>
      <c r="C775" s="2" t="s">
        <v>770</v>
      </c>
      <c r="D775" s="1"/>
      <c r="E775" s="11">
        <f t="shared" si="56"/>
        <v>8</v>
      </c>
      <c r="F775" s="12">
        <f t="shared" si="57"/>
        <v>33.333333333333329</v>
      </c>
      <c r="G775" s="12" t="str">
        <f t="shared" si="58"/>
        <v>OK</v>
      </c>
      <c r="H775" s="13">
        <f t="shared" si="59"/>
        <v>6</v>
      </c>
      <c r="I775" s="14">
        <f t="shared" si="55"/>
        <v>1822.2400000000002</v>
      </c>
      <c r="K775" t="str">
        <f>[1]!revcom(C775)</f>
        <v>ACAACT</v>
      </c>
      <c r="L775">
        <v>4</v>
      </c>
    </row>
    <row r="776" spans="1:12" ht="15.6" x14ac:dyDescent="0.3">
      <c r="A776" s="9">
        <v>765</v>
      </c>
      <c r="B776" s="1"/>
      <c r="C776" s="2" t="s">
        <v>771</v>
      </c>
      <c r="D776" s="1"/>
      <c r="E776" s="11">
        <f t="shared" si="56"/>
        <v>10</v>
      </c>
      <c r="F776" s="12">
        <f t="shared" si="57"/>
        <v>16.666666666666664</v>
      </c>
      <c r="G776" s="12" t="str">
        <f t="shared" si="58"/>
        <v>OK</v>
      </c>
      <c r="H776" s="13">
        <f t="shared" si="59"/>
        <v>6</v>
      </c>
      <c r="I776" s="14">
        <f t="shared" si="55"/>
        <v>1806.2399999999998</v>
      </c>
      <c r="K776" t="str">
        <f>[1]!revcom(C776)</f>
        <v>TAAACT</v>
      </c>
      <c r="L776">
        <v>4</v>
      </c>
    </row>
    <row r="777" spans="1:12" ht="15.6" x14ac:dyDescent="0.3">
      <c r="A777" s="9">
        <v>766</v>
      </c>
      <c r="B777" s="1"/>
      <c r="C777" s="2" t="s">
        <v>772</v>
      </c>
      <c r="D777" s="1"/>
      <c r="E777" s="11">
        <f t="shared" si="56"/>
        <v>8</v>
      </c>
      <c r="F777" s="12">
        <f t="shared" si="57"/>
        <v>33.333333333333329</v>
      </c>
      <c r="G777" s="12" t="str">
        <f t="shared" si="58"/>
        <v>OK</v>
      </c>
      <c r="H777" s="13">
        <f t="shared" si="59"/>
        <v>6</v>
      </c>
      <c r="I777" s="14">
        <f t="shared" si="55"/>
        <v>1782.21</v>
      </c>
      <c r="K777" t="str">
        <f>[1]!revcom(C777)</f>
        <v>GAAACT</v>
      </c>
      <c r="L777">
        <v>4</v>
      </c>
    </row>
    <row r="778" spans="1:12" ht="15.6" x14ac:dyDescent="0.3">
      <c r="A778" s="9">
        <v>767</v>
      </c>
      <c r="B778" s="1"/>
      <c r="C778" s="2" t="s">
        <v>773</v>
      </c>
      <c r="D778" s="1"/>
      <c r="E778" s="11">
        <f t="shared" si="56"/>
        <v>8</v>
      </c>
      <c r="F778" s="12">
        <f t="shared" si="57"/>
        <v>33.333333333333329</v>
      </c>
      <c r="G778" s="12" t="str">
        <f t="shared" si="58"/>
        <v>OK</v>
      </c>
      <c r="H778" s="13">
        <f t="shared" si="59"/>
        <v>6</v>
      </c>
      <c r="I778" s="14">
        <f t="shared" si="55"/>
        <v>1822.2400000000002</v>
      </c>
      <c r="K778" t="str">
        <f>[1]!revcom(C778)</f>
        <v>CAAACT</v>
      </c>
      <c r="L778">
        <v>4</v>
      </c>
    </row>
    <row r="779" spans="1:12" ht="15.6" x14ac:dyDescent="0.3">
      <c r="A779" s="9">
        <v>768</v>
      </c>
      <c r="B779" s="1"/>
      <c r="C779" s="2" t="s">
        <v>774</v>
      </c>
      <c r="D779" s="1"/>
      <c r="E779" s="11">
        <f t="shared" si="56"/>
        <v>2</v>
      </c>
      <c r="F779" s="12">
        <f t="shared" si="57"/>
        <v>16.666666666666664</v>
      </c>
      <c r="G779" s="12" t="str">
        <f t="shared" si="58"/>
        <v>OK</v>
      </c>
      <c r="H779" s="13">
        <f t="shared" si="59"/>
        <v>6</v>
      </c>
      <c r="I779" s="14">
        <f t="shared" si="55"/>
        <v>1797.2199999999998</v>
      </c>
      <c r="K779" t="str">
        <f>[1]!revcom(C779)</f>
        <v>AAAACT</v>
      </c>
      <c r="L779">
        <v>3</v>
      </c>
    </row>
    <row r="780" spans="1:12" ht="15.6" x14ac:dyDescent="0.3">
      <c r="A780" s="9">
        <v>769</v>
      </c>
      <c r="B780" s="1"/>
      <c r="C780" s="2" t="s">
        <v>775</v>
      </c>
      <c r="D780" s="1"/>
      <c r="E780" s="11">
        <f t="shared" si="56"/>
        <v>28</v>
      </c>
      <c r="F780" s="12">
        <f t="shared" si="57"/>
        <v>0</v>
      </c>
      <c r="G780" s="12" t="str">
        <f t="shared" si="58"/>
        <v>OK</v>
      </c>
      <c r="H780" s="13">
        <f t="shared" si="59"/>
        <v>6</v>
      </c>
      <c r="I780" s="14">
        <f t="shared" si="55"/>
        <v>1808.2799999999997</v>
      </c>
      <c r="K780" t="str">
        <f>[1]!revcom(C780)</f>
        <v>TTTTAT</v>
      </c>
      <c r="L780">
        <v>7</v>
      </c>
    </row>
    <row r="781" spans="1:12" ht="15.6" x14ac:dyDescent="0.3">
      <c r="A781" s="9">
        <v>770</v>
      </c>
      <c r="B781" s="1"/>
      <c r="C781" s="2" t="s">
        <v>776</v>
      </c>
      <c r="D781" s="1"/>
      <c r="E781" s="11">
        <f t="shared" si="56"/>
        <v>26</v>
      </c>
      <c r="F781" s="12">
        <f t="shared" si="57"/>
        <v>16.666666666666664</v>
      </c>
      <c r="G781" s="12" t="str">
        <f t="shared" si="58"/>
        <v>OK</v>
      </c>
      <c r="H781" s="13">
        <f t="shared" si="59"/>
        <v>6</v>
      </c>
      <c r="I781" s="14">
        <f t="shared" ref="I781:I844" si="60">((LEN(C781)-(LEN(SUBSTITUTE(C781,"A",""))))*249.23)+((LEN(C781)-(LEN(SUBSTITUTE(C781,"T",""))))*240.21)+((LEN(C781)-(LEN(SUBSTITUTE(C781,"C",""))))*225.2)+((LEN(C781)-(LEN(SUBSTITUTE(C781,"G",""))))*265.23)+(63.98*(LEN(C781)-1)+(2.02))</f>
        <v>1784.25</v>
      </c>
      <c r="K781" t="str">
        <f>[1]!revcom(C781)</f>
        <v>GTTTAT</v>
      </c>
      <c r="L781">
        <v>7</v>
      </c>
    </row>
    <row r="782" spans="1:12" ht="15.6" x14ac:dyDescent="0.3">
      <c r="A782" s="9">
        <v>771</v>
      </c>
      <c r="B782" s="1"/>
      <c r="C782" s="2" t="s">
        <v>777</v>
      </c>
      <c r="D782" s="1"/>
      <c r="E782" s="11">
        <f t="shared" ref="E782:E845" si="61">IF(LEN(C782)&gt;15,(69.3+((41*((LEN(C782)-(((LEN(C782)-(LEN(SUBSTITUTE(C782,"A",""))))+((LEN(C782)-(LEN(SUBSTITUTE(C782,"T","")))))))))/(LEN(C782)))-(650/(LEN(C782))))),(2*((LEN(C782)-(((LEN(C782)-(LEN(SUBSTITUTE(C782,"C",""))))+((LEN(C782)-(LEN(SUBSTITUTE(C782,"G",""))))))))))+(4*((LEN(C782)-(((LEN(C782)-(LEN(SUBSTITUTE(C782,"T",""))))+((LEN(C782)-(LEN(SUBSTITUTE(C782,"T","")))))))))))</f>
        <v>26</v>
      </c>
      <c r="F782" s="12">
        <f t="shared" ref="F782:F845" si="62">((LEN(C782)- LEN(SUBSTITUTE(C782,"G","")))+(LEN(C782)- LEN(SUBSTITUTE(C782,"C",""))) )/LEN(C782)*100</f>
        <v>16.666666666666664</v>
      </c>
      <c r="G782" s="12" t="str">
        <f t="shared" ref="G782:G845" si="63">IF((-5+((LEN(SUBSTITUTE(RIGHT(C782,5),"C","")))+((LEN(SUBSTITUTE(RIGHT(C782,5),"G",""))))))&gt;=3,"OK","Warning")</f>
        <v>OK</v>
      </c>
      <c r="H782" s="13">
        <f t="shared" ref="H782:H845" si="64">LEN(C782)</f>
        <v>6</v>
      </c>
      <c r="I782" s="14">
        <f t="shared" si="60"/>
        <v>1824.2799999999997</v>
      </c>
      <c r="K782" t="str">
        <f>[1]!revcom(C782)</f>
        <v>CTTTAT</v>
      </c>
      <c r="L782">
        <v>7</v>
      </c>
    </row>
    <row r="783" spans="1:12" ht="15.6" x14ac:dyDescent="0.3">
      <c r="A783" s="9">
        <v>772</v>
      </c>
      <c r="B783" s="1"/>
      <c r="C783" s="2" t="s">
        <v>778</v>
      </c>
      <c r="D783" s="1"/>
      <c r="E783" s="11">
        <f t="shared" si="61"/>
        <v>20</v>
      </c>
      <c r="F783" s="12">
        <f t="shared" si="62"/>
        <v>0</v>
      </c>
      <c r="G783" s="12" t="str">
        <f t="shared" si="63"/>
        <v>OK</v>
      </c>
      <c r="H783" s="13">
        <f t="shared" si="64"/>
        <v>6</v>
      </c>
      <c r="I783" s="14">
        <f t="shared" si="60"/>
        <v>1799.2599999999998</v>
      </c>
      <c r="K783" t="str">
        <f>[1]!revcom(C783)</f>
        <v>ATTTAT</v>
      </c>
      <c r="L783">
        <v>6</v>
      </c>
    </row>
    <row r="784" spans="1:12" ht="15.6" x14ac:dyDescent="0.3">
      <c r="A784" s="9">
        <v>773</v>
      </c>
      <c r="B784" s="1"/>
      <c r="C784" s="2" t="s">
        <v>779</v>
      </c>
      <c r="D784" s="1"/>
      <c r="E784" s="11">
        <f t="shared" si="61"/>
        <v>26</v>
      </c>
      <c r="F784" s="12">
        <f t="shared" si="62"/>
        <v>16.666666666666664</v>
      </c>
      <c r="G784" s="12" t="str">
        <f t="shared" si="63"/>
        <v>OK</v>
      </c>
      <c r="H784" s="13">
        <f t="shared" si="64"/>
        <v>6</v>
      </c>
      <c r="I784" s="14">
        <f t="shared" si="60"/>
        <v>1784.25</v>
      </c>
      <c r="K784" t="str">
        <f>[1]!revcom(C784)</f>
        <v>TGTTAT</v>
      </c>
      <c r="L784">
        <v>7</v>
      </c>
    </row>
    <row r="785" spans="1:12" ht="15.6" x14ac:dyDescent="0.3">
      <c r="A785" s="9">
        <v>774</v>
      </c>
      <c r="B785" s="1"/>
      <c r="C785" s="2" t="s">
        <v>780</v>
      </c>
      <c r="D785" s="1"/>
      <c r="E785" s="11">
        <f t="shared" si="61"/>
        <v>24</v>
      </c>
      <c r="F785" s="12">
        <f t="shared" si="62"/>
        <v>33.333333333333329</v>
      </c>
      <c r="G785" s="12" t="str">
        <f t="shared" si="63"/>
        <v>OK</v>
      </c>
      <c r="H785" s="13">
        <f t="shared" si="64"/>
        <v>6</v>
      </c>
      <c r="I785" s="14">
        <f t="shared" si="60"/>
        <v>1760.2199999999998</v>
      </c>
      <c r="K785" t="str">
        <f>[1]!revcom(C785)</f>
        <v>GGTTAT</v>
      </c>
      <c r="L785">
        <v>6</v>
      </c>
    </row>
    <row r="786" spans="1:12" ht="15.6" x14ac:dyDescent="0.3">
      <c r="A786" s="9">
        <v>775</v>
      </c>
      <c r="B786" s="1"/>
      <c r="C786" s="2" t="s">
        <v>781</v>
      </c>
      <c r="D786" s="1"/>
      <c r="E786" s="11">
        <f t="shared" si="61"/>
        <v>24</v>
      </c>
      <c r="F786" s="12">
        <f t="shared" si="62"/>
        <v>33.333333333333329</v>
      </c>
      <c r="G786" s="12" t="str">
        <f t="shared" si="63"/>
        <v>OK</v>
      </c>
      <c r="H786" s="13">
        <f t="shared" si="64"/>
        <v>6</v>
      </c>
      <c r="I786" s="14">
        <f t="shared" si="60"/>
        <v>1800.25</v>
      </c>
      <c r="K786" t="str">
        <f>[1]!revcom(C786)</f>
        <v>CGTTAT</v>
      </c>
      <c r="L786">
        <v>6</v>
      </c>
    </row>
    <row r="787" spans="1:12" ht="15.6" x14ac:dyDescent="0.3">
      <c r="A787" s="9">
        <v>776</v>
      </c>
      <c r="B787" s="1"/>
      <c r="C787" s="2" t="s">
        <v>782</v>
      </c>
      <c r="D787" s="1"/>
      <c r="E787" s="11">
        <f t="shared" si="61"/>
        <v>18</v>
      </c>
      <c r="F787" s="12">
        <f t="shared" si="62"/>
        <v>16.666666666666664</v>
      </c>
      <c r="G787" s="12" t="str">
        <f t="shared" si="63"/>
        <v>OK</v>
      </c>
      <c r="H787" s="13">
        <f t="shared" si="64"/>
        <v>6</v>
      </c>
      <c r="I787" s="14">
        <f t="shared" si="60"/>
        <v>1775.23</v>
      </c>
      <c r="K787" t="str">
        <f>[1]!revcom(C787)</f>
        <v>AGTTAT</v>
      </c>
      <c r="L787">
        <v>5</v>
      </c>
    </row>
    <row r="788" spans="1:12" ht="15.6" x14ac:dyDescent="0.3">
      <c r="A788" s="9">
        <v>777</v>
      </c>
      <c r="B788" s="1"/>
      <c r="C788" s="2" t="s">
        <v>783</v>
      </c>
      <c r="D788" s="1"/>
      <c r="E788" s="11">
        <f t="shared" si="61"/>
        <v>26</v>
      </c>
      <c r="F788" s="12">
        <f t="shared" si="62"/>
        <v>16.666666666666664</v>
      </c>
      <c r="G788" s="12" t="str">
        <f t="shared" si="63"/>
        <v>OK</v>
      </c>
      <c r="H788" s="13">
        <f t="shared" si="64"/>
        <v>6</v>
      </c>
      <c r="I788" s="14">
        <f t="shared" si="60"/>
        <v>1824.2799999999997</v>
      </c>
      <c r="K788" t="str">
        <f>[1]!revcom(C788)</f>
        <v>TCTTAT</v>
      </c>
      <c r="L788">
        <v>7</v>
      </c>
    </row>
    <row r="789" spans="1:12" ht="15.6" x14ac:dyDescent="0.3">
      <c r="A789" s="9">
        <v>778</v>
      </c>
      <c r="B789" s="1"/>
      <c r="C789" s="2" t="s">
        <v>784</v>
      </c>
      <c r="D789" s="1"/>
      <c r="E789" s="11">
        <f t="shared" si="61"/>
        <v>24</v>
      </c>
      <c r="F789" s="12">
        <f t="shared" si="62"/>
        <v>33.333333333333329</v>
      </c>
      <c r="G789" s="12" t="str">
        <f t="shared" si="63"/>
        <v>OK</v>
      </c>
      <c r="H789" s="13">
        <f t="shared" si="64"/>
        <v>6</v>
      </c>
      <c r="I789" s="14">
        <f t="shared" si="60"/>
        <v>1800.25</v>
      </c>
      <c r="K789" t="str">
        <f>[1]!revcom(C789)</f>
        <v>GCTTAT</v>
      </c>
      <c r="L789">
        <v>6</v>
      </c>
    </row>
    <row r="790" spans="1:12" ht="15.6" x14ac:dyDescent="0.3">
      <c r="A790" s="9">
        <v>779</v>
      </c>
      <c r="B790" s="1"/>
      <c r="C790" s="2" t="s">
        <v>785</v>
      </c>
      <c r="D790" s="1"/>
      <c r="E790" s="11">
        <f t="shared" si="61"/>
        <v>24</v>
      </c>
      <c r="F790" s="12">
        <f t="shared" si="62"/>
        <v>33.333333333333329</v>
      </c>
      <c r="G790" s="12" t="str">
        <f t="shared" si="63"/>
        <v>OK</v>
      </c>
      <c r="H790" s="13">
        <f t="shared" si="64"/>
        <v>6</v>
      </c>
      <c r="I790" s="14">
        <f t="shared" si="60"/>
        <v>1840.2800000000002</v>
      </c>
      <c r="K790" t="str">
        <f>[1]!revcom(C790)</f>
        <v>CCTTAT</v>
      </c>
      <c r="L790">
        <v>6</v>
      </c>
    </row>
    <row r="791" spans="1:12" ht="15.6" x14ac:dyDescent="0.3">
      <c r="A791" s="9">
        <v>780</v>
      </c>
      <c r="B791" s="1"/>
      <c r="C791" s="2" t="s">
        <v>786</v>
      </c>
      <c r="D791" s="1"/>
      <c r="E791" s="11">
        <f t="shared" si="61"/>
        <v>18</v>
      </c>
      <c r="F791" s="12">
        <f t="shared" si="62"/>
        <v>16.666666666666664</v>
      </c>
      <c r="G791" s="12" t="str">
        <f t="shared" si="63"/>
        <v>OK</v>
      </c>
      <c r="H791" s="13">
        <f t="shared" si="64"/>
        <v>6</v>
      </c>
      <c r="I791" s="14">
        <f t="shared" si="60"/>
        <v>1815.2599999999998</v>
      </c>
      <c r="K791" t="str">
        <f>[1]!revcom(C791)</f>
        <v>ACTTAT</v>
      </c>
      <c r="L791">
        <v>5</v>
      </c>
    </row>
    <row r="792" spans="1:12" ht="15.6" x14ac:dyDescent="0.3">
      <c r="A792" s="9">
        <v>781</v>
      </c>
      <c r="B792" s="1"/>
      <c r="C792" s="2" t="s">
        <v>787</v>
      </c>
      <c r="D792" s="1"/>
      <c r="E792" s="11">
        <f t="shared" si="61"/>
        <v>20</v>
      </c>
      <c r="F792" s="12">
        <f t="shared" si="62"/>
        <v>0</v>
      </c>
      <c r="G792" s="12" t="str">
        <f t="shared" si="63"/>
        <v>OK</v>
      </c>
      <c r="H792" s="13">
        <f t="shared" si="64"/>
        <v>6</v>
      </c>
      <c r="I792" s="14">
        <f t="shared" si="60"/>
        <v>1799.2599999999998</v>
      </c>
      <c r="K792" t="str">
        <f>[1]!revcom(C792)</f>
        <v>TATTAT</v>
      </c>
      <c r="L792">
        <v>6</v>
      </c>
    </row>
    <row r="793" spans="1:12" ht="15.6" x14ac:dyDescent="0.3">
      <c r="A793" s="9">
        <v>782</v>
      </c>
      <c r="B793" s="1"/>
      <c r="C793" s="2" t="s">
        <v>788</v>
      </c>
      <c r="D793" s="1"/>
      <c r="E793" s="11">
        <f t="shared" si="61"/>
        <v>18</v>
      </c>
      <c r="F793" s="12">
        <f t="shared" si="62"/>
        <v>16.666666666666664</v>
      </c>
      <c r="G793" s="12" t="str">
        <f t="shared" si="63"/>
        <v>OK</v>
      </c>
      <c r="H793" s="13">
        <f t="shared" si="64"/>
        <v>6</v>
      </c>
      <c r="I793" s="14">
        <f t="shared" si="60"/>
        <v>1775.23</v>
      </c>
      <c r="K793" t="str">
        <f>[1]!revcom(C793)</f>
        <v>GATTAT</v>
      </c>
      <c r="L793">
        <v>5</v>
      </c>
    </row>
    <row r="794" spans="1:12" ht="15.6" x14ac:dyDescent="0.3">
      <c r="A794" s="9">
        <v>783</v>
      </c>
      <c r="B794" s="1"/>
      <c r="C794" s="2" t="s">
        <v>789</v>
      </c>
      <c r="D794" s="1"/>
      <c r="E794" s="11">
        <f t="shared" si="61"/>
        <v>18</v>
      </c>
      <c r="F794" s="12">
        <f t="shared" si="62"/>
        <v>16.666666666666664</v>
      </c>
      <c r="G794" s="12" t="str">
        <f t="shared" si="63"/>
        <v>OK</v>
      </c>
      <c r="H794" s="13">
        <f t="shared" si="64"/>
        <v>6</v>
      </c>
      <c r="I794" s="14">
        <f t="shared" si="60"/>
        <v>1815.2599999999998</v>
      </c>
      <c r="K794" t="str">
        <f>[1]!revcom(C794)</f>
        <v>CATTAT</v>
      </c>
      <c r="L794">
        <v>5</v>
      </c>
    </row>
    <row r="795" spans="1:12" ht="15.6" x14ac:dyDescent="0.3">
      <c r="A795" s="9">
        <v>784</v>
      </c>
      <c r="B795" s="1"/>
      <c r="C795" s="2" t="s">
        <v>790</v>
      </c>
      <c r="D795" s="1"/>
      <c r="E795" s="11">
        <f t="shared" si="61"/>
        <v>12</v>
      </c>
      <c r="F795" s="12">
        <f t="shared" si="62"/>
        <v>0</v>
      </c>
      <c r="G795" s="12" t="str">
        <f t="shared" si="63"/>
        <v>OK</v>
      </c>
      <c r="H795" s="13">
        <f t="shared" si="64"/>
        <v>6</v>
      </c>
      <c r="I795" s="14">
        <f t="shared" si="60"/>
        <v>1790.2399999999998</v>
      </c>
      <c r="K795" t="str">
        <f>[1]!revcom(C795)</f>
        <v>AATTAT</v>
      </c>
      <c r="L795">
        <v>4</v>
      </c>
    </row>
    <row r="796" spans="1:12" ht="15.6" x14ac:dyDescent="0.3">
      <c r="A796" s="9">
        <v>785</v>
      </c>
      <c r="B796" s="1"/>
      <c r="C796" s="2" t="s">
        <v>791</v>
      </c>
      <c r="D796" s="1"/>
      <c r="E796" s="11">
        <f t="shared" si="61"/>
        <v>26</v>
      </c>
      <c r="F796" s="12">
        <f t="shared" si="62"/>
        <v>16.666666666666664</v>
      </c>
      <c r="G796" s="12" t="str">
        <f t="shared" si="63"/>
        <v>OK</v>
      </c>
      <c r="H796" s="13">
        <f t="shared" si="64"/>
        <v>6</v>
      </c>
      <c r="I796" s="14">
        <f t="shared" si="60"/>
        <v>1784.25</v>
      </c>
      <c r="K796" t="str">
        <f>[1]!revcom(C796)</f>
        <v>TTGTAT</v>
      </c>
      <c r="L796">
        <v>7</v>
      </c>
    </row>
    <row r="797" spans="1:12" ht="15.6" x14ac:dyDescent="0.3">
      <c r="A797" s="9">
        <v>786</v>
      </c>
      <c r="B797" s="1"/>
      <c r="C797" s="2" t="s">
        <v>792</v>
      </c>
      <c r="D797" s="1"/>
      <c r="E797" s="11">
        <f t="shared" si="61"/>
        <v>24</v>
      </c>
      <c r="F797" s="12">
        <f t="shared" si="62"/>
        <v>33.333333333333329</v>
      </c>
      <c r="G797" s="12" t="str">
        <f t="shared" si="63"/>
        <v>OK</v>
      </c>
      <c r="H797" s="13">
        <f t="shared" si="64"/>
        <v>6</v>
      </c>
      <c r="I797" s="14">
        <f t="shared" si="60"/>
        <v>1760.2199999999998</v>
      </c>
      <c r="K797" t="str">
        <f>[1]!revcom(C797)</f>
        <v>GTGTAT</v>
      </c>
      <c r="L797">
        <v>6</v>
      </c>
    </row>
    <row r="798" spans="1:12" ht="15.6" x14ac:dyDescent="0.3">
      <c r="A798" s="9">
        <v>787</v>
      </c>
      <c r="B798" s="1"/>
      <c r="C798" s="2" t="s">
        <v>793</v>
      </c>
      <c r="D798" s="1"/>
      <c r="E798" s="11">
        <f t="shared" si="61"/>
        <v>24</v>
      </c>
      <c r="F798" s="12">
        <f t="shared" si="62"/>
        <v>33.333333333333329</v>
      </c>
      <c r="G798" s="12" t="str">
        <f t="shared" si="63"/>
        <v>OK</v>
      </c>
      <c r="H798" s="13">
        <f t="shared" si="64"/>
        <v>6</v>
      </c>
      <c r="I798" s="14">
        <f t="shared" si="60"/>
        <v>1800.25</v>
      </c>
      <c r="K798" t="str">
        <f>[1]!revcom(C798)</f>
        <v>CTGTAT</v>
      </c>
      <c r="L798">
        <v>6</v>
      </c>
    </row>
    <row r="799" spans="1:12" ht="15.6" x14ac:dyDescent="0.3">
      <c r="A799" s="9">
        <v>788</v>
      </c>
      <c r="B799" s="1"/>
      <c r="C799" s="2" t="s">
        <v>794</v>
      </c>
      <c r="D799" s="1"/>
      <c r="E799" s="11">
        <f t="shared" si="61"/>
        <v>18</v>
      </c>
      <c r="F799" s="12">
        <f t="shared" si="62"/>
        <v>16.666666666666664</v>
      </c>
      <c r="G799" s="12" t="str">
        <f t="shared" si="63"/>
        <v>OK</v>
      </c>
      <c r="H799" s="13">
        <f t="shared" si="64"/>
        <v>6</v>
      </c>
      <c r="I799" s="14">
        <f t="shared" si="60"/>
        <v>1775.23</v>
      </c>
      <c r="K799" t="str">
        <f>[1]!revcom(C799)</f>
        <v>ATGTAT</v>
      </c>
      <c r="L799">
        <v>5</v>
      </c>
    </row>
    <row r="800" spans="1:12" ht="15.6" x14ac:dyDescent="0.3">
      <c r="A800" s="9">
        <v>789</v>
      </c>
      <c r="B800" s="1"/>
      <c r="C800" s="2" t="s">
        <v>795</v>
      </c>
      <c r="D800" s="1"/>
      <c r="E800" s="11">
        <f t="shared" si="61"/>
        <v>24</v>
      </c>
      <c r="F800" s="12">
        <f t="shared" si="62"/>
        <v>33.333333333333329</v>
      </c>
      <c r="G800" s="12" t="str">
        <f t="shared" si="63"/>
        <v>OK</v>
      </c>
      <c r="H800" s="13">
        <f t="shared" si="64"/>
        <v>6</v>
      </c>
      <c r="I800" s="14">
        <f t="shared" si="60"/>
        <v>1760.2199999999998</v>
      </c>
      <c r="K800" t="str">
        <f>[1]!revcom(C800)</f>
        <v>TGGTAT</v>
      </c>
      <c r="L800">
        <v>6</v>
      </c>
    </row>
    <row r="801" spans="1:12" ht="15.6" x14ac:dyDescent="0.3">
      <c r="A801" s="9">
        <v>790</v>
      </c>
      <c r="B801" s="1"/>
      <c r="C801" s="2" t="s">
        <v>796</v>
      </c>
      <c r="D801" s="1"/>
      <c r="E801" s="11">
        <f t="shared" si="61"/>
        <v>22</v>
      </c>
      <c r="F801" s="12">
        <f t="shared" si="62"/>
        <v>50</v>
      </c>
      <c r="G801" s="12" t="str">
        <f t="shared" si="63"/>
        <v>Warning</v>
      </c>
      <c r="H801" s="13">
        <f t="shared" si="64"/>
        <v>6</v>
      </c>
      <c r="I801" s="14">
        <f t="shared" si="60"/>
        <v>1736.19</v>
      </c>
      <c r="K801" t="str">
        <f>[1]!revcom(C801)</f>
        <v>GGGTAT</v>
      </c>
      <c r="L801">
        <v>6</v>
      </c>
    </row>
    <row r="802" spans="1:12" ht="15.6" x14ac:dyDescent="0.3">
      <c r="A802" s="9">
        <v>791</v>
      </c>
      <c r="B802" s="1"/>
      <c r="C802" s="2" t="s">
        <v>797</v>
      </c>
      <c r="D802" s="1"/>
      <c r="E802" s="11">
        <f t="shared" si="61"/>
        <v>22</v>
      </c>
      <c r="F802" s="12">
        <f t="shared" si="62"/>
        <v>50</v>
      </c>
      <c r="G802" s="12" t="str">
        <f t="shared" si="63"/>
        <v>Warning</v>
      </c>
      <c r="H802" s="13">
        <f t="shared" si="64"/>
        <v>6</v>
      </c>
      <c r="I802" s="14">
        <f t="shared" si="60"/>
        <v>1776.2199999999998</v>
      </c>
      <c r="K802" t="str">
        <f>[1]!revcom(C802)</f>
        <v>CGGTAT</v>
      </c>
      <c r="L802">
        <v>6</v>
      </c>
    </row>
    <row r="803" spans="1:12" ht="15.6" x14ac:dyDescent="0.3">
      <c r="A803" s="9">
        <v>792</v>
      </c>
      <c r="B803" s="1"/>
      <c r="C803" s="2" t="s">
        <v>798</v>
      </c>
      <c r="D803" s="1"/>
      <c r="E803" s="11">
        <f t="shared" si="61"/>
        <v>16</v>
      </c>
      <c r="F803" s="12">
        <f t="shared" si="62"/>
        <v>33.333333333333329</v>
      </c>
      <c r="G803" s="12" t="str">
        <f t="shared" si="63"/>
        <v>OK</v>
      </c>
      <c r="H803" s="13">
        <f t="shared" si="64"/>
        <v>6</v>
      </c>
      <c r="I803" s="14">
        <f t="shared" si="60"/>
        <v>1751.1999999999998</v>
      </c>
      <c r="K803" t="str">
        <f>[1]!revcom(C803)</f>
        <v>AGGTAT</v>
      </c>
      <c r="L803">
        <v>5</v>
      </c>
    </row>
    <row r="804" spans="1:12" ht="15.6" x14ac:dyDescent="0.3">
      <c r="A804" s="9">
        <v>793</v>
      </c>
      <c r="B804" s="1"/>
      <c r="C804" s="2" t="s">
        <v>799</v>
      </c>
      <c r="D804" s="1"/>
      <c r="E804" s="11">
        <f t="shared" si="61"/>
        <v>24</v>
      </c>
      <c r="F804" s="12">
        <f t="shared" si="62"/>
        <v>33.333333333333329</v>
      </c>
      <c r="G804" s="12" t="str">
        <f t="shared" si="63"/>
        <v>OK</v>
      </c>
      <c r="H804" s="13">
        <f t="shared" si="64"/>
        <v>6</v>
      </c>
      <c r="I804" s="14">
        <f t="shared" si="60"/>
        <v>1800.25</v>
      </c>
      <c r="K804" t="str">
        <f>[1]!revcom(C804)</f>
        <v>TCGTAT</v>
      </c>
      <c r="L804">
        <v>6</v>
      </c>
    </row>
    <row r="805" spans="1:12" ht="15.6" x14ac:dyDescent="0.3">
      <c r="A805" s="9">
        <v>794</v>
      </c>
      <c r="B805" s="1"/>
      <c r="C805" s="2" t="s">
        <v>800</v>
      </c>
      <c r="D805" s="1"/>
      <c r="E805" s="11">
        <f t="shared" si="61"/>
        <v>22</v>
      </c>
      <c r="F805" s="12">
        <f t="shared" si="62"/>
        <v>50</v>
      </c>
      <c r="G805" s="12" t="str">
        <f t="shared" si="63"/>
        <v>Warning</v>
      </c>
      <c r="H805" s="13">
        <f t="shared" si="64"/>
        <v>6</v>
      </c>
      <c r="I805" s="14">
        <f t="shared" si="60"/>
        <v>1776.2199999999998</v>
      </c>
      <c r="K805" t="str">
        <f>[1]!revcom(C805)</f>
        <v>GCGTAT</v>
      </c>
      <c r="L805">
        <v>6</v>
      </c>
    </row>
    <row r="806" spans="1:12" ht="15.6" x14ac:dyDescent="0.3">
      <c r="A806" s="9">
        <v>795</v>
      </c>
      <c r="B806" s="1"/>
      <c r="C806" s="2" t="s">
        <v>801</v>
      </c>
      <c r="D806" s="1"/>
      <c r="E806" s="11">
        <f t="shared" si="61"/>
        <v>22</v>
      </c>
      <c r="F806" s="12">
        <f t="shared" si="62"/>
        <v>50</v>
      </c>
      <c r="G806" s="12" t="str">
        <f t="shared" si="63"/>
        <v>Warning</v>
      </c>
      <c r="H806" s="13">
        <f t="shared" si="64"/>
        <v>6</v>
      </c>
      <c r="I806" s="14">
        <f t="shared" si="60"/>
        <v>1816.25</v>
      </c>
      <c r="K806" t="str">
        <f>[1]!revcom(C806)</f>
        <v>CCGTAT</v>
      </c>
      <c r="L806">
        <v>6</v>
      </c>
    </row>
    <row r="807" spans="1:12" ht="15.6" x14ac:dyDescent="0.3">
      <c r="A807" s="9">
        <v>796</v>
      </c>
      <c r="B807" s="1"/>
      <c r="C807" s="2" t="s">
        <v>802</v>
      </c>
      <c r="D807" s="1"/>
      <c r="E807" s="11">
        <f t="shared" si="61"/>
        <v>16</v>
      </c>
      <c r="F807" s="12">
        <f t="shared" si="62"/>
        <v>33.333333333333329</v>
      </c>
      <c r="G807" s="12" t="str">
        <f t="shared" si="63"/>
        <v>OK</v>
      </c>
      <c r="H807" s="13">
        <f t="shared" si="64"/>
        <v>6</v>
      </c>
      <c r="I807" s="14">
        <f t="shared" si="60"/>
        <v>1791.23</v>
      </c>
      <c r="K807" t="str">
        <f>[1]!revcom(C807)</f>
        <v>ACGTAT</v>
      </c>
      <c r="L807">
        <v>5</v>
      </c>
    </row>
    <row r="808" spans="1:12" ht="15.6" x14ac:dyDescent="0.3">
      <c r="A808" s="9">
        <v>797</v>
      </c>
      <c r="B808" s="1"/>
      <c r="C808" s="2" t="s">
        <v>803</v>
      </c>
      <c r="D808" s="1"/>
      <c r="E808" s="11">
        <f t="shared" si="61"/>
        <v>18</v>
      </c>
      <c r="F808" s="12">
        <f t="shared" si="62"/>
        <v>16.666666666666664</v>
      </c>
      <c r="G808" s="12" t="str">
        <f t="shared" si="63"/>
        <v>OK</v>
      </c>
      <c r="H808" s="13">
        <f t="shared" si="64"/>
        <v>6</v>
      </c>
      <c r="I808" s="14">
        <f t="shared" si="60"/>
        <v>1775.23</v>
      </c>
      <c r="K808" t="str">
        <f>[1]!revcom(C808)</f>
        <v>TAGTAT</v>
      </c>
      <c r="L808">
        <v>5</v>
      </c>
    </row>
    <row r="809" spans="1:12" ht="15.6" x14ac:dyDescent="0.3">
      <c r="A809" s="9">
        <v>798</v>
      </c>
      <c r="B809" s="1"/>
      <c r="C809" s="2" t="s">
        <v>804</v>
      </c>
      <c r="D809" s="1"/>
      <c r="E809" s="11">
        <f t="shared" si="61"/>
        <v>16</v>
      </c>
      <c r="F809" s="12">
        <f t="shared" si="62"/>
        <v>33.333333333333329</v>
      </c>
      <c r="G809" s="12" t="str">
        <f t="shared" si="63"/>
        <v>OK</v>
      </c>
      <c r="H809" s="13">
        <f t="shared" si="64"/>
        <v>6</v>
      </c>
      <c r="I809" s="14">
        <f t="shared" si="60"/>
        <v>1751.1999999999998</v>
      </c>
      <c r="K809" t="str">
        <f>[1]!revcom(C809)</f>
        <v>GAGTAT</v>
      </c>
      <c r="L809">
        <v>5</v>
      </c>
    </row>
    <row r="810" spans="1:12" ht="15.6" x14ac:dyDescent="0.3">
      <c r="A810" s="9">
        <v>799</v>
      </c>
      <c r="B810" s="1"/>
      <c r="C810" s="2" t="s">
        <v>805</v>
      </c>
      <c r="D810" s="1"/>
      <c r="E810" s="11">
        <f t="shared" si="61"/>
        <v>16</v>
      </c>
      <c r="F810" s="12">
        <f t="shared" si="62"/>
        <v>33.333333333333329</v>
      </c>
      <c r="G810" s="12" t="str">
        <f t="shared" si="63"/>
        <v>OK</v>
      </c>
      <c r="H810" s="13">
        <f t="shared" si="64"/>
        <v>6</v>
      </c>
      <c r="I810" s="14">
        <f t="shared" si="60"/>
        <v>1791.23</v>
      </c>
      <c r="K810" t="str">
        <f>[1]!revcom(C810)</f>
        <v>CAGTAT</v>
      </c>
      <c r="L810">
        <v>5</v>
      </c>
    </row>
    <row r="811" spans="1:12" ht="15.6" x14ac:dyDescent="0.3">
      <c r="A811" s="9">
        <v>800</v>
      </c>
      <c r="B811" s="1"/>
      <c r="C811" s="2" t="s">
        <v>806</v>
      </c>
      <c r="D811" s="1"/>
      <c r="E811" s="11">
        <f t="shared" si="61"/>
        <v>10</v>
      </c>
      <c r="F811" s="12">
        <f t="shared" si="62"/>
        <v>16.666666666666664</v>
      </c>
      <c r="G811" s="12" t="str">
        <f t="shared" si="63"/>
        <v>OK</v>
      </c>
      <c r="H811" s="13">
        <f t="shared" si="64"/>
        <v>6</v>
      </c>
      <c r="I811" s="14">
        <f t="shared" si="60"/>
        <v>1766.21</v>
      </c>
      <c r="K811" t="str">
        <f>[1]!revcom(C811)</f>
        <v>AAGTAT</v>
      </c>
      <c r="L811">
        <v>4</v>
      </c>
    </row>
    <row r="812" spans="1:12" ht="15.6" x14ac:dyDescent="0.3">
      <c r="A812" s="9">
        <v>801</v>
      </c>
      <c r="B812" s="1"/>
      <c r="C812" s="2" t="s">
        <v>807</v>
      </c>
      <c r="D812" s="1"/>
      <c r="E812" s="11">
        <f t="shared" si="61"/>
        <v>26</v>
      </c>
      <c r="F812" s="12">
        <f t="shared" si="62"/>
        <v>16.666666666666664</v>
      </c>
      <c r="G812" s="12" t="str">
        <f t="shared" si="63"/>
        <v>OK</v>
      </c>
      <c r="H812" s="13">
        <f t="shared" si="64"/>
        <v>6</v>
      </c>
      <c r="I812" s="14">
        <f t="shared" si="60"/>
        <v>1824.2799999999997</v>
      </c>
      <c r="K812" t="str">
        <f>[1]!revcom(C812)</f>
        <v>TTCTAT</v>
      </c>
      <c r="L812">
        <v>7</v>
      </c>
    </row>
    <row r="813" spans="1:12" ht="15.6" x14ac:dyDescent="0.3">
      <c r="A813" s="9">
        <v>802</v>
      </c>
      <c r="B813" s="1"/>
      <c r="C813" s="2" t="s">
        <v>808</v>
      </c>
      <c r="D813" s="1"/>
      <c r="E813" s="11">
        <f t="shared" si="61"/>
        <v>24</v>
      </c>
      <c r="F813" s="12">
        <f t="shared" si="62"/>
        <v>33.333333333333329</v>
      </c>
      <c r="G813" s="12" t="str">
        <f t="shared" si="63"/>
        <v>OK</v>
      </c>
      <c r="H813" s="13">
        <f t="shared" si="64"/>
        <v>6</v>
      </c>
      <c r="I813" s="14">
        <f t="shared" si="60"/>
        <v>1800.25</v>
      </c>
      <c r="K813" t="str">
        <f>[1]!revcom(C813)</f>
        <v>GTCTAT</v>
      </c>
      <c r="L813">
        <v>6</v>
      </c>
    </row>
    <row r="814" spans="1:12" ht="15.6" x14ac:dyDescent="0.3">
      <c r="A814" s="9">
        <v>803</v>
      </c>
      <c r="B814" s="1"/>
      <c r="C814" s="2" t="s">
        <v>809</v>
      </c>
      <c r="D814" s="1"/>
      <c r="E814" s="11">
        <f t="shared" si="61"/>
        <v>24</v>
      </c>
      <c r="F814" s="12">
        <f t="shared" si="62"/>
        <v>33.333333333333329</v>
      </c>
      <c r="G814" s="12" t="str">
        <f t="shared" si="63"/>
        <v>OK</v>
      </c>
      <c r="H814" s="13">
        <f t="shared" si="64"/>
        <v>6</v>
      </c>
      <c r="I814" s="14">
        <f t="shared" si="60"/>
        <v>1840.2800000000002</v>
      </c>
      <c r="K814" t="str">
        <f>[1]!revcom(C814)</f>
        <v>CTCTAT</v>
      </c>
      <c r="L814">
        <v>6</v>
      </c>
    </row>
    <row r="815" spans="1:12" ht="15.6" x14ac:dyDescent="0.3">
      <c r="A815" s="9">
        <v>804</v>
      </c>
      <c r="B815" s="1"/>
      <c r="C815" s="2" t="s">
        <v>810</v>
      </c>
      <c r="D815" s="1"/>
      <c r="E815" s="11">
        <f t="shared" si="61"/>
        <v>18</v>
      </c>
      <c r="F815" s="12">
        <f t="shared" si="62"/>
        <v>16.666666666666664</v>
      </c>
      <c r="G815" s="12" t="str">
        <f t="shared" si="63"/>
        <v>OK</v>
      </c>
      <c r="H815" s="13">
        <f t="shared" si="64"/>
        <v>6</v>
      </c>
      <c r="I815" s="14">
        <f t="shared" si="60"/>
        <v>1815.2599999999998</v>
      </c>
      <c r="K815" t="str">
        <f>[1]!revcom(C815)</f>
        <v>ATCTAT</v>
      </c>
      <c r="L815">
        <v>5</v>
      </c>
    </row>
    <row r="816" spans="1:12" ht="15.6" x14ac:dyDescent="0.3">
      <c r="A816" s="9">
        <v>805</v>
      </c>
      <c r="B816" s="1"/>
      <c r="C816" s="2" t="s">
        <v>811</v>
      </c>
      <c r="D816" s="1"/>
      <c r="E816" s="11">
        <f t="shared" si="61"/>
        <v>24</v>
      </c>
      <c r="F816" s="12">
        <f t="shared" si="62"/>
        <v>33.333333333333329</v>
      </c>
      <c r="G816" s="12" t="str">
        <f t="shared" si="63"/>
        <v>OK</v>
      </c>
      <c r="H816" s="13">
        <f t="shared" si="64"/>
        <v>6</v>
      </c>
      <c r="I816" s="14">
        <f t="shared" si="60"/>
        <v>1800.25</v>
      </c>
      <c r="K816" t="str">
        <f>[1]!revcom(C816)</f>
        <v>TGCTAT</v>
      </c>
      <c r="L816">
        <v>6</v>
      </c>
    </row>
    <row r="817" spans="1:12" ht="15.6" x14ac:dyDescent="0.3">
      <c r="A817" s="9">
        <v>806</v>
      </c>
      <c r="B817" s="1"/>
      <c r="C817" s="2" t="s">
        <v>812</v>
      </c>
      <c r="D817" s="1"/>
      <c r="E817" s="11">
        <f t="shared" si="61"/>
        <v>22</v>
      </c>
      <c r="F817" s="12">
        <f t="shared" si="62"/>
        <v>50</v>
      </c>
      <c r="G817" s="12" t="str">
        <f t="shared" si="63"/>
        <v>Warning</v>
      </c>
      <c r="H817" s="13">
        <f t="shared" si="64"/>
        <v>6</v>
      </c>
      <c r="I817" s="14">
        <f t="shared" si="60"/>
        <v>1776.2199999999998</v>
      </c>
      <c r="K817" t="str">
        <f>[1]!revcom(C817)</f>
        <v>GGCTAT</v>
      </c>
      <c r="L817">
        <v>6</v>
      </c>
    </row>
    <row r="818" spans="1:12" ht="15.6" x14ac:dyDescent="0.3">
      <c r="A818" s="9">
        <v>807</v>
      </c>
      <c r="B818" s="1"/>
      <c r="C818" s="2" t="s">
        <v>813</v>
      </c>
      <c r="D818" s="1"/>
      <c r="E818" s="11">
        <f t="shared" si="61"/>
        <v>22</v>
      </c>
      <c r="F818" s="12">
        <f t="shared" si="62"/>
        <v>50</v>
      </c>
      <c r="G818" s="12" t="str">
        <f t="shared" si="63"/>
        <v>Warning</v>
      </c>
      <c r="H818" s="13">
        <f t="shared" si="64"/>
        <v>6</v>
      </c>
      <c r="I818" s="14">
        <f t="shared" si="60"/>
        <v>1816.25</v>
      </c>
      <c r="K818" t="str">
        <f>[1]!revcom(C818)</f>
        <v>CGCTAT</v>
      </c>
      <c r="L818">
        <v>6</v>
      </c>
    </row>
    <row r="819" spans="1:12" ht="15.6" x14ac:dyDescent="0.3">
      <c r="A819" s="9">
        <v>808</v>
      </c>
      <c r="B819" s="1"/>
      <c r="C819" s="2" t="s">
        <v>814</v>
      </c>
      <c r="D819" s="1"/>
      <c r="E819" s="11">
        <f t="shared" si="61"/>
        <v>16</v>
      </c>
      <c r="F819" s="12">
        <f t="shared" si="62"/>
        <v>33.333333333333329</v>
      </c>
      <c r="G819" s="12" t="str">
        <f t="shared" si="63"/>
        <v>OK</v>
      </c>
      <c r="H819" s="13">
        <f t="shared" si="64"/>
        <v>6</v>
      </c>
      <c r="I819" s="14">
        <f t="shared" si="60"/>
        <v>1791.23</v>
      </c>
      <c r="K819" t="str">
        <f>[1]!revcom(C819)</f>
        <v>AGCTAT</v>
      </c>
      <c r="L819">
        <v>5</v>
      </c>
    </row>
    <row r="820" spans="1:12" ht="15.6" x14ac:dyDescent="0.3">
      <c r="A820" s="9">
        <v>809</v>
      </c>
      <c r="B820" s="1"/>
      <c r="C820" s="2" t="s">
        <v>815</v>
      </c>
      <c r="D820" s="1"/>
      <c r="E820" s="11">
        <f t="shared" si="61"/>
        <v>24</v>
      </c>
      <c r="F820" s="12">
        <f t="shared" si="62"/>
        <v>33.333333333333329</v>
      </c>
      <c r="G820" s="12" t="str">
        <f t="shared" si="63"/>
        <v>OK</v>
      </c>
      <c r="H820" s="13">
        <f t="shared" si="64"/>
        <v>6</v>
      </c>
      <c r="I820" s="14">
        <f t="shared" si="60"/>
        <v>1840.2800000000002</v>
      </c>
      <c r="K820" t="str">
        <f>[1]!revcom(C820)</f>
        <v>TCCTAT</v>
      </c>
      <c r="L820">
        <v>6</v>
      </c>
    </row>
    <row r="821" spans="1:12" ht="15.6" x14ac:dyDescent="0.3">
      <c r="A821" s="9">
        <v>810</v>
      </c>
      <c r="B821" s="1"/>
      <c r="C821" s="2" t="s">
        <v>816</v>
      </c>
      <c r="D821" s="1"/>
      <c r="E821" s="11">
        <f t="shared" si="61"/>
        <v>22</v>
      </c>
      <c r="F821" s="12">
        <f t="shared" si="62"/>
        <v>50</v>
      </c>
      <c r="G821" s="12" t="str">
        <f t="shared" si="63"/>
        <v>Warning</v>
      </c>
      <c r="H821" s="13">
        <f t="shared" si="64"/>
        <v>6</v>
      </c>
      <c r="I821" s="14">
        <f t="shared" si="60"/>
        <v>1816.25</v>
      </c>
      <c r="K821" t="str">
        <f>[1]!revcom(C821)</f>
        <v>GCCTAT</v>
      </c>
      <c r="L821">
        <v>6</v>
      </c>
    </row>
    <row r="822" spans="1:12" ht="15.6" x14ac:dyDescent="0.3">
      <c r="A822" s="9">
        <v>811</v>
      </c>
      <c r="B822" s="1"/>
      <c r="C822" s="2" t="s">
        <v>817</v>
      </c>
      <c r="D822" s="1"/>
      <c r="E822" s="11">
        <f t="shared" si="61"/>
        <v>22</v>
      </c>
      <c r="F822" s="12">
        <f t="shared" si="62"/>
        <v>50</v>
      </c>
      <c r="G822" s="12" t="str">
        <f t="shared" si="63"/>
        <v>Warning</v>
      </c>
      <c r="H822" s="13">
        <f t="shared" si="64"/>
        <v>6</v>
      </c>
      <c r="I822" s="14">
        <f t="shared" si="60"/>
        <v>1856.2800000000002</v>
      </c>
      <c r="K822" t="str">
        <f>[1]!revcom(C822)</f>
        <v>CCCTAT</v>
      </c>
      <c r="L822">
        <v>6</v>
      </c>
    </row>
    <row r="823" spans="1:12" ht="15.6" x14ac:dyDescent="0.3">
      <c r="A823" s="9">
        <v>812</v>
      </c>
      <c r="B823" s="1"/>
      <c r="C823" s="2" t="s">
        <v>818</v>
      </c>
      <c r="D823" s="1"/>
      <c r="E823" s="11">
        <f t="shared" si="61"/>
        <v>16</v>
      </c>
      <c r="F823" s="12">
        <f t="shared" si="62"/>
        <v>33.333333333333329</v>
      </c>
      <c r="G823" s="12" t="str">
        <f t="shared" si="63"/>
        <v>OK</v>
      </c>
      <c r="H823" s="13">
        <f t="shared" si="64"/>
        <v>6</v>
      </c>
      <c r="I823" s="14">
        <f t="shared" si="60"/>
        <v>1831.2600000000002</v>
      </c>
      <c r="K823" t="str">
        <f>[1]!revcom(C823)</f>
        <v>ACCTAT</v>
      </c>
      <c r="L823">
        <v>5</v>
      </c>
    </row>
    <row r="824" spans="1:12" ht="15.6" x14ac:dyDescent="0.3">
      <c r="A824" s="9">
        <v>813</v>
      </c>
      <c r="B824" s="1"/>
      <c r="C824" s="2" t="s">
        <v>819</v>
      </c>
      <c r="D824" s="1"/>
      <c r="E824" s="11">
        <f t="shared" si="61"/>
        <v>18</v>
      </c>
      <c r="F824" s="12">
        <f t="shared" si="62"/>
        <v>16.666666666666664</v>
      </c>
      <c r="G824" s="12" t="str">
        <f t="shared" si="63"/>
        <v>OK</v>
      </c>
      <c r="H824" s="13">
        <f t="shared" si="64"/>
        <v>6</v>
      </c>
      <c r="I824" s="14">
        <f t="shared" si="60"/>
        <v>1815.2599999999998</v>
      </c>
      <c r="K824" t="str">
        <f>[1]!revcom(C824)</f>
        <v>TACTAT</v>
      </c>
      <c r="L824">
        <v>5</v>
      </c>
    </row>
    <row r="825" spans="1:12" ht="15.6" x14ac:dyDescent="0.3">
      <c r="A825" s="9">
        <v>814</v>
      </c>
      <c r="B825" s="1"/>
      <c r="C825" s="2" t="s">
        <v>820</v>
      </c>
      <c r="D825" s="1"/>
      <c r="E825" s="11">
        <f t="shared" si="61"/>
        <v>16</v>
      </c>
      <c r="F825" s="12">
        <f t="shared" si="62"/>
        <v>33.333333333333329</v>
      </c>
      <c r="G825" s="12" t="str">
        <f t="shared" si="63"/>
        <v>OK</v>
      </c>
      <c r="H825" s="13">
        <f t="shared" si="64"/>
        <v>6</v>
      </c>
      <c r="I825" s="14">
        <f t="shared" si="60"/>
        <v>1791.23</v>
      </c>
      <c r="K825" t="str">
        <f>[1]!revcom(C825)</f>
        <v>GACTAT</v>
      </c>
      <c r="L825">
        <v>5</v>
      </c>
    </row>
    <row r="826" spans="1:12" ht="15.6" x14ac:dyDescent="0.3">
      <c r="A826" s="9">
        <v>815</v>
      </c>
      <c r="B826" s="1"/>
      <c r="C826" s="2" t="s">
        <v>821</v>
      </c>
      <c r="D826" s="1"/>
      <c r="E826" s="11">
        <f t="shared" si="61"/>
        <v>16</v>
      </c>
      <c r="F826" s="12">
        <f t="shared" si="62"/>
        <v>33.333333333333329</v>
      </c>
      <c r="G826" s="12" t="str">
        <f t="shared" si="63"/>
        <v>OK</v>
      </c>
      <c r="H826" s="13">
        <f t="shared" si="64"/>
        <v>6</v>
      </c>
      <c r="I826" s="14">
        <f t="shared" si="60"/>
        <v>1831.2600000000002</v>
      </c>
      <c r="K826" t="str">
        <f>[1]!revcom(C826)</f>
        <v>CACTAT</v>
      </c>
      <c r="L826">
        <v>5</v>
      </c>
    </row>
    <row r="827" spans="1:12" ht="15.6" x14ac:dyDescent="0.3">
      <c r="A827" s="9">
        <v>816</v>
      </c>
      <c r="B827" s="1"/>
      <c r="C827" s="2" t="s">
        <v>822</v>
      </c>
      <c r="D827" s="1"/>
      <c r="E827" s="11">
        <f t="shared" si="61"/>
        <v>10</v>
      </c>
      <c r="F827" s="12">
        <f t="shared" si="62"/>
        <v>16.666666666666664</v>
      </c>
      <c r="G827" s="12" t="str">
        <f t="shared" si="63"/>
        <v>OK</v>
      </c>
      <c r="H827" s="13">
        <f t="shared" si="64"/>
        <v>6</v>
      </c>
      <c r="I827" s="14">
        <f t="shared" si="60"/>
        <v>1806.2399999999998</v>
      </c>
      <c r="K827" t="str">
        <f>[1]!revcom(C827)</f>
        <v>AACTAT</v>
      </c>
      <c r="L827">
        <v>4</v>
      </c>
    </row>
    <row r="828" spans="1:12" ht="15.6" x14ac:dyDescent="0.3">
      <c r="A828" s="9">
        <v>817</v>
      </c>
      <c r="B828" s="1"/>
      <c r="C828" s="2" t="s">
        <v>823</v>
      </c>
      <c r="D828" s="1"/>
      <c r="E828" s="11">
        <f t="shared" si="61"/>
        <v>20</v>
      </c>
      <c r="F828" s="12">
        <f t="shared" si="62"/>
        <v>0</v>
      </c>
      <c r="G828" s="12" t="str">
        <f t="shared" si="63"/>
        <v>OK</v>
      </c>
      <c r="H828" s="13">
        <f t="shared" si="64"/>
        <v>6</v>
      </c>
      <c r="I828" s="14">
        <f t="shared" si="60"/>
        <v>1799.2599999999998</v>
      </c>
      <c r="K828" t="str">
        <f>[1]!revcom(C828)</f>
        <v>TTATAT</v>
      </c>
      <c r="L828">
        <v>6</v>
      </c>
    </row>
    <row r="829" spans="1:12" ht="15.6" x14ac:dyDescent="0.3">
      <c r="A829" s="9">
        <v>818</v>
      </c>
      <c r="B829" s="1"/>
      <c r="C829" s="2" t="s">
        <v>824</v>
      </c>
      <c r="D829" s="1"/>
      <c r="E829" s="11">
        <f t="shared" si="61"/>
        <v>18</v>
      </c>
      <c r="F829" s="12">
        <f t="shared" si="62"/>
        <v>16.666666666666664</v>
      </c>
      <c r="G829" s="12" t="str">
        <f t="shared" si="63"/>
        <v>OK</v>
      </c>
      <c r="H829" s="13">
        <f t="shared" si="64"/>
        <v>6</v>
      </c>
      <c r="I829" s="14">
        <f t="shared" si="60"/>
        <v>1775.23</v>
      </c>
      <c r="K829" t="str">
        <f>[1]!revcom(C829)</f>
        <v>GTATAT</v>
      </c>
      <c r="L829">
        <v>5</v>
      </c>
    </row>
    <row r="830" spans="1:12" ht="15.6" x14ac:dyDescent="0.3">
      <c r="A830" s="9">
        <v>819</v>
      </c>
      <c r="B830" s="1"/>
      <c r="C830" s="2" t="s">
        <v>825</v>
      </c>
      <c r="D830" s="1"/>
      <c r="E830" s="11">
        <f t="shared" si="61"/>
        <v>18</v>
      </c>
      <c r="F830" s="12">
        <f t="shared" si="62"/>
        <v>16.666666666666664</v>
      </c>
      <c r="G830" s="12" t="str">
        <f t="shared" si="63"/>
        <v>OK</v>
      </c>
      <c r="H830" s="13">
        <f t="shared" si="64"/>
        <v>6</v>
      </c>
      <c r="I830" s="14">
        <f t="shared" si="60"/>
        <v>1815.2599999999998</v>
      </c>
      <c r="K830" t="str">
        <f>[1]!revcom(C830)</f>
        <v>CTATAT</v>
      </c>
      <c r="L830">
        <v>5</v>
      </c>
    </row>
    <row r="831" spans="1:12" ht="15.6" x14ac:dyDescent="0.3">
      <c r="A831" s="9">
        <v>820</v>
      </c>
      <c r="B831" s="1"/>
      <c r="C831" s="2" t="s">
        <v>826</v>
      </c>
      <c r="D831" s="1"/>
      <c r="E831" s="11">
        <f t="shared" si="61"/>
        <v>12</v>
      </c>
      <c r="F831" s="12">
        <f t="shared" si="62"/>
        <v>0</v>
      </c>
      <c r="G831" s="12" t="str">
        <f t="shared" si="63"/>
        <v>OK</v>
      </c>
      <c r="H831" s="13">
        <f t="shared" si="64"/>
        <v>6</v>
      </c>
      <c r="I831" s="14">
        <f t="shared" si="60"/>
        <v>1790.2399999999998</v>
      </c>
      <c r="K831" t="str">
        <f>[1]!revcom(C831)</f>
        <v>ATATAT</v>
      </c>
      <c r="L831">
        <v>4</v>
      </c>
    </row>
    <row r="832" spans="1:12" ht="15.6" x14ac:dyDescent="0.3">
      <c r="A832" s="9">
        <v>821</v>
      </c>
      <c r="B832" s="1"/>
      <c r="C832" s="2" t="s">
        <v>827</v>
      </c>
      <c r="D832" s="1"/>
      <c r="E832" s="11">
        <f t="shared" si="61"/>
        <v>18</v>
      </c>
      <c r="F832" s="12">
        <f t="shared" si="62"/>
        <v>16.666666666666664</v>
      </c>
      <c r="G832" s="12" t="str">
        <f t="shared" si="63"/>
        <v>OK</v>
      </c>
      <c r="H832" s="13">
        <f t="shared" si="64"/>
        <v>6</v>
      </c>
      <c r="I832" s="14">
        <f t="shared" si="60"/>
        <v>1775.23</v>
      </c>
      <c r="K832" t="str">
        <f>[1]!revcom(C832)</f>
        <v>TGATAT</v>
      </c>
      <c r="L832">
        <v>5</v>
      </c>
    </row>
    <row r="833" spans="1:12" ht="15.6" x14ac:dyDescent="0.3">
      <c r="A833" s="9">
        <v>822</v>
      </c>
      <c r="B833" s="1"/>
      <c r="C833" s="2" t="s">
        <v>828</v>
      </c>
      <c r="D833" s="1"/>
      <c r="E833" s="11">
        <f t="shared" si="61"/>
        <v>16</v>
      </c>
      <c r="F833" s="12">
        <f t="shared" si="62"/>
        <v>33.333333333333329</v>
      </c>
      <c r="G833" s="12" t="str">
        <f t="shared" si="63"/>
        <v>OK</v>
      </c>
      <c r="H833" s="13">
        <f t="shared" si="64"/>
        <v>6</v>
      </c>
      <c r="I833" s="14">
        <f t="shared" si="60"/>
        <v>1751.1999999999998</v>
      </c>
      <c r="K833" t="str">
        <f>[1]!revcom(C833)</f>
        <v>GGATAT</v>
      </c>
      <c r="L833">
        <v>5</v>
      </c>
    </row>
    <row r="834" spans="1:12" ht="15.6" x14ac:dyDescent="0.3">
      <c r="A834" s="9">
        <v>823</v>
      </c>
      <c r="B834" s="1"/>
      <c r="C834" s="2" t="s">
        <v>829</v>
      </c>
      <c r="D834" s="1"/>
      <c r="E834" s="11">
        <f t="shared" si="61"/>
        <v>16</v>
      </c>
      <c r="F834" s="12">
        <f t="shared" si="62"/>
        <v>33.333333333333329</v>
      </c>
      <c r="G834" s="12" t="str">
        <f t="shared" si="63"/>
        <v>OK</v>
      </c>
      <c r="H834" s="13">
        <f t="shared" si="64"/>
        <v>6</v>
      </c>
      <c r="I834" s="14">
        <f t="shared" si="60"/>
        <v>1791.23</v>
      </c>
      <c r="K834" t="str">
        <f>[1]!revcom(C834)</f>
        <v>CGATAT</v>
      </c>
      <c r="L834">
        <v>5</v>
      </c>
    </row>
    <row r="835" spans="1:12" ht="15.6" x14ac:dyDescent="0.3">
      <c r="A835" s="9">
        <v>824</v>
      </c>
      <c r="B835" s="1"/>
      <c r="C835" s="2" t="s">
        <v>830</v>
      </c>
      <c r="D835" s="1"/>
      <c r="E835" s="11">
        <f t="shared" si="61"/>
        <v>10</v>
      </c>
      <c r="F835" s="12">
        <f t="shared" si="62"/>
        <v>16.666666666666664</v>
      </c>
      <c r="G835" s="12" t="str">
        <f t="shared" si="63"/>
        <v>OK</v>
      </c>
      <c r="H835" s="13">
        <f t="shared" si="64"/>
        <v>6</v>
      </c>
      <c r="I835" s="14">
        <f t="shared" si="60"/>
        <v>1766.21</v>
      </c>
      <c r="K835" t="str">
        <f>[1]!revcom(C835)</f>
        <v>AGATAT</v>
      </c>
      <c r="L835">
        <v>4</v>
      </c>
    </row>
    <row r="836" spans="1:12" ht="15.6" x14ac:dyDescent="0.3">
      <c r="A836" s="9">
        <v>825</v>
      </c>
      <c r="B836" s="1"/>
      <c r="C836" s="2" t="s">
        <v>831</v>
      </c>
      <c r="D836" s="1"/>
      <c r="E836" s="11">
        <f t="shared" si="61"/>
        <v>18</v>
      </c>
      <c r="F836" s="12">
        <f t="shared" si="62"/>
        <v>16.666666666666664</v>
      </c>
      <c r="G836" s="12" t="str">
        <f t="shared" si="63"/>
        <v>OK</v>
      </c>
      <c r="H836" s="13">
        <f t="shared" si="64"/>
        <v>6</v>
      </c>
      <c r="I836" s="14">
        <f t="shared" si="60"/>
        <v>1815.2599999999998</v>
      </c>
      <c r="K836" t="str">
        <f>[1]!revcom(C836)</f>
        <v>TCATAT</v>
      </c>
      <c r="L836">
        <v>5</v>
      </c>
    </row>
    <row r="837" spans="1:12" ht="15.6" x14ac:dyDescent="0.3">
      <c r="A837" s="9">
        <v>826</v>
      </c>
      <c r="B837" s="1"/>
      <c r="C837" s="2" t="s">
        <v>832</v>
      </c>
      <c r="D837" s="1"/>
      <c r="E837" s="11">
        <f t="shared" si="61"/>
        <v>16</v>
      </c>
      <c r="F837" s="12">
        <f t="shared" si="62"/>
        <v>33.333333333333329</v>
      </c>
      <c r="G837" s="12" t="str">
        <f t="shared" si="63"/>
        <v>OK</v>
      </c>
      <c r="H837" s="13">
        <f t="shared" si="64"/>
        <v>6</v>
      </c>
      <c r="I837" s="14">
        <f t="shared" si="60"/>
        <v>1791.23</v>
      </c>
      <c r="K837" t="str">
        <f>[1]!revcom(C837)</f>
        <v>GCATAT</v>
      </c>
      <c r="L837">
        <v>5</v>
      </c>
    </row>
    <row r="838" spans="1:12" ht="15.6" x14ac:dyDescent="0.3">
      <c r="A838" s="9">
        <v>827</v>
      </c>
      <c r="B838" s="1"/>
      <c r="C838" s="2" t="s">
        <v>833</v>
      </c>
      <c r="D838" s="1"/>
      <c r="E838" s="11">
        <f t="shared" si="61"/>
        <v>16</v>
      </c>
      <c r="F838" s="12">
        <f t="shared" si="62"/>
        <v>33.333333333333329</v>
      </c>
      <c r="G838" s="12" t="str">
        <f t="shared" si="63"/>
        <v>OK</v>
      </c>
      <c r="H838" s="13">
        <f t="shared" si="64"/>
        <v>6</v>
      </c>
      <c r="I838" s="14">
        <f t="shared" si="60"/>
        <v>1831.2600000000002</v>
      </c>
      <c r="K838" t="str">
        <f>[1]!revcom(C838)</f>
        <v>CCATAT</v>
      </c>
      <c r="L838">
        <v>5</v>
      </c>
    </row>
    <row r="839" spans="1:12" ht="15.6" x14ac:dyDescent="0.3">
      <c r="A839" s="9">
        <v>828</v>
      </c>
      <c r="B839" s="1"/>
      <c r="C839" s="2" t="s">
        <v>834</v>
      </c>
      <c r="D839" s="1"/>
      <c r="E839" s="11">
        <f t="shared" si="61"/>
        <v>10</v>
      </c>
      <c r="F839" s="12">
        <f t="shared" si="62"/>
        <v>16.666666666666664</v>
      </c>
      <c r="G839" s="12" t="str">
        <f t="shared" si="63"/>
        <v>OK</v>
      </c>
      <c r="H839" s="13">
        <f t="shared" si="64"/>
        <v>6</v>
      </c>
      <c r="I839" s="14">
        <f t="shared" si="60"/>
        <v>1806.2399999999998</v>
      </c>
      <c r="K839" t="str">
        <f>[1]!revcom(C839)</f>
        <v>ACATAT</v>
      </c>
      <c r="L839">
        <v>4</v>
      </c>
    </row>
    <row r="840" spans="1:12" ht="15.6" x14ac:dyDescent="0.3">
      <c r="A840" s="9">
        <v>829</v>
      </c>
      <c r="B840" s="1"/>
      <c r="C840" s="2" t="s">
        <v>835</v>
      </c>
      <c r="D840" s="1"/>
      <c r="E840" s="11">
        <f t="shared" si="61"/>
        <v>12</v>
      </c>
      <c r="F840" s="12">
        <f t="shared" si="62"/>
        <v>0</v>
      </c>
      <c r="G840" s="12" t="str">
        <f t="shared" si="63"/>
        <v>OK</v>
      </c>
      <c r="H840" s="13">
        <f t="shared" si="64"/>
        <v>6</v>
      </c>
      <c r="I840" s="14">
        <f t="shared" si="60"/>
        <v>1790.2399999999998</v>
      </c>
      <c r="K840" t="str">
        <f>[1]!revcom(C840)</f>
        <v>TAATAT</v>
      </c>
      <c r="L840">
        <v>4</v>
      </c>
    </row>
    <row r="841" spans="1:12" ht="15.6" x14ac:dyDescent="0.3">
      <c r="A841" s="9">
        <v>830</v>
      </c>
      <c r="B841" s="1"/>
      <c r="C841" s="2" t="s">
        <v>836</v>
      </c>
      <c r="D841" s="1"/>
      <c r="E841" s="11">
        <f t="shared" si="61"/>
        <v>10</v>
      </c>
      <c r="F841" s="12">
        <f t="shared" si="62"/>
        <v>16.666666666666664</v>
      </c>
      <c r="G841" s="12" t="str">
        <f t="shared" si="63"/>
        <v>OK</v>
      </c>
      <c r="H841" s="13">
        <f t="shared" si="64"/>
        <v>6</v>
      </c>
      <c r="I841" s="14">
        <f t="shared" si="60"/>
        <v>1766.21</v>
      </c>
      <c r="K841" t="str">
        <f>[1]!revcom(C841)</f>
        <v>GAATAT</v>
      </c>
      <c r="L841">
        <v>4</v>
      </c>
    </row>
    <row r="842" spans="1:12" ht="15.6" x14ac:dyDescent="0.3">
      <c r="A842" s="9">
        <v>831</v>
      </c>
      <c r="B842" s="1"/>
      <c r="C842" s="2" t="s">
        <v>837</v>
      </c>
      <c r="D842" s="1"/>
      <c r="E842" s="11">
        <f t="shared" si="61"/>
        <v>10</v>
      </c>
      <c r="F842" s="12">
        <f t="shared" si="62"/>
        <v>16.666666666666664</v>
      </c>
      <c r="G842" s="12" t="str">
        <f t="shared" si="63"/>
        <v>OK</v>
      </c>
      <c r="H842" s="13">
        <f t="shared" si="64"/>
        <v>6</v>
      </c>
      <c r="I842" s="14">
        <f t="shared" si="60"/>
        <v>1806.2399999999998</v>
      </c>
      <c r="K842" t="str">
        <f>[1]!revcom(C842)</f>
        <v>CAATAT</v>
      </c>
      <c r="L842">
        <v>4</v>
      </c>
    </row>
    <row r="843" spans="1:12" ht="15.6" x14ac:dyDescent="0.3">
      <c r="A843" s="9">
        <v>832</v>
      </c>
      <c r="B843" s="1"/>
      <c r="C843" s="2" t="s">
        <v>838</v>
      </c>
      <c r="D843" s="1"/>
      <c r="E843" s="11">
        <f t="shared" si="61"/>
        <v>4</v>
      </c>
      <c r="F843" s="12">
        <f t="shared" si="62"/>
        <v>0</v>
      </c>
      <c r="G843" s="12" t="str">
        <f t="shared" si="63"/>
        <v>OK</v>
      </c>
      <c r="H843" s="13">
        <f t="shared" si="64"/>
        <v>6</v>
      </c>
      <c r="I843" s="14">
        <f t="shared" si="60"/>
        <v>1781.2199999999998</v>
      </c>
      <c r="K843" t="str">
        <f>[1]!revcom(C843)</f>
        <v>AAATAT</v>
      </c>
      <c r="L843">
        <v>3</v>
      </c>
    </row>
    <row r="844" spans="1:12" ht="15.6" x14ac:dyDescent="0.3">
      <c r="A844" s="9">
        <v>833</v>
      </c>
      <c r="B844" s="1"/>
      <c r="C844" s="2" t="s">
        <v>839</v>
      </c>
      <c r="D844" s="1"/>
      <c r="E844" s="11">
        <f t="shared" si="61"/>
        <v>26</v>
      </c>
      <c r="F844" s="12">
        <f t="shared" si="62"/>
        <v>16.666666666666664</v>
      </c>
      <c r="G844" s="12" t="str">
        <f t="shared" si="63"/>
        <v>OK</v>
      </c>
      <c r="H844" s="13">
        <f t="shared" si="64"/>
        <v>6</v>
      </c>
      <c r="I844" s="14">
        <f t="shared" si="60"/>
        <v>1784.25</v>
      </c>
      <c r="K844" t="str">
        <f>[1]!revcom(C844)</f>
        <v>TTTGAT</v>
      </c>
      <c r="L844">
        <v>7</v>
      </c>
    </row>
    <row r="845" spans="1:12" ht="15.6" x14ac:dyDescent="0.3">
      <c r="A845" s="9">
        <v>834</v>
      </c>
      <c r="B845" s="1"/>
      <c r="C845" s="2" t="s">
        <v>840</v>
      </c>
      <c r="D845" s="1"/>
      <c r="E845" s="11">
        <f t="shared" si="61"/>
        <v>24</v>
      </c>
      <c r="F845" s="12">
        <f t="shared" si="62"/>
        <v>33.333333333333329</v>
      </c>
      <c r="G845" s="12" t="str">
        <f t="shared" si="63"/>
        <v>OK</v>
      </c>
      <c r="H845" s="13">
        <f t="shared" si="64"/>
        <v>6</v>
      </c>
      <c r="I845" s="14">
        <f t="shared" ref="I845:I908" si="65">((LEN(C845)-(LEN(SUBSTITUTE(C845,"A",""))))*249.23)+((LEN(C845)-(LEN(SUBSTITUTE(C845,"T",""))))*240.21)+((LEN(C845)-(LEN(SUBSTITUTE(C845,"C",""))))*225.2)+((LEN(C845)-(LEN(SUBSTITUTE(C845,"G",""))))*265.23)+(63.98*(LEN(C845)-1)+(2.02))</f>
        <v>1760.2199999999998</v>
      </c>
      <c r="K845" t="str">
        <f>[1]!revcom(C845)</f>
        <v>GTTGAT</v>
      </c>
      <c r="L845">
        <v>6</v>
      </c>
    </row>
    <row r="846" spans="1:12" ht="15.6" x14ac:dyDescent="0.3">
      <c r="A846" s="9">
        <v>835</v>
      </c>
      <c r="B846" s="1"/>
      <c r="C846" s="2" t="s">
        <v>841</v>
      </c>
      <c r="D846" s="1"/>
      <c r="E846" s="11">
        <f t="shared" ref="E846:E909" si="66">IF(LEN(C846)&gt;15,(69.3+((41*((LEN(C846)-(((LEN(C846)-(LEN(SUBSTITUTE(C846,"A",""))))+((LEN(C846)-(LEN(SUBSTITUTE(C846,"T","")))))))))/(LEN(C846)))-(650/(LEN(C846))))),(2*((LEN(C846)-(((LEN(C846)-(LEN(SUBSTITUTE(C846,"C",""))))+((LEN(C846)-(LEN(SUBSTITUTE(C846,"G",""))))))))))+(4*((LEN(C846)-(((LEN(C846)-(LEN(SUBSTITUTE(C846,"T",""))))+((LEN(C846)-(LEN(SUBSTITUTE(C846,"T","")))))))))))</f>
        <v>24</v>
      </c>
      <c r="F846" s="12">
        <f t="shared" ref="F846:F909" si="67">((LEN(C846)- LEN(SUBSTITUTE(C846,"G","")))+(LEN(C846)- LEN(SUBSTITUTE(C846,"C",""))) )/LEN(C846)*100</f>
        <v>33.333333333333329</v>
      </c>
      <c r="G846" s="12" t="str">
        <f t="shared" ref="G846:G909" si="68">IF((-5+((LEN(SUBSTITUTE(RIGHT(C846,5),"C","")))+((LEN(SUBSTITUTE(RIGHT(C846,5),"G",""))))))&gt;=3,"OK","Warning")</f>
        <v>OK</v>
      </c>
      <c r="H846" s="13">
        <f t="shared" ref="H846:H909" si="69">LEN(C846)</f>
        <v>6</v>
      </c>
      <c r="I846" s="14">
        <f t="shared" si="65"/>
        <v>1800.25</v>
      </c>
      <c r="K846" t="str">
        <f>[1]!revcom(C846)</f>
        <v>CTTGAT</v>
      </c>
      <c r="L846">
        <v>6</v>
      </c>
    </row>
    <row r="847" spans="1:12" ht="15.6" x14ac:dyDescent="0.3">
      <c r="A847" s="9">
        <v>836</v>
      </c>
      <c r="B847" s="1"/>
      <c r="C847" s="2" t="s">
        <v>842</v>
      </c>
      <c r="D847" s="1"/>
      <c r="E847" s="11">
        <f t="shared" si="66"/>
        <v>18</v>
      </c>
      <c r="F847" s="12">
        <f t="shared" si="67"/>
        <v>16.666666666666664</v>
      </c>
      <c r="G847" s="12" t="str">
        <f t="shared" si="68"/>
        <v>OK</v>
      </c>
      <c r="H847" s="13">
        <f t="shared" si="69"/>
        <v>6</v>
      </c>
      <c r="I847" s="14">
        <f t="shared" si="65"/>
        <v>1775.23</v>
      </c>
      <c r="K847" t="str">
        <f>[1]!revcom(C847)</f>
        <v>ATTGAT</v>
      </c>
      <c r="L847">
        <v>5</v>
      </c>
    </row>
    <row r="848" spans="1:12" ht="15.6" x14ac:dyDescent="0.3">
      <c r="A848" s="9">
        <v>837</v>
      </c>
      <c r="B848" s="1"/>
      <c r="C848" s="2" t="s">
        <v>843</v>
      </c>
      <c r="D848" s="1"/>
      <c r="E848" s="11">
        <f t="shared" si="66"/>
        <v>24</v>
      </c>
      <c r="F848" s="12">
        <f t="shared" si="67"/>
        <v>33.333333333333329</v>
      </c>
      <c r="G848" s="12" t="str">
        <f t="shared" si="68"/>
        <v>OK</v>
      </c>
      <c r="H848" s="13">
        <f t="shared" si="69"/>
        <v>6</v>
      </c>
      <c r="I848" s="14">
        <f t="shared" si="65"/>
        <v>1760.2199999999998</v>
      </c>
      <c r="K848" t="str">
        <f>[1]!revcom(C848)</f>
        <v>TGTGAT</v>
      </c>
      <c r="L848">
        <v>6</v>
      </c>
    </row>
    <row r="849" spans="1:12" ht="15.6" x14ac:dyDescent="0.3">
      <c r="A849" s="9">
        <v>838</v>
      </c>
      <c r="B849" s="1"/>
      <c r="C849" s="2" t="s">
        <v>844</v>
      </c>
      <c r="D849" s="1"/>
      <c r="E849" s="11">
        <f t="shared" si="66"/>
        <v>22</v>
      </c>
      <c r="F849" s="12">
        <f t="shared" si="67"/>
        <v>50</v>
      </c>
      <c r="G849" s="12" t="str">
        <f t="shared" si="68"/>
        <v>Warning</v>
      </c>
      <c r="H849" s="13">
        <f t="shared" si="69"/>
        <v>6</v>
      </c>
      <c r="I849" s="14">
        <f t="shared" si="65"/>
        <v>1736.19</v>
      </c>
      <c r="K849" t="str">
        <f>[1]!revcom(C849)</f>
        <v>GGTGAT</v>
      </c>
      <c r="L849">
        <v>6</v>
      </c>
    </row>
    <row r="850" spans="1:12" ht="15.6" x14ac:dyDescent="0.3">
      <c r="A850" s="9">
        <v>839</v>
      </c>
      <c r="B850" s="1"/>
      <c r="C850" s="2" t="s">
        <v>845</v>
      </c>
      <c r="D850" s="1"/>
      <c r="E850" s="11">
        <f t="shared" si="66"/>
        <v>22</v>
      </c>
      <c r="F850" s="12">
        <f t="shared" si="67"/>
        <v>50</v>
      </c>
      <c r="G850" s="12" t="str">
        <f t="shared" si="68"/>
        <v>Warning</v>
      </c>
      <c r="H850" s="13">
        <f t="shared" si="69"/>
        <v>6</v>
      </c>
      <c r="I850" s="14">
        <f t="shared" si="65"/>
        <v>1776.2199999999998</v>
      </c>
      <c r="K850" t="str">
        <f>[1]!revcom(C850)</f>
        <v>CGTGAT</v>
      </c>
      <c r="L850">
        <v>6</v>
      </c>
    </row>
    <row r="851" spans="1:12" ht="15.6" x14ac:dyDescent="0.3">
      <c r="A851" s="9">
        <v>840</v>
      </c>
      <c r="B851" s="1"/>
      <c r="C851" s="2" t="s">
        <v>846</v>
      </c>
      <c r="D851" s="1"/>
      <c r="E851" s="11">
        <f t="shared" si="66"/>
        <v>16</v>
      </c>
      <c r="F851" s="12">
        <f t="shared" si="67"/>
        <v>33.333333333333329</v>
      </c>
      <c r="G851" s="12" t="str">
        <f t="shared" si="68"/>
        <v>OK</v>
      </c>
      <c r="H851" s="13">
        <f t="shared" si="69"/>
        <v>6</v>
      </c>
      <c r="I851" s="14">
        <f t="shared" si="65"/>
        <v>1751.1999999999998</v>
      </c>
      <c r="K851" t="str">
        <f>[1]!revcom(C851)</f>
        <v>AGTGAT</v>
      </c>
      <c r="L851">
        <v>5</v>
      </c>
    </row>
    <row r="852" spans="1:12" ht="15.6" x14ac:dyDescent="0.3">
      <c r="A852" s="9">
        <v>841</v>
      </c>
      <c r="B852" s="1"/>
      <c r="C852" s="2" t="s">
        <v>847</v>
      </c>
      <c r="D852" s="1"/>
      <c r="E852" s="11">
        <f t="shared" si="66"/>
        <v>24</v>
      </c>
      <c r="F852" s="12">
        <f t="shared" si="67"/>
        <v>33.333333333333329</v>
      </c>
      <c r="G852" s="12" t="str">
        <f t="shared" si="68"/>
        <v>OK</v>
      </c>
      <c r="H852" s="13">
        <f t="shared" si="69"/>
        <v>6</v>
      </c>
      <c r="I852" s="14">
        <f t="shared" si="65"/>
        <v>1800.25</v>
      </c>
      <c r="K852" t="str">
        <f>[1]!revcom(C852)</f>
        <v>TCTGAT</v>
      </c>
      <c r="L852">
        <v>6</v>
      </c>
    </row>
    <row r="853" spans="1:12" ht="15.6" x14ac:dyDescent="0.3">
      <c r="A853" s="9">
        <v>842</v>
      </c>
      <c r="B853" s="1"/>
      <c r="C853" s="2" t="s">
        <v>848</v>
      </c>
      <c r="D853" s="1"/>
      <c r="E853" s="11">
        <f t="shared" si="66"/>
        <v>22</v>
      </c>
      <c r="F853" s="12">
        <f t="shared" si="67"/>
        <v>50</v>
      </c>
      <c r="G853" s="12" t="str">
        <f t="shared" si="68"/>
        <v>Warning</v>
      </c>
      <c r="H853" s="13">
        <f t="shared" si="69"/>
        <v>6</v>
      </c>
      <c r="I853" s="14">
        <f t="shared" si="65"/>
        <v>1776.2199999999998</v>
      </c>
      <c r="K853" t="str">
        <f>[1]!revcom(C853)</f>
        <v>GCTGAT</v>
      </c>
      <c r="L853">
        <v>6</v>
      </c>
    </row>
    <row r="854" spans="1:12" ht="15.6" x14ac:dyDescent="0.3">
      <c r="A854" s="9">
        <v>843</v>
      </c>
      <c r="B854" s="1"/>
      <c r="C854" s="2" t="s">
        <v>849</v>
      </c>
      <c r="D854" s="1"/>
      <c r="E854" s="11">
        <f t="shared" si="66"/>
        <v>22</v>
      </c>
      <c r="F854" s="12">
        <f t="shared" si="67"/>
        <v>50</v>
      </c>
      <c r="G854" s="12" t="str">
        <f t="shared" si="68"/>
        <v>Warning</v>
      </c>
      <c r="H854" s="13">
        <f t="shared" si="69"/>
        <v>6</v>
      </c>
      <c r="I854" s="14">
        <f t="shared" si="65"/>
        <v>1816.25</v>
      </c>
      <c r="K854" t="str">
        <f>[1]!revcom(C854)</f>
        <v>CCTGAT</v>
      </c>
      <c r="L854">
        <v>6</v>
      </c>
    </row>
    <row r="855" spans="1:12" ht="15.6" x14ac:dyDescent="0.3">
      <c r="A855" s="9">
        <v>844</v>
      </c>
      <c r="B855" s="1"/>
      <c r="C855" s="2" t="s">
        <v>850</v>
      </c>
      <c r="D855" s="1"/>
      <c r="E855" s="11">
        <f t="shared" si="66"/>
        <v>16</v>
      </c>
      <c r="F855" s="12">
        <f t="shared" si="67"/>
        <v>33.333333333333329</v>
      </c>
      <c r="G855" s="12" t="str">
        <f t="shared" si="68"/>
        <v>OK</v>
      </c>
      <c r="H855" s="13">
        <f t="shared" si="69"/>
        <v>6</v>
      </c>
      <c r="I855" s="14">
        <f t="shared" si="65"/>
        <v>1791.23</v>
      </c>
      <c r="K855" t="str">
        <f>[1]!revcom(C855)</f>
        <v>ACTGAT</v>
      </c>
      <c r="L855">
        <v>5</v>
      </c>
    </row>
    <row r="856" spans="1:12" ht="15.6" x14ac:dyDescent="0.3">
      <c r="A856" s="9">
        <v>845</v>
      </c>
      <c r="B856" s="1"/>
      <c r="C856" s="2" t="s">
        <v>851</v>
      </c>
      <c r="D856" s="1"/>
      <c r="E856" s="11">
        <f t="shared" si="66"/>
        <v>18</v>
      </c>
      <c r="F856" s="12">
        <f t="shared" si="67"/>
        <v>16.666666666666664</v>
      </c>
      <c r="G856" s="12" t="str">
        <f t="shared" si="68"/>
        <v>OK</v>
      </c>
      <c r="H856" s="13">
        <f t="shared" si="69"/>
        <v>6</v>
      </c>
      <c r="I856" s="14">
        <f t="shared" si="65"/>
        <v>1775.23</v>
      </c>
      <c r="K856" t="str">
        <f>[1]!revcom(C856)</f>
        <v>TATGAT</v>
      </c>
      <c r="L856">
        <v>5</v>
      </c>
    </row>
    <row r="857" spans="1:12" ht="15.6" x14ac:dyDescent="0.3">
      <c r="A857" s="9">
        <v>846</v>
      </c>
      <c r="B857" s="1"/>
      <c r="C857" s="2" t="s">
        <v>852</v>
      </c>
      <c r="D857" s="1"/>
      <c r="E857" s="11">
        <f t="shared" si="66"/>
        <v>16</v>
      </c>
      <c r="F857" s="12">
        <f t="shared" si="67"/>
        <v>33.333333333333329</v>
      </c>
      <c r="G857" s="12" t="str">
        <f t="shared" si="68"/>
        <v>OK</v>
      </c>
      <c r="H857" s="13">
        <f t="shared" si="69"/>
        <v>6</v>
      </c>
      <c r="I857" s="14">
        <f t="shared" si="65"/>
        <v>1751.1999999999998</v>
      </c>
      <c r="K857" t="str">
        <f>[1]!revcom(C857)</f>
        <v>GATGAT</v>
      </c>
      <c r="L857">
        <v>5</v>
      </c>
    </row>
    <row r="858" spans="1:12" ht="15.6" x14ac:dyDescent="0.3">
      <c r="A858" s="9">
        <v>847</v>
      </c>
      <c r="B858" s="1"/>
      <c r="C858" s="2" t="s">
        <v>853</v>
      </c>
      <c r="D858" s="1"/>
      <c r="E858" s="11">
        <f t="shared" si="66"/>
        <v>16</v>
      </c>
      <c r="F858" s="12">
        <f t="shared" si="67"/>
        <v>33.333333333333329</v>
      </c>
      <c r="G858" s="12" t="str">
        <f t="shared" si="68"/>
        <v>OK</v>
      </c>
      <c r="H858" s="13">
        <f t="shared" si="69"/>
        <v>6</v>
      </c>
      <c r="I858" s="14">
        <f t="shared" si="65"/>
        <v>1791.23</v>
      </c>
      <c r="K858" t="str">
        <f>[1]!revcom(C858)</f>
        <v>CATGAT</v>
      </c>
      <c r="L858">
        <v>5</v>
      </c>
    </row>
    <row r="859" spans="1:12" ht="15.6" x14ac:dyDescent="0.3">
      <c r="A859" s="9">
        <v>848</v>
      </c>
      <c r="B859" s="1"/>
      <c r="C859" s="2" t="s">
        <v>854</v>
      </c>
      <c r="D859" s="1"/>
      <c r="E859" s="11">
        <f t="shared" si="66"/>
        <v>10</v>
      </c>
      <c r="F859" s="12">
        <f t="shared" si="67"/>
        <v>16.666666666666664</v>
      </c>
      <c r="G859" s="12" t="str">
        <f t="shared" si="68"/>
        <v>OK</v>
      </c>
      <c r="H859" s="13">
        <f t="shared" si="69"/>
        <v>6</v>
      </c>
      <c r="I859" s="14">
        <f t="shared" si="65"/>
        <v>1766.21</v>
      </c>
      <c r="K859" t="str">
        <f>[1]!revcom(C859)</f>
        <v>AATGAT</v>
      </c>
      <c r="L859">
        <v>4</v>
      </c>
    </row>
    <row r="860" spans="1:12" ht="15.6" x14ac:dyDescent="0.3">
      <c r="A860" s="9">
        <v>849</v>
      </c>
      <c r="B860" s="1"/>
      <c r="C860" s="2" t="s">
        <v>855</v>
      </c>
      <c r="D860" s="1"/>
      <c r="E860" s="11">
        <f t="shared" si="66"/>
        <v>24</v>
      </c>
      <c r="F860" s="12">
        <f t="shared" si="67"/>
        <v>33.333333333333329</v>
      </c>
      <c r="G860" s="12" t="str">
        <f t="shared" si="68"/>
        <v>OK</v>
      </c>
      <c r="H860" s="13">
        <f t="shared" si="69"/>
        <v>6</v>
      </c>
      <c r="I860" s="14">
        <f t="shared" si="65"/>
        <v>1760.2199999999998</v>
      </c>
      <c r="K860" t="str">
        <f>[1]!revcom(C860)</f>
        <v>TTGGAT</v>
      </c>
      <c r="L860">
        <v>6</v>
      </c>
    </row>
    <row r="861" spans="1:12" ht="15.6" x14ac:dyDescent="0.3">
      <c r="A861" s="9">
        <v>850</v>
      </c>
      <c r="B861" s="1"/>
      <c r="C861" s="2" t="s">
        <v>856</v>
      </c>
      <c r="D861" s="1"/>
      <c r="E861" s="11">
        <f t="shared" si="66"/>
        <v>22</v>
      </c>
      <c r="F861" s="12">
        <f t="shared" si="67"/>
        <v>50</v>
      </c>
      <c r="G861" s="12" t="str">
        <f t="shared" si="68"/>
        <v>Warning</v>
      </c>
      <c r="H861" s="13">
        <f t="shared" si="69"/>
        <v>6</v>
      </c>
      <c r="I861" s="14">
        <f t="shared" si="65"/>
        <v>1736.19</v>
      </c>
      <c r="K861" t="str">
        <f>[1]!revcom(C861)</f>
        <v>GTGGAT</v>
      </c>
      <c r="L861">
        <v>6</v>
      </c>
    </row>
    <row r="862" spans="1:12" ht="15.6" x14ac:dyDescent="0.3">
      <c r="A862" s="9">
        <v>851</v>
      </c>
      <c r="B862" s="1"/>
      <c r="C862" s="2" t="s">
        <v>857</v>
      </c>
      <c r="D862" s="1"/>
      <c r="E862" s="11">
        <f t="shared" si="66"/>
        <v>22</v>
      </c>
      <c r="F862" s="12">
        <f t="shared" si="67"/>
        <v>50</v>
      </c>
      <c r="G862" s="12" t="str">
        <f t="shared" si="68"/>
        <v>Warning</v>
      </c>
      <c r="H862" s="13">
        <f t="shared" si="69"/>
        <v>6</v>
      </c>
      <c r="I862" s="14">
        <f t="shared" si="65"/>
        <v>1776.2199999999998</v>
      </c>
      <c r="K862" t="str">
        <f>[1]!revcom(C862)</f>
        <v>CTGGAT</v>
      </c>
      <c r="L862">
        <v>6</v>
      </c>
    </row>
    <row r="863" spans="1:12" ht="15.6" x14ac:dyDescent="0.3">
      <c r="A863" s="9">
        <v>852</v>
      </c>
      <c r="B863" s="1"/>
      <c r="C863" s="2" t="s">
        <v>858</v>
      </c>
      <c r="D863" s="1"/>
      <c r="E863" s="11">
        <f t="shared" si="66"/>
        <v>16</v>
      </c>
      <c r="F863" s="12">
        <f t="shared" si="67"/>
        <v>33.333333333333329</v>
      </c>
      <c r="G863" s="12" t="str">
        <f t="shared" si="68"/>
        <v>OK</v>
      </c>
      <c r="H863" s="13">
        <f t="shared" si="69"/>
        <v>6</v>
      </c>
      <c r="I863" s="14">
        <f t="shared" si="65"/>
        <v>1751.1999999999998</v>
      </c>
      <c r="K863" t="str">
        <f>[1]!revcom(C863)</f>
        <v>ATGGAT</v>
      </c>
      <c r="L863">
        <v>5</v>
      </c>
    </row>
    <row r="864" spans="1:12" ht="15.6" x14ac:dyDescent="0.3">
      <c r="A864" s="9">
        <v>853</v>
      </c>
      <c r="B864" s="1"/>
      <c r="C864" s="2" t="s">
        <v>859</v>
      </c>
      <c r="D864" s="1"/>
      <c r="E864" s="11">
        <f t="shared" si="66"/>
        <v>22</v>
      </c>
      <c r="F864" s="12">
        <f t="shared" si="67"/>
        <v>50</v>
      </c>
      <c r="G864" s="12" t="str">
        <f t="shared" si="68"/>
        <v>Warning</v>
      </c>
      <c r="H864" s="13">
        <f t="shared" si="69"/>
        <v>6</v>
      </c>
      <c r="I864" s="14">
        <f t="shared" si="65"/>
        <v>1736.19</v>
      </c>
      <c r="K864" t="str">
        <f>[1]!revcom(C864)</f>
        <v>TGGGAT</v>
      </c>
      <c r="L864">
        <v>6</v>
      </c>
    </row>
    <row r="865" spans="1:12" ht="15.6" x14ac:dyDescent="0.3">
      <c r="A865" s="9">
        <v>854</v>
      </c>
      <c r="B865" s="1"/>
      <c r="C865" s="2" t="s">
        <v>860</v>
      </c>
      <c r="D865" s="1"/>
      <c r="E865" s="11">
        <f t="shared" si="66"/>
        <v>20</v>
      </c>
      <c r="F865" s="12">
        <f t="shared" si="67"/>
        <v>66.666666666666657</v>
      </c>
      <c r="G865" s="12" t="str">
        <f t="shared" si="68"/>
        <v>Warning</v>
      </c>
      <c r="H865" s="13">
        <f t="shared" si="69"/>
        <v>6</v>
      </c>
      <c r="I865" s="14">
        <f t="shared" si="65"/>
        <v>1712.1599999999999</v>
      </c>
      <c r="K865" t="str">
        <f>[1]!revcom(C865)</f>
        <v>GGGGAT</v>
      </c>
      <c r="L865">
        <v>6</v>
      </c>
    </row>
    <row r="866" spans="1:12" ht="15.6" x14ac:dyDescent="0.3">
      <c r="A866" s="9">
        <v>855</v>
      </c>
      <c r="B866" s="1"/>
      <c r="C866" s="2" t="s">
        <v>861</v>
      </c>
      <c r="D866" s="1"/>
      <c r="E866" s="11">
        <f t="shared" si="66"/>
        <v>20</v>
      </c>
      <c r="F866" s="12">
        <f t="shared" si="67"/>
        <v>66.666666666666657</v>
      </c>
      <c r="G866" s="12" t="str">
        <f t="shared" si="68"/>
        <v>Warning</v>
      </c>
      <c r="H866" s="13">
        <f t="shared" si="69"/>
        <v>6</v>
      </c>
      <c r="I866" s="14">
        <f t="shared" si="65"/>
        <v>1752.19</v>
      </c>
      <c r="K866" t="str">
        <f>[1]!revcom(C866)</f>
        <v>CGGGAT</v>
      </c>
      <c r="L866">
        <v>6</v>
      </c>
    </row>
    <row r="867" spans="1:12" ht="15.6" x14ac:dyDescent="0.3">
      <c r="A867" s="9">
        <v>856</v>
      </c>
      <c r="B867" s="1"/>
      <c r="C867" s="2" t="s">
        <v>862</v>
      </c>
      <c r="D867" s="1"/>
      <c r="E867" s="11">
        <f t="shared" si="66"/>
        <v>14</v>
      </c>
      <c r="F867" s="12">
        <f t="shared" si="67"/>
        <v>50</v>
      </c>
      <c r="G867" s="12" t="str">
        <f t="shared" si="68"/>
        <v>Warning</v>
      </c>
      <c r="H867" s="13">
        <f t="shared" si="69"/>
        <v>6</v>
      </c>
      <c r="I867" s="14">
        <f t="shared" si="65"/>
        <v>1727.17</v>
      </c>
      <c r="K867" t="str">
        <f>[1]!revcom(C867)</f>
        <v>AGGGAT</v>
      </c>
      <c r="L867">
        <v>5</v>
      </c>
    </row>
    <row r="868" spans="1:12" ht="15.6" x14ac:dyDescent="0.3">
      <c r="A868" s="9">
        <v>857</v>
      </c>
      <c r="B868" s="1"/>
      <c r="C868" s="2" t="s">
        <v>863</v>
      </c>
      <c r="D868" s="1"/>
      <c r="E868" s="11">
        <f t="shared" si="66"/>
        <v>22</v>
      </c>
      <c r="F868" s="12">
        <f t="shared" si="67"/>
        <v>50</v>
      </c>
      <c r="G868" s="12" t="str">
        <f t="shared" si="68"/>
        <v>Warning</v>
      </c>
      <c r="H868" s="13">
        <f t="shared" si="69"/>
        <v>6</v>
      </c>
      <c r="I868" s="14">
        <f t="shared" si="65"/>
        <v>1776.2199999999998</v>
      </c>
      <c r="K868" t="str">
        <f>[1]!revcom(C868)</f>
        <v>TCGGAT</v>
      </c>
      <c r="L868">
        <v>6</v>
      </c>
    </row>
    <row r="869" spans="1:12" ht="15.6" x14ac:dyDescent="0.3">
      <c r="A869" s="9">
        <v>858</v>
      </c>
      <c r="B869" s="1"/>
      <c r="C869" s="2" t="s">
        <v>864</v>
      </c>
      <c r="D869" s="1"/>
      <c r="E869" s="11">
        <f t="shared" si="66"/>
        <v>20</v>
      </c>
      <c r="F869" s="12">
        <f t="shared" si="67"/>
        <v>66.666666666666657</v>
      </c>
      <c r="G869" s="12" t="str">
        <f t="shared" si="68"/>
        <v>Warning</v>
      </c>
      <c r="H869" s="13">
        <f t="shared" si="69"/>
        <v>6</v>
      </c>
      <c r="I869" s="14">
        <f t="shared" si="65"/>
        <v>1752.19</v>
      </c>
      <c r="K869" t="str">
        <f>[1]!revcom(C869)</f>
        <v>GCGGAT</v>
      </c>
      <c r="L869">
        <v>6</v>
      </c>
    </row>
    <row r="870" spans="1:12" ht="15.6" x14ac:dyDescent="0.3">
      <c r="A870" s="9">
        <v>859</v>
      </c>
      <c r="B870" s="1"/>
      <c r="C870" s="2" t="s">
        <v>865</v>
      </c>
      <c r="D870" s="1"/>
      <c r="E870" s="11">
        <f t="shared" si="66"/>
        <v>20</v>
      </c>
      <c r="F870" s="12">
        <f t="shared" si="67"/>
        <v>66.666666666666657</v>
      </c>
      <c r="G870" s="12" t="str">
        <f t="shared" si="68"/>
        <v>Warning</v>
      </c>
      <c r="H870" s="13">
        <f t="shared" si="69"/>
        <v>6</v>
      </c>
      <c r="I870" s="14">
        <f t="shared" si="65"/>
        <v>1792.2199999999998</v>
      </c>
      <c r="K870" t="str">
        <f>[1]!revcom(C870)</f>
        <v>CCGGAT</v>
      </c>
      <c r="L870">
        <v>6</v>
      </c>
    </row>
    <row r="871" spans="1:12" ht="15.6" x14ac:dyDescent="0.3">
      <c r="A871" s="9">
        <v>860</v>
      </c>
      <c r="B871" s="1"/>
      <c r="C871" s="2" t="s">
        <v>866</v>
      </c>
      <c r="D871" s="1"/>
      <c r="E871" s="11">
        <f t="shared" si="66"/>
        <v>14</v>
      </c>
      <c r="F871" s="12">
        <f t="shared" si="67"/>
        <v>50</v>
      </c>
      <c r="G871" s="12" t="str">
        <f t="shared" si="68"/>
        <v>Warning</v>
      </c>
      <c r="H871" s="13">
        <f t="shared" si="69"/>
        <v>6</v>
      </c>
      <c r="I871" s="14">
        <f t="shared" si="65"/>
        <v>1767.1999999999998</v>
      </c>
      <c r="K871" t="str">
        <f>[1]!revcom(C871)</f>
        <v>ACGGAT</v>
      </c>
      <c r="L871">
        <v>5</v>
      </c>
    </row>
    <row r="872" spans="1:12" ht="15.6" x14ac:dyDescent="0.3">
      <c r="A872" s="9">
        <v>861</v>
      </c>
      <c r="B872" s="1"/>
      <c r="C872" s="2" t="s">
        <v>867</v>
      </c>
      <c r="D872" s="1"/>
      <c r="E872" s="11">
        <f t="shared" si="66"/>
        <v>16</v>
      </c>
      <c r="F872" s="12">
        <f t="shared" si="67"/>
        <v>33.333333333333329</v>
      </c>
      <c r="G872" s="12" t="str">
        <f t="shared" si="68"/>
        <v>OK</v>
      </c>
      <c r="H872" s="13">
        <f t="shared" si="69"/>
        <v>6</v>
      </c>
      <c r="I872" s="14">
        <f t="shared" si="65"/>
        <v>1751.1999999999998</v>
      </c>
      <c r="K872" t="str">
        <f>[1]!revcom(C872)</f>
        <v>TAGGAT</v>
      </c>
      <c r="L872">
        <v>5</v>
      </c>
    </row>
    <row r="873" spans="1:12" ht="15.6" x14ac:dyDescent="0.3">
      <c r="A873" s="9">
        <v>862</v>
      </c>
      <c r="B873" s="1"/>
      <c r="C873" s="2" t="s">
        <v>868</v>
      </c>
      <c r="D873" s="1"/>
      <c r="E873" s="11">
        <f t="shared" si="66"/>
        <v>14</v>
      </c>
      <c r="F873" s="12">
        <f t="shared" si="67"/>
        <v>50</v>
      </c>
      <c r="G873" s="12" t="str">
        <f t="shared" si="68"/>
        <v>Warning</v>
      </c>
      <c r="H873" s="13">
        <f t="shared" si="69"/>
        <v>6</v>
      </c>
      <c r="I873" s="14">
        <f t="shared" si="65"/>
        <v>1727.17</v>
      </c>
      <c r="K873" t="str">
        <f>[1]!revcom(C873)</f>
        <v>GAGGAT</v>
      </c>
      <c r="L873">
        <v>5</v>
      </c>
    </row>
    <row r="874" spans="1:12" ht="15.6" x14ac:dyDescent="0.3">
      <c r="A874" s="9">
        <v>863</v>
      </c>
      <c r="B874" s="1"/>
      <c r="C874" s="2" t="s">
        <v>869</v>
      </c>
      <c r="D874" s="1"/>
      <c r="E874" s="11">
        <f t="shared" si="66"/>
        <v>14</v>
      </c>
      <c r="F874" s="12">
        <f t="shared" si="67"/>
        <v>50</v>
      </c>
      <c r="G874" s="12" t="str">
        <f t="shared" si="68"/>
        <v>Warning</v>
      </c>
      <c r="H874" s="13">
        <f t="shared" si="69"/>
        <v>6</v>
      </c>
      <c r="I874" s="14">
        <f t="shared" si="65"/>
        <v>1767.1999999999998</v>
      </c>
      <c r="K874" t="str">
        <f>[1]!revcom(C874)</f>
        <v>CAGGAT</v>
      </c>
      <c r="L874">
        <v>5</v>
      </c>
    </row>
    <row r="875" spans="1:12" ht="15.6" x14ac:dyDescent="0.3">
      <c r="A875" s="9">
        <v>864</v>
      </c>
      <c r="B875" s="1"/>
      <c r="C875" s="2" t="s">
        <v>870</v>
      </c>
      <c r="D875" s="1"/>
      <c r="E875" s="11">
        <f t="shared" si="66"/>
        <v>8</v>
      </c>
      <c r="F875" s="12">
        <f t="shared" si="67"/>
        <v>33.333333333333329</v>
      </c>
      <c r="G875" s="12" t="str">
        <f t="shared" si="68"/>
        <v>OK</v>
      </c>
      <c r="H875" s="13">
        <f t="shared" si="69"/>
        <v>6</v>
      </c>
      <c r="I875" s="14">
        <f t="shared" si="65"/>
        <v>1742.1799999999998</v>
      </c>
      <c r="K875" t="str">
        <f>[1]!revcom(C875)</f>
        <v>AAGGAT</v>
      </c>
      <c r="L875">
        <v>4</v>
      </c>
    </row>
    <row r="876" spans="1:12" ht="15.6" x14ac:dyDescent="0.3">
      <c r="A876" s="9">
        <v>865</v>
      </c>
      <c r="B876" s="1"/>
      <c r="C876" s="2" t="s">
        <v>871</v>
      </c>
      <c r="D876" s="1"/>
      <c r="E876" s="11">
        <f t="shared" si="66"/>
        <v>24</v>
      </c>
      <c r="F876" s="12">
        <f t="shared" si="67"/>
        <v>33.333333333333329</v>
      </c>
      <c r="G876" s="12" t="str">
        <f t="shared" si="68"/>
        <v>OK</v>
      </c>
      <c r="H876" s="13">
        <f t="shared" si="69"/>
        <v>6</v>
      </c>
      <c r="I876" s="14">
        <f t="shared" si="65"/>
        <v>1800.25</v>
      </c>
      <c r="K876" t="str">
        <f>[1]!revcom(C876)</f>
        <v>TTCGAT</v>
      </c>
      <c r="L876">
        <v>6</v>
      </c>
    </row>
    <row r="877" spans="1:12" ht="15.6" x14ac:dyDescent="0.3">
      <c r="A877" s="9">
        <v>866</v>
      </c>
      <c r="B877" s="1"/>
      <c r="C877" s="2" t="s">
        <v>872</v>
      </c>
      <c r="D877" s="1"/>
      <c r="E877" s="11">
        <f t="shared" si="66"/>
        <v>22</v>
      </c>
      <c r="F877" s="12">
        <f t="shared" si="67"/>
        <v>50</v>
      </c>
      <c r="G877" s="12" t="str">
        <f t="shared" si="68"/>
        <v>Warning</v>
      </c>
      <c r="H877" s="13">
        <f t="shared" si="69"/>
        <v>6</v>
      </c>
      <c r="I877" s="14">
        <f t="shared" si="65"/>
        <v>1776.2199999999998</v>
      </c>
      <c r="K877" t="str">
        <f>[1]!revcom(C877)</f>
        <v>GTCGAT</v>
      </c>
      <c r="L877">
        <v>6</v>
      </c>
    </row>
    <row r="878" spans="1:12" ht="15.6" x14ac:dyDescent="0.3">
      <c r="A878" s="9">
        <v>867</v>
      </c>
      <c r="B878" s="1"/>
      <c r="C878" s="2" t="s">
        <v>873</v>
      </c>
      <c r="D878" s="1"/>
      <c r="E878" s="11">
        <f t="shared" si="66"/>
        <v>22</v>
      </c>
      <c r="F878" s="12">
        <f t="shared" si="67"/>
        <v>50</v>
      </c>
      <c r="G878" s="12" t="str">
        <f t="shared" si="68"/>
        <v>Warning</v>
      </c>
      <c r="H878" s="13">
        <f t="shared" si="69"/>
        <v>6</v>
      </c>
      <c r="I878" s="14">
        <f t="shared" si="65"/>
        <v>1816.25</v>
      </c>
      <c r="K878" t="str">
        <f>[1]!revcom(C878)</f>
        <v>CTCGAT</v>
      </c>
      <c r="L878">
        <v>6</v>
      </c>
    </row>
    <row r="879" spans="1:12" ht="15.6" x14ac:dyDescent="0.3">
      <c r="A879" s="9">
        <v>868</v>
      </c>
      <c r="B879" s="1"/>
      <c r="C879" s="2" t="s">
        <v>874</v>
      </c>
      <c r="D879" s="1"/>
      <c r="E879" s="11">
        <f t="shared" si="66"/>
        <v>16</v>
      </c>
      <c r="F879" s="12">
        <f t="shared" si="67"/>
        <v>33.333333333333329</v>
      </c>
      <c r="G879" s="12" t="str">
        <f t="shared" si="68"/>
        <v>OK</v>
      </c>
      <c r="H879" s="13">
        <f t="shared" si="69"/>
        <v>6</v>
      </c>
      <c r="I879" s="14">
        <f t="shared" si="65"/>
        <v>1791.23</v>
      </c>
      <c r="K879" t="str">
        <f>[1]!revcom(C879)</f>
        <v>ATCGAT</v>
      </c>
      <c r="L879">
        <v>5</v>
      </c>
    </row>
    <row r="880" spans="1:12" ht="15.6" x14ac:dyDescent="0.3">
      <c r="A880" s="9">
        <v>869</v>
      </c>
      <c r="B880" s="1"/>
      <c r="C880" s="2" t="s">
        <v>875</v>
      </c>
      <c r="D880" s="1"/>
      <c r="E880" s="11">
        <f t="shared" si="66"/>
        <v>22</v>
      </c>
      <c r="F880" s="12">
        <f t="shared" si="67"/>
        <v>50</v>
      </c>
      <c r="G880" s="12" t="str">
        <f t="shared" si="68"/>
        <v>Warning</v>
      </c>
      <c r="H880" s="13">
        <f t="shared" si="69"/>
        <v>6</v>
      </c>
      <c r="I880" s="14">
        <f t="shared" si="65"/>
        <v>1776.2199999999998</v>
      </c>
      <c r="K880" t="str">
        <f>[1]!revcom(C880)</f>
        <v>TGCGAT</v>
      </c>
      <c r="L880">
        <v>6</v>
      </c>
    </row>
    <row r="881" spans="1:12" ht="15.6" x14ac:dyDescent="0.3">
      <c r="A881" s="9">
        <v>870</v>
      </c>
      <c r="B881" s="1"/>
      <c r="C881" s="2" t="s">
        <v>876</v>
      </c>
      <c r="D881" s="1"/>
      <c r="E881" s="11">
        <f t="shared" si="66"/>
        <v>20</v>
      </c>
      <c r="F881" s="12">
        <f t="shared" si="67"/>
        <v>66.666666666666657</v>
      </c>
      <c r="G881" s="12" t="str">
        <f t="shared" si="68"/>
        <v>Warning</v>
      </c>
      <c r="H881" s="13">
        <f t="shared" si="69"/>
        <v>6</v>
      </c>
      <c r="I881" s="14">
        <f t="shared" si="65"/>
        <v>1752.19</v>
      </c>
      <c r="K881" t="str">
        <f>[1]!revcom(C881)</f>
        <v>GGCGAT</v>
      </c>
      <c r="L881">
        <v>6</v>
      </c>
    </row>
    <row r="882" spans="1:12" ht="15.6" x14ac:dyDescent="0.3">
      <c r="A882" s="9">
        <v>871</v>
      </c>
      <c r="B882" s="1"/>
      <c r="C882" s="2" t="s">
        <v>877</v>
      </c>
      <c r="D882" s="1"/>
      <c r="E882" s="11">
        <f t="shared" si="66"/>
        <v>20</v>
      </c>
      <c r="F882" s="12">
        <f t="shared" si="67"/>
        <v>66.666666666666657</v>
      </c>
      <c r="G882" s="12" t="str">
        <f t="shared" si="68"/>
        <v>Warning</v>
      </c>
      <c r="H882" s="13">
        <f t="shared" si="69"/>
        <v>6</v>
      </c>
      <c r="I882" s="14">
        <f t="shared" si="65"/>
        <v>1792.2199999999998</v>
      </c>
      <c r="K882" t="str">
        <f>[1]!revcom(C882)</f>
        <v>CGCGAT</v>
      </c>
      <c r="L882">
        <v>6</v>
      </c>
    </row>
    <row r="883" spans="1:12" ht="15.6" x14ac:dyDescent="0.3">
      <c r="A883" s="9">
        <v>872</v>
      </c>
      <c r="B883" s="1"/>
      <c r="C883" s="2" t="s">
        <v>878</v>
      </c>
      <c r="D883" s="1"/>
      <c r="E883" s="11">
        <f t="shared" si="66"/>
        <v>14</v>
      </c>
      <c r="F883" s="12">
        <f t="shared" si="67"/>
        <v>50</v>
      </c>
      <c r="G883" s="12" t="str">
        <f t="shared" si="68"/>
        <v>Warning</v>
      </c>
      <c r="H883" s="13">
        <f t="shared" si="69"/>
        <v>6</v>
      </c>
      <c r="I883" s="14">
        <f t="shared" si="65"/>
        <v>1767.1999999999998</v>
      </c>
      <c r="K883" t="str">
        <f>[1]!revcom(C883)</f>
        <v>AGCGAT</v>
      </c>
      <c r="L883">
        <v>5</v>
      </c>
    </row>
    <row r="884" spans="1:12" ht="15.6" x14ac:dyDescent="0.3">
      <c r="A884" s="9">
        <v>873</v>
      </c>
      <c r="B884" s="1"/>
      <c r="C884" s="2" t="s">
        <v>879</v>
      </c>
      <c r="D884" s="1"/>
      <c r="E884" s="11">
        <f t="shared" si="66"/>
        <v>22</v>
      </c>
      <c r="F884" s="12">
        <f t="shared" si="67"/>
        <v>50</v>
      </c>
      <c r="G884" s="12" t="str">
        <f t="shared" si="68"/>
        <v>Warning</v>
      </c>
      <c r="H884" s="13">
        <f t="shared" si="69"/>
        <v>6</v>
      </c>
      <c r="I884" s="14">
        <f t="shared" si="65"/>
        <v>1816.25</v>
      </c>
      <c r="K884" t="str">
        <f>[1]!revcom(C884)</f>
        <v>TCCGAT</v>
      </c>
      <c r="L884">
        <v>6</v>
      </c>
    </row>
    <row r="885" spans="1:12" ht="15.6" x14ac:dyDescent="0.3">
      <c r="A885" s="9">
        <v>874</v>
      </c>
      <c r="B885" s="1"/>
      <c r="C885" s="2" t="s">
        <v>880</v>
      </c>
      <c r="D885" s="1"/>
      <c r="E885" s="11">
        <f t="shared" si="66"/>
        <v>20</v>
      </c>
      <c r="F885" s="12">
        <f t="shared" si="67"/>
        <v>66.666666666666657</v>
      </c>
      <c r="G885" s="12" t="str">
        <f t="shared" si="68"/>
        <v>Warning</v>
      </c>
      <c r="H885" s="13">
        <f t="shared" si="69"/>
        <v>6</v>
      </c>
      <c r="I885" s="14">
        <f t="shared" si="65"/>
        <v>1792.2199999999998</v>
      </c>
      <c r="K885" t="str">
        <f>[1]!revcom(C885)</f>
        <v>GCCGAT</v>
      </c>
      <c r="L885">
        <v>6</v>
      </c>
    </row>
    <row r="886" spans="1:12" ht="15.6" x14ac:dyDescent="0.3">
      <c r="A886" s="9">
        <v>875</v>
      </c>
      <c r="B886" s="1"/>
      <c r="C886" s="2" t="s">
        <v>881</v>
      </c>
      <c r="D886" s="1"/>
      <c r="E886" s="11">
        <f t="shared" si="66"/>
        <v>20</v>
      </c>
      <c r="F886" s="12">
        <f t="shared" si="67"/>
        <v>66.666666666666657</v>
      </c>
      <c r="G886" s="12" t="str">
        <f t="shared" si="68"/>
        <v>Warning</v>
      </c>
      <c r="H886" s="13">
        <f t="shared" si="69"/>
        <v>6</v>
      </c>
      <c r="I886" s="14">
        <f t="shared" si="65"/>
        <v>1832.25</v>
      </c>
      <c r="K886" t="str">
        <f>[1]!revcom(C886)</f>
        <v>CCCGAT</v>
      </c>
      <c r="L886">
        <v>6</v>
      </c>
    </row>
    <row r="887" spans="1:12" ht="15.6" x14ac:dyDescent="0.3">
      <c r="A887" s="9">
        <v>876</v>
      </c>
      <c r="B887" s="1"/>
      <c r="C887" s="2" t="s">
        <v>882</v>
      </c>
      <c r="D887" s="1"/>
      <c r="E887" s="11">
        <f t="shared" si="66"/>
        <v>14</v>
      </c>
      <c r="F887" s="12">
        <f t="shared" si="67"/>
        <v>50</v>
      </c>
      <c r="G887" s="12" t="str">
        <f t="shared" si="68"/>
        <v>Warning</v>
      </c>
      <c r="H887" s="13">
        <f t="shared" si="69"/>
        <v>6</v>
      </c>
      <c r="I887" s="14">
        <f t="shared" si="65"/>
        <v>1807.23</v>
      </c>
      <c r="K887" t="str">
        <f>[1]!revcom(C887)</f>
        <v>ACCGAT</v>
      </c>
      <c r="L887">
        <v>5</v>
      </c>
    </row>
    <row r="888" spans="1:12" ht="15.6" x14ac:dyDescent="0.3">
      <c r="A888" s="9">
        <v>877</v>
      </c>
      <c r="B888" s="1"/>
      <c r="C888" s="2" t="s">
        <v>883</v>
      </c>
      <c r="D888" s="1"/>
      <c r="E888" s="11">
        <f t="shared" si="66"/>
        <v>16</v>
      </c>
      <c r="F888" s="12">
        <f t="shared" si="67"/>
        <v>33.333333333333329</v>
      </c>
      <c r="G888" s="12" t="str">
        <f t="shared" si="68"/>
        <v>OK</v>
      </c>
      <c r="H888" s="13">
        <f t="shared" si="69"/>
        <v>6</v>
      </c>
      <c r="I888" s="14">
        <f t="shared" si="65"/>
        <v>1791.23</v>
      </c>
      <c r="K888" t="str">
        <f>[1]!revcom(C888)</f>
        <v>TACGAT</v>
      </c>
      <c r="L888">
        <v>5</v>
      </c>
    </row>
    <row r="889" spans="1:12" ht="15.6" x14ac:dyDescent="0.3">
      <c r="A889" s="9">
        <v>878</v>
      </c>
      <c r="B889" s="1"/>
      <c r="C889" s="2" t="s">
        <v>884</v>
      </c>
      <c r="D889" s="1"/>
      <c r="E889" s="11">
        <f t="shared" si="66"/>
        <v>14</v>
      </c>
      <c r="F889" s="12">
        <f t="shared" si="67"/>
        <v>50</v>
      </c>
      <c r="G889" s="12" t="str">
        <f t="shared" si="68"/>
        <v>Warning</v>
      </c>
      <c r="H889" s="13">
        <f t="shared" si="69"/>
        <v>6</v>
      </c>
      <c r="I889" s="14">
        <f t="shared" si="65"/>
        <v>1767.1999999999998</v>
      </c>
      <c r="K889" t="str">
        <f>[1]!revcom(C889)</f>
        <v>GACGAT</v>
      </c>
      <c r="L889">
        <v>5</v>
      </c>
    </row>
    <row r="890" spans="1:12" ht="15.6" x14ac:dyDescent="0.3">
      <c r="A890" s="9">
        <v>879</v>
      </c>
      <c r="B890" s="1"/>
      <c r="C890" s="2" t="s">
        <v>885</v>
      </c>
      <c r="D890" s="1"/>
      <c r="E890" s="11">
        <f t="shared" si="66"/>
        <v>14</v>
      </c>
      <c r="F890" s="12">
        <f t="shared" si="67"/>
        <v>50</v>
      </c>
      <c r="G890" s="12" t="str">
        <f t="shared" si="68"/>
        <v>Warning</v>
      </c>
      <c r="H890" s="13">
        <f t="shared" si="69"/>
        <v>6</v>
      </c>
      <c r="I890" s="14">
        <f t="shared" si="65"/>
        <v>1807.23</v>
      </c>
      <c r="K890" t="str">
        <f>[1]!revcom(C890)</f>
        <v>CACGAT</v>
      </c>
      <c r="L890">
        <v>5</v>
      </c>
    </row>
    <row r="891" spans="1:12" ht="15.6" x14ac:dyDescent="0.3">
      <c r="A891" s="9">
        <v>880</v>
      </c>
      <c r="B891" s="1"/>
      <c r="C891" s="2" t="s">
        <v>886</v>
      </c>
      <c r="D891" s="1"/>
      <c r="E891" s="11">
        <f t="shared" si="66"/>
        <v>8</v>
      </c>
      <c r="F891" s="12">
        <f t="shared" si="67"/>
        <v>33.333333333333329</v>
      </c>
      <c r="G891" s="12" t="str">
        <f t="shared" si="68"/>
        <v>OK</v>
      </c>
      <c r="H891" s="13">
        <f t="shared" si="69"/>
        <v>6</v>
      </c>
      <c r="I891" s="14">
        <f t="shared" si="65"/>
        <v>1782.21</v>
      </c>
      <c r="K891" t="str">
        <f>[1]!revcom(C891)</f>
        <v>AACGAT</v>
      </c>
      <c r="L891">
        <v>4</v>
      </c>
    </row>
    <row r="892" spans="1:12" ht="15.6" x14ac:dyDescent="0.3">
      <c r="A892" s="9">
        <v>881</v>
      </c>
      <c r="B892" s="1"/>
      <c r="C892" s="2" t="s">
        <v>887</v>
      </c>
      <c r="D892" s="1"/>
      <c r="E892" s="11">
        <f t="shared" si="66"/>
        <v>18</v>
      </c>
      <c r="F892" s="12">
        <f t="shared" si="67"/>
        <v>16.666666666666664</v>
      </c>
      <c r="G892" s="12" t="str">
        <f t="shared" si="68"/>
        <v>OK</v>
      </c>
      <c r="H892" s="13">
        <f t="shared" si="69"/>
        <v>6</v>
      </c>
      <c r="I892" s="14">
        <f t="shared" si="65"/>
        <v>1775.23</v>
      </c>
      <c r="K892" t="str">
        <f>[1]!revcom(C892)</f>
        <v>TTAGAT</v>
      </c>
      <c r="L892">
        <v>5</v>
      </c>
    </row>
    <row r="893" spans="1:12" ht="15.6" x14ac:dyDescent="0.3">
      <c r="A893" s="9">
        <v>882</v>
      </c>
      <c r="B893" s="1"/>
      <c r="C893" s="2" t="s">
        <v>888</v>
      </c>
      <c r="D893" s="1"/>
      <c r="E893" s="11">
        <f t="shared" si="66"/>
        <v>16</v>
      </c>
      <c r="F893" s="12">
        <f t="shared" si="67"/>
        <v>33.333333333333329</v>
      </c>
      <c r="G893" s="12" t="str">
        <f t="shared" si="68"/>
        <v>OK</v>
      </c>
      <c r="H893" s="13">
        <f t="shared" si="69"/>
        <v>6</v>
      </c>
      <c r="I893" s="14">
        <f t="shared" si="65"/>
        <v>1751.1999999999998</v>
      </c>
      <c r="K893" t="str">
        <f>[1]!revcom(C893)</f>
        <v>GTAGAT</v>
      </c>
      <c r="L893">
        <v>5</v>
      </c>
    </row>
    <row r="894" spans="1:12" ht="15.6" x14ac:dyDescent="0.3">
      <c r="A894" s="9">
        <v>883</v>
      </c>
      <c r="B894" s="1"/>
      <c r="C894" s="2" t="s">
        <v>889</v>
      </c>
      <c r="D894" s="1"/>
      <c r="E894" s="11">
        <f t="shared" si="66"/>
        <v>16</v>
      </c>
      <c r="F894" s="12">
        <f t="shared" si="67"/>
        <v>33.333333333333329</v>
      </c>
      <c r="G894" s="12" t="str">
        <f t="shared" si="68"/>
        <v>OK</v>
      </c>
      <c r="H894" s="13">
        <f t="shared" si="69"/>
        <v>6</v>
      </c>
      <c r="I894" s="14">
        <f t="shared" si="65"/>
        <v>1791.23</v>
      </c>
      <c r="K894" t="str">
        <f>[1]!revcom(C894)</f>
        <v>CTAGAT</v>
      </c>
      <c r="L894">
        <v>5</v>
      </c>
    </row>
    <row r="895" spans="1:12" ht="15.6" x14ac:dyDescent="0.3">
      <c r="A895" s="9">
        <v>884</v>
      </c>
      <c r="B895" s="1"/>
      <c r="C895" s="2" t="s">
        <v>890</v>
      </c>
      <c r="D895" s="1"/>
      <c r="E895" s="11">
        <f t="shared" si="66"/>
        <v>10</v>
      </c>
      <c r="F895" s="12">
        <f t="shared" si="67"/>
        <v>16.666666666666664</v>
      </c>
      <c r="G895" s="12" t="str">
        <f t="shared" si="68"/>
        <v>OK</v>
      </c>
      <c r="H895" s="13">
        <f t="shared" si="69"/>
        <v>6</v>
      </c>
      <c r="I895" s="14">
        <f t="shared" si="65"/>
        <v>1766.21</v>
      </c>
      <c r="K895" t="str">
        <f>[1]!revcom(C895)</f>
        <v>ATAGAT</v>
      </c>
      <c r="L895">
        <v>4</v>
      </c>
    </row>
    <row r="896" spans="1:12" ht="15.6" x14ac:dyDescent="0.3">
      <c r="A896" s="9">
        <v>885</v>
      </c>
      <c r="B896" s="1"/>
      <c r="C896" s="2" t="s">
        <v>891</v>
      </c>
      <c r="D896" s="1"/>
      <c r="E896" s="11">
        <f t="shared" si="66"/>
        <v>16</v>
      </c>
      <c r="F896" s="12">
        <f t="shared" si="67"/>
        <v>33.333333333333329</v>
      </c>
      <c r="G896" s="12" t="str">
        <f t="shared" si="68"/>
        <v>OK</v>
      </c>
      <c r="H896" s="13">
        <f t="shared" si="69"/>
        <v>6</v>
      </c>
      <c r="I896" s="14">
        <f t="shared" si="65"/>
        <v>1751.1999999999998</v>
      </c>
      <c r="K896" t="str">
        <f>[1]!revcom(C896)</f>
        <v>TGAGAT</v>
      </c>
      <c r="L896">
        <v>5</v>
      </c>
    </row>
    <row r="897" spans="1:12" ht="15.6" x14ac:dyDescent="0.3">
      <c r="A897" s="9">
        <v>886</v>
      </c>
      <c r="B897" s="1"/>
      <c r="C897" s="2" t="s">
        <v>892</v>
      </c>
      <c r="D897" s="1"/>
      <c r="E897" s="11">
        <f t="shared" si="66"/>
        <v>14</v>
      </c>
      <c r="F897" s="12">
        <f t="shared" si="67"/>
        <v>50</v>
      </c>
      <c r="G897" s="12" t="str">
        <f t="shared" si="68"/>
        <v>Warning</v>
      </c>
      <c r="H897" s="13">
        <f t="shared" si="69"/>
        <v>6</v>
      </c>
      <c r="I897" s="14">
        <f t="shared" si="65"/>
        <v>1727.17</v>
      </c>
      <c r="K897" t="str">
        <f>[1]!revcom(C897)</f>
        <v>GGAGAT</v>
      </c>
      <c r="L897">
        <v>5</v>
      </c>
    </row>
    <row r="898" spans="1:12" ht="15.6" x14ac:dyDescent="0.3">
      <c r="A898" s="9">
        <v>887</v>
      </c>
      <c r="B898" s="1"/>
      <c r="C898" s="2" t="s">
        <v>893</v>
      </c>
      <c r="D898" s="1"/>
      <c r="E898" s="11">
        <f t="shared" si="66"/>
        <v>14</v>
      </c>
      <c r="F898" s="12">
        <f t="shared" si="67"/>
        <v>50</v>
      </c>
      <c r="G898" s="12" t="str">
        <f t="shared" si="68"/>
        <v>Warning</v>
      </c>
      <c r="H898" s="13">
        <f t="shared" si="69"/>
        <v>6</v>
      </c>
      <c r="I898" s="14">
        <f t="shared" si="65"/>
        <v>1767.1999999999998</v>
      </c>
      <c r="K898" t="str">
        <f>[1]!revcom(C898)</f>
        <v>CGAGAT</v>
      </c>
      <c r="L898">
        <v>5</v>
      </c>
    </row>
    <row r="899" spans="1:12" ht="15.6" x14ac:dyDescent="0.3">
      <c r="A899" s="9">
        <v>888</v>
      </c>
      <c r="B899" s="1"/>
      <c r="C899" s="2" t="s">
        <v>894</v>
      </c>
      <c r="D899" s="1"/>
      <c r="E899" s="11">
        <f t="shared" si="66"/>
        <v>8</v>
      </c>
      <c r="F899" s="12">
        <f t="shared" si="67"/>
        <v>33.333333333333329</v>
      </c>
      <c r="G899" s="12" t="str">
        <f t="shared" si="68"/>
        <v>OK</v>
      </c>
      <c r="H899" s="13">
        <f t="shared" si="69"/>
        <v>6</v>
      </c>
      <c r="I899" s="14">
        <f t="shared" si="65"/>
        <v>1742.1799999999998</v>
      </c>
      <c r="K899" t="str">
        <f>[1]!revcom(C899)</f>
        <v>AGAGAT</v>
      </c>
      <c r="L899">
        <v>4</v>
      </c>
    </row>
    <row r="900" spans="1:12" ht="15.6" x14ac:dyDescent="0.3">
      <c r="A900" s="9">
        <v>889</v>
      </c>
      <c r="B900" s="1"/>
      <c r="C900" s="2" t="s">
        <v>895</v>
      </c>
      <c r="D900" s="1"/>
      <c r="E900" s="11">
        <f t="shared" si="66"/>
        <v>16</v>
      </c>
      <c r="F900" s="12">
        <f t="shared" si="67"/>
        <v>33.333333333333329</v>
      </c>
      <c r="G900" s="12" t="str">
        <f t="shared" si="68"/>
        <v>OK</v>
      </c>
      <c r="H900" s="13">
        <f t="shared" si="69"/>
        <v>6</v>
      </c>
      <c r="I900" s="14">
        <f t="shared" si="65"/>
        <v>1791.23</v>
      </c>
      <c r="K900" t="str">
        <f>[1]!revcom(C900)</f>
        <v>TCAGAT</v>
      </c>
      <c r="L900">
        <v>5</v>
      </c>
    </row>
    <row r="901" spans="1:12" ht="15.6" x14ac:dyDescent="0.3">
      <c r="A901" s="9">
        <v>890</v>
      </c>
      <c r="B901" s="1"/>
      <c r="C901" s="2" t="s">
        <v>896</v>
      </c>
      <c r="D901" s="1"/>
      <c r="E901" s="11">
        <f t="shared" si="66"/>
        <v>14</v>
      </c>
      <c r="F901" s="12">
        <f t="shared" si="67"/>
        <v>50</v>
      </c>
      <c r="G901" s="12" t="str">
        <f t="shared" si="68"/>
        <v>Warning</v>
      </c>
      <c r="H901" s="13">
        <f t="shared" si="69"/>
        <v>6</v>
      </c>
      <c r="I901" s="14">
        <f t="shared" si="65"/>
        <v>1767.1999999999998</v>
      </c>
      <c r="K901" t="str">
        <f>[1]!revcom(C901)</f>
        <v>GCAGAT</v>
      </c>
      <c r="L901">
        <v>5</v>
      </c>
    </row>
    <row r="902" spans="1:12" ht="15.6" x14ac:dyDescent="0.3">
      <c r="A902" s="9">
        <v>891</v>
      </c>
      <c r="B902" s="1"/>
      <c r="C902" s="2" t="s">
        <v>897</v>
      </c>
      <c r="D902" s="1"/>
      <c r="E902" s="11">
        <f t="shared" si="66"/>
        <v>14</v>
      </c>
      <c r="F902" s="12">
        <f t="shared" si="67"/>
        <v>50</v>
      </c>
      <c r="G902" s="12" t="str">
        <f t="shared" si="68"/>
        <v>Warning</v>
      </c>
      <c r="H902" s="13">
        <f t="shared" si="69"/>
        <v>6</v>
      </c>
      <c r="I902" s="14">
        <f t="shared" si="65"/>
        <v>1807.23</v>
      </c>
      <c r="K902" t="str">
        <f>[1]!revcom(C902)</f>
        <v>CCAGAT</v>
      </c>
      <c r="L902">
        <v>5</v>
      </c>
    </row>
    <row r="903" spans="1:12" ht="15.6" x14ac:dyDescent="0.3">
      <c r="A903" s="9">
        <v>892</v>
      </c>
      <c r="B903" s="1"/>
      <c r="C903" s="2" t="s">
        <v>898</v>
      </c>
      <c r="D903" s="1"/>
      <c r="E903" s="11">
        <f t="shared" si="66"/>
        <v>8</v>
      </c>
      <c r="F903" s="12">
        <f t="shared" si="67"/>
        <v>33.333333333333329</v>
      </c>
      <c r="G903" s="12" t="str">
        <f t="shared" si="68"/>
        <v>OK</v>
      </c>
      <c r="H903" s="13">
        <f t="shared" si="69"/>
        <v>6</v>
      </c>
      <c r="I903" s="14">
        <f t="shared" si="65"/>
        <v>1782.21</v>
      </c>
      <c r="K903" t="str">
        <f>[1]!revcom(C903)</f>
        <v>ACAGAT</v>
      </c>
      <c r="L903">
        <v>4</v>
      </c>
    </row>
    <row r="904" spans="1:12" ht="15.6" x14ac:dyDescent="0.3">
      <c r="A904" s="9">
        <v>893</v>
      </c>
      <c r="B904" s="1"/>
      <c r="C904" s="2" t="s">
        <v>899</v>
      </c>
      <c r="D904" s="1"/>
      <c r="E904" s="11">
        <f t="shared" si="66"/>
        <v>10</v>
      </c>
      <c r="F904" s="12">
        <f t="shared" si="67"/>
        <v>16.666666666666664</v>
      </c>
      <c r="G904" s="12" t="str">
        <f t="shared" si="68"/>
        <v>OK</v>
      </c>
      <c r="H904" s="13">
        <f t="shared" si="69"/>
        <v>6</v>
      </c>
      <c r="I904" s="14">
        <f t="shared" si="65"/>
        <v>1766.21</v>
      </c>
      <c r="K904" t="str">
        <f>[1]!revcom(C904)</f>
        <v>TAAGAT</v>
      </c>
      <c r="L904">
        <v>4</v>
      </c>
    </row>
    <row r="905" spans="1:12" ht="15.6" x14ac:dyDescent="0.3">
      <c r="A905" s="9">
        <v>894</v>
      </c>
      <c r="B905" s="1"/>
      <c r="C905" s="2" t="s">
        <v>900</v>
      </c>
      <c r="D905" s="1"/>
      <c r="E905" s="11">
        <f t="shared" si="66"/>
        <v>8</v>
      </c>
      <c r="F905" s="12">
        <f t="shared" si="67"/>
        <v>33.333333333333329</v>
      </c>
      <c r="G905" s="12" t="str">
        <f t="shared" si="68"/>
        <v>OK</v>
      </c>
      <c r="H905" s="13">
        <f t="shared" si="69"/>
        <v>6</v>
      </c>
      <c r="I905" s="14">
        <f t="shared" si="65"/>
        <v>1742.1799999999998</v>
      </c>
      <c r="K905" t="str">
        <f>[1]!revcom(C905)</f>
        <v>GAAGAT</v>
      </c>
      <c r="L905">
        <v>4</v>
      </c>
    </row>
    <row r="906" spans="1:12" ht="15.6" x14ac:dyDescent="0.3">
      <c r="A906" s="9">
        <v>895</v>
      </c>
      <c r="B906" s="1"/>
      <c r="C906" s="2" t="s">
        <v>901</v>
      </c>
      <c r="D906" s="1"/>
      <c r="E906" s="11">
        <f t="shared" si="66"/>
        <v>8</v>
      </c>
      <c r="F906" s="12">
        <f t="shared" si="67"/>
        <v>33.333333333333329</v>
      </c>
      <c r="G906" s="12" t="str">
        <f t="shared" si="68"/>
        <v>OK</v>
      </c>
      <c r="H906" s="13">
        <f t="shared" si="69"/>
        <v>6</v>
      </c>
      <c r="I906" s="14">
        <f t="shared" si="65"/>
        <v>1782.21</v>
      </c>
      <c r="K906" t="str">
        <f>[1]!revcom(C906)</f>
        <v>CAAGAT</v>
      </c>
      <c r="L906">
        <v>4</v>
      </c>
    </row>
    <row r="907" spans="1:12" ht="15.6" x14ac:dyDescent="0.3">
      <c r="A907" s="9">
        <v>896</v>
      </c>
      <c r="B907" s="1"/>
      <c r="C907" s="2" t="s">
        <v>902</v>
      </c>
      <c r="D907" s="1"/>
      <c r="E907" s="11">
        <f t="shared" si="66"/>
        <v>2</v>
      </c>
      <c r="F907" s="12">
        <f t="shared" si="67"/>
        <v>16.666666666666664</v>
      </c>
      <c r="G907" s="12" t="str">
        <f t="shared" si="68"/>
        <v>OK</v>
      </c>
      <c r="H907" s="13">
        <f t="shared" si="69"/>
        <v>6</v>
      </c>
      <c r="I907" s="14">
        <f t="shared" si="65"/>
        <v>1757.19</v>
      </c>
      <c r="K907" t="str">
        <f>[1]!revcom(C907)</f>
        <v>AAAGAT</v>
      </c>
      <c r="L907">
        <v>3</v>
      </c>
    </row>
    <row r="908" spans="1:12" ht="15.6" x14ac:dyDescent="0.3">
      <c r="A908" s="9">
        <v>897</v>
      </c>
      <c r="B908" s="1"/>
      <c r="C908" s="2" t="s">
        <v>903</v>
      </c>
      <c r="D908" s="1"/>
      <c r="E908" s="11">
        <f t="shared" si="66"/>
        <v>26</v>
      </c>
      <c r="F908" s="12">
        <f t="shared" si="67"/>
        <v>16.666666666666664</v>
      </c>
      <c r="G908" s="12" t="str">
        <f t="shared" si="68"/>
        <v>OK</v>
      </c>
      <c r="H908" s="13">
        <f t="shared" si="69"/>
        <v>6</v>
      </c>
      <c r="I908" s="14">
        <f t="shared" si="65"/>
        <v>1824.2799999999997</v>
      </c>
      <c r="K908" t="str">
        <f>[1]!revcom(C908)</f>
        <v>TTTCAT</v>
      </c>
      <c r="L908">
        <v>7</v>
      </c>
    </row>
    <row r="909" spans="1:12" ht="15.6" x14ac:dyDescent="0.3">
      <c r="A909" s="9">
        <v>898</v>
      </c>
      <c r="B909" s="1"/>
      <c r="C909" s="2" t="s">
        <v>904</v>
      </c>
      <c r="D909" s="1"/>
      <c r="E909" s="11">
        <f t="shared" si="66"/>
        <v>24</v>
      </c>
      <c r="F909" s="12">
        <f t="shared" si="67"/>
        <v>33.333333333333329</v>
      </c>
      <c r="G909" s="12" t="str">
        <f t="shared" si="68"/>
        <v>OK</v>
      </c>
      <c r="H909" s="13">
        <f t="shared" si="69"/>
        <v>6</v>
      </c>
      <c r="I909" s="14">
        <f t="shared" ref="I909:I972" si="70">((LEN(C909)-(LEN(SUBSTITUTE(C909,"A",""))))*249.23)+((LEN(C909)-(LEN(SUBSTITUTE(C909,"T",""))))*240.21)+((LEN(C909)-(LEN(SUBSTITUTE(C909,"C",""))))*225.2)+((LEN(C909)-(LEN(SUBSTITUTE(C909,"G",""))))*265.23)+(63.98*(LEN(C909)-1)+(2.02))</f>
        <v>1800.25</v>
      </c>
      <c r="K909" t="str">
        <f>[1]!revcom(C909)</f>
        <v>GTTCAT</v>
      </c>
      <c r="L909">
        <v>6</v>
      </c>
    </row>
    <row r="910" spans="1:12" ht="15.6" x14ac:dyDescent="0.3">
      <c r="A910" s="9">
        <v>899</v>
      </c>
      <c r="B910" s="1"/>
      <c r="C910" s="2" t="s">
        <v>905</v>
      </c>
      <c r="D910" s="1"/>
      <c r="E910" s="11">
        <f t="shared" ref="E910:E973" si="71">IF(LEN(C910)&gt;15,(69.3+((41*((LEN(C910)-(((LEN(C910)-(LEN(SUBSTITUTE(C910,"A",""))))+((LEN(C910)-(LEN(SUBSTITUTE(C910,"T","")))))))))/(LEN(C910)))-(650/(LEN(C910))))),(2*((LEN(C910)-(((LEN(C910)-(LEN(SUBSTITUTE(C910,"C",""))))+((LEN(C910)-(LEN(SUBSTITUTE(C910,"G",""))))))))))+(4*((LEN(C910)-(((LEN(C910)-(LEN(SUBSTITUTE(C910,"T",""))))+((LEN(C910)-(LEN(SUBSTITUTE(C910,"T","")))))))))))</f>
        <v>24</v>
      </c>
      <c r="F910" s="12">
        <f t="shared" ref="F910:F973" si="72">((LEN(C910)- LEN(SUBSTITUTE(C910,"G","")))+(LEN(C910)- LEN(SUBSTITUTE(C910,"C",""))) )/LEN(C910)*100</f>
        <v>33.333333333333329</v>
      </c>
      <c r="G910" s="12" t="str">
        <f t="shared" ref="G910:G973" si="73">IF((-5+((LEN(SUBSTITUTE(RIGHT(C910,5),"C","")))+((LEN(SUBSTITUTE(RIGHT(C910,5),"G",""))))))&gt;=3,"OK","Warning")</f>
        <v>OK</v>
      </c>
      <c r="H910" s="13">
        <f t="shared" ref="H910:H973" si="74">LEN(C910)</f>
        <v>6</v>
      </c>
      <c r="I910" s="14">
        <f t="shared" si="70"/>
        <v>1840.2800000000002</v>
      </c>
      <c r="K910" t="str">
        <f>[1]!revcom(C910)</f>
        <v>CTTCAT</v>
      </c>
      <c r="L910">
        <v>6</v>
      </c>
    </row>
    <row r="911" spans="1:12" ht="15.6" x14ac:dyDescent="0.3">
      <c r="A911" s="9">
        <v>900</v>
      </c>
      <c r="B911" s="1"/>
      <c r="C911" s="2" t="s">
        <v>906</v>
      </c>
      <c r="D911" s="1"/>
      <c r="E911" s="11">
        <f t="shared" si="71"/>
        <v>18</v>
      </c>
      <c r="F911" s="12">
        <f t="shared" si="72"/>
        <v>16.666666666666664</v>
      </c>
      <c r="G911" s="12" t="str">
        <f t="shared" si="73"/>
        <v>OK</v>
      </c>
      <c r="H911" s="13">
        <f t="shared" si="74"/>
        <v>6</v>
      </c>
      <c r="I911" s="14">
        <f t="shared" si="70"/>
        <v>1815.2599999999998</v>
      </c>
      <c r="K911" t="str">
        <f>[1]!revcom(C911)</f>
        <v>ATTCAT</v>
      </c>
      <c r="L911">
        <v>5</v>
      </c>
    </row>
    <row r="912" spans="1:12" ht="15.6" x14ac:dyDescent="0.3">
      <c r="A912" s="9">
        <v>901</v>
      </c>
      <c r="B912" s="1"/>
      <c r="C912" s="2" t="s">
        <v>907</v>
      </c>
      <c r="D912" s="1"/>
      <c r="E912" s="11">
        <f t="shared" si="71"/>
        <v>24</v>
      </c>
      <c r="F912" s="12">
        <f t="shared" si="72"/>
        <v>33.333333333333329</v>
      </c>
      <c r="G912" s="12" t="str">
        <f t="shared" si="73"/>
        <v>OK</v>
      </c>
      <c r="H912" s="13">
        <f t="shared" si="74"/>
        <v>6</v>
      </c>
      <c r="I912" s="14">
        <f t="shared" si="70"/>
        <v>1800.25</v>
      </c>
      <c r="K912" t="str">
        <f>[1]!revcom(C912)</f>
        <v>TGTCAT</v>
      </c>
      <c r="L912">
        <v>6</v>
      </c>
    </row>
    <row r="913" spans="1:12" ht="15.6" x14ac:dyDescent="0.3">
      <c r="A913" s="9">
        <v>902</v>
      </c>
      <c r="B913" s="1"/>
      <c r="C913" s="2" t="s">
        <v>908</v>
      </c>
      <c r="D913" s="1"/>
      <c r="E913" s="11">
        <f t="shared" si="71"/>
        <v>22</v>
      </c>
      <c r="F913" s="12">
        <f t="shared" si="72"/>
        <v>50</v>
      </c>
      <c r="G913" s="12" t="str">
        <f t="shared" si="73"/>
        <v>Warning</v>
      </c>
      <c r="H913" s="13">
        <f t="shared" si="74"/>
        <v>6</v>
      </c>
      <c r="I913" s="14">
        <f t="shared" si="70"/>
        <v>1776.2199999999998</v>
      </c>
      <c r="K913" t="str">
        <f>[1]!revcom(C913)</f>
        <v>GGTCAT</v>
      </c>
      <c r="L913">
        <v>6</v>
      </c>
    </row>
    <row r="914" spans="1:12" ht="15.6" x14ac:dyDescent="0.3">
      <c r="A914" s="9">
        <v>903</v>
      </c>
      <c r="B914" s="1"/>
      <c r="C914" s="2" t="s">
        <v>909</v>
      </c>
      <c r="D914" s="1"/>
      <c r="E914" s="11">
        <f t="shared" si="71"/>
        <v>22</v>
      </c>
      <c r="F914" s="12">
        <f t="shared" si="72"/>
        <v>50</v>
      </c>
      <c r="G914" s="12" t="str">
        <f t="shared" si="73"/>
        <v>Warning</v>
      </c>
      <c r="H914" s="13">
        <f t="shared" si="74"/>
        <v>6</v>
      </c>
      <c r="I914" s="14">
        <f t="shared" si="70"/>
        <v>1816.25</v>
      </c>
      <c r="K914" t="str">
        <f>[1]!revcom(C914)</f>
        <v>CGTCAT</v>
      </c>
      <c r="L914">
        <v>6</v>
      </c>
    </row>
    <row r="915" spans="1:12" ht="15.6" x14ac:dyDescent="0.3">
      <c r="A915" s="9">
        <v>904</v>
      </c>
      <c r="B915" s="1"/>
      <c r="C915" s="2" t="s">
        <v>910</v>
      </c>
      <c r="D915" s="1"/>
      <c r="E915" s="11">
        <f t="shared" si="71"/>
        <v>16</v>
      </c>
      <c r="F915" s="12">
        <f t="shared" si="72"/>
        <v>33.333333333333329</v>
      </c>
      <c r="G915" s="12" t="str">
        <f t="shared" si="73"/>
        <v>OK</v>
      </c>
      <c r="H915" s="13">
        <f t="shared" si="74"/>
        <v>6</v>
      </c>
      <c r="I915" s="14">
        <f t="shared" si="70"/>
        <v>1791.23</v>
      </c>
      <c r="K915" t="str">
        <f>[1]!revcom(C915)</f>
        <v>AGTCAT</v>
      </c>
      <c r="L915">
        <v>5</v>
      </c>
    </row>
    <row r="916" spans="1:12" ht="15.6" x14ac:dyDescent="0.3">
      <c r="A916" s="9">
        <v>905</v>
      </c>
      <c r="B916" s="1"/>
      <c r="C916" s="2" t="s">
        <v>911</v>
      </c>
      <c r="D916" s="1"/>
      <c r="E916" s="11">
        <f t="shared" si="71"/>
        <v>24</v>
      </c>
      <c r="F916" s="12">
        <f t="shared" si="72"/>
        <v>33.333333333333329</v>
      </c>
      <c r="G916" s="12" t="str">
        <f t="shared" si="73"/>
        <v>OK</v>
      </c>
      <c r="H916" s="13">
        <f t="shared" si="74"/>
        <v>6</v>
      </c>
      <c r="I916" s="14">
        <f t="shared" si="70"/>
        <v>1840.2800000000002</v>
      </c>
      <c r="K916" t="str">
        <f>[1]!revcom(C916)</f>
        <v>TCTCAT</v>
      </c>
      <c r="L916">
        <v>6</v>
      </c>
    </row>
    <row r="917" spans="1:12" ht="15.6" x14ac:dyDescent="0.3">
      <c r="A917" s="9">
        <v>906</v>
      </c>
      <c r="B917" s="1"/>
      <c r="C917" s="2" t="s">
        <v>912</v>
      </c>
      <c r="D917" s="1"/>
      <c r="E917" s="11">
        <f t="shared" si="71"/>
        <v>22</v>
      </c>
      <c r="F917" s="12">
        <f t="shared" si="72"/>
        <v>50</v>
      </c>
      <c r="G917" s="12" t="str">
        <f t="shared" si="73"/>
        <v>Warning</v>
      </c>
      <c r="H917" s="13">
        <f t="shared" si="74"/>
        <v>6</v>
      </c>
      <c r="I917" s="14">
        <f t="shared" si="70"/>
        <v>1816.25</v>
      </c>
      <c r="K917" t="str">
        <f>[1]!revcom(C917)</f>
        <v>GCTCAT</v>
      </c>
      <c r="L917">
        <v>6</v>
      </c>
    </row>
    <row r="918" spans="1:12" ht="15.6" x14ac:dyDescent="0.3">
      <c r="A918" s="9">
        <v>907</v>
      </c>
      <c r="B918" s="1"/>
      <c r="C918" s="2" t="s">
        <v>913</v>
      </c>
      <c r="D918" s="1"/>
      <c r="E918" s="11">
        <f t="shared" si="71"/>
        <v>22</v>
      </c>
      <c r="F918" s="12">
        <f t="shared" si="72"/>
        <v>50</v>
      </c>
      <c r="G918" s="12" t="str">
        <f t="shared" si="73"/>
        <v>Warning</v>
      </c>
      <c r="H918" s="13">
        <f t="shared" si="74"/>
        <v>6</v>
      </c>
      <c r="I918" s="14">
        <f t="shared" si="70"/>
        <v>1856.2800000000002</v>
      </c>
      <c r="K918" t="str">
        <f>[1]!revcom(C918)</f>
        <v>CCTCAT</v>
      </c>
      <c r="L918">
        <v>6</v>
      </c>
    </row>
    <row r="919" spans="1:12" ht="15.6" x14ac:dyDescent="0.3">
      <c r="A919" s="9">
        <v>908</v>
      </c>
      <c r="B919" s="1"/>
      <c r="C919" s="2" t="s">
        <v>914</v>
      </c>
      <c r="D919" s="1"/>
      <c r="E919" s="11">
        <f t="shared" si="71"/>
        <v>16</v>
      </c>
      <c r="F919" s="12">
        <f t="shared" si="72"/>
        <v>33.333333333333329</v>
      </c>
      <c r="G919" s="12" t="str">
        <f t="shared" si="73"/>
        <v>OK</v>
      </c>
      <c r="H919" s="13">
        <f t="shared" si="74"/>
        <v>6</v>
      </c>
      <c r="I919" s="14">
        <f t="shared" si="70"/>
        <v>1831.2600000000002</v>
      </c>
      <c r="K919" t="str">
        <f>[1]!revcom(C919)</f>
        <v>ACTCAT</v>
      </c>
      <c r="L919">
        <v>5</v>
      </c>
    </row>
    <row r="920" spans="1:12" ht="15.6" x14ac:dyDescent="0.3">
      <c r="A920" s="9">
        <v>909</v>
      </c>
      <c r="B920" s="1"/>
      <c r="C920" s="2" t="s">
        <v>915</v>
      </c>
      <c r="D920" s="1"/>
      <c r="E920" s="11">
        <f t="shared" si="71"/>
        <v>18</v>
      </c>
      <c r="F920" s="12">
        <f t="shared" si="72"/>
        <v>16.666666666666664</v>
      </c>
      <c r="G920" s="12" t="str">
        <f t="shared" si="73"/>
        <v>OK</v>
      </c>
      <c r="H920" s="13">
        <f t="shared" si="74"/>
        <v>6</v>
      </c>
      <c r="I920" s="14">
        <f t="shared" si="70"/>
        <v>1815.2599999999998</v>
      </c>
      <c r="K920" t="str">
        <f>[1]!revcom(C920)</f>
        <v>TATCAT</v>
      </c>
      <c r="L920">
        <v>5</v>
      </c>
    </row>
    <row r="921" spans="1:12" ht="15.6" x14ac:dyDescent="0.3">
      <c r="A921" s="9">
        <v>910</v>
      </c>
      <c r="B921" s="1"/>
      <c r="C921" s="2" t="s">
        <v>916</v>
      </c>
      <c r="D921" s="1"/>
      <c r="E921" s="11">
        <f t="shared" si="71"/>
        <v>16</v>
      </c>
      <c r="F921" s="12">
        <f t="shared" si="72"/>
        <v>33.333333333333329</v>
      </c>
      <c r="G921" s="12" t="str">
        <f t="shared" si="73"/>
        <v>OK</v>
      </c>
      <c r="H921" s="13">
        <f t="shared" si="74"/>
        <v>6</v>
      </c>
      <c r="I921" s="14">
        <f t="shared" si="70"/>
        <v>1791.23</v>
      </c>
      <c r="K921" t="str">
        <f>[1]!revcom(C921)</f>
        <v>GATCAT</v>
      </c>
      <c r="L921">
        <v>5</v>
      </c>
    </row>
    <row r="922" spans="1:12" ht="15.6" x14ac:dyDescent="0.3">
      <c r="A922" s="9">
        <v>911</v>
      </c>
      <c r="B922" s="1"/>
      <c r="C922" s="2" t="s">
        <v>917</v>
      </c>
      <c r="D922" s="1"/>
      <c r="E922" s="11">
        <f t="shared" si="71"/>
        <v>16</v>
      </c>
      <c r="F922" s="12">
        <f t="shared" si="72"/>
        <v>33.333333333333329</v>
      </c>
      <c r="G922" s="12" t="str">
        <f t="shared" si="73"/>
        <v>OK</v>
      </c>
      <c r="H922" s="13">
        <f t="shared" si="74"/>
        <v>6</v>
      </c>
      <c r="I922" s="14">
        <f t="shared" si="70"/>
        <v>1831.2600000000002</v>
      </c>
      <c r="K922" t="str">
        <f>[1]!revcom(C922)</f>
        <v>CATCAT</v>
      </c>
      <c r="L922">
        <v>5</v>
      </c>
    </row>
    <row r="923" spans="1:12" ht="15.6" x14ac:dyDescent="0.3">
      <c r="A923" s="9">
        <v>912</v>
      </c>
      <c r="B923" s="1"/>
      <c r="C923" s="2" t="s">
        <v>918</v>
      </c>
      <c r="D923" s="1"/>
      <c r="E923" s="11">
        <f t="shared" si="71"/>
        <v>10</v>
      </c>
      <c r="F923" s="12">
        <f t="shared" si="72"/>
        <v>16.666666666666664</v>
      </c>
      <c r="G923" s="12" t="str">
        <f t="shared" si="73"/>
        <v>OK</v>
      </c>
      <c r="H923" s="13">
        <f t="shared" si="74"/>
        <v>6</v>
      </c>
      <c r="I923" s="14">
        <f t="shared" si="70"/>
        <v>1806.2399999999998</v>
      </c>
      <c r="K923" t="str">
        <f>[1]!revcom(C923)</f>
        <v>AATCAT</v>
      </c>
      <c r="L923">
        <v>4</v>
      </c>
    </row>
    <row r="924" spans="1:12" ht="15.6" x14ac:dyDescent="0.3">
      <c r="A924" s="9">
        <v>913</v>
      </c>
      <c r="B924" s="1"/>
      <c r="C924" s="2" t="s">
        <v>919</v>
      </c>
      <c r="D924" s="1"/>
      <c r="E924" s="11">
        <f t="shared" si="71"/>
        <v>24</v>
      </c>
      <c r="F924" s="12">
        <f t="shared" si="72"/>
        <v>33.333333333333329</v>
      </c>
      <c r="G924" s="12" t="str">
        <f t="shared" si="73"/>
        <v>OK</v>
      </c>
      <c r="H924" s="13">
        <f t="shared" si="74"/>
        <v>6</v>
      </c>
      <c r="I924" s="14">
        <f t="shared" si="70"/>
        <v>1800.25</v>
      </c>
      <c r="K924" t="str">
        <f>[1]!revcom(C924)</f>
        <v>TTGCAT</v>
      </c>
      <c r="L924">
        <v>6</v>
      </c>
    </row>
    <row r="925" spans="1:12" ht="15.6" x14ac:dyDescent="0.3">
      <c r="A925" s="9">
        <v>914</v>
      </c>
      <c r="B925" s="1"/>
      <c r="C925" s="2" t="s">
        <v>920</v>
      </c>
      <c r="D925" s="1"/>
      <c r="E925" s="11">
        <f t="shared" si="71"/>
        <v>22</v>
      </c>
      <c r="F925" s="12">
        <f t="shared" si="72"/>
        <v>50</v>
      </c>
      <c r="G925" s="12" t="str">
        <f t="shared" si="73"/>
        <v>Warning</v>
      </c>
      <c r="H925" s="13">
        <f t="shared" si="74"/>
        <v>6</v>
      </c>
      <c r="I925" s="14">
        <f t="shared" si="70"/>
        <v>1776.2199999999998</v>
      </c>
      <c r="K925" t="str">
        <f>[1]!revcom(C925)</f>
        <v>GTGCAT</v>
      </c>
      <c r="L925">
        <v>6</v>
      </c>
    </row>
    <row r="926" spans="1:12" ht="15.6" x14ac:dyDescent="0.3">
      <c r="A926" s="9">
        <v>915</v>
      </c>
      <c r="B926" s="1"/>
      <c r="C926" s="2" t="s">
        <v>921</v>
      </c>
      <c r="D926" s="1"/>
      <c r="E926" s="11">
        <f t="shared" si="71"/>
        <v>22</v>
      </c>
      <c r="F926" s="12">
        <f t="shared" si="72"/>
        <v>50</v>
      </c>
      <c r="G926" s="12" t="str">
        <f t="shared" si="73"/>
        <v>Warning</v>
      </c>
      <c r="H926" s="13">
        <f t="shared" si="74"/>
        <v>6</v>
      </c>
      <c r="I926" s="14">
        <f t="shared" si="70"/>
        <v>1816.25</v>
      </c>
      <c r="K926" t="str">
        <f>[1]!revcom(C926)</f>
        <v>CTGCAT</v>
      </c>
      <c r="L926">
        <v>6</v>
      </c>
    </row>
    <row r="927" spans="1:12" ht="15.6" x14ac:dyDescent="0.3">
      <c r="A927" s="9">
        <v>916</v>
      </c>
      <c r="B927" s="1"/>
      <c r="C927" s="2" t="s">
        <v>922</v>
      </c>
      <c r="D927" s="1"/>
      <c r="E927" s="11">
        <f t="shared" si="71"/>
        <v>16</v>
      </c>
      <c r="F927" s="12">
        <f t="shared" si="72"/>
        <v>33.333333333333329</v>
      </c>
      <c r="G927" s="12" t="str">
        <f t="shared" si="73"/>
        <v>OK</v>
      </c>
      <c r="H927" s="13">
        <f t="shared" si="74"/>
        <v>6</v>
      </c>
      <c r="I927" s="14">
        <f t="shared" si="70"/>
        <v>1791.23</v>
      </c>
      <c r="K927" t="str">
        <f>[1]!revcom(C927)</f>
        <v>ATGCAT</v>
      </c>
      <c r="L927">
        <v>5</v>
      </c>
    </row>
    <row r="928" spans="1:12" ht="15.6" x14ac:dyDescent="0.3">
      <c r="A928" s="9">
        <v>917</v>
      </c>
      <c r="B928" s="1"/>
      <c r="C928" s="2" t="s">
        <v>923</v>
      </c>
      <c r="D928" s="1"/>
      <c r="E928" s="11">
        <f t="shared" si="71"/>
        <v>22</v>
      </c>
      <c r="F928" s="12">
        <f t="shared" si="72"/>
        <v>50</v>
      </c>
      <c r="G928" s="12" t="str">
        <f t="shared" si="73"/>
        <v>Warning</v>
      </c>
      <c r="H928" s="13">
        <f t="shared" si="74"/>
        <v>6</v>
      </c>
      <c r="I928" s="14">
        <f t="shared" si="70"/>
        <v>1776.2199999999998</v>
      </c>
      <c r="K928" t="str">
        <f>[1]!revcom(C928)</f>
        <v>TGGCAT</v>
      </c>
      <c r="L928">
        <v>6</v>
      </c>
    </row>
    <row r="929" spans="1:12" ht="15.6" x14ac:dyDescent="0.3">
      <c r="A929" s="9">
        <v>918</v>
      </c>
      <c r="B929" s="1"/>
      <c r="C929" s="2" t="s">
        <v>924</v>
      </c>
      <c r="D929" s="1"/>
      <c r="E929" s="11">
        <f t="shared" si="71"/>
        <v>20</v>
      </c>
      <c r="F929" s="12">
        <f t="shared" si="72"/>
        <v>66.666666666666657</v>
      </c>
      <c r="G929" s="12" t="str">
        <f t="shared" si="73"/>
        <v>Warning</v>
      </c>
      <c r="H929" s="13">
        <f t="shared" si="74"/>
        <v>6</v>
      </c>
      <c r="I929" s="14">
        <f t="shared" si="70"/>
        <v>1752.19</v>
      </c>
      <c r="K929" t="str">
        <f>[1]!revcom(C929)</f>
        <v>GGGCAT</v>
      </c>
      <c r="L929">
        <v>6</v>
      </c>
    </row>
    <row r="930" spans="1:12" ht="15.6" x14ac:dyDescent="0.3">
      <c r="A930" s="9">
        <v>919</v>
      </c>
      <c r="B930" s="1"/>
      <c r="C930" s="2" t="s">
        <v>925</v>
      </c>
      <c r="D930" s="1"/>
      <c r="E930" s="11">
        <f t="shared" si="71"/>
        <v>20</v>
      </c>
      <c r="F930" s="12">
        <f t="shared" si="72"/>
        <v>66.666666666666657</v>
      </c>
      <c r="G930" s="12" t="str">
        <f t="shared" si="73"/>
        <v>Warning</v>
      </c>
      <c r="H930" s="13">
        <f t="shared" si="74"/>
        <v>6</v>
      </c>
      <c r="I930" s="14">
        <f t="shared" si="70"/>
        <v>1792.2199999999998</v>
      </c>
      <c r="K930" t="str">
        <f>[1]!revcom(C930)</f>
        <v>CGGCAT</v>
      </c>
      <c r="L930">
        <v>6</v>
      </c>
    </row>
    <row r="931" spans="1:12" ht="15.6" x14ac:dyDescent="0.3">
      <c r="A931" s="9">
        <v>920</v>
      </c>
      <c r="B931" s="1"/>
      <c r="C931" s="2" t="s">
        <v>926</v>
      </c>
      <c r="D931" s="1"/>
      <c r="E931" s="11">
        <f t="shared" si="71"/>
        <v>14</v>
      </c>
      <c r="F931" s="12">
        <f t="shared" si="72"/>
        <v>50</v>
      </c>
      <c r="G931" s="12" t="str">
        <f t="shared" si="73"/>
        <v>Warning</v>
      </c>
      <c r="H931" s="13">
        <f t="shared" si="74"/>
        <v>6</v>
      </c>
      <c r="I931" s="14">
        <f t="shared" si="70"/>
        <v>1767.1999999999998</v>
      </c>
      <c r="K931" t="str">
        <f>[1]!revcom(C931)</f>
        <v>AGGCAT</v>
      </c>
      <c r="L931">
        <v>5</v>
      </c>
    </row>
    <row r="932" spans="1:12" ht="15.6" x14ac:dyDescent="0.3">
      <c r="A932" s="9">
        <v>921</v>
      </c>
      <c r="B932" s="1"/>
      <c r="C932" s="2" t="s">
        <v>927</v>
      </c>
      <c r="D932" s="1"/>
      <c r="E932" s="11">
        <f t="shared" si="71"/>
        <v>22</v>
      </c>
      <c r="F932" s="12">
        <f t="shared" si="72"/>
        <v>50</v>
      </c>
      <c r="G932" s="12" t="str">
        <f t="shared" si="73"/>
        <v>Warning</v>
      </c>
      <c r="H932" s="13">
        <f t="shared" si="74"/>
        <v>6</v>
      </c>
      <c r="I932" s="14">
        <f t="shared" si="70"/>
        <v>1816.25</v>
      </c>
      <c r="K932" t="str">
        <f>[1]!revcom(C932)</f>
        <v>TCGCAT</v>
      </c>
      <c r="L932">
        <v>6</v>
      </c>
    </row>
    <row r="933" spans="1:12" ht="15.6" x14ac:dyDescent="0.3">
      <c r="A933" s="9">
        <v>922</v>
      </c>
      <c r="B933" s="1"/>
      <c r="C933" s="2" t="s">
        <v>928</v>
      </c>
      <c r="D933" s="1"/>
      <c r="E933" s="11">
        <f t="shared" si="71"/>
        <v>20</v>
      </c>
      <c r="F933" s="12">
        <f t="shared" si="72"/>
        <v>66.666666666666657</v>
      </c>
      <c r="G933" s="12" t="str">
        <f t="shared" si="73"/>
        <v>Warning</v>
      </c>
      <c r="H933" s="13">
        <f t="shared" si="74"/>
        <v>6</v>
      </c>
      <c r="I933" s="14">
        <f t="shared" si="70"/>
        <v>1792.2199999999998</v>
      </c>
      <c r="K933" t="str">
        <f>[1]!revcom(C933)</f>
        <v>GCGCAT</v>
      </c>
      <c r="L933">
        <v>6</v>
      </c>
    </row>
    <row r="934" spans="1:12" ht="15.6" x14ac:dyDescent="0.3">
      <c r="A934" s="9">
        <v>923</v>
      </c>
      <c r="B934" s="1"/>
      <c r="C934" s="2" t="s">
        <v>929</v>
      </c>
      <c r="D934" s="1"/>
      <c r="E934" s="11">
        <f t="shared" si="71"/>
        <v>20</v>
      </c>
      <c r="F934" s="12">
        <f t="shared" si="72"/>
        <v>66.666666666666657</v>
      </c>
      <c r="G934" s="12" t="str">
        <f t="shared" si="73"/>
        <v>Warning</v>
      </c>
      <c r="H934" s="13">
        <f t="shared" si="74"/>
        <v>6</v>
      </c>
      <c r="I934" s="14">
        <f t="shared" si="70"/>
        <v>1832.25</v>
      </c>
      <c r="K934" t="str">
        <f>[1]!revcom(C934)</f>
        <v>CCGCAT</v>
      </c>
      <c r="L934">
        <v>6</v>
      </c>
    </row>
    <row r="935" spans="1:12" ht="15.6" x14ac:dyDescent="0.3">
      <c r="A935" s="9">
        <v>924</v>
      </c>
      <c r="B935" s="1"/>
      <c r="C935" s="2" t="s">
        <v>930</v>
      </c>
      <c r="D935" s="1"/>
      <c r="E935" s="11">
        <f t="shared" si="71"/>
        <v>14</v>
      </c>
      <c r="F935" s="12">
        <f t="shared" si="72"/>
        <v>50</v>
      </c>
      <c r="G935" s="12" t="str">
        <f t="shared" si="73"/>
        <v>Warning</v>
      </c>
      <c r="H935" s="13">
        <f t="shared" si="74"/>
        <v>6</v>
      </c>
      <c r="I935" s="14">
        <f t="shared" si="70"/>
        <v>1807.23</v>
      </c>
      <c r="K935" t="str">
        <f>[1]!revcom(C935)</f>
        <v>ACGCAT</v>
      </c>
      <c r="L935">
        <v>5</v>
      </c>
    </row>
    <row r="936" spans="1:12" ht="15.6" x14ac:dyDescent="0.3">
      <c r="A936" s="9">
        <v>925</v>
      </c>
      <c r="B936" s="1"/>
      <c r="C936" s="2" t="s">
        <v>931</v>
      </c>
      <c r="D936" s="1"/>
      <c r="E936" s="11">
        <f t="shared" si="71"/>
        <v>16</v>
      </c>
      <c r="F936" s="12">
        <f t="shared" si="72"/>
        <v>33.333333333333329</v>
      </c>
      <c r="G936" s="12" t="str">
        <f t="shared" si="73"/>
        <v>OK</v>
      </c>
      <c r="H936" s="13">
        <f t="shared" si="74"/>
        <v>6</v>
      </c>
      <c r="I936" s="14">
        <f t="shared" si="70"/>
        <v>1791.23</v>
      </c>
      <c r="K936" t="str">
        <f>[1]!revcom(C936)</f>
        <v>TAGCAT</v>
      </c>
      <c r="L936">
        <v>5</v>
      </c>
    </row>
    <row r="937" spans="1:12" ht="15.6" x14ac:dyDescent="0.3">
      <c r="A937" s="9">
        <v>926</v>
      </c>
      <c r="B937" s="1"/>
      <c r="C937" s="2" t="s">
        <v>932</v>
      </c>
      <c r="D937" s="1"/>
      <c r="E937" s="11">
        <f t="shared" si="71"/>
        <v>14</v>
      </c>
      <c r="F937" s="12">
        <f t="shared" si="72"/>
        <v>50</v>
      </c>
      <c r="G937" s="12" t="str">
        <f t="shared" si="73"/>
        <v>Warning</v>
      </c>
      <c r="H937" s="13">
        <f t="shared" si="74"/>
        <v>6</v>
      </c>
      <c r="I937" s="14">
        <f t="shared" si="70"/>
        <v>1767.1999999999998</v>
      </c>
      <c r="K937" t="str">
        <f>[1]!revcom(C937)</f>
        <v>GAGCAT</v>
      </c>
      <c r="L937">
        <v>5</v>
      </c>
    </row>
    <row r="938" spans="1:12" ht="15.6" x14ac:dyDescent="0.3">
      <c r="A938" s="9">
        <v>927</v>
      </c>
      <c r="B938" s="1"/>
      <c r="C938" s="2" t="s">
        <v>933</v>
      </c>
      <c r="D938" s="1"/>
      <c r="E938" s="11">
        <f t="shared" si="71"/>
        <v>14</v>
      </c>
      <c r="F938" s="12">
        <f t="shared" si="72"/>
        <v>50</v>
      </c>
      <c r="G938" s="12" t="str">
        <f t="shared" si="73"/>
        <v>Warning</v>
      </c>
      <c r="H938" s="13">
        <f t="shared" si="74"/>
        <v>6</v>
      </c>
      <c r="I938" s="14">
        <f t="shared" si="70"/>
        <v>1807.23</v>
      </c>
      <c r="K938" t="str">
        <f>[1]!revcom(C938)</f>
        <v>CAGCAT</v>
      </c>
      <c r="L938">
        <v>5</v>
      </c>
    </row>
    <row r="939" spans="1:12" ht="15.6" x14ac:dyDescent="0.3">
      <c r="A939" s="9">
        <v>928</v>
      </c>
      <c r="B939" s="1"/>
      <c r="C939" s="2" t="s">
        <v>934</v>
      </c>
      <c r="D939" s="1"/>
      <c r="E939" s="11">
        <f t="shared" si="71"/>
        <v>8</v>
      </c>
      <c r="F939" s="12">
        <f t="shared" si="72"/>
        <v>33.333333333333329</v>
      </c>
      <c r="G939" s="12" t="str">
        <f t="shared" si="73"/>
        <v>OK</v>
      </c>
      <c r="H939" s="13">
        <f t="shared" si="74"/>
        <v>6</v>
      </c>
      <c r="I939" s="14">
        <f t="shared" si="70"/>
        <v>1782.21</v>
      </c>
      <c r="K939" t="str">
        <f>[1]!revcom(C939)</f>
        <v>AAGCAT</v>
      </c>
      <c r="L939">
        <v>4</v>
      </c>
    </row>
    <row r="940" spans="1:12" ht="15.6" x14ac:dyDescent="0.3">
      <c r="A940" s="9">
        <v>929</v>
      </c>
      <c r="B940" s="1"/>
      <c r="C940" s="2" t="s">
        <v>935</v>
      </c>
      <c r="D940" s="1"/>
      <c r="E940" s="11">
        <f t="shared" si="71"/>
        <v>24</v>
      </c>
      <c r="F940" s="12">
        <f t="shared" si="72"/>
        <v>33.333333333333329</v>
      </c>
      <c r="G940" s="12" t="str">
        <f t="shared" si="73"/>
        <v>OK</v>
      </c>
      <c r="H940" s="13">
        <f t="shared" si="74"/>
        <v>6</v>
      </c>
      <c r="I940" s="14">
        <f t="shared" si="70"/>
        <v>1840.2800000000002</v>
      </c>
      <c r="K940" t="str">
        <f>[1]!revcom(C940)</f>
        <v>TTCCAT</v>
      </c>
      <c r="L940">
        <v>6</v>
      </c>
    </row>
    <row r="941" spans="1:12" ht="15.6" x14ac:dyDescent="0.3">
      <c r="A941" s="9">
        <v>930</v>
      </c>
      <c r="B941" s="1"/>
      <c r="C941" s="2" t="s">
        <v>936</v>
      </c>
      <c r="D941" s="1"/>
      <c r="E941" s="11">
        <f t="shared" si="71"/>
        <v>22</v>
      </c>
      <c r="F941" s="12">
        <f t="shared" si="72"/>
        <v>50</v>
      </c>
      <c r="G941" s="12" t="str">
        <f t="shared" si="73"/>
        <v>Warning</v>
      </c>
      <c r="H941" s="13">
        <f t="shared" si="74"/>
        <v>6</v>
      </c>
      <c r="I941" s="14">
        <f t="shared" si="70"/>
        <v>1816.25</v>
      </c>
      <c r="K941" t="str">
        <f>[1]!revcom(C941)</f>
        <v>GTCCAT</v>
      </c>
      <c r="L941">
        <v>6</v>
      </c>
    </row>
    <row r="942" spans="1:12" ht="15.6" x14ac:dyDescent="0.3">
      <c r="A942" s="9">
        <v>931</v>
      </c>
      <c r="B942" s="1"/>
      <c r="C942" s="2" t="s">
        <v>937</v>
      </c>
      <c r="D942" s="1"/>
      <c r="E942" s="11">
        <f t="shared" si="71"/>
        <v>22</v>
      </c>
      <c r="F942" s="12">
        <f t="shared" si="72"/>
        <v>50</v>
      </c>
      <c r="G942" s="12" t="str">
        <f t="shared" si="73"/>
        <v>Warning</v>
      </c>
      <c r="H942" s="13">
        <f t="shared" si="74"/>
        <v>6</v>
      </c>
      <c r="I942" s="14">
        <f t="shared" si="70"/>
        <v>1856.2800000000002</v>
      </c>
      <c r="K942" t="str">
        <f>[1]!revcom(C942)</f>
        <v>CTCCAT</v>
      </c>
      <c r="L942">
        <v>6</v>
      </c>
    </row>
    <row r="943" spans="1:12" ht="15.6" x14ac:dyDescent="0.3">
      <c r="A943" s="9">
        <v>932</v>
      </c>
      <c r="B943" s="1"/>
      <c r="C943" s="2" t="s">
        <v>938</v>
      </c>
      <c r="D943" s="1"/>
      <c r="E943" s="11">
        <f t="shared" si="71"/>
        <v>16</v>
      </c>
      <c r="F943" s="12">
        <f t="shared" si="72"/>
        <v>33.333333333333329</v>
      </c>
      <c r="G943" s="12" t="str">
        <f t="shared" si="73"/>
        <v>OK</v>
      </c>
      <c r="H943" s="13">
        <f t="shared" si="74"/>
        <v>6</v>
      </c>
      <c r="I943" s="14">
        <f t="shared" si="70"/>
        <v>1831.2600000000002</v>
      </c>
      <c r="K943" t="str">
        <f>[1]!revcom(C943)</f>
        <v>ATCCAT</v>
      </c>
      <c r="L943">
        <v>5</v>
      </c>
    </row>
    <row r="944" spans="1:12" ht="15.6" x14ac:dyDescent="0.3">
      <c r="A944" s="9">
        <v>933</v>
      </c>
      <c r="B944" s="1"/>
      <c r="C944" s="2" t="s">
        <v>939</v>
      </c>
      <c r="D944" s="1"/>
      <c r="E944" s="11">
        <f t="shared" si="71"/>
        <v>22</v>
      </c>
      <c r="F944" s="12">
        <f t="shared" si="72"/>
        <v>50</v>
      </c>
      <c r="G944" s="12" t="str">
        <f t="shared" si="73"/>
        <v>Warning</v>
      </c>
      <c r="H944" s="13">
        <f t="shared" si="74"/>
        <v>6</v>
      </c>
      <c r="I944" s="14">
        <f t="shared" si="70"/>
        <v>1816.25</v>
      </c>
      <c r="K944" t="str">
        <f>[1]!revcom(C944)</f>
        <v>TGCCAT</v>
      </c>
      <c r="L944">
        <v>6</v>
      </c>
    </row>
    <row r="945" spans="1:12" ht="15.6" x14ac:dyDescent="0.3">
      <c r="A945" s="9">
        <v>934</v>
      </c>
      <c r="B945" s="1"/>
      <c r="C945" s="2" t="s">
        <v>940</v>
      </c>
      <c r="D945" s="1"/>
      <c r="E945" s="11">
        <f t="shared" si="71"/>
        <v>20</v>
      </c>
      <c r="F945" s="12">
        <f t="shared" si="72"/>
        <v>66.666666666666657</v>
      </c>
      <c r="G945" s="12" t="str">
        <f t="shared" si="73"/>
        <v>Warning</v>
      </c>
      <c r="H945" s="13">
        <f t="shared" si="74"/>
        <v>6</v>
      </c>
      <c r="I945" s="14">
        <f t="shared" si="70"/>
        <v>1792.2199999999998</v>
      </c>
      <c r="K945" t="str">
        <f>[1]!revcom(C945)</f>
        <v>GGCCAT</v>
      </c>
      <c r="L945">
        <v>6</v>
      </c>
    </row>
    <row r="946" spans="1:12" ht="15.6" x14ac:dyDescent="0.3">
      <c r="A946" s="9">
        <v>935</v>
      </c>
      <c r="B946" s="1"/>
      <c r="C946" s="2" t="s">
        <v>941</v>
      </c>
      <c r="D946" s="1"/>
      <c r="E946" s="11">
        <f t="shared" si="71"/>
        <v>20</v>
      </c>
      <c r="F946" s="12">
        <f t="shared" si="72"/>
        <v>66.666666666666657</v>
      </c>
      <c r="G946" s="12" t="str">
        <f t="shared" si="73"/>
        <v>Warning</v>
      </c>
      <c r="H946" s="13">
        <f t="shared" si="74"/>
        <v>6</v>
      </c>
      <c r="I946" s="14">
        <f t="shared" si="70"/>
        <v>1832.25</v>
      </c>
      <c r="K946" t="str">
        <f>[1]!revcom(C946)</f>
        <v>CGCCAT</v>
      </c>
      <c r="L946">
        <v>6</v>
      </c>
    </row>
    <row r="947" spans="1:12" ht="15.6" x14ac:dyDescent="0.3">
      <c r="A947" s="9">
        <v>936</v>
      </c>
      <c r="B947" s="1"/>
      <c r="C947" s="2" t="s">
        <v>942</v>
      </c>
      <c r="D947" s="1"/>
      <c r="E947" s="11">
        <f t="shared" si="71"/>
        <v>14</v>
      </c>
      <c r="F947" s="12">
        <f t="shared" si="72"/>
        <v>50</v>
      </c>
      <c r="G947" s="12" t="str">
        <f t="shared" si="73"/>
        <v>Warning</v>
      </c>
      <c r="H947" s="13">
        <f t="shared" si="74"/>
        <v>6</v>
      </c>
      <c r="I947" s="14">
        <f t="shared" si="70"/>
        <v>1807.23</v>
      </c>
      <c r="K947" t="str">
        <f>[1]!revcom(C947)</f>
        <v>AGCCAT</v>
      </c>
      <c r="L947">
        <v>5</v>
      </c>
    </row>
    <row r="948" spans="1:12" ht="15.6" x14ac:dyDescent="0.3">
      <c r="A948" s="9">
        <v>937</v>
      </c>
      <c r="B948" s="1"/>
      <c r="C948" s="2" t="s">
        <v>943</v>
      </c>
      <c r="D948" s="1"/>
      <c r="E948" s="11">
        <f t="shared" si="71"/>
        <v>22</v>
      </c>
      <c r="F948" s="12">
        <f t="shared" si="72"/>
        <v>50</v>
      </c>
      <c r="G948" s="12" t="str">
        <f t="shared" si="73"/>
        <v>Warning</v>
      </c>
      <c r="H948" s="13">
        <f t="shared" si="74"/>
        <v>6</v>
      </c>
      <c r="I948" s="14">
        <f t="shared" si="70"/>
        <v>1856.2800000000002</v>
      </c>
      <c r="K948" t="str">
        <f>[1]!revcom(C948)</f>
        <v>TCCCAT</v>
      </c>
      <c r="L948">
        <v>6</v>
      </c>
    </row>
    <row r="949" spans="1:12" ht="15.6" x14ac:dyDescent="0.3">
      <c r="A949" s="9">
        <v>938</v>
      </c>
      <c r="B949" s="1"/>
      <c r="C949" s="2" t="s">
        <v>944</v>
      </c>
      <c r="D949" s="1"/>
      <c r="E949" s="11">
        <f t="shared" si="71"/>
        <v>20</v>
      </c>
      <c r="F949" s="12">
        <f t="shared" si="72"/>
        <v>66.666666666666657</v>
      </c>
      <c r="G949" s="12" t="str">
        <f t="shared" si="73"/>
        <v>Warning</v>
      </c>
      <c r="H949" s="13">
        <f t="shared" si="74"/>
        <v>6</v>
      </c>
      <c r="I949" s="14">
        <f t="shared" si="70"/>
        <v>1832.25</v>
      </c>
      <c r="K949" t="str">
        <f>[1]!revcom(C949)</f>
        <v>GCCCAT</v>
      </c>
      <c r="L949">
        <v>6</v>
      </c>
    </row>
    <row r="950" spans="1:12" ht="15.6" x14ac:dyDescent="0.3">
      <c r="A950" s="9">
        <v>939</v>
      </c>
      <c r="B950" s="1"/>
      <c r="C950" s="2" t="s">
        <v>945</v>
      </c>
      <c r="D950" s="1"/>
      <c r="E950" s="11">
        <f t="shared" si="71"/>
        <v>20</v>
      </c>
      <c r="F950" s="12">
        <f t="shared" si="72"/>
        <v>66.666666666666657</v>
      </c>
      <c r="G950" s="12" t="str">
        <f t="shared" si="73"/>
        <v>Warning</v>
      </c>
      <c r="H950" s="13">
        <f t="shared" si="74"/>
        <v>6</v>
      </c>
      <c r="I950" s="14">
        <f t="shared" si="70"/>
        <v>1872.2800000000002</v>
      </c>
      <c r="K950" t="str">
        <f>[1]!revcom(C950)</f>
        <v>CCCCAT</v>
      </c>
      <c r="L950">
        <v>6</v>
      </c>
    </row>
    <row r="951" spans="1:12" ht="15.6" x14ac:dyDescent="0.3">
      <c r="A951" s="9">
        <v>940</v>
      </c>
      <c r="B951" s="1"/>
      <c r="C951" s="2" t="s">
        <v>946</v>
      </c>
      <c r="D951" s="1"/>
      <c r="E951" s="11">
        <f t="shared" si="71"/>
        <v>14</v>
      </c>
      <c r="F951" s="12">
        <f t="shared" si="72"/>
        <v>50</v>
      </c>
      <c r="G951" s="12" t="str">
        <f t="shared" si="73"/>
        <v>Warning</v>
      </c>
      <c r="H951" s="13">
        <f t="shared" si="74"/>
        <v>6</v>
      </c>
      <c r="I951" s="14">
        <f t="shared" si="70"/>
        <v>1847.2600000000002</v>
      </c>
      <c r="K951" t="str">
        <f>[1]!revcom(C951)</f>
        <v>ACCCAT</v>
      </c>
      <c r="L951">
        <v>5</v>
      </c>
    </row>
    <row r="952" spans="1:12" ht="15.6" x14ac:dyDescent="0.3">
      <c r="A952" s="9">
        <v>941</v>
      </c>
      <c r="B952" s="1"/>
      <c r="C952" s="2" t="s">
        <v>947</v>
      </c>
      <c r="D952" s="1"/>
      <c r="E952" s="11">
        <f t="shared" si="71"/>
        <v>16</v>
      </c>
      <c r="F952" s="12">
        <f t="shared" si="72"/>
        <v>33.333333333333329</v>
      </c>
      <c r="G952" s="12" t="str">
        <f t="shared" si="73"/>
        <v>OK</v>
      </c>
      <c r="H952" s="13">
        <f t="shared" si="74"/>
        <v>6</v>
      </c>
      <c r="I952" s="14">
        <f t="shared" si="70"/>
        <v>1831.2600000000002</v>
      </c>
      <c r="K952" t="str">
        <f>[1]!revcom(C952)</f>
        <v>TACCAT</v>
      </c>
      <c r="L952">
        <v>5</v>
      </c>
    </row>
    <row r="953" spans="1:12" ht="15.6" x14ac:dyDescent="0.3">
      <c r="A953" s="9">
        <v>942</v>
      </c>
      <c r="B953" s="1"/>
      <c r="C953" s="2" t="s">
        <v>948</v>
      </c>
      <c r="D953" s="1"/>
      <c r="E953" s="11">
        <f t="shared" si="71"/>
        <v>14</v>
      </c>
      <c r="F953" s="12">
        <f t="shared" si="72"/>
        <v>50</v>
      </c>
      <c r="G953" s="12" t="str">
        <f t="shared" si="73"/>
        <v>Warning</v>
      </c>
      <c r="H953" s="13">
        <f t="shared" si="74"/>
        <v>6</v>
      </c>
      <c r="I953" s="14">
        <f t="shared" si="70"/>
        <v>1807.23</v>
      </c>
      <c r="K953" t="str">
        <f>[1]!revcom(C953)</f>
        <v>GACCAT</v>
      </c>
      <c r="L953">
        <v>5</v>
      </c>
    </row>
    <row r="954" spans="1:12" ht="15.6" x14ac:dyDescent="0.3">
      <c r="A954" s="9">
        <v>943</v>
      </c>
      <c r="B954" s="1"/>
      <c r="C954" s="2" t="s">
        <v>949</v>
      </c>
      <c r="D954" s="1"/>
      <c r="E954" s="11">
        <f t="shared" si="71"/>
        <v>14</v>
      </c>
      <c r="F954" s="12">
        <f t="shared" si="72"/>
        <v>50</v>
      </c>
      <c r="G954" s="12" t="str">
        <f t="shared" si="73"/>
        <v>Warning</v>
      </c>
      <c r="H954" s="13">
        <f t="shared" si="74"/>
        <v>6</v>
      </c>
      <c r="I954" s="14">
        <f t="shared" si="70"/>
        <v>1847.2600000000002</v>
      </c>
      <c r="K954" t="str">
        <f>[1]!revcom(C954)</f>
        <v>CACCAT</v>
      </c>
      <c r="L954">
        <v>5</v>
      </c>
    </row>
    <row r="955" spans="1:12" ht="15.6" x14ac:dyDescent="0.3">
      <c r="A955" s="9">
        <v>944</v>
      </c>
      <c r="B955" s="1"/>
      <c r="C955" s="2" t="s">
        <v>950</v>
      </c>
      <c r="D955" s="1"/>
      <c r="E955" s="11">
        <f t="shared" si="71"/>
        <v>8</v>
      </c>
      <c r="F955" s="12">
        <f t="shared" si="72"/>
        <v>33.333333333333329</v>
      </c>
      <c r="G955" s="12" t="str">
        <f t="shared" si="73"/>
        <v>OK</v>
      </c>
      <c r="H955" s="13">
        <f t="shared" si="74"/>
        <v>6</v>
      </c>
      <c r="I955" s="14">
        <f t="shared" si="70"/>
        <v>1822.2400000000002</v>
      </c>
      <c r="K955" t="str">
        <f>[1]!revcom(C955)</f>
        <v>AACCAT</v>
      </c>
      <c r="L955">
        <v>4</v>
      </c>
    </row>
    <row r="956" spans="1:12" ht="15.6" x14ac:dyDescent="0.3">
      <c r="A956" s="9">
        <v>945</v>
      </c>
      <c r="B956" s="1"/>
      <c r="C956" s="2" t="s">
        <v>951</v>
      </c>
      <c r="D956" s="1"/>
      <c r="E956" s="11">
        <f t="shared" si="71"/>
        <v>18</v>
      </c>
      <c r="F956" s="12">
        <f t="shared" si="72"/>
        <v>16.666666666666664</v>
      </c>
      <c r="G956" s="12" t="str">
        <f t="shared" si="73"/>
        <v>OK</v>
      </c>
      <c r="H956" s="13">
        <f t="shared" si="74"/>
        <v>6</v>
      </c>
      <c r="I956" s="14">
        <f t="shared" si="70"/>
        <v>1815.2599999999998</v>
      </c>
      <c r="K956" t="str">
        <f>[1]!revcom(C956)</f>
        <v>TTACAT</v>
      </c>
      <c r="L956">
        <v>5</v>
      </c>
    </row>
    <row r="957" spans="1:12" ht="15.6" x14ac:dyDescent="0.3">
      <c r="A957" s="9">
        <v>946</v>
      </c>
      <c r="B957" s="1"/>
      <c r="C957" s="2" t="s">
        <v>952</v>
      </c>
      <c r="D957" s="1"/>
      <c r="E957" s="11">
        <f t="shared" si="71"/>
        <v>16</v>
      </c>
      <c r="F957" s="12">
        <f t="shared" si="72"/>
        <v>33.333333333333329</v>
      </c>
      <c r="G957" s="12" t="str">
        <f t="shared" si="73"/>
        <v>OK</v>
      </c>
      <c r="H957" s="13">
        <f t="shared" si="74"/>
        <v>6</v>
      </c>
      <c r="I957" s="14">
        <f t="shared" si="70"/>
        <v>1791.23</v>
      </c>
      <c r="K957" t="str">
        <f>[1]!revcom(C957)</f>
        <v>GTACAT</v>
      </c>
      <c r="L957">
        <v>5</v>
      </c>
    </row>
    <row r="958" spans="1:12" ht="15.6" x14ac:dyDescent="0.3">
      <c r="A958" s="9">
        <v>947</v>
      </c>
      <c r="B958" s="1"/>
      <c r="C958" s="2" t="s">
        <v>953</v>
      </c>
      <c r="D958" s="1"/>
      <c r="E958" s="11">
        <f t="shared" si="71"/>
        <v>16</v>
      </c>
      <c r="F958" s="12">
        <f t="shared" si="72"/>
        <v>33.333333333333329</v>
      </c>
      <c r="G958" s="12" t="str">
        <f t="shared" si="73"/>
        <v>OK</v>
      </c>
      <c r="H958" s="13">
        <f t="shared" si="74"/>
        <v>6</v>
      </c>
      <c r="I958" s="14">
        <f t="shared" si="70"/>
        <v>1831.2600000000002</v>
      </c>
      <c r="K958" t="str">
        <f>[1]!revcom(C958)</f>
        <v>CTACAT</v>
      </c>
      <c r="L958">
        <v>5</v>
      </c>
    </row>
    <row r="959" spans="1:12" ht="15.6" x14ac:dyDescent="0.3">
      <c r="A959" s="9">
        <v>948</v>
      </c>
      <c r="B959" s="1"/>
      <c r="C959" s="2" t="s">
        <v>954</v>
      </c>
      <c r="D959" s="1"/>
      <c r="E959" s="11">
        <f t="shared" si="71"/>
        <v>10</v>
      </c>
      <c r="F959" s="12">
        <f t="shared" si="72"/>
        <v>16.666666666666664</v>
      </c>
      <c r="G959" s="12" t="str">
        <f t="shared" si="73"/>
        <v>OK</v>
      </c>
      <c r="H959" s="13">
        <f t="shared" si="74"/>
        <v>6</v>
      </c>
      <c r="I959" s="14">
        <f t="shared" si="70"/>
        <v>1806.2399999999998</v>
      </c>
      <c r="K959" t="str">
        <f>[1]!revcom(C959)</f>
        <v>ATACAT</v>
      </c>
      <c r="L959">
        <v>4</v>
      </c>
    </row>
    <row r="960" spans="1:12" ht="15.6" x14ac:dyDescent="0.3">
      <c r="A960" s="9">
        <v>949</v>
      </c>
      <c r="B960" s="1"/>
      <c r="C960" s="2" t="s">
        <v>955</v>
      </c>
      <c r="D960" s="1"/>
      <c r="E960" s="11">
        <f t="shared" si="71"/>
        <v>16</v>
      </c>
      <c r="F960" s="12">
        <f t="shared" si="72"/>
        <v>33.333333333333329</v>
      </c>
      <c r="G960" s="12" t="str">
        <f t="shared" si="73"/>
        <v>OK</v>
      </c>
      <c r="H960" s="13">
        <f t="shared" si="74"/>
        <v>6</v>
      </c>
      <c r="I960" s="14">
        <f t="shared" si="70"/>
        <v>1791.23</v>
      </c>
      <c r="K960" t="str">
        <f>[1]!revcom(C960)</f>
        <v>TGACAT</v>
      </c>
      <c r="L960">
        <v>5</v>
      </c>
    </row>
    <row r="961" spans="1:12" ht="15.6" x14ac:dyDescent="0.3">
      <c r="A961" s="9">
        <v>950</v>
      </c>
      <c r="B961" s="1"/>
      <c r="C961" s="2" t="s">
        <v>956</v>
      </c>
      <c r="D961" s="1"/>
      <c r="E961" s="11">
        <f t="shared" si="71"/>
        <v>14</v>
      </c>
      <c r="F961" s="12">
        <f t="shared" si="72"/>
        <v>50</v>
      </c>
      <c r="G961" s="12" t="str">
        <f t="shared" si="73"/>
        <v>Warning</v>
      </c>
      <c r="H961" s="13">
        <f t="shared" si="74"/>
        <v>6</v>
      </c>
      <c r="I961" s="14">
        <f t="shared" si="70"/>
        <v>1767.1999999999998</v>
      </c>
      <c r="K961" t="str">
        <f>[1]!revcom(C961)</f>
        <v>GGACAT</v>
      </c>
      <c r="L961">
        <v>5</v>
      </c>
    </row>
    <row r="962" spans="1:12" ht="15.6" x14ac:dyDescent="0.3">
      <c r="A962" s="9">
        <v>951</v>
      </c>
      <c r="B962" s="1"/>
      <c r="C962" s="2" t="s">
        <v>957</v>
      </c>
      <c r="D962" s="1"/>
      <c r="E962" s="11">
        <f t="shared" si="71"/>
        <v>14</v>
      </c>
      <c r="F962" s="12">
        <f t="shared" si="72"/>
        <v>50</v>
      </c>
      <c r="G962" s="12" t="str">
        <f t="shared" si="73"/>
        <v>Warning</v>
      </c>
      <c r="H962" s="13">
        <f t="shared" si="74"/>
        <v>6</v>
      </c>
      <c r="I962" s="14">
        <f t="shared" si="70"/>
        <v>1807.23</v>
      </c>
      <c r="K962" t="str">
        <f>[1]!revcom(C962)</f>
        <v>CGACAT</v>
      </c>
      <c r="L962">
        <v>5</v>
      </c>
    </row>
    <row r="963" spans="1:12" ht="15.6" x14ac:dyDescent="0.3">
      <c r="A963" s="9">
        <v>952</v>
      </c>
      <c r="B963" s="1"/>
      <c r="C963" s="2" t="s">
        <v>958</v>
      </c>
      <c r="D963" s="1"/>
      <c r="E963" s="11">
        <f t="shared" si="71"/>
        <v>8</v>
      </c>
      <c r="F963" s="12">
        <f t="shared" si="72"/>
        <v>33.333333333333329</v>
      </c>
      <c r="G963" s="12" t="str">
        <f t="shared" si="73"/>
        <v>OK</v>
      </c>
      <c r="H963" s="13">
        <f t="shared" si="74"/>
        <v>6</v>
      </c>
      <c r="I963" s="14">
        <f t="shared" si="70"/>
        <v>1782.21</v>
      </c>
      <c r="K963" t="str">
        <f>[1]!revcom(C963)</f>
        <v>AGACAT</v>
      </c>
      <c r="L963">
        <v>4</v>
      </c>
    </row>
    <row r="964" spans="1:12" ht="15.6" x14ac:dyDescent="0.3">
      <c r="A964" s="9">
        <v>953</v>
      </c>
      <c r="B964" s="1"/>
      <c r="C964" s="2" t="s">
        <v>959</v>
      </c>
      <c r="D964" s="1"/>
      <c r="E964" s="11">
        <f t="shared" si="71"/>
        <v>16</v>
      </c>
      <c r="F964" s="12">
        <f t="shared" si="72"/>
        <v>33.333333333333329</v>
      </c>
      <c r="G964" s="12" t="str">
        <f t="shared" si="73"/>
        <v>OK</v>
      </c>
      <c r="H964" s="13">
        <f t="shared" si="74"/>
        <v>6</v>
      </c>
      <c r="I964" s="14">
        <f t="shared" si="70"/>
        <v>1831.2600000000002</v>
      </c>
      <c r="K964" t="str">
        <f>[1]!revcom(C964)</f>
        <v>TCACAT</v>
      </c>
      <c r="L964">
        <v>5</v>
      </c>
    </row>
    <row r="965" spans="1:12" ht="15.6" x14ac:dyDescent="0.3">
      <c r="A965" s="9">
        <v>954</v>
      </c>
      <c r="B965" s="1"/>
      <c r="C965" s="2" t="s">
        <v>960</v>
      </c>
      <c r="D965" s="1"/>
      <c r="E965" s="11">
        <f t="shared" si="71"/>
        <v>14</v>
      </c>
      <c r="F965" s="12">
        <f t="shared" si="72"/>
        <v>50</v>
      </c>
      <c r="G965" s="12" t="str">
        <f t="shared" si="73"/>
        <v>Warning</v>
      </c>
      <c r="H965" s="13">
        <f t="shared" si="74"/>
        <v>6</v>
      </c>
      <c r="I965" s="14">
        <f t="shared" si="70"/>
        <v>1807.23</v>
      </c>
      <c r="K965" t="str">
        <f>[1]!revcom(C965)</f>
        <v>GCACAT</v>
      </c>
      <c r="L965">
        <v>5</v>
      </c>
    </row>
    <row r="966" spans="1:12" ht="15.6" x14ac:dyDescent="0.3">
      <c r="A966" s="9">
        <v>955</v>
      </c>
      <c r="B966" s="1"/>
      <c r="C966" s="2" t="s">
        <v>961</v>
      </c>
      <c r="D966" s="1"/>
      <c r="E966" s="11">
        <f t="shared" si="71"/>
        <v>14</v>
      </c>
      <c r="F966" s="12">
        <f t="shared" si="72"/>
        <v>50</v>
      </c>
      <c r="G966" s="12" t="str">
        <f t="shared" si="73"/>
        <v>Warning</v>
      </c>
      <c r="H966" s="13">
        <f t="shared" si="74"/>
        <v>6</v>
      </c>
      <c r="I966" s="14">
        <f t="shared" si="70"/>
        <v>1847.2600000000002</v>
      </c>
      <c r="K966" t="str">
        <f>[1]!revcom(C966)</f>
        <v>CCACAT</v>
      </c>
      <c r="L966">
        <v>5</v>
      </c>
    </row>
    <row r="967" spans="1:12" ht="15.6" x14ac:dyDescent="0.3">
      <c r="A967" s="9">
        <v>956</v>
      </c>
      <c r="B967" s="1"/>
      <c r="C967" s="2" t="s">
        <v>962</v>
      </c>
      <c r="D967" s="1"/>
      <c r="E967" s="11">
        <f t="shared" si="71"/>
        <v>8</v>
      </c>
      <c r="F967" s="12">
        <f t="shared" si="72"/>
        <v>33.333333333333329</v>
      </c>
      <c r="G967" s="12" t="str">
        <f t="shared" si="73"/>
        <v>OK</v>
      </c>
      <c r="H967" s="13">
        <f t="shared" si="74"/>
        <v>6</v>
      </c>
      <c r="I967" s="14">
        <f t="shared" si="70"/>
        <v>1822.2400000000002</v>
      </c>
      <c r="K967" t="str">
        <f>[1]!revcom(C967)</f>
        <v>ACACAT</v>
      </c>
      <c r="L967">
        <v>4</v>
      </c>
    </row>
    <row r="968" spans="1:12" ht="15.6" x14ac:dyDescent="0.3">
      <c r="A968" s="9">
        <v>957</v>
      </c>
      <c r="B968" s="1"/>
      <c r="C968" s="2" t="s">
        <v>963</v>
      </c>
      <c r="D968" s="1"/>
      <c r="E968" s="11">
        <f t="shared" si="71"/>
        <v>10</v>
      </c>
      <c r="F968" s="12">
        <f t="shared" si="72"/>
        <v>16.666666666666664</v>
      </c>
      <c r="G968" s="12" t="str">
        <f t="shared" si="73"/>
        <v>OK</v>
      </c>
      <c r="H968" s="13">
        <f t="shared" si="74"/>
        <v>6</v>
      </c>
      <c r="I968" s="14">
        <f t="shared" si="70"/>
        <v>1806.2399999999998</v>
      </c>
      <c r="K968" t="str">
        <f>[1]!revcom(C968)</f>
        <v>TAACAT</v>
      </c>
      <c r="L968">
        <v>4</v>
      </c>
    </row>
    <row r="969" spans="1:12" ht="15.6" x14ac:dyDescent="0.3">
      <c r="A969" s="9">
        <v>958</v>
      </c>
      <c r="B969" s="1"/>
      <c r="C969" s="2" t="s">
        <v>964</v>
      </c>
      <c r="D969" s="1"/>
      <c r="E969" s="11">
        <f t="shared" si="71"/>
        <v>8</v>
      </c>
      <c r="F969" s="12">
        <f t="shared" si="72"/>
        <v>33.333333333333329</v>
      </c>
      <c r="G969" s="12" t="str">
        <f t="shared" si="73"/>
        <v>OK</v>
      </c>
      <c r="H969" s="13">
        <f t="shared" si="74"/>
        <v>6</v>
      </c>
      <c r="I969" s="14">
        <f t="shared" si="70"/>
        <v>1782.21</v>
      </c>
      <c r="K969" t="str">
        <f>[1]!revcom(C969)</f>
        <v>GAACAT</v>
      </c>
      <c r="L969">
        <v>4</v>
      </c>
    </row>
    <row r="970" spans="1:12" ht="15.6" x14ac:dyDescent="0.3">
      <c r="A970" s="9">
        <v>959</v>
      </c>
      <c r="B970" s="1"/>
      <c r="C970" s="2" t="s">
        <v>965</v>
      </c>
      <c r="D970" s="1"/>
      <c r="E970" s="11">
        <f t="shared" si="71"/>
        <v>8</v>
      </c>
      <c r="F970" s="12">
        <f t="shared" si="72"/>
        <v>33.333333333333329</v>
      </c>
      <c r="G970" s="12" t="str">
        <f t="shared" si="73"/>
        <v>OK</v>
      </c>
      <c r="H970" s="13">
        <f t="shared" si="74"/>
        <v>6</v>
      </c>
      <c r="I970" s="14">
        <f t="shared" si="70"/>
        <v>1822.2400000000002</v>
      </c>
      <c r="K970" t="str">
        <f>[1]!revcom(C970)</f>
        <v>CAACAT</v>
      </c>
      <c r="L970">
        <v>4</v>
      </c>
    </row>
    <row r="971" spans="1:12" ht="15.6" x14ac:dyDescent="0.3">
      <c r="A971" s="9">
        <v>960</v>
      </c>
      <c r="B971" s="1"/>
      <c r="C971" s="2" t="s">
        <v>966</v>
      </c>
      <c r="D971" s="1"/>
      <c r="E971" s="11">
        <f t="shared" si="71"/>
        <v>2</v>
      </c>
      <c r="F971" s="12">
        <f t="shared" si="72"/>
        <v>16.666666666666664</v>
      </c>
      <c r="G971" s="12" t="str">
        <f t="shared" si="73"/>
        <v>OK</v>
      </c>
      <c r="H971" s="13">
        <f t="shared" si="74"/>
        <v>6</v>
      </c>
      <c r="I971" s="14">
        <f t="shared" si="70"/>
        <v>1797.2199999999998</v>
      </c>
      <c r="K971" t="str">
        <f>[1]!revcom(C971)</f>
        <v>AAACAT</v>
      </c>
      <c r="L971">
        <v>3</v>
      </c>
    </row>
    <row r="972" spans="1:12" ht="15.6" x14ac:dyDescent="0.3">
      <c r="A972" s="9">
        <v>961</v>
      </c>
      <c r="B972" s="1"/>
      <c r="C972" s="2" t="s">
        <v>967</v>
      </c>
      <c r="D972" s="1"/>
      <c r="E972" s="11">
        <f t="shared" si="71"/>
        <v>20</v>
      </c>
      <c r="F972" s="12">
        <f t="shared" si="72"/>
        <v>0</v>
      </c>
      <c r="G972" s="12" t="str">
        <f t="shared" si="73"/>
        <v>OK</v>
      </c>
      <c r="H972" s="13">
        <f t="shared" si="74"/>
        <v>6</v>
      </c>
      <c r="I972" s="14">
        <f t="shared" si="70"/>
        <v>1799.2599999999998</v>
      </c>
      <c r="K972" t="str">
        <f>[1]!revcom(C972)</f>
        <v>TTTAAT</v>
      </c>
      <c r="L972">
        <v>6</v>
      </c>
    </row>
    <row r="973" spans="1:12" ht="15.6" x14ac:dyDescent="0.3">
      <c r="A973" s="9">
        <v>962</v>
      </c>
      <c r="B973" s="1"/>
      <c r="C973" s="2" t="s">
        <v>968</v>
      </c>
      <c r="D973" s="1"/>
      <c r="E973" s="11">
        <f t="shared" si="71"/>
        <v>18</v>
      </c>
      <c r="F973" s="12">
        <f t="shared" si="72"/>
        <v>16.666666666666664</v>
      </c>
      <c r="G973" s="12" t="str">
        <f t="shared" si="73"/>
        <v>OK</v>
      </c>
      <c r="H973" s="13">
        <f t="shared" si="74"/>
        <v>6</v>
      </c>
      <c r="I973" s="14">
        <f t="shared" ref="I973:I1036" si="75">((LEN(C973)-(LEN(SUBSTITUTE(C973,"A",""))))*249.23)+((LEN(C973)-(LEN(SUBSTITUTE(C973,"T",""))))*240.21)+((LEN(C973)-(LEN(SUBSTITUTE(C973,"C",""))))*225.2)+((LEN(C973)-(LEN(SUBSTITUTE(C973,"G",""))))*265.23)+(63.98*(LEN(C973)-1)+(2.02))</f>
        <v>1775.23</v>
      </c>
      <c r="K973" t="str">
        <f>[1]!revcom(C973)</f>
        <v>GTTAAT</v>
      </c>
      <c r="L973">
        <v>5</v>
      </c>
    </row>
    <row r="974" spans="1:12" ht="15.6" x14ac:dyDescent="0.3">
      <c r="A974" s="9">
        <v>963</v>
      </c>
      <c r="B974" s="1"/>
      <c r="C974" s="2" t="s">
        <v>969</v>
      </c>
      <c r="D974" s="1"/>
      <c r="E974" s="11">
        <f t="shared" ref="E974:E1037" si="76">IF(LEN(C974)&gt;15,(69.3+((41*((LEN(C974)-(((LEN(C974)-(LEN(SUBSTITUTE(C974,"A",""))))+((LEN(C974)-(LEN(SUBSTITUTE(C974,"T","")))))))))/(LEN(C974)))-(650/(LEN(C974))))),(2*((LEN(C974)-(((LEN(C974)-(LEN(SUBSTITUTE(C974,"C",""))))+((LEN(C974)-(LEN(SUBSTITUTE(C974,"G",""))))))))))+(4*((LEN(C974)-(((LEN(C974)-(LEN(SUBSTITUTE(C974,"T",""))))+((LEN(C974)-(LEN(SUBSTITUTE(C974,"T","")))))))))))</f>
        <v>18</v>
      </c>
      <c r="F974" s="12">
        <f t="shared" ref="F974:F1037" si="77">((LEN(C974)- LEN(SUBSTITUTE(C974,"G","")))+(LEN(C974)- LEN(SUBSTITUTE(C974,"C",""))) )/LEN(C974)*100</f>
        <v>16.666666666666664</v>
      </c>
      <c r="G974" s="12" t="str">
        <f t="shared" ref="G974:G1037" si="78">IF((-5+((LEN(SUBSTITUTE(RIGHT(C974,5),"C","")))+((LEN(SUBSTITUTE(RIGHT(C974,5),"G",""))))))&gt;=3,"OK","Warning")</f>
        <v>OK</v>
      </c>
      <c r="H974" s="13">
        <f t="shared" ref="H974:H1037" si="79">LEN(C974)</f>
        <v>6</v>
      </c>
      <c r="I974" s="14">
        <f t="shared" si="75"/>
        <v>1815.2599999999998</v>
      </c>
      <c r="K974" t="str">
        <f>[1]!revcom(C974)</f>
        <v>CTTAAT</v>
      </c>
      <c r="L974">
        <v>5</v>
      </c>
    </row>
    <row r="975" spans="1:12" ht="15.6" x14ac:dyDescent="0.3">
      <c r="A975" s="9">
        <v>964</v>
      </c>
      <c r="B975" s="1"/>
      <c r="C975" s="2" t="s">
        <v>970</v>
      </c>
      <c r="D975" s="1"/>
      <c r="E975" s="11">
        <f t="shared" si="76"/>
        <v>12</v>
      </c>
      <c r="F975" s="12">
        <f t="shared" si="77"/>
        <v>0</v>
      </c>
      <c r="G975" s="12" t="str">
        <f t="shared" si="78"/>
        <v>OK</v>
      </c>
      <c r="H975" s="13">
        <f t="shared" si="79"/>
        <v>6</v>
      </c>
      <c r="I975" s="14">
        <f t="shared" si="75"/>
        <v>1790.2399999999998</v>
      </c>
      <c r="K975" t="str">
        <f>[1]!revcom(C975)</f>
        <v>ATTAAT</v>
      </c>
      <c r="L975">
        <v>4</v>
      </c>
    </row>
    <row r="976" spans="1:12" ht="15.6" x14ac:dyDescent="0.3">
      <c r="A976" s="9">
        <v>965</v>
      </c>
      <c r="B976" s="1"/>
      <c r="C976" s="2" t="s">
        <v>971</v>
      </c>
      <c r="D976" s="1"/>
      <c r="E976" s="11">
        <f t="shared" si="76"/>
        <v>18</v>
      </c>
      <c r="F976" s="12">
        <f t="shared" si="77"/>
        <v>16.666666666666664</v>
      </c>
      <c r="G976" s="12" t="str">
        <f t="shared" si="78"/>
        <v>OK</v>
      </c>
      <c r="H976" s="13">
        <f t="shared" si="79"/>
        <v>6</v>
      </c>
      <c r="I976" s="14">
        <f t="shared" si="75"/>
        <v>1775.23</v>
      </c>
      <c r="K976" t="str">
        <f>[1]!revcom(C976)</f>
        <v>TGTAAT</v>
      </c>
      <c r="L976">
        <v>5</v>
      </c>
    </row>
    <row r="977" spans="1:12" ht="15.6" x14ac:dyDescent="0.3">
      <c r="A977" s="9">
        <v>966</v>
      </c>
      <c r="B977" s="1"/>
      <c r="C977" s="2" t="s">
        <v>972</v>
      </c>
      <c r="D977" s="1"/>
      <c r="E977" s="11">
        <f t="shared" si="76"/>
        <v>16</v>
      </c>
      <c r="F977" s="12">
        <f t="shared" si="77"/>
        <v>33.333333333333329</v>
      </c>
      <c r="G977" s="12" t="str">
        <f t="shared" si="78"/>
        <v>OK</v>
      </c>
      <c r="H977" s="13">
        <f t="shared" si="79"/>
        <v>6</v>
      </c>
      <c r="I977" s="14">
        <f t="shared" si="75"/>
        <v>1751.1999999999998</v>
      </c>
      <c r="K977" t="str">
        <f>[1]!revcom(C977)</f>
        <v>GGTAAT</v>
      </c>
      <c r="L977">
        <v>5</v>
      </c>
    </row>
    <row r="978" spans="1:12" ht="15.6" x14ac:dyDescent="0.3">
      <c r="A978" s="9">
        <v>967</v>
      </c>
      <c r="B978" s="1"/>
      <c r="C978" s="2" t="s">
        <v>973</v>
      </c>
      <c r="D978" s="1"/>
      <c r="E978" s="11">
        <f t="shared" si="76"/>
        <v>16</v>
      </c>
      <c r="F978" s="12">
        <f t="shared" si="77"/>
        <v>33.333333333333329</v>
      </c>
      <c r="G978" s="12" t="str">
        <f t="shared" si="78"/>
        <v>OK</v>
      </c>
      <c r="H978" s="13">
        <f t="shared" si="79"/>
        <v>6</v>
      </c>
      <c r="I978" s="14">
        <f t="shared" si="75"/>
        <v>1791.23</v>
      </c>
      <c r="K978" t="str">
        <f>[1]!revcom(C978)</f>
        <v>CGTAAT</v>
      </c>
      <c r="L978">
        <v>5</v>
      </c>
    </row>
    <row r="979" spans="1:12" ht="15.6" x14ac:dyDescent="0.3">
      <c r="A979" s="9">
        <v>968</v>
      </c>
      <c r="B979" s="1"/>
      <c r="C979" s="2" t="s">
        <v>974</v>
      </c>
      <c r="D979" s="1"/>
      <c r="E979" s="11">
        <f t="shared" si="76"/>
        <v>10</v>
      </c>
      <c r="F979" s="12">
        <f t="shared" si="77"/>
        <v>16.666666666666664</v>
      </c>
      <c r="G979" s="12" t="str">
        <f t="shared" si="78"/>
        <v>OK</v>
      </c>
      <c r="H979" s="13">
        <f t="shared" si="79"/>
        <v>6</v>
      </c>
      <c r="I979" s="14">
        <f t="shared" si="75"/>
        <v>1766.21</v>
      </c>
      <c r="K979" t="str">
        <f>[1]!revcom(C979)</f>
        <v>AGTAAT</v>
      </c>
      <c r="L979">
        <v>4</v>
      </c>
    </row>
    <row r="980" spans="1:12" ht="15.6" x14ac:dyDescent="0.3">
      <c r="A980" s="9">
        <v>969</v>
      </c>
      <c r="B980" s="1"/>
      <c r="C980" s="2" t="s">
        <v>975</v>
      </c>
      <c r="D980" s="1"/>
      <c r="E980" s="11">
        <f t="shared" si="76"/>
        <v>18</v>
      </c>
      <c r="F980" s="12">
        <f t="shared" si="77"/>
        <v>16.666666666666664</v>
      </c>
      <c r="G980" s="12" t="str">
        <f t="shared" si="78"/>
        <v>OK</v>
      </c>
      <c r="H980" s="13">
        <f t="shared" si="79"/>
        <v>6</v>
      </c>
      <c r="I980" s="14">
        <f t="shared" si="75"/>
        <v>1815.2599999999998</v>
      </c>
      <c r="K980" t="str">
        <f>[1]!revcom(C980)</f>
        <v>TCTAAT</v>
      </c>
      <c r="L980">
        <v>5</v>
      </c>
    </row>
    <row r="981" spans="1:12" ht="15.6" x14ac:dyDescent="0.3">
      <c r="A981" s="9">
        <v>970</v>
      </c>
      <c r="B981" s="1"/>
      <c r="C981" s="2" t="s">
        <v>976</v>
      </c>
      <c r="D981" s="1"/>
      <c r="E981" s="11">
        <f t="shared" si="76"/>
        <v>16</v>
      </c>
      <c r="F981" s="12">
        <f t="shared" si="77"/>
        <v>33.333333333333329</v>
      </c>
      <c r="G981" s="12" t="str">
        <f t="shared" si="78"/>
        <v>OK</v>
      </c>
      <c r="H981" s="13">
        <f t="shared" si="79"/>
        <v>6</v>
      </c>
      <c r="I981" s="14">
        <f t="shared" si="75"/>
        <v>1791.23</v>
      </c>
      <c r="K981" t="str">
        <f>[1]!revcom(C981)</f>
        <v>GCTAAT</v>
      </c>
      <c r="L981">
        <v>5</v>
      </c>
    </row>
    <row r="982" spans="1:12" ht="15.6" x14ac:dyDescent="0.3">
      <c r="A982" s="9">
        <v>971</v>
      </c>
      <c r="B982" s="1"/>
      <c r="C982" s="2" t="s">
        <v>977</v>
      </c>
      <c r="D982" s="1"/>
      <c r="E982" s="11">
        <f t="shared" si="76"/>
        <v>16</v>
      </c>
      <c r="F982" s="12">
        <f t="shared" si="77"/>
        <v>33.333333333333329</v>
      </c>
      <c r="G982" s="12" t="str">
        <f t="shared" si="78"/>
        <v>OK</v>
      </c>
      <c r="H982" s="13">
        <f t="shared" si="79"/>
        <v>6</v>
      </c>
      <c r="I982" s="14">
        <f t="shared" si="75"/>
        <v>1831.2600000000002</v>
      </c>
      <c r="K982" t="str">
        <f>[1]!revcom(C982)</f>
        <v>CCTAAT</v>
      </c>
      <c r="L982">
        <v>5</v>
      </c>
    </row>
    <row r="983" spans="1:12" ht="15.6" x14ac:dyDescent="0.3">
      <c r="A983" s="9">
        <v>972</v>
      </c>
      <c r="B983" s="1"/>
      <c r="C983" s="2" t="s">
        <v>978</v>
      </c>
      <c r="D983" s="1"/>
      <c r="E983" s="11">
        <f t="shared" si="76"/>
        <v>10</v>
      </c>
      <c r="F983" s="12">
        <f t="shared" si="77"/>
        <v>16.666666666666664</v>
      </c>
      <c r="G983" s="12" t="str">
        <f t="shared" si="78"/>
        <v>OK</v>
      </c>
      <c r="H983" s="13">
        <f t="shared" si="79"/>
        <v>6</v>
      </c>
      <c r="I983" s="14">
        <f t="shared" si="75"/>
        <v>1806.2399999999998</v>
      </c>
      <c r="K983" t="str">
        <f>[1]!revcom(C983)</f>
        <v>ACTAAT</v>
      </c>
      <c r="L983">
        <v>4</v>
      </c>
    </row>
    <row r="984" spans="1:12" ht="15.6" x14ac:dyDescent="0.3">
      <c r="A984" s="9">
        <v>973</v>
      </c>
      <c r="B984" s="1"/>
      <c r="C984" s="2" t="s">
        <v>979</v>
      </c>
      <c r="D984" s="1"/>
      <c r="E984" s="11">
        <f t="shared" si="76"/>
        <v>12</v>
      </c>
      <c r="F984" s="12">
        <f t="shared" si="77"/>
        <v>0</v>
      </c>
      <c r="G984" s="12" t="str">
        <f t="shared" si="78"/>
        <v>OK</v>
      </c>
      <c r="H984" s="13">
        <f t="shared" si="79"/>
        <v>6</v>
      </c>
      <c r="I984" s="14">
        <f t="shared" si="75"/>
        <v>1790.2399999999998</v>
      </c>
      <c r="K984" t="str">
        <f>[1]!revcom(C984)</f>
        <v>TATAAT</v>
      </c>
      <c r="L984">
        <v>4</v>
      </c>
    </row>
    <row r="985" spans="1:12" ht="15.6" x14ac:dyDescent="0.3">
      <c r="A985" s="9">
        <v>974</v>
      </c>
      <c r="B985" s="1"/>
      <c r="C985" s="2" t="s">
        <v>980</v>
      </c>
      <c r="D985" s="1"/>
      <c r="E985" s="11">
        <f t="shared" si="76"/>
        <v>10</v>
      </c>
      <c r="F985" s="12">
        <f t="shared" si="77"/>
        <v>16.666666666666664</v>
      </c>
      <c r="G985" s="12" t="str">
        <f t="shared" si="78"/>
        <v>OK</v>
      </c>
      <c r="H985" s="13">
        <f t="shared" si="79"/>
        <v>6</v>
      </c>
      <c r="I985" s="14">
        <f t="shared" si="75"/>
        <v>1766.21</v>
      </c>
      <c r="K985" t="str">
        <f>[1]!revcom(C985)</f>
        <v>GATAAT</v>
      </c>
      <c r="L985">
        <v>4</v>
      </c>
    </row>
    <row r="986" spans="1:12" ht="15.6" x14ac:dyDescent="0.3">
      <c r="A986" s="9">
        <v>975</v>
      </c>
      <c r="B986" s="1"/>
      <c r="C986" s="2" t="s">
        <v>981</v>
      </c>
      <c r="D986" s="1"/>
      <c r="E986" s="11">
        <f t="shared" si="76"/>
        <v>10</v>
      </c>
      <c r="F986" s="12">
        <f t="shared" si="77"/>
        <v>16.666666666666664</v>
      </c>
      <c r="G986" s="12" t="str">
        <f t="shared" si="78"/>
        <v>OK</v>
      </c>
      <c r="H986" s="13">
        <f t="shared" si="79"/>
        <v>6</v>
      </c>
      <c r="I986" s="14">
        <f t="shared" si="75"/>
        <v>1806.2399999999998</v>
      </c>
      <c r="K986" t="str">
        <f>[1]!revcom(C986)</f>
        <v>CATAAT</v>
      </c>
      <c r="L986">
        <v>4</v>
      </c>
    </row>
    <row r="987" spans="1:12" ht="15.6" x14ac:dyDescent="0.3">
      <c r="A987" s="9">
        <v>976</v>
      </c>
      <c r="B987" s="1"/>
      <c r="C987" s="2" t="s">
        <v>982</v>
      </c>
      <c r="D987" s="1"/>
      <c r="E987" s="11">
        <f t="shared" si="76"/>
        <v>4</v>
      </c>
      <c r="F987" s="12">
        <f t="shared" si="77"/>
        <v>0</v>
      </c>
      <c r="G987" s="12" t="str">
        <f t="shared" si="78"/>
        <v>OK</v>
      </c>
      <c r="H987" s="13">
        <f t="shared" si="79"/>
        <v>6</v>
      </c>
      <c r="I987" s="14">
        <f t="shared" si="75"/>
        <v>1781.2199999999998</v>
      </c>
      <c r="K987" t="str">
        <f>[1]!revcom(C987)</f>
        <v>AATAAT</v>
      </c>
      <c r="L987">
        <v>3</v>
      </c>
    </row>
    <row r="988" spans="1:12" ht="15.6" x14ac:dyDescent="0.3">
      <c r="A988" s="9">
        <v>977</v>
      </c>
      <c r="B988" s="1"/>
      <c r="C988" s="2" t="s">
        <v>983</v>
      </c>
      <c r="D988" s="1"/>
      <c r="E988" s="11">
        <f t="shared" si="76"/>
        <v>18</v>
      </c>
      <c r="F988" s="12">
        <f t="shared" si="77"/>
        <v>16.666666666666664</v>
      </c>
      <c r="G988" s="12" t="str">
        <f t="shared" si="78"/>
        <v>OK</v>
      </c>
      <c r="H988" s="13">
        <f t="shared" si="79"/>
        <v>6</v>
      </c>
      <c r="I988" s="14">
        <f t="shared" si="75"/>
        <v>1775.23</v>
      </c>
      <c r="K988" t="str">
        <f>[1]!revcom(C988)</f>
        <v>TTGAAT</v>
      </c>
      <c r="L988">
        <v>5</v>
      </c>
    </row>
    <row r="989" spans="1:12" ht="15.6" x14ac:dyDescent="0.3">
      <c r="A989" s="9">
        <v>978</v>
      </c>
      <c r="B989" s="1"/>
      <c r="C989" s="2" t="s">
        <v>984</v>
      </c>
      <c r="D989" s="1"/>
      <c r="E989" s="11">
        <f t="shared" si="76"/>
        <v>16</v>
      </c>
      <c r="F989" s="12">
        <f t="shared" si="77"/>
        <v>33.333333333333329</v>
      </c>
      <c r="G989" s="12" t="str">
        <f t="shared" si="78"/>
        <v>OK</v>
      </c>
      <c r="H989" s="13">
        <f t="shared" si="79"/>
        <v>6</v>
      </c>
      <c r="I989" s="14">
        <f t="shared" si="75"/>
        <v>1751.1999999999998</v>
      </c>
      <c r="K989" t="str">
        <f>[1]!revcom(C989)</f>
        <v>GTGAAT</v>
      </c>
      <c r="L989">
        <v>5</v>
      </c>
    </row>
    <row r="990" spans="1:12" ht="15.6" x14ac:dyDescent="0.3">
      <c r="A990" s="9">
        <v>979</v>
      </c>
      <c r="B990" s="1"/>
      <c r="C990" s="2" t="s">
        <v>985</v>
      </c>
      <c r="D990" s="1"/>
      <c r="E990" s="11">
        <f t="shared" si="76"/>
        <v>16</v>
      </c>
      <c r="F990" s="12">
        <f t="shared" si="77"/>
        <v>33.333333333333329</v>
      </c>
      <c r="G990" s="12" t="str">
        <f t="shared" si="78"/>
        <v>OK</v>
      </c>
      <c r="H990" s="13">
        <f t="shared" si="79"/>
        <v>6</v>
      </c>
      <c r="I990" s="14">
        <f t="shared" si="75"/>
        <v>1791.23</v>
      </c>
      <c r="K990" t="str">
        <f>[1]!revcom(C990)</f>
        <v>CTGAAT</v>
      </c>
      <c r="L990">
        <v>5</v>
      </c>
    </row>
    <row r="991" spans="1:12" ht="15.6" x14ac:dyDescent="0.3">
      <c r="A991" s="9">
        <v>980</v>
      </c>
      <c r="B991" s="1"/>
      <c r="C991" s="2" t="s">
        <v>986</v>
      </c>
      <c r="D991" s="1"/>
      <c r="E991" s="11">
        <f t="shared" si="76"/>
        <v>10</v>
      </c>
      <c r="F991" s="12">
        <f t="shared" si="77"/>
        <v>16.666666666666664</v>
      </c>
      <c r="G991" s="12" t="str">
        <f t="shared" si="78"/>
        <v>OK</v>
      </c>
      <c r="H991" s="13">
        <f t="shared" si="79"/>
        <v>6</v>
      </c>
      <c r="I991" s="14">
        <f t="shared" si="75"/>
        <v>1766.21</v>
      </c>
      <c r="K991" t="str">
        <f>[1]!revcom(C991)</f>
        <v>ATGAAT</v>
      </c>
      <c r="L991">
        <v>4</v>
      </c>
    </row>
    <row r="992" spans="1:12" ht="15.6" x14ac:dyDescent="0.3">
      <c r="A992" s="9">
        <v>981</v>
      </c>
      <c r="B992" s="1"/>
      <c r="C992" s="2" t="s">
        <v>987</v>
      </c>
      <c r="D992" s="1"/>
      <c r="E992" s="11">
        <f t="shared" si="76"/>
        <v>16</v>
      </c>
      <c r="F992" s="12">
        <f t="shared" si="77"/>
        <v>33.333333333333329</v>
      </c>
      <c r="G992" s="12" t="str">
        <f t="shared" si="78"/>
        <v>OK</v>
      </c>
      <c r="H992" s="13">
        <f t="shared" si="79"/>
        <v>6</v>
      </c>
      <c r="I992" s="14">
        <f t="shared" si="75"/>
        <v>1751.1999999999998</v>
      </c>
      <c r="K992" t="str">
        <f>[1]!revcom(C992)</f>
        <v>TGGAAT</v>
      </c>
      <c r="L992">
        <v>5</v>
      </c>
    </row>
    <row r="993" spans="1:12" ht="15.6" x14ac:dyDescent="0.3">
      <c r="A993" s="9">
        <v>982</v>
      </c>
      <c r="B993" s="1"/>
      <c r="C993" s="2" t="s">
        <v>988</v>
      </c>
      <c r="D993" s="1"/>
      <c r="E993" s="11">
        <f t="shared" si="76"/>
        <v>14</v>
      </c>
      <c r="F993" s="12">
        <f t="shared" si="77"/>
        <v>50</v>
      </c>
      <c r="G993" s="12" t="str">
        <f t="shared" si="78"/>
        <v>Warning</v>
      </c>
      <c r="H993" s="13">
        <f t="shared" si="79"/>
        <v>6</v>
      </c>
      <c r="I993" s="14">
        <f t="shared" si="75"/>
        <v>1727.17</v>
      </c>
      <c r="K993" t="str">
        <f>[1]!revcom(C993)</f>
        <v>GGGAAT</v>
      </c>
      <c r="L993">
        <v>5</v>
      </c>
    </row>
    <row r="994" spans="1:12" ht="15.6" x14ac:dyDescent="0.3">
      <c r="A994" s="9">
        <v>983</v>
      </c>
      <c r="B994" s="1"/>
      <c r="C994" s="2" t="s">
        <v>989</v>
      </c>
      <c r="D994" s="1"/>
      <c r="E994" s="11">
        <f t="shared" si="76"/>
        <v>14</v>
      </c>
      <c r="F994" s="12">
        <f t="shared" si="77"/>
        <v>50</v>
      </c>
      <c r="G994" s="12" t="str">
        <f t="shared" si="78"/>
        <v>Warning</v>
      </c>
      <c r="H994" s="13">
        <f t="shared" si="79"/>
        <v>6</v>
      </c>
      <c r="I994" s="14">
        <f t="shared" si="75"/>
        <v>1767.1999999999998</v>
      </c>
      <c r="K994" t="str">
        <f>[1]!revcom(C994)</f>
        <v>CGGAAT</v>
      </c>
      <c r="L994">
        <v>5</v>
      </c>
    </row>
    <row r="995" spans="1:12" ht="15.6" x14ac:dyDescent="0.3">
      <c r="A995" s="9">
        <v>984</v>
      </c>
      <c r="B995" s="1"/>
      <c r="C995" s="2" t="s">
        <v>990</v>
      </c>
      <c r="D995" s="1"/>
      <c r="E995" s="11">
        <f t="shared" si="76"/>
        <v>8</v>
      </c>
      <c r="F995" s="12">
        <f t="shared" si="77"/>
        <v>33.333333333333329</v>
      </c>
      <c r="G995" s="12" t="str">
        <f t="shared" si="78"/>
        <v>OK</v>
      </c>
      <c r="H995" s="13">
        <f t="shared" si="79"/>
        <v>6</v>
      </c>
      <c r="I995" s="14">
        <f t="shared" si="75"/>
        <v>1742.1799999999998</v>
      </c>
      <c r="K995" t="str">
        <f>[1]!revcom(C995)</f>
        <v>AGGAAT</v>
      </c>
      <c r="L995">
        <v>4</v>
      </c>
    </row>
    <row r="996" spans="1:12" ht="15.6" x14ac:dyDescent="0.3">
      <c r="A996" s="9">
        <v>985</v>
      </c>
      <c r="B996" s="1"/>
      <c r="C996" s="2" t="s">
        <v>991</v>
      </c>
      <c r="D996" s="1"/>
      <c r="E996" s="11">
        <f t="shared" si="76"/>
        <v>16</v>
      </c>
      <c r="F996" s="12">
        <f t="shared" si="77"/>
        <v>33.333333333333329</v>
      </c>
      <c r="G996" s="12" t="str">
        <f t="shared" si="78"/>
        <v>OK</v>
      </c>
      <c r="H996" s="13">
        <f t="shared" si="79"/>
        <v>6</v>
      </c>
      <c r="I996" s="14">
        <f t="shared" si="75"/>
        <v>1791.23</v>
      </c>
      <c r="K996" t="str">
        <f>[1]!revcom(C996)</f>
        <v>TCGAAT</v>
      </c>
      <c r="L996">
        <v>5</v>
      </c>
    </row>
    <row r="997" spans="1:12" ht="15.6" x14ac:dyDescent="0.3">
      <c r="A997" s="9">
        <v>986</v>
      </c>
      <c r="B997" s="1"/>
      <c r="C997" s="2" t="s">
        <v>992</v>
      </c>
      <c r="D997" s="1"/>
      <c r="E997" s="11">
        <f t="shared" si="76"/>
        <v>14</v>
      </c>
      <c r="F997" s="12">
        <f t="shared" si="77"/>
        <v>50</v>
      </c>
      <c r="G997" s="12" t="str">
        <f t="shared" si="78"/>
        <v>Warning</v>
      </c>
      <c r="H997" s="13">
        <f t="shared" si="79"/>
        <v>6</v>
      </c>
      <c r="I997" s="14">
        <f t="shared" si="75"/>
        <v>1767.1999999999998</v>
      </c>
      <c r="K997" t="str">
        <f>[1]!revcom(C997)</f>
        <v>GCGAAT</v>
      </c>
      <c r="L997">
        <v>5</v>
      </c>
    </row>
    <row r="998" spans="1:12" ht="15.6" x14ac:dyDescent="0.3">
      <c r="A998" s="9">
        <v>987</v>
      </c>
      <c r="B998" s="1"/>
      <c r="C998" s="2" t="s">
        <v>993</v>
      </c>
      <c r="D998" s="1"/>
      <c r="E998" s="11">
        <f t="shared" si="76"/>
        <v>14</v>
      </c>
      <c r="F998" s="12">
        <f t="shared" si="77"/>
        <v>50</v>
      </c>
      <c r="G998" s="12" t="str">
        <f t="shared" si="78"/>
        <v>Warning</v>
      </c>
      <c r="H998" s="13">
        <f t="shared" si="79"/>
        <v>6</v>
      </c>
      <c r="I998" s="14">
        <f t="shared" si="75"/>
        <v>1807.23</v>
      </c>
      <c r="K998" t="str">
        <f>[1]!revcom(C998)</f>
        <v>CCGAAT</v>
      </c>
      <c r="L998">
        <v>5</v>
      </c>
    </row>
    <row r="999" spans="1:12" ht="15.6" x14ac:dyDescent="0.3">
      <c r="A999" s="9">
        <v>988</v>
      </c>
      <c r="B999" s="1"/>
      <c r="C999" s="2" t="s">
        <v>994</v>
      </c>
      <c r="D999" s="1"/>
      <c r="E999" s="11">
        <f t="shared" si="76"/>
        <v>8</v>
      </c>
      <c r="F999" s="12">
        <f t="shared" si="77"/>
        <v>33.333333333333329</v>
      </c>
      <c r="G999" s="12" t="str">
        <f t="shared" si="78"/>
        <v>OK</v>
      </c>
      <c r="H999" s="13">
        <f t="shared" si="79"/>
        <v>6</v>
      </c>
      <c r="I999" s="14">
        <f t="shared" si="75"/>
        <v>1782.21</v>
      </c>
      <c r="K999" t="str">
        <f>[1]!revcom(C999)</f>
        <v>ACGAAT</v>
      </c>
      <c r="L999">
        <v>4</v>
      </c>
    </row>
    <row r="1000" spans="1:12" ht="15.6" x14ac:dyDescent="0.3">
      <c r="A1000" s="9">
        <v>989</v>
      </c>
      <c r="B1000" s="1"/>
      <c r="C1000" s="2" t="s">
        <v>995</v>
      </c>
      <c r="D1000" s="1"/>
      <c r="E1000" s="11">
        <f t="shared" si="76"/>
        <v>10</v>
      </c>
      <c r="F1000" s="12">
        <f t="shared" si="77"/>
        <v>16.666666666666664</v>
      </c>
      <c r="G1000" s="12" t="str">
        <f t="shared" si="78"/>
        <v>OK</v>
      </c>
      <c r="H1000" s="13">
        <f t="shared" si="79"/>
        <v>6</v>
      </c>
      <c r="I1000" s="14">
        <f t="shared" si="75"/>
        <v>1766.21</v>
      </c>
      <c r="K1000" t="str">
        <f>[1]!revcom(C1000)</f>
        <v>TAGAAT</v>
      </c>
      <c r="L1000">
        <v>4</v>
      </c>
    </row>
    <row r="1001" spans="1:12" ht="15.6" x14ac:dyDescent="0.3">
      <c r="A1001" s="9">
        <v>990</v>
      </c>
      <c r="B1001" s="1"/>
      <c r="C1001" s="2" t="s">
        <v>996</v>
      </c>
      <c r="D1001" s="1"/>
      <c r="E1001" s="11">
        <f t="shared" si="76"/>
        <v>8</v>
      </c>
      <c r="F1001" s="12">
        <f t="shared" si="77"/>
        <v>33.333333333333329</v>
      </c>
      <c r="G1001" s="12" t="str">
        <f t="shared" si="78"/>
        <v>OK</v>
      </c>
      <c r="H1001" s="13">
        <f t="shared" si="79"/>
        <v>6</v>
      </c>
      <c r="I1001" s="14">
        <f t="shared" si="75"/>
        <v>1742.1799999999998</v>
      </c>
      <c r="K1001" t="str">
        <f>[1]!revcom(C1001)</f>
        <v>GAGAAT</v>
      </c>
      <c r="L1001">
        <v>4</v>
      </c>
    </row>
    <row r="1002" spans="1:12" ht="15.6" x14ac:dyDescent="0.3">
      <c r="A1002" s="9">
        <v>991</v>
      </c>
      <c r="B1002" s="1"/>
      <c r="C1002" s="2" t="s">
        <v>997</v>
      </c>
      <c r="D1002" s="1"/>
      <c r="E1002" s="11">
        <f t="shared" si="76"/>
        <v>8</v>
      </c>
      <c r="F1002" s="12">
        <f t="shared" si="77"/>
        <v>33.333333333333329</v>
      </c>
      <c r="G1002" s="12" t="str">
        <f t="shared" si="78"/>
        <v>OK</v>
      </c>
      <c r="H1002" s="13">
        <f t="shared" si="79"/>
        <v>6</v>
      </c>
      <c r="I1002" s="14">
        <f t="shared" si="75"/>
        <v>1782.21</v>
      </c>
      <c r="K1002" t="str">
        <f>[1]!revcom(C1002)</f>
        <v>CAGAAT</v>
      </c>
      <c r="L1002">
        <v>4</v>
      </c>
    </row>
    <row r="1003" spans="1:12" ht="15.6" x14ac:dyDescent="0.3">
      <c r="A1003" s="9">
        <v>992</v>
      </c>
      <c r="B1003" s="1"/>
      <c r="C1003" s="2" t="s">
        <v>998</v>
      </c>
      <c r="D1003" s="1"/>
      <c r="E1003" s="11">
        <f t="shared" si="76"/>
        <v>2</v>
      </c>
      <c r="F1003" s="12">
        <f t="shared" si="77"/>
        <v>16.666666666666664</v>
      </c>
      <c r="G1003" s="12" t="str">
        <f t="shared" si="78"/>
        <v>OK</v>
      </c>
      <c r="H1003" s="13">
        <f t="shared" si="79"/>
        <v>6</v>
      </c>
      <c r="I1003" s="14">
        <f t="shared" si="75"/>
        <v>1757.19</v>
      </c>
      <c r="K1003" t="str">
        <f>[1]!revcom(C1003)</f>
        <v>AAGAAT</v>
      </c>
      <c r="L1003">
        <v>3</v>
      </c>
    </row>
    <row r="1004" spans="1:12" ht="15.6" x14ac:dyDescent="0.3">
      <c r="A1004" s="9">
        <v>993</v>
      </c>
      <c r="B1004" s="1"/>
      <c r="C1004" s="2" t="s">
        <v>999</v>
      </c>
      <c r="D1004" s="1"/>
      <c r="E1004" s="11">
        <f t="shared" si="76"/>
        <v>18</v>
      </c>
      <c r="F1004" s="12">
        <f t="shared" si="77"/>
        <v>16.666666666666664</v>
      </c>
      <c r="G1004" s="12" t="str">
        <f t="shared" si="78"/>
        <v>OK</v>
      </c>
      <c r="H1004" s="13">
        <f t="shared" si="79"/>
        <v>6</v>
      </c>
      <c r="I1004" s="14">
        <f t="shared" si="75"/>
        <v>1815.2599999999998</v>
      </c>
      <c r="K1004" t="str">
        <f>[1]!revcom(C1004)</f>
        <v>TTCAAT</v>
      </c>
      <c r="L1004">
        <v>5</v>
      </c>
    </row>
    <row r="1005" spans="1:12" ht="15.6" x14ac:dyDescent="0.3">
      <c r="A1005" s="9">
        <v>994</v>
      </c>
      <c r="B1005" s="1"/>
      <c r="C1005" s="2" t="s">
        <v>1000</v>
      </c>
      <c r="D1005" s="1"/>
      <c r="E1005" s="11">
        <f t="shared" si="76"/>
        <v>16</v>
      </c>
      <c r="F1005" s="12">
        <f t="shared" si="77"/>
        <v>33.333333333333329</v>
      </c>
      <c r="G1005" s="12" t="str">
        <f t="shared" si="78"/>
        <v>OK</v>
      </c>
      <c r="H1005" s="13">
        <f t="shared" si="79"/>
        <v>6</v>
      </c>
      <c r="I1005" s="14">
        <f t="shared" si="75"/>
        <v>1791.23</v>
      </c>
      <c r="K1005" t="str">
        <f>[1]!revcom(C1005)</f>
        <v>GTCAAT</v>
      </c>
      <c r="L1005">
        <v>5</v>
      </c>
    </row>
    <row r="1006" spans="1:12" ht="15.6" x14ac:dyDescent="0.3">
      <c r="A1006" s="9">
        <v>995</v>
      </c>
      <c r="B1006" s="1"/>
      <c r="C1006" s="2" t="s">
        <v>1001</v>
      </c>
      <c r="D1006" s="1"/>
      <c r="E1006" s="11">
        <f t="shared" si="76"/>
        <v>16</v>
      </c>
      <c r="F1006" s="12">
        <f t="shared" si="77"/>
        <v>33.333333333333329</v>
      </c>
      <c r="G1006" s="12" t="str">
        <f t="shared" si="78"/>
        <v>OK</v>
      </c>
      <c r="H1006" s="13">
        <f t="shared" si="79"/>
        <v>6</v>
      </c>
      <c r="I1006" s="14">
        <f t="shared" si="75"/>
        <v>1831.2600000000002</v>
      </c>
      <c r="K1006" t="str">
        <f>[1]!revcom(C1006)</f>
        <v>CTCAAT</v>
      </c>
      <c r="L1006">
        <v>5</v>
      </c>
    </row>
    <row r="1007" spans="1:12" ht="15.6" x14ac:dyDescent="0.3">
      <c r="A1007" s="9">
        <v>996</v>
      </c>
      <c r="B1007" s="1"/>
      <c r="C1007" s="2" t="s">
        <v>1002</v>
      </c>
      <c r="D1007" s="1"/>
      <c r="E1007" s="11">
        <f t="shared" si="76"/>
        <v>10</v>
      </c>
      <c r="F1007" s="12">
        <f t="shared" si="77"/>
        <v>16.666666666666664</v>
      </c>
      <c r="G1007" s="12" t="str">
        <f t="shared" si="78"/>
        <v>OK</v>
      </c>
      <c r="H1007" s="13">
        <f t="shared" si="79"/>
        <v>6</v>
      </c>
      <c r="I1007" s="14">
        <f t="shared" si="75"/>
        <v>1806.2399999999998</v>
      </c>
      <c r="K1007" t="str">
        <f>[1]!revcom(C1007)</f>
        <v>ATCAAT</v>
      </c>
      <c r="L1007">
        <v>4</v>
      </c>
    </row>
    <row r="1008" spans="1:12" ht="15.6" x14ac:dyDescent="0.3">
      <c r="A1008" s="9">
        <v>997</v>
      </c>
      <c r="B1008" s="1"/>
      <c r="C1008" s="2" t="s">
        <v>1003</v>
      </c>
      <c r="D1008" s="1"/>
      <c r="E1008" s="11">
        <f t="shared" si="76"/>
        <v>16</v>
      </c>
      <c r="F1008" s="12">
        <f t="shared" si="77"/>
        <v>33.333333333333329</v>
      </c>
      <c r="G1008" s="12" t="str">
        <f t="shared" si="78"/>
        <v>OK</v>
      </c>
      <c r="H1008" s="13">
        <f t="shared" si="79"/>
        <v>6</v>
      </c>
      <c r="I1008" s="14">
        <f t="shared" si="75"/>
        <v>1791.23</v>
      </c>
      <c r="K1008" t="str">
        <f>[1]!revcom(C1008)</f>
        <v>TGCAAT</v>
      </c>
      <c r="L1008">
        <v>5</v>
      </c>
    </row>
    <row r="1009" spans="1:12" ht="15.6" x14ac:dyDescent="0.3">
      <c r="A1009" s="9">
        <v>998</v>
      </c>
      <c r="B1009" s="1"/>
      <c r="C1009" s="2" t="s">
        <v>1004</v>
      </c>
      <c r="D1009" s="1"/>
      <c r="E1009" s="11">
        <f t="shared" si="76"/>
        <v>14</v>
      </c>
      <c r="F1009" s="12">
        <f t="shared" si="77"/>
        <v>50</v>
      </c>
      <c r="G1009" s="12" t="str">
        <f t="shared" si="78"/>
        <v>Warning</v>
      </c>
      <c r="H1009" s="13">
        <f t="shared" si="79"/>
        <v>6</v>
      </c>
      <c r="I1009" s="14">
        <f t="shared" si="75"/>
        <v>1767.1999999999998</v>
      </c>
      <c r="K1009" t="str">
        <f>[1]!revcom(C1009)</f>
        <v>GGCAAT</v>
      </c>
      <c r="L1009">
        <v>5</v>
      </c>
    </row>
    <row r="1010" spans="1:12" ht="15.6" x14ac:dyDescent="0.3">
      <c r="A1010" s="9">
        <v>999</v>
      </c>
      <c r="B1010" s="1"/>
      <c r="C1010" s="2" t="s">
        <v>1005</v>
      </c>
      <c r="D1010" s="1"/>
      <c r="E1010" s="11">
        <f t="shared" si="76"/>
        <v>14</v>
      </c>
      <c r="F1010" s="12">
        <f t="shared" si="77"/>
        <v>50</v>
      </c>
      <c r="G1010" s="12" t="str">
        <f t="shared" si="78"/>
        <v>Warning</v>
      </c>
      <c r="H1010" s="13">
        <f t="shared" si="79"/>
        <v>6</v>
      </c>
      <c r="I1010" s="14">
        <f t="shared" si="75"/>
        <v>1807.23</v>
      </c>
      <c r="K1010" t="str">
        <f>[1]!revcom(C1010)</f>
        <v>CGCAAT</v>
      </c>
      <c r="L1010">
        <v>5</v>
      </c>
    </row>
    <row r="1011" spans="1:12" ht="15.6" x14ac:dyDescent="0.3">
      <c r="A1011" s="9">
        <v>1000</v>
      </c>
      <c r="B1011" s="1"/>
      <c r="C1011" s="2" t="s">
        <v>1006</v>
      </c>
      <c r="D1011" s="1"/>
      <c r="E1011" s="11">
        <f t="shared" si="76"/>
        <v>8</v>
      </c>
      <c r="F1011" s="12">
        <f t="shared" si="77"/>
        <v>33.333333333333329</v>
      </c>
      <c r="G1011" s="12" t="str">
        <f t="shared" si="78"/>
        <v>OK</v>
      </c>
      <c r="H1011" s="13">
        <f t="shared" si="79"/>
        <v>6</v>
      </c>
      <c r="I1011" s="14">
        <f t="shared" si="75"/>
        <v>1782.21</v>
      </c>
      <c r="K1011" t="str">
        <f>[1]!revcom(C1011)</f>
        <v>AGCAAT</v>
      </c>
      <c r="L1011">
        <v>4</v>
      </c>
    </row>
    <row r="1012" spans="1:12" ht="15.6" x14ac:dyDescent="0.3">
      <c r="A1012" s="9">
        <v>1001</v>
      </c>
      <c r="B1012" s="1"/>
      <c r="C1012" s="2" t="s">
        <v>1007</v>
      </c>
      <c r="D1012" s="1"/>
      <c r="E1012" s="11">
        <f t="shared" si="76"/>
        <v>16</v>
      </c>
      <c r="F1012" s="12">
        <f t="shared" si="77"/>
        <v>33.333333333333329</v>
      </c>
      <c r="G1012" s="12" t="str">
        <f t="shared" si="78"/>
        <v>OK</v>
      </c>
      <c r="H1012" s="13">
        <f t="shared" si="79"/>
        <v>6</v>
      </c>
      <c r="I1012" s="14">
        <f t="shared" si="75"/>
        <v>1831.2600000000002</v>
      </c>
      <c r="K1012" t="str">
        <f>[1]!revcom(C1012)</f>
        <v>TCCAAT</v>
      </c>
      <c r="L1012">
        <v>5</v>
      </c>
    </row>
    <row r="1013" spans="1:12" ht="15.6" x14ac:dyDescent="0.3">
      <c r="A1013" s="9">
        <v>1002</v>
      </c>
      <c r="B1013" s="1"/>
      <c r="C1013" s="2" t="s">
        <v>1008</v>
      </c>
      <c r="D1013" s="1"/>
      <c r="E1013" s="11">
        <f t="shared" si="76"/>
        <v>14</v>
      </c>
      <c r="F1013" s="12">
        <f t="shared" si="77"/>
        <v>50</v>
      </c>
      <c r="G1013" s="12" t="str">
        <f t="shared" si="78"/>
        <v>Warning</v>
      </c>
      <c r="H1013" s="13">
        <f t="shared" si="79"/>
        <v>6</v>
      </c>
      <c r="I1013" s="14">
        <f t="shared" si="75"/>
        <v>1807.23</v>
      </c>
      <c r="K1013" t="str">
        <f>[1]!revcom(C1013)</f>
        <v>GCCAAT</v>
      </c>
      <c r="L1013">
        <v>5</v>
      </c>
    </row>
    <row r="1014" spans="1:12" ht="15.6" x14ac:dyDescent="0.3">
      <c r="A1014" s="9">
        <v>1003</v>
      </c>
      <c r="B1014" s="1"/>
      <c r="C1014" s="2" t="s">
        <v>1009</v>
      </c>
      <c r="D1014" s="1"/>
      <c r="E1014" s="11">
        <f t="shared" si="76"/>
        <v>14</v>
      </c>
      <c r="F1014" s="12">
        <f t="shared" si="77"/>
        <v>50</v>
      </c>
      <c r="G1014" s="12" t="str">
        <f t="shared" si="78"/>
        <v>Warning</v>
      </c>
      <c r="H1014" s="13">
        <f t="shared" si="79"/>
        <v>6</v>
      </c>
      <c r="I1014" s="14">
        <f t="shared" si="75"/>
        <v>1847.2600000000002</v>
      </c>
      <c r="K1014" t="str">
        <f>[1]!revcom(C1014)</f>
        <v>CCCAAT</v>
      </c>
      <c r="L1014">
        <v>5</v>
      </c>
    </row>
    <row r="1015" spans="1:12" ht="15.6" x14ac:dyDescent="0.3">
      <c r="A1015" s="9">
        <v>1004</v>
      </c>
      <c r="B1015" s="1"/>
      <c r="C1015" s="2" t="s">
        <v>1010</v>
      </c>
      <c r="D1015" s="1"/>
      <c r="E1015" s="11">
        <f t="shared" si="76"/>
        <v>8</v>
      </c>
      <c r="F1015" s="12">
        <f t="shared" si="77"/>
        <v>33.333333333333329</v>
      </c>
      <c r="G1015" s="12" t="str">
        <f t="shared" si="78"/>
        <v>OK</v>
      </c>
      <c r="H1015" s="13">
        <f t="shared" si="79"/>
        <v>6</v>
      </c>
      <c r="I1015" s="14">
        <f t="shared" si="75"/>
        <v>1822.2400000000002</v>
      </c>
      <c r="K1015" t="str">
        <f>[1]!revcom(C1015)</f>
        <v>ACCAAT</v>
      </c>
      <c r="L1015">
        <v>4</v>
      </c>
    </row>
    <row r="1016" spans="1:12" ht="15.6" x14ac:dyDescent="0.3">
      <c r="A1016" s="9">
        <v>1005</v>
      </c>
      <c r="B1016" s="1"/>
      <c r="C1016" s="2" t="s">
        <v>1011</v>
      </c>
      <c r="D1016" s="1"/>
      <c r="E1016" s="11">
        <f t="shared" si="76"/>
        <v>10</v>
      </c>
      <c r="F1016" s="12">
        <f t="shared" si="77"/>
        <v>16.666666666666664</v>
      </c>
      <c r="G1016" s="12" t="str">
        <f t="shared" si="78"/>
        <v>OK</v>
      </c>
      <c r="H1016" s="13">
        <f t="shared" si="79"/>
        <v>6</v>
      </c>
      <c r="I1016" s="14">
        <f t="shared" si="75"/>
        <v>1806.2399999999998</v>
      </c>
      <c r="K1016" t="str">
        <f>[1]!revcom(C1016)</f>
        <v>TACAAT</v>
      </c>
      <c r="L1016">
        <v>4</v>
      </c>
    </row>
    <row r="1017" spans="1:12" ht="15.6" x14ac:dyDescent="0.3">
      <c r="A1017" s="9">
        <v>1006</v>
      </c>
      <c r="B1017" s="1"/>
      <c r="C1017" s="2" t="s">
        <v>1012</v>
      </c>
      <c r="D1017" s="1"/>
      <c r="E1017" s="11">
        <f t="shared" si="76"/>
        <v>8</v>
      </c>
      <c r="F1017" s="12">
        <f t="shared" si="77"/>
        <v>33.333333333333329</v>
      </c>
      <c r="G1017" s="12" t="str">
        <f t="shared" si="78"/>
        <v>OK</v>
      </c>
      <c r="H1017" s="13">
        <f t="shared" si="79"/>
        <v>6</v>
      </c>
      <c r="I1017" s="14">
        <f t="shared" si="75"/>
        <v>1782.21</v>
      </c>
      <c r="K1017" t="str">
        <f>[1]!revcom(C1017)</f>
        <v>GACAAT</v>
      </c>
      <c r="L1017">
        <v>4</v>
      </c>
    </row>
    <row r="1018" spans="1:12" ht="15.6" x14ac:dyDescent="0.3">
      <c r="A1018" s="9">
        <v>1007</v>
      </c>
      <c r="B1018" s="1"/>
      <c r="C1018" s="2" t="s">
        <v>1013</v>
      </c>
      <c r="D1018" s="1"/>
      <c r="E1018" s="11">
        <f t="shared" si="76"/>
        <v>8</v>
      </c>
      <c r="F1018" s="12">
        <f t="shared" si="77"/>
        <v>33.333333333333329</v>
      </c>
      <c r="G1018" s="12" t="str">
        <f t="shared" si="78"/>
        <v>OK</v>
      </c>
      <c r="H1018" s="13">
        <f t="shared" si="79"/>
        <v>6</v>
      </c>
      <c r="I1018" s="14">
        <f t="shared" si="75"/>
        <v>1822.2400000000002</v>
      </c>
      <c r="K1018" t="str">
        <f>[1]!revcom(C1018)</f>
        <v>CACAAT</v>
      </c>
      <c r="L1018">
        <v>4</v>
      </c>
    </row>
    <row r="1019" spans="1:12" ht="15.6" x14ac:dyDescent="0.3">
      <c r="A1019" s="9">
        <v>1008</v>
      </c>
      <c r="B1019" s="1"/>
      <c r="C1019" s="2" t="s">
        <v>1014</v>
      </c>
      <c r="D1019" s="1"/>
      <c r="E1019" s="11">
        <f t="shared" si="76"/>
        <v>2</v>
      </c>
      <c r="F1019" s="12">
        <f t="shared" si="77"/>
        <v>16.666666666666664</v>
      </c>
      <c r="G1019" s="12" t="str">
        <f t="shared" si="78"/>
        <v>OK</v>
      </c>
      <c r="H1019" s="13">
        <f t="shared" si="79"/>
        <v>6</v>
      </c>
      <c r="I1019" s="14">
        <f t="shared" si="75"/>
        <v>1797.2199999999998</v>
      </c>
      <c r="K1019" t="str">
        <f>[1]!revcom(C1019)</f>
        <v>AACAAT</v>
      </c>
      <c r="L1019">
        <v>3</v>
      </c>
    </row>
    <row r="1020" spans="1:12" ht="15.6" x14ac:dyDescent="0.3">
      <c r="A1020" s="9">
        <v>1009</v>
      </c>
      <c r="B1020" s="1"/>
      <c r="C1020" s="2" t="s">
        <v>1015</v>
      </c>
      <c r="D1020" s="1"/>
      <c r="E1020" s="11">
        <f t="shared" si="76"/>
        <v>12</v>
      </c>
      <c r="F1020" s="12">
        <f t="shared" si="77"/>
        <v>0</v>
      </c>
      <c r="G1020" s="12" t="str">
        <f t="shared" si="78"/>
        <v>OK</v>
      </c>
      <c r="H1020" s="13">
        <f t="shared" si="79"/>
        <v>6</v>
      </c>
      <c r="I1020" s="14">
        <f t="shared" si="75"/>
        <v>1790.2399999999998</v>
      </c>
      <c r="K1020" t="str">
        <f>[1]!revcom(C1020)</f>
        <v>TTAAAT</v>
      </c>
      <c r="L1020">
        <v>4</v>
      </c>
    </row>
    <row r="1021" spans="1:12" ht="15.6" x14ac:dyDescent="0.3">
      <c r="A1021" s="9">
        <v>1010</v>
      </c>
      <c r="B1021" s="1"/>
      <c r="C1021" s="2" t="s">
        <v>1016</v>
      </c>
      <c r="D1021" s="1"/>
      <c r="E1021" s="11">
        <f t="shared" si="76"/>
        <v>10</v>
      </c>
      <c r="F1021" s="12">
        <f t="shared" si="77"/>
        <v>16.666666666666664</v>
      </c>
      <c r="G1021" s="12" t="str">
        <f t="shared" si="78"/>
        <v>OK</v>
      </c>
      <c r="H1021" s="13">
        <f t="shared" si="79"/>
        <v>6</v>
      </c>
      <c r="I1021" s="14">
        <f t="shared" si="75"/>
        <v>1766.21</v>
      </c>
      <c r="K1021" t="str">
        <f>[1]!revcom(C1021)</f>
        <v>GTAAAT</v>
      </c>
      <c r="L1021">
        <v>4</v>
      </c>
    </row>
    <row r="1022" spans="1:12" ht="15.6" x14ac:dyDescent="0.3">
      <c r="A1022" s="9">
        <v>1011</v>
      </c>
      <c r="B1022" s="1"/>
      <c r="C1022" s="2" t="s">
        <v>1017</v>
      </c>
      <c r="D1022" s="1"/>
      <c r="E1022" s="11">
        <f t="shared" si="76"/>
        <v>10</v>
      </c>
      <c r="F1022" s="12">
        <f t="shared" si="77"/>
        <v>16.666666666666664</v>
      </c>
      <c r="G1022" s="12" t="str">
        <f t="shared" si="78"/>
        <v>OK</v>
      </c>
      <c r="H1022" s="13">
        <f t="shared" si="79"/>
        <v>6</v>
      </c>
      <c r="I1022" s="14">
        <f t="shared" si="75"/>
        <v>1806.2399999999998</v>
      </c>
      <c r="K1022" t="str">
        <f>[1]!revcom(C1022)</f>
        <v>CTAAAT</v>
      </c>
      <c r="L1022">
        <v>4</v>
      </c>
    </row>
    <row r="1023" spans="1:12" ht="15.6" x14ac:dyDescent="0.3">
      <c r="A1023" s="9">
        <v>1012</v>
      </c>
      <c r="B1023" s="1"/>
      <c r="C1023" s="2" t="s">
        <v>1018</v>
      </c>
      <c r="D1023" s="1"/>
      <c r="E1023" s="11">
        <f t="shared" si="76"/>
        <v>4</v>
      </c>
      <c r="F1023" s="12">
        <f t="shared" si="77"/>
        <v>0</v>
      </c>
      <c r="G1023" s="12" t="str">
        <f t="shared" si="78"/>
        <v>OK</v>
      </c>
      <c r="H1023" s="13">
        <f t="shared" si="79"/>
        <v>6</v>
      </c>
      <c r="I1023" s="14">
        <f t="shared" si="75"/>
        <v>1781.2199999999998</v>
      </c>
      <c r="K1023" t="str">
        <f>[1]!revcom(C1023)</f>
        <v>ATAAAT</v>
      </c>
      <c r="L1023">
        <v>3</v>
      </c>
    </row>
    <row r="1024" spans="1:12" ht="15.6" x14ac:dyDescent="0.3">
      <c r="A1024" s="9">
        <v>1013</v>
      </c>
      <c r="B1024" s="1"/>
      <c r="C1024" s="2" t="s">
        <v>1019</v>
      </c>
      <c r="D1024" s="1"/>
      <c r="E1024" s="11">
        <f t="shared" si="76"/>
        <v>10</v>
      </c>
      <c r="F1024" s="12">
        <f t="shared" si="77"/>
        <v>16.666666666666664</v>
      </c>
      <c r="G1024" s="12" t="str">
        <f t="shared" si="78"/>
        <v>OK</v>
      </c>
      <c r="H1024" s="13">
        <f t="shared" si="79"/>
        <v>6</v>
      </c>
      <c r="I1024" s="14">
        <f t="shared" si="75"/>
        <v>1766.21</v>
      </c>
      <c r="K1024" t="str">
        <f>[1]!revcom(C1024)</f>
        <v>TGAAAT</v>
      </c>
      <c r="L1024">
        <v>4</v>
      </c>
    </row>
    <row r="1025" spans="1:12" ht="15.6" x14ac:dyDescent="0.3">
      <c r="A1025" s="9">
        <v>1014</v>
      </c>
      <c r="B1025" s="1"/>
      <c r="C1025" s="2" t="s">
        <v>1020</v>
      </c>
      <c r="D1025" s="1"/>
      <c r="E1025" s="11">
        <f t="shared" si="76"/>
        <v>8</v>
      </c>
      <c r="F1025" s="12">
        <f t="shared" si="77"/>
        <v>33.333333333333329</v>
      </c>
      <c r="G1025" s="12" t="str">
        <f t="shared" si="78"/>
        <v>OK</v>
      </c>
      <c r="H1025" s="13">
        <f t="shared" si="79"/>
        <v>6</v>
      </c>
      <c r="I1025" s="14">
        <f t="shared" si="75"/>
        <v>1742.1799999999998</v>
      </c>
      <c r="K1025" t="str">
        <f>[1]!revcom(C1025)</f>
        <v>GGAAAT</v>
      </c>
      <c r="L1025">
        <v>4</v>
      </c>
    </row>
    <row r="1026" spans="1:12" ht="15.6" x14ac:dyDescent="0.3">
      <c r="A1026" s="9">
        <v>1015</v>
      </c>
      <c r="B1026" s="1"/>
      <c r="C1026" s="2" t="s">
        <v>1021</v>
      </c>
      <c r="D1026" s="1"/>
      <c r="E1026" s="11">
        <f t="shared" si="76"/>
        <v>8</v>
      </c>
      <c r="F1026" s="12">
        <f t="shared" si="77"/>
        <v>33.333333333333329</v>
      </c>
      <c r="G1026" s="12" t="str">
        <f t="shared" si="78"/>
        <v>OK</v>
      </c>
      <c r="H1026" s="13">
        <f t="shared" si="79"/>
        <v>6</v>
      </c>
      <c r="I1026" s="14">
        <f t="shared" si="75"/>
        <v>1782.21</v>
      </c>
      <c r="K1026" t="str">
        <f>[1]!revcom(C1026)</f>
        <v>CGAAAT</v>
      </c>
      <c r="L1026">
        <v>4</v>
      </c>
    </row>
    <row r="1027" spans="1:12" ht="15.6" x14ac:dyDescent="0.3">
      <c r="A1027" s="9">
        <v>1016</v>
      </c>
      <c r="B1027" s="1"/>
      <c r="C1027" s="2" t="s">
        <v>1022</v>
      </c>
      <c r="D1027" s="1"/>
      <c r="E1027" s="11">
        <f t="shared" si="76"/>
        <v>2</v>
      </c>
      <c r="F1027" s="12">
        <f t="shared" si="77"/>
        <v>16.666666666666664</v>
      </c>
      <c r="G1027" s="12" t="str">
        <f t="shared" si="78"/>
        <v>OK</v>
      </c>
      <c r="H1027" s="13">
        <f t="shared" si="79"/>
        <v>6</v>
      </c>
      <c r="I1027" s="14">
        <f t="shared" si="75"/>
        <v>1757.19</v>
      </c>
      <c r="K1027" t="str">
        <f>[1]!revcom(C1027)</f>
        <v>AGAAAT</v>
      </c>
      <c r="L1027">
        <v>3</v>
      </c>
    </row>
    <row r="1028" spans="1:12" ht="15.6" x14ac:dyDescent="0.3">
      <c r="A1028" s="9">
        <v>1017</v>
      </c>
      <c r="B1028" s="1"/>
      <c r="C1028" s="2" t="s">
        <v>1023</v>
      </c>
      <c r="D1028" s="1"/>
      <c r="E1028" s="11">
        <f t="shared" si="76"/>
        <v>10</v>
      </c>
      <c r="F1028" s="12">
        <f t="shared" si="77"/>
        <v>16.666666666666664</v>
      </c>
      <c r="G1028" s="12" t="str">
        <f t="shared" si="78"/>
        <v>OK</v>
      </c>
      <c r="H1028" s="13">
        <f t="shared" si="79"/>
        <v>6</v>
      </c>
      <c r="I1028" s="14">
        <f t="shared" si="75"/>
        <v>1806.2399999999998</v>
      </c>
      <c r="K1028" t="str">
        <f>[1]!revcom(C1028)</f>
        <v>TCAAAT</v>
      </c>
      <c r="L1028">
        <v>4</v>
      </c>
    </row>
    <row r="1029" spans="1:12" ht="15.6" x14ac:dyDescent="0.3">
      <c r="A1029" s="9">
        <v>1018</v>
      </c>
      <c r="B1029" s="1"/>
      <c r="C1029" s="2" t="s">
        <v>1024</v>
      </c>
      <c r="D1029" s="1"/>
      <c r="E1029" s="11">
        <f t="shared" si="76"/>
        <v>8</v>
      </c>
      <c r="F1029" s="12">
        <f t="shared" si="77"/>
        <v>33.333333333333329</v>
      </c>
      <c r="G1029" s="12" t="str">
        <f t="shared" si="78"/>
        <v>OK</v>
      </c>
      <c r="H1029" s="13">
        <f t="shared" si="79"/>
        <v>6</v>
      </c>
      <c r="I1029" s="14">
        <f t="shared" si="75"/>
        <v>1782.21</v>
      </c>
      <c r="K1029" t="str">
        <f>[1]!revcom(C1029)</f>
        <v>GCAAAT</v>
      </c>
      <c r="L1029">
        <v>4</v>
      </c>
    </row>
    <row r="1030" spans="1:12" ht="15.6" x14ac:dyDescent="0.3">
      <c r="A1030" s="9">
        <v>1019</v>
      </c>
      <c r="B1030" s="1"/>
      <c r="C1030" s="2" t="s">
        <v>1025</v>
      </c>
      <c r="D1030" s="1"/>
      <c r="E1030" s="11">
        <f t="shared" si="76"/>
        <v>8</v>
      </c>
      <c r="F1030" s="12">
        <f t="shared" si="77"/>
        <v>33.333333333333329</v>
      </c>
      <c r="G1030" s="12" t="str">
        <f t="shared" si="78"/>
        <v>OK</v>
      </c>
      <c r="H1030" s="13">
        <f t="shared" si="79"/>
        <v>6</v>
      </c>
      <c r="I1030" s="14">
        <f t="shared" si="75"/>
        <v>1822.2400000000002</v>
      </c>
      <c r="K1030" t="str">
        <f>[1]!revcom(C1030)</f>
        <v>CCAAAT</v>
      </c>
      <c r="L1030">
        <v>4</v>
      </c>
    </row>
    <row r="1031" spans="1:12" ht="15.6" x14ac:dyDescent="0.3">
      <c r="A1031" s="9">
        <v>1020</v>
      </c>
      <c r="B1031" s="1"/>
      <c r="C1031" s="2" t="s">
        <v>1026</v>
      </c>
      <c r="D1031" s="1"/>
      <c r="E1031" s="11">
        <f t="shared" si="76"/>
        <v>2</v>
      </c>
      <c r="F1031" s="12">
        <f t="shared" si="77"/>
        <v>16.666666666666664</v>
      </c>
      <c r="G1031" s="12" t="str">
        <f t="shared" si="78"/>
        <v>OK</v>
      </c>
      <c r="H1031" s="13">
        <f t="shared" si="79"/>
        <v>6</v>
      </c>
      <c r="I1031" s="14">
        <f t="shared" si="75"/>
        <v>1797.2199999999998</v>
      </c>
      <c r="K1031" t="str">
        <f>[1]!revcom(C1031)</f>
        <v>ACAAAT</v>
      </c>
      <c r="L1031">
        <v>3</v>
      </c>
    </row>
    <row r="1032" spans="1:12" ht="15.6" x14ac:dyDescent="0.3">
      <c r="A1032" s="9">
        <v>1021</v>
      </c>
      <c r="B1032" s="1"/>
      <c r="C1032" s="2" t="s">
        <v>1027</v>
      </c>
      <c r="D1032" s="1"/>
      <c r="E1032" s="11">
        <f t="shared" si="76"/>
        <v>4</v>
      </c>
      <c r="F1032" s="12">
        <f t="shared" si="77"/>
        <v>0</v>
      </c>
      <c r="G1032" s="12" t="str">
        <f t="shared" si="78"/>
        <v>OK</v>
      </c>
      <c r="H1032" s="13">
        <f t="shared" si="79"/>
        <v>6</v>
      </c>
      <c r="I1032" s="14">
        <f t="shared" si="75"/>
        <v>1781.2199999999998</v>
      </c>
      <c r="K1032" t="str">
        <f>[1]!revcom(C1032)</f>
        <v>TAAAAT</v>
      </c>
      <c r="L1032">
        <v>3</v>
      </c>
    </row>
    <row r="1033" spans="1:12" ht="15.6" x14ac:dyDescent="0.3">
      <c r="A1033" s="9">
        <v>1022</v>
      </c>
      <c r="B1033" s="1"/>
      <c r="C1033" s="2" t="s">
        <v>1028</v>
      </c>
      <c r="D1033" s="1"/>
      <c r="E1033" s="11">
        <f t="shared" si="76"/>
        <v>2</v>
      </c>
      <c r="F1033" s="12">
        <f t="shared" si="77"/>
        <v>16.666666666666664</v>
      </c>
      <c r="G1033" s="12" t="str">
        <f t="shared" si="78"/>
        <v>OK</v>
      </c>
      <c r="H1033" s="13">
        <f t="shared" si="79"/>
        <v>6</v>
      </c>
      <c r="I1033" s="14">
        <f t="shared" si="75"/>
        <v>1757.19</v>
      </c>
      <c r="K1033" t="str">
        <f>[1]!revcom(C1033)</f>
        <v>GAAAAT</v>
      </c>
      <c r="L1033">
        <v>3</v>
      </c>
    </row>
    <row r="1034" spans="1:12" ht="15.6" x14ac:dyDescent="0.3">
      <c r="A1034" s="9">
        <v>1023</v>
      </c>
      <c r="B1034" s="1"/>
      <c r="C1034" s="2" t="s">
        <v>1029</v>
      </c>
      <c r="D1034" s="1"/>
      <c r="E1034" s="11">
        <f t="shared" si="76"/>
        <v>2</v>
      </c>
      <c r="F1034" s="12">
        <f t="shared" si="77"/>
        <v>16.666666666666664</v>
      </c>
      <c r="G1034" s="12" t="str">
        <f t="shared" si="78"/>
        <v>OK</v>
      </c>
      <c r="H1034" s="13">
        <f t="shared" si="79"/>
        <v>6</v>
      </c>
      <c r="I1034" s="14">
        <f t="shared" si="75"/>
        <v>1797.2199999999998</v>
      </c>
      <c r="K1034" t="str">
        <f>[1]!revcom(C1034)</f>
        <v>CAAAAT</v>
      </c>
      <c r="L1034">
        <v>3</v>
      </c>
    </row>
    <row r="1035" spans="1:12" ht="15.6" x14ac:dyDescent="0.3">
      <c r="A1035" s="9">
        <v>1024</v>
      </c>
      <c r="B1035" s="1"/>
      <c r="C1035" s="2" t="s">
        <v>1030</v>
      </c>
      <c r="D1035" s="1"/>
      <c r="E1035" s="11">
        <f t="shared" si="76"/>
        <v>-4</v>
      </c>
      <c r="F1035" s="12">
        <f t="shared" si="77"/>
        <v>0</v>
      </c>
      <c r="G1035" s="12" t="str">
        <f t="shared" si="78"/>
        <v>OK</v>
      </c>
      <c r="H1035" s="13">
        <f t="shared" si="79"/>
        <v>6</v>
      </c>
      <c r="I1035" s="14">
        <f t="shared" si="75"/>
        <v>1772.1999999999998</v>
      </c>
      <c r="K1035" t="str">
        <f>[1]!revcom(C1035)</f>
        <v>AAAAAT</v>
      </c>
      <c r="L1035">
        <v>2</v>
      </c>
    </row>
    <row r="1036" spans="1:12" ht="15.6" x14ac:dyDescent="0.3">
      <c r="A1036" s="9">
        <v>1025</v>
      </c>
      <c r="B1036" s="1"/>
      <c r="C1036" s="2" t="s">
        <v>1031</v>
      </c>
      <c r="D1036" s="1"/>
      <c r="E1036" s="11">
        <f t="shared" si="76"/>
        <v>34</v>
      </c>
      <c r="F1036" s="12">
        <f t="shared" si="77"/>
        <v>16.666666666666664</v>
      </c>
      <c r="G1036" s="12" t="str">
        <f t="shared" si="78"/>
        <v>OK</v>
      </c>
      <c r="H1036" s="13">
        <f t="shared" si="79"/>
        <v>6</v>
      </c>
      <c r="I1036" s="14">
        <f t="shared" si="75"/>
        <v>1793.27</v>
      </c>
      <c r="K1036" t="str">
        <f>[1]!revcom(C1036)</f>
        <v>TTTTTG</v>
      </c>
      <c r="L1036">
        <v>8</v>
      </c>
    </row>
    <row r="1037" spans="1:12" ht="15.6" x14ac:dyDescent="0.3">
      <c r="A1037" s="9">
        <v>1026</v>
      </c>
      <c r="B1037" s="1"/>
      <c r="C1037" s="2" t="s">
        <v>1032</v>
      </c>
      <c r="D1037" s="1"/>
      <c r="E1037" s="11">
        <f t="shared" si="76"/>
        <v>32</v>
      </c>
      <c r="F1037" s="12">
        <f t="shared" si="77"/>
        <v>33.333333333333329</v>
      </c>
      <c r="G1037" s="12" t="str">
        <f t="shared" si="78"/>
        <v>OK</v>
      </c>
      <c r="H1037" s="13">
        <f t="shared" si="79"/>
        <v>6</v>
      </c>
      <c r="I1037" s="14">
        <f t="shared" ref="I1037:I1100" si="80">((LEN(C1037)-(LEN(SUBSTITUTE(C1037,"A",""))))*249.23)+((LEN(C1037)-(LEN(SUBSTITUTE(C1037,"T",""))))*240.21)+((LEN(C1037)-(LEN(SUBSTITUTE(C1037,"C",""))))*225.2)+((LEN(C1037)-(LEN(SUBSTITUTE(C1037,"G",""))))*265.23)+(63.98*(LEN(C1037)-1)+(2.02))</f>
        <v>1769.2399999999998</v>
      </c>
      <c r="K1037" t="str">
        <f>[1]!revcom(C1037)</f>
        <v>GTTTTG</v>
      </c>
      <c r="L1037">
        <v>8</v>
      </c>
    </row>
    <row r="1038" spans="1:12" ht="15.6" x14ac:dyDescent="0.3">
      <c r="A1038" s="9">
        <v>1027</v>
      </c>
      <c r="B1038" s="1"/>
      <c r="C1038" s="2" t="s">
        <v>1033</v>
      </c>
      <c r="D1038" s="1"/>
      <c r="E1038" s="11">
        <f t="shared" ref="E1038:E1101" si="81">IF(LEN(C1038)&gt;15,(69.3+((41*((LEN(C1038)-(((LEN(C1038)-(LEN(SUBSTITUTE(C1038,"A",""))))+((LEN(C1038)-(LEN(SUBSTITUTE(C1038,"T","")))))))))/(LEN(C1038)))-(650/(LEN(C1038))))),(2*((LEN(C1038)-(((LEN(C1038)-(LEN(SUBSTITUTE(C1038,"C",""))))+((LEN(C1038)-(LEN(SUBSTITUTE(C1038,"G",""))))))))))+(4*((LEN(C1038)-(((LEN(C1038)-(LEN(SUBSTITUTE(C1038,"T",""))))+((LEN(C1038)-(LEN(SUBSTITUTE(C1038,"T","")))))))))))</f>
        <v>32</v>
      </c>
      <c r="F1038" s="12">
        <f t="shared" ref="F1038:F1101" si="82">((LEN(C1038)- LEN(SUBSTITUTE(C1038,"G","")))+(LEN(C1038)- LEN(SUBSTITUTE(C1038,"C",""))) )/LEN(C1038)*100</f>
        <v>33.333333333333329</v>
      </c>
      <c r="G1038" s="12" t="str">
        <f t="shared" ref="G1038:G1101" si="83">IF((-5+((LEN(SUBSTITUTE(RIGHT(C1038,5),"C","")))+((LEN(SUBSTITUTE(RIGHT(C1038,5),"G",""))))))&gt;=3,"OK","Warning")</f>
        <v>OK</v>
      </c>
      <c r="H1038" s="13">
        <f t="shared" ref="H1038:H1101" si="84">LEN(C1038)</f>
        <v>6</v>
      </c>
      <c r="I1038" s="14">
        <f t="shared" si="80"/>
        <v>1809.27</v>
      </c>
      <c r="K1038" t="str">
        <f>[1]!revcom(C1038)</f>
        <v>CTTTTG</v>
      </c>
      <c r="L1038">
        <v>8</v>
      </c>
    </row>
    <row r="1039" spans="1:12" ht="15.6" x14ac:dyDescent="0.3">
      <c r="A1039" s="9">
        <v>1028</v>
      </c>
      <c r="B1039" s="1"/>
      <c r="C1039" s="2" t="s">
        <v>1034</v>
      </c>
      <c r="D1039" s="1"/>
      <c r="E1039" s="11">
        <f t="shared" si="81"/>
        <v>26</v>
      </c>
      <c r="F1039" s="12">
        <f t="shared" si="82"/>
        <v>16.666666666666664</v>
      </c>
      <c r="G1039" s="12" t="str">
        <f t="shared" si="83"/>
        <v>OK</v>
      </c>
      <c r="H1039" s="13">
        <f t="shared" si="84"/>
        <v>6</v>
      </c>
      <c r="I1039" s="14">
        <f t="shared" si="80"/>
        <v>1784.25</v>
      </c>
      <c r="K1039" t="str">
        <f>[1]!revcom(C1039)</f>
        <v>ATTTTG</v>
      </c>
      <c r="L1039">
        <v>7</v>
      </c>
    </row>
    <row r="1040" spans="1:12" ht="15.6" x14ac:dyDescent="0.3">
      <c r="A1040" s="9">
        <v>1029</v>
      </c>
      <c r="B1040" s="1"/>
      <c r="C1040" s="2" t="s">
        <v>1035</v>
      </c>
      <c r="D1040" s="1"/>
      <c r="E1040" s="11">
        <f t="shared" si="81"/>
        <v>32</v>
      </c>
      <c r="F1040" s="12">
        <f t="shared" si="82"/>
        <v>33.333333333333329</v>
      </c>
      <c r="G1040" s="12" t="str">
        <f t="shared" si="83"/>
        <v>OK</v>
      </c>
      <c r="H1040" s="13">
        <f t="shared" si="84"/>
        <v>6</v>
      </c>
      <c r="I1040" s="14">
        <f t="shared" si="80"/>
        <v>1769.2399999999998</v>
      </c>
      <c r="K1040" t="str">
        <f>[1]!revcom(C1040)</f>
        <v>TGTTTG</v>
      </c>
      <c r="L1040">
        <v>8</v>
      </c>
    </row>
    <row r="1041" spans="1:12" ht="15.6" x14ac:dyDescent="0.3">
      <c r="A1041" s="9">
        <v>1030</v>
      </c>
      <c r="B1041" s="1"/>
      <c r="C1041" s="2" t="s">
        <v>1036</v>
      </c>
      <c r="D1041" s="1"/>
      <c r="E1041" s="11">
        <f t="shared" si="81"/>
        <v>30</v>
      </c>
      <c r="F1041" s="12">
        <f t="shared" si="82"/>
        <v>50</v>
      </c>
      <c r="G1041" s="12" t="str">
        <f t="shared" si="83"/>
        <v>OK</v>
      </c>
      <c r="H1041" s="13">
        <f t="shared" si="84"/>
        <v>6</v>
      </c>
      <c r="I1041" s="14">
        <f t="shared" si="80"/>
        <v>1745.21</v>
      </c>
      <c r="K1041" t="str">
        <f>[1]!revcom(C1041)</f>
        <v>GGTTTG</v>
      </c>
      <c r="L1041">
        <v>7</v>
      </c>
    </row>
    <row r="1042" spans="1:12" ht="15.6" x14ac:dyDescent="0.3">
      <c r="A1042" s="9">
        <v>1031</v>
      </c>
      <c r="B1042" s="1"/>
      <c r="C1042" s="2" t="s">
        <v>1037</v>
      </c>
      <c r="D1042" s="1"/>
      <c r="E1042" s="11">
        <f t="shared" si="81"/>
        <v>30</v>
      </c>
      <c r="F1042" s="12">
        <f t="shared" si="82"/>
        <v>50</v>
      </c>
      <c r="G1042" s="12" t="str">
        <f t="shared" si="83"/>
        <v>OK</v>
      </c>
      <c r="H1042" s="13">
        <f t="shared" si="84"/>
        <v>6</v>
      </c>
      <c r="I1042" s="14">
        <f t="shared" si="80"/>
        <v>1785.2399999999998</v>
      </c>
      <c r="K1042" t="str">
        <f>[1]!revcom(C1042)</f>
        <v>CGTTTG</v>
      </c>
      <c r="L1042">
        <v>7</v>
      </c>
    </row>
    <row r="1043" spans="1:12" ht="15.6" x14ac:dyDescent="0.3">
      <c r="A1043" s="9">
        <v>1032</v>
      </c>
      <c r="B1043" s="1"/>
      <c r="C1043" s="2" t="s">
        <v>1038</v>
      </c>
      <c r="D1043" s="1"/>
      <c r="E1043" s="11">
        <f t="shared" si="81"/>
        <v>24</v>
      </c>
      <c r="F1043" s="12">
        <f t="shared" si="82"/>
        <v>33.333333333333329</v>
      </c>
      <c r="G1043" s="12" t="str">
        <f t="shared" si="83"/>
        <v>OK</v>
      </c>
      <c r="H1043" s="13">
        <f t="shared" si="84"/>
        <v>6</v>
      </c>
      <c r="I1043" s="14">
        <f t="shared" si="80"/>
        <v>1760.2199999999998</v>
      </c>
      <c r="K1043" t="str">
        <f>[1]!revcom(C1043)</f>
        <v>AGTTTG</v>
      </c>
      <c r="L1043">
        <v>6</v>
      </c>
    </row>
    <row r="1044" spans="1:12" ht="15.6" x14ac:dyDescent="0.3">
      <c r="A1044" s="9">
        <v>1033</v>
      </c>
      <c r="B1044" s="1"/>
      <c r="C1044" s="2" t="s">
        <v>1039</v>
      </c>
      <c r="D1044" s="1"/>
      <c r="E1044" s="11">
        <f t="shared" si="81"/>
        <v>32</v>
      </c>
      <c r="F1044" s="12">
        <f t="shared" si="82"/>
        <v>33.333333333333329</v>
      </c>
      <c r="G1044" s="12" t="str">
        <f t="shared" si="83"/>
        <v>OK</v>
      </c>
      <c r="H1044" s="13">
        <f t="shared" si="84"/>
        <v>6</v>
      </c>
      <c r="I1044" s="14">
        <f t="shared" si="80"/>
        <v>1809.27</v>
      </c>
      <c r="K1044" t="str">
        <f>[1]!revcom(C1044)</f>
        <v>TCTTTG</v>
      </c>
      <c r="L1044">
        <v>8</v>
      </c>
    </row>
    <row r="1045" spans="1:12" ht="15.6" x14ac:dyDescent="0.3">
      <c r="A1045" s="9">
        <v>1034</v>
      </c>
      <c r="B1045" s="1"/>
      <c r="C1045" s="2" t="s">
        <v>1040</v>
      </c>
      <c r="D1045" s="1"/>
      <c r="E1045" s="11">
        <f t="shared" si="81"/>
        <v>30</v>
      </c>
      <c r="F1045" s="12">
        <f t="shared" si="82"/>
        <v>50</v>
      </c>
      <c r="G1045" s="12" t="str">
        <f t="shared" si="83"/>
        <v>OK</v>
      </c>
      <c r="H1045" s="13">
        <f t="shared" si="84"/>
        <v>6</v>
      </c>
      <c r="I1045" s="14">
        <f t="shared" si="80"/>
        <v>1785.2399999999998</v>
      </c>
      <c r="K1045" t="str">
        <f>[1]!revcom(C1045)</f>
        <v>GCTTTG</v>
      </c>
      <c r="L1045">
        <v>7</v>
      </c>
    </row>
    <row r="1046" spans="1:12" ht="15.6" x14ac:dyDescent="0.3">
      <c r="A1046" s="9">
        <v>1035</v>
      </c>
      <c r="B1046" s="1"/>
      <c r="C1046" s="2" t="s">
        <v>1041</v>
      </c>
      <c r="D1046" s="1"/>
      <c r="E1046" s="11">
        <f t="shared" si="81"/>
        <v>30</v>
      </c>
      <c r="F1046" s="12">
        <f t="shared" si="82"/>
        <v>50</v>
      </c>
      <c r="G1046" s="12" t="str">
        <f t="shared" si="83"/>
        <v>OK</v>
      </c>
      <c r="H1046" s="13">
        <f t="shared" si="84"/>
        <v>6</v>
      </c>
      <c r="I1046" s="14">
        <f t="shared" si="80"/>
        <v>1825.27</v>
      </c>
      <c r="K1046" t="str">
        <f>[1]!revcom(C1046)</f>
        <v>CCTTTG</v>
      </c>
      <c r="L1046">
        <v>7</v>
      </c>
    </row>
    <row r="1047" spans="1:12" ht="15.6" x14ac:dyDescent="0.3">
      <c r="A1047" s="9">
        <v>1036</v>
      </c>
      <c r="B1047" s="1"/>
      <c r="C1047" s="2" t="s">
        <v>1042</v>
      </c>
      <c r="D1047" s="1"/>
      <c r="E1047" s="11">
        <f t="shared" si="81"/>
        <v>24</v>
      </c>
      <c r="F1047" s="12">
        <f t="shared" si="82"/>
        <v>33.333333333333329</v>
      </c>
      <c r="G1047" s="12" t="str">
        <f t="shared" si="83"/>
        <v>OK</v>
      </c>
      <c r="H1047" s="13">
        <f t="shared" si="84"/>
        <v>6</v>
      </c>
      <c r="I1047" s="14">
        <f t="shared" si="80"/>
        <v>1800.25</v>
      </c>
      <c r="K1047" t="str">
        <f>[1]!revcom(C1047)</f>
        <v>ACTTTG</v>
      </c>
      <c r="L1047">
        <v>6</v>
      </c>
    </row>
    <row r="1048" spans="1:12" ht="15.6" x14ac:dyDescent="0.3">
      <c r="A1048" s="9">
        <v>1037</v>
      </c>
      <c r="B1048" s="1"/>
      <c r="C1048" s="2" t="s">
        <v>1043</v>
      </c>
      <c r="D1048" s="1"/>
      <c r="E1048" s="11">
        <f t="shared" si="81"/>
        <v>26</v>
      </c>
      <c r="F1048" s="12">
        <f t="shared" si="82"/>
        <v>16.666666666666664</v>
      </c>
      <c r="G1048" s="12" t="str">
        <f t="shared" si="83"/>
        <v>OK</v>
      </c>
      <c r="H1048" s="13">
        <f t="shared" si="84"/>
        <v>6</v>
      </c>
      <c r="I1048" s="14">
        <f t="shared" si="80"/>
        <v>1784.25</v>
      </c>
      <c r="K1048" t="str">
        <f>[1]!revcom(C1048)</f>
        <v>TATTTG</v>
      </c>
      <c r="L1048">
        <v>7</v>
      </c>
    </row>
    <row r="1049" spans="1:12" ht="15.6" x14ac:dyDescent="0.3">
      <c r="A1049" s="9">
        <v>1038</v>
      </c>
      <c r="B1049" s="1"/>
      <c r="C1049" s="2" t="s">
        <v>1044</v>
      </c>
      <c r="D1049" s="1"/>
      <c r="E1049" s="11">
        <f t="shared" si="81"/>
        <v>24</v>
      </c>
      <c r="F1049" s="12">
        <f t="shared" si="82"/>
        <v>33.333333333333329</v>
      </c>
      <c r="G1049" s="12" t="str">
        <f t="shared" si="83"/>
        <v>OK</v>
      </c>
      <c r="H1049" s="13">
        <f t="shared" si="84"/>
        <v>6</v>
      </c>
      <c r="I1049" s="14">
        <f t="shared" si="80"/>
        <v>1760.2199999999998</v>
      </c>
      <c r="K1049" t="str">
        <f>[1]!revcom(C1049)</f>
        <v>GATTTG</v>
      </c>
      <c r="L1049">
        <v>6</v>
      </c>
    </row>
    <row r="1050" spans="1:12" ht="15.6" x14ac:dyDescent="0.3">
      <c r="A1050" s="9">
        <v>1039</v>
      </c>
      <c r="B1050" s="1"/>
      <c r="C1050" s="2" t="s">
        <v>1045</v>
      </c>
      <c r="D1050" s="1"/>
      <c r="E1050" s="11">
        <f t="shared" si="81"/>
        <v>24</v>
      </c>
      <c r="F1050" s="12">
        <f t="shared" si="82"/>
        <v>33.333333333333329</v>
      </c>
      <c r="G1050" s="12" t="str">
        <f t="shared" si="83"/>
        <v>OK</v>
      </c>
      <c r="H1050" s="13">
        <f t="shared" si="84"/>
        <v>6</v>
      </c>
      <c r="I1050" s="14">
        <f t="shared" si="80"/>
        <v>1800.25</v>
      </c>
      <c r="K1050" t="str">
        <f>[1]!revcom(C1050)</f>
        <v>CATTTG</v>
      </c>
      <c r="L1050">
        <v>6</v>
      </c>
    </row>
    <row r="1051" spans="1:12" ht="15.6" x14ac:dyDescent="0.3">
      <c r="A1051" s="9">
        <v>1040</v>
      </c>
      <c r="B1051" s="1"/>
      <c r="C1051" s="2" t="s">
        <v>1046</v>
      </c>
      <c r="D1051" s="1"/>
      <c r="E1051" s="11">
        <f t="shared" si="81"/>
        <v>18</v>
      </c>
      <c r="F1051" s="12">
        <f t="shared" si="82"/>
        <v>16.666666666666664</v>
      </c>
      <c r="G1051" s="12" t="str">
        <f t="shared" si="83"/>
        <v>OK</v>
      </c>
      <c r="H1051" s="13">
        <f t="shared" si="84"/>
        <v>6</v>
      </c>
      <c r="I1051" s="14">
        <f t="shared" si="80"/>
        <v>1775.23</v>
      </c>
      <c r="K1051" t="str">
        <f>[1]!revcom(C1051)</f>
        <v>AATTTG</v>
      </c>
      <c r="L1051">
        <v>5</v>
      </c>
    </row>
    <row r="1052" spans="1:12" ht="15.6" x14ac:dyDescent="0.3">
      <c r="A1052" s="9">
        <v>1041</v>
      </c>
      <c r="B1052" s="1"/>
      <c r="C1052" s="2" t="s">
        <v>1047</v>
      </c>
      <c r="D1052" s="1"/>
      <c r="E1052" s="11">
        <f t="shared" si="81"/>
        <v>32</v>
      </c>
      <c r="F1052" s="12">
        <f t="shared" si="82"/>
        <v>33.333333333333329</v>
      </c>
      <c r="G1052" s="12" t="str">
        <f t="shared" si="83"/>
        <v>OK</v>
      </c>
      <c r="H1052" s="13">
        <f t="shared" si="84"/>
        <v>6</v>
      </c>
      <c r="I1052" s="14">
        <f t="shared" si="80"/>
        <v>1769.2399999999998</v>
      </c>
      <c r="K1052" t="str">
        <f>[1]!revcom(C1052)</f>
        <v>TTGTTG</v>
      </c>
      <c r="L1052">
        <v>8</v>
      </c>
    </row>
    <row r="1053" spans="1:12" ht="15.6" x14ac:dyDescent="0.3">
      <c r="A1053" s="9">
        <v>1042</v>
      </c>
      <c r="B1053" s="1"/>
      <c r="C1053" s="2" t="s">
        <v>1048</v>
      </c>
      <c r="D1053" s="1"/>
      <c r="E1053" s="11">
        <f t="shared" si="81"/>
        <v>30</v>
      </c>
      <c r="F1053" s="12">
        <f t="shared" si="82"/>
        <v>50</v>
      </c>
      <c r="G1053" s="12" t="str">
        <f t="shared" si="83"/>
        <v>OK</v>
      </c>
      <c r="H1053" s="13">
        <f t="shared" si="84"/>
        <v>6</v>
      </c>
      <c r="I1053" s="14">
        <f t="shared" si="80"/>
        <v>1745.21</v>
      </c>
      <c r="K1053" t="str">
        <f>[1]!revcom(C1053)</f>
        <v>GTGTTG</v>
      </c>
      <c r="L1053">
        <v>7</v>
      </c>
    </row>
    <row r="1054" spans="1:12" ht="15.6" x14ac:dyDescent="0.3">
      <c r="A1054" s="9">
        <v>1043</v>
      </c>
      <c r="B1054" s="1"/>
      <c r="C1054" s="2" t="s">
        <v>1049</v>
      </c>
      <c r="D1054" s="1"/>
      <c r="E1054" s="11">
        <f t="shared" si="81"/>
        <v>30</v>
      </c>
      <c r="F1054" s="12">
        <f t="shared" si="82"/>
        <v>50</v>
      </c>
      <c r="G1054" s="12" t="str">
        <f t="shared" si="83"/>
        <v>OK</v>
      </c>
      <c r="H1054" s="13">
        <f t="shared" si="84"/>
        <v>6</v>
      </c>
      <c r="I1054" s="14">
        <f t="shared" si="80"/>
        <v>1785.2399999999998</v>
      </c>
      <c r="K1054" t="str">
        <f>[1]!revcom(C1054)</f>
        <v>CTGTTG</v>
      </c>
      <c r="L1054">
        <v>7</v>
      </c>
    </row>
    <row r="1055" spans="1:12" ht="15.6" x14ac:dyDescent="0.3">
      <c r="A1055" s="9">
        <v>1044</v>
      </c>
      <c r="B1055" s="1"/>
      <c r="C1055" s="2" t="s">
        <v>1050</v>
      </c>
      <c r="D1055" s="1"/>
      <c r="E1055" s="11">
        <f t="shared" si="81"/>
        <v>24</v>
      </c>
      <c r="F1055" s="12">
        <f t="shared" si="82"/>
        <v>33.333333333333329</v>
      </c>
      <c r="G1055" s="12" t="str">
        <f t="shared" si="83"/>
        <v>OK</v>
      </c>
      <c r="H1055" s="13">
        <f t="shared" si="84"/>
        <v>6</v>
      </c>
      <c r="I1055" s="14">
        <f t="shared" si="80"/>
        <v>1760.2199999999998</v>
      </c>
      <c r="K1055" t="str">
        <f>[1]!revcom(C1055)</f>
        <v>ATGTTG</v>
      </c>
      <c r="L1055">
        <v>6</v>
      </c>
    </row>
    <row r="1056" spans="1:12" ht="15.6" x14ac:dyDescent="0.3">
      <c r="A1056" s="9">
        <v>1045</v>
      </c>
      <c r="B1056" s="1"/>
      <c r="C1056" s="2" t="s">
        <v>1051</v>
      </c>
      <c r="D1056" s="1"/>
      <c r="E1056" s="11">
        <f t="shared" si="81"/>
        <v>30</v>
      </c>
      <c r="F1056" s="12">
        <f t="shared" si="82"/>
        <v>50</v>
      </c>
      <c r="G1056" s="12" t="str">
        <f t="shared" si="83"/>
        <v>OK</v>
      </c>
      <c r="H1056" s="13">
        <f t="shared" si="84"/>
        <v>6</v>
      </c>
      <c r="I1056" s="14">
        <f t="shared" si="80"/>
        <v>1745.21</v>
      </c>
      <c r="K1056" t="str">
        <f>[1]!revcom(C1056)</f>
        <v>TGGTTG</v>
      </c>
      <c r="L1056">
        <v>7</v>
      </c>
    </row>
    <row r="1057" spans="1:12" ht="15.6" x14ac:dyDescent="0.3">
      <c r="A1057" s="9">
        <v>1046</v>
      </c>
      <c r="B1057" s="1"/>
      <c r="C1057" s="2" t="s">
        <v>1052</v>
      </c>
      <c r="D1057" s="1"/>
      <c r="E1057" s="11">
        <f t="shared" si="81"/>
        <v>28</v>
      </c>
      <c r="F1057" s="12">
        <f t="shared" si="82"/>
        <v>66.666666666666657</v>
      </c>
      <c r="G1057" s="12" t="str">
        <f t="shared" si="83"/>
        <v>Warning</v>
      </c>
      <c r="H1057" s="13">
        <f t="shared" si="84"/>
        <v>6</v>
      </c>
      <c r="I1057" s="14">
        <f t="shared" si="80"/>
        <v>1721.1799999999998</v>
      </c>
      <c r="K1057" t="str">
        <f>[1]!revcom(C1057)</f>
        <v>GGGTTG</v>
      </c>
      <c r="L1057">
        <v>7</v>
      </c>
    </row>
    <row r="1058" spans="1:12" ht="15.6" x14ac:dyDescent="0.3">
      <c r="A1058" s="9">
        <v>1047</v>
      </c>
      <c r="B1058" s="1"/>
      <c r="C1058" s="2" t="s">
        <v>1053</v>
      </c>
      <c r="D1058" s="1"/>
      <c r="E1058" s="11">
        <f t="shared" si="81"/>
        <v>28</v>
      </c>
      <c r="F1058" s="12">
        <f t="shared" si="82"/>
        <v>66.666666666666657</v>
      </c>
      <c r="G1058" s="12" t="str">
        <f t="shared" si="83"/>
        <v>Warning</v>
      </c>
      <c r="H1058" s="13">
        <f t="shared" si="84"/>
        <v>6</v>
      </c>
      <c r="I1058" s="14">
        <f t="shared" si="80"/>
        <v>1761.21</v>
      </c>
      <c r="K1058" t="str">
        <f>[1]!revcom(C1058)</f>
        <v>CGGTTG</v>
      </c>
      <c r="L1058">
        <v>7</v>
      </c>
    </row>
    <row r="1059" spans="1:12" ht="15.6" x14ac:dyDescent="0.3">
      <c r="A1059" s="9">
        <v>1048</v>
      </c>
      <c r="B1059" s="1"/>
      <c r="C1059" s="2" t="s">
        <v>1054</v>
      </c>
      <c r="D1059" s="1"/>
      <c r="E1059" s="11">
        <f t="shared" si="81"/>
        <v>22</v>
      </c>
      <c r="F1059" s="12">
        <f t="shared" si="82"/>
        <v>50</v>
      </c>
      <c r="G1059" s="12" t="str">
        <f t="shared" si="83"/>
        <v>OK</v>
      </c>
      <c r="H1059" s="13">
        <f t="shared" si="84"/>
        <v>6</v>
      </c>
      <c r="I1059" s="14">
        <f t="shared" si="80"/>
        <v>1736.19</v>
      </c>
      <c r="K1059" t="str">
        <f>[1]!revcom(C1059)</f>
        <v>AGGTTG</v>
      </c>
      <c r="L1059">
        <v>6</v>
      </c>
    </row>
    <row r="1060" spans="1:12" ht="15.6" x14ac:dyDescent="0.3">
      <c r="A1060" s="9">
        <v>1049</v>
      </c>
      <c r="B1060" s="1"/>
      <c r="C1060" s="2" t="s">
        <v>1055</v>
      </c>
      <c r="D1060" s="1"/>
      <c r="E1060" s="11">
        <f t="shared" si="81"/>
        <v>30</v>
      </c>
      <c r="F1060" s="12">
        <f t="shared" si="82"/>
        <v>50</v>
      </c>
      <c r="G1060" s="12" t="str">
        <f t="shared" si="83"/>
        <v>OK</v>
      </c>
      <c r="H1060" s="13">
        <f t="shared" si="84"/>
        <v>6</v>
      </c>
      <c r="I1060" s="14">
        <f t="shared" si="80"/>
        <v>1785.2399999999998</v>
      </c>
      <c r="K1060" t="str">
        <f>[1]!revcom(C1060)</f>
        <v>TCGTTG</v>
      </c>
      <c r="L1060">
        <v>7</v>
      </c>
    </row>
    <row r="1061" spans="1:12" ht="15.6" x14ac:dyDescent="0.3">
      <c r="A1061" s="9">
        <v>1050</v>
      </c>
      <c r="B1061" s="1"/>
      <c r="C1061" s="2" t="s">
        <v>1056</v>
      </c>
      <c r="D1061" s="1"/>
      <c r="E1061" s="11">
        <f t="shared" si="81"/>
        <v>28</v>
      </c>
      <c r="F1061" s="12">
        <f t="shared" si="82"/>
        <v>66.666666666666657</v>
      </c>
      <c r="G1061" s="12" t="str">
        <f t="shared" si="83"/>
        <v>Warning</v>
      </c>
      <c r="H1061" s="13">
        <f t="shared" si="84"/>
        <v>6</v>
      </c>
      <c r="I1061" s="14">
        <f t="shared" si="80"/>
        <v>1761.21</v>
      </c>
      <c r="K1061" t="str">
        <f>[1]!revcom(C1061)</f>
        <v>GCGTTG</v>
      </c>
      <c r="L1061">
        <v>7</v>
      </c>
    </row>
    <row r="1062" spans="1:12" ht="15.6" x14ac:dyDescent="0.3">
      <c r="A1062" s="9">
        <v>1051</v>
      </c>
      <c r="B1062" s="1"/>
      <c r="C1062" s="2" t="s">
        <v>1057</v>
      </c>
      <c r="D1062" s="1"/>
      <c r="E1062" s="11">
        <f t="shared" si="81"/>
        <v>28</v>
      </c>
      <c r="F1062" s="12">
        <f t="shared" si="82"/>
        <v>66.666666666666657</v>
      </c>
      <c r="G1062" s="12" t="str">
        <f t="shared" si="83"/>
        <v>Warning</v>
      </c>
      <c r="H1062" s="13">
        <f t="shared" si="84"/>
        <v>6</v>
      </c>
      <c r="I1062" s="14">
        <f t="shared" si="80"/>
        <v>1801.2399999999998</v>
      </c>
      <c r="K1062" t="str">
        <f>[1]!revcom(C1062)</f>
        <v>CCGTTG</v>
      </c>
      <c r="L1062">
        <v>7</v>
      </c>
    </row>
    <row r="1063" spans="1:12" ht="15.6" x14ac:dyDescent="0.3">
      <c r="A1063" s="9">
        <v>1052</v>
      </c>
      <c r="B1063" s="1"/>
      <c r="C1063" s="2" t="s">
        <v>1058</v>
      </c>
      <c r="D1063" s="1"/>
      <c r="E1063" s="11">
        <f t="shared" si="81"/>
        <v>22</v>
      </c>
      <c r="F1063" s="12">
        <f t="shared" si="82"/>
        <v>50</v>
      </c>
      <c r="G1063" s="12" t="str">
        <f t="shared" si="83"/>
        <v>OK</v>
      </c>
      <c r="H1063" s="13">
        <f t="shared" si="84"/>
        <v>6</v>
      </c>
      <c r="I1063" s="14">
        <f t="shared" si="80"/>
        <v>1776.2199999999998</v>
      </c>
      <c r="K1063" t="str">
        <f>[1]!revcom(C1063)</f>
        <v>ACGTTG</v>
      </c>
      <c r="L1063">
        <v>6</v>
      </c>
    </row>
    <row r="1064" spans="1:12" ht="15.6" x14ac:dyDescent="0.3">
      <c r="A1064" s="9">
        <v>1053</v>
      </c>
      <c r="B1064" s="1"/>
      <c r="C1064" s="2" t="s">
        <v>1059</v>
      </c>
      <c r="D1064" s="1"/>
      <c r="E1064" s="11">
        <f t="shared" si="81"/>
        <v>24</v>
      </c>
      <c r="F1064" s="12">
        <f t="shared" si="82"/>
        <v>33.333333333333329</v>
      </c>
      <c r="G1064" s="12" t="str">
        <f t="shared" si="83"/>
        <v>OK</v>
      </c>
      <c r="H1064" s="13">
        <f t="shared" si="84"/>
        <v>6</v>
      </c>
      <c r="I1064" s="14">
        <f t="shared" si="80"/>
        <v>1760.2199999999998</v>
      </c>
      <c r="K1064" t="str">
        <f>[1]!revcom(C1064)</f>
        <v>TAGTTG</v>
      </c>
      <c r="L1064">
        <v>6</v>
      </c>
    </row>
    <row r="1065" spans="1:12" ht="15.6" x14ac:dyDescent="0.3">
      <c r="A1065" s="9">
        <v>1054</v>
      </c>
      <c r="B1065" s="1"/>
      <c r="C1065" s="2" t="s">
        <v>1060</v>
      </c>
      <c r="D1065" s="1"/>
      <c r="E1065" s="11">
        <f t="shared" si="81"/>
        <v>22</v>
      </c>
      <c r="F1065" s="12">
        <f t="shared" si="82"/>
        <v>50</v>
      </c>
      <c r="G1065" s="12" t="str">
        <f t="shared" si="83"/>
        <v>OK</v>
      </c>
      <c r="H1065" s="13">
        <f t="shared" si="84"/>
        <v>6</v>
      </c>
      <c r="I1065" s="14">
        <f t="shared" si="80"/>
        <v>1736.19</v>
      </c>
      <c r="K1065" t="str">
        <f>[1]!revcom(C1065)</f>
        <v>GAGTTG</v>
      </c>
      <c r="L1065">
        <v>6</v>
      </c>
    </row>
    <row r="1066" spans="1:12" ht="15.6" x14ac:dyDescent="0.3">
      <c r="A1066" s="9">
        <v>1055</v>
      </c>
      <c r="B1066" s="1"/>
      <c r="C1066" s="2" t="s">
        <v>1061</v>
      </c>
      <c r="D1066" s="1"/>
      <c r="E1066" s="11">
        <f t="shared" si="81"/>
        <v>22</v>
      </c>
      <c r="F1066" s="12">
        <f t="shared" si="82"/>
        <v>50</v>
      </c>
      <c r="G1066" s="12" t="str">
        <f t="shared" si="83"/>
        <v>OK</v>
      </c>
      <c r="H1066" s="13">
        <f t="shared" si="84"/>
        <v>6</v>
      </c>
      <c r="I1066" s="14">
        <f t="shared" si="80"/>
        <v>1776.2199999999998</v>
      </c>
      <c r="K1066" t="str">
        <f>[1]!revcom(C1066)</f>
        <v>CAGTTG</v>
      </c>
      <c r="L1066">
        <v>6</v>
      </c>
    </row>
    <row r="1067" spans="1:12" ht="15.6" x14ac:dyDescent="0.3">
      <c r="A1067" s="9">
        <v>1056</v>
      </c>
      <c r="B1067" s="1"/>
      <c r="C1067" s="2" t="s">
        <v>1062</v>
      </c>
      <c r="D1067" s="1"/>
      <c r="E1067" s="11">
        <f t="shared" si="81"/>
        <v>16</v>
      </c>
      <c r="F1067" s="12">
        <f t="shared" si="82"/>
        <v>33.333333333333329</v>
      </c>
      <c r="G1067" s="12" t="str">
        <f t="shared" si="83"/>
        <v>OK</v>
      </c>
      <c r="H1067" s="13">
        <f t="shared" si="84"/>
        <v>6</v>
      </c>
      <c r="I1067" s="14">
        <f t="shared" si="80"/>
        <v>1751.1999999999998</v>
      </c>
      <c r="K1067" t="str">
        <f>[1]!revcom(C1067)</f>
        <v>AAGTTG</v>
      </c>
      <c r="L1067">
        <v>5</v>
      </c>
    </row>
    <row r="1068" spans="1:12" ht="15.6" x14ac:dyDescent="0.3">
      <c r="A1068" s="9">
        <v>1057</v>
      </c>
      <c r="B1068" s="1"/>
      <c r="C1068" s="2" t="s">
        <v>1063</v>
      </c>
      <c r="D1068" s="1"/>
      <c r="E1068" s="11">
        <f t="shared" si="81"/>
        <v>32</v>
      </c>
      <c r="F1068" s="12">
        <f t="shared" si="82"/>
        <v>33.333333333333329</v>
      </c>
      <c r="G1068" s="12" t="str">
        <f t="shared" si="83"/>
        <v>OK</v>
      </c>
      <c r="H1068" s="13">
        <f t="shared" si="84"/>
        <v>6</v>
      </c>
      <c r="I1068" s="14">
        <f t="shared" si="80"/>
        <v>1809.27</v>
      </c>
      <c r="K1068" t="str">
        <f>[1]!revcom(C1068)</f>
        <v>TTCTTG</v>
      </c>
      <c r="L1068">
        <v>8</v>
      </c>
    </row>
    <row r="1069" spans="1:12" ht="15.6" x14ac:dyDescent="0.3">
      <c r="A1069" s="9">
        <v>1058</v>
      </c>
      <c r="B1069" s="1"/>
      <c r="C1069" s="2" t="s">
        <v>1064</v>
      </c>
      <c r="D1069" s="1"/>
      <c r="E1069" s="11">
        <f t="shared" si="81"/>
        <v>30</v>
      </c>
      <c r="F1069" s="12">
        <f t="shared" si="82"/>
        <v>50</v>
      </c>
      <c r="G1069" s="12" t="str">
        <f t="shared" si="83"/>
        <v>OK</v>
      </c>
      <c r="H1069" s="13">
        <f t="shared" si="84"/>
        <v>6</v>
      </c>
      <c r="I1069" s="14">
        <f t="shared" si="80"/>
        <v>1785.2399999999998</v>
      </c>
      <c r="K1069" t="str">
        <f>[1]!revcom(C1069)</f>
        <v>GTCTTG</v>
      </c>
      <c r="L1069">
        <v>7</v>
      </c>
    </row>
    <row r="1070" spans="1:12" ht="15.6" x14ac:dyDescent="0.3">
      <c r="A1070" s="9">
        <v>1059</v>
      </c>
      <c r="B1070" s="1"/>
      <c r="C1070" s="2" t="s">
        <v>1065</v>
      </c>
      <c r="D1070" s="1"/>
      <c r="E1070" s="11">
        <f t="shared" si="81"/>
        <v>30</v>
      </c>
      <c r="F1070" s="12">
        <f t="shared" si="82"/>
        <v>50</v>
      </c>
      <c r="G1070" s="12" t="str">
        <f t="shared" si="83"/>
        <v>OK</v>
      </c>
      <c r="H1070" s="13">
        <f t="shared" si="84"/>
        <v>6</v>
      </c>
      <c r="I1070" s="14">
        <f t="shared" si="80"/>
        <v>1825.27</v>
      </c>
      <c r="K1070" t="str">
        <f>[1]!revcom(C1070)</f>
        <v>CTCTTG</v>
      </c>
      <c r="L1070">
        <v>7</v>
      </c>
    </row>
    <row r="1071" spans="1:12" ht="15.6" x14ac:dyDescent="0.3">
      <c r="A1071" s="9">
        <v>1060</v>
      </c>
      <c r="B1071" s="1"/>
      <c r="C1071" s="2" t="s">
        <v>1066</v>
      </c>
      <c r="D1071" s="1"/>
      <c r="E1071" s="11">
        <f t="shared" si="81"/>
        <v>24</v>
      </c>
      <c r="F1071" s="12">
        <f t="shared" si="82"/>
        <v>33.333333333333329</v>
      </c>
      <c r="G1071" s="12" t="str">
        <f t="shared" si="83"/>
        <v>OK</v>
      </c>
      <c r="H1071" s="13">
        <f t="shared" si="84"/>
        <v>6</v>
      </c>
      <c r="I1071" s="14">
        <f t="shared" si="80"/>
        <v>1800.25</v>
      </c>
      <c r="K1071" t="str">
        <f>[1]!revcom(C1071)</f>
        <v>ATCTTG</v>
      </c>
      <c r="L1071">
        <v>6</v>
      </c>
    </row>
    <row r="1072" spans="1:12" ht="15.6" x14ac:dyDescent="0.3">
      <c r="A1072" s="9">
        <v>1061</v>
      </c>
      <c r="B1072" s="1"/>
      <c r="C1072" s="2" t="s">
        <v>1067</v>
      </c>
      <c r="D1072" s="1"/>
      <c r="E1072" s="11">
        <f t="shared" si="81"/>
        <v>30</v>
      </c>
      <c r="F1072" s="12">
        <f t="shared" si="82"/>
        <v>50</v>
      </c>
      <c r="G1072" s="12" t="str">
        <f t="shared" si="83"/>
        <v>OK</v>
      </c>
      <c r="H1072" s="13">
        <f t="shared" si="84"/>
        <v>6</v>
      </c>
      <c r="I1072" s="14">
        <f t="shared" si="80"/>
        <v>1785.2399999999998</v>
      </c>
      <c r="K1072" t="str">
        <f>[1]!revcom(C1072)</f>
        <v>TGCTTG</v>
      </c>
      <c r="L1072">
        <v>7</v>
      </c>
    </row>
    <row r="1073" spans="1:12" ht="15.6" x14ac:dyDescent="0.3">
      <c r="A1073" s="9">
        <v>1062</v>
      </c>
      <c r="B1073" s="1"/>
      <c r="C1073" s="2" t="s">
        <v>1068</v>
      </c>
      <c r="D1073" s="1"/>
      <c r="E1073" s="11">
        <f t="shared" si="81"/>
        <v>28</v>
      </c>
      <c r="F1073" s="12">
        <f t="shared" si="82"/>
        <v>66.666666666666657</v>
      </c>
      <c r="G1073" s="12" t="str">
        <f t="shared" si="83"/>
        <v>Warning</v>
      </c>
      <c r="H1073" s="13">
        <f t="shared" si="84"/>
        <v>6</v>
      </c>
      <c r="I1073" s="14">
        <f t="shared" si="80"/>
        <v>1761.21</v>
      </c>
      <c r="K1073" t="str">
        <f>[1]!revcom(C1073)</f>
        <v>GGCTTG</v>
      </c>
      <c r="L1073">
        <v>7</v>
      </c>
    </row>
    <row r="1074" spans="1:12" ht="15.6" x14ac:dyDescent="0.3">
      <c r="A1074" s="9">
        <v>1063</v>
      </c>
      <c r="B1074" s="1"/>
      <c r="C1074" s="2" t="s">
        <v>1069</v>
      </c>
      <c r="D1074" s="1"/>
      <c r="E1074" s="11">
        <f t="shared" si="81"/>
        <v>28</v>
      </c>
      <c r="F1074" s="12">
        <f t="shared" si="82"/>
        <v>66.666666666666657</v>
      </c>
      <c r="G1074" s="12" t="str">
        <f t="shared" si="83"/>
        <v>Warning</v>
      </c>
      <c r="H1074" s="13">
        <f t="shared" si="84"/>
        <v>6</v>
      </c>
      <c r="I1074" s="14">
        <f t="shared" si="80"/>
        <v>1801.2399999999998</v>
      </c>
      <c r="K1074" t="str">
        <f>[1]!revcom(C1074)</f>
        <v>CGCTTG</v>
      </c>
      <c r="L1074">
        <v>7</v>
      </c>
    </row>
    <row r="1075" spans="1:12" ht="15.6" x14ac:dyDescent="0.3">
      <c r="A1075" s="9">
        <v>1064</v>
      </c>
      <c r="B1075" s="1"/>
      <c r="C1075" s="2" t="s">
        <v>1070</v>
      </c>
      <c r="D1075" s="1"/>
      <c r="E1075" s="11">
        <f t="shared" si="81"/>
        <v>22</v>
      </c>
      <c r="F1075" s="12">
        <f t="shared" si="82"/>
        <v>50</v>
      </c>
      <c r="G1075" s="12" t="str">
        <f t="shared" si="83"/>
        <v>OK</v>
      </c>
      <c r="H1075" s="13">
        <f t="shared" si="84"/>
        <v>6</v>
      </c>
      <c r="I1075" s="14">
        <f t="shared" si="80"/>
        <v>1776.2199999999998</v>
      </c>
      <c r="K1075" t="str">
        <f>[1]!revcom(C1075)</f>
        <v>AGCTTG</v>
      </c>
      <c r="L1075">
        <v>6</v>
      </c>
    </row>
    <row r="1076" spans="1:12" ht="15.6" x14ac:dyDescent="0.3">
      <c r="A1076" s="9">
        <v>1065</v>
      </c>
      <c r="B1076" s="1"/>
      <c r="C1076" s="2" t="s">
        <v>1071</v>
      </c>
      <c r="D1076" s="1"/>
      <c r="E1076" s="11">
        <f t="shared" si="81"/>
        <v>30</v>
      </c>
      <c r="F1076" s="12">
        <f t="shared" si="82"/>
        <v>50</v>
      </c>
      <c r="G1076" s="12" t="str">
        <f t="shared" si="83"/>
        <v>OK</v>
      </c>
      <c r="H1076" s="13">
        <f t="shared" si="84"/>
        <v>6</v>
      </c>
      <c r="I1076" s="14">
        <f t="shared" si="80"/>
        <v>1825.27</v>
      </c>
      <c r="K1076" t="str">
        <f>[1]!revcom(C1076)</f>
        <v>TCCTTG</v>
      </c>
      <c r="L1076">
        <v>7</v>
      </c>
    </row>
    <row r="1077" spans="1:12" ht="15.6" x14ac:dyDescent="0.3">
      <c r="A1077" s="9">
        <v>1066</v>
      </c>
      <c r="B1077" s="1"/>
      <c r="C1077" s="2" t="s">
        <v>1072</v>
      </c>
      <c r="D1077" s="1"/>
      <c r="E1077" s="11">
        <f t="shared" si="81"/>
        <v>28</v>
      </c>
      <c r="F1077" s="12">
        <f t="shared" si="82"/>
        <v>66.666666666666657</v>
      </c>
      <c r="G1077" s="12" t="str">
        <f t="shared" si="83"/>
        <v>Warning</v>
      </c>
      <c r="H1077" s="13">
        <f t="shared" si="84"/>
        <v>6</v>
      </c>
      <c r="I1077" s="14">
        <f t="shared" si="80"/>
        <v>1801.2399999999998</v>
      </c>
      <c r="K1077" t="str">
        <f>[1]!revcom(C1077)</f>
        <v>GCCTTG</v>
      </c>
      <c r="L1077">
        <v>7</v>
      </c>
    </row>
    <row r="1078" spans="1:12" ht="15.6" x14ac:dyDescent="0.3">
      <c r="A1078" s="9">
        <v>1067</v>
      </c>
      <c r="B1078" s="1"/>
      <c r="C1078" s="2" t="s">
        <v>1073</v>
      </c>
      <c r="D1078" s="1"/>
      <c r="E1078" s="11">
        <f t="shared" si="81"/>
        <v>28</v>
      </c>
      <c r="F1078" s="12">
        <f t="shared" si="82"/>
        <v>66.666666666666657</v>
      </c>
      <c r="G1078" s="12" t="str">
        <f t="shared" si="83"/>
        <v>Warning</v>
      </c>
      <c r="H1078" s="13">
        <f t="shared" si="84"/>
        <v>6</v>
      </c>
      <c r="I1078" s="14">
        <f t="shared" si="80"/>
        <v>1841.27</v>
      </c>
      <c r="K1078" t="str">
        <f>[1]!revcom(C1078)</f>
        <v>CCCTTG</v>
      </c>
      <c r="L1078">
        <v>7</v>
      </c>
    </row>
    <row r="1079" spans="1:12" ht="15.6" x14ac:dyDescent="0.3">
      <c r="A1079" s="9">
        <v>1068</v>
      </c>
      <c r="B1079" s="1"/>
      <c r="C1079" s="2" t="s">
        <v>1074</v>
      </c>
      <c r="D1079" s="1"/>
      <c r="E1079" s="11">
        <f t="shared" si="81"/>
        <v>22</v>
      </c>
      <c r="F1079" s="12">
        <f t="shared" si="82"/>
        <v>50</v>
      </c>
      <c r="G1079" s="12" t="str">
        <f t="shared" si="83"/>
        <v>OK</v>
      </c>
      <c r="H1079" s="13">
        <f t="shared" si="84"/>
        <v>6</v>
      </c>
      <c r="I1079" s="14">
        <f t="shared" si="80"/>
        <v>1816.25</v>
      </c>
      <c r="K1079" t="str">
        <f>[1]!revcom(C1079)</f>
        <v>ACCTTG</v>
      </c>
      <c r="L1079">
        <v>6</v>
      </c>
    </row>
    <row r="1080" spans="1:12" ht="15.6" x14ac:dyDescent="0.3">
      <c r="A1080" s="9">
        <v>1069</v>
      </c>
      <c r="B1080" s="1"/>
      <c r="C1080" s="2" t="s">
        <v>1075</v>
      </c>
      <c r="D1080" s="1"/>
      <c r="E1080" s="11">
        <f t="shared" si="81"/>
        <v>24</v>
      </c>
      <c r="F1080" s="12">
        <f t="shared" si="82"/>
        <v>33.333333333333329</v>
      </c>
      <c r="G1080" s="12" t="str">
        <f t="shared" si="83"/>
        <v>OK</v>
      </c>
      <c r="H1080" s="13">
        <f t="shared" si="84"/>
        <v>6</v>
      </c>
      <c r="I1080" s="14">
        <f t="shared" si="80"/>
        <v>1800.25</v>
      </c>
      <c r="K1080" t="str">
        <f>[1]!revcom(C1080)</f>
        <v>TACTTG</v>
      </c>
      <c r="L1080">
        <v>6</v>
      </c>
    </row>
    <row r="1081" spans="1:12" ht="15.6" x14ac:dyDescent="0.3">
      <c r="A1081" s="9">
        <v>1070</v>
      </c>
      <c r="B1081" s="1"/>
      <c r="C1081" s="2" t="s">
        <v>1076</v>
      </c>
      <c r="D1081" s="1"/>
      <c r="E1081" s="11">
        <f t="shared" si="81"/>
        <v>22</v>
      </c>
      <c r="F1081" s="12">
        <f t="shared" si="82"/>
        <v>50</v>
      </c>
      <c r="G1081" s="12" t="str">
        <f t="shared" si="83"/>
        <v>OK</v>
      </c>
      <c r="H1081" s="13">
        <f t="shared" si="84"/>
        <v>6</v>
      </c>
      <c r="I1081" s="14">
        <f t="shared" si="80"/>
        <v>1776.2199999999998</v>
      </c>
      <c r="K1081" t="str">
        <f>[1]!revcom(C1081)</f>
        <v>GACTTG</v>
      </c>
      <c r="L1081">
        <v>6</v>
      </c>
    </row>
    <row r="1082" spans="1:12" ht="15.6" x14ac:dyDescent="0.3">
      <c r="A1082" s="9">
        <v>1071</v>
      </c>
      <c r="B1082" s="1"/>
      <c r="C1082" s="2" t="s">
        <v>1077</v>
      </c>
      <c r="D1082" s="1"/>
      <c r="E1082" s="11">
        <f t="shared" si="81"/>
        <v>22</v>
      </c>
      <c r="F1082" s="12">
        <f t="shared" si="82"/>
        <v>50</v>
      </c>
      <c r="G1082" s="12" t="str">
        <f t="shared" si="83"/>
        <v>OK</v>
      </c>
      <c r="H1082" s="13">
        <f t="shared" si="84"/>
        <v>6</v>
      </c>
      <c r="I1082" s="14">
        <f t="shared" si="80"/>
        <v>1816.25</v>
      </c>
      <c r="K1082" t="str">
        <f>[1]!revcom(C1082)</f>
        <v>CACTTG</v>
      </c>
      <c r="L1082">
        <v>6</v>
      </c>
    </row>
    <row r="1083" spans="1:12" ht="15.6" x14ac:dyDescent="0.3">
      <c r="A1083" s="9">
        <v>1072</v>
      </c>
      <c r="B1083" s="1"/>
      <c r="C1083" s="2" t="s">
        <v>1078</v>
      </c>
      <c r="D1083" s="1"/>
      <c r="E1083" s="11">
        <f t="shared" si="81"/>
        <v>16</v>
      </c>
      <c r="F1083" s="12">
        <f t="shared" si="82"/>
        <v>33.333333333333329</v>
      </c>
      <c r="G1083" s="12" t="str">
        <f t="shared" si="83"/>
        <v>OK</v>
      </c>
      <c r="H1083" s="13">
        <f t="shared" si="84"/>
        <v>6</v>
      </c>
      <c r="I1083" s="14">
        <f t="shared" si="80"/>
        <v>1791.23</v>
      </c>
      <c r="K1083" t="str">
        <f>[1]!revcom(C1083)</f>
        <v>AACTTG</v>
      </c>
      <c r="L1083">
        <v>5</v>
      </c>
    </row>
    <row r="1084" spans="1:12" ht="15.6" x14ac:dyDescent="0.3">
      <c r="A1084" s="9">
        <v>1073</v>
      </c>
      <c r="B1084" s="1"/>
      <c r="C1084" s="2" t="s">
        <v>1079</v>
      </c>
      <c r="D1084" s="1"/>
      <c r="E1084" s="11">
        <f t="shared" si="81"/>
        <v>26</v>
      </c>
      <c r="F1084" s="12">
        <f t="shared" si="82"/>
        <v>16.666666666666664</v>
      </c>
      <c r="G1084" s="12" t="str">
        <f t="shared" si="83"/>
        <v>OK</v>
      </c>
      <c r="H1084" s="13">
        <f t="shared" si="84"/>
        <v>6</v>
      </c>
      <c r="I1084" s="14">
        <f t="shared" si="80"/>
        <v>1784.25</v>
      </c>
      <c r="K1084" t="str">
        <f>[1]!revcom(C1084)</f>
        <v>TTATTG</v>
      </c>
      <c r="L1084">
        <v>7</v>
      </c>
    </row>
    <row r="1085" spans="1:12" ht="15.6" x14ac:dyDescent="0.3">
      <c r="A1085" s="9">
        <v>1074</v>
      </c>
      <c r="B1085" s="1"/>
      <c r="C1085" s="2" t="s">
        <v>1080</v>
      </c>
      <c r="D1085" s="1"/>
      <c r="E1085" s="11">
        <f t="shared" si="81"/>
        <v>24</v>
      </c>
      <c r="F1085" s="12">
        <f t="shared" si="82"/>
        <v>33.333333333333329</v>
      </c>
      <c r="G1085" s="12" t="str">
        <f t="shared" si="83"/>
        <v>OK</v>
      </c>
      <c r="H1085" s="13">
        <f t="shared" si="84"/>
        <v>6</v>
      </c>
      <c r="I1085" s="14">
        <f t="shared" si="80"/>
        <v>1760.2199999999998</v>
      </c>
      <c r="K1085" t="str">
        <f>[1]!revcom(C1085)</f>
        <v>GTATTG</v>
      </c>
      <c r="L1085">
        <v>6</v>
      </c>
    </row>
    <row r="1086" spans="1:12" ht="15.6" x14ac:dyDescent="0.3">
      <c r="A1086" s="9">
        <v>1075</v>
      </c>
      <c r="B1086" s="1"/>
      <c r="C1086" s="2" t="s">
        <v>1081</v>
      </c>
      <c r="D1086" s="1"/>
      <c r="E1086" s="11">
        <f t="shared" si="81"/>
        <v>24</v>
      </c>
      <c r="F1086" s="12">
        <f t="shared" si="82"/>
        <v>33.333333333333329</v>
      </c>
      <c r="G1086" s="12" t="str">
        <f t="shared" si="83"/>
        <v>OK</v>
      </c>
      <c r="H1086" s="13">
        <f t="shared" si="84"/>
        <v>6</v>
      </c>
      <c r="I1086" s="14">
        <f t="shared" si="80"/>
        <v>1800.25</v>
      </c>
      <c r="K1086" t="str">
        <f>[1]!revcom(C1086)</f>
        <v>CTATTG</v>
      </c>
      <c r="L1086">
        <v>6</v>
      </c>
    </row>
    <row r="1087" spans="1:12" ht="15.6" x14ac:dyDescent="0.3">
      <c r="A1087" s="9">
        <v>1076</v>
      </c>
      <c r="B1087" s="1"/>
      <c r="C1087" s="2" t="s">
        <v>1082</v>
      </c>
      <c r="D1087" s="1"/>
      <c r="E1087" s="11">
        <f t="shared" si="81"/>
        <v>18</v>
      </c>
      <c r="F1087" s="12">
        <f t="shared" si="82"/>
        <v>16.666666666666664</v>
      </c>
      <c r="G1087" s="12" t="str">
        <f t="shared" si="83"/>
        <v>OK</v>
      </c>
      <c r="H1087" s="13">
        <f t="shared" si="84"/>
        <v>6</v>
      </c>
      <c r="I1087" s="14">
        <f t="shared" si="80"/>
        <v>1775.23</v>
      </c>
      <c r="K1087" t="str">
        <f>[1]!revcom(C1087)</f>
        <v>ATATTG</v>
      </c>
      <c r="L1087">
        <v>5</v>
      </c>
    </row>
    <row r="1088" spans="1:12" ht="15.6" x14ac:dyDescent="0.3">
      <c r="A1088" s="9">
        <v>1077</v>
      </c>
      <c r="B1088" s="1"/>
      <c r="C1088" s="2" t="s">
        <v>1083</v>
      </c>
      <c r="D1088" s="1"/>
      <c r="E1088" s="11">
        <f t="shared" si="81"/>
        <v>24</v>
      </c>
      <c r="F1088" s="12">
        <f t="shared" si="82"/>
        <v>33.333333333333329</v>
      </c>
      <c r="G1088" s="12" t="str">
        <f t="shared" si="83"/>
        <v>OK</v>
      </c>
      <c r="H1088" s="13">
        <f t="shared" si="84"/>
        <v>6</v>
      </c>
      <c r="I1088" s="14">
        <f t="shared" si="80"/>
        <v>1760.2199999999998</v>
      </c>
      <c r="K1088" t="str">
        <f>[1]!revcom(C1088)</f>
        <v>TGATTG</v>
      </c>
      <c r="L1088">
        <v>6</v>
      </c>
    </row>
    <row r="1089" spans="1:12" ht="15.6" x14ac:dyDescent="0.3">
      <c r="A1089" s="9">
        <v>1078</v>
      </c>
      <c r="B1089" s="1"/>
      <c r="C1089" s="2" t="s">
        <v>1084</v>
      </c>
      <c r="D1089" s="1"/>
      <c r="E1089" s="11">
        <f t="shared" si="81"/>
        <v>22</v>
      </c>
      <c r="F1089" s="12">
        <f t="shared" si="82"/>
        <v>50</v>
      </c>
      <c r="G1089" s="12" t="str">
        <f t="shared" si="83"/>
        <v>OK</v>
      </c>
      <c r="H1089" s="13">
        <f t="shared" si="84"/>
        <v>6</v>
      </c>
      <c r="I1089" s="14">
        <f t="shared" si="80"/>
        <v>1736.19</v>
      </c>
      <c r="K1089" t="str">
        <f>[1]!revcom(C1089)</f>
        <v>GGATTG</v>
      </c>
      <c r="L1089">
        <v>6</v>
      </c>
    </row>
    <row r="1090" spans="1:12" ht="15.6" x14ac:dyDescent="0.3">
      <c r="A1090" s="9">
        <v>1079</v>
      </c>
      <c r="B1090" s="1"/>
      <c r="C1090" s="2" t="s">
        <v>1085</v>
      </c>
      <c r="D1090" s="1"/>
      <c r="E1090" s="11">
        <f t="shared" si="81"/>
        <v>22</v>
      </c>
      <c r="F1090" s="12">
        <f t="shared" si="82"/>
        <v>50</v>
      </c>
      <c r="G1090" s="12" t="str">
        <f t="shared" si="83"/>
        <v>OK</v>
      </c>
      <c r="H1090" s="13">
        <f t="shared" si="84"/>
        <v>6</v>
      </c>
      <c r="I1090" s="14">
        <f t="shared" si="80"/>
        <v>1776.2199999999998</v>
      </c>
      <c r="K1090" t="str">
        <f>[1]!revcom(C1090)</f>
        <v>CGATTG</v>
      </c>
      <c r="L1090">
        <v>6</v>
      </c>
    </row>
    <row r="1091" spans="1:12" ht="15.6" x14ac:dyDescent="0.3">
      <c r="A1091" s="9">
        <v>1080</v>
      </c>
      <c r="B1091" s="1"/>
      <c r="C1091" s="2" t="s">
        <v>1086</v>
      </c>
      <c r="D1091" s="1"/>
      <c r="E1091" s="11">
        <f t="shared" si="81"/>
        <v>16</v>
      </c>
      <c r="F1091" s="12">
        <f t="shared" si="82"/>
        <v>33.333333333333329</v>
      </c>
      <c r="G1091" s="12" t="str">
        <f t="shared" si="83"/>
        <v>OK</v>
      </c>
      <c r="H1091" s="13">
        <f t="shared" si="84"/>
        <v>6</v>
      </c>
      <c r="I1091" s="14">
        <f t="shared" si="80"/>
        <v>1751.1999999999998</v>
      </c>
      <c r="K1091" t="str">
        <f>[1]!revcom(C1091)</f>
        <v>AGATTG</v>
      </c>
      <c r="L1091">
        <v>5</v>
      </c>
    </row>
    <row r="1092" spans="1:12" ht="15.6" x14ac:dyDescent="0.3">
      <c r="A1092" s="9">
        <v>1081</v>
      </c>
      <c r="B1092" s="1"/>
      <c r="C1092" s="2" t="s">
        <v>1087</v>
      </c>
      <c r="D1092" s="1"/>
      <c r="E1092" s="11">
        <f t="shared" si="81"/>
        <v>24</v>
      </c>
      <c r="F1092" s="12">
        <f t="shared" si="82"/>
        <v>33.333333333333329</v>
      </c>
      <c r="G1092" s="12" t="str">
        <f t="shared" si="83"/>
        <v>OK</v>
      </c>
      <c r="H1092" s="13">
        <f t="shared" si="84"/>
        <v>6</v>
      </c>
      <c r="I1092" s="14">
        <f t="shared" si="80"/>
        <v>1800.25</v>
      </c>
      <c r="K1092" t="str">
        <f>[1]!revcom(C1092)</f>
        <v>TCATTG</v>
      </c>
      <c r="L1092">
        <v>6</v>
      </c>
    </row>
    <row r="1093" spans="1:12" ht="15.6" x14ac:dyDescent="0.3">
      <c r="A1093" s="9">
        <v>1082</v>
      </c>
      <c r="B1093" s="1"/>
      <c r="C1093" s="2" t="s">
        <v>1088</v>
      </c>
      <c r="D1093" s="1"/>
      <c r="E1093" s="11">
        <f t="shared" si="81"/>
        <v>22</v>
      </c>
      <c r="F1093" s="12">
        <f t="shared" si="82"/>
        <v>50</v>
      </c>
      <c r="G1093" s="12" t="str">
        <f t="shared" si="83"/>
        <v>OK</v>
      </c>
      <c r="H1093" s="13">
        <f t="shared" si="84"/>
        <v>6</v>
      </c>
      <c r="I1093" s="14">
        <f t="shared" si="80"/>
        <v>1776.2199999999998</v>
      </c>
      <c r="K1093" t="str">
        <f>[1]!revcom(C1093)</f>
        <v>GCATTG</v>
      </c>
      <c r="L1093">
        <v>6</v>
      </c>
    </row>
    <row r="1094" spans="1:12" ht="15.6" x14ac:dyDescent="0.3">
      <c r="A1094" s="9">
        <v>1083</v>
      </c>
      <c r="B1094" s="1"/>
      <c r="C1094" s="2" t="s">
        <v>1089</v>
      </c>
      <c r="D1094" s="1"/>
      <c r="E1094" s="11">
        <f t="shared" si="81"/>
        <v>22</v>
      </c>
      <c r="F1094" s="12">
        <f t="shared" si="82"/>
        <v>50</v>
      </c>
      <c r="G1094" s="12" t="str">
        <f t="shared" si="83"/>
        <v>OK</v>
      </c>
      <c r="H1094" s="13">
        <f t="shared" si="84"/>
        <v>6</v>
      </c>
      <c r="I1094" s="14">
        <f t="shared" si="80"/>
        <v>1816.25</v>
      </c>
      <c r="K1094" t="str">
        <f>[1]!revcom(C1094)</f>
        <v>CCATTG</v>
      </c>
      <c r="L1094">
        <v>6</v>
      </c>
    </row>
    <row r="1095" spans="1:12" ht="15.6" x14ac:dyDescent="0.3">
      <c r="A1095" s="9">
        <v>1084</v>
      </c>
      <c r="B1095" s="1"/>
      <c r="C1095" s="2" t="s">
        <v>1090</v>
      </c>
      <c r="D1095" s="1"/>
      <c r="E1095" s="11">
        <f t="shared" si="81"/>
        <v>16</v>
      </c>
      <c r="F1095" s="12">
        <f t="shared" si="82"/>
        <v>33.333333333333329</v>
      </c>
      <c r="G1095" s="12" t="str">
        <f t="shared" si="83"/>
        <v>OK</v>
      </c>
      <c r="H1095" s="13">
        <f t="shared" si="84"/>
        <v>6</v>
      </c>
      <c r="I1095" s="14">
        <f t="shared" si="80"/>
        <v>1791.23</v>
      </c>
      <c r="K1095" t="str">
        <f>[1]!revcom(C1095)</f>
        <v>ACATTG</v>
      </c>
      <c r="L1095">
        <v>5</v>
      </c>
    </row>
    <row r="1096" spans="1:12" ht="15.6" x14ac:dyDescent="0.3">
      <c r="A1096" s="9">
        <v>1085</v>
      </c>
      <c r="B1096" s="1"/>
      <c r="C1096" s="2" t="s">
        <v>1091</v>
      </c>
      <c r="D1096" s="1"/>
      <c r="E1096" s="11">
        <f t="shared" si="81"/>
        <v>18</v>
      </c>
      <c r="F1096" s="12">
        <f t="shared" si="82"/>
        <v>16.666666666666664</v>
      </c>
      <c r="G1096" s="12" t="str">
        <f t="shared" si="83"/>
        <v>OK</v>
      </c>
      <c r="H1096" s="13">
        <f t="shared" si="84"/>
        <v>6</v>
      </c>
      <c r="I1096" s="14">
        <f t="shared" si="80"/>
        <v>1775.23</v>
      </c>
      <c r="K1096" t="str">
        <f>[1]!revcom(C1096)</f>
        <v>TAATTG</v>
      </c>
      <c r="L1096">
        <v>5</v>
      </c>
    </row>
    <row r="1097" spans="1:12" ht="15.6" x14ac:dyDescent="0.3">
      <c r="A1097" s="9">
        <v>1086</v>
      </c>
      <c r="B1097" s="1"/>
      <c r="C1097" s="2" t="s">
        <v>1092</v>
      </c>
      <c r="D1097" s="1"/>
      <c r="E1097" s="11">
        <f t="shared" si="81"/>
        <v>16</v>
      </c>
      <c r="F1097" s="12">
        <f t="shared" si="82"/>
        <v>33.333333333333329</v>
      </c>
      <c r="G1097" s="12" t="str">
        <f t="shared" si="83"/>
        <v>OK</v>
      </c>
      <c r="H1097" s="13">
        <f t="shared" si="84"/>
        <v>6</v>
      </c>
      <c r="I1097" s="14">
        <f t="shared" si="80"/>
        <v>1751.1999999999998</v>
      </c>
      <c r="K1097" t="str">
        <f>[1]!revcom(C1097)</f>
        <v>GAATTG</v>
      </c>
      <c r="L1097">
        <v>5</v>
      </c>
    </row>
    <row r="1098" spans="1:12" ht="15.6" x14ac:dyDescent="0.3">
      <c r="A1098" s="9">
        <v>1087</v>
      </c>
      <c r="B1098" s="1"/>
      <c r="C1098" s="2" t="s">
        <v>1093</v>
      </c>
      <c r="D1098" s="1"/>
      <c r="E1098" s="11">
        <f t="shared" si="81"/>
        <v>16</v>
      </c>
      <c r="F1098" s="12">
        <f t="shared" si="82"/>
        <v>33.333333333333329</v>
      </c>
      <c r="G1098" s="12" t="str">
        <f t="shared" si="83"/>
        <v>OK</v>
      </c>
      <c r="H1098" s="13">
        <f t="shared" si="84"/>
        <v>6</v>
      </c>
      <c r="I1098" s="14">
        <f t="shared" si="80"/>
        <v>1791.23</v>
      </c>
      <c r="K1098" t="str">
        <f>[1]!revcom(C1098)</f>
        <v>CAATTG</v>
      </c>
      <c r="L1098">
        <v>5</v>
      </c>
    </row>
    <row r="1099" spans="1:12" ht="15.6" x14ac:dyDescent="0.3">
      <c r="A1099" s="9">
        <v>1088</v>
      </c>
      <c r="B1099" s="1"/>
      <c r="C1099" s="2" t="s">
        <v>1094</v>
      </c>
      <c r="D1099" s="1"/>
      <c r="E1099" s="11">
        <f t="shared" si="81"/>
        <v>10</v>
      </c>
      <c r="F1099" s="12">
        <f t="shared" si="82"/>
        <v>16.666666666666664</v>
      </c>
      <c r="G1099" s="12" t="str">
        <f t="shared" si="83"/>
        <v>OK</v>
      </c>
      <c r="H1099" s="13">
        <f t="shared" si="84"/>
        <v>6</v>
      </c>
      <c r="I1099" s="14">
        <f t="shared" si="80"/>
        <v>1766.21</v>
      </c>
      <c r="K1099" t="str">
        <f>[1]!revcom(C1099)</f>
        <v>AAATTG</v>
      </c>
      <c r="L1099">
        <v>4</v>
      </c>
    </row>
    <row r="1100" spans="1:12" ht="15.6" x14ac:dyDescent="0.3">
      <c r="A1100" s="9">
        <v>1089</v>
      </c>
      <c r="B1100" s="1"/>
      <c r="C1100" s="2" t="s">
        <v>1095</v>
      </c>
      <c r="D1100" s="1"/>
      <c r="E1100" s="11">
        <f t="shared" si="81"/>
        <v>32</v>
      </c>
      <c r="F1100" s="12">
        <f t="shared" si="82"/>
        <v>33.333333333333329</v>
      </c>
      <c r="G1100" s="12" t="str">
        <f t="shared" si="83"/>
        <v>OK</v>
      </c>
      <c r="H1100" s="13">
        <f t="shared" si="84"/>
        <v>6</v>
      </c>
      <c r="I1100" s="14">
        <f t="shared" si="80"/>
        <v>1769.2399999999998</v>
      </c>
      <c r="K1100" t="str">
        <f>[1]!revcom(C1100)</f>
        <v>TTTGTG</v>
      </c>
      <c r="L1100">
        <v>8</v>
      </c>
    </row>
    <row r="1101" spans="1:12" ht="15.6" x14ac:dyDescent="0.3">
      <c r="A1101" s="9">
        <v>1090</v>
      </c>
      <c r="B1101" s="1"/>
      <c r="C1101" s="2" t="s">
        <v>1096</v>
      </c>
      <c r="D1101" s="1"/>
      <c r="E1101" s="11">
        <f t="shared" si="81"/>
        <v>30</v>
      </c>
      <c r="F1101" s="12">
        <f t="shared" si="82"/>
        <v>50</v>
      </c>
      <c r="G1101" s="12" t="str">
        <f t="shared" si="83"/>
        <v>OK</v>
      </c>
      <c r="H1101" s="13">
        <f t="shared" si="84"/>
        <v>6</v>
      </c>
      <c r="I1101" s="14">
        <f t="shared" ref="I1101:I1164" si="85">((LEN(C1101)-(LEN(SUBSTITUTE(C1101,"A",""))))*249.23)+((LEN(C1101)-(LEN(SUBSTITUTE(C1101,"T",""))))*240.21)+((LEN(C1101)-(LEN(SUBSTITUTE(C1101,"C",""))))*225.2)+((LEN(C1101)-(LEN(SUBSTITUTE(C1101,"G",""))))*265.23)+(63.98*(LEN(C1101)-1)+(2.02))</f>
        <v>1745.21</v>
      </c>
      <c r="K1101" t="str">
        <f>[1]!revcom(C1101)</f>
        <v>GTTGTG</v>
      </c>
      <c r="L1101">
        <v>7</v>
      </c>
    </row>
    <row r="1102" spans="1:12" ht="15.6" x14ac:dyDescent="0.3">
      <c r="A1102" s="9">
        <v>1091</v>
      </c>
      <c r="B1102" s="1"/>
      <c r="C1102" s="2" t="s">
        <v>1097</v>
      </c>
      <c r="D1102" s="1"/>
      <c r="E1102" s="11">
        <f t="shared" ref="E1102:E1165" si="86">IF(LEN(C1102)&gt;15,(69.3+((41*((LEN(C1102)-(((LEN(C1102)-(LEN(SUBSTITUTE(C1102,"A",""))))+((LEN(C1102)-(LEN(SUBSTITUTE(C1102,"T","")))))))))/(LEN(C1102)))-(650/(LEN(C1102))))),(2*((LEN(C1102)-(((LEN(C1102)-(LEN(SUBSTITUTE(C1102,"C",""))))+((LEN(C1102)-(LEN(SUBSTITUTE(C1102,"G",""))))))))))+(4*((LEN(C1102)-(((LEN(C1102)-(LEN(SUBSTITUTE(C1102,"T",""))))+((LEN(C1102)-(LEN(SUBSTITUTE(C1102,"T","")))))))))))</f>
        <v>30</v>
      </c>
      <c r="F1102" s="12">
        <f t="shared" ref="F1102:F1165" si="87">((LEN(C1102)- LEN(SUBSTITUTE(C1102,"G","")))+(LEN(C1102)- LEN(SUBSTITUTE(C1102,"C",""))) )/LEN(C1102)*100</f>
        <v>50</v>
      </c>
      <c r="G1102" s="12" t="str">
        <f t="shared" ref="G1102:G1165" si="88">IF((-5+((LEN(SUBSTITUTE(RIGHT(C1102,5),"C","")))+((LEN(SUBSTITUTE(RIGHT(C1102,5),"G",""))))))&gt;=3,"OK","Warning")</f>
        <v>OK</v>
      </c>
      <c r="H1102" s="13">
        <f t="shared" ref="H1102:H1165" si="89">LEN(C1102)</f>
        <v>6</v>
      </c>
      <c r="I1102" s="14">
        <f t="shared" si="85"/>
        <v>1785.2399999999998</v>
      </c>
      <c r="K1102" t="str">
        <f>[1]!revcom(C1102)</f>
        <v>CTTGTG</v>
      </c>
      <c r="L1102">
        <v>7</v>
      </c>
    </row>
    <row r="1103" spans="1:12" ht="15.6" x14ac:dyDescent="0.3">
      <c r="A1103" s="9">
        <v>1092</v>
      </c>
      <c r="B1103" s="1"/>
      <c r="C1103" s="2" t="s">
        <v>1098</v>
      </c>
      <c r="D1103" s="1"/>
      <c r="E1103" s="11">
        <f t="shared" si="86"/>
        <v>24</v>
      </c>
      <c r="F1103" s="12">
        <f t="shared" si="87"/>
        <v>33.333333333333329</v>
      </c>
      <c r="G1103" s="12" t="str">
        <f t="shared" si="88"/>
        <v>OK</v>
      </c>
      <c r="H1103" s="13">
        <f t="shared" si="89"/>
        <v>6</v>
      </c>
      <c r="I1103" s="14">
        <f t="shared" si="85"/>
        <v>1760.2199999999998</v>
      </c>
      <c r="K1103" t="str">
        <f>[1]!revcom(C1103)</f>
        <v>ATTGTG</v>
      </c>
      <c r="L1103">
        <v>6</v>
      </c>
    </row>
    <row r="1104" spans="1:12" ht="15.6" x14ac:dyDescent="0.3">
      <c r="A1104" s="9">
        <v>1093</v>
      </c>
      <c r="B1104" s="1"/>
      <c r="C1104" s="2" t="s">
        <v>1099</v>
      </c>
      <c r="D1104" s="1"/>
      <c r="E1104" s="11">
        <f t="shared" si="86"/>
        <v>30</v>
      </c>
      <c r="F1104" s="12">
        <f t="shared" si="87"/>
        <v>50</v>
      </c>
      <c r="G1104" s="12" t="str">
        <f t="shared" si="88"/>
        <v>OK</v>
      </c>
      <c r="H1104" s="13">
        <f t="shared" si="89"/>
        <v>6</v>
      </c>
      <c r="I1104" s="14">
        <f t="shared" si="85"/>
        <v>1745.21</v>
      </c>
      <c r="K1104" t="str">
        <f>[1]!revcom(C1104)</f>
        <v>TGTGTG</v>
      </c>
      <c r="L1104">
        <v>7</v>
      </c>
    </row>
    <row r="1105" spans="1:12" ht="15.6" x14ac:dyDescent="0.3">
      <c r="A1105" s="9">
        <v>1094</v>
      </c>
      <c r="B1105" s="1"/>
      <c r="C1105" s="2" t="s">
        <v>1100</v>
      </c>
      <c r="D1105" s="1"/>
      <c r="E1105" s="11">
        <f t="shared" si="86"/>
        <v>28</v>
      </c>
      <c r="F1105" s="12">
        <f t="shared" si="87"/>
        <v>66.666666666666657</v>
      </c>
      <c r="G1105" s="12" t="str">
        <f t="shared" si="88"/>
        <v>Warning</v>
      </c>
      <c r="H1105" s="13">
        <f t="shared" si="89"/>
        <v>6</v>
      </c>
      <c r="I1105" s="14">
        <f t="shared" si="85"/>
        <v>1721.1799999999998</v>
      </c>
      <c r="K1105" t="str">
        <f>[1]!revcom(C1105)</f>
        <v>GGTGTG</v>
      </c>
      <c r="L1105">
        <v>7</v>
      </c>
    </row>
    <row r="1106" spans="1:12" ht="15.6" x14ac:dyDescent="0.3">
      <c r="A1106" s="9">
        <v>1095</v>
      </c>
      <c r="B1106" s="1"/>
      <c r="C1106" s="2" t="s">
        <v>1101</v>
      </c>
      <c r="D1106" s="1"/>
      <c r="E1106" s="11">
        <f t="shared" si="86"/>
        <v>28</v>
      </c>
      <c r="F1106" s="12">
        <f t="shared" si="87"/>
        <v>66.666666666666657</v>
      </c>
      <c r="G1106" s="12" t="str">
        <f t="shared" si="88"/>
        <v>Warning</v>
      </c>
      <c r="H1106" s="13">
        <f t="shared" si="89"/>
        <v>6</v>
      </c>
      <c r="I1106" s="14">
        <f t="shared" si="85"/>
        <v>1761.21</v>
      </c>
      <c r="K1106" t="str">
        <f>[1]!revcom(C1106)</f>
        <v>CGTGTG</v>
      </c>
      <c r="L1106">
        <v>7</v>
      </c>
    </row>
    <row r="1107" spans="1:12" ht="15.6" x14ac:dyDescent="0.3">
      <c r="A1107" s="9">
        <v>1096</v>
      </c>
      <c r="B1107" s="1"/>
      <c r="C1107" s="2" t="s">
        <v>1102</v>
      </c>
      <c r="D1107" s="1"/>
      <c r="E1107" s="11">
        <f t="shared" si="86"/>
        <v>22</v>
      </c>
      <c r="F1107" s="12">
        <f t="shared" si="87"/>
        <v>50</v>
      </c>
      <c r="G1107" s="12" t="str">
        <f t="shared" si="88"/>
        <v>OK</v>
      </c>
      <c r="H1107" s="13">
        <f t="shared" si="89"/>
        <v>6</v>
      </c>
      <c r="I1107" s="14">
        <f t="shared" si="85"/>
        <v>1736.19</v>
      </c>
      <c r="K1107" t="str">
        <f>[1]!revcom(C1107)</f>
        <v>AGTGTG</v>
      </c>
      <c r="L1107">
        <v>6</v>
      </c>
    </row>
    <row r="1108" spans="1:12" ht="15.6" x14ac:dyDescent="0.3">
      <c r="A1108" s="9">
        <v>1097</v>
      </c>
      <c r="B1108" s="1"/>
      <c r="C1108" s="2" t="s">
        <v>1103</v>
      </c>
      <c r="D1108" s="1"/>
      <c r="E1108" s="11">
        <f t="shared" si="86"/>
        <v>30</v>
      </c>
      <c r="F1108" s="12">
        <f t="shared" si="87"/>
        <v>50</v>
      </c>
      <c r="G1108" s="12" t="str">
        <f t="shared" si="88"/>
        <v>OK</v>
      </c>
      <c r="H1108" s="13">
        <f t="shared" si="89"/>
        <v>6</v>
      </c>
      <c r="I1108" s="14">
        <f t="shared" si="85"/>
        <v>1785.2399999999998</v>
      </c>
      <c r="K1108" t="str">
        <f>[1]!revcom(C1108)</f>
        <v>TCTGTG</v>
      </c>
      <c r="L1108">
        <v>7</v>
      </c>
    </row>
    <row r="1109" spans="1:12" ht="15.6" x14ac:dyDescent="0.3">
      <c r="A1109" s="9">
        <v>1098</v>
      </c>
      <c r="B1109" s="1"/>
      <c r="C1109" s="2" t="s">
        <v>1104</v>
      </c>
      <c r="D1109" s="1"/>
      <c r="E1109" s="11">
        <f t="shared" si="86"/>
        <v>28</v>
      </c>
      <c r="F1109" s="12">
        <f t="shared" si="87"/>
        <v>66.666666666666657</v>
      </c>
      <c r="G1109" s="12" t="str">
        <f t="shared" si="88"/>
        <v>Warning</v>
      </c>
      <c r="H1109" s="13">
        <f t="shared" si="89"/>
        <v>6</v>
      </c>
      <c r="I1109" s="14">
        <f t="shared" si="85"/>
        <v>1761.21</v>
      </c>
      <c r="K1109" t="str">
        <f>[1]!revcom(C1109)</f>
        <v>GCTGTG</v>
      </c>
      <c r="L1109">
        <v>7</v>
      </c>
    </row>
    <row r="1110" spans="1:12" ht="15.6" x14ac:dyDescent="0.3">
      <c r="A1110" s="9">
        <v>1099</v>
      </c>
      <c r="B1110" s="1"/>
      <c r="C1110" s="2" t="s">
        <v>1105</v>
      </c>
      <c r="D1110" s="1"/>
      <c r="E1110" s="11">
        <f t="shared" si="86"/>
        <v>28</v>
      </c>
      <c r="F1110" s="12">
        <f t="shared" si="87"/>
        <v>66.666666666666657</v>
      </c>
      <c r="G1110" s="12" t="str">
        <f t="shared" si="88"/>
        <v>Warning</v>
      </c>
      <c r="H1110" s="13">
        <f t="shared" si="89"/>
        <v>6</v>
      </c>
      <c r="I1110" s="14">
        <f t="shared" si="85"/>
        <v>1801.2399999999998</v>
      </c>
      <c r="K1110" t="str">
        <f>[1]!revcom(C1110)</f>
        <v>CCTGTG</v>
      </c>
      <c r="L1110">
        <v>7</v>
      </c>
    </row>
    <row r="1111" spans="1:12" ht="15.6" x14ac:dyDescent="0.3">
      <c r="A1111" s="9">
        <v>1100</v>
      </c>
      <c r="B1111" s="1"/>
      <c r="C1111" s="2" t="s">
        <v>1106</v>
      </c>
      <c r="D1111" s="1"/>
      <c r="E1111" s="11">
        <f t="shared" si="86"/>
        <v>22</v>
      </c>
      <c r="F1111" s="12">
        <f t="shared" si="87"/>
        <v>50</v>
      </c>
      <c r="G1111" s="12" t="str">
        <f t="shared" si="88"/>
        <v>OK</v>
      </c>
      <c r="H1111" s="13">
        <f t="shared" si="89"/>
        <v>6</v>
      </c>
      <c r="I1111" s="14">
        <f t="shared" si="85"/>
        <v>1776.2199999999998</v>
      </c>
      <c r="K1111" t="str">
        <f>[1]!revcom(C1111)</f>
        <v>ACTGTG</v>
      </c>
      <c r="L1111">
        <v>6</v>
      </c>
    </row>
    <row r="1112" spans="1:12" ht="15.6" x14ac:dyDescent="0.3">
      <c r="A1112" s="9">
        <v>1101</v>
      </c>
      <c r="B1112" s="1"/>
      <c r="C1112" s="2" t="s">
        <v>1107</v>
      </c>
      <c r="D1112" s="1"/>
      <c r="E1112" s="11">
        <f t="shared" si="86"/>
        <v>24</v>
      </c>
      <c r="F1112" s="12">
        <f t="shared" si="87"/>
        <v>33.333333333333329</v>
      </c>
      <c r="G1112" s="12" t="str">
        <f t="shared" si="88"/>
        <v>OK</v>
      </c>
      <c r="H1112" s="13">
        <f t="shared" si="89"/>
        <v>6</v>
      </c>
      <c r="I1112" s="14">
        <f t="shared" si="85"/>
        <v>1760.2199999999998</v>
      </c>
      <c r="K1112" t="str">
        <f>[1]!revcom(C1112)</f>
        <v>TATGTG</v>
      </c>
      <c r="L1112">
        <v>6</v>
      </c>
    </row>
    <row r="1113" spans="1:12" ht="15.6" x14ac:dyDescent="0.3">
      <c r="A1113" s="9">
        <v>1102</v>
      </c>
      <c r="B1113" s="1"/>
      <c r="C1113" s="2" t="s">
        <v>1108</v>
      </c>
      <c r="D1113" s="1"/>
      <c r="E1113" s="11">
        <f t="shared" si="86"/>
        <v>22</v>
      </c>
      <c r="F1113" s="12">
        <f t="shared" si="87"/>
        <v>50</v>
      </c>
      <c r="G1113" s="12" t="str">
        <f t="shared" si="88"/>
        <v>OK</v>
      </c>
      <c r="H1113" s="13">
        <f t="shared" si="89"/>
        <v>6</v>
      </c>
      <c r="I1113" s="14">
        <f t="shared" si="85"/>
        <v>1736.19</v>
      </c>
      <c r="K1113" t="str">
        <f>[1]!revcom(C1113)</f>
        <v>GATGTG</v>
      </c>
      <c r="L1113">
        <v>6</v>
      </c>
    </row>
    <row r="1114" spans="1:12" ht="15.6" x14ac:dyDescent="0.3">
      <c r="A1114" s="9">
        <v>1103</v>
      </c>
      <c r="B1114" s="1"/>
      <c r="C1114" s="2" t="s">
        <v>1109</v>
      </c>
      <c r="D1114" s="1"/>
      <c r="E1114" s="11">
        <f t="shared" si="86"/>
        <v>22</v>
      </c>
      <c r="F1114" s="12">
        <f t="shared" si="87"/>
        <v>50</v>
      </c>
      <c r="G1114" s="12" t="str">
        <f t="shared" si="88"/>
        <v>OK</v>
      </c>
      <c r="H1114" s="13">
        <f t="shared" si="89"/>
        <v>6</v>
      </c>
      <c r="I1114" s="14">
        <f t="shared" si="85"/>
        <v>1776.2199999999998</v>
      </c>
      <c r="K1114" t="str">
        <f>[1]!revcom(C1114)</f>
        <v>CATGTG</v>
      </c>
      <c r="L1114">
        <v>6</v>
      </c>
    </row>
    <row r="1115" spans="1:12" ht="15.6" x14ac:dyDescent="0.3">
      <c r="A1115" s="9">
        <v>1104</v>
      </c>
      <c r="B1115" s="1"/>
      <c r="C1115" s="2" t="s">
        <v>1110</v>
      </c>
      <c r="D1115" s="1"/>
      <c r="E1115" s="11">
        <f t="shared" si="86"/>
        <v>16</v>
      </c>
      <c r="F1115" s="12">
        <f t="shared" si="87"/>
        <v>33.333333333333329</v>
      </c>
      <c r="G1115" s="12" t="str">
        <f t="shared" si="88"/>
        <v>OK</v>
      </c>
      <c r="H1115" s="13">
        <f t="shared" si="89"/>
        <v>6</v>
      </c>
      <c r="I1115" s="14">
        <f t="shared" si="85"/>
        <v>1751.1999999999998</v>
      </c>
      <c r="K1115" t="str">
        <f>[1]!revcom(C1115)</f>
        <v>AATGTG</v>
      </c>
      <c r="L1115">
        <v>5</v>
      </c>
    </row>
    <row r="1116" spans="1:12" ht="15.6" x14ac:dyDescent="0.3">
      <c r="A1116" s="9">
        <v>1105</v>
      </c>
      <c r="B1116" s="1"/>
      <c r="C1116" s="2" t="s">
        <v>1111</v>
      </c>
      <c r="D1116" s="1"/>
      <c r="E1116" s="11">
        <f t="shared" si="86"/>
        <v>30</v>
      </c>
      <c r="F1116" s="12">
        <f t="shared" si="87"/>
        <v>50</v>
      </c>
      <c r="G1116" s="12" t="str">
        <f t="shared" si="88"/>
        <v>OK</v>
      </c>
      <c r="H1116" s="13">
        <f t="shared" si="89"/>
        <v>6</v>
      </c>
      <c r="I1116" s="14">
        <f t="shared" si="85"/>
        <v>1745.21</v>
      </c>
      <c r="K1116" t="str">
        <f>[1]!revcom(C1116)</f>
        <v>TTGGTG</v>
      </c>
      <c r="L1116">
        <v>7</v>
      </c>
    </row>
    <row r="1117" spans="1:12" ht="15.6" x14ac:dyDescent="0.3">
      <c r="A1117" s="9">
        <v>1106</v>
      </c>
      <c r="B1117" s="1"/>
      <c r="C1117" s="2" t="s">
        <v>1112</v>
      </c>
      <c r="D1117" s="1"/>
      <c r="E1117" s="11">
        <f t="shared" si="86"/>
        <v>28</v>
      </c>
      <c r="F1117" s="12">
        <f t="shared" si="87"/>
        <v>66.666666666666657</v>
      </c>
      <c r="G1117" s="12" t="str">
        <f t="shared" si="88"/>
        <v>Warning</v>
      </c>
      <c r="H1117" s="13">
        <f t="shared" si="89"/>
        <v>6</v>
      </c>
      <c r="I1117" s="14">
        <f t="shared" si="85"/>
        <v>1721.1799999999998</v>
      </c>
      <c r="K1117" t="str">
        <f>[1]!revcom(C1117)</f>
        <v>GTGGTG</v>
      </c>
      <c r="L1117">
        <v>7</v>
      </c>
    </row>
    <row r="1118" spans="1:12" ht="15.6" x14ac:dyDescent="0.3">
      <c r="A1118" s="9">
        <v>1107</v>
      </c>
      <c r="B1118" s="1"/>
      <c r="C1118" s="2" t="s">
        <v>1113</v>
      </c>
      <c r="D1118" s="1"/>
      <c r="E1118" s="11">
        <f t="shared" si="86"/>
        <v>28</v>
      </c>
      <c r="F1118" s="12">
        <f t="shared" si="87"/>
        <v>66.666666666666657</v>
      </c>
      <c r="G1118" s="12" t="str">
        <f t="shared" si="88"/>
        <v>Warning</v>
      </c>
      <c r="H1118" s="13">
        <f t="shared" si="89"/>
        <v>6</v>
      </c>
      <c r="I1118" s="14">
        <f t="shared" si="85"/>
        <v>1761.21</v>
      </c>
      <c r="K1118" t="str">
        <f>[1]!revcom(C1118)</f>
        <v>CTGGTG</v>
      </c>
      <c r="L1118">
        <v>7</v>
      </c>
    </row>
    <row r="1119" spans="1:12" ht="15.6" x14ac:dyDescent="0.3">
      <c r="A1119" s="9">
        <v>1108</v>
      </c>
      <c r="B1119" s="1"/>
      <c r="C1119" s="2" t="s">
        <v>1114</v>
      </c>
      <c r="D1119" s="1"/>
      <c r="E1119" s="11">
        <f t="shared" si="86"/>
        <v>22</v>
      </c>
      <c r="F1119" s="12">
        <f t="shared" si="87"/>
        <v>50</v>
      </c>
      <c r="G1119" s="12" t="str">
        <f t="shared" si="88"/>
        <v>OK</v>
      </c>
      <c r="H1119" s="13">
        <f t="shared" si="89"/>
        <v>6</v>
      </c>
      <c r="I1119" s="14">
        <f t="shared" si="85"/>
        <v>1736.19</v>
      </c>
      <c r="K1119" t="str">
        <f>[1]!revcom(C1119)</f>
        <v>ATGGTG</v>
      </c>
      <c r="L1119">
        <v>6</v>
      </c>
    </row>
    <row r="1120" spans="1:12" ht="15.6" x14ac:dyDescent="0.3">
      <c r="A1120" s="9">
        <v>1109</v>
      </c>
      <c r="B1120" s="1"/>
      <c r="C1120" s="2" t="s">
        <v>1115</v>
      </c>
      <c r="D1120" s="1"/>
      <c r="E1120" s="11">
        <f t="shared" si="86"/>
        <v>28</v>
      </c>
      <c r="F1120" s="12">
        <f t="shared" si="87"/>
        <v>66.666666666666657</v>
      </c>
      <c r="G1120" s="12" t="str">
        <f t="shared" si="88"/>
        <v>Warning</v>
      </c>
      <c r="H1120" s="13">
        <f t="shared" si="89"/>
        <v>6</v>
      </c>
      <c r="I1120" s="14">
        <f t="shared" si="85"/>
        <v>1721.1799999999998</v>
      </c>
      <c r="K1120" t="str">
        <f>[1]!revcom(C1120)</f>
        <v>TGGGTG</v>
      </c>
      <c r="L1120">
        <v>7</v>
      </c>
    </row>
    <row r="1121" spans="1:12" ht="15.6" x14ac:dyDescent="0.3">
      <c r="A1121" s="9">
        <v>1110</v>
      </c>
      <c r="B1121" s="1"/>
      <c r="C1121" s="2" t="s">
        <v>1116</v>
      </c>
      <c r="D1121" s="1"/>
      <c r="E1121" s="11">
        <f t="shared" si="86"/>
        <v>26</v>
      </c>
      <c r="F1121" s="12">
        <f t="shared" si="87"/>
        <v>83.333333333333343</v>
      </c>
      <c r="G1121" s="12" t="str">
        <f t="shared" si="88"/>
        <v>Warning</v>
      </c>
      <c r="H1121" s="13">
        <f t="shared" si="89"/>
        <v>6</v>
      </c>
      <c r="I1121" s="14">
        <f t="shared" si="85"/>
        <v>1697.15</v>
      </c>
      <c r="K1121" t="str">
        <f>[1]!revcom(C1121)</f>
        <v>GGGGTG</v>
      </c>
      <c r="L1121">
        <v>7</v>
      </c>
    </row>
    <row r="1122" spans="1:12" ht="15.6" x14ac:dyDescent="0.3">
      <c r="A1122" s="9">
        <v>1111</v>
      </c>
      <c r="B1122" s="1"/>
      <c r="C1122" s="2" t="s">
        <v>1117</v>
      </c>
      <c r="D1122" s="1"/>
      <c r="E1122" s="11">
        <f t="shared" si="86"/>
        <v>26</v>
      </c>
      <c r="F1122" s="12">
        <f t="shared" si="87"/>
        <v>83.333333333333343</v>
      </c>
      <c r="G1122" s="12" t="str">
        <f t="shared" si="88"/>
        <v>Warning</v>
      </c>
      <c r="H1122" s="13">
        <f t="shared" si="89"/>
        <v>6</v>
      </c>
      <c r="I1122" s="14">
        <f t="shared" si="85"/>
        <v>1737.1799999999998</v>
      </c>
      <c r="K1122" t="str">
        <f>[1]!revcom(C1122)</f>
        <v>CGGGTG</v>
      </c>
      <c r="L1122">
        <v>7</v>
      </c>
    </row>
    <row r="1123" spans="1:12" ht="15.6" x14ac:dyDescent="0.3">
      <c r="A1123" s="9">
        <v>1112</v>
      </c>
      <c r="B1123" s="1"/>
      <c r="C1123" s="2" t="s">
        <v>1118</v>
      </c>
      <c r="D1123" s="1"/>
      <c r="E1123" s="11">
        <f t="shared" si="86"/>
        <v>20</v>
      </c>
      <c r="F1123" s="12">
        <f t="shared" si="87"/>
        <v>66.666666666666657</v>
      </c>
      <c r="G1123" s="12" t="str">
        <f t="shared" si="88"/>
        <v>Warning</v>
      </c>
      <c r="H1123" s="13">
        <f t="shared" si="89"/>
        <v>6</v>
      </c>
      <c r="I1123" s="14">
        <f t="shared" si="85"/>
        <v>1712.1599999999999</v>
      </c>
      <c r="K1123" t="str">
        <f>[1]!revcom(C1123)</f>
        <v>AGGGTG</v>
      </c>
      <c r="L1123">
        <v>6</v>
      </c>
    </row>
    <row r="1124" spans="1:12" ht="15.6" x14ac:dyDescent="0.3">
      <c r="A1124" s="9">
        <v>1113</v>
      </c>
      <c r="B1124" s="1"/>
      <c r="C1124" s="2" t="s">
        <v>1119</v>
      </c>
      <c r="D1124" s="1"/>
      <c r="E1124" s="11">
        <f t="shared" si="86"/>
        <v>28</v>
      </c>
      <c r="F1124" s="12">
        <f t="shared" si="87"/>
        <v>66.666666666666657</v>
      </c>
      <c r="G1124" s="12" t="str">
        <f t="shared" si="88"/>
        <v>Warning</v>
      </c>
      <c r="H1124" s="13">
        <f t="shared" si="89"/>
        <v>6</v>
      </c>
      <c r="I1124" s="14">
        <f t="shared" si="85"/>
        <v>1761.21</v>
      </c>
      <c r="K1124" t="str">
        <f>[1]!revcom(C1124)</f>
        <v>TCGGTG</v>
      </c>
      <c r="L1124">
        <v>7</v>
      </c>
    </row>
    <row r="1125" spans="1:12" ht="15.6" x14ac:dyDescent="0.3">
      <c r="A1125" s="9">
        <v>1114</v>
      </c>
      <c r="B1125" s="1"/>
      <c r="C1125" s="2" t="s">
        <v>1120</v>
      </c>
      <c r="D1125" s="1"/>
      <c r="E1125" s="11">
        <f t="shared" si="86"/>
        <v>26</v>
      </c>
      <c r="F1125" s="12">
        <f t="shared" si="87"/>
        <v>83.333333333333343</v>
      </c>
      <c r="G1125" s="12" t="str">
        <f t="shared" si="88"/>
        <v>Warning</v>
      </c>
      <c r="H1125" s="13">
        <f t="shared" si="89"/>
        <v>6</v>
      </c>
      <c r="I1125" s="14">
        <f t="shared" si="85"/>
        <v>1737.1799999999998</v>
      </c>
      <c r="K1125" t="str">
        <f>[1]!revcom(C1125)</f>
        <v>GCGGTG</v>
      </c>
      <c r="L1125">
        <v>7</v>
      </c>
    </row>
    <row r="1126" spans="1:12" ht="15.6" x14ac:dyDescent="0.3">
      <c r="A1126" s="9">
        <v>1115</v>
      </c>
      <c r="B1126" s="1"/>
      <c r="C1126" s="2" t="s">
        <v>1121</v>
      </c>
      <c r="D1126" s="1"/>
      <c r="E1126" s="11">
        <f t="shared" si="86"/>
        <v>26</v>
      </c>
      <c r="F1126" s="12">
        <f t="shared" si="87"/>
        <v>83.333333333333343</v>
      </c>
      <c r="G1126" s="12" t="str">
        <f t="shared" si="88"/>
        <v>Warning</v>
      </c>
      <c r="H1126" s="13">
        <f t="shared" si="89"/>
        <v>6</v>
      </c>
      <c r="I1126" s="14">
        <f t="shared" si="85"/>
        <v>1777.21</v>
      </c>
      <c r="K1126" t="str">
        <f>[1]!revcom(C1126)</f>
        <v>CCGGTG</v>
      </c>
      <c r="L1126">
        <v>7</v>
      </c>
    </row>
    <row r="1127" spans="1:12" ht="15.6" x14ac:dyDescent="0.3">
      <c r="A1127" s="9">
        <v>1116</v>
      </c>
      <c r="B1127" s="1"/>
      <c r="C1127" s="2" t="s">
        <v>1122</v>
      </c>
      <c r="D1127" s="1"/>
      <c r="E1127" s="11">
        <f t="shared" si="86"/>
        <v>20</v>
      </c>
      <c r="F1127" s="12">
        <f t="shared" si="87"/>
        <v>66.666666666666657</v>
      </c>
      <c r="G1127" s="12" t="str">
        <f t="shared" si="88"/>
        <v>Warning</v>
      </c>
      <c r="H1127" s="13">
        <f t="shared" si="89"/>
        <v>6</v>
      </c>
      <c r="I1127" s="14">
        <f t="shared" si="85"/>
        <v>1752.19</v>
      </c>
      <c r="K1127" t="str">
        <f>[1]!revcom(C1127)</f>
        <v>ACGGTG</v>
      </c>
      <c r="L1127">
        <v>6</v>
      </c>
    </row>
    <row r="1128" spans="1:12" ht="15.6" x14ac:dyDescent="0.3">
      <c r="A1128" s="9">
        <v>1117</v>
      </c>
      <c r="B1128" s="1"/>
      <c r="C1128" s="2" t="s">
        <v>1123</v>
      </c>
      <c r="D1128" s="1"/>
      <c r="E1128" s="11">
        <f t="shared" si="86"/>
        <v>22</v>
      </c>
      <c r="F1128" s="12">
        <f t="shared" si="87"/>
        <v>50</v>
      </c>
      <c r="G1128" s="12" t="str">
        <f t="shared" si="88"/>
        <v>OK</v>
      </c>
      <c r="H1128" s="13">
        <f t="shared" si="89"/>
        <v>6</v>
      </c>
      <c r="I1128" s="14">
        <f t="shared" si="85"/>
        <v>1736.19</v>
      </c>
      <c r="K1128" t="str">
        <f>[1]!revcom(C1128)</f>
        <v>TAGGTG</v>
      </c>
      <c r="L1128">
        <v>6</v>
      </c>
    </row>
    <row r="1129" spans="1:12" ht="15.6" x14ac:dyDescent="0.3">
      <c r="A1129" s="9">
        <v>1118</v>
      </c>
      <c r="B1129" s="1"/>
      <c r="C1129" s="2" t="s">
        <v>1124</v>
      </c>
      <c r="D1129" s="1"/>
      <c r="E1129" s="11">
        <f t="shared" si="86"/>
        <v>20</v>
      </c>
      <c r="F1129" s="12">
        <f t="shared" si="87"/>
        <v>66.666666666666657</v>
      </c>
      <c r="G1129" s="12" t="str">
        <f t="shared" si="88"/>
        <v>Warning</v>
      </c>
      <c r="H1129" s="13">
        <f t="shared" si="89"/>
        <v>6</v>
      </c>
      <c r="I1129" s="14">
        <f t="shared" si="85"/>
        <v>1712.1599999999999</v>
      </c>
      <c r="K1129" t="str">
        <f>[1]!revcom(C1129)</f>
        <v>GAGGTG</v>
      </c>
      <c r="L1129">
        <v>6</v>
      </c>
    </row>
    <row r="1130" spans="1:12" ht="15.6" x14ac:dyDescent="0.3">
      <c r="A1130" s="9">
        <v>1119</v>
      </c>
      <c r="B1130" s="1"/>
      <c r="C1130" s="2" t="s">
        <v>1125</v>
      </c>
      <c r="D1130" s="1"/>
      <c r="E1130" s="11">
        <f t="shared" si="86"/>
        <v>20</v>
      </c>
      <c r="F1130" s="12">
        <f t="shared" si="87"/>
        <v>66.666666666666657</v>
      </c>
      <c r="G1130" s="12" t="str">
        <f t="shared" si="88"/>
        <v>Warning</v>
      </c>
      <c r="H1130" s="13">
        <f t="shared" si="89"/>
        <v>6</v>
      </c>
      <c r="I1130" s="14">
        <f t="shared" si="85"/>
        <v>1752.19</v>
      </c>
      <c r="K1130" t="str">
        <f>[1]!revcom(C1130)</f>
        <v>CAGGTG</v>
      </c>
      <c r="L1130">
        <v>6</v>
      </c>
    </row>
    <row r="1131" spans="1:12" ht="15.6" x14ac:dyDescent="0.3">
      <c r="A1131" s="9">
        <v>1120</v>
      </c>
      <c r="B1131" s="1"/>
      <c r="C1131" s="2" t="s">
        <v>1126</v>
      </c>
      <c r="D1131" s="1"/>
      <c r="E1131" s="11">
        <f t="shared" si="86"/>
        <v>14</v>
      </c>
      <c r="F1131" s="12">
        <f t="shared" si="87"/>
        <v>50</v>
      </c>
      <c r="G1131" s="12" t="str">
        <f t="shared" si="88"/>
        <v>OK</v>
      </c>
      <c r="H1131" s="13">
        <f t="shared" si="89"/>
        <v>6</v>
      </c>
      <c r="I1131" s="14">
        <f t="shared" si="85"/>
        <v>1727.17</v>
      </c>
      <c r="K1131" t="str">
        <f>[1]!revcom(C1131)</f>
        <v>AAGGTG</v>
      </c>
      <c r="L1131">
        <v>5</v>
      </c>
    </row>
    <row r="1132" spans="1:12" ht="15.6" x14ac:dyDescent="0.3">
      <c r="A1132" s="9">
        <v>1121</v>
      </c>
      <c r="B1132" s="1"/>
      <c r="C1132" s="2" t="s">
        <v>1127</v>
      </c>
      <c r="D1132" s="1"/>
      <c r="E1132" s="11">
        <f t="shared" si="86"/>
        <v>30</v>
      </c>
      <c r="F1132" s="12">
        <f t="shared" si="87"/>
        <v>50</v>
      </c>
      <c r="G1132" s="12" t="str">
        <f t="shared" si="88"/>
        <v>OK</v>
      </c>
      <c r="H1132" s="13">
        <f t="shared" si="89"/>
        <v>6</v>
      </c>
      <c r="I1132" s="14">
        <f t="shared" si="85"/>
        <v>1785.2399999999998</v>
      </c>
      <c r="K1132" t="str">
        <f>[1]!revcom(C1132)</f>
        <v>TTCGTG</v>
      </c>
      <c r="L1132">
        <v>7</v>
      </c>
    </row>
    <row r="1133" spans="1:12" ht="15.6" x14ac:dyDescent="0.3">
      <c r="A1133" s="9">
        <v>1122</v>
      </c>
      <c r="B1133" s="1"/>
      <c r="C1133" s="2" t="s">
        <v>1128</v>
      </c>
      <c r="D1133" s="1"/>
      <c r="E1133" s="11">
        <f t="shared" si="86"/>
        <v>28</v>
      </c>
      <c r="F1133" s="12">
        <f t="shared" si="87"/>
        <v>66.666666666666657</v>
      </c>
      <c r="G1133" s="12" t="str">
        <f t="shared" si="88"/>
        <v>Warning</v>
      </c>
      <c r="H1133" s="13">
        <f t="shared" si="89"/>
        <v>6</v>
      </c>
      <c r="I1133" s="14">
        <f t="shared" si="85"/>
        <v>1761.21</v>
      </c>
      <c r="K1133" t="str">
        <f>[1]!revcom(C1133)</f>
        <v>GTCGTG</v>
      </c>
      <c r="L1133">
        <v>7</v>
      </c>
    </row>
    <row r="1134" spans="1:12" ht="15.6" x14ac:dyDescent="0.3">
      <c r="A1134" s="9">
        <v>1123</v>
      </c>
      <c r="B1134" s="1"/>
      <c r="C1134" s="2" t="s">
        <v>1129</v>
      </c>
      <c r="D1134" s="1"/>
      <c r="E1134" s="11">
        <f t="shared" si="86"/>
        <v>28</v>
      </c>
      <c r="F1134" s="12">
        <f t="shared" si="87"/>
        <v>66.666666666666657</v>
      </c>
      <c r="G1134" s="12" t="str">
        <f t="shared" si="88"/>
        <v>Warning</v>
      </c>
      <c r="H1134" s="13">
        <f t="shared" si="89"/>
        <v>6</v>
      </c>
      <c r="I1134" s="14">
        <f t="shared" si="85"/>
        <v>1801.2399999999998</v>
      </c>
      <c r="K1134" t="str">
        <f>[1]!revcom(C1134)</f>
        <v>CTCGTG</v>
      </c>
      <c r="L1134">
        <v>7</v>
      </c>
    </row>
    <row r="1135" spans="1:12" ht="15.6" x14ac:dyDescent="0.3">
      <c r="A1135" s="9">
        <v>1124</v>
      </c>
      <c r="B1135" s="1"/>
      <c r="C1135" s="2" t="s">
        <v>1130</v>
      </c>
      <c r="D1135" s="1"/>
      <c r="E1135" s="11">
        <f t="shared" si="86"/>
        <v>22</v>
      </c>
      <c r="F1135" s="12">
        <f t="shared" si="87"/>
        <v>50</v>
      </c>
      <c r="G1135" s="12" t="str">
        <f t="shared" si="88"/>
        <v>OK</v>
      </c>
      <c r="H1135" s="13">
        <f t="shared" si="89"/>
        <v>6</v>
      </c>
      <c r="I1135" s="14">
        <f t="shared" si="85"/>
        <v>1776.2199999999998</v>
      </c>
      <c r="K1135" t="str">
        <f>[1]!revcom(C1135)</f>
        <v>ATCGTG</v>
      </c>
      <c r="L1135">
        <v>6</v>
      </c>
    </row>
    <row r="1136" spans="1:12" ht="15.6" x14ac:dyDescent="0.3">
      <c r="A1136" s="9">
        <v>1125</v>
      </c>
      <c r="B1136" s="1"/>
      <c r="C1136" s="2" t="s">
        <v>1131</v>
      </c>
      <c r="D1136" s="1"/>
      <c r="E1136" s="11">
        <f t="shared" si="86"/>
        <v>28</v>
      </c>
      <c r="F1136" s="12">
        <f t="shared" si="87"/>
        <v>66.666666666666657</v>
      </c>
      <c r="G1136" s="12" t="str">
        <f t="shared" si="88"/>
        <v>Warning</v>
      </c>
      <c r="H1136" s="13">
        <f t="shared" si="89"/>
        <v>6</v>
      </c>
      <c r="I1136" s="14">
        <f t="shared" si="85"/>
        <v>1761.21</v>
      </c>
      <c r="K1136" t="str">
        <f>[1]!revcom(C1136)</f>
        <v>TGCGTG</v>
      </c>
      <c r="L1136">
        <v>7</v>
      </c>
    </row>
    <row r="1137" spans="1:12" ht="15.6" x14ac:dyDescent="0.3">
      <c r="A1137" s="9">
        <v>1126</v>
      </c>
      <c r="B1137" s="1"/>
      <c r="C1137" s="2" t="s">
        <v>1132</v>
      </c>
      <c r="D1137" s="1"/>
      <c r="E1137" s="11">
        <f t="shared" si="86"/>
        <v>26</v>
      </c>
      <c r="F1137" s="12">
        <f t="shared" si="87"/>
        <v>83.333333333333343</v>
      </c>
      <c r="G1137" s="12" t="str">
        <f t="shared" si="88"/>
        <v>Warning</v>
      </c>
      <c r="H1137" s="13">
        <f t="shared" si="89"/>
        <v>6</v>
      </c>
      <c r="I1137" s="14">
        <f t="shared" si="85"/>
        <v>1737.1799999999998</v>
      </c>
      <c r="K1137" t="str">
        <f>[1]!revcom(C1137)</f>
        <v>GGCGTG</v>
      </c>
      <c r="L1137">
        <v>7</v>
      </c>
    </row>
    <row r="1138" spans="1:12" ht="15.6" x14ac:dyDescent="0.3">
      <c r="A1138" s="9">
        <v>1127</v>
      </c>
      <c r="B1138" s="1"/>
      <c r="C1138" s="2" t="s">
        <v>1133</v>
      </c>
      <c r="D1138" s="1"/>
      <c r="E1138" s="11">
        <f t="shared" si="86"/>
        <v>26</v>
      </c>
      <c r="F1138" s="12">
        <f t="shared" si="87"/>
        <v>83.333333333333343</v>
      </c>
      <c r="G1138" s="12" t="str">
        <f t="shared" si="88"/>
        <v>Warning</v>
      </c>
      <c r="H1138" s="13">
        <f t="shared" si="89"/>
        <v>6</v>
      </c>
      <c r="I1138" s="14">
        <f t="shared" si="85"/>
        <v>1777.21</v>
      </c>
      <c r="K1138" t="str">
        <f>[1]!revcom(C1138)</f>
        <v>CGCGTG</v>
      </c>
      <c r="L1138">
        <v>7</v>
      </c>
    </row>
    <row r="1139" spans="1:12" ht="15.6" x14ac:dyDescent="0.3">
      <c r="A1139" s="9">
        <v>1128</v>
      </c>
      <c r="B1139" s="1"/>
      <c r="C1139" s="2" t="s">
        <v>1134</v>
      </c>
      <c r="D1139" s="1"/>
      <c r="E1139" s="11">
        <f t="shared" si="86"/>
        <v>20</v>
      </c>
      <c r="F1139" s="12">
        <f t="shared" si="87"/>
        <v>66.666666666666657</v>
      </c>
      <c r="G1139" s="12" t="str">
        <f t="shared" si="88"/>
        <v>Warning</v>
      </c>
      <c r="H1139" s="13">
        <f t="shared" si="89"/>
        <v>6</v>
      </c>
      <c r="I1139" s="14">
        <f t="shared" si="85"/>
        <v>1752.19</v>
      </c>
      <c r="K1139" t="str">
        <f>[1]!revcom(C1139)</f>
        <v>AGCGTG</v>
      </c>
      <c r="L1139">
        <v>6</v>
      </c>
    </row>
    <row r="1140" spans="1:12" ht="15.6" x14ac:dyDescent="0.3">
      <c r="A1140" s="9">
        <v>1129</v>
      </c>
      <c r="B1140" s="1"/>
      <c r="C1140" s="2" t="s">
        <v>1135</v>
      </c>
      <c r="D1140" s="1"/>
      <c r="E1140" s="11">
        <f t="shared" si="86"/>
        <v>28</v>
      </c>
      <c r="F1140" s="12">
        <f t="shared" si="87"/>
        <v>66.666666666666657</v>
      </c>
      <c r="G1140" s="12" t="str">
        <f t="shared" si="88"/>
        <v>Warning</v>
      </c>
      <c r="H1140" s="13">
        <f t="shared" si="89"/>
        <v>6</v>
      </c>
      <c r="I1140" s="14">
        <f t="shared" si="85"/>
        <v>1801.2399999999998</v>
      </c>
      <c r="K1140" t="str">
        <f>[1]!revcom(C1140)</f>
        <v>TCCGTG</v>
      </c>
      <c r="L1140">
        <v>7</v>
      </c>
    </row>
    <row r="1141" spans="1:12" ht="15.6" x14ac:dyDescent="0.3">
      <c r="A1141" s="9">
        <v>1130</v>
      </c>
      <c r="B1141" s="1"/>
      <c r="C1141" s="2" t="s">
        <v>1136</v>
      </c>
      <c r="D1141" s="1"/>
      <c r="E1141" s="11">
        <f t="shared" si="86"/>
        <v>26</v>
      </c>
      <c r="F1141" s="12">
        <f t="shared" si="87"/>
        <v>83.333333333333343</v>
      </c>
      <c r="G1141" s="12" t="str">
        <f t="shared" si="88"/>
        <v>Warning</v>
      </c>
      <c r="H1141" s="13">
        <f t="shared" si="89"/>
        <v>6</v>
      </c>
      <c r="I1141" s="14">
        <f t="shared" si="85"/>
        <v>1777.21</v>
      </c>
      <c r="K1141" t="str">
        <f>[1]!revcom(C1141)</f>
        <v>GCCGTG</v>
      </c>
      <c r="L1141">
        <v>7</v>
      </c>
    </row>
    <row r="1142" spans="1:12" ht="15.6" x14ac:dyDescent="0.3">
      <c r="A1142" s="9">
        <v>1131</v>
      </c>
      <c r="B1142" s="1"/>
      <c r="C1142" s="2" t="s">
        <v>1137</v>
      </c>
      <c r="D1142" s="1"/>
      <c r="E1142" s="11">
        <f t="shared" si="86"/>
        <v>26</v>
      </c>
      <c r="F1142" s="12">
        <f t="shared" si="87"/>
        <v>83.333333333333343</v>
      </c>
      <c r="G1142" s="12" t="str">
        <f t="shared" si="88"/>
        <v>Warning</v>
      </c>
      <c r="H1142" s="13">
        <f t="shared" si="89"/>
        <v>6</v>
      </c>
      <c r="I1142" s="14">
        <f t="shared" si="85"/>
        <v>1817.2400000000002</v>
      </c>
      <c r="K1142" t="str">
        <f>[1]!revcom(C1142)</f>
        <v>CCCGTG</v>
      </c>
      <c r="L1142">
        <v>7</v>
      </c>
    </row>
    <row r="1143" spans="1:12" ht="15.6" x14ac:dyDescent="0.3">
      <c r="A1143" s="9">
        <v>1132</v>
      </c>
      <c r="B1143" s="1"/>
      <c r="C1143" s="2" t="s">
        <v>1138</v>
      </c>
      <c r="D1143" s="1"/>
      <c r="E1143" s="11">
        <f t="shared" si="86"/>
        <v>20</v>
      </c>
      <c r="F1143" s="12">
        <f t="shared" si="87"/>
        <v>66.666666666666657</v>
      </c>
      <c r="G1143" s="12" t="str">
        <f t="shared" si="88"/>
        <v>Warning</v>
      </c>
      <c r="H1143" s="13">
        <f t="shared" si="89"/>
        <v>6</v>
      </c>
      <c r="I1143" s="14">
        <f t="shared" si="85"/>
        <v>1792.2199999999998</v>
      </c>
      <c r="K1143" t="str">
        <f>[1]!revcom(C1143)</f>
        <v>ACCGTG</v>
      </c>
      <c r="L1143">
        <v>6</v>
      </c>
    </row>
    <row r="1144" spans="1:12" ht="15.6" x14ac:dyDescent="0.3">
      <c r="A1144" s="9">
        <v>1133</v>
      </c>
      <c r="B1144" s="1"/>
      <c r="C1144" s="2" t="s">
        <v>1139</v>
      </c>
      <c r="D1144" s="1"/>
      <c r="E1144" s="11">
        <f t="shared" si="86"/>
        <v>22</v>
      </c>
      <c r="F1144" s="12">
        <f t="shared" si="87"/>
        <v>50</v>
      </c>
      <c r="G1144" s="12" t="str">
        <f t="shared" si="88"/>
        <v>OK</v>
      </c>
      <c r="H1144" s="13">
        <f t="shared" si="89"/>
        <v>6</v>
      </c>
      <c r="I1144" s="14">
        <f t="shared" si="85"/>
        <v>1776.2199999999998</v>
      </c>
      <c r="K1144" t="str">
        <f>[1]!revcom(C1144)</f>
        <v>TACGTG</v>
      </c>
      <c r="L1144">
        <v>6</v>
      </c>
    </row>
    <row r="1145" spans="1:12" ht="15.6" x14ac:dyDescent="0.3">
      <c r="A1145" s="9">
        <v>1134</v>
      </c>
      <c r="B1145" s="1"/>
      <c r="C1145" s="2" t="s">
        <v>1140</v>
      </c>
      <c r="D1145" s="1"/>
      <c r="E1145" s="11">
        <f t="shared" si="86"/>
        <v>20</v>
      </c>
      <c r="F1145" s="12">
        <f t="shared" si="87"/>
        <v>66.666666666666657</v>
      </c>
      <c r="G1145" s="12" t="str">
        <f t="shared" si="88"/>
        <v>Warning</v>
      </c>
      <c r="H1145" s="13">
        <f t="shared" si="89"/>
        <v>6</v>
      </c>
      <c r="I1145" s="14">
        <f t="shared" si="85"/>
        <v>1752.19</v>
      </c>
      <c r="K1145" t="str">
        <f>[1]!revcom(C1145)</f>
        <v>GACGTG</v>
      </c>
      <c r="L1145">
        <v>6</v>
      </c>
    </row>
    <row r="1146" spans="1:12" ht="15.6" x14ac:dyDescent="0.3">
      <c r="A1146" s="9">
        <v>1135</v>
      </c>
      <c r="B1146" s="1"/>
      <c r="C1146" s="2" t="s">
        <v>1141</v>
      </c>
      <c r="D1146" s="1"/>
      <c r="E1146" s="11">
        <f t="shared" si="86"/>
        <v>20</v>
      </c>
      <c r="F1146" s="12">
        <f t="shared" si="87"/>
        <v>66.666666666666657</v>
      </c>
      <c r="G1146" s="12" t="str">
        <f t="shared" si="88"/>
        <v>Warning</v>
      </c>
      <c r="H1146" s="13">
        <f t="shared" si="89"/>
        <v>6</v>
      </c>
      <c r="I1146" s="14">
        <f t="shared" si="85"/>
        <v>1792.2199999999998</v>
      </c>
      <c r="K1146" t="str">
        <f>[1]!revcom(C1146)</f>
        <v>CACGTG</v>
      </c>
      <c r="L1146">
        <v>6</v>
      </c>
    </row>
    <row r="1147" spans="1:12" ht="15.6" x14ac:dyDescent="0.3">
      <c r="A1147" s="9">
        <v>1136</v>
      </c>
      <c r="B1147" s="1"/>
      <c r="C1147" s="2" t="s">
        <v>1142</v>
      </c>
      <c r="D1147" s="1"/>
      <c r="E1147" s="11">
        <f t="shared" si="86"/>
        <v>14</v>
      </c>
      <c r="F1147" s="12">
        <f t="shared" si="87"/>
        <v>50</v>
      </c>
      <c r="G1147" s="12" t="str">
        <f t="shared" si="88"/>
        <v>OK</v>
      </c>
      <c r="H1147" s="13">
        <f t="shared" si="89"/>
        <v>6</v>
      </c>
      <c r="I1147" s="14">
        <f t="shared" si="85"/>
        <v>1767.1999999999998</v>
      </c>
      <c r="K1147" t="str">
        <f>[1]!revcom(C1147)</f>
        <v>AACGTG</v>
      </c>
      <c r="L1147">
        <v>5</v>
      </c>
    </row>
    <row r="1148" spans="1:12" ht="15.6" x14ac:dyDescent="0.3">
      <c r="A1148" s="9">
        <v>1137</v>
      </c>
      <c r="B1148" s="1"/>
      <c r="C1148" s="2" t="s">
        <v>1143</v>
      </c>
      <c r="D1148" s="1"/>
      <c r="E1148" s="11">
        <f t="shared" si="86"/>
        <v>24</v>
      </c>
      <c r="F1148" s="12">
        <f t="shared" si="87"/>
        <v>33.333333333333329</v>
      </c>
      <c r="G1148" s="12" t="str">
        <f t="shared" si="88"/>
        <v>OK</v>
      </c>
      <c r="H1148" s="13">
        <f t="shared" si="89"/>
        <v>6</v>
      </c>
      <c r="I1148" s="14">
        <f t="shared" si="85"/>
        <v>1760.2199999999998</v>
      </c>
      <c r="K1148" t="str">
        <f>[1]!revcom(C1148)</f>
        <v>TTAGTG</v>
      </c>
      <c r="L1148">
        <v>6</v>
      </c>
    </row>
    <row r="1149" spans="1:12" ht="15.6" x14ac:dyDescent="0.3">
      <c r="A1149" s="9">
        <v>1138</v>
      </c>
      <c r="B1149" s="1"/>
      <c r="C1149" s="2" t="s">
        <v>1144</v>
      </c>
      <c r="D1149" s="1"/>
      <c r="E1149" s="11">
        <f t="shared" si="86"/>
        <v>22</v>
      </c>
      <c r="F1149" s="12">
        <f t="shared" si="87"/>
        <v>50</v>
      </c>
      <c r="G1149" s="12" t="str">
        <f t="shared" si="88"/>
        <v>OK</v>
      </c>
      <c r="H1149" s="13">
        <f t="shared" si="89"/>
        <v>6</v>
      </c>
      <c r="I1149" s="14">
        <f t="shared" si="85"/>
        <v>1736.19</v>
      </c>
      <c r="K1149" t="str">
        <f>[1]!revcom(C1149)</f>
        <v>GTAGTG</v>
      </c>
      <c r="L1149">
        <v>6</v>
      </c>
    </row>
    <row r="1150" spans="1:12" ht="15.6" x14ac:dyDescent="0.3">
      <c r="A1150" s="9">
        <v>1139</v>
      </c>
      <c r="B1150" s="1"/>
      <c r="C1150" s="2" t="s">
        <v>1145</v>
      </c>
      <c r="D1150" s="1"/>
      <c r="E1150" s="11">
        <f t="shared" si="86"/>
        <v>22</v>
      </c>
      <c r="F1150" s="12">
        <f t="shared" si="87"/>
        <v>50</v>
      </c>
      <c r="G1150" s="12" t="str">
        <f t="shared" si="88"/>
        <v>OK</v>
      </c>
      <c r="H1150" s="13">
        <f t="shared" si="89"/>
        <v>6</v>
      </c>
      <c r="I1150" s="14">
        <f t="shared" si="85"/>
        <v>1776.2199999999998</v>
      </c>
      <c r="K1150" t="str">
        <f>[1]!revcom(C1150)</f>
        <v>CTAGTG</v>
      </c>
      <c r="L1150">
        <v>6</v>
      </c>
    </row>
    <row r="1151" spans="1:12" ht="15.6" x14ac:dyDescent="0.3">
      <c r="A1151" s="9">
        <v>1140</v>
      </c>
      <c r="B1151" s="1"/>
      <c r="C1151" s="2" t="s">
        <v>1146</v>
      </c>
      <c r="D1151" s="1"/>
      <c r="E1151" s="11">
        <f t="shared" si="86"/>
        <v>16</v>
      </c>
      <c r="F1151" s="12">
        <f t="shared" si="87"/>
        <v>33.333333333333329</v>
      </c>
      <c r="G1151" s="12" t="str">
        <f t="shared" si="88"/>
        <v>OK</v>
      </c>
      <c r="H1151" s="13">
        <f t="shared" si="89"/>
        <v>6</v>
      </c>
      <c r="I1151" s="14">
        <f t="shared" si="85"/>
        <v>1751.1999999999998</v>
      </c>
      <c r="K1151" t="str">
        <f>[1]!revcom(C1151)</f>
        <v>ATAGTG</v>
      </c>
      <c r="L1151">
        <v>5</v>
      </c>
    </row>
    <row r="1152" spans="1:12" ht="15.6" x14ac:dyDescent="0.3">
      <c r="A1152" s="9">
        <v>1141</v>
      </c>
      <c r="B1152" s="1"/>
      <c r="C1152" s="2" t="s">
        <v>1147</v>
      </c>
      <c r="D1152" s="1"/>
      <c r="E1152" s="11">
        <f t="shared" si="86"/>
        <v>22</v>
      </c>
      <c r="F1152" s="12">
        <f t="shared" si="87"/>
        <v>50</v>
      </c>
      <c r="G1152" s="12" t="str">
        <f t="shared" si="88"/>
        <v>OK</v>
      </c>
      <c r="H1152" s="13">
        <f t="shared" si="89"/>
        <v>6</v>
      </c>
      <c r="I1152" s="14">
        <f t="shared" si="85"/>
        <v>1736.19</v>
      </c>
      <c r="K1152" t="str">
        <f>[1]!revcom(C1152)</f>
        <v>TGAGTG</v>
      </c>
      <c r="L1152">
        <v>6</v>
      </c>
    </row>
    <row r="1153" spans="1:12" ht="15.6" x14ac:dyDescent="0.3">
      <c r="A1153" s="9">
        <v>1142</v>
      </c>
      <c r="B1153" s="1"/>
      <c r="C1153" s="2" t="s">
        <v>1148</v>
      </c>
      <c r="D1153" s="1"/>
      <c r="E1153" s="11">
        <f t="shared" si="86"/>
        <v>20</v>
      </c>
      <c r="F1153" s="12">
        <f t="shared" si="87"/>
        <v>66.666666666666657</v>
      </c>
      <c r="G1153" s="12" t="str">
        <f t="shared" si="88"/>
        <v>Warning</v>
      </c>
      <c r="H1153" s="13">
        <f t="shared" si="89"/>
        <v>6</v>
      </c>
      <c r="I1153" s="14">
        <f t="shared" si="85"/>
        <v>1712.1599999999999</v>
      </c>
      <c r="K1153" t="str">
        <f>[1]!revcom(C1153)</f>
        <v>GGAGTG</v>
      </c>
      <c r="L1153">
        <v>6</v>
      </c>
    </row>
    <row r="1154" spans="1:12" ht="15.6" x14ac:dyDescent="0.3">
      <c r="A1154" s="9">
        <v>1143</v>
      </c>
      <c r="B1154" s="1"/>
      <c r="C1154" s="2" t="s">
        <v>1149</v>
      </c>
      <c r="D1154" s="1"/>
      <c r="E1154" s="11">
        <f t="shared" si="86"/>
        <v>20</v>
      </c>
      <c r="F1154" s="12">
        <f t="shared" si="87"/>
        <v>66.666666666666657</v>
      </c>
      <c r="G1154" s="12" t="str">
        <f t="shared" si="88"/>
        <v>Warning</v>
      </c>
      <c r="H1154" s="13">
        <f t="shared" si="89"/>
        <v>6</v>
      </c>
      <c r="I1154" s="14">
        <f t="shared" si="85"/>
        <v>1752.19</v>
      </c>
      <c r="K1154" t="str">
        <f>[1]!revcom(C1154)</f>
        <v>CGAGTG</v>
      </c>
      <c r="L1154">
        <v>6</v>
      </c>
    </row>
    <row r="1155" spans="1:12" ht="15.6" x14ac:dyDescent="0.3">
      <c r="A1155" s="9">
        <v>1144</v>
      </c>
      <c r="B1155" s="1"/>
      <c r="C1155" s="2" t="s">
        <v>1150</v>
      </c>
      <c r="D1155" s="1"/>
      <c r="E1155" s="11">
        <f t="shared" si="86"/>
        <v>14</v>
      </c>
      <c r="F1155" s="12">
        <f t="shared" si="87"/>
        <v>50</v>
      </c>
      <c r="G1155" s="12" t="str">
        <f t="shared" si="88"/>
        <v>OK</v>
      </c>
      <c r="H1155" s="13">
        <f t="shared" si="89"/>
        <v>6</v>
      </c>
      <c r="I1155" s="14">
        <f t="shared" si="85"/>
        <v>1727.17</v>
      </c>
      <c r="K1155" t="str">
        <f>[1]!revcom(C1155)</f>
        <v>AGAGTG</v>
      </c>
      <c r="L1155">
        <v>5</v>
      </c>
    </row>
    <row r="1156" spans="1:12" ht="15.6" x14ac:dyDescent="0.3">
      <c r="A1156" s="9">
        <v>1145</v>
      </c>
      <c r="B1156" s="1"/>
      <c r="C1156" s="2" t="s">
        <v>1151</v>
      </c>
      <c r="D1156" s="1"/>
      <c r="E1156" s="11">
        <f t="shared" si="86"/>
        <v>22</v>
      </c>
      <c r="F1156" s="12">
        <f t="shared" si="87"/>
        <v>50</v>
      </c>
      <c r="G1156" s="12" t="str">
        <f t="shared" si="88"/>
        <v>OK</v>
      </c>
      <c r="H1156" s="13">
        <f t="shared" si="89"/>
        <v>6</v>
      </c>
      <c r="I1156" s="14">
        <f t="shared" si="85"/>
        <v>1776.2199999999998</v>
      </c>
      <c r="K1156" t="str">
        <f>[1]!revcom(C1156)</f>
        <v>TCAGTG</v>
      </c>
      <c r="L1156">
        <v>6</v>
      </c>
    </row>
    <row r="1157" spans="1:12" ht="15.6" x14ac:dyDescent="0.3">
      <c r="A1157" s="9">
        <v>1146</v>
      </c>
      <c r="B1157" s="1"/>
      <c r="C1157" s="2" t="s">
        <v>1152</v>
      </c>
      <c r="D1157" s="1"/>
      <c r="E1157" s="11">
        <f t="shared" si="86"/>
        <v>20</v>
      </c>
      <c r="F1157" s="12">
        <f t="shared" si="87"/>
        <v>66.666666666666657</v>
      </c>
      <c r="G1157" s="12" t="str">
        <f t="shared" si="88"/>
        <v>Warning</v>
      </c>
      <c r="H1157" s="13">
        <f t="shared" si="89"/>
        <v>6</v>
      </c>
      <c r="I1157" s="14">
        <f t="shared" si="85"/>
        <v>1752.19</v>
      </c>
      <c r="K1157" t="str">
        <f>[1]!revcom(C1157)</f>
        <v>GCAGTG</v>
      </c>
      <c r="L1157">
        <v>6</v>
      </c>
    </row>
    <row r="1158" spans="1:12" ht="15.6" x14ac:dyDescent="0.3">
      <c r="A1158" s="9">
        <v>1147</v>
      </c>
      <c r="B1158" s="1"/>
      <c r="C1158" s="2" t="s">
        <v>1153</v>
      </c>
      <c r="D1158" s="1"/>
      <c r="E1158" s="11">
        <f t="shared" si="86"/>
        <v>20</v>
      </c>
      <c r="F1158" s="12">
        <f t="shared" si="87"/>
        <v>66.666666666666657</v>
      </c>
      <c r="G1158" s="12" t="str">
        <f t="shared" si="88"/>
        <v>Warning</v>
      </c>
      <c r="H1158" s="13">
        <f t="shared" si="89"/>
        <v>6</v>
      </c>
      <c r="I1158" s="14">
        <f t="shared" si="85"/>
        <v>1792.2199999999998</v>
      </c>
      <c r="K1158" t="str">
        <f>[1]!revcom(C1158)</f>
        <v>CCAGTG</v>
      </c>
      <c r="L1158">
        <v>6</v>
      </c>
    </row>
    <row r="1159" spans="1:12" ht="15.6" x14ac:dyDescent="0.3">
      <c r="A1159" s="9">
        <v>1148</v>
      </c>
      <c r="B1159" s="1"/>
      <c r="C1159" s="2" t="s">
        <v>1154</v>
      </c>
      <c r="D1159" s="1"/>
      <c r="E1159" s="11">
        <f t="shared" si="86"/>
        <v>14</v>
      </c>
      <c r="F1159" s="12">
        <f t="shared" si="87"/>
        <v>50</v>
      </c>
      <c r="G1159" s="12" t="str">
        <f t="shared" si="88"/>
        <v>OK</v>
      </c>
      <c r="H1159" s="13">
        <f t="shared" si="89"/>
        <v>6</v>
      </c>
      <c r="I1159" s="14">
        <f t="shared" si="85"/>
        <v>1767.1999999999998</v>
      </c>
      <c r="K1159" t="str">
        <f>[1]!revcom(C1159)</f>
        <v>ACAGTG</v>
      </c>
      <c r="L1159">
        <v>5</v>
      </c>
    </row>
    <row r="1160" spans="1:12" ht="15.6" x14ac:dyDescent="0.3">
      <c r="A1160" s="9">
        <v>1149</v>
      </c>
      <c r="B1160" s="1"/>
      <c r="C1160" s="2" t="s">
        <v>1155</v>
      </c>
      <c r="D1160" s="1"/>
      <c r="E1160" s="11">
        <f t="shared" si="86"/>
        <v>16</v>
      </c>
      <c r="F1160" s="12">
        <f t="shared" si="87"/>
        <v>33.333333333333329</v>
      </c>
      <c r="G1160" s="12" t="str">
        <f t="shared" si="88"/>
        <v>OK</v>
      </c>
      <c r="H1160" s="13">
        <f t="shared" si="89"/>
        <v>6</v>
      </c>
      <c r="I1160" s="14">
        <f t="shared" si="85"/>
        <v>1751.1999999999998</v>
      </c>
      <c r="K1160" t="str">
        <f>[1]!revcom(C1160)</f>
        <v>TAAGTG</v>
      </c>
      <c r="L1160">
        <v>5</v>
      </c>
    </row>
    <row r="1161" spans="1:12" ht="15.6" x14ac:dyDescent="0.3">
      <c r="A1161" s="9">
        <v>1150</v>
      </c>
      <c r="B1161" s="1"/>
      <c r="C1161" s="2" t="s">
        <v>1156</v>
      </c>
      <c r="D1161" s="1"/>
      <c r="E1161" s="11">
        <f t="shared" si="86"/>
        <v>14</v>
      </c>
      <c r="F1161" s="12">
        <f t="shared" si="87"/>
        <v>50</v>
      </c>
      <c r="G1161" s="12" t="str">
        <f t="shared" si="88"/>
        <v>OK</v>
      </c>
      <c r="H1161" s="13">
        <f t="shared" si="89"/>
        <v>6</v>
      </c>
      <c r="I1161" s="14">
        <f t="shared" si="85"/>
        <v>1727.17</v>
      </c>
      <c r="K1161" t="str">
        <f>[1]!revcom(C1161)</f>
        <v>GAAGTG</v>
      </c>
      <c r="L1161">
        <v>5</v>
      </c>
    </row>
    <row r="1162" spans="1:12" ht="15.6" x14ac:dyDescent="0.3">
      <c r="A1162" s="9">
        <v>1151</v>
      </c>
      <c r="B1162" s="1"/>
      <c r="C1162" s="2" t="s">
        <v>1157</v>
      </c>
      <c r="D1162" s="1"/>
      <c r="E1162" s="11">
        <f t="shared" si="86"/>
        <v>14</v>
      </c>
      <c r="F1162" s="12">
        <f t="shared" si="87"/>
        <v>50</v>
      </c>
      <c r="G1162" s="12" t="str">
        <f t="shared" si="88"/>
        <v>OK</v>
      </c>
      <c r="H1162" s="13">
        <f t="shared" si="89"/>
        <v>6</v>
      </c>
      <c r="I1162" s="14">
        <f t="shared" si="85"/>
        <v>1767.1999999999998</v>
      </c>
      <c r="K1162" t="str">
        <f>[1]!revcom(C1162)</f>
        <v>CAAGTG</v>
      </c>
      <c r="L1162">
        <v>5</v>
      </c>
    </row>
    <row r="1163" spans="1:12" ht="15.6" x14ac:dyDescent="0.3">
      <c r="A1163" s="9">
        <v>1152</v>
      </c>
      <c r="B1163" s="1"/>
      <c r="C1163" s="2" t="s">
        <v>1158</v>
      </c>
      <c r="D1163" s="1"/>
      <c r="E1163" s="11">
        <f t="shared" si="86"/>
        <v>8</v>
      </c>
      <c r="F1163" s="12">
        <f t="shared" si="87"/>
        <v>33.333333333333329</v>
      </c>
      <c r="G1163" s="12" t="str">
        <f t="shared" si="88"/>
        <v>OK</v>
      </c>
      <c r="H1163" s="13">
        <f t="shared" si="89"/>
        <v>6</v>
      </c>
      <c r="I1163" s="14">
        <f t="shared" si="85"/>
        <v>1742.1799999999998</v>
      </c>
      <c r="K1163" t="str">
        <f>[1]!revcom(C1163)</f>
        <v>AAAGTG</v>
      </c>
      <c r="L1163">
        <v>4</v>
      </c>
    </row>
    <row r="1164" spans="1:12" ht="15.6" x14ac:dyDescent="0.3">
      <c r="A1164" s="9">
        <v>1153</v>
      </c>
      <c r="B1164" s="1"/>
      <c r="C1164" s="2" t="s">
        <v>1159</v>
      </c>
      <c r="D1164" s="1"/>
      <c r="E1164" s="11">
        <f t="shared" si="86"/>
        <v>32</v>
      </c>
      <c r="F1164" s="12">
        <f t="shared" si="87"/>
        <v>33.333333333333329</v>
      </c>
      <c r="G1164" s="12" t="str">
        <f t="shared" si="88"/>
        <v>OK</v>
      </c>
      <c r="H1164" s="13">
        <f t="shared" si="89"/>
        <v>6</v>
      </c>
      <c r="I1164" s="14">
        <f t="shared" si="85"/>
        <v>1809.27</v>
      </c>
      <c r="K1164" t="str">
        <f>[1]!revcom(C1164)</f>
        <v>TTTCTG</v>
      </c>
      <c r="L1164">
        <v>8</v>
      </c>
    </row>
    <row r="1165" spans="1:12" ht="15.6" x14ac:dyDescent="0.3">
      <c r="A1165" s="9">
        <v>1154</v>
      </c>
      <c r="B1165" s="1"/>
      <c r="C1165" s="2" t="s">
        <v>1160</v>
      </c>
      <c r="D1165" s="1"/>
      <c r="E1165" s="11">
        <f t="shared" si="86"/>
        <v>30</v>
      </c>
      <c r="F1165" s="12">
        <f t="shared" si="87"/>
        <v>50</v>
      </c>
      <c r="G1165" s="12" t="str">
        <f t="shared" si="88"/>
        <v>OK</v>
      </c>
      <c r="H1165" s="13">
        <f t="shared" si="89"/>
        <v>6</v>
      </c>
      <c r="I1165" s="14">
        <f t="shared" ref="I1165:I1228" si="90">((LEN(C1165)-(LEN(SUBSTITUTE(C1165,"A",""))))*249.23)+((LEN(C1165)-(LEN(SUBSTITUTE(C1165,"T",""))))*240.21)+((LEN(C1165)-(LEN(SUBSTITUTE(C1165,"C",""))))*225.2)+((LEN(C1165)-(LEN(SUBSTITUTE(C1165,"G",""))))*265.23)+(63.98*(LEN(C1165)-1)+(2.02))</f>
        <v>1785.2399999999998</v>
      </c>
      <c r="K1165" t="str">
        <f>[1]!revcom(C1165)</f>
        <v>GTTCTG</v>
      </c>
      <c r="L1165">
        <v>7</v>
      </c>
    </row>
    <row r="1166" spans="1:12" ht="15.6" x14ac:dyDescent="0.3">
      <c r="A1166" s="9">
        <v>1155</v>
      </c>
      <c r="B1166" s="1"/>
      <c r="C1166" s="2" t="s">
        <v>1161</v>
      </c>
      <c r="D1166" s="1"/>
      <c r="E1166" s="11">
        <f t="shared" ref="E1166:E1229" si="91">IF(LEN(C1166)&gt;15,(69.3+((41*((LEN(C1166)-(((LEN(C1166)-(LEN(SUBSTITUTE(C1166,"A",""))))+((LEN(C1166)-(LEN(SUBSTITUTE(C1166,"T","")))))))))/(LEN(C1166)))-(650/(LEN(C1166))))),(2*((LEN(C1166)-(((LEN(C1166)-(LEN(SUBSTITUTE(C1166,"C",""))))+((LEN(C1166)-(LEN(SUBSTITUTE(C1166,"G",""))))))))))+(4*((LEN(C1166)-(((LEN(C1166)-(LEN(SUBSTITUTE(C1166,"T",""))))+((LEN(C1166)-(LEN(SUBSTITUTE(C1166,"T","")))))))))))</f>
        <v>30</v>
      </c>
      <c r="F1166" s="12">
        <f t="shared" ref="F1166:F1229" si="92">((LEN(C1166)- LEN(SUBSTITUTE(C1166,"G","")))+(LEN(C1166)- LEN(SUBSTITUTE(C1166,"C",""))) )/LEN(C1166)*100</f>
        <v>50</v>
      </c>
      <c r="G1166" s="12" t="str">
        <f t="shared" ref="G1166:G1229" si="93">IF((-5+((LEN(SUBSTITUTE(RIGHT(C1166,5),"C","")))+((LEN(SUBSTITUTE(RIGHT(C1166,5),"G",""))))))&gt;=3,"OK","Warning")</f>
        <v>OK</v>
      </c>
      <c r="H1166" s="13">
        <f t="shared" ref="H1166:H1229" si="94">LEN(C1166)</f>
        <v>6</v>
      </c>
      <c r="I1166" s="14">
        <f t="shared" si="90"/>
        <v>1825.27</v>
      </c>
      <c r="K1166" t="str">
        <f>[1]!revcom(C1166)</f>
        <v>CTTCTG</v>
      </c>
      <c r="L1166">
        <v>7</v>
      </c>
    </row>
    <row r="1167" spans="1:12" ht="15.6" x14ac:dyDescent="0.3">
      <c r="A1167" s="9">
        <v>1156</v>
      </c>
      <c r="B1167" s="1"/>
      <c r="C1167" s="2" t="s">
        <v>1162</v>
      </c>
      <c r="D1167" s="1"/>
      <c r="E1167" s="11">
        <f t="shared" si="91"/>
        <v>24</v>
      </c>
      <c r="F1167" s="12">
        <f t="shared" si="92"/>
        <v>33.333333333333329</v>
      </c>
      <c r="G1167" s="12" t="str">
        <f t="shared" si="93"/>
        <v>OK</v>
      </c>
      <c r="H1167" s="13">
        <f t="shared" si="94"/>
        <v>6</v>
      </c>
      <c r="I1167" s="14">
        <f t="shared" si="90"/>
        <v>1800.25</v>
      </c>
      <c r="K1167" t="str">
        <f>[1]!revcom(C1167)</f>
        <v>ATTCTG</v>
      </c>
      <c r="L1167">
        <v>6</v>
      </c>
    </row>
    <row r="1168" spans="1:12" ht="15.6" x14ac:dyDescent="0.3">
      <c r="A1168" s="9">
        <v>1157</v>
      </c>
      <c r="B1168" s="1"/>
      <c r="C1168" s="2" t="s">
        <v>1163</v>
      </c>
      <c r="D1168" s="1"/>
      <c r="E1168" s="11">
        <f t="shared" si="91"/>
        <v>30</v>
      </c>
      <c r="F1168" s="12">
        <f t="shared" si="92"/>
        <v>50</v>
      </c>
      <c r="G1168" s="12" t="str">
        <f t="shared" si="93"/>
        <v>OK</v>
      </c>
      <c r="H1168" s="13">
        <f t="shared" si="94"/>
        <v>6</v>
      </c>
      <c r="I1168" s="14">
        <f t="shared" si="90"/>
        <v>1785.2399999999998</v>
      </c>
      <c r="K1168" t="str">
        <f>[1]!revcom(C1168)</f>
        <v>TGTCTG</v>
      </c>
      <c r="L1168">
        <v>7</v>
      </c>
    </row>
    <row r="1169" spans="1:12" ht="15.6" x14ac:dyDescent="0.3">
      <c r="A1169" s="9">
        <v>1158</v>
      </c>
      <c r="B1169" s="1"/>
      <c r="C1169" s="2" t="s">
        <v>1164</v>
      </c>
      <c r="D1169" s="1"/>
      <c r="E1169" s="11">
        <f t="shared" si="91"/>
        <v>28</v>
      </c>
      <c r="F1169" s="12">
        <f t="shared" si="92"/>
        <v>66.666666666666657</v>
      </c>
      <c r="G1169" s="12" t="str">
        <f t="shared" si="93"/>
        <v>Warning</v>
      </c>
      <c r="H1169" s="13">
        <f t="shared" si="94"/>
        <v>6</v>
      </c>
      <c r="I1169" s="14">
        <f t="shared" si="90"/>
        <v>1761.21</v>
      </c>
      <c r="K1169" t="str">
        <f>[1]!revcom(C1169)</f>
        <v>GGTCTG</v>
      </c>
      <c r="L1169">
        <v>7</v>
      </c>
    </row>
    <row r="1170" spans="1:12" ht="15.6" x14ac:dyDescent="0.3">
      <c r="A1170" s="9">
        <v>1159</v>
      </c>
      <c r="B1170" s="1"/>
      <c r="C1170" s="2" t="s">
        <v>1165</v>
      </c>
      <c r="D1170" s="1"/>
      <c r="E1170" s="11">
        <f t="shared" si="91"/>
        <v>28</v>
      </c>
      <c r="F1170" s="12">
        <f t="shared" si="92"/>
        <v>66.666666666666657</v>
      </c>
      <c r="G1170" s="12" t="str">
        <f t="shared" si="93"/>
        <v>Warning</v>
      </c>
      <c r="H1170" s="13">
        <f t="shared" si="94"/>
        <v>6</v>
      </c>
      <c r="I1170" s="14">
        <f t="shared" si="90"/>
        <v>1801.2399999999998</v>
      </c>
      <c r="K1170" t="str">
        <f>[1]!revcom(C1170)</f>
        <v>CGTCTG</v>
      </c>
      <c r="L1170">
        <v>7</v>
      </c>
    </row>
    <row r="1171" spans="1:12" ht="15.6" x14ac:dyDescent="0.3">
      <c r="A1171" s="9">
        <v>1160</v>
      </c>
      <c r="B1171" s="1"/>
      <c r="C1171" s="2" t="s">
        <v>1166</v>
      </c>
      <c r="D1171" s="1"/>
      <c r="E1171" s="11">
        <f t="shared" si="91"/>
        <v>22</v>
      </c>
      <c r="F1171" s="12">
        <f t="shared" si="92"/>
        <v>50</v>
      </c>
      <c r="G1171" s="12" t="str">
        <f t="shared" si="93"/>
        <v>OK</v>
      </c>
      <c r="H1171" s="13">
        <f t="shared" si="94"/>
        <v>6</v>
      </c>
      <c r="I1171" s="14">
        <f t="shared" si="90"/>
        <v>1776.2199999999998</v>
      </c>
      <c r="K1171" t="str">
        <f>[1]!revcom(C1171)</f>
        <v>AGTCTG</v>
      </c>
      <c r="L1171">
        <v>6</v>
      </c>
    </row>
    <row r="1172" spans="1:12" ht="15.6" x14ac:dyDescent="0.3">
      <c r="A1172" s="9">
        <v>1161</v>
      </c>
      <c r="B1172" s="1"/>
      <c r="C1172" s="2" t="s">
        <v>1167</v>
      </c>
      <c r="D1172" s="1"/>
      <c r="E1172" s="11">
        <f t="shared" si="91"/>
        <v>30</v>
      </c>
      <c r="F1172" s="12">
        <f t="shared" si="92"/>
        <v>50</v>
      </c>
      <c r="G1172" s="12" t="str">
        <f t="shared" si="93"/>
        <v>OK</v>
      </c>
      <c r="H1172" s="13">
        <f t="shared" si="94"/>
        <v>6</v>
      </c>
      <c r="I1172" s="14">
        <f t="shared" si="90"/>
        <v>1825.27</v>
      </c>
      <c r="K1172" t="str">
        <f>[1]!revcom(C1172)</f>
        <v>TCTCTG</v>
      </c>
      <c r="L1172">
        <v>7</v>
      </c>
    </row>
    <row r="1173" spans="1:12" ht="15.6" x14ac:dyDescent="0.3">
      <c r="A1173" s="9">
        <v>1162</v>
      </c>
      <c r="B1173" s="1"/>
      <c r="C1173" s="2" t="s">
        <v>1168</v>
      </c>
      <c r="D1173" s="1"/>
      <c r="E1173" s="11">
        <f t="shared" si="91"/>
        <v>28</v>
      </c>
      <c r="F1173" s="12">
        <f t="shared" si="92"/>
        <v>66.666666666666657</v>
      </c>
      <c r="G1173" s="12" t="str">
        <f t="shared" si="93"/>
        <v>Warning</v>
      </c>
      <c r="H1173" s="13">
        <f t="shared" si="94"/>
        <v>6</v>
      </c>
      <c r="I1173" s="14">
        <f t="shared" si="90"/>
        <v>1801.2399999999998</v>
      </c>
      <c r="K1173" t="str">
        <f>[1]!revcom(C1173)</f>
        <v>GCTCTG</v>
      </c>
      <c r="L1173">
        <v>7</v>
      </c>
    </row>
    <row r="1174" spans="1:12" ht="15.6" x14ac:dyDescent="0.3">
      <c r="A1174" s="9">
        <v>1163</v>
      </c>
      <c r="B1174" s="1"/>
      <c r="C1174" s="2" t="s">
        <v>1169</v>
      </c>
      <c r="D1174" s="1"/>
      <c r="E1174" s="11">
        <f t="shared" si="91"/>
        <v>28</v>
      </c>
      <c r="F1174" s="12">
        <f t="shared" si="92"/>
        <v>66.666666666666657</v>
      </c>
      <c r="G1174" s="12" t="str">
        <f t="shared" si="93"/>
        <v>Warning</v>
      </c>
      <c r="H1174" s="13">
        <f t="shared" si="94"/>
        <v>6</v>
      </c>
      <c r="I1174" s="14">
        <f t="shared" si="90"/>
        <v>1841.27</v>
      </c>
      <c r="K1174" t="str">
        <f>[1]!revcom(C1174)</f>
        <v>CCTCTG</v>
      </c>
      <c r="L1174">
        <v>7</v>
      </c>
    </row>
    <row r="1175" spans="1:12" ht="15.6" x14ac:dyDescent="0.3">
      <c r="A1175" s="9">
        <v>1164</v>
      </c>
      <c r="B1175" s="1"/>
      <c r="C1175" s="2" t="s">
        <v>1170</v>
      </c>
      <c r="D1175" s="1"/>
      <c r="E1175" s="11">
        <f t="shared" si="91"/>
        <v>22</v>
      </c>
      <c r="F1175" s="12">
        <f t="shared" si="92"/>
        <v>50</v>
      </c>
      <c r="G1175" s="12" t="str">
        <f t="shared" si="93"/>
        <v>OK</v>
      </c>
      <c r="H1175" s="13">
        <f t="shared" si="94"/>
        <v>6</v>
      </c>
      <c r="I1175" s="14">
        <f t="shared" si="90"/>
        <v>1816.25</v>
      </c>
      <c r="K1175" t="str">
        <f>[1]!revcom(C1175)</f>
        <v>ACTCTG</v>
      </c>
      <c r="L1175">
        <v>6</v>
      </c>
    </row>
    <row r="1176" spans="1:12" ht="15.6" x14ac:dyDescent="0.3">
      <c r="A1176" s="9">
        <v>1165</v>
      </c>
      <c r="B1176" s="1"/>
      <c r="C1176" s="2" t="s">
        <v>1171</v>
      </c>
      <c r="D1176" s="1"/>
      <c r="E1176" s="11">
        <f t="shared" si="91"/>
        <v>24</v>
      </c>
      <c r="F1176" s="12">
        <f t="shared" si="92"/>
        <v>33.333333333333329</v>
      </c>
      <c r="G1176" s="12" t="str">
        <f t="shared" si="93"/>
        <v>OK</v>
      </c>
      <c r="H1176" s="13">
        <f t="shared" si="94"/>
        <v>6</v>
      </c>
      <c r="I1176" s="14">
        <f t="shared" si="90"/>
        <v>1800.25</v>
      </c>
      <c r="K1176" t="str">
        <f>[1]!revcom(C1176)</f>
        <v>TATCTG</v>
      </c>
      <c r="L1176">
        <v>6</v>
      </c>
    </row>
    <row r="1177" spans="1:12" ht="15.6" x14ac:dyDescent="0.3">
      <c r="A1177" s="9">
        <v>1166</v>
      </c>
      <c r="B1177" s="1"/>
      <c r="C1177" s="2" t="s">
        <v>1172</v>
      </c>
      <c r="D1177" s="1"/>
      <c r="E1177" s="11">
        <f t="shared" si="91"/>
        <v>22</v>
      </c>
      <c r="F1177" s="12">
        <f t="shared" si="92"/>
        <v>50</v>
      </c>
      <c r="G1177" s="12" t="str">
        <f t="shared" si="93"/>
        <v>OK</v>
      </c>
      <c r="H1177" s="13">
        <f t="shared" si="94"/>
        <v>6</v>
      </c>
      <c r="I1177" s="14">
        <f t="shared" si="90"/>
        <v>1776.2199999999998</v>
      </c>
      <c r="K1177" t="str">
        <f>[1]!revcom(C1177)</f>
        <v>GATCTG</v>
      </c>
      <c r="L1177">
        <v>6</v>
      </c>
    </row>
    <row r="1178" spans="1:12" ht="15.6" x14ac:dyDescent="0.3">
      <c r="A1178" s="9">
        <v>1167</v>
      </c>
      <c r="B1178" s="1"/>
      <c r="C1178" s="2" t="s">
        <v>1173</v>
      </c>
      <c r="D1178" s="1"/>
      <c r="E1178" s="11">
        <f t="shared" si="91"/>
        <v>22</v>
      </c>
      <c r="F1178" s="12">
        <f t="shared" si="92"/>
        <v>50</v>
      </c>
      <c r="G1178" s="12" t="str">
        <f t="shared" si="93"/>
        <v>OK</v>
      </c>
      <c r="H1178" s="13">
        <f t="shared" si="94"/>
        <v>6</v>
      </c>
      <c r="I1178" s="14">
        <f t="shared" si="90"/>
        <v>1816.25</v>
      </c>
      <c r="K1178" t="str">
        <f>[1]!revcom(C1178)</f>
        <v>CATCTG</v>
      </c>
      <c r="L1178">
        <v>6</v>
      </c>
    </row>
    <row r="1179" spans="1:12" ht="15.6" x14ac:dyDescent="0.3">
      <c r="A1179" s="9">
        <v>1168</v>
      </c>
      <c r="B1179" s="1"/>
      <c r="C1179" s="2" t="s">
        <v>1174</v>
      </c>
      <c r="D1179" s="1"/>
      <c r="E1179" s="11">
        <f t="shared" si="91"/>
        <v>16</v>
      </c>
      <c r="F1179" s="12">
        <f t="shared" si="92"/>
        <v>33.333333333333329</v>
      </c>
      <c r="G1179" s="12" t="str">
        <f t="shared" si="93"/>
        <v>OK</v>
      </c>
      <c r="H1179" s="13">
        <f t="shared" si="94"/>
        <v>6</v>
      </c>
      <c r="I1179" s="14">
        <f t="shared" si="90"/>
        <v>1791.23</v>
      </c>
      <c r="K1179" t="str">
        <f>[1]!revcom(C1179)</f>
        <v>AATCTG</v>
      </c>
      <c r="L1179">
        <v>5</v>
      </c>
    </row>
    <row r="1180" spans="1:12" ht="15.6" x14ac:dyDescent="0.3">
      <c r="A1180" s="9">
        <v>1169</v>
      </c>
      <c r="B1180" s="1"/>
      <c r="C1180" s="2" t="s">
        <v>1175</v>
      </c>
      <c r="D1180" s="1"/>
      <c r="E1180" s="11">
        <f t="shared" si="91"/>
        <v>30</v>
      </c>
      <c r="F1180" s="12">
        <f t="shared" si="92"/>
        <v>50</v>
      </c>
      <c r="G1180" s="12" t="str">
        <f t="shared" si="93"/>
        <v>OK</v>
      </c>
      <c r="H1180" s="13">
        <f t="shared" si="94"/>
        <v>6</v>
      </c>
      <c r="I1180" s="14">
        <f t="shared" si="90"/>
        <v>1785.2399999999998</v>
      </c>
      <c r="K1180" t="str">
        <f>[1]!revcom(C1180)</f>
        <v>TTGCTG</v>
      </c>
      <c r="L1180">
        <v>7</v>
      </c>
    </row>
    <row r="1181" spans="1:12" ht="15.6" x14ac:dyDescent="0.3">
      <c r="A1181" s="9">
        <v>1170</v>
      </c>
      <c r="B1181" s="1"/>
      <c r="C1181" s="2" t="s">
        <v>1176</v>
      </c>
      <c r="D1181" s="1"/>
      <c r="E1181" s="11">
        <f t="shared" si="91"/>
        <v>28</v>
      </c>
      <c r="F1181" s="12">
        <f t="shared" si="92"/>
        <v>66.666666666666657</v>
      </c>
      <c r="G1181" s="12" t="str">
        <f t="shared" si="93"/>
        <v>Warning</v>
      </c>
      <c r="H1181" s="13">
        <f t="shared" si="94"/>
        <v>6</v>
      </c>
      <c r="I1181" s="14">
        <f t="shared" si="90"/>
        <v>1761.21</v>
      </c>
      <c r="K1181" t="str">
        <f>[1]!revcom(C1181)</f>
        <v>GTGCTG</v>
      </c>
      <c r="L1181">
        <v>7</v>
      </c>
    </row>
    <row r="1182" spans="1:12" ht="15.6" x14ac:dyDescent="0.3">
      <c r="A1182" s="9">
        <v>1171</v>
      </c>
      <c r="B1182" s="1"/>
      <c r="C1182" s="2" t="s">
        <v>1177</v>
      </c>
      <c r="D1182" s="1"/>
      <c r="E1182" s="11">
        <f t="shared" si="91"/>
        <v>28</v>
      </c>
      <c r="F1182" s="12">
        <f t="shared" si="92"/>
        <v>66.666666666666657</v>
      </c>
      <c r="G1182" s="12" t="str">
        <f t="shared" si="93"/>
        <v>Warning</v>
      </c>
      <c r="H1182" s="13">
        <f t="shared" si="94"/>
        <v>6</v>
      </c>
      <c r="I1182" s="14">
        <f t="shared" si="90"/>
        <v>1801.2399999999998</v>
      </c>
      <c r="K1182" t="str">
        <f>[1]!revcom(C1182)</f>
        <v>CTGCTG</v>
      </c>
      <c r="L1182">
        <v>7</v>
      </c>
    </row>
    <row r="1183" spans="1:12" ht="15.6" x14ac:dyDescent="0.3">
      <c r="A1183" s="9">
        <v>1172</v>
      </c>
      <c r="B1183" s="1"/>
      <c r="C1183" s="2" t="s">
        <v>1178</v>
      </c>
      <c r="D1183" s="1"/>
      <c r="E1183" s="11">
        <f t="shared" si="91"/>
        <v>22</v>
      </c>
      <c r="F1183" s="12">
        <f t="shared" si="92"/>
        <v>50</v>
      </c>
      <c r="G1183" s="12" t="str">
        <f t="shared" si="93"/>
        <v>OK</v>
      </c>
      <c r="H1183" s="13">
        <f t="shared" si="94"/>
        <v>6</v>
      </c>
      <c r="I1183" s="14">
        <f t="shared" si="90"/>
        <v>1776.2199999999998</v>
      </c>
      <c r="K1183" t="str">
        <f>[1]!revcom(C1183)</f>
        <v>ATGCTG</v>
      </c>
      <c r="L1183">
        <v>6</v>
      </c>
    </row>
    <row r="1184" spans="1:12" ht="15.6" x14ac:dyDescent="0.3">
      <c r="A1184" s="9">
        <v>1173</v>
      </c>
      <c r="B1184" s="1"/>
      <c r="C1184" s="2" t="s">
        <v>1179</v>
      </c>
      <c r="D1184" s="1"/>
      <c r="E1184" s="11">
        <f t="shared" si="91"/>
        <v>28</v>
      </c>
      <c r="F1184" s="12">
        <f t="shared" si="92"/>
        <v>66.666666666666657</v>
      </c>
      <c r="G1184" s="12" t="str">
        <f t="shared" si="93"/>
        <v>Warning</v>
      </c>
      <c r="H1184" s="13">
        <f t="shared" si="94"/>
        <v>6</v>
      </c>
      <c r="I1184" s="14">
        <f t="shared" si="90"/>
        <v>1761.21</v>
      </c>
      <c r="K1184" t="str">
        <f>[1]!revcom(C1184)</f>
        <v>TGGCTG</v>
      </c>
      <c r="L1184">
        <v>7</v>
      </c>
    </row>
    <row r="1185" spans="1:12" ht="15.6" x14ac:dyDescent="0.3">
      <c r="A1185" s="9">
        <v>1174</v>
      </c>
      <c r="B1185" s="1"/>
      <c r="C1185" s="2" t="s">
        <v>1180</v>
      </c>
      <c r="D1185" s="1"/>
      <c r="E1185" s="11">
        <f t="shared" si="91"/>
        <v>26</v>
      </c>
      <c r="F1185" s="12">
        <f t="shared" si="92"/>
        <v>83.333333333333343</v>
      </c>
      <c r="G1185" s="12" t="str">
        <f t="shared" si="93"/>
        <v>Warning</v>
      </c>
      <c r="H1185" s="13">
        <f t="shared" si="94"/>
        <v>6</v>
      </c>
      <c r="I1185" s="14">
        <f t="shared" si="90"/>
        <v>1737.1799999999998</v>
      </c>
      <c r="K1185" t="str">
        <f>[1]!revcom(C1185)</f>
        <v>GGGCTG</v>
      </c>
      <c r="L1185">
        <v>7</v>
      </c>
    </row>
    <row r="1186" spans="1:12" ht="15.6" x14ac:dyDescent="0.3">
      <c r="A1186" s="9">
        <v>1175</v>
      </c>
      <c r="B1186" s="1"/>
      <c r="C1186" s="2" t="s">
        <v>1181</v>
      </c>
      <c r="D1186" s="1"/>
      <c r="E1186" s="11">
        <f t="shared" si="91"/>
        <v>26</v>
      </c>
      <c r="F1186" s="12">
        <f t="shared" si="92"/>
        <v>83.333333333333343</v>
      </c>
      <c r="G1186" s="12" t="str">
        <f t="shared" si="93"/>
        <v>Warning</v>
      </c>
      <c r="H1186" s="13">
        <f t="shared" si="94"/>
        <v>6</v>
      </c>
      <c r="I1186" s="14">
        <f t="shared" si="90"/>
        <v>1777.21</v>
      </c>
      <c r="K1186" t="str">
        <f>[1]!revcom(C1186)</f>
        <v>CGGCTG</v>
      </c>
      <c r="L1186">
        <v>7</v>
      </c>
    </row>
    <row r="1187" spans="1:12" ht="15.6" x14ac:dyDescent="0.3">
      <c r="A1187" s="9">
        <v>1176</v>
      </c>
      <c r="B1187" s="1"/>
      <c r="C1187" s="2" t="s">
        <v>1182</v>
      </c>
      <c r="D1187" s="1"/>
      <c r="E1187" s="11">
        <f t="shared" si="91"/>
        <v>20</v>
      </c>
      <c r="F1187" s="12">
        <f t="shared" si="92"/>
        <v>66.666666666666657</v>
      </c>
      <c r="G1187" s="12" t="str">
        <f t="shared" si="93"/>
        <v>Warning</v>
      </c>
      <c r="H1187" s="13">
        <f t="shared" si="94"/>
        <v>6</v>
      </c>
      <c r="I1187" s="14">
        <f t="shared" si="90"/>
        <v>1752.19</v>
      </c>
      <c r="K1187" t="str">
        <f>[1]!revcom(C1187)</f>
        <v>AGGCTG</v>
      </c>
      <c r="L1187">
        <v>6</v>
      </c>
    </row>
    <row r="1188" spans="1:12" ht="15.6" x14ac:dyDescent="0.3">
      <c r="A1188" s="9">
        <v>1177</v>
      </c>
      <c r="B1188" s="1"/>
      <c r="C1188" s="2" t="s">
        <v>1183</v>
      </c>
      <c r="D1188" s="1"/>
      <c r="E1188" s="11">
        <f t="shared" si="91"/>
        <v>28</v>
      </c>
      <c r="F1188" s="12">
        <f t="shared" si="92"/>
        <v>66.666666666666657</v>
      </c>
      <c r="G1188" s="12" t="str">
        <f t="shared" si="93"/>
        <v>Warning</v>
      </c>
      <c r="H1188" s="13">
        <f t="shared" si="94"/>
        <v>6</v>
      </c>
      <c r="I1188" s="14">
        <f t="shared" si="90"/>
        <v>1801.2399999999998</v>
      </c>
      <c r="K1188" t="str">
        <f>[1]!revcom(C1188)</f>
        <v>TCGCTG</v>
      </c>
      <c r="L1188">
        <v>7</v>
      </c>
    </row>
    <row r="1189" spans="1:12" ht="15.6" x14ac:dyDescent="0.3">
      <c r="A1189" s="9">
        <v>1178</v>
      </c>
      <c r="B1189" s="1"/>
      <c r="C1189" s="2" t="s">
        <v>1184</v>
      </c>
      <c r="D1189" s="1"/>
      <c r="E1189" s="11">
        <f t="shared" si="91"/>
        <v>26</v>
      </c>
      <c r="F1189" s="12">
        <f t="shared" si="92"/>
        <v>83.333333333333343</v>
      </c>
      <c r="G1189" s="12" t="str">
        <f t="shared" si="93"/>
        <v>Warning</v>
      </c>
      <c r="H1189" s="13">
        <f t="shared" si="94"/>
        <v>6</v>
      </c>
      <c r="I1189" s="14">
        <f t="shared" si="90"/>
        <v>1777.21</v>
      </c>
      <c r="K1189" t="str">
        <f>[1]!revcom(C1189)</f>
        <v>GCGCTG</v>
      </c>
      <c r="L1189">
        <v>7</v>
      </c>
    </row>
    <row r="1190" spans="1:12" ht="15.6" x14ac:dyDescent="0.3">
      <c r="A1190" s="9">
        <v>1179</v>
      </c>
      <c r="B1190" s="1"/>
      <c r="C1190" s="2" t="s">
        <v>1185</v>
      </c>
      <c r="D1190" s="1"/>
      <c r="E1190" s="11">
        <f t="shared" si="91"/>
        <v>26</v>
      </c>
      <c r="F1190" s="12">
        <f t="shared" si="92"/>
        <v>83.333333333333343</v>
      </c>
      <c r="G1190" s="12" t="str">
        <f t="shared" si="93"/>
        <v>Warning</v>
      </c>
      <c r="H1190" s="13">
        <f t="shared" si="94"/>
        <v>6</v>
      </c>
      <c r="I1190" s="14">
        <f t="shared" si="90"/>
        <v>1817.2400000000002</v>
      </c>
      <c r="K1190" t="str">
        <f>[1]!revcom(C1190)</f>
        <v>CCGCTG</v>
      </c>
      <c r="L1190">
        <v>7</v>
      </c>
    </row>
    <row r="1191" spans="1:12" ht="15.6" x14ac:dyDescent="0.3">
      <c r="A1191" s="9">
        <v>1180</v>
      </c>
      <c r="B1191" s="1"/>
      <c r="C1191" s="2" t="s">
        <v>1186</v>
      </c>
      <c r="D1191" s="1"/>
      <c r="E1191" s="11">
        <f t="shared" si="91"/>
        <v>20</v>
      </c>
      <c r="F1191" s="12">
        <f t="shared" si="92"/>
        <v>66.666666666666657</v>
      </c>
      <c r="G1191" s="12" t="str">
        <f t="shared" si="93"/>
        <v>Warning</v>
      </c>
      <c r="H1191" s="13">
        <f t="shared" si="94"/>
        <v>6</v>
      </c>
      <c r="I1191" s="14">
        <f t="shared" si="90"/>
        <v>1792.2199999999998</v>
      </c>
      <c r="K1191" t="str">
        <f>[1]!revcom(C1191)</f>
        <v>ACGCTG</v>
      </c>
      <c r="L1191">
        <v>6</v>
      </c>
    </row>
    <row r="1192" spans="1:12" ht="15.6" x14ac:dyDescent="0.3">
      <c r="A1192" s="9">
        <v>1181</v>
      </c>
      <c r="B1192" s="1"/>
      <c r="C1192" s="2" t="s">
        <v>1187</v>
      </c>
      <c r="D1192" s="1"/>
      <c r="E1192" s="11">
        <f t="shared" si="91"/>
        <v>22</v>
      </c>
      <c r="F1192" s="12">
        <f t="shared" si="92"/>
        <v>50</v>
      </c>
      <c r="G1192" s="12" t="str">
        <f t="shared" si="93"/>
        <v>OK</v>
      </c>
      <c r="H1192" s="13">
        <f t="shared" si="94"/>
        <v>6</v>
      </c>
      <c r="I1192" s="14">
        <f t="shared" si="90"/>
        <v>1776.2199999999998</v>
      </c>
      <c r="K1192" t="str">
        <f>[1]!revcom(C1192)</f>
        <v>TAGCTG</v>
      </c>
      <c r="L1192">
        <v>6</v>
      </c>
    </row>
    <row r="1193" spans="1:12" ht="15.6" x14ac:dyDescent="0.3">
      <c r="A1193" s="9">
        <v>1182</v>
      </c>
      <c r="B1193" s="1"/>
      <c r="C1193" s="2" t="s">
        <v>1188</v>
      </c>
      <c r="D1193" s="1"/>
      <c r="E1193" s="11">
        <f t="shared" si="91"/>
        <v>20</v>
      </c>
      <c r="F1193" s="12">
        <f t="shared" si="92"/>
        <v>66.666666666666657</v>
      </c>
      <c r="G1193" s="12" t="str">
        <f t="shared" si="93"/>
        <v>Warning</v>
      </c>
      <c r="H1193" s="13">
        <f t="shared" si="94"/>
        <v>6</v>
      </c>
      <c r="I1193" s="14">
        <f t="shared" si="90"/>
        <v>1752.19</v>
      </c>
      <c r="K1193" t="str">
        <f>[1]!revcom(C1193)</f>
        <v>GAGCTG</v>
      </c>
      <c r="L1193">
        <v>6</v>
      </c>
    </row>
    <row r="1194" spans="1:12" ht="15.6" x14ac:dyDescent="0.3">
      <c r="A1194" s="9">
        <v>1183</v>
      </c>
      <c r="B1194" s="1"/>
      <c r="C1194" s="2" t="s">
        <v>1189</v>
      </c>
      <c r="D1194" s="1"/>
      <c r="E1194" s="11">
        <f t="shared" si="91"/>
        <v>20</v>
      </c>
      <c r="F1194" s="12">
        <f t="shared" si="92"/>
        <v>66.666666666666657</v>
      </c>
      <c r="G1194" s="12" t="str">
        <f t="shared" si="93"/>
        <v>Warning</v>
      </c>
      <c r="H1194" s="13">
        <f t="shared" si="94"/>
        <v>6</v>
      </c>
      <c r="I1194" s="14">
        <f t="shared" si="90"/>
        <v>1792.2199999999998</v>
      </c>
      <c r="K1194" t="str">
        <f>[1]!revcom(C1194)</f>
        <v>CAGCTG</v>
      </c>
      <c r="L1194">
        <v>6</v>
      </c>
    </row>
    <row r="1195" spans="1:12" ht="15.6" x14ac:dyDescent="0.3">
      <c r="A1195" s="9">
        <v>1184</v>
      </c>
      <c r="B1195" s="1"/>
      <c r="C1195" s="2" t="s">
        <v>1190</v>
      </c>
      <c r="D1195" s="1"/>
      <c r="E1195" s="11">
        <f t="shared" si="91"/>
        <v>14</v>
      </c>
      <c r="F1195" s="12">
        <f t="shared" si="92"/>
        <v>50</v>
      </c>
      <c r="G1195" s="12" t="str">
        <f t="shared" si="93"/>
        <v>OK</v>
      </c>
      <c r="H1195" s="13">
        <f t="shared" si="94"/>
        <v>6</v>
      </c>
      <c r="I1195" s="14">
        <f t="shared" si="90"/>
        <v>1767.1999999999998</v>
      </c>
      <c r="K1195" t="str">
        <f>[1]!revcom(C1195)</f>
        <v>AAGCTG</v>
      </c>
      <c r="L1195">
        <v>5</v>
      </c>
    </row>
    <row r="1196" spans="1:12" ht="15.6" x14ac:dyDescent="0.3">
      <c r="A1196" s="9">
        <v>1185</v>
      </c>
      <c r="B1196" s="1"/>
      <c r="C1196" s="2" t="s">
        <v>1191</v>
      </c>
      <c r="D1196" s="1"/>
      <c r="E1196" s="11">
        <f t="shared" si="91"/>
        <v>30</v>
      </c>
      <c r="F1196" s="12">
        <f t="shared" si="92"/>
        <v>50</v>
      </c>
      <c r="G1196" s="12" t="str">
        <f t="shared" si="93"/>
        <v>OK</v>
      </c>
      <c r="H1196" s="13">
        <f t="shared" si="94"/>
        <v>6</v>
      </c>
      <c r="I1196" s="14">
        <f t="shared" si="90"/>
        <v>1825.27</v>
      </c>
      <c r="K1196" t="str">
        <f>[1]!revcom(C1196)</f>
        <v>TTCCTG</v>
      </c>
      <c r="L1196">
        <v>7</v>
      </c>
    </row>
    <row r="1197" spans="1:12" ht="15.6" x14ac:dyDescent="0.3">
      <c r="A1197" s="9">
        <v>1186</v>
      </c>
      <c r="B1197" s="1"/>
      <c r="C1197" s="2" t="s">
        <v>1192</v>
      </c>
      <c r="D1197" s="1"/>
      <c r="E1197" s="11">
        <f t="shared" si="91"/>
        <v>28</v>
      </c>
      <c r="F1197" s="12">
        <f t="shared" si="92"/>
        <v>66.666666666666657</v>
      </c>
      <c r="G1197" s="12" t="str">
        <f t="shared" si="93"/>
        <v>Warning</v>
      </c>
      <c r="H1197" s="13">
        <f t="shared" si="94"/>
        <v>6</v>
      </c>
      <c r="I1197" s="14">
        <f t="shared" si="90"/>
        <v>1801.2399999999998</v>
      </c>
      <c r="K1197" t="str">
        <f>[1]!revcom(C1197)</f>
        <v>GTCCTG</v>
      </c>
      <c r="L1197">
        <v>7</v>
      </c>
    </row>
    <row r="1198" spans="1:12" ht="15.6" x14ac:dyDescent="0.3">
      <c r="A1198" s="9">
        <v>1187</v>
      </c>
      <c r="B1198" s="1"/>
      <c r="C1198" s="2" t="s">
        <v>1193</v>
      </c>
      <c r="D1198" s="1"/>
      <c r="E1198" s="11">
        <f t="shared" si="91"/>
        <v>28</v>
      </c>
      <c r="F1198" s="12">
        <f t="shared" si="92"/>
        <v>66.666666666666657</v>
      </c>
      <c r="G1198" s="12" t="str">
        <f t="shared" si="93"/>
        <v>Warning</v>
      </c>
      <c r="H1198" s="13">
        <f t="shared" si="94"/>
        <v>6</v>
      </c>
      <c r="I1198" s="14">
        <f t="shared" si="90"/>
        <v>1841.27</v>
      </c>
      <c r="K1198" t="str">
        <f>[1]!revcom(C1198)</f>
        <v>CTCCTG</v>
      </c>
      <c r="L1198">
        <v>7</v>
      </c>
    </row>
    <row r="1199" spans="1:12" ht="15.6" x14ac:dyDescent="0.3">
      <c r="A1199" s="9">
        <v>1188</v>
      </c>
      <c r="B1199" s="1"/>
      <c r="C1199" s="2" t="s">
        <v>1194</v>
      </c>
      <c r="D1199" s="1"/>
      <c r="E1199" s="11">
        <f t="shared" si="91"/>
        <v>22</v>
      </c>
      <c r="F1199" s="12">
        <f t="shared" si="92"/>
        <v>50</v>
      </c>
      <c r="G1199" s="12" t="str">
        <f t="shared" si="93"/>
        <v>OK</v>
      </c>
      <c r="H1199" s="13">
        <f t="shared" si="94"/>
        <v>6</v>
      </c>
      <c r="I1199" s="14">
        <f t="shared" si="90"/>
        <v>1816.25</v>
      </c>
      <c r="K1199" t="str">
        <f>[1]!revcom(C1199)</f>
        <v>ATCCTG</v>
      </c>
      <c r="L1199">
        <v>6</v>
      </c>
    </row>
    <row r="1200" spans="1:12" ht="15.6" x14ac:dyDescent="0.3">
      <c r="A1200" s="9">
        <v>1189</v>
      </c>
      <c r="B1200" s="1"/>
      <c r="C1200" s="2" t="s">
        <v>1195</v>
      </c>
      <c r="D1200" s="1"/>
      <c r="E1200" s="11">
        <f t="shared" si="91"/>
        <v>28</v>
      </c>
      <c r="F1200" s="12">
        <f t="shared" si="92"/>
        <v>66.666666666666657</v>
      </c>
      <c r="G1200" s="12" t="str">
        <f t="shared" si="93"/>
        <v>Warning</v>
      </c>
      <c r="H1200" s="13">
        <f t="shared" si="94"/>
        <v>6</v>
      </c>
      <c r="I1200" s="14">
        <f t="shared" si="90"/>
        <v>1801.2399999999998</v>
      </c>
      <c r="K1200" t="str">
        <f>[1]!revcom(C1200)</f>
        <v>TGCCTG</v>
      </c>
      <c r="L1200">
        <v>7</v>
      </c>
    </row>
    <row r="1201" spans="1:12" ht="15.6" x14ac:dyDescent="0.3">
      <c r="A1201" s="9">
        <v>1190</v>
      </c>
      <c r="B1201" s="1"/>
      <c r="C1201" s="2" t="s">
        <v>1196</v>
      </c>
      <c r="D1201" s="1"/>
      <c r="E1201" s="11">
        <f t="shared" si="91"/>
        <v>26</v>
      </c>
      <c r="F1201" s="12">
        <f t="shared" si="92"/>
        <v>83.333333333333343</v>
      </c>
      <c r="G1201" s="12" t="str">
        <f t="shared" si="93"/>
        <v>Warning</v>
      </c>
      <c r="H1201" s="13">
        <f t="shared" si="94"/>
        <v>6</v>
      </c>
      <c r="I1201" s="14">
        <f t="shared" si="90"/>
        <v>1777.21</v>
      </c>
      <c r="K1201" t="str">
        <f>[1]!revcom(C1201)</f>
        <v>GGCCTG</v>
      </c>
      <c r="L1201">
        <v>7</v>
      </c>
    </row>
    <row r="1202" spans="1:12" ht="15.6" x14ac:dyDescent="0.3">
      <c r="A1202" s="9">
        <v>1191</v>
      </c>
      <c r="B1202" s="1"/>
      <c r="C1202" s="2" t="s">
        <v>1197</v>
      </c>
      <c r="D1202" s="1"/>
      <c r="E1202" s="11">
        <f t="shared" si="91"/>
        <v>26</v>
      </c>
      <c r="F1202" s="12">
        <f t="shared" si="92"/>
        <v>83.333333333333343</v>
      </c>
      <c r="G1202" s="12" t="str">
        <f t="shared" si="93"/>
        <v>Warning</v>
      </c>
      <c r="H1202" s="13">
        <f t="shared" si="94"/>
        <v>6</v>
      </c>
      <c r="I1202" s="14">
        <f t="shared" si="90"/>
        <v>1817.2400000000002</v>
      </c>
      <c r="K1202" t="str">
        <f>[1]!revcom(C1202)</f>
        <v>CGCCTG</v>
      </c>
      <c r="L1202">
        <v>7</v>
      </c>
    </row>
    <row r="1203" spans="1:12" ht="15.6" x14ac:dyDescent="0.3">
      <c r="A1203" s="9">
        <v>1192</v>
      </c>
      <c r="B1203" s="1"/>
      <c r="C1203" s="2" t="s">
        <v>1198</v>
      </c>
      <c r="D1203" s="1"/>
      <c r="E1203" s="11">
        <f t="shared" si="91"/>
        <v>20</v>
      </c>
      <c r="F1203" s="12">
        <f t="shared" si="92"/>
        <v>66.666666666666657</v>
      </c>
      <c r="G1203" s="12" t="str">
        <f t="shared" si="93"/>
        <v>Warning</v>
      </c>
      <c r="H1203" s="13">
        <f t="shared" si="94"/>
        <v>6</v>
      </c>
      <c r="I1203" s="14">
        <f t="shared" si="90"/>
        <v>1792.2199999999998</v>
      </c>
      <c r="K1203" t="str">
        <f>[1]!revcom(C1203)</f>
        <v>AGCCTG</v>
      </c>
      <c r="L1203">
        <v>6</v>
      </c>
    </row>
    <row r="1204" spans="1:12" ht="15.6" x14ac:dyDescent="0.3">
      <c r="A1204" s="9">
        <v>1193</v>
      </c>
      <c r="B1204" s="1"/>
      <c r="C1204" s="2" t="s">
        <v>1199</v>
      </c>
      <c r="D1204" s="1"/>
      <c r="E1204" s="11">
        <f t="shared" si="91"/>
        <v>28</v>
      </c>
      <c r="F1204" s="12">
        <f t="shared" si="92"/>
        <v>66.666666666666657</v>
      </c>
      <c r="G1204" s="12" t="str">
        <f t="shared" si="93"/>
        <v>Warning</v>
      </c>
      <c r="H1204" s="13">
        <f t="shared" si="94"/>
        <v>6</v>
      </c>
      <c r="I1204" s="14">
        <f t="shared" si="90"/>
        <v>1841.27</v>
      </c>
      <c r="K1204" t="str">
        <f>[1]!revcom(C1204)</f>
        <v>TCCCTG</v>
      </c>
      <c r="L1204">
        <v>7</v>
      </c>
    </row>
    <row r="1205" spans="1:12" ht="15.6" x14ac:dyDescent="0.3">
      <c r="A1205" s="9">
        <v>1194</v>
      </c>
      <c r="B1205" s="1"/>
      <c r="C1205" s="2" t="s">
        <v>1200</v>
      </c>
      <c r="D1205" s="1"/>
      <c r="E1205" s="11">
        <f t="shared" si="91"/>
        <v>26</v>
      </c>
      <c r="F1205" s="12">
        <f t="shared" si="92"/>
        <v>83.333333333333343</v>
      </c>
      <c r="G1205" s="12" t="str">
        <f t="shared" si="93"/>
        <v>Warning</v>
      </c>
      <c r="H1205" s="13">
        <f t="shared" si="94"/>
        <v>6</v>
      </c>
      <c r="I1205" s="14">
        <f t="shared" si="90"/>
        <v>1817.2400000000002</v>
      </c>
      <c r="K1205" t="str">
        <f>[1]!revcom(C1205)</f>
        <v>GCCCTG</v>
      </c>
      <c r="L1205">
        <v>7</v>
      </c>
    </row>
    <row r="1206" spans="1:12" ht="15.6" x14ac:dyDescent="0.3">
      <c r="A1206" s="9">
        <v>1195</v>
      </c>
      <c r="B1206" s="1"/>
      <c r="C1206" s="2" t="s">
        <v>1201</v>
      </c>
      <c r="D1206" s="1"/>
      <c r="E1206" s="11">
        <f t="shared" si="91"/>
        <v>26</v>
      </c>
      <c r="F1206" s="12">
        <f t="shared" si="92"/>
        <v>83.333333333333343</v>
      </c>
      <c r="G1206" s="12" t="str">
        <f t="shared" si="93"/>
        <v>Warning</v>
      </c>
      <c r="H1206" s="13">
        <f t="shared" si="94"/>
        <v>6</v>
      </c>
      <c r="I1206" s="14">
        <f t="shared" si="90"/>
        <v>1857.27</v>
      </c>
      <c r="K1206" t="str">
        <f>[1]!revcom(C1206)</f>
        <v>CCCCTG</v>
      </c>
      <c r="L1206">
        <v>7</v>
      </c>
    </row>
    <row r="1207" spans="1:12" ht="15.6" x14ac:dyDescent="0.3">
      <c r="A1207" s="9">
        <v>1196</v>
      </c>
      <c r="B1207" s="1"/>
      <c r="C1207" s="2" t="s">
        <v>1202</v>
      </c>
      <c r="D1207" s="1"/>
      <c r="E1207" s="11">
        <f t="shared" si="91"/>
        <v>20</v>
      </c>
      <c r="F1207" s="12">
        <f t="shared" si="92"/>
        <v>66.666666666666657</v>
      </c>
      <c r="G1207" s="12" t="str">
        <f t="shared" si="93"/>
        <v>Warning</v>
      </c>
      <c r="H1207" s="13">
        <f t="shared" si="94"/>
        <v>6</v>
      </c>
      <c r="I1207" s="14">
        <f t="shared" si="90"/>
        <v>1832.25</v>
      </c>
      <c r="K1207" t="str">
        <f>[1]!revcom(C1207)</f>
        <v>ACCCTG</v>
      </c>
      <c r="L1207">
        <v>6</v>
      </c>
    </row>
    <row r="1208" spans="1:12" ht="15.6" x14ac:dyDescent="0.3">
      <c r="A1208" s="9">
        <v>1197</v>
      </c>
      <c r="B1208" s="1"/>
      <c r="C1208" s="2" t="s">
        <v>1203</v>
      </c>
      <c r="D1208" s="1"/>
      <c r="E1208" s="11">
        <f t="shared" si="91"/>
        <v>22</v>
      </c>
      <c r="F1208" s="12">
        <f t="shared" si="92"/>
        <v>50</v>
      </c>
      <c r="G1208" s="12" t="str">
        <f t="shared" si="93"/>
        <v>OK</v>
      </c>
      <c r="H1208" s="13">
        <f t="shared" si="94"/>
        <v>6</v>
      </c>
      <c r="I1208" s="14">
        <f t="shared" si="90"/>
        <v>1816.25</v>
      </c>
      <c r="K1208" t="str">
        <f>[1]!revcom(C1208)</f>
        <v>TACCTG</v>
      </c>
      <c r="L1208">
        <v>6</v>
      </c>
    </row>
    <row r="1209" spans="1:12" ht="15.6" x14ac:dyDescent="0.3">
      <c r="A1209" s="9">
        <v>1198</v>
      </c>
      <c r="B1209" s="1"/>
      <c r="C1209" s="2" t="s">
        <v>1204</v>
      </c>
      <c r="D1209" s="1"/>
      <c r="E1209" s="11">
        <f t="shared" si="91"/>
        <v>20</v>
      </c>
      <c r="F1209" s="12">
        <f t="shared" si="92"/>
        <v>66.666666666666657</v>
      </c>
      <c r="G1209" s="12" t="str">
        <f t="shared" si="93"/>
        <v>Warning</v>
      </c>
      <c r="H1209" s="13">
        <f t="shared" si="94"/>
        <v>6</v>
      </c>
      <c r="I1209" s="14">
        <f t="shared" si="90"/>
        <v>1792.2199999999998</v>
      </c>
      <c r="K1209" t="str">
        <f>[1]!revcom(C1209)</f>
        <v>GACCTG</v>
      </c>
      <c r="L1209">
        <v>6</v>
      </c>
    </row>
    <row r="1210" spans="1:12" ht="15.6" x14ac:dyDescent="0.3">
      <c r="A1210" s="9">
        <v>1199</v>
      </c>
      <c r="B1210" s="1"/>
      <c r="C1210" s="2" t="s">
        <v>1205</v>
      </c>
      <c r="D1210" s="1"/>
      <c r="E1210" s="11">
        <f t="shared" si="91"/>
        <v>20</v>
      </c>
      <c r="F1210" s="12">
        <f t="shared" si="92"/>
        <v>66.666666666666657</v>
      </c>
      <c r="G1210" s="12" t="str">
        <f t="shared" si="93"/>
        <v>Warning</v>
      </c>
      <c r="H1210" s="13">
        <f t="shared" si="94"/>
        <v>6</v>
      </c>
      <c r="I1210" s="14">
        <f t="shared" si="90"/>
        <v>1832.25</v>
      </c>
      <c r="K1210" t="str">
        <f>[1]!revcom(C1210)</f>
        <v>CACCTG</v>
      </c>
      <c r="L1210">
        <v>6</v>
      </c>
    </row>
    <row r="1211" spans="1:12" ht="15.6" x14ac:dyDescent="0.3">
      <c r="A1211" s="9">
        <v>1200</v>
      </c>
      <c r="B1211" s="1"/>
      <c r="C1211" s="2" t="s">
        <v>1206</v>
      </c>
      <c r="D1211" s="1"/>
      <c r="E1211" s="11">
        <f t="shared" si="91"/>
        <v>14</v>
      </c>
      <c r="F1211" s="12">
        <f t="shared" si="92"/>
        <v>50</v>
      </c>
      <c r="G1211" s="12" t="str">
        <f t="shared" si="93"/>
        <v>OK</v>
      </c>
      <c r="H1211" s="13">
        <f t="shared" si="94"/>
        <v>6</v>
      </c>
      <c r="I1211" s="14">
        <f t="shared" si="90"/>
        <v>1807.23</v>
      </c>
      <c r="K1211" t="str">
        <f>[1]!revcom(C1211)</f>
        <v>AACCTG</v>
      </c>
      <c r="L1211">
        <v>5</v>
      </c>
    </row>
    <row r="1212" spans="1:12" ht="15.6" x14ac:dyDescent="0.3">
      <c r="A1212" s="9">
        <v>1201</v>
      </c>
      <c r="B1212" s="1"/>
      <c r="C1212" s="2" t="s">
        <v>1207</v>
      </c>
      <c r="D1212" s="1"/>
      <c r="E1212" s="11">
        <f t="shared" si="91"/>
        <v>24</v>
      </c>
      <c r="F1212" s="12">
        <f t="shared" si="92"/>
        <v>33.333333333333329</v>
      </c>
      <c r="G1212" s="12" t="str">
        <f t="shared" si="93"/>
        <v>OK</v>
      </c>
      <c r="H1212" s="13">
        <f t="shared" si="94"/>
        <v>6</v>
      </c>
      <c r="I1212" s="14">
        <f t="shared" si="90"/>
        <v>1800.25</v>
      </c>
      <c r="K1212" t="str">
        <f>[1]!revcom(C1212)</f>
        <v>TTACTG</v>
      </c>
      <c r="L1212">
        <v>6</v>
      </c>
    </row>
    <row r="1213" spans="1:12" ht="15.6" x14ac:dyDescent="0.3">
      <c r="A1213" s="9">
        <v>1202</v>
      </c>
      <c r="B1213" s="1"/>
      <c r="C1213" s="2" t="s">
        <v>1208</v>
      </c>
      <c r="D1213" s="1"/>
      <c r="E1213" s="11">
        <f t="shared" si="91"/>
        <v>22</v>
      </c>
      <c r="F1213" s="12">
        <f t="shared" si="92"/>
        <v>50</v>
      </c>
      <c r="G1213" s="12" t="str">
        <f t="shared" si="93"/>
        <v>OK</v>
      </c>
      <c r="H1213" s="13">
        <f t="shared" si="94"/>
        <v>6</v>
      </c>
      <c r="I1213" s="14">
        <f t="shared" si="90"/>
        <v>1776.2199999999998</v>
      </c>
      <c r="K1213" t="str">
        <f>[1]!revcom(C1213)</f>
        <v>GTACTG</v>
      </c>
      <c r="L1213">
        <v>6</v>
      </c>
    </row>
    <row r="1214" spans="1:12" ht="15.6" x14ac:dyDescent="0.3">
      <c r="A1214" s="9">
        <v>1203</v>
      </c>
      <c r="B1214" s="1"/>
      <c r="C1214" s="2" t="s">
        <v>1209</v>
      </c>
      <c r="D1214" s="1"/>
      <c r="E1214" s="11">
        <f t="shared" si="91"/>
        <v>22</v>
      </c>
      <c r="F1214" s="12">
        <f t="shared" si="92"/>
        <v>50</v>
      </c>
      <c r="G1214" s="12" t="str">
        <f t="shared" si="93"/>
        <v>OK</v>
      </c>
      <c r="H1214" s="13">
        <f t="shared" si="94"/>
        <v>6</v>
      </c>
      <c r="I1214" s="14">
        <f t="shared" si="90"/>
        <v>1816.25</v>
      </c>
      <c r="K1214" t="str">
        <f>[1]!revcom(C1214)</f>
        <v>CTACTG</v>
      </c>
      <c r="L1214">
        <v>6</v>
      </c>
    </row>
    <row r="1215" spans="1:12" ht="15.6" x14ac:dyDescent="0.3">
      <c r="A1215" s="9">
        <v>1204</v>
      </c>
      <c r="B1215" s="1"/>
      <c r="C1215" s="2" t="s">
        <v>1210</v>
      </c>
      <c r="D1215" s="1"/>
      <c r="E1215" s="11">
        <f t="shared" si="91"/>
        <v>16</v>
      </c>
      <c r="F1215" s="12">
        <f t="shared" si="92"/>
        <v>33.333333333333329</v>
      </c>
      <c r="G1215" s="12" t="str">
        <f t="shared" si="93"/>
        <v>OK</v>
      </c>
      <c r="H1215" s="13">
        <f t="shared" si="94"/>
        <v>6</v>
      </c>
      <c r="I1215" s="14">
        <f t="shared" si="90"/>
        <v>1791.23</v>
      </c>
      <c r="K1215" t="str">
        <f>[1]!revcom(C1215)</f>
        <v>ATACTG</v>
      </c>
      <c r="L1215">
        <v>5</v>
      </c>
    </row>
    <row r="1216" spans="1:12" ht="15.6" x14ac:dyDescent="0.3">
      <c r="A1216" s="9">
        <v>1205</v>
      </c>
      <c r="B1216" s="1"/>
      <c r="C1216" s="2" t="s">
        <v>1211</v>
      </c>
      <c r="D1216" s="1"/>
      <c r="E1216" s="11">
        <f t="shared" si="91"/>
        <v>22</v>
      </c>
      <c r="F1216" s="12">
        <f t="shared" si="92"/>
        <v>50</v>
      </c>
      <c r="G1216" s="12" t="str">
        <f t="shared" si="93"/>
        <v>OK</v>
      </c>
      <c r="H1216" s="13">
        <f t="shared" si="94"/>
        <v>6</v>
      </c>
      <c r="I1216" s="14">
        <f t="shared" si="90"/>
        <v>1776.2199999999998</v>
      </c>
      <c r="K1216" t="str">
        <f>[1]!revcom(C1216)</f>
        <v>TGACTG</v>
      </c>
      <c r="L1216">
        <v>6</v>
      </c>
    </row>
    <row r="1217" spans="1:12" ht="15.6" x14ac:dyDescent="0.3">
      <c r="A1217" s="9">
        <v>1206</v>
      </c>
      <c r="B1217" s="1"/>
      <c r="C1217" s="2" t="s">
        <v>1212</v>
      </c>
      <c r="D1217" s="1"/>
      <c r="E1217" s="11">
        <f t="shared" si="91"/>
        <v>20</v>
      </c>
      <c r="F1217" s="12">
        <f t="shared" si="92"/>
        <v>66.666666666666657</v>
      </c>
      <c r="G1217" s="12" t="str">
        <f t="shared" si="93"/>
        <v>Warning</v>
      </c>
      <c r="H1217" s="13">
        <f t="shared" si="94"/>
        <v>6</v>
      </c>
      <c r="I1217" s="14">
        <f t="shared" si="90"/>
        <v>1752.19</v>
      </c>
      <c r="K1217" t="str">
        <f>[1]!revcom(C1217)</f>
        <v>GGACTG</v>
      </c>
      <c r="L1217">
        <v>6</v>
      </c>
    </row>
    <row r="1218" spans="1:12" ht="15.6" x14ac:dyDescent="0.3">
      <c r="A1218" s="9">
        <v>1207</v>
      </c>
      <c r="B1218" s="1"/>
      <c r="C1218" s="2" t="s">
        <v>1213</v>
      </c>
      <c r="D1218" s="1"/>
      <c r="E1218" s="11">
        <f t="shared" si="91"/>
        <v>20</v>
      </c>
      <c r="F1218" s="12">
        <f t="shared" si="92"/>
        <v>66.666666666666657</v>
      </c>
      <c r="G1218" s="12" t="str">
        <f t="shared" si="93"/>
        <v>Warning</v>
      </c>
      <c r="H1218" s="13">
        <f t="shared" si="94"/>
        <v>6</v>
      </c>
      <c r="I1218" s="14">
        <f t="shared" si="90"/>
        <v>1792.2199999999998</v>
      </c>
      <c r="K1218" t="str">
        <f>[1]!revcom(C1218)</f>
        <v>CGACTG</v>
      </c>
      <c r="L1218">
        <v>6</v>
      </c>
    </row>
    <row r="1219" spans="1:12" ht="15.6" x14ac:dyDescent="0.3">
      <c r="A1219" s="9">
        <v>1208</v>
      </c>
      <c r="B1219" s="1"/>
      <c r="C1219" s="2" t="s">
        <v>1214</v>
      </c>
      <c r="D1219" s="1"/>
      <c r="E1219" s="11">
        <f t="shared" si="91"/>
        <v>14</v>
      </c>
      <c r="F1219" s="12">
        <f t="shared" si="92"/>
        <v>50</v>
      </c>
      <c r="G1219" s="12" t="str">
        <f t="shared" si="93"/>
        <v>OK</v>
      </c>
      <c r="H1219" s="13">
        <f t="shared" si="94"/>
        <v>6</v>
      </c>
      <c r="I1219" s="14">
        <f t="shared" si="90"/>
        <v>1767.1999999999998</v>
      </c>
      <c r="K1219" t="str">
        <f>[1]!revcom(C1219)</f>
        <v>AGACTG</v>
      </c>
      <c r="L1219">
        <v>5</v>
      </c>
    </row>
    <row r="1220" spans="1:12" ht="15.6" x14ac:dyDescent="0.3">
      <c r="A1220" s="9">
        <v>1209</v>
      </c>
      <c r="B1220" s="1"/>
      <c r="C1220" s="2" t="s">
        <v>1215</v>
      </c>
      <c r="D1220" s="1"/>
      <c r="E1220" s="11">
        <f t="shared" si="91"/>
        <v>22</v>
      </c>
      <c r="F1220" s="12">
        <f t="shared" si="92"/>
        <v>50</v>
      </c>
      <c r="G1220" s="12" t="str">
        <f t="shared" si="93"/>
        <v>OK</v>
      </c>
      <c r="H1220" s="13">
        <f t="shared" si="94"/>
        <v>6</v>
      </c>
      <c r="I1220" s="14">
        <f t="shared" si="90"/>
        <v>1816.25</v>
      </c>
      <c r="K1220" t="str">
        <f>[1]!revcom(C1220)</f>
        <v>TCACTG</v>
      </c>
      <c r="L1220">
        <v>6</v>
      </c>
    </row>
    <row r="1221" spans="1:12" ht="15.6" x14ac:dyDescent="0.3">
      <c r="A1221" s="9">
        <v>1210</v>
      </c>
      <c r="B1221" s="1"/>
      <c r="C1221" s="2" t="s">
        <v>1216</v>
      </c>
      <c r="D1221" s="1"/>
      <c r="E1221" s="11">
        <f t="shared" si="91"/>
        <v>20</v>
      </c>
      <c r="F1221" s="12">
        <f t="shared" si="92"/>
        <v>66.666666666666657</v>
      </c>
      <c r="G1221" s="12" t="str">
        <f t="shared" si="93"/>
        <v>Warning</v>
      </c>
      <c r="H1221" s="13">
        <f t="shared" si="94"/>
        <v>6</v>
      </c>
      <c r="I1221" s="14">
        <f t="shared" si="90"/>
        <v>1792.2199999999998</v>
      </c>
      <c r="K1221" t="str">
        <f>[1]!revcom(C1221)</f>
        <v>GCACTG</v>
      </c>
      <c r="L1221">
        <v>6</v>
      </c>
    </row>
    <row r="1222" spans="1:12" ht="15.6" x14ac:dyDescent="0.3">
      <c r="A1222" s="9">
        <v>1211</v>
      </c>
      <c r="B1222" s="1"/>
      <c r="C1222" s="2" t="s">
        <v>1217</v>
      </c>
      <c r="D1222" s="1"/>
      <c r="E1222" s="11">
        <f t="shared" si="91"/>
        <v>20</v>
      </c>
      <c r="F1222" s="12">
        <f t="shared" si="92"/>
        <v>66.666666666666657</v>
      </c>
      <c r="G1222" s="12" t="str">
        <f t="shared" si="93"/>
        <v>Warning</v>
      </c>
      <c r="H1222" s="13">
        <f t="shared" si="94"/>
        <v>6</v>
      </c>
      <c r="I1222" s="14">
        <f t="shared" si="90"/>
        <v>1832.25</v>
      </c>
      <c r="K1222" t="str">
        <f>[1]!revcom(C1222)</f>
        <v>CCACTG</v>
      </c>
      <c r="L1222">
        <v>6</v>
      </c>
    </row>
    <row r="1223" spans="1:12" ht="15.6" x14ac:dyDescent="0.3">
      <c r="A1223" s="9">
        <v>1212</v>
      </c>
      <c r="B1223" s="1"/>
      <c r="C1223" s="2" t="s">
        <v>1218</v>
      </c>
      <c r="D1223" s="1"/>
      <c r="E1223" s="11">
        <f t="shared" si="91"/>
        <v>14</v>
      </c>
      <c r="F1223" s="12">
        <f t="shared" si="92"/>
        <v>50</v>
      </c>
      <c r="G1223" s="12" t="str">
        <f t="shared" si="93"/>
        <v>OK</v>
      </c>
      <c r="H1223" s="13">
        <f t="shared" si="94"/>
        <v>6</v>
      </c>
      <c r="I1223" s="14">
        <f t="shared" si="90"/>
        <v>1807.23</v>
      </c>
      <c r="K1223" t="str">
        <f>[1]!revcom(C1223)</f>
        <v>ACACTG</v>
      </c>
      <c r="L1223">
        <v>5</v>
      </c>
    </row>
    <row r="1224" spans="1:12" ht="15.6" x14ac:dyDescent="0.3">
      <c r="A1224" s="9">
        <v>1213</v>
      </c>
      <c r="B1224" s="1"/>
      <c r="C1224" s="2" t="s">
        <v>1219</v>
      </c>
      <c r="D1224" s="1"/>
      <c r="E1224" s="11">
        <f t="shared" si="91"/>
        <v>16</v>
      </c>
      <c r="F1224" s="12">
        <f t="shared" si="92"/>
        <v>33.333333333333329</v>
      </c>
      <c r="G1224" s="12" t="str">
        <f t="shared" si="93"/>
        <v>OK</v>
      </c>
      <c r="H1224" s="13">
        <f t="shared" si="94"/>
        <v>6</v>
      </c>
      <c r="I1224" s="14">
        <f t="shared" si="90"/>
        <v>1791.23</v>
      </c>
      <c r="K1224" t="str">
        <f>[1]!revcom(C1224)</f>
        <v>TAACTG</v>
      </c>
      <c r="L1224">
        <v>5</v>
      </c>
    </row>
    <row r="1225" spans="1:12" ht="15.6" x14ac:dyDescent="0.3">
      <c r="A1225" s="9">
        <v>1214</v>
      </c>
      <c r="B1225" s="1"/>
      <c r="C1225" s="2" t="s">
        <v>1220</v>
      </c>
      <c r="D1225" s="1"/>
      <c r="E1225" s="11">
        <f t="shared" si="91"/>
        <v>14</v>
      </c>
      <c r="F1225" s="12">
        <f t="shared" si="92"/>
        <v>50</v>
      </c>
      <c r="G1225" s="12" t="str">
        <f t="shared" si="93"/>
        <v>OK</v>
      </c>
      <c r="H1225" s="13">
        <f t="shared" si="94"/>
        <v>6</v>
      </c>
      <c r="I1225" s="14">
        <f t="shared" si="90"/>
        <v>1767.1999999999998</v>
      </c>
      <c r="K1225" t="str">
        <f>[1]!revcom(C1225)</f>
        <v>GAACTG</v>
      </c>
      <c r="L1225">
        <v>5</v>
      </c>
    </row>
    <row r="1226" spans="1:12" ht="15.6" x14ac:dyDescent="0.3">
      <c r="A1226" s="9">
        <v>1215</v>
      </c>
      <c r="B1226" s="1"/>
      <c r="C1226" s="2" t="s">
        <v>1221</v>
      </c>
      <c r="D1226" s="1"/>
      <c r="E1226" s="11">
        <f t="shared" si="91"/>
        <v>14</v>
      </c>
      <c r="F1226" s="12">
        <f t="shared" si="92"/>
        <v>50</v>
      </c>
      <c r="G1226" s="12" t="str">
        <f t="shared" si="93"/>
        <v>OK</v>
      </c>
      <c r="H1226" s="13">
        <f t="shared" si="94"/>
        <v>6</v>
      </c>
      <c r="I1226" s="14">
        <f t="shared" si="90"/>
        <v>1807.23</v>
      </c>
      <c r="K1226" t="str">
        <f>[1]!revcom(C1226)</f>
        <v>CAACTG</v>
      </c>
      <c r="L1226">
        <v>5</v>
      </c>
    </row>
    <row r="1227" spans="1:12" ht="15.6" x14ac:dyDescent="0.3">
      <c r="A1227" s="9">
        <v>1216</v>
      </c>
      <c r="B1227" s="1"/>
      <c r="C1227" s="2" t="s">
        <v>1222</v>
      </c>
      <c r="D1227" s="1"/>
      <c r="E1227" s="11">
        <f t="shared" si="91"/>
        <v>8</v>
      </c>
      <c r="F1227" s="12">
        <f t="shared" si="92"/>
        <v>33.333333333333329</v>
      </c>
      <c r="G1227" s="12" t="str">
        <f t="shared" si="93"/>
        <v>OK</v>
      </c>
      <c r="H1227" s="13">
        <f t="shared" si="94"/>
        <v>6</v>
      </c>
      <c r="I1227" s="14">
        <f t="shared" si="90"/>
        <v>1782.21</v>
      </c>
      <c r="K1227" t="str">
        <f>[1]!revcom(C1227)</f>
        <v>AAACTG</v>
      </c>
      <c r="L1227">
        <v>4</v>
      </c>
    </row>
    <row r="1228" spans="1:12" ht="15.6" x14ac:dyDescent="0.3">
      <c r="A1228" s="9">
        <v>1217</v>
      </c>
      <c r="B1228" s="1"/>
      <c r="C1228" s="2" t="s">
        <v>1223</v>
      </c>
      <c r="D1228" s="1"/>
      <c r="E1228" s="11">
        <f t="shared" si="91"/>
        <v>26</v>
      </c>
      <c r="F1228" s="12">
        <f t="shared" si="92"/>
        <v>16.666666666666664</v>
      </c>
      <c r="G1228" s="12" t="str">
        <f t="shared" si="93"/>
        <v>OK</v>
      </c>
      <c r="H1228" s="13">
        <f t="shared" si="94"/>
        <v>6</v>
      </c>
      <c r="I1228" s="14">
        <f t="shared" si="90"/>
        <v>1784.25</v>
      </c>
      <c r="K1228" t="str">
        <f>[1]!revcom(C1228)</f>
        <v>TTTATG</v>
      </c>
      <c r="L1228">
        <v>7</v>
      </c>
    </row>
    <row r="1229" spans="1:12" ht="15.6" x14ac:dyDescent="0.3">
      <c r="A1229" s="9">
        <v>1218</v>
      </c>
      <c r="B1229" s="1"/>
      <c r="C1229" s="2" t="s">
        <v>1224</v>
      </c>
      <c r="D1229" s="1"/>
      <c r="E1229" s="11">
        <f t="shared" si="91"/>
        <v>24</v>
      </c>
      <c r="F1229" s="12">
        <f t="shared" si="92"/>
        <v>33.333333333333329</v>
      </c>
      <c r="G1229" s="12" t="str">
        <f t="shared" si="93"/>
        <v>OK</v>
      </c>
      <c r="H1229" s="13">
        <f t="shared" si="94"/>
        <v>6</v>
      </c>
      <c r="I1229" s="14">
        <f t="shared" ref="I1229:I1292" si="95">((LEN(C1229)-(LEN(SUBSTITUTE(C1229,"A",""))))*249.23)+((LEN(C1229)-(LEN(SUBSTITUTE(C1229,"T",""))))*240.21)+((LEN(C1229)-(LEN(SUBSTITUTE(C1229,"C",""))))*225.2)+((LEN(C1229)-(LEN(SUBSTITUTE(C1229,"G",""))))*265.23)+(63.98*(LEN(C1229)-1)+(2.02))</f>
        <v>1760.2199999999998</v>
      </c>
      <c r="K1229" t="str">
        <f>[1]!revcom(C1229)</f>
        <v>GTTATG</v>
      </c>
      <c r="L1229">
        <v>6</v>
      </c>
    </row>
    <row r="1230" spans="1:12" ht="15.6" x14ac:dyDescent="0.3">
      <c r="A1230" s="9">
        <v>1219</v>
      </c>
      <c r="B1230" s="1"/>
      <c r="C1230" s="2" t="s">
        <v>1225</v>
      </c>
      <c r="D1230" s="1"/>
      <c r="E1230" s="11">
        <f t="shared" ref="E1230:E1293" si="96">IF(LEN(C1230)&gt;15,(69.3+((41*((LEN(C1230)-(((LEN(C1230)-(LEN(SUBSTITUTE(C1230,"A",""))))+((LEN(C1230)-(LEN(SUBSTITUTE(C1230,"T","")))))))))/(LEN(C1230)))-(650/(LEN(C1230))))),(2*((LEN(C1230)-(((LEN(C1230)-(LEN(SUBSTITUTE(C1230,"C",""))))+((LEN(C1230)-(LEN(SUBSTITUTE(C1230,"G",""))))))))))+(4*((LEN(C1230)-(((LEN(C1230)-(LEN(SUBSTITUTE(C1230,"T",""))))+((LEN(C1230)-(LEN(SUBSTITUTE(C1230,"T","")))))))))))</f>
        <v>24</v>
      </c>
      <c r="F1230" s="12">
        <f t="shared" ref="F1230:F1293" si="97">((LEN(C1230)- LEN(SUBSTITUTE(C1230,"G","")))+(LEN(C1230)- LEN(SUBSTITUTE(C1230,"C",""))) )/LEN(C1230)*100</f>
        <v>33.333333333333329</v>
      </c>
      <c r="G1230" s="12" t="str">
        <f t="shared" ref="G1230:G1293" si="98">IF((-5+((LEN(SUBSTITUTE(RIGHT(C1230,5),"C","")))+((LEN(SUBSTITUTE(RIGHT(C1230,5),"G",""))))))&gt;=3,"OK","Warning")</f>
        <v>OK</v>
      </c>
      <c r="H1230" s="13">
        <f t="shared" ref="H1230:H1293" si="99">LEN(C1230)</f>
        <v>6</v>
      </c>
      <c r="I1230" s="14">
        <f t="shared" si="95"/>
        <v>1800.25</v>
      </c>
      <c r="K1230" t="str">
        <f>[1]!revcom(C1230)</f>
        <v>CTTATG</v>
      </c>
      <c r="L1230">
        <v>6</v>
      </c>
    </row>
    <row r="1231" spans="1:12" ht="15.6" x14ac:dyDescent="0.3">
      <c r="A1231" s="9">
        <v>1220</v>
      </c>
      <c r="B1231" s="1"/>
      <c r="C1231" s="2" t="s">
        <v>1226</v>
      </c>
      <c r="D1231" s="1"/>
      <c r="E1231" s="11">
        <f t="shared" si="96"/>
        <v>18</v>
      </c>
      <c r="F1231" s="12">
        <f t="shared" si="97"/>
        <v>16.666666666666664</v>
      </c>
      <c r="G1231" s="12" t="str">
        <f t="shared" si="98"/>
        <v>OK</v>
      </c>
      <c r="H1231" s="13">
        <f t="shared" si="99"/>
        <v>6</v>
      </c>
      <c r="I1231" s="14">
        <f t="shared" si="95"/>
        <v>1775.23</v>
      </c>
      <c r="K1231" t="str">
        <f>[1]!revcom(C1231)</f>
        <v>ATTATG</v>
      </c>
      <c r="L1231">
        <v>5</v>
      </c>
    </row>
    <row r="1232" spans="1:12" ht="15.6" x14ac:dyDescent="0.3">
      <c r="A1232" s="9">
        <v>1221</v>
      </c>
      <c r="B1232" s="1"/>
      <c r="C1232" s="2" t="s">
        <v>1227</v>
      </c>
      <c r="D1232" s="1"/>
      <c r="E1232" s="11">
        <f t="shared" si="96"/>
        <v>24</v>
      </c>
      <c r="F1232" s="12">
        <f t="shared" si="97"/>
        <v>33.333333333333329</v>
      </c>
      <c r="G1232" s="12" t="str">
        <f t="shared" si="98"/>
        <v>OK</v>
      </c>
      <c r="H1232" s="13">
        <f t="shared" si="99"/>
        <v>6</v>
      </c>
      <c r="I1232" s="14">
        <f t="shared" si="95"/>
        <v>1760.2199999999998</v>
      </c>
      <c r="K1232" t="str">
        <f>[1]!revcom(C1232)</f>
        <v>TGTATG</v>
      </c>
      <c r="L1232">
        <v>6</v>
      </c>
    </row>
    <row r="1233" spans="1:12" ht="15.6" x14ac:dyDescent="0.3">
      <c r="A1233" s="9">
        <v>1222</v>
      </c>
      <c r="B1233" s="1"/>
      <c r="C1233" s="2" t="s">
        <v>1228</v>
      </c>
      <c r="D1233" s="1"/>
      <c r="E1233" s="11">
        <f t="shared" si="96"/>
        <v>22</v>
      </c>
      <c r="F1233" s="12">
        <f t="shared" si="97"/>
        <v>50</v>
      </c>
      <c r="G1233" s="12" t="str">
        <f t="shared" si="98"/>
        <v>OK</v>
      </c>
      <c r="H1233" s="13">
        <f t="shared" si="99"/>
        <v>6</v>
      </c>
      <c r="I1233" s="14">
        <f t="shared" si="95"/>
        <v>1736.19</v>
      </c>
      <c r="K1233" t="str">
        <f>[1]!revcom(C1233)</f>
        <v>GGTATG</v>
      </c>
      <c r="L1233">
        <v>6</v>
      </c>
    </row>
    <row r="1234" spans="1:12" ht="15.6" x14ac:dyDescent="0.3">
      <c r="A1234" s="9">
        <v>1223</v>
      </c>
      <c r="B1234" s="1"/>
      <c r="C1234" s="2" t="s">
        <v>1229</v>
      </c>
      <c r="D1234" s="1"/>
      <c r="E1234" s="11">
        <f t="shared" si="96"/>
        <v>22</v>
      </c>
      <c r="F1234" s="12">
        <f t="shared" si="97"/>
        <v>50</v>
      </c>
      <c r="G1234" s="12" t="str">
        <f t="shared" si="98"/>
        <v>OK</v>
      </c>
      <c r="H1234" s="13">
        <f t="shared" si="99"/>
        <v>6</v>
      </c>
      <c r="I1234" s="14">
        <f t="shared" si="95"/>
        <v>1776.2199999999998</v>
      </c>
      <c r="K1234" t="str">
        <f>[1]!revcom(C1234)</f>
        <v>CGTATG</v>
      </c>
      <c r="L1234">
        <v>6</v>
      </c>
    </row>
    <row r="1235" spans="1:12" ht="15.6" x14ac:dyDescent="0.3">
      <c r="A1235" s="9">
        <v>1224</v>
      </c>
      <c r="B1235" s="1"/>
      <c r="C1235" s="2" t="s">
        <v>1230</v>
      </c>
      <c r="D1235" s="1"/>
      <c r="E1235" s="11">
        <f t="shared" si="96"/>
        <v>16</v>
      </c>
      <c r="F1235" s="12">
        <f t="shared" si="97"/>
        <v>33.333333333333329</v>
      </c>
      <c r="G1235" s="12" t="str">
        <f t="shared" si="98"/>
        <v>OK</v>
      </c>
      <c r="H1235" s="13">
        <f t="shared" si="99"/>
        <v>6</v>
      </c>
      <c r="I1235" s="14">
        <f t="shared" si="95"/>
        <v>1751.1999999999998</v>
      </c>
      <c r="K1235" t="str">
        <f>[1]!revcom(C1235)</f>
        <v>AGTATG</v>
      </c>
      <c r="L1235">
        <v>5</v>
      </c>
    </row>
    <row r="1236" spans="1:12" ht="15.6" x14ac:dyDescent="0.3">
      <c r="A1236" s="9">
        <v>1225</v>
      </c>
      <c r="B1236" s="1"/>
      <c r="C1236" s="2" t="s">
        <v>1231</v>
      </c>
      <c r="D1236" s="1"/>
      <c r="E1236" s="11">
        <f t="shared" si="96"/>
        <v>24</v>
      </c>
      <c r="F1236" s="12">
        <f t="shared" si="97"/>
        <v>33.333333333333329</v>
      </c>
      <c r="G1236" s="12" t="str">
        <f t="shared" si="98"/>
        <v>OK</v>
      </c>
      <c r="H1236" s="13">
        <f t="shared" si="99"/>
        <v>6</v>
      </c>
      <c r="I1236" s="14">
        <f t="shared" si="95"/>
        <v>1800.25</v>
      </c>
      <c r="K1236" t="str">
        <f>[1]!revcom(C1236)</f>
        <v>TCTATG</v>
      </c>
      <c r="L1236">
        <v>6</v>
      </c>
    </row>
    <row r="1237" spans="1:12" ht="15.6" x14ac:dyDescent="0.3">
      <c r="A1237" s="9">
        <v>1226</v>
      </c>
      <c r="B1237" s="1"/>
      <c r="C1237" s="2" t="s">
        <v>1232</v>
      </c>
      <c r="D1237" s="1"/>
      <c r="E1237" s="11">
        <f t="shared" si="96"/>
        <v>22</v>
      </c>
      <c r="F1237" s="12">
        <f t="shared" si="97"/>
        <v>50</v>
      </c>
      <c r="G1237" s="12" t="str">
        <f t="shared" si="98"/>
        <v>OK</v>
      </c>
      <c r="H1237" s="13">
        <f t="shared" si="99"/>
        <v>6</v>
      </c>
      <c r="I1237" s="14">
        <f t="shared" si="95"/>
        <v>1776.2199999999998</v>
      </c>
      <c r="K1237" t="str">
        <f>[1]!revcom(C1237)</f>
        <v>GCTATG</v>
      </c>
      <c r="L1237">
        <v>6</v>
      </c>
    </row>
    <row r="1238" spans="1:12" ht="15.6" x14ac:dyDescent="0.3">
      <c r="A1238" s="9">
        <v>1227</v>
      </c>
      <c r="B1238" s="1"/>
      <c r="C1238" s="2" t="s">
        <v>1233</v>
      </c>
      <c r="D1238" s="1"/>
      <c r="E1238" s="11">
        <f t="shared" si="96"/>
        <v>22</v>
      </c>
      <c r="F1238" s="12">
        <f t="shared" si="97"/>
        <v>50</v>
      </c>
      <c r="G1238" s="12" t="str">
        <f t="shared" si="98"/>
        <v>OK</v>
      </c>
      <c r="H1238" s="13">
        <f t="shared" si="99"/>
        <v>6</v>
      </c>
      <c r="I1238" s="14">
        <f t="shared" si="95"/>
        <v>1816.25</v>
      </c>
      <c r="K1238" t="str">
        <f>[1]!revcom(C1238)</f>
        <v>CCTATG</v>
      </c>
      <c r="L1238">
        <v>6</v>
      </c>
    </row>
    <row r="1239" spans="1:12" ht="15.6" x14ac:dyDescent="0.3">
      <c r="A1239" s="9">
        <v>1228</v>
      </c>
      <c r="B1239" s="1"/>
      <c r="C1239" s="2" t="s">
        <v>1234</v>
      </c>
      <c r="D1239" s="1"/>
      <c r="E1239" s="11">
        <f t="shared" si="96"/>
        <v>16</v>
      </c>
      <c r="F1239" s="12">
        <f t="shared" si="97"/>
        <v>33.333333333333329</v>
      </c>
      <c r="G1239" s="12" t="str">
        <f t="shared" si="98"/>
        <v>OK</v>
      </c>
      <c r="H1239" s="13">
        <f t="shared" si="99"/>
        <v>6</v>
      </c>
      <c r="I1239" s="14">
        <f t="shared" si="95"/>
        <v>1791.23</v>
      </c>
      <c r="K1239" t="str">
        <f>[1]!revcom(C1239)</f>
        <v>ACTATG</v>
      </c>
      <c r="L1239">
        <v>5</v>
      </c>
    </row>
    <row r="1240" spans="1:12" ht="15.6" x14ac:dyDescent="0.3">
      <c r="A1240" s="9">
        <v>1229</v>
      </c>
      <c r="B1240" s="1"/>
      <c r="C1240" s="2" t="s">
        <v>1235</v>
      </c>
      <c r="D1240" s="1"/>
      <c r="E1240" s="11">
        <f t="shared" si="96"/>
        <v>18</v>
      </c>
      <c r="F1240" s="12">
        <f t="shared" si="97"/>
        <v>16.666666666666664</v>
      </c>
      <c r="G1240" s="12" t="str">
        <f t="shared" si="98"/>
        <v>OK</v>
      </c>
      <c r="H1240" s="13">
        <f t="shared" si="99"/>
        <v>6</v>
      </c>
      <c r="I1240" s="14">
        <f t="shared" si="95"/>
        <v>1775.23</v>
      </c>
      <c r="K1240" t="str">
        <f>[1]!revcom(C1240)</f>
        <v>TATATG</v>
      </c>
      <c r="L1240">
        <v>5</v>
      </c>
    </row>
    <row r="1241" spans="1:12" ht="15.6" x14ac:dyDescent="0.3">
      <c r="A1241" s="9">
        <v>1230</v>
      </c>
      <c r="B1241" s="1"/>
      <c r="C1241" s="2" t="s">
        <v>1236</v>
      </c>
      <c r="D1241" s="1"/>
      <c r="E1241" s="11">
        <f t="shared" si="96"/>
        <v>16</v>
      </c>
      <c r="F1241" s="12">
        <f t="shared" si="97"/>
        <v>33.333333333333329</v>
      </c>
      <c r="G1241" s="12" t="str">
        <f t="shared" si="98"/>
        <v>OK</v>
      </c>
      <c r="H1241" s="13">
        <f t="shared" si="99"/>
        <v>6</v>
      </c>
      <c r="I1241" s="14">
        <f t="shared" si="95"/>
        <v>1751.1999999999998</v>
      </c>
      <c r="K1241" t="str">
        <f>[1]!revcom(C1241)</f>
        <v>GATATG</v>
      </c>
      <c r="L1241">
        <v>5</v>
      </c>
    </row>
    <row r="1242" spans="1:12" ht="15.6" x14ac:dyDescent="0.3">
      <c r="A1242" s="9">
        <v>1231</v>
      </c>
      <c r="B1242" s="1"/>
      <c r="C1242" s="2" t="s">
        <v>1237</v>
      </c>
      <c r="D1242" s="1"/>
      <c r="E1242" s="11">
        <f t="shared" si="96"/>
        <v>16</v>
      </c>
      <c r="F1242" s="12">
        <f t="shared" si="97"/>
        <v>33.333333333333329</v>
      </c>
      <c r="G1242" s="12" t="str">
        <f t="shared" si="98"/>
        <v>OK</v>
      </c>
      <c r="H1242" s="13">
        <f t="shared" si="99"/>
        <v>6</v>
      </c>
      <c r="I1242" s="14">
        <f t="shared" si="95"/>
        <v>1791.23</v>
      </c>
      <c r="K1242" t="str">
        <f>[1]!revcom(C1242)</f>
        <v>CATATG</v>
      </c>
      <c r="L1242">
        <v>5</v>
      </c>
    </row>
    <row r="1243" spans="1:12" ht="15.6" x14ac:dyDescent="0.3">
      <c r="A1243" s="9">
        <v>1232</v>
      </c>
      <c r="B1243" s="1"/>
      <c r="C1243" s="2" t="s">
        <v>1238</v>
      </c>
      <c r="D1243" s="1"/>
      <c r="E1243" s="11">
        <f t="shared" si="96"/>
        <v>10</v>
      </c>
      <c r="F1243" s="12">
        <f t="shared" si="97"/>
        <v>16.666666666666664</v>
      </c>
      <c r="G1243" s="12" t="str">
        <f t="shared" si="98"/>
        <v>OK</v>
      </c>
      <c r="H1243" s="13">
        <f t="shared" si="99"/>
        <v>6</v>
      </c>
      <c r="I1243" s="14">
        <f t="shared" si="95"/>
        <v>1766.21</v>
      </c>
      <c r="K1243" t="str">
        <f>[1]!revcom(C1243)</f>
        <v>AATATG</v>
      </c>
      <c r="L1243">
        <v>4</v>
      </c>
    </row>
    <row r="1244" spans="1:12" ht="15.6" x14ac:dyDescent="0.3">
      <c r="A1244" s="9">
        <v>1233</v>
      </c>
      <c r="B1244" s="1"/>
      <c r="C1244" s="2" t="s">
        <v>1239</v>
      </c>
      <c r="D1244" s="1"/>
      <c r="E1244" s="11">
        <f t="shared" si="96"/>
        <v>24</v>
      </c>
      <c r="F1244" s="12">
        <f t="shared" si="97"/>
        <v>33.333333333333329</v>
      </c>
      <c r="G1244" s="12" t="str">
        <f t="shared" si="98"/>
        <v>OK</v>
      </c>
      <c r="H1244" s="13">
        <f t="shared" si="99"/>
        <v>6</v>
      </c>
      <c r="I1244" s="14">
        <f t="shared" si="95"/>
        <v>1760.2199999999998</v>
      </c>
      <c r="K1244" t="str">
        <f>[1]!revcom(C1244)</f>
        <v>TTGATG</v>
      </c>
      <c r="L1244">
        <v>6</v>
      </c>
    </row>
    <row r="1245" spans="1:12" ht="15.6" x14ac:dyDescent="0.3">
      <c r="A1245" s="9">
        <v>1234</v>
      </c>
      <c r="B1245" s="1"/>
      <c r="C1245" s="2" t="s">
        <v>1240</v>
      </c>
      <c r="D1245" s="1"/>
      <c r="E1245" s="11">
        <f t="shared" si="96"/>
        <v>22</v>
      </c>
      <c r="F1245" s="12">
        <f t="shared" si="97"/>
        <v>50</v>
      </c>
      <c r="G1245" s="12" t="str">
        <f t="shared" si="98"/>
        <v>OK</v>
      </c>
      <c r="H1245" s="13">
        <f t="shared" si="99"/>
        <v>6</v>
      </c>
      <c r="I1245" s="14">
        <f t="shared" si="95"/>
        <v>1736.19</v>
      </c>
      <c r="K1245" t="str">
        <f>[1]!revcom(C1245)</f>
        <v>GTGATG</v>
      </c>
      <c r="L1245">
        <v>6</v>
      </c>
    </row>
    <row r="1246" spans="1:12" ht="15.6" x14ac:dyDescent="0.3">
      <c r="A1246" s="9">
        <v>1235</v>
      </c>
      <c r="B1246" s="1"/>
      <c r="C1246" s="2" t="s">
        <v>1241</v>
      </c>
      <c r="D1246" s="1"/>
      <c r="E1246" s="11">
        <f t="shared" si="96"/>
        <v>22</v>
      </c>
      <c r="F1246" s="12">
        <f t="shared" si="97"/>
        <v>50</v>
      </c>
      <c r="G1246" s="12" t="str">
        <f t="shared" si="98"/>
        <v>OK</v>
      </c>
      <c r="H1246" s="13">
        <f t="shared" si="99"/>
        <v>6</v>
      </c>
      <c r="I1246" s="14">
        <f t="shared" si="95"/>
        <v>1776.2199999999998</v>
      </c>
      <c r="K1246" t="str">
        <f>[1]!revcom(C1246)</f>
        <v>CTGATG</v>
      </c>
      <c r="L1246">
        <v>6</v>
      </c>
    </row>
    <row r="1247" spans="1:12" ht="15.6" x14ac:dyDescent="0.3">
      <c r="A1247" s="9">
        <v>1236</v>
      </c>
      <c r="B1247" s="1"/>
      <c r="C1247" s="2" t="s">
        <v>1242</v>
      </c>
      <c r="D1247" s="1"/>
      <c r="E1247" s="11">
        <f t="shared" si="96"/>
        <v>16</v>
      </c>
      <c r="F1247" s="12">
        <f t="shared" si="97"/>
        <v>33.333333333333329</v>
      </c>
      <c r="G1247" s="12" t="str">
        <f t="shared" si="98"/>
        <v>OK</v>
      </c>
      <c r="H1247" s="13">
        <f t="shared" si="99"/>
        <v>6</v>
      </c>
      <c r="I1247" s="14">
        <f t="shared" si="95"/>
        <v>1751.1999999999998</v>
      </c>
      <c r="K1247" t="str">
        <f>[1]!revcom(C1247)</f>
        <v>ATGATG</v>
      </c>
      <c r="L1247">
        <v>5</v>
      </c>
    </row>
    <row r="1248" spans="1:12" ht="15.6" x14ac:dyDescent="0.3">
      <c r="A1248" s="9">
        <v>1237</v>
      </c>
      <c r="B1248" s="1"/>
      <c r="C1248" s="2" t="s">
        <v>1243</v>
      </c>
      <c r="D1248" s="1"/>
      <c r="E1248" s="11">
        <f t="shared" si="96"/>
        <v>22</v>
      </c>
      <c r="F1248" s="12">
        <f t="shared" si="97"/>
        <v>50</v>
      </c>
      <c r="G1248" s="12" t="str">
        <f t="shared" si="98"/>
        <v>OK</v>
      </c>
      <c r="H1248" s="13">
        <f t="shared" si="99"/>
        <v>6</v>
      </c>
      <c r="I1248" s="14">
        <f t="shared" si="95"/>
        <v>1736.19</v>
      </c>
      <c r="K1248" t="str">
        <f>[1]!revcom(C1248)</f>
        <v>TGGATG</v>
      </c>
      <c r="L1248">
        <v>6</v>
      </c>
    </row>
    <row r="1249" spans="1:12" ht="15.6" x14ac:dyDescent="0.3">
      <c r="A1249" s="9">
        <v>1238</v>
      </c>
      <c r="B1249" s="1"/>
      <c r="C1249" s="2" t="s">
        <v>1244</v>
      </c>
      <c r="D1249" s="1"/>
      <c r="E1249" s="11">
        <f t="shared" si="96"/>
        <v>20</v>
      </c>
      <c r="F1249" s="12">
        <f t="shared" si="97"/>
        <v>66.666666666666657</v>
      </c>
      <c r="G1249" s="12" t="str">
        <f t="shared" si="98"/>
        <v>Warning</v>
      </c>
      <c r="H1249" s="13">
        <f t="shared" si="99"/>
        <v>6</v>
      </c>
      <c r="I1249" s="14">
        <f t="shared" si="95"/>
        <v>1712.1599999999999</v>
      </c>
      <c r="K1249" t="str">
        <f>[1]!revcom(C1249)</f>
        <v>GGGATG</v>
      </c>
      <c r="L1249">
        <v>6</v>
      </c>
    </row>
    <row r="1250" spans="1:12" ht="15.6" x14ac:dyDescent="0.3">
      <c r="A1250" s="9">
        <v>1239</v>
      </c>
      <c r="B1250" s="1"/>
      <c r="C1250" s="2" t="s">
        <v>1245</v>
      </c>
      <c r="D1250" s="1"/>
      <c r="E1250" s="11">
        <f t="shared" si="96"/>
        <v>20</v>
      </c>
      <c r="F1250" s="12">
        <f t="shared" si="97"/>
        <v>66.666666666666657</v>
      </c>
      <c r="G1250" s="12" t="str">
        <f t="shared" si="98"/>
        <v>Warning</v>
      </c>
      <c r="H1250" s="13">
        <f t="shared" si="99"/>
        <v>6</v>
      </c>
      <c r="I1250" s="14">
        <f t="shared" si="95"/>
        <v>1752.19</v>
      </c>
      <c r="K1250" t="str">
        <f>[1]!revcom(C1250)</f>
        <v>CGGATG</v>
      </c>
      <c r="L1250">
        <v>6</v>
      </c>
    </row>
    <row r="1251" spans="1:12" ht="15.6" x14ac:dyDescent="0.3">
      <c r="A1251" s="9">
        <v>1240</v>
      </c>
      <c r="B1251" s="1"/>
      <c r="C1251" s="2" t="s">
        <v>1246</v>
      </c>
      <c r="D1251" s="1"/>
      <c r="E1251" s="11">
        <f t="shared" si="96"/>
        <v>14</v>
      </c>
      <c r="F1251" s="12">
        <f t="shared" si="97"/>
        <v>50</v>
      </c>
      <c r="G1251" s="12" t="str">
        <f t="shared" si="98"/>
        <v>OK</v>
      </c>
      <c r="H1251" s="13">
        <f t="shared" si="99"/>
        <v>6</v>
      </c>
      <c r="I1251" s="14">
        <f t="shared" si="95"/>
        <v>1727.17</v>
      </c>
      <c r="K1251" t="str">
        <f>[1]!revcom(C1251)</f>
        <v>AGGATG</v>
      </c>
      <c r="L1251">
        <v>5</v>
      </c>
    </row>
    <row r="1252" spans="1:12" ht="15.6" x14ac:dyDescent="0.3">
      <c r="A1252" s="9">
        <v>1241</v>
      </c>
      <c r="B1252" s="1"/>
      <c r="C1252" s="2" t="s">
        <v>1247</v>
      </c>
      <c r="D1252" s="1"/>
      <c r="E1252" s="11">
        <f t="shared" si="96"/>
        <v>22</v>
      </c>
      <c r="F1252" s="12">
        <f t="shared" si="97"/>
        <v>50</v>
      </c>
      <c r="G1252" s="12" t="str">
        <f t="shared" si="98"/>
        <v>OK</v>
      </c>
      <c r="H1252" s="13">
        <f t="shared" si="99"/>
        <v>6</v>
      </c>
      <c r="I1252" s="14">
        <f t="shared" si="95"/>
        <v>1776.2199999999998</v>
      </c>
      <c r="K1252" t="str">
        <f>[1]!revcom(C1252)</f>
        <v>TCGATG</v>
      </c>
      <c r="L1252">
        <v>6</v>
      </c>
    </row>
    <row r="1253" spans="1:12" ht="15.6" x14ac:dyDescent="0.3">
      <c r="A1253" s="9">
        <v>1242</v>
      </c>
      <c r="B1253" s="1"/>
      <c r="C1253" s="2" t="s">
        <v>1248</v>
      </c>
      <c r="D1253" s="1"/>
      <c r="E1253" s="11">
        <f t="shared" si="96"/>
        <v>20</v>
      </c>
      <c r="F1253" s="12">
        <f t="shared" si="97"/>
        <v>66.666666666666657</v>
      </c>
      <c r="G1253" s="12" t="str">
        <f t="shared" si="98"/>
        <v>Warning</v>
      </c>
      <c r="H1253" s="13">
        <f t="shared" si="99"/>
        <v>6</v>
      </c>
      <c r="I1253" s="14">
        <f t="shared" si="95"/>
        <v>1752.19</v>
      </c>
      <c r="K1253" t="str">
        <f>[1]!revcom(C1253)</f>
        <v>GCGATG</v>
      </c>
      <c r="L1253">
        <v>6</v>
      </c>
    </row>
    <row r="1254" spans="1:12" ht="15.6" x14ac:dyDescent="0.3">
      <c r="A1254" s="9">
        <v>1243</v>
      </c>
      <c r="B1254" s="1"/>
      <c r="C1254" s="2" t="s">
        <v>1249</v>
      </c>
      <c r="D1254" s="1"/>
      <c r="E1254" s="11">
        <f t="shared" si="96"/>
        <v>20</v>
      </c>
      <c r="F1254" s="12">
        <f t="shared" si="97"/>
        <v>66.666666666666657</v>
      </c>
      <c r="G1254" s="12" t="str">
        <f t="shared" si="98"/>
        <v>Warning</v>
      </c>
      <c r="H1254" s="13">
        <f t="shared" si="99"/>
        <v>6</v>
      </c>
      <c r="I1254" s="14">
        <f t="shared" si="95"/>
        <v>1792.2199999999998</v>
      </c>
      <c r="K1254" t="str">
        <f>[1]!revcom(C1254)</f>
        <v>CCGATG</v>
      </c>
      <c r="L1254">
        <v>6</v>
      </c>
    </row>
    <row r="1255" spans="1:12" ht="15.6" x14ac:dyDescent="0.3">
      <c r="A1255" s="9">
        <v>1244</v>
      </c>
      <c r="B1255" s="1"/>
      <c r="C1255" s="2" t="s">
        <v>1250</v>
      </c>
      <c r="D1255" s="1"/>
      <c r="E1255" s="11">
        <f t="shared" si="96"/>
        <v>14</v>
      </c>
      <c r="F1255" s="12">
        <f t="shared" si="97"/>
        <v>50</v>
      </c>
      <c r="G1255" s="12" t="str">
        <f t="shared" si="98"/>
        <v>OK</v>
      </c>
      <c r="H1255" s="13">
        <f t="shared" si="99"/>
        <v>6</v>
      </c>
      <c r="I1255" s="14">
        <f t="shared" si="95"/>
        <v>1767.1999999999998</v>
      </c>
      <c r="K1255" t="str">
        <f>[1]!revcom(C1255)</f>
        <v>ACGATG</v>
      </c>
      <c r="L1255">
        <v>5</v>
      </c>
    </row>
    <row r="1256" spans="1:12" ht="15.6" x14ac:dyDescent="0.3">
      <c r="A1256" s="9">
        <v>1245</v>
      </c>
      <c r="B1256" s="1"/>
      <c r="C1256" s="2" t="s">
        <v>1251</v>
      </c>
      <c r="D1256" s="1"/>
      <c r="E1256" s="11">
        <f t="shared" si="96"/>
        <v>16</v>
      </c>
      <c r="F1256" s="12">
        <f t="shared" si="97"/>
        <v>33.333333333333329</v>
      </c>
      <c r="G1256" s="12" t="str">
        <f t="shared" si="98"/>
        <v>OK</v>
      </c>
      <c r="H1256" s="13">
        <f t="shared" si="99"/>
        <v>6</v>
      </c>
      <c r="I1256" s="14">
        <f t="shared" si="95"/>
        <v>1751.1999999999998</v>
      </c>
      <c r="K1256" t="str">
        <f>[1]!revcom(C1256)</f>
        <v>TAGATG</v>
      </c>
      <c r="L1256">
        <v>5</v>
      </c>
    </row>
    <row r="1257" spans="1:12" ht="15.6" x14ac:dyDescent="0.3">
      <c r="A1257" s="9">
        <v>1246</v>
      </c>
      <c r="B1257" s="1"/>
      <c r="C1257" s="2" t="s">
        <v>1252</v>
      </c>
      <c r="D1257" s="1"/>
      <c r="E1257" s="11">
        <f t="shared" si="96"/>
        <v>14</v>
      </c>
      <c r="F1257" s="12">
        <f t="shared" si="97"/>
        <v>50</v>
      </c>
      <c r="G1257" s="12" t="str">
        <f t="shared" si="98"/>
        <v>OK</v>
      </c>
      <c r="H1257" s="13">
        <f t="shared" si="99"/>
        <v>6</v>
      </c>
      <c r="I1257" s="14">
        <f t="shared" si="95"/>
        <v>1727.17</v>
      </c>
      <c r="K1257" t="str">
        <f>[1]!revcom(C1257)</f>
        <v>GAGATG</v>
      </c>
      <c r="L1257">
        <v>5</v>
      </c>
    </row>
    <row r="1258" spans="1:12" ht="15.6" x14ac:dyDescent="0.3">
      <c r="A1258" s="9">
        <v>1247</v>
      </c>
      <c r="B1258" s="1"/>
      <c r="C1258" s="2" t="s">
        <v>1253</v>
      </c>
      <c r="D1258" s="1"/>
      <c r="E1258" s="11">
        <f t="shared" si="96"/>
        <v>14</v>
      </c>
      <c r="F1258" s="12">
        <f t="shared" si="97"/>
        <v>50</v>
      </c>
      <c r="G1258" s="12" t="str">
        <f t="shared" si="98"/>
        <v>OK</v>
      </c>
      <c r="H1258" s="13">
        <f t="shared" si="99"/>
        <v>6</v>
      </c>
      <c r="I1258" s="14">
        <f t="shared" si="95"/>
        <v>1767.1999999999998</v>
      </c>
      <c r="K1258" t="str">
        <f>[1]!revcom(C1258)</f>
        <v>CAGATG</v>
      </c>
      <c r="L1258">
        <v>5</v>
      </c>
    </row>
    <row r="1259" spans="1:12" ht="15.6" x14ac:dyDescent="0.3">
      <c r="A1259" s="9">
        <v>1248</v>
      </c>
      <c r="B1259" s="1"/>
      <c r="C1259" s="2" t="s">
        <v>1254</v>
      </c>
      <c r="D1259" s="1"/>
      <c r="E1259" s="11">
        <f t="shared" si="96"/>
        <v>8</v>
      </c>
      <c r="F1259" s="12">
        <f t="shared" si="97"/>
        <v>33.333333333333329</v>
      </c>
      <c r="G1259" s="12" t="str">
        <f t="shared" si="98"/>
        <v>OK</v>
      </c>
      <c r="H1259" s="13">
        <f t="shared" si="99"/>
        <v>6</v>
      </c>
      <c r="I1259" s="14">
        <f t="shared" si="95"/>
        <v>1742.1799999999998</v>
      </c>
      <c r="K1259" t="str">
        <f>[1]!revcom(C1259)</f>
        <v>AAGATG</v>
      </c>
      <c r="L1259">
        <v>4</v>
      </c>
    </row>
    <row r="1260" spans="1:12" ht="15.6" x14ac:dyDescent="0.3">
      <c r="A1260" s="9">
        <v>1249</v>
      </c>
      <c r="B1260" s="1"/>
      <c r="C1260" s="2" t="s">
        <v>1255</v>
      </c>
      <c r="D1260" s="1"/>
      <c r="E1260" s="11">
        <f t="shared" si="96"/>
        <v>24</v>
      </c>
      <c r="F1260" s="12">
        <f t="shared" si="97"/>
        <v>33.333333333333329</v>
      </c>
      <c r="G1260" s="12" t="str">
        <f t="shared" si="98"/>
        <v>OK</v>
      </c>
      <c r="H1260" s="13">
        <f t="shared" si="99"/>
        <v>6</v>
      </c>
      <c r="I1260" s="14">
        <f t="shared" si="95"/>
        <v>1800.25</v>
      </c>
      <c r="K1260" t="str">
        <f>[1]!revcom(C1260)</f>
        <v>TTCATG</v>
      </c>
      <c r="L1260">
        <v>6</v>
      </c>
    </row>
    <row r="1261" spans="1:12" ht="15.6" x14ac:dyDescent="0.3">
      <c r="A1261" s="9">
        <v>1250</v>
      </c>
      <c r="B1261" s="1"/>
      <c r="C1261" s="2" t="s">
        <v>1256</v>
      </c>
      <c r="D1261" s="1"/>
      <c r="E1261" s="11">
        <f t="shared" si="96"/>
        <v>22</v>
      </c>
      <c r="F1261" s="12">
        <f t="shared" si="97"/>
        <v>50</v>
      </c>
      <c r="G1261" s="12" t="str">
        <f t="shared" si="98"/>
        <v>OK</v>
      </c>
      <c r="H1261" s="13">
        <f t="shared" si="99"/>
        <v>6</v>
      </c>
      <c r="I1261" s="14">
        <f t="shared" si="95"/>
        <v>1776.2199999999998</v>
      </c>
      <c r="K1261" t="str">
        <f>[1]!revcom(C1261)</f>
        <v>GTCATG</v>
      </c>
      <c r="L1261">
        <v>6</v>
      </c>
    </row>
    <row r="1262" spans="1:12" ht="15.6" x14ac:dyDescent="0.3">
      <c r="A1262" s="9">
        <v>1251</v>
      </c>
      <c r="B1262" s="1"/>
      <c r="C1262" s="2" t="s">
        <v>1257</v>
      </c>
      <c r="D1262" s="1"/>
      <c r="E1262" s="11">
        <f t="shared" si="96"/>
        <v>22</v>
      </c>
      <c r="F1262" s="12">
        <f t="shared" si="97"/>
        <v>50</v>
      </c>
      <c r="G1262" s="12" t="str">
        <f t="shared" si="98"/>
        <v>OK</v>
      </c>
      <c r="H1262" s="13">
        <f t="shared" si="99"/>
        <v>6</v>
      </c>
      <c r="I1262" s="14">
        <f t="shared" si="95"/>
        <v>1816.25</v>
      </c>
      <c r="K1262" t="str">
        <f>[1]!revcom(C1262)</f>
        <v>CTCATG</v>
      </c>
      <c r="L1262">
        <v>6</v>
      </c>
    </row>
    <row r="1263" spans="1:12" ht="15.6" x14ac:dyDescent="0.3">
      <c r="A1263" s="9">
        <v>1252</v>
      </c>
      <c r="B1263" s="1"/>
      <c r="C1263" s="2" t="s">
        <v>1258</v>
      </c>
      <c r="D1263" s="1"/>
      <c r="E1263" s="11">
        <f t="shared" si="96"/>
        <v>16</v>
      </c>
      <c r="F1263" s="12">
        <f t="shared" si="97"/>
        <v>33.333333333333329</v>
      </c>
      <c r="G1263" s="12" t="str">
        <f t="shared" si="98"/>
        <v>OK</v>
      </c>
      <c r="H1263" s="13">
        <f t="shared" si="99"/>
        <v>6</v>
      </c>
      <c r="I1263" s="14">
        <f t="shared" si="95"/>
        <v>1791.23</v>
      </c>
      <c r="K1263" t="str">
        <f>[1]!revcom(C1263)</f>
        <v>ATCATG</v>
      </c>
      <c r="L1263">
        <v>5</v>
      </c>
    </row>
    <row r="1264" spans="1:12" ht="15.6" x14ac:dyDescent="0.3">
      <c r="A1264" s="9">
        <v>1253</v>
      </c>
      <c r="B1264" s="1"/>
      <c r="C1264" s="2" t="s">
        <v>1259</v>
      </c>
      <c r="D1264" s="1"/>
      <c r="E1264" s="11">
        <f t="shared" si="96"/>
        <v>22</v>
      </c>
      <c r="F1264" s="12">
        <f t="shared" si="97"/>
        <v>50</v>
      </c>
      <c r="G1264" s="12" t="str">
        <f t="shared" si="98"/>
        <v>OK</v>
      </c>
      <c r="H1264" s="13">
        <f t="shared" si="99"/>
        <v>6</v>
      </c>
      <c r="I1264" s="14">
        <f t="shared" si="95"/>
        <v>1776.2199999999998</v>
      </c>
      <c r="K1264" t="str">
        <f>[1]!revcom(C1264)</f>
        <v>TGCATG</v>
      </c>
      <c r="L1264">
        <v>6</v>
      </c>
    </row>
    <row r="1265" spans="1:12" ht="15.6" x14ac:dyDescent="0.3">
      <c r="A1265" s="9">
        <v>1254</v>
      </c>
      <c r="B1265" s="1"/>
      <c r="C1265" s="2" t="s">
        <v>1260</v>
      </c>
      <c r="D1265" s="1"/>
      <c r="E1265" s="11">
        <f t="shared" si="96"/>
        <v>20</v>
      </c>
      <c r="F1265" s="12">
        <f t="shared" si="97"/>
        <v>66.666666666666657</v>
      </c>
      <c r="G1265" s="12" t="str">
        <f t="shared" si="98"/>
        <v>Warning</v>
      </c>
      <c r="H1265" s="13">
        <f t="shared" si="99"/>
        <v>6</v>
      </c>
      <c r="I1265" s="14">
        <f t="shared" si="95"/>
        <v>1752.19</v>
      </c>
      <c r="K1265" t="str">
        <f>[1]!revcom(C1265)</f>
        <v>GGCATG</v>
      </c>
      <c r="L1265">
        <v>6</v>
      </c>
    </row>
    <row r="1266" spans="1:12" ht="15.6" x14ac:dyDescent="0.3">
      <c r="A1266" s="9">
        <v>1255</v>
      </c>
      <c r="B1266" s="1"/>
      <c r="C1266" s="2" t="s">
        <v>1261</v>
      </c>
      <c r="D1266" s="1"/>
      <c r="E1266" s="11">
        <f t="shared" si="96"/>
        <v>20</v>
      </c>
      <c r="F1266" s="12">
        <f t="shared" si="97"/>
        <v>66.666666666666657</v>
      </c>
      <c r="G1266" s="12" t="str">
        <f t="shared" si="98"/>
        <v>Warning</v>
      </c>
      <c r="H1266" s="13">
        <f t="shared" si="99"/>
        <v>6</v>
      </c>
      <c r="I1266" s="14">
        <f t="shared" si="95"/>
        <v>1792.2199999999998</v>
      </c>
      <c r="K1266" t="str">
        <f>[1]!revcom(C1266)</f>
        <v>CGCATG</v>
      </c>
      <c r="L1266">
        <v>6</v>
      </c>
    </row>
    <row r="1267" spans="1:12" ht="15.6" x14ac:dyDescent="0.3">
      <c r="A1267" s="9">
        <v>1256</v>
      </c>
      <c r="B1267" s="1"/>
      <c r="C1267" s="2" t="s">
        <v>1262</v>
      </c>
      <c r="D1267" s="1"/>
      <c r="E1267" s="11">
        <f t="shared" si="96"/>
        <v>14</v>
      </c>
      <c r="F1267" s="12">
        <f t="shared" si="97"/>
        <v>50</v>
      </c>
      <c r="G1267" s="12" t="str">
        <f t="shared" si="98"/>
        <v>OK</v>
      </c>
      <c r="H1267" s="13">
        <f t="shared" si="99"/>
        <v>6</v>
      </c>
      <c r="I1267" s="14">
        <f t="shared" si="95"/>
        <v>1767.1999999999998</v>
      </c>
      <c r="K1267" t="str">
        <f>[1]!revcom(C1267)</f>
        <v>AGCATG</v>
      </c>
      <c r="L1267">
        <v>5</v>
      </c>
    </row>
    <row r="1268" spans="1:12" ht="15.6" x14ac:dyDescent="0.3">
      <c r="A1268" s="9">
        <v>1257</v>
      </c>
      <c r="B1268" s="1"/>
      <c r="C1268" s="2" t="s">
        <v>1263</v>
      </c>
      <c r="D1268" s="1"/>
      <c r="E1268" s="11">
        <f t="shared" si="96"/>
        <v>22</v>
      </c>
      <c r="F1268" s="12">
        <f t="shared" si="97"/>
        <v>50</v>
      </c>
      <c r="G1268" s="12" t="str">
        <f t="shared" si="98"/>
        <v>OK</v>
      </c>
      <c r="H1268" s="13">
        <f t="shared" si="99"/>
        <v>6</v>
      </c>
      <c r="I1268" s="14">
        <f t="shared" si="95"/>
        <v>1816.25</v>
      </c>
      <c r="K1268" t="str">
        <f>[1]!revcom(C1268)</f>
        <v>TCCATG</v>
      </c>
      <c r="L1268">
        <v>6</v>
      </c>
    </row>
    <row r="1269" spans="1:12" ht="15.6" x14ac:dyDescent="0.3">
      <c r="A1269" s="9">
        <v>1258</v>
      </c>
      <c r="B1269" s="1"/>
      <c r="C1269" s="2" t="s">
        <v>1264</v>
      </c>
      <c r="D1269" s="1"/>
      <c r="E1269" s="11">
        <f t="shared" si="96"/>
        <v>20</v>
      </c>
      <c r="F1269" s="12">
        <f t="shared" si="97"/>
        <v>66.666666666666657</v>
      </c>
      <c r="G1269" s="12" t="str">
        <f t="shared" si="98"/>
        <v>Warning</v>
      </c>
      <c r="H1269" s="13">
        <f t="shared" si="99"/>
        <v>6</v>
      </c>
      <c r="I1269" s="14">
        <f t="shared" si="95"/>
        <v>1792.2199999999998</v>
      </c>
      <c r="K1269" t="str">
        <f>[1]!revcom(C1269)</f>
        <v>GCCATG</v>
      </c>
      <c r="L1269">
        <v>6</v>
      </c>
    </row>
    <row r="1270" spans="1:12" ht="15.6" x14ac:dyDescent="0.3">
      <c r="A1270" s="9">
        <v>1259</v>
      </c>
      <c r="B1270" s="1"/>
      <c r="C1270" s="2" t="s">
        <v>1265</v>
      </c>
      <c r="D1270" s="1"/>
      <c r="E1270" s="11">
        <f t="shared" si="96"/>
        <v>20</v>
      </c>
      <c r="F1270" s="12">
        <f t="shared" si="97"/>
        <v>66.666666666666657</v>
      </c>
      <c r="G1270" s="12" t="str">
        <f t="shared" si="98"/>
        <v>Warning</v>
      </c>
      <c r="H1270" s="13">
        <f t="shared" si="99"/>
        <v>6</v>
      </c>
      <c r="I1270" s="14">
        <f t="shared" si="95"/>
        <v>1832.25</v>
      </c>
      <c r="K1270" t="str">
        <f>[1]!revcom(C1270)</f>
        <v>CCCATG</v>
      </c>
      <c r="L1270">
        <v>6</v>
      </c>
    </row>
    <row r="1271" spans="1:12" ht="15.6" x14ac:dyDescent="0.3">
      <c r="A1271" s="9">
        <v>1260</v>
      </c>
      <c r="B1271" s="1"/>
      <c r="C1271" s="2" t="s">
        <v>1266</v>
      </c>
      <c r="D1271" s="1"/>
      <c r="E1271" s="11">
        <f t="shared" si="96"/>
        <v>14</v>
      </c>
      <c r="F1271" s="12">
        <f t="shared" si="97"/>
        <v>50</v>
      </c>
      <c r="G1271" s="12" t="str">
        <f t="shared" si="98"/>
        <v>OK</v>
      </c>
      <c r="H1271" s="13">
        <f t="shared" si="99"/>
        <v>6</v>
      </c>
      <c r="I1271" s="14">
        <f t="shared" si="95"/>
        <v>1807.23</v>
      </c>
      <c r="K1271" t="str">
        <f>[1]!revcom(C1271)</f>
        <v>ACCATG</v>
      </c>
      <c r="L1271">
        <v>5</v>
      </c>
    </row>
    <row r="1272" spans="1:12" ht="15.6" x14ac:dyDescent="0.3">
      <c r="A1272" s="9">
        <v>1261</v>
      </c>
      <c r="B1272" s="1"/>
      <c r="C1272" s="2" t="s">
        <v>1267</v>
      </c>
      <c r="D1272" s="1"/>
      <c r="E1272" s="11">
        <f t="shared" si="96"/>
        <v>16</v>
      </c>
      <c r="F1272" s="12">
        <f t="shared" si="97"/>
        <v>33.333333333333329</v>
      </c>
      <c r="G1272" s="12" t="str">
        <f t="shared" si="98"/>
        <v>OK</v>
      </c>
      <c r="H1272" s="13">
        <f t="shared" si="99"/>
        <v>6</v>
      </c>
      <c r="I1272" s="14">
        <f t="shared" si="95"/>
        <v>1791.23</v>
      </c>
      <c r="K1272" t="str">
        <f>[1]!revcom(C1272)</f>
        <v>TACATG</v>
      </c>
      <c r="L1272">
        <v>5</v>
      </c>
    </row>
    <row r="1273" spans="1:12" ht="15.6" x14ac:dyDescent="0.3">
      <c r="A1273" s="9">
        <v>1262</v>
      </c>
      <c r="B1273" s="1"/>
      <c r="C1273" s="2" t="s">
        <v>1268</v>
      </c>
      <c r="D1273" s="1"/>
      <c r="E1273" s="11">
        <f t="shared" si="96"/>
        <v>14</v>
      </c>
      <c r="F1273" s="12">
        <f t="shared" si="97"/>
        <v>50</v>
      </c>
      <c r="G1273" s="12" t="str">
        <f t="shared" si="98"/>
        <v>OK</v>
      </c>
      <c r="H1273" s="13">
        <f t="shared" si="99"/>
        <v>6</v>
      </c>
      <c r="I1273" s="14">
        <f t="shared" si="95"/>
        <v>1767.1999999999998</v>
      </c>
      <c r="K1273" t="str">
        <f>[1]!revcom(C1273)</f>
        <v>GACATG</v>
      </c>
      <c r="L1273">
        <v>5</v>
      </c>
    </row>
    <row r="1274" spans="1:12" ht="15.6" x14ac:dyDescent="0.3">
      <c r="A1274" s="9">
        <v>1263</v>
      </c>
      <c r="B1274" s="1"/>
      <c r="C1274" s="2" t="s">
        <v>1269</v>
      </c>
      <c r="D1274" s="1"/>
      <c r="E1274" s="11">
        <f t="shared" si="96"/>
        <v>14</v>
      </c>
      <c r="F1274" s="12">
        <f t="shared" si="97"/>
        <v>50</v>
      </c>
      <c r="G1274" s="12" t="str">
        <f t="shared" si="98"/>
        <v>OK</v>
      </c>
      <c r="H1274" s="13">
        <f t="shared" si="99"/>
        <v>6</v>
      </c>
      <c r="I1274" s="14">
        <f t="shared" si="95"/>
        <v>1807.23</v>
      </c>
      <c r="K1274" t="str">
        <f>[1]!revcom(C1274)</f>
        <v>CACATG</v>
      </c>
      <c r="L1274">
        <v>5</v>
      </c>
    </row>
    <row r="1275" spans="1:12" ht="15.6" x14ac:dyDescent="0.3">
      <c r="A1275" s="9">
        <v>1264</v>
      </c>
      <c r="B1275" s="1"/>
      <c r="C1275" s="2" t="s">
        <v>1270</v>
      </c>
      <c r="D1275" s="1"/>
      <c r="E1275" s="11">
        <f t="shared" si="96"/>
        <v>8</v>
      </c>
      <c r="F1275" s="12">
        <f t="shared" si="97"/>
        <v>33.333333333333329</v>
      </c>
      <c r="G1275" s="12" t="str">
        <f t="shared" si="98"/>
        <v>OK</v>
      </c>
      <c r="H1275" s="13">
        <f t="shared" si="99"/>
        <v>6</v>
      </c>
      <c r="I1275" s="14">
        <f t="shared" si="95"/>
        <v>1782.21</v>
      </c>
      <c r="K1275" t="str">
        <f>[1]!revcom(C1275)</f>
        <v>AACATG</v>
      </c>
      <c r="L1275">
        <v>4</v>
      </c>
    </row>
    <row r="1276" spans="1:12" ht="15.6" x14ac:dyDescent="0.3">
      <c r="A1276" s="9">
        <v>1265</v>
      </c>
      <c r="B1276" s="1"/>
      <c r="C1276" s="2" t="s">
        <v>1271</v>
      </c>
      <c r="D1276" s="1"/>
      <c r="E1276" s="11">
        <f t="shared" si="96"/>
        <v>18</v>
      </c>
      <c r="F1276" s="12">
        <f t="shared" si="97"/>
        <v>16.666666666666664</v>
      </c>
      <c r="G1276" s="12" t="str">
        <f t="shared" si="98"/>
        <v>OK</v>
      </c>
      <c r="H1276" s="13">
        <f t="shared" si="99"/>
        <v>6</v>
      </c>
      <c r="I1276" s="14">
        <f t="shared" si="95"/>
        <v>1775.23</v>
      </c>
      <c r="K1276" t="str">
        <f>[1]!revcom(C1276)</f>
        <v>TTAATG</v>
      </c>
      <c r="L1276">
        <v>5</v>
      </c>
    </row>
    <row r="1277" spans="1:12" ht="15.6" x14ac:dyDescent="0.3">
      <c r="A1277" s="9">
        <v>1266</v>
      </c>
      <c r="B1277" s="1"/>
      <c r="C1277" s="2" t="s">
        <v>1272</v>
      </c>
      <c r="D1277" s="1"/>
      <c r="E1277" s="11">
        <f t="shared" si="96"/>
        <v>16</v>
      </c>
      <c r="F1277" s="12">
        <f t="shared" si="97"/>
        <v>33.333333333333329</v>
      </c>
      <c r="G1277" s="12" t="str">
        <f t="shared" si="98"/>
        <v>OK</v>
      </c>
      <c r="H1277" s="13">
        <f t="shared" si="99"/>
        <v>6</v>
      </c>
      <c r="I1277" s="14">
        <f t="shared" si="95"/>
        <v>1751.1999999999998</v>
      </c>
      <c r="K1277" t="str">
        <f>[1]!revcom(C1277)</f>
        <v>GTAATG</v>
      </c>
      <c r="L1277">
        <v>5</v>
      </c>
    </row>
    <row r="1278" spans="1:12" ht="15.6" x14ac:dyDescent="0.3">
      <c r="A1278" s="9">
        <v>1267</v>
      </c>
      <c r="B1278" s="1"/>
      <c r="C1278" s="2" t="s">
        <v>1273</v>
      </c>
      <c r="D1278" s="1"/>
      <c r="E1278" s="11">
        <f t="shared" si="96"/>
        <v>16</v>
      </c>
      <c r="F1278" s="12">
        <f t="shared" si="97"/>
        <v>33.333333333333329</v>
      </c>
      <c r="G1278" s="12" t="str">
        <f t="shared" si="98"/>
        <v>OK</v>
      </c>
      <c r="H1278" s="13">
        <f t="shared" si="99"/>
        <v>6</v>
      </c>
      <c r="I1278" s="14">
        <f t="shared" si="95"/>
        <v>1791.23</v>
      </c>
      <c r="K1278" t="str">
        <f>[1]!revcom(C1278)</f>
        <v>CTAATG</v>
      </c>
      <c r="L1278">
        <v>5</v>
      </c>
    </row>
    <row r="1279" spans="1:12" ht="15.6" x14ac:dyDescent="0.3">
      <c r="A1279" s="9">
        <v>1268</v>
      </c>
      <c r="B1279" s="1"/>
      <c r="C1279" s="2" t="s">
        <v>1274</v>
      </c>
      <c r="D1279" s="1"/>
      <c r="E1279" s="11">
        <f t="shared" si="96"/>
        <v>10</v>
      </c>
      <c r="F1279" s="12">
        <f t="shared" si="97"/>
        <v>16.666666666666664</v>
      </c>
      <c r="G1279" s="12" t="str">
        <f t="shared" si="98"/>
        <v>OK</v>
      </c>
      <c r="H1279" s="13">
        <f t="shared" si="99"/>
        <v>6</v>
      </c>
      <c r="I1279" s="14">
        <f t="shared" si="95"/>
        <v>1766.21</v>
      </c>
      <c r="K1279" t="str">
        <f>[1]!revcom(C1279)</f>
        <v>ATAATG</v>
      </c>
      <c r="L1279">
        <v>4</v>
      </c>
    </row>
    <row r="1280" spans="1:12" ht="15.6" x14ac:dyDescent="0.3">
      <c r="A1280" s="9">
        <v>1269</v>
      </c>
      <c r="B1280" s="1"/>
      <c r="C1280" s="2" t="s">
        <v>1275</v>
      </c>
      <c r="D1280" s="1"/>
      <c r="E1280" s="11">
        <f t="shared" si="96"/>
        <v>16</v>
      </c>
      <c r="F1280" s="12">
        <f t="shared" si="97"/>
        <v>33.333333333333329</v>
      </c>
      <c r="G1280" s="12" t="str">
        <f t="shared" si="98"/>
        <v>OK</v>
      </c>
      <c r="H1280" s="13">
        <f t="shared" si="99"/>
        <v>6</v>
      </c>
      <c r="I1280" s="14">
        <f t="shared" si="95"/>
        <v>1751.1999999999998</v>
      </c>
      <c r="K1280" t="str">
        <f>[1]!revcom(C1280)</f>
        <v>TGAATG</v>
      </c>
      <c r="L1280">
        <v>5</v>
      </c>
    </row>
    <row r="1281" spans="1:12" ht="15.6" x14ac:dyDescent="0.3">
      <c r="A1281" s="9">
        <v>1270</v>
      </c>
      <c r="B1281" s="1"/>
      <c r="C1281" s="2" t="s">
        <v>1276</v>
      </c>
      <c r="D1281" s="1"/>
      <c r="E1281" s="11">
        <f t="shared" si="96"/>
        <v>14</v>
      </c>
      <c r="F1281" s="12">
        <f t="shared" si="97"/>
        <v>50</v>
      </c>
      <c r="G1281" s="12" t="str">
        <f t="shared" si="98"/>
        <v>OK</v>
      </c>
      <c r="H1281" s="13">
        <f t="shared" si="99"/>
        <v>6</v>
      </c>
      <c r="I1281" s="14">
        <f t="shared" si="95"/>
        <v>1727.17</v>
      </c>
      <c r="K1281" t="str">
        <f>[1]!revcom(C1281)</f>
        <v>GGAATG</v>
      </c>
      <c r="L1281">
        <v>5</v>
      </c>
    </row>
    <row r="1282" spans="1:12" ht="15.6" x14ac:dyDescent="0.3">
      <c r="A1282" s="9">
        <v>1271</v>
      </c>
      <c r="B1282" s="1"/>
      <c r="C1282" s="2" t="s">
        <v>1277</v>
      </c>
      <c r="D1282" s="1"/>
      <c r="E1282" s="11">
        <f t="shared" si="96"/>
        <v>14</v>
      </c>
      <c r="F1282" s="12">
        <f t="shared" si="97"/>
        <v>50</v>
      </c>
      <c r="G1282" s="12" t="str">
        <f t="shared" si="98"/>
        <v>OK</v>
      </c>
      <c r="H1282" s="13">
        <f t="shared" si="99"/>
        <v>6</v>
      </c>
      <c r="I1282" s="14">
        <f t="shared" si="95"/>
        <v>1767.1999999999998</v>
      </c>
      <c r="K1282" t="str">
        <f>[1]!revcom(C1282)</f>
        <v>CGAATG</v>
      </c>
      <c r="L1282">
        <v>5</v>
      </c>
    </row>
    <row r="1283" spans="1:12" ht="15.6" x14ac:dyDescent="0.3">
      <c r="A1283" s="9">
        <v>1272</v>
      </c>
      <c r="B1283" s="1"/>
      <c r="C1283" s="2" t="s">
        <v>1278</v>
      </c>
      <c r="D1283" s="1"/>
      <c r="E1283" s="11">
        <f t="shared" si="96"/>
        <v>8</v>
      </c>
      <c r="F1283" s="12">
        <f t="shared" si="97"/>
        <v>33.333333333333329</v>
      </c>
      <c r="G1283" s="12" t="str">
        <f t="shared" si="98"/>
        <v>OK</v>
      </c>
      <c r="H1283" s="13">
        <f t="shared" si="99"/>
        <v>6</v>
      </c>
      <c r="I1283" s="14">
        <f t="shared" si="95"/>
        <v>1742.1799999999998</v>
      </c>
      <c r="K1283" t="str">
        <f>[1]!revcom(C1283)</f>
        <v>AGAATG</v>
      </c>
      <c r="L1283">
        <v>4</v>
      </c>
    </row>
    <row r="1284" spans="1:12" ht="15.6" x14ac:dyDescent="0.3">
      <c r="A1284" s="9">
        <v>1273</v>
      </c>
      <c r="B1284" s="1"/>
      <c r="C1284" s="2" t="s">
        <v>1279</v>
      </c>
      <c r="D1284" s="1"/>
      <c r="E1284" s="11">
        <f t="shared" si="96"/>
        <v>16</v>
      </c>
      <c r="F1284" s="12">
        <f t="shared" si="97"/>
        <v>33.333333333333329</v>
      </c>
      <c r="G1284" s="12" t="str">
        <f t="shared" si="98"/>
        <v>OK</v>
      </c>
      <c r="H1284" s="13">
        <f t="shared" si="99"/>
        <v>6</v>
      </c>
      <c r="I1284" s="14">
        <f t="shared" si="95"/>
        <v>1791.23</v>
      </c>
      <c r="K1284" t="str">
        <f>[1]!revcom(C1284)</f>
        <v>TCAATG</v>
      </c>
      <c r="L1284">
        <v>5</v>
      </c>
    </row>
    <row r="1285" spans="1:12" ht="15.6" x14ac:dyDescent="0.3">
      <c r="A1285" s="9">
        <v>1274</v>
      </c>
      <c r="B1285" s="1"/>
      <c r="C1285" s="2" t="s">
        <v>1280</v>
      </c>
      <c r="D1285" s="1"/>
      <c r="E1285" s="11">
        <f t="shared" si="96"/>
        <v>14</v>
      </c>
      <c r="F1285" s="12">
        <f t="shared" si="97"/>
        <v>50</v>
      </c>
      <c r="G1285" s="12" t="str">
        <f t="shared" si="98"/>
        <v>OK</v>
      </c>
      <c r="H1285" s="13">
        <f t="shared" si="99"/>
        <v>6</v>
      </c>
      <c r="I1285" s="14">
        <f t="shared" si="95"/>
        <v>1767.1999999999998</v>
      </c>
      <c r="K1285" t="str">
        <f>[1]!revcom(C1285)</f>
        <v>GCAATG</v>
      </c>
      <c r="L1285">
        <v>5</v>
      </c>
    </row>
    <row r="1286" spans="1:12" ht="15.6" x14ac:dyDescent="0.3">
      <c r="A1286" s="9">
        <v>1275</v>
      </c>
      <c r="B1286" s="1"/>
      <c r="C1286" s="2" t="s">
        <v>1281</v>
      </c>
      <c r="D1286" s="1"/>
      <c r="E1286" s="11">
        <f t="shared" si="96"/>
        <v>14</v>
      </c>
      <c r="F1286" s="12">
        <f t="shared" si="97"/>
        <v>50</v>
      </c>
      <c r="G1286" s="12" t="str">
        <f t="shared" si="98"/>
        <v>OK</v>
      </c>
      <c r="H1286" s="13">
        <f t="shared" si="99"/>
        <v>6</v>
      </c>
      <c r="I1286" s="14">
        <f t="shared" si="95"/>
        <v>1807.23</v>
      </c>
      <c r="K1286" t="str">
        <f>[1]!revcom(C1286)</f>
        <v>CCAATG</v>
      </c>
      <c r="L1286">
        <v>5</v>
      </c>
    </row>
    <row r="1287" spans="1:12" ht="15.6" x14ac:dyDescent="0.3">
      <c r="A1287" s="9">
        <v>1276</v>
      </c>
      <c r="B1287" s="1"/>
      <c r="C1287" s="2" t="s">
        <v>1282</v>
      </c>
      <c r="D1287" s="1"/>
      <c r="E1287" s="11">
        <f t="shared" si="96"/>
        <v>8</v>
      </c>
      <c r="F1287" s="12">
        <f t="shared" si="97"/>
        <v>33.333333333333329</v>
      </c>
      <c r="G1287" s="12" t="str">
        <f t="shared" si="98"/>
        <v>OK</v>
      </c>
      <c r="H1287" s="13">
        <f t="shared" si="99"/>
        <v>6</v>
      </c>
      <c r="I1287" s="14">
        <f t="shared" si="95"/>
        <v>1782.21</v>
      </c>
      <c r="K1287" t="str">
        <f>[1]!revcom(C1287)</f>
        <v>ACAATG</v>
      </c>
      <c r="L1287">
        <v>4</v>
      </c>
    </row>
    <row r="1288" spans="1:12" ht="15.6" x14ac:dyDescent="0.3">
      <c r="A1288" s="9">
        <v>1277</v>
      </c>
      <c r="B1288" s="1"/>
      <c r="C1288" s="2" t="s">
        <v>1283</v>
      </c>
      <c r="D1288" s="1"/>
      <c r="E1288" s="11">
        <f t="shared" si="96"/>
        <v>10</v>
      </c>
      <c r="F1288" s="12">
        <f t="shared" si="97"/>
        <v>16.666666666666664</v>
      </c>
      <c r="G1288" s="12" t="str">
        <f t="shared" si="98"/>
        <v>OK</v>
      </c>
      <c r="H1288" s="13">
        <f t="shared" si="99"/>
        <v>6</v>
      </c>
      <c r="I1288" s="14">
        <f t="shared" si="95"/>
        <v>1766.21</v>
      </c>
      <c r="K1288" t="str">
        <f>[1]!revcom(C1288)</f>
        <v>TAAATG</v>
      </c>
      <c r="L1288">
        <v>4</v>
      </c>
    </row>
    <row r="1289" spans="1:12" ht="15.6" x14ac:dyDescent="0.3">
      <c r="A1289" s="9">
        <v>1278</v>
      </c>
      <c r="B1289" s="1"/>
      <c r="C1289" s="2" t="s">
        <v>1284</v>
      </c>
      <c r="D1289" s="1"/>
      <c r="E1289" s="11">
        <f t="shared" si="96"/>
        <v>8</v>
      </c>
      <c r="F1289" s="12">
        <f t="shared" si="97"/>
        <v>33.333333333333329</v>
      </c>
      <c r="G1289" s="12" t="str">
        <f t="shared" si="98"/>
        <v>OK</v>
      </c>
      <c r="H1289" s="13">
        <f t="shared" si="99"/>
        <v>6</v>
      </c>
      <c r="I1289" s="14">
        <f t="shared" si="95"/>
        <v>1742.1799999999998</v>
      </c>
      <c r="K1289" t="str">
        <f>[1]!revcom(C1289)</f>
        <v>GAAATG</v>
      </c>
      <c r="L1289">
        <v>4</v>
      </c>
    </row>
    <row r="1290" spans="1:12" ht="15.6" x14ac:dyDescent="0.3">
      <c r="A1290" s="9">
        <v>1279</v>
      </c>
      <c r="B1290" s="1"/>
      <c r="C1290" s="2" t="s">
        <v>1285</v>
      </c>
      <c r="D1290" s="1"/>
      <c r="E1290" s="11">
        <f t="shared" si="96"/>
        <v>8</v>
      </c>
      <c r="F1290" s="12">
        <f t="shared" si="97"/>
        <v>33.333333333333329</v>
      </c>
      <c r="G1290" s="12" t="str">
        <f t="shared" si="98"/>
        <v>OK</v>
      </c>
      <c r="H1290" s="13">
        <f t="shared" si="99"/>
        <v>6</v>
      </c>
      <c r="I1290" s="14">
        <f t="shared" si="95"/>
        <v>1782.21</v>
      </c>
      <c r="K1290" t="str">
        <f>[1]!revcom(C1290)</f>
        <v>CAAATG</v>
      </c>
      <c r="L1290">
        <v>4</v>
      </c>
    </row>
    <row r="1291" spans="1:12" ht="15.6" x14ac:dyDescent="0.3">
      <c r="A1291" s="9">
        <v>1280</v>
      </c>
      <c r="B1291" s="1"/>
      <c r="C1291" s="2" t="s">
        <v>1286</v>
      </c>
      <c r="D1291" s="1"/>
      <c r="E1291" s="11">
        <f t="shared" si="96"/>
        <v>2</v>
      </c>
      <c r="F1291" s="12">
        <f t="shared" si="97"/>
        <v>16.666666666666664</v>
      </c>
      <c r="G1291" s="12" t="str">
        <f t="shared" si="98"/>
        <v>OK</v>
      </c>
      <c r="H1291" s="13">
        <f t="shared" si="99"/>
        <v>6</v>
      </c>
      <c r="I1291" s="14">
        <f t="shared" si="95"/>
        <v>1757.19</v>
      </c>
      <c r="K1291" t="str">
        <f>[1]!revcom(C1291)</f>
        <v>AAAATG</v>
      </c>
      <c r="L1291">
        <v>3</v>
      </c>
    </row>
    <row r="1292" spans="1:12" ht="15.6" x14ac:dyDescent="0.3">
      <c r="A1292" s="9">
        <v>1281</v>
      </c>
      <c r="B1292" s="1"/>
      <c r="C1292" s="2" t="s">
        <v>1287</v>
      </c>
      <c r="D1292" s="1"/>
      <c r="E1292" s="11">
        <f t="shared" si="96"/>
        <v>32</v>
      </c>
      <c r="F1292" s="12">
        <f t="shared" si="97"/>
        <v>33.333333333333329</v>
      </c>
      <c r="G1292" s="12" t="str">
        <f t="shared" si="98"/>
        <v>OK</v>
      </c>
      <c r="H1292" s="13">
        <f t="shared" si="99"/>
        <v>6</v>
      </c>
      <c r="I1292" s="14">
        <f t="shared" si="95"/>
        <v>1769.2399999999998</v>
      </c>
      <c r="K1292" t="str">
        <f>[1]!revcom(C1292)</f>
        <v>TTTTGG</v>
      </c>
      <c r="L1292">
        <v>8</v>
      </c>
    </row>
    <row r="1293" spans="1:12" ht="15.6" x14ac:dyDescent="0.3">
      <c r="A1293" s="9">
        <v>1282</v>
      </c>
      <c r="B1293" s="1"/>
      <c r="C1293" s="2" t="s">
        <v>1288</v>
      </c>
      <c r="D1293" s="1"/>
      <c r="E1293" s="11">
        <f t="shared" si="96"/>
        <v>30</v>
      </c>
      <c r="F1293" s="12">
        <f t="shared" si="97"/>
        <v>50</v>
      </c>
      <c r="G1293" s="12" t="str">
        <f t="shared" si="98"/>
        <v>OK</v>
      </c>
      <c r="H1293" s="13">
        <f t="shared" si="99"/>
        <v>6</v>
      </c>
      <c r="I1293" s="14">
        <f t="shared" ref="I1293:I1356" si="100">((LEN(C1293)-(LEN(SUBSTITUTE(C1293,"A",""))))*249.23)+((LEN(C1293)-(LEN(SUBSTITUTE(C1293,"T",""))))*240.21)+((LEN(C1293)-(LEN(SUBSTITUTE(C1293,"C",""))))*225.2)+((LEN(C1293)-(LEN(SUBSTITUTE(C1293,"G",""))))*265.23)+(63.98*(LEN(C1293)-1)+(2.02))</f>
        <v>1745.21</v>
      </c>
      <c r="K1293" t="str">
        <f>[1]!revcom(C1293)</f>
        <v>GTTTGG</v>
      </c>
      <c r="L1293">
        <v>7</v>
      </c>
    </row>
    <row r="1294" spans="1:12" ht="15.6" x14ac:dyDescent="0.3">
      <c r="A1294" s="9">
        <v>1283</v>
      </c>
      <c r="B1294" s="1"/>
      <c r="C1294" s="2" t="s">
        <v>1289</v>
      </c>
      <c r="D1294" s="1"/>
      <c r="E1294" s="11">
        <f t="shared" ref="E1294:E1357" si="101">IF(LEN(C1294)&gt;15,(69.3+((41*((LEN(C1294)-(((LEN(C1294)-(LEN(SUBSTITUTE(C1294,"A",""))))+((LEN(C1294)-(LEN(SUBSTITUTE(C1294,"T","")))))))))/(LEN(C1294)))-(650/(LEN(C1294))))),(2*((LEN(C1294)-(((LEN(C1294)-(LEN(SUBSTITUTE(C1294,"C",""))))+((LEN(C1294)-(LEN(SUBSTITUTE(C1294,"G",""))))))))))+(4*((LEN(C1294)-(((LEN(C1294)-(LEN(SUBSTITUTE(C1294,"T",""))))+((LEN(C1294)-(LEN(SUBSTITUTE(C1294,"T","")))))))))))</f>
        <v>30</v>
      </c>
      <c r="F1294" s="12">
        <f t="shared" ref="F1294:F1357" si="102">((LEN(C1294)- LEN(SUBSTITUTE(C1294,"G","")))+(LEN(C1294)- LEN(SUBSTITUTE(C1294,"C",""))) )/LEN(C1294)*100</f>
        <v>50</v>
      </c>
      <c r="G1294" s="12" t="str">
        <f t="shared" ref="G1294:G1357" si="103">IF((-5+((LEN(SUBSTITUTE(RIGHT(C1294,5),"C","")))+((LEN(SUBSTITUTE(RIGHT(C1294,5),"G",""))))))&gt;=3,"OK","Warning")</f>
        <v>OK</v>
      </c>
      <c r="H1294" s="13">
        <f t="shared" ref="H1294:H1357" si="104">LEN(C1294)</f>
        <v>6</v>
      </c>
      <c r="I1294" s="14">
        <f t="shared" si="100"/>
        <v>1785.2399999999998</v>
      </c>
      <c r="K1294" t="str">
        <f>[1]!revcom(C1294)</f>
        <v>CTTTGG</v>
      </c>
      <c r="L1294">
        <v>7</v>
      </c>
    </row>
    <row r="1295" spans="1:12" ht="15.6" x14ac:dyDescent="0.3">
      <c r="A1295" s="9">
        <v>1284</v>
      </c>
      <c r="B1295" s="1"/>
      <c r="C1295" s="2" t="s">
        <v>1290</v>
      </c>
      <c r="D1295" s="1"/>
      <c r="E1295" s="11">
        <f t="shared" si="101"/>
        <v>24</v>
      </c>
      <c r="F1295" s="12">
        <f t="shared" si="102"/>
        <v>33.333333333333329</v>
      </c>
      <c r="G1295" s="12" t="str">
        <f t="shared" si="103"/>
        <v>OK</v>
      </c>
      <c r="H1295" s="13">
        <f t="shared" si="104"/>
        <v>6</v>
      </c>
      <c r="I1295" s="14">
        <f t="shared" si="100"/>
        <v>1760.2199999999998</v>
      </c>
      <c r="K1295" t="str">
        <f>[1]!revcom(C1295)</f>
        <v>ATTTGG</v>
      </c>
      <c r="L1295">
        <v>6</v>
      </c>
    </row>
    <row r="1296" spans="1:12" ht="15.6" x14ac:dyDescent="0.3">
      <c r="A1296" s="9">
        <v>1285</v>
      </c>
      <c r="B1296" s="1"/>
      <c r="C1296" s="2" t="s">
        <v>1291</v>
      </c>
      <c r="D1296" s="1"/>
      <c r="E1296" s="11">
        <f t="shared" si="101"/>
        <v>30</v>
      </c>
      <c r="F1296" s="12">
        <f t="shared" si="102"/>
        <v>50</v>
      </c>
      <c r="G1296" s="12" t="str">
        <f t="shared" si="103"/>
        <v>OK</v>
      </c>
      <c r="H1296" s="13">
        <f t="shared" si="104"/>
        <v>6</v>
      </c>
      <c r="I1296" s="14">
        <f t="shared" si="100"/>
        <v>1745.21</v>
      </c>
      <c r="K1296" t="str">
        <f>[1]!revcom(C1296)</f>
        <v>TGTTGG</v>
      </c>
      <c r="L1296">
        <v>7</v>
      </c>
    </row>
    <row r="1297" spans="1:12" ht="15.6" x14ac:dyDescent="0.3">
      <c r="A1297" s="9">
        <v>1286</v>
      </c>
      <c r="B1297" s="1"/>
      <c r="C1297" s="2" t="s">
        <v>1292</v>
      </c>
      <c r="D1297" s="1"/>
      <c r="E1297" s="11">
        <f t="shared" si="101"/>
        <v>28</v>
      </c>
      <c r="F1297" s="12">
        <f t="shared" si="102"/>
        <v>66.666666666666657</v>
      </c>
      <c r="G1297" s="12" t="str">
        <f t="shared" si="103"/>
        <v>Warning</v>
      </c>
      <c r="H1297" s="13">
        <f t="shared" si="104"/>
        <v>6</v>
      </c>
      <c r="I1297" s="14">
        <f t="shared" si="100"/>
        <v>1721.1799999999998</v>
      </c>
      <c r="K1297" t="str">
        <f>[1]!revcom(C1297)</f>
        <v>GGTTGG</v>
      </c>
      <c r="L1297">
        <v>7</v>
      </c>
    </row>
    <row r="1298" spans="1:12" ht="15.6" x14ac:dyDescent="0.3">
      <c r="A1298" s="9">
        <v>1287</v>
      </c>
      <c r="B1298" s="1"/>
      <c r="C1298" s="2" t="s">
        <v>1293</v>
      </c>
      <c r="D1298" s="1"/>
      <c r="E1298" s="11">
        <f t="shared" si="101"/>
        <v>28</v>
      </c>
      <c r="F1298" s="12">
        <f t="shared" si="102"/>
        <v>66.666666666666657</v>
      </c>
      <c r="G1298" s="12" t="str">
        <f t="shared" si="103"/>
        <v>Warning</v>
      </c>
      <c r="H1298" s="13">
        <f t="shared" si="104"/>
        <v>6</v>
      </c>
      <c r="I1298" s="14">
        <f t="shared" si="100"/>
        <v>1761.21</v>
      </c>
      <c r="K1298" t="str">
        <f>[1]!revcom(C1298)</f>
        <v>CGTTGG</v>
      </c>
      <c r="L1298">
        <v>7</v>
      </c>
    </row>
    <row r="1299" spans="1:12" ht="15.6" x14ac:dyDescent="0.3">
      <c r="A1299" s="9">
        <v>1288</v>
      </c>
      <c r="B1299" s="1"/>
      <c r="C1299" s="2" t="s">
        <v>1294</v>
      </c>
      <c r="D1299" s="1"/>
      <c r="E1299" s="11">
        <f t="shared" si="101"/>
        <v>22</v>
      </c>
      <c r="F1299" s="12">
        <f t="shared" si="102"/>
        <v>50</v>
      </c>
      <c r="G1299" s="12" t="str">
        <f t="shared" si="103"/>
        <v>OK</v>
      </c>
      <c r="H1299" s="13">
        <f t="shared" si="104"/>
        <v>6</v>
      </c>
      <c r="I1299" s="14">
        <f t="shared" si="100"/>
        <v>1736.19</v>
      </c>
      <c r="K1299" t="str">
        <f>[1]!revcom(C1299)</f>
        <v>AGTTGG</v>
      </c>
      <c r="L1299">
        <v>6</v>
      </c>
    </row>
    <row r="1300" spans="1:12" ht="15.6" x14ac:dyDescent="0.3">
      <c r="A1300" s="9">
        <v>1289</v>
      </c>
      <c r="B1300" s="1"/>
      <c r="C1300" s="2" t="s">
        <v>1295</v>
      </c>
      <c r="D1300" s="1"/>
      <c r="E1300" s="11">
        <f t="shared" si="101"/>
        <v>30</v>
      </c>
      <c r="F1300" s="12">
        <f t="shared" si="102"/>
        <v>50</v>
      </c>
      <c r="G1300" s="12" t="str">
        <f t="shared" si="103"/>
        <v>OK</v>
      </c>
      <c r="H1300" s="13">
        <f t="shared" si="104"/>
        <v>6</v>
      </c>
      <c r="I1300" s="14">
        <f t="shared" si="100"/>
        <v>1785.2399999999998</v>
      </c>
      <c r="K1300" t="str">
        <f>[1]!revcom(C1300)</f>
        <v>TCTTGG</v>
      </c>
      <c r="L1300">
        <v>7</v>
      </c>
    </row>
    <row r="1301" spans="1:12" ht="15.6" x14ac:dyDescent="0.3">
      <c r="A1301" s="9">
        <v>1290</v>
      </c>
      <c r="B1301" s="1"/>
      <c r="C1301" s="2" t="s">
        <v>1296</v>
      </c>
      <c r="D1301" s="1"/>
      <c r="E1301" s="11">
        <f t="shared" si="101"/>
        <v>28</v>
      </c>
      <c r="F1301" s="12">
        <f t="shared" si="102"/>
        <v>66.666666666666657</v>
      </c>
      <c r="G1301" s="12" t="str">
        <f t="shared" si="103"/>
        <v>Warning</v>
      </c>
      <c r="H1301" s="13">
        <f t="shared" si="104"/>
        <v>6</v>
      </c>
      <c r="I1301" s="14">
        <f t="shared" si="100"/>
        <v>1761.21</v>
      </c>
      <c r="K1301" t="str">
        <f>[1]!revcom(C1301)</f>
        <v>GCTTGG</v>
      </c>
      <c r="L1301">
        <v>7</v>
      </c>
    </row>
    <row r="1302" spans="1:12" ht="15.6" x14ac:dyDescent="0.3">
      <c r="A1302" s="9">
        <v>1291</v>
      </c>
      <c r="B1302" s="1"/>
      <c r="C1302" s="2" t="s">
        <v>1297</v>
      </c>
      <c r="D1302" s="1"/>
      <c r="E1302" s="11">
        <f t="shared" si="101"/>
        <v>28</v>
      </c>
      <c r="F1302" s="12">
        <f t="shared" si="102"/>
        <v>66.666666666666657</v>
      </c>
      <c r="G1302" s="12" t="str">
        <f t="shared" si="103"/>
        <v>Warning</v>
      </c>
      <c r="H1302" s="13">
        <f t="shared" si="104"/>
        <v>6</v>
      </c>
      <c r="I1302" s="14">
        <f t="shared" si="100"/>
        <v>1801.2399999999998</v>
      </c>
      <c r="K1302" t="str">
        <f>[1]!revcom(C1302)</f>
        <v>CCTTGG</v>
      </c>
      <c r="L1302">
        <v>7</v>
      </c>
    </row>
    <row r="1303" spans="1:12" ht="15.6" x14ac:dyDescent="0.3">
      <c r="A1303" s="9">
        <v>1292</v>
      </c>
      <c r="B1303" s="1"/>
      <c r="C1303" s="2" t="s">
        <v>1298</v>
      </c>
      <c r="D1303" s="1"/>
      <c r="E1303" s="11">
        <f t="shared" si="101"/>
        <v>22</v>
      </c>
      <c r="F1303" s="12">
        <f t="shared" si="102"/>
        <v>50</v>
      </c>
      <c r="G1303" s="12" t="str">
        <f t="shared" si="103"/>
        <v>OK</v>
      </c>
      <c r="H1303" s="13">
        <f t="shared" si="104"/>
        <v>6</v>
      </c>
      <c r="I1303" s="14">
        <f t="shared" si="100"/>
        <v>1776.2199999999998</v>
      </c>
      <c r="K1303" t="str">
        <f>[1]!revcom(C1303)</f>
        <v>ACTTGG</v>
      </c>
      <c r="L1303">
        <v>6</v>
      </c>
    </row>
    <row r="1304" spans="1:12" ht="15.6" x14ac:dyDescent="0.3">
      <c r="A1304" s="9">
        <v>1293</v>
      </c>
      <c r="B1304" s="1"/>
      <c r="C1304" s="2" t="s">
        <v>1299</v>
      </c>
      <c r="D1304" s="1"/>
      <c r="E1304" s="11">
        <f t="shared" si="101"/>
        <v>24</v>
      </c>
      <c r="F1304" s="12">
        <f t="shared" si="102"/>
        <v>33.333333333333329</v>
      </c>
      <c r="G1304" s="12" t="str">
        <f t="shared" si="103"/>
        <v>OK</v>
      </c>
      <c r="H1304" s="13">
        <f t="shared" si="104"/>
        <v>6</v>
      </c>
      <c r="I1304" s="14">
        <f t="shared" si="100"/>
        <v>1760.2199999999998</v>
      </c>
      <c r="K1304" t="str">
        <f>[1]!revcom(C1304)</f>
        <v>TATTGG</v>
      </c>
      <c r="L1304">
        <v>6</v>
      </c>
    </row>
    <row r="1305" spans="1:12" ht="15.6" x14ac:dyDescent="0.3">
      <c r="A1305" s="9">
        <v>1294</v>
      </c>
      <c r="B1305" s="1"/>
      <c r="C1305" s="2" t="s">
        <v>1300</v>
      </c>
      <c r="D1305" s="1"/>
      <c r="E1305" s="11">
        <f t="shared" si="101"/>
        <v>22</v>
      </c>
      <c r="F1305" s="12">
        <f t="shared" si="102"/>
        <v>50</v>
      </c>
      <c r="G1305" s="12" t="str">
        <f t="shared" si="103"/>
        <v>OK</v>
      </c>
      <c r="H1305" s="13">
        <f t="shared" si="104"/>
        <v>6</v>
      </c>
      <c r="I1305" s="14">
        <f t="shared" si="100"/>
        <v>1736.19</v>
      </c>
      <c r="K1305" t="str">
        <f>[1]!revcom(C1305)</f>
        <v>GATTGG</v>
      </c>
      <c r="L1305">
        <v>6</v>
      </c>
    </row>
    <row r="1306" spans="1:12" ht="15.6" x14ac:dyDescent="0.3">
      <c r="A1306" s="9">
        <v>1295</v>
      </c>
      <c r="B1306" s="1"/>
      <c r="C1306" s="2" t="s">
        <v>1301</v>
      </c>
      <c r="D1306" s="1"/>
      <c r="E1306" s="11">
        <f t="shared" si="101"/>
        <v>22</v>
      </c>
      <c r="F1306" s="12">
        <f t="shared" si="102"/>
        <v>50</v>
      </c>
      <c r="G1306" s="12" t="str">
        <f t="shared" si="103"/>
        <v>OK</v>
      </c>
      <c r="H1306" s="13">
        <f t="shared" si="104"/>
        <v>6</v>
      </c>
      <c r="I1306" s="14">
        <f t="shared" si="100"/>
        <v>1776.2199999999998</v>
      </c>
      <c r="K1306" t="str">
        <f>[1]!revcom(C1306)</f>
        <v>CATTGG</v>
      </c>
      <c r="L1306">
        <v>6</v>
      </c>
    </row>
    <row r="1307" spans="1:12" ht="15.6" x14ac:dyDescent="0.3">
      <c r="A1307" s="9">
        <v>1296</v>
      </c>
      <c r="B1307" s="1"/>
      <c r="C1307" s="2" t="s">
        <v>1302</v>
      </c>
      <c r="D1307" s="1"/>
      <c r="E1307" s="11">
        <f t="shared" si="101"/>
        <v>16</v>
      </c>
      <c r="F1307" s="12">
        <f t="shared" si="102"/>
        <v>33.333333333333329</v>
      </c>
      <c r="G1307" s="12" t="str">
        <f t="shared" si="103"/>
        <v>OK</v>
      </c>
      <c r="H1307" s="13">
        <f t="shared" si="104"/>
        <v>6</v>
      </c>
      <c r="I1307" s="14">
        <f t="shared" si="100"/>
        <v>1751.1999999999998</v>
      </c>
      <c r="K1307" t="str">
        <f>[1]!revcom(C1307)</f>
        <v>AATTGG</v>
      </c>
      <c r="L1307">
        <v>5</v>
      </c>
    </row>
    <row r="1308" spans="1:12" ht="15.6" x14ac:dyDescent="0.3">
      <c r="A1308" s="9">
        <v>1297</v>
      </c>
      <c r="B1308" s="1"/>
      <c r="C1308" s="2" t="s">
        <v>1303</v>
      </c>
      <c r="D1308" s="1"/>
      <c r="E1308" s="11">
        <f t="shared" si="101"/>
        <v>30</v>
      </c>
      <c r="F1308" s="12">
        <f t="shared" si="102"/>
        <v>50</v>
      </c>
      <c r="G1308" s="12" t="str">
        <f t="shared" si="103"/>
        <v>OK</v>
      </c>
      <c r="H1308" s="13">
        <f t="shared" si="104"/>
        <v>6</v>
      </c>
      <c r="I1308" s="14">
        <f t="shared" si="100"/>
        <v>1745.21</v>
      </c>
      <c r="K1308" t="str">
        <f>[1]!revcom(C1308)</f>
        <v>TTGTGG</v>
      </c>
      <c r="L1308">
        <v>7</v>
      </c>
    </row>
    <row r="1309" spans="1:12" ht="15.6" x14ac:dyDescent="0.3">
      <c r="A1309" s="9">
        <v>1298</v>
      </c>
      <c r="B1309" s="1"/>
      <c r="C1309" s="2" t="s">
        <v>1304</v>
      </c>
      <c r="D1309" s="1"/>
      <c r="E1309" s="11">
        <f t="shared" si="101"/>
        <v>28</v>
      </c>
      <c r="F1309" s="12">
        <f t="shared" si="102"/>
        <v>66.666666666666657</v>
      </c>
      <c r="G1309" s="12" t="str">
        <f t="shared" si="103"/>
        <v>Warning</v>
      </c>
      <c r="H1309" s="13">
        <f t="shared" si="104"/>
        <v>6</v>
      </c>
      <c r="I1309" s="14">
        <f t="shared" si="100"/>
        <v>1721.1799999999998</v>
      </c>
      <c r="K1309" t="str">
        <f>[1]!revcom(C1309)</f>
        <v>GTGTGG</v>
      </c>
      <c r="L1309">
        <v>7</v>
      </c>
    </row>
    <row r="1310" spans="1:12" ht="15.6" x14ac:dyDescent="0.3">
      <c r="A1310" s="9">
        <v>1299</v>
      </c>
      <c r="B1310" s="1"/>
      <c r="C1310" s="2" t="s">
        <v>1305</v>
      </c>
      <c r="D1310" s="1"/>
      <c r="E1310" s="11">
        <f t="shared" si="101"/>
        <v>28</v>
      </c>
      <c r="F1310" s="12">
        <f t="shared" si="102"/>
        <v>66.666666666666657</v>
      </c>
      <c r="G1310" s="12" t="str">
        <f t="shared" si="103"/>
        <v>Warning</v>
      </c>
      <c r="H1310" s="13">
        <f t="shared" si="104"/>
        <v>6</v>
      </c>
      <c r="I1310" s="14">
        <f t="shared" si="100"/>
        <v>1761.21</v>
      </c>
      <c r="K1310" t="str">
        <f>[1]!revcom(C1310)</f>
        <v>CTGTGG</v>
      </c>
      <c r="L1310">
        <v>7</v>
      </c>
    </row>
    <row r="1311" spans="1:12" ht="15.6" x14ac:dyDescent="0.3">
      <c r="A1311" s="9">
        <v>1300</v>
      </c>
      <c r="B1311" s="1"/>
      <c r="C1311" s="2" t="s">
        <v>1306</v>
      </c>
      <c r="D1311" s="1"/>
      <c r="E1311" s="11">
        <f t="shared" si="101"/>
        <v>22</v>
      </c>
      <c r="F1311" s="12">
        <f t="shared" si="102"/>
        <v>50</v>
      </c>
      <c r="G1311" s="12" t="str">
        <f t="shared" si="103"/>
        <v>OK</v>
      </c>
      <c r="H1311" s="13">
        <f t="shared" si="104"/>
        <v>6</v>
      </c>
      <c r="I1311" s="14">
        <f t="shared" si="100"/>
        <v>1736.19</v>
      </c>
      <c r="K1311" t="str">
        <f>[1]!revcom(C1311)</f>
        <v>ATGTGG</v>
      </c>
      <c r="L1311">
        <v>6</v>
      </c>
    </row>
    <row r="1312" spans="1:12" ht="15.6" x14ac:dyDescent="0.3">
      <c r="A1312" s="9">
        <v>1301</v>
      </c>
      <c r="B1312" s="1"/>
      <c r="C1312" s="2" t="s">
        <v>1307</v>
      </c>
      <c r="D1312" s="1"/>
      <c r="E1312" s="11">
        <f t="shared" si="101"/>
        <v>28</v>
      </c>
      <c r="F1312" s="12">
        <f t="shared" si="102"/>
        <v>66.666666666666657</v>
      </c>
      <c r="G1312" s="12" t="str">
        <f t="shared" si="103"/>
        <v>Warning</v>
      </c>
      <c r="H1312" s="13">
        <f t="shared" si="104"/>
        <v>6</v>
      </c>
      <c r="I1312" s="14">
        <f t="shared" si="100"/>
        <v>1721.1799999999998</v>
      </c>
      <c r="K1312" t="str">
        <f>[1]!revcom(C1312)</f>
        <v>TGGTGG</v>
      </c>
      <c r="L1312">
        <v>7</v>
      </c>
    </row>
    <row r="1313" spans="1:12" ht="15.6" x14ac:dyDescent="0.3">
      <c r="A1313" s="9">
        <v>1302</v>
      </c>
      <c r="B1313" s="1"/>
      <c r="C1313" s="2" t="s">
        <v>1308</v>
      </c>
      <c r="D1313" s="1"/>
      <c r="E1313" s="11">
        <f t="shared" si="101"/>
        <v>26</v>
      </c>
      <c r="F1313" s="12">
        <f t="shared" si="102"/>
        <v>83.333333333333343</v>
      </c>
      <c r="G1313" s="12" t="str">
        <f t="shared" si="103"/>
        <v>Warning</v>
      </c>
      <c r="H1313" s="13">
        <f t="shared" si="104"/>
        <v>6</v>
      </c>
      <c r="I1313" s="14">
        <f t="shared" si="100"/>
        <v>1697.15</v>
      </c>
      <c r="K1313" t="str">
        <f>[1]!revcom(C1313)</f>
        <v>GGGTGG</v>
      </c>
      <c r="L1313">
        <v>7</v>
      </c>
    </row>
    <row r="1314" spans="1:12" ht="15.6" x14ac:dyDescent="0.3">
      <c r="A1314" s="9">
        <v>1303</v>
      </c>
      <c r="B1314" s="1"/>
      <c r="C1314" s="2" t="s">
        <v>1309</v>
      </c>
      <c r="D1314" s="1"/>
      <c r="E1314" s="11">
        <f t="shared" si="101"/>
        <v>26</v>
      </c>
      <c r="F1314" s="12">
        <f t="shared" si="102"/>
        <v>83.333333333333343</v>
      </c>
      <c r="G1314" s="12" t="str">
        <f t="shared" si="103"/>
        <v>Warning</v>
      </c>
      <c r="H1314" s="13">
        <f t="shared" si="104"/>
        <v>6</v>
      </c>
      <c r="I1314" s="14">
        <f t="shared" si="100"/>
        <v>1737.1799999999998</v>
      </c>
      <c r="K1314" t="str">
        <f>[1]!revcom(C1314)</f>
        <v>CGGTGG</v>
      </c>
      <c r="L1314">
        <v>7</v>
      </c>
    </row>
    <row r="1315" spans="1:12" ht="15.6" x14ac:dyDescent="0.3">
      <c r="A1315" s="9">
        <v>1304</v>
      </c>
      <c r="B1315" s="1"/>
      <c r="C1315" s="2" t="s">
        <v>1310</v>
      </c>
      <c r="D1315" s="1"/>
      <c r="E1315" s="11">
        <f t="shared" si="101"/>
        <v>20</v>
      </c>
      <c r="F1315" s="12">
        <f t="shared" si="102"/>
        <v>66.666666666666657</v>
      </c>
      <c r="G1315" s="12" t="str">
        <f t="shared" si="103"/>
        <v>Warning</v>
      </c>
      <c r="H1315" s="13">
        <f t="shared" si="104"/>
        <v>6</v>
      </c>
      <c r="I1315" s="14">
        <f t="shared" si="100"/>
        <v>1712.1599999999999</v>
      </c>
      <c r="K1315" t="str">
        <f>[1]!revcom(C1315)</f>
        <v>AGGTGG</v>
      </c>
      <c r="L1315">
        <v>6</v>
      </c>
    </row>
    <row r="1316" spans="1:12" ht="15.6" x14ac:dyDescent="0.3">
      <c r="A1316" s="9">
        <v>1305</v>
      </c>
      <c r="B1316" s="1"/>
      <c r="C1316" s="2" t="s">
        <v>1311</v>
      </c>
      <c r="D1316" s="1"/>
      <c r="E1316" s="11">
        <f t="shared" si="101"/>
        <v>28</v>
      </c>
      <c r="F1316" s="12">
        <f t="shared" si="102"/>
        <v>66.666666666666657</v>
      </c>
      <c r="G1316" s="12" t="str">
        <f t="shared" si="103"/>
        <v>Warning</v>
      </c>
      <c r="H1316" s="13">
        <f t="shared" si="104"/>
        <v>6</v>
      </c>
      <c r="I1316" s="14">
        <f t="shared" si="100"/>
        <v>1761.21</v>
      </c>
      <c r="K1316" t="str">
        <f>[1]!revcom(C1316)</f>
        <v>TCGTGG</v>
      </c>
      <c r="L1316">
        <v>7</v>
      </c>
    </row>
    <row r="1317" spans="1:12" ht="15.6" x14ac:dyDescent="0.3">
      <c r="A1317" s="9">
        <v>1306</v>
      </c>
      <c r="B1317" s="1"/>
      <c r="C1317" s="2" t="s">
        <v>1312</v>
      </c>
      <c r="D1317" s="1"/>
      <c r="E1317" s="11">
        <f t="shared" si="101"/>
        <v>26</v>
      </c>
      <c r="F1317" s="12">
        <f t="shared" si="102"/>
        <v>83.333333333333343</v>
      </c>
      <c r="G1317" s="12" t="str">
        <f t="shared" si="103"/>
        <v>Warning</v>
      </c>
      <c r="H1317" s="13">
        <f t="shared" si="104"/>
        <v>6</v>
      </c>
      <c r="I1317" s="14">
        <f t="shared" si="100"/>
        <v>1737.1799999999998</v>
      </c>
      <c r="K1317" t="str">
        <f>[1]!revcom(C1317)</f>
        <v>GCGTGG</v>
      </c>
      <c r="L1317">
        <v>7</v>
      </c>
    </row>
    <row r="1318" spans="1:12" ht="15.6" x14ac:dyDescent="0.3">
      <c r="A1318" s="9">
        <v>1307</v>
      </c>
      <c r="B1318" s="1"/>
      <c r="C1318" s="2" t="s">
        <v>1313</v>
      </c>
      <c r="D1318" s="1"/>
      <c r="E1318" s="11">
        <f t="shared" si="101"/>
        <v>26</v>
      </c>
      <c r="F1318" s="12">
        <f t="shared" si="102"/>
        <v>83.333333333333343</v>
      </c>
      <c r="G1318" s="12" t="str">
        <f t="shared" si="103"/>
        <v>Warning</v>
      </c>
      <c r="H1318" s="13">
        <f t="shared" si="104"/>
        <v>6</v>
      </c>
      <c r="I1318" s="14">
        <f t="shared" si="100"/>
        <v>1777.21</v>
      </c>
      <c r="K1318" t="str">
        <f>[1]!revcom(C1318)</f>
        <v>CCGTGG</v>
      </c>
      <c r="L1318">
        <v>7</v>
      </c>
    </row>
    <row r="1319" spans="1:12" ht="15.6" x14ac:dyDescent="0.3">
      <c r="A1319" s="9">
        <v>1308</v>
      </c>
      <c r="B1319" s="1"/>
      <c r="C1319" s="2" t="s">
        <v>1314</v>
      </c>
      <c r="D1319" s="1"/>
      <c r="E1319" s="11">
        <f t="shared" si="101"/>
        <v>20</v>
      </c>
      <c r="F1319" s="12">
        <f t="shared" si="102"/>
        <v>66.666666666666657</v>
      </c>
      <c r="G1319" s="12" t="str">
        <f t="shared" si="103"/>
        <v>Warning</v>
      </c>
      <c r="H1319" s="13">
        <f t="shared" si="104"/>
        <v>6</v>
      </c>
      <c r="I1319" s="14">
        <f t="shared" si="100"/>
        <v>1752.19</v>
      </c>
      <c r="K1319" t="str">
        <f>[1]!revcom(C1319)</f>
        <v>ACGTGG</v>
      </c>
      <c r="L1319">
        <v>6</v>
      </c>
    </row>
    <row r="1320" spans="1:12" ht="15.6" x14ac:dyDescent="0.3">
      <c r="A1320" s="9">
        <v>1309</v>
      </c>
      <c r="B1320" s="1"/>
      <c r="C1320" s="2" t="s">
        <v>1315</v>
      </c>
      <c r="D1320" s="1"/>
      <c r="E1320" s="11">
        <f t="shared" si="101"/>
        <v>22</v>
      </c>
      <c r="F1320" s="12">
        <f t="shared" si="102"/>
        <v>50</v>
      </c>
      <c r="G1320" s="12" t="str">
        <f t="shared" si="103"/>
        <v>OK</v>
      </c>
      <c r="H1320" s="13">
        <f t="shared" si="104"/>
        <v>6</v>
      </c>
      <c r="I1320" s="14">
        <f t="shared" si="100"/>
        <v>1736.19</v>
      </c>
      <c r="K1320" t="str">
        <f>[1]!revcom(C1320)</f>
        <v>TAGTGG</v>
      </c>
      <c r="L1320">
        <v>6</v>
      </c>
    </row>
    <row r="1321" spans="1:12" ht="15.6" x14ac:dyDescent="0.3">
      <c r="A1321" s="9">
        <v>1310</v>
      </c>
      <c r="B1321" s="1"/>
      <c r="C1321" s="2" t="s">
        <v>1316</v>
      </c>
      <c r="D1321" s="1"/>
      <c r="E1321" s="11">
        <f t="shared" si="101"/>
        <v>20</v>
      </c>
      <c r="F1321" s="12">
        <f t="shared" si="102"/>
        <v>66.666666666666657</v>
      </c>
      <c r="G1321" s="12" t="str">
        <f t="shared" si="103"/>
        <v>Warning</v>
      </c>
      <c r="H1321" s="13">
        <f t="shared" si="104"/>
        <v>6</v>
      </c>
      <c r="I1321" s="14">
        <f t="shared" si="100"/>
        <v>1712.1599999999999</v>
      </c>
      <c r="K1321" t="str">
        <f>[1]!revcom(C1321)</f>
        <v>GAGTGG</v>
      </c>
      <c r="L1321">
        <v>6</v>
      </c>
    </row>
    <row r="1322" spans="1:12" ht="15.6" x14ac:dyDescent="0.3">
      <c r="A1322" s="9">
        <v>1311</v>
      </c>
      <c r="B1322" s="1"/>
      <c r="C1322" s="2" t="s">
        <v>1317</v>
      </c>
      <c r="D1322" s="1"/>
      <c r="E1322" s="11">
        <f t="shared" si="101"/>
        <v>20</v>
      </c>
      <c r="F1322" s="12">
        <f t="shared" si="102"/>
        <v>66.666666666666657</v>
      </c>
      <c r="G1322" s="12" t="str">
        <f t="shared" si="103"/>
        <v>Warning</v>
      </c>
      <c r="H1322" s="13">
        <f t="shared" si="104"/>
        <v>6</v>
      </c>
      <c r="I1322" s="14">
        <f t="shared" si="100"/>
        <v>1752.19</v>
      </c>
      <c r="K1322" t="str">
        <f>[1]!revcom(C1322)</f>
        <v>CAGTGG</v>
      </c>
      <c r="L1322">
        <v>6</v>
      </c>
    </row>
    <row r="1323" spans="1:12" ht="15.6" x14ac:dyDescent="0.3">
      <c r="A1323" s="9">
        <v>1312</v>
      </c>
      <c r="B1323" s="1"/>
      <c r="C1323" s="2" t="s">
        <v>1318</v>
      </c>
      <c r="D1323" s="1"/>
      <c r="E1323" s="11">
        <f t="shared" si="101"/>
        <v>14</v>
      </c>
      <c r="F1323" s="12">
        <f t="shared" si="102"/>
        <v>50</v>
      </c>
      <c r="G1323" s="12" t="str">
        <f t="shared" si="103"/>
        <v>OK</v>
      </c>
      <c r="H1323" s="13">
        <f t="shared" si="104"/>
        <v>6</v>
      </c>
      <c r="I1323" s="14">
        <f t="shared" si="100"/>
        <v>1727.17</v>
      </c>
      <c r="K1323" t="str">
        <f>[1]!revcom(C1323)</f>
        <v>AAGTGG</v>
      </c>
      <c r="L1323">
        <v>5</v>
      </c>
    </row>
    <row r="1324" spans="1:12" ht="15.6" x14ac:dyDescent="0.3">
      <c r="A1324" s="9">
        <v>1313</v>
      </c>
      <c r="B1324" s="1"/>
      <c r="C1324" s="2" t="s">
        <v>1319</v>
      </c>
      <c r="D1324" s="1"/>
      <c r="E1324" s="11">
        <f t="shared" si="101"/>
        <v>30</v>
      </c>
      <c r="F1324" s="12">
        <f t="shared" si="102"/>
        <v>50</v>
      </c>
      <c r="G1324" s="12" t="str">
        <f t="shared" si="103"/>
        <v>OK</v>
      </c>
      <c r="H1324" s="13">
        <f t="shared" si="104"/>
        <v>6</v>
      </c>
      <c r="I1324" s="14">
        <f t="shared" si="100"/>
        <v>1785.2399999999998</v>
      </c>
      <c r="K1324" t="str">
        <f>[1]!revcom(C1324)</f>
        <v>TTCTGG</v>
      </c>
      <c r="L1324">
        <v>7</v>
      </c>
    </row>
    <row r="1325" spans="1:12" ht="15.6" x14ac:dyDescent="0.3">
      <c r="A1325" s="9">
        <v>1314</v>
      </c>
      <c r="B1325" s="1"/>
      <c r="C1325" s="2" t="s">
        <v>1320</v>
      </c>
      <c r="D1325" s="1"/>
      <c r="E1325" s="11">
        <f t="shared" si="101"/>
        <v>28</v>
      </c>
      <c r="F1325" s="12">
        <f t="shared" si="102"/>
        <v>66.666666666666657</v>
      </c>
      <c r="G1325" s="12" t="str">
        <f t="shared" si="103"/>
        <v>Warning</v>
      </c>
      <c r="H1325" s="13">
        <f t="shared" si="104"/>
        <v>6</v>
      </c>
      <c r="I1325" s="14">
        <f t="shared" si="100"/>
        <v>1761.21</v>
      </c>
      <c r="K1325" t="str">
        <f>[1]!revcom(C1325)</f>
        <v>GTCTGG</v>
      </c>
      <c r="L1325">
        <v>7</v>
      </c>
    </row>
    <row r="1326" spans="1:12" ht="15.6" x14ac:dyDescent="0.3">
      <c r="A1326" s="9">
        <v>1315</v>
      </c>
      <c r="B1326" s="1"/>
      <c r="C1326" s="2" t="s">
        <v>1321</v>
      </c>
      <c r="D1326" s="1"/>
      <c r="E1326" s="11">
        <f t="shared" si="101"/>
        <v>28</v>
      </c>
      <c r="F1326" s="12">
        <f t="shared" si="102"/>
        <v>66.666666666666657</v>
      </c>
      <c r="G1326" s="12" t="str">
        <f t="shared" si="103"/>
        <v>Warning</v>
      </c>
      <c r="H1326" s="13">
        <f t="shared" si="104"/>
        <v>6</v>
      </c>
      <c r="I1326" s="14">
        <f t="shared" si="100"/>
        <v>1801.2399999999998</v>
      </c>
      <c r="K1326" t="str">
        <f>[1]!revcom(C1326)</f>
        <v>CTCTGG</v>
      </c>
      <c r="L1326">
        <v>7</v>
      </c>
    </row>
    <row r="1327" spans="1:12" ht="15.6" x14ac:dyDescent="0.3">
      <c r="A1327" s="9">
        <v>1316</v>
      </c>
      <c r="B1327" s="1"/>
      <c r="C1327" s="2" t="s">
        <v>1322</v>
      </c>
      <c r="D1327" s="1"/>
      <c r="E1327" s="11">
        <f t="shared" si="101"/>
        <v>22</v>
      </c>
      <c r="F1327" s="12">
        <f t="shared" si="102"/>
        <v>50</v>
      </c>
      <c r="G1327" s="12" t="str">
        <f t="shared" si="103"/>
        <v>OK</v>
      </c>
      <c r="H1327" s="13">
        <f t="shared" si="104"/>
        <v>6</v>
      </c>
      <c r="I1327" s="14">
        <f t="shared" si="100"/>
        <v>1776.2199999999998</v>
      </c>
      <c r="K1327" t="str">
        <f>[1]!revcom(C1327)</f>
        <v>ATCTGG</v>
      </c>
      <c r="L1327">
        <v>6</v>
      </c>
    </row>
    <row r="1328" spans="1:12" ht="15.6" x14ac:dyDescent="0.3">
      <c r="A1328" s="9">
        <v>1317</v>
      </c>
      <c r="B1328" s="1"/>
      <c r="C1328" s="2" t="s">
        <v>1323</v>
      </c>
      <c r="D1328" s="1"/>
      <c r="E1328" s="11">
        <f t="shared" si="101"/>
        <v>28</v>
      </c>
      <c r="F1328" s="12">
        <f t="shared" si="102"/>
        <v>66.666666666666657</v>
      </c>
      <c r="G1328" s="12" t="str">
        <f t="shared" si="103"/>
        <v>Warning</v>
      </c>
      <c r="H1328" s="13">
        <f t="shared" si="104"/>
        <v>6</v>
      </c>
      <c r="I1328" s="14">
        <f t="shared" si="100"/>
        <v>1761.21</v>
      </c>
      <c r="K1328" t="str">
        <f>[1]!revcom(C1328)</f>
        <v>TGCTGG</v>
      </c>
      <c r="L1328">
        <v>7</v>
      </c>
    </row>
    <row r="1329" spans="1:12" ht="15.6" x14ac:dyDescent="0.3">
      <c r="A1329" s="9">
        <v>1318</v>
      </c>
      <c r="B1329" s="1"/>
      <c r="C1329" s="2" t="s">
        <v>1324</v>
      </c>
      <c r="D1329" s="1"/>
      <c r="E1329" s="11">
        <f t="shared" si="101"/>
        <v>26</v>
      </c>
      <c r="F1329" s="12">
        <f t="shared" si="102"/>
        <v>83.333333333333343</v>
      </c>
      <c r="G1329" s="12" t="str">
        <f t="shared" si="103"/>
        <v>Warning</v>
      </c>
      <c r="H1329" s="13">
        <f t="shared" si="104"/>
        <v>6</v>
      </c>
      <c r="I1329" s="14">
        <f t="shared" si="100"/>
        <v>1737.1799999999998</v>
      </c>
      <c r="K1329" t="str">
        <f>[1]!revcom(C1329)</f>
        <v>GGCTGG</v>
      </c>
      <c r="L1329">
        <v>7</v>
      </c>
    </row>
    <row r="1330" spans="1:12" ht="15.6" x14ac:dyDescent="0.3">
      <c r="A1330" s="9">
        <v>1319</v>
      </c>
      <c r="B1330" s="1"/>
      <c r="C1330" s="2" t="s">
        <v>1325</v>
      </c>
      <c r="D1330" s="1"/>
      <c r="E1330" s="11">
        <f t="shared" si="101"/>
        <v>26</v>
      </c>
      <c r="F1330" s="12">
        <f t="shared" si="102"/>
        <v>83.333333333333343</v>
      </c>
      <c r="G1330" s="12" t="str">
        <f t="shared" si="103"/>
        <v>Warning</v>
      </c>
      <c r="H1330" s="13">
        <f t="shared" si="104"/>
        <v>6</v>
      </c>
      <c r="I1330" s="14">
        <f t="shared" si="100"/>
        <v>1777.21</v>
      </c>
      <c r="K1330" t="str">
        <f>[1]!revcom(C1330)</f>
        <v>CGCTGG</v>
      </c>
      <c r="L1330">
        <v>7</v>
      </c>
    </row>
    <row r="1331" spans="1:12" ht="15.6" x14ac:dyDescent="0.3">
      <c r="A1331" s="9">
        <v>1320</v>
      </c>
      <c r="B1331" s="1"/>
      <c r="C1331" s="2" t="s">
        <v>1326</v>
      </c>
      <c r="D1331" s="1"/>
      <c r="E1331" s="11">
        <f t="shared" si="101"/>
        <v>20</v>
      </c>
      <c r="F1331" s="12">
        <f t="shared" si="102"/>
        <v>66.666666666666657</v>
      </c>
      <c r="G1331" s="12" t="str">
        <f t="shared" si="103"/>
        <v>Warning</v>
      </c>
      <c r="H1331" s="13">
        <f t="shared" si="104"/>
        <v>6</v>
      </c>
      <c r="I1331" s="14">
        <f t="shared" si="100"/>
        <v>1752.19</v>
      </c>
      <c r="K1331" t="str">
        <f>[1]!revcom(C1331)</f>
        <v>AGCTGG</v>
      </c>
      <c r="L1331">
        <v>6</v>
      </c>
    </row>
    <row r="1332" spans="1:12" ht="15.6" x14ac:dyDescent="0.3">
      <c r="A1332" s="9">
        <v>1321</v>
      </c>
      <c r="B1332" s="1"/>
      <c r="C1332" s="2" t="s">
        <v>1327</v>
      </c>
      <c r="D1332" s="1"/>
      <c r="E1332" s="11">
        <f t="shared" si="101"/>
        <v>28</v>
      </c>
      <c r="F1332" s="12">
        <f t="shared" si="102"/>
        <v>66.666666666666657</v>
      </c>
      <c r="G1332" s="12" t="str">
        <f t="shared" si="103"/>
        <v>Warning</v>
      </c>
      <c r="H1332" s="13">
        <f t="shared" si="104"/>
        <v>6</v>
      </c>
      <c r="I1332" s="14">
        <f t="shared" si="100"/>
        <v>1801.2399999999998</v>
      </c>
      <c r="K1332" t="str">
        <f>[1]!revcom(C1332)</f>
        <v>TCCTGG</v>
      </c>
      <c r="L1332">
        <v>7</v>
      </c>
    </row>
    <row r="1333" spans="1:12" ht="15.6" x14ac:dyDescent="0.3">
      <c r="A1333" s="9">
        <v>1322</v>
      </c>
      <c r="B1333" s="1"/>
      <c r="C1333" s="2" t="s">
        <v>1328</v>
      </c>
      <c r="D1333" s="1"/>
      <c r="E1333" s="11">
        <f t="shared" si="101"/>
        <v>26</v>
      </c>
      <c r="F1333" s="12">
        <f t="shared" si="102"/>
        <v>83.333333333333343</v>
      </c>
      <c r="G1333" s="12" t="str">
        <f t="shared" si="103"/>
        <v>Warning</v>
      </c>
      <c r="H1333" s="13">
        <f t="shared" si="104"/>
        <v>6</v>
      </c>
      <c r="I1333" s="14">
        <f t="shared" si="100"/>
        <v>1777.21</v>
      </c>
      <c r="K1333" t="str">
        <f>[1]!revcom(C1333)</f>
        <v>GCCTGG</v>
      </c>
      <c r="L1333">
        <v>7</v>
      </c>
    </row>
    <row r="1334" spans="1:12" ht="15.6" x14ac:dyDescent="0.3">
      <c r="A1334" s="9">
        <v>1323</v>
      </c>
      <c r="B1334" s="1"/>
      <c r="C1334" s="2" t="s">
        <v>1329</v>
      </c>
      <c r="D1334" s="1"/>
      <c r="E1334" s="11">
        <f t="shared" si="101"/>
        <v>26</v>
      </c>
      <c r="F1334" s="12">
        <f t="shared" si="102"/>
        <v>83.333333333333343</v>
      </c>
      <c r="G1334" s="12" t="str">
        <f t="shared" si="103"/>
        <v>Warning</v>
      </c>
      <c r="H1334" s="13">
        <f t="shared" si="104"/>
        <v>6</v>
      </c>
      <c r="I1334" s="14">
        <f t="shared" si="100"/>
        <v>1817.2400000000002</v>
      </c>
      <c r="K1334" t="str">
        <f>[1]!revcom(C1334)</f>
        <v>CCCTGG</v>
      </c>
      <c r="L1334">
        <v>7</v>
      </c>
    </row>
    <row r="1335" spans="1:12" ht="15.6" x14ac:dyDescent="0.3">
      <c r="A1335" s="9">
        <v>1324</v>
      </c>
      <c r="B1335" s="1"/>
      <c r="C1335" s="2" t="s">
        <v>1330</v>
      </c>
      <c r="D1335" s="1"/>
      <c r="E1335" s="11">
        <f t="shared" si="101"/>
        <v>20</v>
      </c>
      <c r="F1335" s="12">
        <f t="shared" si="102"/>
        <v>66.666666666666657</v>
      </c>
      <c r="G1335" s="12" t="str">
        <f t="shared" si="103"/>
        <v>Warning</v>
      </c>
      <c r="H1335" s="13">
        <f t="shared" si="104"/>
        <v>6</v>
      </c>
      <c r="I1335" s="14">
        <f t="shared" si="100"/>
        <v>1792.2199999999998</v>
      </c>
      <c r="K1335" t="str">
        <f>[1]!revcom(C1335)</f>
        <v>ACCTGG</v>
      </c>
      <c r="L1335">
        <v>6</v>
      </c>
    </row>
    <row r="1336" spans="1:12" ht="15.6" x14ac:dyDescent="0.3">
      <c r="A1336" s="9">
        <v>1325</v>
      </c>
      <c r="B1336" s="1"/>
      <c r="C1336" s="2" t="s">
        <v>1331</v>
      </c>
      <c r="D1336" s="1"/>
      <c r="E1336" s="11">
        <f t="shared" si="101"/>
        <v>22</v>
      </c>
      <c r="F1336" s="12">
        <f t="shared" si="102"/>
        <v>50</v>
      </c>
      <c r="G1336" s="12" t="str">
        <f t="shared" si="103"/>
        <v>OK</v>
      </c>
      <c r="H1336" s="13">
        <f t="shared" si="104"/>
        <v>6</v>
      </c>
      <c r="I1336" s="14">
        <f t="shared" si="100"/>
        <v>1776.2199999999998</v>
      </c>
      <c r="K1336" t="str">
        <f>[1]!revcom(C1336)</f>
        <v>TACTGG</v>
      </c>
      <c r="L1336">
        <v>6</v>
      </c>
    </row>
    <row r="1337" spans="1:12" ht="15.6" x14ac:dyDescent="0.3">
      <c r="A1337" s="9">
        <v>1326</v>
      </c>
      <c r="B1337" s="1"/>
      <c r="C1337" s="2" t="s">
        <v>1332</v>
      </c>
      <c r="D1337" s="1"/>
      <c r="E1337" s="11">
        <f t="shared" si="101"/>
        <v>20</v>
      </c>
      <c r="F1337" s="12">
        <f t="shared" si="102"/>
        <v>66.666666666666657</v>
      </c>
      <c r="G1337" s="12" t="str">
        <f t="shared" si="103"/>
        <v>Warning</v>
      </c>
      <c r="H1337" s="13">
        <f t="shared" si="104"/>
        <v>6</v>
      </c>
      <c r="I1337" s="14">
        <f t="shared" si="100"/>
        <v>1752.19</v>
      </c>
      <c r="K1337" t="str">
        <f>[1]!revcom(C1337)</f>
        <v>GACTGG</v>
      </c>
      <c r="L1337">
        <v>6</v>
      </c>
    </row>
    <row r="1338" spans="1:12" ht="15.6" x14ac:dyDescent="0.3">
      <c r="A1338" s="9">
        <v>1327</v>
      </c>
      <c r="B1338" s="1"/>
      <c r="C1338" s="2" t="s">
        <v>1333</v>
      </c>
      <c r="D1338" s="1"/>
      <c r="E1338" s="11">
        <f t="shared" si="101"/>
        <v>20</v>
      </c>
      <c r="F1338" s="12">
        <f t="shared" si="102"/>
        <v>66.666666666666657</v>
      </c>
      <c r="G1338" s="12" t="str">
        <f t="shared" si="103"/>
        <v>Warning</v>
      </c>
      <c r="H1338" s="13">
        <f t="shared" si="104"/>
        <v>6</v>
      </c>
      <c r="I1338" s="14">
        <f t="shared" si="100"/>
        <v>1792.2199999999998</v>
      </c>
      <c r="K1338" t="str">
        <f>[1]!revcom(C1338)</f>
        <v>CACTGG</v>
      </c>
      <c r="L1338">
        <v>6</v>
      </c>
    </row>
    <row r="1339" spans="1:12" ht="15.6" x14ac:dyDescent="0.3">
      <c r="A1339" s="9">
        <v>1328</v>
      </c>
      <c r="B1339" s="1"/>
      <c r="C1339" s="2" t="s">
        <v>1334</v>
      </c>
      <c r="D1339" s="1"/>
      <c r="E1339" s="11">
        <f t="shared" si="101"/>
        <v>14</v>
      </c>
      <c r="F1339" s="12">
        <f t="shared" si="102"/>
        <v>50</v>
      </c>
      <c r="G1339" s="12" t="str">
        <f t="shared" si="103"/>
        <v>OK</v>
      </c>
      <c r="H1339" s="13">
        <f t="shared" si="104"/>
        <v>6</v>
      </c>
      <c r="I1339" s="14">
        <f t="shared" si="100"/>
        <v>1767.1999999999998</v>
      </c>
      <c r="K1339" t="str">
        <f>[1]!revcom(C1339)</f>
        <v>AACTGG</v>
      </c>
      <c r="L1339">
        <v>5</v>
      </c>
    </row>
    <row r="1340" spans="1:12" ht="15.6" x14ac:dyDescent="0.3">
      <c r="A1340" s="9">
        <v>1329</v>
      </c>
      <c r="B1340" s="1"/>
      <c r="C1340" s="2" t="s">
        <v>1335</v>
      </c>
      <c r="D1340" s="1"/>
      <c r="E1340" s="11">
        <f t="shared" si="101"/>
        <v>24</v>
      </c>
      <c r="F1340" s="12">
        <f t="shared" si="102"/>
        <v>33.333333333333329</v>
      </c>
      <c r="G1340" s="12" t="str">
        <f t="shared" si="103"/>
        <v>OK</v>
      </c>
      <c r="H1340" s="13">
        <f t="shared" si="104"/>
        <v>6</v>
      </c>
      <c r="I1340" s="14">
        <f t="shared" si="100"/>
        <v>1760.2199999999998</v>
      </c>
      <c r="K1340" t="str">
        <f>[1]!revcom(C1340)</f>
        <v>TTATGG</v>
      </c>
      <c r="L1340">
        <v>6</v>
      </c>
    </row>
    <row r="1341" spans="1:12" ht="15.6" x14ac:dyDescent="0.3">
      <c r="A1341" s="9">
        <v>1330</v>
      </c>
      <c r="B1341" s="1"/>
      <c r="C1341" s="2" t="s">
        <v>1336</v>
      </c>
      <c r="D1341" s="1"/>
      <c r="E1341" s="11">
        <f t="shared" si="101"/>
        <v>22</v>
      </c>
      <c r="F1341" s="12">
        <f t="shared" si="102"/>
        <v>50</v>
      </c>
      <c r="G1341" s="12" t="str">
        <f t="shared" si="103"/>
        <v>OK</v>
      </c>
      <c r="H1341" s="13">
        <f t="shared" si="104"/>
        <v>6</v>
      </c>
      <c r="I1341" s="14">
        <f t="shared" si="100"/>
        <v>1736.19</v>
      </c>
      <c r="K1341" t="str">
        <f>[1]!revcom(C1341)</f>
        <v>GTATGG</v>
      </c>
      <c r="L1341">
        <v>6</v>
      </c>
    </row>
    <row r="1342" spans="1:12" ht="15.6" x14ac:dyDescent="0.3">
      <c r="A1342" s="9">
        <v>1331</v>
      </c>
      <c r="B1342" s="1"/>
      <c r="C1342" s="2" t="s">
        <v>1337</v>
      </c>
      <c r="D1342" s="1"/>
      <c r="E1342" s="11">
        <f t="shared" si="101"/>
        <v>22</v>
      </c>
      <c r="F1342" s="12">
        <f t="shared" si="102"/>
        <v>50</v>
      </c>
      <c r="G1342" s="12" t="str">
        <f t="shared" si="103"/>
        <v>OK</v>
      </c>
      <c r="H1342" s="13">
        <f t="shared" si="104"/>
        <v>6</v>
      </c>
      <c r="I1342" s="14">
        <f t="shared" si="100"/>
        <v>1776.2199999999998</v>
      </c>
      <c r="K1342" t="str">
        <f>[1]!revcom(C1342)</f>
        <v>CTATGG</v>
      </c>
      <c r="L1342">
        <v>6</v>
      </c>
    </row>
    <row r="1343" spans="1:12" ht="15.6" x14ac:dyDescent="0.3">
      <c r="A1343" s="9">
        <v>1332</v>
      </c>
      <c r="B1343" s="1"/>
      <c r="C1343" s="2" t="s">
        <v>1338</v>
      </c>
      <c r="D1343" s="1"/>
      <c r="E1343" s="11">
        <f t="shared" si="101"/>
        <v>16</v>
      </c>
      <c r="F1343" s="12">
        <f t="shared" si="102"/>
        <v>33.333333333333329</v>
      </c>
      <c r="G1343" s="12" t="str">
        <f t="shared" si="103"/>
        <v>OK</v>
      </c>
      <c r="H1343" s="13">
        <f t="shared" si="104"/>
        <v>6</v>
      </c>
      <c r="I1343" s="14">
        <f t="shared" si="100"/>
        <v>1751.1999999999998</v>
      </c>
      <c r="K1343" t="str">
        <f>[1]!revcom(C1343)</f>
        <v>ATATGG</v>
      </c>
      <c r="L1343">
        <v>5</v>
      </c>
    </row>
    <row r="1344" spans="1:12" ht="15.6" x14ac:dyDescent="0.3">
      <c r="A1344" s="9">
        <v>1333</v>
      </c>
      <c r="B1344" s="1"/>
      <c r="C1344" s="2" t="s">
        <v>1339</v>
      </c>
      <c r="D1344" s="1"/>
      <c r="E1344" s="11">
        <f t="shared" si="101"/>
        <v>22</v>
      </c>
      <c r="F1344" s="12">
        <f t="shared" si="102"/>
        <v>50</v>
      </c>
      <c r="G1344" s="12" t="str">
        <f t="shared" si="103"/>
        <v>OK</v>
      </c>
      <c r="H1344" s="13">
        <f t="shared" si="104"/>
        <v>6</v>
      </c>
      <c r="I1344" s="14">
        <f t="shared" si="100"/>
        <v>1736.19</v>
      </c>
      <c r="K1344" t="str">
        <f>[1]!revcom(C1344)</f>
        <v>TGATGG</v>
      </c>
      <c r="L1344">
        <v>6</v>
      </c>
    </row>
    <row r="1345" spans="1:12" ht="15.6" x14ac:dyDescent="0.3">
      <c r="A1345" s="9">
        <v>1334</v>
      </c>
      <c r="B1345" s="1"/>
      <c r="C1345" s="2" t="s">
        <v>1340</v>
      </c>
      <c r="D1345" s="1"/>
      <c r="E1345" s="11">
        <f t="shared" si="101"/>
        <v>20</v>
      </c>
      <c r="F1345" s="12">
        <f t="shared" si="102"/>
        <v>66.666666666666657</v>
      </c>
      <c r="G1345" s="12" t="str">
        <f t="shared" si="103"/>
        <v>Warning</v>
      </c>
      <c r="H1345" s="13">
        <f t="shared" si="104"/>
        <v>6</v>
      </c>
      <c r="I1345" s="14">
        <f t="shared" si="100"/>
        <v>1712.1599999999999</v>
      </c>
      <c r="K1345" t="str">
        <f>[1]!revcom(C1345)</f>
        <v>GGATGG</v>
      </c>
      <c r="L1345">
        <v>6</v>
      </c>
    </row>
    <row r="1346" spans="1:12" ht="15.6" x14ac:dyDescent="0.3">
      <c r="A1346" s="9">
        <v>1335</v>
      </c>
      <c r="B1346" s="1"/>
      <c r="C1346" s="2" t="s">
        <v>1341</v>
      </c>
      <c r="D1346" s="1"/>
      <c r="E1346" s="11">
        <f t="shared" si="101"/>
        <v>20</v>
      </c>
      <c r="F1346" s="12">
        <f t="shared" si="102"/>
        <v>66.666666666666657</v>
      </c>
      <c r="G1346" s="12" t="str">
        <f t="shared" si="103"/>
        <v>Warning</v>
      </c>
      <c r="H1346" s="13">
        <f t="shared" si="104"/>
        <v>6</v>
      </c>
      <c r="I1346" s="14">
        <f t="shared" si="100"/>
        <v>1752.19</v>
      </c>
      <c r="K1346" t="str">
        <f>[1]!revcom(C1346)</f>
        <v>CGATGG</v>
      </c>
      <c r="L1346">
        <v>6</v>
      </c>
    </row>
    <row r="1347" spans="1:12" ht="15.6" x14ac:dyDescent="0.3">
      <c r="A1347" s="9">
        <v>1336</v>
      </c>
      <c r="B1347" s="1"/>
      <c r="C1347" s="2" t="s">
        <v>1342</v>
      </c>
      <c r="D1347" s="1"/>
      <c r="E1347" s="11">
        <f t="shared" si="101"/>
        <v>14</v>
      </c>
      <c r="F1347" s="12">
        <f t="shared" si="102"/>
        <v>50</v>
      </c>
      <c r="G1347" s="12" t="str">
        <f t="shared" si="103"/>
        <v>OK</v>
      </c>
      <c r="H1347" s="13">
        <f t="shared" si="104"/>
        <v>6</v>
      </c>
      <c r="I1347" s="14">
        <f t="shared" si="100"/>
        <v>1727.17</v>
      </c>
      <c r="K1347" t="str">
        <f>[1]!revcom(C1347)</f>
        <v>AGATGG</v>
      </c>
      <c r="L1347">
        <v>5</v>
      </c>
    </row>
    <row r="1348" spans="1:12" ht="15.6" x14ac:dyDescent="0.3">
      <c r="A1348" s="9">
        <v>1337</v>
      </c>
      <c r="B1348" s="1"/>
      <c r="C1348" s="2" t="s">
        <v>1343</v>
      </c>
      <c r="D1348" s="1"/>
      <c r="E1348" s="11">
        <f t="shared" si="101"/>
        <v>22</v>
      </c>
      <c r="F1348" s="12">
        <f t="shared" si="102"/>
        <v>50</v>
      </c>
      <c r="G1348" s="12" t="str">
        <f t="shared" si="103"/>
        <v>OK</v>
      </c>
      <c r="H1348" s="13">
        <f t="shared" si="104"/>
        <v>6</v>
      </c>
      <c r="I1348" s="14">
        <f t="shared" si="100"/>
        <v>1776.2199999999998</v>
      </c>
      <c r="K1348" t="str">
        <f>[1]!revcom(C1348)</f>
        <v>TCATGG</v>
      </c>
      <c r="L1348">
        <v>6</v>
      </c>
    </row>
    <row r="1349" spans="1:12" ht="15.6" x14ac:dyDescent="0.3">
      <c r="A1349" s="9">
        <v>1338</v>
      </c>
      <c r="B1349" s="1"/>
      <c r="C1349" s="2" t="s">
        <v>1344</v>
      </c>
      <c r="D1349" s="1"/>
      <c r="E1349" s="11">
        <f t="shared" si="101"/>
        <v>20</v>
      </c>
      <c r="F1349" s="12">
        <f t="shared" si="102"/>
        <v>66.666666666666657</v>
      </c>
      <c r="G1349" s="12" t="str">
        <f t="shared" si="103"/>
        <v>Warning</v>
      </c>
      <c r="H1349" s="13">
        <f t="shared" si="104"/>
        <v>6</v>
      </c>
      <c r="I1349" s="14">
        <f t="shared" si="100"/>
        <v>1752.19</v>
      </c>
      <c r="K1349" t="str">
        <f>[1]!revcom(C1349)</f>
        <v>GCATGG</v>
      </c>
      <c r="L1349">
        <v>6</v>
      </c>
    </row>
    <row r="1350" spans="1:12" ht="15.6" x14ac:dyDescent="0.3">
      <c r="A1350" s="9">
        <v>1339</v>
      </c>
      <c r="B1350" s="1"/>
      <c r="C1350" s="2" t="s">
        <v>1345</v>
      </c>
      <c r="D1350" s="1"/>
      <c r="E1350" s="11">
        <f t="shared" si="101"/>
        <v>20</v>
      </c>
      <c r="F1350" s="12">
        <f t="shared" si="102"/>
        <v>66.666666666666657</v>
      </c>
      <c r="G1350" s="12" t="str">
        <f t="shared" si="103"/>
        <v>Warning</v>
      </c>
      <c r="H1350" s="13">
        <f t="shared" si="104"/>
        <v>6</v>
      </c>
      <c r="I1350" s="14">
        <f t="shared" si="100"/>
        <v>1792.2199999999998</v>
      </c>
      <c r="K1350" t="str">
        <f>[1]!revcom(C1350)</f>
        <v>CCATGG</v>
      </c>
      <c r="L1350">
        <v>6</v>
      </c>
    </row>
    <row r="1351" spans="1:12" ht="15.6" x14ac:dyDescent="0.3">
      <c r="A1351" s="9">
        <v>1340</v>
      </c>
      <c r="B1351" s="1"/>
      <c r="C1351" s="2" t="s">
        <v>1346</v>
      </c>
      <c r="D1351" s="1"/>
      <c r="E1351" s="11">
        <f t="shared" si="101"/>
        <v>14</v>
      </c>
      <c r="F1351" s="12">
        <f t="shared" si="102"/>
        <v>50</v>
      </c>
      <c r="G1351" s="12" t="str">
        <f t="shared" si="103"/>
        <v>OK</v>
      </c>
      <c r="H1351" s="13">
        <f t="shared" si="104"/>
        <v>6</v>
      </c>
      <c r="I1351" s="14">
        <f t="shared" si="100"/>
        <v>1767.1999999999998</v>
      </c>
      <c r="K1351" t="str">
        <f>[1]!revcom(C1351)</f>
        <v>ACATGG</v>
      </c>
      <c r="L1351">
        <v>5</v>
      </c>
    </row>
    <row r="1352" spans="1:12" ht="15.6" x14ac:dyDescent="0.3">
      <c r="A1352" s="9">
        <v>1341</v>
      </c>
      <c r="B1352" s="1"/>
      <c r="C1352" s="2" t="s">
        <v>1347</v>
      </c>
      <c r="D1352" s="1"/>
      <c r="E1352" s="11">
        <f t="shared" si="101"/>
        <v>16</v>
      </c>
      <c r="F1352" s="12">
        <f t="shared" si="102"/>
        <v>33.333333333333329</v>
      </c>
      <c r="G1352" s="12" t="str">
        <f t="shared" si="103"/>
        <v>OK</v>
      </c>
      <c r="H1352" s="13">
        <f t="shared" si="104"/>
        <v>6</v>
      </c>
      <c r="I1352" s="14">
        <f t="shared" si="100"/>
        <v>1751.1999999999998</v>
      </c>
      <c r="K1352" t="str">
        <f>[1]!revcom(C1352)</f>
        <v>TAATGG</v>
      </c>
      <c r="L1352">
        <v>5</v>
      </c>
    </row>
    <row r="1353" spans="1:12" ht="15.6" x14ac:dyDescent="0.3">
      <c r="A1353" s="9">
        <v>1342</v>
      </c>
      <c r="B1353" s="1"/>
      <c r="C1353" s="2" t="s">
        <v>1348</v>
      </c>
      <c r="D1353" s="1"/>
      <c r="E1353" s="11">
        <f t="shared" si="101"/>
        <v>14</v>
      </c>
      <c r="F1353" s="12">
        <f t="shared" si="102"/>
        <v>50</v>
      </c>
      <c r="G1353" s="12" t="str">
        <f t="shared" si="103"/>
        <v>OK</v>
      </c>
      <c r="H1353" s="13">
        <f t="shared" si="104"/>
        <v>6</v>
      </c>
      <c r="I1353" s="14">
        <f t="shared" si="100"/>
        <v>1727.17</v>
      </c>
      <c r="K1353" t="str">
        <f>[1]!revcom(C1353)</f>
        <v>GAATGG</v>
      </c>
      <c r="L1353">
        <v>5</v>
      </c>
    </row>
    <row r="1354" spans="1:12" ht="15.6" x14ac:dyDescent="0.3">
      <c r="A1354" s="9">
        <v>1343</v>
      </c>
      <c r="B1354" s="1"/>
      <c r="C1354" s="2" t="s">
        <v>1349</v>
      </c>
      <c r="D1354" s="1"/>
      <c r="E1354" s="11">
        <f t="shared" si="101"/>
        <v>14</v>
      </c>
      <c r="F1354" s="12">
        <f t="shared" si="102"/>
        <v>50</v>
      </c>
      <c r="G1354" s="12" t="str">
        <f t="shared" si="103"/>
        <v>OK</v>
      </c>
      <c r="H1354" s="13">
        <f t="shared" si="104"/>
        <v>6</v>
      </c>
      <c r="I1354" s="14">
        <f t="shared" si="100"/>
        <v>1767.1999999999998</v>
      </c>
      <c r="K1354" t="str">
        <f>[1]!revcom(C1354)</f>
        <v>CAATGG</v>
      </c>
      <c r="L1354">
        <v>5</v>
      </c>
    </row>
    <row r="1355" spans="1:12" ht="15.6" x14ac:dyDescent="0.3">
      <c r="A1355" s="9">
        <v>1344</v>
      </c>
      <c r="B1355" s="1"/>
      <c r="C1355" s="2" t="s">
        <v>1350</v>
      </c>
      <c r="D1355" s="1"/>
      <c r="E1355" s="11">
        <f t="shared" si="101"/>
        <v>8</v>
      </c>
      <c r="F1355" s="12">
        <f t="shared" si="102"/>
        <v>33.333333333333329</v>
      </c>
      <c r="G1355" s="12" t="str">
        <f t="shared" si="103"/>
        <v>OK</v>
      </c>
      <c r="H1355" s="13">
        <f t="shared" si="104"/>
        <v>6</v>
      </c>
      <c r="I1355" s="14">
        <f t="shared" si="100"/>
        <v>1742.1799999999998</v>
      </c>
      <c r="K1355" t="str">
        <f>[1]!revcom(C1355)</f>
        <v>AAATGG</v>
      </c>
      <c r="L1355">
        <v>4</v>
      </c>
    </row>
    <row r="1356" spans="1:12" ht="15.6" x14ac:dyDescent="0.3">
      <c r="A1356" s="9">
        <v>1345</v>
      </c>
      <c r="B1356" s="1"/>
      <c r="C1356" s="2" t="s">
        <v>1351</v>
      </c>
      <c r="D1356" s="1"/>
      <c r="E1356" s="11">
        <f t="shared" si="101"/>
        <v>30</v>
      </c>
      <c r="F1356" s="12">
        <f t="shared" si="102"/>
        <v>50</v>
      </c>
      <c r="G1356" s="12" t="str">
        <f t="shared" si="103"/>
        <v>OK</v>
      </c>
      <c r="H1356" s="13">
        <f t="shared" si="104"/>
        <v>6</v>
      </c>
      <c r="I1356" s="14">
        <f t="shared" si="100"/>
        <v>1745.21</v>
      </c>
      <c r="K1356" t="str">
        <f>[1]!revcom(C1356)</f>
        <v>TTTGGG</v>
      </c>
      <c r="L1356">
        <v>7</v>
      </c>
    </row>
    <row r="1357" spans="1:12" ht="15.6" x14ac:dyDescent="0.3">
      <c r="A1357" s="9">
        <v>1346</v>
      </c>
      <c r="B1357" s="1"/>
      <c r="C1357" s="2" t="s">
        <v>1352</v>
      </c>
      <c r="D1357" s="1"/>
      <c r="E1357" s="11">
        <f t="shared" si="101"/>
        <v>28</v>
      </c>
      <c r="F1357" s="12">
        <f t="shared" si="102"/>
        <v>66.666666666666657</v>
      </c>
      <c r="G1357" s="12" t="str">
        <f t="shared" si="103"/>
        <v>Warning</v>
      </c>
      <c r="H1357" s="13">
        <f t="shared" si="104"/>
        <v>6</v>
      </c>
      <c r="I1357" s="14">
        <f t="shared" ref="I1357:I1420" si="105">((LEN(C1357)-(LEN(SUBSTITUTE(C1357,"A",""))))*249.23)+((LEN(C1357)-(LEN(SUBSTITUTE(C1357,"T",""))))*240.21)+((LEN(C1357)-(LEN(SUBSTITUTE(C1357,"C",""))))*225.2)+((LEN(C1357)-(LEN(SUBSTITUTE(C1357,"G",""))))*265.23)+(63.98*(LEN(C1357)-1)+(2.02))</f>
        <v>1721.1799999999998</v>
      </c>
      <c r="K1357" t="str">
        <f>[1]!revcom(C1357)</f>
        <v>GTTGGG</v>
      </c>
      <c r="L1357">
        <v>7</v>
      </c>
    </row>
    <row r="1358" spans="1:12" ht="15.6" x14ac:dyDescent="0.3">
      <c r="A1358" s="9">
        <v>1347</v>
      </c>
      <c r="B1358" s="1"/>
      <c r="C1358" s="2" t="s">
        <v>1353</v>
      </c>
      <c r="D1358" s="1"/>
      <c r="E1358" s="11">
        <f t="shared" ref="E1358:E1421" si="106">IF(LEN(C1358)&gt;15,(69.3+((41*((LEN(C1358)-(((LEN(C1358)-(LEN(SUBSTITUTE(C1358,"A",""))))+((LEN(C1358)-(LEN(SUBSTITUTE(C1358,"T","")))))))))/(LEN(C1358)))-(650/(LEN(C1358))))),(2*((LEN(C1358)-(((LEN(C1358)-(LEN(SUBSTITUTE(C1358,"C",""))))+((LEN(C1358)-(LEN(SUBSTITUTE(C1358,"G",""))))))))))+(4*((LEN(C1358)-(((LEN(C1358)-(LEN(SUBSTITUTE(C1358,"T",""))))+((LEN(C1358)-(LEN(SUBSTITUTE(C1358,"T","")))))))))))</f>
        <v>28</v>
      </c>
      <c r="F1358" s="12">
        <f t="shared" ref="F1358:F1421" si="107">((LEN(C1358)- LEN(SUBSTITUTE(C1358,"G","")))+(LEN(C1358)- LEN(SUBSTITUTE(C1358,"C",""))) )/LEN(C1358)*100</f>
        <v>66.666666666666657</v>
      </c>
      <c r="G1358" s="12" t="str">
        <f t="shared" ref="G1358:G1421" si="108">IF((-5+((LEN(SUBSTITUTE(RIGHT(C1358,5),"C","")))+((LEN(SUBSTITUTE(RIGHT(C1358,5),"G",""))))))&gt;=3,"OK","Warning")</f>
        <v>Warning</v>
      </c>
      <c r="H1358" s="13">
        <f t="shared" ref="H1358:H1421" si="109">LEN(C1358)</f>
        <v>6</v>
      </c>
      <c r="I1358" s="14">
        <f t="shared" si="105"/>
        <v>1761.21</v>
      </c>
      <c r="K1358" t="str">
        <f>[1]!revcom(C1358)</f>
        <v>CTTGGG</v>
      </c>
      <c r="L1358">
        <v>7</v>
      </c>
    </row>
    <row r="1359" spans="1:12" ht="15.6" x14ac:dyDescent="0.3">
      <c r="A1359" s="9">
        <v>1348</v>
      </c>
      <c r="B1359" s="1"/>
      <c r="C1359" s="2" t="s">
        <v>1354</v>
      </c>
      <c r="D1359" s="1"/>
      <c r="E1359" s="11">
        <f t="shared" si="106"/>
        <v>22</v>
      </c>
      <c r="F1359" s="12">
        <f t="shared" si="107"/>
        <v>50</v>
      </c>
      <c r="G1359" s="12" t="str">
        <f t="shared" si="108"/>
        <v>OK</v>
      </c>
      <c r="H1359" s="13">
        <f t="shared" si="109"/>
        <v>6</v>
      </c>
      <c r="I1359" s="14">
        <f t="shared" si="105"/>
        <v>1736.19</v>
      </c>
      <c r="K1359" t="str">
        <f>[1]!revcom(C1359)</f>
        <v>ATTGGG</v>
      </c>
      <c r="L1359">
        <v>6</v>
      </c>
    </row>
    <row r="1360" spans="1:12" ht="15.6" x14ac:dyDescent="0.3">
      <c r="A1360" s="9">
        <v>1349</v>
      </c>
      <c r="B1360" s="1"/>
      <c r="C1360" s="2" t="s">
        <v>1355</v>
      </c>
      <c r="D1360" s="1"/>
      <c r="E1360" s="11">
        <f t="shared" si="106"/>
        <v>28</v>
      </c>
      <c r="F1360" s="12">
        <f t="shared" si="107"/>
        <v>66.666666666666657</v>
      </c>
      <c r="G1360" s="12" t="str">
        <f t="shared" si="108"/>
        <v>Warning</v>
      </c>
      <c r="H1360" s="13">
        <f t="shared" si="109"/>
        <v>6</v>
      </c>
      <c r="I1360" s="14">
        <f t="shared" si="105"/>
        <v>1721.1799999999998</v>
      </c>
      <c r="K1360" t="str">
        <f>[1]!revcom(C1360)</f>
        <v>TGTGGG</v>
      </c>
      <c r="L1360">
        <v>7</v>
      </c>
    </row>
    <row r="1361" spans="1:12" ht="15.6" x14ac:dyDescent="0.3">
      <c r="A1361" s="9">
        <v>1350</v>
      </c>
      <c r="B1361" s="1"/>
      <c r="C1361" s="2" t="s">
        <v>1356</v>
      </c>
      <c r="D1361" s="1"/>
      <c r="E1361" s="11">
        <f t="shared" si="106"/>
        <v>26</v>
      </c>
      <c r="F1361" s="12">
        <f t="shared" si="107"/>
        <v>83.333333333333343</v>
      </c>
      <c r="G1361" s="12" t="str">
        <f t="shared" si="108"/>
        <v>Warning</v>
      </c>
      <c r="H1361" s="13">
        <f t="shared" si="109"/>
        <v>6</v>
      </c>
      <c r="I1361" s="14">
        <f t="shared" si="105"/>
        <v>1697.15</v>
      </c>
      <c r="K1361" t="str">
        <f>[1]!revcom(C1361)</f>
        <v>GGTGGG</v>
      </c>
      <c r="L1361">
        <v>7</v>
      </c>
    </row>
    <row r="1362" spans="1:12" ht="15.6" x14ac:dyDescent="0.3">
      <c r="A1362" s="9">
        <v>1351</v>
      </c>
      <c r="B1362" s="1"/>
      <c r="C1362" s="2" t="s">
        <v>1357</v>
      </c>
      <c r="D1362" s="1"/>
      <c r="E1362" s="11">
        <f t="shared" si="106"/>
        <v>26</v>
      </c>
      <c r="F1362" s="12">
        <f t="shared" si="107"/>
        <v>83.333333333333343</v>
      </c>
      <c r="G1362" s="12" t="str">
        <f t="shared" si="108"/>
        <v>Warning</v>
      </c>
      <c r="H1362" s="13">
        <f t="shared" si="109"/>
        <v>6</v>
      </c>
      <c r="I1362" s="14">
        <f t="shared" si="105"/>
        <v>1737.1799999999998</v>
      </c>
      <c r="K1362" t="str">
        <f>[1]!revcom(C1362)</f>
        <v>CGTGGG</v>
      </c>
      <c r="L1362">
        <v>7</v>
      </c>
    </row>
    <row r="1363" spans="1:12" ht="15.6" x14ac:dyDescent="0.3">
      <c r="A1363" s="9">
        <v>1352</v>
      </c>
      <c r="B1363" s="1"/>
      <c r="C1363" s="2" t="s">
        <v>1358</v>
      </c>
      <c r="D1363" s="1"/>
      <c r="E1363" s="11">
        <f t="shared" si="106"/>
        <v>20</v>
      </c>
      <c r="F1363" s="12">
        <f t="shared" si="107"/>
        <v>66.666666666666657</v>
      </c>
      <c r="G1363" s="12" t="str">
        <f t="shared" si="108"/>
        <v>Warning</v>
      </c>
      <c r="H1363" s="13">
        <f t="shared" si="109"/>
        <v>6</v>
      </c>
      <c r="I1363" s="14">
        <f t="shared" si="105"/>
        <v>1712.1599999999999</v>
      </c>
      <c r="K1363" t="str">
        <f>[1]!revcom(C1363)</f>
        <v>AGTGGG</v>
      </c>
      <c r="L1363">
        <v>6</v>
      </c>
    </row>
    <row r="1364" spans="1:12" ht="15.6" x14ac:dyDescent="0.3">
      <c r="A1364" s="9">
        <v>1353</v>
      </c>
      <c r="B1364" s="1"/>
      <c r="C1364" s="2" t="s">
        <v>1359</v>
      </c>
      <c r="D1364" s="1"/>
      <c r="E1364" s="11">
        <f t="shared" si="106"/>
        <v>28</v>
      </c>
      <c r="F1364" s="12">
        <f t="shared" si="107"/>
        <v>66.666666666666657</v>
      </c>
      <c r="G1364" s="12" t="str">
        <f t="shared" si="108"/>
        <v>Warning</v>
      </c>
      <c r="H1364" s="13">
        <f t="shared" si="109"/>
        <v>6</v>
      </c>
      <c r="I1364" s="14">
        <f t="shared" si="105"/>
        <v>1761.21</v>
      </c>
      <c r="K1364" t="str">
        <f>[1]!revcom(C1364)</f>
        <v>TCTGGG</v>
      </c>
      <c r="L1364">
        <v>7</v>
      </c>
    </row>
    <row r="1365" spans="1:12" ht="15.6" x14ac:dyDescent="0.3">
      <c r="A1365" s="9">
        <v>1354</v>
      </c>
      <c r="B1365" s="1"/>
      <c r="C1365" s="2" t="s">
        <v>1360</v>
      </c>
      <c r="D1365" s="1"/>
      <c r="E1365" s="11">
        <f t="shared" si="106"/>
        <v>26</v>
      </c>
      <c r="F1365" s="12">
        <f t="shared" si="107"/>
        <v>83.333333333333343</v>
      </c>
      <c r="G1365" s="12" t="str">
        <f t="shared" si="108"/>
        <v>Warning</v>
      </c>
      <c r="H1365" s="13">
        <f t="shared" si="109"/>
        <v>6</v>
      </c>
      <c r="I1365" s="14">
        <f t="shared" si="105"/>
        <v>1737.1799999999998</v>
      </c>
      <c r="K1365" t="str">
        <f>[1]!revcom(C1365)</f>
        <v>GCTGGG</v>
      </c>
      <c r="L1365">
        <v>7</v>
      </c>
    </row>
    <row r="1366" spans="1:12" ht="15.6" x14ac:dyDescent="0.3">
      <c r="A1366" s="9">
        <v>1355</v>
      </c>
      <c r="B1366" s="1"/>
      <c r="C1366" s="2" t="s">
        <v>1361</v>
      </c>
      <c r="D1366" s="1"/>
      <c r="E1366" s="11">
        <f t="shared" si="106"/>
        <v>26</v>
      </c>
      <c r="F1366" s="12">
        <f t="shared" si="107"/>
        <v>83.333333333333343</v>
      </c>
      <c r="G1366" s="12" t="str">
        <f t="shared" si="108"/>
        <v>Warning</v>
      </c>
      <c r="H1366" s="13">
        <f t="shared" si="109"/>
        <v>6</v>
      </c>
      <c r="I1366" s="14">
        <f t="shared" si="105"/>
        <v>1777.21</v>
      </c>
      <c r="K1366" t="str">
        <f>[1]!revcom(C1366)</f>
        <v>CCTGGG</v>
      </c>
      <c r="L1366">
        <v>7</v>
      </c>
    </row>
    <row r="1367" spans="1:12" ht="15.6" x14ac:dyDescent="0.3">
      <c r="A1367" s="9">
        <v>1356</v>
      </c>
      <c r="B1367" s="1"/>
      <c r="C1367" s="2" t="s">
        <v>1362</v>
      </c>
      <c r="D1367" s="1"/>
      <c r="E1367" s="11">
        <f t="shared" si="106"/>
        <v>20</v>
      </c>
      <c r="F1367" s="12">
        <f t="shared" si="107"/>
        <v>66.666666666666657</v>
      </c>
      <c r="G1367" s="12" t="str">
        <f t="shared" si="108"/>
        <v>Warning</v>
      </c>
      <c r="H1367" s="13">
        <f t="shared" si="109"/>
        <v>6</v>
      </c>
      <c r="I1367" s="14">
        <f t="shared" si="105"/>
        <v>1752.19</v>
      </c>
      <c r="K1367" t="str">
        <f>[1]!revcom(C1367)</f>
        <v>ACTGGG</v>
      </c>
      <c r="L1367">
        <v>6</v>
      </c>
    </row>
    <row r="1368" spans="1:12" ht="15.6" x14ac:dyDescent="0.3">
      <c r="A1368" s="9">
        <v>1357</v>
      </c>
      <c r="B1368" s="1"/>
      <c r="C1368" s="2" t="s">
        <v>1363</v>
      </c>
      <c r="D1368" s="1"/>
      <c r="E1368" s="11">
        <f t="shared" si="106"/>
        <v>22</v>
      </c>
      <c r="F1368" s="12">
        <f t="shared" si="107"/>
        <v>50</v>
      </c>
      <c r="G1368" s="12" t="str">
        <f t="shared" si="108"/>
        <v>OK</v>
      </c>
      <c r="H1368" s="13">
        <f t="shared" si="109"/>
        <v>6</v>
      </c>
      <c r="I1368" s="14">
        <f t="shared" si="105"/>
        <v>1736.19</v>
      </c>
      <c r="K1368" t="str">
        <f>[1]!revcom(C1368)</f>
        <v>TATGGG</v>
      </c>
      <c r="L1368">
        <v>6</v>
      </c>
    </row>
    <row r="1369" spans="1:12" ht="15.6" x14ac:dyDescent="0.3">
      <c r="A1369" s="9">
        <v>1358</v>
      </c>
      <c r="B1369" s="1"/>
      <c r="C1369" s="2" t="s">
        <v>1364</v>
      </c>
      <c r="D1369" s="1"/>
      <c r="E1369" s="11">
        <f t="shared" si="106"/>
        <v>20</v>
      </c>
      <c r="F1369" s="12">
        <f t="shared" si="107"/>
        <v>66.666666666666657</v>
      </c>
      <c r="G1369" s="12" t="str">
        <f t="shared" si="108"/>
        <v>Warning</v>
      </c>
      <c r="H1369" s="13">
        <f t="shared" si="109"/>
        <v>6</v>
      </c>
      <c r="I1369" s="14">
        <f t="shared" si="105"/>
        <v>1712.1599999999999</v>
      </c>
      <c r="K1369" t="str">
        <f>[1]!revcom(C1369)</f>
        <v>GATGGG</v>
      </c>
      <c r="L1369">
        <v>6</v>
      </c>
    </row>
    <row r="1370" spans="1:12" ht="15.6" x14ac:dyDescent="0.3">
      <c r="A1370" s="9">
        <v>1359</v>
      </c>
      <c r="B1370" s="1"/>
      <c r="C1370" s="2" t="s">
        <v>1365</v>
      </c>
      <c r="D1370" s="1"/>
      <c r="E1370" s="11">
        <f t="shared" si="106"/>
        <v>20</v>
      </c>
      <c r="F1370" s="12">
        <f t="shared" si="107"/>
        <v>66.666666666666657</v>
      </c>
      <c r="G1370" s="12" t="str">
        <f t="shared" si="108"/>
        <v>Warning</v>
      </c>
      <c r="H1370" s="13">
        <f t="shared" si="109"/>
        <v>6</v>
      </c>
      <c r="I1370" s="14">
        <f t="shared" si="105"/>
        <v>1752.19</v>
      </c>
      <c r="K1370" t="str">
        <f>[1]!revcom(C1370)</f>
        <v>CATGGG</v>
      </c>
      <c r="L1370">
        <v>6</v>
      </c>
    </row>
    <row r="1371" spans="1:12" ht="15.6" x14ac:dyDescent="0.3">
      <c r="A1371" s="9">
        <v>1360</v>
      </c>
      <c r="B1371" s="1"/>
      <c r="C1371" s="2" t="s">
        <v>1366</v>
      </c>
      <c r="D1371" s="1"/>
      <c r="E1371" s="11">
        <f t="shared" si="106"/>
        <v>14</v>
      </c>
      <c r="F1371" s="12">
        <f t="shared" si="107"/>
        <v>50</v>
      </c>
      <c r="G1371" s="12" t="str">
        <f t="shared" si="108"/>
        <v>OK</v>
      </c>
      <c r="H1371" s="13">
        <f t="shared" si="109"/>
        <v>6</v>
      </c>
      <c r="I1371" s="14">
        <f t="shared" si="105"/>
        <v>1727.17</v>
      </c>
      <c r="K1371" t="str">
        <f>[1]!revcom(C1371)</f>
        <v>AATGGG</v>
      </c>
      <c r="L1371">
        <v>5</v>
      </c>
    </row>
    <row r="1372" spans="1:12" ht="15.6" x14ac:dyDescent="0.3">
      <c r="A1372" s="9">
        <v>1361</v>
      </c>
      <c r="B1372" s="1"/>
      <c r="C1372" s="2" t="s">
        <v>1367</v>
      </c>
      <c r="D1372" s="1"/>
      <c r="E1372" s="11">
        <f t="shared" si="106"/>
        <v>28</v>
      </c>
      <c r="F1372" s="12">
        <f t="shared" si="107"/>
        <v>66.666666666666657</v>
      </c>
      <c r="G1372" s="12" t="str">
        <f t="shared" si="108"/>
        <v>Warning</v>
      </c>
      <c r="H1372" s="13">
        <f t="shared" si="109"/>
        <v>6</v>
      </c>
      <c r="I1372" s="14">
        <f t="shared" si="105"/>
        <v>1721.1799999999998</v>
      </c>
      <c r="K1372" t="str">
        <f>[1]!revcom(C1372)</f>
        <v>TTGGGG</v>
      </c>
      <c r="L1372">
        <v>7</v>
      </c>
    </row>
    <row r="1373" spans="1:12" ht="15.6" x14ac:dyDescent="0.3">
      <c r="A1373" s="9">
        <v>1362</v>
      </c>
      <c r="B1373" s="1"/>
      <c r="C1373" s="2" t="s">
        <v>1368</v>
      </c>
      <c r="D1373" s="1"/>
      <c r="E1373" s="11">
        <f t="shared" si="106"/>
        <v>26</v>
      </c>
      <c r="F1373" s="12">
        <f t="shared" si="107"/>
        <v>83.333333333333343</v>
      </c>
      <c r="G1373" s="12" t="str">
        <f t="shared" si="108"/>
        <v>Warning</v>
      </c>
      <c r="H1373" s="13">
        <f t="shared" si="109"/>
        <v>6</v>
      </c>
      <c r="I1373" s="14">
        <f t="shared" si="105"/>
        <v>1697.15</v>
      </c>
      <c r="K1373" t="str">
        <f>[1]!revcom(C1373)</f>
        <v>GTGGGG</v>
      </c>
      <c r="L1373">
        <v>7</v>
      </c>
    </row>
    <row r="1374" spans="1:12" ht="15.6" x14ac:dyDescent="0.3">
      <c r="A1374" s="9">
        <v>1363</v>
      </c>
      <c r="B1374" s="1"/>
      <c r="C1374" s="2" t="s">
        <v>1369</v>
      </c>
      <c r="D1374" s="1"/>
      <c r="E1374" s="11">
        <f t="shared" si="106"/>
        <v>26</v>
      </c>
      <c r="F1374" s="12">
        <f t="shared" si="107"/>
        <v>83.333333333333343</v>
      </c>
      <c r="G1374" s="12" t="str">
        <f t="shared" si="108"/>
        <v>Warning</v>
      </c>
      <c r="H1374" s="13">
        <f t="shared" si="109"/>
        <v>6</v>
      </c>
      <c r="I1374" s="14">
        <f t="shared" si="105"/>
        <v>1737.1799999999998</v>
      </c>
      <c r="K1374" t="str">
        <f>[1]!revcom(C1374)</f>
        <v>CTGGGG</v>
      </c>
      <c r="L1374">
        <v>7</v>
      </c>
    </row>
    <row r="1375" spans="1:12" ht="15.6" x14ac:dyDescent="0.3">
      <c r="A1375" s="9">
        <v>1364</v>
      </c>
      <c r="B1375" s="1"/>
      <c r="C1375" s="2" t="s">
        <v>1370</v>
      </c>
      <c r="D1375" s="1"/>
      <c r="E1375" s="11">
        <f t="shared" si="106"/>
        <v>20</v>
      </c>
      <c r="F1375" s="12">
        <f t="shared" si="107"/>
        <v>66.666666666666657</v>
      </c>
      <c r="G1375" s="12" t="str">
        <f t="shared" si="108"/>
        <v>Warning</v>
      </c>
      <c r="H1375" s="13">
        <f t="shared" si="109"/>
        <v>6</v>
      </c>
      <c r="I1375" s="14">
        <f t="shared" si="105"/>
        <v>1712.1599999999999</v>
      </c>
      <c r="K1375" t="str">
        <f>[1]!revcom(C1375)</f>
        <v>ATGGGG</v>
      </c>
      <c r="L1375">
        <v>6</v>
      </c>
    </row>
    <row r="1376" spans="1:12" ht="15.6" x14ac:dyDescent="0.3">
      <c r="A1376" s="9">
        <v>1365</v>
      </c>
      <c r="B1376" s="1"/>
      <c r="C1376" s="2" t="s">
        <v>1371</v>
      </c>
      <c r="D1376" s="1"/>
      <c r="E1376" s="11">
        <f t="shared" si="106"/>
        <v>26</v>
      </c>
      <c r="F1376" s="12">
        <f t="shared" si="107"/>
        <v>83.333333333333343</v>
      </c>
      <c r="G1376" s="12" t="str">
        <f t="shared" si="108"/>
        <v>Warning</v>
      </c>
      <c r="H1376" s="13">
        <f t="shared" si="109"/>
        <v>6</v>
      </c>
      <c r="I1376" s="14">
        <f t="shared" si="105"/>
        <v>1697.15</v>
      </c>
      <c r="K1376" t="str">
        <f>[1]!revcom(C1376)</f>
        <v>TGGGGG</v>
      </c>
      <c r="L1376">
        <v>7</v>
      </c>
    </row>
    <row r="1377" spans="1:12" ht="15.6" x14ac:dyDescent="0.3">
      <c r="A1377" s="9">
        <v>1366</v>
      </c>
      <c r="B1377" s="1"/>
      <c r="C1377" s="2" t="s">
        <v>1372</v>
      </c>
      <c r="D1377" s="1"/>
      <c r="E1377" s="11">
        <f t="shared" si="106"/>
        <v>24</v>
      </c>
      <c r="F1377" s="12">
        <f t="shared" si="107"/>
        <v>100</v>
      </c>
      <c r="G1377" s="12" t="str">
        <f t="shared" si="108"/>
        <v>Warning</v>
      </c>
      <c r="H1377" s="13">
        <f t="shared" si="109"/>
        <v>6</v>
      </c>
      <c r="I1377" s="14">
        <f t="shared" si="105"/>
        <v>1673.12</v>
      </c>
      <c r="K1377" t="str">
        <f>[1]!revcom(C1377)</f>
        <v>GGGGGG</v>
      </c>
      <c r="L1377">
        <v>6</v>
      </c>
    </row>
    <row r="1378" spans="1:12" ht="15.6" x14ac:dyDescent="0.3">
      <c r="A1378" s="9">
        <v>1367</v>
      </c>
      <c r="B1378" s="1"/>
      <c r="C1378" s="2" t="s">
        <v>1373</v>
      </c>
      <c r="D1378" s="1"/>
      <c r="E1378" s="11">
        <f t="shared" si="106"/>
        <v>24</v>
      </c>
      <c r="F1378" s="12">
        <f t="shared" si="107"/>
        <v>100</v>
      </c>
      <c r="G1378" s="12" t="str">
        <f t="shared" si="108"/>
        <v>Warning</v>
      </c>
      <c r="H1378" s="13">
        <f t="shared" si="109"/>
        <v>6</v>
      </c>
      <c r="I1378" s="14">
        <f t="shared" si="105"/>
        <v>1713.15</v>
      </c>
      <c r="K1378" t="str">
        <f>[1]!revcom(C1378)</f>
        <v>CGGGGG</v>
      </c>
      <c r="L1378">
        <v>6</v>
      </c>
    </row>
    <row r="1379" spans="1:12" ht="15.6" x14ac:dyDescent="0.3">
      <c r="A1379" s="9">
        <v>1368</v>
      </c>
      <c r="B1379" s="1"/>
      <c r="C1379" s="2" t="s">
        <v>1374</v>
      </c>
      <c r="D1379" s="1"/>
      <c r="E1379" s="11">
        <f t="shared" si="106"/>
        <v>18</v>
      </c>
      <c r="F1379" s="12">
        <f t="shared" si="107"/>
        <v>83.333333333333343</v>
      </c>
      <c r="G1379" s="12" t="str">
        <f t="shared" si="108"/>
        <v>Warning</v>
      </c>
      <c r="H1379" s="13">
        <f t="shared" si="109"/>
        <v>6</v>
      </c>
      <c r="I1379" s="14">
        <f t="shared" si="105"/>
        <v>1688.13</v>
      </c>
      <c r="K1379" t="str">
        <f>[1]!revcom(C1379)</f>
        <v>AGGGGG</v>
      </c>
      <c r="L1379">
        <v>5</v>
      </c>
    </row>
    <row r="1380" spans="1:12" ht="15.6" x14ac:dyDescent="0.3">
      <c r="A1380" s="9">
        <v>1369</v>
      </c>
      <c r="B1380" s="1"/>
      <c r="C1380" s="2" t="s">
        <v>1375</v>
      </c>
      <c r="D1380" s="1"/>
      <c r="E1380" s="11">
        <f t="shared" si="106"/>
        <v>26</v>
      </c>
      <c r="F1380" s="12">
        <f t="shared" si="107"/>
        <v>83.333333333333343</v>
      </c>
      <c r="G1380" s="12" t="str">
        <f t="shared" si="108"/>
        <v>Warning</v>
      </c>
      <c r="H1380" s="13">
        <f t="shared" si="109"/>
        <v>6</v>
      </c>
      <c r="I1380" s="14">
        <f t="shared" si="105"/>
        <v>1737.1799999999998</v>
      </c>
      <c r="K1380" t="str">
        <f>[1]!revcom(C1380)</f>
        <v>TCGGGG</v>
      </c>
      <c r="L1380">
        <v>7</v>
      </c>
    </row>
    <row r="1381" spans="1:12" ht="15.6" x14ac:dyDescent="0.3">
      <c r="A1381" s="9">
        <v>1370</v>
      </c>
      <c r="B1381" s="1"/>
      <c r="C1381" s="2" t="s">
        <v>1376</v>
      </c>
      <c r="D1381" s="1"/>
      <c r="E1381" s="11">
        <f t="shared" si="106"/>
        <v>24</v>
      </c>
      <c r="F1381" s="12">
        <f t="shared" si="107"/>
        <v>100</v>
      </c>
      <c r="G1381" s="12" t="str">
        <f t="shared" si="108"/>
        <v>Warning</v>
      </c>
      <c r="H1381" s="13">
        <f t="shared" si="109"/>
        <v>6</v>
      </c>
      <c r="I1381" s="14">
        <f t="shared" si="105"/>
        <v>1713.15</v>
      </c>
      <c r="K1381" t="str">
        <f>[1]!revcom(C1381)</f>
        <v>GCGGGG</v>
      </c>
      <c r="L1381">
        <v>6</v>
      </c>
    </row>
    <row r="1382" spans="1:12" ht="15.6" x14ac:dyDescent="0.3">
      <c r="A1382" s="9">
        <v>1371</v>
      </c>
      <c r="B1382" s="1"/>
      <c r="C1382" s="2" t="s">
        <v>1377</v>
      </c>
      <c r="D1382" s="1"/>
      <c r="E1382" s="11">
        <f t="shared" si="106"/>
        <v>24</v>
      </c>
      <c r="F1382" s="12">
        <f t="shared" si="107"/>
        <v>100</v>
      </c>
      <c r="G1382" s="12" t="str">
        <f t="shared" si="108"/>
        <v>Warning</v>
      </c>
      <c r="H1382" s="13">
        <f t="shared" si="109"/>
        <v>6</v>
      </c>
      <c r="I1382" s="14">
        <f t="shared" si="105"/>
        <v>1753.1799999999998</v>
      </c>
      <c r="K1382" t="str">
        <f>[1]!revcom(C1382)</f>
        <v>CCGGGG</v>
      </c>
      <c r="L1382">
        <v>6</v>
      </c>
    </row>
    <row r="1383" spans="1:12" ht="15.6" x14ac:dyDescent="0.3">
      <c r="A1383" s="9">
        <v>1372</v>
      </c>
      <c r="B1383" s="1"/>
      <c r="C1383" s="2" t="s">
        <v>1378</v>
      </c>
      <c r="D1383" s="1"/>
      <c r="E1383" s="11">
        <f t="shared" si="106"/>
        <v>18</v>
      </c>
      <c r="F1383" s="12">
        <f t="shared" si="107"/>
        <v>83.333333333333343</v>
      </c>
      <c r="G1383" s="12" t="str">
        <f t="shared" si="108"/>
        <v>Warning</v>
      </c>
      <c r="H1383" s="13">
        <f t="shared" si="109"/>
        <v>6</v>
      </c>
      <c r="I1383" s="14">
        <f t="shared" si="105"/>
        <v>1728.1599999999999</v>
      </c>
      <c r="K1383" t="str">
        <f>[1]!revcom(C1383)</f>
        <v>ACGGGG</v>
      </c>
      <c r="L1383">
        <v>5</v>
      </c>
    </row>
    <row r="1384" spans="1:12" ht="15.6" x14ac:dyDescent="0.3">
      <c r="A1384" s="9">
        <v>1373</v>
      </c>
      <c r="B1384" s="1"/>
      <c r="C1384" s="2" t="s">
        <v>1379</v>
      </c>
      <c r="D1384" s="1"/>
      <c r="E1384" s="11">
        <f t="shared" si="106"/>
        <v>20</v>
      </c>
      <c r="F1384" s="12">
        <f t="shared" si="107"/>
        <v>66.666666666666657</v>
      </c>
      <c r="G1384" s="12" t="str">
        <f t="shared" si="108"/>
        <v>Warning</v>
      </c>
      <c r="H1384" s="13">
        <f t="shared" si="109"/>
        <v>6</v>
      </c>
      <c r="I1384" s="14">
        <f t="shared" si="105"/>
        <v>1712.1599999999999</v>
      </c>
      <c r="K1384" t="str">
        <f>[1]!revcom(C1384)</f>
        <v>TAGGGG</v>
      </c>
      <c r="L1384">
        <v>6</v>
      </c>
    </row>
    <row r="1385" spans="1:12" ht="15.6" x14ac:dyDescent="0.3">
      <c r="A1385" s="9">
        <v>1374</v>
      </c>
      <c r="B1385" s="1"/>
      <c r="C1385" s="2" t="s">
        <v>1380</v>
      </c>
      <c r="D1385" s="1"/>
      <c r="E1385" s="11">
        <f t="shared" si="106"/>
        <v>18</v>
      </c>
      <c r="F1385" s="12">
        <f t="shared" si="107"/>
        <v>83.333333333333343</v>
      </c>
      <c r="G1385" s="12" t="str">
        <f t="shared" si="108"/>
        <v>Warning</v>
      </c>
      <c r="H1385" s="13">
        <f t="shared" si="109"/>
        <v>6</v>
      </c>
      <c r="I1385" s="14">
        <f t="shared" si="105"/>
        <v>1688.13</v>
      </c>
      <c r="K1385" t="str">
        <f>[1]!revcom(C1385)</f>
        <v>GAGGGG</v>
      </c>
      <c r="L1385">
        <v>5</v>
      </c>
    </row>
    <row r="1386" spans="1:12" ht="15.6" x14ac:dyDescent="0.3">
      <c r="A1386" s="9">
        <v>1375</v>
      </c>
      <c r="B1386" s="1"/>
      <c r="C1386" s="2" t="s">
        <v>1381</v>
      </c>
      <c r="D1386" s="1"/>
      <c r="E1386" s="11">
        <f t="shared" si="106"/>
        <v>18</v>
      </c>
      <c r="F1386" s="12">
        <f t="shared" si="107"/>
        <v>83.333333333333343</v>
      </c>
      <c r="G1386" s="12" t="str">
        <f t="shared" si="108"/>
        <v>Warning</v>
      </c>
      <c r="H1386" s="13">
        <f t="shared" si="109"/>
        <v>6</v>
      </c>
      <c r="I1386" s="14">
        <f t="shared" si="105"/>
        <v>1728.1599999999999</v>
      </c>
      <c r="K1386" t="str">
        <f>[1]!revcom(C1386)</f>
        <v>CAGGGG</v>
      </c>
      <c r="L1386">
        <v>5</v>
      </c>
    </row>
    <row r="1387" spans="1:12" ht="15.6" x14ac:dyDescent="0.3">
      <c r="A1387" s="9">
        <v>1376</v>
      </c>
      <c r="B1387" s="1"/>
      <c r="C1387" s="2" t="s">
        <v>1382</v>
      </c>
      <c r="D1387" s="1"/>
      <c r="E1387" s="11">
        <f t="shared" si="106"/>
        <v>12</v>
      </c>
      <c r="F1387" s="12">
        <f t="shared" si="107"/>
        <v>66.666666666666657</v>
      </c>
      <c r="G1387" s="12" t="str">
        <f t="shared" si="108"/>
        <v>Warning</v>
      </c>
      <c r="H1387" s="13">
        <f t="shared" si="109"/>
        <v>6</v>
      </c>
      <c r="I1387" s="14">
        <f t="shared" si="105"/>
        <v>1703.1399999999999</v>
      </c>
      <c r="K1387" t="str">
        <f>[1]!revcom(C1387)</f>
        <v>AAGGGG</v>
      </c>
      <c r="L1387">
        <v>4</v>
      </c>
    </row>
    <row r="1388" spans="1:12" ht="15.6" x14ac:dyDescent="0.3">
      <c r="A1388" s="9">
        <v>1377</v>
      </c>
      <c r="B1388" s="1"/>
      <c r="C1388" s="2" t="s">
        <v>1383</v>
      </c>
      <c r="D1388" s="1"/>
      <c r="E1388" s="11">
        <f t="shared" si="106"/>
        <v>28</v>
      </c>
      <c r="F1388" s="12">
        <f t="shared" si="107"/>
        <v>66.666666666666657</v>
      </c>
      <c r="G1388" s="12" t="str">
        <f t="shared" si="108"/>
        <v>Warning</v>
      </c>
      <c r="H1388" s="13">
        <f t="shared" si="109"/>
        <v>6</v>
      </c>
      <c r="I1388" s="14">
        <f t="shared" si="105"/>
        <v>1761.21</v>
      </c>
      <c r="K1388" t="str">
        <f>[1]!revcom(C1388)</f>
        <v>TTCGGG</v>
      </c>
      <c r="L1388">
        <v>7</v>
      </c>
    </row>
    <row r="1389" spans="1:12" ht="15.6" x14ac:dyDescent="0.3">
      <c r="A1389" s="9">
        <v>1378</v>
      </c>
      <c r="B1389" s="1"/>
      <c r="C1389" s="2" t="s">
        <v>1384</v>
      </c>
      <c r="D1389" s="1"/>
      <c r="E1389" s="11">
        <f t="shared" si="106"/>
        <v>26</v>
      </c>
      <c r="F1389" s="12">
        <f t="shared" si="107"/>
        <v>83.333333333333343</v>
      </c>
      <c r="G1389" s="12" t="str">
        <f t="shared" si="108"/>
        <v>Warning</v>
      </c>
      <c r="H1389" s="13">
        <f t="shared" si="109"/>
        <v>6</v>
      </c>
      <c r="I1389" s="14">
        <f t="shared" si="105"/>
        <v>1737.1799999999998</v>
      </c>
      <c r="K1389" t="str">
        <f>[1]!revcom(C1389)</f>
        <v>GTCGGG</v>
      </c>
      <c r="L1389">
        <v>7</v>
      </c>
    </row>
    <row r="1390" spans="1:12" ht="15.6" x14ac:dyDescent="0.3">
      <c r="A1390" s="9">
        <v>1379</v>
      </c>
      <c r="B1390" s="1"/>
      <c r="C1390" s="2" t="s">
        <v>1385</v>
      </c>
      <c r="D1390" s="1"/>
      <c r="E1390" s="11">
        <f t="shared" si="106"/>
        <v>26</v>
      </c>
      <c r="F1390" s="12">
        <f t="shared" si="107"/>
        <v>83.333333333333343</v>
      </c>
      <c r="G1390" s="12" t="str">
        <f t="shared" si="108"/>
        <v>Warning</v>
      </c>
      <c r="H1390" s="13">
        <f t="shared" si="109"/>
        <v>6</v>
      </c>
      <c r="I1390" s="14">
        <f t="shared" si="105"/>
        <v>1777.21</v>
      </c>
      <c r="K1390" t="str">
        <f>[1]!revcom(C1390)</f>
        <v>CTCGGG</v>
      </c>
      <c r="L1390">
        <v>7</v>
      </c>
    </row>
    <row r="1391" spans="1:12" ht="15.6" x14ac:dyDescent="0.3">
      <c r="A1391" s="9">
        <v>1380</v>
      </c>
      <c r="B1391" s="1"/>
      <c r="C1391" s="2" t="s">
        <v>1386</v>
      </c>
      <c r="D1391" s="1"/>
      <c r="E1391" s="11">
        <f t="shared" si="106"/>
        <v>20</v>
      </c>
      <c r="F1391" s="12">
        <f t="shared" si="107"/>
        <v>66.666666666666657</v>
      </c>
      <c r="G1391" s="12" t="str">
        <f t="shared" si="108"/>
        <v>Warning</v>
      </c>
      <c r="H1391" s="13">
        <f t="shared" si="109"/>
        <v>6</v>
      </c>
      <c r="I1391" s="14">
        <f t="shared" si="105"/>
        <v>1752.19</v>
      </c>
      <c r="K1391" t="str">
        <f>[1]!revcom(C1391)</f>
        <v>ATCGGG</v>
      </c>
      <c r="L1391">
        <v>6</v>
      </c>
    </row>
    <row r="1392" spans="1:12" ht="15.6" x14ac:dyDescent="0.3">
      <c r="A1392" s="9">
        <v>1381</v>
      </c>
      <c r="B1392" s="1"/>
      <c r="C1392" s="2" t="s">
        <v>1387</v>
      </c>
      <c r="D1392" s="1"/>
      <c r="E1392" s="11">
        <f t="shared" si="106"/>
        <v>26</v>
      </c>
      <c r="F1392" s="12">
        <f t="shared" si="107"/>
        <v>83.333333333333343</v>
      </c>
      <c r="G1392" s="12" t="str">
        <f t="shared" si="108"/>
        <v>Warning</v>
      </c>
      <c r="H1392" s="13">
        <f t="shared" si="109"/>
        <v>6</v>
      </c>
      <c r="I1392" s="14">
        <f t="shared" si="105"/>
        <v>1737.1799999999998</v>
      </c>
      <c r="K1392" t="str">
        <f>[1]!revcom(C1392)</f>
        <v>TGCGGG</v>
      </c>
      <c r="L1392">
        <v>7</v>
      </c>
    </row>
    <row r="1393" spans="1:12" ht="15.6" x14ac:dyDescent="0.3">
      <c r="A1393" s="9">
        <v>1382</v>
      </c>
      <c r="B1393" s="1"/>
      <c r="C1393" s="2" t="s">
        <v>1388</v>
      </c>
      <c r="D1393" s="1"/>
      <c r="E1393" s="11">
        <f t="shared" si="106"/>
        <v>24</v>
      </c>
      <c r="F1393" s="12">
        <f t="shared" si="107"/>
        <v>100</v>
      </c>
      <c r="G1393" s="12" t="str">
        <f t="shared" si="108"/>
        <v>Warning</v>
      </c>
      <c r="H1393" s="13">
        <f t="shared" si="109"/>
        <v>6</v>
      </c>
      <c r="I1393" s="14">
        <f t="shared" si="105"/>
        <v>1713.15</v>
      </c>
      <c r="K1393" t="str">
        <f>[1]!revcom(C1393)</f>
        <v>GGCGGG</v>
      </c>
      <c r="L1393">
        <v>6</v>
      </c>
    </row>
    <row r="1394" spans="1:12" ht="15.6" x14ac:dyDescent="0.3">
      <c r="A1394" s="9">
        <v>1383</v>
      </c>
      <c r="B1394" s="1"/>
      <c r="C1394" s="2" t="s">
        <v>1389</v>
      </c>
      <c r="D1394" s="1"/>
      <c r="E1394" s="11">
        <f t="shared" si="106"/>
        <v>24</v>
      </c>
      <c r="F1394" s="12">
        <f t="shared" si="107"/>
        <v>100</v>
      </c>
      <c r="G1394" s="12" t="str">
        <f t="shared" si="108"/>
        <v>Warning</v>
      </c>
      <c r="H1394" s="13">
        <f t="shared" si="109"/>
        <v>6</v>
      </c>
      <c r="I1394" s="14">
        <f t="shared" si="105"/>
        <v>1753.1799999999998</v>
      </c>
      <c r="K1394" t="str">
        <f>[1]!revcom(C1394)</f>
        <v>CGCGGG</v>
      </c>
      <c r="L1394">
        <v>6</v>
      </c>
    </row>
    <row r="1395" spans="1:12" ht="15.6" x14ac:dyDescent="0.3">
      <c r="A1395" s="9">
        <v>1384</v>
      </c>
      <c r="B1395" s="1"/>
      <c r="C1395" s="2" t="s">
        <v>1390</v>
      </c>
      <c r="D1395" s="1"/>
      <c r="E1395" s="11">
        <f t="shared" si="106"/>
        <v>18</v>
      </c>
      <c r="F1395" s="12">
        <f t="shared" si="107"/>
        <v>83.333333333333343</v>
      </c>
      <c r="G1395" s="12" t="str">
        <f t="shared" si="108"/>
        <v>Warning</v>
      </c>
      <c r="H1395" s="13">
        <f t="shared" si="109"/>
        <v>6</v>
      </c>
      <c r="I1395" s="14">
        <f t="shared" si="105"/>
        <v>1728.1599999999999</v>
      </c>
      <c r="K1395" t="str">
        <f>[1]!revcom(C1395)</f>
        <v>AGCGGG</v>
      </c>
      <c r="L1395">
        <v>5</v>
      </c>
    </row>
    <row r="1396" spans="1:12" ht="15.6" x14ac:dyDescent="0.3">
      <c r="A1396" s="9">
        <v>1385</v>
      </c>
      <c r="B1396" s="1"/>
      <c r="C1396" s="2" t="s">
        <v>1391</v>
      </c>
      <c r="D1396" s="1"/>
      <c r="E1396" s="11">
        <f t="shared" si="106"/>
        <v>26</v>
      </c>
      <c r="F1396" s="12">
        <f t="shared" si="107"/>
        <v>83.333333333333343</v>
      </c>
      <c r="G1396" s="12" t="str">
        <f t="shared" si="108"/>
        <v>Warning</v>
      </c>
      <c r="H1396" s="13">
        <f t="shared" si="109"/>
        <v>6</v>
      </c>
      <c r="I1396" s="14">
        <f t="shared" si="105"/>
        <v>1777.21</v>
      </c>
      <c r="K1396" t="str">
        <f>[1]!revcom(C1396)</f>
        <v>TCCGGG</v>
      </c>
      <c r="L1396">
        <v>7</v>
      </c>
    </row>
    <row r="1397" spans="1:12" ht="15.6" x14ac:dyDescent="0.3">
      <c r="A1397" s="9">
        <v>1386</v>
      </c>
      <c r="B1397" s="1"/>
      <c r="C1397" s="2" t="s">
        <v>1392</v>
      </c>
      <c r="D1397" s="1"/>
      <c r="E1397" s="11">
        <f t="shared" si="106"/>
        <v>24</v>
      </c>
      <c r="F1397" s="12">
        <f t="shared" si="107"/>
        <v>100</v>
      </c>
      <c r="G1397" s="12" t="str">
        <f t="shared" si="108"/>
        <v>Warning</v>
      </c>
      <c r="H1397" s="13">
        <f t="shared" si="109"/>
        <v>6</v>
      </c>
      <c r="I1397" s="14">
        <f t="shared" si="105"/>
        <v>1753.1799999999998</v>
      </c>
      <c r="K1397" t="str">
        <f>[1]!revcom(C1397)</f>
        <v>GCCGGG</v>
      </c>
      <c r="L1397">
        <v>6</v>
      </c>
    </row>
    <row r="1398" spans="1:12" ht="15.6" x14ac:dyDescent="0.3">
      <c r="A1398" s="9">
        <v>1387</v>
      </c>
      <c r="B1398" s="1"/>
      <c r="C1398" s="2" t="s">
        <v>1393</v>
      </c>
      <c r="D1398" s="1"/>
      <c r="E1398" s="11">
        <f t="shared" si="106"/>
        <v>24</v>
      </c>
      <c r="F1398" s="12">
        <f t="shared" si="107"/>
        <v>100</v>
      </c>
      <c r="G1398" s="12" t="str">
        <f t="shared" si="108"/>
        <v>Warning</v>
      </c>
      <c r="H1398" s="13">
        <f t="shared" si="109"/>
        <v>6</v>
      </c>
      <c r="I1398" s="14">
        <f t="shared" si="105"/>
        <v>1793.21</v>
      </c>
      <c r="K1398" t="str">
        <f>[1]!revcom(C1398)</f>
        <v>CCCGGG</v>
      </c>
      <c r="L1398">
        <v>6</v>
      </c>
    </row>
    <row r="1399" spans="1:12" ht="15.6" x14ac:dyDescent="0.3">
      <c r="A1399" s="9">
        <v>1388</v>
      </c>
      <c r="B1399" s="1"/>
      <c r="C1399" s="2" t="s">
        <v>1394</v>
      </c>
      <c r="D1399" s="1"/>
      <c r="E1399" s="11">
        <f t="shared" si="106"/>
        <v>18</v>
      </c>
      <c r="F1399" s="12">
        <f t="shared" si="107"/>
        <v>83.333333333333343</v>
      </c>
      <c r="G1399" s="12" t="str">
        <f t="shared" si="108"/>
        <v>Warning</v>
      </c>
      <c r="H1399" s="13">
        <f t="shared" si="109"/>
        <v>6</v>
      </c>
      <c r="I1399" s="14">
        <f t="shared" si="105"/>
        <v>1768.19</v>
      </c>
      <c r="K1399" t="str">
        <f>[1]!revcom(C1399)</f>
        <v>ACCGGG</v>
      </c>
      <c r="L1399">
        <v>5</v>
      </c>
    </row>
    <row r="1400" spans="1:12" ht="15.6" x14ac:dyDescent="0.3">
      <c r="A1400" s="9">
        <v>1389</v>
      </c>
      <c r="B1400" s="1"/>
      <c r="C1400" s="2" t="s">
        <v>1395</v>
      </c>
      <c r="D1400" s="1"/>
      <c r="E1400" s="11">
        <f t="shared" si="106"/>
        <v>20</v>
      </c>
      <c r="F1400" s="12">
        <f t="shared" si="107"/>
        <v>66.666666666666657</v>
      </c>
      <c r="G1400" s="12" t="str">
        <f t="shared" si="108"/>
        <v>Warning</v>
      </c>
      <c r="H1400" s="13">
        <f t="shared" si="109"/>
        <v>6</v>
      </c>
      <c r="I1400" s="14">
        <f t="shared" si="105"/>
        <v>1752.19</v>
      </c>
      <c r="K1400" t="str">
        <f>[1]!revcom(C1400)</f>
        <v>TACGGG</v>
      </c>
      <c r="L1400">
        <v>6</v>
      </c>
    </row>
    <row r="1401" spans="1:12" ht="15.6" x14ac:dyDescent="0.3">
      <c r="A1401" s="9">
        <v>1390</v>
      </c>
      <c r="B1401" s="1"/>
      <c r="C1401" s="2" t="s">
        <v>1396</v>
      </c>
      <c r="D1401" s="1"/>
      <c r="E1401" s="11">
        <f t="shared" si="106"/>
        <v>18</v>
      </c>
      <c r="F1401" s="12">
        <f t="shared" si="107"/>
        <v>83.333333333333343</v>
      </c>
      <c r="G1401" s="12" t="str">
        <f t="shared" si="108"/>
        <v>Warning</v>
      </c>
      <c r="H1401" s="13">
        <f t="shared" si="109"/>
        <v>6</v>
      </c>
      <c r="I1401" s="14">
        <f t="shared" si="105"/>
        <v>1728.1599999999999</v>
      </c>
      <c r="K1401" t="str">
        <f>[1]!revcom(C1401)</f>
        <v>GACGGG</v>
      </c>
      <c r="L1401">
        <v>5</v>
      </c>
    </row>
    <row r="1402" spans="1:12" ht="15.6" x14ac:dyDescent="0.3">
      <c r="A1402" s="9">
        <v>1391</v>
      </c>
      <c r="B1402" s="1"/>
      <c r="C1402" s="2" t="s">
        <v>1397</v>
      </c>
      <c r="D1402" s="1"/>
      <c r="E1402" s="11">
        <f t="shared" si="106"/>
        <v>18</v>
      </c>
      <c r="F1402" s="12">
        <f t="shared" si="107"/>
        <v>83.333333333333343</v>
      </c>
      <c r="G1402" s="12" t="str">
        <f t="shared" si="108"/>
        <v>Warning</v>
      </c>
      <c r="H1402" s="13">
        <f t="shared" si="109"/>
        <v>6</v>
      </c>
      <c r="I1402" s="14">
        <f t="shared" si="105"/>
        <v>1768.19</v>
      </c>
      <c r="K1402" t="str">
        <f>[1]!revcom(C1402)</f>
        <v>CACGGG</v>
      </c>
      <c r="L1402">
        <v>5</v>
      </c>
    </row>
    <row r="1403" spans="1:12" ht="15.6" x14ac:dyDescent="0.3">
      <c r="A1403" s="9">
        <v>1392</v>
      </c>
      <c r="B1403" s="1"/>
      <c r="C1403" s="2" t="s">
        <v>1398</v>
      </c>
      <c r="D1403" s="1"/>
      <c r="E1403" s="11">
        <f t="shared" si="106"/>
        <v>12</v>
      </c>
      <c r="F1403" s="12">
        <f t="shared" si="107"/>
        <v>66.666666666666657</v>
      </c>
      <c r="G1403" s="12" t="str">
        <f t="shared" si="108"/>
        <v>Warning</v>
      </c>
      <c r="H1403" s="13">
        <f t="shared" si="109"/>
        <v>6</v>
      </c>
      <c r="I1403" s="14">
        <f t="shared" si="105"/>
        <v>1743.17</v>
      </c>
      <c r="K1403" t="str">
        <f>[1]!revcom(C1403)</f>
        <v>AACGGG</v>
      </c>
      <c r="L1403">
        <v>4</v>
      </c>
    </row>
    <row r="1404" spans="1:12" ht="15.6" x14ac:dyDescent="0.3">
      <c r="A1404" s="9">
        <v>1393</v>
      </c>
      <c r="B1404" s="1"/>
      <c r="C1404" s="2" t="s">
        <v>1399</v>
      </c>
      <c r="D1404" s="1"/>
      <c r="E1404" s="11">
        <f t="shared" si="106"/>
        <v>22</v>
      </c>
      <c r="F1404" s="12">
        <f t="shared" si="107"/>
        <v>50</v>
      </c>
      <c r="G1404" s="12" t="str">
        <f t="shared" si="108"/>
        <v>OK</v>
      </c>
      <c r="H1404" s="13">
        <f t="shared" si="109"/>
        <v>6</v>
      </c>
      <c r="I1404" s="14">
        <f t="shared" si="105"/>
        <v>1736.19</v>
      </c>
      <c r="K1404" t="str">
        <f>[1]!revcom(C1404)</f>
        <v>TTAGGG</v>
      </c>
      <c r="L1404">
        <v>6</v>
      </c>
    </row>
    <row r="1405" spans="1:12" ht="15.6" x14ac:dyDescent="0.3">
      <c r="A1405" s="9">
        <v>1394</v>
      </c>
      <c r="B1405" s="1"/>
      <c r="C1405" s="2" t="s">
        <v>1400</v>
      </c>
      <c r="D1405" s="1"/>
      <c r="E1405" s="11">
        <f t="shared" si="106"/>
        <v>20</v>
      </c>
      <c r="F1405" s="12">
        <f t="shared" si="107"/>
        <v>66.666666666666657</v>
      </c>
      <c r="G1405" s="12" t="str">
        <f t="shared" si="108"/>
        <v>Warning</v>
      </c>
      <c r="H1405" s="13">
        <f t="shared" si="109"/>
        <v>6</v>
      </c>
      <c r="I1405" s="14">
        <f t="shared" si="105"/>
        <v>1712.1599999999999</v>
      </c>
      <c r="K1405" t="str">
        <f>[1]!revcom(C1405)</f>
        <v>GTAGGG</v>
      </c>
      <c r="L1405">
        <v>6</v>
      </c>
    </row>
    <row r="1406" spans="1:12" ht="15.6" x14ac:dyDescent="0.3">
      <c r="A1406" s="9">
        <v>1395</v>
      </c>
      <c r="B1406" s="1"/>
      <c r="C1406" s="2" t="s">
        <v>1401</v>
      </c>
      <c r="D1406" s="1"/>
      <c r="E1406" s="11">
        <f t="shared" si="106"/>
        <v>20</v>
      </c>
      <c r="F1406" s="12">
        <f t="shared" si="107"/>
        <v>66.666666666666657</v>
      </c>
      <c r="G1406" s="12" t="str">
        <f t="shared" si="108"/>
        <v>Warning</v>
      </c>
      <c r="H1406" s="13">
        <f t="shared" si="109"/>
        <v>6</v>
      </c>
      <c r="I1406" s="14">
        <f t="shared" si="105"/>
        <v>1752.19</v>
      </c>
      <c r="K1406" t="str">
        <f>[1]!revcom(C1406)</f>
        <v>CTAGGG</v>
      </c>
      <c r="L1406">
        <v>6</v>
      </c>
    </row>
    <row r="1407" spans="1:12" ht="15.6" x14ac:dyDescent="0.3">
      <c r="A1407" s="9">
        <v>1396</v>
      </c>
      <c r="B1407" s="1"/>
      <c r="C1407" s="2" t="s">
        <v>1402</v>
      </c>
      <c r="D1407" s="1"/>
      <c r="E1407" s="11">
        <f t="shared" si="106"/>
        <v>14</v>
      </c>
      <c r="F1407" s="12">
        <f t="shared" si="107"/>
        <v>50</v>
      </c>
      <c r="G1407" s="12" t="str">
        <f t="shared" si="108"/>
        <v>OK</v>
      </c>
      <c r="H1407" s="13">
        <f t="shared" si="109"/>
        <v>6</v>
      </c>
      <c r="I1407" s="14">
        <f t="shared" si="105"/>
        <v>1727.17</v>
      </c>
      <c r="K1407" t="str">
        <f>[1]!revcom(C1407)</f>
        <v>ATAGGG</v>
      </c>
      <c r="L1407">
        <v>5</v>
      </c>
    </row>
    <row r="1408" spans="1:12" ht="15.6" x14ac:dyDescent="0.3">
      <c r="A1408" s="9">
        <v>1397</v>
      </c>
      <c r="B1408" s="1"/>
      <c r="C1408" s="2" t="s">
        <v>1403</v>
      </c>
      <c r="D1408" s="1"/>
      <c r="E1408" s="11">
        <f t="shared" si="106"/>
        <v>20</v>
      </c>
      <c r="F1408" s="12">
        <f t="shared" si="107"/>
        <v>66.666666666666657</v>
      </c>
      <c r="G1408" s="12" t="str">
        <f t="shared" si="108"/>
        <v>Warning</v>
      </c>
      <c r="H1408" s="13">
        <f t="shared" si="109"/>
        <v>6</v>
      </c>
      <c r="I1408" s="14">
        <f t="shared" si="105"/>
        <v>1712.1599999999999</v>
      </c>
      <c r="K1408" t="str">
        <f>[1]!revcom(C1408)</f>
        <v>TGAGGG</v>
      </c>
      <c r="L1408">
        <v>6</v>
      </c>
    </row>
    <row r="1409" spans="1:12" ht="15.6" x14ac:dyDescent="0.3">
      <c r="A1409" s="9">
        <v>1398</v>
      </c>
      <c r="B1409" s="1"/>
      <c r="C1409" s="2" t="s">
        <v>1404</v>
      </c>
      <c r="D1409" s="1"/>
      <c r="E1409" s="11">
        <f t="shared" si="106"/>
        <v>18</v>
      </c>
      <c r="F1409" s="12">
        <f t="shared" si="107"/>
        <v>83.333333333333343</v>
      </c>
      <c r="G1409" s="12" t="str">
        <f t="shared" si="108"/>
        <v>Warning</v>
      </c>
      <c r="H1409" s="13">
        <f t="shared" si="109"/>
        <v>6</v>
      </c>
      <c r="I1409" s="14">
        <f t="shared" si="105"/>
        <v>1688.13</v>
      </c>
      <c r="K1409" t="str">
        <f>[1]!revcom(C1409)</f>
        <v>GGAGGG</v>
      </c>
      <c r="L1409">
        <v>5</v>
      </c>
    </row>
    <row r="1410" spans="1:12" ht="15.6" x14ac:dyDescent="0.3">
      <c r="A1410" s="9">
        <v>1399</v>
      </c>
      <c r="B1410" s="1"/>
      <c r="C1410" s="2" t="s">
        <v>1405</v>
      </c>
      <c r="D1410" s="1"/>
      <c r="E1410" s="11">
        <f t="shared" si="106"/>
        <v>18</v>
      </c>
      <c r="F1410" s="12">
        <f t="shared" si="107"/>
        <v>83.333333333333343</v>
      </c>
      <c r="G1410" s="12" t="str">
        <f t="shared" si="108"/>
        <v>Warning</v>
      </c>
      <c r="H1410" s="13">
        <f t="shared" si="109"/>
        <v>6</v>
      </c>
      <c r="I1410" s="14">
        <f t="shared" si="105"/>
        <v>1728.1599999999999</v>
      </c>
      <c r="K1410" t="str">
        <f>[1]!revcom(C1410)</f>
        <v>CGAGGG</v>
      </c>
      <c r="L1410">
        <v>5</v>
      </c>
    </row>
    <row r="1411" spans="1:12" ht="15.6" x14ac:dyDescent="0.3">
      <c r="A1411" s="9">
        <v>1400</v>
      </c>
      <c r="B1411" s="1"/>
      <c r="C1411" s="2" t="s">
        <v>1406</v>
      </c>
      <c r="D1411" s="1"/>
      <c r="E1411" s="11">
        <f t="shared" si="106"/>
        <v>12</v>
      </c>
      <c r="F1411" s="12">
        <f t="shared" si="107"/>
        <v>66.666666666666657</v>
      </c>
      <c r="G1411" s="12" t="str">
        <f t="shared" si="108"/>
        <v>Warning</v>
      </c>
      <c r="H1411" s="13">
        <f t="shared" si="109"/>
        <v>6</v>
      </c>
      <c r="I1411" s="14">
        <f t="shared" si="105"/>
        <v>1703.1399999999999</v>
      </c>
      <c r="K1411" t="str">
        <f>[1]!revcom(C1411)</f>
        <v>AGAGGG</v>
      </c>
      <c r="L1411">
        <v>4</v>
      </c>
    </row>
    <row r="1412" spans="1:12" ht="15.6" x14ac:dyDescent="0.3">
      <c r="A1412" s="9">
        <v>1401</v>
      </c>
      <c r="B1412" s="1"/>
      <c r="C1412" s="2" t="s">
        <v>1407</v>
      </c>
      <c r="D1412" s="1"/>
      <c r="E1412" s="11">
        <f t="shared" si="106"/>
        <v>20</v>
      </c>
      <c r="F1412" s="12">
        <f t="shared" si="107"/>
        <v>66.666666666666657</v>
      </c>
      <c r="G1412" s="12" t="str">
        <f t="shared" si="108"/>
        <v>Warning</v>
      </c>
      <c r="H1412" s="13">
        <f t="shared" si="109"/>
        <v>6</v>
      </c>
      <c r="I1412" s="14">
        <f t="shared" si="105"/>
        <v>1752.19</v>
      </c>
      <c r="K1412" t="str">
        <f>[1]!revcom(C1412)</f>
        <v>TCAGGG</v>
      </c>
      <c r="L1412">
        <v>6</v>
      </c>
    </row>
    <row r="1413" spans="1:12" ht="15.6" x14ac:dyDescent="0.3">
      <c r="A1413" s="9">
        <v>1402</v>
      </c>
      <c r="B1413" s="1"/>
      <c r="C1413" s="2" t="s">
        <v>1408</v>
      </c>
      <c r="D1413" s="1"/>
      <c r="E1413" s="11">
        <f t="shared" si="106"/>
        <v>18</v>
      </c>
      <c r="F1413" s="12">
        <f t="shared" si="107"/>
        <v>83.333333333333343</v>
      </c>
      <c r="G1413" s="12" t="str">
        <f t="shared" si="108"/>
        <v>Warning</v>
      </c>
      <c r="H1413" s="13">
        <f t="shared" si="109"/>
        <v>6</v>
      </c>
      <c r="I1413" s="14">
        <f t="shared" si="105"/>
        <v>1728.1599999999999</v>
      </c>
      <c r="K1413" t="str">
        <f>[1]!revcom(C1413)</f>
        <v>GCAGGG</v>
      </c>
      <c r="L1413">
        <v>5</v>
      </c>
    </row>
    <row r="1414" spans="1:12" ht="15.6" x14ac:dyDescent="0.3">
      <c r="A1414" s="9">
        <v>1403</v>
      </c>
      <c r="B1414" s="1"/>
      <c r="C1414" s="2" t="s">
        <v>1409</v>
      </c>
      <c r="D1414" s="1"/>
      <c r="E1414" s="11">
        <f t="shared" si="106"/>
        <v>18</v>
      </c>
      <c r="F1414" s="12">
        <f t="shared" si="107"/>
        <v>83.333333333333343</v>
      </c>
      <c r="G1414" s="12" t="str">
        <f t="shared" si="108"/>
        <v>Warning</v>
      </c>
      <c r="H1414" s="13">
        <f t="shared" si="109"/>
        <v>6</v>
      </c>
      <c r="I1414" s="14">
        <f t="shared" si="105"/>
        <v>1768.19</v>
      </c>
      <c r="K1414" t="str">
        <f>[1]!revcom(C1414)</f>
        <v>CCAGGG</v>
      </c>
      <c r="L1414">
        <v>5</v>
      </c>
    </row>
    <row r="1415" spans="1:12" ht="15.6" x14ac:dyDescent="0.3">
      <c r="A1415" s="9">
        <v>1404</v>
      </c>
      <c r="B1415" s="1"/>
      <c r="C1415" s="2" t="s">
        <v>1410</v>
      </c>
      <c r="D1415" s="1"/>
      <c r="E1415" s="11">
        <f t="shared" si="106"/>
        <v>12</v>
      </c>
      <c r="F1415" s="12">
        <f t="shared" si="107"/>
        <v>66.666666666666657</v>
      </c>
      <c r="G1415" s="12" t="str">
        <f t="shared" si="108"/>
        <v>Warning</v>
      </c>
      <c r="H1415" s="13">
        <f t="shared" si="109"/>
        <v>6</v>
      </c>
      <c r="I1415" s="14">
        <f t="shared" si="105"/>
        <v>1743.17</v>
      </c>
      <c r="K1415" t="str">
        <f>[1]!revcom(C1415)</f>
        <v>ACAGGG</v>
      </c>
      <c r="L1415">
        <v>4</v>
      </c>
    </row>
    <row r="1416" spans="1:12" ht="15.6" x14ac:dyDescent="0.3">
      <c r="A1416" s="9">
        <v>1405</v>
      </c>
      <c r="B1416" s="1"/>
      <c r="C1416" s="2" t="s">
        <v>1411</v>
      </c>
      <c r="D1416" s="1"/>
      <c r="E1416" s="11">
        <f t="shared" si="106"/>
        <v>14</v>
      </c>
      <c r="F1416" s="12">
        <f t="shared" si="107"/>
        <v>50</v>
      </c>
      <c r="G1416" s="12" t="str">
        <f t="shared" si="108"/>
        <v>OK</v>
      </c>
      <c r="H1416" s="13">
        <f t="shared" si="109"/>
        <v>6</v>
      </c>
      <c r="I1416" s="14">
        <f t="shared" si="105"/>
        <v>1727.17</v>
      </c>
      <c r="K1416" t="str">
        <f>[1]!revcom(C1416)</f>
        <v>TAAGGG</v>
      </c>
      <c r="L1416">
        <v>5</v>
      </c>
    </row>
    <row r="1417" spans="1:12" ht="15.6" x14ac:dyDescent="0.3">
      <c r="A1417" s="9">
        <v>1406</v>
      </c>
      <c r="B1417" s="1"/>
      <c r="C1417" s="2" t="s">
        <v>1412</v>
      </c>
      <c r="D1417" s="1"/>
      <c r="E1417" s="11">
        <f t="shared" si="106"/>
        <v>12</v>
      </c>
      <c r="F1417" s="12">
        <f t="shared" si="107"/>
        <v>66.666666666666657</v>
      </c>
      <c r="G1417" s="12" t="str">
        <f t="shared" si="108"/>
        <v>Warning</v>
      </c>
      <c r="H1417" s="13">
        <f t="shared" si="109"/>
        <v>6</v>
      </c>
      <c r="I1417" s="14">
        <f t="shared" si="105"/>
        <v>1703.1399999999999</v>
      </c>
      <c r="K1417" t="str">
        <f>[1]!revcom(C1417)</f>
        <v>GAAGGG</v>
      </c>
      <c r="L1417">
        <v>4</v>
      </c>
    </row>
    <row r="1418" spans="1:12" ht="15.6" x14ac:dyDescent="0.3">
      <c r="A1418" s="9">
        <v>1407</v>
      </c>
      <c r="B1418" s="1"/>
      <c r="C1418" s="2" t="s">
        <v>1413</v>
      </c>
      <c r="D1418" s="1"/>
      <c r="E1418" s="11">
        <f t="shared" si="106"/>
        <v>12</v>
      </c>
      <c r="F1418" s="12">
        <f t="shared" si="107"/>
        <v>66.666666666666657</v>
      </c>
      <c r="G1418" s="12" t="str">
        <f t="shared" si="108"/>
        <v>Warning</v>
      </c>
      <c r="H1418" s="13">
        <f t="shared" si="109"/>
        <v>6</v>
      </c>
      <c r="I1418" s="14">
        <f t="shared" si="105"/>
        <v>1743.17</v>
      </c>
      <c r="K1418" t="str">
        <f>[1]!revcom(C1418)</f>
        <v>CAAGGG</v>
      </c>
      <c r="L1418">
        <v>4</v>
      </c>
    </row>
    <row r="1419" spans="1:12" ht="15.6" x14ac:dyDescent="0.3">
      <c r="A1419" s="9">
        <v>1408</v>
      </c>
      <c r="B1419" s="1"/>
      <c r="C1419" s="2" t="s">
        <v>1414</v>
      </c>
      <c r="D1419" s="1"/>
      <c r="E1419" s="11">
        <f t="shared" si="106"/>
        <v>6</v>
      </c>
      <c r="F1419" s="12">
        <f t="shared" si="107"/>
        <v>50</v>
      </c>
      <c r="G1419" s="12" t="str">
        <f t="shared" si="108"/>
        <v>OK</v>
      </c>
      <c r="H1419" s="13">
        <f t="shared" si="109"/>
        <v>6</v>
      </c>
      <c r="I1419" s="14">
        <f t="shared" si="105"/>
        <v>1718.15</v>
      </c>
      <c r="K1419" t="str">
        <f>[1]!revcom(C1419)</f>
        <v>AAAGGG</v>
      </c>
      <c r="L1419">
        <v>3</v>
      </c>
    </row>
    <row r="1420" spans="1:12" ht="15.6" x14ac:dyDescent="0.3">
      <c r="A1420" s="9">
        <v>1409</v>
      </c>
      <c r="B1420" s="1"/>
      <c r="C1420" s="2" t="s">
        <v>1415</v>
      </c>
      <c r="D1420" s="1"/>
      <c r="E1420" s="11">
        <f t="shared" si="106"/>
        <v>30</v>
      </c>
      <c r="F1420" s="12">
        <f t="shared" si="107"/>
        <v>50</v>
      </c>
      <c r="G1420" s="12" t="str">
        <f t="shared" si="108"/>
        <v>OK</v>
      </c>
      <c r="H1420" s="13">
        <f t="shared" si="109"/>
        <v>6</v>
      </c>
      <c r="I1420" s="14">
        <f t="shared" si="105"/>
        <v>1785.2399999999998</v>
      </c>
      <c r="K1420" t="str">
        <f>[1]!revcom(C1420)</f>
        <v>TTTCGG</v>
      </c>
      <c r="L1420">
        <v>7</v>
      </c>
    </row>
    <row r="1421" spans="1:12" ht="15.6" x14ac:dyDescent="0.3">
      <c r="A1421" s="9">
        <v>1410</v>
      </c>
      <c r="B1421" s="1"/>
      <c r="C1421" s="2" t="s">
        <v>1416</v>
      </c>
      <c r="D1421" s="1"/>
      <c r="E1421" s="11">
        <f t="shared" si="106"/>
        <v>28</v>
      </c>
      <c r="F1421" s="12">
        <f t="shared" si="107"/>
        <v>66.666666666666657</v>
      </c>
      <c r="G1421" s="12" t="str">
        <f t="shared" si="108"/>
        <v>Warning</v>
      </c>
      <c r="H1421" s="13">
        <f t="shared" si="109"/>
        <v>6</v>
      </c>
      <c r="I1421" s="14">
        <f t="shared" ref="I1421:I1484" si="110">((LEN(C1421)-(LEN(SUBSTITUTE(C1421,"A",""))))*249.23)+((LEN(C1421)-(LEN(SUBSTITUTE(C1421,"T",""))))*240.21)+((LEN(C1421)-(LEN(SUBSTITUTE(C1421,"C",""))))*225.2)+((LEN(C1421)-(LEN(SUBSTITUTE(C1421,"G",""))))*265.23)+(63.98*(LEN(C1421)-1)+(2.02))</f>
        <v>1761.21</v>
      </c>
      <c r="K1421" t="str">
        <f>[1]!revcom(C1421)</f>
        <v>GTTCGG</v>
      </c>
      <c r="L1421">
        <v>7</v>
      </c>
    </row>
    <row r="1422" spans="1:12" ht="15.6" x14ac:dyDescent="0.3">
      <c r="A1422" s="9">
        <v>1411</v>
      </c>
      <c r="B1422" s="1"/>
      <c r="C1422" s="2" t="s">
        <v>1417</v>
      </c>
      <c r="D1422" s="1"/>
      <c r="E1422" s="11">
        <f t="shared" ref="E1422:E1485" si="111">IF(LEN(C1422)&gt;15,(69.3+((41*((LEN(C1422)-(((LEN(C1422)-(LEN(SUBSTITUTE(C1422,"A",""))))+((LEN(C1422)-(LEN(SUBSTITUTE(C1422,"T","")))))))))/(LEN(C1422)))-(650/(LEN(C1422))))),(2*((LEN(C1422)-(((LEN(C1422)-(LEN(SUBSTITUTE(C1422,"C",""))))+((LEN(C1422)-(LEN(SUBSTITUTE(C1422,"G",""))))))))))+(4*((LEN(C1422)-(((LEN(C1422)-(LEN(SUBSTITUTE(C1422,"T",""))))+((LEN(C1422)-(LEN(SUBSTITUTE(C1422,"T","")))))))))))</f>
        <v>28</v>
      </c>
      <c r="F1422" s="12">
        <f t="shared" ref="F1422:F1485" si="112">((LEN(C1422)- LEN(SUBSTITUTE(C1422,"G","")))+(LEN(C1422)- LEN(SUBSTITUTE(C1422,"C",""))) )/LEN(C1422)*100</f>
        <v>66.666666666666657</v>
      </c>
      <c r="G1422" s="12" t="str">
        <f t="shared" ref="G1422:G1485" si="113">IF((-5+((LEN(SUBSTITUTE(RIGHT(C1422,5),"C","")))+((LEN(SUBSTITUTE(RIGHT(C1422,5),"G",""))))))&gt;=3,"OK","Warning")</f>
        <v>Warning</v>
      </c>
      <c r="H1422" s="13">
        <f t="shared" ref="H1422:H1485" si="114">LEN(C1422)</f>
        <v>6</v>
      </c>
      <c r="I1422" s="14">
        <f t="shared" si="110"/>
        <v>1801.2399999999998</v>
      </c>
      <c r="K1422" t="str">
        <f>[1]!revcom(C1422)</f>
        <v>CTTCGG</v>
      </c>
      <c r="L1422">
        <v>7</v>
      </c>
    </row>
    <row r="1423" spans="1:12" ht="15.6" x14ac:dyDescent="0.3">
      <c r="A1423" s="9">
        <v>1412</v>
      </c>
      <c r="B1423" s="1"/>
      <c r="C1423" s="2" t="s">
        <v>1418</v>
      </c>
      <c r="D1423" s="1"/>
      <c r="E1423" s="11">
        <f t="shared" si="111"/>
        <v>22</v>
      </c>
      <c r="F1423" s="12">
        <f t="shared" si="112"/>
        <v>50</v>
      </c>
      <c r="G1423" s="12" t="str">
        <f t="shared" si="113"/>
        <v>OK</v>
      </c>
      <c r="H1423" s="13">
        <f t="shared" si="114"/>
        <v>6</v>
      </c>
      <c r="I1423" s="14">
        <f t="shared" si="110"/>
        <v>1776.2199999999998</v>
      </c>
      <c r="K1423" t="str">
        <f>[1]!revcom(C1423)</f>
        <v>ATTCGG</v>
      </c>
      <c r="L1423">
        <v>6</v>
      </c>
    </row>
    <row r="1424" spans="1:12" ht="15.6" x14ac:dyDescent="0.3">
      <c r="A1424" s="9">
        <v>1413</v>
      </c>
      <c r="B1424" s="1"/>
      <c r="C1424" s="2" t="s">
        <v>1419</v>
      </c>
      <c r="D1424" s="1"/>
      <c r="E1424" s="11">
        <f t="shared" si="111"/>
        <v>28</v>
      </c>
      <c r="F1424" s="12">
        <f t="shared" si="112"/>
        <v>66.666666666666657</v>
      </c>
      <c r="G1424" s="12" t="str">
        <f t="shared" si="113"/>
        <v>Warning</v>
      </c>
      <c r="H1424" s="13">
        <f t="shared" si="114"/>
        <v>6</v>
      </c>
      <c r="I1424" s="14">
        <f t="shared" si="110"/>
        <v>1761.21</v>
      </c>
      <c r="K1424" t="str">
        <f>[1]!revcom(C1424)</f>
        <v>TGTCGG</v>
      </c>
      <c r="L1424">
        <v>7</v>
      </c>
    </row>
    <row r="1425" spans="1:12" ht="15.6" x14ac:dyDescent="0.3">
      <c r="A1425" s="9">
        <v>1414</v>
      </c>
      <c r="B1425" s="1"/>
      <c r="C1425" s="2" t="s">
        <v>1420</v>
      </c>
      <c r="D1425" s="1"/>
      <c r="E1425" s="11">
        <f t="shared" si="111"/>
        <v>26</v>
      </c>
      <c r="F1425" s="12">
        <f t="shared" si="112"/>
        <v>83.333333333333343</v>
      </c>
      <c r="G1425" s="12" t="str">
        <f t="shared" si="113"/>
        <v>Warning</v>
      </c>
      <c r="H1425" s="13">
        <f t="shared" si="114"/>
        <v>6</v>
      </c>
      <c r="I1425" s="14">
        <f t="shared" si="110"/>
        <v>1737.1799999999998</v>
      </c>
      <c r="K1425" t="str">
        <f>[1]!revcom(C1425)</f>
        <v>GGTCGG</v>
      </c>
      <c r="L1425">
        <v>7</v>
      </c>
    </row>
    <row r="1426" spans="1:12" ht="15.6" x14ac:dyDescent="0.3">
      <c r="A1426" s="9">
        <v>1415</v>
      </c>
      <c r="B1426" s="1"/>
      <c r="C1426" s="2" t="s">
        <v>1421</v>
      </c>
      <c r="D1426" s="1"/>
      <c r="E1426" s="11">
        <f t="shared" si="111"/>
        <v>26</v>
      </c>
      <c r="F1426" s="12">
        <f t="shared" si="112"/>
        <v>83.333333333333343</v>
      </c>
      <c r="G1426" s="12" t="str">
        <f t="shared" si="113"/>
        <v>Warning</v>
      </c>
      <c r="H1426" s="13">
        <f t="shared" si="114"/>
        <v>6</v>
      </c>
      <c r="I1426" s="14">
        <f t="shared" si="110"/>
        <v>1777.21</v>
      </c>
      <c r="K1426" t="str">
        <f>[1]!revcom(C1426)</f>
        <v>CGTCGG</v>
      </c>
      <c r="L1426">
        <v>7</v>
      </c>
    </row>
    <row r="1427" spans="1:12" ht="15.6" x14ac:dyDescent="0.3">
      <c r="A1427" s="9">
        <v>1416</v>
      </c>
      <c r="B1427" s="1"/>
      <c r="C1427" s="2" t="s">
        <v>1422</v>
      </c>
      <c r="D1427" s="1"/>
      <c r="E1427" s="11">
        <f t="shared" si="111"/>
        <v>20</v>
      </c>
      <c r="F1427" s="12">
        <f t="shared" si="112"/>
        <v>66.666666666666657</v>
      </c>
      <c r="G1427" s="12" t="str">
        <f t="shared" si="113"/>
        <v>Warning</v>
      </c>
      <c r="H1427" s="13">
        <f t="shared" si="114"/>
        <v>6</v>
      </c>
      <c r="I1427" s="14">
        <f t="shared" si="110"/>
        <v>1752.19</v>
      </c>
      <c r="K1427" t="str">
        <f>[1]!revcom(C1427)</f>
        <v>AGTCGG</v>
      </c>
      <c r="L1427">
        <v>6</v>
      </c>
    </row>
    <row r="1428" spans="1:12" ht="15.6" x14ac:dyDescent="0.3">
      <c r="A1428" s="9">
        <v>1417</v>
      </c>
      <c r="B1428" s="1"/>
      <c r="C1428" s="2" t="s">
        <v>1423</v>
      </c>
      <c r="D1428" s="1"/>
      <c r="E1428" s="11">
        <f t="shared" si="111"/>
        <v>28</v>
      </c>
      <c r="F1428" s="12">
        <f t="shared" si="112"/>
        <v>66.666666666666657</v>
      </c>
      <c r="G1428" s="12" t="str">
        <f t="shared" si="113"/>
        <v>Warning</v>
      </c>
      <c r="H1428" s="13">
        <f t="shared" si="114"/>
        <v>6</v>
      </c>
      <c r="I1428" s="14">
        <f t="shared" si="110"/>
        <v>1801.2399999999998</v>
      </c>
      <c r="K1428" t="str">
        <f>[1]!revcom(C1428)</f>
        <v>TCTCGG</v>
      </c>
      <c r="L1428">
        <v>7</v>
      </c>
    </row>
    <row r="1429" spans="1:12" ht="15.6" x14ac:dyDescent="0.3">
      <c r="A1429" s="9">
        <v>1418</v>
      </c>
      <c r="B1429" s="1"/>
      <c r="C1429" s="2" t="s">
        <v>1424</v>
      </c>
      <c r="D1429" s="1"/>
      <c r="E1429" s="11">
        <f t="shared" si="111"/>
        <v>26</v>
      </c>
      <c r="F1429" s="12">
        <f t="shared" si="112"/>
        <v>83.333333333333343</v>
      </c>
      <c r="G1429" s="12" t="str">
        <f t="shared" si="113"/>
        <v>Warning</v>
      </c>
      <c r="H1429" s="13">
        <f t="shared" si="114"/>
        <v>6</v>
      </c>
      <c r="I1429" s="14">
        <f t="shared" si="110"/>
        <v>1777.21</v>
      </c>
      <c r="K1429" t="str">
        <f>[1]!revcom(C1429)</f>
        <v>GCTCGG</v>
      </c>
      <c r="L1429">
        <v>7</v>
      </c>
    </row>
    <row r="1430" spans="1:12" ht="15.6" x14ac:dyDescent="0.3">
      <c r="A1430" s="9">
        <v>1419</v>
      </c>
      <c r="B1430" s="1"/>
      <c r="C1430" s="2" t="s">
        <v>1425</v>
      </c>
      <c r="D1430" s="1"/>
      <c r="E1430" s="11">
        <f t="shared" si="111"/>
        <v>26</v>
      </c>
      <c r="F1430" s="12">
        <f t="shared" si="112"/>
        <v>83.333333333333343</v>
      </c>
      <c r="G1430" s="12" t="str">
        <f t="shared" si="113"/>
        <v>Warning</v>
      </c>
      <c r="H1430" s="13">
        <f t="shared" si="114"/>
        <v>6</v>
      </c>
      <c r="I1430" s="14">
        <f t="shared" si="110"/>
        <v>1817.2400000000002</v>
      </c>
      <c r="K1430" t="str">
        <f>[1]!revcom(C1430)</f>
        <v>CCTCGG</v>
      </c>
      <c r="L1430">
        <v>7</v>
      </c>
    </row>
    <row r="1431" spans="1:12" ht="15.6" x14ac:dyDescent="0.3">
      <c r="A1431" s="9">
        <v>1420</v>
      </c>
      <c r="B1431" s="1"/>
      <c r="C1431" s="2" t="s">
        <v>1426</v>
      </c>
      <c r="D1431" s="1"/>
      <c r="E1431" s="11">
        <f t="shared" si="111"/>
        <v>20</v>
      </c>
      <c r="F1431" s="12">
        <f t="shared" si="112"/>
        <v>66.666666666666657</v>
      </c>
      <c r="G1431" s="12" t="str">
        <f t="shared" si="113"/>
        <v>Warning</v>
      </c>
      <c r="H1431" s="13">
        <f t="shared" si="114"/>
        <v>6</v>
      </c>
      <c r="I1431" s="14">
        <f t="shared" si="110"/>
        <v>1792.2199999999998</v>
      </c>
      <c r="K1431" t="str">
        <f>[1]!revcom(C1431)</f>
        <v>ACTCGG</v>
      </c>
      <c r="L1431">
        <v>6</v>
      </c>
    </row>
    <row r="1432" spans="1:12" ht="15.6" x14ac:dyDescent="0.3">
      <c r="A1432" s="9">
        <v>1421</v>
      </c>
      <c r="B1432" s="1"/>
      <c r="C1432" s="2" t="s">
        <v>1427</v>
      </c>
      <c r="D1432" s="1"/>
      <c r="E1432" s="11">
        <f t="shared" si="111"/>
        <v>22</v>
      </c>
      <c r="F1432" s="12">
        <f t="shared" si="112"/>
        <v>50</v>
      </c>
      <c r="G1432" s="12" t="str">
        <f t="shared" si="113"/>
        <v>OK</v>
      </c>
      <c r="H1432" s="13">
        <f t="shared" si="114"/>
        <v>6</v>
      </c>
      <c r="I1432" s="14">
        <f t="shared" si="110"/>
        <v>1776.2199999999998</v>
      </c>
      <c r="K1432" t="str">
        <f>[1]!revcom(C1432)</f>
        <v>TATCGG</v>
      </c>
      <c r="L1432">
        <v>6</v>
      </c>
    </row>
    <row r="1433" spans="1:12" ht="15.6" x14ac:dyDescent="0.3">
      <c r="A1433" s="9">
        <v>1422</v>
      </c>
      <c r="B1433" s="1"/>
      <c r="C1433" s="2" t="s">
        <v>1428</v>
      </c>
      <c r="D1433" s="1"/>
      <c r="E1433" s="11">
        <f t="shared" si="111"/>
        <v>20</v>
      </c>
      <c r="F1433" s="12">
        <f t="shared" si="112"/>
        <v>66.666666666666657</v>
      </c>
      <c r="G1433" s="12" t="str">
        <f t="shared" si="113"/>
        <v>Warning</v>
      </c>
      <c r="H1433" s="13">
        <f t="shared" si="114"/>
        <v>6</v>
      </c>
      <c r="I1433" s="14">
        <f t="shared" si="110"/>
        <v>1752.19</v>
      </c>
      <c r="K1433" t="str">
        <f>[1]!revcom(C1433)</f>
        <v>GATCGG</v>
      </c>
      <c r="L1433">
        <v>6</v>
      </c>
    </row>
    <row r="1434" spans="1:12" ht="15.6" x14ac:dyDescent="0.3">
      <c r="A1434" s="9">
        <v>1423</v>
      </c>
      <c r="B1434" s="1"/>
      <c r="C1434" s="2" t="s">
        <v>1429</v>
      </c>
      <c r="D1434" s="1"/>
      <c r="E1434" s="11">
        <f t="shared" si="111"/>
        <v>20</v>
      </c>
      <c r="F1434" s="12">
        <f t="shared" si="112"/>
        <v>66.666666666666657</v>
      </c>
      <c r="G1434" s="12" t="str">
        <f t="shared" si="113"/>
        <v>Warning</v>
      </c>
      <c r="H1434" s="13">
        <f t="shared" si="114"/>
        <v>6</v>
      </c>
      <c r="I1434" s="14">
        <f t="shared" si="110"/>
        <v>1792.2199999999998</v>
      </c>
      <c r="K1434" t="str">
        <f>[1]!revcom(C1434)</f>
        <v>CATCGG</v>
      </c>
      <c r="L1434">
        <v>6</v>
      </c>
    </row>
    <row r="1435" spans="1:12" ht="15.6" x14ac:dyDescent="0.3">
      <c r="A1435" s="9">
        <v>1424</v>
      </c>
      <c r="B1435" s="1"/>
      <c r="C1435" s="2" t="s">
        <v>1430</v>
      </c>
      <c r="D1435" s="1"/>
      <c r="E1435" s="11">
        <f t="shared" si="111"/>
        <v>14</v>
      </c>
      <c r="F1435" s="12">
        <f t="shared" si="112"/>
        <v>50</v>
      </c>
      <c r="G1435" s="12" t="str">
        <f t="shared" si="113"/>
        <v>OK</v>
      </c>
      <c r="H1435" s="13">
        <f t="shared" si="114"/>
        <v>6</v>
      </c>
      <c r="I1435" s="14">
        <f t="shared" si="110"/>
        <v>1767.1999999999998</v>
      </c>
      <c r="K1435" t="str">
        <f>[1]!revcom(C1435)</f>
        <v>AATCGG</v>
      </c>
      <c r="L1435">
        <v>5</v>
      </c>
    </row>
    <row r="1436" spans="1:12" ht="15.6" x14ac:dyDescent="0.3">
      <c r="A1436" s="9">
        <v>1425</v>
      </c>
      <c r="B1436" s="1"/>
      <c r="C1436" s="2" t="s">
        <v>1431</v>
      </c>
      <c r="D1436" s="1"/>
      <c r="E1436" s="11">
        <f t="shared" si="111"/>
        <v>28</v>
      </c>
      <c r="F1436" s="12">
        <f t="shared" si="112"/>
        <v>66.666666666666657</v>
      </c>
      <c r="G1436" s="12" t="str">
        <f t="shared" si="113"/>
        <v>Warning</v>
      </c>
      <c r="H1436" s="13">
        <f t="shared" si="114"/>
        <v>6</v>
      </c>
      <c r="I1436" s="14">
        <f t="shared" si="110"/>
        <v>1761.21</v>
      </c>
      <c r="K1436" t="str">
        <f>[1]!revcom(C1436)</f>
        <v>TTGCGG</v>
      </c>
      <c r="L1436">
        <v>7</v>
      </c>
    </row>
    <row r="1437" spans="1:12" ht="15.6" x14ac:dyDescent="0.3">
      <c r="A1437" s="9">
        <v>1426</v>
      </c>
      <c r="B1437" s="1"/>
      <c r="C1437" s="2" t="s">
        <v>1432</v>
      </c>
      <c r="D1437" s="1"/>
      <c r="E1437" s="11">
        <f t="shared" si="111"/>
        <v>26</v>
      </c>
      <c r="F1437" s="12">
        <f t="shared" si="112"/>
        <v>83.333333333333343</v>
      </c>
      <c r="G1437" s="12" t="str">
        <f t="shared" si="113"/>
        <v>Warning</v>
      </c>
      <c r="H1437" s="13">
        <f t="shared" si="114"/>
        <v>6</v>
      </c>
      <c r="I1437" s="14">
        <f t="shared" si="110"/>
        <v>1737.1799999999998</v>
      </c>
      <c r="K1437" t="str">
        <f>[1]!revcom(C1437)</f>
        <v>GTGCGG</v>
      </c>
      <c r="L1437">
        <v>7</v>
      </c>
    </row>
    <row r="1438" spans="1:12" ht="15.6" x14ac:dyDescent="0.3">
      <c r="A1438" s="9">
        <v>1427</v>
      </c>
      <c r="B1438" s="1"/>
      <c r="C1438" s="2" t="s">
        <v>1433</v>
      </c>
      <c r="D1438" s="1"/>
      <c r="E1438" s="11">
        <f t="shared" si="111"/>
        <v>26</v>
      </c>
      <c r="F1438" s="12">
        <f t="shared" si="112"/>
        <v>83.333333333333343</v>
      </c>
      <c r="G1438" s="12" t="str">
        <f t="shared" si="113"/>
        <v>Warning</v>
      </c>
      <c r="H1438" s="13">
        <f t="shared" si="114"/>
        <v>6</v>
      </c>
      <c r="I1438" s="14">
        <f t="shared" si="110"/>
        <v>1777.21</v>
      </c>
      <c r="K1438" t="str">
        <f>[1]!revcom(C1438)</f>
        <v>CTGCGG</v>
      </c>
      <c r="L1438">
        <v>7</v>
      </c>
    </row>
    <row r="1439" spans="1:12" ht="15.6" x14ac:dyDescent="0.3">
      <c r="A1439" s="9">
        <v>1428</v>
      </c>
      <c r="B1439" s="1"/>
      <c r="C1439" s="2" t="s">
        <v>1434</v>
      </c>
      <c r="D1439" s="1"/>
      <c r="E1439" s="11">
        <f t="shared" si="111"/>
        <v>20</v>
      </c>
      <c r="F1439" s="12">
        <f t="shared" si="112"/>
        <v>66.666666666666657</v>
      </c>
      <c r="G1439" s="12" t="str">
        <f t="shared" si="113"/>
        <v>Warning</v>
      </c>
      <c r="H1439" s="13">
        <f t="shared" si="114"/>
        <v>6</v>
      </c>
      <c r="I1439" s="14">
        <f t="shared" si="110"/>
        <v>1752.19</v>
      </c>
      <c r="K1439" t="str">
        <f>[1]!revcom(C1439)</f>
        <v>ATGCGG</v>
      </c>
      <c r="L1439">
        <v>6</v>
      </c>
    </row>
    <row r="1440" spans="1:12" ht="15.6" x14ac:dyDescent="0.3">
      <c r="A1440" s="9">
        <v>1429</v>
      </c>
      <c r="B1440" s="1"/>
      <c r="C1440" s="2" t="s">
        <v>1435</v>
      </c>
      <c r="D1440" s="1"/>
      <c r="E1440" s="11">
        <f t="shared" si="111"/>
        <v>26</v>
      </c>
      <c r="F1440" s="12">
        <f t="shared" si="112"/>
        <v>83.333333333333343</v>
      </c>
      <c r="G1440" s="12" t="str">
        <f t="shared" si="113"/>
        <v>Warning</v>
      </c>
      <c r="H1440" s="13">
        <f t="shared" si="114"/>
        <v>6</v>
      </c>
      <c r="I1440" s="14">
        <f t="shared" si="110"/>
        <v>1737.1799999999998</v>
      </c>
      <c r="K1440" t="str">
        <f>[1]!revcom(C1440)</f>
        <v>TGGCGG</v>
      </c>
      <c r="L1440">
        <v>7</v>
      </c>
    </row>
    <row r="1441" spans="1:12" ht="15.6" x14ac:dyDescent="0.3">
      <c r="A1441" s="9">
        <v>1430</v>
      </c>
      <c r="B1441" s="1"/>
      <c r="C1441" s="2" t="s">
        <v>1436</v>
      </c>
      <c r="D1441" s="1"/>
      <c r="E1441" s="11">
        <f t="shared" si="111"/>
        <v>24</v>
      </c>
      <c r="F1441" s="12">
        <f t="shared" si="112"/>
        <v>100</v>
      </c>
      <c r="G1441" s="12" t="str">
        <f t="shared" si="113"/>
        <v>Warning</v>
      </c>
      <c r="H1441" s="13">
        <f t="shared" si="114"/>
        <v>6</v>
      </c>
      <c r="I1441" s="14">
        <f t="shared" si="110"/>
        <v>1713.15</v>
      </c>
      <c r="K1441" t="str">
        <f>[1]!revcom(C1441)</f>
        <v>GGGCGG</v>
      </c>
      <c r="L1441">
        <v>6</v>
      </c>
    </row>
    <row r="1442" spans="1:12" ht="15.6" x14ac:dyDescent="0.3">
      <c r="A1442" s="9">
        <v>1431</v>
      </c>
      <c r="B1442" s="1"/>
      <c r="C1442" s="2" t="s">
        <v>1437</v>
      </c>
      <c r="D1442" s="1"/>
      <c r="E1442" s="11">
        <f t="shared" si="111"/>
        <v>24</v>
      </c>
      <c r="F1442" s="12">
        <f t="shared" si="112"/>
        <v>100</v>
      </c>
      <c r="G1442" s="12" t="str">
        <f t="shared" si="113"/>
        <v>Warning</v>
      </c>
      <c r="H1442" s="13">
        <f t="shared" si="114"/>
        <v>6</v>
      </c>
      <c r="I1442" s="14">
        <f t="shared" si="110"/>
        <v>1753.1799999999998</v>
      </c>
      <c r="K1442" t="str">
        <f>[1]!revcom(C1442)</f>
        <v>CGGCGG</v>
      </c>
      <c r="L1442">
        <v>6</v>
      </c>
    </row>
    <row r="1443" spans="1:12" ht="15.6" x14ac:dyDescent="0.3">
      <c r="A1443" s="9">
        <v>1432</v>
      </c>
      <c r="B1443" s="1"/>
      <c r="C1443" s="2" t="s">
        <v>1438</v>
      </c>
      <c r="D1443" s="1"/>
      <c r="E1443" s="11">
        <f t="shared" si="111"/>
        <v>18</v>
      </c>
      <c r="F1443" s="12">
        <f t="shared" si="112"/>
        <v>83.333333333333343</v>
      </c>
      <c r="G1443" s="12" t="str">
        <f t="shared" si="113"/>
        <v>Warning</v>
      </c>
      <c r="H1443" s="13">
        <f t="shared" si="114"/>
        <v>6</v>
      </c>
      <c r="I1443" s="14">
        <f t="shared" si="110"/>
        <v>1728.1599999999999</v>
      </c>
      <c r="K1443" t="str">
        <f>[1]!revcom(C1443)</f>
        <v>AGGCGG</v>
      </c>
      <c r="L1443">
        <v>5</v>
      </c>
    </row>
    <row r="1444" spans="1:12" ht="15.6" x14ac:dyDescent="0.3">
      <c r="A1444" s="9">
        <v>1433</v>
      </c>
      <c r="B1444" s="1"/>
      <c r="C1444" s="2" t="s">
        <v>1439</v>
      </c>
      <c r="D1444" s="1"/>
      <c r="E1444" s="11">
        <f t="shared" si="111"/>
        <v>26</v>
      </c>
      <c r="F1444" s="12">
        <f t="shared" si="112"/>
        <v>83.333333333333343</v>
      </c>
      <c r="G1444" s="12" t="str">
        <f t="shared" si="113"/>
        <v>Warning</v>
      </c>
      <c r="H1444" s="13">
        <f t="shared" si="114"/>
        <v>6</v>
      </c>
      <c r="I1444" s="14">
        <f t="shared" si="110"/>
        <v>1777.21</v>
      </c>
      <c r="K1444" t="str">
        <f>[1]!revcom(C1444)</f>
        <v>TCGCGG</v>
      </c>
      <c r="L1444">
        <v>7</v>
      </c>
    </row>
    <row r="1445" spans="1:12" ht="15.6" x14ac:dyDescent="0.3">
      <c r="A1445" s="9">
        <v>1434</v>
      </c>
      <c r="B1445" s="1"/>
      <c r="C1445" s="2" t="s">
        <v>1440</v>
      </c>
      <c r="D1445" s="1"/>
      <c r="E1445" s="11">
        <f t="shared" si="111"/>
        <v>24</v>
      </c>
      <c r="F1445" s="12">
        <f t="shared" si="112"/>
        <v>100</v>
      </c>
      <c r="G1445" s="12" t="str">
        <f t="shared" si="113"/>
        <v>Warning</v>
      </c>
      <c r="H1445" s="13">
        <f t="shared" si="114"/>
        <v>6</v>
      </c>
      <c r="I1445" s="14">
        <f t="shared" si="110"/>
        <v>1753.1799999999998</v>
      </c>
      <c r="K1445" t="str">
        <f>[1]!revcom(C1445)</f>
        <v>GCGCGG</v>
      </c>
      <c r="L1445">
        <v>6</v>
      </c>
    </row>
    <row r="1446" spans="1:12" ht="15.6" x14ac:dyDescent="0.3">
      <c r="A1446" s="9">
        <v>1435</v>
      </c>
      <c r="B1446" s="1"/>
      <c r="C1446" s="2" t="s">
        <v>1441</v>
      </c>
      <c r="D1446" s="1"/>
      <c r="E1446" s="11">
        <f t="shared" si="111"/>
        <v>24</v>
      </c>
      <c r="F1446" s="12">
        <f t="shared" si="112"/>
        <v>100</v>
      </c>
      <c r="G1446" s="12" t="str">
        <f t="shared" si="113"/>
        <v>Warning</v>
      </c>
      <c r="H1446" s="13">
        <f t="shared" si="114"/>
        <v>6</v>
      </c>
      <c r="I1446" s="14">
        <f t="shared" si="110"/>
        <v>1793.21</v>
      </c>
      <c r="K1446" t="str">
        <f>[1]!revcom(C1446)</f>
        <v>CCGCGG</v>
      </c>
      <c r="L1446">
        <v>6</v>
      </c>
    </row>
    <row r="1447" spans="1:12" ht="15.6" x14ac:dyDescent="0.3">
      <c r="A1447" s="9">
        <v>1436</v>
      </c>
      <c r="B1447" s="1"/>
      <c r="C1447" s="2" t="s">
        <v>1442</v>
      </c>
      <c r="D1447" s="1"/>
      <c r="E1447" s="11">
        <f t="shared" si="111"/>
        <v>18</v>
      </c>
      <c r="F1447" s="12">
        <f t="shared" si="112"/>
        <v>83.333333333333343</v>
      </c>
      <c r="G1447" s="12" t="str">
        <f t="shared" si="113"/>
        <v>Warning</v>
      </c>
      <c r="H1447" s="13">
        <f t="shared" si="114"/>
        <v>6</v>
      </c>
      <c r="I1447" s="14">
        <f t="shared" si="110"/>
        <v>1768.19</v>
      </c>
      <c r="K1447" t="str">
        <f>[1]!revcom(C1447)</f>
        <v>ACGCGG</v>
      </c>
      <c r="L1447">
        <v>5</v>
      </c>
    </row>
    <row r="1448" spans="1:12" ht="15.6" x14ac:dyDescent="0.3">
      <c r="A1448" s="9">
        <v>1437</v>
      </c>
      <c r="B1448" s="1"/>
      <c r="C1448" s="2" t="s">
        <v>1443</v>
      </c>
      <c r="D1448" s="1"/>
      <c r="E1448" s="11">
        <f t="shared" si="111"/>
        <v>20</v>
      </c>
      <c r="F1448" s="12">
        <f t="shared" si="112"/>
        <v>66.666666666666657</v>
      </c>
      <c r="G1448" s="12" t="str">
        <f t="shared" si="113"/>
        <v>Warning</v>
      </c>
      <c r="H1448" s="13">
        <f t="shared" si="114"/>
        <v>6</v>
      </c>
      <c r="I1448" s="14">
        <f t="shared" si="110"/>
        <v>1752.19</v>
      </c>
      <c r="K1448" t="str">
        <f>[1]!revcom(C1448)</f>
        <v>TAGCGG</v>
      </c>
      <c r="L1448">
        <v>6</v>
      </c>
    </row>
    <row r="1449" spans="1:12" ht="15.6" x14ac:dyDescent="0.3">
      <c r="A1449" s="9">
        <v>1438</v>
      </c>
      <c r="B1449" s="1"/>
      <c r="C1449" s="2" t="s">
        <v>1444</v>
      </c>
      <c r="D1449" s="1"/>
      <c r="E1449" s="11">
        <f t="shared" si="111"/>
        <v>18</v>
      </c>
      <c r="F1449" s="12">
        <f t="shared" si="112"/>
        <v>83.333333333333343</v>
      </c>
      <c r="G1449" s="12" t="str">
        <f t="shared" si="113"/>
        <v>Warning</v>
      </c>
      <c r="H1449" s="13">
        <f t="shared" si="114"/>
        <v>6</v>
      </c>
      <c r="I1449" s="14">
        <f t="shared" si="110"/>
        <v>1728.1599999999999</v>
      </c>
      <c r="K1449" t="str">
        <f>[1]!revcom(C1449)</f>
        <v>GAGCGG</v>
      </c>
      <c r="L1449">
        <v>5</v>
      </c>
    </row>
    <row r="1450" spans="1:12" ht="15.6" x14ac:dyDescent="0.3">
      <c r="A1450" s="9">
        <v>1439</v>
      </c>
      <c r="B1450" s="1"/>
      <c r="C1450" s="2" t="s">
        <v>1445</v>
      </c>
      <c r="D1450" s="1"/>
      <c r="E1450" s="11">
        <f t="shared" si="111"/>
        <v>18</v>
      </c>
      <c r="F1450" s="12">
        <f t="shared" si="112"/>
        <v>83.333333333333343</v>
      </c>
      <c r="G1450" s="12" t="str">
        <f t="shared" si="113"/>
        <v>Warning</v>
      </c>
      <c r="H1450" s="13">
        <f t="shared" si="114"/>
        <v>6</v>
      </c>
      <c r="I1450" s="14">
        <f t="shared" si="110"/>
        <v>1768.19</v>
      </c>
      <c r="K1450" t="str">
        <f>[1]!revcom(C1450)</f>
        <v>CAGCGG</v>
      </c>
      <c r="L1450">
        <v>5</v>
      </c>
    </row>
    <row r="1451" spans="1:12" ht="15.6" x14ac:dyDescent="0.3">
      <c r="A1451" s="9">
        <v>1440</v>
      </c>
      <c r="B1451" s="1"/>
      <c r="C1451" s="2" t="s">
        <v>1446</v>
      </c>
      <c r="D1451" s="1"/>
      <c r="E1451" s="11">
        <f t="shared" si="111"/>
        <v>12</v>
      </c>
      <c r="F1451" s="12">
        <f t="shared" si="112"/>
        <v>66.666666666666657</v>
      </c>
      <c r="G1451" s="12" t="str">
        <f t="shared" si="113"/>
        <v>Warning</v>
      </c>
      <c r="H1451" s="13">
        <f t="shared" si="114"/>
        <v>6</v>
      </c>
      <c r="I1451" s="14">
        <f t="shared" si="110"/>
        <v>1743.17</v>
      </c>
      <c r="K1451" t="str">
        <f>[1]!revcom(C1451)</f>
        <v>AAGCGG</v>
      </c>
      <c r="L1451">
        <v>4</v>
      </c>
    </row>
    <row r="1452" spans="1:12" ht="15.6" x14ac:dyDescent="0.3">
      <c r="A1452" s="9">
        <v>1441</v>
      </c>
      <c r="B1452" s="1"/>
      <c r="C1452" s="2" t="s">
        <v>1447</v>
      </c>
      <c r="D1452" s="1"/>
      <c r="E1452" s="11">
        <f t="shared" si="111"/>
        <v>28</v>
      </c>
      <c r="F1452" s="12">
        <f t="shared" si="112"/>
        <v>66.666666666666657</v>
      </c>
      <c r="G1452" s="12" t="str">
        <f t="shared" si="113"/>
        <v>Warning</v>
      </c>
      <c r="H1452" s="13">
        <f t="shared" si="114"/>
        <v>6</v>
      </c>
      <c r="I1452" s="14">
        <f t="shared" si="110"/>
        <v>1801.2399999999998</v>
      </c>
      <c r="K1452" t="str">
        <f>[1]!revcom(C1452)</f>
        <v>TTCCGG</v>
      </c>
      <c r="L1452">
        <v>7</v>
      </c>
    </row>
    <row r="1453" spans="1:12" ht="15.6" x14ac:dyDescent="0.3">
      <c r="A1453" s="9">
        <v>1442</v>
      </c>
      <c r="B1453" s="1"/>
      <c r="C1453" s="2" t="s">
        <v>1448</v>
      </c>
      <c r="D1453" s="1"/>
      <c r="E1453" s="11">
        <f t="shared" si="111"/>
        <v>26</v>
      </c>
      <c r="F1453" s="12">
        <f t="shared" si="112"/>
        <v>83.333333333333343</v>
      </c>
      <c r="G1453" s="12" t="str">
        <f t="shared" si="113"/>
        <v>Warning</v>
      </c>
      <c r="H1453" s="13">
        <f t="shared" si="114"/>
        <v>6</v>
      </c>
      <c r="I1453" s="14">
        <f t="shared" si="110"/>
        <v>1777.21</v>
      </c>
      <c r="K1453" t="str">
        <f>[1]!revcom(C1453)</f>
        <v>GTCCGG</v>
      </c>
      <c r="L1453">
        <v>7</v>
      </c>
    </row>
    <row r="1454" spans="1:12" ht="15.6" x14ac:dyDescent="0.3">
      <c r="A1454" s="9">
        <v>1443</v>
      </c>
      <c r="B1454" s="1"/>
      <c r="C1454" s="2" t="s">
        <v>1449</v>
      </c>
      <c r="D1454" s="1"/>
      <c r="E1454" s="11">
        <f t="shared" si="111"/>
        <v>26</v>
      </c>
      <c r="F1454" s="12">
        <f t="shared" si="112"/>
        <v>83.333333333333343</v>
      </c>
      <c r="G1454" s="12" t="str">
        <f t="shared" si="113"/>
        <v>Warning</v>
      </c>
      <c r="H1454" s="13">
        <f t="shared" si="114"/>
        <v>6</v>
      </c>
      <c r="I1454" s="14">
        <f t="shared" si="110"/>
        <v>1817.2400000000002</v>
      </c>
      <c r="K1454" t="str">
        <f>[1]!revcom(C1454)</f>
        <v>CTCCGG</v>
      </c>
      <c r="L1454">
        <v>7</v>
      </c>
    </row>
    <row r="1455" spans="1:12" ht="15.6" x14ac:dyDescent="0.3">
      <c r="A1455" s="9">
        <v>1444</v>
      </c>
      <c r="B1455" s="1"/>
      <c r="C1455" s="2" t="s">
        <v>1450</v>
      </c>
      <c r="D1455" s="1"/>
      <c r="E1455" s="11">
        <f t="shared" si="111"/>
        <v>20</v>
      </c>
      <c r="F1455" s="12">
        <f t="shared" si="112"/>
        <v>66.666666666666657</v>
      </c>
      <c r="G1455" s="12" t="str">
        <f t="shared" si="113"/>
        <v>Warning</v>
      </c>
      <c r="H1455" s="13">
        <f t="shared" si="114"/>
        <v>6</v>
      </c>
      <c r="I1455" s="14">
        <f t="shared" si="110"/>
        <v>1792.2199999999998</v>
      </c>
      <c r="K1455" t="str">
        <f>[1]!revcom(C1455)</f>
        <v>ATCCGG</v>
      </c>
      <c r="L1455">
        <v>6</v>
      </c>
    </row>
    <row r="1456" spans="1:12" ht="15.6" x14ac:dyDescent="0.3">
      <c r="A1456" s="9">
        <v>1445</v>
      </c>
      <c r="B1456" s="1"/>
      <c r="C1456" s="2" t="s">
        <v>1451</v>
      </c>
      <c r="D1456" s="1"/>
      <c r="E1456" s="11">
        <f t="shared" si="111"/>
        <v>26</v>
      </c>
      <c r="F1456" s="12">
        <f t="shared" si="112"/>
        <v>83.333333333333343</v>
      </c>
      <c r="G1456" s="12" t="str">
        <f t="shared" si="113"/>
        <v>Warning</v>
      </c>
      <c r="H1456" s="13">
        <f t="shared" si="114"/>
        <v>6</v>
      </c>
      <c r="I1456" s="14">
        <f t="shared" si="110"/>
        <v>1777.21</v>
      </c>
      <c r="K1456" t="str">
        <f>[1]!revcom(C1456)</f>
        <v>TGCCGG</v>
      </c>
      <c r="L1456">
        <v>7</v>
      </c>
    </row>
    <row r="1457" spans="1:12" ht="15.6" x14ac:dyDescent="0.3">
      <c r="A1457" s="9">
        <v>1446</v>
      </c>
      <c r="B1457" s="1"/>
      <c r="C1457" s="2" t="s">
        <v>1452</v>
      </c>
      <c r="D1457" s="1"/>
      <c r="E1457" s="11">
        <f t="shared" si="111"/>
        <v>24</v>
      </c>
      <c r="F1457" s="12">
        <f t="shared" si="112"/>
        <v>100</v>
      </c>
      <c r="G1457" s="12" t="str">
        <f t="shared" si="113"/>
        <v>Warning</v>
      </c>
      <c r="H1457" s="13">
        <f t="shared" si="114"/>
        <v>6</v>
      </c>
      <c r="I1457" s="14">
        <f t="shared" si="110"/>
        <v>1753.1799999999998</v>
      </c>
      <c r="K1457" t="str">
        <f>[1]!revcom(C1457)</f>
        <v>GGCCGG</v>
      </c>
      <c r="L1457">
        <v>6</v>
      </c>
    </row>
    <row r="1458" spans="1:12" ht="15.6" x14ac:dyDescent="0.3">
      <c r="A1458" s="9">
        <v>1447</v>
      </c>
      <c r="B1458" s="1"/>
      <c r="C1458" s="2" t="s">
        <v>1453</v>
      </c>
      <c r="D1458" s="1"/>
      <c r="E1458" s="11">
        <f t="shared" si="111"/>
        <v>24</v>
      </c>
      <c r="F1458" s="12">
        <f t="shared" si="112"/>
        <v>100</v>
      </c>
      <c r="G1458" s="12" t="str">
        <f t="shared" si="113"/>
        <v>Warning</v>
      </c>
      <c r="H1458" s="13">
        <f t="shared" si="114"/>
        <v>6</v>
      </c>
      <c r="I1458" s="14">
        <f t="shared" si="110"/>
        <v>1793.21</v>
      </c>
      <c r="K1458" t="str">
        <f>[1]!revcom(C1458)</f>
        <v>CGCCGG</v>
      </c>
      <c r="L1458">
        <v>6</v>
      </c>
    </row>
    <row r="1459" spans="1:12" ht="15.6" x14ac:dyDescent="0.3">
      <c r="A1459" s="9">
        <v>1448</v>
      </c>
      <c r="B1459" s="1"/>
      <c r="C1459" s="2" t="s">
        <v>1454</v>
      </c>
      <c r="D1459" s="1"/>
      <c r="E1459" s="11">
        <f t="shared" si="111"/>
        <v>18</v>
      </c>
      <c r="F1459" s="12">
        <f t="shared" si="112"/>
        <v>83.333333333333343</v>
      </c>
      <c r="G1459" s="12" t="str">
        <f t="shared" si="113"/>
        <v>Warning</v>
      </c>
      <c r="H1459" s="13">
        <f t="shared" si="114"/>
        <v>6</v>
      </c>
      <c r="I1459" s="14">
        <f t="shared" si="110"/>
        <v>1768.19</v>
      </c>
      <c r="K1459" t="str">
        <f>[1]!revcom(C1459)</f>
        <v>AGCCGG</v>
      </c>
      <c r="L1459">
        <v>5</v>
      </c>
    </row>
    <row r="1460" spans="1:12" ht="15.6" x14ac:dyDescent="0.3">
      <c r="A1460" s="9">
        <v>1449</v>
      </c>
      <c r="B1460" s="1"/>
      <c r="C1460" s="2" t="s">
        <v>1455</v>
      </c>
      <c r="D1460" s="1"/>
      <c r="E1460" s="11">
        <f t="shared" si="111"/>
        <v>26</v>
      </c>
      <c r="F1460" s="12">
        <f t="shared" si="112"/>
        <v>83.333333333333343</v>
      </c>
      <c r="G1460" s="12" t="str">
        <f t="shared" si="113"/>
        <v>Warning</v>
      </c>
      <c r="H1460" s="13">
        <f t="shared" si="114"/>
        <v>6</v>
      </c>
      <c r="I1460" s="14">
        <f t="shared" si="110"/>
        <v>1817.2400000000002</v>
      </c>
      <c r="K1460" t="str">
        <f>[1]!revcom(C1460)</f>
        <v>TCCCGG</v>
      </c>
      <c r="L1460">
        <v>7</v>
      </c>
    </row>
    <row r="1461" spans="1:12" ht="15.6" x14ac:dyDescent="0.3">
      <c r="A1461" s="9">
        <v>1450</v>
      </c>
      <c r="B1461" s="1"/>
      <c r="C1461" s="2" t="s">
        <v>1456</v>
      </c>
      <c r="D1461" s="1"/>
      <c r="E1461" s="11">
        <f t="shared" si="111"/>
        <v>24</v>
      </c>
      <c r="F1461" s="12">
        <f t="shared" si="112"/>
        <v>100</v>
      </c>
      <c r="G1461" s="12" t="str">
        <f t="shared" si="113"/>
        <v>Warning</v>
      </c>
      <c r="H1461" s="13">
        <f t="shared" si="114"/>
        <v>6</v>
      </c>
      <c r="I1461" s="14">
        <f t="shared" si="110"/>
        <v>1793.21</v>
      </c>
      <c r="K1461" t="str">
        <f>[1]!revcom(C1461)</f>
        <v>GCCCGG</v>
      </c>
      <c r="L1461">
        <v>6</v>
      </c>
    </row>
    <row r="1462" spans="1:12" ht="15.6" x14ac:dyDescent="0.3">
      <c r="A1462" s="9">
        <v>1451</v>
      </c>
      <c r="B1462" s="1"/>
      <c r="C1462" s="2" t="s">
        <v>1457</v>
      </c>
      <c r="D1462" s="1"/>
      <c r="E1462" s="11">
        <f t="shared" si="111"/>
        <v>24</v>
      </c>
      <c r="F1462" s="12">
        <f t="shared" si="112"/>
        <v>100</v>
      </c>
      <c r="G1462" s="12" t="str">
        <f t="shared" si="113"/>
        <v>Warning</v>
      </c>
      <c r="H1462" s="13">
        <f t="shared" si="114"/>
        <v>6</v>
      </c>
      <c r="I1462" s="14">
        <f t="shared" si="110"/>
        <v>1833.2400000000002</v>
      </c>
      <c r="K1462" t="str">
        <f>[1]!revcom(C1462)</f>
        <v>CCCCGG</v>
      </c>
      <c r="L1462">
        <v>6</v>
      </c>
    </row>
    <row r="1463" spans="1:12" ht="15.6" x14ac:dyDescent="0.3">
      <c r="A1463" s="9">
        <v>1452</v>
      </c>
      <c r="B1463" s="1"/>
      <c r="C1463" s="2" t="s">
        <v>1458</v>
      </c>
      <c r="D1463" s="1"/>
      <c r="E1463" s="11">
        <f t="shared" si="111"/>
        <v>18</v>
      </c>
      <c r="F1463" s="12">
        <f t="shared" si="112"/>
        <v>83.333333333333343</v>
      </c>
      <c r="G1463" s="12" t="str">
        <f t="shared" si="113"/>
        <v>Warning</v>
      </c>
      <c r="H1463" s="13">
        <f t="shared" si="114"/>
        <v>6</v>
      </c>
      <c r="I1463" s="14">
        <f t="shared" si="110"/>
        <v>1808.2200000000003</v>
      </c>
      <c r="K1463" t="str">
        <f>[1]!revcom(C1463)</f>
        <v>ACCCGG</v>
      </c>
      <c r="L1463">
        <v>5</v>
      </c>
    </row>
    <row r="1464" spans="1:12" ht="15.6" x14ac:dyDescent="0.3">
      <c r="A1464" s="9">
        <v>1453</v>
      </c>
      <c r="B1464" s="1"/>
      <c r="C1464" s="2" t="s">
        <v>1459</v>
      </c>
      <c r="D1464" s="1"/>
      <c r="E1464" s="11">
        <f t="shared" si="111"/>
        <v>20</v>
      </c>
      <c r="F1464" s="12">
        <f t="shared" si="112"/>
        <v>66.666666666666657</v>
      </c>
      <c r="G1464" s="12" t="str">
        <f t="shared" si="113"/>
        <v>Warning</v>
      </c>
      <c r="H1464" s="13">
        <f t="shared" si="114"/>
        <v>6</v>
      </c>
      <c r="I1464" s="14">
        <f t="shared" si="110"/>
        <v>1792.2199999999998</v>
      </c>
      <c r="K1464" t="str">
        <f>[1]!revcom(C1464)</f>
        <v>TACCGG</v>
      </c>
      <c r="L1464">
        <v>6</v>
      </c>
    </row>
    <row r="1465" spans="1:12" ht="15.6" x14ac:dyDescent="0.3">
      <c r="A1465" s="9">
        <v>1454</v>
      </c>
      <c r="B1465" s="1"/>
      <c r="C1465" s="2" t="s">
        <v>1460</v>
      </c>
      <c r="D1465" s="1"/>
      <c r="E1465" s="11">
        <f t="shared" si="111"/>
        <v>18</v>
      </c>
      <c r="F1465" s="12">
        <f t="shared" si="112"/>
        <v>83.333333333333343</v>
      </c>
      <c r="G1465" s="12" t="str">
        <f t="shared" si="113"/>
        <v>Warning</v>
      </c>
      <c r="H1465" s="13">
        <f t="shared" si="114"/>
        <v>6</v>
      </c>
      <c r="I1465" s="14">
        <f t="shared" si="110"/>
        <v>1768.19</v>
      </c>
      <c r="K1465" t="str">
        <f>[1]!revcom(C1465)</f>
        <v>GACCGG</v>
      </c>
      <c r="L1465">
        <v>5</v>
      </c>
    </row>
    <row r="1466" spans="1:12" ht="15.6" x14ac:dyDescent="0.3">
      <c r="A1466" s="9">
        <v>1455</v>
      </c>
      <c r="B1466" s="1"/>
      <c r="C1466" s="2" t="s">
        <v>1461</v>
      </c>
      <c r="D1466" s="1"/>
      <c r="E1466" s="11">
        <f t="shared" si="111"/>
        <v>18</v>
      </c>
      <c r="F1466" s="12">
        <f t="shared" si="112"/>
        <v>83.333333333333343</v>
      </c>
      <c r="G1466" s="12" t="str">
        <f t="shared" si="113"/>
        <v>Warning</v>
      </c>
      <c r="H1466" s="13">
        <f t="shared" si="114"/>
        <v>6</v>
      </c>
      <c r="I1466" s="14">
        <f t="shared" si="110"/>
        <v>1808.2200000000003</v>
      </c>
      <c r="K1466" t="str">
        <f>[1]!revcom(C1466)</f>
        <v>CACCGG</v>
      </c>
      <c r="L1466">
        <v>5</v>
      </c>
    </row>
    <row r="1467" spans="1:12" ht="15.6" x14ac:dyDescent="0.3">
      <c r="A1467" s="9">
        <v>1456</v>
      </c>
      <c r="B1467" s="1"/>
      <c r="C1467" s="2" t="s">
        <v>1462</v>
      </c>
      <c r="D1467" s="1"/>
      <c r="E1467" s="11">
        <f t="shared" si="111"/>
        <v>12</v>
      </c>
      <c r="F1467" s="12">
        <f t="shared" si="112"/>
        <v>66.666666666666657</v>
      </c>
      <c r="G1467" s="12" t="str">
        <f t="shared" si="113"/>
        <v>Warning</v>
      </c>
      <c r="H1467" s="13">
        <f t="shared" si="114"/>
        <v>6</v>
      </c>
      <c r="I1467" s="14">
        <f t="shared" si="110"/>
        <v>1783.1999999999998</v>
      </c>
      <c r="K1467" t="str">
        <f>[1]!revcom(C1467)</f>
        <v>AACCGG</v>
      </c>
      <c r="L1467">
        <v>4</v>
      </c>
    </row>
    <row r="1468" spans="1:12" ht="15.6" x14ac:dyDescent="0.3">
      <c r="A1468" s="9">
        <v>1457</v>
      </c>
      <c r="B1468" s="1"/>
      <c r="C1468" s="2" t="s">
        <v>1463</v>
      </c>
      <c r="D1468" s="1"/>
      <c r="E1468" s="11">
        <f t="shared" si="111"/>
        <v>22</v>
      </c>
      <c r="F1468" s="12">
        <f t="shared" si="112"/>
        <v>50</v>
      </c>
      <c r="G1468" s="12" t="str">
        <f t="shared" si="113"/>
        <v>OK</v>
      </c>
      <c r="H1468" s="13">
        <f t="shared" si="114"/>
        <v>6</v>
      </c>
      <c r="I1468" s="14">
        <f t="shared" si="110"/>
        <v>1776.2199999999998</v>
      </c>
      <c r="K1468" t="str">
        <f>[1]!revcom(C1468)</f>
        <v>TTACGG</v>
      </c>
      <c r="L1468">
        <v>6</v>
      </c>
    </row>
    <row r="1469" spans="1:12" ht="15.6" x14ac:dyDescent="0.3">
      <c r="A1469" s="9">
        <v>1458</v>
      </c>
      <c r="B1469" s="1"/>
      <c r="C1469" s="2" t="s">
        <v>1464</v>
      </c>
      <c r="D1469" s="1"/>
      <c r="E1469" s="11">
        <f t="shared" si="111"/>
        <v>20</v>
      </c>
      <c r="F1469" s="12">
        <f t="shared" si="112"/>
        <v>66.666666666666657</v>
      </c>
      <c r="G1469" s="12" t="str">
        <f t="shared" si="113"/>
        <v>Warning</v>
      </c>
      <c r="H1469" s="13">
        <f t="shared" si="114"/>
        <v>6</v>
      </c>
      <c r="I1469" s="14">
        <f t="shared" si="110"/>
        <v>1752.19</v>
      </c>
      <c r="K1469" t="str">
        <f>[1]!revcom(C1469)</f>
        <v>GTACGG</v>
      </c>
      <c r="L1469">
        <v>6</v>
      </c>
    </row>
    <row r="1470" spans="1:12" ht="15.6" x14ac:dyDescent="0.3">
      <c r="A1470" s="9">
        <v>1459</v>
      </c>
      <c r="B1470" s="1"/>
      <c r="C1470" s="2" t="s">
        <v>1465</v>
      </c>
      <c r="D1470" s="1"/>
      <c r="E1470" s="11">
        <f t="shared" si="111"/>
        <v>20</v>
      </c>
      <c r="F1470" s="12">
        <f t="shared" si="112"/>
        <v>66.666666666666657</v>
      </c>
      <c r="G1470" s="12" t="str">
        <f t="shared" si="113"/>
        <v>Warning</v>
      </c>
      <c r="H1470" s="13">
        <f t="shared" si="114"/>
        <v>6</v>
      </c>
      <c r="I1470" s="14">
        <f t="shared" si="110"/>
        <v>1792.2199999999998</v>
      </c>
      <c r="K1470" t="str">
        <f>[1]!revcom(C1470)</f>
        <v>CTACGG</v>
      </c>
      <c r="L1470">
        <v>6</v>
      </c>
    </row>
    <row r="1471" spans="1:12" ht="15.6" x14ac:dyDescent="0.3">
      <c r="A1471" s="9">
        <v>1460</v>
      </c>
      <c r="B1471" s="1"/>
      <c r="C1471" s="2" t="s">
        <v>1466</v>
      </c>
      <c r="D1471" s="1"/>
      <c r="E1471" s="11">
        <f t="shared" si="111"/>
        <v>14</v>
      </c>
      <c r="F1471" s="12">
        <f t="shared" si="112"/>
        <v>50</v>
      </c>
      <c r="G1471" s="12" t="str">
        <f t="shared" si="113"/>
        <v>OK</v>
      </c>
      <c r="H1471" s="13">
        <f t="shared" si="114"/>
        <v>6</v>
      </c>
      <c r="I1471" s="14">
        <f t="shared" si="110"/>
        <v>1767.1999999999998</v>
      </c>
      <c r="K1471" t="str">
        <f>[1]!revcom(C1471)</f>
        <v>ATACGG</v>
      </c>
      <c r="L1471">
        <v>5</v>
      </c>
    </row>
    <row r="1472" spans="1:12" ht="15.6" x14ac:dyDescent="0.3">
      <c r="A1472" s="9">
        <v>1461</v>
      </c>
      <c r="B1472" s="1"/>
      <c r="C1472" s="2" t="s">
        <v>1467</v>
      </c>
      <c r="D1472" s="1"/>
      <c r="E1472" s="11">
        <f t="shared" si="111"/>
        <v>20</v>
      </c>
      <c r="F1472" s="12">
        <f t="shared" si="112"/>
        <v>66.666666666666657</v>
      </c>
      <c r="G1472" s="12" t="str">
        <f t="shared" si="113"/>
        <v>Warning</v>
      </c>
      <c r="H1472" s="13">
        <f t="shared" si="114"/>
        <v>6</v>
      </c>
      <c r="I1472" s="14">
        <f t="shared" si="110"/>
        <v>1752.19</v>
      </c>
      <c r="K1472" t="str">
        <f>[1]!revcom(C1472)</f>
        <v>TGACGG</v>
      </c>
      <c r="L1472">
        <v>6</v>
      </c>
    </row>
    <row r="1473" spans="1:12" ht="15.6" x14ac:dyDescent="0.3">
      <c r="A1473" s="9">
        <v>1462</v>
      </c>
      <c r="B1473" s="1"/>
      <c r="C1473" s="2" t="s">
        <v>1468</v>
      </c>
      <c r="D1473" s="1"/>
      <c r="E1473" s="11">
        <f t="shared" si="111"/>
        <v>18</v>
      </c>
      <c r="F1473" s="12">
        <f t="shared" si="112"/>
        <v>83.333333333333343</v>
      </c>
      <c r="G1473" s="12" t="str">
        <f t="shared" si="113"/>
        <v>Warning</v>
      </c>
      <c r="H1473" s="13">
        <f t="shared" si="114"/>
        <v>6</v>
      </c>
      <c r="I1473" s="14">
        <f t="shared" si="110"/>
        <v>1728.1599999999999</v>
      </c>
      <c r="K1473" t="str">
        <f>[1]!revcom(C1473)</f>
        <v>GGACGG</v>
      </c>
      <c r="L1473">
        <v>5</v>
      </c>
    </row>
    <row r="1474" spans="1:12" ht="15.6" x14ac:dyDescent="0.3">
      <c r="A1474" s="9">
        <v>1463</v>
      </c>
      <c r="B1474" s="1"/>
      <c r="C1474" s="2" t="s">
        <v>1469</v>
      </c>
      <c r="D1474" s="1"/>
      <c r="E1474" s="11">
        <f t="shared" si="111"/>
        <v>18</v>
      </c>
      <c r="F1474" s="12">
        <f t="shared" si="112"/>
        <v>83.333333333333343</v>
      </c>
      <c r="G1474" s="12" t="str">
        <f t="shared" si="113"/>
        <v>Warning</v>
      </c>
      <c r="H1474" s="13">
        <f t="shared" si="114"/>
        <v>6</v>
      </c>
      <c r="I1474" s="14">
        <f t="shared" si="110"/>
        <v>1768.19</v>
      </c>
      <c r="K1474" t="str">
        <f>[1]!revcom(C1474)</f>
        <v>CGACGG</v>
      </c>
      <c r="L1474">
        <v>5</v>
      </c>
    </row>
    <row r="1475" spans="1:12" ht="15.6" x14ac:dyDescent="0.3">
      <c r="A1475" s="9">
        <v>1464</v>
      </c>
      <c r="B1475" s="1"/>
      <c r="C1475" s="2" t="s">
        <v>1470</v>
      </c>
      <c r="D1475" s="1"/>
      <c r="E1475" s="11">
        <f t="shared" si="111"/>
        <v>12</v>
      </c>
      <c r="F1475" s="12">
        <f t="shared" si="112"/>
        <v>66.666666666666657</v>
      </c>
      <c r="G1475" s="12" t="str">
        <f t="shared" si="113"/>
        <v>Warning</v>
      </c>
      <c r="H1475" s="13">
        <f t="shared" si="114"/>
        <v>6</v>
      </c>
      <c r="I1475" s="14">
        <f t="shared" si="110"/>
        <v>1743.17</v>
      </c>
      <c r="K1475" t="str">
        <f>[1]!revcom(C1475)</f>
        <v>AGACGG</v>
      </c>
      <c r="L1475">
        <v>4</v>
      </c>
    </row>
    <row r="1476" spans="1:12" ht="15.6" x14ac:dyDescent="0.3">
      <c r="A1476" s="9">
        <v>1465</v>
      </c>
      <c r="B1476" s="1"/>
      <c r="C1476" s="2" t="s">
        <v>1471</v>
      </c>
      <c r="D1476" s="1"/>
      <c r="E1476" s="11">
        <f t="shared" si="111"/>
        <v>20</v>
      </c>
      <c r="F1476" s="12">
        <f t="shared" si="112"/>
        <v>66.666666666666657</v>
      </c>
      <c r="G1476" s="12" t="str">
        <f t="shared" si="113"/>
        <v>Warning</v>
      </c>
      <c r="H1476" s="13">
        <f t="shared" si="114"/>
        <v>6</v>
      </c>
      <c r="I1476" s="14">
        <f t="shared" si="110"/>
        <v>1792.2199999999998</v>
      </c>
      <c r="K1476" t="str">
        <f>[1]!revcom(C1476)</f>
        <v>TCACGG</v>
      </c>
      <c r="L1476">
        <v>6</v>
      </c>
    </row>
    <row r="1477" spans="1:12" ht="15.6" x14ac:dyDescent="0.3">
      <c r="A1477" s="9">
        <v>1466</v>
      </c>
      <c r="B1477" s="1"/>
      <c r="C1477" s="2" t="s">
        <v>1472</v>
      </c>
      <c r="D1477" s="1"/>
      <c r="E1477" s="11">
        <f t="shared" si="111"/>
        <v>18</v>
      </c>
      <c r="F1477" s="12">
        <f t="shared" si="112"/>
        <v>83.333333333333343</v>
      </c>
      <c r="G1477" s="12" t="str">
        <f t="shared" si="113"/>
        <v>Warning</v>
      </c>
      <c r="H1477" s="13">
        <f t="shared" si="114"/>
        <v>6</v>
      </c>
      <c r="I1477" s="14">
        <f t="shared" si="110"/>
        <v>1768.19</v>
      </c>
      <c r="K1477" t="str">
        <f>[1]!revcom(C1477)</f>
        <v>GCACGG</v>
      </c>
      <c r="L1477">
        <v>5</v>
      </c>
    </row>
    <row r="1478" spans="1:12" ht="15.6" x14ac:dyDescent="0.3">
      <c r="A1478" s="9">
        <v>1467</v>
      </c>
      <c r="B1478" s="1"/>
      <c r="C1478" s="2" t="s">
        <v>1473</v>
      </c>
      <c r="D1478" s="1"/>
      <c r="E1478" s="11">
        <f t="shared" si="111"/>
        <v>18</v>
      </c>
      <c r="F1478" s="12">
        <f t="shared" si="112"/>
        <v>83.333333333333343</v>
      </c>
      <c r="G1478" s="12" t="str">
        <f t="shared" si="113"/>
        <v>Warning</v>
      </c>
      <c r="H1478" s="13">
        <f t="shared" si="114"/>
        <v>6</v>
      </c>
      <c r="I1478" s="14">
        <f t="shared" si="110"/>
        <v>1808.2200000000003</v>
      </c>
      <c r="K1478" t="str">
        <f>[1]!revcom(C1478)</f>
        <v>CCACGG</v>
      </c>
      <c r="L1478">
        <v>5</v>
      </c>
    </row>
    <row r="1479" spans="1:12" ht="15.6" x14ac:dyDescent="0.3">
      <c r="A1479" s="9">
        <v>1468</v>
      </c>
      <c r="B1479" s="1"/>
      <c r="C1479" s="2" t="s">
        <v>1474</v>
      </c>
      <c r="D1479" s="1"/>
      <c r="E1479" s="11">
        <f t="shared" si="111"/>
        <v>12</v>
      </c>
      <c r="F1479" s="12">
        <f t="shared" si="112"/>
        <v>66.666666666666657</v>
      </c>
      <c r="G1479" s="12" t="str">
        <f t="shared" si="113"/>
        <v>Warning</v>
      </c>
      <c r="H1479" s="13">
        <f t="shared" si="114"/>
        <v>6</v>
      </c>
      <c r="I1479" s="14">
        <f t="shared" si="110"/>
        <v>1783.1999999999998</v>
      </c>
      <c r="K1479" t="str">
        <f>[1]!revcom(C1479)</f>
        <v>ACACGG</v>
      </c>
      <c r="L1479">
        <v>4</v>
      </c>
    </row>
    <row r="1480" spans="1:12" ht="15.6" x14ac:dyDescent="0.3">
      <c r="A1480" s="9">
        <v>1469</v>
      </c>
      <c r="B1480" s="1"/>
      <c r="C1480" s="2" t="s">
        <v>1475</v>
      </c>
      <c r="D1480" s="1"/>
      <c r="E1480" s="11">
        <f t="shared" si="111"/>
        <v>14</v>
      </c>
      <c r="F1480" s="12">
        <f t="shared" si="112"/>
        <v>50</v>
      </c>
      <c r="G1480" s="12" t="str">
        <f t="shared" si="113"/>
        <v>OK</v>
      </c>
      <c r="H1480" s="13">
        <f t="shared" si="114"/>
        <v>6</v>
      </c>
      <c r="I1480" s="14">
        <f t="shared" si="110"/>
        <v>1767.1999999999998</v>
      </c>
      <c r="K1480" t="str">
        <f>[1]!revcom(C1480)</f>
        <v>TAACGG</v>
      </c>
      <c r="L1480">
        <v>5</v>
      </c>
    </row>
    <row r="1481" spans="1:12" ht="15.6" x14ac:dyDescent="0.3">
      <c r="A1481" s="9">
        <v>1470</v>
      </c>
      <c r="B1481" s="1"/>
      <c r="C1481" s="2" t="s">
        <v>1476</v>
      </c>
      <c r="D1481" s="1"/>
      <c r="E1481" s="11">
        <f t="shared" si="111"/>
        <v>12</v>
      </c>
      <c r="F1481" s="12">
        <f t="shared" si="112"/>
        <v>66.666666666666657</v>
      </c>
      <c r="G1481" s="12" t="str">
        <f t="shared" si="113"/>
        <v>Warning</v>
      </c>
      <c r="H1481" s="13">
        <f t="shared" si="114"/>
        <v>6</v>
      </c>
      <c r="I1481" s="14">
        <f t="shared" si="110"/>
        <v>1743.17</v>
      </c>
      <c r="K1481" t="str">
        <f>[1]!revcom(C1481)</f>
        <v>GAACGG</v>
      </c>
      <c r="L1481">
        <v>4</v>
      </c>
    </row>
    <row r="1482" spans="1:12" ht="15.6" x14ac:dyDescent="0.3">
      <c r="A1482" s="9">
        <v>1471</v>
      </c>
      <c r="B1482" s="1"/>
      <c r="C1482" s="2" t="s">
        <v>1477</v>
      </c>
      <c r="D1482" s="1"/>
      <c r="E1482" s="11">
        <f t="shared" si="111"/>
        <v>12</v>
      </c>
      <c r="F1482" s="12">
        <f t="shared" si="112"/>
        <v>66.666666666666657</v>
      </c>
      <c r="G1482" s="12" t="str">
        <f t="shared" si="113"/>
        <v>Warning</v>
      </c>
      <c r="H1482" s="13">
        <f t="shared" si="114"/>
        <v>6</v>
      </c>
      <c r="I1482" s="14">
        <f t="shared" si="110"/>
        <v>1783.1999999999998</v>
      </c>
      <c r="K1482" t="str">
        <f>[1]!revcom(C1482)</f>
        <v>CAACGG</v>
      </c>
      <c r="L1482">
        <v>4</v>
      </c>
    </row>
    <row r="1483" spans="1:12" ht="15.6" x14ac:dyDescent="0.3">
      <c r="A1483" s="9">
        <v>1472</v>
      </c>
      <c r="B1483" s="1"/>
      <c r="C1483" s="2" t="s">
        <v>1478</v>
      </c>
      <c r="D1483" s="1"/>
      <c r="E1483" s="11">
        <f t="shared" si="111"/>
        <v>6</v>
      </c>
      <c r="F1483" s="12">
        <f t="shared" si="112"/>
        <v>50</v>
      </c>
      <c r="G1483" s="12" t="str">
        <f t="shared" si="113"/>
        <v>OK</v>
      </c>
      <c r="H1483" s="13">
        <f t="shared" si="114"/>
        <v>6</v>
      </c>
      <c r="I1483" s="14">
        <f t="shared" si="110"/>
        <v>1758.1799999999998</v>
      </c>
      <c r="K1483" t="str">
        <f>[1]!revcom(C1483)</f>
        <v>AAACGG</v>
      </c>
      <c r="L1483">
        <v>3</v>
      </c>
    </row>
    <row r="1484" spans="1:12" ht="15.6" x14ac:dyDescent="0.3">
      <c r="A1484" s="9">
        <v>1473</v>
      </c>
      <c r="B1484" s="1"/>
      <c r="C1484" s="2" t="s">
        <v>1479</v>
      </c>
      <c r="D1484" s="1"/>
      <c r="E1484" s="11">
        <f t="shared" si="111"/>
        <v>24</v>
      </c>
      <c r="F1484" s="12">
        <f t="shared" si="112"/>
        <v>33.333333333333329</v>
      </c>
      <c r="G1484" s="12" t="str">
        <f t="shared" si="113"/>
        <v>OK</v>
      </c>
      <c r="H1484" s="13">
        <f t="shared" si="114"/>
        <v>6</v>
      </c>
      <c r="I1484" s="14">
        <f t="shared" si="110"/>
        <v>1760.2199999999998</v>
      </c>
      <c r="K1484" t="str">
        <f>[1]!revcom(C1484)</f>
        <v>TTTAGG</v>
      </c>
      <c r="L1484">
        <v>6</v>
      </c>
    </row>
    <row r="1485" spans="1:12" ht="15.6" x14ac:dyDescent="0.3">
      <c r="A1485" s="9">
        <v>1474</v>
      </c>
      <c r="B1485" s="1"/>
      <c r="C1485" s="2" t="s">
        <v>1480</v>
      </c>
      <c r="D1485" s="1"/>
      <c r="E1485" s="11">
        <f t="shared" si="111"/>
        <v>22</v>
      </c>
      <c r="F1485" s="12">
        <f t="shared" si="112"/>
        <v>50</v>
      </c>
      <c r="G1485" s="12" t="str">
        <f t="shared" si="113"/>
        <v>OK</v>
      </c>
      <c r="H1485" s="13">
        <f t="shared" si="114"/>
        <v>6</v>
      </c>
      <c r="I1485" s="14">
        <f t="shared" ref="I1485:I1548" si="115">((LEN(C1485)-(LEN(SUBSTITUTE(C1485,"A",""))))*249.23)+((LEN(C1485)-(LEN(SUBSTITUTE(C1485,"T",""))))*240.21)+((LEN(C1485)-(LEN(SUBSTITUTE(C1485,"C",""))))*225.2)+((LEN(C1485)-(LEN(SUBSTITUTE(C1485,"G",""))))*265.23)+(63.98*(LEN(C1485)-1)+(2.02))</f>
        <v>1736.19</v>
      </c>
      <c r="K1485" t="str">
        <f>[1]!revcom(C1485)</f>
        <v>GTTAGG</v>
      </c>
      <c r="L1485">
        <v>6</v>
      </c>
    </row>
    <row r="1486" spans="1:12" ht="15.6" x14ac:dyDescent="0.3">
      <c r="A1486" s="9">
        <v>1475</v>
      </c>
      <c r="B1486" s="1"/>
      <c r="C1486" s="2" t="s">
        <v>1481</v>
      </c>
      <c r="D1486" s="1"/>
      <c r="E1486" s="11">
        <f t="shared" ref="E1486:E1549" si="116">IF(LEN(C1486)&gt;15,(69.3+((41*((LEN(C1486)-(((LEN(C1486)-(LEN(SUBSTITUTE(C1486,"A",""))))+((LEN(C1486)-(LEN(SUBSTITUTE(C1486,"T","")))))))))/(LEN(C1486)))-(650/(LEN(C1486))))),(2*((LEN(C1486)-(((LEN(C1486)-(LEN(SUBSTITUTE(C1486,"C",""))))+((LEN(C1486)-(LEN(SUBSTITUTE(C1486,"G",""))))))))))+(4*((LEN(C1486)-(((LEN(C1486)-(LEN(SUBSTITUTE(C1486,"T",""))))+((LEN(C1486)-(LEN(SUBSTITUTE(C1486,"T","")))))))))))</f>
        <v>22</v>
      </c>
      <c r="F1486" s="12">
        <f t="shared" ref="F1486:F1549" si="117">((LEN(C1486)- LEN(SUBSTITUTE(C1486,"G","")))+(LEN(C1486)- LEN(SUBSTITUTE(C1486,"C",""))) )/LEN(C1486)*100</f>
        <v>50</v>
      </c>
      <c r="G1486" s="12" t="str">
        <f t="shared" ref="G1486:G1549" si="118">IF((-5+((LEN(SUBSTITUTE(RIGHT(C1486,5),"C","")))+((LEN(SUBSTITUTE(RIGHT(C1486,5),"G",""))))))&gt;=3,"OK","Warning")</f>
        <v>OK</v>
      </c>
      <c r="H1486" s="13">
        <f t="shared" ref="H1486:H1549" si="119">LEN(C1486)</f>
        <v>6</v>
      </c>
      <c r="I1486" s="14">
        <f t="shared" si="115"/>
        <v>1776.2199999999998</v>
      </c>
      <c r="K1486" t="str">
        <f>[1]!revcom(C1486)</f>
        <v>CTTAGG</v>
      </c>
      <c r="L1486">
        <v>6</v>
      </c>
    </row>
    <row r="1487" spans="1:12" ht="15.6" x14ac:dyDescent="0.3">
      <c r="A1487" s="9">
        <v>1476</v>
      </c>
      <c r="B1487" s="1"/>
      <c r="C1487" s="2" t="s">
        <v>1482</v>
      </c>
      <c r="D1487" s="1"/>
      <c r="E1487" s="11">
        <f t="shared" si="116"/>
        <v>16</v>
      </c>
      <c r="F1487" s="12">
        <f t="shared" si="117"/>
        <v>33.333333333333329</v>
      </c>
      <c r="G1487" s="12" t="str">
        <f t="shared" si="118"/>
        <v>OK</v>
      </c>
      <c r="H1487" s="13">
        <f t="shared" si="119"/>
        <v>6</v>
      </c>
      <c r="I1487" s="14">
        <f t="shared" si="115"/>
        <v>1751.1999999999998</v>
      </c>
      <c r="K1487" t="str">
        <f>[1]!revcom(C1487)</f>
        <v>ATTAGG</v>
      </c>
      <c r="L1487">
        <v>5</v>
      </c>
    </row>
    <row r="1488" spans="1:12" ht="15.6" x14ac:dyDescent="0.3">
      <c r="A1488" s="9">
        <v>1477</v>
      </c>
      <c r="B1488" s="1"/>
      <c r="C1488" s="2" t="s">
        <v>1483</v>
      </c>
      <c r="D1488" s="1"/>
      <c r="E1488" s="11">
        <f t="shared" si="116"/>
        <v>22</v>
      </c>
      <c r="F1488" s="12">
        <f t="shared" si="117"/>
        <v>50</v>
      </c>
      <c r="G1488" s="12" t="str">
        <f t="shared" si="118"/>
        <v>OK</v>
      </c>
      <c r="H1488" s="13">
        <f t="shared" si="119"/>
        <v>6</v>
      </c>
      <c r="I1488" s="14">
        <f t="shared" si="115"/>
        <v>1736.19</v>
      </c>
      <c r="K1488" t="str">
        <f>[1]!revcom(C1488)</f>
        <v>TGTAGG</v>
      </c>
      <c r="L1488">
        <v>6</v>
      </c>
    </row>
    <row r="1489" spans="1:12" ht="15.6" x14ac:dyDescent="0.3">
      <c r="A1489" s="9">
        <v>1478</v>
      </c>
      <c r="B1489" s="1"/>
      <c r="C1489" s="2" t="s">
        <v>1484</v>
      </c>
      <c r="D1489" s="1"/>
      <c r="E1489" s="11">
        <f t="shared" si="116"/>
        <v>20</v>
      </c>
      <c r="F1489" s="12">
        <f t="shared" si="117"/>
        <v>66.666666666666657</v>
      </c>
      <c r="G1489" s="12" t="str">
        <f t="shared" si="118"/>
        <v>Warning</v>
      </c>
      <c r="H1489" s="13">
        <f t="shared" si="119"/>
        <v>6</v>
      </c>
      <c r="I1489" s="14">
        <f t="shared" si="115"/>
        <v>1712.1599999999999</v>
      </c>
      <c r="K1489" t="str">
        <f>[1]!revcom(C1489)</f>
        <v>GGTAGG</v>
      </c>
      <c r="L1489">
        <v>6</v>
      </c>
    </row>
    <row r="1490" spans="1:12" ht="15.6" x14ac:dyDescent="0.3">
      <c r="A1490" s="9">
        <v>1479</v>
      </c>
      <c r="B1490" s="1"/>
      <c r="C1490" s="2" t="s">
        <v>1485</v>
      </c>
      <c r="D1490" s="1"/>
      <c r="E1490" s="11">
        <f t="shared" si="116"/>
        <v>20</v>
      </c>
      <c r="F1490" s="12">
        <f t="shared" si="117"/>
        <v>66.666666666666657</v>
      </c>
      <c r="G1490" s="12" t="str">
        <f t="shared" si="118"/>
        <v>Warning</v>
      </c>
      <c r="H1490" s="13">
        <f t="shared" si="119"/>
        <v>6</v>
      </c>
      <c r="I1490" s="14">
        <f t="shared" si="115"/>
        <v>1752.19</v>
      </c>
      <c r="K1490" t="str">
        <f>[1]!revcom(C1490)</f>
        <v>CGTAGG</v>
      </c>
      <c r="L1490">
        <v>6</v>
      </c>
    </row>
    <row r="1491" spans="1:12" ht="15.6" x14ac:dyDescent="0.3">
      <c r="A1491" s="9">
        <v>1480</v>
      </c>
      <c r="B1491" s="1"/>
      <c r="C1491" s="2" t="s">
        <v>1486</v>
      </c>
      <c r="D1491" s="1"/>
      <c r="E1491" s="11">
        <f t="shared" si="116"/>
        <v>14</v>
      </c>
      <c r="F1491" s="12">
        <f t="shared" si="117"/>
        <v>50</v>
      </c>
      <c r="G1491" s="12" t="str">
        <f t="shared" si="118"/>
        <v>OK</v>
      </c>
      <c r="H1491" s="13">
        <f t="shared" si="119"/>
        <v>6</v>
      </c>
      <c r="I1491" s="14">
        <f t="shared" si="115"/>
        <v>1727.17</v>
      </c>
      <c r="K1491" t="str">
        <f>[1]!revcom(C1491)</f>
        <v>AGTAGG</v>
      </c>
      <c r="L1491">
        <v>5</v>
      </c>
    </row>
    <row r="1492" spans="1:12" ht="15.6" x14ac:dyDescent="0.3">
      <c r="A1492" s="9">
        <v>1481</v>
      </c>
      <c r="B1492" s="1"/>
      <c r="C1492" s="2" t="s">
        <v>1487</v>
      </c>
      <c r="D1492" s="1"/>
      <c r="E1492" s="11">
        <f t="shared" si="116"/>
        <v>22</v>
      </c>
      <c r="F1492" s="12">
        <f t="shared" si="117"/>
        <v>50</v>
      </c>
      <c r="G1492" s="12" t="str">
        <f t="shared" si="118"/>
        <v>OK</v>
      </c>
      <c r="H1492" s="13">
        <f t="shared" si="119"/>
        <v>6</v>
      </c>
      <c r="I1492" s="14">
        <f t="shared" si="115"/>
        <v>1776.2199999999998</v>
      </c>
      <c r="K1492" t="str">
        <f>[1]!revcom(C1492)</f>
        <v>TCTAGG</v>
      </c>
      <c r="L1492">
        <v>6</v>
      </c>
    </row>
    <row r="1493" spans="1:12" ht="15.6" x14ac:dyDescent="0.3">
      <c r="A1493" s="9">
        <v>1482</v>
      </c>
      <c r="B1493" s="1"/>
      <c r="C1493" s="2" t="s">
        <v>1488</v>
      </c>
      <c r="D1493" s="1"/>
      <c r="E1493" s="11">
        <f t="shared" si="116"/>
        <v>20</v>
      </c>
      <c r="F1493" s="12">
        <f t="shared" si="117"/>
        <v>66.666666666666657</v>
      </c>
      <c r="G1493" s="12" t="str">
        <f t="shared" si="118"/>
        <v>Warning</v>
      </c>
      <c r="H1493" s="13">
        <f t="shared" si="119"/>
        <v>6</v>
      </c>
      <c r="I1493" s="14">
        <f t="shared" si="115"/>
        <v>1752.19</v>
      </c>
      <c r="K1493" t="str">
        <f>[1]!revcom(C1493)</f>
        <v>GCTAGG</v>
      </c>
      <c r="L1493">
        <v>6</v>
      </c>
    </row>
    <row r="1494" spans="1:12" ht="15.6" x14ac:dyDescent="0.3">
      <c r="A1494" s="9">
        <v>1483</v>
      </c>
      <c r="B1494" s="1"/>
      <c r="C1494" s="2" t="s">
        <v>1489</v>
      </c>
      <c r="D1494" s="1"/>
      <c r="E1494" s="11">
        <f t="shared" si="116"/>
        <v>20</v>
      </c>
      <c r="F1494" s="12">
        <f t="shared" si="117"/>
        <v>66.666666666666657</v>
      </c>
      <c r="G1494" s="12" t="str">
        <f t="shared" si="118"/>
        <v>Warning</v>
      </c>
      <c r="H1494" s="13">
        <f t="shared" si="119"/>
        <v>6</v>
      </c>
      <c r="I1494" s="14">
        <f t="shared" si="115"/>
        <v>1792.2199999999998</v>
      </c>
      <c r="K1494" t="str">
        <f>[1]!revcom(C1494)</f>
        <v>CCTAGG</v>
      </c>
      <c r="L1494">
        <v>6</v>
      </c>
    </row>
    <row r="1495" spans="1:12" ht="15.6" x14ac:dyDescent="0.3">
      <c r="A1495" s="9">
        <v>1484</v>
      </c>
      <c r="B1495" s="1"/>
      <c r="C1495" s="2" t="s">
        <v>1490</v>
      </c>
      <c r="D1495" s="1"/>
      <c r="E1495" s="11">
        <f t="shared" si="116"/>
        <v>14</v>
      </c>
      <c r="F1495" s="12">
        <f t="shared" si="117"/>
        <v>50</v>
      </c>
      <c r="G1495" s="12" t="str">
        <f t="shared" si="118"/>
        <v>OK</v>
      </c>
      <c r="H1495" s="13">
        <f t="shared" si="119"/>
        <v>6</v>
      </c>
      <c r="I1495" s="14">
        <f t="shared" si="115"/>
        <v>1767.1999999999998</v>
      </c>
      <c r="K1495" t="str">
        <f>[1]!revcom(C1495)</f>
        <v>ACTAGG</v>
      </c>
      <c r="L1495">
        <v>5</v>
      </c>
    </row>
    <row r="1496" spans="1:12" ht="15.6" x14ac:dyDescent="0.3">
      <c r="A1496" s="9">
        <v>1485</v>
      </c>
      <c r="B1496" s="1"/>
      <c r="C1496" s="2" t="s">
        <v>1491</v>
      </c>
      <c r="D1496" s="1"/>
      <c r="E1496" s="11">
        <f t="shared" si="116"/>
        <v>16</v>
      </c>
      <c r="F1496" s="12">
        <f t="shared" si="117"/>
        <v>33.333333333333329</v>
      </c>
      <c r="G1496" s="12" t="str">
        <f t="shared" si="118"/>
        <v>OK</v>
      </c>
      <c r="H1496" s="13">
        <f t="shared" si="119"/>
        <v>6</v>
      </c>
      <c r="I1496" s="14">
        <f t="shared" si="115"/>
        <v>1751.1999999999998</v>
      </c>
      <c r="K1496" t="str">
        <f>[1]!revcom(C1496)</f>
        <v>TATAGG</v>
      </c>
      <c r="L1496">
        <v>5</v>
      </c>
    </row>
    <row r="1497" spans="1:12" ht="15.6" x14ac:dyDescent="0.3">
      <c r="A1497" s="9">
        <v>1486</v>
      </c>
      <c r="B1497" s="1"/>
      <c r="C1497" s="2" t="s">
        <v>1492</v>
      </c>
      <c r="D1497" s="1"/>
      <c r="E1497" s="11">
        <f t="shared" si="116"/>
        <v>14</v>
      </c>
      <c r="F1497" s="12">
        <f t="shared" si="117"/>
        <v>50</v>
      </c>
      <c r="G1497" s="12" t="str">
        <f t="shared" si="118"/>
        <v>OK</v>
      </c>
      <c r="H1497" s="13">
        <f t="shared" si="119"/>
        <v>6</v>
      </c>
      <c r="I1497" s="14">
        <f t="shared" si="115"/>
        <v>1727.17</v>
      </c>
      <c r="K1497" t="str">
        <f>[1]!revcom(C1497)</f>
        <v>GATAGG</v>
      </c>
      <c r="L1497">
        <v>5</v>
      </c>
    </row>
    <row r="1498" spans="1:12" ht="15.6" x14ac:dyDescent="0.3">
      <c r="A1498" s="9">
        <v>1487</v>
      </c>
      <c r="B1498" s="1"/>
      <c r="C1498" s="2" t="s">
        <v>1493</v>
      </c>
      <c r="D1498" s="1"/>
      <c r="E1498" s="11">
        <f t="shared" si="116"/>
        <v>14</v>
      </c>
      <c r="F1498" s="12">
        <f t="shared" si="117"/>
        <v>50</v>
      </c>
      <c r="G1498" s="12" t="str">
        <f t="shared" si="118"/>
        <v>OK</v>
      </c>
      <c r="H1498" s="13">
        <f t="shared" si="119"/>
        <v>6</v>
      </c>
      <c r="I1498" s="14">
        <f t="shared" si="115"/>
        <v>1767.1999999999998</v>
      </c>
      <c r="K1498" t="str">
        <f>[1]!revcom(C1498)</f>
        <v>CATAGG</v>
      </c>
      <c r="L1498">
        <v>5</v>
      </c>
    </row>
    <row r="1499" spans="1:12" ht="15.6" x14ac:dyDescent="0.3">
      <c r="A1499" s="9">
        <v>1488</v>
      </c>
      <c r="B1499" s="1"/>
      <c r="C1499" s="2" t="s">
        <v>1494</v>
      </c>
      <c r="D1499" s="1"/>
      <c r="E1499" s="11">
        <f t="shared" si="116"/>
        <v>8</v>
      </c>
      <c r="F1499" s="12">
        <f t="shared" si="117"/>
        <v>33.333333333333329</v>
      </c>
      <c r="G1499" s="12" t="str">
        <f t="shared" si="118"/>
        <v>OK</v>
      </c>
      <c r="H1499" s="13">
        <f t="shared" si="119"/>
        <v>6</v>
      </c>
      <c r="I1499" s="14">
        <f t="shared" si="115"/>
        <v>1742.1799999999998</v>
      </c>
      <c r="K1499" t="str">
        <f>[1]!revcom(C1499)</f>
        <v>AATAGG</v>
      </c>
      <c r="L1499">
        <v>4</v>
      </c>
    </row>
    <row r="1500" spans="1:12" ht="15.6" x14ac:dyDescent="0.3">
      <c r="A1500" s="9">
        <v>1489</v>
      </c>
      <c r="B1500" s="1"/>
      <c r="C1500" s="2" t="s">
        <v>1495</v>
      </c>
      <c r="D1500" s="1"/>
      <c r="E1500" s="11">
        <f t="shared" si="116"/>
        <v>22</v>
      </c>
      <c r="F1500" s="12">
        <f t="shared" si="117"/>
        <v>50</v>
      </c>
      <c r="G1500" s="12" t="str">
        <f t="shared" si="118"/>
        <v>OK</v>
      </c>
      <c r="H1500" s="13">
        <f t="shared" si="119"/>
        <v>6</v>
      </c>
      <c r="I1500" s="14">
        <f t="shared" si="115"/>
        <v>1736.19</v>
      </c>
      <c r="K1500" t="str">
        <f>[1]!revcom(C1500)</f>
        <v>TTGAGG</v>
      </c>
      <c r="L1500">
        <v>6</v>
      </c>
    </row>
    <row r="1501" spans="1:12" ht="15.6" x14ac:dyDescent="0.3">
      <c r="A1501" s="9">
        <v>1490</v>
      </c>
      <c r="B1501" s="1"/>
      <c r="C1501" s="2" t="s">
        <v>1496</v>
      </c>
      <c r="D1501" s="1"/>
      <c r="E1501" s="11">
        <f t="shared" si="116"/>
        <v>20</v>
      </c>
      <c r="F1501" s="12">
        <f t="shared" si="117"/>
        <v>66.666666666666657</v>
      </c>
      <c r="G1501" s="12" t="str">
        <f t="shared" si="118"/>
        <v>Warning</v>
      </c>
      <c r="H1501" s="13">
        <f t="shared" si="119"/>
        <v>6</v>
      </c>
      <c r="I1501" s="14">
        <f t="shared" si="115"/>
        <v>1712.1599999999999</v>
      </c>
      <c r="K1501" t="str">
        <f>[1]!revcom(C1501)</f>
        <v>GTGAGG</v>
      </c>
      <c r="L1501">
        <v>6</v>
      </c>
    </row>
    <row r="1502" spans="1:12" ht="15.6" x14ac:dyDescent="0.3">
      <c r="A1502" s="9">
        <v>1491</v>
      </c>
      <c r="B1502" s="1"/>
      <c r="C1502" s="2" t="s">
        <v>1497</v>
      </c>
      <c r="D1502" s="1"/>
      <c r="E1502" s="11">
        <f t="shared" si="116"/>
        <v>20</v>
      </c>
      <c r="F1502" s="12">
        <f t="shared" si="117"/>
        <v>66.666666666666657</v>
      </c>
      <c r="G1502" s="12" t="str">
        <f t="shared" si="118"/>
        <v>Warning</v>
      </c>
      <c r="H1502" s="13">
        <f t="shared" si="119"/>
        <v>6</v>
      </c>
      <c r="I1502" s="14">
        <f t="shared" si="115"/>
        <v>1752.19</v>
      </c>
      <c r="K1502" t="str">
        <f>[1]!revcom(C1502)</f>
        <v>CTGAGG</v>
      </c>
      <c r="L1502">
        <v>6</v>
      </c>
    </row>
    <row r="1503" spans="1:12" ht="15.6" x14ac:dyDescent="0.3">
      <c r="A1503" s="9">
        <v>1492</v>
      </c>
      <c r="B1503" s="1"/>
      <c r="C1503" s="2" t="s">
        <v>1498</v>
      </c>
      <c r="D1503" s="1"/>
      <c r="E1503" s="11">
        <f t="shared" si="116"/>
        <v>14</v>
      </c>
      <c r="F1503" s="12">
        <f t="shared" si="117"/>
        <v>50</v>
      </c>
      <c r="G1503" s="12" t="str">
        <f t="shared" si="118"/>
        <v>OK</v>
      </c>
      <c r="H1503" s="13">
        <f t="shared" si="119"/>
        <v>6</v>
      </c>
      <c r="I1503" s="14">
        <f t="shared" si="115"/>
        <v>1727.17</v>
      </c>
      <c r="K1503" t="str">
        <f>[1]!revcom(C1503)</f>
        <v>ATGAGG</v>
      </c>
      <c r="L1503">
        <v>5</v>
      </c>
    </row>
    <row r="1504" spans="1:12" ht="15.6" x14ac:dyDescent="0.3">
      <c r="A1504" s="9">
        <v>1493</v>
      </c>
      <c r="B1504" s="1"/>
      <c r="C1504" s="2" t="s">
        <v>1499</v>
      </c>
      <c r="D1504" s="1"/>
      <c r="E1504" s="11">
        <f t="shared" si="116"/>
        <v>20</v>
      </c>
      <c r="F1504" s="12">
        <f t="shared" si="117"/>
        <v>66.666666666666657</v>
      </c>
      <c r="G1504" s="12" t="str">
        <f t="shared" si="118"/>
        <v>Warning</v>
      </c>
      <c r="H1504" s="13">
        <f t="shared" si="119"/>
        <v>6</v>
      </c>
      <c r="I1504" s="14">
        <f t="shared" si="115"/>
        <v>1712.1599999999999</v>
      </c>
      <c r="K1504" t="str">
        <f>[1]!revcom(C1504)</f>
        <v>TGGAGG</v>
      </c>
      <c r="L1504">
        <v>6</v>
      </c>
    </row>
    <row r="1505" spans="1:12" ht="15.6" x14ac:dyDescent="0.3">
      <c r="A1505" s="9">
        <v>1494</v>
      </c>
      <c r="B1505" s="1"/>
      <c r="C1505" s="2" t="s">
        <v>1500</v>
      </c>
      <c r="D1505" s="1"/>
      <c r="E1505" s="11">
        <f t="shared" si="116"/>
        <v>18</v>
      </c>
      <c r="F1505" s="12">
        <f t="shared" si="117"/>
        <v>83.333333333333343</v>
      </c>
      <c r="G1505" s="12" t="str">
        <f t="shared" si="118"/>
        <v>Warning</v>
      </c>
      <c r="H1505" s="13">
        <f t="shared" si="119"/>
        <v>6</v>
      </c>
      <c r="I1505" s="14">
        <f t="shared" si="115"/>
        <v>1688.13</v>
      </c>
      <c r="K1505" t="str">
        <f>[1]!revcom(C1505)</f>
        <v>GGGAGG</v>
      </c>
      <c r="L1505">
        <v>5</v>
      </c>
    </row>
    <row r="1506" spans="1:12" ht="15.6" x14ac:dyDescent="0.3">
      <c r="A1506" s="9">
        <v>1495</v>
      </c>
      <c r="B1506" s="1"/>
      <c r="C1506" s="2" t="s">
        <v>1501</v>
      </c>
      <c r="D1506" s="1"/>
      <c r="E1506" s="11">
        <f t="shared" si="116"/>
        <v>18</v>
      </c>
      <c r="F1506" s="12">
        <f t="shared" si="117"/>
        <v>83.333333333333343</v>
      </c>
      <c r="G1506" s="12" t="str">
        <f t="shared" si="118"/>
        <v>Warning</v>
      </c>
      <c r="H1506" s="13">
        <f t="shared" si="119"/>
        <v>6</v>
      </c>
      <c r="I1506" s="14">
        <f t="shared" si="115"/>
        <v>1728.1599999999999</v>
      </c>
      <c r="K1506" t="str">
        <f>[1]!revcom(C1506)</f>
        <v>CGGAGG</v>
      </c>
      <c r="L1506">
        <v>5</v>
      </c>
    </row>
    <row r="1507" spans="1:12" ht="15.6" x14ac:dyDescent="0.3">
      <c r="A1507" s="9">
        <v>1496</v>
      </c>
      <c r="B1507" s="1"/>
      <c r="C1507" s="2" t="s">
        <v>1502</v>
      </c>
      <c r="D1507" s="1"/>
      <c r="E1507" s="11">
        <f t="shared" si="116"/>
        <v>12</v>
      </c>
      <c r="F1507" s="12">
        <f t="shared" si="117"/>
        <v>66.666666666666657</v>
      </c>
      <c r="G1507" s="12" t="str">
        <f t="shared" si="118"/>
        <v>Warning</v>
      </c>
      <c r="H1507" s="13">
        <f t="shared" si="119"/>
        <v>6</v>
      </c>
      <c r="I1507" s="14">
        <f t="shared" si="115"/>
        <v>1703.1399999999999</v>
      </c>
      <c r="K1507" t="str">
        <f>[1]!revcom(C1507)</f>
        <v>AGGAGG</v>
      </c>
      <c r="L1507">
        <v>4</v>
      </c>
    </row>
    <row r="1508" spans="1:12" ht="15.6" x14ac:dyDescent="0.3">
      <c r="A1508" s="9">
        <v>1497</v>
      </c>
      <c r="B1508" s="1"/>
      <c r="C1508" s="2" t="s">
        <v>1503</v>
      </c>
      <c r="D1508" s="1"/>
      <c r="E1508" s="11">
        <f t="shared" si="116"/>
        <v>20</v>
      </c>
      <c r="F1508" s="12">
        <f t="shared" si="117"/>
        <v>66.666666666666657</v>
      </c>
      <c r="G1508" s="12" t="str">
        <f t="shared" si="118"/>
        <v>Warning</v>
      </c>
      <c r="H1508" s="13">
        <f t="shared" si="119"/>
        <v>6</v>
      </c>
      <c r="I1508" s="14">
        <f t="shared" si="115"/>
        <v>1752.19</v>
      </c>
      <c r="K1508" t="str">
        <f>[1]!revcom(C1508)</f>
        <v>TCGAGG</v>
      </c>
      <c r="L1508">
        <v>6</v>
      </c>
    </row>
    <row r="1509" spans="1:12" ht="15.6" x14ac:dyDescent="0.3">
      <c r="A1509" s="9">
        <v>1498</v>
      </c>
      <c r="B1509" s="1"/>
      <c r="C1509" s="2" t="s">
        <v>1504</v>
      </c>
      <c r="D1509" s="1"/>
      <c r="E1509" s="11">
        <f t="shared" si="116"/>
        <v>18</v>
      </c>
      <c r="F1509" s="12">
        <f t="shared" si="117"/>
        <v>83.333333333333343</v>
      </c>
      <c r="G1509" s="12" t="str">
        <f t="shared" si="118"/>
        <v>Warning</v>
      </c>
      <c r="H1509" s="13">
        <f t="shared" si="119"/>
        <v>6</v>
      </c>
      <c r="I1509" s="14">
        <f t="shared" si="115"/>
        <v>1728.1599999999999</v>
      </c>
      <c r="K1509" t="str">
        <f>[1]!revcom(C1509)</f>
        <v>GCGAGG</v>
      </c>
      <c r="L1509">
        <v>5</v>
      </c>
    </row>
    <row r="1510" spans="1:12" ht="15.6" x14ac:dyDescent="0.3">
      <c r="A1510" s="9">
        <v>1499</v>
      </c>
      <c r="B1510" s="1"/>
      <c r="C1510" s="2" t="s">
        <v>1505</v>
      </c>
      <c r="D1510" s="1"/>
      <c r="E1510" s="11">
        <f t="shared" si="116"/>
        <v>18</v>
      </c>
      <c r="F1510" s="12">
        <f t="shared" si="117"/>
        <v>83.333333333333343</v>
      </c>
      <c r="G1510" s="12" t="str">
        <f t="shared" si="118"/>
        <v>Warning</v>
      </c>
      <c r="H1510" s="13">
        <f t="shared" si="119"/>
        <v>6</v>
      </c>
      <c r="I1510" s="14">
        <f t="shared" si="115"/>
        <v>1768.19</v>
      </c>
      <c r="K1510" t="str">
        <f>[1]!revcom(C1510)</f>
        <v>CCGAGG</v>
      </c>
      <c r="L1510">
        <v>5</v>
      </c>
    </row>
    <row r="1511" spans="1:12" ht="15.6" x14ac:dyDescent="0.3">
      <c r="A1511" s="9">
        <v>1500</v>
      </c>
      <c r="B1511" s="1"/>
      <c r="C1511" s="2" t="s">
        <v>1506</v>
      </c>
      <c r="D1511" s="1"/>
      <c r="E1511" s="11">
        <f t="shared" si="116"/>
        <v>12</v>
      </c>
      <c r="F1511" s="12">
        <f t="shared" si="117"/>
        <v>66.666666666666657</v>
      </c>
      <c r="G1511" s="12" t="str">
        <f t="shared" si="118"/>
        <v>Warning</v>
      </c>
      <c r="H1511" s="13">
        <f t="shared" si="119"/>
        <v>6</v>
      </c>
      <c r="I1511" s="14">
        <f t="shared" si="115"/>
        <v>1743.17</v>
      </c>
      <c r="K1511" t="str">
        <f>[1]!revcom(C1511)</f>
        <v>ACGAGG</v>
      </c>
      <c r="L1511">
        <v>4</v>
      </c>
    </row>
    <row r="1512" spans="1:12" ht="15.6" x14ac:dyDescent="0.3">
      <c r="A1512" s="9">
        <v>1501</v>
      </c>
      <c r="B1512" s="1"/>
      <c r="C1512" s="2" t="s">
        <v>1507</v>
      </c>
      <c r="D1512" s="1"/>
      <c r="E1512" s="11">
        <f t="shared" si="116"/>
        <v>14</v>
      </c>
      <c r="F1512" s="12">
        <f t="shared" si="117"/>
        <v>50</v>
      </c>
      <c r="G1512" s="12" t="str">
        <f t="shared" si="118"/>
        <v>OK</v>
      </c>
      <c r="H1512" s="13">
        <f t="shared" si="119"/>
        <v>6</v>
      </c>
      <c r="I1512" s="14">
        <f t="shared" si="115"/>
        <v>1727.17</v>
      </c>
      <c r="K1512" t="str">
        <f>[1]!revcom(C1512)</f>
        <v>TAGAGG</v>
      </c>
      <c r="L1512">
        <v>5</v>
      </c>
    </row>
    <row r="1513" spans="1:12" ht="15.6" x14ac:dyDescent="0.3">
      <c r="A1513" s="9">
        <v>1502</v>
      </c>
      <c r="B1513" s="1"/>
      <c r="C1513" s="2" t="s">
        <v>1508</v>
      </c>
      <c r="D1513" s="1"/>
      <c r="E1513" s="11">
        <f t="shared" si="116"/>
        <v>12</v>
      </c>
      <c r="F1513" s="12">
        <f t="shared" si="117"/>
        <v>66.666666666666657</v>
      </c>
      <c r="G1513" s="12" t="str">
        <f t="shared" si="118"/>
        <v>Warning</v>
      </c>
      <c r="H1513" s="13">
        <f t="shared" si="119"/>
        <v>6</v>
      </c>
      <c r="I1513" s="14">
        <f t="shared" si="115"/>
        <v>1703.1399999999999</v>
      </c>
      <c r="K1513" t="str">
        <f>[1]!revcom(C1513)</f>
        <v>GAGAGG</v>
      </c>
      <c r="L1513">
        <v>4</v>
      </c>
    </row>
    <row r="1514" spans="1:12" ht="15.6" x14ac:dyDescent="0.3">
      <c r="A1514" s="9">
        <v>1503</v>
      </c>
      <c r="B1514" s="1"/>
      <c r="C1514" s="2" t="s">
        <v>1509</v>
      </c>
      <c r="D1514" s="1"/>
      <c r="E1514" s="11">
        <f t="shared" si="116"/>
        <v>12</v>
      </c>
      <c r="F1514" s="12">
        <f t="shared" si="117"/>
        <v>66.666666666666657</v>
      </c>
      <c r="G1514" s="12" t="str">
        <f t="shared" si="118"/>
        <v>Warning</v>
      </c>
      <c r="H1514" s="13">
        <f t="shared" si="119"/>
        <v>6</v>
      </c>
      <c r="I1514" s="14">
        <f t="shared" si="115"/>
        <v>1743.17</v>
      </c>
      <c r="K1514" t="str">
        <f>[1]!revcom(C1514)</f>
        <v>CAGAGG</v>
      </c>
      <c r="L1514">
        <v>4</v>
      </c>
    </row>
    <row r="1515" spans="1:12" ht="15.6" x14ac:dyDescent="0.3">
      <c r="A1515" s="9">
        <v>1504</v>
      </c>
      <c r="B1515" s="1"/>
      <c r="C1515" s="2" t="s">
        <v>1510</v>
      </c>
      <c r="D1515" s="1"/>
      <c r="E1515" s="11">
        <f t="shared" si="116"/>
        <v>6</v>
      </c>
      <c r="F1515" s="12">
        <f t="shared" si="117"/>
        <v>50</v>
      </c>
      <c r="G1515" s="12" t="str">
        <f t="shared" si="118"/>
        <v>OK</v>
      </c>
      <c r="H1515" s="13">
        <f t="shared" si="119"/>
        <v>6</v>
      </c>
      <c r="I1515" s="14">
        <f t="shared" si="115"/>
        <v>1718.15</v>
      </c>
      <c r="K1515" t="str">
        <f>[1]!revcom(C1515)</f>
        <v>AAGAGG</v>
      </c>
      <c r="L1515">
        <v>3</v>
      </c>
    </row>
    <row r="1516" spans="1:12" ht="15.6" x14ac:dyDescent="0.3">
      <c r="A1516" s="9">
        <v>1505</v>
      </c>
      <c r="B1516" s="1"/>
      <c r="C1516" s="2" t="s">
        <v>1511</v>
      </c>
      <c r="D1516" s="1"/>
      <c r="E1516" s="11">
        <f t="shared" si="116"/>
        <v>22</v>
      </c>
      <c r="F1516" s="12">
        <f t="shared" si="117"/>
        <v>50</v>
      </c>
      <c r="G1516" s="12" t="str">
        <f t="shared" si="118"/>
        <v>OK</v>
      </c>
      <c r="H1516" s="13">
        <f t="shared" si="119"/>
        <v>6</v>
      </c>
      <c r="I1516" s="14">
        <f t="shared" si="115"/>
        <v>1776.2199999999998</v>
      </c>
      <c r="K1516" t="str">
        <f>[1]!revcom(C1516)</f>
        <v>TTCAGG</v>
      </c>
      <c r="L1516">
        <v>6</v>
      </c>
    </row>
    <row r="1517" spans="1:12" ht="15.6" x14ac:dyDescent="0.3">
      <c r="A1517" s="9">
        <v>1506</v>
      </c>
      <c r="B1517" s="1"/>
      <c r="C1517" s="2" t="s">
        <v>1512</v>
      </c>
      <c r="D1517" s="1"/>
      <c r="E1517" s="11">
        <f t="shared" si="116"/>
        <v>20</v>
      </c>
      <c r="F1517" s="12">
        <f t="shared" si="117"/>
        <v>66.666666666666657</v>
      </c>
      <c r="G1517" s="12" t="str">
        <f t="shared" si="118"/>
        <v>Warning</v>
      </c>
      <c r="H1517" s="13">
        <f t="shared" si="119"/>
        <v>6</v>
      </c>
      <c r="I1517" s="14">
        <f t="shared" si="115"/>
        <v>1752.19</v>
      </c>
      <c r="K1517" t="str">
        <f>[1]!revcom(C1517)</f>
        <v>GTCAGG</v>
      </c>
      <c r="L1517">
        <v>6</v>
      </c>
    </row>
    <row r="1518" spans="1:12" ht="15.6" x14ac:dyDescent="0.3">
      <c r="A1518" s="9">
        <v>1507</v>
      </c>
      <c r="B1518" s="1"/>
      <c r="C1518" s="2" t="s">
        <v>1513</v>
      </c>
      <c r="D1518" s="1"/>
      <c r="E1518" s="11">
        <f t="shared" si="116"/>
        <v>20</v>
      </c>
      <c r="F1518" s="12">
        <f t="shared" si="117"/>
        <v>66.666666666666657</v>
      </c>
      <c r="G1518" s="12" t="str">
        <f t="shared" si="118"/>
        <v>Warning</v>
      </c>
      <c r="H1518" s="13">
        <f t="shared" si="119"/>
        <v>6</v>
      </c>
      <c r="I1518" s="14">
        <f t="shared" si="115"/>
        <v>1792.2199999999998</v>
      </c>
      <c r="K1518" t="str">
        <f>[1]!revcom(C1518)</f>
        <v>CTCAGG</v>
      </c>
      <c r="L1518">
        <v>6</v>
      </c>
    </row>
    <row r="1519" spans="1:12" ht="15.6" x14ac:dyDescent="0.3">
      <c r="A1519" s="9">
        <v>1508</v>
      </c>
      <c r="B1519" s="1"/>
      <c r="C1519" s="2" t="s">
        <v>1514</v>
      </c>
      <c r="D1519" s="1"/>
      <c r="E1519" s="11">
        <f t="shared" si="116"/>
        <v>14</v>
      </c>
      <c r="F1519" s="12">
        <f t="shared" si="117"/>
        <v>50</v>
      </c>
      <c r="G1519" s="12" t="str">
        <f t="shared" si="118"/>
        <v>OK</v>
      </c>
      <c r="H1519" s="13">
        <f t="shared" si="119"/>
        <v>6</v>
      </c>
      <c r="I1519" s="14">
        <f t="shared" si="115"/>
        <v>1767.1999999999998</v>
      </c>
      <c r="K1519" t="str">
        <f>[1]!revcom(C1519)</f>
        <v>ATCAGG</v>
      </c>
      <c r="L1519">
        <v>5</v>
      </c>
    </row>
    <row r="1520" spans="1:12" ht="15.6" x14ac:dyDescent="0.3">
      <c r="A1520" s="9">
        <v>1509</v>
      </c>
      <c r="B1520" s="1"/>
      <c r="C1520" s="2" t="s">
        <v>1515</v>
      </c>
      <c r="D1520" s="1"/>
      <c r="E1520" s="11">
        <f t="shared" si="116"/>
        <v>20</v>
      </c>
      <c r="F1520" s="12">
        <f t="shared" si="117"/>
        <v>66.666666666666657</v>
      </c>
      <c r="G1520" s="12" t="str">
        <f t="shared" si="118"/>
        <v>Warning</v>
      </c>
      <c r="H1520" s="13">
        <f t="shared" si="119"/>
        <v>6</v>
      </c>
      <c r="I1520" s="14">
        <f t="shared" si="115"/>
        <v>1752.19</v>
      </c>
      <c r="K1520" t="str">
        <f>[1]!revcom(C1520)</f>
        <v>TGCAGG</v>
      </c>
      <c r="L1520">
        <v>6</v>
      </c>
    </row>
    <row r="1521" spans="1:12" ht="15.6" x14ac:dyDescent="0.3">
      <c r="A1521" s="9">
        <v>1510</v>
      </c>
      <c r="B1521" s="1"/>
      <c r="C1521" s="2" t="s">
        <v>1516</v>
      </c>
      <c r="D1521" s="1"/>
      <c r="E1521" s="11">
        <f t="shared" si="116"/>
        <v>18</v>
      </c>
      <c r="F1521" s="12">
        <f t="shared" si="117"/>
        <v>83.333333333333343</v>
      </c>
      <c r="G1521" s="12" t="str">
        <f t="shared" si="118"/>
        <v>Warning</v>
      </c>
      <c r="H1521" s="13">
        <f t="shared" si="119"/>
        <v>6</v>
      </c>
      <c r="I1521" s="14">
        <f t="shared" si="115"/>
        <v>1728.1599999999999</v>
      </c>
      <c r="K1521" t="str">
        <f>[1]!revcom(C1521)</f>
        <v>GGCAGG</v>
      </c>
      <c r="L1521">
        <v>5</v>
      </c>
    </row>
    <row r="1522" spans="1:12" ht="15.6" x14ac:dyDescent="0.3">
      <c r="A1522" s="9">
        <v>1511</v>
      </c>
      <c r="B1522" s="1"/>
      <c r="C1522" s="2" t="s">
        <v>1517</v>
      </c>
      <c r="D1522" s="1"/>
      <c r="E1522" s="11">
        <f t="shared" si="116"/>
        <v>18</v>
      </c>
      <c r="F1522" s="12">
        <f t="shared" si="117"/>
        <v>83.333333333333343</v>
      </c>
      <c r="G1522" s="12" t="str">
        <f t="shared" si="118"/>
        <v>Warning</v>
      </c>
      <c r="H1522" s="13">
        <f t="shared" si="119"/>
        <v>6</v>
      </c>
      <c r="I1522" s="14">
        <f t="shared" si="115"/>
        <v>1768.19</v>
      </c>
      <c r="K1522" t="str">
        <f>[1]!revcom(C1522)</f>
        <v>CGCAGG</v>
      </c>
      <c r="L1522">
        <v>5</v>
      </c>
    </row>
    <row r="1523" spans="1:12" ht="15.6" x14ac:dyDescent="0.3">
      <c r="A1523" s="9">
        <v>1512</v>
      </c>
      <c r="B1523" s="1"/>
      <c r="C1523" s="2" t="s">
        <v>1518</v>
      </c>
      <c r="D1523" s="1"/>
      <c r="E1523" s="11">
        <f t="shared" si="116"/>
        <v>12</v>
      </c>
      <c r="F1523" s="12">
        <f t="shared" si="117"/>
        <v>66.666666666666657</v>
      </c>
      <c r="G1523" s="12" t="str">
        <f t="shared" si="118"/>
        <v>Warning</v>
      </c>
      <c r="H1523" s="13">
        <f t="shared" si="119"/>
        <v>6</v>
      </c>
      <c r="I1523" s="14">
        <f t="shared" si="115"/>
        <v>1743.17</v>
      </c>
      <c r="K1523" t="str">
        <f>[1]!revcom(C1523)</f>
        <v>AGCAGG</v>
      </c>
      <c r="L1523">
        <v>4</v>
      </c>
    </row>
    <row r="1524" spans="1:12" ht="15.6" x14ac:dyDescent="0.3">
      <c r="A1524" s="9">
        <v>1513</v>
      </c>
      <c r="B1524" s="1"/>
      <c r="C1524" s="2" t="s">
        <v>1519</v>
      </c>
      <c r="D1524" s="1"/>
      <c r="E1524" s="11">
        <f t="shared" si="116"/>
        <v>20</v>
      </c>
      <c r="F1524" s="12">
        <f t="shared" si="117"/>
        <v>66.666666666666657</v>
      </c>
      <c r="G1524" s="12" t="str">
        <f t="shared" si="118"/>
        <v>Warning</v>
      </c>
      <c r="H1524" s="13">
        <f t="shared" si="119"/>
        <v>6</v>
      </c>
      <c r="I1524" s="14">
        <f t="shared" si="115"/>
        <v>1792.2199999999998</v>
      </c>
      <c r="K1524" t="str">
        <f>[1]!revcom(C1524)</f>
        <v>TCCAGG</v>
      </c>
      <c r="L1524">
        <v>6</v>
      </c>
    </row>
    <row r="1525" spans="1:12" ht="15.6" x14ac:dyDescent="0.3">
      <c r="A1525" s="9">
        <v>1514</v>
      </c>
      <c r="B1525" s="1"/>
      <c r="C1525" s="2" t="s">
        <v>1520</v>
      </c>
      <c r="D1525" s="1"/>
      <c r="E1525" s="11">
        <f t="shared" si="116"/>
        <v>18</v>
      </c>
      <c r="F1525" s="12">
        <f t="shared" si="117"/>
        <v>83.333333333333343</v>
      </c>
      <c r="G1525" s="12" t="str">
        <f t="shared" si="118"/>
        <v>Warning</v>
      </c>
      <c r="H1525" s="13">
        <f t="shared" si="119"/>
        <v>6</v>
      </c>
      <c r="I1525" s="14">
        <f t="shared" si="115"/>
        <v>1768.19</v>
      </c>
      <c r="K1525" t="str">
        <f>[1]!revcom(C1525)</f>
        <v>GCCAGG</v>
      </c>
      <c r="L1525">
        <v>5</v>
      </c>
    </row>
    <row r="1526" spans="1:12" ht="15.6" x14ac:dyDescent="0.3">
      <c r="A1526" s="9">
        <v>1515</v>
      </c>
      <c r="B1526" s="1"/>
      <c r="C1526" s="2" t="s">
        <v>1521</v>
      </c>
      <c r="D1526" s="1"/>
      <c r="E1526" s="11">
        <f t="shared" si="116"/>
        <v>18</v>
      </c>
      <c r="F1526" s="12">
        <f t="shared" si="117"/>
        <v>83.333333333333343</v>
      </c>
      <c r="G1526" s="12" t="str">
        <f t="shared" si="118"/>
        <v>Warning</v>
      </c>
      <c r="H1526" s="13">
        <f t="shared" si="119"/>
        <v>6</v>
      </c>
      <c r="I1526" s="14">
        <f t="shared" si="115"/>
        <v>1808.2200000000003</v>
      </c>
      <c r="K1526" t="str">
        <f>[1]!revcom(C1526)</f>
        <v>CCCAGG</v>
      </c>
      <c r="L1526">
        <v>5</v>
      </c>
    </row>
    <row r="1527" spans="1:12" ht="15.6" x14ac:dyDescent="0.3">
      <c r="A1527" s="9">
        <v>1516</v>
      </c>
      <c r="B1527" s="1"/>
      <c r="C1527" s="2" t="s">
        <v>1522</v>
      </c>
      <c r="D1527" s="1"/>
      <c r="E1527" s="11">
        <f t="shared" si="116"/>
        <v>12</v>
      </c>
      <c r="F1527" s="12">
        <f t="shared" si="117"/>
        <v>66.666666666666657</v>
      </c>
      <c r="G1527" s="12" t="str">
        <f t="shared" si="118"/>
        <v>Warning</v>
      </c>
      <c r="H1527" s="13">
        <f t="shared" si="119"/>
        <v>6</v>
      </c>
      <c r="I1527" s="14">
        <f t="shared" si="115"/>
        <v>1783.1999999999998</v>
      </c>
      <c r="K1527" t="str">
        <f>[1]!revcom(C1527)</f>
        <v>ACCAGG</v>
      </c>
      <c r="L1527">
        <v>4</v>
      </c>
    </row>
    <row r="1528" spans="1:12" ht="15.6" x14ac:dyDescent="0.3">
      <c r="A1528" s="9">
        <v>1517</v>
      </c>
      <c r="B1528" s="1"/>
      <c r="C1528" s="2" t="s">
        <v>1523</v>
      </c>
      <c r="D1528" s="1"/>
      <c r="E1528" s="11">
        <f t="shared" si="116"/>
        <v>14</v>
      </c>
      <c r="F1528" s="12">
        <f t="shared" si="117"/>
        <v>50</v>
      </c>
      <c r="G1528" s="12" t="str">
        <f t="shared" si="118"/>
        <v>OK</v>
      </c>
      <c r="H1528" s="13">
        <f t="shared" si="119"/>
        <v>6</v>
      </c>
      <c r="I1528" s="14">
        <f t="shared" si="115"/>
        <v>1767.1999999999998</v>
      </c>
      <c r="K1528" t="str">
        <f>[1]!revcom(C1528)</f>
        <v>TACAGG</v>
      </c>
      <c r="L1528">
        <v>5</v>
      </c>
    </row>
    <row r="1529" spans="1:12" ht="15.6" x14ac:dyDescent="0.3">
      <c r="A1529" s="9">
        <v>1518</v>
      </c>
      <c r="B1529" s="1"/>
      <c r="C1529" s="2" t="s">
        <v>1524</v>
      </c>
      <c r="D1529" s="1"/>
      <c r="E1529" s="11">
        <f t="shared" si="116"/>
        <v>12</v>
      </c>
      <c r="F1529" s="12">
        <f t="shared" si="117"/>
        <v>66.666666666666657</v>
      </c>
      <c r="G1529" s="12" t="str">
        <f t="shared" si="118"/>
        <v>Warning</v>
      </c>
      <c r="H1529" s="13">
        <f t="shared" si="119"/>
        <v>6</v>
      </c>
      <c r="I1529" s="14">
        <f t="shared" si="115"/>
        <v>1743.17</v>
      </c>
      <c r="K1529" t="str">
        <f>[1]!revcom(C1529)</f>
        <v>GACAGG</v>
      </c>
      <c r="L1529">
        <v>4</v>
      </c>
    </row>
    <row r="1530" spans="1:12" ht="15.6" x14ac:dyDescent="0.3">
      <c r="A1530" s="9">
        <v>1519</v>
      </c>
      <c r="B1530" s="1"/>
      <c r="C1530" s="2" t="s">
        <v>1525</v>
      </c>
      <c r="D1530" s="1"/>
      <c r="E1530" s="11">
        <f t="shared" si="116"/>
        <v>12</v>
      </c>
      <c r="F1530" s="12">
        <f t="shared" si="117"/>
        <v>66.666666666666657</v>
      </c>
      <c r="G1530" s="12" t="str">
        <f t="shared" si="118"/>
        <v>Warning</v>
      </c>
      <c r="H1530" s="13">
        <f t="shared" si="119"/>
        <v>6</v>
      </c>
      <c r="I1530" s="14">
        <f t="shared" si="115"/>
        <v>1783.1999999999998</v>
      </c>
      <c r="K1530" t="str">
        <f>[1]!revcom(C1530)</f>
        <v>CACAGG</v>
      </c>
      <c r="L1530">
        <v>4</v>
      </c>
    </row>
    <row r="1531" spans="1:12" ht="15.6" x14ac:dyDescent="0.3">
      <c r="A1531" s="9">
        <v>1520</v>
      </c>
      <c r="B1531" s="1"/>
      <c r="C1531" s="2" t="s">
        <v>1526</v>
      </c>
      <c r="D1531" s="1"/>
      <c r="E1531" s="11">
        <f t="shared" si="116"/>
        <v>6</v>
      </c>
      <c r="F1531" s="12">
        <f t="shared" si="117"/>
        <v>50</v>
      </c>
      <c r="G1531" s="12" t="str">
        <f t="shared" si="118"/>
        <v>OK</v>
      </c>
      <c r="H1531" s="13">
        <f t="shared" si="119"/>
        <v>6</v>
      </c>
      <c r="I1531" s="14">
        <f t="shared" si="115"/>
        <v>1758.1799999999998</v>
      </c>
      <c r="K1531" t="str">
        <f>[1]!revcom(C1531)</f>
        <v>AACAGG</v>
      </c>
      <c r="L1531">
        <v>3</v>
      </c>
    </row>
    <row r="1532" spans="1:12" ht="15.6" x14ac:dyDescent="0.3">
      <c r="A1532" s="9">
        <v>1521</v>
      </c>
      <c r="B1532" s="1"/>
      <c r="C1532" s="2" t="s">
        <v>1527</v>
      </c>
      <c r="D1532" s="1"/>
      <c r="E1532" s="11">
        <f t="shared" si="116"/>
        <v>16</v>
      </c>
      <c r="F1532" s="12">
        <f t="shared" si="117"/>
        <v>33.333333333333329</v>
      </c>
      <c r="G1532" s="12" t="str">
        <f t="shared" si="118"/>
        <v>OK</v>
      </c>
      <c r="H1532" s="13">
        <f t="shared" si="119"/>
        <v>6</v>
      </c>
      <c r="I1532" s="14">
        <f t="shared" si="115"/>
        <v>1751.1999999999998</v>
      </c>
      <c r="K1532" t="str">
        <f>[1]!revcom(C1532)</f>
        <v>TTAAGG</v>
      </c>
      <c r="L1532">
        <v>5</v>
      </c>
    </row>
    <row r="1533" spans="1:12" ht="15.6" x14ac:dyDescent="0.3">
      <c r="A1533" s="9">
        <v>1522</v>
      </c>
      <c r="B1533" s="1"/>
      <c r="C1533" s="2" t="s">
        <v>1528</v>
      </c>
      <c r="D1533" s="1"/>
      <c r="E1533" s="11">
        <f t="shared" si="116"/>
        <v>14</v>
      </c>
      <c r="F1533" s="12">
        <f t="shared" si="117"/>
        <v>50</v>
      </c>
      <c r="G1533" s="12" t="str">
        <f t="shared" si="118"/>
        <v>OK</v>
      </c>
      <c r="H1533" s="13">
        <f t="shared" si="119"/>
        <v>6</v>
      </c>
      <c r="I1533" s="14">
        <f t="shared" si="115"/>
        <v>1727.17</v>
      </c>
      <c r="K1533" t="str">
        <f>[1]!revcom(C1533)</f>
        <v>GTAAGG</v>
      </c>
      <c r="L1533">
        <v>5</v>
      </c>
    </row>
    <row r="1534" spans="1:12" ht="15.6" x14ac:dyDescent="0.3">
      <c r="A1534" s="9">
        <v>1523</v>
      </c>
      <c r="B1534" s="1"/>
      <c r="C1534" s="2" t="s">
        <v>1529</v>
      </c>
      <c r="D1534" s="1"/>
      <c r="E1534" s="11">
        <f t="shared" si="116"/>
        <v>14</v>
      </c>
      <c r="F1534" s="12">
        <f t="shared" si="117"/>
        <v>50</v>
      </c>
      <c r="G1534" s="12" t="str">
        <f t="shared" si="118"/>
        <v>OK</v>
      </c>
      <c r="H1534" s="13">
        <f t="shared" si="119"/>
        <v>6</v>
      </c>
      <c r="I1534" s="14">
        <f t="shared" si="115"/>
        <v>1767.1999999999998</v>
      </c>
      <c r="K1534" t="str">
        <f>[1]!revcom(C1534)</f>
        <v>CTAAGG</v>
      </c>
      <c r="L1534">
        <v>5</v>
      </c>
    </row>
    <row r="1535" spans="1:12" ht="15.6" x14ac:dyDescent="0.3">
      <c r="A1535" s="9">
        <v>1524</v>
      </c>
      <c r="B1535" s="1"/>
      <c r="C1535" s="2" t="s">
        <v>1530</v>
      </c>
      <c r="D1535" s="1"/>
      <c r="E1535" s="11">
        <f t="shared" si="116"/>
        <v>8</v>
      </c>
      <c r="F1535" s="12">
        <f t="shared" si="117"/>
        <v>33.333333333333329</v>
      </c>
      <c r="G1535" s="12" t="str">
        <f t="shared" si="118"/>
        <v>OK</v>
      </c>
      <c r="H1535" s="13">
        <f t="shared" si="119"/>
        <v>6</v>
      </c>
      <c r="I1535" s="14">
        <f t="shared" si="115"/>
        <v>1742.1799999999998</v>
      </c>
      <c r="K1535" t="str">
        <f>[1]!revcom(C1535)</f>
        <v>ATAAGG</v>
      </c>
      <c r="L1535">
        <v>4</v>
      </c>
    </row>
    <row r="1536" spans="1:12" ht="15.6" x14ac:dyDescent="0.3">
      <c r="A1536" s="9">
        <v>1525</v>
      </c>
      <c r="B1536" s="1"/>
      <c r="C1536" s="2" t="s">
        <v>1531</v>
      </c>
      <c r="D1536" s="1"/>
      <c r="E1536" s="11">
        <f t="shared" si="116"/>
        <v>14</v>
      </c>
      <c r="F1536" s="12">
        <f t="shared" si="117"/>
        <v>50</v>
      </c>
      <c r="G1536" s="12" t="str">
        <f t="shared" si="118"/>
        <v>OK</v>
      </c>
      <c r="H1536" s="13">
        <f t="shared" si="119"/>
        <v>6</v>
      </c>
      <c r="I1536" s="14">
        <f t="shared" si="115"/>
        <v>1727.17</v>
      </c>
      <c r="K1536" t="str">
        <f>[1]!revcom(C1536)</f>
        <v>TGAAGG</v>
      </c>
      <c r="L1536">
        <v>5</v>
      </c>
    </row>
    <row r="1537" spans="1:12" ht="15.6" x14ac:dyDescent="0.3">
      <c r="A1537" s="9">
        <v>1526</v>
      </c>
      <c r="B1537" s="1"/>
      <c r="C1537" s="2" t="s">
        <v>1532</v>
      </c>
      <c r="D1537" s="1"/>
      <c r="E1537" s="11">
        <f t="shared" si="116"/>
        <v>12</v>
      </c>
      <c r="F1537" s="12">
        <f t="shared" si="117"/>
        <v>66.666666666666657</v>
      </c>
      <c r="G1537" s="12" t="str">
        <f t="shared" si="118"/>
        <v>Warning</v>
      </c>
      <c r="H1537" s="13">
        <f t="shared" si="119"/>
        <v>6</v>
      </c>
      <c r="I1537" s="14">
        <f t="shared" si="115"/>
        <v>1703.1399999999999</v>
      </c>
      <c r="K1537" t="str">
        <f>[1]!revcom(C1537)</f>
        <v>GGAAGG</v>
      </c>
      <c r="L1537">
        <v>4</v>
      </c>
    </row>
    <row r="1538" spans="1:12" ht="15.6" x14ac:dyDescent="0.3">
      <c r="A1538" s="9">
        <v>1527</v>
      </c>
      <c r="B1538" s="1"/>
      <c r="C1538" s="2" t="s">
        <v>1533</v>
      </c>
      <c r="D1538" s="1"/>
      <c r="E1538" s="11">
        <f t="shared" si="116"/>
        <v>12</v>
      </c>
      <c r="F1538" s="12">
        <f t="shared" si="117"/>
        <v>66.666666666666657</v>
      </c>
      <c r="G1538" s="12" t="str">
        <f t="shared" si="118"/>
        <v>Warning</v>
      </c>
      <c r="H1538" s="13">
        <f t="shared" si="119"/>
        <v>6</v>
      </c>
      <c r="I1538" s="14">
        <f t="shared" si="115"/>
        <v>1743.17</v>
      </c>
      <c r="K1538" t="str">
        <f>[1]!revcom(C1538)</f>
        <v>CGAAGG</v>
      </c>
      <c r="L1538">
        <v>4</v>
      </c>
    </row>
    <row r="1539" spans="1:12" ht="15.6" x14ac:dyDescent="0.3">
      <c r="A1539" s="9">
        <v>1528</v>
      </c>
      <c r="B1539" s="1"/>
      <c r="C1539" s="2" t="s">
        <v>1534</v>
      </c>
      <c r="D1539" s="1"/>
      <c r="E1539" s="11">
        <f t="shared" si="116"/>
        <v>6</v>
      </c>
      <c r="F1539" s="12">
        <f t="shared" si="117"/>
        <v>50</v>
      </c>
      <c r="G1539" s="12" t="str">
        <f t="shared" si="118"/>
        <v>OK</v>
      </c>
      <c r="H1539" s="13">
        <f t="shared" si="119"/>
        <v>6</v>
      </c>
      <c r="I1539" s="14">
        <f t="shared" si="115"/>
        <v>1718.15</v>
      </c>
      <c r="K1539" t="str">
        <f>[1]!revcom(C1539)</f>
        <v>AGAAGG</v>
      </c>
      <c r="L1539">
        <v>3</v>
      </c>
    </row>
    <row r="1540" spans="1:12" ht="15.6" x14ac:dyDescent="0.3">
      <c r="A1540" s="9">
        <v>1529</v>
      </c>
      <c r="B1540" s="1"/>
      <c r="C1540" s="2" t="s">
        <v>1535</v>
      </c>
      <c r="D1540" s="1"/>
      <c r="E1540" s="11">
        <f t="shared" si="116"/>
        <v>14</v>
      </c>
      <c r="F1540" s="12">
        <f t="shared" si="117"/>
        <v>50</v>
      </c>
      <c r="G1540" s="12" t="str">
        <f t="shared" si="118"/>
        <v>OK</v>
      </c>
      <c r="H1540" s="13">
        <f t="shared" si="119"/>
        <v>6</v>
      </c>
      <c r="I1540" s="14">
        <f t="shared" si="115"/>
        <v>1767.1999999999998</v>
      </c>
      <c r="K1540" t="str">
        <f>[1]!revcom(C1540)</f>
        <v>TCAAGG</v>
      </c>
      <c r="L1540">
        <v>5</v>
      </c>
    </row>
    <row r="1541" spans="1:12" ht="15.6" x14ac:dyDescent="0.3">
      <c r="A1541" s="9">
        <v>1530</v>
      </c>
      <c r="B1541" s="1"/>
      <c r="C1541" s="2" t="s">
        <v>1536</v>
      </c>
      <c r="D1541" s="1"/>
      <c r="E1541" s="11">
        <f t="shared" si="116"/>
        <v>12</v>
      </c>
      <c r="F1541" s="12">
        <f t="shared" si="117"/>
        <v>66.666666666666657</v>
      </c>
      <c r="G1541" s="12" t="str">
        <f t="shared" si="118"/>
        <v>Warning</v>
      </c>
      <c r="H1541" s="13">
        <f t="shared" si="119"/>
        <v>6</v>
      </c>
      <c r="I1541" s="14">
        <f t="shared" si="115"/>
        <v>1743.17</v>
      </c>
      <c r="K1541" t="str">
        <f>[1]!revcom(C1541)</f>
        <v>GCAAGG</v>
      </c>
      <c r="L1541">
        <v>4</v>
      </c>
    </row>
    <row r="1542" spans="1:12" ht="15.6" x14ac:dyDescent="0.3">
      <c r="A1542" s="9">
        <v>1531</v>
      </c>
      <c r="B1542" s="1"/>
      <c r="C1542" s="2" t="s">
        <v>1537</v>
      </c>
      <c r="D1542" s="1"/>
      <c r="E1542" s="11">
        <f t="shared" si="116"/>
        <v>12</v>
      </c>
      <c r="F1542" s="12">
        <f t="shared" si="117"/>
        <v>66.666666666666657</v>
      </c>
      <c r="G1542" s="12" t="str">
        <f t="shared" si="118"/>
        <v>Warning</v>
      </c>
      <c r="H1542" s="13">
        <f t="shared" si="119"/>
        <v>6</v>
      </c>
      <c r="I1542" s="14">
        <f t="shared" si="115"/>
        <v>1783.1999999999998</v>
      </c>
      <c r="K1542" t="str">
        <f>[1]!revcom(C1542)</f>
        <v>CCAAGG</v>
      </c>
      <c r="L1542">
        <v>4</v>
      </c>
    </row>
    <row r="1543" spans="1:12" ht="15.6" x14ac:dyDescent="0.3">
      <c r="A1543" s="9">
        <v>1532</v>
      </c>
      <c r="B1543" s="1"/>
      <c r="C1543" s="2" t="s">
        <v>1538</v>
      </c>
      <c r="D1543" s="1"/>
      <c r="E1543" s="11">
        <f t="shared" si="116"/>
        <v>6</v>
      </c>
      <c r="F1543" s="12">
        <f t="shared" si="117"/>
        <v>50</v>
      </c>
      <c r="G1543" s="12" t="str">
        <f t="shared" si="118"/>
        <v>OK</v>
      </c>
      <c r="H1543" s="13">
        <f t="shared" si="119"/>
        <v>6</v>
      </c>
      <c r="I1543" s="14">
        <f t="shared" si="115"/>
        <v>1758.1799999999998</v>
      </c>
      <c r="K1543" t="str">
        <f>[1]!revcom(C1543)</f>
        <v>ACAAGG</v>
      </c>
      <c r="L1543">
        <v>3</v>
      </c>
    </row>
    <row r="1544" spans="1:12" ht="15.6" x14ac:dyDescent="0.3">
      <c r="A1544" s="9">
        <v>1533</v>
      </c>
      <c r="B1544" s="1"/>
      <c r="C1544" s="2" t="s">
        <v>1539</v>
      </c>
      <c r="D1544" s="1"/>
      <c r="E1544" s="11">
        <f t="shared" si="116"/>
        <v>8</v>
      </c>
      <c r="F1544" s="12">
        <f t="shared" si="117"/>
        <v>33.333333333333329</v>
      </c>
      <c r="G1544" s="12" t="str">
        <f t="shared" si="118"/>
        <v>OK</v>
      </c>
      <c r="H1544" s="13">
        <f t="shared" si="119"/>
        <v>6</v>
      </c>
      <c r="I1544" s="14">
        <f t="shared" si="115"/>
        <v>1742.1799999999998</v>
      </c>
      <c r="K1544" t="str">
        <f>[1]!revcom(C1544)</f>
        <v>TAAAGG</v>
      </c>
      <c r="L1544">
        <v>4</v>
      </c>
    </row>
    <row r="1545" spans="1:12" ht="15.6" x14ac:dyDescent="0.3">
      <c r="A1545" s="9">
        <v>1534</v>
      </c>
      <c r="B1545" s="1"/>
      <c r="C1545" s="2" t="s">
        <v>1540</v>
      </c>
      <c r="D1545" s="1"/>
      <c r="E1545" s="11">
        <f t="shared" si="116"/>
        <v>6</v>
      </c>
      <c r="F1545" s="12">
        <f t="shared" si="117"/>
        <v>50</v>
      </c>
      <c r="G1545" s="12" t="str">
        <f t="shared" si="118"/>
        <v>OK</v>
      </c>
      <c r="H1545" s="13">
        <f t="shared" si="119"/>
        <v>6</v>
      </c>
      <c r="I1545" s="14">
        <f t="shared" si="115"/>
        <v>1718.15</v>
      </c>
      <c r="K1545" t="str">
        <f>[1]!revcom(C1545)</f>
        <v>GAAAGG</v>
      </c>
      <c r="L1545">
        <v>3</v>
      </c>
    </row>
    <row r="1546" spans="1:12" ht="15.6" x14ac:dyDescent="0.3">
      <c r="A1546" s="9">
        <v>1535</v>
      </c>
      <c r="B1546" s="1"/>
      <c r="C1546" s="2" t="s">
        <v>1541</v>
      </c>
      <c r="D1546" s="1"/>
      <c r="E1546" s="11">
        <f t="shared" si="116"/>
        <v>6</v>
      </c>
      <c r="F1546" s="12">
        <f t="shared" si="117"/>
        <v>50</v>
      </c>
      <c r="G1546" s="12" t="str">
        <f t="shared" si="118"/>
        <v>OK</v>
      </c>
      <c r="H1546" s="13">
        <f t="shared" si="119"/>
        <v>6</v>
      </c>
      <c r="I1546" s="14">
        <f t="shared" si="115"/>
        <v>1758.1799999999998</v>
      </c>
      <c r="K1546" t="str">
        <f>[1]!revcom(C1546)</f>
        <v>CAAAGG</v>
      </c>
      <c r="L1546">
        <v>3</v>
      </c>
    </row>
    <row r="1547" spans="1:12" ht="15.6" x14ac:dyDescent="0.3">
      <c r="A1547" s="9">
        <v>1536</v>
      </c>
      <c r="B1547" s="1"/>
      <c r="C1547" s="2" t="s">
        <v>1542</v>
      </c>
      <c r="D1547" s="1"/>
      <c r="E1547" s="11">
        <f t="shared" si="116"/>
        <v>0</v>
      </c>
      <c r="F1547" s="12">
        <f t="shared" si="117"/>
        <v>33.333333333333329</v>
      </c>
      <c r="G1547" s="12" t="str">
        <f t="shared" si="118"/>
        <v>OK</v>
      </c>
      <c r="H1547" s="13">
        <f t="shared" si="119"/>
        <v>6</v>
      </c>
      <c r="I1547" s="14">
        <f t="shared" si="115"/>
        <v>1733.1599999999999</v>
      </c>
      <c r="K1547" t="str">
        <f>[1]!revcom(C1547)</f>
        <v>AAAAGG</v>
      </c>
      <c r="L1547">
        <v>2</v>
      </c>
    </row>
    <row r="1548" spans="1:12" ht="15.6" x14ac:dyDescent="0.3">
      <c r="A1548" s="9">
        <v>1537</v>
      </c>
      <c r="B1548" s="1"/>
      <c r="C1548" s="2" t="s">
        <v>1543</v>
      </c>
      <c r="D1548" s="1"/>
      <c r="E1548" s="11">
        <f t="shared" si="116"/>
        <v>32</v>
      </c>
      <c r="F1548" s="12">
        <f t="shared" si="117"/>
        <v>33.333333333333329</v>
      </c>
      <c r="G1548" s="12" t="str">
        <f t="shared" si="118"/>
        <v>OK</v>
      </c>
      <c r="H1548" s="13">
        <f t="shared" si="119"/>
        <v>6</v>
      </c>
      <c r="I1548" s="14">
        <f t="shared" si="115"/>
        <v>1809.27</v>
      </c>
      <c r="K1548" t="str">
        <f>[1]!revcom(C1548)</f>
        <v>TTTTCG</v>
      </c>
      <c r="L1548">
        <v>8</v>
      </c>
    </row>
    <row r="1549" spans="1:12" ht="15.6" x14ac:dyDescent="0.3">
      <c r="A1549" s="9">
        <v>1538</v>
      </c>
      <c r="B1549" s="1"/>
      <c r="C1549" s="2" t="s">
        <v>1544</v>
      </c>
      <c r="D1549" s="1"/>
      <c r="E1549" s="11">
        <f t="shared" si="116"/>
        <v>30</v>
      </c>
      <c r="F1549" s="12">
        <f t="shared" si="117"/>
        <v>50</v>
      </c>
      <c r="G1549" s="12" t="str">
        <f t="shared" si="118"/>
        <v>OK</v>
      </c>
      <c r="H1549" s="13">
        <f t="shared" si="119"/>
        <v>6</v>
      </c>
      <c r="I1549" s="14">
        <f t="shared" ref="I1549:I1612" si="120">((LEN(C1549)-(LEN(SUBSTITUTE(C1549,"A",""))))*249.23)+((LEN(C1549)-(LEN(SUBSTITUTE(C1549,"T",""))))*240.21)+((LEN(C1549)-(LEN(SUBSTITUTE(C1549,"C",""))))*225.2)+((LEN(C1549)-(LEN(SUBSTITUTE(C1549,"G",""))))*265.23)+(63.98*(LEN(C1549)-1)+(2.02))</f>
        <v>1785.2399999999998</v>
      </c>
      <c r="K1549" t="str">
        <f>[1]!revcom(C1549)</f>
        <v>GTTTCG</v>
      </c>
      <c r="L1549">
        <v>7</v>
      </c>
    </row>
    <row r="1550" spans="1:12" ht="15.6" x14ac:dyDescent="0.3">
      <c r="A1550" s="9">
        <v>1539</v>
      </c>
      <c r="B1550" s="1"/>
      <c r="C1550" s="2" t="s">
        <v>1545</v>
      </c>
      <c r="D1550" s="1"/>
      <c r="E1550" s="11">
        <f t="shared" ref="E1550:E1613" si="121">IF(LEN(C1550)&gt;15,(69.3+((41*((LEN(C1550)-(((LEN(C1550)-(LEN(SUBSTITUTE(C1550,"A",""))))+((LEN(C1550)-(LEN(SUBSTITUTE(C1550,"T","")))))))))/(LEN(C1550)))-(650/(LEN(C1550))))),(2*((LEN(C1550)-(((LEN(C1550)-(LEN(SUBSTITUTE(C1550,"C",""))))+((LEN(C1550)-(LEN(SUBSTITUTE(C1550,"G",""))))))))))+(4*((LEN(C1550)-(((LEN(C1550)-(LEN(SUBSTITUTE(C1550,"T",""))))+((LEN(C1550)-(LEN(SUBSTITUTE(C1550,"T","")))))))))))</f>
        <v>30</v>
      </c>
      <c r="F1550" s="12">
        <f t="shared" ref="F1550:F1613" si="122">((LEN(C1550)- LEN(SUBSTITUTE(C1550,"G","")))+(LEN(C1550)- LEN(SUBSTITUTE(C1550,"C",""))) )/LEN(C1550)*100</f>
        <v>50</v>
      </c>
      <c r="G1550" s="12" t="str">
        <f t="shared" ref="G1550:G1613" si="123">IF((-5+((LEN(SUBSTITUTE(RIGHT(C1550,5),"C","")))+((LEN(SUBSTITUTE(RIGHT(C1550,5),"G",""))))))&gt;=3,"OK","Warning")</f>
        <v>OK</v>
      </c>
      <c r="H1550" s="13">
        <f t="shared" ref="H1550:H1613" si="124">LEN(C1550)</f>
        <v>6</v>
      </c>
      <c r="I1550" s="14">
        <f t="shared" si="120"/>
        <v>1825.27</v>
      </c>
      <c r="K1550" t="str">
        <f>[1]!revcom(C1550)</f>
        <v>CTTTCG</v>
      </c>
      <c r="L1550">
        <v>7</v>
      </c>
    </row>
    <row r="1551" spans="1:12" ht="15.6" x14ac:dyDescent="0.3">
      <c r="A1551" s="9">
        <v>1540</v>
      </c>
      <c r="B1551" s="1"/>
      <c r="C1551" s="2" t="s">
        <v>1546</v>
      </c>
      <c r="D1551" s="1"/>
      <c r="E1551" s="11">
        <f t="shared" si="121"/>
        <v>24</v>
      </c>
      <c r="F1551" s="12">
        <f t="shared" si="122"/>
        <v>33.333333333333329</v>
      </c>
      <c r="G1551" s="12" t="str">
        <f t="shared" si="123"/>
        <v>OK</v>
      </c>
      <c r="H1551" s="13">
        <f t="shared" si="124"/>
        <v>6</v>
      </c>
      <c r="I1551" s="14">
        <f t="shared" si="120"/>
        <v>1800.25</v>
      </c>
      <c r="K1551" t="str">
        <f>[1]!revcom(C1551)</f>
        <v>ATTTCG</v>
      </c>
      <c r="L1551">
        <v>6</v>
      </c>
    </row>
    <row r="1552" spans="1:12" ht="15.6" x14ac:dyDescent="0.3">
      <c r="A1552" s="9">
        <v>1541</v>
      </c>
      <c r="B1552" s="1"/>
      <c r="C1552" s="2" t="s">
        <v>1547</v>
      </c>
      <c r="D1552" s="1"/>
      <c r="E1552" s="11">
        <f t="shared" si="121"/>
        <v>30</v>
      </c>
      <c r="F1552" s="12">
        <f t="shared" si="122"/>
        <v>50</v>
      </c>
      <c r="G1552" s="12" t="str">
        <f t="shared" si="123"/>
        <v>OK</v>
      </c>
      <c r="H1552" s="13">
        <f t="shared" si="124"/>
        <v>6</v>
      </c>
      <c r="I1552" s="14">
        <f t="shared" si="120"/>
        <v>1785.2399999999998</v>
      </c>
      <c r="K1552" t="str">
        <f>[1]!revcom(C1552)</f>
        <v>TGTTCG</v>
      </c>
      <c r="L1552">
        <v>7</v>
      </c>
    </row>
    <row r="1553" spans="1:12" ht="15.6" x14ac:dyDescent="0.3">
      <c r="A1553" s="9">
        <v>1542</v>
      </c>
      <c r="B1553" s="1"/>
      <c r="C1553" s="2" t="s">
        <v>1548</v>
      </c>
      <c r="D1553" s="1"/>
      <c r="E1553" s="11">
        <f t="shared" si="121"/>
        <v>28</v>
      </c>
      <c r="F1553" s="12">
        <f t="shared" si="122"/>
        <v>66.666666666666657</v>
      </c>
      <c r="G1553" s="12" t="str">
        <f t="shared" si="123"/>
        <v>Warning</v>
      </c>
      <c r="H1553" s="13">
        <f t="shared" si="124"/>
        <v>6</v>
      </c>
      <c r="I1553" s="14">
        <f t="shared" si="120"/>
        <v>1761.21</v>
      </c>
      <c r="K1553" t="str">
        <f>[1]!revcom(C1553)</f>
        <v>GGTTCG</v>
      </c>
      <c r="L1553">
        <v>7</v>
      </c>
    </row>
    <row r="1554" spans="1:12" ht="15.6" x14ac:dyDescent="0.3">
      <c r="A1554" s="9">
        <v>1543</v>
      </c>
      <c r="B1554" s="1"/>
      <c r="C1554" s="2" t="s">
        <v>1549</v>
      </c>
      <c r="D1554" s="1"/>
      <c r="E1554" s="11">
        <f t="shared" si="121"/>
        <v>28</v>
      </c>
      <c r="F1554" s="12">
        <f t="shared" si="122"/>
        <v>66.666666666666657</v>
      </c>
      <c r="G1554" s="12" t="str">
        <f t="shared" si="123"/>
        <v>Warning</v>
      </c>
      <c r="H1554" s="13">
        <f t="shared" si="124"/>
        <v>6</v>
      </c>
      <c r="I1554" s="14">
        <f t="shared" si="120"/>
        <v>1801.2399999999998</v>
      </c>
      <c r="K1554" t="str">
        <f>[1]!revcom(C1554)</f>
        <v>CGTTCG</v>
      </c>
      <c r="L1554">
        <v>7</v>
      </c>
    </row>
    <row r="1555" spans="1:12" ht="15.6" x14ac:dyDescent="0.3">
      <c r="A1555" s="9">
        <v>1544</v>
      </c>
      <c r="B1555" s="1"/>
      <c r="C1555" s="2" t="s">
        <v>1550</v>
      </c>
      <c r="D1555" s="1"/>
      <c r="E1555" s="11">
        <f t="shared" si="121"/>
        <v>22</v>
      </c>
      <c r="F1555" s="12">
        <f t="shared" si="122"/>
        <v>50</v>
      </c>
      <c r="G1555" s="12" t="str">
        <f t="shared" si="123"/>
        <v>OK</v>
      </c>
      <c r="H1555" s="13">
        <f t="shared" si="124"/>
        <v>6</v>
      </c>
      <c r="I1555" s="14">
        <f t="shared" si="120"/>
        <v>1776.2199999999998</v>
      </c>
      <c r="K1555" t="str">
        <f>[1]!revcom(C1555)</f>
        <v>AGTTCG</v>
      </c>
      <c r="L1555">
        <v>6</v>
      </c>
    </row>
    <row r="1556" spans="1:12" ht="15.6" x14ac:dyDescent="0.3">
      <c r="A1556" s="9">
        <v>1545</v>
      </c>
      <c r="B1556" s="1"/>
      <c r="C1556" s="2" t="s">
        <v>1551</v>
      </c>
      <c r="D1556" s="1"/>
      <c r="E1556" s="11">
        <f t="shared" si="121"/>
        <v>30</v>
      </c>
      <c r="F1556" s="12">
        <f t="shared" si="122"/>
        <v>50</v>
      </c>
      <c r="G1556" s="12" t="str">
        <f t="shared" si="123"/>
        <v>OK</v>
      </c>
      <c r="H1556" s="13">
        <f t="shared" si="124"/>
        <v>6</v>
      </c>
      <c r="I1556" s="14">
        <f t="shared" si="120"/>
        <v>1825.27</v>
      </c>
      <c r="K1556" t="str">
        <f>[1]!revcom(C1556)</f>
        <v>TCTTCG</v>
      </c>
      <c r="L1556">
        <v>7</v>
      </c>
    </row>
    <row r="1557" spans="1:12" ht="15.6" x14ac:dyDescent="0.3">
      <c r="A1557" s="9">
        <v>1546</v>
      </c>
      <c r="B1557" s="1"/>
      <c r="C1557" s="2" t="s">
        <v>1552</v>
      </c>
      <c r="D1557" s="1"/>
      <c r="E1557" s="11">
        <f t="shared" si="121"/>
        <v>28</v>
      </c>
      <c r="F1557" s="12">
        <f t="shared" si="122"/>
        <v>66.666666666666657</v>
      </c>
      <c r="G1557" s="12" t="str">
        <f t="shared" si="123"/>
        <v>Warning</v>
      </c>
      <c r="H1557" s="13">
        <f t="shared" si="124"/>
        <v>6</v>
      </c>
      <c r="I1557" s="14">
        <f t="shared" si="120"/>
        <v>1801.2399999999998</v>
      </c>
      <c r="K1557" t="str">
        <f>[1]!revcom(C1557)</f>
        <v>GCTTCG</v>
      </c>
      <c r="L1557">
        <v>7</v>
      </c>
    </row>
    <row r="1558" spans="1:12" ht="15.6" x14ac:dyDescent="0.3">
      <c r="A1558" s="9">
        <v>1547</v>
      </c>
      <c r="B1558" s="1"/>
      <c r="C1558" s="2" t="s">
        <v>1553</v>
      </c>
      <c r="D1558" s="1"/>
      <c r="E1558" s="11">
        <f t="shared" si="121"/>
        <v>28</v>
      </c>
      <c r="F1558" s="12">
        <f t="shared" si="122"/>
        <v>66.666666666666657</v>
      </c>
      <c r="G1558" s="12" t="str">
        <f t="shared" si="123"/>
        <v>Warning</v>
      </c>
      <c r="H1558" s="13">
        <f t="shared" si="124"/>
        <v>6</v>
      </c>
      <c r="I1558" s="14">
        <f t="shared" si="120"/>
        <v>1841.27</v>
      </c>
      <c r="K1558" t="str">
        <f>[1]!revcom(C1558)</f>
        <v>CCTTCG</v>
      </c>
      <c r="L1558">
        <v>7</v>
      </c>
    </row>
    <row r="1559" spans="1:12" ht="15.6" x14ac:dyDescent="0.3">
      <c r="A1559" s="9">
        <v>1548</v>
      </c>
      <c r="B1559" s="1"/>
      <c r="C1559" s="2" t="s">
        <v>1554</v>
      </c>
      <c r="D1559" s="1"/>
      <c r="E1559" s="11">
        <f t="shared" si="121"/>
        <v>22</v>
      </c>
      <c r="F1559" s="12">
        <f t="shared" si="122"/>
        <v>50</v>
      </c>
      <c r="G1559" s="12" t="str">
        <f t="shared" si="123"/>
        <v>OK</v>
      </c>
      <c r="H1559" s="13">
        <f t="shared" si="124"/>
        <v>6</v>
      </c>
      <c r="I1559" s="14">
        <f t="shared" si="120"/>
        <v>1816.25</v>
      </c>
      <c r="K1559" t="str">
        <f>[1]!revcom(C1559)</f>
        <v>ACTTCG</v>
      </c>
      <c r="L1559">
        <v>6</v>
      </c>
    </row>
    <row r="1560" spans="1:12" ht="15.6" x14ac:dyDescent="0.3">
      <c r="A1560" s="9">
        <v>1549</v>
      </c>
      <c r="B1560" s="1"/>
      <c r="C1560" s="2" t="s">
        <v>1555</v>
      </c>
      <c r="D1560" s="1"/>
      <c r="E1560" s="11">
        <f t="shared" si="121"/>
        <v>24</v>
      </c>
      <c r="F1560" s="12">
        <f t="shared" si="122"/>
        <v>33.333333333333329</v>
      </c>
      <c r="G1560" s="12" t="str">
        <f t="shared" si="123"/>
        <v>OK</v>
      </c>
      <c r="H1560" s="13">
        <f t="shared" si="124"/>
        <v>6</v>
      </c>
      <c r="I1560" s="14">
        <f t="shared" si="120"/>
        <v>1800.25</v>
      </c>
      <c r="K1560" t="str">
        <f>[1]!revcom(C1560)</f>
        <v>TATTCG</v>
      </c>
      <c r="L1560">
        <v>6</v>
      </c>
    </row>
    <row r="1561" spans="1:12" ht="15.6" x14ac:dyDescent="0.3">
      <c r="A1561" s="9">
        <v>1550</v>
      </c>
      <c r="B1561" s="1"/>
      <c r="C1561" s="2" t="s">
        <v>1556</v>
      </c>
      <c r="D1561" s="1"/>
      <c r="E1561" s="11">
        <f t="shared" si="121"/>
        <v>22</v>
      </c>
      <c r="F1561" s="12">
        <f t="shared" si="122"/>
        <v>50</v>
      </c>
      <c r="G1561" s="12" t="str">
        <f t="shared" si="123"/>
        <v>OK</v>
      </c>
      <c r="H1561" s="13">
        <f t="shared" si="124"/>
        <v>6</v>
      </c>
      <c r="I1561" s="14">
        <f t="shared" si="120"/>
        <v>1776.2199999999998</v>
      </c>
      <c r="K1561" t="str">
        <f>[1]!revcom(C1561)</f>
        <v>GATTCG</v>
      </c>
      <c r="L1561">
        <v>6</v>
      </c>
    </row>
    <row r="1562" spans="1:12" ht="15.6" x14ac:dyDescent="0.3">
      <c r="A1562" s="9">
        <v>1551</v>
      </c>
      <c r="B1562" s="1"/>
      <c r="C1562" s="2" t="s">
        <v>1557</v>
      </c>
      <c r="D1562" s="1"/>
      <c r="E1562" s="11">
        <f t="shared" si="121"/>
        <v>22</v>
      </c>
      <c r="F1562" s="12">
        <f t="shared" si="122"/>
        <v>50</v>
      </c>
      <c r="G1562" s="12" t="str">
        <f t="shared" si="123"/>
        <v>OK</v>
      </c>
      <c r="H1562" s="13">
        <f t="shared" si="124"/>
        <v>6</v>
      </c>
      <c r="I1562" s="14">
        <f t="shared" si="120"/>
        <v>1816.25</v>
      </c>
      <c r="K1562" t="str">
        <f>[1]!revcom(C1562)</f>
        <v>CATTCG</v>
      </c>
      <c r="L1562">
        <v>6</v>
      </c>
    </row>
    <row r="1563" spans="1:12" ht="15.6" x14ac:dyDescent="0.3">
      <c r="A1563" s="9">
        <v>1552</v>
      </c>
      <c r="B1563" s="1"/>
      <c r="C1563" s="2" t="s">
        <v>1558</v>
      </c>
      <c r="D1563" s="1"/>
      <c r="E1563" s="11">
        <f t="shared" si="121"/>
        <v>16</v>
      </c>
      <c r="F1563" s="12">
        <f t="shared" si="122"/>
        <v>33.333333333333329</v>
      </c>
      <c r="G1563" s="12" t="str">
        <f t="shared" si="123"/>
        <v>OK</v>
      </c>
      <c r="H1563" s="13">
        <f t="shared" si="124"/>
        <v>6</v>
      </c>
      <c r="I1563" s="14">
        <f t="shared" si="120"/>
        <v>1791.23</v>
      </c>
      <c r="K1563" t="str">
        <f>[1]!revcom(C1563)</f>
        <v>AATTCG</v>
      </c>
      <c r="L1563">
        <v>5</v>
      </c>
    </row>
    <row r="1564" spans="1:12" ht="15.6" x14ac:dyDescent="0.3">
      <c r="A1564" s="9">
        <v>1553</v>
      </c>
      <c r="B1564" s="1"/>
      <c r="C1564" s="2" t="s">
        <v>1559</v>
      </c>
      <c r="D1564" s="1"/>
      <c r="E1564" s="11">
        <f t="shared" si="121"/>
        <v>30</v>
      </c>
      <c r="F1564" s="12">
        <f t="shared" si="122"/>
        <v>50</v>
      </c>
      <c r="G1564" s="12" t="str">
        <f t="shared" si="123"/>
        <v>OK</v>
      </c>
      <c r="H1564" s="13">
        <f t="shared" si="124"/>
        <v>6</v>
      </c>
      <c r="I1564" s="14">
        <f t="shared" si="120"/>
        <v>1785.2399999999998</v>
      </c>
      <c r="K1564" t="str">
        <f>[1]!revcom(C1564)</f>
        <v>TTGTCG</v>
      </c>
      <c r="L1564">
        <v>7</v>
      </c>
    </row>
    <row r="1565" spans="1:12" ht="15.6" x14ac:dyDescent="0.3">
      <c r="A1565" s="9">
        <v>1554</v>
      </c>
      <c r="B1565" s="1"/>
      <c r="C1565" s="2" t="s">
        <v>1560</v>
      </c>
      <c r="D1565" s="1"/>
      <c r="E1565" s="11">
        <f t="shared" si="121"/>
        <v>28</v>
      </c>
      <c r="F1565" s="12">
        <f t="shared" si="122"/>
        <v>66.666666666666657</v>
      </c>
      <c r="G1565" s="12" t="str">
        <f t="shared" si="123"/>
        <v>Warning</v>
      </c>
      <c r="H1565" s="13">
        <f t="shared" si="124"/>
        <v>6</v>
      </c>
      <c r="I1565" s="14">
        <f t="shared" si="120"/>
        <v>1761.21</v>
      </c>
      <c r="K1565" t="str">
        <f>[1]!revcom(C1565)</f>
        <v>GTGTCG</v>
      </c>
      <c r="L1565">
        <v>7</v>
      </c>
    </row>
    <row r="1566" spans="1:12" ht="15.6" x14ac:dyDescent="0.3">
      <c r="A1566" s="9">
        <v>1555</v>
      </c>
      <c r="B1566" s="1"/>
      <c r="C1566" s="2" t="s">
        <v>1561</v>
      </c>
      <c r="D1566" s="1"/>
      <c r="E1566" s="11">
        <f t="shared" si="121"/>
        <v>28</v>
      </c>
      <c r="F1566" s="12">
        <f t="shared" si="122"/>
        <v>66.666666666666657</v>
      </c>
      <c r="G1566" s="12" t="str">
        <f t="shared" si="123"/>
        <v>Warning</v>
      </c>
      <c r="H1566" s="13">
        <f t="shared" si="124"/>
        <v>6</v>
      </c>
      <c r="I1566" s="14">
        <f t="shared" si="120"/>
        <v>1801.2399999999998</v>
      </c>
      <c r="K1566" t="str">
        <f>[1]!revcom(C1566)</f>
        <v>CTGTCG</v>
      </c>
      <c r="L1566">
        <v>7</v>
      </c>
    </row>
    <row r="1567" spans="1:12" ht="15.6" x14ac:dyDescent="0.3">
      <c r="A1567" s="9">
        <v>1556</v>
      </c>
      <c r="B1567" s="1"/>
      <c r="C1567" s="2" t="s">
        <v>1562</v>
      </c>
      <c r="D1567" s="1"/>
      <c r="E1567" s="11">
        <f t="shared" si="121"/>
        <v>22</v>
      </c>
      <c r="F1567" s="12">
        <f t="shared" si="122"/>
        <v>50</v>
      </c>
      <c r="G1567" s="12" t="str">
        <f t="shared" si="123"/>
        <v>OK</v>
      </c>
      <c r="H1567" s="13">
        <f t="shared" si="124"/>
        <v>6</v>
      </c>
      <c r="I1567" s="14">
        <f t="shared" si="120"/>
        <v>1776.2199999999998</v>
      </c>
      <c r="K1567" t="str">
        <f>[1]!revcom(C1567)</f>
        <v>ATGTCG</v>
      </c>
      <c r="L1567">
        <v>6</v>
      </c>
    </row>
    <row r="1568" spans="1:12" ht="15.6" x14ac:dyDescent="0.3">
      <c r="A1568" s="9">
        <v>1557</v>
      </c>
      <c r="B1568" s="1"/>
      <c r="C1568" s="2" t="s">
        <v>1563</v>
      </c>
      <c r="D1568" s="1"/>
      <c r="E1568" s="11">
        <f t="shared" si="121"/>
        <v>28</v>
      </c>
      <c r="F1568" s="12">
        <f t="shared" si="122"/>
        <v>66.666666666666657</v>
      </c>
      <c r="G1568" s="12" t="str">
        <f t="shared" si="123"/>
        <v>Warning</v>
      </c>
      <c r="H1568" s="13">
        <f t="shared" si="124"/>
        <v>6</v>
      </c>
      <c r="I1568" s="14">
        <f t="shared" si="120"/>
        <v>1761.21</v>
      </c>
      <c r="K1568" t="str">
        <f>[1]!revcom(C1568)</f>
        <v>TGGTCG</v>
      </c>
      <c r="L1568">
        <v>7</v>
      </c>
    </row>
    <row r="1569" spans="1:12" ht="15.6" x14ac:dyDescent="0.3">
      <c r="A1569" s="9">
        <v>1558</v>
      </c>
      <c r="B1569" s="1"/>
      <c r="C1569" s="2" t="s">
        <v>1564</v>
      </c>
      <c r="D1569" s="1"/>
      <c r="E1569" s="11">
        <f t="shared" si="121"/>
        <v>26</v>
      </c>
      <c r="F1569" s="12">
        <f t="shared" si="122"/>
        <v>83.333333333333343</v>
      </c>
      <c r="G1569" s="12" t="str">
        <f t="shared" si="123"/>
        <v>Warning</v>
      </c>
      <c r="H1569" s="13">
        <f t="shared" si="124"/>
        <v>6</v>
      </c>
      <c r="I1569" s="14">
        <f t="shared" si="120"/>
        <v>1737.1799999999998</v>
      </c>
      <c r="K1569" t="str">
        <f>[1]!revcom(C1569)</f>
        <v>GGGTCG</v>
      </c>
      <c r="L1569">
        <v>7</v>
      </c>
    </row>
    <row r="1570" spans="1:12" ht="15.6" x14ac:dyDescent="0.3">
      <c r="A1570" s="9">
        <v>1559</v>
      </c>
      <c r="B1570" s="1"/>
      <c r="C1570" s="2" t="s">
        <v>1565</v>
      </c>
      <c r="D1570" s="1"/>
      <c r="E1570" s="11">
        <f t="shared" si="121"/>
        <v>26</v>
      </c>
      <c r="F1570" s="12">
        <f t="shared" si="122"/>
        <v>83.333333333333343</v>
      </c>
      <c r="G1570" s="12" t="str">
        <f t="shared" si="123"/>
        <v>Warning</v>
      </c>
      <c r="H1570" s="13">
        <f t="shared" si="124"/>
        <v>6</v>
      </c>
      <c r="I1570" s="14">
        <f t="shared" si="120"/>
        <v>1777.21</v>
      </c>
      <c r="K1570" t="str">
        <f>[1]!revcom(C1570)</f>
        <v>CGGTCG</v>
      </c>
      <c r="L1570">
        <v>7</v>
      </c>
    </row>
    <row r="1571" spans="1:12" ht="15.6" x14ac:dyDescent="0.3">
      <c r="A1571" s="9">
        <v>1560</v>
      </c>
      <c r="B1571" s="1"/>
      <c r="C1571" s="2" t="s">
        <v>1566</v>
      </c>
      <c r="D1571" s="1"/>
      <c r="E1571" s="11">
        <f t="shared" si="121"/>
        <v>20</v>
      </c>
      <c r="F1571" s="12">
        <f t="shared" si="122"/>
        <v>66.666666666666657</v>
      </c>
      <c r="G1571" s="12" t="str">
        <f t="shared" si="123"/>
        <v>Warning</v>
      </c>
      <c r="H1571" s="13">
        <f t="shared" si="124"/>
        <v>6</v>
      </c>
      <c r="I1571" s="14">
        <f t="shared" si="120"/>
        <v>1752.19</v>
      </c>
      <c r="K1571" t="str">
        <f>[1]!revcom(C1571)</f>
        <v>AGGTCG</v>
      </c>
      <c r="L1571">
        <v>6</v>
      </c>
    </row>
    <row r="1572" spans="1:12" ht="15.6" x14ac:dyDescent="0.3">
      <c r="A1572" s="9">
        <v>1561</v>
      </c>
      <c r="B1572" s="1"/>
      <c r="C1572" s="2" t="s">
        <v>1567</v>
      </c>
      <c r="D1572" s="1"/>
      <c r="E1572" s="11">
        <f t="shared" si="121"/>
        <v>28</v>
      </c>
      <c r="F1572" s="12">
        <f t="shared" si="122"/>
        <v>66.666666666666657</v>
      </c>
      <c r="G1572" s="12" t="str">
        <f t="shared" si="123"/>
        <v>Warning</v>
      </c>
      <c r="H1572" s="13">
        <f t="shared" si="124"/>
        <v>6</v>
      </c>
      <c r="I1572" s="14">
        <f t="shared" si="120"/>
        <v>1801.2399999999998</v>
      </c>
      <c r="K1572" t="str">
        <f>[1]!revcom(C1572)</f>
        <v>TCGTCG</v>
      </c>
      <c r="L1572">
        <v>7</v>
      </c>
    </row>
    <row r="1573" spans="1:12" ht="15.6" x14ac:dyDescent="0.3">
      <c r="A1573" s="9">
        <v>1562</v>
      </c>
      <c r="B1573" s="1"/>
      <c r="C1573" s="2" t="s">
        <v>1568</v>
      </c>
      <c r="D1573" s="1"/>
      <c r="E1573" s="11">
        <f t="shared" si="121"/>
        <v>26</v>
      </c>
      <c r="F1573" s="12">
        <f t="shared" si="122"/>
        <v>83.333333333333343</v>
      </c>
      <c r="G1573" s="12" t="str">
        <f t="shared" si="123"/>
        <v>Warning</v>
      </c>
      <c r="H1573" s="13">
        <f t="shared" si="124"/>
        <v>6</v>
      </c>
      <c r="I1573" s="14">
        <f t="shared" si="120"/>
        <v>1777.21</v>
      </c>
      <c r="K1573" t="str">
        <f>[1]!revcom(C1573)</f>
        <v>GCGTCG</v>
      </c>
      <c r="L1573">
        <v>7</v>
      </c>
    </row>
    <row r="1574" spans="1:12" ht="15.6" x14ac:dyDescent="0.3">
      <c r="A1574" s="9">
        <v>1563</v>
      </c>
      <c r="B1574" s="1"/>
      <c r="C1574" s="2" t="s">
        <v>1569</v>
      </c>
      <c r="D1574" s="1"/>
      <c r="E1574" s="11">
        <f t="shared" si="121"/>
        <v>26</v>
      </c>
      <c r="F1574" s="12">
        <f t="shared" si="122"/>
        <v>83.333333333333343</v>
      </c>
      <c r="G1574" s="12" t="str">
        <f t="shared" si="123"/>
        <v>Warning</v>
      </c>
      <c r="H1574" s="13">
        <f t="shared" si="124"/>
        <v>6</v>
      </c>
      <c r="I1574" s="14">
        <f t="shared" si="120"/>
        <v>1817.2400000000002</v>
      </c>
      <c r="K1574" t="str">
        <f>[1]!revcom(C1574)</f>
        <v>CCGTCG</v>
      </c>
      <c r="L1574">
        <v>7</v>
      </c>
    </row>
    <row r="1575" spans="1:12" ht="15.6" x14ac:dyDescent="0.3">
      <c r="A1575" s="9">
        <v>1564</v>
      </c>
      <c r="B1575" s="1"/>
      <c r="C1575" s="2" t="s">
        <v>1570</v>
      </c>
      <c r="D1575" s="1"/>
      <c r="E1575" s="11">
        <f t="shared" si="121"/>
        <v>20</v>
      </c>
      <c r="F1575" s="12">
        <f t="shared" si="122"/>
        <v>66.666666666666657</v>
      </c>
      <c r="G1575" s="12" t="str">
        <f t="shared" si="123"/>
        <v>Warning</v>
      </c>
      <c r="H1575" s="13">
        <f t="shared" si="124"/>
        <v>6</v>
      </c>
      <c r="I1575" s="14">
        <f t="shared" si="120"/>
        <v>1792.2199999999998</v>
      </c>
      <c r="K1575" t="str">
        <f>[1]!revcom(C1575)</f>
        <v>ACGTCG</v>
      </c>
      <c r="L1575">
        <v>6</v>
      </c>
    </row>
    <row r="1576" spans="1:12" ht="15.6" x14ac:dyDescent="0.3">
      <c r="A1576" s="9">
        <v>1565</v>
      </c>
      <c r="B1576" s="1"/>
      <c r="C1576" s="2" t="s">
        <v>1571</v>
      </c>
      <c r="D1576" s="1"/>
      <c r="E1576" s="11">
        <f t="shared" si="121"/>
        <v>22</v>
      </c>
      <c r="F1576" s="12">
        <f t="shared" si="122"/>
        <v>50</v>
      </c>
      <c r="G1576" s="12" t="str">
        <f t="shared" si="123"/>
        <v>OK</v>
      </c>
      <c r="H1576" s="13">
        <f t="shared" si="124"/>
        <v>6</v>
      </c>
      <c r="I1576" s="14">
        <f t="shared" si="120"/>
        <v>1776.2199999999998</v>
      </c>
      <c r="K1576" t="str">
        <f>[1]!revcom(C1576)</f>
        <v>TAGTCG</v>
      </c>
      <c r="L1576">
        <v>6</v>
      </c>
    </row>
    <row r="1577" spans="1:12" ht="15.6" x14ac:dyDescent="0.3">
      <c r="A1577" s="9">
        <v>1566</v>
      </c>
      <c r="B1577" s="1"/>
      <c r="C1577" s="2" t="s">
        <v>1572</v>
      </c>
      <c r="D1577" s="1"/>
      <c r="E1577" s="11">
        <f t="shared" si="121"/>
        <v>20</v>
      </c>
      <c r="F1577" s="12">
        <f t="shared" si="122"/>
        <v>66.666666666666657</v>
      </c>
      <c r="G1577" s="12" t="str">
        <f t="shared" si="123"/>
        <v>Warning</v>
      </c>
      <c r="H1577" s="13">
        <f t="shared" si="124"/>
        <v>6</v>
      </c>
      <c r="I1577" s="14">
        <f t="shared" si="120"/>
        <v>1752.19</v>
      </c>
      <c r="K1577" t="str">
        <f>[1]!revcom(C1577)</f>
        <v>GAGTCG</v>
      </c>
      <c r="L1577">
        <v>6</v>
      </c>
    </row>
    <row r="1578" spans="1:12" ht="15.6" x14ac:dyDescent="0.3">
      <c r="A1578" s="9">
        <v>1567</v>
      </c>
      <c r="B1578" s="1"/>
      <c r="C1578" s="2" t="s">
        <v>1573</v>
      </c>
      <c r="D1578" s="1"/>
      <c r="E1578" s="11">
        <f t="shared" si="121"/>
        <v>20</v>
      </c>
      <c r="F1578" s="12">
        <f t="shared" si="122"/>
        <v>66.666666666666657</v>
      </c>
      <c r="G1578" s="12" t="str">
        <f t="shared" si="123"/>
        <v>Warning</v>
      </c>
      <c r="H1578" s="13">
        <f t="shared" si="124"/>
        <v>6</v>
      </c>
      <c r="I1578" s="14">
        <f t="shared" si="120"/>
        <v>1792.2199999999998</v>
      </c>
      <c r="K1578" t="str">
        <f>[1]!revcom(C1578)</f>
        <v>CAGTCG</v>
      </c>
      <c r="L1578">
        <v>6</v>
      </c>
    </row>
    <row r="1579" spans="1:12" ht="15.6" x14ac:dyDescent="0.3">
      <c r="A1579" s="9">
        <v>1568</v>
      </c>
      <c r="B1579" s="1"/>
      <c r="C1579" s="2" t="s">
        <v>1574</v>
      </c>
      <c r="D1579" s="1"/>
      <c r="E1579" s="11">
        <f t="shared" si="121"/>
        <v>14</v>
      </c>
      <c r="F1579" s="12">
        <f t="shared" si="122"/>
        <v>50</v>
      </c>
      <c r="G1579" s="12" t="str">
        <f t="shared" si="123"/>
        <v>OK</v>
      </c>
      <c r="H1579" s="13">
        <f t="shared" si="124"/>
        <v>6</v>
      </c>
      <c r="I1579" s="14">
        <f t="shared" si="120"/>
        <v>1767.1999999999998</v>
      </c>
      <c r="K1579" t="str">
        <f>[1]!revcom(C1579)</f>
        <v>AAGTCG</v>
      </c>
      <c r="L1579">
        <v>5</v>
      </c>
    </row>
    <row r="1580" spans="1:12" ht="15.6" x14ac:dyDescent="0.3">
      <c r="A1580" s="9">
        <v>1569</v>
      </c>
      <c r="B1580" s="1"/>
      <c r="C1580" s="2" t="s">
        <v>1575</v>
      </c>
      <c r="D1580" s="1"/>
      <c r="E1580" s="11">
        <f t="shared" si="121"/>
        <v>30</v>
      </c>
      <c r="F1580" s="12">
        <f t="shared" si="122"/>
        <v>50</v>
      </c>
      <c r="G1580" s="12" t="str">
        <f t="shared" si="123"/>
        <v>OK</v>
      </c>
      <c r="H1580" s="13">
        <f t="shared" si="124"/>
        <v>6</v>
      </c>
      <c r="I1580" s="14">
        <f t="shared" si="120"/>
        <v>1825.27</v>
      </c>
      <c r="K1580" t="str">
        <f>[1]!revcom(C1580)</f>
        <v>TTCTCG</v>
      </c>
      <c r="L1580">
        <v>7</v>
      </c>
    </row>
    <row r="1581" spans="1:12" ht="15.6" x14ac:dyDescent="0.3">
      <c r="A1581" s="9">
        <v>1570</v>
      </c>
      <c r="B1581" s="1"/>
      <c r="C1581" s="2" t="s">
        <v>1576</v>
      </c>
      <c r="D1581" s="1"/>
      <c r="E1581" s="11">
        <f t="shared" si="121"/>
        <v>28</v>
      </c>
      <c r="F1581" s="12">
        <f t="shared" si="122"/>
        <v>66.666666666666657</v>
      </c>
      <c r="G1581" s="12" t="str">
        <f t="shared" si="123"/>
        <v>Warning</v>
      </c>
      <c r="H1581" s="13">
        <f t="shared" si="124"/>
        <v>6</v>
      </c>
      <c r="I1581" s="14">
        <f t="shared" si="120"/>
        <v>1801.2399999999998</v>
      </c>
      <c r="K1581" t="str">
        <f>[1]!revcom(C1581)</f>
        <v>GTCTCG</v>
      </c>
      <c r="L1581">
        <v>7</v>
      </c>
    </row>
    <row r="1582" spans="1:12" ht="15.6" x14ac:dyDescent="0.3">
      <c r="A1582" s="9">
        <v>1571</v>
      </c>
      <c r="B1582" s="1"/>
      <c r="C1582" s="2" t="s">
        <v>1577</v>
      </c>
      <c r="D1582" s="1"/>
      <c r="E1582" s="11">
        <f t="shared" si="121"/>
        <v>28</v>
      </c>
      <c r="F1582" s="12">
        <f t="shared" si="122"/>
        <v>66.666666666666657</v>
      </c>
      <c r="G1582" s="12" t="str">
        <f t="shared" si="123"/>
        <v>Warning</v>
      </c>
      <c r="H1582" s="13">
        <f t="shared" si="124"/>
        <v>6</v>
      </c>
      <c r="I1582" s="14">
        <f t="shared" si="120"/>
        <v>1841.27</v>
      </c>
      <c r="K1582" t="str">
        <f>[1]!revcom(C1582)</f>
        <v>CTCTCG</v>
      </c>
      <c r="L1582">
        <v>7</v>
      </c>
    </row>
    <row r="1583" spans="1:12" ht="15.6" x14ac:dyDescent="0.3">
      <c r="A1583" s="9">
        <v>1572</v>
      </c>
      <c r="B1583" s="1"/>
      <c r="C1583" s="2" t="s">
        <v>1578</v>
      </c>
      <c r="D1583" s="1"/>
      <c r="E1583" s="11">
        <f t="shared" si="121"/>
        <v>22</v>
      </c>
      <c r="F1583" s="12">
        <f t="shared" si="122"/>
        <v>50</v>
      </c>
      <c r="G1583" s="12" t="str">
        <f t="shared" si="123"/>
        <v>OK</v>
      </c>
      <c r="H1583" s="13">
        <f t="shared" si="124"/>
        <v>6</v>
      </c>
      <c r="I1583" s="14">
        <f t="shared" si="120"/>
        <v>1816.25</v>
      </c>
      <c r="K1583" t="str">
        <f>[1]!revcom(C1583)</f>
        <v>ATCTCG</v>
      </c>
      <c r="L1583">
        <v>6</v>
      </c>
    </row>
    <row r="1584" spans="1:12" ht="15.6" x14ac:dyDescent="0.3">
      <c r="A1584" s="9">
        <v>1573</v>
      </c>
      <c r="B1584" s="1"/>
      <c r="C1584" s="2" t="s">
        <v>1579</v>
      </c>
      <c r="D1584" s="1"/>
      <c r="E1584" s="11">
        <f t="shared" si="121"/>
        <v>28</v>
      </c>
      <c r="F1584" s="12">
        <f t="shared" si="122"/>
        <v>66.666666666666657</v>
      </c>
      <c r="G1584" s="12" t="str">
        <f t="shared" si="123"/>
        <v>Warning</v>
      </c>
      <c r="H1584" s="13">
        <f t="shared" si="124"/>
        <v>6</v>
      </c>
      <c r="I1584" s="14">
        <f t="shared" si="120"/>
        <v>1801.2399999999998</v>
      </c>
      <c r="K1584" t="str">
        <f>[1]!revcom(C1584)</f>
        <v>TGCTCG</v>
      </c>
      <c r="L1584">
        <v>7</v>
      </c>
    </row>
    <row r="1585" spans="1:12" ht="15.6" x14ac:dyDescent="0.3">
      <c r="A1585" s="9">
        <v>1574</v>
      </c>
      <c r="B1585" s="1"/>
      <c r="C1585" s="2" t="s">
        <v>1580</v>
      </c>
      <c r="D1585" s="1"/>
      <c r="E1585" s="11">
        <f t="shared" si="121"/>
        <v>26</v>
      </c>
      <c r="F1585" s="12">
        <f t="shared" si="122"/>
        <v>83.333333333333343</v>
      </c>
      <c r="G1585" s="12" t="str">
        <f t="shared" si="123"/>
        <v>Warning</v>
      </c>
      <c r="H1585" s="13">
        <f t="shared" si="124"/>
        <v>6</v>
      </c>
      <c r="I1585" s="14">
        <f t="shared" si="120"/>
        <v>1777.21</v>
      </c>
      <c r="K1585" t="str">
        <f>[1]!revcom(C1585)</f>
        <v>GGCTCG</v>
      </c>
      <c r="L1585">
        <v>7</v>
      </c>
    </row>
    <row r="1586" spans="1:12" ht="15.6" x14ac:dyDescent="0.3">
      <c r="A1586" s="9">
        <v>1575</v>
      </c>
      <c r="B1586" s="1"/>
      <c r="C1586" s="2" t="s">
        <v>1581</v>
      </c>
      <c r="D1586" s="1"/>
      <c r="E1586" s="11">
        <f t="shared" si="121"/>
        <v>26</v>
      </c>
      <c r="F1586" s="12">
        <f t="shared" si="122"/>
        <v>83.333333333333343</v>
      </c>
      <c r="G1586" s="12" t="str">
        <f t="shared" si="123"/>
        <v>Warning</v>
      </c>
      <c r="H1586" s="13">
        <f t="shared" si="124"/>
        <v>6</v>
      </c>
      <c r="I1586" s="14">
        <f t="shared" si="120"/>
        <v>1817.2400000000002</v>
      </c>
      <c r="K1586" t="str">
        <f>[1]!revcom(C1586)</f>
        <v>CGCTCG</v>
      </c>
      <c r="L1586">
        <v>7</v>
      </c>
    </row>
    <row r="1587" spans="1:12" ht="15.6" x14ac:dyDescent="0.3">
      <c r="A1587" s="9">
        <v>1576</v>
      </c>
      <c r="B1587" s="1"/>
      <c r="C1587" s="2" t="s">
        <v>1582</v>
      </c>
      <c r="D1587" s="1"/>
      <c r="E1587" s="11">
        <f t="shared" si="121"/>
        <v>20</v>
      </c>
      <c r="F1587" s="12">
        <f t="shared" si="122"/>
        <v>66.666666666666657</v>
      </c>
      <c r="G1587" s="12" t="str">
        <f t="shared" si="123"/>
        <v>Warning</v>
      </c>
      <c r="H1587" s="13">
        <f t="shared" si="124"/>
        <v>6</v>
      </c>
      <c r="I1587" s="14">
        <f t="shared" si="120"/>
        <v>1792.2199999999998</v>
      </c>
      <c r="K1587" t="str">
        <f>[1]!revcom(C1587)</f>
        <v>AGCTCG</v>
      </c>
      <c r="L1587">
        <v>6</v>
      </c>
    </row>
    <row r="1588" spans="1:12" ht="15.6" x14ac:dyDescent="0.3">
      <c r="A1588" s="9">
        <v>1577</v>
      </c>
      <c r="B1588" s="1"/>
      <c r="C1588" s="2" t="s">
        <v>1583</v>
      </c>
      <c r="D1588" s="1"/>
      <c r="E1588" s="11">
        <f t="shared" si="121"/>
        <v>28</v>
      </c>
      <c r="F1588" s="12">
        <f t="shared" si="122"/>
        <v>66.666666666666657</v>
      </c>
      <c r="G1588" s="12" t="str">
        <f t="shared" si="123"/>
        <v>Warning</v>
      </c>
      <c r="H1588" s="13">
        <f t="shared" si="124"/>
        <v>6</v>
      </c>
      <c r="I1588" s="14">
        <f t="shared" si="120"/>
        <v>1841.27</v>
      </c>
      <c r="K1588" t="str">
        <f>[1]!revcom(C1588)</f>
        <v>TCCTCG</v>
      </c>
      <c r="L1588">
        <v>7</v>
      </c>
    </row>
    <row r="1589" spans="1:12" ht="15.6" x14ac:dyDescent="0.3">
      <c r="A1589" s="9">
        <v>1578</v>
      </c>
      <c r="B1589" s="1"/>
      <c r="C1589" s="2" t="s">
        <v>1584</v>
      </c>
      <c r="D1589" s="1"/>
      <c r="E1589" s="11">
        <f t="shared" si="121"/>
        <v>26</v>
      </c>
      <c r="F1589" s="12">
        <f t="shared" si="122"/>
        <v>83.333333333333343</v>
      </c>
      <c r="G1589" s="12" t="str">
        <f t="shared" si="123"/>
        <v>Warning</v>
      </c>
      <c r="H1589" s="13">
        <f t="shared" si="124"/>
        <v>6</v>
      </c>
      <c r="I1589" s="14">
        <f t="shared" si="120"/>
        <v>1817.2400000000002</v>
      </c>
      <c r="K1589" t="str">
        <f>[1]!revcom(C1589)</f>
        <v>GCCTCG</v>
      </c>
      <c r="L1589">
        <v>7</v>
      </c>
    </row>
    <row r="1590" spans="1:12" ht="15.6" x14ac:dyDescent="0.3">
      <c r="A1590" s="9">
        <v>1579</v>
      </c>
      <c r="B1590" s="1"/>
      <c r="C1590" s="2" t="s">
        <v>1585</v>
      </c>
      <c r="D1590" s="1"/>
      <c r="E1590" s="11">
        <f t="shared" si="121"/>
        <v>26</v>
      </c>
      <c r="F1590" s="12">
        <f t="shared" si="122"/>
        <v>83.333333333333343</v>
      </c>
      <c r="G1590" s="12" t="str">
        <f t="shared" si="123"/>
        <v>Warning</v>
      </c>
      <c r="H1590" s="13">
        <f t="shared" si="124"/>
        <v>6</v>
      </c>
      <c r="I1590" s="14">
        <f t="shared" si="120"/>
        <v>1857.27</v>
      </c>
      <c r="K1590" t="str">
        <f>[1]!revcom(C1590)</f>
        <v>CCCTCG</v>
      </c>
      <c r="L1590">
        <v>7</v>
      </c>
    </row>
    <row r="1591" spans="1:12" ht="15.6" x14ac:dyDescent="0.3">
      <c r="A1591" s="9">
        <v>1580</v>
      </c>
      <c r="B1591" s="1"/>
      <c r="C1591" s="2" t="s">
        <v>1586</v>
      </c>
      <c r="D1591" s="1"/>
      <c r="E1591" s="11">
        <f t="shared" si="121"/>
        <v>20</v>
      </c>
      <c r="F1591" s="12">
        <f t="shared" si="122"/>
        <v>66.666666666666657</v>
      </c>
      <c r="G1591" s="12" t="str">
        <f t="shared" si="123"/>
        <v>Warning</v>
      </c>
      <c r="H1591" s="13">
        <f t="shared" si="124"/>
        <v>6</v>
      </c>
      <c r="I1591" s="14">
        <f t="shared" si="120"/>
        <v>1832.25</v>
      </c>
      <c r="K1591" t="str">
        <f>[1]!revcom(C1591)</f>
        <v>ACCTCG</v>
      </c>
      <c r="L1591">
        <v>6</v>
      </c>
    </row>
    <row r="1592" spans="1:12" ht="15.6" x14ac:dyDescent="0.3">
      <c r="A1592" s="9">
        <v>1581</v>
      </c>
      <c r="B1592" s="1"/>
      <c r="C1592" s="2" t="s">
        <v>1587</v>
      </c>
      <c r="D1592" s="1"/>
      <c r="E1592" s="11">
        <f t="shared" si="121"/>
        <v>22</v>
      </c>
      <c r="F1592" s="12">
        <f t="shared" si="122"/>
        <v>50</v>
      </c>
      <c r="G1592" s="12" t="str">
        <f t="shared" si="123"/>
        <v>OK</v>
      </c>
      <c r="H1592" s="13">
        <f t="shared" si="124"/>
        <v>6</v>
      </c>
      <c r="I1592" s="14">
        <f t="shared" si="120"/>
        <v>1816.25</v>
      </c>
      <c r="K1592" t="str">
        <f>[1]!revcom(C1592)</f>
        <v>TACTCG</v>
      </c>
      <c r="L1592">
        <v>6</v>
      </c>
    </row>
    <row r="1593" spans="1:12" ht="15.6" x14ac:dyDescent="0.3">
      <c r="A1593" s="9">
        <v>1582</v>
      </c>
      <c r="B1593" s="1"/>
      <c r="C1593" s="2" t="s">
        <v>1588</v>
      </c>
      <c r="D1593" s="1"/>
      <c r="E1593" s="11">
        <f t="shared" si="121"/>
        <v>20</v>
      </c>
      <c r="F1593" s="12">
        <f t="shared" si="122"/>
        <v>66.666666666666657</v>
      </c>
      <c r="G1593" s="12" t="str">
        <f t="shared" si="123"/>
        <v>Warning</v>
      </c>
      <c r="H1593" s="13">
        <f t="shared" si="124"/>
        <v>6</v>
      </c>
      <c r="I1593" s="14">
        <f t="shared" si="120"/>
        <v>1792.2199999999998</v>
      </c>
      <c r="K1593" t="str">
        <f>[1]!revcom(C1593)</f>
        <v>GACTCG</v>
      </c>
      <c r="L1593">
        <v>6</v>
      </c>
    </row>
    <row r="1594" spans="1:12" ht="15.6" x14ac:dyDescent="0.3">
      <c r="A1594" s="9">
        <v>1583</v>
      </c>
      <c r="B1594" s="1"/>
      <c r="C1594" s="2" t="s">
        <v>1589</v>
      </c>
      <c r="D1594" s="1"/>
      <c r="E1594" s="11">
        <f t="shared" si="121"/>
        <v>20</v>
      </c>
      <c r="F1594" s="12">
        <f t="shared" si="122"/>
        <v>66.666666666666657</v>
      </c>
      <c r="G1594" s="12" t="str">
        <f t="shared" si="123"/>
        <v>Warning</v>
      </c>
      <c r="H1594" s="13">
        <f t="shared" si="124"/>
        <v>6</v>
      </c>
      <c r="I1594" s="14">
        <f t="shared" si="120"/>
        <v>1832.25</v>
      </c>
      <c r="K1594" t="str">
        <f>[1]!revcom(C1594)</f>
        <v>CACTCG</v>
      </c>
      <c r="L1594">
        <v>6</v>
      </c>
    </row>
    <row r="1595" spans="1:12" ht="15.6" x14ac:dyDescent="0.3">
      <c r="A1595" s="9">
        <v>1584</v>
      </c>
      <c r="B1595" s="1"/>
      <c r="C1595" s="2" t="s">
        <v>1590</v>
      </c>
      <c r="D1595" s="1"/>
      <c r="E1595" s="11">
        <f t="shared" si="121"/>
        <v>14</v>
      </c>
      <c r="F1595" s="12">
        <f t="shared" si="122"/>
        <v>50</v>
      </c>
      <c r="G1595" s="12" t="str">
        <f t="shared" si="123"/>
        <v>OK</v>
      </c>
      <c r="H1595" s="13">
        <f t="shared" si="124"/>
        <v>6</v>
      </c>
      <c r="I1595" s="14">
        <f t="shared" si="120"/>
        <v>1807.23</v>
      </c>
      <c r="K1595" t="str">
        <f>[1]!revcom(C1595)</f>
        <v>AACTCG</v>
      </c>
      <c r="L1595">
        <v>5</v>
      </c>
    </row>
    <row r="1596" spans="1:12" ht="15.6" x14ac:dyDescent="0.3">
      <c r="A1596" s="9">
        <v>1585</v>
      </c>
      <c r="B1596" s="1"/>
      <c r="C1596" s="2" t="s">
        <v>1591</v>
      </c>
      <c r="D1596" s="1"/>
      <c r="E1596" s="11">
        <f t="shared" si="121"/>
        <v>24</v>
      </c>
      <c r="F1596" s="12">
        <f t="shared" si="122"/>
        <v>33.333333333333329</v>
      </c>
      <c r="G1596" s="12" t="str">
        <f t="shared" si="123"/>
        <v>OK</v>
      </c>
      <c r="H1596" s="13">
        <f t="shared" si="124"/>
        <v>6</v>
      </c>
      <c r="I1596" s="14">
        <f t="shared" si="120"/>
        <v>1800.25</v>
      </c>
      <c r="K1596" t="str">
        <f>[1]!revcom(C1596)</f>
        <v>TTATCG</v>
      </c>
      <c r="L1596">
        <v>6</v>
      </c>
    </row>
    <row r="1597" spans="1:12" ht="15.6" x14ac:dyDescent="0.3">
      <c r="A1597" s="9">
        <v>1586</v>
      </c>
      <c r="B1597" s="1"/>
      <c r="C1597" s="2" t="s">
        <v>1592</v>
      </c>
      <c r="D1597" s="1"/>
      <c r="E1597" s="11">
        <f t="shared" si="121"/>
        <v>22</v>
      </c>
      <c r="F1597" s="12">
        <f t="shared" si="122"/>
        <v>50</v>
      </c>
      <c r="G1597" s="12" t="str">
        <f t="shared" si="123"/>
        <v>OK</v>
      </c>
      <c r="H1597" s="13">
        <f t="shared" si="124"/>
        <v>6</v>
      </c>
      <c r="I1597" s="14">
        <f t="shared" si="120"/>
        <v>1776.2199999999998</v>
      </c>
      <c r="K1597" t="str">
        <f>[1]!revcom(C1597)</f>
        <v>GTATCG</v>
      </c>
      <c r="L1597">
        <v>6</v>
      </c>
    </row>
    <row r="1598" spans="1:12" ht="15.6" x14ac:dyDescent="0.3">
      <c r="A1598" s="9">
        <v>1587</v>
      </c>
      <c r="B1598" s="1"/>
      <c r="C1598" s="2" t="s">
        <v>1593</v>
      </c>
      <c r="D1598" s="1"/>
      <c r="E1598" s="11">
        <f t="shared" si="121"/>
        <v>22</v>
      </c>
      <c r="F1598" s="12">
        <f t="shared" si="122"/>
        <v>50</v>
      </c>
      <c r="G1598" s="12" t="str">
        <f t="shared" si="123"/>
        <v>OK</v>
      </c>
      <c r="H1598" s="13">
        <f t="shared" si="124"/>
        <v>6</v>
      </c>
      <c r="I1598" s="14">
        <f t="shared" si="120"/>
        <v>1816.25</v>
      </c>
      <c r="K1598" t="str">
        <f>[1]!revcom(C1598)</f>
        <v>CTATCG</v>
      </c>
      <c r="L1598">
        <v>6</v>
      </c>
    </row>
    <row r="1599" spans="1:12" ht="15.6" x14ac:dyDescent="0.3">
      <c r="A1599" s="9">
        <v>1588</v>
      </c>
      <c r="B1599" s="1"/>
      <c r="C1599" s="2" t="s">
        <v>1594</v>
      </c>
      <c r="D1599" s="1"/>
      <c r="E1599" s="11">
        <f t="shared" si="121"/>
        <v>16</v>
      </c>
      <c r="F1599" s="12">
        <f t="shared" si="122"/>
        <v>33.333333333333329</v>
      </c>
      <c r="G1599" s="12" t="str">
        <f t="shared" si="123"/>
        <v>OK</v>
      </c>
      <c r="H1599" s="13">
        <f t="shared" si="124"/>
        <v>6</v>
      </c>
      <c r="I1599" s="14">
        <f t="shared" si="120"/>
        <v>1791.23</v>
      </c>
      <c r="K1599" t="str">
        <f>[1]!revcom(C1599)</f>
        <v>ATATCG</v>
      </c>
      <c r="L1599">
        <v>5</v>
      </c>
    </row>
    <row r="1600" spans="1:12" ht="15.6" x14ac:dyDescent="0.3">
      <c r="A1600" s="9">
        <v>1589</v>
      </c>
      <c r="B1600" s="1"/>
      <c r="C1600" s="2" t="s">
        <v>1595</v>
      </c>
      <c r="D1600" s="1"/>
      <c r="E1600" s="11">
        <f t="shared" si="121"/>
        <v>22</v>
      </c>
      <c r="F1600" s="12">
        <f t="shared" si="122"/>
        <v>50</v>
      </c>
      <c r="G1600" s="12" t="str">
        <f t="shared" si="123"/>
        <v>OK</v>
      </c>
      <c r="H1600" s="13">
        <f t="shared" si="124"/>
        <v>6</v>
      </c>
      <c r="I1600" s="14">
        <f t="shared" si="120"/>
        <v>1776.2199999999998</v>
      </c>
      <c r="K1600" t="str">
        <f>[1]!revcom(C1600)</f>
        <v>TGATCG</v>
      </c>
      <c r="L1600">
        <v>6</v>
      </c>
    </row>
    <row r="1601" spans="1:12" ht="15.6" x14ac:dyDescent="0.3">
      <c r="A1601" s="9">
        <v>1590</v>
      </c>
      <c r="B1601" s="1"/>
      <c r="C1601" s="2" t="s">
        <v>1596</v>
      </c>
      <c r="D1601" s="1"/>
      <c r="E1601" s="11">
        <f t="shared" si="121"/>
        <v>20</v>
      </c>
      <c r="F1601" s="12">
        <f t="shared" si="122"/>
        <v>66.666666666666657</v>
      </c>
      <c r="G1601" s="12" t="str">
        <f t="shared" si="123"/>
        <v>Warning</v>
      </c>
      <c r="H1601" s="13">
        <f t="shared" si="124"/>
        <v>6</v>
      </c>
      <c r="I1601" s="14">
        <f t="shared" si="120"/>
        <v>1752.19</v>
      </c>
      <c r="K1601" t="str">
        <f>[1]!revcom(C1601)</f>
        <v>GGATCG</v>
      </c>
      <c r="L1601">
        <v>6</v>
      </c>
    </row>
    <row r="1602" spans="1:12" ht="15.6" x14ac:dyDescent="0.3">
      <c r="A1602" s="9">
        <v>1591</v>
      </c>
      <c r="B1602" s="1"/>
      <c r="C1602" s="2" t="s">
        <v>1597</v>
      </c>
      <c r="D1602" s="1"/>
      <c r="E1602" s="11">
        <f t="shared" si="121"/>
        <v>20</v>
      </c>
      <c r="F1602" s="12">
        <f t="shared" si="122"/>
        <v>66.666666666666657</v>
      </c>
      <c r="G1602" s="12" t="str">
        <f t="shared" si="123"/>
        <v>Warning</v>
      </c>
      <c r="H1602" s="13">
        <f t="shared" si="124"/>
        <v>6</v>
      </c>
      <c r="I1602" s="14">
        <f t="shared" si="120"/>
        <v>1792.2199999999998</v>
      </c>
      <c r="K1602" t="str">
        <f>[1]!revcom(C1602)</f>
        <v>CGATCG</v>
      </c>
      <c r="L1602">
        <v>6</v>
      </c>
    </row>
    <row r="1603" spans="1:12" ht="15.6" x14ac:dyDescent="0.3">
      <c r="A1603" s="9">
        <v>1592</v>
      </c>
      <c r="B1603" s="1"/>
      <c r="C1603" s="2" t="s">
        <v>1598</v>
      </c>
      <c r="D1603" s="1"/>
      <c r="E1603" s="11">
        <f t="shared" si="121"/>
        <v>14</v>
      </c>
      <c r="F1603" s="12">
        <f t="shared" si="122"/>
        <v>50</v>
      </c>
      <c r="G1603" s="12" t="str">
        <f t="shared" si="123"/>
        <v>OK</v>
      </c>
      <c r="H1603" s="13">
        <f t="shared" si="124"/>
        <v>6</v>
      </c>
      <c r="I1603" s="14">
        <f t="shared" si="120"/>
        <v>1767.1999999999998</v>
      </c>
      <c r="K1603" t="str">
        <f>[1]!revcom(C1603)</f>
        <v>AGATCG</v>
      </c>
      <c r="L1603">
        <v>5</v>
      </c>
    </row>
    <row r="1604" spans="1:12" ht="15.6" x14ac:dyDescent="0.3">
      <c r="A1604" s="9">
        <v>1593</v>
      </c>
      <c r="B1604" s="1"/>
      <c r="C1604" s="2" t="s">
        <v>1599</v>
      </c>
      <c r="D1604" s="1"/>
      <c r="E1604" s="11">
        <f t="shared" si="121"/>
        <v>22</v>
      </c>
      <c r="F1604" s="12">
        <f t="shared" si="122"/>
        <v>50</v>
      </c>
      <c r="G1604" s="12" t="str">
        <f t="shared" si="123"/>
        <v>OK</v>
      </c>
      <c r="H1604" s="13">
        <f t="shared" si="124"/>
        <v>6</v>
      </c>
      <c r="I1604" s="14">
        <f t="shared" si="120"/>
        <v>1816.25</v>
      </c>
      <c r="K1604" t="str">
        <f>[1]!revcom(C1604)</f>
        <v>TCATCG</v>
      </c>
      <c r="L1604">
        <v>6</v>
      </c>
    </row>
    <row r="1605" spans="1:12" ht="15.6" x14ac:dyDescent="0.3">
      <c r="A1605" s="9">
        <v>1594</v>
      </c>
      <c r="B1605" s="1"/>
      <c r="C1605" s="2" t="s">
        <v>1600</v>
      </c>
      <c r="D1605" s="1"/>
      <c r="E1605" s="11">
        <f t="shared" si="121"/>
        <v>20</v>
      </c>
      <c r="F1605" s="12">
        <f t="shared" si="122"/>
        <v>66.666666666666657</v>
      </c>
      <c r="G1605" s="12" t="str">
        <f t="shared" si="123"/>
        <v>Warning</v>
      </c>
      <c r="H1605" s="13">
        <f t="shared" si="124"/>
        <v>6</v>
      </c>
      <c r="I1605" s="14">
        <f t="shared" si="120"/>
        <v>1792.2199999999998</v>
      </c>
      <c r="K1605" t="str">
        <f>[1]!revcom(C1605)</f>
        <v>GCATCG</v>
      </c>
      <c r="L1605">
        <v>6</v>
      </c>
    </row>
    <row r="1606" spans="1:12" ht="15.6" x14ac:dyDescent="0.3">
      <c r="A1606" s="9">
        <v>1595</v>
      </c>
      <c r="B1606" s="1"/>
      <c r="C1606" s="2" t="s">
        <v>1601</v>
      </c>
      <c r="D1606" s="1"/>
      <c r="E1606" s="11">
        <f t="shared" si="121"/>
        <v>20</v>
      </c>
      <c r="F1606" s="12">
        <f t="shared" si="122"/>
        <v>66.666666666666657</v>
      </c>
      <c r="G1606" s="12" t="str">
        <f t="shared" si="123"/>
        <v>Warning</v>
      </c>
      <c r="H1606" s="13">
        <f t="shared" si="124"/>
        <v>6</v>
      </c>
      <c r="I1606" s="14">
        <f t="shared" si="120"/>
        <v>1832.25</v>
      </c>
      <c r="K1606" t="str">
        <f>[1]!revcom(C1606)</f>
        <v>CCATCG</v>
      </c>
      <c r="L1606">
        <v>6</v>
      </c>
    </row>
    <row r="1607" spans="1:12" ht="15.6" x14ac:dyDescent="0.3">
      <c r="A1607" s="9">
        <v>1596</v>
      </c>
      <c r="B1607" s="1"/>
      <c r="C1607" s="2" t="s">
        <v>1602</v>
      </c>
      <c r="D1607" s="1"/>
      <c r="E1607" s="11">
        <f t="shared" si="121"/>
        <v>14</v>
      </c>
      <c r="F1607" s="12">
        <f t="shared" si="122"/>
        <v>50</v>
      </c>
      <c r="G1607" s="12" t="str">
        <f t="shared" si="123"/>
        <v>OK</v>
      </c>
      <c r="H1607" s="13">
        <f t="shared" si="124"/>
        <v>6</v>
      </c>
      <c r="I1607" s="14">
        <f t="shared" si="120"/>
        <v>1807.23</v>
      </c>
      <c r="K1607" t="str">
        <f>[1]!revcom(C1607)</f>
        <v>ACATCG</v>
      </c>
      <c r="L1607">
        <v>5</v>
      </c>
    </row>
    <row r="1608" spans="1:12" ht="15.6" x14ac:dyDescent="0.3">
      <c r="A1608" s="9">
        <v>1597</v>
      </c>
      <c r="B1608" s="1"/>
      <c r="C1608" s="2" t="s">
        <v>1603</v>
      </c>
      <c r="D1608" s="1"/>
      <c r="E1608" s="11">
        <f t="shared" si="121"/>
        <v>16</v>
      </c>
      <c r="F1608" s="12">
        <f t="shared" si="122"/>
        <v>33.333333333333329</v>
      </c>
      <c r="G1608" s="12" t="str">
        <f t="shared" si="123"/>
        <v>OK</v>
      </c>
      <c r="H1608" s="13">
        <f t="shared" si="124"/>
        <v>6</v>
      </c>
      <c r="I1608" s="14">
        <f t="shared" si="120"/>
        <v>1791.23</v>
      </c>
      <c r="K1608" t="str">
        <f>[1]!revcom(C1608)</f>
        <v>TAATCG</v>
      </c>
      <c r="L1608">
        <v>5</v>
      </c>
    </row>
    <row r="1609" spans="1:12" ht="15.6" x14ac:dyDescent="0.3">
      <c r="A1609" s="9">
        <v>1598</v>
      </c>
      <c r="B1609" s="1"/>
      <c r="C1609" s="2" t="s">
        <v>1604</v>
      </c>
      <c r="D1609" s="1"/>
      <c r="E1609" s="11">
        <f t="shared" si="121"/>
        <v>14</v>
      </c>
      <c r="F1609" s="12">
        <f t="shared" si="122"/>
        <v>50</v>
      </c>
      <c r="G1609" s="12" t="str">
        <f t="shared" si="123"/>
        <v>OK</v>
      </c>
      <c r="H1609" s="13">
        <f t="shared" si="124"/>
        <v>6</v>
      </c>
      <c r="I1609" s="14">
        <f t="shared" si="120"/>
        <v>1767.1999999999998</v>
      </c>
      <c r="K1609" t="str">
        <f>[1]!revcom(C1609)</f>
        <v>GAATCG</v>
      </c>
      <c r="L1609">
        <v>5</v>
      </c>
    </row>
    <row r="1610" spans="1:12" ht="15.6" x14ac:dyDescent="0.3">
      <c r="A1610" s="9">
        <v>1599</v>
      </c>
      <c r="B1610" s="1"/>
      <c r="C1610" s="2" t="s">
        <v>1605</v>
      </c>
      <c r="D1610" s="1"/>
      <c r="E1610" s="11">
        <f t="shared" si="121"/>
        <v>14</v>
      </c>
      <c r="F1610" s="12">
        <f t="shared" si="122"/>
        <v>50</v>
      </c>
      <c r="G1610" s="12" t="str">
        <f t="shared" si="123"/>
        <v>OK</v>
      </c>
      <c r="H1610" s="13">
        <f t="shared" si="124"/>
        <v>6</v>
      </c>
      <c r="I1610" s="14">
        <f t="shared" si="120"/>
        <v>1807.23</v>
      </c>
      <c r="K1610" t="str">
        <f>[1]!revcom(C1610)</f>
        <v>CAATCG</v>
      </c>
      <c r="L1610">
        <v>5</v>
      </c>
    </row>
    <row r="1611" spans="1:12" ht="15.6" x14ac:dyDescent="0.3">
      <c r="A1611" s="9">
        <v>1600</v>
      </c>
      <c r="B1611" s="1"/>
      <c r="C1611" s="2" t="s">
        <v>1606</v>
      </c>
      <c r="D1611" s="1"/>
      <c r="E1611" s="11">
        <f t="shared" si="121"/>
        <v>8</v>
      </c>
      <c r="F1611" s="12">
        <f t="shared" si="122"/>
        <v>33.333333333333329</v>
      </c>
      <c r="G1611" s="12" t="str">
        <f t="shared" si="123"/>
        <v>OK</v>
      </c>
      <c r="H1611" s="13">
        <f t="shared" si="124"/>
        <v>6</v>
      </c>
      <c r="I1611" s="14">
        <f t="shared" si="120"/>
        <v>1782.21</v>
      </c>
      <c r="K1611" t="str">
        <f>[1]!revcom(C1611)</f>
        <v>AAATCG</v>
      </c>
      <c r="L1611">
        <v>4</v>
      </c>
    </row>
    <row r="1612" spans="1:12" ht="15.6" x14ac:dyDescent="0.3">
      <c r="A1612" s="9">
        <v>1601</v>
      </c>
      <c r="B1612" s="1"/>
      <c r="C1612" s="2" t="s">
        <v>1607</v>
      </c>
      <c r="D1612" s="1"/>
      <c r="E1612" s="11">
        <f t="shared" si="121"/>
        <v>30</v>
      </c>
      <c r="F1612" s="12">
        <f t="shared" si="122"/>
        <v>50</v>
      </c>
      <c r="G1612" s="12" t="str">
        <f t="shared" si="123"/>
        <v>OK</v>
      </c>
      <c r="H1612" s="13">
        <f t="shared" si="124"/>
        <v>6</v>
      </c>
      <c r="I1612" s="14">
        <f t="shared" si="120"/>
        <v>1785.2399999999998</v>
      </c>
      <c r="K1612" t="str">
        <f>[1]!revcom(C1612)</f>
        <v>TTTGCG</v>
      </c>
      <c r="L1612">
        <v>7</v>
      </c>
    </row>
    <row r="1613" spans="1:12" ht="15.6" x14ac:dyDescent="0.3">
      <c r="A1613" s="9">
        <v>1602</v>
      </c>
      <c r="B1613" s="1"/>
      <c r="C1613" s="2" t="s">
        <v>1608</v>
      </c>
      <c r="D1613" s="1"/>
      <c r="E1613" s="11">
        <f t="shared" si="121"/>
        <v>28</v>
      </c>
      <c r="F1613" s="12">
        <f t="shared" si="122"/>
        <v>66.666666666666657</v>
      </c>
      <c r="G1613" s="12" t="str">
        <f t="shared" si="123"/>
        <v>Warning</v>
      </c>
      <c r="H1613" s="13">
        <f t="shared" si="124"/>
        <v>6</v>
      </c>
      <c r="I1613" s="14">
        <f t="shared" ref="I1613:I1676" si="125">((LEN(C1613)-(LEN(SUBSTITUTE(C1613,"A",""))))*249.23)+((LEN(C1613)-(LEN(SUBSTITUTE(C1613,"T",""))))*240.21)+((LEN(C1613)-(LEN(SUBSTITUTE(C1613,"C",""))))*225.2)+((LEN(C1613)-(LEN(SUBSTITUTE(C1613,"G",""))))*265.23)+(63.98*(LEN(C1613)-1)+(2.02))</f>
        <v>1761.21</v>
      </c>
      <c r="K1613" t="str">
        <f>[1]!revcom(C1613)</f>
        <v>GTTGCG</v>
      </c>
      <c r="L1613">
        <v>7</v>
      </c>
    </row>
    <row r="1614" spans="1:12" ht="15.6" x14ac:dyDescent="0.3">
      <c r="A1614" s="9">
        <v>1603</v>
      </c>
      <c r="B1614" s="1"/>
      <c r="C1614" s="2" t="s">
        <v>1609</v>
      </c>
      <c r="D1614" s="1"/>
      <c r="E1614" s="11">
        <f t="shared" ref="E1614:E1677" si="126">IF(LEN(C1614)&gt;15,(69.3+((41*((LEN(C1614)-(((LEN(C1614)-(LEN(SUBSTITUTE(C1614,"A",""))))+((LEN(C1614)-(LEN(SUBSTITUTE(C1614,"T","")))))))))/(LEN(C1614)))-(650/(LEN(C1614))))),(2*((LEN(C1614)-(((LEN(C1614)-(LEN(SUBSTITUTE(C1614,"C",""))))+((LEN(C1614)-(LEN(SUBSTITUTE(C1614,"G",""))))))))))+(4*((LEN(C1614)-(((LEN(C1614)-(LEN(SUBSTITUTE(C1614,"T",""))))+((LEN(C1614)-(LEN(SUBSTITUTE(C1614,"T","")))))))))))</f>
        <v>28</v>
      </c>
      <c r="F1614" s="12">
        <f t="shared" ref="F1614:F1677" si="127">((LEN(C1614)- LEN(SUBSTITUTE(C1614,"G","")))+(LEN(C1614)- LEN(SUBSTITUTE(C1614,"C",""))) )/LEN(C1614)*100</f>
        <v>66.666666666666657</v>
      </c>
      <c r="G1614" s="12" t="str">
        <f t="shared" ref="G1614:G1677" si="128">IF((-5+((LEN(SUBSTITUTE(RIGHT(C1614,5),"C","")))+((LEN(SUBSTITUTE(RIGHT(C1614,5),"G",""))))))&gt;=3,"OK","Warning")</f>
        <v>Warning</v>
      </c>
      <c r="H1614" s="13">
        <f t="shared" ref="H1614:H1677" si="129">LEN(C1614)</f>
        <v>6</v>
      </c>
      <c r="I1614" s="14">
        <f t="shared" si="125"/>
        <v>1801.2399999999998</v>
      </c>
      <c r="K1614" t="str">
        <f>[1]!revcom(C1614)</f>
        <v>CTTGCG</v>
      </c>
      <c r="L1614">
        <v>7</v>
      </c>
    </row>
    <row r="1615" spans="1:12" ht="15.6" x14ac:dyDescent="0.3">
      <c r="A1615" s="9">
        <v>1604</v>
      </c>
      <c r="B1615" s="1"/>
      <c r="C1615" s="2" t="s">
        <v>1610</v>
      </c>
      <c r="D1615" s="1"/>
      <c r="E1615" s="11">
        <f t="shared" si="126"/>
        <v>22</v>
      </c>
      <c r="F1615" s="12">
        <f t="shared" si="127"/>
        <v>50</v>
      </c>
      <c r="G1615" s="12" t="str">
        <f t="shared" si="128"/>
        <v>OK</v>
      </c>
      <c r="H1615" s="13">
        <f t="shared" si="129"/>
        <v>6</v>
      </c>
      <c r="I1615" s="14">
        <f t="shared" si="125"/>
        <v>1776.2199999999998</v>
      </c>
      <c r="K1615" t="str">
        <f>[1]!revcom(C1615)</f>
        <v>ATTGCG</v>
      </c>
      <c r="L1615">
        <v>6</v>
      </c>
    </row>
    <row r="1616" spans="1:12" ht="15.6" x14ac:dyDescent="0.3">
      <c r="A1616" s="9">
        <v>1605</v>
      </c>
      <c r="B1616" s="1"/>
      <c r="C1616" s="2" t="s">
        <v>1611</v>
      </c>
      <c r="D1616" s="1"/>
      <c r="E1616" s="11">
        <f t="shared" si="126"/>
        <v>28</v>
      </c>
      <c r="F1616" s="12">
        <f t="shared" si="127"/>
        <v>66.666666666666657</v>
      </c>
      <c r="G1616" s="12" t="str">
        <f t="shared" si="128"/>
        <v>Warning</v>
      </c>
      <c r="H1616" s="13">
        <f t="shared" si="129"/>
        <v>6</v>
      </c>
      <c r="I1616" s="14">
        <f t="shared" si="125"/>
        <v>1761.21</v>
      </c>
      <c r="K1616" t="str">
        <f>[1]!revcom(C1616)</f>
        <v>TGTGCG</v>
      </c>
      <c r="L1616">
        <v>7</v>
      </c>
    </row>
    <row r="1617" spans="1:12" ht="15.6" x14ac:dyDescent="0.3">
      <c r="A1617" s="9">
        <v>1606</v>
      </c>
      <c r="B1617" s="1"/>
      <c r="C1617" s="2" t="s">
        <v>1612</v>
      </c>
      <c r="D1617" s="1"/>
      <c r="E1617" s="11">
        <f t="shared" si="126"/>
        <v>26</v>
      </c>
      <c r="F1617" s="12">
        <f t="shared" si="127"/>
        <v>83.333333333333343</v>
      </c>
      <c r="G1617" s="12" t="str">
        <f t="shared" si="128"/>
        <v>Warning</v>
      </c>
      <c r="H1617" s="13">
        <f t="shared" si="129"/>
        <v>6</v>
      </c>
      <c r="I1617" s="14">
        <f t="shared" si="125"/>
        <v>1737.1799999999998</v>
      </c>
      <c r="K1617" t="str">
        <f>[1]!revcom(C1617)</f>
        <v>GGTGCG</v>
      </c>
      <c r="L1617">
        <v>7</v>
      </c>
    </row>
    <row r="1618" spans="1:12" ht="15.6" x14ac:dyDescent="0.3">
      <c r="A1618" s="9">
        <v>1607</v>
      </c>
      <c r="B1618" s="1"/>
      <c r="C1618" s="2" t="s">
        <v>1613</v>
      </c>
      <c r="D1618" s="1"/>
      <c r="E1618" s="11">
        <f t="shared" si="126"/>
        <v>26</v>
      </c>
      <c r="F1618" s="12">
        <f t="shared" si="127"/>
        <v>83.333333333333343</v>
      </c>
      <c r="G1618" s="12" t="str">
        <f t="shared" si="128"/>
        <v>Warning</v>
      </c>
      <c r="H1618" s="13">
        <f t="shared" si="129"/>
        <v>6</v>
      </c>
      <c r="I1618" s="14">
        <f t="shared" si="125"/>
        <v>1777.21</v>
      </c>
      <c r="K1618" t="str">
        <f>[1]!revcom(C1618)</f>
        <v>CGTGCG</v>
      </c>
      <c r="L1618">
        <v>7</v>
      </c>
    </row>
    <row r="1619" spans="1:12" ht="15.6" x14ac:dyDescent="0.3">
      <c r="A1619" s="9">
        <v>1608</v>
      </c>
      <c r="B1619" s="1"/>
      <c r="C1619" s="2" t="s">
        <v>1614</v>
      </c>
      <c r="D1619" s="1"/>
      <c r="E1619" s="11">
        <f t="shared" si="126"/>
        <v>20</v>
      </c>
      <c r="F1619" s="12">
        <f t="shared" si="127"/>
        <v>66.666666666666657</v>
      </c>
      <c r="G1619" s="12" t="str">
        <f t="shared" si="128"/>
        <v>Warning</v>
      </c>
      <c r="H1619" s="13">
        <f t="shared" si="129"/>
        <v>6</v>
      </c>
      <c r="I1619" s="14">
        <f t="shared" si="125"/>
        <v>1752.19</v>
      </c>
      <c r="K1619" t="str">
        <f>[1]!revcom(C1619)</f>
        <v>AGTGCG</v>
      </c>
      <c r="L1619">
        <v>6</v>
      </c>
    </row>
    <row r="1620" spans="1:12" ht="15.6" x14ac:dyDescent="0.3">
      <c r="A1620" s="9">
        <v>1609</v>
      </c>
      <c r="B1620" s="1"/>
      <c r="C1620" s="2" t="s">
        <v>1615</v>
      </c>
      <c r="D1620" s="1"/>
      <c r="E1620" s="11">
        <f t="shared" si="126"/>
        <v>28</v>
      </c>
      <c r="F1620" s="12">
        <f t="shared" si="127"/>
        <v>66.666666666666657</v>
      </c>
      <c r="G1620" s="12" t="str">
        <f t="shared" si="128"/>
        <v>Warning</v>
      </c>
      <c r="H1620" s="13">
        <f t="shared" si="129"/>
        <v>6</v>
      </c>
      <c r="I1620" s="14">
        <f t="shared" si="125"/>
        <v>1801.2399999999998</v>
      </c>
      <c r="K1620" t="str">
        <f>[1]!revcom(C1620)</f>
        <v>TCTGCG</v>
      </c>
      <c r="L1620">
        <v>7</v>
      </c>
    </row>
    <row r="1621" spans="1:12" ht="15.6" x14ac:dyDescent="0.3">
      <c r="A1621" s="9">
        <v>1610</v>
      </c>
      <c r="B1621" s="1"/>
      <c r="C1621" s="2" t="s">
        <v>1616</v>
      </c>
      <c r="D1621" s="1"/>
      <c r="E1621" s="11">
        <f t="shared" si="126"/>
        <v>26</v>
      </c>
      <c r="F1621" s="12">
        <f t="shared" si="127"/>
        <v>83.333333333333343</v>
      </c>
      <c r="G1621" s="12" t="str">
        <f t="shared" si="128"/>
        <v>Warning</v>
      </c>
      <c r="H1621" s="13">
        <f t="shared" si="129"/>
        <v>6</v>
      </c>
      <c r="I1621" s="14">
        <f t="shared" si="125"/>
        <v>1777.21</v>
      </c>
      <c r="K1621" t="str">
        <f>[1]!revcom(C1621)</f>
        <v>GCTGCG</v>
      </c>
      <c r="L1621">
        <v>7</v>
      </c>
    </row>
    <row r="1622" spans="1:12" ht="15.6" x14ac:dyDescent="0.3">
      <c r="A1622" s="9">
        <v>1611</v>
      </c>
      <c r="B1622" s="1"/>
      <c r="C1622" s="2" t="s">
        <v>1617</v>
      </c>
      <c r="D1622" s="1"/>
      <c r="E1622" s="11">
        <f t="shared" si="126"/>
        <v>26</v>
      </c>
      <c r="F1622" s="12">
        <f t="shared" si="127"/>
        <v>83.333333333333343</v>
      </c>
      <c r="G1622" s="12" t="str">
        <f t="shared" si="128"/>
        <v>Warning</v>
      </c>
      <c r="H1622" s="13">
        <f t="shared" si="129"/>
        <v>6</v>
      </c>
      <c r="I1622" s="14">
        <f t="shared" si="125"/>
        <v>1817.2400000000002</v>
      </c>
      <c r="K1622" t="str">
        <f>[1]!revcom(C1622)</f>
        <v>CCTGCG</v>
      </c>
      <c r="L1622">
        <v>7</v>
      </c>
    </row>
    <row r="1623" spans="1:12" ht="15.6" x14ac:dyDescent="0.3">
      <c r="A1623" s="9">
        <v>1612</v>
      </c>
      <c r="B1623" s="1"/>
      <c r="C1623" s="2" t="s">
        <v>1618</v>
      </c>
      <c r="D1623" s="1"/>
      <c r="E1623" s="11">
        <f t="shared" si="126"/>
        <v>20</v>
      </c>
      <c r="F1623" s="12">
        <f t="shared" si="127"/>
        <v>66.666666666666657</v>
      </c>
      <c r="G1623" s="12" t="str">
        <f t="shared" si="128"/>
        <v>Warning</v>
      </c>
      <c r="H1623" s="13">
        <f t="shared" si="129"/>
        <v>6</v>
      </c>
      <c r="I1623" s="14">
        <f t="shared" si="125"/>
        <v>1792.2199999999998</v>
      </c>
      <c r="K1623" t="str">
        <f>[1]!revcom(C1623)</f>
        <v>ACTGCG</v>
      </c>
      <c r="L1623">
        <v>6</v>
      </c>
    </row>
    <row r="1624" spans="1:12" ht="15.6" x14ac:dyDescent="0.3">
      <c r="A1624" s="9">
        <v>1613</v>
      </c>
      <c r="B1624" s="1"/>
      <c r="C1624" s="2" t="s">
        <v>1619</v>
      </c>
      <c r="D1624" s="1"/>
      <c r="E1624" s="11">
        <f t="shared" si="126"/>
        <v>22</v>
      </c>
      <c r="F1624" s="12">
        <f t="shared" si="127"/>
        <v>50</v>
      </c>
      <c r="G1624" s="12" t="str">
        <f t="shared" si="128"/>
        <v>OK</v>
      </c>
      <c r="H1624" s="13">
        <f t="shared" si="129"/>
        <v>6</v>
      </c>
      <c r="I1624" s="14">
        <f t="shared" si="125"/>
        <v>1776.2199999999998</v>
      </c>
      <c r="K1624" t="str">
        <f>[1]!revcom(C1624)</f>
        <v>TATGCG</v>
      </c>
      <c r="L1624">
        <v>6</v>
      </c>
    </row>
    <row r="1625" spans="1:12" ht="15.6" x14ac:dyDescent="0.3">
      <c r="A1625" s="9">
        <v>1614</v>
      </c>
      <c r="B1625" s="1"/>
      <c r="C1625" s="2" t="s">
        <v>1620</v>
      </c>
      <c r="D1625" s="1"/>
      <c r="E1625" s="11">
        <f t="shared" si="126"/>
        <v>20</v>
      </c>
      <c r="F1625" s="12">
        <f t="shared" si="127"/>
        <v>66.666666666666657</v>
      </c>
      <c r="G1625" s="12" t="str">
        <f t="shared" si="128"/>
        <v>Warning</v>
      </c>
      <c r="H1625" s="13">
        <f t="shared" si="129"/>
        <v>6</v>
      </c>
      <c r="I1625" s="14">
        <f t="shared" si="125"/>
        <v>1752.19</v>
      </c>
      <c r="K1625" t="str">
        <f>[1]!revcom(C1625)</f>
        <v>GATGCG</v>
      </c>
      <c r="L1625">
        <v>6</v>
      </c>
    </row>
    <row r="1626" spans="1:12" ht="15.6" x14ac:dyDescent="0.3">
      <c r="A1626" s="9">
        <v>1615</v>
      </c>
      <c r="B1626" s="1"/>
      <c r="C1626" s="2" t="s">
        <v>1621</v>
      </c>
      <c r="D1626" s="1"/>
      <c r="E1626" s="11">
        <f t="shared" si="126"/>
        <v>20</v>
      </c>
      <c r="F1626" s="12">
        <f t="shared" si="127"/>
        <v>66.666666666666657</v>
      </c>
      <c r="G1626" s="12" t="str">
        <f t="shared" si="128"/>
        <v>Warning</v>
      </c>
      <c r="H1626" s="13">
        <f t="shared" si="129"/>
        <v>6</v>
      </c>
      <c r="I1626" s="14">
        <f t="shared" si="125"/>
        <v>1792.2199999999998</v>
      </c>
      <c r="K1626" t="str">
        <f>[1]!revcom(C1626)</f>
        <v>CATGCG</v>
      </c>
      <c r="L1626">
        <v>6</v>
      </c>
    </row>
    <row r="1627" spans="1:12" ht="15.6" x14ac:dyDescent="0.3">
      <c r="A1627" s="9">
        <v>1616</v>
      </c>
      <c r="B1627" s="1"/>
      <c r="C1627" s="2" t="s">
        <v>1622</v>
      </c>
      <c r="D1627" s="1"/>
      <c r="E1627" s="11">
        <f t="shared" si="126"/>
        <v>14</v>
      </c>
      <c r="F1627" s="12">
        <f t="shared" si="127"/>
        <v>50</v>
      </c>
      <c r="G1627" s="12" t="str">
        <f t="shared" si="128"/>
        <v>OK</v>
      </c>
      <c r="H1627" s="13">
        <f t="shared" si="129"/>
        <v>6</v>
      </c>
      <c r="I1627" s="14">
        <f t="shared" si="125"/>
        <v>1767.1999999999998</v>
      </c>
      <c r="K1627" t="str">
        <f>[1]!revcom(C1627)</f>
        <v>AATGCG</v>
      </c>
      <c r="L1627">
        <v>5</v>
      </c>
    </row>
    <row r="1628" spans="1:12" ht="15.6" x14ac:dyDescent="0.3">
      <c r="A1628" s="9">
        <v>1617</v>
      </c>
      <c r="B1628" s="1"/>
      <c r="C1628" s="2" t="s">
        <v>1623</v>
      </c>
      <c r="D1628" s="1"/>
      <c r="E1628" s="11">
        <f t="shared" si="126"/>
        <v>28</v>
      </c>
      <c r="F1628" s="12">
        <f t="shared" si="127"/>
        <v>66.666666666666657</v>
      </c>
      <c r="G1628" s="12" t="str">
        <f t="shared" si="128"/>
        <v>Warning</v>
      </c>
      <c r="H1628" s="13">
        <f t="shared" si="129"/>
        <v>6</v>
      </c>
      <c r="I1628" s="14">
        <f t="shared" si="125"/>
        <v>1761.21</v>
      </c>
      <c r="K1628" t="str">
        <f>[1]!revcom(C1628)</f>
        <v>TTGGCG</v>
      </c>
      <c r="L1628">
        <v>7</v>
      </c>
    </row>
    <row r="1629" spans="1:12" ht="15.6" x14ac:dyDescent="0.3">
      <c r="A1629" s="9">
        <v>1618</v>
      </c>
      <c r="B1629" s="1"/>
      <c r="C1629" s="2" t="s">
        <v>1624</v>
      </c>
      <c r="D1629" s="1"/>
      <c r="E1629" s="11">
        <f t="shared" si="126"/>
        <v>26</v>
      </c>
      <c r="F1629" s="12">
        <f t="shared" si="127"/>
        <v>83.333333333333343</v>
      </c>
      <c r="G1629" s="12" t="str">
        <f t="shared" si="128"/>
        <v>Warning</v>
      </c>
      <c r="H1629" s="13">
        <f t="shared" si="129"/>
        <v>6</v>
      </c>
      <c r="I1629" s="14">
        <f t="shared" si="125"/>
        <v>1737.1799999999998</v>
      </c>
      <c r="K1629" t="str">
        <f>[1]!revcom(C1629)</f>
        <v>GTGGCG</v>
      </c>
      <c r="L1629">
        <v>7</v>
      </c>
    </row>
    <row r="1630" spans="1:12" ht="15.6" x14ac:dyDescent="0.3">
      <c r="A1630" s="9">
        <v>1619</v>
      </c>
      <c r="B1630" s="1"/>
      <c r="C1630" s="2" t="s">
        <v>1625</v>
      </c>
      <c r="D1630" s="1"/>
      <c r="E1630" s="11">
        <f t="shared" si="126"/>
        <v>26</v>
      </c>
      <c r="F1630" s="12">
        <f t="shared" si="127"/>
        <v>83.333333333333343</v>
      </c>
      <c r="G1630" s="12" t="str">
        <f t="shared" si="128"/>
        <v>Warning</v>
      </c>
      <c r="H1630" s="13">
        <f t="shared" si="129"/>
        <v>6</v>
      </c>
      <c r="I1630" s="14">
        <f t="shared" si="125"/>
        <v>1777.21</v>
      </c>
      <c r="K1630" t="str">
        <f>[1]!revcom(C1630)</f>
        <v>CTGGCG</v>
      </c>
      <c r="L1630">
        <v>7</v>
      </c>
    </row>
    <row r="1631" spans="1:12" ht="15.6" x14ac:dyDescent="0.3">
      <c r="A1631" s="9">
        <v>1620</v>
      </c>
      <c r="B1631" s="1"/>
      <c r="C1631" s="2" t="s">
        <v>1626</v>
      </c>
      <c r="D1631" s="1"/>
      <c r="E1631" s="11">
        <f t="shared" si="126"/>
        <v>20</v>
      </c>
      <c r="F1631" s="12">
        <f t="shared" si="127"/>
        <v>66.666666666666657</v>
      </c>
      <c r="G1631" s="12" t="str">
        <f t="shared" si="128"/>
        <v>Warning</v>
      </c>
      <c r="H1631" s="13">
        <f t="shared" si="129"/>
        <v>6</v>
      </c>
      <c r="I1631" s="14">
        <f t="shared" si="125"/>
        <v>1752.19</v>
      </c>
      <c r="K1631" t="str">
        <f>[1]!revcom(C1631)</f>
        <v>ATGGCG</v>
      </c>
      <c r="L1631">
        <v>6</v>
      </c>
    </row>
    <row r="1632" spans="1:12" ht="15.6" x14ac:dyDescent="0.3">
      <c r="A1632" s="9">
        <v>1621</v>
      </c>
      <c r="B1632" s="1"/>
      <c r="C1632" s="2" t="s">
        <v>1627</v>
      </c>
      <c r="D1632" s="1"/>
      <c r="E1632" s="11">
        <f t="shared" si="126"/>
        <v>26</v>
      </c>
      <c r="F1632" s="12">
        <f t="shared" si="127"/>
        <v>83.333333333333343</v>
      </c>
      <c r="G1632" s="12" t="str">
        <f t="shared" si="128"/>
        <v>Warning</v>
      </c>
      <c r="H1632" s="13">
        <f t="shared" si="129"/>
        <v>6</v>
      </c>
      <c r="I1632" s="14">
        <f t="shared" si="125"/>
        <v>1737.1799999999998</v>
      </c>
      <c r="K1632" t="str">
        <f>[1]!revcom(C1632)</f>
        <v>TGGGCG</v>
      </c>
      <c r="L1632">
        <v>7</v>
      </c>
    </row>
    <row r="1633" spans="1:12" ht="15.6" x14ac:dyDescent="0.3">
      <c r="A1633" s="9">
        <v>1622</v>
      </c>
      <c r="B1633" s="1"/>
      <c r="C1633" s="2" t="s">
        <v>1628</v>
      </c>
      <c r="D1633" s="1"/>
      <c r="E1633" s="11">
        <f t="shared" si="126"/>
        <v>24</v>
      </c>
      <c r="F1633" s="12">
        <f t="shared" si="127"/>
        <v>100</v>
      </c>
      <c r="G1633" s="12" t="str">
        <f t="shared" si="128"/>
        <v>Warning</v>
      </c>
      <c r="H1633" s="13">
        <f t="shared" si="129"/>
        <v>6</v>
      </c>
      <c r="I1633" s="14">
        <f t="shared" si="125"/>
        <v>1713.15</v>
      </c>
      <c r="K1633" t="str">
        <f>[1]!revcom(C1633)</f>
        <v>GGGGCG</v>
      </c>
      <c r="L1633">
        <v>6</v>
      </c>
    </row>
    <row r="1634" spans="1:12" ht="15.6" x14ac:dyDescent="0.3">
      <c r="A1634" s="9">
        <v>1623</v>
      </c>
      <c r="B1634" s="1"/>
      <c r="C1634" s="2" t="s">
        <v>1629</v>
      </c>
      <c r="D1634" s="1"/>
      <c r="E1634" s="11">
        <f t="shared" si="126"/>
        <v>24</v>
      </c>
      <c r="F1634" s="12">
        <f t="shared" si="127"/>
        <v>100</v>
      </c>
      <c r="G1634" s="12" t="str">
        <f t="shared" si="128"/>
        <v>Warning</v>
      </c>
      <c r="H1634" s="13">
        <f t="shared" si="129"/>
        <v>6</v>
      </c>
      <c r="I1634" s="14">
        <f t="shared" si="125"/>
        <v>1753.1799999999998</v>
      </c>
      <c r="K1634" t="str">
        <f>[1]!revcom(C1634)</f>
        <v>CGGGCG</v>
      </c>
      <c r="L1634">
        <v>6</v>
      </c>
    </row>
    <row r="1635" spans="1:12" ht="15.6" x14ac:dyDescent="0.3">
      <c r="A1635" s="9">
        <v>1624</v>
      </c>
      <c r="B1635" s="1"/>
      <c r="C1635" s="2" t="s">
        <v>1630</v>
      </c>
      <c r="D1635" s="1"/>
      <c r="E1635" s="11">
        <f t="shared" si="126"/>
        <v>18</v>
      </c>
      <c r="F1635" s="12">
        <f t="shared" si="127"/>
        <v>83.333333333333343</v>
      </c>
      <c r="G1635" s="12" t="str">
        <f t="shared" si="128"/>
        <v>Warning</v>
      </c>
      <c r="H1635" s="13">
        <f t="shared" si="129"/>
        <v>6</v>
      </c>
      <c r="I1635" s="14">
        <f t="shared" si="125"/>
        <v>1728.1599999999999</v>
      </c>
      <c r="K1635" t="str">
        <f>[1]!revcom(C1635)</f>
        <v>AGGGCG</v>
      </c>
      <c r="L1635">
        <v>5</v>
      </c>
    </row>
    <row r="1636" spans="1:12" ht="15.6" x14ac:dyDescent="0.3">
      <c r="A1636" s="9">
        <v>1625</v>
      </c>
      <c r="B1636" s="1"/>
      <c r="C1636" s="2" t="s">
        <v>1631</v>
      </c>
      <c r="D1636" s="1"/>
      <c r="E1636" s="11">
        <f t="shared" si="126"/>
        <v>26</v>
      </c>
      <c r="F1636" s="12">
        <f t="shared" si="127"/>
        <v>83.333333333333343</v>
      </c>
      <c r="G1636" s="12" t="str">
        <f t="shared" si="128"/>
        <v>Warning</v>
      </c>
      <c r="H1636" s="13">
        <f t="shared" si="129"/>
        <v>6</v>
      </c>
      <c r="I1636" s="14">
        <f t="shared" si="125"/>
        <v>1777.21</v>
      </c>
      <c r="K1636" t="str">
        <f>[1]!revcom(C1636)</f>
        <v>TCGGCG</v>
      </c>
      <c r="L1636">
        <v>7</v>
      </c>
    </row>
    <row r="1637" spans="1:12" ht="15.6" x14ac:dyDescent="0.3">
      <c r="A1637" s="9">
        <v>1626</v>
      </c>
      <c r="B1637" s="1"/>
      <c r="C1637" s="2" t="s">
        <v>1632</v>
      </c>
      <c r="D1637" s="1"/>
      <c r="E1637" s="11">
        <f t="shared" si="126"/>
        <v>24</v>
      </c>
      <c r="F1637" s="12">
        <f t="shared" si="127"/>
        <v>100</v>
      </c>
      <c r="G1637" s="12" t="str">
        <f t="shared" si="128"/>
        <v>Warning</v>
      </c>
      <c r="H1637" s="13">
        <f t="shared" si="129"/>
        <v>6</v>
      </c>
      <c r="I1637" s="14">
        <f t="shared" si="125"/>
        <v>1753.1799999999998</v>
      </c>
      <c r="K1637" t="str">
        <f>[1]!revcom(C1637)</f>
        <v>GCGGCG</v>
      </c>
      <c r="L1637">
        <v>6</v>
      </c>
    </row>
    <row r="1638" spans="1:12" ht="15.6" x14ac:dyDescent="0.3">
      <c r="A1638" s="9">
        <v>1627</v>
      </c>
      <c r="B1638" s="1"/>
      <c r="C1638" s="2" t="s">
        <v>1633</v>
      </c>
      <c r="D1638" s="1"/>
      <c r="E1638" s="11">
        <f t="shared" si="126"/>
        <v>24</v>
      </c>
      <c r="F1638" s="12">
        <f t="shared" si="127"/>
        <v>100</v>
      </c>
      <c r="G1638" s="12" t="str">
        <f t="shared" si="128"/>
        <v>Warning</v>
      </c>
      <c r="H1638" s="13">
        <f t="shared" si="129"/>
        <v>6</v>
      </c>
      <c r="I1638" s="14">
        <f t="shared" si="125"/>
        <v>1793.21</v>
      </c>
      <c r="K1638" t="str">
        <f>[1]!revcom(C1638)</f>
        <v>CCGGCG</v>
      </c>
      <c r="L1638">
        <v>6</v>
      </c>
    </row>
    <row r="1639" spans="1:12" ht="15.6" x14ac:dyDescent="0.3">
      <c r="A1639" s="9">
        <v>1628</v>
      </c>
      <c r="B1639" s="1"/>
      <c r="C1639" s="2" t="s">
        <v>1634</v>
      </c>
      <c r="D1639" s="1"/>
      <c r="E1639" s="11">
        <f t="shared" si="126"/>
        <v>18</v>
      </c>
      <c r="F1639" s="12">
        <f t="shared" si="127"/>
        <v>83.333333333333343</v>
      </c>
      <c r="G1639" s="12" t="str">
        <f t="shared" si="128"/>
        <v>Warning</v>
      </c>
      <c r="H1639" s="13">
        <f t="shared" si="129"/>
        <v>6</v>
      </c>
      <c r="I1639" s="14">
        <f t="shared" si="125"/>
        <v>1768.19</v>
      </c>
      <c r="K1639" t="str">
        <f>[1]!revcom(C1639)</f>
        <v>ACGGCG</v>
      </c>
      <c r="L1639">
        <v>5</v>
      </c>
    </row>
    <row r="1640" spans="1:12" ht="15.6" x14ac:dyDescent="0.3">
      <c r="A1640" s="9">
        <v>1629</v>
      </c>
      <c r="B1640" s="1"/>
      <c r="C1640" s="2" t="s">
        <v>1635</v>
      </c>
      <c r="D1640" s="1"/>
      <c r="E1640" s="11">
        <f t="shared" si="126"/>
        <v>20</v>
      </c>
      <c r="F1640" s="12">
        <f t="shared" si="127"/>
        <v>66.666666666666657</v>
      </c>
      <c r="G1640" s="12" t="str">
        <f t="shared" si="128"/>
        <v>Warning</v>
      </c>
      <c r="H1640" s="13">
        <f t="shared" si="129"/>
        <v>6</v>
      </c>
      <c r="I1640" s="14">
        <f t="shared" si="125"/>
        <v>1752.19</v>
      </c>
      <c r="K1640" t="str">
        <f>[1]!revcom(C1640)</f>
        <v>TAGGCG</v>
      </c>
      <c r="L1640">
        <v>6</v>
      </c>
    </row>
    <row r="1641" spans="1:12" ht="15.6" x14ac:dyDescent="0.3">
      <c r="A1641" s="9">
        <v>1630</v>
      </c>
      <c r="B1641" s="1"/>
      <c r="C1641" s="2" t="s">
        <v>1636</v>
      </c>
      <c r="D1641" s="1"/>
      <c r="E1641" s="11">
        <f t="shared" si="126"/>
        <v>18</v>
      </c>
      <c r="F1641" s="12">
        <f t="shared" si="127"/>
        <v>83.333333333333343</v>
      </c>
      <c r="G1641" s="12" t="str">
        <f t="shared" si="128"/>
        <v>Warning</v>
      </c>
      <c r="H1641" s="13">
        <f t="shared" si="129"/>
        <v>6</v>
      </c>
      <c r="I1641" s="14">
        <f t="shared" si="125"/>
        <v>1728.1599999999999</v>
      </c>
      <c r="K1641" t="str">
        <f>[1]!revcom(C1641)</f>
        <v>GAGGCG</v>
      </c>
      <c r="L1641">
        <v>5</v>
      </c>
    </row>
    <row r="1642" spans="1:12" ht="15.6" x14ac:dyDescent="0.3">
      <c r="A1642" s="9">
        <v>1631</v>
      </c>
      <c r="B1642" s="1"/>
      <c r="C1642" s="2" t="s">
        <v>1637</v>
      </c>
      <c r="D1642" s="1"/>
      <c r="E1642" s="11">
        <f t="shared" si="126"/>
        <v>18</v>
      </c>
      <c r="F1642" s="12">
        <f t="shared" si="127"/>
        <v>83.333333333333343</v>
      </c>
      <c r="G1642" s="12" t="str">
        <f t="shared" si="128"/>
        <v>Warning</v>
      </c>
      <c r="H1642" s="13">
        <f t="shared" si="129"/>
        <v>6</v>
      </c>
      <c r="I1642" s="14">
        <f t="shared" si="125"/>
        <v>1768.19</v>
      </c>
      <c r="K1642" t="str">
        <f>[1]!revcom(C1642)</f>
        <v>CAGGCG</v>
      </c>
      <c r="L1642">
        <v>5</v>
      </c>
    </row>
    <row r="1643" spans="1:12" ht="15.6" x14ac:dyDescent="0.3">
      <c r="A1643" s="9">
        <v>1632</v>
      </c>
      <c r="B1643" s="1"/>
      <c r="C1643" s="2" t="s">
        <v>1638</v>
      </c>
      <c r="D1643" s="1"/>
      <c r="E1643" s="11">
        <f t="shared" si="126"/>
        <v>12</v>
      </c>
      <c r="F1643" s="12">
        <f t="shared" si="127"/>
        <v>66.666666666666657</v>
      </c>
      <c r="G1643" s="12" t="str">
        <f t="shared" si="128"/>
        <v>Warning</v>
      </c>
      <c r="H1643" s="13">
        <f t="shared" si="129"/>
        <v>6</v>
      </c>
      <c r="I1643" s="14">
        <f t="shared" si="125"/>
        <v>1743.17</v>
      </c>
      <c r="K1643" t="str">
        <f>[1]!revcom(C1643)</f>
        <v>AAGGCG</v>
      </c>
      <c r="L1643">
        <v>4</v>
      </c>
    </row>
    <row r="1644" spans="1:12" ht="15.6" x14ac:dyDescent="0.3">
      <c r="A1644" s="9">
        <v>1633</v>
      </c>
      <c r="B1644" s="1"/>
      <c r="C1644" s="2" t="s">
        <v>1639</v>
      </c>
      <c r="D1644" s="1"/>
      <c r="E1644" s="11">
        <f t="shared" si="126"/>
        <v>28</v>
      </c>
      <c r="F1644" s="12">
        <f t="shared" si="127"/>
        <v>66.666666666666657</v>
      </c>
      <c r="G1644" s="12" t="str">
        <f t="shared" si="128"/>
        <v>Warning</v>
      </c>
      <c r="H1644" s="13">
        <f t="shared" si="129"/>
        <v>6</v>
      </c>
      <c r="I1644" s="14">
        <f t="shared" si="125"/>
        <v>1801.2399999999998</v>
      </c>
      <c r="K1644" t="str">
        <f>[1]!revcom(C1644)</f>
        <v>TTCGCG</v>
      </c>
      <c r="L1644">
        <v>7</v>
      </c>
    </row>
    <row r="1645" spans="1:12" ht="15.6" x14ac:dyDescent="0.3">
      <c r="A1645" s="9">
        <v>1634</v>
      </c>
      <c r="B1645" s="1"/>
      <c r="C1645" s="2" t="s">
        <v>1640</v>
      </c>
      <c r="D1645" s="1"/>
      <c r="E1645" s="11">
        <f t="shared" si="126"/>
        <v>26</v>
      </c>
      <c r="F1645" s="12">
        <f t="shared" si="127"/>
        <v>83.333333333333343</v>
      </c>
      <c r="G1645" s="12" t="str">
        <f t="shared" si="128"/>
        <v>Warning</v>
      </c>
      <c r="H1645" s="13">
        <f t="shared" si="129"/>
        <v>6</v>
      </c>
      <c r="I1645" s="14">
        <f t="shared" si="125"/>
        <v>1777.21</v>
      </c>
      <c r="K1645" t="str">
        <f>[1]!revcom(C1645)</f>
        <v>GTCGCG</v>
      </c>
      <c r="L1645">
        <v>7</v>
      </c>
    </row>
    <row r="1646" spans="1:12" ht="15.6" x14ac:dyDescent="0.3">
      <c r="A1646" s="9">
        <v>1635</v>
      </c>
      <c r="B1646" s="1"/>
      <c r="C1646" s="2" t="s">
        <v>1641</v>
      </c>
      <c r="D1646" s="1"/>
      <c r="E1646" s="11">
        <f t="shared" si="126"/>
        <v>26</v>
      </c>
      <c r="F1646" s="12">
        <f t="shared" si="127"/>
        <v>83.333333333333343</v>
      </c>
      <c r="G1646" s="12" t="str">
        <f t="shared" si="128"/>
        <v>Warning</v>
      </c>
      <c r="H1646" s="13">
        <f t="shared" si="129"/>
        <v>6</v>
      </c>
      <c r="I1646" s="14">
        <f t="shared" si="125"/>
        <v>1817.2400000000002</v>
      </c>
      <c r="K1646" t="str">
        <f>[1]!revcom(C1646)</f>
        <v>CTCGCG</v>
      </c>
      <c r="L1646">
        <v>7</v>
      </c>
    </row>
    <row r="1647" spans="1:12" ht="15.6" x14ac:dyDescent="0.3">
      <c r="A1647" s="9">
        <v>1636</v>
      </c>
      <c r="B1647" s="1"/>
      <c r="C1647" s="2" t="s">
        <v>1642</v>
      </c>
      <c r="D1647" s="1"/>
      <c r="E1647" s="11">
        <f t="shared" si="126"/>
        <v>20</v>
      </c>
      <c r="F1647" s="12">
        <f t="shared" si="127"/>
        <v>66.666666666666657</v>
      </c>
      <c r="G1647" s="12" t="str">
        <f t="shared" si="128"/>
        <v>Warning</v>
      </c>
      <c r="H1647" s="13">
        <f t="shared" si="129"/>
        <v>6</v>
      </c>
      <c r="I1647" s="14">
        <f t="shared" si="125"/>
        <v>1792.2199999999998</v>
      </c>
      <c r="K1647" t="str">
        <f>[1]!revcom(C1647)</f>
        <v>ATCGCG</v>
      </c>
      <c r="L1647">
        <v>6</v>
      </c>
    </row>
    <row r="1648" spans="1:12" ht="15.6" x14ac:dyDescent="0.3">
      <c r="A1648" s="9">
        <v>1637</v>
      </c>
      <c r="B1648" s="1"/>
      <c r="C1648" s="2" t="s">
        <v>1643</v>
      </c>
      <c r="D1648" s="1"/>
      <c r="E1648" s="11">
        <f t="shared" si="126"/>
        <v>26</v>
      </c>
      <c r="F1648" s="12">
        <f t="shared" si="127"/>
        <v>83.333333333333343</v>
      </c>
      <c r="G1648" s="12" t="str">
        <f t="shared" si="128"/>
        <v>Warning</v>
      </c>
      <c r="H1648" s="13">
        <f t="shared" si="129"/>
        <v>6</v>
      </c>
      <c r="I1648" s="14">
        <f t="shared" si="125"/>
        <v>1777.21</v>
      </c>
      <c r="K1648" t="str">
        <f>[1]!revcom(C1648)</f>
        <v>TGCGCG</v>
      </c>
      <c r="L1648">
        <v>7</v>
      </c>
    </row>
    <row r="1649" spans="1:12" ht="15.6" x14ac:dyDescent="0.3">
      <c r="A1649" s="9">
        <v>1638</v>
      </c>
      <c r="B1649" s="1"/>
      <c r="C1649" s="2" t="s">
        <v>1644</v>
      </c>
      <c r="D1649" s="1"/>
      <c r="E1649" s="11">
        <f t="shared" si="126"/>
        <v>24</v>
      </c>
      <c r="F1649" s="12">
        <f t="shared" si="127"/>
        <v>100</v>
      </c>
      <c r="G1649" s="12" t="str">
        <f t="shared" si="128"/>
        <v>Warning</v>
      </c>
      <c r="H1649" s="13">
        <f t="shared" si="129"/>
        <v>6</v>
      </c>
      <c r="I1649" s="14">
        <f t="shared" si="125"/>
        <v>1753.1799999999998</v>
      </c>
      <c r="K1649" t="str">
        <f>[1]!revcom(C1649)</f>
        <v>GGCGCG</v>
      </c>
      <c r="L1649">
        <v>6</v>
      </c>
    </row>
    <row r="1650" spans="1:12" ht="15.6" x14ac:dyDescent="0.3">
      <c r="A1650" s="9">
        <v>1639</v>
      </c>
      <c r="B1650" s="1"/>
      <c r="C1650" s="2" t="s">
        <v>1645</v>
      </c>
      <c r="D1650" s="1"/>
      <c r="E1650" s="11">
        <f t="shared" si="126"/>
        <v>24</v>
      </c>
      <c r="F1650" s="12">
        <f t="shared" si="127"/>
        <v>100</v>
      </c>
      <c r="G1650" s="12" t="str">
        <f t="shared" si="128"/>
        <v>Warning</v>
      </c>
      <c r="H1650" s="13">
        <f t="shared" si="129"/>
        <v>6</v>
      </c>
      <c r="I1650" s="14">
        <f t="shared" si="125"/>
        <v>1793.21</v>
      </c>
      <c r="K1650" t="str">
        <f>[1]!revcom(C1650)</f>
        <v>CGCGCG</v>
      </c>
      <c r="L1650">
        <v>6</v>
      </c>
    </row>
    <row r="1651" spans="1:12" ht="15.6" x14ac:dyDescent="0.3">
      <c r="A1651" s="9">
        <v>1640</v>
      </c>
      <c r="B1651" s="1"/>
      <c r="C1651" s="2" t="s">
        <v>1646</v>
      </c>
      <c r="D1651" s="1"/>
      <c r="E1651" s="11">
        <f t="shared" si="126"/>
        <v>18</v>
      </c>
      <c r="F1651" s="12">
        <f t="shared" si="127"/>
        <v>83.333333333333343</v>
      </c>
      <c r="G1651" s="12" t="str">
        <f t="shared" si="128"/>
        <v>Warning</v>
      </c>
      <c r="H1651" s="13">
        <f t="shared" si="129"/>
        <v>6</v>
      </c>
      <c r="I1651" s="14">
        <f t="shared" si="125"/>
        <v>1768.19</v>
      </c>
      <c r="K1651" t="str">
        <f>[1]!revcom(C1651)</f>
        <v>AGCGCG</v>
      </c>
      <c r="L1651">
        <v>5</v>
      </c>
    </row>
    <row r="1652" spans="1:12" ht="15.6" x14ac:dyDescent="0.3">
      <c r="A1652" s="9">
        <v>1641</v>
      </c>
      <c r="B1652" s="1"/>
      <c r="C1652" s="2" t="s">
        <v>1647</v>
      </c>
      <c r="D1652" s="1"/>
      <c r="E1652" s="11">
        <f t="shared" si="126"/>
        <v>26</v>
      </c>
      <c r="F1652" s="12">
        <f t="shared" si="127"/>
        <v>83.333333333333343</v>
      </c>
      <c r="G1652" s="12" t="str">
        <f t="shared" si="128"/>
        <v>Warning</v>
      </c>
      <c r="H1652" s="13">
        <f t="shared" si="129"/>
        <v>6</v>
      </c>
      <c r="I1652" s="14">
        <f t="shared" si="125"/>
        <v>1817.2400000000002</v>
      </c>
      <c r="K1652" t="str">
        <f>[1]!revcom(C1652)</f>
        <v>TCCGCG</v>
      </c>
      <c r="L1652">
        <v>7</v>
      </c>
    </row>
    <row r="1653" spans="1:12" ht="15.6" x14ac:dyDescent="0.3">
      <c r="A1653" s="9">
        <v>1642</v>
      </c>
      <c r="B1653" s="1"/>
      <c r="C1653" s="2" t="s">
        <v>1648</v>
      </c>
      <c r="D1653" s="1"/>
      <c r="E1653" s="11">
        <f t="shared" si="126"/>
        <v>24</v>
      </c>
      <c r="F1653" s="12">
        <f t="shared" si="127"/>
        <v>100</v>
      </c>
      <c r="G1653" s="12" t="str">
        <f t="shared" si="128"/>
        <v>Warning</v>
      </c>
      <c r="H1653" s="13">
        <f t="shared" si="129"/>
        <v>6</v>
      </c>
      <c r="I1653" s="14">
        <f t="shared" si="125"/>
        <v>1793.21</v>
      </c>
      <c r="K1653" t="str">
        <f>[1]!revcom(C1653)</f>
        <v>GCCGCG</v>
      </c>
      <c r="L1653">
        <v>6</v>
      </c>
    </row>
    <row r="1654" spans="1:12" ht="15.6" x14ac:dyDescent="0.3">
      <c r="A1654" s="9">
        <v>1643</v>
      </c>
      <c r="B1654" s="1"/>
      <c r="C1654" s="2" t="s">
        <v>1649</v>
      </c>
      <c r="D1654" s="1"/>
      <c r="E1654" s="11">
        <f t="shared" si="126"/>
        <v>24</v>
      </c>
      <c r="F1654" s="12">
        <f t="shared" si="127"/>
        <v>100</v>
      </c>
      <c r="G1654" s="12" t="str">
        <f t="shared" si="128"/>
        <v>Warning</v>
      </c>
      <c r="H1654" s="13">
        <f t="shared" si="129"/>
        <v>6</v>
      </c>
      <c r="I1654" s="14">
        <f t="shared" si="125"/>
        <v>1833.2400000000002</v>
      </c>
      <c r="K1654" t="str">
        <f>[1]!revcom(C1654)</f>
        <v>CCCGCG</v>
      </c>
      <c r="L1654">
        <v>6</v>
      </c>
    </row>
    <row r="1655" spans="1:12" ht="15.6" x14ac:dyDescent="0.3">
      <c r="A1655" s="9">
        <v>1644</v>
      </c>
      <c r="B1655" s="1"/>
      <c r="C1655" s="2" t="s">
        <v>1650</v>
      </c>
      <c r="D1655" s="1"/>
      <c r="E1655" s="11">
        <f t="shared" si="126"/>
        <v>18</v>
      </c>
      <c r="F1655" s="12">
        <f t="shared" si="127"/>
        <v>83.333333333333343</v>
      </c>
      <c r="G1655" s="12" t="str">
        <f t="shared" si="128"/>
        <v>Warning</v>
      </c>
      <c r="H1655" s="13">
        <f t="shared" si="129"/>
        <v>6</v>
      </c>
      <c r="I1655" s="14">
        <f t="shared" si="125"/>
        <v>1808.2200000000003</v>
      </c>
      <c r="K1655" t="str">
        <f>[1]!revcom(C1655)</f>
        <v>ACCGCG</v>
      </c>
      <c r="L1655">
        <v>5</v>
      </c>
    </row>
    <row r="1656" spans="1:12" ht="15.6" x14ac:dyDescent="0.3">
      <c r="A1656" s="9">
        <v>1645</v>
      </c>
      <c r="B1656" s="1"/>
      <c r="C1656" s="2" t="s">
        <v>1651</v>
      </c>
      <c r="D1656" s="1"/>
      <c r="E1656" s="11">
        <f t="shared" si="126"/>
        <v>20</v>
      </c>
      <c r="F1656" s="12">
        <f t="shared" si="127"/>
        <v>66.666666666666657</v>
      </c>
      <c r="G1656" s="12" t="str">
        <f t="shared" si="128"/>
        <v>Warning</v>
      </c>
      <c r="H1656" s="13">
        <f t="shared" si="129"/>
        <v>6</v>
      </c>
      <c r="I1656" s="14">
        <f t="shared" si="125"/>
        <v>1792.2199999999998</v>
      </c>
      <c r="K1656" t="str">
        <f>[1]!revcom(C1656)</f>
        <v>TACGCG</v>
      </c>
      <c r="L1656">
        <v>6</v>
      </c>
    </row>
    <row r="1657" spans="1:12" ht="15.6" x14ac:dyDescent="0.3">
      <c r="A1657" s="9">
        <v>1646</v>
      </c>
      <c r="B1657" s="1"/>
      <c r="C1657" s="2" t="s">
        <v>1652</v>
      </c>
      <c r="D1657" s="1"/>
      <c r="E1657" s="11">
        <f t="shared" si="126"/>
        <v>18</v>
      </c>
      <c r="F1657" s="12">
        <f t="shared" si="127"/>
        <v>83.333333333333343</v>
      </c>
      <c r="G1657" s="12" t="str">
        <f t="shared" si="128"/>
        <v>Warning</v>
      </c>
      <c r="H1657" s="13">
        <f t="shared" si="129"/>
        <v>6</v>
      </c>
      <c r="I1657" s="14">
        <f t="shared" si="125"/>
        <v>1768.19</v>
      </c>
      <c r="K1657" t="str">
        <f>[1]!revcom(C1657)</f>
        <v>GACGCG</v>
      </c>
      <c r="L1657">
        <v>5</v>
      </c>
    </row>
    <row r="1658" spans="1:12" ht="15.6" x14ac:dyDescent="0.3">
      <c r="A1658" s="9">
        <v>1647</v>
      </c>
      <c r="B1658" s="1"/>
      <c r="C1658" s="2" t="s">
        <v>1653</v>
      </c>
      <c r="D1658" s="1"/>
      <c r="E1658" s="11">
        <f t="shared" si="126"/>
        <v>18</v>
      </c>
      <c r="F1658" s="12">
        <f t="shared" si="127"/>
        <v>83.333333333333343</v>
      </c>
      <c r="G1658" s="12" t="str">
        <f t="shared" si="128"/>
        <v>Warning</v>
      </c>
      <c r="H1658" s="13">
        <f t="shared" si="129"/>
        <v>6</v>
      </c>
      <c r="I1658" s="14">
        <f t="shared" si="125"/>
        <v>1808.2200000000003</v>
      </c>
      <c r="K1658" t="str">
        <f>[1]!revcom(C1658)</f>
        <v>CACGCG</v>
      </c>
      <c r="L1658">
        <v>5</v>
      </c>
    </row>
    <row r="1659" spans="1:12" ht="15.6" x14ac:dyDescent="0.3">
      <c r="A1659" s="9">
        <v>1648</v>
      </c>
      <c r="B1659" s="1"/>
      <c r="C1659" s="2" t="s">
        <v>1654</v>
      </c>
      <c r="D1659" s="1"/>
      <c r="E1659" s="11">
        <f t="shared" si="126"/>
        <v>12</v>
      </c>
      <c r="F1659" s="12">
        <f t="shared" si="127"/>
        <v>66.666666666666657</v>
      </c>
      <c r="G1659" s="12" t="str">
        <f t="shared" si="128"/>
        <v>Warning</v>
      </c>
      <c r="H1659" s="13">
        <f t="shared" si="129"/>
        <v>6</v>
      </c>
      <c r="I1659" s="14">
        <f t="shared" si="125"/>
        <v>1783.1999999999998</v>
      </c>
      <c r="K1659" t="str">
        <f>[1]!revcom(C1659)</f>
        <v>AACGCG</v>
      </c>
      <c r="L1659">
        <v>4</v>
      </c>
    </row>
    <row r="1660" spans="1:12" ht="15.6" x14ac:dyDescent="0.3">
      <c r="A1660" s="9">
        <v>1649</v>
      </c>
      <c r="B1660" s="1"/>
      <c r="C1660" s="2" t="s">
        <v>1655</v>
      </c>
      <c r="D1660" s="1"/>
      <c r="E1660" s="11">
        <f t="shared" si="126"/>
        <v>22</v>
      </c>
      <c r="F1660" s="12">
        <f t="shared" si="127"/>
        <v>50</v>
      </c>
      <c r="G1660" s="12" t="str">
        <f t="shared" si="128"/>
        <v>OK</v>
      </c>
      <c r="H1660" s="13">
        <f t="shared" si="129"/>
        <v>6</v>
      </c>
      <c r="I1660" s="14">
        <f t="shared" si="125"/>
        <v>1776.2199999999998</v>
      </c>
      <c r="K1660" t="str">
        <f>[1]!revcom(C1660)</f>
        <v>TTAGCG</v>
      </c>
      <c r="L1660">
        <v>6</v>
      </c>
    </row>
    <row r="1661" spans="1:12" ht="15.6" x14ac:dyDescent="0.3">
      <c r="A1661" s="9">
        <v>1650</v>
      </c>
      <c r="B1661" s="1"/>
      <c r="C1661" s="2" t="s">
        <v>1656</v>
      </c>
      <c r="D1661" s="1"/>
      <c r="E1661" s="11">
        <f t="shared" si="126"/>
        <v>20</v>
      </c>
      <c r="F1661" s="12">
        <f t="shared" si="127"/>
        <v>66.666666666666657</v>
      </c>
      <c r="G1661" s="12" t="str">
        <f t="shared" si="128"/>
        <v>Warning</v>
      </c>
      <c r="H1661" s="13">
        <f t="shared" si="129"/>
        <v>6</v>
      </c>
      <c r="I1661" s="14">
        <f t="shared" si="125"/>
        <v>1752.19</v>
      </c>
      <c r="K1661" t="str">
        <f>[1]!revcom(C1661)</f>
        <v>GTAGCG</v>
      </c>
      <c r="L1661">
        <v>6</v>
      </c>
    </row>
    <row r="1662" spans="1:12" ht="15.6" x14ac:dyDescent="0.3">
      <c r="A1662" s="9">
        <v>1651</v>
      </c>
      <c r="B1662" s="1"/>
      <c r="C1662" s="2" t="s">
        <v>1657</v>
      </c>
      <c r="D1662" s="1"/>
      <c r="E1662" s="11">
        <f t="shared" si="126"/>
        <v>20</v>
      </c>
      <c r="F1662" s="12">
        <f t="shared" si="127"/>
        <v>66.666666666666657</v>
      </c>
      <c r="G1662" s="12" t="str">
        <f t="shared" si="128"/>
        <v>Warning</v>
      </c>
      <c r="H1662" s="13">
        <f t="shared" si="129"/>
        <v>6</v>
      </c>
      <c r="I1662" s="14">
        <f t="shared" si="125"/>
        <v>1792.2199999999998</v>
      </c>
      <c r="K1662" t="str">
        <f>[1]!revcom(C1662)</f>
        <v>CTAGCG</v>
      </c>
      <c r="L1662">
        <v>6</v>
      </c>
    </row>
    <row r="1663" spans="1:12" ht="15.6" x14ac:dyDescent="0.3">
      <c r="A1663" s="9">
        <v>1652</v>
      </c>
      <c r="B1663" s="1"/>
      <c r="C1663" s="2" t="s">
        <v>1658</v>
      </c>
      <c r="D1663" s="1"/>
      <c r="E1663" s="11">
        <f t="shared" si="126"/>
        <v>14</v>
      </c>
      <c r="F1663" s="12">
        <f t="shared" si="127"/>
        <v>50</v>
      </c>
      <c r="G1663" s="12" t="str">
        <f t="shared" si="128"/>
        <v>OK</v>
      </c>
      <c r="H1663" s="13">
        <f t="shared" si="129"/>
        <v>6</v>
      </c>
      <c r="I1663" s="14">
        <f t="shared" si="125"/>
        <v>1767.1999999999998</v>
      </c>
      <c r="K1663" t="str">
        <f>[1]!revcom(C1663)</f>
        <v>ATAGCG</v>
      </c>
      <c r="L1663">
        <v>5</v>
      </c>
    </row>
    <row r="1664" spans="1:12" ht="15.6" x14ac:dyDescent="0.3">
      <c r="A1664" s="9">
        <v>1653</v>
      </c>
      <c r="B1664" s="1"/>
      <c r="C1664" s="2" t="s">
        <v>1659</v>
      </c>
      <c r="D1664" s="1"/>
      <c r="E1664" s="11">
        <f t="shared" si="126"/>
        <v>20</v>
      </c>
      <c r="F1664" s="12">
        <f t="shared" si="127"/>
        <v>66.666666666666657</v>
      </c>
      <c r="G1664" s="12" t="str">
        <f t="shared" si="128"/>
        <v>Warning</v>
      </c>
      <c r="H1664" s="13">
        <f t="shared" si="129"/>
        <v>6</v>
      </c>
      <c r="I1664" s="14">
        <f t="shared" si="125"/>
        <v>1752.19</v>
      </c>
      <c r="K1664" t="str">
        <f>[1]!revcom(C1664)</f>
        <v>TGAGCG</v>
      </c>
      <c r="L1664">
        <v>6</v>
      </c>
    </row>
    <row r="1665" spans="1:12" ht="15.6" x14ac:dyDescent="0.3">
      <c r="A1665" s="9">
        <v>1654</v>
      </c>
      <c r="B1665" s="1"/>
      <c r="C1665" s="2" t="s">
        <v>1660</v>
      </c>
      <c r="D1665" s="1"/>
      <c r="E1665" s="11">
        <f t="shared" si="126"/>
        <v>18</v>
      </c>
      <c r="F1665" s="12">
        <f t="shared" si="127"/>
        <v>83.333333333333343</v>
      </c>
      <c r="G1665" s="12" t="str">
        <f t="shared" si="128"/>
        <v>Warning</v>
      </c>
      <c r="H1665" s="13">
        <f t="shared" si="129"/>
        <v>6</v>
      </c>
      <c r="I1665" s="14">
        <f t="shared" si="125"/>
        <v>1728.1599999999999</v>
      </c>
      <c r="K1665" t="str">
        <f>[1]!revcom(C1665)</f>
        <v>GGAGCG</v>
      </c>
      <c r="L1665">
        <v>5</v>
      </c>
    </row>
    <row r="1666" spans="1:12" ht="15.6" x14ac:dyDescent="0.3">
      <c r="A1666" s="9">
        <v>1655</v>
      </c>
      <c r="B1666" s="1"/>
      <c r="C1666" s="2" t="s">
        <v>1661</v>
      </c>
      <c r="D1666" s="1"/>
      <c r="E1666" s="11">
        <f t="shared" si="126"/>
        <v>18</v>
      </c>
      <c r="F1666" s="12">
        <f t="shared" si="127"/>
        <v>83.333333333333343</v>
      </c>
      <c r="G1666" s="12" t="str">
        <f t="shared" si="128"/>
        <v>Warning</v>
      </c>
      <c r="H1666" s="13">
        <f t="shared" si="129"/>
        <v>6</v>
      </c>
      <c r="I1666" s="14">
        <f t="shared" si="125"/>
        <v>1768.19</v>
      </c>
      <c r="K1666" t="str">
        <f>[1]!revcom(C1666)</f>
        <v>CGAGCG</v>
      </c>
      <c r="L1666">
        <v>5</v>
      </c>
    </row>
    <row r="1667" spans="1:12" ht="15.6" x14ac:dyDescent="0.3">
      <c r="A1667" s="9">
        <v>1656</v>
      </c>
      <c r="B1667" s="1"/>
      <c r="C1667" s="2" t="s">
        <v>1662</v>
      </c>
      <c r="D1667" s="1"/>
      <c r="E1667" s="11">
        <f t="shared" si="126"/>
        <v>12</v>
      </c>
      <c r="F1667" s="12">
        <f t="shared" si="127"/>
        <v>66.666666666666657</v>
      </c>
      <c r="G1667" s="12" t="str">
        <f t="shared" si="128"/>
        <v>Warning</v>
      </c>
      <c r="H1667" s="13">
        <f t="shared" si="129"/>
        <v>6</v>
      </c>
      <c r="I1667" s="14">
        <f t="shared" si="125"/>
        <v>1743.17</v>
      </c>
      <c r="K1667" t="str">
        <f>[1]!revcom(C1667)</f>
        <v>AGAGCG</v>
      </c>
      <c r="L1667">
        <v>4</v>
      </c>
    </row>
    <row r="1668" spans="1:12" ht="15.6" x14ac:dyDescent="0.3">
      <c r="A1668" s="9">
        <v>1657</v>
      </c>
      <c r="B1668" s="1"/>
      <c r="C1668" s="2" t="s">
        <v>1663</v>
      </c>
      <c r="D1668" s="1"/>
      <c r="E1668" s="11">
        <f t="shared" si="126"/>
        <v>20</v>
      </c>
      <c r="F1668" s="12">
        <f t="shared" si="127"/>
        <v>66.666666666666657</v>
      </c>
      <c r="G1668" s="12" t="str">
        <f t="shared" si="128"/>
        <v>Warning</v>
      </c>
      <c r="H1668" s="13">
        <f t="shared" si="129"/>
        <v>6</v>
      </c>
      <c r="I1668" s="14">
        <f t="shared" si="125"/>
        <v>1792.2199999999998</v>
      </c>
      <c r="K1668" t="str">
        <f>[1]!revcom(C1668)</f>
        <v>TCAGCG</v>
      </c>
      <c r="L1668">
        <v>6</v>
      </c>
    </row>
    <row r="1669" spans="1:12" ht="15.6" x14ac:dyDescent="0.3">
      <c r="A1669" s="9">
        <v>1658</v>
      </c>
      <c r="B1669" s="1"/>
      <c r="C1669" s="2" t="s">
        <v>1664</v>
      </c>
      <c r="D1669" s="1"/>
      <c r="E1669" s="11">
        <f t="shared" si="126"/>
        <v>18</v>
      </c>
      <c r="F1669" s="12">
        <f t="shared" si="127"/>
        <v>83.333333333333343</v>
      </c>
      <c r="G1669" s="12" t="str">
        <f t="shared" si="128"/>
        <v>Warning</v>
      </c>
      <c r="H1669" s="13">
        <f t="shared" si="129"/>
        <v>6</v>
      </c>
      <c r="I1669" s="14">
        <f t="shared" si="125"/>
        <v>1768.19</v>
      </c>
      <c r="K1669" t="str">
        <f>[1]!revcom(C1669)</f>
        <v>GCAGCG</v>
      </c>
      <c r="L1669">
        <v>5</v>
      </c>
    </row>
    <row r="1670" spans="1:12" ht="15.6" x14ac:dyDescent="0.3">
      <c r="A1670" s="9">
        <v>1659</v>
      </c>
      <c r="B1670" s="1"/>
      <c r="C1670" s="2" t="s">
        <v>1665</v>
      </c>
      <c r="D1670" s="1"/>
      <c r="E1670" s="11">
        <f t="shared" si="126"/>
        <v>18</v>
      </c>
      <c r="F1670" s="12">
        <f t="shared" si="127"/>
        <v>83.333333333333343</v>
      </c>
      <c r="G1670" s="12" t="str">
        <f t="shared" si="128"/>
        <v>Warning</v>
      </c>
      <c r="H1670" s="13">
        <f t="shared" si="129"/>
        <v>6</v>
      </c>
      <c r="I1670" s="14">
        <f t="shared" si="125"/>
        <v>1808.2200000000003</v>
      </c>
      <c r="K1670" t="str">
        <f>[1]!revcom(C1670)</f>
        <v>CCAGCG</v>
      </c>
      <c r="L1670">
        <v>5</v>
      </c>
    </row>
    <row r="1671" spans="1:12" ht="15.6" x14ac:dyDescent="0.3">
      <c r="A1671" s="9">
        <v>1660</v>
      </c>
      <c r="B1671" s="1"/>
      <c r="C1671" s="2" t="s">
        <v>1666</v>
      </c>
      <c r="D1671" s="1"/>
      <c r="E1671" s="11">
        <f t="shared" si="126"/>
        <v>12</v>
      </c>
      <c r="F1671" s="12">
        <f t="shared" si="127"/>
        <v>66.666666666666657</v>
      </c>
      <c r="G1671" s="12" t="str">
        <f t="shared" si="128"/>
        <v>Warning</v>
      </c>
      <c r="H1671" s="13">
        <f t="shared" si="129"/>
        <v>6</v>
      </c>
      <c r="I1671" s="14">
        <f t="shared" si="125"/>
        <v>1783.1999999999998</v>
      </c>
      <c r="K1671" t="str">
        <f>[1]!revcom(C1671)</f>
        <v>ACAGCG</v>
      </c>
      <c r="L1671">
        <v>4</v>
      </c>
    </row>
    <row r="1672" spans="1:12" ht="15.6" x14ac:dyDescent="0.3">
      <c r="A1672" s="9">
        <v>1661</v>
      </c>
      <c r="B1672" s="1"/>
      <c r="C1672" s="2" t="s">
        <v>1667</v>
      </c>
      <c r="D1672" s="1"/>
      <c r="E1672" s="11">
        <f t="shared" si="126"/>
        <v>14</v>
      </c>
      <c r="F1672" s="12">
        <f t="shared" si="127"/>
        <v>50</v>
      </c>
      <c r="G1672" s="12" t="str">
        <f t="shared" si="128"/>
        <v>OK</v>
      </c>
      <c r="H1672" s="13">
        <f t="shared" si="129"/>
        <v>6</v>
      </c>
      <c r="I1672" s="14">
        <f t="shared" si="125"/>
        <v>1767.1999999999998</v>
      </c>
      <c r="K1672" t="str">
        <f>[1]!revcom(C1672)</f>
        <v>TAAGCG</v>
      </c>
      <c r="L1672">
        <v>5</v>
      </c>
    </row>
    <row r="1673" spans="1:12" ht="15.6" x14ac:dyDescent="0.3">
      <c r="A1673" s="9">
        <v>1662</v>
      </c>
      <c r="B1673" s="1"/>
      <c r="C1673" s="2" t="s">
        <v>1668</v>
      </c>
      <c r="D1673" s="1"/>
      <c r="E1673" s="11">
        <f t="shared" si="126"/>
        <v>12</v>
      </c>
      <c r="F1673" s="12">
        <f t="shared" si="127"/>
        <v>66.666666666666657</v>
      </c>
      <c r="G1673" s="12" t="str">
        <f t="shared" si="128"/>
        <v>Warning</v>
      </c>
      <c r="H1673" s="13">
        <f t="shared" si="129"/>
        <v>6</v>
      </c>
      <c r="I1673" s="14">
        <f t="shared" si="125"/>
        <v>1743.17</v>
      </c>
      <c r="K1673" t="str">
        <f>[1]!revcom(C1673)</f>
        <v>GAAGCG</v>
      </c>
      <c r="L1673">
        <v>4</v>
      </c>
    </row>
    <row r="1674" spans="1:12" ht="15.6" x14ac:dyDescent="0.3">
      <c r="A1674" s="9">
        <v>1663</v>
      </c>
      <c r="B1674" s="1"/>
      <c r="C1674" s="2" t="s">
        <v>1669</v>
      </c>
      <c r="D1674" s="1"/>
      <c r="E1674" s="11">
        <f t="shared" si="126"/>
        <v>12</v>
      </c>
      <c r="F1674" s="12">
        <f t="shared" si="127"/>
        <v>66.666666666666657</v>
      </c>
      <c r="G1674" s="12" t="str">
        <f t="shared" si="128"/>
        <v>Warning</v>
      </c>
      <c r="H1674" s="13">
        <f t="shared" si="129"/>
        <v>6</v>
      </c>
      <c r="I1674" s="14">
        <f t="shared" si="125"/>
        <v>1783.1999999999998</v>
      </c>
      <c r="K1674" t="str">
        <f>[1]!revcom(C1674)</f>
        <v>CAAGCG</v>
      </c>
      <c r="L1674">
        <v>4</v>
      </c>
    </row>
    <row r="1675" spans="1:12" ht="15.6" x14ac:dyDescent="0.3">
      <c r="A1675" s="9">
        <v>1664</v>
      </c>
      <c r="B1675" s="1"/>
      <c r="C1675" s="2" t="s">
        <v>1670</v>
      </c>
      <c r="D1675" s="1"/>
      <c r="E1675" s="11">
        <f t="shared" si="126"/>
        <v>6</v>
      </c>
      <c r="F1675" s="12">
        <f t="shared" si="127"/>
        <v>50</v>
      </c>
      <c r="G1675" s="12" t="str">
        <f t="shared" si="128"/>
        <v>OK</v>
      </c>
      <c r="H1675" s="13">
        <f t="shared" si="129"/>
        <v>6</v>
      </c>
      <c r="I1675" s="14">
        <f t="shared" si="125"/>
        <v>1758.1799999999998</v>
      </c>
      <c r="K1675" t="str">
        <f>[1]!revcom(C1675)</f>
        <v>AAAGCG</v>
      </c>
      <c r="L1675">
        <v>3</v>
      </c>
    </row>
    <row r="1676" spans="1:12" ht="15.6" x14ac:dyDescent="0.3">
      <c r="A1676" s="9">
        <v>1665</v>
      </c>
      <c r="B1676" s="1"/>
      <c r="C1676" s="2" t="s">
        <v>1671</v>
      </c>
      <c r="D1676" s="1"/>
      <c r="E1676" s="11">
        <f t="shared" si="126"/>
        <v>30</v>
      </c>
      <c r="F1676" s="12">
        <f t="shared" si="127"/>
        <v>50</v>
      </c>
      <c r="G1676" s="12" t="str">
        <f t="shared" si="128"/>
        <v>OK</v>
      </c>
      <c r="H1676" s="13">
        <f t="shared" si="129"/>
        <v>6</v>
      </c>
      <c r="I1676" s="14">
        <f t="shared" si="125"/>
        <v>1825.27</v>
      </c>
      <c r="K1676" t="str">
        <f>[1]!revcom(C1676)</f>
        <v>TTTCCG</v>
      </c>
      <c r="L1676">
        <v>7</v>
      </c>
    </row>
    <row r="1677" spans="1:12" ht="15.6" x14ac:dyDescent="0.3">
      <c r="A1677" s="9">
        <v>1666</v>
      </c>
      <c r="B1677" s="1"/>
      <c r="C1677" s="2" t="s">
        <v>1672</v>
      </c>
      <c r="D1677" s="1"/>
      <c r="E1677" s="11">
        <f t="shared" si="126"/>
        <v>28</v>
      </c>
      <c r="F1677" s="12">
        <f t="shared" si="127"/>
        <v>66.666666666666657</v>
      </c>
      <c r="G1677" s="12" t="str">
        <f t="shared" si="128"/>
        <v>Warning</v>
      </c>
      <c r="H1677" s="13">
        <f t="shared" si="129"/>
        <v>6</v>
      </c>
      <c r="I1677" s="14">
        <f t="shared" ref="I1677:I1740" si="130">((LEN(C1677)-(LEN(SUBSTITUTE(C1677,"A",""))))*249.23)+((LEN(C1677)-(LEN(SUBSTITUTE(C1677,"T",""))))*240.21)+((LEN(C1677)-(LEN(SUBSTITUTE(C1677,"C",""))))*225.2)+((LEN(C1677)-(LEN(SUBSTITUTE(C1677,"G",""))))*265.23)+(63.98*(LEN(C1677)-1)+(2.02))</f>
        <v>1801.2399999999998</v>
      </c>
      <c r="K1677" t="str">
        <f>[1]!revcom(C1677)</f>
        <v>GTTCCG</v>
      </c>
      <c r="L1677">
        <v>7</v>
      </c>
    </row>
    <row r="1678" spans="1:12" ht="15.6" x14ac:dyDescent="0.3">
      <c r="A1678" s="9">
        <v>1667</v>
      </c>
      <c r="B1678" s="1"/>
      <c r="C1678" s="2" t="s">
        <v>1673</v>
      </c>
      <c r="D1678" s="1"/>
      <c r="E1678" s="11">
        <f t="shared" ref="E1678:E1741" si="131">IF(LEN(C1678)&gt;15,(69.3+((41*((LEN(C1678)-(((LEN(C1678)-(LEN(SUBSTITUTE(C1678,"A",""))))+((LEN(C1678)-(LEN(SUBSTITUTE(C1678,"T","")))))))))/(LEN(C1678)))-(650/(LEN(C1678))))),(2*((LEN(C1678)-(((LEN(C1678)-(LEN(SUBSTITUTE(C1678,"C",""))))+((LEN(C1678)-(LEN(SUBSTITUTE(C1678,"G",""))))))))))+(4*((LEN(C1678)-(((LEN(C1678)-(LEN(SUBSTITUTE(C1678,"T",""))))+((LEN(C1678)-(LEN(SUBSTITUTE(C1678,"T","")))))))))))</f>
        <v>28</v>
      </c>
      <c r="F1678" s="12">
        <f t="shared" ref="F1678:F1741" si="132">((LEN(C1678)- LEN(SUBSTITUTE(C1678,"G","")))+(LEN(C1678)- LEN(SUBSTITUTE(C1678,"C",""))) )/LEN(C1678)*100</f>
        <v>66.666666666666657</v>
      </c>
      <c r="G1678" s="12" t="str">
        <f t="shared" ref="G1678:G1741" si="133">IF((-5+((LEN(SUBSTITUTE(RIGHT(C1678,5),"C","")))+((LEN(SUBSTITUTE(RIGHT(C1678,5),"G",""))))))&gt;=3,"OK","Warning")</f>
        <v>Warning</v>
      </c>
      <c r="H1678" s="13">
        <f t="shared" ref="H1678:H1741" si="134">LEN(C1678)</f>
        <v>6</v>
      </c>
      <c r="I1678" s="14">
        <f t="shared" si="130"/>
        <v>1841.27</v>
      </c>
      <c r="K1678" t="str">
        <f>[1]!revcom(C1678)</f>
        <v>CTTCCG</v>
      </c>
      <c r="L1678">
        <v>7</v>
      </c>
    </row>
    <row r="1679" spans="1:12" ht="15.6" x14ac:dyDescent="0.3">
      <c r="A1679" s="9">
        <v>1668</v>
      </c>
      <c r="B1679" s="1"/>
      <c r="C1679" s="2" t="s">
        <v>1674</v>
      </c>
      <c r="D1679" s="1"/>
      <c r="E1679" s="11">
        <f t="shared" si="131"/>
        <v>22</v>
      </c>
      <c r="F1679" s="12">
        <f t="shared" si="132"/>
        <v>50</v>
      </c>
      <c r="G1679" s="12" t="str">
        <f t="shared" si="133"/>
        <v>OK</v>
      </c>
      <c r="H1679" s="13">
        <f t="shared" si="134"/>
        <v>6</v>
      </c>
      <c r="I1679" s="14">
        <f t="shared" si="130"/>
        <v>1816.25</v>
      </c>
      <c r="K1679" t="str">
        <f>[1]!revcom(C1679)</f>
        <v>ATTCCG</v>
      </c>
      <c r="L1679">
        <v>6</v>
      </c>
    </row>
    <row r="1680" spans="1:12" ht="15.6" x14ac:dyDescent="0.3">
      <c r="A1680" s="9">
        <v>1669</v>
      </c>
      <c r="B1680" s="1"/>
      <c r="C1680" s="2" t="s">
        <v>1675</v>
      </c>
      <c r="D1680" s="1"/>
      <c r="E1680" s="11">
        <f t="shared" si="131"/>
        <v>28</v>
      </c>
      <c r="F1680" s="12">
        <f t="shared" si="132"/>
        <v>66.666666666666657</v>
      </c>
      <c r="G1680" s="12" t="str">
        <f t="shared" si="133"/>
        <v>Warning</v>
      </c>
      <c r="H1680" s="13">
        <f t="shared" si="134"/>
        <v>6</v>
      </c>
      <c r="I1680" s="14">
        <f t="shared" si="130"/>
        <v>1801.2399999999998</v>
      </c>
      <c r="K1680" t="str">
        <f>[1]!revcom(C1680)</f>
        <v>TGTCCG</v>
      </c>
      <c r="L1680">
        <v>7</v>
      </c>
    </row>
    <row r="1681" spans="1:12" ht="15.6" x14ac:dyDescent="0.3">
      <c r="A1681" s="9">
        <v>1670</v>
      </c>
      <c r="B1681" s="1"/>
      <c r="C1681" s="2" t="s">
        <v>1676</v>
      </c>
      <c r="D1681" s="1"/>
      <c r="E1681" s="11">
        <f t="shared" si="131"/>
        <v>26</v>
      </c>
      <c r="F1681" s="12">
        <f t="shared" si="132"/>
        <v>83.333333333333343</v>
      </c>
      <c r="G1681" s="12" t="str">
        <f t="shared" si="133"/>
        <v>Warning</v>
      </c>
      <c r="H1681" s="13">
        <f t="shared" si="134"/>
        <v>6</v>
      </c>
      <c r="I1681" s="14">
        <f t="shared" si="130"/>
        <v>1777.21</v>
      </c>
      <c r="K1681" t="str">
        <f>[1]!revcom(C1681)</f>
        <v>GGTCCG</v>
      </c>
      <c r="L1681">
        <v>7</v>
      </c>
    </row>
    <row r="1682" spans="1:12" ht="15.6" x14ac:dyDescent="0.3">
      <c r="A1682" s="9">
        <v>1671</v>
      </c>
      <c r="B1682" s="1"/>
      <c r="C1682" s="2" t="s">
        <v>1677</v>
      </c>
      <c r="D1682" s="1"/>
      <c r="E1682" s="11">
        <f t="shared" si="131"/>
        <v>26</v>
      </c>
      <c r="F1682" s="12">
        <f t="shared" si="132"/>
        <v>83.333333333333343</v>
      </c>
      <c r="G1682" s="12" t="str">
        <f t="shared" si="133"/>
        <v>Warning</v>
      </c>
      <c r="H1682" s="13">
        <f t="shared" si="134"/>
        <v>6</v>
      </c>
      <c r="I1682" s="14">
        <f t="shared" si="130"/>
        <v>1817.2400000000002</v>
      </c>
      <c r="K1682" t="str">
        <f>[1]!revcom(C1682)</f>
        <v>CGTCCG</v>
      </c>
      <c r="L1682">
        <v>7</v>
      </c>
    </row>
    <row r="1683" spans="1:12" ht="15.6" x14ac:dyDescent="0.3">
      <c r="A1683" s="9">
        <v>1672</v>
      </c>
      <c r="B1683" s="1"/>
      <c r="C1683" s="2" t="s">
        <v>1678</v>
      </c>
      <c r="D1683" s="1"/>
      <c r="E1683" s="11">
        <f t="shared" si="131"/>
        <v>20</v>
      </c>
      <c r="F1683" s="12">
        <f t="shared" si="132"/>
        <v>66.666666666666657</v>
      </c>
      <c r="G1683" s="12" t="str">
        <f t="shared" si="133"/>
        <v>Warning</v>
      </c>
      <c r="H1683" s="13">
        <f t="shared" si="134"/>
        <v>6</v>
      </c>
      <c r="I1683" s="14">
        <f t="shared" si="130"/>
        <v>1792.2199999999998</v>
      </c>
      <c r="K1683" t="str">
        <f>[1]!revcom(C1683)</f>
        <v>AGTCCG</v>
      </c>
      <c r="L1683">
        <v>6</v>
      </c>
    </row>
    <row r="1684" spans="1:12" ht="15.6" x14ac:dyDescent="0.3">
      <c r="A1684" s="9">
        <v>1673</v>
      </c>
      <c r="B1684" s="1"/>
      <c r="C1684" s="2" t="s">
        <v>1679</v>
      </c>
      <c r="D1684" s="1"/>
      <c r="E1684" s="11">
        <f t="shared" si="131"/>
        <v>28</v>
      </c>
      <c r="F1684" s="12">
        <f t="shared" si="132"/>
        <v>66.666666666666657</v>
      </c>
      <c r="G1684" s="12" t="str">
        <f t="shared" si="133"/>
        <v>Warning</v>
      </c>
      <c r="H1684" s="13">
        <f t="shared" si="134"/>
        <v>6</v>
      </c>
      <c r="I1684" s="14">
        <f t="shared" si="130"/>
        <v>1841.27</v>
      </c>
      <c r="K1684" t="str">
        <f>[1]!revcom(C1684)</f>
        <v>TCTCCG</v>
      </c>
      <c r="L1684">
        <v>7</v>
      </c>
    </row>
    <row r="1685" spans="1:12" ht="15.6" x14ac:dyDescent="0.3">
      <c r="A1685" s="9">
        <v>1674</v>
      </c>
      <c r="B1685" s="1"/>
      <c r="C1685" s="2" t="s">
        <v>1680</v>
      </c>
      <c r="D1685" s="1"/>
      <c r="E1685" s="11">
        <f t="shared" si="131"/>
        <v>26</v>
      </c>
      <c r="F1685" s="12">
        <f t="shared" si="132"/>
        <v>83.333333333333343</v>
      </c>
      <c r="G1685" s="12" t="str">
        <f t="shared" si="133"/>
        <v>Warning</v>
      </c>
      <c r="H1685" s="13">
        <f t="shared" si="134"/>
        <v>6</v>
      </c>
      <c r="I1685" s="14">
        <f t="shared" si="130"/>
        <v>1817.2400000000002</v>
      </c>
      <c r="K1685" t="str">
        <f>[1]!revcom(C1685)</f>
        <v>GCTCCG</v>
      </c>
      <c r="L1685">
        <v>7</v>
      </c>
    </row>
    <row r="1686" spans="1:12" ht="15.6" x14ac:dyDescent="0.3">
      <c r="A1686" s="9">
        <v>1675</v>
      </c>
      <c r="B1686" s="1"/>
      <c r="C1686" s="2" t="s">
        <v>1681</v>
      </c>
      <c r="D1686" s="1"/>
      <c r="E1686" s="11">
        <f t="shared" si="131"/>
        <v>26</v>
      </c>
      <c r="F1686" s="12">
        <f t="shared" si="132"/>
        <v>83.333333333333343</v>
      </c>
      <c r="G1686" s="12" t="str">
        <f t="shared" si="133"/>
        <v>Warning</v>
      </c>
      <c r="H1686" s="13">
        <f t="shared" si="134"/>
        <v>6</v>
      </c>
      <c r="I1686" s="14">
        <f t="shared" si="130"/>
        <v>1857.27</v>
      </c>
      <c r="K1686" t="str">
        <f>[1]!revcom(C1686)</f>
        <v>CCTCCG</v>
      </c>
      <c r="L1686">
        <v>7</v>
      </c>
    </row>
    <row r="1687" spans="1:12" ht="15.6" x14ac:dyDescent="0.3">
      <c r="A1687" s="9">
        <v>1676</v>
      </c>
      <c r="B1687" s="1"/>
      <c r="C1687" s="2" t="s">
        <v>1682</v>
      </c>
      <c r="D1687" s="1"/>
      <c r="E1687" s="11">
        <f t="shared" si="131"/>
        <v>20</v>
      </c>
      <c r="F1687" s="12">
        <f t="shared" si="132"/>
        <v>66.666666666666657</v>
      </c>
      <c r="G1687" s="12" t="str">
        <f t="shared" si="133"/>
        <v>Warning</v>
      </c>
      <c r="H1687" s="13">
        <f t="shared" si="134"/>
        <v>6</v>
      </c>
      <c r="I1687" s="14">
        <f t="shared" si="130"/>
        <v>1832.25</v>
      </c>
      <c r="K1687" t="str">
        <f>[1]!revcom(C1687)</f>
        <v>ACTCCG</v>
      </c>
      <c r="L1687">
        <v>6</v>
      </c>
    </row>
    <row r="1688" spans="1:12" ht="15.6" x14ac:dyDescent="0.3">
      <c r="A1688" s="9">
        <v>1677</v>
      </c>
      <c r="B1688" s="1"/>
      <c r="C1688" s="2" t="s">
        <v>1683</v>
      </c>
      <c r="D1688" s="1"/>
      <c r="E1688" s="11">
        <f t="shared" si="131"/>
        <v>22</v>
      </c>
      <c r="F1688" s="12">
        <f t="shared" si="132"/>
        <v>50</v>
      </c>
      <c r="G1688" s="12" t="str">
        <f t="shared" si="133"/>
        <v>OK</v>
      </c>
      <c r="H1688" s="13">
        <f t="shared" si="134"/>
        <v>6</v>
      </c>
      <c r="I1688" s="14">
        <f t="shared" si="130"/>
        <v>1816.25</v>
      </c>
      <c r="K1688" t="str">
        <f>[1]!revcom(C1688)</f>
        <v>TATCCG</v>
      </c>
      <c r="L1688">
        <v>6</v>
      </c>
    </row>
    <row r="1689" spans="1:12" ht="15.6" x14ac:dyDescent="0.3">
      <c r="A1689" s="9">
        <v>1678</v>
      </c>
      <c r="B1689" s="1"/>
      <c r="C1689" s="2" t="s">
        <v>1684</v>
      </c>
      <c r="D1689" s="1"/>
      <c r="E1689" s="11">
        <f t="shared" si="131"/>
        <v>20</v>
      </c>
      <c r="F1689" s="12">
        <f t="shared" si="132"/>
        <v>66.666666666666657</v>
      </c>
      <c r="G1689" s="12" t="str">
        <f t="shared" si="133"/>
        <v>Warning</v>
      </c>
      <c r="H1689" s="13">
        <f t="shared" si="134"/>
        <v>6</v>
      </c>
      <c r="I1689" s="14">
        <f t="shared" si="130"/>
        <v>1792.2199999999998</v>
      </c>
      <c r="K1689" t="str">
        <f>[1]!revcom(C1689)</f>
        <v>GATCCG</v>
      </c>
      <c r="L1689">
        <v>6</v>
      </c>
    </row>
    <row r="1690" spans="1:12" ht="15.6" x14ac:dyDescent="0.3">
      <c r="A1690" s="9">
        <v>1679</v>
      </c>
      <c r="B1690" s="1"/>
      <c r="C1690" s="2" t="s">
        <v>1685</v>
      </c>
      <c r="D1690" s="1"/>
      <c r="E1690" s="11">
        <f t="shared" si="131"/>
        <v>20</v>
      </c>
      <c r="F1690" s="12">
        <f t="shared" si="132"/>
        <v>66.666666666666657</v>
      </c>
      <c r="G1690" s="12" t="str">
        <f t="shared" si="133"/>
        <v>Warning</v>
      </c>
      <c r="H1690" s="13">
        <f t="shared" si="134"/>
        <v>6</v>
      </c>
      <c r="I1690" s="14">
        <f t="shared" si="130"/>
        <v>1832.25</v>
      </c>
      <c r="K1690" t="str">
        <f>[1]!revcom(C1690)</f>
        <v>CATCCG</v>
      </c>
      <c r="L1690">
        <v>6</v>
      </c>
    </row>
    <row r="1691" spans="1:12" ht="15.6" x14ac:dyDescent="0.3">
      <c r="A1691" s="9">
        <v>1680</v>
      </c>
      <c r="B1691" s="1"/>
      <c r="C1691" s="2" t="s">
        <v>1686</v>
      </c>
      <c r="D1691" s="1"/>
      <c r="E1691" s="11">
        <f t="shared" si="131"/>
        <v>14</v>
      </c>
      <c r="F1691" s="12">
        <f t="shared" si="132"/>
        <v>50</v>
      </c>
      <c r="G1691" s="12" t="str">
        <f t="shared" si="133"/>
        <v>OK</v>
      </c>
      <c r="H1691" s="13">
        <f t="shared" si="134"/>
        <v>6</v>
      </c>
      <c r="I1691" s="14">
        <f t="shared" si="130"/>
        <v>1807.23</v>
      </c>
      <c r="K1691" t="str">
        <f>[1]!revcom(C1691)</f>
        <v>AATCCG</v>
      </c>
      <c r="L1691">
        <v>5</v>
      </c>
    </row>
    <row r="1692" spans="1:12" ht="15.6" x14ac:dyDescent="0.3">
      <c r="A1692" s="9">
        <v>1681</v>
      </c>
      <c r="B1692" s="1"/>
      <c r="C1692" s="2" t="s">
        <v>1687</v>
      </c>
      <c r="D1692" s="1"/>
      <c r="E1692" s="11">
        <f t="shared" si="131"/>
        <v>28</v>
      </c>
      <c r="F1692" s="12">
        <f t="shared" si="132"/>
        <v>66.666666666666657</v>
      </c>
      <c r="G1692" s="12" t="str">
        <f t="shared" si="133"/>
        <v>Warning</v>
      </c>
      <c r="H1692" s="13">
        <f t="shared" si="134"/>
        <v>6</v>
      </c>
      <c r="I1692" s="14">
        <f t="shared" si="130"/>
        <v>1801.2399999999998</v>
      </c>
      <c r="K1692" t="str">
        <f>[1]!revcom(C1692)</f>
        <v>TTGCCG</v>
      </c>
      <c r="L1692">
        <v>7</v>
      </c>
    </row>
    <row r="1693" spans="1:12" ht="15.6" x14ac:dyDescent="0.3">
      <c r="A1693" s="9">
        <v>1682</v>
      </c>
      <c r="B1693" s="1"/>
      <c r="C1693" s="2" t="s">
        <v>1688</v>
      </c>
      <c r="D1693" s="1"/>
      <c r="E1693" s="11">
        <f t="shared" si="131"/>
        <v>26</v>
      </c>
      <c r="F1693" s="12">
        <f t="shared" si="132"/>
        <v>83.333333333333343</v>
      </c>
      <c r="G1693" s="12" t="str">
        <f t="shared" si="133"/>
        <v>Warning</v>
      </c>
      <c r="H1693" s="13">
        <f t="shared" si="134"/>
        <v>6</v>
      </c>
      <c r="I1693" s="14">
        <f t="shared" si="130"/>
        <v>1777.21</v>
      </c>
      <c r="K1693" t="str">
        <f>[1]!revcom(C1693)</f>
        <v>GTGCCG</v>
      </c>
      <c r="L1693">
        <v>7</v>
      </c>
    </row>
    <row r="1694" spans="1:12" ht="15.6" x14ac:dyDescent="0.3">
      <c r="A1694" s="9">
        <v>1683</v>
      </c>
      <c r="B1694" s="1"/>
      <c r="C1694" s="2" t="s">
        <v>1689</v>
      </c>
      <c r="D1694" s="1"/>
      <c r="E1694" s="11">
        <f t="shared" si="131"/>
        <v>26</v>
      </c>
      <c r="F1694" s="12">
        <f t="shared" si="132"/>
        <v>83.333333333333343</v>
      </c>
      <c r="G1694" s="12" t="str">
        <f t="shared" si="133"/>
        <v>Warning</v>
      </c>
      <c r="H1694" s="13">
        <f t="shared" si="134"/>
        <v>6</v>
      </c>
      <c r="I1694" s="14">
        <f t="shared" si="130"/>
        <v>1817.2400000000002</v>
      </c>
      <c r="K1694" t="str">
        <f>[1]!revcom(C1694)</f>
        <v>CTGCCG</v>
      </c>
      <c r="L1694">
        <v>7</v>
      </c>
    </row>
    <row r="1695" spans="1:12" ht="15.6" x14ac:dyDescent="0.3">
      <c r="A1695" s="9">
        <v>1684</v>
      </c>
      <c r="B1695" s="1"/>
      <c r="C1695" s="2" t="s">
        <v>1690</v>
      </c>
      <c r="D1695" s="1"/>
      <c r="E1695" s="11">
        <f t="shared" si="131"/>
        <v>20</v>
      </c>
      <c r="F1695" s="12">
        <f t="shared" si="132"/>
        <v>66.666666666666657</v>
      </c>
      <c r="G1695" s="12" t="str">
        <f t="shared" si="133"/>
        <v>Warning</v>
      </c>
      <c r="H1695" s="13">
        <f t="shared" si="134"/>
        <v>6</v>
      </c>
      <c r="I1695" s="14">
        <f t="shared" si="130"/>
        <v>1792.2199999999998</v>
      </c>
      <c r="K1695" t="str">
        <f>[1]!revcom(C1695)</f>
        <v>ATGCCG</v>
      </c>
      <c r="L1695">
        <v>6</v>
      </c>
    </row>
    <row r="1696" spans="1:12" ht="15.6" x14ac:dyDescent="0.3">
      <c r="A1696" s="9">
        <v>1685</v>
      </c>
      <c r="B1696" s="1"/>
      <c r="C1696" s="2" t="s">
        <v>1691</v>
      </c>
      <c r="D1696" s="1"/>
      <c r="E1696" s="11">
        <f t="shared" si="131"/>
        <v>26</v>
      </c>
      <c r="F1696" s="12">
        <f t="shared" si="132"/>
        <v>83.333333333333343</v>
      </c>
      <c r="G1696" s="12" t="str">
        <f t="shared" si="133"/>
        <v>Warning</v>
      </c>
      <c r="H1696" s="13">
        <f t="shared" si="134"/>
        <v>6</v>
      </c>
      <c r="I1696" s="14">
        <f t="shared" si="130"/>
        <v>1777.21</v>
      </c>
      <c r="K1696" t="str">
        <f>[1]!revcom(C1696)</f>
        <v>TGGCCG</v>
      </c>
      <c r="L1696">
        <v>7</v>
      </c>
    </row>
    <row r="1697" spans="1:12" ht="15.6" x14ac:dyDescent="0.3">
      <c r="A1697" s="9">
        <v>1686</v>
      </c>
      <c r="B1697" s="1"/>
      <c r="C1697" s="2" t="s">
        <v>1692</v>
      </c>
      <c r="D1697" s="1"/>
      <c r="E1697" s="11">
        <f t="shared" si="131"/>
        <v>24</v>
      </c>
      <c r="F1697" s="12">
        <f t="shared" si="132"/>
        <v>100</v>
      </c>
      <c r="G1697" s="12" t="str">
        <f t="shared" si="133"/>
        <v>Warning</v>
      </c>
      <c r="H1697" s="13">
        <f t="shared" si="134"/>
        <v>6</v>
      </c>
      <c r="I1697" s="14">
        <f t="shared" si="130"/>
        <v>1753.1799999999998</v>
      </c>
      <c r="K1697" t="str">
        <f>[1]!revcom(C1697)</f>
        <v>GGGCCG</v>
      </c>
      <c r="L1697">
        <v>6</v>
      </c>
    </row>
    <row r="1698" spans="1:12" ht="15.6" x14ac:dyDescent="0.3">
      <c r="A1698" s="9">
        <v>1687</v>
      </c>
      <c r="B1698" s="1"/>
      <c r="C1698" s="2" t="s">
        <v>1693</v>
      </c>
      <c r="D1698" s="1"/>
      <c r="E1698" s="11">
        <f t="shared" si="131"/>
        <v>24</v>
      </c>
      <c r="F1698" s="12">
        <f t="shared" si="132"/>
        <v>100</v>
      </c>
      <c r="G1698" s="12" t="str">
        <f t="shared" si="133"/>
        <v>Warning</v>
      </c>
      <c r="H1698" s="13">
        <f t="shared" si="134"/>
        <v>6</v>
      </c>
      <c r="I1698" s="14">
        <f t="shared" si="130"/>
        <v>1793.21</v>
      </c>
      <c r="K1698" t="str">
        <f>[1]!revcom(C1698)</f>
        <v>CGGCCG</v>
      </c>
      <c r="L1698">
        <v>6</v>
      </c>
    </row>
    <row r="1699" spans="1:12" ht="15.6" x14ac:dyDescent="0.3">
      <c r="A1699" s="9">
        <v>1688</v>
      </c>
      <c r="B1699" s="1"/>
      <c r="C1699" s="2" t="s">
        <v>1694</v>
      </c>
      <c r="D1699" s="1"/>
      <c r="E1699" s="11">
        <f t="shared" si="131"/>
        <v>18</v>
      </c>
      <c r="F1699" s="12">
        <f t="shared" si="132"/>
        <v>83.333333333333343</v>
      </c>
      <c r="G1699" s="12" t="str">
        <f t="shared" si="133"/>
        <v>Warning</v>
      </c>
      <c r="H1699" s="13">
        <f t="shared" si="134"/>
        <v>6</v>
      </c>
      <c r="I1699" s="14">
        <f t="shared" si="130"/>
        <v>1768.19</v>
      </c>
      <c r="K1699" t="str">
        <f>[1]!revcom(C1699)</f>
        <v>AGGCCG</v>
      </c>
      <c r="L1699">
        <v>5</v>
      </c>
    </row>
    <row r="1700" spans="1:12" ht="15.6" x14ac:dyDescent="0.3">
      <c r="A1700" s="9">
        <v>1689</v>
      </c>
      <c r="B1700" s="1"/>
      <c r="C1700" s="2" t="s">
        <v>1695</v>
      </c>
      <c r="D1700" s="1"/>
      <c r="E1700" s="11">
        <f t="shared" si="131"/>
        <v>26</v>
      </c>
      <c r="F1700" s="12">
        <f t="shared" si="132"/>
        <v>83.333333333333343</v>
      </c>
      <c r="G1700" s="12" t="str">
        <f t="shared" si="133"/>
        <v>Warning</v>
      </c>
      <c r="H1700" s="13">
        <f t="shared" si="134"/>
        <v>6</v>
      </c>
      <c r="I1700" s="14">
        <f t="shared" si="130"/>
        <v>1817.2400000000002</v>
      </c>
      <c r="K1700" t="str">
        <f>[1]!revcom(C1700)</f>
        <v>TCGCCG</v>
      </c>
      <c r="L1700">
        <v>7</v>
      </c>
    </row>
    <row r="1701" spans="1:12" ht="15.6" x14ac:dyDescent="0.3">
      <c r="A1701" s="9">
        <v>1690</v>
      </c>
      <c r="B1701" s="1"/>
      <c r="C1701" s="2" t="s">
        <v>1696</v>
      </c>
      <c r="D1701" s="1"/>
      <c r="E1701" s="11">
        <f t="shared" si="131"/>
        <v>24</v>
      </c>
      <c r="F1701" s="12">
        <f t="shared" si="132"/>
        <v>100</v>
      </c>
      <c r="G1701" s="12" t="str">
        <f t="shared" si="133"/>
        <v>Warning</v>
      </c>
      <c r="H1701" s="13">
        <f t="shared" si="134"/>
        <v>6</v>
      </c>
      <c r="I1701" s="14">
        <f t="shared" si="130"/>
        <v>1793.21</v>
      </c>
      <c r="K1701" t="str">
        <f>[1]!revcom(C1701)</f>
        <v>GCGCCG</v>
      </c>
      <c r="L1701">
        <v>6</v>
      </c>
    </row>
    <row r="1702" spans="1:12" ht="15.6" x14ac:dyDescent="0.3">
      <c r="A1702" s="9">
        <v>1691</v>
      </c>
      <c r="B1702" s="1"/>
      <c r="C1702" s="2" t="s">
        <v>1697</v>
      </c>
      <c r="D1702" s="1"/>
      <c r="E1702" s="11">
        <f t="shared" si="131"/>
        <v>24</v>
      </c>
      <c r="F1702" s="12">
        <f t="shared" si="132"/>
        <v>100</v>
      </c>
      <c r="G1702" s="12" t="str">
        <f t="shared" si="133"/>
        <v>Warning</v>
      </c>
      <c r="H1702" s="13">
        <f t="shared" si="134"/>
        <v>6</v>
      </c>
      <c r="I1702" s="14">
        <f t="shared" si="130"/>
        <v>1833.2400000000002</v>
      </c>
      <c r="K1702" t="str">
        <f>[1]!revcom(C1702)</f>
        <v>CCGCCG</v>
      </c>
      <c r="L1702">
        <v>6</v>
      </c>
    </row>
    <row r="1703" spans="1:12" ht="15.6" x14ac:dyDescent="0.3">
      <c r="A1703" s="9">
        <v>1692</v>
      </c>
      <c r="B1703" s="1"/>
      <c r="C1703" s="2" t="s">
        <v>1698</v>
      </c>
      <c r="D1703" s="1"/>
      <c r="E1703" s="11">
        <f t="shared" si="131"/>
        <v>18</v>
      </c>
      <c r="F1703" s="12">
        <f t="shared" si="132"/>
        <v>83.333333333333343</v>
      </c>
      <c r="G1703" s="12" t="str">
        <f t="shared" si="133"/>
        <v>Warning</v>
      </c>
      <c r="H1703" s="13">
        <f t="shared" si="134"/>
        <v>6</v>
      </c>
      <c r="I1703" s="14">
        <f t="shared" si="130"/>
        <v>1808.2200000000003</v>
      </c>
      <c r="K1703" t="str">
        <f>[1]!revcom(C1703)</f>
        <v>ACGCCG</v>
      </c>
      <c r="L1703">
        <v>5</v>
      </c>
    </row>
    <row r="1704" spans="1:12" ht="15.6" x14ac:dyDescent="0.3">
      <c r="A1704" s="9">
        <v>1693</v>
      </c>
      <c r="B1704" s="1"/>
      <c r="C1704" s="2" t="s">
        <v>1699</v>
      </c>
      <c r="D1704" s="1"/>
      <c r="E1704" s="11">
        <f t="shared" si="131"/>
        <v>20</v>
      </c>
      <c r="F1704" s="12">
        <f t="shared" si="132"/>
        <v>66.666666666666657</v>
      </c>
      <c r="G1704" s="12" t="str">
        <f t="shared" si="133"/>
        <v>Warning</v>
      </c>
      <c r="H1704" s="13">
        <f t="shared" si="134"/>
        <v>6</v>
      </c>
      <c r="I1704" s="14">
        <f t="shared" si="130"/>
        <v>1792.2199999999998</v>
      </c>
      <c r="K1704" t="str">
        <f>[1]!revcom(C1704)</f>
        <v>TAGCCG</v>
      </c>
      <c r="L1704">
        <v>6</v>
      </c>
    </row>
    <row r="1705" spans="1:12" ht="15.6" x14ac:dyDescent="0.3">
      <c r="A1705" s="9">
        <v>1694</v>
      </c>
      <c r="B1705" s="1"/>
      <c r="C1705" s="2" t="s">
        <v>1700</v>
      </c>
      <c r="D1705" s="1"/>
      <c r="E1705" s="11">
        <f t="shared" si="131"/>
        <v>18</v>
      </c>
      <c r="F1705" s="12">
        <f t="shared" si="132"/>
        <v>83.333333333333343</v>
      </c>
      <c r="G1705" s="12" t="str">
        <f t="shared" si="133"/>
        <v>Warning</v>
      </c>
      <c r="H1705" s="13">
        <f t="shared" si="134"/>
        <v>6</v>
      </c>
      <c r="I1705" s="14">
        <f t="shared" si="130"/>
        <v>1768.19</v>
      </c>
      <c r="K1705" t="str">
        <f>[1]!revcom(C1705)</f>
        <v>GAGCCG</v>
      </c>
      <c r="L1705">
        <v>5</v>
      </c>
    </row>
    <row r="1706" spans="1:12" ht="15.6" x14ac:dyDescent="0.3">
      <c r="A1706" s="9">
        <v>1695</v>
      </c>
      <c r="B1706" s="1"/>
      <c r="C1706" s="2" t="s">
        <v>1701</v>
      </c>
      <c r="D1706" s="1"/>
      <c r="E1706" s="11">
        <f t="shared" si="131"/>
        <v>18</v>
      </c>
      <c r="F1706" s="12">
        <f t="shared" si="132"/>
        <v>83.333333333333343</v>
      </c>
      <c r="G1706" s="12" t="str">
        <f t="shared" si="133"/>
        <v>Warning</v>
      </c>
      <c r="H1706" s="13">
        <f t="shared" si="134"/>
        <v>6</v>
      </c>
      <c r="I1706" s="14">
        <f t="shared" si="130"/>
        <v>1808.2200000000003</v>
      </c>
      <c r="K1706" t="str">
        <f>[1]!revcom(C1706)</f>
        <v>CAGCCG</v>
      </c>
      <c r="L1706">
        <v>5</v>
      </c>
    </row>
    <row r="1707" spans="1:12" ht="15.6" x14ac:dyDescent="0.3">
      <c r="A1707" s="9">
        <v>1696</v>
      </c>
      <c r="B1707" s="1"/>
      <c r="C1707" s="2" t="s">
        <v>1702</v>
      </c>
      <c r="D1707" s="1"/>
      <c r="E1707" s="11">
        <f t="shared" si="131"/>
        <v>12</v>
      </c>
      <c r="F1707" s="12">
        <f t="shared" si="132"/>
        <v>66.666666666666657</v>
      </c>
      <c r="G1707" s="12" t="str">
        <f t="shared" si="133"/>
        <v>Warning</v>
      </c>
      <c r="H1707" s="13">
        <f t="shared" si="134"/>
        <v>6</v>
      </c>
      <c r="I1707" s="14">
        <f t="shared" si="130"/>
        <v>1783.1999999999998</v>
      </c>
      <c r="K1707" t="str">
        <f>[1]!revcom(C1707)</f>
        <v>AAGCCG</v>
      </c>
      <c r="L1707">
        <v>4</v>
      </c>
    </row>
    <row r="1708" spans="1:12" ht="15.6" x14ac:dyDescent="0.3">
      <c r="A1708" s="9">
        <v>1697</v>
      </c>
      <c r="B1708" s="1"/>
      <c r="C1708" s="2" t="s">
        <v>1703</v>
      </c>
      <c r="D1708" s="1"/>
      <c r="E1708" s="11">
        <f t="shared" si="131"/>
        <v>28</v>
      </c>
      <c r="F1708" s="12">
        <f t="shared" si="132"/>
        <v>66.666666666666657</v>
      </c>
      <c r="G1708" s="12" t="str">
        <f t="shared" si="133"/>
        <v>Warning</v>
      </c>
      <c r="H1708" s="13">
        <f t="shared" si="134"/>
        <v>6</v>
      </c>
      <c r="I1708" s="14">
        <f t="shared" si="130"/>
        <v>1841.27</v>
      </c>
      <c r="K1708" t="str">
        <f>[1]!revcom(C1708)</f>
        <v>TTCCCG</v>
      </c>
      <c r="L1708">
        <v>7</v>
      </c>
    </row>
    <row r="1709" spans="1:12" ht="15.6" x14ac:dyDescent="0.3">
      <c r="A1709" s="9">
        <v>1698</v>
      </c>
      <c r="B1709" s="1"/>
      <c r="C1709" s="2" t="s">
        <v>1704</v>
      </c>
      <c r="D1709" s="1"/>
      <c r="E1709" s="11">
        <f t="shared" si="131"/>
        <v>26</v>
      </c>
      <c r="F1709" s="12">
        <f t="shared" si="132"/>
        <v>83.333333333333343</v>
      </c>
      <c r="G1709" s="12" t="str">
        <f t="shared" si="133"/>
        <v>Warning</v>
      </c>
      <c r="H1709" s="13">
        <f t="shared" si="134"/>
        <v>6</v>
      </c>
      <c r="I1709" s="14">
        <f t="shared" si="130"/>
        <v>1817.2400000000002</v>
      </c>
      <c r="K1709" t="str">
        <f>[1]!revcom(C1709)</f>
        <v>GTCCCG</v>
      </c>
      <c r="L1709">
        <v>7</v>
      </c>
    </row>
    <row r="1710" spans="1:12" ht="15.6" x14ac:dyDescent="0.3">
      <c r="A1710" s="9">
        <v>1699</v>
      </c>
      <c r="B1710" s="1"/>
      <c r="C1710" s="2" t="s">
        <v>1705</v>
      </c>
      <c r="D1710" s="1"/>
      <c r="E1710" s="11">
        <f t="shared" si="131"/>
        <v>26</v>
      </c>
      <c r="F1710" s="12">
        <f t="shared" si="132"/>
        <v>83.333333333333343</v>
      </c>
      <c r="G1710" s="12" t="str">
        <f t="shared" si="133"/>
        <v>Warning</v>
      </c>
      <c r="H1710" s="13">
        <f t="shared" si="134"/>
        <v>6</v>
      </c>
      <c r="I1710" s="14">
        <f t="shared" si="130"/>
        <v>1857.27</v>
      </c>
      <c r="K1710" t="str">
        <f>[1]!revcom(C1710)</f>
        <v>CTCCCG</v>
      </c>
      <c r="L1710">
        <v>7</v>
      </c>
    </row>
    <row r="1711" spans="1:12" ht="15.6" x14ac:dyDescent="0.3">
      <c r="A1711" s="9">
        <v>1700</v>
      </c>
      <c r="B1711" s="1"/>
      <c r="C1711" s="2" t="s">
        <v>1706</v>
      </c>
      <c r="D1711" s="1"/>
      <c r="E1711" s="11">
        <f t="shared" si="131"/>
        <v>20</v>
      </c>
      <c r="F1711" s="12">
        <f t="shared" si="132"/>
        <v>66.666666666666657</v>
      </c>
      <c r="G1711" s="12" t="str">
        <f t="shared" si="133"/>
        <v>Warning</v>
      </c>
      <c r="H1711" s="13">
        <f t="shared" si="134"/>
        <v>6</v>
      </c>
      <c r="I1711" s="14">
        <f t="shared" si="130"/>
        <v>1832.25</v>
      </c>
      <c r="K1711" t="str">
        <f>[1]!revcom(C1711)</f>
        <v>ATCCCG</v>
      </c>
      <c r="L1711">
        <v>6</v>
      </c>
    </row>
    <row r="1712" spans="1:12" ht="15.6" x14ac:dyDescent="0.3">
      <c r="A1712" s="9">
        <v>1701</v>
      </c>
      <c r="B1712" s="1"/>
      <c r="C1712" s="2" t="s">
        <v>1707</v>
      </c>
      <c r="D1712" s="1"/>
      <c r="E1712" s="11">
        <f t="shared" si="131"/>
        <v>26</v>
      </c>
      <c r="F1712" s="12">
        <f t="shared" si="132"/>
        <v>83.333333333333343</v>
      </c>
      <c r="G1712" s="12" t="str">
        <f t="shared" si="133"/>
        <v>Warning</v>
      </c>
      <c r="H1712" s="13">
        <f t="shared" si="134"/>
        <v>6</v>
      </c>
      <c r="I1712" s="14">
        <f t="shared" si="130"/>
        <v>1817.2400000000002</v>
      </c>
      <c r="K1712" t="str">
        <f>[1]!revcom(C1712)</f>
        <v>TGCCCG</v>
      </c>
      <c r="L1712">
        <v>7</v>
      </c>
    </row>
    <row r="1713" spans="1:12" ht="15.6" x14ac:dyDescent="0.3">
      <c r="A1713" s="9">
        <v>1702</v>
      </c>
      <c r="B1713" s="1"/>
      <c r="C1713" s="2" t="s">
        <v>1708</v>
      </c>
      <c r="D1713" s="1"/>
      <c r="E1713" s="11">
        <f t="shared" si="131"/>
        <v>24</v>
      </c>
      <c r="F1713" s="12">
        <f t="shared" si="132"/>
        <v>100</v>
      </c>
      <c r="G1713" s="12" t="str">
        <f t="shared" si="133"/>
        <v>Warning</v>
      </c>
      <c r="H1713" s="13">
        <f t="shared" si="134"/>
        <v>6</v>
      </c>
      <c r="I1713" s="14">
        <f t="shared" si="130"/>
        <v>1793.21</v>
      </c>
      <c r="K1713" t="str">
        <f>[1]!revcom(C1713)</f>
        <v>GGCCCG</v>
      </c>
      <c r="L1713">
        <v>6</v>
      </c>
    </row>
    <row r="1714" spans="1:12" ht="15.6" x14ac:dyDescent="0.3">
      <c r="A1714" s="9">
        <v>1703</v>
      </c>
      <c r="B1714" s="1"/>
      <c r="C1714" s="2" t="s">
        <v>1709</v>
      </c>
      <c r="D1714" s="1"/>
      <c r="E1714" s="11">
        <f t="shared" si="131"/>
        <v>24</v>
      </c>
      <c r="F1714" s="12">
        <f t="shared" si="132"/>
        <v>100</v>
      </c>
      <c r="G1714" s="12" t="str">
        <f t="shared" si="133"/>
        <v>Warning</v>
      </c>
      <c r="H1714" s="13">
        <f t="shared" si="134"/>
        <v>6</v>
      </c>
      <c r="I1714" s="14">
        <f t="shared" si="130"/>
        <v>1833.2400000000002</v>
      </c>
      <c r="K1714" t="str">
        <f>[1]!revcom(C1714)</f>
        <v>CGCCCG</v>
      </c>
      <c r="L1714">
        <v>6</v>
      </c>
    </row>
    <row r="1715" spans="1:12" ht="15.6" x14ac:dyDescent="0.3">
      <c r="A1715" s="9">
        <v>1704</v>
      </c>
      <c r="B1715" s="1"/>
      <c r="C1715" s="2" t="s">
        <v>1710</v>
      </c>
      <c r="D1715" s="1"/>
      <c r="E1715" s="11">
        <f t="shared" si="131"/>
        <v>18</v>
      </c>
      <c r="F1715" s="12">
        <f t="shared" si="132"/>
        <v>83.333333333333343</v>
      </c>
      <c r="G1715" s="12" t="str">
        <f t="shared" si="133"/>
        <v>Warning</v>
      </c>
      <c r="H1715" s="13">
        <f t="shared" si="134"/>
        <v>6</v>
      </c>
      <c r="I1715" s="14">
        <f t="shared" si="130"/>
        <v>1808.2200000000003</v>
      </c>
      <c r="K1715" t="str">
        <f>[1]!revcom(C1715)</f>
        <v>AGCCCG</v>
      </c>
      <c r="L1715">
        <v>5</v>
      </c>
    </row>
    <row r="1716" spans="1:12" ht="15.6" x14ac:dyDescent="0.3">
      <c r="A1716" s="9">
        <v>1705</v>
      </c>
      <c r="B1716" s="1"/>
      <c r="C1716" s="2" t="s">
        <v>1711</v>
      </c>
      <c r="D1716" s="1"/>
      <c r="E1716" s="11">
        <f t="shared" si="131"/>
        <v>26</v>
      </c>
      <c r="F1716" s="12">
        <f t="shared" si="132"/>
        <v>83.333333333333343</v>
      </c>
      <c r="G1716" s="12" t="str">
        <f t="shared" si="133"/>
        <v>Warning</v>
      </c>
      <c r="H1716" s="13">
        <f t="shared" si="134"/>
        <v>6</v>
      </c>
      <c r="I1716" s="14">
        <f t="shared" si="130"/>
        <v>1857.27</v>
      </c>
      <c r="K1716" t="str">
        <f>[1]!revcom(C1716)</f>
        <v>TCCCCG</v>
      </c>
      <c r="L1716">
        <v>7</v>
      </c>
    </row>
    <row r="1717" spans="1:12" ht="15.6" x14ac:dyDescent="0.3">
      <c r="A1717" s="9">
        <v>1706</v>
      </c>
      <c r="B1717" s="1"/>
      <c r="C1717" s="2" t="s">
        <v>1712</v>
      </c>
      <c r="D1717" s="1"/>
      <c r="E1717" s="11">
        <f t="shared" si="131"/>
        <v>24</v>
      </c>
      <c r="F1717" s="12">
        <f t="shared" si="132"/>
        <v>100</v>
      </c>
      <c r="G1717" s="12" t="str">
        <f t="shared" si="133"/>
        <v>Warning</v>
      </c>
      <c r="H1717" s="13">
        <f t="shared" si="134"/>
        <v>6</v>
      </c>
      <c r="I1717" s="14">
        <f t="shared" si="130"/>
        <v>1833.2400000000002</v>
      </c>
      <c r="K1717" t="str">
        <f>[1]!revcom(C1717)</f>
        <v>GCCCCG</v>
      </c>
      <c r="L1717">
        <v>6</v>
      </c>
    </row>
    <row r="1718" spans="1:12" ht="15.6" x14ac:dyDescent="0.3">
      <c r="A1718" s="9">
        <v>1707</v>
      </c>
      <c r="B1718" s="1"/>
      <c r="C1718" s="2" t="s">
        <v>1713</v>
      </c>
      <c r="D1718" s="1"/>
      <c r="E1718" s="11">
        <f t="shared" si="131"/>
        <v>24</v>
      </c>
      <c r="F1718" s="12">
        <f t="shared" si="132"/>
        <v>100</v>
      </c>
      <c r="G1718" s="12" t="str">
        <f t="shared" si="133"/>
        <v>Warning</v>
      </c>
      <c r="H1718" s="13">
        <f t="shared" si="134"/>
        <v>6</v>
      </c>
      <c r="I1718" s="14">
        <f t="shared" si="130"/>
        <v>1873.27</v>
      </c>
      <c r="K1718" t="str">
        <f>[1]!revcom(C1718)</f>
        <v>CCCCCG</v>
      </c>
      <c r="L1718">
        <v>6</v>
      </c>
    </row>
    <row r="1719" spans="1:12" ht="15.6" x14ac:dyDescent="0.3">
      <c r="A1719" s="9">
        <v>1708</v>
      </c>
      <c r="B1719" s="1"/>
      <c r="C1719" s="2" t="s">
        <v>1714</v>
      </c>
      <c r="D1719" s="1"/>
      <c r="E1719" s="11">
        <f t="shared" si="131"/>
        <v>18</v>
      </c>
      <c r="F1719" s="12">
        <f t="shared" si="132"/>
        <v>83.333333333333343</v>
      </c>
      <c r="G1719" s="12" t="str">
        <f t="shared" si="133"/>
        <v>Warning</v>
      </c>
      <c r="H1719" s="13">
        <f t="shared" si="134"/>
        <v>6</v>
      </c>
      <c r="I1719" s="14">
        <f t="shared" si="130"/>
        <v>1848.25</v>
      </c>
      <c r="K1719" t="str">
        <f>[1]!revcom(C1719)</f>
        <v>ACCCCG</v>
      </c>
      <c r="L1719">
        <v>5</v>
      </c>
    </row>
    <row r="1720" spans="1:12" ht="15.6" x14ac:dyDescent="0.3">
      <c r="A1720" s="9">
        <v>1709</v>
      </c>
      <c r="B1720" s="1"/>
      <c r="C1720" s="2" t="s">
        <v>1715</v>
      </c>
      <c r="D1720" s="1"/>
      <c r="E1720" s="11">
        <f t="shared" si="131"/>
        <v>20</v>
      </c>
      <c r="F1720" s="12">
        <f t="shared" si="132"/>
        <v>66.666666666666657</v>
      </c>
      <c r="G1720" s="12" t="str">
        <f t="shared" si="133"/>
        <v>Warning</v>
      </c>
      <c r="H1720" s="13">
        <f t="shared" si="134"/>
        <v>6</v>
      </c>
      <c r="I1720" s="14">
        <f t="shared" si="130"/>
        <v>1832.25</v>
      </c>
      <c r="K1720" t="str">
        <f>[1]!revcom(C1720)</f>
        <v>TACCCG</v>
      </c>
      <c r="L1720">
        <v>6</v>
      </c>
    </row>
    <row r="1721" spans="1:12" ht="15.6" x14ac:dyDescent="0.3">
      <c r="A1721" s="9">
        <v>1710</v>
      </c>
      <c r="B1721" s="1"/>
      <c r="C1721" s="2" t="s">
        <v>1716</v>
      </c>
      <c r="D1721" s="1"/>
      <c r="E1721" s="11">
        <f t="shared" si="131"/>
        <v>18</v>
      </c>
      <c r="F1721" s="12">
        <f t="shared" si="132"/>
        <v>83.333333333333343</v>
      </c>
      <c r="G1721" s="12" t="str">
        <f t="shared" si="133"/>
        <v>Warning</v>
      </c>
      <c r="H1721" s="13">
        <f t="shared" si="134"/>
        <v>6</v>
      </c>
      <c r="I1721" s="14">
        <f t="shared" si="130"/>
        <v>1808.2200000000003</v>
      </c>
      <c r="K1721" t="str">
        <f>[1]!revcom(C1721)</f>
        <v>GACCCG</v>
      </c>
      <c r="L1721">
        <v>5</v>
      </c>
    </row>
    <row r="1722" spans="1:12" ht="15.6" x14ac:dyDescent="0.3">
      <c r="A1722" s="9">
        <v>1711</v>
      </c>
      <c r="B1722" s="1"/>
      <c r="C1722" s="2" t="s">
        <v>1717</v>
      </c>
      <c r="D1722" s="1"/>
      <c r="E1722" s="11">
        <f t="shared" si="131"/>
        <v>18</v>
      </c>
      <c r="F1722" s="12">
        <f t="shared" si="132"/>
        <v>83.333333333333343</v>
      </c>
      <c r="G1722" s="12" t="str">
        <f t="shared" si="133"/>
        <v>Warning</v>
      </c>
      <c r="H1722" s="13">
        <f t="shared" si="134"/>
        <v>6</v>
      </c>
      <c r="I1722" s="14">
        <f t="shared" si="130"/>
        <v>1848.25</v>
      </c>
      <c r="K1722" t="str">
        <f>[1]!revcom(C1722)</f>
        <v>CACCCG</v>
      </c>
      <c r="L1722">
        <v>5</v>
      </c>
    </row>
    <row r="1723" spans="1:12" ht="15.6" x14ac:dyDescent="0.3">
      <c r="A1723" s="9">
        <v>1712</v>
      </c>
      <c r="B1723" s="1"/>
      <c r="C1723" s="2" t="s">
        <v>1718</v>
      </c>
      <c r="D1723" s="1"/>
      <c r="E1723" s="11">
        <f t="shared" si="131"/>
        <v>12</v>
      </c>
      <c r="F1723" s="12">
        <f t="shared" si="132"/>
        <v>66.666666666666657</v>
      </c>
      <c r="G1723" s="12" t="str">
        <f t="shared" si="133"/>
        <v>Warning</v>
      </c>
      <c r="H1723" s="13">
        <f t="shared" si="134"/>
        <v>6</v>
      </c>
      <c r="I1723" s="14">
        <f t="shared" si="130"/>
        <v>1823.23</v>
      </c>
      <c r="K1723" t="str">
        <f>[1]!revcom(C1723)</f>
        <v>AACCCG</v>
      </c>
      <c r="L1723">
        <v>4</v>
      </c>
    </row>
    <row r="1724" spans="1:12" ht="15.6" x14ac:dyDescent="0.3">
      <c r="A1724" s="9">
        <v>1713</v>
      </c>
      <c r="B1724" s="1"/>
      <c r="C1724" s="2" t="s">
        <v>1719</v>
      </c>
      <c r="D1724" s="1"/>
      <c r="E1724" s="11">
        <f t="shared" si="131"/>
        <v>22</v>
      </c>
      <c r="F1724" s="12">
        <f t="shared" si="132"/>
        <v>50</v>
      </c>
      <c r="G1724" s="12" t="str">
        <f t="shared" si="133"/>
        <v>OK</v>
      </c>
      <c r="H1724" s="13">
        <f t="shared" si="134"/>
        <v>6</v>
      </c>
      <c r="I1724" s="14">
        <f t="shared" si="130"/>
        <v>1816.25</v>
      </c>
      <c r="K1724" t="str">
        <f>[1]!revcom(C1724)</f>
        <v>TTACCG</v>
      </c>
      <c r="L1724">
        <v>6</v>
      </c>
    </row>
    <row r="1725" spans="1:12" ht="15.6" x14ac:dyDescent="0.3">
      <c r="A1725" s="9">
        <v>1714</v>
      </c>
      <c r="B1725" s="1"/>
      <c r="C1725" s="2" t="s">
        <v>1720</v>
      </c>
      <c r="D1725" s="1"/>
      <c r="E1725" s="11">
        <f t="shared" si="131"/>
        <v>20</v>
      </c>
      <c r="F1725" s="12">
        <f t="shared" si="132"/>
        <v>66.666666666666657</v>
      </c>
      <c r="G1725" s="12" t="str">
        <f t="shared" si="133"/>
        <v>Warning</v>
      </c>
      <c r="H1725" s="13">
        <f t="shared" si="134"/>
        <v>6</v>
      </c>
      <c r="I1725" s="14">
        <f t="shared" si="130"/>
        <v>1792.2199999999998</v>
      </c>
      <c r="K1725" t="str">
        <f>[1]!revcom(C1725)</f>
        <v>GTACCG</v>
      </c>
      <c r="L1725">
        <v>6</v>
      </c>
    </row>
    <row r="1726" spans="1:12" ht="15.6" x14ac:dyDescent="0.3">
      <c r="A1726" s="9">
        <v>1715</v>
      </c>
      <c r="B1726" s="1"/>
      <c r="C1726" s="2" t="s">
        <v>1721</v>
      </c>
      <c r="D1726" s="1"/>
      <c r="E1726" s="11">
        <f t="shared" si="131"/>
        <v>20</v>
      </c>
      <c r="F1726" s="12">
        <f t="shared" si="132"/>
        <v>66.666666666666657</v>
      </c>
      <c r="G1726" s="12" t="str">
        <f t="shared" si="133"/>
        <v>Warning</v>
      </c>
      <c r="H1726" s="13">
        <f t="shared" si="134"/>
        <v>6</v>
      </c>
      <c r="I1726" s="14">
        <f t="shared" si="130"/>
        <v>1832.25</v>
      </c>
      <c r="K1726" t="str">
        <f>[1]!revcom(C1726)</f>
        <v>CTACCG</v>
      </c>
      <c r="L1726">
        <v>6</v>
      </c>
    </row>
    <row r="1727" spans="1:12" ht="15.6" x14ac:dyDescent="0.3">
      <c r="A1727" s="9">
        <v>1716</v>
      </c>
      <c r="B1727" s="1"/>
      <c r="C1727" s="2" t="s">
        <v>1722</v>
      </c>
      <c r="D1727" s="1"/>
      <c r="E1727" s="11">
        <f t="shared" si="131"/>
        <v>14</v>
      </c>
      <c r="F1727" s="12">
        <f t="shared" si="132"/>
        <v>50</v>
      </c>
      <c r="G1727" s="12" t="str">
        <f t="shared" si="133"/>
        <v>OK</v>
      </c>
      <c r="H1727" s="13">
        <f t="shared" si="134"/>
        <v>6</v>
      </c>
      <c r="I1727" s="14">
        <f t="shared" si="130"/>
        <v>1807.23</v>
      </c>
      <c r="K1727" t="str">
        <f>[1]!revcom(C1727)</f>
        <v>ATACCG</v>
      </c>
      <c r="L1727">
        <v>5</v>
      </c>
    </row>
    <row r="1728" spans="1:12" ht="15.6" x14ac:dyDescent="0.3">
      <c r="A1728" s="9">
        <v>1717</v>
      </c>
      <c r="B1728" s="1"/>
      <c r="C1728" s="2" t="s">
        <v>1723</v>
      </c>
      <c r="D1728" s="1"/>
      <c r="E1728" s="11">
        <f t="shared" si="131"/>
        <v>20</v>
      </c>
      <c r="F1728" s="12">
        <f t="shared" si="132"/>
        <v>66.666666666666657</v>
      </c>
      <c r="G1728" s="12" t="str">
        <f t="shared" si="133"/>
        <v>Warning</v>
      </c>
      <c r="H1728" s="13">
        <f t="shared" si="134"/>
        <v>6</v>
      </c>
      <c r="I1728" s="14">
        <f t="shared" si="130"/>
        <v>1792.2199999999998</v>
      </c>
      <c r="K1728" t="str">
        <f>[1]!revcom(C1728)</f>
        <v>TGACCG</v>
      </c>
      <c r="L1728">
        <v>6</v>
      </c>
    </row>
    <row r="1729" spans="1:12" ht="15.6" x14ac:dyDescent="0.3">
      <c r="A1729" s="9">
        <v>1718</v>
      </c>
      <c r="B1729" s="1"/>
      <c r="C1729" s="2" t="s">
        <v>1724</v>
      </c>
      <c r="D1729" s="1"/>
      <c r="E1729" s="11">
        <f t="shared" si="131"/>
        <v>18</v>
      </c>
      <c r="F1729" s="12">
        <f t="shared" si="132"/>
        <v>83.333333333333343</v>
      </c>
      <c r="G1729" s="12" t="str">
        <f t="shared" si="133"/>
        <v>Warning</v>
      </c>
      <c r="H1729" s="13">
        <f t="shared" si="134"/>
        <v>6</v>
      </c>
      <c r="I1729" s="14">
        <f t="shared" si="130"/>
        <v>1768.19</v>
      </c>
      <c r="K1729" t="str">
        <f>[1]!revcom(C1729)</f>
        <v>GGACCG</v>
      </c>
      <c r="L1729">
        <v>5</v>
      </c>
    </row>
    <row r="1730" spans="1:12" ht="15.6" x14ac:dyDescent="0.3">
      <c r="A1730" s="9">
        <v>1719</v>
      </c>
      <c r="B1730" s="1"/>
      <c r="C1730" s="2" t="s">
        <v>1725</v>
      </c>
      <c r="D1730" s="1"/>
      <c r="E1730" s="11">
        <f t="shared" si="131"/>
        <v>18</v>
      </c>
      <c r="F1730" s="12">
        <f t="shared" si="132"/>
        <v>83.333333333333343</v>
      </c>
      <c r="G1730" s="12" t="str">
        <f t="shared" si="133"/>
        <v>Warning</v>
      </c>
      <c r="H1730" s="13">
        <f t="shared" si="134"/>
        <v>6</v>
      </c>
      <c r="I1730" s="14">
        <f t="shared" si="130"/>
        <v>1808.2200000000003</v>
      </c>
      <c r="K1730" t="str">
        <f>[1]!revcom(C1730)</f>
        <v>CGACCG</v>
      </c>
      <c r="L1730">
        <v>5</v>
      </c>
    </row>
    <row r="1731" spans="1:12" ht="15.6" x14ac:dyDescent="0.3">
      <c r="A1731" s="9">
        <v>1720</v>
      </c>
      <c r="B1731" s="1"/>
      <c r="C1731" s="2" t="s">
        <v>1726</v>
      </c>
      <c r="D1731" s="1"/>
      <c r="E1731" s="11">
        <f t="shared" si="131"/>
        <v>12</v>
      </c>
      <c r="F1731" s="12">
        <f t="shared" si="132"/>
        <v>66.666666666666657</v>
      </c>
      <c r="G1731" s="12" t="str">
        <f t="shared" si="133"/>
        <v>Warning</v>
      </c>
      <c r="H1731" s="13">
        <f t="shared" si="134"/>
        <v>6</v>
      </c>
      <c r="I1731" s="14">
        <f t="shared" si="130"/>
        <v>1783.1999999999998</v>
      </c>
      <c r="K1731" t="str">
        <f>[1]!revcom(C1731)</f>
        <v>AGACCG</v>
      </c>
      <c r="L1731">
        <v>4</v>
      </c>
    </row>
    <row r="1732" spans="1:12" ht="15.6" x14ac:dyDescent="0.3">
      <c r="A1732" s="9">
        <v>1721</v>
      </c>
      <c r="B1732" s="1"/>
      <c r="C1732" s="2" t="s">
        <v>1727</v>
      </c>
      <c r="D1732" s="1"/>
      <c r="E1732" s="11">
        <f t="shared" si="131"/>
        <v>20</v>
      </c>
      <c r="F1732" s="12">
        <f t="shared" si="132"/>
        <v>66.666666666666657</v>
      </c>
      <c r="G1732" s="12" t="str">
        <f t="shared" si="133"/>
        <v>Warning</v>
      </c>
      <c r="H1732" s="13">
        <f t="shared" si="134"/>
        <v>6</v>
      </c>
      <c r="I1732" s="14">
        <f t="shared" si="130"/>
        <v>1832.25</v>
      </c>
      <c r="K1732" t="str">
        <f>[1]!revcom(C1732)</f>
        <v>TCACCG</v>
      </c>
      <c r="L1732">
        <v>6</v>
      </c>
    </row>
    <row r="1733" spans="1:12" ht="15.6" x14ac:dyDescent="0.3">
      <c r="A1733" s="9">
        <v>1722</v>
      </c>
      <c r="B1733" s="1"/>
      <c r="C1733" s="2" t="s">
        <v>1728</v>
      </c>
      <c r="D1733" s="1"/>
      <c r="E1733" s="11">
        <f t="shared" si="131"/>
        <v>18</v>
      </c>
      <c r="F1733" s="12">
        <f t="shared" si="132"/>
        <v>83.333333333333343</v>
      </c>
      <c r="G1733" s="12" t="str">
        <f t="shared" si="133"/>
        <v>Warning</v>
      </c>
      <c r="H1733" s="13">
        <f t="shared" si="134"/>
        <v>6</v>
      </c>
      <c r="I1733" s="14">
        <f t="shared" si="130"/>
        <v>1808.2200000000003</v>
      </c>
      <c r="K1733" t="str">
        <f>[1]!revcom(C1733)</f>
        <v>GCACCG</v>
      </c>
      <c r="L1733">
        <v>5</v>
      </c>
    </row>
    <row r="1734" spans="1:12" ht="15.6" x14ac:dyDescent="0.3">
      <c r="A1734" s="9">
        <v>1723</v>
      </c>
      <c r="B1734" s="1"/>
      <c r="C1734" s="2" t="s">
        <v>1729</v>
      </c>
      <c r="D1734" s="1"/>
      <c r="E1734" s="11">
        <f t="shared" si="131"/>
        <v>18</v>
      </c>
      <c r="F1734" s="12">
        <f t="shared" si="132"/>
        <v>83.333333333333343</v>
      </c>
      <c r="G1734" s="12" t="str">
        <f t="shared" si="133"/>
        <v>Warning</v>
      </c>
      <c r="H1734" s="13">
        <f t="shared" si="134"/>
        <v>6</v>
      </c>
      <c r="I1734" s="14">
        <f t="shared" si="130"/>
        <v>1848.25</v>
      </c>
      <c r="K1734" t="str">
        <f>[1]!revcom(C1734)</f>
        <v>CCACCG</v>
      </c>
      <c r="L1734">
        <v>5</v>
      </c>
    </row>
    <row r="1735" spans="1:12" ht="15.6" x14ac:dyDescent="0.3">
      <c r="A1735" s="9">
        <v>1724</v>
      </c>
      <c r="B1735" s="1"/>
      <c r="C1735" s="2" t="s">
        <v>1730</v>
      </c>
      <c r="D1735" s="1"/>
      <c r="E1735" s="11">
        <f t="shared" si="131"/>
        <v>12</v>
      </c>
      <c r="F1735" s="12">
        <f t="shared" si="132"/>
        <v>66.666666666666657</v>
      </c>
      <c r="G1735" s="12" t="str">
        <f t="shared" si="133"/>
        <v>Warning</v>
      </c>
      <c r="H1735" s="13">
        <f t="shared" si="134"/>
        <v>6</v>
      </c>
      <c r="I1735" s="14">
        <f t="shared" si="130"/>
        <v>1823.23</v>
      </c>
      <c r="K1735" t="str">
        <f>[1]!revcom(C1735)</f>
        <v>ACACCG</v>
      </c>
      <c r="L1735">
        <v>4</v>
      </c>
    </row>
    <row r="1736" spans="1:12" ht="15.6" x14ac:dyDescent="0.3">
      <c r="A1736" s="9">
        <v>1725</v>
      </c>
      <c r="B1736" s="1"/>
      <c r="C1736" s="2" t="s">
        <v>1731</v>
      </c>
      <c r="D1736" s="1"/>
      <c r="E1736" s="11">
        <f t="shared" si="131"/>
        <v>14</v>
      </c>
      <c r="F1736" s="12">
        <f t="shared" si="132"/>
        <v>50</v>
      </c>
      <c r="G1736" s="12" t="str">
        <f t="shared" si="133"/>
        <v>OK</v>
      </c>
      <c r="H1736" s="13">
        <f t="shared" si="134"/>
        <v>6</v>
      </c>
      <c r="I1736" s="14">
        <f t="shared" si="130"/>
        <v>1807.23</v>
      </c>
      <c r="K1736" t="str">
        <f>[1]!revcom(C1736)</f>
        <v>TAACCG</v>
      </c>
      <c r="L1736">
        <v>5</v>
      </c>
    </row>
    <row r="1737" spans="1:12" ht="15.6" x14ac:dyDescent="0.3">
      <c r="A1737" s="9">
        <v>1726</v>
      </c>
      <c r="B1737" s="1"/>
      <c r="C1737" s="2" t="s">
        <v>1732</v>
      </c>
      <c r="D1737" s="1"/>
      <c r="E1737" s="11">
        <f t="shared" si="131"/>
        <v>12</v>
      </c>
      <c r="F1737" s="12">
        <f t="shared" si="132"/>
        <v>66.666666666666657</v>
      </c>
      <c r="G1737" s="12" t="str">
        <f t="shared" si="133"/>
        <v>Warning</v>
      </c>
      <c r="H1737" s="13">
        <f t="shared" si="134"/>
        <v>6</v>
      </c>
      <c r="I1737" s="14">
        <f t="shared" si="130"/>
        <v>1783.1999999999998</v>
      </c>
      <c r="K1737" t="str">
        <f>[1]!revcom(C1737)</f>
        <v>GAACCG</v>
      </c>
      <c r="L1737">
        <v>4</v>
      </c>
    </row>
    <row r="1738" spans="1:12" ht="15.6" x14ac:dyDescent="0.3">
      <c r="A1738" s="9">
        <v>1727</v>
      </c>
      <c r="B1738" s="1"/>
      <c r="C1738" s="2" t="s">
        <v>1733</v>
      </c>
      <c r="D1738" s="1"/>
      <c r="E1738" s="11">
        <f t="shared" si="131"/>
        <v>12</v>
      </c>
      <c r="F1738" s="12">
        <f t="shared" si="132"/>
        <v>66.666666666666657</v>
      </c>
      <c r="G1738" s="12" t="str">
        <f t="shared" si="133"/>
        <v>Warning</v>
      </c>
      <c r="H1738" s="13">
        <f t="shared" si="134"/>
        <v>6</v>
      </c>
      <c r="I1738" s="14">
        <f t="shared" si="130"/>
        <v>1823.23</v>
      </c>
      <c r="K1738" t="str">
        <f>[1]!revcom(C1738)</f>
        <v>CAACCG</v>
      </c>
      <c r="L1738">
        <v>4</v>
      </c>
    </row>
    <row r="1739" spans="1:12" ht="15.6" x14ac:dyDescent="0.3">
      <c r="A1739" s="9">
        <v>1728</v>
      </c>
      <c r="B1739" s="1"/>
      <c r="C1739" s="2" t="s">
        <v>1734</v>
      </c>
      <c r="D1739" s="1"/>
      <c r="E1739" s="11">
        <f t="shared" si="131"/>
        <v>6</v>
      </c>
      <c r="F1739" s="12">
        <f t="shared" si="132"/>
        <v>50</v>
      </c>
      <c r="G1739" s="12" t="str">
        <f t="shared" si="133"/>
        <v>OK</v>
      </c>
      <c r="H1739" s="13">
        <f t="shared" si="134"/>
        <v>6</v>
      </c>
      <c r="I1739" s="14">
        <f t="shared" si="130"/>
        <v>1798.21</v>
      </c>
      <c r="K1739" t="str">
        <f>[1]!revcom(C1739)</f>
        <v>AAACCG</v>
      </c>
      <c r="L1739">
        <v>3</v>
      </c>
    </row>
    <row r="1740" spans="1:12" ht="15.6" x14ac:dyDescent="0.3">
      <c r="A1740" s="9">
        <v>1729</v>
      </c>
      <c r="B1740" s="1"/>
      <c r="C1740" s="2" t="s">
        <v>1735</v>
      </c>
      <c r="D1740" s="1"/>
      <c r="E1740" s="11">
        <f t="shared" si="131"/>
        <v>24</v>
      </c>
      <c r="F1740" s="12">
        <f t="shared" si="132"/>
        <v>33.333333333333329</v>
      </c>
      <c r="G1740" s="12" t="str">
        <f t="shared" si="133"/>
        <v>OK</v>
      </c>
      <c r="H1740" s="13">
        <f t="shared" si="134"/>
        <v>6</v>
      </c>
      <c r="I1740" s="14">
        <f t="shared" si="130"/>
        <v>1800.25</v>
      </c>
      <c r="K1740" t="str">
        <f>[1]!revcom(C1740)</f>
        <v>TTTACG</v>
      </c>
      <c r="L1740">
        <v>6</v>
      </c>
    </row>
    <row r="1741" spans="1:12" ht="15.6" x14ac:dyDescent="0.3">
      <c r="A1741" s="9">
        <v>1730</v>
      </c>
      <c r="B1741" s="1"/>
      <c r="C1741" s="2" t="s">
        <v>1736</v>
      </c>
      <c r="D1741" s="1"/>
      <c r="E1741" s="11">
        <f t="shared" si="131"/>
        <v>22</v>
      </c>
      <c r="F1741" s="12">
        <f t="shared" si="132"/>
        <v>50</v>
      </c>
      <c r="G1741" s="12" t="str">
        <f t="shared" si="133"/>
        <v>OK</v>
      </c>
      <c r="H1741" s="13">
        <f t="shared" si="134"/>
        <v>6</v>
      </c>
      <c r="I1741" s="14">
        <f t="shared" ref="I1741:I1804" si="135">((LEN(C1741)-(LEN(SUBSTITUTE(C1741,"A",""))))*249.23)+((LEN(C1741)-(LEN(SUBSTITUTE(C1741,"T",""))))*240.21)+((LEN(C1741)-(LEN(SUBSTITUTE(C1741,"C",""))))*225.2)+((LEN(C1741)-(LEN(SUBSTITUTE(C1741,"G",""))))*265.23)+(63.98*(LEN(C1741)-1)+(2.02))</f>
        <v>1776.2199999999998</v>
      </c>
      <c r="K1741" t="str">
        <f>[1]!revcom(C1741)</f>
        <v>GTTACG</v>
      </c>
      <c r="L1741">
        <v>6</v>
      </c>
    </row>
    <row r="1742" spans="1:12" ht="15.6" x14ac:dyDescent="0.3">
      <c r="A1742" s="9">
        <v>1731</v>
      </c>
      <c r="B1742" s="1"/>
      <c r="C1742" s="2" t="s">
        <v>1737</v>
      </c>
      <c r="D1742" s="1"/>
      <c r="E1742" s="11">
        <f t="shared" ref="E1742:E1805" si="136">IF(LEN(C1742)&gt;15,(69.3+((41*((LEN(C1742)-(((LEN(C1742)-(LEN(SUBSTITUTE(C1742,"A",""))))+((LEN(C1742)-(LEN(SUBSTITUTE(C1742,"T","")))))))))/(LEN(C1742)))-(650/(LEN(C1742))))),(2*((LEN(C1742)-(((LEN(C1742)-(LEN(SUBSTITUTE(C1742,"C",""))))+((LEN(C1742)-(LEN(SUBSTITUTE(C1742,"G",""))))))))))+(4*((LEN(C1742)-(((LEN(C1742)-(LEN(SUBSTITUTE(C1742,"T",""))))+((LEN(C1742)-(LEN(SUBSTITUTE(C1742,"T","")))))))))))</f>
        <v>22</v>
      </c>
      <c r="F1742" s="12">
        <f t="shared" ref="F1742:F1805" si="137">((LEN(C1742)- LEN(SUBSTITUTE(C1742,"G","")))+(LEN(C1742)- LEN(SUBSTITUTE(C1742,"C",""))) )/LEN(C1742)*100</f>
        <v>50</v>
      </c>
      <c r="G1742" s="12" t="str">
        <f t="shared" ref="G1742:G1805" si="138">IF((-5+((LEN(SUBSTITUTE(RIGHT(C1742,5),"C","")))+((LEN(SUBSTITUTE(RIGHT(C1742,5),"G",""))))))&gt;=3,"OK","Warning")</f>
        <v>OK</v>
      </c>
      <c r="H1742" s="13">
        <f t="shared" ref="H1742:H1805" si="139">LEN(C1742)</f>
        <v>6</v>
      </c>
      <c r="I1742" s="14">
        <f t="shared" si="135"/>
        <v>1816.25</v>
      </c>
      <c r="K1742" t="str">
        <f>[1]!revcom(C1742)</f>
        <v>CTTACG</v>
      </c>
      <c r="L1742">
        <v>6</v>
      </c>
    </row>
    <row r="1743" spans="1:12" ht="15.6" x14ac:dyDescent="0.3">
      <c r="A1743" s="9">
        <v>1732</v>
      </c>
      <c r="B1743" s="1"/>
      <c r="C1743" s="2" t="s">
        <v>1738</v>
      </c>
      <c r="D1743" s="1"/>
      <c r="E1743" s="11">
        <f t="shared" si="136"/>
        <v>16</v>
      </c>
      <c r="F1743" s="12">
        <f t="shared" si="137"/>
        <v>33.333333333333329</v>
      </c>
      <c r="G1743" s="12" t="str">
        <f t="shared" si="138"/>
        <v>OK</v>
      </c>
      <c r="H1743" s="13">
        <f t="shared" si="139"/>
        <v>6</v>
      </c>
      <c r="I1743" s="14">
        <f t="shared" si="135"/>
        <v>1791.23</v>
      </c>
      <c r="K1743" t="str">
        <f>[1]!revcom(C1743)</f>
        <v>ATTACG</v>
      </c>
      <c r="L1743">
        <v>5</v>
      </c>
    </row>
    <row r="1744" spans="1:12" ht="15.6" x14ac:dyDescent="0.3">
      <c r="A1744" s="9">
        <v>1733</v>
      </c>
      <c r="B1744" s="1"/>
      <c r="C1744" s="2" t="s">
        <v>1739</v>
      </c>
      <c r="D1744" s="1"/>
      <c r="E1744" s="11">
        <f t="shared" si="136"/>
        <v>22</v>
      </c>
      <c r="F1744" s="12">
        <f t="shared" si="137"/>
        <v>50</v>
      </c>
      <c r="G1744" s="12" t="str">
        <f t="shared" si="138"/>
        <v>OK</v>
      </c>
      <c r="H1744" s="13">
        <f t="shared" si="139"/>
        <v>6</v>
      </c>
      <c r="I1744" s="14">
        <f t="shared" si="135"/>
        <v>1776.2199999999998</v>
      </c>
      <c r="K1744" t="str">
        <f>[1]!revcom(C1744)</f>
        <v>TGTACG</v>
      </c>
      <c r="L1744">
        <v>6</v>
      </c>
    </row>
    <row r="1745" spans="1:12" ht="15.6" x14ac:dyDescent="0.3">
      <c r="A1745" s="9">
        <v>1734</v>
      </c>
      <c r="B1745" s="1"/>
      <c r="C1745" s="2" t="s">
        <v>1740</v>
      </c>
      <c r="D1745" s="1"/>
      <c r="E1745" s="11">
        <f t="shared" si="136"/>
        <v>20</v>
      </c>
      <c r="F1745" s="12">
        <f t="shared" si="137"/>
        <v>66.666666666666657</v>
      </c>
      <c r="G1745" s="12" t="str">
        <f t="shared" si="138"/>
        <v>Warning</v>
      </c>
      <c r="H1745" s="13">
        <f t="shared" si="139"/>
        <v>6</v>
      </c>
      <c r="I1745" s="14">
        <f t="shared" si="135"/>
        <v>1752.19</v>
      </c>
      <c r="K1745" t="str">
        <f>[1]!revcom(C1745)</f>
        <v>GGTACG</v>
      </c>
      <c r="L1745">
        <v>6</v>
      </c>
    </row>
    <row r="1746" spans="1:12" ht="15.6" x14ac:dyDescent="0.3">
      <c r="A1746" s="9">
        <v>1735</v>
      </c>
      <c r="B1746" s="1"/>
      <c r="C1746" s="2" t="s">
        <v>1741</v>
      </c>
      <c r="D1746" s="1"/>
      <c r="E1746" s="11">
        <f t="shared" si="136"/>
        <v>20</v>
      </c>
      <c r="F1746" s="12">
        <f t="shared" si="137"/>
        <v>66.666666666666657</v>
      </c>
      <c r="G1746" s="12" t="str">
        <f t="shared" si="138"/>
        <v>Warning</v>
      </c>
      <c r="H1746" s="13">
        <f t="shared" si="139"/>
        <v>6</v>
      </c>
      <c r="I1746" s="14">
        <f t="shared" si="135"/>
        <v>1792.2199999999998</v>
      </c>
      <c r="K1746" t="str">
        <f>[1]!revcom(C1746)</f>
        <v>CGTACG</v>
      </c>
      <c r="L1746">
        <v>6</v>
      </c>
    </row>
    <row r="1747" spans="1:12" ht="15.6" x14ac:dyDescent="0.3">
      <c r="A1747" s="9">
        <v>1736</v>
      </c>
      <c r="B1747" s="1"/>
      <c r="C1747" s="2" t="s">
        <v>1742</v>
      </c>
      <c r="D1747" s="1"/>
      <c r="E1747" s="11">
        <f t="shared" si="136"/>
        <v>14</v>
      </c>
      <c r="F1747" s="12">
        <f t="shared" si="137"/>
        <v>50</v>
      </c>
      <c r="G1747" s="12" t="str">
        <f t="shared" si="138"/>
        <v>OK</v>
      </c>
      <c r="H1747" s="13">
        <f t="shared" si="139"/>
        <v>6</v>
      </c>
      <c r="I1747" s="14">
        <f t="shared" si="135"/>
        <v>1767.1999999999998</v>
      </c>
      <c r="K1747" t="str">
        <f>[1]!revcom(C1747)</f>
        <v>AGTACG</v>
      </c>
      <c r="L1747">
        <v>5</v>
      </c>
    </row>
    <row r="1748" spans="1:12" ht="15.6" x14ac:dyDescent="0.3">
      <c r="A1748" s="9">
        <v>1737</v>
      </c>
      <c r="B1748" s="1"/>
      <c r="C1748" s="2" t="s">
        <v>1743</v>
      </c>
      <c r="D1748" s="1"/>
      <c r="E1748" s="11">
        <f t="shared" si="136"/>
        <v>22</v>
      </c>
      <c r="F1748" s="12">
        <f t="shared" si="137"/>
        <v>50</v>
      </c>
      <c r="G1748" s="12" t="str">
        <f t="shared" si="138"/>
        <v>OK</v>
      </c>
      <c r="H1748" s="13">
        <f t="shared" si="139"/>
        <v>6</v>
      </c>
      <c r="I1748" s="14">
        <f t="shared" si="135"/>
        <v>1816.25</v>
      </c>
      <c r="K1748" t="str">
        <f>[1]!revcom(C1748)</f>
        <v>TCTACG</v>
      </c>
      <c r="L1748">
        <v>6</v>
      </c>
    </row>
    <row r="1749" spans="1:12" ht="15.6" x14ac:dyDescent="0.3">
      <c r="A1749" s="9">
        <v>1738</v>
      </c>
      <c r="B1749" s="1"/>
      <c r="C1749" s="2" t="s">
        <v>1744</v>
      </c>
      <c r="D1749" s="1"/>
      <c r="E1749" s="11">
        <f t="shared" si="136"/>
        <v>20</v>
      </c>
      <c r="F1749" s="12">
        <f t="shared" si="137"/>
        <v>66.666666666666657</v>
      </c>
      <c r="G1749" s="12" t="str">
        <f t="shared" si="138"/>
        <v>Warning</v>
      </c>
      <c r="H1749" s="13">
        <f t="shared" si="139"/>
        <v>6</v>
      </c>
      <c r="I1749" s="14">
        <f t="shared" si="135"/>
        <v>1792.2199999999998</v>
      </c>
      <c r="K1749" t="str">
        <f>[1]!revcom(C1749)</f>
        <v>GCTACG</v>
      </c>
      <c r="L1749">
        <v>6</v>
      </c>
    </row>
    <row r="1750" spans="1:12" ht="15.6" x14ac:dyDescent="0.3">
      <c r="A1750" s="9">
        <v>1739</v>
      </c>
      <c r="B1750" s="1"/>
      <c r="C1750" s="2" t="s">
        <v>1745</v>
      </c>
      <c r="D1750" s="1"/>
      <c r="E1750" s="11">
        <f t="shared" si="136"/>
        <v>20</v>
      </c>
      <c r="F1750" s="12">
        <f t="shared" si="137"/>
        <v>66.666666666666657</v>
      </c>
      <c r="G1750" s="12" t="str">
        <f t="shared" si="138"/>
        <v>Warning</v>
      </c>
      <c r="H1750" s="13">
        <f t="shared" si="139"/>
        <v>6</v>
      </c>
      <c r="I1750" s="14">
        <f t="shared" si="135"/>
        <v>1832.25</v>
      </c>
      <c r="K1750" t="str">
        <f>[1]!revcom(C1750)</f>
        <v>CCTACG</v>
      </c>
      <c r="L1750">
        <v>6</v>
      </c>
    </row>
    <row r="1751" spans="1:12" ht="15.6" x14ac:dyDescent="0.3">
      <c r="A1751" s="9">
        <v>1740</v>
      </c>
      <c r="B1751" s="1"/>
      <c r="C1751" s="2" t="s">
        <v>1746</v>
      </c>
      <c r="D1751" s="1"/>
      <c r="E1751" s="11">
        <f t="shared" si="136"/>
        <v>14</v>
      </c>
      <c r="F1751" s="12">
        <f t="shared" si="137"/>
        <v>50</v>
      </c>
      <c r="G1751" s="12" t="str">
        <f t="shared" si="138"/>
        <v>OK</v>
      </c>
      <c r="H1751" s="13">
        <f t="shared" si="139"/>
        <v>6</v>
      </c>
      <c r="I1751" s="14">
        <f t="shared" si="135"/>
        <v>1807.23</v>
      </c>
      <c r="K1751" t="str">
        <f>[1]!revcom(C1751)</f>
        <v>ACTACG</v>
      </c>
      <c r="L1751">
        <v>5</v>
      </c>
    </row>
    <row r="1752" spans="1:12" ht="15.6" x14ac:dyDescent="0.3">
      <c r="A1752" s="9">
        <v>1741</v>
      </c>
      <c r="B1752" s="1"/>
      <c r="C1752" s="2" t="s">
        <v>1747</v>
      </c>
      <c r="D1752" s="1"/>
      <c r="E1752" s="11">
        <f t="shared" si="136"/>
        <v>16</v>
      </c>
      <c r="F1752" s="12">
        <f t="shared" si="137"/>
        <v>33.333333333333329</v>
      </c>
      <c r="G1752" s="12" t="str">
        <f t="shared" si="138"/>
        <v>OK</v>
      </c>
      <c r="H1752" s="13">
        <f t="shared" si="139"/>
        <v>6</v>
      </c>
      <c r="I1752" s="14">
        <f t="shared" si="135"/>
        <v>1791.23</v>
      </c>
      <c r="K1752" t="str">
        <f>[1]!revcom(C1752)</f>
        <v>TATACG</v>
      </c>
      <c r="L1752">
        <v>5</v>
      </c>
    </row>
    <row r="1753" spans="1:12" ht="15.6" x14ac:dyDescent="0.3">
      <c r="A1753" s="9">
        <v>1742</v>
      </c>
      <c r="B1753" s="1"/>
      <c r="C1753" s="2" t="s">
        <v>1748</v>
      </c>
      <c r="D1753" s="1"/>
      <c r="E1753" s="11">
        <f t="shared" si="136"/>
        <v>14</v>
      </c>
      <c r="F1753" s="12">
        <f t="shared" si="137"/>
        <v>50</v>
      </c>
      <c r="G1753" s="12" t="str">
        <f t="shared" si="138"/>
        <v>OK</v>
      </c>
      <c r="H1753" s="13">
        <f t="shared" si="139"/>
        <v>6</v>
      </c>
      <c r="I1753" s="14">
        <f t="shared" si="135"/>
        <v>1767.1999999999998</v>
      </c>
      <c r="K1753" t="str">
        <f>[1]!revcom(C1753)</f>
        <v>GATACG</v>
      </c>
      <c r="L1753">
        <v>5</v>
      </c>
    </row>
    <row r="1754" spans="1:12" ht="15.6" x14ac:dyDescent="0.3">
      <c r="A1754" s="9">
        <v>1743</v>
      </c>
      <c r="B1754" s="1"/>
      <c r="C1754" s="2" t="s">
        <v>1749</v>
      </c>
      <c r="D1754" s="1"/>
      <c r="E1754" s="11">
        <f t="shared" si="136"/>
        <v>14</v>
      </c>
      <c r="F1754" s="12">
        <f t="shared" si="137"/>
        <v>50</v>
      </c>
      <c r="G1754" s="12" t="str">
        <f t="shared" si="138"/>
        <v>OK</v>
      </c>
      <c r="H1754" s="13">
        <f t="shared" si="139"/>
        <v>6</v>
      </c>
      <c r="I1754" s="14">
        <f t="shared" si="135"/>
        <v>1807.23</v>
      </c>
      <c r="K1754" t="str">
        <f>[1]!revcom(C1754)</f>
        <v>CATACG</v>
      </c>
      <c r="L1754">
        <v>5</v>
      </c>
    </row>
    <row r="1755" spans="1:12" ht="15.6" x14ac:dyDescent="0.3">
      <c r="A1755" s="9">
        <v>1744</v>
      </c>
      <c r="B1755" s="1"/>
      <c r="C1755" s="2" t="s">
        <v>1750</v>
      </c>
      <c r="D1755" s="1"/>
      <c r="E1755" s="11">
        <f t="shared" si="136"/>
        <v>8</v>
      </c>
      <c r="F1755" s="12">
        <f t="shared" si="137"/>
        <v>33.333333333333329</v>
      </c>
      <c r="G1755" s="12" t="str">
        <f t="shared" si="138"/>
        <v>OK</v>
      </c>
      <c r="H1755" s="13">
        <f t="shared" si="139"/>
        <v>6</v>
      </c>
      <c r="I1755" s="14">
        <f t="shared" si="135"/>
        <v>1782.21</v>
      </c>
      <c r="K1755" t="str">
        <f>[1]!revcom(C1755)</f>
        <v>AATACG</v>
      </c>
      <c r="L1755">
        <v>4</v>
      </c>
    </row>
    <row r="1756" spans="1:12" ht="15.6" x14ac:dyDescent="0.3">
      <c r="A1756" s="9">
        <v>1745</v>
      </c>
      <c r="B1756" s="1"/>
      <c r="C1756" s="2" t="s">
        <v>1751</v>
      </c>
      <c r="D1756" s="1"/>
      <c r="E1756" s="11">
        <f t="shared" si="136"/>
        <v>22</v>
      </c>
      <c r="F1756" s="12">
        <f t="shared" si="137"/>
        <v>50</v>
      </c>
      <c r="G1756" s="12" t="str">
        <f t="shared" si="138"/>
        <v>OK</v>
      </c>
      <c r="H1756" s="13">
        <f t="shared" si="139"/>
        <v>6</v>
      </c>
      <c r="I1756" s="14">
        <f t="shared" si="135"/>
        <v>1776.2199999999998</v>
      </c>
      <c r="K1756" t="str">
        <f>[1]!revcom(C1756)</f>
        <v>TTGACG</v>
      </c>
      <c r="L1756">
        <v>6</v>
      </c>
    </row>
    <row r="1757" spans="1:12" ht="15.6" x14ac:dyDescent="0.3">
      <c r="A1757" s="9">
        <v>1746</v>
      </c>
      <c r="B1757" s="1"/>
      <c r="C1757" s="2" t="s">
        <v>1752</v>
      </c>
      <c r="D1757" s="1"/>
      <c r="E1757" s="11">
        <f t="shared" si="136"/>
        <v>20</v>
      </c>
      <c r="F1757" s="12">
        <f t="shared" si="137"/>
        <v>66.666666666666657</v>
      </c>
      <c r="G1757" s="12" t="str">
        <f t="shared" si="138"/>
        <v>Warning</v>
      </c>
      <c r="H1757" s="13">
        <f t="shared" si="139"/>
        <v>6</v>
      </c>
      <c r="I1757" s="14">
        <f t="shared" si="135"/>
        <v>1752.19</v>
      </c>
      <c r="K1757" t="str">
        <f>[1]!revcom(C1757)</f>
        <v>GTGACG</v>
      </c>
      <c r="L1757">
        <v>6</v>
      </c>
    </row>
    <row r="1758" spans="1:12" ht="15.6" x14ac:dyDescent="0.3">
      <c r="A1758" s="9">
        <v>1747</v>
      </c>
      <c r="B1758" s="1"/>
      <c r="C1758" s="2" t="s">
        <v>1753</v>
      </c>
      <c r="D1758" s="1"/>
      <c r="E1758" s="11">
        <f t="shared" si="136"/>
        <v>20</v>
      </c>
      <c r="F1758" s="12">
        <f t="shared" si="137"/>
        <v>66.666666666666657</v>
      </c>
      <c r="G1758" s="12" t="str">
        <f t="shared" si="138"/>
        <v>Warning</v>
      </c>
      <c r="H1758" s="13">
        <f t="shared" si="139"/>
        <v>6</v>
      </c>
      <c r="I1758" s="14">
        <f t="shared" si="135"/>
        <v>1792.2199999999998</v>
      </c>
      <c r="K1758" t="str">
        <f>[1]!revcom(C1758)</f>
        <v>CTGACG</v>
      </c>
      <c r="L1758">
        <v>6</v>
      </c>
    </row>
    <row r="1759" spans="1:12" ht="15.6" x14ac:dyDescent="0.3">
      <c r="A1759" s="9">
        <v>1748</v>
      </c>
      <c r="B1759" s="1"/>
      <c r="C1759" s="2" t="s">
        <v>1754</v>
      </c>
      <c r="D1759" s="1"/>
      <c r="E1759" s="11">
        <f t="shared" si="136"/>
        <v>14</v>
      </c>
      <c r="F1759" s="12">
        <f t="shared" si="137"/>
        <v>50</v>
      </c>
      <c r="G1759" s="12" t="str">
        <f t="shared" si="138"/>
        <v>OK</v>
      </c>
      <c r="H1759" s="13">
        <f t="shared" si="139"/>
        <v>6</v>
      </c>
      <c r="I1759" s="14">
        <f t="shared" si="135"/>
        <v>1767.1999999999998</v>
      </c>
      <c r="K1759" t="str">
        <f>[1]!revcom(C1759)</f>
        <v>ATGACG</v>
      </c>
      <c r="L1759">
        <v>5</v>
      </c>
    </row>
    <row r="1760" spans="1:12" ht="15.6" x14ac:dyDescent="0.3">
      <c r="A1760" s="9">
        <v>1749</v>
      </c>
      <c r="B1760" s="1"/>
      <c r="C1760" s="2" t="s">
        <v>1755</v>
      </c>
      <c r="D1760" s="1"/>
      <c r="E1760" s="11">
        <f t="shared" si="136"/>
        <v>20</v>
      </c>
      <c r="F1760" s="12">
        <f t="shared" si="137"/>
        <v>66.666666666666657</v>
      </c>
      <c r="G1760" s="12" t="str">
        <f t="shared" si="138"/>
        <v>Warning</v>
      </c>
      <c r="H1760" s="13">
        <f t="shared" si="139"/>
        <v>6</v>
      </c>
      <c r="I1760" s="14">
        <f t="shared" si="135"/>
        <v>1752.19</v>
      </c>
      <c r="K1760" t="str">
        <f>[1]!revcom(C1760)</f>
        <v>TGGACG</v>
      </c>
      <c r="L1760">
        <v>6</v>
      </c>
    </row>
    <row r="1761" spans="1:12" ht="15.6" x14ac:dyDescent="0.3">
      <c r="A1761" s="9">
        <v>1750</v>
      </c>
      <c r="B1761" s="1"/>
      <c r="C1761" s="2" t="s">
        <v>1756</v>
      </c>
      <c r="D1761" s="1"/>
      <c r="E1761" s="11">
        <f t="shared" si="136"/>
        <v>18</v>
      </c>
      <c r="F1761" s="12">
        <f t="shared" si="137"/>
        <v>83.333333333333343</v>
      </c>
      <c r="G1761" s="12" t="str">
        <f t="shared" si="138"/>
        <v>Warning</v>
      </c>
      <c r="H1761" s="13">
        <f t="shared" si="139"/>
        <v>6</v>
      </c>
      <c r="I1761" s="14">
        <f t="shared" si="135"/>
        <v>1728.1599999999999</v>
      </c>
      <c r="K1761" t="str">
        <f>[1]!revcom(C1761)</f>
        <v>GGGACG</v>
      </c>
      <c r="L1761">
        <v>5</v>
      </c>
    </row>
    <row r="1762" spans="1:12" ht="15.6" x14ac:dyDescent="0.3">
      <c r="A1762" s="9">
        <v>1751</v>
      </c>
      <c r="B1762" s="1"/>
      <c r="C1762" s="2" t="s">
        <v>1757</v>
      </c>
      <c r="D1762" s="1"/>
      <c r="E1762" s="11">
        <f t="shared" si="136"/>
        <v>18</v>
      </c>
      <c r="F1762" s="12">
        <f t="shared" si="137"/>
        <v>83.333333333333343</v>
      </c>
      <c r="G1762" s="12" t="str">
        <f t="shared" si="138"/>
        <v>Warning</v>
      </c>
      <c r="H1762" s="13">
        <f t="shared" si="139"/>
        <v>6</v>
      </c>
      <c r="I1762" s="14">
        <f t="shared" si="135"/>
        <v>1768.19</v>
      </c>
      <c r="K1762" t="str">
        <f>[1]!revcom(C1762)</f>
        <v>CGGACG</v>
      </c>
      <c r="L1762">
        <v>5</v>
      </c>
    </row>
    <row r="1763" spans="1:12" ht="15.6" x14ac:dyDescent="0.3">
      <c r="A1763" s="9">
        <v>1752</v>
      </c>
      <c r="B1763" s="1"/>
      <c r="C1763" s="2" t="s">
        <v>1758</v>
      </c>
      <c r="D1763" s="1"/>
      <c r="E1763" s="11">
        <f t="shared" si="136"/>
        <v>12</v>
      </c>
      <c r="F1763" s="12">
        <f t="shared" si="137"/>
        <v>66.666666666666657</v>
      </c>
      <c r="G1763" s="12" t="str">
        <f t="shared" si="138"/>
        <v>Warning</v>
      </c>
      <c r="H1763" s="13">
        <f t="shared" si="139"/>
        <v>6</v>
      </c>
      <c r="I1763" s="14">
        <f t="shared" si="135"/>
        <v>1743.17</v>
      </c>
      <c r="K1763" t="str">
        <f>[1]!revcom(C1763)</f>
        <v>AGGACG</v>
      </c>
      <c r="L1763">
        <v>4</v>
      </c>
    </row>
    <row r="1764" spans="1:12" ht="15.6" x14ac:dyDescent="0.3">
      <c r="A1764" s="9">
        <v>1753</v>
      </c>
      <c r="B1764" s="1"/>
      <c r="C1764" s="2" t="s">
        <v>1759</v>
      </c>
      <c r="D1764" s="1"/>
      <c r="E1764" s="11">
        <f t="shared" si="136"/>
        <v>20</v>
      </c>
      <c r="F1764" s="12">
        <f t="shared" si="137"/>
        <v>66.666666666666657</v>
      </c>
      <c r="G1764" s="12" t="str">
        <f t="shared" si="138"/>
        <v>Warning</v>
      </c>
      <c r="H1764" s="13">
        <f t="shared" si="139"/>
        <v>6</v>
      </c>
      <c r="I1764" s="14">
        <f t="shared" si="135"/>
        <v>1792.2199999999998</v>
      </c>
      <c r="K1764" t="str">
        <f>[1]!revcom(C1764)</f>
        <v>TCGACG</v>
      </c>
      <c r="L1764">
        <v>6</v>
      </c>
    </row>
    <row r="1765" spans="1:12" ht="15.6" x14ac:dyDescent="0.3">
      <c r="A1765" s="9">
        <v>1754</v>
      </c>
      <c r="B1765" s="1"/>
      <c r="C1765" s="2" t="s">
        <v>1760</v>
      </c>
      <c r="D1765" s="1"/>
      <c r="E1765" s="11">
        <f t="shared" si="136"/>
        <v>18</v>
      </c>
      <c r="F1765" s="12">
        <f t="shared" si="137"/>
        <v>83.333333333333343</v>
      </c>
      <c r="G1765" s="12" t="str">
        <f t="shared" si="138"/>
        <v>Warning</v>
      </c>
      <c r="H1765" s="13">
        <f t="shared" si="139"/>
        <v>6</v>
      </c>
      <c r="I1765" s="14">
        <f t="shared" si="135"/>
        <v>1768.19</v>
      </c>
      <c r="K1765" t="str">
        <f>[1]!revcom(C1765)</f>
        <v>GCGACG</v>
      </c>
      <c r="L1765">
        <v>5</v>
      </c>
    </row>
    <row r="1766" spans="1:12" ht="15.6" x14ac:dyDescent="0.3">
      <c r="A1766" s="9">
        <v>1755</v>
      </c>
      <c r="B1766" s="1"/>
      <c r="C1766" s="2" t="s">
        <v>1761</v>
      </c>
      <c r="D1766" s="1"/>
      <c r="E1766" s="11">
        <f t="shared" si="136"/>
        <v>18</v>
      </c>
      <c r="F1766" s="12">
        <f t="shared" si="137"/>
        <v>83.333333333333343</v>
      </c>
      <c r="G1766" s="12" t="str">
        <f t="shared" si="138"/>
        <v>Warning</v>
      </c>
      <c r="H1766" s="13">
        <f t="shared" si="139"/>
        <v>6</v>
      </c>
      <c r="I1766" s="14">
        <f t="shared" si="135"/>
        <v>1808.2200000000003</v>
      </c>
      <c r="K1766" t="str">
        <f>[1]!revcom(C1766)</f>
        <v>CCGACG</v>
      </c>
      <c r="L1766">
        <v>5</v>
      </c>
    </row>
    <row r="1767" spans="1:12" ht="15.6" x14ac:dyDescent="0.3">
      <c r="A1767" s="9">
        <v>1756</v>
      </c>
      <c r="B1767" s="1"/>
      <c r="C1767" s="2" t="s">
        <v>1762</v>
      </c>
      <c r="D1767" s="1"/>
      <c r="E1767" s="11">
        <f t="shared" si="136"/>
        <v>12</v>
      </c>
      <c r="F1767" s="12">
        <f t="shared" si="137"/>
        <v>66.666666666666657</v>
      </c>
      <c r="G1767" s="12" t="str">
        <f t="shared" si="138"/>
        <v>Warning</v>
      </c>
      <c r="H1767" s="13">
        <f t="shared" si="139"/>
        <v>6</v>
      </c>
      <c r="I1767" s="14">
        <f t="shared" si="135"/>
        <v>1783.1999999999998</v>
      </c>
      <c r="K1767" t="str">
        <f>[1]!revcom(C1767)</f>
        <v>ACGACG</v>
      </c>
      <c r="L1767">
        <v>4</v>
      </c>
    </row>
    <row r="1768" spans="1:12" ht="15.6" x14ac:dyDescent="0.3">
      <c r="A1768" s="9">
        <v>1757</v>
      </c>
      <c r="B1768" s="1"/>
      <c r="C1768" s="2" t="s">
        <v>1763</v>
      </c>
      <c r="D1768" s="1"/>
      <c r="E1768" s="11">
        <f t="shared" si="136"/>
        <v>14</v>
      </c>
      <c r="F1768" s="12">
        <f t="shared" si="137"/>
        <v>50</v>
      </c>
      <c r="G1768" s="12" t="str">
        <f t="shared" si="138"/>
        <v>OK</v>
      </c>
      <c r="H1768" s="13">
        <f t="shared" si="139"/>
        <v>6</v>
      </c>
      <c r="I1768" s="14">
        <f t="shared" si="135"/>
        <v>1767.1999999999998</v>
      </c>
      <c r="K1768" t="str">
        <f>[1]!revcom(C1768)</f>
        <v>TAGACG</v>
      </c>
      <c r="L1768">
        <v>5</v>
      </c>
    </row>
    <row r="1769" spans="1:12" ht="15.6" x14ac:dyDescent="0.3">
      <c r="A1769" s="9">
        <v>1758</v>
      </c>
      <c r="B1769" s="1"/>
      <c r="C1769" s="2" t="s">
        <v>1764</v>
      </c>
      <c r="D1769" s="1"/>
      <c r="E1769" s="11">
        <f t="shared" si="136"/>
        <v>12</v>
      </c>
      <c r="F1769" s="12">
        <f t="shared" si="137"/>
        <v>66.666666666666657</v>
      </c>
      <c r="G1769" s="12" t="str">
        <f t="shared" si="138"/>
        <v>Warning</v>
      </c>
      <c r="H1769" s="13">
        <f t="shared" si="139"/>
        <v>6</v>
      </c>
      <c r="I1769" s="14">
        <f t="shared" si="135"/>
        <v>1743.17</v>
      </c>
      <c r="K1769" t="str">
        <f>[1]!revcom(C1769)</f>
        <v>GAGACG</v>
      </c>
      <c r="L1769">
        <v>4</v>
      </c>
    </row>
    <row r="1770" spans="1:12" ht="15.6" x14ac:dyDescent="0.3">
      <c r="A1770" s="9">
        <v>1759</v>
      </c>
      <c r="B1770" s="1"/>
      <c r="C1770" s="2" t="s">
        <v>1765</v>
      </c>
      <c r="D1770" s="1"/>
      <c r="E1770" s="11">
        <f t="shared" si="136"/>
        <v>12</v>
      </c>
      <c r="F1770" s="12">
        <f t="shared" si="137"/>
        <v>66.666666666666657</v>
      </c>
      <c r="G1770" s="12" t="str">
        <f t="shared" si="138"/>
        <v>Warning</v>
      </c>
      <c r="H1770" s="13">
        <f t="shared" si="139"/>
        <v>6</v>
      </c>
      <c r="I1770" s="14">
        <f t="shared" si="135"/>
        <v>1783.1999999999998</v>
      </c>
      <c r="K1770" t="str">
        <f>[1]!revcom(C1770)</f>
        <v>CAGACG</v>
      </c>
      <c r="L1770">
        <v>4</v>
      </c>
    </row>
    <row r="1771" spans="1:12" ht="15.6" x14ac:dyDescent="0.3">
      <c r="A1771" s="9">
        <v>1760</v>
      </c>
      <c r="B1771" s="1"/>
      <c r="C1771" s="2" t="s">
        <v>1766</v>
      </c>
      <c r="D1771" s="1"/>
      <c r="E1771" s="11">
        <f t="shared" si="136"/>
        <v>6</v>
      </c>
      <c r="F1771" s="12">
        <f t="shared" si="137"/>
        <v>50</v>
      </c>
      <c r="G1771" s="12" t="str">
        <f t="shared" si="138"/>
        <v>OK</v>
      </c>
      <c r="H1771" s="13">
        <f t="shared" si="139"/>
        <v>6</v>
      </c>
      <c r="I1771" s="14">
        <f t="shared" si="135"/>
        <v>1758.1799999999998</v>
      </c>
      <c r="K1771" t="str">
        <f>[1]!revcom(C1771)</f>
        <v>AAGACG</v>
      </c>
      <c r="L1771">
        <v>3</v>
      </c>
    </row>
    <row r="1772" spans="1:12" ht="15.6" x14ac:dyDescent="0.3">
      <c r="A1772" s="9">
        <v>1761</v>
      </c>
      <c r="B1772" s="1"/>
      <c r="C1772" s="2" t="s">
        <v>1767</v>
      </c>
      <c r="D1772" s="1"/>
      <c r="E1772" s="11">
        <f t="shared" si="136"/>
        <v>22</v>
      </c>
      <c r="F1772" s="12">
        <f t="shared" si="137"/>
        <v>50</v>
      </c>
      <c r="G1772" s="12" t="str">
        <f t="shared" si="138"/>
        <v>OK</v>
      </c>
      <c r="H1772" s="13">
        <f t="shared" si="139"/>
        <v>6</v>
      </c>
      <c r="I1772" s="14">
        <f t="shared" si="135"/>
        <v>1816.25</v>
      </c>
      <c r="K1772" t="str">
        <f>[1]!revcom(C1772)</f>
        <v>TTCACG</v>
      </c>
      <c r="L1772">
        <v>6</v>
      </c>
    </row>
    <row r="1773" spans="1:12" ht="15.6" x14ac:dyDescent="0.3">
      <c r="A1773" s="9">
        <v>1762</v>
      </c>
      <c r="B1773" s="1"/>
      <c r="C1773" s="2" t="s">
        <v>1768</v>
      </c>
      <c r="D1773" s="1"/>
      <c r="E1773" s="11">
        <f t="shared" si="136"/>
        <v>20</v>
      </c>
      <c r="F1773" s="12">
        <f t="shared" si="137"/>
        <v>66.666666666666657</v>
      </c>
      <c r="G1773" s="12" t="str">
        <f t="shared" si="138"/>
        <v>Warning</v>
      </c>
      <c r="H1773" s="13">
        <f t="shared" si="139"/>
        <v>6</v>
      </c>
      <c r="I1773" s="14">
        <f t="shared" si="135"/>
        <v>1792.2199999999998</v>
      </c>
      <c r="K1773" t="str">
        <f>[1]!revcom(C1773)</f>
        <v>GTCACG</v>
      </c>
      <c r="L1773">
        <v>6</v>
      </c>
    </row>
    <row r="1774" spans="1:12" ht="15.6" x14ac:dyDescent="0.3">
      <c r="A1774" s="9">
        <v>1763</v>
      </c>
      <c r="B1774" s="1"/>
      <c r="C1774" s="2" t="s">
        <v>1769</v>
      </c>
      <c r="D1774" s="1"/>
      <c r="E1774" s="11">
        <f t="shared" si="136"/>
        <v>20</v>
      </c>
      <c r="F1774" s="12">
        <f t="shared" si="137"/>
        <v>66.666666666666657</v>
      </c>
      <c r="G1774" s="12" t="str">
        <f t="shared" si="138"/>
        <v>Warning</v>
      </c>
      <c r="H1774" s="13">
        <f t="shared" si="139"/>
        <v>6</v>
      </c>
      <c r="I1774" s="14">
        <f t="shared" si="135"/>
        <v>1832.25</v>
      </c>
      <c r="K1774" t="str">
        <f>[1]!revcom(C1774)</f>
        <v>CTCACG</v>
      </c>
      <c r="L1774">
        <v>6</v>
      </c>
    </row>
    <row r="1775" spans="1:12" ht="15.6" x14ac:dyDescent="0.3">
      <c r="A1775" s="9">
        <v>1764</v>
      </c>
      <c r="B1775" s="1"/>
      <c r="C1775" s="2" t="s">
        <v>1770</v>
      </c>
      <c r="D1775" s="1"/>
      <c r="E1775" s="11">
        <f t="shared" si="136"/>
        <v>14</v>
      </c>
      <c r="F1775" s="12">
        <f t="shared" si="137"/>
        <v>50</v>
      </c>
      <c r="G1775" s="12" t="str">
        <f t="shared" si="138"/>
        <v>OK</v>
      </c>
      <c r="H1775" s="13">
        <f t="shared" si="139"/>
        <v>6</v>
      </c>
      <c r="I1775" s="14">
        <f t="shared" si="135"/>
        <v>1807.23</v>
      </c>
      <c r="K1775" t="str">
        <f>[1]!revcom(C1775)</f>
        <v>ATCACG</v>
      </c>
      <c r="L1775">
        <v>5</v>
      </c>
    </row>
    <row r="1776" spans="1:12" ht="15.6" x14ac:dyDescent="0.3">
      <c r="A1776" s="9">
        <v>1765</v>
      </c>
      <c r="B1776" s="1"/>
      <c r="C1776" s="2" t="s">
        <v>1771</v>
      </c>
      <c r="D1776" s="1"/>
      <c r="E1776" s="11">
        <f t="shared" si="136"/>
        <v>20</v>
      </c>
      <c r="F1776" s="12">
        <f t="shared" si="137"/>
        <v>66.666666666666657</v>
      </c>
      <c r="G1776" s="12" t="str">
        <f t="shared" si="138"/>
        <v>Warning</v>
      </c>
      <c r="H1776" s="13">
        <f t="shared" si="139"/>
        <v>6</v>
      </c>
      <c r="I1776" s="14">
        <f t="shared" si="135"/>
        <v>1792.2199999999998</v>
      </c>
      <c r="K1776" t="str">
        <f>[1]!revcom(C1776)</f>
        <v>TGCACG</v>
      </c>
      <c r="L1776">
        <v>6</v>
      </c>
    </row>
    <row r="1777" spans="1:12" ht="15.6" x14ac:dyDescent="0.3">
      <c r="A1777" s="9">
        <v>1766</v>
      </c>
      <c r="B1777" s="1"/>
      <c r="C1777" s="2" t="s">
        <v>1772</v>
      </c>
      <c r="D1777" s="1"/>
      <c r="E1777" s="11">
        <f t="shared" si="136"/>
        <v>18</v>
      </c>
      <c r="F1777" s="12">
        <f t="shared" si="137"/>
        <v>83.333333333333343</v>
      </c>
      <c r="G1777" s="12" t="str">
        <f t="shared" si="138"/>
        <v>Warning</v>
      </c>
      <c r="H1777" s="13">
        <f t="shared" si="139"/>
        <v>6</v>
      </c>
      <c r="I1777" s="14">
        <f t="shared" si="135"/>
        <v>1768.19</v>
      </c>
      <c r="K1777" t="str">
        <f>[1]!revcom(C1777)</f>
        <v>GGCACG</v>
      </c>
      <c r="L1777">
        <v>5</v>
      </c>
    </row>
    <row r="1778" spans="1:12" ht="15.6" x14ac:dyDescent="0.3">
      <c r="A1778" s="9">
        <v>1767</v>
      </c>
      <c r="B1778" s="1"/>
      <c r="C1778" s="2" t="s">
        <v>1773</v>
      </c>
      <c r="D1778" s="1"/>
      <c r="E1778" s="11">
        <f t="shared" si="136"/>
        <v>18</v>
      </c>
      <c r="F1778" s="12">
        <f t="shared" si="137"/>
        <v>83.333333333333343</v>
      </c>
      <c r="G1778" s="12" t="str">
        <f t="shared" si="138"/>
        <v>Warning</v>
      </c>
      <c r="H1778" s="13">
        <f t="shared" si="139"/>
        <v>6</v>
      </c>
      <c r="I1778" s="14">
        <f t="shared" si="135"/>
        <v>1808.2200000000003</v>
      </c>
      <c r="K1778" t="str">
        <f>[1]!revcom(C1778)</f>
        <v>CGCACG</v>
      </c>
      <c r="L1778">
        <v>5</v>
      </c>
    </row>
    <row r="1779" spans="1:12" ht="15.6" x14ac:dyDescent="0.3">
      <c r="A1779" s="9">
        <v>1768</v>
      </c>
      <c r="B1779" s="1"/>
      <c r="C1779" s="2" t="s">
        <v>1774</v>
      </c>
      <c r="D1779" s="1"/>
      <c r="E1779" s="11">
        <f t="shared" si="136"/>
        <v>12</v>
      </c>
      <c r="F1779" s="12">
        <f t="shared" si="137"/>
        <v>66.666666666666657</v>
      </c>
      <c r="G1779" s="12" t="str">
        <f t="shared" si="138"/>
        <v>Warning</v>
      </c>
      <c r="H1779" s="13">
        <f t="shared" si="139"/>
        <v>6</v>
      </c>
      <c r="I1779" s="14">
        <f t="shared" si="135"/>
        <v>1783.1999999999998</v>
      </c>
      <c r="K1779" t="str">
        <f>[1]!revcom(C1779)</f>
        <v>AGCACG</v>
      </c>
      <c r="L1779">
        <v>4</v>
      </c>
    </row>
    <row r="1780" spans="1:12" ht="15.6" x14ac:dyDescent="0.3">
      <c r="A1780" s="9">
        <v>1769</v>
      </c>
      <c r="B1780" s="1"/>
      <c r="C1780" s="2" t="s">
        <v>1775</v>
      </c>
      <c r="D1780" s="1"/>
      <c r="E1780" s="11">
        <f t="shared" si="136"/>
        <v>20</v>
      </c>
      <c r="F1780" s="12">
        <f t="shared" si="137"/>
        <v>66.666666666666657</v>
      </c>
      <c r="G1780" s="12" t="str">
        <f t="shared" si="138"/>
        <v>Warning</v>
      </c>
      <c r="H1780" s="13">
        <f t="shared" si="139"/>
        <v>6</v>
      </c>
      <c r="I1780" s="14">
        <f t="shared" si="135"/>
        <v>1832.25</v>
      </c>
      <c r="K1780" t="str">
        <f>[1]!revcom(C1780)</f>
        <v>TCCACG</v>
      </c>
      <c r="L1780">
        <v>6</v>
      </c>
    </row>
    <row r="1781" spans="1:12" ht="15.6" x14ac:dyDescent="0.3">
      <c r="A1781" s="9">
        <v>1770</v>
      </c>
      <c r="B1781" s="1"/>
      <c r="C1781" s="2" t="s">
        <v>1776</v>
      </c>
      <c r="D1781" s="1"/>
      <c r="E1781" s="11">
        <f t="shared" si="136"/>
        <v>18</v>
      </c>
      <c r="F1781" s="12">
        <f t="shared" si="137"/>
        <v>83.333333333333343</v>
      </c>
      <c r="G1781" s="12" t="str">
        <f t="shared" si="138"/>
        <v>Warning</v>
      </c>
      <c r="H1781" s="13">
        <f t="shared" si="139"/>
        <v>6</v>
      </c>
      <c r="I1781" s="14">
        <f t="shared" si="135"/>
        <v>1808.2200000000003</v>
      </c>
      <c r="K1781" t="str">
        <f>[1]!revcom(C1781)</f>
        <v>GCCACG</v>
      </c>
      <c r="L1781">
        <v>5</v>
      </c>
    </row>
    <row r="1782" spans="1:12" ht="15.6" x14ac:dyDescent="0.3">
      <c r="A1782" s="9">
        <v>1771</v>
      </c>
      <c r="B1782" s="1"/>
      <c r="C1782" s="2" t="s">
        <v>1777</v>
      </c>
      <c r="D1782" s="1"/>
      <c r="E1782" s="11">
        <f t="shared" si="136"/>
        <v>18</v>
      </c>
      <c r="F1782" s="12">
        <f t="shared" si="137"/>
        <v>83.333333333333343</v>
      </c>
      <c r="G1782" s="12" t="str">
        <f t="shared" si="138"/>
        <v>Warning</v>
      </c>
      <c r="H1782" s="13">
        <f t="shared" si="139"/>
        <v>6</v>
      </c>
      <c r="I1782" s="14">
        <f t="shared" si="135"/>
        <v>1848.25</v>
      </c>
      <c r="K1782" t="str">
        <f>[1]!revcom(C1782)</f>
        <v>CCCACG</v>
      </c>
      <c r="L1782">
        <v>5</v>
      </c>
    </row>
    <row r="1783" spans="1:12" ht="15.6" x14ac:dyDescent="0.3">
      <c r="A1783" s="9">
        <v>1772</v>
      </c>
      <c r="B1783" s="1"/>
      <c r="C1783" s="2" t="s">
        <v>1778</v>
      </c>
      <c r="D1783" s="1"/>
      <c r="E1783" s="11">
        <f t="shared" si="136"/>
        <v>12</v>
      </c>
      <c r="F1783" s="12">
        <f t="shared" si="137"/>
        <v>66.666666666666657</v>
      </c>
      <c r="G1783" s="12" t="str">
        <f t="shared" si="138"/>
        <v>Warning</v>
      </c>
      <c r="H1783" s="13">
        <f t="shared" si="139"/>
        <v>6</v>
      </c>
      <c r="I1783" s="14">
        <f t="shared" si="135"/>
        <v>1823.23</v>
      </c>
      <c r="K1783" t="str">
        <f>[1]!revcom(C1783)</f>
        <v>ACCACG</v>
      </c>
      <c r="L1783">
        <v>4</v>
      </c>
    </row>
    <row r="1784" spans="1:12" ht="15.6" x14ac:dyDescent="0.3">
      <c r="A1784" s="9">
        <v>1773</v>
      </c>
      <c r="B1784" s="1"/>
      <c r="C1784" s="2" t="s">
        <v>1779</v>
      </c>
      <c r="D1784" s="1"/>
      <c r="E1784" s="11">
        <f t="shared" si="136"/>
        <v>14</v>
      </c>
      <c r="F1784" s="12">
        <f t="shared" si="137"/>
        <v>50</v>
      </c>
      <c r="G1784" s="12" t="str">
        <f t="shared" si="138"/>
        <v>OK</v>
      </c>
      <c r="H1784" s="13">
        <f t="shared" si="139"/>
        <v>6</v>
      </c>
      <c r="I1784" s="14">
        <f t="shared" si="135"/>
        <v>1807.23</v>
      </c>
      <c r="K1784" t="str">
        <f>[1]!revcom(C1784)</f>
        <v>TACACG</v>
      </c>
      <c r="L1784">
        <v>5</v>
      </c>
    </row>
    <row r="1785" spans="1:12" ht="15.6" x14ac:dyDescent="0.3">
      <c r="A1785" s="9">
        <v>1774</v>
      </c>
      <c r="B1785" s="1"/>
      <c r="C1785" s="2" t="s">
        <v>1780</v>
      </c>
      <c r="D1785" s="1"/>
      <c r="E1785" s="11">
        <f t="shared" si="136"/>
        <v>12</v>
      </c>
      <c r="F1785" s="12">
        <f t="shared" si="137"/>
        <v>66.666666666666657</v>
      </c>
      <c r="G1785" s="12" t="str">
        <f t="shared" si="138"/>
        <v>Warning</v>
      </c>
      <c r="H1785" s="13">
        <f t="shared" si="139"/>
        <v>6</v>
      </c>
      <c r="I1785" s="14">
        <f t="shared" si="135"/>
        <v>1783.1999999999998</v>
      </c>
      <c r="K1785" t="str">
        <f>[1]!revcom(C1785)</f>
        <v>GACACG</v>
      </c>
      <c r="L1785">
        <v>4</v>
      </c>
    </row>
    <row r="1786" spans="1:12" ht="15.6" x14ac:dyDescent="0.3">
      <c r="A1786" s="9">
        <v>1775</v>
      </c>
      <c r="B1786" s="1"/>
      <c r="C1786" s="2" t="s">
        <v>1781</v>
      </c>
      <c r="D1786" s="1"/>
      <c r="E1786" s="11">
        <f t="shared" si="136"/>
        <v>12</v>
      </c>
      <c r="F1786" s="12">
        <f t="shared" si="137"/>
        <v>66.666666666666657</v>
      </c>
      <c r="G1786" s="12" t="str">
        <f t="shared" si="138"/>
        <v>Warning</v>
      </c>
      <c r="H1786" s="13">
        <f t="shared" si="139"/>
        <v>6</v>
      </c>
      <c r="I1786" s="14">
        <f t="shared" si="135"/>
        <v>1823.23</v>
      </c>
      <c r="K1786" t="str">
        <f>[1]!revcom(C1786)</f>
        <v>CACACG</v>
      </c>
      <c r="L1786">
        <v>4</v>
      </c>
    </row>
    <row r="1787" spans="1:12" ht="15.6" x14ac:dyDescent="0.3">
      <c r="A1787" s="9">
        <v>1776</v>
      </c>
      <c r="B1787" s="1"/>
      <c r="C1787" s="2" t="s">
        <v>1782</v>
      </c>
      <c r="D1787" s="1"/>
      <c r="E1787" s="11">
        <f t="shared" si="136"/>
        <v>6</v>
      </c>
      <c r="F1787" s="12">
        <f t="shared" si="137"/>
        <v>50</v>
      </c>
      <c r="G1787" s="12" t="str">
        <f t="shared" si="138"/>
        <v>OK</v>
      </c>
      <c r="H1787" s="13">
        <f t="shared" si="139"/>
        <v>6</v>
      </c>
      <c r="I1787" s="14">
        <f t="shared" si="135"/>
        <v>1798.21</v>
      </c>
      <c r="K1787" t="str">
        <f>[1]!revcom(C1787)</f>
        <v>AACACG</v>
      </c>
      <c r="L1787">
        <v>3</v>
      </c>
    </row>
    <row r="1788" spans="1:12" ht="15.6" x14ac:dyDescent="0.3">
      <c r="A1788" s="9">
        <v>1777</v>
      </c>
      <c r="B1788" s="1"/>
      <c r="C1788" s="2" t="s">
        <v>1783</v>
      </c>
      <c r="D1788" s="1"/>
      <c r="E1788" s="11">
        <f t="shared" si="136"/>
        <v>16</v>
      </c>
      <c r="F1788" s="12">
        <f t="shared" si="137"/>
        <v>33.333333333333329</v>
      </c>
      <c r="G1788" s="12" t="str">
        <f t="shared" si="138"/>
        <v>OK</v>
      </c>
      <c r="H1788" s="13">
        <f t="shared" si="139"/>
        <v>6</v>
      </c>
      <c r="I1788" s="14">
        <f t="shared" si="135"/>
        <v>1791.23</v>
      </c>
      <c r="K1788" t="str">
        <f>[1]!revcom(C1788)</f>
        <v>TTAACG</v>
      </c>
      <c r="L1788">
        <v>5</v>
      </c>
    </row>
    <row r="1789" spans="1:12" ht="15.6" x14ac:dyDescent="0.3">
      <c r="A1789" s="9">
        <v>1778</v>
      </c>
      <c r="B1789" s="1"/>
      <c r="C1789" s="2" t="s">
        <v>1784</v>
      </c>
      <c r="D1789" s="1"/>
      <c r="E1789" s="11">
        <f t="shared" si="136"/>
        <v>14</v>
      </c>
      <c r="F1789" s="12">
        <f t="shared" si="137"/>
        <v>50</v>
      </c>
      <c r="G1789" s="12" t="str">
        <f t="shared" si="138"/>
        <v>OK</v>
      </c>
      <c r="H1789" s="13">
        <f t="shared" si="139"/>
        <v>6</v>
      </c>
      <c r="I1789" s="14">
        <f t="shared" si="135"/>
        <v>1767.1999999999998</v>
      </c>
      <c r="K1789" t="str">
        <f>[1]!revcom(C1789)</f>
        <v>GTAACG</v>
      </c>
      <c r="L1789">
        <v>5</v>
      </c>
    </row>
    <row r="1790" spans="1:12" ht="15.6" x14ac:dyDescent="0.3">
      <c r="A1790" s="9">
        <v>1779</v>
      </c>
      <c r="B1790" s="1"/>
      <c r="C1790" s="2" t="s">
        <v>1785</v>
      </c>
      <c r="D1790" s="1"/>
      <c r="E1790" s="11">
        <f t="shared" si="136"/>
        <v>14</v>
      </c>
      <c r="F1790" s="12">
        <f t="shared" si="137"/>
        <v>50</v>
      </c>
      <c r="G1790" s="12" t="str">
        <f t="shared" si="138"/>
        <v>OK</v>
      </c>
      <c r="H1790" s="13">
        <f t="shared" si="139"/>
        <v>6</v>
      </c>
      <c r="I1790" s="14">
        <f t="shared" si="135"/>
        <v>1807.23</v>
      </c>
      <c r="K1790" t="str">
        <f>[1]!revcom(C1790)</f>
        <v>CTAACG</v>
      </c>
      <c r="L1790">
        <v>5</v>
      </c>
    </row>
    <row r="1791" spans="1:12" ht="15.6" x14ac:dyDescent="0.3">
      <c r="A1791" s="9">
        <v>1780</v>
      </c>
      <c r="B1791" s="1"/>
      <c r="C1791" s="2" t="s">
        <v>1786</v>
      </c>
      <c r="D1791" s="1"/>
      <c r="E1791" s="11">
        <f t="shared" si="136"/>
        <v>8</v>
      </c>
      <c r="F1791" s="12">
        <f t="shared" si="137"/>
        <v>33.333333333333329</v>
      </c>
      <c r="G1791" s="12" t="str">
        <f t="shared" si="138"/>
        <v>OK</v>
      </c>
      <c r="H1791" s="13">
        <f t="shared" si="139"/>
        <v>6</v>
      </c>
      <c r="I1791" s="14">
        <f t="shared" si="135"/>
        <v>1782.21</v>
      </c>
      <c r="K1791" t="str">
        <f>[1]!revcom(C1791)</f>
        <v>ATAACG</v>
      </c>
      <c r="L1791">
        <v>4</v>
      </c>
    </row>
    <row r="1792" spans="1:12" ht="15.6" x14ac:dyDescent="0.3">
      <c r="A1792" s="9">
        <v>1781</v>
      </c>
      <c r="B1792" s="1"/>
      <c r="C1792" s="2" t="s">
        <v>1787</v>
      </c>
      <c r="D1792" s="1"/>
      <c r="E1792" s="11">
        <f t="shared" si="136"/>
        <v>14</v>
      </c>
      <c r="F1792" s="12">
        <f t="shared" si="137"/>
        <v>50</v>
      </c>
      <c r="G1792" s="12" t="str">
        <f t="shared" si="138"/>
        <v>OK</v>
      </c>
      <c r="H1792" s="13">
        <f t="shared" si="139"/>
        <v>6</v>
      </c>
      <c r="I1792" s="14">
        <f t="shared" si="135"/>
        <v>1767.1999999999998</v>
      </c>
      <c r="K1792" t="str">
        <f>[1]!revcom(C1792)</f>
        <v>TGAACG</v>
      </c>
      <c r="L1792">
        <v>5</v>
      </c>
    </row>
    <row r="1793" spans="1:12" ht="15.6" x14ac:dyDescent="0.3">
      <c r="A1793" s="9">
        <v>1782</v>
      </c>
      <c r="B1793" s="1"/>
      <c r="C1793" s="2" t="s">
        <v>1788</v>
      </c>
      <c r="D1793" s="1"/>
      <c r="E1793" s="11">
        <f t="shared" si="136"/>
        <v>12</v>
      </c>
      <c r="F1793" s="12">
        <f t="shared" si="137"/>
        <v>66.666666666666657</v>
      </c>
      <c r="G1793" s="12" t="str">
        <f t="shared" si="138"/>
        <v>Warning</v>
      </c>
      <c r="H1793" s="13">
        <f t="shared" si="139"/>
        <v>6</v>
      </c>
      <c r="I1793" s="14">
        <f t="shared" si="135"/>
        <v>1743.17</v>
      </c>
      <c r="K1793" t="str">
        <f>[1]!revcom(C1793)</f>
        <v>GGAACG</v>
      </c>
      <c r="L1793">
        <v>4</v>
      </c>
    </row>
    <row r="1794" spans="1:12" ht="15.6" x14ac:dyDescent="0.3">
      <c r="A1794" s="9">
        <v>1783</v>
      </c>
      <c r="B1794" s="1"/>
      <c r="C1794" s="2" t="s">
        <v>1789</v>
      </c>
      <c r="D1794" s="1"/>
      <c r="E1794" s="11">
        <f t="shared" si="136"/>
        <v>12</v>
      </c>
      <c r="F1794" s="12">
        <f t="shared" si="137"/>
        <v>66.666666666666657</v>
      </c>
      <c r="G1794" s="12" t="str">
        <f t="shared" si="138"/>
        <v>Warning</v>
      </c>
      <c r="H1794" s="13">
        <f t="shared" si="139"/>
        <v>6</v>
      </c>
      <c r="I1794" s="14">
        <f t="shared" si="135"/>
        <v>1783.1999999999998</v>
      </c>
      <c r="K1794" t="str">
        <f>[1]!revcom(C1794)</f>
        <v>CGAACG</v>
      </c>
      <c r="L1794">
        <v>4</v>
      </c>
    </row>
    <row r="1795" spans="1:12" ht="15.6" x14ac:dyDescent="0.3">
      <c r="A1795" s="9">
        <v>1784</v>
      </c>
      <c r="B1795" s="1"/>
      <c r="C1795" s="2" t="s">
        <v>1790</v>
      </c>
      <c r="D1795" s="1"/>
      <c r="E1795" s="11">
        <f t="shared" si="136"/>
        <v>6</v>
      </c>
      <c r="F1795" s="12">
        <f t="shared" si="137"/>
        <v>50</v>
      </c>
      <c r="G1795" s="12" t="str">
        <f t="shared" si="138"/>
        <v>OK</v>
      </c>
      <c r="H1795" s="13">
        <f t="shared" si="139"/>
        <v>6</v>
      </c>
      <c r="I1795" s="14">
        <f t="shared" si="135"/>
        <v>1758.1799999999998</v>
      </c>
      <c r="K1795" t="str">
        <f>[1]!revcom(C1795)</f>
        <v>AGAACG</v>
      </c>
      <c r="L1795">
        <v>3</v>
      </c>
    </row>
    <row r="1796" spans="1:12" ht="15.6" x14ac:dyDescent="0.3">
      <c r="A1796" s="9">
        <v>1785</v>
      </c>
      <c r="B1796" s="1"/>
      <c r="C1796" s="2" t="s">
        <v>1791</v>
      </c>
      <c r="D1796" s="1"/>
      <c r="E1796" s="11">
        <f t="shared" si="136"/>
        <v>14</v>
      </c>
      <c r="F1796" s="12">
        <f t="shared" si="137"/>
        <v>50</v>
      </c>
      <c r="G1796" s="12" t="str">
        <f t="shared" si="138"/>
        <v>OK</v>
      </c>
      <c r="H1796" s="13">
        <f t="shared" si="139"/>
        <v>6</v>
      </c>
      <c r="I1796" s="14">
        <f t="shared" si="135"/>
        <v>1807.23</v>
      </c>
      <c r="K1796" t="str">
        <f>[1]!revcom(C1796)</f>
        <v>TCAACG</v>
      </c>
      <c r="L1796">
        <v>5</v>
      </c>
    </row>
    <row r="1797" spans="1:12" ht="15.6" x14ac:dyDescent="0.3">
      <c r="A1797" s="9">
        <v>1786</v>
      </c>
      <c r="B1797" s="1"/>
      <c r="C1797" s="2" t="s">
        <v>1792</v>
      </c>
      <c r="D1797" s="1"/>
      <c r="E1797" s="11">
        <f t="shared" si="136"/>
        <v>12</v>
      </c>
      <c r="F1797" s="12">
        <f t="shared" si="137"/>
        <v>66.666666666666657</v>
      </c>
      <c r="G1797" s="12" t="str">
        <f t="shared" si="138"/>
        <v>Warning</v>
      </c>
      <c r="H1797" s="13">
        <f t="shared" si="139"/>
        <v>6</v>
      </c>
      <c r="I1797" s="14">
        <f t="shared" si="135"/>
        <v>1783.1999999999998</v>
      </c>
      <c r="K1797" t="str">
        <f>[1]!revcom(C1797)</f>
        <v>GCAACG</v>
      </c>
      <c r="L1797">
        <v>4</v>
      </c>
    </row>
    <row r="1798" spans="1:12" ht="15.6" x14ac:dyDescent="0.3">
      <c r="A1798" s="9">
        <v>1787</v>
      </c>
      <c r="B1798" s="1"/>
      <c r="C1798" s="2" t="s">
        <v>1793</v>
      </c>
      <c r="D1798" s="1"/>
      <c r="E1798" s="11">
        <f t="shared" si="136"/>
        <v>12</v>
      </c>
      <c r="F1798" s="12">
        <f t="shared" si="137"/>
        <v>66.666666666666657</v>
      </c>
      <c r="G1798" s="12" t="str">
        <f t="shared" si="138"/>
        <v>Warning</v>
      </c>
      <c r="H1798" s="13">
        <f t="shared" si="139"/>
        <v>6</v>
      </c>
      <c r="I1798" s="14">
        <f t="shared" si="135"/>
        <v>1823.23</v>
      </c>
      <c r="K1798" t="str">
        <f>[1]!revcom(C1798)</f>
        <v>CCAACG</v>
      </c>
      <c r="L1798">
        <v>4</v>
      </c>
    </row>
    <row r="1799" spans="1:12" ht="15.6" x14ac:dyDescent="0.3">
      <c r="A1799" s="9">
        <v>1788</v>
      </c>
      <c r="B1799" s="1"/>
      <c r="C1799" s="2" t="s">
        <v>1794</v>
      </c>
      <c r="D1799" s="1"/>
      <c r="E1799" s="11">
        <f t="shared" si="136"/>
        <v>6</v>
      </c>
      <c r="F1799" s="12">
        <f t="shared" si="137"/>
        <v>50</v>
      </c>
      <c r="G1799" s="12" t="str">
        <f t="shared" si="138"/>
        <v>OK</v>
      </c>
      <c r="H1799" s="13">
        <f t="shared" si="139"/>
        <v>6</v>
      </c>
      <c r="I1799" s="14">
        <f t="shared" si="135"/>
        <v>1798.21</v>
      </c>
      <c r="K1799" t="str">
        <f>[1]!revcom(C1799)</f>
        <v>ACAACG</v>
      </c>
      <c r="L1799">
        <v>3</v>
      </c>
    </row>
    <row r="1800" spans="1:12" ht="15.6" x14ac:dyDescent="0.3">
      <c r="A1800" s="9">
        <v>1789</v>
      </c>
      <c r="B1800" s="1"/>
      <c r="C1800" s="2" t="s">
        <v>1795</v>
      </c>
      <c r="D1800" s="1"/>
      <c r="E1800" s="11">
        <f t="shared" si="136"/>
        <v>8</v>
      </c>
      <c r="F1800" s="12">
        <f t="shared" si="137"/>
        <v>33.333333333333329</v>
      </c>
      <c r="G1800" s="12" t="str">
        <f t="shared" si="138"/>
        <v>OK</v>
      </c>
      <c r="H1800" s="13">
        <f t="shared" si="139"/>
        <v>6</v>
      </c>
      <c r="I1800" s="14">
        <f t="shared" si="135"/>
        <v>1782.21</v>
      </c>
      <c r="K1800" t="str">
        <f>[1]!revcom(C1800)</f>
        <v>TAAACG</v>
      </c>
      <c r="L1800">
        <v>4</v>
      </c>
    </row>
    <row r="1801" spans="1:12" ht="15.6" x14ac:dyDescent="0.3">
      <c r="A1801" s="9">
        <v>1790</v>
      </c>
      <c r="B1801" s="1"/>
      <c r="C1801" s="2" t="s">
        <v>1796</v>
      </c>
      <c r="D1801" s="1"/>
      <c r="E1801" s="11">
        <f t="shared" si="136"/>
        <v>6</v>
      </c>
      <c r="F1801" s="12">
        <f t="shared" si="137"/>
        <v>50</v>
      </c>
      <c r="G1801" s="12" t="str">
        <f t="shared" si="138"/>
        <v>OK</v>
      </c>
      <c r="H1801" s="13">
        <f t="shared" si="139"/>
        <v>6</v>
      </c>
      <c r="I1801" s="14">
        <f t="shared" si="135"/>
        <v>1758.1799999999998</v>
      </c>
      <c r="K1801" t="str">
        <f>[1]!revcom(C1801)</f>
        <v>GAAACG</v>
      </c>
      <c r="L1801">
        <v>3</v>
      </c>
    </row>
    <row r="1802" spans="1:12" ht="15.6" x14ac:dyDescent="0.3">
      <c r="A1802" s="9">
        <v>1791</v>
      </c>
      <c r="B1802" s="1"/>
      <c r="C1802" s="2" t="s">
        <v>1797</v>
      </c>
      <c r="D1802" s="1"/>
      <c r="E1802" s="11">
        <f t="shared" si="136"/>
        <v>6</v>
      </c>
      <c r="F1802" s="12">
        <f t="shared" si="137"/>
        <v>50</v>
      </c>
      <c r="G1802" s="12" t="str">
        <f t="shared" si="138"/>
        <v>OK</v>
      </c>
      <c r="H1802" s="13">
        <f t="shared" si="139"/>
        <v>6</v>
      </c>
      <c r="I1802" s="14">
        <f t="shared" si="135"/>
        <v>1798.21</v>
      </c>
      <c r="K1802" t="str">
        <f>[1]!revcom(C1802)</f>
        <v>CAAACG</v>
      </c>
      <c r="L1802">
        <v>3</v>
      </c>
    </row>
    <row r="1803" spans="1:12" ht="15.6" x14ac:dyDescent="0.3">
      <c r="A1803" s="9">
        <v>1792</v>
      </c>
      <c r="B1803" s="1"/>
      <c r="C1803" s="2" t="s">
        <v>1798</v>
      </c>
      <c r="D1803" s="1"/>
      <c r="E1803" s="11">
        <f t="shared" si="136"/>
        <v>0</v>
      </c>
      <c r="F1803" s="12">
        <f t="shared" si="137"/>
        <v>33.333333333333329</v>
      </c>
      <c r="G1803" s="12" t="str">
        <f t="shared" si="138"/>
        <v>OK</v>
      </c>
      <c r="H1803" s="13">
        <f t="shared" si="139"/>
        <v>6</v>
      </c>
      <c r="I1803" s="14">
        <f t="shared" si="135"/>
        <v>1773.19</v>
      </c>
      <c r="K1803" t="str">
        <f>[1]!revcom(C1803)</f>
        <v>AAAACG</v>
      </c>
      <c r="L1803">
        <v>2</v>
      </c>
    </row>
    <row r="1804" spans="1:12" ht="15.6" x14ac:dyDescent="0.3">
      <c r="A1804" s="9">
        <v>1793</v>
      </c>
      <c r="B1804" s="1"/>
      <c r="C1804" s="2" t="s">
        <v>1799</v>
      </c>
      <c r="D1804" s="1"/>
      <c r="E1804" s="11">
        <f t="shared" si="136"/>
        <v>26</v>
      </c>
      <c r="F1804" s="12">
        <f t="shared" si="137"/>
        <v>16.666666666666664</v>
      </c>
      <c r="G1804" s="12" t="str">
        <f t="shared" si="138"/>
        <v>OK</v>
      </c>
      <c r="H1804" s="13">
        <f t="shared" si="139"/>
        <v>6</v>
      </c>
      <c r="I1804" s="14">
        <f t="shared" si="135"/>
        <v>1784.25</v>
      </c>
      <c r="K1804" t="str">
        <f>[1]!revcom(C1804)</f>
        <v>TTTTAG</v>
      </c>
      <c r="L1804">
        <v>7</v>
      </c>
    </row>
    <row r="1805" spans="1:12" ht="15.6" x14ac:dyDescent="0.3">
      <c r="A1805" s="9">
        <v>1794</v>
      </c>
      <c r="B1805" s="1"/>
      <c r="C1805" s="2" t="s">
        <v>1800</v>
      </c>
      <c r="D1805" s="1"/>
      <c r="E1805" s="11">
        <f t="shared" si="136"/>
        <v>24</v>
      </c>
      <c r="F1805" s="12">
        <f t="shared" si="137"/>
        <v>33.333333333333329</v>
      </c>
      <c r="G1805" s="12" t="str">
        <f t="shared" si="138"/>
        <v>OK</v>
      </c>
      <c r="H1805" s="13">
        <f t="shared" si="139"/>
        <v>6</v>
      </c>
      <c r="I1805" s="14">
        <f t="shared" ref="I1805:I1868" si="140">((LEN(C1805)-(LEN(SUBSTITUTE(C1805,"A",""))))*249.23)+((LEN(C1805)-(LEN(SUBSTITUTE(C1805,"T",""))))*240.21)+((LEN(C1805)-(LEN(SUBSTITUTE(C1805,"C",""))))*225.2)+((LEN(C1805)-(LEN(SUBSTITUTE(C1805,"G",""))))*265.23)+(63.98*(LEN(C1805)-1)+(2.02))</f>
        <v>1760.2199999999998</v>
      </c>
      <c r="K1805" t="str">
        <f>[1]!revcom(C1805)</f>
        <v>GTTTAG</v>
      </c>
      <c r="L1805">
        <v>6</v>
      </c>
    </row>
    <row r="1806" spans="1:12" ht="15.6" x14ac:dyDescent="0.3">
      <c r="A1806" s="9">
        <v>1795</v>
      </c>
      <c r="B1806" s="1"/>
      <c r="C1806" s="2" t="s">
        <v>1801</v>
      </c>
      <c r="D1806" s="1"/>
      <c r="E1806" s="11">
        <f t="shared" ref="E1806:E1869" si="141">IF(LEN(C1806)&gt;15,(69.3+((41*((LEN(C1806)-(((LEN(C1806)-(LEN(SUBSTITUTE(C1806,"A",""))))+((LEN(C1806)-(LEN(SUBSTITUTE(C1806,"T","")))))))))/(LEN(C1806)))-(650/(LEN(C1806))))),(2*((LEN(C1806)-(((LEN(C1806)-(LEN(SUBSTITUTE(C1806,"C",""))))+((LEN(C1806)-(LEN(SUBSTITUTE(C1806,"G",""))))))))))+(4*((LEN(C1806)-(((LEN(C1806)-(LEN(SUBSTITUTE(C1806,"T",""))))+((LEN(C1806)-(LEN(SUBSTITUTE(C1806,"T","")))))))))))</f>
        <v>24</v>
      </c>
      <c r="F1806" s="12">
        <f t="shared" ref="F1806:F1869" si="142">((LEN(C1806)- LEN(SUBSTITUTE(C1806,"G","")))+(LEN(C1806)- LEN(SUBSTITUTE(C1806,"C",""))) )/LEN(C1806)*100</f>
        <v>33.333333333333329</v>
      </c>
      <c r="G1806" s="12" t="str">
        <f t="shared" ref="G1806:G1869" si="143">IF((-5+((LEN(SUBSTITUTE(RIGHT(C1806,5),"C","")))+((LEN(SUBSTITUTE(RIGHT(C1806,5),"G",""))))))&gt;=3,"OK","Warning")</f>
        <v>OK</v>
      </c>
      <c r="H1806" s="13">
        <f t="shared" ref="H1806:H1869" si="144">LEN(C1806)</f>
        <v>6</v>
      </c>
      <c r="I1806" s="14">
        <f t="shared" si="140"/>
        <v>1800.25</v>
      </c>
      <c r="K1806" t="str">
        <f>[1]!revcom(C1806)</f>
        <v>CTTTAG</v>
      </c>
      <c r="L1806">
        <v>6</v>
      </c>
    </row>
    <row r="1807" spans="1:12" ht="15.6" x14ac:dyDescent="0.3">
      <c r="A1807" s="9">
        <v>1796</v>
      </c>
      <c r="B1807" s="1"/>
      <c r="C1807" s="2" t="s">
        <v>1802</v>
      </c>
      <c r="D1807" s="1"/>
      <c r="E1807" s="11">
        <f t="shared" si="141"/>
        <v>18</v>
      </c>
      <c r="F1807" s="12">
        <f t="shared" si="142"/>
        <v>16.666666666666664</v>
      </c>
      <c r="G1807" s="12" t="str">
        <f t="shared" si="143"/>
        <v>OK</v>
      </c>
      <c r="H1807" s="13">
        <f t="shared" si="144"/>
        <v>6</v>
      </c>
      <c r="I1807" s="14">
        <f t="shared" si="140"/>
        <v>1775.23</v>
      </c>
      <c r="K1807" t="str">
        <f>[1]!revcom(C1807)</f>
        <v>ATTTAG</v>
      </c>
      <c r="L1807">
        <v>5</v>
      </c>
    </row>
    <row r="1808" spans="1:12" ht="15.6" x14ac:dyDescent="0.3">
      <c r="A1808" s="9">
        <v>1797</v>
      </c>
      <c r="B1808" s="1"/>
      <c r="C1808" s="2" t="s">
        <v>1803</v>
      </c>
      <c r="D1808" s="1"/>
      <c r="E1808" s="11">
        <f t="shared" si="141"/>
        <v>24</v>
      </c>
      <c r="F1808" s="12">
        <f t="shared" si="142"/>
        <v>33.333333333333329</v>
      </c>
      <c r="G1808" s="12" t="str">
        <f t="shared" si="143"/>
        <v>OK</v>
      </c>
      <c r="H1808" s="13">
        <f t="shared" si="144"/>
        <v>6</v>
      </c>
      <c r="I1808" s="14">
        <f t="shared" si="140"/>
        <v>1760.2199999999998</v>
      </c>
      <c r="K1808" t="str">
        <f>[1]!revcom(C1808)</f>
        <v>TGTTAG</v>
      </c>
      <c r="L1808">
        <v>6</v>
      </c>
    </row>
    <row r="1809" spans="1:12" ht="15.6" x14ac:dyDescent="0.3">
      <c r="A1809" s="9">
        <v>1798</v>
      </c>
      <c r="B1809" s="1"/>
      <c r="C1809" s="2" t="s">
        <v>1804</v>
      </c>
      <c r="D1809" s="1"/>
      <c r="E1809" s="11">
        <f t="shared" si="141"/>
        <v>22</v>
      </c>
      <c r="F1809" s="12">
        <f t="shared" si="142"/>
        <v>50</v>
      </c>
      <c r="G1809" s="12" t="str">
        <f t="shared" si="143"/>
        <v>OK</v>
      </c>
      <c r="H1809" s="13">
        <f t="shared" si="144"/>
        <v>6</v>
      </c>
      <c r="I1809" s="14">
        <f t="shared" si="140"/>
        <v>1736.19</v>
      </c>
      <c r="K1809" t="str">
        <f>[1]!revcom(C1809)</f>
        <v>GGTTAG</v>
      </c>
      <c r="L1809">
        <v>6</v>
      </c>
    </row>
    <row r="1810" spans="1:12" ht="15.6" x14ac:dyDescent="0.3">
      <c r="A1810" s="9">
        <v>1799</v>
      </c>
      <c r="B1810" s="1"/>
      <c r="C1810" s="2" t="s">
        <v>1805</v>
      </c>
      <c r="D1810" s="1"/>
      <c r="E1810" s="11">
        <f t="shared" si="141"/>
        <v>22</v>
      </c>
      <c r="F1810" s="12">
        <f t="shared" si="142"/>
        <v>50</v>
      </c>
      <c r="G1810" s="12" t="str">
        <f t="shared" si="143"/>
        <v>OK</v>
      </c>
      <c r="H1810" s="13">
        <f t="shared" si="144"/>
        <v>6</v>
      </c>
      <c r="I1810" s="14">
        <f t="shared" si="140"/>
        <v>1776.2199999999998</v>
      </c>
      <c r="K1810" t="str">
        <f>[1]!revcom(C1810)</f>
        <v>CGTTAG</v>
      </c>
      <c r="L1810">
        <v>6</v>
      </c>
    </row>
    <row r="1811" spans="1:12" ht="15.6" x14ac:dyDescent="0.3">
      <c r="A1811" s="9">
        <v>1800</v>
      </c>
      <c r="B1811" s="1"/>
      <c r="C1811" s="2" t="s">
        <v>1806</v>
      </c>
      <c r="D1811" s="1"/>
      <c r="E1811" s="11">
        <f t="shared" si="141"/>
        <v>16</v>
      </c>
      <c r="F1811" s="12">
        <f t="shared" si="142"/>
        <v>33.333333333333329</v>
      </c>
      <c r="G1811" s="12" t="str">
        <f t="shared" si="143"/>
        <v>OK</v>
      </c>
      <c r="H1811" s="13">
        <f t="shared" si="144"/>
        <v>6</v>
      </c>
      <c r="I1811" s="14">
        <f t="shared" si="140"/>
        <v>1751.1999999999998</v>
      </c>
      <c r="K1811" t="str">
        <f>[1]!revcom(C1811)</f>
        <v>AGTTAG</v>
      </c>
      <c r="L1811">
        <v>5</v>
      </c>
    </row>
    <row r="1812" spans="1:12" ht="15.6" x14ac:dyDescent="0.3">
      <c r="A1812" s="9">
        <v>1801</v>
      </c>
      <c r="B1812" s="1"/>
      <c r="C1812" s="2" t="s">
        <v>1807</v>
      </c>
      <c r="D1812" s="1"/>
      <c r="E1812" s="11">
        <f t="shared" si="141"/>
        <v>24</v>
      </c>
      <c r="F1812" s="12">
        <f t="shared" si="142"/>
        <v>33.333333333333329</v>
      </c>
      <c r="G1812" s="12" t="str">
        <f t="shared" si="143"/>
        <v>OK</v>
      </c>
      <c r="H1812" s="13">
        <f t="shared" si="144"/>
        <v>6</v>
      </c>
      <c r="I1812" s="14">
        <f t="shared" si="140"/>
        <v>1800.25</v>
      </c>
      <c r="K1812" t="str">
        <f>[1]!revcom(C1812)</f>
        <v>TCTTAG</v>
      </c>
      <c r="L1812">
        <v>6</v>
      </c>
    </row>
    <row r="1813" spans="1:12" ht="15.6" x14ac:dyDescent="0.3">
      <c r="A1813" s="9">
        <v>1802</v>
      </c>
      <c r="B1813" s="1"/>
      <c r="C1813" s="2" t="s">
        <v>1808</v>
      </c>
      <c r="D1813" s="1"/>
      <c r="E1813" s="11">
        <f t="shared" si="141"/>
        <v>22</v>
      </c>
      <c r="F1813" s="12">
        <f t="shared" si="142"/>
        <v>50</v>
      </c>
      <c r="G1813" s="12" t="str">
        <f t="shared" si="143"/>
        <v>OK</v>
      </c>
      <c r="H1813" s="13">
        <f t="shared" si="144"/>
        <v>6</v>
      </c>
      <c r="I1813" s="14">
        <f t="shared" si="140"/>
        <v>1776.2199999999998</v>
      </c>
      <c r="K1813" t="str">
        <f>[1]!revcom(C1813)</f>
        <v>GCTTAG</v>
      </c>
      <c r="L1813">
        <v>6</v>
      </c>
    </row>
    <row r="1814" spans="1:12" ht="15.6" x14ac:dyDescent="0.3">
      <c r="A1814" s="9">
        <v>1803</v>
      </c>
      <c r="B1814" s="1"/>
      <c r="C1814" s="2" t="s">
        <v>1809</v>
      </c>
      <c r="D1814" s="1"/>
      <c r="E1814" s="11">
        <f t="shared" si="141"/>
        <v>22</v>
      </c>
      <c r="F1814" s="12">
        <f t="shared" si="142"/>
        <v>50</v>
      </c>
      <c r="G1814" s="12" t="str">
        <f t="shared" si="143"/>
        <v>OK</v>
      </c>
      <c r="H1814" s="13">
        <f t="shared" si="144"/>
        <v>6</v>
      </c>
      <c r="I1814" s="14">
        <f t="shared" si="140"/>
        <v>1816.25</v>
      </c>
      <c r="K1814" t="str">
        <f>[1]!revcom(C1814)</f>
        <v>CCTTAG</v>
      </c>
      <c r="L1814">
        <v>6</v>
      </c>
    </row>
    <row r="1815" spans="1:12" ht="15.6" x14ac:dyDescent="0.3">
      <c r="A1815" s="9">
        <v>1804</v>
      </c>
      <c r="B1815" s="1"/>
      <c r="C1815" s="2" t="s">
        <v>1810</v>
      </c>
      <c r="D1815" s="1"/>
      <c r="E1815" s="11">
        <f t="shared" si="141"/>
        <v>16</v>
      </c>
      <c r="F1815" s="12">
        <f t="shared" si="142"/>
        <v>33.333333333333329</v>
      </c>
      <c r="G1815" s="12" t="str">
        <f t="shared" si="143"/>
        <v>OK</v>
      </c>
      <c r="H1815" s="13">
        <f t="shared" si="144"/>
        <v>6</v>
      </c>
      <c r="I1815" s="14">
        <f t="shared" si="140"/>
        <v>1791.23</v>
      </c>
      <c r="K1815" t="str">
        <f>[1]!revcom(C1815)</f>
        <v>ACTTAG</v>
      </c>
      <c r="L1815">
        <v>5</v>
      </c>
    </row>
    <row r="1816" spans="1:12" ht="15.6" x14ac:dyDescent="0.3">
      <c r="A1816" s="9">
        <v>1805</v>
      </c>
      <c r="B1816" s="1"/>
      <c r="C1816" s="2" t="s">
        <v>1811</v>
      </c>
      <c r="D1816" s="1"/>
      <c r="E1816" s="11">
        <f t="shared" si="141"/>
        <v>18</v>
      </c>
      <c r="F1816" s="12">
        <f t="shared" si="142"/>
        <v>16.666666666666664</v>
      </c>
      <c r="G1816" s="12" t="str">
        <f t="shared" si="143"/>
        <v>OK</v>
      </c>
      <c r="H1816" s="13">
        <f t="shared" si="144"/>
        <v>6</v>
      </c>
      <c r="I1816" s="14">
        <f t="shared" si="140"/>
        <v>1775.23</v>
      </c>
      <c r="K1816" t="str">
        <f>[1]!revcom(C1816)</f>
        <v>TATTAG</v>
      </c>
      <c r="L1816">
        <v>5</v>
      </c>
    </row>
    <row r="1817" spans="1:12" ht="15.6" x14ac:dyDescent="0.3">
      <c r="A1817" s="9">
        <v>1806</v>
      </c>
      <c r="B1817" s="1"/>
      <c r="C1817" s="2" t="s">
        <v>1812</v>
      </c>
      <c r="D1817" s="1"/>
      <c r="E1817" s="11">
        <f t="shared" si="141"/>
        <v>16</v>
      </c>
      <c r="F1817" s="12">
        <f t="shared" si="142"/>
        <v>33.333333333333329</v>
      </c>
      <c r="G1817" s="12" t="str">
        <f t="shared" si="143"/>
        <v>OK</v>
      </c>
      <c r="H1817" s="13">
        <f t="shared" si="144"/>
        <v>6</v>
      </c>
      <c r="I1817" s="14">
        <f t="shared" si="140"/>
        <v>1751.1999999999998</v>
      </c>
      <c r="K1817" t="str">
        <f>[1]!revcom(C1817)</f>
        <v>GATTAG</v>
      </c>
      <c r="L1817">
        <v>5</v>
      </c>
    </row>
    <row r="1818" spans="1:12" ht="15.6" x14ac:dyDescent="0.3">
      <c r="A1818" s="9">
        <v>1807</v>
      </c>
      <c r="B1818" s="1"/>
      <c r="C1818" s="2" t="s">
        <v>1813</v>
      </c>
      <c r="D1818" s="1"/>
      <c r="E1818" s="11">
        <f t="shared" si="141"/>
        <v>16</v>
      </c>
      <c r="F1818" s="12">
        <f t="shared" si="142"/>
        <v>33.333333333333329</v>
      </c>
      <c r="G1818" s="12" t="str">
        <f t="shared" si="143"/>
        <v>OK</v>
      </c>
      <c r="H1818" s="13">
        <f t="shared" si="144"/>
        <v>6</v>
      </c>
      <c r="I1818" s="14">
        <f t="shared" si="140"/>
        <v>1791.23</v>
      </c>
      <c r="K1818" t="str">
        <f>[1]!revcom(C1818)</f>
        <v>CATTAG</v>
      </c>
      <c r="L1818">
        <v>5</v>
      </c>
    </row>
    <row r="1819" spans="1:12" ht="15.6" x14ac:dyDescent="0.3">
      <c r="A1819" s="9">
        <v>1808</v>
      </c>
      <c r="B1819" s="1"/>
      <c r="C1819" s="2" t="s">
        <v>1814</v>
      </c>
      <c r="D1819" s="1"/>
      <c r="E1819" s="11">
        <f t="shared" si="141"/>
        <v>10</v>
      </c>
      <c r="F1819" s="12">
        <f t="shared" si="142"/>
        <v>16.666666666666664</v>
      </c>
      <c r="G1819" s="12" t="str">
        <f t="shared" si="143"/>
        <v>OK</v>
      </c>
      <c r="H1819" s="13">
        <f t="shared" si="144"/>
        <v>6</v>
      </c>
      <c r="I1819" s="14">
        <f t="shared" si="140"/>
        <v>1766.21</v>
      </c>
      <c r="K1819" t="str">
        <f>[1]!revcom(C1819)</f>
        <v>AATTAG</v>
      </c>
      <c r="L1819">
        <v>4</v>
      </c>
    </row>
    <row r="1820" spans="1:12" ht="15.6" x14ac:dyDescent="0.3">
      <c r="A1820" s="9">
        <v>1809</v>
      </c>
      <c r="B1820" s="1"/>
      <c r="C1820" s="2" t="s">
        <v>1815</v>
      </c>
      <c r="D1820" s="1"/>
      <c r="E1820" s="11">
        <f t="shared" si="141"/>
        <v>24</v>
      </c>
      <c r="F1820" s="12">
        <f t="shared" si="142"/>
        <v>33.333333333333329</v>
      </c>
      <c r="G1820" s="12" t="str">
        <f t="shared" si="143"/>
        <v>OK</v>
      </c>
      <c r="H1820" s="13">
        <f t="shared" si="144"/>
        <v>6</v>
      </c>
      <c r="I1820" s="14">
        <f t="shared" si="140"/>
        <v>1760.2199999999998</v>
      </c>
      <c r="K1820" t="str">
        <f>[1]!revcom(C1820)</f>
        <v>TTGTAG</v>
      </c>
      <c r="L1820">
        <v>6</v>
      </c>
    </row>
    <row r="1821" spans="1:12" ht="15.6" x14ac:dyDescent="0.3">
      <c r="A1821" s="9">
        <v>1810</v>
      </c>
      <c r="B1821" s="1"/>
      <c r="C1821" s="2" t="s">
        <v>1816</v>
      </c>
      <c r="D1821" s="1"/>
      <c r="E1821" s="11">
        <f t="shared" si="141"/>
        <v>22</v>
      </c>
      <c r="F1821" s="12">
        <f t="shared" si="142"/>
        <v>50</v>
      </c>
      <c r="G1821" s="12" t="str">
        <f t="shared" si="143"/>
        <v>OK</v>
      </c>
      <c r="H1821" s="13">
        <f t="shared" si="144"/>
        <v>6</v>
      </c>
      <c r="I1821" s="14">
        <f t="shared" si="140"/>
        <v>1736.19</v>
      </c>
      <c r="K1821" t="str">
        <f>[1]!revcom(C1821)</f>
        <v>GTGTAG</v>
      </c>
      <c r="L1821">
        <v>6</v>
      </c>
    </row>
    <row r="1822" spans="1:12" ht="15.6" x14ac:dyDescent="0.3">
      <c r="A1822" s="9">
        <v>1811</v>
      </c>
      <c r="B1822" s="1"/>
      <c r="C1822" s="2" t="s">
        <v>1817</v>
      </c>
      <c r="D1822" s="1"/>
      <c r="E1822" s="11">
        <f t="shared" si="141"/>
        <v>22</v>
      </c>
      <c r="F1822" s="12">
        <f t="shared" si="142"/>
        <v>50</v>
      </c>
      <c r="G1822" s="12" t="str">
        <f t="shared" si="143"/>
        <v>OK</v>
      </c>
      <c r="H1822" s="13">
        <f t="shared" si="144"/>
        <v>6</v>
      </c>
      <c r="I1822" s="14">
        <f t="shared" si="140"/>
        <v>1776.2199999999998</v>
      </c>
      <c r="K1822" t="str">
        <f>[1]!revcom(C1822)</f>
        <v>CTGTAG</v>
      </c>
      <c r="L1822">
        <v>6</v>
      </c>
    </row>
    <row r="1823" spans="1:12" ht="15.6" x14ac:dyDescent="0.3">
      <c r="A1823" s="9">
        <v>1812</v>
      </c>
      <c r="B1823" s="1"/>
      <c r="C1823" s="2" t="s">
        <v>1818</v>
      </c>
      <c r="D1823" s="1"/>
      <c r="E1823" s="11">
        <f t="shared" si="141"/>
        <v>16</v>
      </c>
      <c r="F1823" s="12">
        <f t="shared" si="142"/>
        <v>33.333333333333329</v>
      </c>
      <c r="G1823" s="12" t="str">
        <f t="shared" si="143"/>
        <v>OK</v>
      </c>
      <c r="H1823" s="13">
        <f t="shared" si="144"/>
        <v>6</v>
      </c>
      <c r="I1823" s="14">
        <f t="shared" si="140"/>
        <v>1751.1999999999998</v>
      </c>
      <c r="K1823" t="str">
        <f>[1]!revcom(C1823)</f>
        <v>ATGTAG</v>
      </c>
      <c r="L1823">
        <v>5</v>
      </c>
    </row>
    <row r="1824" spans="1:12" ht="15.6" x14ac:dyDescent="0.3">
      <c r="A1824" s="9">
        <v>1813</v>
      </c>
      <c r="B1824" s="1"/>
      <c r="C1824" s="2" t="s">
        <v>1819</v>
      </c>
      <c r="D1824" s="1"/>
      <c r="E1824" s="11">
        <f t="shared" si="141"/>
        <v>22</v>
      </c>
      <c r="F1824" s="12">
        <f t="shared" si="142"/>
        <v>50</v>
      </c>
      <c r="G1824" s="12" t="str">
        <f t="shared" si="143"/>
        <v>OK</v>
      </c>
      <c r="H1824" s="13">
        <f t="shared" si="144"/>
        <v>6</v>
      </c>
      <c r="I1824" s="14">
        <f t="shared" si="140"/>
        <v>1736.19</v>
      </c>
      <c r="K1824" t="str">
        <f>[1]!revcom(C1824)</f>
        <v>TGGTAG</v>
      </c>
      <c r="L1824">
        <v>6</v>
      </c>
    </row>
    <row r="1825" spans="1:12" ht="15.6" x14ac:dyDescent="0.3">
      <c r="A1825" s="9">
        <v>1814</v>
      </c>
      <c r="B1825" s="1"/>
      <c r="C1825" s="2" t="s">
        <v>1820</v>
      </c>
      <c r="D1825" s="1"/>
      <c r="E1825" s="11">
        <f t="shared" si="141"/>
        <v>20</v>
      </c>
      <c r="F1825" s="12">
        <f t="shared" si="142"/>
        <v>66.666666666666657</v>
      </c>
      <c r="G1825" s="12" t="str">
        <f t="shared" si="143"/>
        <v>Warning</v>
      </c>
      <c r="H1825" s="13">
        <f t="shared" si="144"/>
        <v>6</v>
      </c>
      <c r="I1825" s="14">
        <f t="shared" si="140"/>
        <v>1712.1599999999999</v>
      </c>
      <c r="K1825" t="str">
        <f>[1]!revcom(C1825)</f>
        <v>GGGTAG</v>
      </c>
      <c r="L1825">
        <v>6</v>
      </c>
    </row>
    <row r="1826" spans="1:12" ht="15.6" x14ac:dyDescent="0.3">
      <c r="A1826" s="9">
        <v>1815</v>
      </c>
      <c r="B1826" s="1"/>
      <c r="C1826" s="2" t="s">
        <v>1821</v>
      </c>
      <c r="D1826" s="1"/>
      <c r="E1826" s="11">
        <f t="shared" si="141"/>
        <v>20</v>
      </c>
      <c r="F1826" s="12">
        <f t="shared" si="142"/>
        <v>66.666666666666657</v>
      </c>
      <c r="G1826" s="12" t="str">
        <f t="shared" si="143"/>
        <v>Warning</v>
      </c>
      <c r="H1826" s="13">
        <f t="shared" si="144"/>
        <v>6</v>
      </c>
      <c r="I1826" s="14">
        <f t="shared" si="140"/>
        <v>1752.19</v>
      </c>
      <c r="K1826" t="str">
        <f>[1]!revcom(C1826)</f>
        <v>CGGTAG</v>
      </c>
      <c r="L1826">
        <v>6</v>
      </c>
    </row>
    <row r="1827" spans="1:12" ht="15.6" x14ac:dyDescent="0.3">
      <c r="A1827" s="9">
        <v>1816</v>
      </c>
      <c r="B1827" s="1"/>
      <c r="C1827" s="2" t="s">
        <v>1822</v>
      </c>
      <c r="D1827" s="1"/>
      <c r="E1827" s="11">
        <f t="shared" si="141"/>
        <v>14</v>
      </c>
      <c r="F1827" s="12">
        <f t="shared" si="142"/>
        <v>50</v>
      </c>
      <c r="G1827" s="12" t="str">
        <f t="shared" si="143"/>
        <v>OK</v>
      </c>
      <c r="H1827" s="13">
        <f t="shared" si="144"/>
        <v>6</v>
      </c>
      <c r="I1827" s="14">
        <f t="shared" si="140"/>
        <v>1727.17</v>
      </c>
      <c r="K1827" t="str">
        <f>[1]!revcom(C1827)</f>
        <v>AGGTAG</v>
      </c>
      <c r="L1827">
        <v>5</v>
      </c>
    </row>
    <row r="1828" spans="1:12" ht="15.6" x14ac:dyDescent="0.3">
      <c r="A1828" s="9">
        <v>1817</v>
      </c>
      <c r="B1828" s="1"/>
      <c r="C1828" s="2" t="s">
        <v>1823</v>
      </c>
      <c r="D1828" s="1"/>
      <c r="E1828" s="11">
        <f t="shared" si="141"/>
        <v>22</v>
      </c>
      <c r="F1828" s="12">
        <f t="shared" si="142"/>
        <v>50</v>
      </c>
      <c r="G1828" s="12" t="str">
        <f t="shared" si="143"/>
        <v>OK</v>
      </c>
      <c r="H1828" s="13">
        <f t="shared" si="144"/>
        <v>6</v>
      </c>
      <c r="I1828" s="14">
        <f t="shared" si="140"/>
        <v>1776.2199999999998</v>
      </c>
      <c r="K1828" t="str">
        <f>[1]!revcom(C1828)</f>
        <v>TCGTAG</v>
      </c>
      <c r="L1828">
        <v>6</v>
      </c>
    </row>
    <row r="1829" spans="1:12" ht="15.6" x14ac:dyDescent="0.3">
      <c r="A1829" s="9">
        <v>1818</v>
      </c>
      <c r="B1829" s="1"/>
      <c r="C1829" s="2" t="s">
        <v>1824</v>
      </c>
      <c r="D1829" s="1"/>
      <c r="E1829" s="11">
        <f t="shared" si="141"/>
        <v>20</v>
      </c>
      <c r="F1829" s="12">
        <f t="shared" si="142"/>
        <v>66.666666666666657</v>
      </c>
      <c r="G1829" s="12" t="str">
        <f t="shared" si="143"/>
        <v>Warning</v>
      </c>
      <c r="H1829" s="13">
        <f t="shared" si="144"/>
        <v>6</v>
      </c>
      <c r="I1829" s="14">
        <f t="shared" si="140"/>
        <v>1752.19</v>
      </c>
      <c r="K1829" t="str">
        <f>[1]!revcom(C1829)</f>
        <v>GCGTAG</v>
      </c>
      <c r="L1829">
        <v>6</v>
      </c>
    </row>
    <row r="1830" spans="1:12" ht="15.6" x14ac:dyDescent="0.3">
      <c r="A1830" s="9">
        <v>1819</v>
      </c>
      <c r="B1830" s="1"/>
      <c r="C1830" s="2" t="s">
        <v>1825</v>
      </c>
      <c r="D1830" s="1"/>
      <c r="E1830" s="11">
        <f t="shared" si="141"/>
        <v>20</v>
      </c>
      <c r="F1830" s="12">
        <f t="shared" si="142"/>
        <v>66.666666666666657</v>
      </c>
      <c r="G1830" s="12" t="str">
        <f t="shared" si="143"/>
        <v>Warning</v>
      </c>
      <c r="H1830" s="13">
        <f t="shared" si="144"/>
        <v>6</v>
      </c>
      <c r="I1830" s="14">
        <f t="shared" si="140"/>
        <v>1792.2199999999998</v>
      </c>
      <c r="K1830" t="str">
        <f>[1]!revcom(C1830)</f>
        <v>CCGTAG</v>
      </c>
      <c r="L1830">
        <v>6</v>
      </c>
    </row>
    <row r="1831" spans="1:12" ht="15.6" x14ac:dyDescent="0.3">
      <c r="A1831" s="9">
        <v>1820</v>
      </c>
      <c r="B1831" s="1"/>
      <c r="C1831" s="2" t="s">
        <v>1826</v>
      </c>
      <c r="D1831" s="1"/>
      <c r="E1831" s="11">
        <f t="shared" si="141"/>
        <v>14</v>
      </c>
      <c r="F1831" s="12">
        <f t="shared" si="142"/>
        <v>50</v>
      </c>
      <c r="G1831" s="12" t="str">
        <f t="shared" si="143"/>
        <v>OK</v>
      </c>
      <c r="H1831" s="13">
        <f t="shared" si="144"/>
        <v>6</v>
      </c>
      <c r="I1831" s="14">
        <f t="shared" si="140"/>
        <v>1767.1999999999998</v>
      </c>
      <c r="K1831" t="str">
        <f>[1]!revcom(C1831)</f>
        <v>ACGTAG</v>
      </c>
      <c r="L1831">
        <v>5</v>
      </c>
    </row>
    <row r="1832" spans="1:12" ht="15.6" x14ac:dyDescent="0.3">
      <c r="A1832" s="9">
        <v>1821</v>
      </c>
      <c r="B1832" s="1"/>
      <c r="C1832" s="2" t="s">
        <v>1827</v>
      </c>
      <c r="D1832" s="1"/>
      <c r="E1832" s="11">
        <f t="shared" si="141"/>
        <v>16</v>
      </c>
      <c r="F1832" s="12">
        <f t="shared" si="142"/>
        <v>33.333333333333329</v>
      </c>
      <c r="G1832" s="12" t="str">
        <f t="shared" si="143"/>
        <v>OK</v>
      </c>
      <c r="H1832" s="13">
        <f t="shared" si="144"/>
        <v>6</v>
      </c>
      <c r="I1832" s="14">
        <f t="shared" si="140"/>
        <v>1751.1999999999998</v>
      </c>
      <c r="K1832" t="str">
        <f>[1]!revcom(C1832)</f>
        <v>TAGTAG</v>
      </c>
      <c r="L1832">
        <v>5</v>
      </c>
    </row>
    <row r="1833" spans="1:12" ht="15.6" x14ac:dyDescent="0.3">
      <c r="A1833" s="9">
        <v>1822</v>
      </c>
      <c r="B1833" s="1"/>
      <c r="C1833" s="2" t="s">
        <v>1828</v>
      </c>
      <c r="D1833" s="1"/>
      <c r="E1833" s="11">
        <f t="shared" si="141"/>
        <v>14</v>
      </c>
      <c r="F1833" s="12">
        <f t="shared" si="142"/>
        <v>50</v>
      </c>
      <c r="G1833" s="12" t="str">
        <f t="shared" si="143"/>
        <v>OK</v>
      </c>
      <c r="H1833" s="13">
        <f t="shared" si="144"/>
        <v>6</v>
      </c>
      <c r="I1833" s="14">
        <f t="shared" si="140"/>
        <v>1727.17</v>
      </c>
      <c r="K1833" t="str">
        <f>[1]!revcom(C1833)</f>
        <v>GAGTAG</v>
      </c>
      <c r="L1833">
        <v>5</v>
      </c>
    </row>
    <row r="1834" spans="1:12" ht="15.6" x14ac:dyDescent="0.3">
      <c r="A1834" s="9">
        <v>1823</v>
      </c>
      <c r="B1834" s="1"/>
      <c r="C1834" s="2" t="s">
        <v>1829</v>
      </c>
      <c r="D1834" s="1"/>
      <c r="E1834" s="11">
        <f t="shared" si="141"/>
        <v>14</v>
      </c>
      <c r="F1834" s="12">
        <f t="shared" si="142"/>
        <v>50</v>
      </c>
      <c r="G1834" s="12" t="str">
        <f t="shared" si="143"/>
        <v>OK</v>
      </c>
      <c r="H1834" s="13">
        <f t="shared" si="144"/>
        <v>6</v>
      </c>
      <c r="I1834" s="14">
        <f t="shared" si="140"/>
        <v>1767.1999999999998</v>
      </c>
      <c r="K1834" t="str">
        <f>[1]!revcom(C1834)</f>
        <v>CAGTAG</v>
      </c>
      <c r="L1834">
        <v>5</v>
      </c>
    </row>
    <row r="1835" spans="1:12" ht="15.6" x14ac:dyDescent="0.3">
      <c r="A1835" s="9">
        <v>1824</v>
      </c>
      <c r="B1835" s="1"/>
      <c r="C1835" s="2" t="s">
        <v>1830</v>
      </c>
      <c r="D1835" s="1"/>
      <c r="E1835" s="11">
        <f t="shared" si="141"/>
        <v>8</v>
      </c>
      <c r="F1835" s="12">
        <f t="shared" si="142"/>
        <v>33.333333333333329</v>
      </c>
      <c r="G1835" s="12" t="str">
        <f t="shared" si="143"/>
        <v>OK</v>
      </c>
      <c r="H1835" s="13">
        <f t="shared" si="144"/>
        <v>6</v>
      </c>
      <c r="I1835" s="14">
        <f t="shared" si="140"/>
        <v>1742.1799999999998</v>
      </c>
      <c r="K1835" t="str">
        <f>[1]!revcom(C1835)</f>
        <v>AAGTAG</v>
      </c>
      <c r="L1835">
        <v>4</v>
      </c>
    </row>
    <row r="1836" spans="1:12" ht="15.6" x14ac:dyDescent="0.3">
      <c r="A1836" s="9">
        <v>1825</v>
      </c>
      <c r="B1836" s="1"/>
      <c r="C1836" s="2" t="s">
        <v>1831</v>
      </c>
      <c r="D1836" s="1"/>
      <c r="E1836" s="11">
        <f t="shared" si="141"/>
        <v>24</v>
      </c>
      <c r="F1836" s="12">
        <f t="shared" si="142"/>
        <v>33.333333333333329</v>
      </c>
      <c r="G1836" s="12" t="str">
        <f t="shared" si="143"/>
        <v>OK</v>
      </c>
      <c r="H1836" s="13">
        <f t="shared" si="144"/>
        <v>6</v>
      </c>
      <c r="I1836" s="14">
        <f t="shared" si="140"/>
        <v>1800.25</v>
      </c>
      <c r="K1836" t="str">
        <f>[1]!revcom(C1836)</f>
        <v>TTCTAG</v>
      </c>
      <c r="L1836">
        <v>6</v>
      </c>
    </row>
    <row r="1837" spans="1:12" ht="15.6" x14ac:dyDescent="0.3">
      <c r="A1837" s="9">
        <v>1826</v>
      </c>
      <c r="B1837" s="1"/>
      <c r="C1837" s="2" t="s">
        <v>1832</v>
      </c>
      <c r="D1837" s="1"/>
      <c r="E1837" s="11">
        <f t="shared" si="141"/>
        <v>22</v>
      </c>
      <c r="F1837" s="12">
        <f t="shared" si="142"/>
        <v>50</v>
      </c>
      <c r="G1837" s="12" t="str">
        <f t="shared" si="143"/>
        <v>OK</v>
      </c>
      <c r="H1837" s="13">
        <f t="shared" si="144"/>
        <v>6</v>
      </c>
      <c r="I1837" s="14">
        <f t="shared" si="140"/>
        <v>1776.2199999999998</v>
      </c>
      <c r="K1837" t="str">
        <f>[1]!revcom(C1837)</f>
        <v>GTCTAG</v>
      </c>
      <c r="L1837">
        <v>6</v>
      </c>
    </row>
    <row r="1838" spans="1:12" ht="15.6" x14ac:dyDescent="0.3">
      <c r="A1838" s="9">
        <v>1827</v>
      </c>
      <c r="B1838" s="1"/>
      <c r="C1838" s="2" t="s">
        <v>1833</v>
      </c>
      <c r="D1838" s="1"/>
      <c r="E1838" s="11">
        <f t="shared" si="141"/>
        <v>22</v>
      </c>
      <c r="F1838" s="12">
        <f t="shared" si="142"/>
        <v>50</v>
      </c>
      <c r="G1838" s="12" t="str">
        <f t="shared" si="143"/>
        <v>OK</v>
      </c>
      <c r="H1838" s="13">
        <f t="shared" si="144"/>
        <v>6</v>
      </c>
      <c r="I1838" s="14">
        <f t="shared" si="140"/>
        <v>1816.25</v>
      </c>
      <c r="K1838" t="str">
        <f>[1]!revcom(C1838)</f>
        <v>CTCTAG</v>
      </c>
      <c r="L1838">
        <v>6</v>
      </c>
    </row>
    <row r="1839" spans="1:12" ht="15.6" x14ac:dyDescent="0.3">
      <c r="A1839" s="9">
        <v>1828</v>
      </c>
      <c r="B1839" s="1"/>
      <c r="C1839" s="2" t="s">
        <v>1834</v>
      </c>
      <c r="D1839" s="1"/>
      <c r="E1839" s="11">
        <f t="shared" si="141"/>
        <v>16</v>
      </c>
      <c r="F1839" s="12">
        <f t="shared" si="142"/>
        <v>33.333333333333329</v>
      </c>
      <c r="G1839" s="12" t="str">
        <f t="shared" si="143"/>
        <v>OK</v>
      </c>
      <c r="H1839" s="13">
        <f t="shared" si="144"/>
        <v>6</v>
      </c>
      <c r="I1839" s="14">
        <f t="shared" si="140"/>
        <v>1791.23</v>
      </c>
      <c r="K1839" t="str">
        <f>[1]!revcom(C1839)</f>
        <v>ATCTAG</v>
      </c>
      <c r="L1839">
        <v>5</v>
      </c>
    </row>
    <row r="1840" spans="1:12" ht="15.6" x14ac:dyDescent="0.3">
      <c r="A1840" s="9">
        <v>1829</v>
      </c>
      <c r="B1840" s="1"/>
      <c r="C1840" s="2" t="s">
        <v>1835</v>
      </c>
      <c r="D1840" s="1"/>
      <c r="E1840" s="11">
        <f t="shared" si="141"/>
        <v>22</v>
      </c>
      <c r="F1840" s="12">
        <f t="shared" si="142"/>
        <v>50</v>
      </c>
      <c r="G1840" s="12" t="str">
        <f t="shared" si="143"/>
        <v>OK</v>
      </c>
      <c r="H1840" s="13">
        <f t="shared" si="144"/>
        <v>6</v>
      </c>
      <c r="I1840" s="14">
        <f t="shared" si="140"/>
        <v>1776.2199999999998</v>
      </c>
      <c r="K1840" t="str">
        <f>[1]!revcom(C1840)</f>
        <v>TGCTAG</v>
      </c>
      <c r="L1840">
        <v>6</v>
      </c>
    </row>
    <row r="1841" spans="1:12" ht="15.6" x14ac:dyDescent="0.3">
      <c r="A1841" s="9">
        <v>1830</v>
      </c>
      <c r="B1841" s="1"/>
      <c r="C1841" s="2" t="s">
        <v>1836</v>
      </c>
      <c r="D1841" s="1"/>
      <c r="E1841" s="11">
        <f t="shared" si="141"/>
        <v>20</v>
      </c>
      <c r="F1841" s="12">
        <f t="shared" si="142"/>
        <v>66.666666666666657</v>
      </c>
      <c r="G1841" s="12" t="str">
        <f t="shared" si="143"/>
        <v>Warning</v>
      </c>
      <c r="H1841" s="13">
        <f t="shared" si="144"/>
        <v>6</v>
      </c>
      <c r="I1841" s="14">
        <f t="shared" si="140"/>
        <v>1752.19</v>
      </c>
      <c r="K1841" t="str">
        <f>[1]!revcom(C1841)</f>
        <v>GGCTAG</v>
      </c>
      <c r="L1841">
        <v>6</v>
      </c>
    </row>
    <row r="1842" spans="1:12" ht="15.6" x14ac:dyDescent="0.3">
      <c r="A1842" s="9">
        <v>1831</v>
      </c>
      <c r="B1842" s="1"/>
      <c r="C1842" s="2" t="s">
        <v>1837</v>
      </c>
      <c r="D1842" s="1"/>
      <c r="E1842" s="11">
        <f t="shared" si="141"/>
        <v>20</v>
      </c>
      <c r="F1842" s="12">
        <f t="shared" si="142"/>
        <v>66.666666666666657</v>
      </c>
      <c r="G1842" s="12" t="str">
        <f t="shared" si="143"/>
        <v>Warning</v>
      </c>
      <c r="H1842" s="13">
        <f t="shared" si="144"/>
        <v>6</v>
      </c>
      <c r="I1842" s="14">
        <f t="shared" si="140"/>
        <v>1792.2199999999998</v>
      </c>
      <c r="K1842" t="str">
        <f>[1]!revcom(C1842)</f>
        <v>CGCTAG</v>
      </c>
      <c r="L1842">
        <v>6</v>
      </c>
    </row>
    <row r="1843" spans="1:12" ht="15.6" x14ac:dyDescent="0.3">
      <c r="A1843" s="9">
        <v>1832</v>
      </c>
      <c r="B1843" s="1"/>
      <c r="C1843" s="2" t="s">
        <v>1838</v>
      </c>
      <c r="D1843" s="1"/>
      <c r="E1843" s="11">
        <f t="shared" si="141"/>
        <v>14</v>
      </c>
      <c r="F1843" s="12">
        <f t="shared" si="142"/>
        <v>50</v>
      </c>
      <c r="G1843" s="12" t="str">
        <f t="shared" si="143"/>
        <v>OK</v>
      </c>
      <c r="H1843" s="13">
        <f t="shared" si="144"/>
        <v>6</v>
      </c>
      <c r="I1843" s="14">
        <f t="shared" si="140"/>
        <v>1767.1999999999998</v>
      </c>
      <c r="K1843" t="str">
        <f>[1]!revcom(C1843)</f>
        <v>AGCTAG</v>
      </c>
      <c r="L1843">
        <v>5</v>
      </c>
    </row>
    <row r="1844" spans="1:12" ht="15.6" x14ac:dyDescent="0.3">
      <c r="A1844" s="9">
        <v>1833</v>
      </c>
      <c r="B1844" s="1"/>
      <c r="C1844" s="2" t="s">
        <v>1839</v>
      </c>
      <c r="D1844" s="1"/>
      <c r="E1844" s="11">
        <f t="shared" si="141"/>
        <v>22</v>
      </c>
      <c r="F1844" s="12">
        <f t="shared" si="142"/>
        <v>50</v>
      </c>
      <c r="G1844" s="12" t="str">
        <f t="shared" si="143"/>
        <v>OK</v>
      </c>
      <c r="H1844" s="13">
        <f t="shared" si="144"/>
        <v>6</v>
      </c>
      <c r="I1844" s="14">
        <f t="shared" si="140"/>
        <v>1816.25</v>
      </c>
      <c r="K1844" t="str">
        <f>[1]!revcom(C1844)</f>
        <v>TCCTAG</v>
      </c>
      <c r="L1844">
        <v>6</v>
      </c>
    </row>
    <row r="1845" spans="1:12" ht="15.6" x14ac:dyDescent="0.3">
      <c r="A1845" s="9">
        <v>1834</v>
      </c>
      <c r="B1845" s="1"/>
      <c r="C1845" s="2" t="s">
        <v>1840</v>
      </c>
      <c r="D1845" s="1"/>
      <c r="E1845" s="11">
        <f t="shared" si="141"/>
        <v>20</v>
      </c>
      <c r="F1845" s="12">
        <f t="shared" si="142"/>
        <v>66.666666666666657</v>
      </c>
      <c r="G1845" s="12" t="str">
        <f t="shared" si="143"/>
        <v>Warning</v>
      </c>
      <c r="H1845" s="13">
        <f t="shared" si="144"/>
        <v>6</v>
      </c>
      <c r="I1845" s="14">
        <f t="shared" si="140"/>
        <v>1792.2199999999998</v>
      </c>
      <c r="K1845" t="str">
        <f>[1]!revcom(C1845)</f>
        <v>GCCTAG</v>
      </c>
      <c r="L1845">
        <v>6</v>
      </c>
    </row>
    <row r="1846" spans="1:12" ht="15.6" x14ac:dyDescent="0.3">
      <c r="A1846" s="9">
        <v>1835</v>
      </c>
      <c r="B1846" s="1"/>
      <c r="C1846" s="2" t="s">
        <v>1841</v>
      </c>
      <c r="D1846" s="1"/>
      <c r="E1846" s="11">
        <f t="shared" si="141"/>
        <v>20</v>
      </c>
      <c r="F1846" s="12">
        <f t="shared" si="142"/>
        <v>66.666666666666657</v>
      </c>
      <c r="G1846" s="12" t="str">
        <f t="shared" si="143"/>
        <v>Warning</v>
      </c>
      <c r="H1846" s="13">
        <f t="shared" si="144"/>
        <v>6</v>
      </c>
      <c r="I1846" s="14">
        <f t="shared" si="140"/>
        <v>1832.25</v>
      </c>
      <c r="K1846" t="str">
        <f>[1]!revcom(C1846)</f>
        <v>CCCTAG</v>
      </c>
      <c r="L1846">
        <v>6</v>
      </c>
    </row>
    <row r="1847" spans="1:12" ht="15.6" x14ac:dyDescent="0.3">
      <c r="A1847" s="9">
        <v>1836</v>
      </c>
      <c r="B1847" s="1"/>
      <c r="C1847" s="2" t="s">
        <v>1842</v>
      </c>
      <c r="D1847" s="1"/>
      <c r="E1847" s="11">
        <f t="shared" si="141"/>
        <v>14</v>
      </c>
      <c r="F1847" s="12">
        <f t="shared" si="142"/>
        <v>50</v>
      </c>
      <c r="G1847" s="12" t="str">
        <f t="shared" si="143"/>
        <v>OK</v>
      </c>
      <c r="H1847" s="13">
        <f t="shared" si="144"/>
        <v>6</v>
      </c>
      <c r="I1847" s="14">
        <f t="shared" si="140"/>
        <v>1807.23</v>
      </c>
      <c r="K1847" t="str">
        <f>[1]!revcom(C1847)</f>
        <v>ACCTAG</v>
      </c>
      <c r="L1847">
        <v>5</v>
      </c>
    </row>
    <row r="1848" spans="1:12" ht="15.6" x14ac:dyDescent="0.3">
      <c r="A1848" s="9">
        <v>1837</v>
      </c>
      <c r="B1848" s="1"/>
      <c r="C1848" s="2" t="s">
        <v>1843</v>
      </c>
      <c r="D1848" s="1"/>
      <c r="E1848" s="11">
        <f t="shared" si="141"/>
        <v>16</v>
      </c>
      <c r="F1848" s="12">
        <f t="shared" si="142"/>
        <v>33.333333333333329</v>
      </c>
      <c r="G1848" s="12" t="str">
        <f t="shared" si="143"/>
        <v>OK</v>
      </c>
      <c r="H1848" s="13">
        <f t="shared" si="144"/>
        <v>6</v>
      </c>
      <c r="I1848" s="14">
        <f t="shared" si="140"/>
        <v>1791.23</v>
      </c>
      <c r="K1848" t="str">
        <f>[1]!revcom(C1848)</f>
        <v>TACTAG</v>
      </c>
      <c r="L1848">
        <v>5</v>
      </c>
    </row>
    <row r="1849" spans="1:12" ht="15.6" x14ac:dyDescent="0.3">
      <c r="A1849" s="9">
        <v>1838</v>
      </c>
      <c r="B1849" s="1"/>
      <c r="C1849" s="2" t="s">
        <v>1844</v>
      </c>
      <c r="D1849" s="1"/>
      <c r="E1849" s="11">
        <f t="shared" si="141"/>
        <v>14</v>
      </c>
      <c r="F1849" s="12">
        <f t="shared" si="142"/>
        <v>50</v>
      </c>
      <c r="G1849" s="12" t="str">
        <f t="shared" si="143"/>
        <v>OK</v>
      </c>
      <c r="H1849" s="13">
        <f t="shared" si="144"/>
        <v>6</v>
      </c>
      <c r="I1849" s="14">
        <f t="shared" si="140"/>
        <v>1767.1999999999998</v>
      </c>
      <c r="K1849" t="str">
        <f>[1]!revcom(C1849)</f>
        <v>GACTAG</v>
      </c>
      <c r="L1849">
        <v>5</v>
      </c>
    </row>
    <row r="1850" spans="1:12" ht="15.6" x14ac:dyDescent="0.3">
      <c r="A1850" s="9">
        <v>1839</v>
      </c>
      <c r="B1850" s="1"/>
      <c r="C1850" s="2" t="s">
        <v>1845</v>
      </c>
      <c r="D1850" s="1"/>
      <c r="E1850" s="11">
        <f t="shared" si="141"/>
        <v>14</v>
      </c>
      <c r="F1850" s="12">
        <f t="shared" si="142"/>
        <v>50</v>
      </c>
      <c r="G1850" s="12" t="str">
        <f t="shared" si="143"/>
        <v>OK</v>
      </c>
      <c r="H1850" s="13">
        <f t="shared" si="144"/>
        <v>6</v>
      </c>
      <c r="I1850" s="14">
        <f t="shared" si="140"/>
        <v>1807.23</v>
      </c>
      <c r="K1850" t="str">
        <f>[1]!revcom(C1850)</f>
        <v>CACTAG</v>
      </c>
      <c r="L1850">
        <v>5</v>
      </c>
    </row>
    <row r="1851" spans="1:12" ht="15.6" x14ac:dyDescent="0.3">
      <c r="A1851" s="9">
        <v>1840</v>
      </c>
      <c r="B1851" s="1"/>
      <c r="C1851" s="2" t="s">
        <v>1846</v>
      </c>
      <c r="D1851" s="1"/>
      <c r="E1851" s="11">
        <f t="shared" si="141"/>
        <v>8</v>
      </c>
      <c r="F1851" s="12">
        <f t="shared" si="142"/>
        <v>33.333333333333329</v>
      </c>
      <c r="G1851" s="12" t="str">
        <f t="shared" si="143"/>
        <v>OK</v>
      </c>
      <c r="H1851" s="13">
        <f t="shared" si="144"/>
        <v>6</v>
      </c>
      <c r="I1851" s="14">
        <f t="shared" si="140"/>
        <v>1782.21</v>
      </c>
      <c r="K1851" t="str">
        <f>[1]!revcom(C1851)</f>
        <v>AACTAG</v>
      </c>
      <c r="L1851">
        <v>4</v>
      </c>
    </row>
    <row r="1852" spans="1:12" ht="15.6" x14ac:dyDescent="0.3">
      <c r="A1852" s="9">
        <v>1841</v>
      </c>
      <c r="B1852" s="1"/>
      <c r="C1852" s="2" t="s">
        <v>1847</v>
      </c>
      <c r="D1852" s="1"/>
      <c r="E1852" s="11">
        <f t="shared" si="141"/>
        <v>18</v>
      </c>
      <c r="F1852" s="12">
        <f t="shared" si="142"/>
        <v>16.666666666666664</v>
      </c>
      <c r="G1852" s="12" t="str">
        <f t="shared" si="143"/>
        <v>OK</v>
      </c>
      <c r="H1852" s="13">
        <f t="shared" si="144"/>
        <v>6</v>
      </c>
      <c r="I1852" s="14">
        <f t="shared" si="140"/>
        <v>1775.23</v>
      </c>
      <c r="K1852" t="str">
        <f>[1]!revcom(C1852)</f>
        <v>TTATAG</v>
      </c>
      <c r="L1852">
        <v>5</v>
      </c>
    </row>
    <row r="1853" spans="1:12" ht="15.6" x14ac:dyDescent="0.3">
      <c r="A1853" s="9">
        <v>1842</v>
      </c>
      <c r="B1853" s="1"/>
      <c r="C1853" s="2" t="s">
        <v>1848</v>
      </c>
      <c r="D1853" s="1"/>
      <c r="E1853" s="11">
        <f t="shared" si="141"/>
        <v>16</v>
      </c>
      <c r="F1853" s="12">
        <f t="shared" si="142"/>
        <v>33.333333333333329</v>
      </c>
      <c r="G1853" s="12" t="str">
        <f t="shared" si="143"/>
        <v>OK</v>
      </c>
      <c r="H1853" s="13">
        <f t="shared" si="144"/>
        <v>6</v>
      </c>
      <c r="I1853" s="14">
        <f t="shared" si="140"/>
        <v>1751.1999999999998</v>
      </c>
      <c r="K1853" t="str">
        <f>[1]!revcom(C1853)</f>
        <v>GTATAG</v>
      </c>
      <c r="L1853">
        <v>5</v>
      </c>
    </row>
    <row r="1854" spans="1:12" ht="15.6" x14ac:dyDescent="0.3">
      <c r="A1854" s="9">
        <v>1843</v>
      </c>
      <c r="B1854" s="1"/>
      <c r="C1854" s="2" t="s">
        <v>1849</v>
      </c>
      <c r="D1854" s="1"/>
      <c r="E1854" s="11">
        <f t="shared" si="141"/>
        <v>16</v>
      </c>
      <c r="F1854" s="12">
        <f t="shared" si="142"/>
        <v>33.333333333333329</v>
      </c>
      <c r="G1854" s="12" t="str">
        <f t="shared" si="143"/>
        <v>OK</v>
      </c>
      <c r="H1854" s="13">
        <f t="shared" si="144"/>
        <v>6</v>
      </c>
      <c r="I1854" s="14">
        <f t="shared" si="140"/>
        <v>1791.23</v>
      </c>
      <c r="K1854" t="str">
        <f>[1]!revcom(C1854)</f>
        <v>CTATAG</v>
      </c>
      <c r="L1854">
        <v>5</v>
      </c>
    </row>
    <row r="1855" spans="1:12" ht="15.6" x14ac:dyDescent="0.3">
      <c r="A1855" s="9">
        <v>1844</v>
      </c>
      <c r="B1855" s="1"/>
      <c r="C1855" s="2" t="s">
        <v>1850</v>
      </c>
      <c r="D1855" s="1"/>
      <c r="E1855" s="11">
        <f t="shared" si="141"/>
        <v>10</v>
      </c>
      <c r="F1855" s="12">
        <f t="shared" si="142"/>
        <v>16.666666666666664</v>
      </c>
      <c r="G1855" s="12" t="str">
        <f t="shared" si="143"/>
        <v>OK</v>
      </c>
      <c r="H1855" s="13">
        <f t="shared" si="144"/>
        <v>6</v>
      </c>
      <c r="I1855" s="14">
        <f t="shared" si="140"/>
        <v>1766.21</v>
      </c>
      <c r="K1855" t="str">
        <f>[1]!revcom(C1855)</f>
        <v>ATATAG</v>
      </c>
      <c r="L1855">
        <v>4</v>
      </c>
    </row>
    <row r="1856" spans="1:12" ht="15.6" x14ac:dyDescent="0.3">
      <c r="A1856" s="9">
        <v>1845</v>
      </c>
      <c r="B1856" s="1"/>
      <c r="C1856" s="2" t="s">
        <v>1851</v>
      </c>
      <c r="D1856" s="1"/>
      <c r="E1856" s="11">
        <f t="shared" si="141"/>
        <v>16</v>
      </c>
      <c r="F1856" s="12">
        <f t="shared" si="142"/>
        <v>33.333333333333329</v>
      </c>
      <c r="G1856" s="12" t="str">
        <f t="shared" si="143"/>
        <v>OK</v>
      </c>
      <c r="H1856" s="13">
        <f t="shared" si="144"/>
        <v>6</v>
      </c>
      <c r="I1856" s="14">
        <f t="shared" si="140"/>
        <v>1751.1999999999998</v>
      </c>
      <c r="K1856" t="str">
        <f>[1]!revcom(C1856)</f>
        <v>TGATAG</v>
      </c>
      <c r="L1856">
        <v>5</v>
      </c>
    </row>
    <row r="1857" spans="1:12" ht="15.6" x14ac:dyDescent="0.3">
      <c r="A1857" s="9">
        <v>1846</v>
      </c>
      <c r="B1857" s="1"/>
      <c r="C1857" s="2" t="s">
        <v>1852</v>
      </c>
      <c r="D1857" s="1"/>
      <c r="E1857" s="11">
        <f t="shared" si="141"/>
        <v>14</v>
      </c>
      <c r="F1857" s="12">
        <f t="shared" si="142"/>
        <v>50</v>
      </c>
      <c r="G1857" s="12" t="str">
        <f t="shared" si="143"/>
        <v>OK</v>
      </c>
      <c r="H1857" s="13">
        <f t="shared" si="144"/>
        <v>6</v>
      </c>
      <c r="I1857" s="14">
        <f t="shared" si="140"/>
        <v>1727.17</v>
      </c>
      <c r="K1857" t="str">
        <f>[1]!revcom(C1857)</f>
        <v>GGATAG</v>
      </c>
      <c r="L1857">
        <v>5</v>
      </c>
    </row>
    <row r="1858" spans="1:12" ht="15.6" x14ac:dyDescent="0.3">
      <c r="A1858" s="9">
        <v>1847</v>
      </c>
      <c r="B1858" s="1"/>
      <c r="C1858" s="2" t="s">
        <v>1853</v>
      </c>
      <c r="D1858" s="1"/>
      <c r="E1858" s="11">
        <f t="shared" si="141"/>
        <v>14</v>
      </c>
      <c r="F1858" s="12">
        <f t="shared" si="142"/>
        <v>50</v>
      </c>
      <c r="G1858" s="12" t="str">
        <f t="shared" si="143"/>
        <v>OK</v>
      </c>
      <c r="H1858" s="13">
        <f t="shared" si="144"/>
        <v>6</v>
      </c>
      <c r="I1858" s="14">
        <f t="shared" si="140"/>
        <v>1767.1999999999998</v>
      </c>
      <c r="K1858" t="str">
        <f>[1]!revcom(C1858)</f>
        <v>CGATAG</v>
      </c>
      <c r="L1858">
        <v>5</v>
      </c>
    </row>
    <row r="1859" spans="1:12" ht="15.6" x14ac:dyDescent="0.3">
      <c r="A1859" s="9">
        <v>1848</v>
      </c>
      <c r="B1859" s="1"/>
      <c r="C1859" s="2" t="s">
        <v>1854</v>
      </c>
      <c r="D1859" s="1"/>
      <c r="E1859" s="11">
        <f t="shared" si="141"/>
        <v>8</v>
      </c>
      <c r="F1859" s="12">
        <f t="shared" si="142"/>
        <v>33.333333333333329</v>
      </c>
      <c r="G1859" s="12" t="str">
        <f t="shared" si="143"/>
        <v>OK</v>
      </c>
      <c r="H1859" s="13">
        <f t="shared" si="144"/>
        <v>6</v>
      </c>
      <c r="I1859" s="14">
        <f t="shared" si="140"/>
        <v>1742.1799999999998</v>
      </c>
      <c r="K1859" t="str">
        <f>[1]!revcom(C1859)</f>
        <v>AGATAG</v>
      </c>
      <c r="L1859">
        <v>4</v>
      </c>
    </row>
    <row r="1860" spans="1:12" ht="15.6" x14ac:dyDescent="0.3">
      <c r="A1860" s="9">
        <v>1849</v>
      </c>
      <c r="B1860" s="1"/>
      <c r="C1860" s="2" t="s">
        <v>1855</v>
      </c>
      <c r="D1860" s="1"/>
      <c r="E1860" s="11">
        <f t="shared" si="141"/>
        <v>16</v>
      </c>
      <c r="F1860" s="12">
        <f t="shared" si="142"/>
        <v>33.333333333333329</v>
      </c>
      <c r="G1860" s="12" t="str">
        <f t="shared" si="143"/>
        <v>OK</v>
      </c>
      <c r="H1860" s="13">
        <f t="shared" si="144"/>
        <v>6</v>
      </c>
      <c r="I1860" s="14">
        <f t="shared" si="140"/>
        <v>1791.23</v>
      </c>
      <c r="K1860" t="str">
        <f>[1]!revcom(C1860)</f>
        <v>TCATAG</v>
      </c>
      <c r="L1860">
        <v>5</v>
      </c>
    </row>
    <row r="1861" spans="1:12" ht="15.6" x14ac:dyDescent="0.3">
      <c r="A1861" s="9">
        <v>1850</v>
      </c>
      <c r="B1861" s="1"/>
      <c r="C1861" s="2" t="s">
        <v>1856</v>
      </c>
      <c r="D1861" s="1"/>
      <c r="E1861" s="11">
        <f t="shared" si="141"/>
        <v>14</v>
      </c>
      <c r="F1861" s="12">
        <f t="shared" si="142"/>
        <v>50</v>
      </c>
      <c r="G1861" s="12" t="str">
        <f t="shared" si="143"/>
        <v>OK</v>
      </c>
      <c r="H1861" s="13">
        <f t="shared" si="144"/>
        <v>6</v>
      </c>
      <c r="I1861" s="14">
        <f t="shared" si="140"/>
        <v>1767.1999999999998</v>
      </c>
      <c r="K1861" t="str">
        <f>[1]!revcom(C1861)</f>
        <v>GCATAG</v>
      </c>
      <c r="L1861">
        <v>5</v>
      </c>
    </row>
    <row r="1862" spans="1:12" ht="15.6" x14ac:dyDescent="0.3">
      <c r="A1862" s="9">
        <v>1851</v>
      </c>
      <c r="B1862" s="1"/>
      <c r="C1862" s="2" t="s">
        <v>1857</v>
      </c>
      <c r="D1862" s="1"/>
      <c r="E1862" s="11">
        <f t="shared" si="141"/>
        <v>14</v>
      </c>
      <c r="F1862" s="12">
        <f t="shared" si="142"/>
        <v>50</v>
      </c>
      <c r="G1862" s="12" t="str">
        <f t="shared" si="143"/>
        <v>OK</v>
      </c>
      <c r="H1862" s="13">
        <f t="shared" si="144"/>
        <v>6</v>
      </c>
      <c r="I1862" s="14">
        <f t="shared" si="140"/>
        <v>1807.23</v>
      </c>
      <c r="K1862" t="str">
        <f>[1]!revcom(C1862)</f>
        <v>CCATAG</v>
      </c>
      <c r="L1862">
        <v>5</v>
      </c>
    </row>
    <row r="1863" spans="1:12" ht="15.6" x14ac:dyDescent="0.3">
      <c r="A1863" s="9">
        <v>1852</v>
      </c>
      <c r="B1863" s="1"/>
      <c r="C1863" s="2" t="s">
        <v>1858</v>
      </c>
      <c r="D1863" s="1"/>
      <c r="E1863" s="11">
        <f t="shared" si="141"/>
        <v>8</v>
      </c>
      <c r="F1863" s="12">
        <f t="shared" si="142"/>
        <v>33.333333333333329</v>
      </c>
      <c r="G1863" s="12" t="str">
        <f t="shared" si="143"/>
        <v>OK</v>
      </c>
      <c r="H1863" s="13">
        <f t="shared" si="144"/>
        <v>6</v>
      </c>
      <c r="I1863" s="14">
        <f t="shared" si="140"/>
        <v>1782.21</v>
      </c>
      <c r="K1863" t="str">
        <f>[1]!revcom(C1863)</f>
        <v>ACATAG</v>
      </c>
      <c r="L1863">
        <v>4</v>
      </c>
    </row>
    <row r="1864" spans="1:12" ht="15.6" x14ac:dyDescent="0.3">
      <c r="A1864" s="9">
        <v>1853</v>
      </c>
      <c r="B1864" s="1"/>
      <c r="C1864" s="2" t="s">
        <v>1859</v>
      </c>
      <c r="D1864" s="1"/>
      <c r="E1864" s="11">
        <f t="shared" si="141"/>
        <v>10</v>
      </c>
      <c r="F1864" s="12">
        <f t="shared" si="142"/>
        <v>16.666666666666664</v>
      </c>
      <c r="G1864" s="12" t="str">
        <f t="shared" si="143"/>
        <v>OK</v>
      </c>
      <c r="H1864" s="13">
        <f t="shared" si="144"/>
        <v>6</v>
      </c>
      <c r="I1864" s="14">
        <f t="shared" si="140"/>
        <v>1766.21</v>
      </c>
      <c r="K1864" t="str">
        <f>[1]!revcom(C1864)</f>
        <v>TAATAG</v>
      </c>
      <c r="L1864">
        <v>4</v>
      </c>
    </row>
    <row r="1865" spans="1:12" ht="15.6" x14ac:dyDescent="0.3">
      <c r="A1865" s="9">
        <v>1854</v>
      </c>
      <c r="B1865" s="1"/>
      <c r="C1865" s="2" t="s">
        <v>1860</v>
      </c>
      <c r="D1865" s="1"/>
      <c r="E1865" s="11">
        <f t="shared" si="141"/>
        <v>8</v>
      </c>
      <c r="F1865" s="12">
        <f t="shared" si="142"/>
        <v>33.333333333333329</v>
      </c>
      <c r="G1865" s="12" t="str">
        <f t="shared" si="143"/>
        <v>OK</v>
      </c>
      <c r="H1865" s="13">
        <f t="shared" si="144"/>
        <v>6</v>
      </c>
      <c r="I1865" s="14">
        <f t="shared" si="140"/>
        <v>1742.1799999999998</v>
      </c>
      <c r="K1865" t="str">
        <f>[1]!revcom(C1865)</f>
        <v>GAATAG</v>
      </c>
      <c r="L1865">
        <v>4</v>
      </c>
    </row>
    <row r="1866" spans="1:12" ht="15.6" x14ac:dyDescent="0.3">
      <c r="A1866" s="9">
        <v>1855</v>
      </c>
      <c r="B1866" s="1"/>
      <c r="C1866" s="2" t="s">
        <v>1861</v>
      </c>
      <c r="D1866" s="1"/>
      <c r="E1866" s="11">
        <f t="shared" si="141"/>
        <v>8</v>
      </c>
      <c r="F1866" s="12">
        <f t="shared" si="142"/>
        <v>33.333333333333329</v>
      </c>
      <c r="G1866" s="12" t="str">
        <f t="shared" si="143"/>
        <v>OK</v>
      </c>
      <c r="H1866" s="13">
        <f t="shared" si="144"/>
        <v>6</v>
      </c>
      <c r="I1866" s="14">
        <f t="shared" si="140"/>
        <v>1782.21</v>
      </c>
      <c r="K1866" t="str">
        <f>[1]!revcom(C1866)</f>
        <v>CAATAG</v>
      </c>
      <c r="L1866">
        <v>4</v>
      </c>
    </row>
    <row r="1867" spans="1:12" ht="15.6" x14ac:dyDescent="0.3">
      <c r="A1867" s="9">
        <v>1856</v>
      </c>
      <c r="B1867" s="1"/>
      <c r="C1867" s="2" t="s">
        <v>1862</v>
      </c>
      <c r="D1867" s="1"/>
      <c r="E1867" s="11">
        <f t="shared" si="141"/>
        <v>2</v>
      </c>
      <c r="F1867" s="12">
        <f t="shared" si="142"/>
        <v>16.666666666666664</v>
      </c>
      <c r="G1867" s="12" t="str">
        <f t="shared" si="143"/>
        <v>OK</v>
      </c>
      <c r="H1867" s="13">
        <f t="shared" si="144"/>
        <v>6</v>
      </c>
      <c r="I1867" s="14">
        <f t="shared" si="140"/>
        <v>1757.19</v>
      </c>
      <c r="K1867" t="str">
        <f>[1]!revcom(C1867)</f>
        <v>AAATAG</v>
      </c>
      <c r="L1867">
        <v>3</v>
      </c>
    </row>
    <row r="1868" spans="1:12" ht="15.6" x14ac:dyDescent="0.3">
      <c r="A1868" s="9">
        <v>1857</v>
      </c>
      <c r="B1868" s="1"/>
      <c r="C1868" s="2" t="s">
        <v>1863</v>
      </c>
      <c r="D1868" s="1"/>
      <c r="E1868" s="11">
        <f t="shared" si="141"/>
        <v>24</v>
      </c>
      <c r="F1868" s="12">
        <f t="shared" si="142"/>
        <v>33.333333333333329</v>
      </c>
      <c r="G1868" s="12" t="str">
        <f t="shared" si="143"/>
        <v>OK</v>
      </c>
      <c r="H1868" s="13">
        <f t="shared" si="144"/>
        <v>6</v>
      </c>
      <c r="I1868" s="14">
        <f t="shared" si="140"/>
        <v>1760.2199999999998</v>
      </c>
      <c r="K1868" t="str">
        <f>[1]!revcom(C1868)</f>
        <v>TTTGAG</v>
      </c>
      <c r="L1868">
        <v>6</v>
      </c>
    </row>
    <row r="1869" spans="1:12" ht="15.6" x14ac:dyDescent="0.3">
      <c r="A1869" s="9">
        <v>1858</v>
      </c>
      <c r="B1869" s="1"/>
      <c r="C1869" s="2" t="s">
        <v>1864</v>
      </c>
      <c r="D1869" s="1"/>
      <c r="E1869" s="11">
        <f t="shared" si="141"/>
        <v>22</v>
      </c>
      <c r="F1869" s="12">
        <f t="shared" si="142"/>
        <v>50</v>
      </c>
      <c r="G1869" s="12" t="str">
        <f t="shared" si="143"/>
        <v>OK</v>
      </c>
      <c r="H1869" s="13">
        <f t="shared" si="144"/>
        <v>6</v>
      </c>
      <c r="I1869" s="14">
        <f t="shared" ref="I1869:I1932" si="145">((LEN(C1869)-(LEN(SUBSTITUTE(C1869,"A",""))))*249.23)+((LEN(C1869)-(LEN(SUBSTITUTE(C1869,"T",""))))*240.21)+((LEN(C1869)-(LEN(SUBSTITUTE(C1869,"C",""))))*225.2)+((LEN(C1869)-(LEN(SUBSTITUTE(C1869,"G",""))))*265.23)+(63.98*(LEN(C1869)-1)+(2.02))</f>
        <v>1736.19</v>
      </c>
      <c r="K1869" t="str">
        <f>[1]!revcom(C1869)</f>
        <v>GTTGAG</v>
      </c>
      <c r="L1869">
        <v>6</v>
      </c>
    </row>
    <row r="1870" spans="1:12" ht="15.6" x14ac:dyDescent="0.3">
      <c r="A1870" s="9">
        <v>1859</v>
      </c>
      <c r="B1870" s="1"/>
      <c r="C1870" s="2" t="s">
        <v>1865</v>
      </c>
      <c r="D1870" s="1"/>
      <c r="E1870" s="11">
        <f t="shared" ref="E1870:E1933" si="146">IF(LEN(C1870)&gt;15,(69.3+((41*((LEN(C1870)-(((LEN(C1870)-(LEN(SUBSTITUTE(C1870,"A",""))))+((LEN(C1870)-(LEN(SUBSTITUTE(C1870,"T","")))))))))/(LEN(C1870)))-(650/(LEN(C1870))))),(2*((LEN(C1870)-(((LEN(C1870)-(LEN(SUBSTITUTE(C1870,"C",""))))+((LEN(C1870)-(LEN(SUBSTITUTE(C1870,"G",""))))))))))+(4*((LEN(C1870)-(((LEN(C1870)-(LEN(SUBSTITUTE(C1870,"T",""))))+((LEN(C1870)-(LEN(SUBSTITUTE(C1870,"T","")))))))))))</f>
        <v>22</v>
      </c>
      <c r="F1870" s="12">
        <f t="shared" ref="F1870:F1933" si="147">((LEN(C1870)- LEN(SUBSTITUTE(C1870,"G","")))+(LEN(C1870)- LEN(SUBSTITUTE(C1870,"C",""))) )/LEN(C1870)*100</f>
        <v>50</v>
      </c>
      <c r="G1870" s="12" t="str">
        <f t="shared" ref="G1870:G1933" si="148">IF((-5+((LEN(SUBSTITUTE(RIGHT(C1870,5),"C","")))+((LEN(SUBSTITUTE(RIGHT(C1870,5),"G",""))))))&gt;=3,"OK","Warning")</f>
        <v>OK</v>
      </c>
      <c r="H1870" s="13">
        <f t="shared" ref="H1870:H1933" si="149">LEN(C1870)</f>
        <v>6</v>
      </c>
      <c r="I1870" s="14">
        <f t="shared" si="145"/>
        <v>1776.2199999999998</v>
      </c>
      <c r="K1870" t="str">
        <f>[1]!revcom(C1870)</f>
        <v>CTTGAG</v>
      </c>
      <c r="L1870">
        <v>6</v>
      </c>
    </row>
    <row r="1871" spans="1:12" ht="15.6" x14ac:dyDescent="0.3">
      <c r="A1871" s="9">
        <v>1860</v>
      </c>
      <c r="B1871" s="1"/>
      <c r="C1871" s="2" t="s">
        <v>1866</v>
      </c>
      <c r="D1871" s="1"/>
      <c r="E1871" s="11">
        <f t="shared" si="146"/>
        <v>16</v>
      </c>
      <c r="F1871" s="12">
        <f t="shared" si="147"/>
        <v>33.333333333333329</v>
      </c>
      <c r="G1871" s="12" t="str">
        <f t="shared" si="148"/>
        <v>OK</v>
      </c>
      <c r="H1871" s="13">
        <f t="shared" si="149"/>
        <v>6</v>
      </c>
      <c r="I1871" s="14">
        <f t="shared" si="145"/>
        <v>1751.1999999999998</v>
      </c>
      <c r="K1871" t="str">
        <f>[1]!revcom(C1871)</f>
        <v>ATTGAG</v>
      </c>
      <c r="L1871">
        <v>5</v>
      </c>
    </row>
    <row r="1872" spans="1:12" ht="15.6" x14ac:dyDescent="0.3">
      <c r="A1872" s="9">
        <v>1861</v>
      </c>
      <c r="B1872" s="1"/>
      <c r="C1872" s="2" t="s">
        <v>1867</v>
      </c>
      <c r="D1872" s="1"/>
      <c r="E1872" s="11">
        <f t="shared" si="146"/>
        <v>22</v>
      </c>
      <c r="F1872" s="12">
        <f t="shared" si="147"/>
        <v>50</v>
      </c>
      <c r="G1872" s="12" t="str">
        <f t="shared" si="148"/>
        <v>OK</v>
      </c>
      <c r="H1872" s="13">
        <f t="shared" si="149"/>
        <v>6</v>
      </c>
      <c r="I1872" s="14">
        <f t="shared" si="145"/>
        <v>1736.19</v>
      </c>
      <c r="K1872" t="str">
        <f>[1]!revcom(C1872)</f>
        <v>TGTGAG</v>
      </c>
      <c r="L1872">
        <v>6</v>
      </c>
    </row>
    <row r="1873" spans="1:12" ht="15.6" x14ac:dyDescent="0.3">
      <c r="A1873" s="9">
        <v>1862</v>
      </c>
      <c r="B1873" s="1"/>
      <c r="C1873" s="2" t="s">
        <v>1868</v>
      </c>
      <c r="D1873" s="1"/>
      <c r="E1873" s="11">
        <f t="shared" si="146"/>
        <v>20</v>
      </c>
      <c r="F1873" s="12">
        <f t="shared" si="147"/>
        <v>66.666666666666657</v>
      </c>
      <c r="G1873" s="12" t="str">
        <f t="shared" si="148"/>
        <v>Warning</v>
      </c>
      <c r="H1873" s="13">
        <f t="shared" si="149"/>
        <v>6</v>
      </c>
      <c r="I1873" s="14">
        <f t="shared" si="145"/>
        <v>1712.1599999999999</v>
      </c>
      <c r="K1873" t="str">
        <f>[1]!revcom(C1873)</f>
        <v>GGTGAG</v>
      </c>
      <c r="L1873">
        <v>6</v>
      </c>
    </row>
    <row r="1874" spans="1:12" ht="15.6" x14ac:dyDescent="0.3">
      <c r="A1874" s="9">
        <v>1863</v>
      </c>
      <c r="B1874" s="1"/>
      <c r="C1874" s="2" t="s">
        <v>1869</v>
      </c>
      <c r="D1874" s="1"/>
      <c r="E1874" s="11">
        <f t="shared" si="146"/>
        <v>20</v>
      </c>
      <c r="F1874" s="12">
        <f t="shared" si="147"/>
        <v>66.666666666666657</v>
      </c>
      <c r="G1874" s="12" t="str">
        <f t="shared" si="148"/>
        <v>Warning</v>
      </c>
      <c r="H1874" s="13">
        <f t="shared" si="149"/>
        <v>6</v>
      </c>
      <c r="I1874" s="14">
        <f t="shared" si="145"/>
        <v>1752.19</v>
      </c>
      <c r="K1874" t="str">
        <f>[1]!revcom(C1874)</f>
        <v>CGTGAG</v>
      </c>
      <c r="L1874">
        <v>6</v>
      </c>
    </row>
    <row r="1875" spans="1:12" ht="15.6" x14ac:dyDescent="0.3">
      <c r="A1875" s="9">
        <v>1864</v>
      </c>
      <c r="B1875" s="1"/>
      <c r="C1875" s="2" t="s">
        <v>1870</v>
      </c>
      <c r="D1875" s="1"/>
      <c r="E1875" s="11">
        <f t="shared" si="146"/>
        <v>14</v>
      </c>
      <c r="F1875" s="12">
        <f t="shared" si="147"/>
        <v>50</v>
      </c>
      <c r="G1875" s="12" t="str">
        <f t="shared" si="148"/>
        <v>OK</v>
      </c>
      <c r="H1875" s="13">
        <f t="shared" si="149"/>
        <v>6</v>
      </c>
      <c r="I1875" s="14">
        <f t="shared" si="145"/>
        <v>1727.17</v>
      </c>
      <c r="K1875" t="str">
        <f>[1]!revcom(C1875)</f>
        <v>AGTGAG</v>
      </c>
      <c r="L1875">
        <v>5</v>
      </c>
    </row>
    <row r="1876" spans="1:12" ht="15.6" x14ac:dyDescent="0.3">
      <c r="A1876" s="9">
        <v>1865</v>
      </c>
      <c r="B1876" s="1"/>
      <c r="C1876" s="2" t="s">
        <v>1871</v>
      </c>
      <c r="D1876" s="1"/>
      <c r="E1876" s="11">
        <f t="shared" si="146"/>
        <v>22</v>
      </c>
      <c r="F1876" s="12">
        <f t="shared" si="147"/>
        <v>50</v>
      </c>
      <c r="G1876" s="12" t="str">
        <f t="shared" si="148"/>
        <v>OK</v>
      </c>
      <c r="H1876" s="13">
        <f t="shared" si="149"/>
        <v>6</v>
      </c>
      <c r="I1876" s="14">
        <f t="shared" si="145"/>
        <v>1776.2199999999998</v>
      </c>
      <c r="K1876" t="str">
        <f>[1]!revcom(C1876)</f>
        <v>TCTGAG</v>
      </c>
      <c r="L1876">
        <v>6</v>
      </c>
    </row>
    <row r="1877" spans="1:12" ht="15.6" x14ac:dyDescent="0.3">
      <c r="A1877" s="9">
        <v>1866</v>
      </c>
      <c r="B1877" s="1"/>
      <c r="C1877" s="2" t="s">
        <v>1872</v>
      </c>
      <c r="D1877" s="1"/>
      <c r="E1877" s="11">
        <f t="shared" si="146"/>
        <v>20</v>
      </c>
      <c r="F1877" s="12">
        <f t="shared" si="147"/>
        <v>66.666666666666657</v>
      </c>
      <c r="G1877" s="12" t="str">
        <f t="shared" si="148"/>
        <v>Warning</v>
      </c>
      <c r="H1877" s="13">
        <f t="shared" si="149"/>
        <v>6</v>
      </c>
      <c r="I1877" s="14">
        <f t="shared" si="145"/>
        <v>1752.19</v>
      </c>
      <c r="K1877" t="str">
        <f>[1]!revcom(C1877)</f>
        <v>GCTGAG</v>
      </c>
      <c r="L1877">
        <v>6</v>
      </c>
    </row>
    <row r="1878" spans="1:12" ht="15.6" x14ac:dyDescent="0.3">
      <c r="A1878" s="9">
        <v>1867</v>
      </c>
      <c r="B1878" s="1"/>
      <c r="C1878" s="2" t="s">
        <v>1873</v>
      </c>
      <c r="D1878" s="1"/>
      <c r="E1878" s="11">
        <f t="shared" si="146"/>
        <v>20</v>
      </c>
      <c r="F1878" s="12">
        <f t="shared" si="147"/>
        <v>66.666666666666657</v>
      </c>
      <c r="G1878" s="12" t="str">
        <f t="shared" si="148"/>
        <v>Warning</v>
      </c>
      <c r="H1878" s="13">
        <f t="shared" si="149"/>
        <v>6</v>
      </c>
      <c r="I1878" s="14">
        <f t="shared" si="145"/>
        <v>1792.2199999999998</v>
      </c>
      <c r="K1878" t="str">
        <f>[1]!revcom(C1878)</f>
        <v>CCTGAG</v>
      </c>
      <c r="L1878">
        <v>6</v>
      </c>
    </row>
    <row r="1879" spans="1:12" ht="15.6" x14ac:dyDescent="0.3">
      <c r="A1879" s="9">
        <v>1868</v>
      </c>
      <c r="B1879" s="1"/>
      <c r="C1879" s="2" t="s">
        <v>1874</v>
      </c>
      <c r="D1879" s="1"/>
      <c r="E1879" s="11">
        <f t="shared" si="146"/>
        <v>14</v>
      </c>
      <c r="F1879" s="12">
        <f t="shared" si="147"/>
        <v>50</v>
      </c>
      <c r="G1879" s="12" t="str">
        <f t="shared" si="148"/>
        <v>OK</v>
      </c>
      <c r="H1879" s="13">
        <f t="shared" si="149"/>
        <v>6</v>
      </c>
      <c r="I1879" s="14">
        <f t="shared" si="145"/>
        <v>1767.1999999999998</v>
      </c>
      <c r="K1879" t="str">
        <f>[1]!revcom(C1879)</f>
        <v>ACTGAG</v>
      </c>
      <c r="L1879">
        <v>5</v>
      </c>
    </row>
    <row r="1880" spans="1:12" ht="15.6" x14ac:dyDescent="0.3">
      <c r="A1880" s="9">
        <v>1869</v>
      </c>
      <c r="B1880" s="1"/>
      <c r="C1880" s="2" t="s">
        <v>1875</v>
      </c>
      <c r="D1880" s="1"/>
      <c r="E1880" s="11">
        <f t="shared" si="146"/>
        <v>16</v>
      </c>
      <c r="F1880" s="12">
        <f t="shared" si="147"/>
        <v>33.333333333333329</v>
      </c>
      <c r="G1880" s="12" t="str">
        <f t="shared" si="148"/>
        <v>OK</v>
      </c>
      <c r="H1880" s="13">
        <f t="shared" si="149"/>
        <v>6</v>
      </c>
      <c r="I1880" s="14">
        <f t="shared" si="145"/>
        <v>1751.1999999999998</v>
      </c>
      <c r="K1880" t="str">
        <f>[1]!revcom(C1880)</f>
        <v>TATGAG</v>
      </c>
      <c r="L1880">
        <v>5</v>
      </c>
    </row>
    <row r="1881" spans="1:12" ht="15.6" x14ac:dyDescent="0.3">
      <c r="A1881" s="9">
        <v>1870</v>
      </c>
      <c r="B1881" s="1"/>
      <c r="C1881" s="2" t="s">
        <v>1876</v>
      </c>
      <c r="D1881" s="1"/>
      <c r="E1881" s="11">
        <f t="shared" si="146"/>
        <v>14</v>
      </c>
      <c r="F1881" s="12">
        <f t="shared" si="147"/>
        <v>50</v>
      </c>
      <c r="G1881" s="12" t="str">
        <f t="shared" si="148"/>
        <v>OK</v>
      </c>
      <c r="H1881" s="13">
        <f t="shared" si="149"/>
        <v>6</v>
      </c>
      <c r="I1881" s="14">
        <f t="shared" si="145"/>
        <v>1727.17</v>
      </c>
      <c r="K1881" t="str">
        <f>[1]!revcom(C1881)</f>
        <v>GATGAG</v>
      </c>
      <c r="L1881">
        <v>5</v>
      </c>
    </row>
    <row r="1882" spans="1:12" ht="15.6" x14ac:dyDescent="0.3">
      <c r="A1882" s="9">
        <v>1871</v>
      </c>
      <c r="B1882" s="1"/>
      <c r="C1882" s="2" t="s">
        <v>1877</v>
      </c>
      <c r="D1882" s="1"/>
      <c r="E1882" s="11">
        <f t="shared" si="146"/>
        <v>14</v>
      </c>
      <c r="F1882" s="12">
        <f t="shared" si="147"/>
        <v>50</v>
      </c>
      <c r="G1882" s="12" t="str">
        <f t="shared" si="148"/>
        <v>OK</v>
      </c>
      <c r="H1882" s="13">
        <f t="shared" si="149"/>
        <v>6</v>
      </c>
      <c r="I1882" s="14">
        <f t="shared" si="145"/>
        <v>1767.1999999999998</v>
      </c>
      <c r="K1882" t="str">
        <f>[1]!revcom(C1882)</f>
        <v>CATGAG</v>
      </c>
      <c r="L1882">
        <v>5</v>
      </c>
    </row>
    <row r="1883" spans="1:12" ht="15.6" x14ac:dyDescent="0.3">
      <c r="A1883" s="9">
        <v>1872</v>
      </c>
      <c r="B1883" s="1"/>
      <c r="C1883" s="2" t="s">
        <v>1878</v>
      </c>
      <c r="D1883" s="1"/>
      <c r="E1883" s="11">
        <f t="shared" si="146"/>
        <v>8</v>
      </c>
      <c r="F1883" s="12">
        <f t="shared" si="147"/>
        <v>33.333333333333329</v>
      </c>
      <c r="G1883" s="12" t="str">
        <f t="shared" si="148"/>
        <v>OK</v>
      </c>
      <c r="H1883" s="13">
        <f t="shared" si="149"/>
        <v>6</v>
      </c>
      <c r="I1883" s="14">
        <f t="shared" si="145"/>
        <v>1742.1799999999998</v>
      </c>
      <c r="K1883" t="str">
        <f>[1]!revcom(C1883)</f>
        <v>AATGAG</v>
      </c>
      <c r="L1883">
        <v>4</v>
      </c>
    </row>
    <row r="1884" spans="1:12" ht="15.6" x14ac:dyDescent="0.3">
      <c r="A1884" s="9">
        <v>1873</v>
      </c>
      <c r="B1884" s="1"/>
      <c r="C1884" s="2" t="s">
        <v>1879</v>
      </c>
      <c r="D1884" s="1"/>
      <c r="E1884" s="11">
        <f t="shared" si="146"/>
        <v>22</v>
      </c>
      <c r="F1884" s="12">
        <f t="shared" si="147"/>
        <v>50</v>
      </c>
      <c r="G1884" s="12" t="str">
        <f t="shared" si="148"/>
        <v>OK</v>
      </c>
      <c r="H1884" s="13">
        <f t="shared" si="149"/>
        <v>6</v>
      </c>
      <c r="I1884" s="14">
        <f t="shared" si="145"/>
        <v>1736.19</v>
      </c>
      <c r="K1884" t="str">
        <f>[1]!revcom(C1884)</f>
        <v>TTGGAG</v>
      </c>
      <c r="L1884">
        <v>6</v>
      </c>
    </row>
    <row r="1885" spans="1:12" ht="15.6" x14ac:dyDescent="0.3">
      <c r="A1885" s="9">
        <v>1874</v>
      </c>
      <c r="B1885" s="1"/>
      <c r="C1885" s="2" t="s">
        <v>1880</v>
      </c>
      <c r="D1885" s="1"/>
      <c r="E1885" s="11">
        <f t="shared" si="146"/>
        <v>20</v>
      </c>
      <c r="F1885" s="12">
        <f t="shared" si="147"/>
        <v>66.666666666666657</v>
      </c>
      <c r="G1885" s="12" t="str">
        <f t="shared" si="148"/>
        <v>Warning</v>
      </c>
      <c r="H1885" s="13">
        <f t="shared" si="149"/>
        <v>6</v>
      </c>
      <c r="I1885" s="14">
        <f t="shared" si="145"/>
        <v>1712.1599999999999</v>
      </c>
      <c r="K1885" t="str">
        <f>[1]!revcom(C1885)</f>
        <v>GTGGAG</v>
      </c>
      <c r="L1885">
        <v>6</v>
      </c>
    </row>
    <row r="1886" spans="1:12" ht="15.6" x14ac:dyDescent="0.3">
      <c r="A1886" s="9">
        <v>1875</v>
      </c>
      <c r="B1886" s="1"/>
      <c r="C1886" s="2" t="s">
        <v>1881</v>
      </c>
      <c r="D1886" s="1"/>
      <c r="E1886" s="11">
        <f t="shared" si="146"/>
        <v>20</v>
      </c>
      <c r="F1886" s="12">
        <f t="shared" si="147"/>
        <v>66.666666666666657</v>
      </c>
      <c r="G1886" s="12" t="str">
        <f t="shared" si="148"/>
        <v>Warning</v>
      </c>
      <c r="H1886" s="13">
        <f t="shared" si="149"/>
        <v>6</v>
      </c>
      <c r="I1886" s="14">
        <f t="shared" si="145"/>
        <v>1752.19</v>
      </c>
      <c r="K1886" t="str">
        <f>[1]!revcom(C1886)</f>
        <v>CTGGAG</v>
      </c>
      <c r="L1886">
        <v>6</v>
      </c>
    </row>
    <row r="1887" spans="1:12" ht="15.6" x14ac:dyDescent="0.3">
      <c r="A1887" s="9">
        <v>1876</v>
      </c>
      <c r="B1887" s="1"/>
      <c r="C1887" s="2" t="s">
        <v>1882</v>
      </c>
      <c r="D1887" s="1"/>
      <c r="E1887" s="11">
        <f t="shared" si="146"/>
        <v>14</v>
      </c>
      <c r="F1887" s="12">
        <f t="shared" si="147"/>
        <v>50</v>
      </c>
      <c r="G1887" s="12" t="str">
        <f t="shared" si="148"/>
        <v>OK</v>
      </c>
      <c r="H1887" s="13">
        <f t="shared" si="149"/>
        <v>6</v>
      </c>
      <c r="I1887" s="14">
        <f t="shared" si="145"/>
        <v>1727.17</v>
      </c>
      <c r="K1887" t="str">
        <f>[1]!revcom(C1887)</f>
        <v>ATGGAG</v>
      </c>
      <c r="L1887">
        <v>5</v>
      </c>
    </row>
    <row r="1888" spans="1:12" ht="15.6" x14ac:dyDescent="0.3">
      <c r="A1888" s="9">
        <v>1877</v>
      </c>
      <c r="B1888" s="1"/>
      <c r="C1888" s="2" t="s">
        <v>1883</v>
      </c>
      <c r="D1888" s="1"/>
      <c r="E1888" s="11">
        <f t="shared" si="146"/>
        <v>20</v>
      </c>
      <c r="F1888" s="12">
        <f t="shared" si="147"/>
        <v>66.666666666666657</v>
      </c>
      <c r="G1888" s="12" t="str">
        <f t="shared" si="148"/>
        <v>Warning</v>
      </c>
      <c r="H1888" s="13">
        <f t="shared" si="149"/>
        <v>6</v>
      </c>
      <c r="I1888" s="14">
        <f t="shared" si="145"/>
        <v>1712.1599999999999</v>
      </c>
      <c r="K1888" t="str">
        <f>[1]!revcom(C1888)</f>
        <v>TGGGAG</v>
      </c>
      <c r="L1888">
        <v>6</v>
      </c>
    </row>
    <row r="1889" spans="1:12" ht="15.6" x14ac:dyDescent="0.3">
      <c r="A1889" s="9">
        <v>1878</v>
      </c>
      <c r="B1889" s="1"/>
      <c r="C1889" s="2" t="s">
        <v>1884</v>
      </c>
      <c r="D1889" s="1"/>
      <c r="E1889" s="11">
        <f t="shared" si="146"/>
        <v>18</v>
      </c>
      <c r="F1889" s="12">
        <f t="shared" si="147"/>
        <v>83.333333333333343</v>
      </c>
      <c r="G1889" s="12" t="str">
        <f t="shared" si="148"/>
        <v>Warning</v>
      </c>
      <c r="H1889" s="13">
        <f t="shared" si="149"/>
        <v>6</v>
      </c>
      <c r="I1889" s="14">
        <f t="shared" si="145"/>
        <v>1688.13</v>
      </c>
      <c r="K1889" t="str">
        <f>[1]!revcom(C1889)</f>
        <v>GGGGAG</v>
      </c>
      <c r="L1889">
        <v>5</v>
      </c>
    </row>
    <row r="1890" spans="1:12" ht="15.6" x14ac:dyDescent="0.3">
      <c r="A1890" s="9">
        <v>1879</v>
      </c>
      <c r="B1890" s="1"/>
      <c r="C1890" s="2" t="s">
        <v>1885</v>
      </c>
      <c r="D1890" s="1"/>
      <c r="E1890" s="11">
        <f t="shared" si="146"/>
        <v>18</v>
      </c>
      <c r="F1890" s="12">
        <f t="shared" si="147"/>
        <v>83.333333333333343</v>
      </c>
      <c r="G1890" s="12" t="str">
        <f t="shared" si="148"/>
        <v>Warning</v>
      </c>
      <c r="H1890" s="13">
        <f t="shared" si="149"/>
        <v>6</v>
      </c>
      <c r="I1890" s="14">
        <f t="shared" si="145"/>
        <v>1728.1599999999999</v>
      </c>
      <c r="K1890" t="str">
        <f>[1]!revcom(C1890)</f>
        <v>CGGGAG</v>
      </c>
      <c r="L1890">
        <v>5</v>
      </c>
    </row>
    <row r="1891" spans="1:12" ht="15.6" x14ac:dyDescent="0.3">
      <c r="A1891" s="9">
        <v>1880</v>
      </c>
      <c r="B1891" s="1"/>
      <c r="C1891" s="2" t="s">
        <v>1886</v>
      </c>
      <c r="D1891" s="1"/>
      <c r="E1891" s="11">
        <f t="shared" si="146"/>
        <v>12</v>
      </c>
      <c r="F1891" s="12">
        <f t="shared" si="147"/>
        <v>66.666666666666657</v>
      </c>
      <c r="G1891" s="12" t="str">
        <f t="shared" si="148"/>
        <v>Warning</v>
      </c>
      <c r="H1891" s="13">
        <f t="shared" si="149"/>
        <v>6</v>
      </c>
      <c r="I1891" s="14">
        <f t="shared" si="145"/>
        <v>1703.1399999999999</v>
      </c>
      <c r="K1891" t="str">
        <f>[1]!revcom(C1891)</f>
        <v>AGGGAG</v>
      </c>
      <c r="L1891">
        <v>4</v>
      </c>
    </row>
    <row r="1892" spans="1:12" ht="15.6" x14ac:dyDescent="0.3">
      <c r="A1892" s="9">
        <v>1881</v>
      </c>
      <c r="B1892" s="1"/>
      <c r="C1892" s="2" t="s">
        <v>1887</v>
      </c>
      <c r="D1892" s="1"/>
      <c r="E1892" s="11">
        <f t="shared" si="146"/>
        <v>20</v>
      </c>
      <c r="F1892" s="12">
        <f t="shared" si="147"/>
        <v>66.666666666666657</v>
      </c>
      <c r="G1892" s="12" t="str">
        <f t="shared" si="148"/>
        <v>Warning</v>
      </c>
      <c r="H1892" s="13">
        <f t="shared" si="149"/>
        <v>6</v>
      </c>
      <c r="I1892" s="14">
        <f t="shared" si="145"/>
        <v>1752.19</v>
      </c>
      <c r="K1892" t="str">
        <f>[1]!revcom(C1892)</f>
        <v>TCGGAG</v>
      </c>
      <c r="L1892">
        <v>6</v>
      </c>
    </row>
    <row r="1893" spans="1:12" ht="15.6" x14ac:dyDescent="0.3">
      <c r="A1893" s="9">
        <v>1882</v>
      </c>
      <c r="B1893" s="1"/>
      <c r="C1893" s="2" t="s">
        <v>1888</v>
      </c>
      <c r="D1893" s="1"/>
      <c r="E1893" s="11">
        <f t="shared" si="146"/>
        <v>18</v>
      </c>
      <c r="F1893" s="12">
        <f t="shared" si="147"/>
        <v>83.333333333333343</v>
      </c>
      <c r="G1893" s="12" t="str">
        <f t="shared" si="148"/>
        <v>Warning</v>
      </c>
      <c r="H1893" s="13">
        <f t="shared" si="149"/>
        <v>6</v>
      </c>
      <c r="I1893" s="14">
        <f t="shared" si="145"/>
        <v>1728.1599999999999</v>
      </c>
      <c r="K1893" t="str">
        <f>[1]!revcom(C1893)</f>
        <v>GCGGAG</v>
      </c>
      <c r="L1893">
        <v>5</v>
      </c>
    </row>
    <row r="1894" spans="1:12" ht="15.6" x14ac:dyDescent="0.3">
      <c r="A1894" s="9">
        <v>1883</v>
      </c>
      <c r="B1894" s="1"/>
      <c r="C1894" s="2" t="s">
        <v>1889</v>
      </c>
      <c r="D1894" s="1"/>
      <c r="E1894" s="11">
        <f t="shared" si="146"/>
        <v>18</v>
      </c>
      <c r="F1894" s="12">
        <f t="shared" si="147"/>
        <v>83.333333333333343</v>
      </c>
      <c r="G1894" s="12" t="str">
        <f t="shared" si="148"/>
        <v>Warning</v>
      </c>
      <c r="H1894" s="13">
        <f t="shared" si="149"/>
        <v>6</v>
      </c>
      <c r="I1894" s="14">
        <f t="shared" si="145"/>
        <v>1768.19</v>
      </c>
      <c r="K1894" t="str">
        <f>[1]!revcom(C1894)</f>
        <v>CCGGAG</v>
      </c>
      <c r="L1894">
        <v>5</v>
      </c>
    </row>
    <row r="1895" spans="1:12" ht="15.6" x14ac:dyDescent="0.3">
      <c r="A1895" s="9">
        <v>1884</v>
      </c>
      <c r="B1895" s="1"/>
      <c r="C1895" s="2" t="s">
        <v>1890</v>
      </c>
      <c r="D1895" s="1"/>
      <c r="E1895" s="11">
        <f t="shared" si="146"/>
        <v>12</v>
      </c>
      <c r="F1895" s="12">
        <f t="shared" si="147"/>
        <v>66.666666666666657</v>
      </c>
      <c r="G1895" s="12" t="str">
        <f t="shared" si="148"/>
        <v>Warning</v>
      </c>
      <c r="H1895" s="13">
        <f t="shared" si="149"/>
        <v>6</v>
      </c>
      <c r="I1895" s="14">
        <f t="shared" si="145"/>
        <v>1743.17</v>
      </c>
      <c r="K1895" t="str">
        <f>[1]!revcom(C1895)</f>
        <v>ACGGAG</v>
      </c>
      <c r="L1895">
        <v>4</v>
      </c>
    </row>
    <row r="1896" spans="1:12" ht="15.6" x14ac:dyDescent="0.3">
      <c r="A1896" s="9">
        <v>1885</v>
      </c>
      <c r="B1896" s="1"/>
      <c r="C1896" s="2" t="s">
        <v>1891</v>
      </c>
      <c r="D1896" s="1"/>
      <c r="E1896" s="11">
        <f t="shared" si="146"/>
        <v>14</v>
      </c>
      <c r="F1896" s="12">
        <f t="shared" si="147"/>
        <v>50</v>
      </c>
      <c r="G1896" s="12" t="str">
        <f t="shared" si="148"/>
        <v>OK</v>
      </c>
      <c r="H1896" s="13">
        <f t="shared" si="149"/>
        <v>6</v>
      </c>
      <c r="I1896" s="14">
        <f t="shared" si="145"/>
        <v>1727.17</v>
      </c>
      <c r="K1896" t="str">
        <f>[1]!revcom(C1896)</f>
        <v>TAGGAG</v>
      </c>
      <c r="L1896">
        <v>5</v>
      </c>
    </row>
    <row r="1897" spans="1:12" ht="15.6" x14ac:dyDescent="0.3">
      <c r="A1897" s="9">
        <v>1886</v>
      </c>
      <c r="B1897" s="1"/>
      <c r="C1897" s="2" t="s">
        <v>1892</v>
      </c>
      <c r="D1897" s="1"/>
      <c r="E1897" s="11">
        <f t="shared" si="146"/>
        <v>12</v>
      </c>
      <c r="F1897" s="12">
        <f t="shared" si="147"/>
        <v>66.666666666666657</v>
      </c>
      <c r="G1897" s="12" t="str">
        <f t="shared" si="148"/>
        <v>Warning</v>
      </c>
      <c r="H1897" s="13">
        <f t="shared" si="149"/>
        <v>6</v>
      </c>
      <c r="I1897" s="14">
        <f t="shared" si="145"/>
        <v>1703.1399999999999</v>
      </c>
      <c r="K1897" t="str">
        <f>[1]!revcom(C1897)</f>
        <v>GAGGAG</v>
      </c>
      <c r="L1897">
        <v>4</v>
      </c>
    </row>
    <row r="1898" spans="1:12" ht="15.6" x14ac:dyDescent="0.3">
      <c r="A1898" s="9">
        <v>1887</v>
      </c>
      <c r="B1898" s="1"/>
      <c r="C1898" s="2" t="s">
        <v>1893</v>
      </c>
      <c r="D1898" s="1"/>
      <c r="E1898" s="11">
        <f t="shared" si="146"/>
        <v>12</v>
      </c>
      <c r="F1898" s="12">
        <f t="shared" si="147"/>
        <v>66.666666666666657</v>
      </c>
      <c r="G1898" s="12" t="str">
        <f t="shared" si="148"/>
        <v>Warning</v>
      </c>
      <c r="H1898" s="13">
        <f t="shared" si="149"/>
        <v>6</v>
      </c>
      <c r="I1898" s="14">
        <f t="shared" si="145"/>
        <v>1743.17</v>
      </c>
      <c r="K1898" t="str">
        <f>[1]!revcom(C1898)</f>
        <v>CAGGAG</v>
      </c>
      <c r="L1898">
        <v>4</v>
      </c>
    </row>
    <row r="1899" spans="1:12" ht="15.6" x14ac:dyDescent="0.3">
      <c r="A1899" s="9">
        <v>1888</v>
      </c>
      <c r="B1899" s="1"/>
      <c r="C1899" s="2" t="s">
        <v>1894</v>
      </c>
      <c r="D1899" s="1"/>
      <c r="E1899" s="11">
        <f t="shared" si="146"/>
        <v>6</v>
      </c>
      <c r="F1899" s="12">
        <f t="shared" si="147"/>
        <v>50</v>
      </c>
      <c r="G1899" s="12" t="str">
        <f t="shared" si="148"/>
        <v>OK</v>
      </c>
      <c r="H1899" s="13">
        <f t="shared" si="149"/>
        <v>6</v>
      </c>
      <c r="I1899" s="14">
        <f t="shared" si="145"/>
        <v>1718.15</v>
      </c>
      <c r="K1899" t="str">
        <f>[1]!revcom(C1899)</f>
        <v>AAGGAG</v>
      </c>
      <c r="L1899">
        <v>3</v>
      </c>
    </row>
    <row r="1900" spans="1:12" ht="15.6" x14ac:dyDescent="0.3">
      <c r="A1900" s="9">
        <v>1889</v>
      </c>
      <c r="B1900" s="1"/>
      <c r="C1900" s="2" t="s">
        <v>1895</v>
      </c>
      <c r="D1900" s="1"/>
      <c r="E1900" s="11">
        <f t="shared" si="146"/>
        <v>22</v>
      </c>
      <c r="F1900" s="12">
        <f t="shared" si="147"/>
        <v>50</v>
      </c>
      <c r="G1900" s="12" t="str">
        <f t="shared" si="148"/>
        <v>OK</v>
      </c>
      <c r="H1900" s="13">
        <f t="shared" si="149"/>
        <v>6</v>
      </c>
      <c r="I1900" s="14">
        <f t="shared" si="145"/>
        <v>1776.2199999999998</v>
      </c>
      <c r="K1900" t="str">
        <f>[1]!revcom(C1900)</f>
        <v>TTCGAG</v>
      </c>
      <c r="L1900">
        <v>6</v>
      </c>
    </row>
    <row r="1901" spans="1:12" ht="15.6" x14ac:dyDescent="0.3">
      <c r="A1901" s="9">
        <v>1890</v>
      </c>
      <c r="B1901" s="1"/>
      <c r="C1901" s="2" t="s">
        <v>1896</v>
      </c>
      <c r="D1901" s="1"/>
      <c r="E1901" s="11">
        <f t="shared" si="146"/>
        <v>20</v>
      </c>
      <c r="F1901" s="12">
        <f t="shared" si="147"/>
        <v>66.666666666666657</v>
      </c>
      <c r="G1901" s="12" t="str">
        <f t="shared" si="148"/>
        <v>Warning</v>
      </c>
      <c r="H1901" s="13">
        <f t="shared" si="149"/>
        <v>6</v>
      </c>
      <c r="I1901" s="14">
        <f t="shared" si="145"/>
        <v>1752.19</v>
      </c>
      <c r="K1901" t="str">
        <f>[1]!revcom(C1901)</f>
        <v>GTCGAG</v>
      </c>
      <c r="L1901">
        <v>6</v>
      </c>
    </row>
    <row r="1902" spans="1:12" ht="15.6" x14ac:dyDescent="0.3">
      <c r="A1902" s="9">
        <v>1891</v>
      </c>
      <c r="B1902" s="1"/>
      <c r="C1902" s="2" t="s">
        <v>1897</v>
      </c>
      <c r="D1902" s="1"/>
      <c r="E1902" s="11">
        <f t="shared" si="146"/>
        <v>20</v>
      </c>
      <c r="F1902" s="12">
        <f t="shared" si="147"/>
        <v>66.666666666666657</v>
      </c>
      <c r="G1902" s="12" t="str">
        <f t="shared" si="148"/>
        <v>Warning</v>
      </c>
      <c r="H1902" s="13">
        <f t="shared" si="149"/>
        <v>6</v>
      </c>
      <c r="I1902" s="14">
        <f t="shared" si="145"/>
        <v>1792.2199999999998</v>
      </c>
      <c r="K1902" t="str">
        <f>[1]!revcom(C1902)</f>
        <v>CTCGAG</v>
      </c>
      <c r="L1902">
        <v>6</v>
      </c>
    </row>
    <row r="1903" spans="1:12" ht="15.6" x14ac:dyDescent="0.3">
      <c r="A1903" s="9">
        <v>1892</v>
      </c>
      <c r="B1903" s="1"/>
      <c r="C1903" s="2" t="s">
        <v>1898</v>
      </c>
      <c r="D1903" s="1"/>
      <c r="E1903" s="11">
        <f t="shared" si="146"/>
        <v>14</v>
      </c>
      <c r="F1903" s="12">
        <f t="shared" si="147"/>
        <v>50</v>
      </c>
      <c r="G1903" s="12" t="str">
        <f t="shared" si="148"/>
        <v>OK</v>
      </c>
      <c r="H1903" s="13">
        <f t="shared" si="149"/>
        <v>6</v>
      </c>
      <c r="I1903" s="14">
        <f t="shared" si="145"/>
        <v>1767.1999999999998</v>
      </c>
      <c r="K1903" t="str">
        <f>[1]!revcom(C1903)</f>
        <v>ATCGAG</v>
      </c>
      <c r="L1903">
        <v>5</v>
      </c>
    </row>
    <row r="1904" spans="1:12" ht="15.6" x14ac:dyDescent="0.3">
      <c r="A1904" s="9">
        <v>1893</v>
      </c>
      <c r="B1904" s="1"/>
      <c r="C1904" s="2" t="s">
        <v>1899</v>
      </c>
      <c r="D1904" s="1"/>
      <c r="E1904" s="11">
        <f t="shared" si="146"/>
        <v>20</v>
      </c>
      <c r="F1904" s="12">
        <f t="shared" si="147"/>
        <v>66.666666666666657</v>
      </c>
      <c r="G1904" s="12" t="str">
        <f t="shared" si="148"/>
        <v>Warning</v>
      </c>
      <c r="H1904" s="13">
        <f t="shared" si="149"/>
        <v>6</v>
      </c>
      <c r="I1904" s="14">
        <f t="shared" si="145"/>
        <v>1752.19</v>
      </c>
      <c r="K1904" t="str">
        <f>[1]!revcom(C1904)</f>
        <v>TGCGAG</v>
      </c>
      <c r="L1904">
        <v>6</v>
      </c>
    </row>
    <row r="1905" spans="1:12" ht="15.6" x14ac:dyDescent="0.3">
      <c r="A1905" s="9">
        <v>1894</v>
      </c>
      <c r="B1905" s="1"/>
      <c r="C1905" s="2" t="s">
        <v>1900</v>
      </c>
      <c r="D1905" s="1"/>
      <c r="E1905" s="11">
        <f t="shared" si="146"/>
        <v>18</v>
      </c>
      <c r="F1905" s="12">
        <f t="shared" si="147"/>
        <v>83.333333333333343</v>
      </c>
      <c r="G1905" s="12" t="str">
        <f t="shared" si="148"/>
        <v>Warning</v>
      </c>
      <c r="H1905" s="13">
        <f t="shared" si="149"/>
        <v>6</v>
      </c>
      <c r="I1905" s="14">
        <f t="shared" si="145"/>
        <v>1728.1599999999999</v>
      </c>
      <c r="K1905" t="str">
        <f>[1]!revcom(C1905)</f>
        <v>GGCGAG</v>
      </c>
      <c r="L1905">
        <v>5</v>
      </c>
    </row>
    <row r="1906" spans="1:12" ht="15.6" x14ac:dyDescent="0.3">
      <c r="A1906" s="9">
        <v>1895</v>
      </c>
      <c r="B1906" s="1"/>
      <c r="C1906" s="2" t="s">
        <v>1901</v>
      </c>
      <c r="D1906" s="1"/>
      <c r="E1906" s="11">
        <f t="shared" si="146"/>
        <v>18</v>
      </c>
      <c r="F1906" s="12">
        <f t="shared" si="147"/>
        <v>83.333333333333343</v>
      </c>
      <c r="G1906" s="12" t="str">
        <f t="shared" si="148"/>
        <v>Warning</v>
      </c>
      <c r="H1906" s="13">
        <f t="shared" si="149"/>
        <v>6</v>
      </c>
      <c r="I1906" s="14">
        <f t="shared" si="145"/>
        <v>1768.19</v>
      </c>
      <c r="K1906" t="str">
        <f>[1]!revcom(C1906)</f>
        <v>CGCGAG</v>
      </c>
      <c r="L1906">
        <v>5</v>
      </c>
    </row>
    <row r="1907" spans="1:12" ht="15.6" x14ac:dyDescent="0.3">
      <c r="A1907" s="9">
        <v>1896</v>
      </c>
      <c r="B1907" s="1"/>
      <c r="C1907" s="2" t="s">
        <v>1902</v>
      </c>
      <c r="D1907" s="1"/>
      <c r="E1907" s="11">
        <f t="shared" si="146"/>
        <v>12</v>
      </c>
      <c r="F1907" s="12">
        <f t="shared" si="147"/>
        <v>66.666666666666657</v>
      </c>
      <c r="G1907" s="12" t="str">
        <f t="shared" si="148"/>
        <v>Warning</v>
      </c>
      <c r="H1907" s="13">
        <f t="shared" si="149"/>
        <v>6</v>
      </c>
      <c r="I1907" s="14">
        <f t="shared" si="145"/>
        <v>1743.17</v>
      </c>
      <c r="K1907" t="str">
        <f>[1]!revcom(C1907)</f>
        <v>AGCGAG</v>
      </c>
      <c r="L1907">
        <v>4</v>
      </c>
    </row>
    <row r="1908" spans="1:12" ht="15.6" x14ac:dyDescent="0.3">
      <c r="A1908" s="9">
        <v>1897</v>
      </c>
      <c r="B1908" s="1"/>
      <c r="C1908" s="2" t="s">
        <v>1903</v>
      </c>
      <c r="D1908" s="1"/>
      <c r="E1908" s="11">
        <f t="shared" si="146"/>
        <v>20</v>
      </c>
      <c r="F1908" s="12">
        <f t="shared" si="147"/>
        <v>66.666666666666657</v>
      </c>
      <c r="G1908" s="12" t="str">
        <f t="shared" si="148"/>
        <v>Warning</v>
      </c>
      <c r="H1908" s="13">
        <f t="shared" si="149"/>
        <v>6</v>
      </c>
      <c r="I1908" s="14">
        <f t="shared" si="145"/>
        <v>1792.2199999999998</v>
      </c>
      <c r="K1908" t="str">
        <f>[1]!revcom(C1908)</f>
        <v>TCCGAG</v>
      </c>
      <c r="L1908">
        <v>6</v>
      </c>
    </row>
    <row r="1909" spans="1:12" ht="15.6" x14ac:dyDescent="0.3">
      <c r="A1909" s="9">
        <v>1898</v>
      </c>
      <c r="B1909" s="1"/>
      <c r="C1909" s="2" t="s">
        <v>1904</v>
      </c>
      <c r="D1909" s="1"/>
      <c r="E1909" s="11">
        <f t="shared" si="146"/>
        <v>18</v>
      </c>
      <c r="F1909" s="12">
        <f t="shared" si="147"/>
        <v>83.333333333333343</v>
      </c>
      <c r="G1909" s="12" t="str">
        <f t="shared" si="148"/>
        <v>Warning</v>
      </c>
      <c r="H1909" s="13">
        <f t="shared" si="149"/>
        <v>6</v>
      </c>
      <c r="I1909" s="14">
        <f t="shared" si="145"/>
        <v>1768.19</v>
      </c>
      <c r="K1909" t="str">
        <f>[1]!revcom(C1909)</f>
        <v>GCCGAG</v>
      </c>
      <c r="L1909">
        <v>5</v>
      </c>
    </row>
    <row r="1910" spans="1:12" ht="15.6" x14ac:dyDescent="0.3">
      <c r="A1910" s="9">
        <v>1899</v>
      </c>
      <c r="B1910" s="1"/>
      <c r="C1910" s="2" t="s">
        <v>1905</v>
      </c>
      <c r="D1910" s="1"/>
      <c r="E1910" s="11">
        <f t="shared" si="146"/>
        <v>18</v>
      </c>
      <c r="F1910" s="12">
        <f t="shared" si="147"/>
        <v>83.333333333333343</v>
      </c>
      <c r="G1910" s="12" t="str">
        <f t="shared" si="148"/>
        <v>Warning</v>
      </c>
      <c r="H1910" s="13">
        <f t="shared" si="149"/>
        <v>6</v>
      </c>
      <c r="I1910" s="14">
        <f t="shared" si="145"/>
        <v>1808.2200000000003</v>
      </c>
      <c r="K1910" t="str">
        <f>[1]!revcom(C1910)</f>
        <v>CCCGAG</v>
      </c>
      <c r="L1910">
        <v>5</v>
      </c>
    </row>
    <row r="1911" spans="1:12" ht="15.6" x14ac:dyDescent="0.3">
      <c r="A1911" s="9">
        <v>1900</v>
      </c>
      <c r="B1911" s="1"/>
      <c r="C1911" s="2" t="s">
        <v>1906</v>
      </c>
      <c r="D1911" s="1"/>
      <c r="E1911" s="11">
        <f t="shared" si="146"/>
        <v>12</v>
      </c>
      <c r="F1911" s="12">
        <f t="shared" si="147"/>
        <v>66.666666666666657</v>
      </c>
      <c r="G1911" s="12" t="str">
        <f t="shared" si="148"/>
        <v>Warning</v>
      </c>
      <c r="H1911" s="13">
        <f t="shared" si="149"/>
        <v>6</v>
      </c>
      <c r="I1911" s="14">
        <f t="shared" si="145"/>
        <v>1783.1999999999998</v>
      </c>
      <c r="K1911" t="str">
        <f>[1]!revcom(C1911)</f>
        <v>ACCGAG</v>
      </c>
      <c r="L1911">
        <v>4</v>
      </c>
    </row>
    <row r="1912" spans="1:12" ht="15.6" x14ac:dyDescent="0.3">
      <c r="A1912" s="9">
        <v>1901</v>
      </c>
      <c r="B1912" s="1"/>
      <c r="C1912" s="2" t="s">
        <v>1907</v>
      </c>
      <c r="D1912" s="1"/>
      <c r="E1912" s="11">
        <f t="shared" si="146"/>
        <v>14</v>
      </c>
      <c r="F1912" s="12">
        <f t="shared" si="147"/>
        <v>50</v>
      </c>
      <c r="G1912" s="12" t="str">
        <f t="shared" si="148"/>
        <v>OK</v>
      </c>
      <c r="H1912" s="13">
        <f t="shared" si="149"/>
        <v>6</v>
      </c>
      <c r="I1912" s="14">
        <f t="shared" si="145"/>
        <v>1767.1999999999998</v>
      </c>
      <c r="K1912" t="str">
        <f>[1]!revcom(C1912)</f>
        <v>TACGAG</v>
      </c>
      <c r="L1912">
        <v>5</v>
      </c>
    </row>
    <row r="1913" spans="1:12" ht="15.6" x14ac:dyDescent="0.3">
      <c r="A1913" s="9">
        <v>1902</v>
      </c>
      <c r="B1913" s="1"/>
      <c r="C1913" s="2" t="s">
        <v>1908</v>
      </c>
      <c r="D1913" s="1"/>
      <c r="E1913" s="11">
        <f t="shared" si="146"/>
        <v>12</v>
      </c>
      <c r="F1913" s="12">
        <f t="shared" si="147"/>
        <v>66.666666666666657</v>
      </c>
      <c r="G1913" s="12" t="str">
        <f t="shared" si="148"/>
        <v>Warning</v>
      </c>
      <c r="H1913" s="13">
        <f t="shared" si="149"/>
        <v>6</v>
      </c>
      <c r="I1913" s="14">
        <f t="shared" si="145"/>
        <v>1743.17</v>
      </c>
      <c r="K1913" t="str">
        <f>[1]!revcom(C1913)</f>
        <v>GACGAG</v>
      </c>
      <c r="L1913">
        <v>4</v>
      </c>
    </row>
    <row r="1914" spans="1:12" ht="15.6" x14ac:dyDescent="0.3">
      <c r="A1914" s="9">
        <v>1903</v>
      </c>
      <c r="B1914" s="1"/>
      <c r="C1914" s="2" t="s">
        <v>1909</v>
      </c>
      <c r="D1914" s="1"/>
      <c r="E1914" s="11">
        <f t="shared" si="146"/>
        <v>12</v>
      </c>
      <c r="F1914" s="12">
        <f t="shared" si="147"/>
        <v>66.666666666666657</v>
      </c>
      <c r="G1914" s="12" t="str">
        <f t="shared" si="148"/>
        <v>Warning</v>
      </c>
      <c r="H1914" s="13">
        <f t="shared" si="149"/>
        <v>6</v>
      </c>
      <c r="I1914" s="14">
        <f t="shared" si="145"/>
        <v>1783.1999999999998</v>
      </c>
      <c r="K1914" t="str">
        <f>[1]!revcom(C1914)</f>
        <v>CACGAG</v>
      </c>
      <c r="L1914">
        <v>4</v>
      </c>
    </row>
    <row r="1915" spans="1:12" ht="15.6" x14ac:dyDescent="0.3">
      <c r="A1915" s="9">
        <v>1904</v>
      </c>
      <c r="B1915" s="1"/>
      <c r="C1915" s="2" t="s">
        <v>1910</v>
      </c>
      <c r="D1915" s="1"/>
      <c r="E1915" s="11">
        <f t="shared" si="146"/>
        <v>6</v>
      </c>
      <c r="F1915" s="12">
        <f t="shared" si="147"/>
        <v>50</v>
      </c>
      <c r="G1915" s="12" t="str">
        <f t="shared" si="148"/>
        <v>OK</v>
      </c>
      <c r="H1915" s="13">
        <f t="shared" si="149"/>
        <v>6</v>
      </c>
      <c r="I1915" s="14">
        <f t="shared" si="145"/>
        <v>1758.1799999999998</v>
      </c>
      <c r="K1915" t="str">
        <f>[1]!revcom(C1915)</f>
        <v>AACGAG</v>
      </c>
      <c r="L1915">
        <v>3</v>
      </c>
    </row>
    <row r="1916" spans="1:12" ht="15.6" x14ac:dyDescent="0.3">
      <c r="A1916" s="9">
        <v>1905</v>
      </c>
      <c r="B1916" s="1"/>
      <c r="C1916" s="2" t="s">
        <v>1911</v>
      </c>
      <c r="D1916" s="1"/>
      <c r="E1916" s="11">
        <f t="shared" si="146"/>
        <v>16</v>
      </c>
      <c r="F1916" s="12">
        <f t="shared" si="147"/>
        <v>33.333333333333329</v>
      </c>
      <c r="G1916" s="12" t="str">
        <f t="shared" si="148"/>
        <v>OK</v>
      </c>
      <c r="H1916" s="13">
        <f t="shared" si="149"/>
        <v>6</v>
      </c>
      <c r="I1916" s="14">
        <f t="shared" si="145"/>
        <v>1751.1999999999998</v>
      </c>
      <c r="K1916" t="str">
        <f>[1]!revcom(C1916)</f>
        <v>TTAGAG</v>
      </c>
      <c r="L1916">
        <v>5</v>
      </c>
    </row>
    <row r="1917" spans="1:12" ht="15.6" x14ac:dyDescent="0.3">
      <c r="A1917" s="9">
        <v>1906</v>
      </c>
      <c r="B1917" s="1"/>
      <c r="C1917" s="2" t="s">
        <v>1912</v>
      </c>
      <c r="D1917" s="1"/>
      <c r="E1917" s="11">
        <f t="shared" si="146"/>
        <v>14</v>
      </c>
      <c r="F1917" s="12">
        <f t="shared" si="147"/>
        <v>50</v>
      </c>
      <c r="G1917" s="12" t="str">
        <f t="shared" si="148"/>
        <v>OK</v>
      </c>
      <c r="H1917" s="13">
        <f t="shared" si="149"/>
        <v>6</v>
      </c>
      <c r="I1917" s="14">
        <f t="shared" si="145"/>
        <v>1727.17</v>
      </c>
      <c r="K1917" t="str">
        <f>[1]!revcom(C1917)</f>
        <v>GTAGAG</v>
      </c>
      <c r="L1917">
        <v>5</v>
      </c>
    </row>
    <row r="1918" spans="1:12" ht="15.6" x14ac:dyDescent="0.3">
      <c r="A1918" s="9">
        <v>1907</v>
      </c>
      <c r="B1918" s="1"/>
      <c r="C1918" s="2" t="s">
        <v>1913</v>
      </c>
      <c r="D1918" s="1"/>
      <c r="E1918" s="11">
        <f t="shared" si="146"/>
        <v>14</v>
      </c>
      <c r="F1918" s="12">
        <f t="shared" si="147"/>
        <v>50</v>
      </c>
      <c r="G1918" s="12" t="str">
        <f t="shared" si="148"/>
        <v>OK</v>
      </c>
      <c r="H1918" s="13">
        <f t="shared" si="149"/>
        <v>6</v>
      </c>
      <c r="I1918" s="14">
        <f t="shared" si="145"/>
        <v>1767.1999999999998</v>
      </c>
      <c r="K1918" t="str">
        <f>[1]!revcom(C1918)</f>
        <v>CTAGAG</v>
      </c>
      <c r="L1918">
        <v>5</v>
      </c>
    </row>
    <row r="1919" spans="1:12" ht="15.6" x14ac:dyDescent="0.3">
      <c r="A1919" s="9">
        <v>1908</v>
      </c>
      <c r="B1919" s="1"/>
      <c r="C1919" s="2" t="s">
        <v>1914</v>
      </c>
      <c r="D1919" s="1"/>
      <c r="E1919" s="11">
        <f t="shared" si="146"/>
        <v>8</v>
      </c>
      <c r="F1919" s="12">
        <f t="shared" si="147"/>
        <v>33.333333333333329</v>
      </c>
      <c r="G1919" s="12" t="str">
        <f t="shared" si="148"/>
        <v>OK</v>
      </c>
      <c r="H1919" s="13">
        <f t="shared" si="149"/>
        <v>6</v>
      </c>
      <c r="I1919" s="14">
        <f t="shared" si="145"/>
        <v>1742.1799999999998</v>
      </c>
      <c r="K1919" t="str">
        <f>[1]!revcom(C1919)</f>
        <v>ATAGAG</v>
      </c>
      <c r="L1919">
        <v>4</v>
      </c>
    </row>
    <row r="1920" spans="1:12" ht="15.6" x14ac:dyDescent="0.3">
      <c r="A1920" s="9">
        <v>1909</v>
      </c>
      <c r="B1920" s="1"/>
      <c r="C1920" s="2" t="s">
        <v>1915</v>
      </c>
      <c r="D1920" s="1"/>
      <c r="E1920" s="11">
        <f t="shared" si="146"/>
        <v>14</v>
      </c>
      <c r="F1920" s="12">
        <f t="shared" si="147"/>
        <v>50</v>
      </c>
      <c r="G1920" s="12" t="str">
        <f t="shared" si="148"/>
        <v>OK</v>
      </c>
      <c r="H1920" s="13">
        <f t="shared" si="149"/>
        <v>6</v>
      </c>
      <c r="I1920" s="14">
        <f t="shared" si="145"/>
        <v>1727.17</v>
      </c>
      <c r="K1920" t="str">
        <f>[1]!revcom(C1920)</f>
        <v>TGAGAG</v>
      </c>
      <c r="L1920">
        <v>5</v>
      </c>
    </row>
    <row r="1921" spans="1:12" ht="15.6" x14ac:dyDescent="0.3">
      <c r="A1921" s="9">
        <v>1910</v>
      </c>
      <c r="B1921" s="1"/>
      <c r="C1921" s="2" t="s">
        <v>1916</v>
      </c>
      <c r="D1921" s="1"/>
      <c r="E1921" s="11">
        <f t="shared" si="146"/>
        <v>12</v>
      </c>
      <c r="F1921" s="12">
        <f t="shared" si="147"/>
        <v>66.666666666666657</v>
      </c>
      <c r="G1921" s="12" t="str">
        <f t="shared" si="148"/>
        <v>Warning</v>
      </c>
      <c r="H1921" s="13">
        <f t="shared" si="149"/>
        <v>6</v>
      </c>
      <c r="I1921" s="14">
        <f t="shared" si="145"/>
        <v>1703.1399999999999</v>
      </c>
      <c r="K1921" t="str">
        <f>[1]!revcom(C1921)</f>
        <v>GGAGAG</v>
      </c>
      <c r="L1921">
        <v>4</v>
      </c>
    </row>
    <row r="1922" spans="1:12" ht="15.6" x14ac:dyDescent="0.3">
      <c r="A1922" s="9">
        <v>1911</v>
      </c>
      <c r="B1922" s="1"/>
      <c r="C1922" s="2" t="s">
        <v>1917</v>
      </c>
      <c r="D1922" s="1"/>
      <c r="E1922" s="11">
        <f t="shared" si="146"/>
        <v>12</v>
      </c>
      <c r="F1922" s="12">
        <f t="shared" si="147"/>
        <v>66.666666666666657</v>
      </c>
      <c r="G1922" s="12" t="str">
        <f t="shared" si="148"/>
        <v>Warning</v>
      </c>
      <c r="H1922" s="13">
        <f t="shared" si="149"/>
        <v>6</v>
      </c>
      <c r="I1922" s="14">
        <f t="shared" si="145"/>
        <v>1743.17</v>
      </c>
      <c r="K1922" t="str">
        <f>[1]!revcom(C1922)</f>
        <v>CGAGAG</v>
      </c>
      <c r="L1922">
        <v>4</v>
      </c>
    </row>
    <row r="1923" spans="1:12" ht="15.6" x14ac:dyDescent="0.3">
      <c r="A1923" s="9">
        <v>1912</v>
      </c>
      <c r="B1923" s="1"/>
      <c r="C1923" s="2" t="s">
        <v>1918</v>
      </c>
      <c r="D1923" s="1"/>
      <c r="E1923" s="11">
        <f t="shared" si="146"/>
        <v>6</v>
      </c>
      <c r="F1923" s="12">
        <f t="shared" si="147"/>
        <v>50</v>
      </c>
      <c r="G1923" s="12" t="str">
        <f t="shared" si="148"/>
        <v>OK</v>
      </c>
      <c r="H1923" s="13">
        <f t="shared" si="149"/>
        <v>6</v>
      </c>
      <c r="I1923" s="14">
        <f t="shared" si="145"/>
        <v>1718.15</v>
      </c>
      <c r="K1923" t="str">
        <f>[1]!revcom(C1923)</f>
        <v>AGAGAG</v>
      </c>
      <c r="L1923">
        <v>3</v>
      </c>
    </row>
    <row r="1924" spans="1:12" ht="15.6" x14ac:dyDescent="0.3">
      <c r="A1924" s="9">
        <v>1913</v>
      </c>
      <c r="B1924" s="1"/>
      <c r="C1924" s="2" t="s">
        <v>1919</v>
      </c>
      <c r="D1924" s="1"/>
      <c r="E1924" s="11">
        <f t="shared" si="146"/>
        <v>14</v>
      </c>
      <c r="F1924" s="12">
        <f t="shared" si="147"/>
        <v>50</v>
      </c>
      <c r="G1924" s="12" t="str">
        <f t="shared" si="148"/>
        <v>OK</v>
      </c>
      <c r="H1924" s="13">
        <f t="shared" si="149"/>
        <v>6</v>
      </c>
      <c r="I1924" s="14">
        <f t="shared" si="145"/>
        <v>1767.1999999999998</v>
      </c>
      <c r="K1924" t="str">
        <f>[1]!revcom(C1924)</f>
        <v>TCAGAG</v>
      </c>
      <c r="L1924">
        <v>5</v>
      </c>
    </row>
    <row r="1925" spans="1:12" ht="15.6" x14ac:dyDescent="0.3">
      <c r="A1925" s="9">
        <v>1914</v>
      </c>
      <c r="B1925" s="1"/>
      <c r="C1925" s="2" t="s">
        <v>1920</v>
      </c>
      <c r="D1925" s="1"/>
      <c r="E1925" s="11">
        <f t="shared" si="146"/>
        <v>12</v>
      </c>
      <c r="F1925" s="12">
        <f t="shared" si="147"/>
        <v>66.666666666666657</v>
      </c>
      <c r="G1925" s="12" t="str">
        <f t="shared" si="148"/>
        <v>Warning</v>
      </c>
      <c r="H1925" s="13">
        <f t="shared" si="149"/>
        <v>6</v>
      </c>
      <c r="I1925" s="14">
        <f t="shared" si="145"/>
        <v>1743.17</v>
      </c>
      <c r="K1925" t="str">
        <f>[1]!revcom(C1925)</f>
        <v>GCAGAG</v>
      </c>
      <c r="L1925">
        <v>4</v>
      </c>
    </row>
    <row r="1926" spans="1:12" ht="15.6" x14ac:dyDescent="0.3">
      <c r="A1926" s="9">
        <v>1915</v>
      </c>
      <c r="B1926" s="1"/>
      <c r="C1926" s="2" t="s">
        <v>1921</v>
      </c>
      <c r="D1926" s="1"/>
      <c r="E1926" s="11">
        <f t="shared" si="146"/>
        <v>12</v>
      </c>
      <c r="F1926" s="12">
        <f t="shared" si="147"/>
        <v>66.666666666666657</v>
      </c>
      <c r="G1926" s="12" t="str">
        <f t="shared" si="148"/>
        <v>Warning</v>
      </c>
      <c r="H1926" s="13">
        <f t="shared" si="149"/>
        <v>6</v>
      </c>
      <c r="I1926" s="14">
        <f t="shared" si="145"/>
        <v>1783.1999999999998</v>
      </c>
      <c r="K1926" t="str">
        <f>[1]!revcom(C1926)</f>
        <v>CCAGAG</v>
      </c>
      <c r="L1926">
        <v>4</v>
      </c>
    </row>
    <row r="1927" spans="1:12" ht="15.6" x14ac:dyDescent="0.3">
      <c r="A1927" s="9">
        <v>1916</v>
      </c>
      <c r="B1927" s="1"/>
      <c r="C1927" s="2" t="s">
        <v>1922</v>
      </c>
      <c r="D1927" s="1"/>
      <c r="E1927" s="11">
        <f t="shared" si="146"/>
        <v>6</v>
      </c>
      <c r="F1927" s="12">
        <f t="shared" si="147"/>
        <v>50</v>
      </c>
      <c r="G1927" s="12" t="str">
        <f t="shared" si="148"/>
        <v>OK</v>
      </c>
      <c r="H1927" s="13">
        <f t="shared" si="149"/>
        <v>6</v>
      </c>
      <c r="I1927" s="14">
        <f t="shared" si="145"/>
        <v>1758.1799999999998</v>
      </c>
      <c r="K1927" t="str">
        <f>[1]!revcom(C1927)</f>
        <v>ACAGAG</v>
      </c>
      <c r="L1927">
        <v>3</v>
      </c>
    </row>
    <row r="1928" spans="1:12" ht="15.6" x14ac:dyDescent="0.3">
      <c r="A1928" s="9">
        <v>1917</v>
      </c>
      <c r="B1928" s="1"/>
      <c r="C1928" s="2" t="s">
        <v>1923</v>
      </c>
      <c r="D1928" s="1"/>
      <c r="E1928" s="11">
        <f t="shared" si="146"/>
        <v>8</v>
      </c>
      <c r="F1928" s="12">
        <f t="shared" si="147"/>
        <v>33.333333333333329</v>
      </c>
      <c r="G1928" s="12" t="str">
        <f t="shared" si="148"/>
        <v>OK</v>
      </c>
      <c r="H1928" s="13">
        <f t="shared" si="149"/>
        <v>6</v>
      </c>
      <c r="I1928" s="14">
        <f t="shared" si="145"/>
        <v>1742.1799999999998</v>
      </c>
      <c r="K1928" t="str">
        <f>[1]!revcom(C1928)</f>
        <v>TAAGAG</v>
      </c>
      <c r="L1928">
        <v>4</v>
      </c>
    </row>
    <row r="1929" spans="1:12" ht="15.6" x14ac:dyDescent="0.3">
      <c r="A1929" s="9">
        <v>1918</v>
      </c>
      <c r="B1929" s="1"/>
      <c r="C1929" s="2" t="s">
        <v>1924</v>
      </c>
      <c r="D1929" s="1"/>
      <c r="E1929" s="11">
        <f t="shared" si="146"/>
        <v>6</v>
      </c>
      <c r="F1929" s="12">
        <f t="shared" si="147"/>
        <v>50</v>
      </c>
      <c r="G1929" s="12" t="str">
        <f t="shared" si="148"/>
        <v>OK</v>
      </c>
      <c r="H1929" s="13">
        <f t="shared" si="149"/>
        <v>6</v>
      </c>
      <c r="I1929" s="14">
        <f t="shared" si="145"/>
        <v>1718.15</v>
      </c>
      <c r="K1929" t="str">
        <f>[1]!revcom(C1929)</f>
        <v>GAAGAG</v>
      </c>
      <c r="L1929">
        <v>3</v>
      </c>
    </row>
    <row r="1930" spans="1:12" ht="15.6" x14ac:dyDescent="0.3">
      <c r="A1930" s="9">
        <v>1919</v>
      </c>
      <c r="B1930" s="1"/>
      <c r="C1930" s="2" t="s">
        <v>1925</v>
      </c>
      <c r="D1930" s="1"/>
      <c r="E1930" s="11">
        <f t="shared" si="146"/>
        <v>6</v>
      </c>
      <c r="F1930" s="12">
        <f t="shared" si="147"/>
        <v>50</v>
      </c>
      <c r="G1930" s="12" t="str">
        <f t="shared" si="148"/>
        <v>OK</v>
      </c>
      <c r="H1930" s="13">
        <f t="shared" si="149"/>
        <v>6</v>
      </c>
      <c r="I1930" s="14">
        <f t="shared" si="145"/>
        <v>1758.1799999999998</v>
      </c>
      <c r="K1930" t="str">
        <f>[1]!revcom(C1930)</f>
        <v>CAAGAG</v>
      </c>
      <c r="L1930">
        <v>3</v>
      </c>
    </row>
    <row r="1931" spans="1:12" ht="15.6" x14ac:dyDescent="0.3">
      <c r="A1931" s="9">
        <v>1920</v>
      </c>
      <c r="B1931" s="1"/>
      <c r="C1931" s="2" t="s">
        <v>1926</v>
      </c>
      <c r="D1931" s="1"/>
      <c r="E1931" s="11">
        <f t="shared" si="146"/>
        <v>0</v>
      </c>
      <c r="F1931" s="12">
        <f t="shared" si="147"/>
        <v>33.333333333333329</v>
      </c>
      <c r="G1931" s="12" t="str">
        <f t="shared" si="148"/>
        <v>OK</v>
      </c>
      <c r="H1931" s="13">
        <f t="shared" si="149"/>
        <v>6</v>
      </c>
      <c r="I1931" s="14">
        <f t="shared" si="145"/>
        <v>1733.1599999999999</v>
      </c>
      <c r="K1931" t="str">
        <f>[1]!revcom(C1931)</f>
        <v>AAAGAG</v>
      </c>
      <c r="L1931">
        <v>2</v>
      </c>
    </row>
    <row r="1932" spans="1:12" ht="15.6" x14ac:dyDescent="0.3">
      <c r="A1932" s="9">
        <v>1921</v>
      </c>
      <c r="B1932" s="1"/>
      <c r="C1932" s="2" t="s">
        <v>1927</v>
      </c>
      <c r="D1932" s="1"/>
      <c r="E1932" s="11">
        <f t="shared" si="146"/>
        <v>24</v>
      </c>
      <c r="F1932" s="12">
        <f t="shared" si="147"/>
        <v>33.333333333333329</v>
      </c>
      <c r="G1932" s="12" t="str">
        <f t="shared" si="148"/>
        <v>OK</v>
      </c>
      <c r="H1932" s="13">
        <f t="shared" si="149"/>
        <v>6</v>
      </c>
      <c r="I1932" s="14">
        <f t="shared" si="145"/>
        <v>1800.25</v>
      </c>
      <c r="K1932" t="str">
        <f>[1]!revcom(C1932)</f>
        <v>TTTCAG</v>
      </c>
      <c r="L1932">
        <v>6</v>
      </c>
    </row>
    <row r="1933" spans="1:12" ht="15.6" x14ac:dyDescent="0.3">
      <c r="A1933" s="9">
        <v>1922</v>
      </c>
      <c r="B1933" s="1"/>
      <c r="C1933" s="2" t="s">
        <v>1928</v>
      </c>
      <c r="D1933" s="1"/>
      <c r="E1933" s="11">
        <f t="shared" si="146"/>
        <v>22</v>
      </c>
      <c r="F1933" s="12">
        <f t="shared" si="147"/>
        <v>50</v>
      </c>
      <c r="G1933" s="12" t="str">
        <f t="shared" si="148"/>
        <v>OK</v>
      </c>
      <c r="H1933" s="13">
        <f t="shared" si="149"/>
        <v>6</v>
      </c>
      <c r="I1933" s="14">
        <f t="shared" ref="I1933:I1996" si="150">((LEN(C1933)-(LEN(SUBSTITUTE(C1933,"A",""))))*249.23)+((LEN(C1933)-(LEN(SUBSTITUTE(C1933,"T",""))))*240.21)+((LEN(C1933)-(LEN(SUBSTITUTE(C1933,"C",""))))*225.2)+((LEN(C1933)-(LEN(SUBSTITUTE(C1933,"G",""))))*265.23)+(63.98*(LEN(C1933)-1)+(2.02))</f>
        <v>1776.2199999999998</v>
      </c>
      <c r="K1933" t="str">
        <f>[1]!revcom(C1933)</f>
        <v>GTTCAG</v>
      </c>
      <c r="L1933">
        <v>6</v>
      </c>
    </row>
    <row r="1934" spans="1:12" ht="15.6" x14ac:dyDescent="0.3">
      <c r="A1934" s="9">
        <v>1923</v>
      </c>
      <c r="B1934" s="1"/>
      <c r="C1934" s="2" t="s">
        <v>1929</v>
      </c>
      <c r="D1934" s="1"/>
      <c r="E1934" s="11">
        <f t="shared" ref="E1934:E1997" si="151">IF(LEN(C1934)&gt;15,(69.3+((41*((LEN(C1934)-(((LEN(C1934)-(LEN(SUBSTITUTE(C1934,"A",""))))+((LEN(C1934)-(LEN(SUBSTITUTE(C1934,"T","")))))))))/(LEN(C1934)))-(650/(LEN(C1934))))),(2*((LEN(C1934)-(((LEN(C1934)-(LEN(SUBSTITUTE(C1934,"C",""))))+((LEN(C1934)-(LEN(SUBSTITUTE(C1934,"G",""))))))))))+(4*((LEN(C1934)-(((LEN(C1934)-(LEN(SUBSTITUTE(C1934,"T",""))))+((LEN(C1934)-(LEN(SUBSTITUTE(C1934,"T","")))))))))))</f>
        <v>22</v>
      </c>
      <c r="F1934" s="12">
        <f t="shared" ref="F1934:F1997" si="152">((LEN(C1934)- LEN(SUBSTITUTE(C1934,"G","")))+(LEN(C1934)- LEN(SUBSTITUTE(C1934,"C",""))) )/LEN(C1934)*100</f>
        <v>50</v>
      </c>
      <c r="G1934" s="12" t="str">
        <f t="shared" ref="G1934:G1997" si="153">IF((-5+((LEN(SUBSTITUTE(RIGHT(C1934,5),"C","")))+((LEN(SUBSTITUTE(RIGHT(C1934,5),"G",""))))))&gt;=3,"OK","Warning")</f>
        <v>OK</v>
      </c>
      <c r="H1934" s="13">
        <f t="shared" ref="H1934:H1997" si="154">LEN(C1934)</f>
        <v>6</v>
      </c>
      <c r="I1934" s="14">
        <f t="shared" si="150"/>
        <v>1816.25</v>
      </c>
      <c r="K1934" t="str">
        <f>[1]!revcom(C1934)</f>
        <v>CTTCAG</v>
      </c>
      <c r="L1934">
        <v>6</v>
      </c>
    </row>
    <row r="1935" spans="1:12" ht="15.6" x14ac:dyDescent="0.3">
      <c r="A1935" s="9">
        <v>1924</v>
      </c>
      <c r="B1935" s="1"/>
      <c r="C1935" s="2" t="s">
        <v>1930</v>
      </c>
      <c r="D1935" s="1"/>
      <c r="E1935" s="11">
        <f t="shared" si="151"/>
        <v>16</v>
      </c>
      <c r="F1935" s="12">
        <f t="shared" si="152"/>
        <v>33.333333333333329</v>
      </c>
      <c r="G1935" s="12" t="str">
        <f t="shared" si="153"/>
        <v>OK</v>
      </c>
      <c r="H1935" s="13">
        <f t="shared" si="154"/>
        <v>6</v>
      </c>
      <c r="I1935" s="14">
        <f t="shared" si="150"/>
        <v>1791.23</v>
      </c>
      <c r="K1935" t="str">
        <f>[1]!revcom(C1935)</f>
        <v>ATTCAG</v>
      </c>
      <c r="L1935">
        <v>5</v>
      </c>
    </row>
    <row r="1936" spans="1:12" ht="15.6" x14ac:dyDescent="0.3">
      <c r="A1936" s="9">
        <v>1925</v>
      </c>
      <c r="B1936" s="1"/>
      <c r="C1936" s="2" t="s">
        <v>1931</v>
      </c>
      <c r="D1936" s="1"/>
      <c r="E1936" s="11">
        <f t="shared" si="151"/>
        <v>22</v>
      </c>
      <c r="F1936" s="12">
        <f t="shared" si="152"/>
        <v>50</v>
      </c>
      <c r="G1936" s="12" t="str">
        <f t="shared" si="153"/>
        <v>OK</v>
      </c>
      <c r="H1936" s="13">
        <f t="shared" si="154"/>
        <v>6</v>
      </c>
      <c r="I1936" s="14">
        <f t="shared" si="150"/>
        <v>1776.2199999999998</v>
      </c>
      <c r="K1936" t="str">
        <f>[1]!revcom(C1936)</f>
        <v>TGTCAG</v>
      </c>
      <c r="L1936">
        <v>6</v>
      </c>
    </row>
    <row r="1937" spans="1:12" ht="15.6" x14ac:dyDescent="0.3">
      <c r="A1937" s="9">
        <v>1926</v>
      </c>
      <c r="B1937" s="1"/>
      <c r="C1937" s="2" t="s">
        <v>1932</v>
      </c>
      <c r="D1937" s="1"/>
      <c r="E1937" s="11">
        <f t="shared" si="151"/>
        <v>20</v>
      </c>
      <c r="F1937" s="12">
        <f t="shared" si="152"/>
        <v>66.666666666666657</v>
      </c>
      <c r="G1937" s="12" t="str">
        <f t="shared" si="153"/>
        <v>Warning</v>
      </c>
      <c r="H1937" s="13">
        <f t="shared" si="154"/>
        <v>6</v>
      </c>
      <c r="I1937" s="14">
        <f t="shared" si="150"/>
        <v>1752.19</v>
      </c>
      <c r="K1937" t="str">
        <f>[1]!revcom(C1937)</f>
        <v>GGTCAG</v>
      </c>
      <c r="L1937">
        <v>6</v>
      </c>
    </row>
    <row r="1938" spans="1:12" ht="15.6" x14ac:dyDescent="0.3">
      <c r="A1938" s="9">
        <v>1927</v>
      </c>
      <c r="B1938" s="1"/>
      <c r="C1938" s="2" t="s">
        <v>1933</v>
      </c>
      <c r="D1938" s="1"/>
      <c r="E1938" s="11">
        <f t="shared" si="151"/>
        <v>20</v>
      </c>
      <c r="F1938" s="12">
        <f t="shared" si="152"/>
        <v>66.666666666666657</v>
      </c>
      <c r="G1938" s="12" t="str">
        <f t="shared" si="153"/>
        <v>Warning</v>
      </c>
      <c r="H1938" s="13">
        <f t="shared" si="154"/>
        <v>6</v>
      </c>
      <c r="I1938" s="14">
        <f t="shared" si="150"/>
        <v>1792.2199999999998</v>
      </c>
      <c r="K1938" t="str">
        <f>[1]!revcom(C1938)</f>
        <v>CGTCAG</v>
      </c>
      <c r="L1938">
        <v>6</v>
      </c>
    </row>
    <row r="1939" spans="1:12" ht="15.6" x14ac:dyDescent="0.3">
      <c r="A1939" s="9">
        <v>1928</v>
      </c>
      <c r="B1939" s="1"/>
      <c r="C1939" s="2" t="s">
        <v>1934</v>
      </c>
      <c r="D1939" s="1"/>
      <c r="E1939" s="11">
        <f t="shared" si="151"/>
        <v>14</v>
      </c>
      <c r="F1939" s="12">
        <f t="shared" si="152"/>
        <v>50</v>
      </c>
      <c r="G1939" s="12" t="str">
        <f t="shared" si="153"/>
        <v>OK</v>
      </c>
      <c r="H1939" s="13">
        <f t="shared" si="154"/>
        <v>6</v>
      </c>
      <c r="I1939" s="14">
        <f t="shared" si="150"/>
        <v>1767.1999999999998</v>
      </c>
      <c r="K1939" t="str">
        <f>[1]!revcom(C1939)</f>
        <v>AGTCAG</v>
      </c>
      <c r="L1939">
        <v>5</v>
      </c>
    </row>
    <row r="1940" spans="1:12" ht="15.6" x14ac:dyDescent="0.3">
      <c r="A1940" s="9">
        <v>1929</v>
      </c>
      <c r="B1940" s="1"/>
      <c r="C1940" s="2" t="s">
        <v>1935</v>
      </c>
      <c r="D1940" s="1"/>
      <c r="E1940" s="11">
        <f t="shared" si="151"/>
        <v>22</v>
      </c>
      <c r="F1940" s="12">
        <f t="shared" si="152"/>
        <v>50</v>
      </c>
      <c r="G1940" s="12" t="str">
        <f t="shared" si="153"/>
        <v>OK</v>
      </c>
      <c r="H1940" s="13">
        <f t="shared" si="154"/>
        <v>6</v>
      </c>
      <c r="I1940" s="14">
        <f t="shared" si="150"/>
        <v>1816.25</v>
      </c>
      <c r="K1940" t="str">
        <f>[1]!revcom(C1940)</f>
        <v>TCTCAG</v>
      </c>
      <c r="L1940">
        <v>6</v>
      </c>
    </row>
    <row r="1941" spans="1:12" ht="15.6" x14ac:dyDescent="0.3">
      <c r="A1941" s="9">
        <v>1930</v>
      </c>
      <c r="B1941" s="1"/>
      <c r="C1941" s="2" t="s">
        <v>1936</v>
      </c>
      <c r="D1941" s="1"/>
      <c r="E1941" s="11">
        <f t="shared" si="151"/>
        <v>20</v>
      </c>
      <c r="F1941" s="12">
        <f t="shared" si="152"/>
        <v>66.666666666666657</v>
      </c>
      <c r="G1941" s="12" t="str">
        <f t="shared" si="153"/>
        <v>Warning</v>
      </c>
      <c r="H1941" s="13">
        <f t="shared" si="154"/>
        <v>6</v>
      </c>
      <c r="I1941" s="14">
        <f t="shared" si="150"/>
        <v>1792.2199999999998</v>
      </c>
      <c r="K1941" t="str">
        <f>[1]!revcom(C1941)</f>
        <v>GCTCAG</v>
      </c>
      <c r="L1941">
        <v>6</v>
      </c>
    </row>
    <row r="1942" spans="1:12" ht="15.6" x14ac:dyDescent="0.3">
      <c r="A1942" s="9">
        <v>1931</v>
      </c>
      <c r="B1942" s="1"/>
      <c r="C1942" s="2" t="s">
        <v>1937</v>
      </c>
      <c r="D1942" s="1"/>
      <c r="E1942" s="11">
        <f t="shared" si="151"/>
        <v>20</v>
      </c>
      <c r="F1942" s="12">
        <f t="shared" si="152"/>
        <v>66.666666666666657</v>
      </c>
      <c r="G1942" s="12" t="str">
        <f t="shared" si="153"/>
        <v>Warning</v>
      </c>
      <c r="H1942" s="13">
        <f t="shared" si="154"/>
        <v>6</v>
      </c>
      <c r="I1942" s="14">
        <f t="shared" si="150"/>
        <v>1832.25</v>
      </c>
      <c r="K1942" t="str">
        <f>[1]!revcom(C1942)</f>
        <v>CCTCAG</v>
      </c>
      <c r="L1942">
        <v>6</v>
      </c>
    </row>
    <row r="1943" spans="1:12" ht="15.6" x14ac:dyDescent="0.3">
      <c r="A1943" s="9">
        <v>1932</v>
      </c>
      <c r="B1943" s="1"/>
      <c r="C1943" s="2" t="s">
        <v>1938</v>
      </c>
      <c r="D1943" s="1"/>
      <c r="E1943" s="11">
        <f t="shared" si="151"/>
        <v>14</v>
      </c>
      <c r="F1943" s="12">
        <f t="shared" si="152"/>
        <v>50</v>
      </c>
      <c r="G1943" s="12" t="str">
        <f t="shared" si="153"/>
        <v>OK</v>
      </c>
      <c r="H1943" s="13">
        <f t="shared" si="154"/>
        <v>6</v>
      </c>
      <c r="I1943" s="14">
        <f t="shared" si="150"/>
        <v>1807.23</v>
      </c>
      <c r="K1943" t="str">
        <f>[1]!revcom(C1943)</f>
        <v>ACTCAG</v>
      </c>
      <c r="L1943">
        <v>5</v>
      </c>
    </row>
    <row r="1944" spans="1:12" ht="15.6" x14ac:dyDescent="0.3">
      <c r="A1944" s="9">
        <v>1933</v>
      </c>
      <c r="B1944" s="1"/>
      <c r="C1944" s="2" t="s">
        <v>1939</v>
      </c>
      <c r="D1944" s="1"/>
      <c r="E1944" s="11">
        <f t="shared" si="151"/>
        <v>16</v>
      </c>
      <c r="F1944" s="12">
        <f t="shared" si="152"/>
        <v>33.333333333333329</v>
      </c>
      <c r="G1944" s="12" t="str">
        <f t="shared" si="153"/>
        <v>OK</v>
      </c>
      <c r="H1944" s="13">
        <f t="shared" si="154"/>
        <v>6</v>
      </c>
      <c r="I1944" s="14">
        <f t="shared" si="150"/>
        <v>1791.23</v>
      </c>
      <c r="K1944" t="str">
        <f>[1]!revcom(C1944)</f>
        <v>TATCAG</v>
      </c>
      <c r="L1944">
        <v>5</v>
      </c>
    </row>
    <row r="1945" spans="1:12" ht="15.6" x14ac:dyDescent="0.3">
      <c r="A1945" s="9">
        <v>1934</v>
      </c>
      <c r="B1945" s="1"/>
      <c r="C1945" s="2" t="s">
        <v>1940</v>
      </c>
      <c r="D1945" s="1"/>
      <c r="E1945" s="11">
        <f t="shared" si="151"/>
        <v>14</v>
      </c>
      <c r="F1945" s="12">
        <f t="shared" si="152"/>
        <v>50</v>
      </c>
      <c r="G1945" s="12" t="str">
        <f t="shared" si="153"/>
        <v>OK</v>
      </c>
      <c r="H1945" s="13">
        <f t="shared" si="154"/>
        <v>6</v>
      </c>
      <c r="I1945" s="14">
        <f t="shared" si="150"/>
        <v>1767.1999999999998</v>
      </c>
      <c r="K1945" t="str">
        <f>[1]!revcom(C1945)</f>
        <v>GATCAG</v>
      </c>
      <c r="L1945">
        <v>5</v>
      </c>
    </row>
    <row r="1946" spans="1:12" ht="15.6" x14ac:dyDescent="0.3">
      <c r="A1946" s="9">
        <v>1935</v>
      </c>
      <c r="B1946" s="1"/>
      <c r="C1946" s="2" t="s">
        <v>1941</v>
      </c>
      <c r="D1946" s="1"/>
      <c r="E1946" s="11">
        <f t="shared" si="151"/>
        <v>14</v>
      </c>
      <c r="F1946" s="12">
        <f t="shared" si="152"/>
        <v>50</v>
      </c>
      <c r="G1946" s="12" t="str">
        <f t="shared" si="153"/>
        <v>OK</v>
      </c>
      <c r="H1946" s="13">
        <f t="shared" si="154"/>
        <v>6</v>
      </c>
      <c r="I1946" s="14">
        <f t="shared" si="150"/>
        <v>1807.23</v>
      </c>
      <c r="K1946" t="str">
        <f>[1]!revcom(C1946)</f>
        <v>CATCAG</v>
      </c>
      <c r="L1946">
        <v>5</v>
      </c>
    </row>
    <row r="1947" spans="1:12" ht="15.6" x14ac:dyDescent="0.3">
      <c r="A1947" s="9">
        <v>1936</v>
      </c>
      <c r="B1947" s="1"/>
      <c r="C1947" s="2" t="s">
        <v>1942</v>
      </c>
      <c r="D1947" s="1"/>
      <c r="E1947" s="11">
        <f t="shared" si="151"/>
        <v>8</v>
      </c>
      <c r="F1947" s="12">
        <f t="shared" si="152"/>
        <v>33.333333333333329</v>
      </c>
      <c r="G1947" s="12" t="str">
        <f t="shared" si="153"/>
        <v>OK</v>
      </c>
      <c r="H1947" s="13">
        <f t="shared" si="154"/>
        <v>6</v>
      </c>
      <c r="I1947" s="14">
        <f t="shared" si="150"/>
        <v>1782.21</v>
      </c>
      <c r="K1947" t="str">
        <f>[1]!revcom(C1947)</f>
        <v>AATCAG</v>
      </c>
      <c r="L1947">
        <v>4</v>
      </c>
    </row>
    <row r="1948" spans="1:12" ht="15.6" x14ac:dyDescent="0.3">
      <c r="A1948" s="9">
        <v>1937</v>
      </c>
      <c r="B1948" s="1"/>
      <c r="C1948" s="2" t="s">
        <v>1943</v>
      </c>
      <c r="D1948" s="1"/>
      <c r="E1948" s="11">
        <f t="shared" si="151"/>
        <v>22</v>
      </c>
      <c r="F1948" s="12">
        <f t="shared" si="152"/>
        <v>50</v>
      </c>
      <c r="G1948" s="12" t="str">
        <f t="shared" si="153"/>
        <v>OK</v>
      </c>
      <c r="H1948" s="13">
        <f t="shared" si="154"/>
        <v>6</v>
      </c>
      <c r="I1948" s="14">
        <f t="shared" si="150"/>
        <v>1776.2199999999998</v>
      </c>
      <c r="K1948" t="str">
        <f>[1]!revcom(C1948)</f>
        <v>TTGCAG</v>
      </c>
      <c r="L1948">
        <v>6</v>
      </c>
    </row>
    <row r="1949" spans="1:12" ht="15.6" x14ac:dyDescent="0.3">
      <c r="A1949" s="9">
        <v>1938</v>
      </c>
      <c r="B1949" s="1"/>
      <c r="C1949" s="2" t="s">
        <v>1944</v>
      </c>
      <c r="D1949" s="1"/>
      <c r="E1949" s="11">
        <f t="shared" si="151"/>
        <v>20</v>
      </c>
      <c r="F1949" s="12">
        <f t="shared" si="152"/>
        <v>66.666666666666657</v>
      </c>
      <c r="G1949" s="12" t="str">
        <f t="shared" si="153"/>
        <v>Warning</v>
      </c>
      <c r="H1949" s="13">
        <f t="shared" si="154"/>
        <v>6</v>
      </c>
      <c r="I1949" s="14">
        <f t="shared" si="150"/>
        <v>1752.19</v>
      </c>
      <c r="K1949" t="str">
        <f>[1]!revcom(C1949)</f>
        <v>GTGCAG</v>
      </c>
      <c r="L1949">
        <v>6</v>
      </c>
    </row>
    <row r="1950" spans="1:12" ht="15.6" x14ac:dyDescent="0.3">
      <c r="A1950" s="9">
        <v>1939</v>
      </c>
      <c r="B1950" s="1"/>
      <c r="C1950" s="2" t="s">
        <v>1945</v>
      </c>
      <c r="D1950" s="1"/>
      <c r="E1950" s="11">
        <f t="shared" si="151"/>
        <v>20</v>
      </c>
      <c r="F1950" s="12">
        <f t="shared" si="152"/>
        <v>66.666666666666657</v>
      </c>
      <c r="G1950" s="12" t="str">
        <f t="shared" si="153"/>
        <v>Warning</v>
      </c>
      <c r="H1950" s="13">
        <f t="shared" si="154"/>
        <v>6</v>
      </c>
      <c r="I1950" s="14">
        <f t="shared" si="150"/>
        <v>1792.2199999999998</v>
      </c>
      <c r="K1950" t="str">
        <f>[1]!revcom(C1950)</f>
        <v>CTGCAG</v>
      </c>
      <c r="L1950">
        <v>6</v>
      </c>
    </row>
    <row r="1951" spans="1:12" ht="15.6" x14ac:dyDescent="0.3">
      <c r="A1951" s="9">
        <v>1940</v>
      </c>
      <c r="B1951" s="1"/>
      <c r="C1951" s="2" t="s">
        <v>1946</v>
      </c>
      <c r="D1951" s="1"/>
      <c r="E1951" s="11">
        <f t="shared" si="151"/>
        <v>14</v>
      </c>
      <c r="F1951" s="12">
        <f t="shared" si="152"/>
        <v>50</v>
      </c>
      <c r="G1951" s="12" t="str">
        <f t="shared" si="153"/>
        <v>OK</v>
      </c>
      <c r="H1951" s="13">
        <f t="shared" si="154"/>
        <v>6</v>
      </c>
      <c r="I1951" s="14">
        <f t="shared" si="150"/>
        <v>1767.1999999999998</v>
      </c>
      <c r="K1951" t="str">
        <f>[1]!revcom(C1951)</f>
        <v>ATGCAG</v>
      </c>
      <c r="L1951">
        <v>5</v>
      </c>
    </row>
    <row r="1952" spans="1:12" ht="15.6" x14ac:dyDescent="0.3">
      <c r="A1952" s="9">
        <v>1941</v>
      </c>
      <c r="B1952" s="1"/>
      <c r="C1952" s="2" t="s">
        <v>1947</v>
      </c>
      <c r="D1952" s="1"/>
      <c r="E1952" s="11">
        <f t="shared" si="151"/>
        <v>20</v>
      </c>
      <c r="F1952" s="12">
        <f t="shared" si="152"/>
        <v>66.666666666666657</v>
      </c>
      <c r="G1952" s="12" t="str">
        <f t="shared" si="153"/>
        <v>Warning</v>
      </c>
      <c r="H1952" s="13">
        <f t="shared" si="154"/>
        <v>6</v>
      </c>
      <c r="I1952" s="14">
        <f t="shared" si="150"/>
        <v>1752.19</v>
      </c>
      <c r="K1952" t="str">
        <f>[1]!revcom(C1952)</f>
        <v>TGGCAG</v>
      </c>
      <c r="L1952">
        <v>6</v>
      </c>
    </row>
    <row r="1953" spans="1:12" ht="15.6" x14ac:dyDescent="0.3">
      <c r="A1953" s="9">
        <v>1942</v>
      </c>
      <c r="B1953" s="1"/>
      <c r="C1953" s="2" t="s">
        <v>1948</v>
      </c>
      <c r="D1953" s="1"/>
      <c r="E1953" s="11">
        <f t="shared" si="151"/>
        <v>18</v>
      </c>
      <c r="F1953" s="12">
        <f t="shared" si="152"/>
        <v>83.333333333333343</v>
      </c>
      <c r="G1953" s="12" t="str">
        <f t="shared" si="153"/>
        <v>Warning</v>
      </c>
      <c r="H1953" s="13">
        <f t="shared" si="154"/>
        <v>6</v>
      </c>
      <c r="I1953" s="14">
        <f t="shared" si="150"/>
        <v>1728.1599999999999</v>
      </c>
      <c r="K1953" t="str">
        <f>[1]!revcom(C1953)</f>
        <v>GGGCAG</v>
      </c>
      <c r="L1953">
        <v>5</v>
      </c>
    </row>
    <row r="1954" spans="1:12" ht="15.6" x14ac:dyDescent="0.3">
      <c r="A1954" s="9">
        <v>1943</v>
      </c>
      <c r="B1954" s="1"/>
      <c r="C1954" s="2" t="s">
        <v>1949</v>
      </c>
      <c r="D1954" s="1"/>
      <c r="E1954" s="11">
        <f t="shared" si="151"/>
        <v>18</v>
      </c>
      <c r="F1954" s="12">
        <f t="shared" si="152"/>
        <v>83.333333333333343</v>
      </c>
      <c r="G1954" s="12" t="str">
        <f t="shared" si="153"/>
        <v>Warning</v>
      </c>
      <c r="H1954" s="13">
        <f t="shared" si="154"/>
        <v>6</v>
      </c>
      <c r="I1954" s="14">
        <f t="shared" si="150"/>
        <v>1768.19</v>
      </c>
      <c r="K1954" t="str">
        <f>[1]!revcom(C1954)</f>
        <v>CGGCAG</v>
      </c>
      <c r="L1954">
        <v>5</v>
      </c>
    </row>
    <row r="1955" spans="1:12" ht="15.6" x14ac:dyDescent="0.3">
      <c r="A1955" s="9">
        <v>1944</v>
      </c>
      <c r="B1955" s="1"/>
      <c r="C1955" s="2" t="s">
        <v>1950</v>
      </c>
      <c r="D1955" s="1"/>
      <c r="E1955" s="11">
        <f t="shared" si="151"/>
        <v>12</v>
      </c>
      <c r="F1955" s="12">
        <f t="shared" si="152"/>
        <v>66.666666666666657</v>
      </c>
      <c r="G1955" s="12" t="str">
        <f t="shared" si="153"/>
        <v>Warning</v>
      </c>
      <c r="H1955" s="13">
        <f t="shared" si="154"/>
        <v>6</v>
      </c>
      <c r="I1955" s="14">
        <f t="shared" si="150"/>
        <v>1743.17</v>
      </c>
      <c r="K1955" t="str">
        <f>[1]!revcom(C1955)</f>
        <v>AGGCAG</v>
      </c>
      <c r="L1955">
        <v>4</v>
      </c>
    </row>
    <row r="1956" spans="1:12" ht="15.6" x14ac:dyDescent="0.3">
      <c r="A1956" s="9">
        <v>1945</v>
      </c>
      <c r="B1956" s="1"/>
      <c r="C1956" s="2" t="s">
        <v>1951</v>
      </c>
      <c r="D1956" s="1"/>
      <c r="E1956" s="11">
        <f t="shared" si="151"/>
        <v>20</v>
      </c>
      <c r="F1956" s="12">
        <f t="shared" si="152"/>
        <v>66.666666666666657</v>
      </c>
      <c r="G1956" s="12" t="str">
        <f t="shared" si="153"/>
        <v>Warning</v>
      </c>
      <c r="H1956" s="13">
        <f t="shared" si="154"/>
        <v>6</v>
      </c>
      <c r="I1956" s="14">
        <f t="shared" si="150"/>
        <v>1792.2199999999998</v>
      </c>
      <c r="K1956" t="str">
        <f>[1]!revcom(C1956)</f>
        <v>TCGCAG</v>
      </c>
      <c r="L1956">
        <v>6</v>
      </c>
    </row>
    <row r="1957" spans="1:12" ht="15.6" x14ac:dyDescent="0.3">
      <c r="A1957" s="9">
        <v>1946</v>
      </c>
      <c r="B1957" s="1"/>
      <c r="C1957" s="2" t="s">
        <v>1952</v>
      </c>
      <c r="D1957" s="1"/>
      <c r="E1957" s="11">
        <f t="shared" si="151"/>
        <v>18</v>
      </c>
      <c r="F1957" s="12">
        <f t="shared" si="152"/>
        <v>83.333333333333343</v>
      </c>
      <c r="G1957" s="12" t="str">
        <f t="shared" si="153"/>
        <v>Warning</v>
      </c>
      <c r="H1957" s="13">
        <f t="shared" si="154"/>
        <v>6</v>
      </c>
      <c r="I1957" s="14">
        <f t="shared" si="150"/>
        <v>1768.19</v>
      </c>
      <c r="K1957" t="str">
        <f>[1]!revcom(C1957)</f>
        <v>GCGCAG</v>
      </c>
      <c r="L1957">
        <v>5</v>
      </c>
    </row>
    <row r="1958" spans="1:12" ht="15.6" x14ac:dyDescent="0.3">
      <c r="A1958" s="9">
        <v>1947</v>
      </c>
      <c r="B1958" s="1"/>
      <c r="C1958" s="2" t="s">
        <v>1953</v>
      </c>
      <c r="D1958" s="1"/>
      <c r="E1958" s="11">
        <f t="shared" si="151"/>
        <v>18</v>
      </c>
      <c r="F1958" s="12">
        <f t="shared" si="152"/>
        <v>83.333333333333343</v>
      </c>
      <c r="G1958" s="12" t="str">
        <f t="shared" si="153"/>
        <v>Warning</v>
      </c>
      <c r="H1958" s="13">
        <f t="shared" si="154"/>
        <v>6</v>
      </c>
      <c r="I1958" s="14">
        <f t="shared" si="150"/>
        <v>1808.2200000000003</v>
      </c>
      <c r="K1958" t="str">
        <f>[1]!revcom(C1958)</f>
        <v>CCGCAG</v>
      </c>
      <c r="L1958">
        <v>5</v>
      </c>
    </row>
    <row r="1959" spans="1:12" ht="15.6" x14ac:dyDescent="0.3">
      <c r="A1959" s="9">
        <v>1948</v>
      </c>
      <c r="B1959" s="1"/>
      <c r="C1959" s="2" t="s">
        <v>1954</v>
      </c>
      <c r="D1959" s="1"/>
      <c r="E1959" s="11">
        <f t="shared" si="151"/>
        <v>12</v>
      </c>
      <c r="F1959" s="12">
        <f t="shared" si="152"/>
        <v>66.666666666666657</v>
      </c>
      <c r="G1959" s="12" t="str">
        <f t="shared" si="153"/>
        <v>Warning</v>
      </c>
      <c r="H1959" s="13">
        <f t="shared" si="154"/>
        <v>6</v>
      </c>
      <c r="I1959" s="14">
        <f t="shared" si="150"/>
        <v>1783.1999999999998</v>
      </c>
      <c r="K1959" t="str">
        <f>[1]!revcom(C1959)</f>
        <v>ACGCAG</v>
      </c>
      <c r="L1959">
        <v>4</v>
      </c>
    </row>
    <row r="1960" spans="1:12" ht="15.6" x14ac:dyDescent="0.3">
      <c r="A1960" s="9">
        <v>1949</v>
      </c>
      <c r="B1960" s="1"/>
      <c r="C1960" s="2" t="s">
        <v>1955</v>
      </c>
      <c r="D1960" s="1"/>
      <c r="E1960" s="11">
        <f t="shared" si="151"/>
        <v>14</v>
      </c>
      <c r="F1960" s="12">
        <f t="shared" si="152"/>
        <v>50</v>
      </c>
      <c r="G1960" s="12" t="str">
        <f t="shared" si="153"/>
        <v>OK</v>
      </c>
      <c r="H1960" s="13">
        <f t="shared" si="154"/>
        <v>6</v>
      </c>
      <c r="I1960" s="14">
        <f t="shared" si="150"/>
        <v>1767.1999999999998</v>
      </c>
      <c r="K1960" t="str">
        <f>[1]!revcom(C1960)</f>
        <v>TAGCAG</v>
      </c>
      <c r="L1960">
        <v>5</v>
      </c>
    </row>
    <row r="1961" spans="1:12" ht="15.6" x14ac:dyDescent="0.3">
      <c r="A1961" s="9">
        <v>1950</v>
      </c>
      <c r="B1961" s="1"/>
      <c r="C1961" s="2" t="s">
        <v>1956</v>
      </c>
      <c r="D1961" s="1"/>
      <c r="E1961" s="11">
        <f t="shared" si="151"/>
        <v>12</v>
      </c>
      <c r="F1961" s="12">
        <f t="shared" si="152"/>
        <v>66.666666666666657</v>
      </c>
      <c r="G1961" s="12" t="str">
        <f t="shared" si="153"/>
        <v>Warning</v>
      </c>
      <c r="H1961" s="13">
        <f t="shared" si="154"/>
        <v>6</v>
      </c>
      <c r="I1961" s="14">
        <f t="shared" si="150"/>
        <v>1743.17</v>
      </c>
      <c r="K1961" t="str">
        <f>[1]!revcom(C1961)</f>
        <v>GAGCAG</v>
      </c>
      <c r="L1961">
        <v>4</v>
      </c>
    </row>
    <row r="1962" spans="1:12" ht="15.6" x14ac:dyDescent="0.3">
      <c r="A1962" s="9">
        <v>1951</v>
      </c>
      <c r="B1962" s="1"/>
      <c r="C1962" s="2" t="s">
        <v>1957</v>
      </c>
      <c r="D1962" s="1"/>
      <c r="E1962" s="11">
        <f t="shared" si="151"/>
        <v>12</v>
      </c>
      <c r="F1962" s="12">
        <f t="shared" si="152"/>
        <v>66.666666666666657</v>
      </c>
      <c r="G1962" s="12" t="str">
        <f t="shared" si="153"/>
        <v>Warning</v>
      </c>
      <c r="H1962" s="13">
        <f t="shared" si="154"/>
        <v>6</v>
      </c>
      <c r="I1962" s="14">
        <f t="shared" si="150"/>
        <v>1783.1999999999998</v>
      </c>
      <c r="K1962" t="str">
        <f>[1]!revcom(C1962)</f>
        <v>CAGCAG</v>
      </c>
      <c r="L1962">
        <v>4</v>
      </c>
    </row>
    <row r="1963" spans="1:12" ht="15.6" x14ac:dyDescent="0.3">
      <c r="A1963" s="9">
        <v>1952</v>
      </c>
      <c r="B1963" s="1"/>
      <c r="C1963" s="2" t="s">
        <v>1958</v>
      </c>
      <c r="D1963" s="1"/>
      <c r="E1963" s="11">
        <f t="shared" si="151"/>
        <v>6</v>
      </c>
      <c r="F1963" s="12">
        <f t="shared" si="152"/>
        <v>50</v>
      </c>
      <c r="G1963" s="12" t="str">
        <f t="shared" si="153"/>
        <v>OK</v>
      </c>
      <c r="H1963" s="13">
        <f t="shared" si="154"/>
        <v>6</v>
      </c>
      <c r="I1963" s="14">
        <f t="shared" si="150"/>
        <v>1758.1799999999998</v>
      </c>
      <c r="K1963" t="str">
        <f>[1]!revcom(C1963)</f>
        <v>AAGCAG</v>
      </c>
      <c r="L1963">
        <v>3</v>
      </c>
    </row>
    <row r="1964" spans="1:12" ht="15.6" x14ac:dyDescent="0.3">
      <c r="A1964" s="9">
        <v>1953</v>
      </c>
      <c r="B1964" s="1"/>
      <c r="C1964" s="2" t="s">
        <v>1959</v>
      </c>
      <c r="D1964" s="1"/>
      <c r="E1964" s="11">
        <f t="shared" si="151"/>
        <v>22</v>
      </c>
      <c r="F1964" s="12">
        <f t="shared" si="152"/>
        <v>50</v>
      </c>
      <c r="G1964" s="12" t="str">
        <f t="shared" si="153"/>
        <v>OK</v>
      </c>
      <c r="H1964" s="13">
        <f t="shared" si="154"/>
        <v>6</v>
      </c>
      <c r="I1964" s="14">
        <f t="shared" si="150"/>
        <v>1816.25</v>
      </c>
      <c r="K1964" t="str">
        <f>[1]!revcom(C1964)</f>
        <v>TTCCAG</v>
      </c>
      <c r="L1964">
        <v>6</v>
      </c>
    </row>
    <row r="1965" spans="1:12" ht="15.6" x14ac:dyDescent="0.3">
      <c r="A1965" s="9">
        <v>1954</v>
      </c>
      <c r="B1965" s="1"/>
      <c r="C1965" s="2" t="s">
        <v>1960</v>
      </c>
      <c r="D1965" s="1"/>
      <c r="E1965" s="11">
        <f t="shared" si="151"/>
        <v>20</v>
      </c>
      <c r="F1965" s="12">
        <f t="shared" si="152"/>
        <v>66.666666666666657</v>
      </c>
      <c r="G1965" s="12" t="str">
        <f t="shared" si="153"/>
        <v>Warning</v>
      </c>
      <c r="H1965" s="13">
        <f t="shared" si="154"/>
        <v>6</v>
      </c>
      <c r="I1965" s="14">
        <f t="shared" si="150"/>
        <v>1792.2199999999998</v>
      </c>
      <c r="K1965" t="str">
        <f>[1]!revcom(C1965)</f>
        <v>GTCCAG</v>
      </c>
      <c r="L1965">
        <v>6</v>
      </c>
    </row>
    <row r="1966" spans="1:12" ht="15.6" x14ac:dyDescent="0.3">
      <c r="A1966" s="9">
        <v>1955</v>
      </c>
      <c r="B1966" s="1"/>
      <c r="C1966" s="2" t="s">
        <v>1961</v>
      </c>
      <c r="D1966" s="1"/>
      <c r="E1966" s="11">
        <f t="shared" si="151"/>
        <v>20</v>
      </c>
      <c r="F1966" s="12">
        <f t="shared" si="152"/>
        <v>66.666666666666657</v>
      </c>
      <c r="G1966" s="12" t="str">
        <f t="shared" si="153"/>
        <v>Warning</v>
      </c>
      <c r="H1966" s="13">
        <f t="shared" si="154"/>
        <v>6</v>
      </c>
      <c r="I1966" s="14">
        <f t="shared" si="150"/>
        <v>1832.25</v>
      </c>
      <c r="K1966" t="str">
        <f>[1]!revcom(C1966)</f>
        <v>CTCCAG</v>
      </c>
      <c r="L1966">
        <v>6</v>
      </c>
    </row>
    <row r="1967" spans="1:12" ht="15.6" x14ac:dyDescent="0.3">
      <c r="A1967" s="9">
        <v>1956</v>
      </c>
      <c r="B1967" s="1"/>
      <c r="C1967" s="2" t="s">
        <v>1962</v>
      </c>
      <c r="D1967" s="1"/>
      <c r="E1967" s="11">
        <f t="shared" si="151"/>
        <v>14</v>
      </c>
      <c r="F1967" s="12">
        <f t="shared" si="152"/>
        <v>50</v>
      </c>
      <c r="G1967" s="12" t="str">
        <f t="shared" si="153"/>
        <v>OK</v>
      </c>
      <c r="H1967" s="13">
        <f t="shared" si="154"/>
        <v>6</v>
      </c>
      <c r="I1967" s="14">
        <f t="shared" si="150"/>
        <v>1807.23</v>
      </c>
      <c r="K1967" t="str">
        <f>[1]!revcom(C1967)</f>
        <v>ATCCAG</v>
      </c>
      <c r="L1967">
        <v>5</v>
      </c>
    </row>
    <row r="1968" spans="1:12" ht="15.6" x14ac:dyDescent="0.3">
      <c r="A1968" s="9">
        <v>1957</v>
      </c>
      <c r="B1968" s="1"/>
      <c r="C1968" s="2" t="s">
        <v>1963</v>
      </c>
      <c r="D1968" s="1"/>
      <c r="E1968" s="11">
        <f t="shared" si="151"/>
        <v>20</v>
      </c>
      <c r="F1968" s="12">
        <f t="shared" si="152"/>
        <v>66.666666666666657</v>
      </c>
      <c r="G1968" s="12" t="str">
        <f t="shared" si="153"/>
        <v>Warning</v>
      </c>
      <c r="H1968" s="13">
        <f t="shared" si="154"/>
        <v>6</v>
      </c>
      <c r="I1968" s="14">
        <f t="shared" si="150"/>
        <v>1792.2199999999998</v>
      </c>
      <c r="K1968" t="str">
        <f>[1]!revcom(C1968)</f>
        <v>TGCCAG</v>
      </c>
      <c r="L1968">
        <v>6</v>
      </c>
    </row>
    <row r="1969" spans="1:12" ht="15.6" x14ac:dyDescent="0.3">
      <c r="A1969" s="9">
        <v>1958</v>
      </c>
      <c r="B1969" s="1"/>
      <c r="C1969" s="2" t="s">
        <v>1964</v>
      </c>
      <c r="D1969" s="1"/>
      <c r="E1969" s="11">
        <f t="shared" si="151"/>
        <v>18</v>
      </c>
      <c r="F1969" s="12">
        <f t="shared" si="152"/>
        <v>83.333333333333343</v>
      </c>
      <c r="G1969" s="12" t="str">
        <f t="shared" si="153"/>
        <v>Warning</v>
      </c>
      <c r="H1969" s="13">
        <f t="shared" si="154"/>
        <v>6</v>
      </c>
      <c r="I1969" s="14">
        <f t="shared" si="150"/>
        <v>1768.19</v>
      </c>
      <c r="K1969" t="str">
        <f>[1]!revcom(C1969)</f>
        <v>GGCCAG</v>
      </c>
      <c r="L1969">
        <v>5</v>
      </c>
    </row>
    <row r="1970" spans="1:12" ht="15.6" x14ac:dyDescent="0.3">
      <c r="A1970" s="9">
        <v>1959</v>
      </c>
      <c r="B1970" s="1"/>
      <c r="C1970" s="2" t="s">
        <v>1965</v>
      </c>
      <c r="D1970" s="1"/>
      <c r="E1970" s="11">
        <f t="shared" si="151"/>
        <v>18</v>
      </c>
      <c r="F1970" s="12">
        <f t="shared" si="152"/>
        <v>83.333333333333343</v>
      </c>
      <c r="G1970" s="12" t="str">
        <f t="shared" si="153"/>
        <v>Warning</v>
      </c>
      <c r="H1970" s="13">
        <f t="shared" si="154"/>
        <v>6</v>
      </c>
      <c r="I1970" s="14">
        <f t="shared" si="150"/>
        <v>1808.2200000000003</v>
      </c>
      <c r="K1970" t="str">
        <f>[1]!revcom(C1970)</f>
        <v>CGCCAG</v>
      </c>
      <c r="L1970">
        <v>5</v>
      </c>
    </row>
    <row r="1971" spans="1:12" ht="15.6" x14ac:dyDescent="0.3">
      <c r="A1971" s="9">
        <v>1960</v>
      </c>
      <c r="B1971" s="1"/>
      <c r="C1971" s="2" t="s">
        <v>1966</v>
      </c>
      <c r="D1971" s="1"/>
      <c r="E1971" s="11">
        <f t="shared" si="151"/>
        <v>12</v>
      </c>
      <c r="F1971" s="12">
        <f t="shared" si="152"/>
        <v>66.666666666666657</v>
      </c>
      <c r="G1971" s="12" t="str">
        <f t="shared" si="153"/>
        <v>Warning</v>
      </c>
      <c r="H1971" s="13">
        <f t="shared" si="154"/>
        <v>6</v>
      </c>
      <c r="I1971" s="14">
        <f t="shared" si="150"/>
        <v>1783.1999999999998</v>
      </c>
      <c r="K1971" t="str">
        <f>[1]!revcom(C1971)</f>
        <v>AGCCAG</v>
      </c>
      <c r="L1971">
        <v>4</v>
      </c>
    </row>
    <row r="1972" spans="1:12" ht="15.6" x14ac:dyDescent="0.3">
      <c r="A1972" s="9">
        <v>1961</v>
      </c>
      <c r="B1972" s="1"/>
      <c r="C1972" s="2" t="s">
        <v>1967</v>
      </c>
      <c r="D1972" s="1"/>
      <c r="E1972" s="11">
        <f t="shared" si="151"/>
        <v>20</v>
      </c>
      <c r="F1972" s="12">
        <f t="shared" si="152"/>
        <v>66.666666666666657</v>
      </c>
      <c r="G1972" s="12" t="str">
        <f t="shared" si="153"/>
        <v>Warning</v>
      </c>
      <c r="H1972" s="13">
        <f t="shared" si="154"/>
        <v>6</v>
      </c>
      <c r="I1972" s="14">
        <f t="shared" si="150"/>
        <v>1832.25</v>
      </c>
      <c r="K1972" t="str">
        <f>[1]!revcom(C1972)</f>
        <v>TCCCAG</v>
      </c>
      <c r="L1972">
        <v>6</v>
      </c>
    </row>
    <row r="1973" spans="1:12" ht="15.6" x14ac:dyDescent="0.3">
      <c r="A1973" s="9">
        <v>1962</v>
      </c>
      <c r="B1973" s="1"/>
      <c r="C1973" s="2" t="s">
        <v>1968</v>
      </c>
      <c r="D1973" s="1"/>
      <c r="E1973" s="11">
        <f t="shared" si="151"/>
        <v>18</v>
      </c>
      <c r="F1973" s="12">
        <f t="shared" si="152"/>
        <v>83.333333333333343</v>
      </c>
      <c r="G1973" s="12" t="str">
        <f t="shared" si="153"/>
        <v>Warning</v>
      </c>
      <c r="H1973" s="13">
        <f t="shared" si="154"/>
        <v>6</v>
      </c>
      <c r="I1973" s="14">
        <f t="shared" si="150"/>
        <v>1808.2200000000003</v>
      </c>
      <c r="K1973" t="str">
        <f>[1]!revcom(C1973)</f>
        <v>GCCCAG</v>
      </c>
      <c r="L1973">
        <v>5</v>
      </c>
    </row>
    <row r="1974" spans="1:12" ht="15.6" x14ac:dyDescent="0.3">
      <c r="A1974" s="9">
        <v>1963</v>
      </c>
      <c r="B1974" s="1"/>
      <c r="C1974" s="2" t="s">
        <v>1969</v>
      </c>
      <c r="D1974" s="1"/>
      <c r="E1974" s="11">
        <f t="shared" si="151"/>
        <v>18</v>
      </c>
      <c r="F1974" s="12">
        <f t="shared" si="152"/>
        <v>83.333333333333343</v>
      </c>
      <c r="G1974" s="12" t="str">
        <f t="shared" si="153"/>
        <v>Warning</v>
      </c>
      <c r="H1974" s="13">
        <f t="shared" si="154"/>
        <v>6</v>
      </c>
      <c r="I1974" s="14">
        <f t="shared" si="150"/>
        <v>1848.25</v>
      </c>
      <c r="K1974" t="str">
        <f>[1]!revcom(C1974)</f>
        <v>CCCCAG</v>
      </c>
      <c r="L1974">
        <v>5</v>
      </c>
    </row>
    <row r="1975" spans="1:12" ht="15.6" x14ac:dyDescent="0.3">
      <c r="A1975" s="9">
        <v>1964</v>
      </c>
      <c r="B1975" s="1"/>
      <c r="C1975" s="2" t="s">
        <v>1970</v>
      </c>
      <c r="D1975" s="1"/>
      <c r="E1975" s="11">
        <f t="shared" si="151"/>
        <v>12</v>
      </c>
      <c r="F1975" s="12">
        <f t="shared" si="152"/>
        <v>66.666666666666657</v>
      </c>
      <c r="G1975" s="12" t="str">
        <f t="shared" si="153"/>
        <v>Warning</v>
      </c>
      <c r="H1975" s="13">
        <f t="shared" si="154"/>
        <v>6</v>
      </c>
      <c r="I1975" s="14">
        <f t="shared" si="150"/>
        <v>1823.23</v>
      </c>
      <c r="K1975" t="str">
        <f>[1]!revcom(C1975)</f>
        <v>ACCCAG</v>
      </c>
      <c r="L1975">
        <v>4</v>
      </c>
    </row>
    <row r="1976" spans="1:12" ht="15.6" x14ac:dyDescent="0.3">
      <c r="A1976" s="9">
        <v>1965</v>
      </c>
      <c r="B1976" s="1"/>
      <c r="C1976" s="2" t="s">
        <v>1971</v>
      </c>
      <c r="D1976" s="1"/>
      <c r="E1976" s="11">
        <f t="shared" si="151"/>
        <v>14</v>
      </c>
      <c r="F1976" s="12">
        <f t="shared" si="152"/>
        <v>50</v>
      </c>
      <c r="G1976" s="12" t="str">
        <f t="shared" si="153"/>
        <v>OK</v>
      </c>
      <c r="H1976" s="13">
        <f t="shared" si="154"/>
        <v>6</v>
      </c>
      <c r="I1976" s="14">
        <f t="shared" si="150"/>
        <v>1807.23</v>
      </c>
      <c r="K1976" t="str">
        <f>[1]!revcom(C1976)</f>
        <v>TACCAG</v>
      </c>
      <c r="L1976">
        <v>5</v>
      </c>
    </row>
    <row r="1977" spans="1:12" ht="15.6" x14ac:dyDescent="0.3">
      <c r="A1977" s="9">
        <v>1966</v>
      </c>
      <c r="B1977" s="1"/>
      <c r="C1977" s="2" t="s">
        <v>1972</v>
      </c>
      <c r="D1977" s="1"/>
      <c r="E1977" s="11">
        <f t="shared" si="151"/>
        <v>12</v>
      </c>
      <c r="F1977" s="12">
        <f t="shared" si="152"/>
        <v>66.666666666666657</v>
      </c>
      <c r="G1977" s="12" t="str">
        <f t="shared" si="153"/>
        <v>Warning</v>
      </c>
      <c r="H1977" s="13">
        <f t="shared" si="154"/>
        <v>6</v>
      </c>
      <c r="I1977" s="14">
        <f t="shared" si="150"/>
        <v>1783.1999999999998</v>
      </c>
      <c r="K1977" t="str">
        <f>[1]!revcom(C1977)</f>
        <v>GACCAG</v>
      </c>
      <c r="L1977">
        <v>4</v>
      </c>
    </row>
    <row r="1978" spans="1:12" ht="15.6" x14ac:dyDescent="0.3">
      <c r="A1978" s="9">
        <v>1967</v>
      </c>
      <c r="B1978" s="1"/>
      <c r="C1978" s="2" t="s">
        <v>1973</v>
      </c>
      <c r="D1978" s="1"/>
      <c r="E1978" s="11">
        <f t="shared" si="151"/>
        <v>12</v>
      </c>
      <c r="F1978" s="12">
        <f t="shared" si="152"/>
        <v>66.666666666666657</v>
      </c>
      <c r="G1978" s="12" t="str">
        <f t="shared" si="153"/>
        <v>Warning</v>
      </c>
      <c r="H1978" s="13">
        <f t="shared" si="154"/>
        <v>6</v>
      </c>
      <c r="I1978" s="14">
        <f t="shared" si="150"/>
        <v>1823.23</v>
      </c>
      <c r="K1978" t="str">
        <f>[1]!revcom(C1978)</f>
        <v>CACCAG</v>
      </c>
      <c r="L1978">
        <v>4</v>
      </c>
    </row>
    <row r="1979" spans="1:12" ht="15.6" x14ac:dyDescent="0.3">
      <c r="A1979" s="9">
        <v>1968</v>
      </c>
      <c r="B1979" s="1"/>
      <c r="C1979" s="2" t="s">
        <v>1974</v>
      </c>
      <c r="D1979" s="1"/>
      <c r="E1979" s="11">
        <f t="shared" si="151"/>
        <v>6</v>
      </c>
      <c r="F1979" s="12">
        <f t="shared" si="152"/>
        <v>50</v>
      </c>
      <c r="G1979" s="12" t="str">
        <f t="shared" si="153"/>
        <v>OK</v>
      </c>
      <c r="H1979" s="13">
        <f t="shared" si="154"/>
        <v>6</v>
      </c>
      <c r="I1979" s="14">
        <f t="shared" si="150"/>
        <v>1798.21</v>
      </c>
      <c r="K1979" t="str">
        <f>[1]!revcom(C1979)</f>
        <v>AACCAG</v>
      </c>
      <c r="L1979">
        <v>3</v>
      </c>
    </row>
    <row r="1980" spans="1:12" ht="15.6" x14ac:dyDescent="0.3">
      <c r="A1980" s="9">
        <v>1969</v>
      </c>
      <c r="B1980" s="1"/>
      <c r="C1980" s="2" t="s">
        <v>1975</v>
      </c>
      <c r="D1980" s="1"/>
      <c r="E1980" s="11">
        <f t="shared" si="151"/>
        <v>16</v>
      </c>
      <c r="F1980" s="12">
        <f t="shared" si="152"/>
        <v>33.333333333333329</v>
      </c>
      <c r="G1980" s="12" t="str">
        <f t="shared" si="153"/>
        <v>OK</v>
      </c>
      <c r="H1980" s="13">
        <f t="shared" si="154"/>
        <v>6</v>
      </c>
      <c r="I1980" s="14">
        <f t="shared" si="150"/>
        <v>1791.23</v>
      </c>
      <c r="K1980" t="str">
        <f>[1]!revcom(C1980)</f>
        <v>TTACAG</v>
      </c>
      <c r="L1980">
        <v>5</v>
      </c>
    </row>
    <row r="1981" spans="1:12" ht="15.6" x14ac:dyDescent="0.3">
      <c r="A1981" s="9">
        <v>1970</v>
      </c>
      <c r="B1981" s="1"/>
      <c r="C1981" s="2" t="s">
        <v>1976</v>
      </c>
      <c r="D1981" s="1"/>
      <c r="E1981" s="11">
        <f t="shared" si="151"/>
        <v>14</v>
      </c>
      <c r="F1981" s="12">
        <f t="shared" si="152"/>
        <v>50</v>
      </c>
      <c r="G1981" s="12" t="str">
        <f t="shared" si="153"/>
        <v>OK</v>
      </c>
      <c r="H1981" s="13">
        <f t="shared" si="154"/>
        <v>6</v>
      </c>
      <c r="I1981" s="14">
        <f t="shared" si="150"/>
        <v>1767.1999999999998</v>
      </c>
      <c r="K1981" t="str">
        <f>[1]!revcom(C1981)</f>
        <v>GTACAG</v>
      </c>
      <c r="L1981">
        <v>5</v>
      </c>
    </row>
    <row r="1982" spans="1:12" ht="15.6" x14ac:dyDescent="0.3">
      <c r="A1982" s="9">
        <v>1971</v>
      </c>
      <c r="B1982" s="1"/>
      <c r="C1982" s="2" t="s">
        <v>1977</v>
      </c>
      <c r="D1982" s="1"/>
      <c r="E1982" s="11">
        <f t="shared" si="151"/>
        <v>14</v>
      </c>
      <c r="F1982" s="12">
        <f t="shared" si="152"/>
        <v>50</v>
      </c>
      <c r="G1982" s="12" t="str">
        <f t="shared" si="153"/>
        <v>OK</v>
      </c>
      <c r="H1982" s="13">
        <f t="shared" si="154"/>
        <v>6</v>
      </c>
      <c r="I1982" s="14">
        <f t="shared" si="150"/>
        <v>1807.23</v>
      </c>
      <c r="K1982" t="str">
        <f>[1]!revcom(C1982)</f>
        <v>CTACAG</v>
      </c>
      <c r="L1982">
        <v>5</v>
      </c>
    </row>
    <row r="1983" spans="1:12" ht="15.6" x14ac:dyDescent="0.3">
      <c r="A1983" s="9">
        <v>1972</v>
      </c>
      <c r="B1983" s="1"/>
      <c r="C1983" s="2" t="s">
        <v>1978</v>
      </c>
      <c r="D1983" s="1"/>
      <c r="E1983" s="11">
        <f t="shared" si="151"/>
        <v>8</v>
      </c>
      <c r="F1983" s="12">
        <f t="shared" si="152"/>
        <v>33.333333333333329</v>
      </c>
      <c r="G1983" s="12" t="str">
        <f t="shared" si="153"/>
        <v>OK</v>
      </c>
      <c r="H1983" s="13">
        <f t="shared" si="154"/>
        <v>6</v>
      </c>
      <c r="I1983" s="14">
        <f t="shared" si="150"/>
        <v>1782.21</v>
      </c>
      <c r="K1983" t="str">
        <f>[1]!revcom(C1983)</f>
        <v>ATACAG</v>
      </c>
      <c r="L1983">
        <v>4</v>
      </c>
    </row>
    <row r="1984" spans="1:12" ht="15.6" x14ac:dyDescent="0.3">
      <c r="A1984" s="9">
        <v>1973</v>
      </c>
      <c r="B1984" s="1"/>
      <c r="C1984" s="2" t="s">
        <v>1979</v>
      </c>
      <c r="D1984" s="1"/>
      <c r="E1984" s="11">
        <f t="shared" si="151"/>
        <v>14</v>
      </c>
      <c r="F1984" s="12">
        <f t="shared" si="152"/>
        <v>50</v>
      </c>
      <c r="G1984" s="12" t="str">
        <f t="shared" si="153"/>
        <v>OK</v>
      </c>
      <c r="H1984" s="13">
        <f t="shared" si="154"/>
        <v>6</v>
      </c>
      <c r="I1984" s="14">
        <f t="shared" si="150"/>
        <v>1767.1999999999998</v>
      </c>
      <c r="K1984" t="str">
        <f>[1]!revcom(C1984)</f>
        <v>TGACAG</v>
      </c>
      <c r="L1984">
        <v>5</v>
      </c>
    </row>
    <row r="1985" spans="1:12" ht="15.6" x14ac:dyDescent="0.3">
      <c r="A1985" s="9">
        <v>1974</v>
      </c>
      <c r="B1985" s="1"/>
      <c r="C1985" s="2" t="s">
        <v>1980</v>
      </c>
      <c r="D1985" s="1"/>
      <c r="E1985" s="11">
        <f t="shared" si="151"/>
        <v>12</v>
      </c>
      <c r="F1985" s="12">
        <f t="shared" si="152"/>
        <v>66.666666666666657</v>
      </c>
      <c r="G1985" s="12" t="str">
        <f t="shared" si="153"/>
        <v>Warning</v>
      </c>
      <c r="H1985" s="13">
        <f t="shared" si="154"/>
        <v>6</v>
      </c>
      <c r="I1985" s="14">
        <f t="shared" si="150"/>
        <v>1743.17</v>
      </c>
      <c r="K1985" t="str">
        <f>[1]!revcom(C1985)</f>
        <v>GGACAG</v>
      </c>
      <c r="L1985">
        <v>4</v>
      </c>
    </row>
    <row r="1986" spans="1:12" ht="15.6" x14ac:dyDescent="0.3">
      <c r="A1986" s="9">
        <v>1975</v>
      </c>
      <c r="B1986" s="1"/>
      <c r="C1986" s="2" t="s">
        <v>1981</v>
      </c>
      <c r="D1986" s="1"/>
      <c r="E1986" s="11">
        <f t="shared" si="151"/>
        <v>12</v>
      </c>
      <c r="F1986" s="12">
        <f t="shared" si="152"/>
        <v>66.666666666666657</v>
      </c>
      <c r="G1986" s="12" t="str">
        <f t="shared" si="153"/>
        <v>Warning</v>
      </c>
      <c r="H1986" s="13">
        <f t="shared" si="154"/>
        <v>6</v>
      </c>
      <c r="I1986" s="14">
        <f t="shared" si="150"/>
        <v>1783.1999999999998</v>
      </c>
      <c r="K1986" t="str">
        <f>[1]!revcom(C1986)</f>
        <v>CGACAG</v>
      </c>
      <c r="L1986">
        <v>4</v>
      </c>
    </row>
    <row r="1987" spans="1:12" ht="15.6" x14ac:dyDescent="0.3">
      <c r="A1987" s="9">
        <v>1976</v>
      </c>
      <c r="B1987" s="1"/>
      <c r="C1987" s="2" t="s">
        <v>1982</v>
      </c>
      <c r="D1987" s="1"/>
      <c r="E1987" s="11">
        <f t="shared" si="151"/>
        <v>6</v>
      </c>
      <c r="F1987" s="12">
        <f t="shared" si="152"/>
        <v>50</v>
      </c>
      <c r="G1987" s="12" t="str">
        <f t="shared" si="153"/>
        <v>OK</v>
      </c>
      <c r="H1987" s="13">
        <f t="shared" si="154"/>
        <v>6</v>
      </c>
      <c r="I1987" s="14">
        <f t="shared" si="150"/>
        <v>1758.1799999999998</v>
      </c>
      <c r="K1987" t="str">
        <f>[1]!revcom(C1987)</f>
        <v>AGACAG</v>
      </c>
      <c r="L1987">
        <v>3</v>
      </c>
    </row>
    <row r="1988" spans="1:12" ht="15.6" x14ac:dyDescent="0.3">
      <c r="A1988" s="9">
        <v>1977</v>
      </c>
      <c r="B1988" s="1"/>
      <c r="C1988" s="2" t="s">
        <v>1983</v>
      </c>
      <c r="D1988" s="1"/>
      <c r="E1988" s="11">
        <f t="shared" si="151"/>
        <v>14</v>
      </c>
      <c r="F1988" s="12">
        <f t="shared" si="152"/>
        <v>50</v>
      </c>
      <c r="G1988" s="12" t="str">
        <f t="shared" si="153"/>
        <v>OK</v>
      </c>
      <c r="H1988" s="13">
        <f t="shared" si="154"/>
        <v>6</v>
      </c>
      <c r="I1988" s="14">
        <f t="shared" si="150"/>
        <v>1807.23</v>
      </c>
      <c r="K1988" t="str">
        <f>[1]!revcom(C1988)</f>
        <v>TCACAG</v>
      </c>
      <c r="L1988">
        <v>5</v>
      </c>
    </row>
    <row r="1989" spans="1:12" ht="15.6" x14ac:dyDescent="0.3">
      <c r="A1989" s="9">
        <v>1978</v>
      </c>
      <c r="B1989" s="1"/>
      <c r="C1989" s="2" t="s">
        <v>1984</v>
      </c>
      <c r="D1989" s="1"/>
      <c r="E1989" s="11">
        <f t="shared" si="151"/>
        <v>12</v>
      </c>
      <c r="F1989" s="12">
        <f t="shared" si="152"/>
        <v>66.666666666666657</v>
      </c>
      <c r="G1989" s="12" t="str">
        <f t="shared" si="153"/>
        <v>Warning</v>
      </c>
      <c r="H1989" s="13">
        <f t="shared" si="154"/>
        <v>6</v>
      </c>
      <c r="I1989" s="14">
        <f t="shared" si="150"/>
        <v>1783.1999999999998</v>
      </c>
      <c r="K1989" t="str">
        <f>[1]!revcom(C1989)</f>
        <v>GCACAG</v>
      </c>
      <c r="L1989">
        <v>4</v>
      </c>
    </row>
    <row r="1990" spans="1:12" ht="15.6" x14ac:dyDescent="0.3">
      <c r="A1990" s="9">
        <v>1979</v>
      </c>
      <c r="B1990" s="1"/>
      <c r="C1990" s="2" t="s">
        <v>1985</v>
      </c>
      <c r="D1990" s="1"/>
      <c r="E1990" s="11">
        <f t="shared" si="151"/>
        <v>12</v>
      </c>
      <c r="F1990" s="12">
        <f t="shared" si="152"/>
        <v>66.666666666666657</v>
      </c>
      <c r="G1990" s="12" t="str">
        <f t="shared" si="153"/>
        <v>Warning</v>
      </c>
      <c r="H1990" s="13">
        <f t="shared" si="154"/>
        <v>6</v>
      </c>
      <c r="I1990" s="14">
        <f t="shared" si="150"/>
        <v>1823.23</v>
      </c>
      <c r="K1990" t="str">
        <f>[1]!revcom(C1990)</f>
        <v>CCACAG</v>
      </c>
      <c r="L1990">
        <v>4</v>
      </c>
    </row>
    <row r="1991" spans="1:12" ht="15.6" x14ac:dyDescent="0.3">
      <c r="A1991" s="9">
        <v>1980</v>
      </c>
      <c r="B1991" s="1"/>
      <c r="C1991" s="2" t="s">
        <v>1986</v>
      </c>
      <c r="D1991" s="1"/>
      <c r="E1991" s="11">
        <f t="shared" si="151"/>
        <v>6</v>
      </c>
      <c r="F1991" s="12">
        <f t="shared" si="152"/>
        <v>50</v>
      </c>
      <c r="G1991" s="12" t="str">
        <f t="shared" si="153"/>
        <v>OK</v>
      </c>
      <c r="H1991" s="13">
        <f t="shared" si="154"/>
        <v>6</v>
      </c>
      <c r="I1991" s="14">
        <f t="shared" si="150"/>
        <v>1798.21</v>
      </c>
      <c r="K1991" t="str">
        <f>[1]!revcom(C1991)</f>
        <v>ACACAG</v>
      </c>
      <c r="L1991">
        <v>3</v>
      </c>
    </row>
    <row r="1992" spans="1:12" ht="15.6" x14ac:dyDescent="0.3">
      <c r="A1992" s="9">
        <v>1981</v>
      </c>
      <c r="B1992" s="1"/>
      <c r="C1992" s="2" t="s">
        <v>1987</v>
      </c>
      <c r="D1992" s="1"/>
      <c r="E1992" s="11">
        <f t="shared" si="151"/>
        <v>8</v>
      </c>
      <c r="F1992" s="12">
        <f t="shared" si="152"/>
        <v>33.333333333333329</v>
      </c>
      <c r="G1992" s="12" t="str">
        <f t="shared" si="153"/>
        <v>OK</v>
      </c>
      <c r="H1992" s="13">
        <f t="shared" si="154"/>
        <v>6</v>
      </c>
      <c r="I1992" s="14">
        <f t="shared" si="150"/>
        <v>1782.21</v>
      </c>
      <c r="K1992" t="str">
        <f>[1]!revcom(C1992)</f>
        <v>TAACAG</v>
      </c>
      <c r="L1992">
        <v>4</v>
      </c>
    </row>
    <row r="1993" spans="1:12" ht="15.6" x14ac:dyDescent="0.3">
      <c r="A1993" s="9">
        <v>1982</v>
      </c>
      <c r="B1993" s="1"/>
      <c r="C1993" s="2" t="s">
        <v>1988</v>
      </c>
      <c r="D1993" s="1"/>
      <c r="E1993" s="11">
        <f t="shared" si="151"/>
        <v>6</v>
      </c>
      <c r="F1993" s="12">
        <f t="shared" si="152"/>
        <v>50</v>
      </c>
      <c r="G1993" s="12" t="str">
        <f t="shared" si="153"/>
        <v>OK</v>
      </c>
      <c r="H1993" s="13">
        <f t="shared" si="154"/>
        <v>6</v>
      </c>
      <c r="I1993" s="14">
        <f t="shared" si="150"/>
        <v>1758.1799999999998</v>
      </c>
      <c r="K1993" t="str">
        <f>[1]!revcom(C1993)</f>
        <v>GAACAG</v>
      </c>
      <c r="L1993">
        <v>3</v>
      </c>
    </row>
    <row r="1994" spans="1:12" ht="15.6" x14ac:dyDescent="0.3">
      <c r="A1994" s="9">
        <v>1983</v>
      </c>
      <c r="B1994" s="1"/>
      <c r="C1994" s="2" t="s">
        <v>1989</v>
      </c>
      <c r="D1994" s="1"/>
      <c r="E1994" s="11">
        <f t="shared" si="151"/>
        <v>6</v>
      </c>
      <c r="F1994" s="12">
        <f t="shared" si="152"/>
        <v>50</v>
      </c>
      <c r="G1994" s="12" t="str">
        <f t="shared" si="153"/>
        <v>OK</v>
      </c>
      <c r="H1994" s="13">
        <f t="shared" si="154"/>
        <v>6</v>
      </c>
      <c r="I1994" s="14">
        <f t="shared" si="150"/>
        <v>1798.21</v>
      </c>
      <c r="K1994" t="str">
        <f>[1]!revcom(C1994)</f>
        <v>CAACAG</v>
      </c>
      <c r="L1994">
        <v>3</v>
      </c>
    </row>
    <row r="1995" spans="1:12" ht="15.6" x14ac:dyDescent="0.3">
      <c r="A1995" s="9">
        <v>1984</v>
      </c>
      <c r="B1995" s="1"/>
      <c r="C1995" s="2" t="s">
        <v>1990</v>
      </c>
      <c r="D1995" s="1"/>
      <c r="E1995" s="11">
        <f t="shared" si="151"/>
        <v>0</v>
      </c>
      <c r="F1995" s="12">
        <f t="shared" si="152"/>
        <v>33.333333333333329</v>
      </c>
      <c r="G1995" s="12" t="str">
        <f t="shared" si="153"/>
        <v>OK</v>
      </c>
      <c r="H1995" s="13">
        <f t="shared" si="154"/>
        <v>6</v>
      </c>
      <c r="I1995" s="14">
        <f t="shared" si="150"/>
        <v>1773.19</v>
      </c>
      <c r="K1995" t="str">
        <f>[1]!revcom(C1995)</f>
        <v>AAACAG</v>
      </c>
      <c r="L1995">
        <v>2</v>
      </c>
    </row>
    <row r="1996" spans="1:12" ht="15.6" x14ac:dyDescent="0.3">
      <c r="A1996" s="9">
        <v>1985</v>
      </c>
      <c r="B1996" s="1"/>
      <c r="C1996" s="2" t="s">
        <v>1991</v>
      </c>
      <c r="D1996" s="1"/>
      <c r="E1996" s="11">
        <f t="shared" si="151"/>
        <v>18</v>
      </c>
      <c r="F1996" s="12">
        <f t="shared" si="152"/>
        <v>16.666666666666664</v>
      </c>
      <c r="G1996" s="12" t="str">
        <f t="shared" si="153"/>
        <v>OK</v>
      </c>
      <c r="H1996" s="13">
        <f t="shared" si="154"/>
        <v>6</v>
      </c>
      <c r="I1996" s="14">
        <f t="shared" si="150"/>
        <v>1775.23</v>
      </c>
      <c r="K1996" t="str">
        <f>[1]!revcom(C1996)</f>
        <v>TTTAAG</v>
      </c>
      <c r="L1996">
        <v>5</v>
      </c>
    </row>
    <row r="1997" spans="1:12" ht="15.6" x14ac:dyDescent="0.3">
      <c r="A1997" s="9">
        <v>1986</v>
      </c>
      <c r="B1997" s="1"/>
      <c r="C1997" s="2" t="s">
        <v>1992</v>
      </c>
      <c r="D1997" s="1"/>
      <c r="E1997" s="11">
        <f t="shared" si="151"/>
        <v>16</v>
      </c>
      <c r="F1997" s="12">
        <f t="shared" si="152"/>
        <v>33.333333333333329</v>
      </c>
      <c r="G1997" s="12" t="str">
        <f t="shared" si="153"/>
        <v>OK</v>
      </c>
      <c r="H1997" s="13">
        <f t="shared" si="154"/>
        <v>6</v>
      </c>
      <c r="I1997" s="14">
        <f t="shared" ref="I1997:I2060" si="155">((LEN(C1997)-(LEN(SUBSTITUTE(C1997,"A",""))))*249.23)+((LEN(C1997)-(LEN(SUBSTITUTE(C1997,"T",""))))*240.21)+((LEN(C1997)-(LEN(SUBSTITUTE(C1997,"C",""))))*225.2)+((LEN(C1997)-(LEN(SUBSTITUTE(C1997,"G",""))))*265.23)+(63.98*(LEN(C1997)-1)+(2.02))</f>
        <v>1751.1999999999998</v>
      </c>
      <c r="K1997" t="str">
        <f>[1]!revcom(C1997)</f>
        <v>GTTAAG</v>
      </c>
      <c r="L1997">
        <v>5</v>
      </c>
    </row>
    <row r="1998" spans="1:12" ht="15.6" x14ac:dyDescent="0.3">
      <c r="A1998" s="9">
        <v>1987</v>
      </c>
      <c r="B1998" s="1"/>
      <c r="C1998" s="2" t="s">
        <v>1993</v>
      </c>
      <c r="D1998" s="1"/>
      <c r="E1998" s="11">
        <f t="shared" ref="E1998:E2061" si="156">IF(LEN(C1998)&gt;15,(69.3+((41*((LEN(C1998)-(((LEN(C1998)-(LEN(SUBSTITUTE(C1998,"A",""))))+((LEN(C1998)-(LEN(SUBSTITUTE(C1998,"T","")))))))))/(LEN(C1998)))-(650/(LEN(C1998))))),(2*((LEN(C1998)-(((LEN(C1998)-(LEN(SUBSTITUTE(C1998,"C",""))))+((LEN(C1998)-(LEN(SUBSTITUTE(C1998,"G",""))))))))))+(4*((LEN(C1998)-(((LEN(C1998)-(LEN(SUBSTITUTE(C1998,"T",""))))+((LEN(C1998)-(LEN(SUBSTITUTE(C1998,"T","")))))))))))</f>
        <v>16</v>
      </c>
      <c r="F1998" s="12">
        <f t="shared" ref="F1998:F2061" si="157">((LEN(C1998)- LEN(SUBSTITUTE(C1998,"G","")))+(LEN(C1998)- LEN(SUBSTITUTE(C1998,"C",""))) )/LEN(C1998)*100</f>
        <v>33.333333333333329</v>
      </c>
      <c r="G1998" s="12" t="str">
        <f t="shared" ref="G1998:G2061" si="158">IF((-5+((LEN(SUBSTITUTE(RIGHT(C1998,5),"C","")))+((LEN(SUBSTITUTE(RIGHT(C1998,5),"G",""))))))&gt;=3,"OK","Warning")</f>
        <v>OK</v>
      </c>
      <c r="H1998" s="13">
        <f t="shared" ref="H1998:H2061" si="159">LEN(C1998)</f>
        <v>6</v>
      </c>
      <c r="I1998" s="14">
        <f t="shared" si="155"/>
        <v>1791.23</v>
      </c>
      <c r="K1998" t="str">
        <f>[1]!revcom(C1998)</f>
        <v>CTTAAG</v>
      </c>
      <c r="L1998">
        <v>5</v>
      </c>
    </row>
    <row r="1999" spans="1:12" ht="15.6" x14ac:dyDescent="0.3">
      <c r="A1999" s="9">
        <v>1988</v>
      </c>
      <c r="B1999" s="1"/>
      <c r="C1999" s="2" t="s">
        <v>1994</v>
      </c>
      <c r="D1999" s="1"/>
      <c r="E1999" s="11">
        <f t="shared" si="156"/>
        <v>10</v>
      </c>
      <c r="F1999" s="12">
        <f t="shared" si="157"/>
        <v>16.666666666666664</v>
      </c>
      <c r="G1999" s="12" t="str">
        <f t="shared" si="158"/>
        <v>OK</v>
      </c>
      <c r="H1999" s="13">
        <f t="shared" si="159"/>
        <v>6</v>
      </c>
      <c r="I1999" s="14">
        <f t="shared" si="155"/>
        <v>1766.21</v>
      </c>
      <c r="K1999" t="str">
        <f>[1]!revcom(C1999)</f>
        <v>ATTAAG</v>
      </c>
      <c r="L1999">
        <v>4</v>
      </c>
    </row>
    <row r="2000" spans="1:12" ht="15.6" x14ac:dyDescent="0.3">
      <c r="A2000" s="9">
        <v>1989</v>
      </c>
      <c r="B2000" s="1"/>
      <c r="C2000" s="2" t="s">
        <v>1995</v>
      </c>
      <c r="D2000" s="1"/>
      <c r="E2000" s="11">
        <f t="shared" si="156"/>
        <v>16</v>
      </c>
      <c r="F2000" s="12">
        <f t="shared" si="157"/>
        <v>33.333333333333329</v>
      </c>
      <c r="G2000" s="12" t="str">
        <f t="shared" si="158"/>
        <v>OK</v>
      </c>
      <c r="H2000" s="13">
        <f t="shared" si="159"/>
        <v>6</v>
      </c>
      <c r="I2000" s="14">
        <f t="shared" si="155"/>
        <v>1751.1999999999998</v>
      </c>
      <c r="K2000" t="str">
        <f>[1]!revcom(C2000)</f>
        <v>TGTAAG</v>
      </c>
      <c r="L2000">
        <v>5</v>
      </c>
    </row>
    <row r="2001" spans="1:12" ht="15.6" x14ac:dyDescent="0.3">
      <c r="A2001" s="9">
        <v>1990</v>
      </c>
      <c r="B2001" s="1"/>
      <c r="C2001" s="2" t="s">
        <v>1996</v>
      </c>
      <c r="D2001" s="1"/>
      <c r="E2001" s="11">
        <f t="shared" si="156"/>
        <v>14</v>
      </c>
      <c r="F2001" s="12">
        <f t="shared" si="157"/>
        <v>50</v>
      </c>
      <c r="G2001" s="12" t="str">
        <f t="shared" si="158"/>
        <v>OK</v>
      </c>
      <c r="H2001" s="13">
        <f t="shared" si="159"/>
        <v>6</v>
      </c>
      <c r="I2001" s="14">
        <f t="shared" si="155"/>
        <v>1727.17</v>
      </c>
      <c r="K2001" t="str">
        <f>[1]!revcom(C2001)</f>
        <v>GGTAAG</v>
      </c>
      <c r="L2001">
        <v>5</v>
      </c>
    </row>
    <row r="2002" spans="1:12" ht="15.6" x14ac:dyDescent="0.3">
      <c r="A2002" s="9">
        <v>1991</v>
      </c>
      <c r="B2002" s="1"/>
      <c r="C2002" s="2" t="s">
        <v>1997</v>
      </c>
      <c r="D2002" s="1"/>
      <c r="E2002" s="11">
        <f t="shared" si="156"/>
        <v>14</v>
      </c>
      <c r="F2002" s="12">
        <f t="shared" si="157"/>
        <v>50</v>
      </c>
      <c r="G2002" s="12" t="str">
        <f t="shared" si="158"/>
        <v>OK</v>
      </c>
      <c r="H2002" s="13">
        <f t="shared" si="159"/>
        <v>6</v>
      </c>
      <c r="I2002" s="14">
        <f t="shared" si="155"/>
        <v>1767.1999999999998</v>
      </c>
      <c r="K2002" t="str">
        <f>[1]!revcom(C2002)</f>
        <v>CGTAAG</v>
      </c>
      <c r="L2002">
        <v>5</v>
      </c>
    </row>
    <row r="2003" spans="1:12" ht="15.6" x14ac:dyDescent="0.3">
      <c r="A2003" s="9">
        <v>1992</v>
      </c>
      <c r="B2003" s="1"/>
      <c r="C2003" s="2" t="s">
        <v>1998</v>
      </c>
      <c r="D2003" s="1"/>
      <c r="E2003" s="11">
        <f t="shared" si="156"/>
        <v>8</v>
      </c>
      <c r="F2003" s="12">
        <f t="shared" si="157"/>
        <v>33.333333333333329</v>
      </c>
      <c r="G2003" s="12" t="str">
        <f t="shared" si="158"/>
        <v>OK</v>
      </c>
      <c r="H2003" s="13">
        <f t="shared" si="159"/>
        <v>6</v>
      </c>
      <c r="I2003" s="14">
        <f t="shared" si="155"/>
        <v>1742.1799999999998</v>
      </c>
      <c r="K2003" t="str">
        <f>[1]!revcom(C2003)</f>
        <v>AGTAAG</v>
      </c>
      <c r="L2003">
        <v>4</v>
      </c>
    </row>
    <row r="2004" spans="1:12" ht="15.6" x14ac:dyDescent="0.3">
      <c r="A2004" s="9">
        <v>1993</v>
      </c>
      <c r="B2004" s="1"/>
      <c r="C2004" s="2" t="s">
        <v>1999</v>
      </c>
      <c r="D2004" s="1"/>
      <c r="E2004" s="11">
        <f t="shared" si="156"/>
        <v>16</v>
      </c>
      <c r="F2004" s="12">
        <f t="shared" si="157"/>
        <v>33.333333333333329</v>
      </c>
      <c r="G2004" s="12" t="str">
        <f t="shared" si="158"/>
        <v>OK</v>
      </c>
      <c r="H2004" s="13">
        <f t="shared" si="159"/>
        <v>6</v>
      </c>
      <c r="I2004" s="14">
        <f t="shared" si="155"/>
        <v>1791.23</v>
      </c>
      <c r="K2004" t="str">
        <f>[1]!revcom(C2004)</f>
        <v>TCTAAG</v>
      </c>
      <c r="L2004">
        <v>5</v>
      </c>
    </row>
    <row r="2005" spans="1:12" ht="15.6" x14ac:dyDescent="0.3">
      <c r="A2005" s="9">
        <v>1994</v>
      </c>
      <c r="B2005" s="1"/>
      <c r="C2005" s="2" t="s">
        <v>2000</v>
      </c>
      <c r="D2005" s="1"/>
      <c r="E2005" s="11">
        <f t="shared" si="156"/>
        <v>14</v>
      </c>
      <c r="F2005" s="12">
        <f t="shared" si="157"/>
        <v>50</v>
      </c>
      <c r="G2005" s="12" t="str">
        <f t="shared" si="158"/>
        <v>OK</v>
      </c>
      <c r="H2005" s="13">
        <f t="shared" si="159"/>
        <v>6</v>
      </c>
      <c r="I2005" s="14">
        <f t="shared" si="155"/>
        <v>1767.1999999999998</v>
      </c>
      <c r="K2005" t="str">
        <f>[1]!revcom(C2005)</f>
        <v>GCTAAG</v>
      </c>
      <c r="L2005">
        <v>5</v>
      </c>
    </row>
    <row r="2006" spans="1:12" ht="15.6" x14ac:dyDescent="0.3">
      <c r="A2006" s="9">
        <v>1995</v>
      </c>
      <c r="B2006" s="1"/>
      <c r="C2006" s="2" t="s">
        <v>2001</v>
      </c>
      <c r="D2006" s="1"/>
      <c r="E2006" s="11">
        <f t="shared" si="156"/>
        <v>14</v>
      </c>
      <c r="F2006" s="12">
        <f t="shared" si="157"/>
        <v>50</v>
      </c>
      <c r="G2006" s="12" t="str">
        <f t="shared" si="158"/>
        <v>OK</v>
      </c>
      <c r="H2006" s="13">
        <f t="shared" si="159"/>
        <v>6</v>
      </c>
      <c r="I2006" s="14">
        <f t="shared" si="155"/>
        <v>1807.23</v>
      </c>
      <c r="K2006" t="str">
        <f>[1]!revcom(C2006)</f>
        <v>CCTAAG</v>
      </c>
      <c r="L2006">
        <v>5</v>
      </c>
    </row>
    <row r="2007" spans="1:12" ht="15.6" x14ac:dyDescent="0.3">
      <c r="A2007" s="9">
        <v>1996</v>
      </c>
      <c r="B2007" s="1"/>
      <c r="C2007" s="2" t="s">
        <v>2002</v>
      </c>
      <c r="D2007" s="1"/>
      <c r="E2007" s="11">
        <f t="shared" si="156"/>
        <v>8</v>
      </c>
      <c r="F2007" s="12">
        <f t="shared" si="157"/>
        <v>33.333333333333329</v>
      </c>
      <c r="G2007" s="12" t="str">
        <f t="shared" si="158"/>
        <v>OK</v>
      </c>
      <c r="H2007" s="13">
        <f t="shared" si="159"/>
        <v>6</v>
      </c>
      <c r="I2007" s="14">
        <f t="shared" si="155"/>
        <v>1782.21</v>
      </c>
      <c r="K2007" t="str">
        <f>[1]!revcom(C2007)</f>
        <v>ACTAAG</v>
      </c>
      <c r="L2007">
        <v>4</v>
      </c>
    </row>
    <row r="2008" spans="1:12" ht="15.6" x14ac:dyDescent="0.3">
      <c r="A2008" s="9">
        <v>1997</v>
      </c>
      <c r="B2008" s="1"/>
      <c r="C2008" s="2" t="s">
        <v>2003</v>
      </c>
      <c r="D2008" s="1"/>
      <c r="E2008" s="11">
        <f t="shared" si="156"/>
        <v>10</v>
      </c>
      <c r="F2008" s="12">
        <f t="shared" si="157"/>
        <v>16.666666666666664</v>
      </c>
      <c r="G2008" s="12" t="str">
        <f t="shared" si="158"/>
        <v>OK</v>
      </c>
      <c r="H2008" s="13">
        <f t="shared" si="159"/>
        <v>6</v>
      </c>
      <c r="I2008" s="14">
        <f t="shared" si="155"/>
        <v>1766.21</v>
      </c>
      <c r="K2008" t="str">
        <f>[1]!revcom(C2008)</f>
        <v>TATAAG</v>
      </c>
      <c r="L2008">
        <v>4</v>
      </c>
    </row>
    <row r="2009" spans="1:12" ht="15.6" x14ac:dyDescent="0.3">
      <c r="A2009" s="9">
        <v>1998</v>
      </c>
      <c r="B2009" s="1"/>
      <c r="C2009" s="2" t="s">
        <v>2004</v>
      </c>
      <c r="D2009" s="1"/>
      <c r="E2009" s="11">
        <f t="shared" si="156"/>
        <v>8</v>
      </c>
      <c r="F2009" s="12">
        <f t="shared" si="157"/>
        <v>33.333333333333329</v>
      </c>
      <c r="G2009" s="12" t="str">
        <f t="shared" si="158"/>
        <v>OK</v>
      </c>
      <c r="H2009" s="13">
        <f t="shared" si="159"/>
        <v>6</v>
      </c>
      <c r="I2009" s="14">
        <f t="shared" si="155"/>
        <v>1742.1799999999998</v>
      </c>
      <c r="K2009" t="str">
        <f>[1]!revcom(C2009)</f>
        <v>GATAAG</v>
      </c>
      <c r="L2009">
        <v>4</v>
      </c>
    </row>
    <row r="2010" spans="1:12" ht="15.6" x14ac:dyDescent="0.3">
      <c r="A2010" s="9">
        <v>1999</v>
      </c>
      <c r="B2010" s="1"/>
      <c r="C2010" s="2" t="s">
        <v>2005</v>
      </c>
      <c r="D2010" s="1"/>
      <c r="E2010" s="11">
        <f t="shared" si="156"/>
        <v>8</v>
      </c>
      <c r="F2010" s="12">
        <f t="shared" si="157"/>
        <v>33.333333333333329</v>
      </c>
      <c r="G2010" s="12" t="str">
        <f t="shared" si="158"/>
        <v>OK</v>
      </c>
      <c r="H2010" s="13">
        <f t="shared" si="159"/>
        <v>6</v>
      </c>
      <c r="I2010" s="14">
        <f t="shared" si="155"/>
        <v>1782.21</v>
      </c>
      <c r="K2010" t="str">
        <f>[1]!revcom(C2010)</f>
        <v>CATAAG</v>
      </c>
      <c r="L2010">
        <v>4</v>
      </c>
    </row>
    <row r="2011" spans="1:12" ht="15.6" x14ac:dyDescent="0.3">
      <c r="A2011" s="9">
        <v>2000</v>
      </c>
      <c r="B2011" s="1"/>
      <c r="C2011" s="2" t="s">
        <v>2006</v>
      </c>
      <c r="D2011" s="1"/>
      <c r="E2011" s="11">
        <f t="shared" si="156"/>
        <v>2</v>
      </c>
      <c r="F2011" s="12">
        <f t="shared" si="157"/>
        <v>16.666666666666664</v>
      </c>
      <c r="G2011" s="12" t="str">
        <f t="shared" si="158"/>
        <v>OK</v>
      </c>
      <c r="H2011" s="13">
        <f t="shared" si="159"/>
        <v>6</v>
      </c>
      <c r="I2011" s="14">
        <f t="shared" si="155"/>
        <v>1757.19</v>
      </c>
      <c r="K2011" t="str">
        <f>[1]!revcom(C2011)</f>
        <v>AATAAG</v>
      </c>
      <c r="L2011">
        <v>3</v>
      </c>
    </row>
    <row r="2012" spans="1:12" ht="15.6" x14ac:dyDescent="0.3">
      <c r="A2012" s="9">
        <v>2001</v>
      </c>
      <c r="B2012" s="1"/>
      <c r="C2012" s="2" t="s">
        <v>2007</v>
      </c>
      <c r="D2012" s="1"/>
      <c r="E2012" s="11">
        <f t="shared" si="156"/>
        <v>16</v>
      </c>
      <c r="F2012" s="12">
        <f t="shared" si="157"/>
        <v>33.333333333333329</v>
      </c>
      <c r="G2012" s="12" t="str">
        <f t="shared" si="158"/>
        <v>OK</v>
      </c>
      <c r="H2012" s="13">
        <f t="shared" si="159"/>
        <v>6</v>
      </c>
      <c r="I2012" s="14">
        <f t="shared" si="155"/>
        <v>1751.1999999999998</v>
      </c>
      <c r="K2012" t="str">
        <f>[1]!revcom(C2012)</f>
        <v>TTGAAG</v>
      </c>
      <c r="L2012">
        <v>5</v>
      </c>
    </row>
    <row r="2013" spans="1:12" ht="15.6" x14ac:dyDescent="0.3">
      <c r="A2013" s="9">
        <v>2002</v>
      </c>
      <c r="B2013" s="1"/>
      <c r="C2013" s="2" t="s">
        <v>2008</v>
      </c>
      <c r="D2013" s="1"/>
      <c r="E2013" s="11">
        <f t="shared" si="156"/>
        <v>14</v>
      </c>
      <c r="F2013" s="12">
        <f t="shared" si="157"/>
        <v>50</v>
      </c>
      <c r="G2013" s="12" t="str">
        <f t="shared" si="158"/>
        <v>OK</v>
      </c>
      <c r="H2013" s="13">
        <f t="shared" si="159"/>
        <v>6</v>
      </c>
      <c r="I2013" s="14">
        <f t="shared" si="155"/>
        <v>1727.17</v>
      </c>
      <c r="K2013" t="str">
        <f>[1]!revcom(C2013)</f>
        <v>GTGAAG</v>
      </c>
      <c r="L2013">
        <v>5</v>
      </c>
    </row>
    <row r="2014" spans="1:12" ht="15.6" x14ac:dyDescent="0.3">
      <c r="A2014" s="9">
        <v>2003</v>
      </c>
      <c r="B2014" s="1"/>
      <c r="C2014" s="2" t="s">
        <v>2009</v>
      </c>
      <c r="D2014" s="1"/>
      <c r="E2014" s="11">
        <f t="shared" si="156"/>
        <v>14</v>
      </c>
      <c r="F2014" s="12">
        <f t="shared" si="157"/>
        <v>50</v>
      </c>
      <c r="G2014" s="12" t="str">
        <f t="shared" si="158"/>
        <v>OK</v>
      </c>
      <c r="H2014" s="13">
        <f t="shared" si="159"/>
        <v>6</v>
      </c>
      <c r="I2014" s="14">
        <f t="shared" si="155"/>
        <v>1767.1999999999998</v>
      </c>
      <c r="K2014" t="str">
        <f>[1]!revcom(C2014)</f>
        <v>CTGAAG</v>
      </c>
      <c r="L2014">
        <v>5</v>
      </c>
    </row>
    <row r="2015" spans="1:12" ht="15.6" x14ac:dyDescent="0.3">
      <c r="A2015" s="9">
        <v>2004</v>
      </c>
      <c r="B2015" s="1"/>
      <c r="C2015" s="2" t="s">
        <v>2010</v>
      </c>
      <c r="D2015" s="1"/>
      <c r="E2015" s="11">
        <f t="shared" si="156"/>
        <v>8</v>
      </c>
      <c r="F2015" s="12">
        <f t="shared" si="157"/>
        <v>33.333333333333329</v>
      </c>
      <c r="G2015" s="12" t="str">
        <f t="shared" si="158"/>
        <v>OK</v>
      </c>
      <c r="H2015" s="13">
        <f t="shared" si="159"/>
        <v>6</v>
      </c>
      <c r="I2015" s="14">
        <f t="shared" si="155"/>
        <v>1742.1799999999998</v>
      </c>
      <c r="K2015" t="str">
        <f>[1]!revcom(C2015)</f>
        <v>ATGAAG</v>
      </c>
      <c r="L2015">
        <v>4</v>
      </c>
    </row>
    <row r="2016" spans="1:12" ht="15.6" x14ac:dyDescent="0.3">
      <c r="A2016" s="9">
        <v>2005</v>
      </c>
      <c r="B2016" s="1"/>
      <c r="C2016" s="2" t="s">
        <v>2011</v>
      </c>
      <c r="D2016" s="1"/>
      <c r="E2016" s="11">
        <f t="shared" si="156"/>
        <v>14</v>
      </c>
      <c r="F2016" s="12">
        <f t="shared" si="157"/>
        <v>50</v>
      </c>
      <c r="G2016" s="12" t="str">
        <f t="shared" si="158"/>
        <v>OK</v>
      </c>
      <c r="H2016" s="13">
        <f t="shared" si="159"/>
        <v>6</v>
      </c>
      <c r="I2016" s="14">
        <f t="shared" si="155"/>
        <v>1727.17</v>
      </c>
      <c r="K2016" t="str">
        <f>[1]!revcom(C2016)</f>
        <v>TGGAAG</v>
      </c>
      <c r="L2016">
        <v>5</v>
      </c>
    </row>
    <row r="2017" spans="1:12" ht="15.6" x14ac:dyDescent="0.3">
      <c r="A2017" s="9">
        <v>2006</v>
      </c>
      <c r="B2017" s="1"/>
      <c r="C2017" s="2" t="s">
        <v>2012</v>
      </c>
      <c r="D2017" s="1"/>
      <c r="E2017" s="11">
        <f t="shared" si="156"/>
        <v>12</v>
      </c>
      <c r="F2017" s="12">
        <f t="shared" si="157"/>
        <v>66.666666666666657</v>
      </c>
      <c r="G2017" s="12" t="str">
        <f t="shared" si="158"/>
        <v>Warning</v>
      </c>
      <c r="H2017" s="13">
        <f t="shared" si="159"/>
        <v>6</v>
      </c>
      <c r="I2017" s="14">
        <f t="shared" si="155"/>
        <v>1703.1399999999999</v>
      </c>
      <c r="K2017" t="str">
        <f>[1]!revcom(C2017)</f>
        <v>GGGAAG</v>
      </c>
      <c r="L2017">
        <v>4</v>
      </c>
    </row>
    <row r="2018" spans="1:12" ht="15.6" x14ac:dyDescent="0.3">
      <c r="A2018" s="9">
        <v>2007</v>
      </c>
      <c r="B2018" s="1"/>
      <c r="C2018" s="2" t="s">
        <v>2013</v>
      </c>
      <c r="D2018" s="1"/>
      <c r="E2018" s="11">
        <f t="shared" si="156"/>
        <v>12</v>
      </c>
      <c r="F2018" s="12">
        <f t="shared" si="157"/>
        <v>66.666666666666657</v>
      </c>
      <c r="G2018" s="12" t="str">
        <f t="shared" si="158"/>
        <v>Warning</v>
      </c>
      <c r="H2018" s="13">
        <f t="shared" si="159"/>
        <v>6</v>
      </c>
      <c r="I2018" s="14">
        <f t="shared" si="155"/>
        <v>1743.17</v>
      </c>
      <c r="K2018" t="str">
        <f>[1]!revcom(C2018)</f>
        <v>CGGAAG</v>
      </c>
      <c r="L2018">
        <v>4</v>
      </c>
    </row>
    <row r="2019" spans="1:12" ht="15.6" x14ac:dyDescent="0.3">
      <c r="A2019" s="9">
        <v>2008</v>
      </c>
      <c r="B2019" s="1"/>
      <c r="C2019" s="2" t="s">
        <v>2014</v>
      </c>
      <c r="D2019" s="1"/>
      <c r="E2019" s="11">
        <f t="shared" si="156"/>
        <v>6</v>
      </c>
      <c r="F2019" s="12">
        <f t="shared" si="157"/>
        <v>50</v>
      </c>
      <c r="G2019" s="12" t="str">
        <f t="shared" si="158"/>
        <v>OK</v>
      </c>
      <c r="H2019" s="13">
        <f t="shared" si="159"/>
        <v>6</v>
      </c>
      <c r="I2019" s="14">
        <f t="shared" si="155"/>
        <v>1718.15</v>
      </c>
      <c r="K2019" t="str">
        <f>[1]!revcom(C2019)</f>
        <v>AGGAAG</v>
      </c>
      <c r="L2019">
        <v>3</v>
      </c>
    </row>
    <row r="2020" spans="1:12" ht="15.6" x14ac:dyDescent="0.3">
      <c r="A2020" s="9">
        <v>2009</v>
      </c>
      <c r="B2020" s="1"/>
      <c r="C2020" s="2" t="s">
        <v>2015</v>
      </c>
      <c r="D2020" s="1"/>
      <c r="E2020" s="11">
        <f t="shared" si="156"/>
        <v>14</v>
      </c>
      <c r="F2020" s="12">
        <f t="shared" si="157"/>
        <v>50</v>
      </c>
      <c r="G2020" s="12" t="str">
        <f t="shared" si="158"/>
        <v>OK</v>
      </c>
      <c r="H2020" s="13">
        <f t="shared" si="159"/>
        <v>6</v>
      </c>
      <c r="I2020" s="14">
        <f t="shared" si="155"/>
        <v>1767.1999999999998</v>
      </c>
      <c r="K2020" t="str">
        <f>[1]!revcom(C2020)</f>
        <v>TCGAAG</v>
      </c>
      <c r="L2020">
        <v>5</v>
      </c>
    </row>
    <row r="2021" spans="1:12" ht="15.6" x14ac:dyDescent="0.3">
      <c r="A2021" s="9">
        <v>2010</v>
      </c>
      <c r="B2021" s="1"/>
      <c r="C2021" s="2" t="s">
        <v>2016</v>
      </c>
      <c r="D2021" s="1"/>
      <c r="E2021" s="11">
        <f t="shared" si="156"/>
        <v>12</v>
      </c>
      <c r="F2021" s="12">
        <f t="shared" si="157"/>
        <v>66.666666666666657</v>
      </c>
      <c r="G2021" s="12" t="str">
        <f t="shared" si="158"/>
        <v>Warning</v>
      </c>
      <c r="H2021" s="13">
        <f t="shared" si="159"/>
        <v>6</v>
      </c>
      <c r="I2021" s="14">
        <f t="shared" si="155"/>
        <v>1743.17</v>
      </c>
      <c r="K2021" t="str">
        <f>[1]!revcom(C2021)</f>
        <v>GCGAAG</v>
      </c>
      <c r="L2021">
        <v>4</v>
      </c>
    </row>
    <row r="2022" spans="1:12" ht="15.6" x14ac:dyDescent="0.3">
      <c r="A2022" s="9">
        <v>2011</v>
      </c>
      <c r="B2022" s="1"/>
      <c r="C2022" s="2" t="s">
        <v>2017</v>
      </c>
      <c r="D2022" s="1"/>
      <c r="E2022" s="11">
        <f t="shared" si="156"/>
        <v>12</v>
      </c>
      <c r="F2022" s="12">
        <f t="shared" si="157"/>
        <v>66.666666666666657</v>
      </c>
      <c r="G2022" s="12" t="str">
        <f t="shared" si="158"/>
        <v>Warning</v>
      </c>
      <c r="H2022" s="13">
        <f t="shared" si="159"/>
        <v>6</v>
      </c>
      <c r="I2022" s="14">
        <f t="shared" si="155"/>
        <v>1783.1999999999998</v>
      </c>
      <c r="K2022" t="str">
        <f>[1]!revcom(C2022)</f>
        <v>CCGAAG</v>
      </c>
      <c r="L2022">
        <v>4</v>
      </c>
    </row>
    <row r="2023" spans="1:12" ht="15.6" x14ac:dyDescent="0.3">
      <c r="A2023" s="9">
        <v>2012</v>
      </c>
      <c r="B2023" s="1"/>
      <c r="C2023" s="2" t="s">
        <v>2018</v>
      </c>
      <c r="D2023" s="1"/>
      <c r="E2023" s="11">
        <f t="shared" si="156"/>
        <v>6</v>
      </c>
      <c r="F2023" s="12">
        <f t="shared" si="157"/>
        <v>50</v>
      </c>
      <c r="G2023" s="12" t="str">
        <f t="shared" si="158"/>
        <v>OK</v>
      </c>
      <c r="H2023" s="13">
        <f t="shared" si="159"/>
        <v>6</v>
      </c>
      <c r="I2023" s="14">
        <f t="shared" si="155"/>
        <v>1758.1799999999998</v>
      </c>
      <c r="K2023" t="str">
        <f>[1]!revcom(C2023)</f>
        <v>ACGAAG</v>
      </c>
      <c r="L2023">
        <v>3</v>
      </c>
    </row>
    <row r="2024" spans="1:12" ht="15.6" x14ac:dyDescent="0.3">
      <c r="A2024" s="9">
        <v>2013</v>
      </c>
      <c r="B2024" s="1"/>
      <c r="C2024" s="2" t="s">
        <v>2019</v>
      </c>
      <c r="D2024" s="1"/>
      <c r="E2024" s="11">
        <f t="shared" si="156"/>
        <v>8</v>
      </c>
      <c r="F2024" s="12">
        <f t="shared" si="157"/>
        <v>33.333333333333329</v>
      </c>
      <c r="G2024" s="12" t="str">
        <f t="shared" si="158"/>
        <v>OK</v>
      </c>
      <c r="H2024" s="13">
        <f t="shared" si="159"/>
        <v>6</v>
      </c>
      <c r="I2024" s="14">
        <f t="shared" si="155"/>
        <v>1742.1799999999998</v>
      </c>
      <c r="K2024" t="str">
        <f>[1]!revcom(C2024)</f>
        <v>TAGAAG</v>
      </c>
      <c r="L2024">
        <v>4</v>
      </c>
    </row>
    <row r="2025" spans="1:12" ht="15.6" x14ac:dyDescent="0.3">
      <c r="A2025" s="9">
        <v>2014</v>
      </c>
      <c r="B2025" s="1"/>
      <c r="C2025" s="2" t="s">
        <v>2020</v>
      </c>
      <c r="D2025" s="1"/>
      <c r="E2025" s="11">
        <f t="shared" si="156"/>
        <v>6</v>
      </c>
      <c r="F2025" s="12">
        <f t="shared" si="157"/>
        <v>50</v>
      </c>
      <c r="G2025" s="12" t="str">
        <f t="shared" si="158"/>
        <v>OK</v>
      </c>
      <c r="H2025" s="13">
        <f t="shared" si="159"/>
        <v>6</v>
      </c>
      <c r="I2025" s="14">
        <f t="shared" si="155"/>
        <v>1718.15</v>
      </c>
      <c r="K2025" t="str">
        <f>[1]!revcom(C2025)</f>
        <v>GAGAAG</v>
      </c>
      <c r="L2025">
        <v>3</v>
      </c>
    </row>
    <row r="2026" spans="1:12" ht="15.6" x14ac:dyDescent="0.3">
      <c r="A2026" s="9">
        <v>2015</v>
      </c>
      <c r="B2026" s="1"/>
      <c r="C2026" s="2" t="s">
        <v>2021</v>
      </c>
      <c r="D2026" s="1"/>
      <c r="E2026" s="11">
        <f t="shared" si="156"/>
        <v>6</v>
      </c>
      <c r="F2026" s="12">
        <f t="shared" si="157"/>
        <v>50</v>
      </c>
      <c r="G2026" s="12" t="str">
        <f t="shared" si="158"/>
        <v>OK</v>
      </c>
      <c r="H2026" s="13">
        <f t="shared" si="159"/>
        <v>6</v>
      </c>
      <c r="I2026" s="14">
        <f t="shared" si="155"/>
        <v>1758.1799999999998</v>
      </c>
      <c r="K2026" t="str">
        <f>[1]!revcom(C2026)</f>
        <v>CAGAAG</v>
      </c>
      <c r="L2026">
        <v>3</v>
      </c>
    </row>
    <row r="2027" spans="1:12" ht="15.6" x14ac:dyDescent="0.3">
      <c r="A2027" s="9">
        <v>2016</v>
      </c>
      <c r="B2027" s="1"/>
      <c r="C2027" s="2" t="s">
        <v>2022</v>
      </c>
      <c r="D2027" s="1"/>
      <c r="E2027" s="11">
        <f t="shared" si="156"/>
        <v>0</v>
      </c>
      <c r="F2027" s="12">
        <f t="shared" si="157"/>
        <v>33.333333333333329</v>
      </c>
      <c r="G2027" s="12" t="str">
        <f t="shared" si="158"/>
        <v>OK</v>
      </c>
      <c r="H2027" s="13">
        <f t="shared" si="159"/>
        <v>6</v>
      </c>
      <c r="I2027" s="14">
        <f t="shared" si="155"/>
        <v>1733.1599999999999</v>
      </c>
      <c r="K2027" t="str">
        <f>[1]!revcom(C2027)</f>
        <v>AAGAAG</v>
      </c>
      <c r="L2027">
        <v>2</v>
      </c>
    </row>
    <row r="2028" spans="1:12" ht="15.6" x14ac:dyDescent="0.3">
      <c r="A2028" s="9">
        <v>2017</v>
      </c>
      <c r="B2028" s="1"/>
      <c r="C2028" s="2" t="s">
        <v>2023</v>
      </c>
      <c r="D2028" s="1"/>
      <c r="E2028" s="11">
        <f t="shared" si="156"/>
        <v>16</v>
      </c>
      <c r="F2028" s="12">
        <f t="shared" si="157"/>
        <v>33.333333333333329</v>
      </c>
      <c r="G2028" s="12" t="str">
        <f t="shared" si="158"/>
        <v>OK</v>
      </c>
      <c r="H2028" s="13">
        <f t="shared" si="159"/>
        <v>6</v>
      </c>
      <c r="I2028" s="14">
        <f t="shared" si="155"/>
        <v>1791.23</v>
      </c>
      <c r="K2028" t="str">
        <f>[1]!revcom(C2028)</f>
        <v>TTCAAG</v>
      </c>
      <c r="L2028">
        <v>5</v>
      </c>
    </row>
    <row r="2029" spans="1:12" ht="15.6" x14ac:dyDescent="0.3">
      <c r="A2029" s="9">
        <v>2018</v>
      </c>
      <c r="B2029" s="1"/>
      <c r="C2029" s="2" t="s">
        <v>2024</v>
      </c>
      <c r="D2029" s="1"/>
      <c r="E2029" s="11">
        <f t="shared" si="156"/>
        <v>14</v>
      </c>
      <c r="F2029" s="12">
        <f t="shared" si="157"/>
        <v>50</v>
      </c>
      <c r="G2029" s="12" t="str">
        <f t="shared" si="158"/>
        <v>OK</v>
      </c>
      <c r="H2029" s="13">
        <f t="shared" si="159"/>
        <v>6</v>
      </c>
      <c r="I2029" s="14">
        <f t="shared" si="155"/>
        <v>1767.1999999999998</v>
      </c>
      <c r="K2029" t="str">
        <f>[1]!revcom(C2029)</f>
        <v>GTCAAG</v>
      </c>
      <c r="L2029">
        <v>5</v>
      </c>
    </row>
    <row r="2030" spans="1:12" ht="15.6" x14ac:dyDescent="0.3">
      <c r="A2030" s="9">
        <v>2019</v>
      </c>
      <c r="B2030" s="1"/>
      <c r="C2030" s="2" t="s">
        <v>2025</v>
      </c>
      <c r="D2030" s="1"/>
      <c r="E2030" s="11">
        <f t="shared" si="156"/>
        <v>14</v>
      </c>
      <c r="F2030" s="12">
        <f t="shared" si="157"/>
        <v>50</v>
      </c>
      <c r="G2030" s="12" t="str">
        <f t="shared" si="158"/>
        <v>OK</v>
      </c>
      <c r="H2030" s="13">
        <f t="shared" si="159"/>
        <v>6</v>
      </c>
      <c r="I2030" s="14">
        <f t="shared" si="155"/>
        <v>1807.23</v>
      </c>
      <c r="K2030" t="str">
        <f>[1]!revcom(C2030)</f>
        <v>CTCAAG</v>
      </c>
      <c r="L2030">
        <v>5</v>
      </c>
    </row>
    <row r="2031" spans="1:12" ht="15.6" x14ac:dyDescent="0.3">
      <c r="A2031" s="9">
        <v>2020</v>
      </c>
      <c r="B2031" s="1"/>
      <c r="C2031" s="2" t="s">
        <v>2026</v>
      </c>
      <c r="D2031" s="1"/>
      <c r="E2031" s="11">
        <f t="shared" si="156"/>
        <v>8</v>
      </c>
      <c r="F2031" s="12">
        <f t="shared" si="157"/>
        <v>33.333333333333329</v>
      </c>
      <c r="G2031" s="12" t="str">
        <f t="shared" si="158"/>
        <v>OK</v>
      </c>
      <c r="H2031" s="13">
        <f t="shared" si="159"/>
        <v>6</v>
      </c>
      <c r="I2031" s="14">
        <f t="shared" si="155"/>
        <v>1782.21</v>
      </c>
      <c r="K2031" t="str">
        <f>[1]!revcom(C2031)</f>
        <v>ATCAAG</v>
      </c>
      <c r="L2031">
        <v>4</v>
      </c>
    </row>
    <row r="2032" spans="1:12" ht="15.6" x14ac:dyDescent="0.3">
      <c r="A2032" s="9">
        <v>2021</v>
      </c>
      <c r="B2032" s="1"/>
      <c r="C2032" s="2" t="s">
        <v>2027</v>
      </c>
      <c r="D2032" s="1"/>
      <c r="E2032" s="11">
        <f t="shared" si="156"/>
        <v>14</v>
      </c>
      <c r="F2032" s="12">
        <f t="shared" si="157"/>
        <v>50</v>
      </c>
      <c r="G2032" s="12" t="str">
        <f t="shared" si="158"/>
        <v>OK</v>
      </c>
      <c r="H2032" s="13">
        <f t="shared" si="159"/>
        <v>6</v>
      </c>
      <c r="I2032" s="14">
        <f t="shared" si="155"/>
        <v>1767.1999999999998</v>
      </c>
      <c r="K2032" t="str">
        <f>[1]!revcom(C2032)</f>
        <v>TGCAAG</v>
      </c>
      <c r="L2032">
        <v>5</v>
      </c>
    </row>
    <row r="2033" spans="1:12" ht="15.6" x14ac:dyDescent="0.3">
      <c r="A2033" s="9">
        <v>2022</v>
      </c>
      <c r="B2033" s="1"/>
      <c r="C2033" s="2" t="s">
        <v>2028</v>
      </c>
      <c r="D2033" s="1"/>
      <c r="E2033" s="11">
        <f t="shared" si="156"/>
        <v>12</v>
      </c>
      <c r="F2033" s="12">
        <f t="shared" si="157"/>
        <v>66.666666666666657</v>
      </c>
      <c r="G2033" s="12" t="str">
        <f t="shared" si="158"/>
        <v>Warning</v>
      </c>
      <c r="H2033" s="13">
        <f t="shared" si="159"/>
        <v>6</v>
      </c>
      <c r="I2033" s="14">
        <f t="shared" si="155"/>
        <v>1743.17</v>
      </c>
      <c r="K2033" t="str">
        <f>[1]!revcom(C2033)</f>
        <v>GGCAAG</v>
      </c>
      <c r="L2033">
        <v>4</v>
      </c>
    </row>
    <row r="2034" spans="1:12" ht="15.6" x14ac:dyDescent="0.3">
      <c r="A2034" s="9">
        <v>2023</v>
      </c>
      <c r="B2034" s="1"/>
      <c r="C2034" s="2" t="s">
        <v>2029</v>
      </c>
      <c r="D2034" s="1"/>
      <c r="E2034" s="11">
        <f t="shared" si="156"/>
        <v>12</v>
      </c>
      <c r="F2034" s="12">
        <f t="shared" si="157"/>
        <v>66.666666666666657</v>
      </c>
      <c r="G2034" s="12" t="str">
        <f t="shared" si="158"/>
        <v>Warning</v>
      </c>
      <c r="H2034" s="13">
        <f t="shared" si="159"/>
        <v>6</v>
      </c>
      <c r="I2034" s="14">
        <f t="shared" si="155"/>
        <v>1783.1999999999998</v>
      </c>
      <c r="K2034" t="str">
        <f>[1]!revcom(C2034)</f>
        <v>CGCAAG</v>
      </c>
      <c r="L2034">
        <v>4</v>
      </c>
    </row>
    <row r="2035" spans="1:12" ht="15.6" x14ac:dyDescent="0.3">
      <c r="A2035" s="9">
        <v>2024</v>
      </c>
      <c r="B2035" s="1"/>
      <c r="C2035" s="2" t="s">
        <v>2030</v>
      </c>
      <c r="D2035" s="1"/>
      <c r="E2035" s="11">
        <f t="shared" si="156"/>
        <v>6</v>
      </c>
      <c r="F2035" s="12">
        <f t="shared" si="157"/>
        <v>50</v>
      </c>
      <c r="G2035" s="12" t="str">
        <f t="shared" si="158"/>
        <v>OK</v>
      </c>
      <c r="H2035" s="13">
        <f t="shared" si="159"/>
        <v>6</v>
      </c>
      <c r="I2035" s="14">
        <f t="shared" si="155"/>
        <v>1758.1799999999998</v>
      </c>
      <c r="K2035" t="str">
        <f>[1]!revcom(C2035)</f>
        <v>AGCAAG</v>
      </c>
      <c r="L2035">
        <v>3</v>
      </c>
    </row>
    <row r="2036" spans="1:12" ht="15.6" x14ac:dyDescent="0.3">
      <c r="A2036" s="9">
        <v>2025</v>
      </c>
      <c r="B2036" s="1"/>
      <c r="C2036" s="2" t="s">
        <v>2031</v>
      </c>
      <c r="D2036" s="1"/>
      <c r="E2036" s="11">
        <f t="shared" si="156"/>
        <v>14</v>
      </c>
      <c r="F2036" s="12">
        <f t="shared" si="157"/>
        <v>50</v>
      </c>
      <c r="G2036" s="12" t="str">
        <f t="shared" si="158"/>
        <v>OK</v>
      </c>
      <c r="H2036" s="13">
        <f t="shared" si="159"/>
        <v>6</v>
      </c>
      <c r="I2036" s="14">
        <f t="shared" si="155"/>
        <v>1807.23</v>
      </c>
      <c r="K2036" t="str">
        <f>[1]!revcom(C2036)</f>
        <v>TCCAAG</v>
      </c>
      <c r="L2036">
        <v>5</v>
      </c>
    </row>
    <row r="2037" spans="1:12" ht="15.6" x14ac:dyDescent="0.3">
      <c r="A2037" s="9">
        <v>2026</v>
      </c>
      <c r="B2037" s="1"/>
      <c r="C2037" s="2" t="s">
        <v>2032</v>
      </c>
      <c r="D2037" s="1"/>
      <c r="E2037" s="11">
        <f t="shared" si="156"/>
        <v>12</v>
      </c>
      <c r="F2037" s="12">
        <f t="shared" si="157"/>
        <v>66.666666666666657</v>
      </c>
      <c r="G2037" s="12" t="str">
        <f t="shared" si="158"/>
        <v>Warning</v>
      </c>
      <c r="H2037" s="13">
        <f t="shared" si="159"/>
        <v>6</v>
      </c>
      <c r="I2037" s="14">
        <f t="shared" si="155"/>
        <v>1783.1999999999998</v>
      </c>
      <c r="K2037" t="str">
        <f>[1]!revcom(C2037)</f>
        <v>GCCAAG</v>
      </c>
      <c r="L2037">
        <v>4</v>
      </c>
    </row>
    <row r="2038" spans="1:12" ht="15.6" x14ac:dyDescent="0.3">
      <c r="A2038" s="9">
        <v>2027</v>
      </c>
      <c r="B2038" s="1"/>
      <c r="C2038" s="2" t="s">
        <v>2033</v>
      </c>
      <c r="D2038" s="1"/>
      <c r="E2038" s="11">
        <f t="shared" si="156"/>
        <v>12</v>
      </c>
      <c r="F2038" s="12">
        <f t="shared" si="157"/>
        <v>66.666666666666657</v>
      </c>
      <c r="G2038" s="12" t="str">
        <f t="shared" si="158"/>
        <v>Warning</v>
      </c>
      <c r="H2038" s="13">
        <f t="shared" si="159"/>
        <v>6</v>
      </c>
      <c r="I2038" s="14">
        <f t="shared" si="155"/>
        <v>1823.23</v>
      </c>
      <c r="K2038" t="str">
        <f>[1]!revcom(C2038)</f>
        <v>CCCAAG</v>
      </c>
      <c r="L2038">
        <v>4</v>
      </c>
    </row>
    <row r="2039" spans="1:12" ht="15.6" x14ac:dyDescent="0.3">
      <c r="A2039" s="9">
        <v>2028</v>
      </c>
      <c r="B2039" s="1"/>
      <c r="C2039" s="2" t="s">
        <v>2034</v>
      </c>
      <c r="D2039" s="1"/>
      <c r="E2039" s="11">
        <f t="shared" si="156"/>
        <v>6</v>
      </c>
      <c r="F2039" s="12">
        <f t="shared" si="157"/>
        <v>50</v>
      </c>
      <c r="G2039" s="12" t="str">
        <f t="shared" si="158"/>
        <v>OK</v>
      </c>
      <c r="H2039" s="13">
        <f t="shared" si="159"/>
        <v>6</v>
      </c>
      <c r="I2039" s="14">
        <f t="shared" si="155"/>
        <v>1798.21</v>
      </c>
      <c r="K2039" t="str">
        <f>[1]!revcom(C2039)</f>
        <v>ACCAAG</v>
      </c>
      <c r="L2039">
        <v>3</v>
      </c>
    </row>
    <row r="2040" spans="1:12" ht="15.6" x14ac:dyDescent="0.3">
      <c r="A2040" s="9">
        <v>2029</v>
      </c>
      <c r="B2040" s="1"/>
      <c r="C2040" s="2" t="s">
        <v>2035</v>
      </c>
      <c r="D2040" s="1"/>
      <c r="E2040" s="11">
        <f t="shared" si="156"/>
        <v>8</v>
      </c>
      <c r="F2040" s="12">
        <f t="shared" si="157"/>
        <v>33.333333333333329</v>
      </c>
      <c r="G2040" s="12" t="str">
        <f t="shared" si="158"/>
        <v>OK</v>
      </c>
      <c r="H2040" s="13">
        <f t="shared" si="159"/>
        <v>6</v>
      </c>
      <c r="I2040" s="14">
        <f t="shared" si="155"/>
        <v>1782.21</v>
      </c>
      <c r="K2040" t="str">
        <f>[1]!revcom(C2040)</f>
        <v>TACAAG</v>
      </c>
      <c r="L2040">
        <v>4</v>
      </c>
    </row>
    <row r="2041" spans="1:12" ht="15.6" x14ac:dyDescent="0.3">
      <c r="A2041" s="9">
        <v>2030</v>
      </c>
      <c r="B2041" s="1"/>
      <c r="C2041" s="2" t="s">
        <v>2036</v>
      </c>
      <c r="D2041" s="1"/>
      <c r="E2041" s="11">
        <f t="shared" si="156"/>
        <v>6</v>
      </c>
      <c r="F2041" s="12">
        <f t="shared" si="157"/>
        <v>50</v>
      </c>
      <c r="G2041" s="12" t="str">
        <f t="shared" si="158"/>
        <v>OK</v>
      </c>
      <c r="H2041" s="13">
        <f t="shared" si="159"/>
        <v>6</v>
      </c>
      <c r="I2041" s="14">
        <f t="shared" si="155"/>
        <v>1758.1799999999998</v>
      </c>
      <c r="K2041" t="str">
        <f>[1]!revcom(C2041)</f>
        <v>GACAAG</v>
      </c>
      <c r="L2041">
        <v>3</v>
      </c>
    </row>
    <row r="2042" spans="1:12" ht="15.6" x14ac:dyDescent="0.3">
      <c r="A2042" s="9">
        <v>2031</v>
      </c>
      <c r="B2042" s="1"/>
      <c r="C2042" s="2" t="s">
        <v>2037</v>
      </c>
      <c r="D2042" s="1"/>
      <c r="E2042" s="11">
        <f t="shared" si="156"/>
        <v>6</v>
      </c>
      <c r="F2042" s="12">
        <f t="shared" si="157"/>
        <v>50</v>
      </c>
      <c r="G2042" s="12" t="str">
        <f t="shared" si="158"/>
        <v>OK</v>
      </c>
      <c r="H2042" s="13">
        <f t="shared" si="159"/>
        <v>6</v>
      </c>
      <c r="I2042" s="14">
        <f t="shared" si="155"/>
        <v>1798.21</v>
      </c>
      <c r="K2042" t="str">
        <f>[1]!revcom(C2042)</f>
        <v>CACAAG</v>
      </c>
      <c r="L2042">
        <v>3</v>
      </c>
    </row>
    <row r="2043" spans="1:12" ht="15.6" x14ac:dyDescent="0.3">
      <c r="A2043" s="9">
        <v>2032</v>
      </c>
      <c r="B2043" s="1"/>
      <c r="C2043" s="2" t="s">
        <v>2038</v>
      </c>
      <c r="D2043" s="1"/>
      <c r="E2043" s="11">
        <f t="shared" si="156"/>
        <v>0</v>
      </c>
      <c r="F2043" s="12">
        <f t="shared" si="157"/>
        <v>33.333333333333329</v>
      </c>
      <c r="G2043" s="12" t="str">
        <f t="shared" si="158"/>
        <v>OK</v>
      </c>
      <c r="H2043" s="13">
        <f t="shared" si="159"/>
        <v>6</v>
      </c>
      <c r="I2043" s="14">
        <f t="shared" si="155"/>
        <v>1773.19</v>
      </c>
      <c r="K2043" t="str">
        <f>[1]!revcom(C2043)</f>
        <v>AACAAG</v>
      </c>
      <c r="L2043">
        <v>2</v>
      </c>
    </row>
    <row r="2044" spans="1:12" ht="15.6" x14ac:dyDescent="0.3">
      <c r="A2044" s="9">
        <v>2033</v>
      </c>
      <c r="B2044" s="1"/>
      <c r="C2044" s="2" t="s">
        <v>2039</v>
      </c>
      <c r="D2044" s="1"/>
      <c r="E2044" s="11">
        <f t="shared" si="156"/>
        <v>10</v>
      </c>
      <c r="F2044" s="12">
        <f t="shared" si="157"/>
        <v>16.666666666666664</v>
      </c>
      <c r="G2044" s="12" t="str">
        <f t="shared" si="158"/>
        <v>OK</v>
      </c>
      <c r="H2044" s="13">
        <f t="shared" si="159"/>
        <v>6</v>
      </c>
      <c r="I2044" s="14">
        <f t="shared" si="155"/>
        <v>1766.21</v>
      </c>
      <c r="K2044" t="str">
        <f>[1]!revcom(C2044)</f>
        <v>TTAAAG</v>
      </c>
      <c r="L2044">
        <v>4</v>
      </c>
    </row>
    <row r="2045" spans="1:12" ht="15.6" x14ac:dyDescent="0.3">
      <c r="A2045" s="9">
        <v>2034</v>
      </c>
      <c r="B2045" s="1"/>
      <c r="C2045" s="2" t="s">
        <v>2040</v>
      </c>
      <c r="D2045" s="1"/>
      <c r="E2045" s="11">
        <f t="shared" si="156"/>
        <v>8</v>
      </c>
      <c r="F2045" s="12">
        <f t="shared" si="157"/>
        <v>33.333333333333329</v>
      </c>
      <c r="G2045" s="12" t="str">
        <f t="shared" si="158"/>
        <v>OK</v>
      </c>
      <c r="H2045" s="13">
        <f t="shared" si="159"/>
        <v>6</v>
      </c>
      <c r="I2045" s="14">
        <f t="shared" si="155"/>
        <v>1742.1799999999998</v>
      </c>
      <c r="K2045" t="str">
        <f>[1]!revcom(C2045)</f>
        <v>GTAAAG</v>
      </c>
      <c r="L2045">
        <v>4</v>
      </c>
    </row>
    <row r="2046" spans="1:12" ht="15.6" x14ac:dyDescent="0.3">
      <c r="A2046" s="9">
        <v>2035</v>
      </c>
      <c r="B2046" s="1"/>
      <c r="C2046" s="2" t="s">
        <v>2041</v>
      </c>
      <c r="D2046" s="1"/>
      <c r="E2046" s="11">
        <f t="shared" si="156"/>
        <v>8</v>
      </c>
      <c r="F2046" s="12">
        <f t="shared" si="157"/>
        <v>33.333333333333329</v>
      </c>
      <c r="G2046" s="12" t="str">
        <f t="shared" si="158"/>
        <v>OK</v>
      </c>
      <c r="H2046" s="13">
        <f t="shared" si="159"/>
        <v>6</v>
      </c>
      <c r="I2046" s="14">
        <f t="shared" si="155"/>
        <v>1782.21</v>
      </c>
      <c r="K2046" t="str">
        <f>[1]!revcom(C2046)</f>
        <v>CTAAAG</v>
      </c>
      <c r="L2046">
        <v>4</v>
      </c>
    </row>
    <row r="2047" spans="1:12" ht="15.6" x14ac:dyDescent="0.3">
      <c r="A2047" s="9">
        <v>2036</v>
      </c>
      <c r="B2047" s="1"/>
      <c r="C2047" s="2" t="s">
        <v>2042</v>
      </c>
      <c r="D2047" s="1"/>
      <c r="E2047" s="11">
        <f t="shared" si="156"/>
        <v>2</v>
      </c>
      <c r="F2047" s="12">
        <f t="shared" si="157"/>
        <v>16.666666666666664</v>
      </c>
      <c r="G2047" s="12" t="str">
        <f t="shared" si="158"/>
        <v>OK</v>
      </c>
      <c r="H2047" s="13">
        <f t="shared" si="159"/>
        <v>6</v>
      </c>
      <c r="I2047" s="14">
        <f t="shared" si="155"/>
        <v>1757.19</v>
      </c>
      <c r="K2047" t="str">
        <f>[1]!revcom(C2047)</f>
        <v>ATAAAG</v>
      </c>
      <c r="L2047">
        <v>3</v>
      </c>
    </row>
    <row r="2048" spans="1:12" ht="15.6" x14ac:dyDescent="0.3">
      <c r="A2048" s="9">
        <v>2037</v>
      </c>
      <c r="B2048" s="1"/>
      <c r="C2048" s="2" t="s">
        <v>2043</v>
      </c>
      <c r="D2048" s="1"/>
      <c r="E2048" s="11">
        <f t="shared" si="156"/>
        <v>8</v>
      </c>
      <c r="F2048" s="12">
        <f t="shared" si="157"/>
        <v>33.333333333333329</v>
      </c>
      <c r="G2048" s="12" t="str">
        <f t="shared" si="158"/>
        <v>OK</v>
      </c>
      <c r="H2048" s="13">
        <f t="shared" si="159"/>
        <v>6</v>
      </c>
      <c r="I2048" s="14">
        <f t="shared" si="155"/>
        <v>1742.1799999999998</v>
      </c>
      <c r="K2048" t="str">
        <f>[1]!revcom(C2048)</f>
        <v>TGAAAG</v>
      </c>
      <c r="L2048">
        <v>4</v>
      </c>
    </row>
    <row r="2049" spans="1:12" ht="15.6" x14ac:dyDescent="0.3">
      <c r="A2049" s="9">
        <v>2038</v>
      </c>
      <c r="B2049" s="1"/>
      <c r="C2049" s="2" t="s">
        <v>2044</v>
      </c>
      <c r="D2049" s="1"/>
      <c r="E2049" s="11">
        <f t="shared" si="156"/>
        <v>6</v>
      </c>
      <c r="F2049" s="12">
        <f t="shared" si="157"/>
        <v>50</v>
      </c>
      <c r="G2049" s="12" t="str">
        <f t="shared" si="158"/>
        <v>OK</v>
      </c>
      <c r="H2049" s="13">
        <f t="shared" si="159"/>
        <v>6</v>
      </c>
      <c r="I2049" s="14">
        <f t="shared" si="155"/>
        <v>1718.15</v>
      </c>
      <c r="K2049" t="str">
        <f>[1]!revcom(C2049)</f>
        <v>GGAAAG</v>
      </c>
      <c r="L2049">
        <v>3</v>
      </c>
    </row>
    <row r="2050" spans="1:12" ht="15.6" x14ac:dyDescent="0.3">
      <c r="A2050" s="9">
        <v>2039</v>
      </c>
      <c r="B2050" s="1"/>
      <c r="C2050" s="2" t="s">
        <v>2045</v>
      </c>
      <c r="D2050" s="1"/>
      <c r="E2050" s="11">
        <f t="shared" si="156"/>
        <v>6</v>
      </c>
      <c r="F2050" s="12">
        <f t="shared" si="157"/>
        <v>50</v>
      </c>
      <c r="G2050" s="12" t="str">
        <f t="shared" si="158"/>
        <v>OK</v>
      </c>
      <c r="H2050" s="13">
        <f t="shared" si="159"/>
        <v>6</v>
      </c>
      <c r="I2050" s="14">
        <f t="shared" si="155"/>
        <v>1758.1799999999998</v>
      </c>
      <c r="K2050" t="str">
        <f>[1]!revcom(C2050)</f>
        <v>CGAAAG</v>
      </c>
      <c r="L2050">
        <v>3</v>
      </c>
    </row>
    <row r="2051" spans="1:12" ht="15.6" x14ac:dyDescent="0.3">
      <c r="A2051" s="9">
        <v>2040</v>
      </c>
      <c r="B2051" s="1"/>
      <c r="C2051" s="2" t="s">
        <v>2046</v>
      </c>
      <c r="D2051" s="1"/>
      <c r="E2051" s="11">
        <f t="shared" si="156"/>
        <v>0</v>
      </c>
      <c r="F2051" s="12">
        <f t="shared" si="157"/>
        <v>33.333333333333329</v>
      </c>
      <c r="G2051" s="12" t="str">
        <f t="shared" si="158"/>
        <v>OK</v>
      </c>
      <c r="H2051" s="13">
        <f t="shared" si="159"/>
        <v>6</v>
      </c>
      <c r="I2051" s="14">
        <f t="shared" si="155"/>
        <v>1733.1599999999999</v>
      </c>
      <c r="K2051" t="str">
        <f>[1]!revcom(C2051)</f>
        <v>AGAAAG</v>
      </c>
      <c r="L2051">
        <v>2</v>
      </c>
    </row>
    <row r="2052" spans="1:12" ht="15.6" x14ac:dyDescent="0.3">
      <c r="A2052" s="9">
        <v>2041</v>
      </c>
      <c r="B2052" s="1"/>
      <c r="C2052" s="2" t="s">
        <v>2047</v>
      </c>
      <c r="D2052" s="1"/>
      <c r="E2052" s="11">
        <f t="shared" si="156"/>
        <v>8</v>
      </c>
      <c r="F2052" s="12">
        <f t="shared" si="157"/>
        <v>33.333333333333329</v>
      </c>
      <c r="G2052" s="12" t="str">
        <f t="shared" si="158"/>
        <v>OK</v>
      </c>
      <c r="H2052" s="13">
        <f t="shared" si="159"/>
        <v>6</v>
      </c>
      <c r="I2052" s="14">
        <f t="shared" si="155"/>
        <v>1782.21</v>
      </c>
      <c r="K2052" t="str">
        <f>[1]!revcom(C2052)</f>
        <v>TCAAAG</v>
      </c>
      <c r="L2052">
        <v>4</v>
      </c>
    </row>
    <row r="2053" spans="1:12" ht="15.6" x14ac:dyDescent="0.3">
      <c r="A2053" s="9">
        <v>2042</v>
      </c>
      <c r="B2053" s="1"/>
      <c r="C2053" s="2" t="s">
        <v>2048</v>
      </c>
      <c r="D2053" s="1"/>
      <c r="E2053" s="11">
        <f t="shared" si="156"/>
        <v>6</v>
      </c>
      <c r="F2053" s="12">
        <f t="shared" si="157"/>
        <v>50</v>
      </c>
      <c r="G2053" s="12" t="str">
        <f t="shared" si="158"/>
        <v>OK</v>
      </c>
      <c r="H2053" s="13">
        <f t="shared" si="159"/>
        <v>6</v>
      </c>
      <c r="I2053" s="14">
        <f t="shared" si="155"/>
        <v>1758.1799999999998</v>
      </c>
      <c r="K2053" t="str">
        <f>[1]!revcom(C2053)</f>
        <v>GCAAAG</v>
      </c>
      <c r="L2053">
        <v>3</v>
      </c>
    </row>
    <row r="2054" spans="1:12" ht="15.6" x14ac:dyDescent="0.3">
      <c r="A2054" s="9">
        <v>2043</v>
      </c>
      <c r="B2054" s="1"/>
      <c r="C2054" s="2" t="s">
        <v>2049</v>
      </c>
      <c r="D2054" s="1"/>
      <c r="E2054" s="11">
        <f t="shared" si="156"/>
        <v>6</v>
      </c>
      <c r="F2054" s="12">
        <f t="shared" si="157"/>
        <v>50</v>
      </c>
      <c r="G2054" s="12" t="str">
        <f t="shared" si="158"/>
        <v>OK</v>
      </c>
      <c r="H2054" s="13">
        <f t="shared" si="159"/>
        <v>6</v>
      </c>
      <c r="I2054" s="14">
        <f t="shared" si="155"/>
        <v>1798.21</v>
      </c>
      <c r="K2054" t="str">
        <f>[1]!revcom(C2054)</f>
        <v>CCAAAG</v>
      </c>
      <c r="L2054">
        <v>3</v>
      </c>
    </row>
    <row r="2055" spans="1:12" ht="15.6" x14ac:dyDescent="0.3">
      <c r="A2055" s="9">
        <v>2044</v>
      </c>
      <c r="B2055" s="1"/>
      <c r="C2055" s="2" t="s">
        <v>2050</v>
      </c>
      <c r="D2055" s="1"/>
      <c r="E2055" s="11">
        <f t="shared" si="156"/>
        <v>0</v>
      </c>
      <c r="F2055" s="12">
        <f t="shared" si="157"/>
        <v>33.333333333333329</v>
      </c>
      <c r="G2055" s="12" t="str">
        <f t="shared" si="158"/>
        <v>OK</v>
      </c>
      <c r="H2055" s="13">
        <f t="shared" si="159"/>
        <v>6</v>
      </c>
      <c r="I2055" s="14">
        <f t="shared" si="155"/>
        <v>1773.19</v>
      </c>
      <c r="K2055" t="str">
        <f>[1]!revcom(C2055)</f>
        <v>ACAAAG</v>
      </c>
      <c r="L2055">
        <v>2</v>
      </c>
    </row>
    <row r="2056" spans="1:12" ht="15.6" x14ac:dyDescent="0.3">
      <c r="A2056" s="9">
        <v>2045</v>
      </c>
      <c r="B2056" s="1"/>
      <c r="C2056" s="2" t="s">
        <v>2051</v>
      </c>
      <c r="D2056" s="1"/>
      <c r="E2056" s="11">
        <f t="shared" si="156"/>
        <v>2</v>
      </c>
      <c r="F2056" s="12">
        <f t="shared" si="157"/>
        <v>16.666666666666664</v>
      </c>
      <c r="G2056" s="12" t="str">
        <f t="shared" si="158"/>
        <v>OK</v>
      </c>
      <c r="H2056" s="13">
        <f t="shared" si="159"/>
        <v>6</v>
      </c>
      <c r="I2056" s="14">
        <f t="shared" si="155"/>
        <v>1757.19</v>
      </c>
      <c r="K2056" t="str">
        <f>[1]!revcom(C2056)</f>
        <v>TAAAAG</v>
      </c>
      <c r="L2056">
        <v>3</v>
      </c>
    </row>
    <row r="2057" spans="1:12" ht="15.6" x14ac:dyDescent="0.3">
      <c r="A2057" s="9">
        <v>2046</v>
      </c>
      <c r="B2057" s="1"/>
      <c r="C2057" s="2" t="s">
        <v>2052</v>
      </c>
      <c r="D2057" s="1"/>
      <c r="E2057" s="11">
        <f t="shared" si="156"/>
        <v>0</v>
      </c>
      <c r="F2057" s="12">
        <f t="shared" si="157"/>
        <v>33.333333333333329</v>
      </c>
      <c r="G2057" s="12" t="str">
        <f t="shared" si="158"/>
        <v>OK</v>
      </c>
      <c r="H2057" s="13">
        <f t="shared" si="159"/>
        <v>6</v>
      </c>
      <c r="I2057" s="14">
        <f t="shared" si="155"/>
        <v>1733.1599999999999</v>
      </c>
      <c r="K2057" t="str">
        <f>[1]!revcom(C2057)</f>
        <v>GAAAAG</v>
      </c>
      <c r="L2057">
        <v>2</v>
      </c>
    </row>
    <row r="2058" spans="1:12" ht="15.6" x14ac:dyDescent="0.3">
      <c r="A2058" s="9">
        <v>2047</v>
      </c>
      <c r="B2058" s="1"/>
      <c r="C2058" s="2" t="s">
        <v>2053</v>
      </c>
      <c r="D2058" s="1"/>
      <c r="E2058" s="11">
        <f t="shared" si="156"/>
        <v>0</v>
      </c>
      <c r="F2058" s="12">
        <f t="shared" si="157"/>
        <v>33.333333333333329</v>
      </c>
      <c r="G2058" s="12" t="str">
        <f t="shared" si="158"/>
        <v>OK</v>
      </c>
      <c r="H2058" s="13">
        <f t="shared" si="159"/>
        <v>6</v>
      </c>
      <c r="I2058" s="14">
        <f t="shared" si="155"/>
        <v>1773.19</v>
      </c>
      <c r="K2058" t="str">
        <f>[1]!revcom(C2058)</f>
        <v>CAAAAG</v>
      </c>
      <c r="L2058">
        <v>2</v>
      </c>
    </row>
    <row r="2059" spans="1:12" ht="15.6" x14ac:dyDescent="0.3">
      <c r="A2059" s="9">
        <v>2048</v>
      </c>
      <c r="B2059" s="1"/>
      <c r="C2059" s="2" t="s">
        <v>2054</v>
      </c>
      <c r="D2059" s="1"/>
      <c r="E2059" s="11">
        <f t="shared" si="156"/>
        <v>-6</v>
      </c>
      <c r="F2059" s="12">
        <f t="shared" si="157"/>
        <v>16.666666666666664</v>
      </c>
      <c r="G2059" s="12" t="str">
        <f t="shared" si="158"/>
        <v>OK</v>
      </c>
      <c r="H2059" s="13">
        <f t="shared" si="159"/>
        <v>6</v>
      </c>
      <c r="I2059" s="14">
        <f t="shared" si="155"/>
        <v>1748.17</v>
      </c>
      <c r="K2059" t="str">
        <f>[1]!revcom(C2059)</f>
        <v>AAAAAG</v>
      </c>
      <c r="L2059">
        <v>1</v>
      </c>
    </row>
    <row r="2060" spans="1:12" ht="15.6" x14ac:dyDescent="0.3">
      <c r="A2060" s="9">
        <v>2049</v>
      </c>
      <c r="B2060" s="1"/>
      <c r="C2060" s="2" t="s">
        <v>2055</v>
      </c>
      <c r="D2060" s="1"/>
      <c r="E2060" s="11">
        <f t="shared" si="156"/>
        <v>34</v>
      </c>
      <c r="F2060" s="12">
        <f t="shared" si="157"/>
        <v>16.666666666666664</v>
      </c>
      <c r="G2060" s="12" t="str">
        <f t="shared" si="158"/>
        <v>OK</v>
      </c>
      <c r="H2060" s="13">
        <f t="shared" si="159"/>
        <v>6</v>
      </c>
      <c r="I2060" s="14">
        <f t="shared" si="155"/>
        <v>1833.2999999999997</v>
      </c>
      <c r="K2060" t="str">
        <f>[1]!revcom(C2060)</f>
        <v>TTTTTC</v>
      </c>
      <c r="L2060">
        <v>8</v>
      </c>
    </row>
    <row r="2061" spans="1:12" ht="15.6" x14ac:dyDescent="0.3">
      <c r="A2061" s="9">
        <v>2050</v>
      </c>
      <c r="B2061" s="1"/>
      <c r="C2061" s="2" t="s">
        <v>2056</v>
      </c>
      <c r="D2061" s="1"/>
      <c r="E2061" s="11">
        <f t="shared" si="156"/>
        <v>32</v>
      </c>
      <c r="F2061" s="12">
        <f t="shared" si="157"/>
        <v>33.333333333333329</v>
      </c>
      <c r="G2061" s="12" t="str">
        <f t="shared" si="158"/>
        <v>OK</v>
      </c>
      <c r="H2061" s="13">
        <f t="shared" si="159"/>
        <v>6</v>
      </c>
      <c r="I2061" s="14">
        <f t="shared" ref="I2061:I2124" si="160">((LEN(C2061)-(LEN(SUBSTITUTE(C2061,"A",""))))*249.23)+((LEN(C2061)-(LEN(SUBSTITUTE(C2061,"T",""))))*240.21)+((LEN(C2061)-(LEN(SUBSTITUTE(C2061,"C",""))))*225.2)+((LEN(C2061)-(LEN(SUBSTITUTE(C2061,"G",""))))*265.23)+(63.98*(LEN(C2061)-1)+(2.02))</f>
        <v>1809.27</v>
      </c>
      <c r="K2061" t="str">
        <f>[1]!revcom(C2061)</f>
        <v>GTTTTC</v>
      </c>
      <c r="L2061">
        <v>8</v>
      </c>
    </row>
    <row r="2062" spans="1:12" ht="15.6" x14ac:dyDescent="0.3">
      <c r="A2062" s="9">
        <v>2051</v>
      </c>
      <c r="B2062" s="1"/>
      <c r="C2062" s="2" t="s">
        <v>2057</v>
      </c>
      <c r="D2062" s="1"/>
      <c r="E2062" s="11">
        <f t="shared" ref="E2062:E2125" si="161">IF(LEN(C2062)&gt;15,(69.3+((41*((LEN(C2062)-(((LEN(C2062)-(LEN(SUBSTITUTE(C2062,"A",""))))+((LEN(C2062)-(LEN(SUBSTITUTE(C2062,"T","")))))))))/(LEN(C2062)))-(650/(LEN(C2062))))),(2*((LEN(C2062)-(((LEN(C2062)-(LEN(SUBSTITUTE(C2062,"C",""))))+((LEN(C2062)-(LEN(SUBSTITUTE(C2062,"G",""))))))))))+(4*((LEN(C2062)-(((LEN(C2062)-(LEN(SUBSTITUTE(C2062,"T",""))))+((LEN(C2062)-(LEN(SUBSTITUTE(C2062,"T","")))))))))))</f>
        <v>32</v>
      </c>
      <c r="F2062" s="12">
        <f t="shared" ref="F2062:F2125" si="162">((LEN(C2062)- LEN(SUBSTITUTE(C2062,"G","")))+(LEN(C2062)- LEN(SUBSTITUTE(C2062,"C",""))) )/LEN(C2062)*100</f>
        <v>33.333333333333329</v>
      </c>
      <c r="G2062" s="12" t="str">
        <f t="shared" ref="G2062:G2125" si="163">IF((-5+((LEN(SUBSTITUTE(RIGHT(C2062,5),"C","")))+((LEN(SUBSTITUTE(RIGHT(C2062,5),"G",""))))))&gt;=3,"OK","Warning")</f>
        <v>OK</v>
      </c>
      <c r="H2062" s="13">
        <f t="shared" ref="H2062:H2125" si="164">LEN(C2062)</f>
        <v>6</v>
      </c>
      <c r="I2062" s="14">
        <f t="shared" si="160"/>
        <v>1849.3000000000002</v>
      </c>
      <c r="K2062" t="str">
        <f>[1]!revcom(C2062)</f>
        <v>CTTTTC</v>
      </c>
      <c r="L2062">
        <v>8</v>
      </c>
    </row>
    <row r="2063" spans="1:12" ht="15.6" x14ac:dyDescent="0.3">
      <c r="A2063" s="9">
        <v>2052</v>
      </c>
      <c r="B2063" s="1"/>
      <c r="C2063" s="2" t="s">
        <v>2058</v>
      </c>
      <c r="D2063" s="1"/>
      <c r="E2063" s="11">
        <f t="shared" si="161"/>
        <v>26</v>
      </c>
      <c r="F2063" s="12">
        <f t="shared" si="162"/>
        <v>16.666666666666664</v>
      </c>
      <c r="G2063" s="12" t="str">
        <f t="shared" si="163"/>
        <v>OK</v>
      </c>
      <c r="H2063" s="13">
        <f t="shared" si="164"/>
        <v>6</v>
      </c>
      <c r="I2063" s="14">
        <f t="shared" si="160"/>
        <v>1824.2799999999997</v>
      </c>
      <c r="K2063" t="str">
        <f>[1]!revcom(C2063)</f>
        <v>ATTTTC</v>
      </c>
      <c r="L2063">
        <v>7</v>
      </c>
    </row>
    <row r="2064" spans="1:12" ht="15.6" x14ac:dyDescent="0.3">
      <c r="A2064" s="9">
        <v>2053</v>
      </c>
      <c r="B2064" s="1"/>
      <c r="C2064" s="2" t="s">
        <v>2059</v>
      </c>
      <c r="D2064" s="1"/>
      <c r="E2064" s="11">
        <f t="shared" si="161"/>
        <v>32</v>
      </c>
      <c r="F2064" s="12">
        <f t="shared" si="162"/>
        <v>33.333333333333329</v>
      </c>
      <c r="G2064" s="12" t="str">
        <f t="shared" si="163"/>
        <v>OK</v>
      </c>
      <c r="H2064" s="13">
        <f t="shared" si="164"/>
        <v>6</v>
      </c>
      <c r="I2064" s="14">
        <f t="shared" si="160"/>
        <v>1809.27</v>
      </c>
      <c r="K2064" t="str">
        <f>[1]!revcom(C2064)</f>
        <v>TGTTTC</v>
      </c>
      <c r="L2064">
        <v>8</v>
      </c>
    </row>
    <row r="2065" spans="1:12" ht="15.6" x14ac:dyDescent="0.3">
      <c r="A2065" s="9">
        <v>2054</v>
      </c>
      <c r="B2065" s="1"/>
      <c r="C2065" s="2" t="s">
        <v>2060</v>
      </c>
      <c r="D2065" s="1"/>
      <c r="E2065" s="11">
        <f t="shared" si="161"/>
        <v>30</v>
      </c>
      <c r="F2065" s="12">
        <f t="shared" si="162"/>
        <v>50</v>
      </c>
      <c r="G2065" s="12" t="str">
        <f t="shared" si="163"/>
        <v>OK</v>
      </c>
      <c r="H2065" s="13">
        <f t="shared" si="164"/>
        <v>6</v>
      </c>
      <c r="I2065" s="14">
        <f t="shared" si="160"/>
        <v>1785.2399999999998</v>
      </c>
      <c r="K2065" t="str">
        <f>[1]!revcom(C2065)</f>
        <v>GGTTTC</v>
      </c>
      <c r="L2065">
        <v>7</v>
      </c>
    </row>
    <row r="2066" spans="1:12" ht="15.6" x14ac:dyDescent="0.3">
      <c r="A2066" s="9">
        <v>2055</v>
      </c>
      <c r="B2066" s="1"/>
      <c r="C2066" s="2" t="s">
        <v>2061</v>
      </c>
      <c r="D2066" s="1"/>
      <c r="E2066" s="11">
        <f t="shared" si="161"/>
        <v>30</v>
      </c>
      <c r="F2066" s="12">
        <f t="shared" si="162"/>
        <v>50</v>
      </c>
      <c r="G2066" s="12" t="str">
        <f t="shared" si="163"/>
        <v>OK</v>
      </c>
      <c r="H2066" s="13">
        <f t="shared" si="164"/>
        <v>6</v>
      </c>
      <c r="I2066" s="14">
        <f t="shared" si="160"/>
        <v>1825.27</v>
      </c>
      <c r="K2066" t="str">
        <f>[1]!revcom(C2066)</f>
        <v>CGTTTC</v>
      </c>
      <c r="L2066">
        <v>7</v>
      </c>
    </row>
    <row r="2067" spans="1:12" ht="15.6" x14ac:dyDescent="0.3">
      <c r="A2067" s="9">
        <v>2056</v>
      </c>
      <c r="B2067" s="1"/>
      <c r="C2067" s="2" t="s">
        <v>2062</v>
      </c>
      <c r="D2067" s="1"/>
      <c r="E2067" s="11">
        <f t="shared" si="161"/>
        <v>24</v>
      </c>
      <c r="F2067" s="12">
        <f t="shared" si="162"/>
        <v>33.333333333333329</v>
      </c>
      <c r="G2067" s="12" t="str">
        <f t="shared" si="163"/>
        <v>OK</v>
      </c>
      <c r="H2067" s="13">
        <f t="shared" si="164"/>
        <v>6</v>
      </c>
      <c r="I2067" s="14">
        <f t="shared" si="160"/>
        <v>1800.25</v>
      </c>
      <c r="K2067" t="str">
        <f>[1]!revcom(C2067)</f>
        <v>AGTTTC</v>
      </c>
      <c r="L2067">
        <v>6</v>
      </c>
    </row>
    <row r="2068" spans="1:12" ht="15.6" x14ac:dyDescent="0.3">
      <c r="A2068" s="9">
        <v>2057</v>
      </c>
      <c r="B2068" s="1"/>
      <c r="C2068" s="2" t="s">
        <v>2063</v>
      </c>
      <c r="D2068" s="1"/>
      <c r="E2068" s="11">
        <f t="shared" si="161"/>
        <v>32</v>
      </c>
      <c r="F2068" s="12">
        <f t="shared" si="162"/>
        <v>33.333333333333329</v>
      </c>
      <c r="G2068" s="12" t="str">
        <f t="shared" si="163"/>
        <v>OK</v>
      </c>
      <c r="H2068" s="13">
        <f t="shared" si="164"/>
        <v>6</v>
      </c>
      <c r="I2068" s="14">
        <f t="shared" si="160"/>
        <v>1849.3000000000002</v>
      </c>
      <c r="K2068" t="str">
        <f>[1]!revcom(C2068)</f>
        <v>TCTTTC</v>
      </c>
      <c r="L2068">
        <v>8</v>
      </c>
    </row>
    <row r="2069" spans="1:12" ht="15.6" x14ac:dyDescent="0.3">
      <c r="A2069" s="9">
        <v>2058</v>
      </c>
      <c r="B2069" s="1"/>
      <c r="C2069" s="2" t="s">
        <v>2064</v>
      </c>
      <c r="D2069" s="1"/>
      <c r="E2069" s="11">
        <f t="shared" si="161"/>
        <v>30</v>
      </c>
      <c r="F2069" s="12">
        <f t="shared" si="162"/>
        <v>50</v>
      </c>
      <c r="G2069" s="12" t="str">
        <f t="shared" si="163"/>
        <v>OK</v>
      </c>
      <c r="H2069" s="13">
        <f t="shared" si="164"/>
        <v>6</v>
      </c>
      <c r="I2069" s="14">
        <f t="shared" si="160"/>
        <v>1825.27</v>
      </c>
      <c r="K2069" t="str">
        <f>[1]!revcom(C2069)</f>
        <v>GCTTTC</v>
      </c>
      <c r="L2069">
        <v>7</v>
      </c>
    </row>
    <row r="2070" spans="1:12" ht="15.6" x14ac:dyDescent="0.3">
      <c r="A2070" s="9">
        <v>2059</v>
      </c>
      <c r="B2070" s="1"/>
      <c r="C2070" s="2" t="s">
        <v>2065</v>
      </c>
      <c r="D2070" s="1"/>
      <c r="E2070" s="11">
        <f t="shared" si="161"/>
        <v>30</v>
      </c>
      <c r="F2070" s="12">
        <f t="shared" si="162"/>
        <v>50</v>
      </c>
      <c r="G2070" s="12" t="str">
        <f t="shared" si="163"/>
        <v>OK</v>
      </c>
      <c r="H2070" s="13">
        <f t="shared" si="164"/>
        <v>6</v>
      </c>
      <c r="I2070" s="14">
        <f t="shared" si="160"/>
        <v>1865.3000000000002</v>
      </c>
      <c r="K2070" t="str">
        <f>[1]!revcom(C2070)</f>
        <v>CCTTTC</v>
      </c>
      <c r="L2070">
        <v>7</v>
      </c>
    </row>
    <row r="2071" spans="1:12" ht="15.6" x14ac:dyDescent="0.3">
      <c r="A2071" s="9">
        <v>2060</v>
      </c>
      <c r="B2071" s="1"/>
      <c r="C2071" s="2" t="s">
        <v>2066</v>
      </c>
      <c r="D2071" s="1"/>
      <c r="E2071" s="11">
        <f t="shared" si="161"/>
        <v>24</v>
      </c>
      <c r="F2071" s="12">
        <f t="shared" si="162"/>
        <v>33.333333333333329</v>
      </c>
      <c r="G2071" s="12" t="str">
        <f t="shared" si="163"/>
        <v>OK</v>
      </c>
      <c r="H2071" s="13">
        <f t="shared" si="164"/>
        <v>6</v>
      </c>
      <c r="I2071" s="14">
        <f t="shared" si="160"/>
        <v>1840.2800000000002</v>
      </c>
      <c r="K2071" t="str">
        <f>[1]!revcom(C2071)</f>
        <v>ACTTTC</v>
      </c>
      <c r="L2071">
        <v>6</v>
      </c>
    </row>
    <row r="2072" spans="1:12" ht="15.6" x14ac:dyDescent="0.3">
      <c r="A2072" s="9">
        <v>2061</v>
      </c>
      <c r="B2072" s="1"/>
      <c r="C2072" s="2" t="s">
        <v>2067</v>
      </c>
      <c r="D2072" s="1"/>
      <c r="E2072" s="11">
        <f t="shared" si="161"/>
        <v>26</v>
      </c>
      <c r="F2072" s="12">
        <f t="shared" si="162"/>
        <v>16.666666666666664</v>
      </c>
      <c r="G2072" s="12" t="str">
        <f t="shared" si="163"/>
        <v>OK</v>
      </c>
      <c r="H2072" s="13">
        <f t="shared" si="164"/>
        <v>6</v>
      </c>
      <c r="I2072" s="14">
        <f t="shared" si="160"/>
        <v>1824.2799999999997</v>
      </c>
      <c r="K2072" t="str">
        <f>[1]!revcom(C2072)</f>
        <v>TATTTC</v>
      </c>
      <c r="L2072">
        <v>7</v>
      </c>
    </row>
    <row r="2073" spans="1:12" ht="15.6" x14ac:dyDescent="0.3">
      <c r="A2073" s="9">
        <v>2062</v>
      </c>
      <c r="B2073" s="1"/>
      <c r="C2073" s="2" t="s">
        <v>2068</v>
      </c>
      <c r="D2073" s="1"/>
      <c r="E2073" s="11">
        <f t="shared" si="161"/>
        <v>24</v>
      </c>
      <c r="F2073" s="12">
        <f t="shared" si="162"/>
        <v>33.333333333333329</v>
      </c>
      <c r="G2073" s="12" t="str">
        <f t="shared" si="163"/>
        <v>OK</v>
      </c>
      <c r="H2073" s="13">
        <f t="shared" si="164"/>
        <v>6</v>
      </c>
      <c r="I2073" s="14">
        <f t="shared" si="160"/>
        <v>1800.25</v>
      </c>
      <c r="K2073" t="str">
        <f>[1]!revcom(C2073)</f>
        <v>GATTTC</v>
      </c>
      <c r="L2073">
        <v>6</v>
      </c>
    </row>
    <row r="2074" spans="1:12" ht="15.6" x14ac:dyDescent="0.3">
      <c r="A2074" s="9">
        <v>2063</v>
      </c>
      <c r="B2074" s="1"/>
      <c r="C2074" s="2" t="s">
        <v>2069</v>
      </c>
      <c r="D2074" s="1"/>
      <c r="E2074" s="11">
        <f t="shared" si="161"/>
        <v>24</v>
      </c>
      <c r="F2074" s="12">
        <f t="shared" si="162"/>
        <v>33.333333333333329</v>
      </c>
      <c r="G2074" s="12" t="str">
        <f t="shared" si="163"/>
        <v>OK</v>
      </c>
      <c r="H2074" s="13">
        <f t="shared" si="164"/>
        <v>6</v>
      </c>
      <c r="I2074" s="14">
        <f t="shared" si="160"/>
        <v>1840.2800000000002</v>
      </c>
      <c r="K2074" t="str">
        <f>[1]!revcom(C2074)</f>
        <v>CATTTC</v>
      </c>
      <c r="L2074">
        <v>6</v>
      </c>
    </row>
    <row r="2075" spans="1:12" ht="15.6" x14ac:dyDescent="0.3">
      <c r="A2075" s="9">
        <v>2064</v>
      </c>
      <c r="B2075" s="1"/>
      <c r="C2075" s="2" t="s">
        <v>2070</v>
      </c>
      <c r="D2075" s="1"/>
      <c r="E2075" s="11">
        <f t="shared" si="161"/>
        <v>18</v>
      </c>
      <c r="F2075" s="12">
        <f t="shared" si="162"/>
        <v>16.666666666666664</v>
      </c>
      <c r="G2075" s="12" t="str">
        <f t="shared" si="163"/>
        <v>OK</v>
      </c>
      <c r="H2075" s="13">
        <f t="shared" si="164"/>
        <v>6</v>
      </c>
      <c r="I2075" s="14">
        <f t="shared" si="160"/>
        <v>1815.2599999999998</v>
      </c>
      <c r="K2075" t="str">
        <f>[1]!revcom(C2075)</f>
        <v>AATTTC</v>
      </c>
      <c r="L2075">
        <v>5</v>
      </c>
    </row>
    <row r="2076" spans="1:12" ht="15.6" x14ac:dyDescent="0.3">
      <c r="A2076" s="9">
        <v>2065</v>
      </c>
      <c r="B2076" s="1"/>
      <c r="C2076" s="2" t="s">
        <v>2071</v>
      </c>
      <c r="D2076" s="1"/>
      <c r="E2076" s="11">
        <f t="shared" si="161"/>
        <v>32</v>
      </c>
      <c r="F2076" s="12">
        <f t="shared" si="162"/>
        <v>33.333333333333329</v>
      </c>
      <c r="G2076" s="12" t="str">
        <f t="shared" si="163"/>
        <v>OK</v>
      </c>
      <c r="H2076" s="13">
        <f t="shared" si="164"/>
        <v>6</v>
      </c>
      <c r="I2076" s="14">
        <f t="shared" si="160"/>
        <v>1809.27</v>
      </c>
      <c r="K2076" t="str">
        <f>[1]!revcom(C2076)</f>
        <v>TTGTTC</v>
      </c>
      <c r="L2076">
        <v>8</v>
      </c>
    </row>
    <row r="2077" spans="1:12" ht="15.6" x14ac:dyDescent="0.3">
      <c r="A2077" s="9">
        <v>2066</v>
      </c>
      <c r="B2077" s="1"/>
      <c r="C2077" s="2" t="s">
        <v>2072</v>
      </c>
      <c r="D2077" s="1"/>
      <c r="E2077" s="11">
        <f t="shared" si="161"/>
        <v>30</v>
      </c>
      <c r="F2077" s="12">
        <f t="shared" si="162"/>
        <v>50</v>
      </c>
      <c r="G2077" s="12" t="str">
        <f t="shared" si="163"/>
        <v>OK</v>
      </c>
      <c r="H2077" s="13">
        <f t="shared" si="164"/>
        <v>6</v>
      </c>
      <c r="I2077" s="14">
        <f t="shared" si="160"/>
        <v>1785.2399999999998</v>
      </c>
      <c r="K2077" t="str">
        <f>[1]!revcom(C2077)</f>
        <v>GTGTTC</v>
      </c>
      <c r="L2077">
        <v>7</v>
      </c>
    </row>
    <row r="2078" spans="1:12" ht="15.6" x14ac:dyDescent="0.3">
      <c r="A2078" s="9">
        <v>2067</v>
      </c>
      <c r="B2078" s="1"/>
      <c r="C2078" s="2" t="s">
        <v>2073</v>
      </c>
      <c r="D2078" s="1"/>
      <c r="E2078" s="11">
        <f t="shared" si="161"/>
        <v>30</v>
      </c>
      <c r="F2078" s="12">
        <f t="shared" si="162"/>
        <v>50</v>
      </c>
      <c r="G2078" s="12" t="str">
        <f t="shared" si="163"/>
        <v>OK</v>
      </c>
      <c r="H2078" s="13">
        <f t="shared" si="164"/>
        <v>6</v>
      </c>
      <c r="I2078" s="14">
        <f t="shared" si="160"/>
        <v>1825.27</v>
      </c>
      <c r="K2078" t="str">
        <f>[1]!revcom(C2078)</f>
        <v>CTGTTC</v>
      </c>
      <c r="L2078">
        <v>7</v>
      </c>
    </row>
    <row r="2079" spans="1:12" ht="15.6" x14ac:dyDescent="0.3">
      <c r="A2079" s="9">
        <v>2068</v>
      </c>
      <c r="B2079" s="1"/>
      <c r="C2079" s="2" t="s">
        <v>2074</v>
      </c>
      <c r="D2079" s="1"/>
      <c r="E2079" s="11">
        <f t="shared" si="161"/>
        <v>24</v>
      </c>
      <c r="F2079" s="12">
        <f t="shared" si="162"/>
        <v>33.333333333333329</v>
      </c>
      <c r="G2079" s="12" t="str">
        <f t="shared" si="163"/>
        <v>OK</v>
      </c>
      <c r="H2079" s="13">
        <f t="shared" si="164"/>
        <v>6</v>
      </c>
      <c r="I2079" s="14">
        <f t="shared" si="160"/>
        <v>1800.25</v>
      </c>
      <c r="K2079" t="str">
        <f>[1]!revcom(C2079)</f>
        <v>ATGTTC</v>
      </c>
      <c r="L2079">
        <v>6</v>
      </c>
    </row>
    <row r="2080" spans="1:12" ht="15.6" x14ac:dyDescent="0.3">
      <c r="A2080" s="9">
        <v>2069</v>
      </c>
      <c r="B2080" s="1"/>
      <c r="C2080" s="2" t="s">
        <v>2075</v>
      </c>
      <c r="D2080" s="1"/>
      <c r="E2080" s="11">
        <f t="shared" si="161"/>
        <v>30</v>
      </c>
      <c r="F2080" s="12">
        <f t="shared" si="162"/>
        <v>50</v>
      </c>
      <c r="G2080" s="12" t="str">
        <f t="shared" si="163"/>
        <v>OK</v>
      </c>
      <c r="H2080" s="13">
        <f t="shared" si="164"/>
        <v>6</v>
      </c>
      <c r="I2080" s="14">
        <f t="shared" si="160"/>
        <v>1785.2399999999998</v>
      </c>
      <c r="K2080" t="str">
        <f>[1]!revcom(C2080)</f>
        <v>TGGTTC</v>
      </c>
      <c r="L2080">
        <v>7</v>
      </c>
    </row>
    <row r="2081" spans="1:12" ht="15.6" x14ac:dyDescent="0.3">
      <c r="A2081" s="9">
        <v>2070</v>
      </c>
      <c r="B2081" s="1"/>
      <c r="C2081" s="2" t="s">
        <v>2076</v>
      </c>
      <c r="D2081" s="1"/>
      <c r="E2081" s="11">
        <f t="shared" si="161"/>
        <v>28</v>
      </c>
      <c r="F2081" s="12">
        <f t="shared" si="162"/>
        <v>66.666666666666657</v>
      </c>
      <c r="G2081" s="12" t="str">
        <f t="shared" si="163"/>
        <v>Warning</v>
      </c>
      <c r="H2081" s="13">
        <f t="shared" si="164"/>
        <v>6</v>
      </c>
      <c r="I2081" s="14">
        <f t="shared" si="160"/>
        <v>1761.21</v>
      </c>
      <c r="K2081" t="str">
        <f>[1]!revcom(C2081)</f>
        <v>GGGTTC</v>
      </c>
      <c r="L2081">
        <v>7</v>
      </c>
    </row>
    <row r="2082" spans="1:12" ht="15.6" x14ac:dyDescent="0.3">
      <c r="A2082" s="9">
        <v>2071</v>
      </c>
      <c r="B2082" s="1"/>
      <c r="C2082" s="2" t="s">
        <v>2077</v>
      </c>
      <c r="D2082" s="1"/>
      <c r="E2082" s="11">
        <f t="shared" si="161"/>
        <v>28</v>
      </c>
      <c r="F2082" s="12">
        <f t="shared" si="162"/>
        <v>66.666666666666657</v>
      </c>
      <c r="G2082" s="12" t="str">
        <f t="shared" si="163"/>
        <v>Warning</v>
      </c>
      <c r="H2082" s="13">
        <f t="shared" si="164"/>
        <v>6</v>
      </c>
      <c r="I2082" s="14">
        <f t="shared" si="160"/>
        <v>1801.2399999999998</v>
      </c>
      <c r="K2082" t="str">
        <f>[1]!revcom(C2082)</f>
        <v>CGGTTC</v>
      </c>
      <c r="L2082">
        <v>7</v>
      </c>
    </row>
    <row r="2083" spans="1:12" ht="15.6" x14ac:dyDescent="0.3">
      <c r="A2083" s="9">
        <v>2072</v>
      </c>
      <c r="B2083" s="1"/>
      <c r="C2083" s="2" t="s">
        <v>2078</v>
      </c>
      <c r="D2083" s="1"/>
      <c r="E2083" s="11">
        <f t="shared" si="161"/>
        <v>22</v>
      </c>
      <c r="F2083" s="12">
        <f t="shared" si="162"/>
        <v>50</v>
      </c>
      <c r="G2083" s="12" t="str">
        <f t="shared" si="163"/>
        <v>OK</v>
      </c>
      <c r="H2083" s="13">
        <f t="shared" si="164"/>
        <v>6</v>
      </c>
      <c r="I2083" s="14">
        <f t="shared" si="160"/>
        <v>1776.2199999999998</v>
      </c>
      <c r="K2083" t="str">
        <f>[1]!revcom(C2083)</f>
        <v>AGGTTC</v>
      </c>
      <c r="L2083">
        <v>6</v>
      </c>
    </row>
    <row r="2084" spans="1:12" ht="15.6" x14ac:dyDescent="0.3">
      <c r="A2084" s="9">
        <v>2073</v>
      </c>
      <c r="B2084" s="1"/>
      <c r="C2084" s="2" t="s">
        <v>2079</v>
      </c>
      <c r="D2084" s="1"/>
      <c r="E2084" s="11">
        <f t="shared" si="161"/>
        <v>30</v>
      </c>
      <c r="F2084" s="12">
        <f t="shared" si="162"/>
        <v>50</v>
      </c>
      <c r="G2084" s="12" t="str">
        <f t="shared" si="163"/>
        <v>OK</v>
      </c>
      <c r="H2084" s="13">
        <f t="shared" si="164"/>
        <v>6</v>
      </c>
      <c r="I2084" s="14">
        <f t="shared" si="160"/>
        <v>1825.27</v>
      </c>
      <c r="K2084" t="str">
        <f>[1]!revcom(C2084)</f>
        <v>TCGTTC</v>
      </c>
      <c r="L2084">
        <v>7</v>
      </c>
    </row>
    <row r="2085" spans="1:12" ht="15.6" x14ac:dyDescent="0.3">
      <c r="A2085" s="9">
        <v>2074</v>
      </c>
      <c r="B2085" s="1"/>
      <c r="C2085" s="2" t="s">
        <v>2080</v>
      </c>
      <c r="D2085" s="1"/>
      <c r="E2085" s="11">
        <f t="shared" si="161"/>
        <v>28</v>
      </c>
      <c r="F2085" s="12">
        <f t="shared" si="162"/>
        <v>66.666666666666657</v>
      </c>
      <c r="G2085" s="12" t="str">
        <f t="shared" si="163"/>
        <v>Warning</v>
      </c>
      <c r="H2085" s="13">
        <f t="shared" si="164"/>
        <v>6</v>
      </c>
      <c r="I2085" s="14">
        <f t="shared" si="160"/>
        <v>1801.2399999999998</v>
      </c>
      <c r="K2085" t="str">
        <f>[1]!revcom(C2085)</f>
        <v>GCGTTC</v>
      </c>
      <c r="L2085">
        <v>7</v>
      </c>
    </row>
    <row r="2086" spans="1:12" ht="15.6" x14ac:dyDescent="0.3">
      <c r="A2086" s="9">
        <v>2075</v>
      </c>
      <c r="B2086" s="1"/>
      <c r="C2086" s="2" t="s">
        <v>2081</v>
      </c>
      <c r="D2086" s="1"/>
      <c r="E2086" s="11">
        <f t="shared" si="161"/>
        <v>28</v>
      </c>
      <c r="F2086" s="12">
        <f t="shared" si="162"/>
        <v>66.666666666666657</v>
      </c>
      <c r="G2086" s="12" t="str">
        <f t="shared" si="163"/>
        <v>Warning</v>
      </c>
      <c r="H2086" s="13">
        <f t="shared" si="164"/>
        <v>6</v>
      </c>
      <c r="I2086" s="14">
        <f t="shared" si="160"/>
        <v>1841.27</v>
      </c>
      <c r="K2086" t="str">
        <f>[1]!revcom(C2086)</f>
        <v>CCGTTC</v>
      </c>
      <c r="L2086">
        <v>7</v>
      </c>
    </row>
    <row r="2087" spans="1:12" ht="15.6" x14ac:dyDescent="0.3">
      <c r="A2087" s="9">
        <v>2076</v>
      </c>
      <c r="B2087" s="1"/>
      <c r="C2087" s="2" t="s">
        <v>2082</v>
      </c>
      <c r="D2087" s="1"/>
      <c r="E2087" s="11">
        <f t="shared" si="161"/>
        <v>22</v>
      </c>
      <c r="F2087" s="12">
        <f t="shared" si="162"/>
        <v>50</v>
      </c>
      <c r="G2087" s="12" t="str">
        <f t="shared" si="163"/>
        <v>OK</v>
      </c>
      <c r="H2087" s="13">
        <f t="shared" si="164"/>
        <v>6</v>
      </c>
      <c r="I2087" s="14">
        <f t="shared" si="160"/>
        <v>1816.25</v>
      </c>
      <c r="K2087" t="str">
        <f>[1]!revcom(C2087)</f>
        <v>ACGTTC</v>
      </c>
      <c r="L2087">
        <v>6</v>
      </c>
    </row>
    <row r="2088" spans="1:12" ht="15.6" x14ac:dyDescent="0.3">
      <c r="A2088" s="9">
        <v>2077</v>
      </c>
      <c r="B2088" s="1"/>
      <c r="C2088" s="2" t="s">
        <v>2083</v>
      </c>
      <c r="D2088" s="1"/>
      <c r="E2088" s="11">
        <f t="shared" si="161"/>
        <v>24</v>
      </c>
      <c r="F2088" s="12">
        <f t="shared" si="162"/>
        <v>33.333333333333329</v>
      </c>
      <c r="G2088" s="12" t="str">
        <f t="shared" si="163"/>
        <v>OK</v>
      </c>
      <c r="H2088" s="13">
        <f t="shared" si="164"/>
        <v>6</v>
      </c>
      <c r="I2088" s="14">
        <f t="shared" si="160"/>
        <v>1800.25</v>
      </c>
      <c r="K2088" t="str">
        <f>[1]!revcom(C2088)</f>
        <v>TAGTTC</v>
      </c>
      <c r="L2088">
        <v>6</v>
      </c>
    </row>
    <row r="2089" spans="1:12" ht="15.6" x14ac:dyDescent="0.3">
      <c r="A2089" s="9">
        <v>2078</v>
      </c>
      <c r="B2089" s="1"/>
      <c r="C2089" s="2" t="s">
        <v>2084</v>
      </c>
      <c r="D2089" s="1"/>
      <c r="E2089" s="11">
        <f t="shared" si="161"/>
        <v>22</v>
      </c>
      <c r="F2089" s="12">
        <f t="shared" si="162"/>
        <v>50</v>
      </c>
      <c r="G2089" s="12" t="str">
        <f t="shared" si="163"/>
        <v>OK</v>
      </c>
      <c r="H2089" s="13">
        <f t="shared" si="164"/>
        <v>6</v>
      </c>
      <c r="I2089" s="14">
        <f t="shared" si="160"/>
        <v>1776.2199999999998</v>
      </c>
      <c r="K2089" t="str">
        <f>[1]!revcom(C2089)</f>
        <v>GAGTTC</v>
      </c>
      <c r="L2089">
        <v>6</v>
      </c>
    </row>
    <row r="2090" spans="1:12" ht="15.6" x14ac:dyDescent="0.3">
      <c r="A2090" s="9">
        <v>2079</v>
      </c>
      <c r="B2090" s="1"/>
      <c r="C2090" s="2" t="s">
        <v>2085</v>
      </c>
      <c r="D2090" s="1"/>
      <c r="E2090" s="11">
        <f t="shared" si="161"/>
        <v>22</v>
      </c>
      <c r="F2090" s="12">
        <f t="shared" si="162"/>
        <v>50</v>
      </c>
      <c r="G2090" s="12" t="str">
        <f t="shared" si="163"/>
        <v>OK</v>
      </c>
      <c r="H2090" s="13">
        <f t="shared" si="164"/>
        <v>6</v>
      </c>
      <c r="I2090" s="14">
        <f t="shared" si="160"/>
        <v>1816.25</v>
      </c>
      <c r="K2090" t="str">
        <f>[1]!revcom(C2090)</f>
        <v>CAGTTC</v>
      </c>
      <c r="L2090">
        <v>6</v>
      </c>
    </row>
    <row r="2091" spans="1:12" ht="15.6" x14ac:dyDescent="0.3">
      <c r="A2091" s="9">
        <v>2080</v>
      </c>
      <c r="B2091" s="1"/>
      <c r="C2091" s="2" t="s">
        <v>2086</v>
      </c>
      <c r="D2091" s="1"/>
      <c r="E2091" s="11">
        <f t="shared" si="161"/>
        <v>16</v>
      </c>
      <c r="F2091" s="12">
        <f t="shared" si="162"/>
        <v>33.333333333333329</v>
      </c>
      <c r="G2091" s="12" t="str">
        <f t="shared" si="163"/>
        <v>OK</v>
      </c>
      <c r="H2091" s="13">
        <f t="shared" si="164"/>
        <v>6</v>
      </c>
      <c r="I2091" s="14">
        <f t="shared" si="160"/>
        <v>1791.23</v>
      </c>
      <c r="K2091" t="str">
        <f>[1]!revcom(C2091)</f>
        <v>AAGTTC</v>
      </c>
      <c r="L2091">
        <v>5</v>
      </c>
    </row>
    <row r="2092" spans="1:12" ht="15.6" x14ac:dyDescent="0.3">
      <c r="A2092" s="9">
        <v>2081</v>
      </c>
      <c r="B2092" s="1"/>
      <c r="C2092" s="2" t="s">
        <v>2087</v>
      </c>
      <c r="D2092" s="1"/>
      <c r="E2092" s="11">
        <f t="shared" si="161"/>
        <v>32</v>
      </c>
      <c r="F2092" s="12">
        <f t="shared" si="162"/>
        <v>33.333333333333329</v>
      </c>
      <c r="G2092" s="12" t="str">
        <f t="shared" si="163"/>
        <v>OK</v>
      </c>
      <c r="H2092" s="13">
        <f t="shared" si="164"/>
        <v>6</v>
      </c>
      <c r="I2092" s="14">
        <f t="shared" si="160"/>
        <v>1849.3000000000002</v>
      </c>
      <c r="K2092" t="str">
        <f>[1]!revcom(C2092)</f>
        <v>TTCTTC</v>
      </c>
      <c r="L2092">
        <v>8</v>
      </c>
    </row>
    <row r="2093" spans="1:12" ht="15.6" x14ac:dyDescent="0.3">
      <c r="A2093" s="9">
        <v>2082</v>
      </c>
      <c r="B2093" s="1"/>
      <c r="C2093" s="2" t="s">
        <v>2088</v>
      </c>
      <c r="D2093" s="1"/>
      <c r="E2093" s="11">
        <f t="shared" si="161"/>
        <v>30</v>
      </c>
      <c r="F2093" s="12">
        <f t="shared" si="162"/>
        <v>50</v>
      </c>
      <c r="G2093" s="12" t="str">
        <f t="shared" si="163"/>
        <v>OK</v>
      </c>
      <c r="H2093" s="13">
        <f t="shared" si="164"/>
        <v>6</v>
      </c>
      <c r="I2093" s="14">
        <f t="shared" si="160"/>
        <v>1825.27</v>
      </c>
      <c r="K2093" t="str">
        <f>[1]!revcom(C2093)</f>
        <v>GTCTTC</v>
      </c>
      <c r="L2093">
        <v>7</v>
      </c>
    </row>
    <row r="2094" spans="1:12" ht="15.6" x14ac:dyDescent="0.3">
      <c r="A2094" s="9">
        <v>2083</v>
      </c>
      <c r="B2094" s="1"/>
      <c r="C2094" s="2" t="s">
        <v>2089</v>
      </c>
      <c r="D2094" s="1"/>
      <c r="E2094" s="11">
        <f t="shared" si="161"/>
        <v>30</v>
      </c>
      <c r="F2094" s="12">
        <f t="shared" si="162"/>
        <v>50</v>
      </c>
      <c r="G2094" s="12" t="str">
        <f t="shared" si="163"/>
        <v>OK</v>
      </c>
      <c r="H2094" s="13">
        <f t="shared" si="164"/>
        <v>6</v>
      </c>
      <c r="I2094" s="14">
        <f t="shared" si="160"/>
        <v>1865.3000000000002</v>
      </c>
      <c r="K2094" t="str">
        <f>[1]!revcom(C2094)</f>
        <v>CTCTTC</v>
      </c>
      <c r="L2094">
        <v>7</v>
      </c>
    </row>
    <row r="2095" spans="1:12" ht="15.6" x14ac:dyDescent="0.3">
      <c r="A2095" s="9">
        <v>2084</v>
      </c>
      <c r="B2095" s="1"/>
      <c r="C2095" s="2" t="s">
        <v>2090</v>
      </c>
      <c r="D2095" s="1"/>
      <c r="E2095" s="11">
        <f t="shared" si="161"/>
        <v>24</v>
      </c>
      <c r="F2095" s="12">
        <f t="shared" si="162"/>
        <v>33.333333333333329</v>
      </c>
      <c r="G2095" s="12" t="str">
        <f t="shared" si="163"/>
        <v>OK</v>
      </c>
      <c r="H2095" s="13">
        <f t="shared" si="164"/>
        <v>6</v>
      </c>
      <c r="I2095" s="14">
        <f t="shared" si="160"/>
        <v>1840.2800000000002</v>
      </c>
      <c r="K2095" t="str">
        <f>[1]!revcom(C2095)</f>
        <v>ATCTTC</v>
      </c>
      <c r="L2095">
        <v>6</v>
      </c>
    </row>
    <row r="2096" spans="1:12" ht="15.6" x14ac:dyDescent="0.3">
      <c r="A2096" s="9">
        <v>2085</v>
      </c>
      <c r="B2096" s="1"/>
      <c r="C2096" s="2" t="s">
        <v>2091</v>
      </c>
      <c r="D2096" s="1"/>
      <c r="E2096" s="11">
        <f t="shared" si="161"/>
        <v>30</v>
      </c>
      <c r="F2096" s="12">
        <f t="shared" si="162"/>
        <v>50</v>
      </c>
      <c r="G2096" s="12" t="str">
        <f t="shared" si="163"/>
        <v>OK</v>
      </c>
      <c r="H2096" s="13">
        <f t="shared" si="164"/>
        <v>6</v>
      </c>
      <c r="I2096" s="14">
        <f t="shared" si="160"/>
        <v>1825.27</v>
      </c>
      <c r="K2096" t="str">
        <f>[1]!revcom(C2096)</f>
        <v>TGCTTC</v>
      </c>
      <c r="L2096">
        <v>7</v>
      </c>
    </row>
    <row r="2097" spans="1:12" ht="15.6" x14ac:dyDescent="0.3">
      <c r="A2097" s="9">
        <v>2086</v>
      </c>
      <c r="B2097" s="1"/>
      <c r="C2097" s="2" t="s">
        <v>2092</v>
      </c>
      <c r="D2097" s="1"/>
      <c r="E2097" s="11">
        <f t="shared" si="161"/>
        <v>28</v>
      </c>
      <c r="F2097" s="12">
        <f t="shared" si="162"/>
        <v>66.666666666666657</v>
      </c>
      <c r="G2097" s="12" t="str">
        <f t="shared" si="163"/>
        <v>Warning</v>
      </c>
      <c r="H2097" s="13">
        <f t="shared" si="164"/>
        <v>6</v>
      </c>
      <c r="I2097" s="14">
        <f t="shared" si="160"/>
        <v>1801.2399999999998</v>
      </c>
      <c r="K2097" t="str">
        <f>[1]!revcom(C2097)</f>
        <v>GGCTTC</v>
      </c>
      <c r="L2097">
        <v>7</v>
      </c>
    </row>
    <row r="2098" spans="1:12" ht="15.6" x14ac:dyDescent="0.3">
      <c r="A2098" s="9">
        <v>2087</v>
      </c>
      <c r="B2098" s="1"/>
      <c r="C2098" s="2" t="s">
        <v>2093</v>
      </c>
      <c r="D2098" s="1"/>
      <c r="E2098" s="11">
        <f t="shared" si="161"/>
        <v>28</v>
      </c>
      <c r="F2098" s="12">
        <f t="shared" si="162"/>
        <v>66.666666666666657</v>
      </c>
      <c r="G2098" s="12" t="str">
        <f t="shared" si="163"/>
        <v>Warning</v>
      </c>
      <c r="H2098" s="13">
        <f t="shared" si="164"/>
        <v>6</v>
      </c>
      <c r="I2098" s="14">
        <f t="shared" si="160"/>
        <v>1841.27</v>
      </c>
      <c r="K2098" t="str">
        <f>[1]!revcom(C2098)</f>
        <v>CGCTTC</v>
      </c>
      <c r="L2098">
        <v>7</v>
      </c>
    </row>
    <row r="2099" spans="1:12" ht="15.6" x14ac:dyDescent="0.3">
      <c r="A2099" s="9">
        <v>2088</v>
      </c>
      <c r="B2099" s="1"/>
      <c r="C2099" s="2" t="s">
        <v>2094</v>
      </c>
      <c r="D2099" s="1"/>
      <c r="E2099" s="11">
        <f t="shared" si="161"/>
        <v>22</v>
      </c>
      <c r="F2099" s="12">
        <f t="shared" si="162"/>
        <v>50</v>
      </c>
      <c r="G2099" s="12" t="str">
        <f t="shared" si="163"/>
        <v>OK</v>
      </c>
      <c r="H2099" s="13">
        <f t="shared" si="164"/>
        <v>6</v>
      </c>
      <c r="I2099" s="14">
        <f t="shared" si="160"/>
        <v>1816.25</v>
      </c>
      <c r="K2099" t="str">
        <f>[1]!revcom(C2099)</f>
        <v>AGCTTC</v>
      </c>
      <c r="L2099">
        <v>6</v>
      </c>
    </row>
    <row r="2100" spans="1:12" ht="15.6" x14ac:dyDescent="0.3">
      <c r="A2100" s="9">
        <v>2089</v>
      </c>
      <c r="B2100" s="1"/>
      <c r="C2100" s="2" t="s">
        <v>2095</v>
      </c>
      <c r="D2100" s="1"/>
      <c r="E2100" s="11">
        <f t="shared" si="161"/>
        <v>30</v>
      </c>
      <c r="F2100" s="12">
        <f t="shared" si="162"/>
        <v>50</v>
      </c>
      <c r="G2100" s="12" t="str">
        <f t="shared" si="163"/>
        <v>OK</v>
      </c>
      <c r="H2100" s="13">
        <f t="shared" si="164"/>
        <v>6</v>
      </c>
      <c r="I2100" s="14">
        <f t="shared" si="160"/>
        <v>1865.3000000000002</v>
      </c>
      <c r="K2100" t="str">
        <f>[1]!revcom(C2100)</f>
        <v>TCCTTC</v>
      </c>
      <c r="L2100">
        <v>7</v>
      </c>
    </row>
    <row r="2101" spans="1:12" ht="15.6" x14ac:dyDescent="0.3">
      <c r="A2101" s="9">
        <v>2090</v>
      </c>
      <c r="B2101" s="1"/>
      <c r="C2101" s="2" t="s">
        <v>2096</v>
      </c>
      <c r="D2101" s="1"/>
      <c r="E2101" s="11">
        <f t="shared" si="161"/>
        <v>28</v>
      </c>
      <c r="F2101" s="12">
        <f t="shared" si="162"/>
        <v>66.666666666666657</v>
      </c>
      <c r="G2101" s="12" t="str">
        <f t="shared" si="163"/>
        <v>Warning</v>
      </c>
      <c r="H2101" s="13">
        <f t="shared" si="164"/>
        <v>6</v>
      </c>
      <c r="I2101" s="14">
        <f t="shared" si="160"/>
        <v>1841.27</v>
      </c>
      <c r="K2101" t="str">
        <f>[1]!revcom(C2101)</f>
        <v>GCCTTC</v>
      </c>
      <c r="L2101">
        <v>7</v>
      </c>
    </row>
    <row r="2102" spans="1:12" ht="15.6" x14ac:dyDescent="0.3">
      <c r="A2102" s="9">
        <v>2091</v>
      </c>
      <c r="B2102" s="1"/>
      <c r="C2102" s="2" t="s">
        <v>2097</v>
      </c>
      <c r="D2102" s="1"/>
      <c r="E2102" s="11">
        <f t="shared" si="161"/>
        <v>28</v>
      </c>
      <c r="F2102" s="12">
        <f t="shared" si="162"/>
        <v>66.666666666666657</v>
      </c>
      <c r="G2102" s="12" t="str">
        <f t="shared" si="163"/>
        <v>Warning</v>
      </c>
      <c r="H2102" s="13">
        <f t="shared" si="164"/>
        <v>6</v>
      </c>
      <c r="I2102" s="14">
        <f t="shared" si="160"/>
        <v>1881.3000000000002</v>
      </c>
      <c r="K2102" t="str">
        <f>[1]!revcom(C2102)</f>
        <v>CCCTTC</v>
      </c>
      <c r="L2102">
        <v>7</v>
      </c>
    </row>
    <row r="2103" spans="1:12" ht="15.6" x14ac:dyDescent="0.3">
      <c r="A2103" s="9">
        <v>2092</v>
      </c>
      <c r="B2103" s="1"/>
      <c r="C2103" s="2" t="s">
        <v>2098</v>
      </c>
      <c r="D2103" s="1"/>
      <c r="E2103" s="11">
        <f t="shared" si="161"/>
        <v>22</v>
      </c>
      <c r="F2103" s="12">
        <f t="shared" si="162"/>
        <v>50</v>
      </c>
      <c r="G2103" s="12" t="str">
        <f t="shared" si="163"/>
        <v>OK</v>
      </c>
      <c r="H2103" s="13">
        <f t="shared" si="164"/>
        <v>6</v>
      </c>
      <c r="I2103" s="14">
        <f t="shared" si="160"/>
        <v>1856.2800000000002</v>
      </c>
      <c r="K2103" t="str">
        <f>[1]!revcom(C2103)</f>
        <v>ACCTTC</v>
      </c>
      <c r="L2103">
        <v>6</v>
      </c>
    </row>
    <row r="2104" spans="1:12" ht="15.6" x14ac:dyDescent="0.3">
      <c r="A2104" s="9">
        <v>2093</v>
      </c>
      <c r="B2104" s="1"/>
      <c r="C2104" s="2" t="s">
        <v>2099</v>
      </c>
      <c r="D2104" s="1"/>
      <c r="E2104" s="11">
        <f t="shared" si="161"/>
        <v>24</v>
      </c>
      <c r="F2104" s="12">
        <f t="shared" si="162"/>
        <v>33.333333333333329</v>
      </c>
      <c r="G2104" s="12" t="str">
        <f t="shared" si="163"/>
        <v>OK</v>
      </c>
      <c r="H2104" s="13">
        <f t="shared" si="164"/>
        <v>6</v>
      </c>
      <c r="I2104" s="14">
        <f t="shared" si="160"/>
        <v>1840.2800000000002</v>
      </c>
      <c r="K2104" t="str">
        <f>[1]!revcom(C2104)</f>
        <v>TACTTC</v>
      </c>
      <c r="L2104">
        <v>6</v>
      </c>
    </row>
    <row r="2105" spans="1:12" ht="15.6" x14ac:dyDescent="0.3">
      <c r="A2105" s="9">
        <v>2094</v>
      </c>
      <c r="B2105" s="1"/>
      <c r="C2105" s="2" t="s">
        <v>2100</v>
      </c>
      <c r="D2105" s="1"/>
      <c r="E2105" s="11">
        <f t="shared" si="161"/>
        <v>22</v>
      </c>
      <c r="F2105" s="12">
        <f t="shared" si="162"/>
        <v>50</v>
      </c>
      <c r="G2105" s="12" t="str">
        <f t="shared" si="163"/>
        <v>OK</v>
      </c>
      <c r="H2105" s="13">
        <f t="shared" si="164"/>
        <v>6</v>
      </c>
      <c r="I2105" s="14">
        <f t="shared" si="160"/>
        <v>1816.25</v>
      </c>
      <c r="K2105" t="str">
        <f>[1]!revcom(C2105)</f>
        <v>GACTTC</v>
      </c>
      <c r="L2105">
        <v>6</v>
      </c>
    </row>
    <row r="2106" spans="1:12" ht="15.6" x14ac:dyDescent="0.3">
      <c r="A2106" s="9">
        <v>2095</v>
      </c>
      <c r="B2106" s="1"/>
      <c r="C2106" s="2" t="s">
        <v>2101</v>
      </c>
      <c r="D2106" s="1"/>
      <c r="E2106" s="11">
        <f t="shared" si="161"/>
        <v>22</v>
      </c>
      <c r="F2106" s="12">
        <f t="shared" si="162"/>
        <v>50</v>
      </c>
      <c r="G2106" s="12" t="str">
        <f t="shared" si="163"/>
        <v>OK</v>
      </c>
      <c r="H2106" s="13">
        <f t="shared" si="164"/>
        <v>6</v>
      </c>
      <c r="I2106" s="14">
        <f t="shared" si="160"/>
        <v>1856.2800000000002</v>
      </c>
      <c r="K2106" t="str">
        <f>[1]!revcom(C2106)</f>
        <v>CACTTC</v>
      </c>
      <c r="L2106">
        <v>6</v>
      </c>
    </row>
    <row r="2107" spans="1:12" ht="15.6" x14ac:dyDescent="0.3">
      <c r="A2107" s="9">
        <v>2096</v>
      </c>
      <c r="B2107" s="1"/>
      <c r="C2107" s="2" t="s">
        <v>2102</v>
      </c>
      <c r="D2107" s="1"/>
      <c r="E2107" s="11">
        <f t="shared" si="161"/>
        <v>16</v>
      </c>
      <c r="F2107" s="12">
        <f t="shared" si="162"/>
        <v>33.333333333333329</v>
      </c>
      <c r="G2107" s="12" t="str">
        <f t="shared" si="163"/>
        <v>OK</v>
      </c>
      <c r="H2107" s="13">
        <f t="shared" si="164"/>
        <v>6</v>
      </c>
      <c r="I2107" s="14">
        <f t="shared" si="160"/>
        <v>1831.2600000000002</v>
      </c>
      <c r="K2107" t="str">
        <f>[1]!revcom(C2107)</f>
        <v>AACTTC</v>
      </c>
      <c r="L2107">
        <v>5</v>
      </c>
    </row>
    <row r="2108" spans="1:12" ht="15.6" x14ac:dyDescent="0.3">
      <c r="A2108" s="9">
        <v>2097</v>
      </c>
      <c r="B2108" s="1"/>
      <c r="C2108" s="2" t="s">
        <v>2103</v>
      </c>
      <c r="D2108" s="1"/>
      <c r="E2108" s="11">
        <f t="shared" si="161"/>
        <v>26</v>
      </c>
      <c r="F2108" s="12">
        <f t="shared" si="162"/>
        <v>16.666666666666664</v>
      </c>
      <c r="G2108" s="12" t="str">
        <f t="shared" si="163"/>
        <v>OK</v>
      </c>
      <c r="H2108" s="13">
        <f t="shared" si="164"/>
        <v>6</v>
      </c>
      <c r="I2108" s="14">
        <f t="shared" si="160"/>
        <v>1824.2799999999997</v>
      </c>
      <c r="K2108" t="str">
        <f>[1]!revcom(C2108)</f>
        <v>TTATTC</v>
      </c>
      <c r="L2108">
        <v>7</v>
      </c>
    </row>
    <row r="2109" spans="1:12" ht="15.6" x14ac:dyDescent="0.3">
      <c r="A2109" s="9">
        <v>2098</v>
      </c>
      <c r="B2109" s="1"/>
      <c r="C2109" s="2" t="s">
        <v>2104</v>
      </c>
      <c r="D2109" s="1"/>
      <c r="E2109" s="11">
        <f t="shared" si="161"/>
        <v>24</v>
      </c>
      <c r="F2109" s="12">
        <f t="shared" si="162"/>
        <v>33.333333333333329</v>
      </c>
      <c r="G2109" s="12" t="str">
        <f t="shared" si="163"/>
        <v>OK</v>
      </c>
      <c r="H2109" s="13">
        <f t="shared" si="164"/>
        <v>6</v>
      </c>
      <c r="I2109" s="14">
        <f t="shared" si="160"/>
        <v>1800.25</v>
      </c>
      <c r="K2109" t="str">
        <f>[1]!revcom(C2109)</f>
        <v>GTATTC</v>
      </c>
      <c r="L2109">
        <v>6</v>
      </c>
    </row>
    <row r="2110" spans="1:12" ht="15.6" x14ac:dyDescent="0.3">
      <c r="A2110" s="9">
        <v>2099</v>
      </c>
      <c r="B2110" s="1"/>
      <c r="C2110" s="2" t="s">
        <v>2105</v>
      </c>
      <c r="D2110" s="1"/>
      <c r="E2110" s="11">
        <f t="shared" si="161"/>
        <v>24</v>
      </c>
      <c r="F2110" s="12">
        <f t="shared" si="162"/>
        <v>33.333333333333329</v>
      </c>
      <c r="G2110" s="12" t="str">
        <f t="shared" si="163"/>
        <v>OK</v>
      </c>
      <c r="H2110" s="13">
        <f t="shared" si="164"/>
        <v>6</v>
      </c>
      <c r="I2110" s="14">
        <f t="shared" si="160"/>
        <v>1840.2800000000002</v>
      </c>
      <c r="K2110" t="str">
        <f>[1]!revcom(C2110)</f>
        <v>CTATTC</v>
      </c>
      <c r="L2110">
        <v>6</v>
      </c>
    </row>
    <row r="2111" spans="1:12" ht="15.6" x14ac:dyDescent="0.3">
      <c r="A2111" s="9">
        <v>2100</v>
      </c>
      <c r="B2111" s="1"/>
      <c r="C2111" s="2" t="s">
        <v>2106</v>
      </c>
      <c r="D2111" s="1"/>
      <c r="E2111" s="11">
        <f t="shared" si="161"/>
        <v>18</v>
      </c>
      <c r="F2111" s="12">
        <f t="shared" si="162"/>
        <v>16.666666666666664</v>
      </c>
      <c r="G2111" s="12" t="str">
        <f t="shared" si="163"/>
        <v>OK</v>
      </c>
      <c r="H2111" s="13">
        <f t="shared" si="164"/>
        <v>6</v>
      </c>
      <c r="I2111" s="14">
        <f t="shared" si="160"/>
        <v>1815.2599999999998</v>
      </c>
      <c r="K2111" t="str">
        <f>[1]!revcom(C2111)</f>
        <v>ATATTC</v>
      </c>
      <c r="L2111">
        <v>5</v>
      </c>
    </row>
    <row r="2112" spans="1:12" ht="15.6" x14ac:dyDescent="0.3">
      <c r="A2112" s="9">
        <v>2101</v>
      </c>
      <c r="B2112" s="1"/>
      <c r="C2112" s="2" t="s">
        <v>2107</v>
      </c>
      <c r="D2112" s="1"/>
      <c r="E2112" s="11">
        <f t="shared" si="161"/>
        <v>24</v>
      </c>
      <c r="F2112" s="12">
        <f t="shared" si="162"/>
        <v>33.333333333333329</v>
      </c>
      <c r="G2112" s="12" t="str">
        <f t="shared" si="163"/>
        <v>OK</v>
      </c>
      <c r="H2112" s="13">
        <f t="shared" si="164"/>
        <v>6</v>
      </c>
      <c r="I2112" s="14">
        <f t="shared" si="160"/>
        <v>1800.25</v>
      </c>
      <c r="K2112" t="str">
        <f>[1]!revcom(C2112)</f>
        <v>TGATTC</v>
      </c>
      <c r="L2112">
        <v>6</v>
      </c>
    </row>
    <row r="2113" spans="1:12" ht="15.6" x14ac:dyDescent="0.3">
      <c r="A2113" s="9">
        <v>2102</v>
      </c>
      <c r="B2113" s="1"/>
      <c r="C2113" s="2" t="s">
        <v>2108</v>
      </c>
      <c r="D2113" s="1"/>
      <c r="E2113" s="11">
        <f t="shared" si="161"/>
        <v>22</v>
      </c>
      <c r="F2113" s="12">
        <f t="shared" si="162"/>
        <v>50</v>
      </c>
      <c r="G2113" s="12" t="str">
        <f t="shared" si="163"/>
        <v>OK</v>
      </c>
      <c r="H2113" s="13">
        <f t="shared" si="164"/>
        <v>6</v>
      </c>
      <c r="I2113" s="14">
        <f t="shared" si="160"/>
        <v>1776.2199999999998</v>
      </c>
      <c r="K2113" t="str">
        <f>[1]!revcom(C2113)</f>
        <v>GGATTC</v>
      </c>
      <c r="L2113">
        <v>6</v>
      </c>
    </row>
    <row r="2114" spans="1:12" ht="15.6" x14ac:dyDescent="0.3">
      <c r="A2114" s="9">
        <v>2103</v>
      </c>
      <c r="B2114" s="1"/>
      <c r="C2114" s="2" t="s">
        <v>2109</v>
      </c>
      <c r="D2114" s="1"/>
      <c r="E2114" s="11">
        <f t="shared" si="161"/>
        <v>22</v>
      </c>
      <c r="F2114" s="12">
        <f t="shared" si="162"/>
        <v>50</v>
      </c>
      <c r="G2114" s="12" t="str">
        <f t="shared" si="163"/>
        <v>OK</v>
      </c>
      <c r="H2114" s="13">
        <f t="shared" si="164"/>
        <v>6</v>
      </c>
      <c r="I2114" s="14">
        <f t="shared" si="160"/>
        <v>1816.25</v>
      </c>
      <c r="K2114" t="str">
        <f>[1]!revcom(C2114)</f>
        <v>CGATTC</v>
      </c>
      <c r="L2114">
        <v>6</v>
      </c>
    </row>
    <row r="2115" spans="1:12" ht="15.6" x14ac:dyDescent="0.3">
      <c r="A2115" s="9">
        <v>2104</v>
      </c>
      <c r="B2115" s="1"/>
      <c r="C2115" s="2" t="s">
        <v>2110</v>
      </c>
      <c r="D2115" s="1"/>
      <c r="E2115" s="11">
        <f t="shared" si="161"/>
        <v>16</v>
      </c>
      <c r="F2115" s="12">
        <f t="shared" si="162"/>
        <v>33.333333333333329</v>
      </c>
      <c r="G2115" s="12" t="str">
        <f t="shared" si="163"/>
        <v>OK</v>
      </c>
      <c r="H2115" s="13">
        <f t="shared" si="164"/>
        <v>6</v>
      </c>
      <c r="I2115" s="14">
        <f t="shared" si="160"/>
        <v>1791.23</v>
      </c>
      <c r="K2115" t="str">
        <f>[1]!revcom(C2115)</f>
        <v>AGATTC</v>
      </c>
      <c r="L2115">
        <v>5</v>
      </c>
    </row>
    <row r="2116" spans="1:12" ht="15.6" x14ac:dyDescent="0.3">
      <c r="A2116" s="9">
        <v>2105</v>
      </c>
      <c r="B2116" s="1"/>
      <c r="C2116" s="2" t="s">
        <v>2111</v>
      </c>
      <c r="D2116" s="1"/>
      <c r="E2116" s="11">
        <f t="shared" si="161"/>
        <v>24</v>
      </c>
      <c r="F2116" s="12">
        <f t="shared" si="162"/>
        <v>33.333333333333329</v>
      </c>
      <c r="G2116" s="12" t="str">
        <f t="shared" si="163"/>
        <v>OK</v>
      </c>
      <c r="H2116" s="13">
        <f t="shared" si="164"/>
        <v>6</v>
      </c>
      <c r="I2116" s="14">
        <f t="shared" si="160"/>
        <v>1840.2800000000002</v>
      </c>
      <c r="K2116" t="str">
        <f>[1]!revcom(C2116)</f>
        <v>TCATTC</v>
      </c>
      <c r="L2116">
        <v>6</v>
      </c>
    </row>
    <row r="2117" spans="1:12" ht="15.6" x14ac:dyDescent="0.3">
      <c r="A2117" s="9">
        <v>2106</v>
      </c>
      <c r="B2117" s="1"/>
      <c r="C2117" s="2" t="s">
        <v>2112</v>
      </c>
      <c r="D2117" s="1"/>
      <c r="E2117" s="11">
        <f t="shared" si="161"/>
        <v>22</v>
      </c>
      <c r="F2117" s="12">
        <f t="shared" si="162"/>
        <v>50</v>
      </c>
      <c r="G2117" s="12" t="str">
        <f t="shared" si="163"/>
        <v>OK</v>
      </c>
      <c r="H2117" s="13">
        <f t="shared" si="164"/>
        <v>6</v>
      </c>
      <c r="I2117" s="14">
        <f t="shared" si="160"/>
        <v>1816.25</v>
      </c>
      <c r="K2117" t="str">
        <f>[1]!revcom(C2117)</f>
        <v>GCATTC</v>
      </c>
      <c r="L2117">
        <v>6</v>
      </c>
    </row>
    <row r="2118" spans="1:12" ht="15.6" x14ac:dyDescent="0.3">
      <c r="A2118" s="9">
        <v>2107</v>
      </c>
      <c r="B2118" s="1"/>
      <c r="C2118" s="2" t="s">
        <v>2113</v>
      </c>
      <c r="D2118" s="1"/>
      <c r="E2118" s="11">
        <f t="shared" si="161"/>
        <v>22</v>
      </c>
      <c r="F2118" s="12">
        <f t="shared" si="162"/>
        <v>50</v>
      </c>
      <c r="G2118" s="12" t="str">
        <f t="shared" si="163"/>
        <v>OK</v>
      </c>
      <c r="H2118" s="13">
        <f t="shared" si="164"/>
        <v>6</v>
      </c>
      <c r="I2118" s="14">
        <f t="shared" si="160"/>
        <v>1856.2800000000002</v>
      </c>
      <c r="K2118" t="str">
        <f>[1]!revcom(C2118)</f>
        <v>CCATTC</v>
      </c>
      <c r="L2118">
        <v>6</v>
      </c>
    </row>
    <row r="2119" spans="1:12" ht="15.6" x14ac:dyDescent="0.3">
      <c r="A2119" s="9">
        <v>2108</v>
      </c>
      <c r="B2119" s="1"/>
      <c r="C2119" s="2" t="s">
        <v>2114</v>
      </c>
      <c r="D2119" s="1"/>
      <c r="E2119" s="11">
        <f t="shared" si="161"/>
        <v>16</v>
      </c>
      <c r="F2119" s="12">
        <f t="shared" si="162"/>
        <v>33.333333333333329</v>
      </c>
      <c r="G2119" s="12" t="str">
        <f t="shared" si="163"/>
        <v>OK</v>
      </c>
      <c r="H2119" s="13">
        <f t="shared" si="164"/>
        <v>6</v>
      </c>
      <c r="I2119" s="14">
        <f t="shared" si="160"/>
        <v>1831.2600000000002</v>
      </c>
      <c r="K2119" t="str">
        <f>[1]!revcom(C2119)</f>
        <v>ACATTC</v>
      </c>
      <c r="L2119">
        <v>5</v>
      </c>
    </row>
    <row r="2120" spans="1:12" ht="15.6" x14ac:dyDescent="0.3">
      <c r="A2120" s="9">
        <v>2109</v>
      </c>
      <c r="B2120" s="1"/>
      <c r="C2120" s="2" t="s">
        <v>2115</v>
      </c>
      <c r="D2120" s="1"/>
      <c r="E2120" s="11">
        <f t="shared" si="161"/>
        <v>18</v>
      </c>
      <c r="F2120" s="12">
        <f t="shared" si="162"/>
        <v>16.666666666666664</v>
      </c>
      <c r="G2120" s="12" t="str">
        <f t="shared" si="163"/>
        <v>OK</v>
      </c>
      <c r="H2120" s="13">
        <f t="shared" si="164"/>
        <v>6</v>
      </c>
      <c r="I2120" s="14">
        <f t="shared" si="160"/>
        <v>1815.2599999999998</v>
      </c>
      <c r="K2120" t="str">
        <f>[1]!revcom(C2120)</f>
        <v>TAATTC</v>
      </c>
      <c r="L2120">
        <v>5</v>
      </c>
    </row>
    <row r="2121" spans="1:12" ht="15.6" x14ac:dyDescent="0.3">
      <c r="A2121" s="9">
        <v>2110</v>
      </c>
      <c r="B2121" s="1"/>
      <c r="C2121" s="2" t="s">
        <v>2116</v>
      </c>
      <c r="D2121" s="1"/>
      <c r="E2121" s="11">
        <f t="shared" si="161"/>
        <v>16</v>
      </c>
      <c r="F2121" s="12">
        <f t="shared" si="162"/>
        <v>33.333333333333329</v>
      </c>
      <c r="G2121" s="12" t="str">
        <f t="shared" si="163"/>
        <v>OK</v>
      </c>
      <c r="H2121" s="13">
        <f t="shared" si="164"/>
        <v>6</v>
      </c>
      <c r="I2121" s="14">
        <f t="shared" si="160"/>
        <v>1791.23</v>
      </c>
      <c r="K2121" t="str">
        <f>[1]!revcom(C2121)</f>
        <v>GAATTC</v>
      </c>
      <c r="L2121">
        <v>5</v>
      </c>
    </row>
    <row r="2122" spans="1:12" ht="15.6" x14ac:dyDescent="0.3">
      <c r="A2122" s="9">
        <v>2111</v>
      </c>
      <c r="B2122" s="1"/>
      <c r="C2122" s="2" t="s">
        <v>2117</v>
      </c>
      <c r="D2122" s="1"/>
      <c r="E2122" s="11">
        <f t="shared" si="161"/>
        <v>16</v>
      </c>
      <c r="F2122" s="12">
        <f t="shared" si="162"/>
        <v>33.333333333333329</v>
      </c>
      <c r="G2122" s="12" t="str">
        <f t="shared" si="163"/>
        <v>OK</v>
      </c>
      <c r="H2122" s="13">
        <f t="shared" si="164"/>
        <v>6</v>
      </c>
      <c r="I2122" s="14">
        <f t="shared" si="160"/>
        <v>1831.2600000000002</v>
      </c>
      <c r="K2122" t="str">
        <f>[1]!revcom(C2122)</f>
        <v>CAATTC</v>
      </c>
      <c r="L2122">
        <v>5</v>
      </c>
    </row>
    <row r="2123" spans="1:12" ht="15.6" x14ac:dyDescent="0.3">
      <c r="A2123" s="9">
        <v>2112</v>
      </c>
      <c r="B2123" s="1"/>
      <c r="C2123" s="2" t="s">
        <v>2118</v>
      </c>
      <c r="D2123" s="1"/>
      <c r="E2123" s="11">
        <f t="shared" si="161"/>
        <v>10</v>
      </c>
      <c r="F2123" s="12">
        <f t="shared" si="162"/>
        <v>16.666666666666664</v>
      </c>
      <c r="G2123" s="12" t="str">
        <f t="shared" si="163"/>
        <v>OK</v>
      </c>
      <c r="H2123" s="13">
        <f t="shared" si="164"/>
        <v>6</v>
      </c>
      <c r="I2123" s="14">
        <f t="shared" si="160"/>
        <v>1806.2399999999998</v>
      </c>
      <c r="K2123" t="str">
        <f>[1]!revcom(C2123)</f>
        <v>AAATTC</v>
      </c>
      <c r="L2123">
        <v>4</v>
      </c>
    </row>
    <row r="2124" spans="1:12" ht="15.6" x14ac:dyDescent="0.3">
      <c r="A2124" s="9">
        <v>2113</v>
      </c>
      <c r="B2124" s="1"/>
      <c r="C2124" s="2" t="s">
        <v>2119</v>
      </c>
      <c r="D2124" s="1"/>
      <c r="E2124" s="11">
        <f t="shared" si="161"/>
        <v>32</v>
      </c>
      <c r="F2124" s="12">
        <f t="shared" si="162"/>
        <v>33.333333333333329</v>
      </c>
      <c r="G2124" s="12" t="str">
        <f t="shared" si="163"/>
        <v>OK</v>
      </c>
      <c r="H2124" s="13">
        <f t="shared" si="164"/>
        <v>6</v>
      </c>
      <c r="I2124" s="14">
        <f t="shared" si="160"/>
        <v>1809.27</v>
      </c>
      <c r="K2124" t="str">
        <f>[1]!revcom(C2124)</f>
        <v>TTTGTC</v>
      </c>
      <c r="L2124">
        <v>8</v>
      </c>
    </row>
    <row r="2125" spans="1:12" ht="15.6" x14ac:dyDescent="0.3">
      <c r="A2125" s="9">
        <v>2114</v>
      </c>
      <c r="B2125" s="1"/>
      <c r="C2125" s="2" t="s">
        <v>2120</v>
      </c>
      <c r="D2125" s="1"/>
      <c r="E2125" s="11">
        <f t="shared" si="161"/>
        <v>30</v>
      </c>
      <c r="F2125" s="12">
        <f t="shared" si="162"/>
        <v>50</v>
      </c>
      <c r="G2125" s="12" t="str">
        <f t="shared" si="163"/>
        <v>OK</v>
      </c>
      <c r="H2125" s="13">
        <f t="shared" si="164"/>
        <v>6</v>
      </c>
      <c r="I2125" s="14">
        <f t="shared" ref="I2125:I2188" si="165">((LEN(C2125)-(LEN(SUBSTITUTE(C2125,"A",""))))*249.23)+((LEN(C2125)-(LEN(SUBSTITUTE(C2125,"T",""))))*240.21)+((LEN(C2125)-(LEN(SUBSTITUTE(C2125,"C",""))))*225.2)+((LEN(C2125)-(LEN(SUBSTITUTE(C2125,"G",""))))*265.23)+(63.98*(LEN(C2125)-1)+(2.02))</f>
        <v>1785.2399999999998</v>
      </c>
      <c r="K2125" t="str">
        <f>[1]!revcom(C2125)</f>
        <v>GTTGTC</v>
      </c>
      <c r="L2125">
        <v>7</v>
      </c>
    </row>
    <row r="2126" spans="1:12" ht="15.6" x14ac:dyDescent="0.3">
      <c r="A2126" s="9">
        <v>2115</v>
      </c>
      <c r="B2126" s="1"/>
      <c r="C2126" s="2" t="s">
        <v>2121</v>
      </c>
      <c r="D2126" s="1"/>
      <c r="E2126" s="11">
        <f t="shared" ref="E2126:E2189" si="166">IF(LEN(C2126)&gt;15,(69.3+((41*((LEN(C2126)-(((LEN(C2126)-(LEN(SUBSTITUTE(C2126,"A",""))))+((LEN(C2126)-(LEN(SUBSTITUTE(C2126,"T","")))))))))/(LEN(C2126)))-(650/(LEN(C2126))))),(2*((LEN(C2126)-(((LEN(C2126)-(LEN(SUBSTITUTE(C2126,"C",""))))+((LEN(C2126)-(LEN(SUBSTITUTE(C2126,"G",""))))))))))+(4*((LEN(C2126)-(((LEN(C2126)-(LEN(SUBSTITUTE(C2126,"T",""))))+((LEN(C2126)-(LEN(SUBSTITUTE(C2126,"T","")))))))))))</f>
        <v>30</v>
      </c>
      <c r="F2126" s="12">
        <f t="shared" ref="F2126:F2189" si="167">((LEN(C2126)- LEN(SUBSTITUTE(C2126,"G","")))+(LEN(C2126)- LEN(SUBSTITUTE(C2126,"C",""))) )/LEN(C2126)*100</f>
        <v>50</v>
      </c>
      <c r="G2126" s="12" t="str">
        <f t="shared" ref="G2126:G2189" si="168">IF((-5+((LEN(SUBSTITUTE(RIGHT(C2126,5),"C","")))+((LEN(SUBSTITUTE(RIGHT(C2126,5),"G",""))))))&gt;=3,"OK","Warning")</f>
        <v>OK</v>
      </c>
      <c r="H2126" s="13">
        <f t="shared" ref="H2126:H2189" si="169">LEN(C2126)</f>
        <v>6</v>
      </c>
      <c r="I2126" s="14">
        <f t="shared" si="165"/>
        <v>1825.27</v>
      </c>
      <c r="K2126" t="str">
        <f>[1]!revcom(C2126)</f>
        <v>CTTGTC</v>
      </c>
      <c r="L2126">
        <v>7</v>
      </c>
    </row>
    <row r="2127" spans="1:12" ht="15.6" x14ac:dyDescent="0.3">
      <c r="A2127" s="9">
        <v>2116</v>
      </c>
      <c r="B2127" s="1"/>
      <c r="C2127" s="2" t="s">
        <v>2122</v>
      </c>
      <c r="D2127" s="1"/>
      <c r="E2127" s="11">
        <f t="shared" si="166"/>
        <v>24</v>
      </c>
      <c r="F2127" s="12">
        <f t="shared" si="167"/>
        <v>33.333333333333329</v>
      </c>
      <c r="G2127" s="12" t="str">
        <f t="shared" si="168"/>
        <v>OK</v>
      </c>
      <c r="H2127" s="13">
        <f t="shared" si="169"/>
        <v>6</v>
      </c>
      <c r="I2127" s="14">
        <f t="shared" si="165"/>
        <v>1800.25</v>
      </c>
      <c r="K2127" t="str">
        <f>[1]!revcom(C2127)</f>
        <v>ATTGTC</v>
      </c>
      <c r="L2127">
        <v>6</v>
      </c>
    </row>
    <row r="2128" spans="1:12" ht="15.6" x14ac:dyDescent="0.3">
      <c r="A2128" s="9">
        <v>2117</v>
      </c>
      <c r="B2128" s="1"/>
      <c r="C2128" s="2" t="s">
        <v>2123</v>
      </c>
      <c r="D2128" s="1"/>
      <c r="E2128" s="11">
        <f t="shared" si="166"/>
        <v>30</v>
      </c>
      <c r="F2128" s="12">
        <f t="shared" si="167"/>
        <v>50</v>
      </c>
      <c r="G2128" s="12" t="str">
        <f t="shared" si="168"/>
        <v>OK</v>
      </c>
      <c r="H2128" s="13">
        <f t="shared" si="169"/>
        <v>6</v>
      </c>
      <c r="I2128" s="14">
        <f t="shared" si="165"/>
        <v>1785.2399999999998</v>
      </c>
      <c r="K2128" t="str">
        <f>[1]!revcom(C2128)</f>
        <v>TGTGTC</v>
      </c>
      <c r="L2128">
        <v>7</v>
      </c>
    </row>
    <row r="2129" spans="1:12" ht="15.6" x14ac:dyDescent="0.3">
      <c r="A2129" s="9">
        <v>2118</v>
      </c>
      <c r="B2129" s="1"/>
      <c r="C2129" s="2" t="s">
        <v>2124</v>
      </c>
      <c r="D2129" s="1"/>
      <c r="E2129" s="11">
        <f t="shared" si="166"/>
        <v>28</v>
      </c>
      <c r="F2129" s="12">
        <f t="shared" si="167"/>
        <v>66.666666666666657</v>
      </c>
      <c r="G2129" s="12" t="str">
        <f t="shared" si="168"/>
        <v>Warning</v>
      </c>
      <c r="H2129" s="13">
        <f t="shared" si="169"/>
        <v>6</v>
      </c>
      <c r="I2129" s="14">
        <f t="shared" si="165"/>
        <v>1761.21</v>
      </c>
      <c r="K2129" t="str">
        <f>[1]!revcom(C2129)</f>
        <v>GGTGTC</v>
      </c>
      <c r="L2129">
        <v>7</v>
      </c>
    </row>
    <row r="2130" spans="1:12" ht="15.6" x14ac:dyDescent="0.3">
      <c r="A2130" s="9">
        <v>2119</v>
      </c>
      <c r="B2130" s="1"/>
      <c r="C2130" s="2" t="s">
        <v>2125</v>
      </c>
      <c r="D2130" s="1"/>
      <c r="E2130" s="11">
        <f t="shared" si="166"/>
        <v>28</v>
      </c>
      <c r="F2130" s="12">
        <f t="shared" si="167"/>
        <v>66.666666666666657</v>
      </c>
      <c r="G2130" s="12" t="str">
        <f t="shared" si="168"/>
        <v>Warning</v>
      </c>
      <c r="H2130" s="13">
        <f t="shared" si="169"/>
        <v>6</v>
      </c>
      <c r="I2130" s="14">
        <f t="shared" si="165"/>
        <v>1801.2399999999998</v>
      </c>
      <c r="K2130" t="str">
        <f>[1]!revcom(C2130)</f>
        <v>CGTGTC</v>
      </c>
      <c r="L2130">
        <v>7</v>
      </c>
    </row>
    <row r="2131" spans="1:12" ht="15.6" x14ac:dyDescent="0.3">
      <c r="A2131" s="9">
        <v>2120</v>
      </c>
      <c r="B2131" s="1"/>
      <c r="C2131" s="2" t="s">
        <v>2126</v>
      </c>
      <c r="D2131" s="1"/>
      <c r="E2131" s="11">
        <f t="shared" si="166"/>
        <v>22</v>
      </c>
      <c r="F2131" s="12">
        <f t="shared" si="167"/>
        <v>50</v>
      </c>
      <c r="G2131" s="12" t="str">
        <f t="shared" si="168"/>
        <v>OK</v>
      </c>
      <c r="H2131" s="13">
        <f t="shared" si="169"/>
        <v>6</v>
      </c>
      <c r="I2131" s="14">
        <f t="shared" si="165"/>
        <v>1776.2199999999998</v>
      </c>
      <c r="K2131" t="str">
        <f>[1]!revcom(C2131)</f>
        <v>AGTGTC</v>
      </c>
      <c r="L2131">
        <v>6</v>
      </c>
    </row>
    <row r="2132" spans="1:12" ht="15.6" x14ac:dyDescent="0.3">
      <c r="A2132" s="9">
        <v>2121</v>
      </c>
      <c r="B2132" s="1"/>
      <c r="C2132" s="2" t="s">
        <v>2127</v>
      </c>
      <c r="D2132" s="1"/>
      <c r="E2132" s="11">
        <f t="shared" si="166"/>
        <v>30</v>
      </c>
      <c r="F2132" s="12">
        <f t="shared" si="167"/>
        <v>50</v>
      </c>
      <c r="G2132" s="12" t="str">
        <f t="shared" si="168"/>
        <v>OK</v>
      </c>
      <c r="H2132" s="13">
        <f t="shared" si="169"/>
        <v>6</v>
      </c>
      <c r="I2132" s="14">
        <f t="shared" si="165"/>
        <v>1825.27</v>
      </c>
      <c r="K2132" t="str">
        <f>[1]!revcom(C2132)</f>
        <v>TCTGTC</v>
      </c>
      <c r="L2132">
        <v>7</v>
      </c>
    </row>
    <row r="2133" spans="1:12" ht="15.6" x14ac:dyDescent="0.3">
      <c r="A2133" s="9">
        <v>2122</v>
      </c>
      <c r="B2133" s="1"/>
      <c r="C2133" s="2" t="s">
        <v>2128</v>
      </c>
      <c r="D2133" s="1"/>
      <c r="E2133" s="11">
        <f t="shared" si="166"/>
        <v>28</v>
      </c>
      <c r="F2133" s="12">
        <f t="shared" si="167"/>
        <v>66.666666666666657</v>
      </c>
      <c r="G2133" s="12" t="str">
        <f t="shared" si="168"/>
        <v>Warning</v>
      </c>
      <c r="H2133" s="13">
        <f t="shared" si="169"/>
        <v>6</v>
      </c>
      <c r="I2133" s="14">
        <f t="shared" si="165"/>
        <v>1801.2399999999998</v>
      </c>
      <c r="K2133" t="str">
        <f>[1]!revcom(C2133)</f>
        <v>GCTGTC</v>
      </c>
      <c r="L2133">
        <v>7</v>
      </c>
    </row>
    <row r="2134" spans="1:12" ht="15.6" x14ac:dyDescent="0.3">
      <c r="A2134" s="9">
        <v>2123</v>
      </c>
      <c r="B2134" s="1"/>
      <c r="C2134" s="2" t="s">
        <v>2129</v>
      </c>
      <c r="D2134" s="1"/>
      <c r="E2134" s="11">
        <f t="shared" si="166"/>
        <v>28</v>
      </c>
      <c r="F2134" s="12">
        <f t="shared" si="167"/>
        <v>66.666666666666657</v>
      </c>
      <c r="G2134" s="12" t="str">
        <f t="shared" si="168"/>
        <v>Warning</v>
      </c>
      <c r="H2134" s="13">
        <f t="shared" si="169"/>
        <v>6</v>
      </c>
      <c r="I2134" s="14">
        <f t="shared" si="165"/>
        <v>1841.27</v>
      </c>
      <c r="K2134" t="str">
        <f>[1]!revcom(C2134)</f>
        <v>CCTGTC</v>
      </c>
      <c r="L2134">
        <v>7</v>
      </c>
    </row>
    <row r="2135" spans="1:12" ht="15.6" x14ac:dyDescent="0.3">
      <c r="A2135" s="9">
        <v>2124</v>
      </c>
      <c r="B2135" s="1"/>
      <c r="C2135" s="2" t="s">
        <v>2130</v>
      </c>
      <c r="D2135" s="1"/>
      <c r="E2135" s="11">
        <f t="shared" si="166"/>
        <v>22</v>
      </c>
      <c r="F2135" s="12">
        <f t="shared" si="167"/>
        <v>50</v>
      </c>
      <c r="G2135" s="12" t="str">
        <f t="shared" si="168"/>
        <v>OK</v>
      </c>
      <c r="H2135" s="13">
        <f t="shared" si="169"/>
        <v>6</v>
      </c>
      <c r="I2135" s="14">
        <f t="shared" si="165"/>
        <v>1816.25</v>
      </c>
      <c r="K2135" t="str">
        <f>[1]!revcom(C2135)</f>
        <v>ACTGTC</v>
      </c>
      <c r="L2135">
        <v>6</v>
      </c>
    </row>
    <row r="2136" spans="1:12" ht="15.6" x14ac:dyDescent="0.3">
      <c r="A2136" s="9">
        <v>2125</v>
      </c>
      <c r="B2136" s="1"/>
      <c r="C2136" s="2" t="s">
        <v>2131</v>
      </c>
      <c r="D2136" s="1"/>
      <c r="E2136" s="11">
        <f t="shared" si="166"/>
        <v>24</v>
      </c>
      <c r="F2136" s="12">
        <f t="shared" si="167"/>
        <v>33.333333333333329</v>
      </c>
      <c r="G2136" s="12" t="str">
        <f t="shared" si="168"/>
        <v>OK</v>
      </c>
      <c r="H2136" s="13">
        <f t="shared" si="169"/>
        <v>6</v>
      </c>
      <c r="I2136" s="14">
        <f t="shared" si="165"/>
        <v>1800.25</v>
      </c>
      <c r="K2136" t="str">
        <f>[1]!revcom(C2136)</f>
        <v>TATGTC</v>
      </c>
      <c r="L2136">
        <v>6</v>
      </c>
    </row>
    <row r="2137" spans="1:12" ht="15.6" x14ac:dyDescent="0.3">
      <c r="A2137" s="9">
        <v>2126</v>
      </c>
      <c r="B2137" s="1"/>
      <c r="C2137" s="2" t="s">
        <v>2132</v>
      </c>
      <c r="D2137" s="1"/>
      <c r="E2137" s="11">
        <f t="shared" si="166"/>
        <v>22</v>
      </c>
      <c r="F2137" s="12">
        <f t="shared" si="167"/>
        <v>50</v>
      </c>
      <c r="G2137" s="12" t="str">
        <f t="shared" si="168"/>
        <v>OK</v>
      </c>
      <c r="H2137" s="13">
        <f t="shared" si="169"/>
        <v>6</v>
      </c>
      <c r="I2137" s="14">
        <f t="shared" si="165"/>
        <v>1776.2199999999998</v>
      </c>
      <c r="K2137" t="str">
        <f>[1]!revcom(C2137)</f>
        <v>GATGTC</v>
      </c>
      <c r="L2137">
        <v>6</v>
      </c>
    </row>
    <row r="2138" spans="1:12" ht="15.6" x14ac:dyDescent="0.3">
      <c r="A2138" s="9">
        <v>2127</v>
      </c>
      <c r="B2138" s="1"/>
      <c r="C2138" s="2" t="s">
        <v>2133</v>
      </c>
      <c r="D2138" s="1"/>
      <c r="E2138" s="11">
        <f t="shared" si="166"/>
        <v>22</v>
      </c>
      <c r="F2138" s="12">
        <f t="shared" si="167"/>
        <v>50</v>
      </c>
      <c r="G2138" s="12" t="str">
        <f t="shared" si="168"/>
        <v>OK</v>
      </c>
      <c r="H2138" s="13">
        <f t="shared" si="169"/>
        <v>6</v>
      </c>
      <c r="I2138" s="14">
        <f t="shared" si="165"/>
        <v>1816.25</v>
      </c>
      <c r="K2138" t="str">
        <f>[1]!revcom(C2138)</f>
        <v>CATGTC</v>
      </c>
      <c r="L2138">
        <v>6</v>
      </c>
    </row>
    <row r="2139" spans="1:12" ht="15.6" x14ac:dyDescent="0.3">
      <c r="A2139" s="9">
        <v>2128</v>
      </c>
      <c r="B2139" s="1"/>
      <c r="C2139" s="2" t="s">
        <v>2134</v>
      </c>
      <c r="D2139" s="1"/>
      <c r="E2139" s="11">
        <f t="shared" si="166"/>
        <v>16</v>
      </c>
      <c r="F2139" s="12">
        <f t="shared" si="167"/>
        <v>33.333333333333329</v>
      </c>
      <c r="G2139" s="12" t="str">
        <f t="shared" si="168"/>
        <v>OK</v>
      </c>
      <c r="H2139" s="13">
        <f t="shared" si="169"/>
        <v>6</v>
      </c>
      <c r="I2139" s="14">
        <f t="shared" si="165"/>
        <v>1791.23</v>
      </c>
      <c r="K2139" t="str">
        <f>[1]!revcom(C2139)</f>
        <v>AATGTC</v>
      </c>
      <c r="L2139">
        <v>5</v>
      </c>
    </row>
    <row r="2140" spans="1:12" ht="15.6" x14ac:dyDescent="0.3">
      <c r="A2140" s="9">
        <v>2129</v>
      </c>
      <c r="B2140" s="1"/>
      <c r="C2140" s="2" t="s">
        <v>2135</v>
      </c>
      <c r="D2140" s="1"/>
      <c r="E2140" s="11">
        <f t="shared" si="166"/>
        <v>30</v>
      </c>
      <c r="F2140" s="12">
        <f t="shared" si="167"/>
        <v>50</v>
      </c>
      <c r="G2140" s="12" t="str">
        <f t="shared" si="168"/>
        <v>OK</v>
      </c>
      <c r="H2140" s="13">
        <f t="shared" si="169"/>
        <v>6</v>
      </c>
      <c r="I2140" s="14">
        <f t="shared" si="165"/>
        <v>1785.2399999999998</v>
      </c>
      <c r="K2140" t="str">
        <f>[1]!revcom(C2140)</f>
        <v>TTGGTC</v>
      </c>
      <c r="L2140">
        <v>7</v>
      </c>
    </row>
    <row r="2141" spans="1:12" ht="15.6" x14ac:dyDescent="0.3">
      <c r="A2141" s="9">
        <v>2130</v>
      </c>
      <c r="B2141" s="1"/>
      <c r="C2141" s="2" t="s">
        <v>2136</v>
      </c>
      <c r="D2141" s="1"/>
      <c r="E2141" s="11">
        <f t="shared" si="166"/>
        <v>28</v>
      </c>
      <c r="F2141" s="12">
        <f t="shared" si="167"/>
        <v>66.666666666666657</v>
      </c>
      <c r="G2141" s="12" t="str">
        <f t="shared" si="168"/>
        <v>Warning</v>
      </c>
      <c r="H2141" s="13">
        <f t="shared" si="169"/>
        <v>6</v>
      </c>
      <c r="I2141" s="14">
        <f t="shared" si="165"/>
        <v>1761.21</v>
      </c>
      <c r="K2141" t="str">
        <f>[1]!revcom(C2141)</f>
        <v>GTGGTC</v>
      </c>
      <c r="L2141">
        <v>7</v>
      </c>
    </row>
    <row r="2142" spans="1:12" ht="15.6" x14ac:dyDescent="0.3">
      <c r="A2142" s="9">
        <v>2131</v>
      </c>
      <c r="B2142" s="1"/>
      <c r="C2142" s="2" t="s">
        <v>2137</v>
      </c>
      <c r="D2142" s="1"/>
      <c r="E2142" s="11">
        <f t="shared" si="166"/>
        <v>28</v>
      </c>
      <c r="F2142" s="12">
        <f t="shared" si="167"/>
        <v>66.666666666666657</v>
      </c>
      <c r="G2142" s="12" t="str">
        <f t="shared" si="168"/>
        <v>Warning</v>
      </c>
      <c r="H2142" s="13">
        <f t="shared" si="169"/>
        <v>6</v>
      </c>
      <c r="I2142" s="14">
        <f t="shared" si="165"/>
        <v>1801.2399999999998</v>
      </c>
      <c r="K2142" t="str">
        <f>[1]!revcom(C2142)</f>
        <v>CTGGTC</v>
      </c>
      <c r="L2142">
        <v>7</v>
      </c>
    </row>
    <row r="2143" spans="1:12" ht="15.6" x14ac:dyDescent="0.3">
      <c r="A2143" s="9">
        <v>2132</v>
      </c>
      <c r="B2143" s="1"/>
      <c r="C2143" s="2" t="s">
        <v>2138</v>
      </c>
      <c r="D2143" s="1"/>
      <c r="E2143" s="11">
        <f t="shared" si="166"/>
        <v>22</v>
      </c>
      <c r="F2143" s="12">
        <f t="shared" si="167"/>
        <v>50</v>
      </c>
      <c r="G2143" s="12" t="str">
        <f t="shared" si="168"/>
        <v>OK</v>
      </c>
      <c r="H2143" s="13">
        <f t="shared" si="169"/>
        <v>6</v>
      </c>
      <c r="I2143" s="14">
        <f t="shared" si="165"/>
        <v>1776.2199999999998</v>
      </c>
      <c r="K2143" t="str">
        <f>[1]!revcom(C2143)</f>
        <v>ATGGTC</v>
      </c>
      <c r="L2143">
        <v>6</v>
      </c>
    </row>
    <row r="2144" spans="1:12" ht="15.6" x14ac:dyDescent="0.3">
      <c r="A2144" s="9">
        <v>2133</v>
      </c>
      <c r="B2144" s="1"/>
      <c r="C2144" s="2" t="s">
        <v>2139</v>
      </c>
      <c r="D2144" s="1"/>
      <c r="E2144" s="11">
        <f t="shared" si="166"/>
        <v>28</v>
      </c>
      <c r="F2144" s="12">
        <f t="shared" si="167"/>
        <v>66.666666666666657</v>
      </c>
      <c r="G2144" s="12" t="str">
        <f t="shared" si="168"/>
        <v>Warning</v>
      </c>
      <c r="H2144" s="13">
        <f t="shared" si="169"/>
        <v>6</v>
      </c>
      <c r="I2144" s="14">
        <f t="shared" si="165"/>
        <v>1761.21</v>
      </c>
      <c r="K2144" t="str">
        <f>[1]!revcom(C2144)</f>
        <v>TGGGTC</v>
      </c>
      <c r="L2144">
        <v>7</v>
      </c>
    </row>
    <row r="2145" spans="1:12" ht="15.6" x14ac:dyDescent="0.3">
      <c r="A2145" s="9">
        <v>2134</v>
      </c>
      <c r="B2145" s="1"/>
      <c r="C2145" s="2" t="s">
        <v>2140</v>
      </c>
      <c r="D2145" s="1"/>
      <c r="E2145" s="11">
        <f t="shared" si="166"/>
        <v>26</v>
      </c>
      <c r="F2145" s="12">
        <f t="shared" si="167"/>
        <v>83.333333333333343</v>
      </c>
      <c r="G2145" s="12" t="str">
        <f t="shared" si="168"/>
        <v>Warning</v>
      </c>
      <c r="H2145" s="13">
        <f t="shared" si="169"/>
        <v>6</v>
      </c>
      <c r="I2145" s="14">
        <f t="shared" si="165"/>
        <v>1737.1799999999998</v>
      </c>
      <c r="K2145" t="str">
        <f>[1]!revcom(C2145)</f>
        <v>GGGGTC</v>
      </c>
      <c r="L2145">
        <v>7</v>
      </c>
    </row>
    <row r="2146" spans="1:12" ht="15.6" x14ac:dyDescent="0.3">
      <c r="A2146" s="9">
        <v>2135</v>
      </c>
      <c r="B2146" s="1"/>
      <c r="C2146" s="2" t="s">
        <v>2141</v>
      </c>
      <c r="D2146" s="1"/>
      <c r="E2146" s="11">
        <f t="shared" si="166"/>
        <v>26</v>
      </c>
      <c r="F2146" s="12">
        <f t="shared" si="167"/>
        <v>83.333333333333343</v>
      </c>
      <c r="G2146" s="12" t="str">
        <f t="shared" si="168"/>
        <v>Warning</v>
      </c>
      <c r="H2146" s="13">
        <f t="shared" si="169"/>
        <v>6</v>
      </c>
      <c r="I2146" s="14">
        <f t="shared" si="165"/>
        <v>1777.21</v>
      </c>
      <c r="K2146" t="str">
        <f>[1]!revcom(C2146)</f>
        <v>CGGGTC</v>
      </c>
      <c r="L2146">
        <v>7</v>
      </c>
    </row>
    <row r="2147" spans="1:12" ht="15.6" x14ac:dyDescent="0.3">
      <c r="A2147" s="9">
        <v>2136</v>
      </c>
      <c r="B2147" s="1"/>
      <c r="C2147" s="2" t="s">
        <v>2142</v>
      </c>
      <c r="D2147" s="1"/>
      <c r="E2147" s="11">
        <f t="shared" si="166"/>
        <v>20</v>
      </c>
      <c r="F2147" s="12">
        <f t="shared" si="167"/>
        <v>66.666666666666657</v>
      </c>
      <c r="G2147" s="12" t="str">
        <f t="shared" si="168"/>
        <v>Warning</v>
      </c>
      <c r="H2147" s="13">
        <f t="shared" si="169"/>
        <v>6</v>
      </c>
      <c r="I2147" s="14">
        <f t="shared" si="165"/>
        <v>1752.19</v>
      </c>
      <c r="K2147" t="str">
        <f>[1]!revcom(C2147)</f>
        <v>AGGGTC</v>
      </c>
      <c r="L2147">
        <v>6</v>
      </c>
    </row>
    <row r="2148" spans="1:12" ht="15.6" x14ac:dyDescent="0.3">
      <c r="A2148" s="9">
        <v>2137</v>
      </c>
      <c r="B2148" s="1"/>
      <c r="C2148" s="2" t="s">
        <v>2143</v>
      </c>
      <c r="D2148" s="1"/>
      <c r="E2148" s="11">
        <f t="shared" si="166"/>
        <v>28</v>
      </c>
      <c r="F2148" s="12">
        <f t="shared" si="167"/>
        <v>66.666666666666657</v>
      </c>
      <c r="G2148" s="12" t="str">
        <f t="shared" si="168"/>
        <v>Warning</v>
      </c>
      <c r="H2148" s="13">
        <f t="shared" si="169"/>
        <v>6</v>
      </c>
      <c r="I2148" s="14">
        <f t="shared" si="165"/>
        <v>1801.2399999999998</v>
      </c>
      <c r="K2148" t="str">
        <f>[1]!revcom(C2148)</f>
        <v>TCGGTC</v>
      </c>
      <c r="L2148">
        <v>7</v>
      </c>
    </row>
    <row r="2149" spans="1:12" ht="15.6" x14ac:dyDescent="0.3">
      <c r="A2149" s="9">
        <v>2138</v>
      </c>
      <c r="B2149" s="1"/>
      <c r="C2149" s="2" t="s">
        <v>2144</v>
      </c>
      <c r="D2149" s="1"/>
      <c r="E2149" s="11">
        <f t="shared" si="166"/>
        <v>26</v>
      </c>
      <c r="F2149" s="12">
        <f t="shared" si="167"/>
        <v>83.333333333333343</v>
      </c>
      <c r="G2149" s="12" t="str">
        <f t="shared" si="168"/>
        <v>Warning</v>
      </c>
      <c r="H2149" s="13">
        <f t="shared" si="169"/>
        <v>6</v>
      </c>
      <c r="I2149" s="14">
        <f t="shared" si="165"/>
        <v>1777.21</v>
      </c>
      <c r="K2149" t="str">
        <f>[1]!revcom(C2149)</f>
        <v>GCGGTC</v>
      </c>
      <c r="L2149">
        <v>7</v>
      </c>
    </row>
    <row r="2150" spans="1:12" ht="15.6" x14ac:dyDescent="0.3">
      <c r="A2150" s="9">
        <v>2139</v>
      </c>
      <c r="B2150" s="1"/>
      <c r="C2150" s="2" t="s">
        <v>2145</v>
      </c>
      <c r="D2150" s="1"/>
      <c r="E2150" s="11">
        <f t="shared" si="166"/>
        <v>26</v>
      </c>
      <c r="F2150" s="12">
        <f t="shared" si="167"/>
        <v>83.333333333333343</v>
      </c>
      <c r="G2150" s="12" t="str">
        <f t="shared" si="168"/>
        <v>Warning</v>
      </c>
      <c r="H2150" s="13">
        <f t="shared" si="169"/>
        <v>6</v>
      </c>
      <c r="I2150" s="14">
        <f t="shared" si="165"/>
        <v>1817.2400000000002</v>
      </c>
      <c r="K2150" t="str">
        <f>[1]!revcom(C2150)</f>
        <v>CCGGTC</v>
      </c>
      <c r="L2150">
        <v>7</v>
      </c>
    </row>
    <row r="2151" spans="1:12" ht="15.6" x14ac:dyDescent="0.3">
      <c r="A2151" s="9">
        <v>2140</v>
      </c>
      <c r="B2151" s="1"/>
      <c r="C2151" s="2" t="s">
        <v>2146</v>
      </c>
      <c r="D2151" s="1"/>
      <c r="E2151" s="11">
        <f t="shared" si="166"/>
        <v>20</v>
      </c>
      <c r="F2151" s="12">
        <f t="shared" si="167"/>
        <v>66.666666666666657</v>
      </c>
      <c r="G2151" s="12" t="str">
        <f t="shared" si="168"/>
        <v>Warning</v>
      </c>
      <c r="H2151" s="13">
        <f t="shared" si="169"/>
        <v>6</v>
      </c>
      <c r="I2151" s="14">
        <f t="shared" si="165"/>
        <v>1792.2199999999998</v>
      </c>
      <c r="K2151" t="str">
        <f>[1]!revcom(C2151)</f>
        <v>ACGGTC</v>
      </c>
      <c r="L2151">
        <v>6</v>
      </c>
    </row>
    <row r="2152" spans="1:12" ht="15.6" x14ac:dyDescent="0.3">
      <c r="A2152" s="9">
        <v>2141</v>
      </c>
      <c r="B2152" s="1"/>
      <c r="C2152" s="2" t="s">
        <v>2147</v>
      </c>
      <c r="D2152" s="1"/>
      <c r="E2152" s="11">
        <f t="shared" si="166"/>
        <v>22</v>
      </c>
      <c r="F2152" s="12">
        <f t="shared" si="167"/>
        <v>50</v>
      </c>
      <c r="G2152" s="12" t="str">
        <f t="shared" si="168"/>
        <v>OK</v>
      </c>
      <c r="H2152" s="13">
        <f t="shared" si="169"/>
        <v>6</v>
      </c>
      <c r="I2152" s="14">
        <f t="shared" si="165"/>
        <v>1776.2199999999998</v>
      </c>
      <c r="K2152" t="str">
        <f>[1]!revcom(C2152)</f>
        <v>TAGGTC</v>
      </c>
      <c r="L2152">
        <v>6</v>
      </c>
    </row>
    <row r="2153" spans="1:12" ht="15.6" x14ac:dyDescent="0.3">
      <c r="A2153" s="9">
        <v>2142</v>
      </c>
      <c r="B2153" s="1"/>
      <c r="C2153" s="2" t="s">
        <v>2148</v>
      </c>
      <c r="D2153" s="1"/>
      <c r="E2153" s="11">
        <f t="shared" si="166"/>
        <v>20</v>
      </c>
      <c r="F2153" s="12">
        <f t="shared" si="167"/>
        <v>66.666666666666657</v>
      </c>
      <c r="G2153" s="12" t="str">
        <f t="shared" si="168"/>
        <v>Warning</v>
      </c>
      <c r="H2153" s="13">
        <f t="shared" si="169"/>
        <v>6</v>
      </c>
      <c r="I2153" s="14">
        <f t="shared" si="165"/>
        <v>1752.19</v>
      </c>
      <c r="K2153" t="str">
        <f>[1]!revcom(C2153)</f>
        <v>GAGGTC</v>
      </c>
      <c r="L2153">
        <v>6</v>
      </c>
    </row>
    <row r="2154" spans="1:12" ht="15.6" x14ac:dyDescent="0.3">
      <c r="A2154" s="9">
        <v>2143</v>
      </c>
      <c r="B2154" s="1"/>
      <c r="C2154" s="2" t="s">
        <v>2149</v>
      </c>
      <c r="D2154" s="1"/>
      <c r="E2154" s="11">
        <f t="shared" si="166"/>
        <v>20</v>
      </c>
      <c r="F2154" s="12">
        <f t="shared" si="167"/>
        <v>66.666666666666657</v>
      </c>
      <c r="G2154" s="12" t="str">
        <f t="shared" si="168"/>
        <v>Warning</v>
      </c>
      <c r="H2154" s="13">
        <f t="shared" si="169"/>
        <v>6</v>
      </c>
      <c r="I2154" s="14">
        <f t="shared" si="165"/>
        <v>1792.2199999999998</v>
      </c>
      <c r="K2154" t="str">
        <f>[1]!revcom(C2154)</f>
        <v>CAGGTC</v>
      </c>
      <c r="L2154">
        <v>6</v>
      </c>
    </row>
    <row r="2155" spans="1:12" ht="15.6" x14ac:dyDescent="0.3">
      <c r="A2155" s="9">
        <v>2144</v>
      </c>
      <c r="B2155" s="1"/>
      <c r="C2155" s="2" t="s">
        <v>2150</v>
      </c>
      <c r="D2155" s="1"/>
      <c r="E2155" s="11">
        <f t="shared" si="166"/>
        <v>14</v>
      </c>
      <c r="F2155" s="12">
        <f t="shared" si="167"/>
        <v>50</v>
      </c>
      <c r="G2155" s="12" t="str">
        <f t="shared" si="168"/>
        <v>OK</v>
      </c>
      <c r="H2155" s="13">
        <f t="shared" si="169"/>
        <v>6</v>
      </c>
      <c r="I2155" s="14">
        <f t="shared" si="165"/>
        <v>1767.1999999999998</v>
      </c>
      <c r="K2155" t="str">
        <f>[1]!revcom(C2155)</f>
        <v>AAGGTC</v>
      </c>
      <c r="L2155">
        <v>5</v>
      </c>
    </row>
    <row r="2156" spans="1:12" ht="15.6" x14ac:dyDescent="0.3">
      <c r="A2156" s="9">
        <v>2145</v>
      </c>
      <c r="B2156" s="1"/>
      <c r="C2156" s="2" t="s">
        <v>2151</v>
      </c>
      <c r="D2156" s="1"/>
      <c r="E2156" s="11">
        <f t="shared" si="166"/>
        <v>30</v>
      </c>
      <c r="F2156" s="12">
        <f t="shared" si="167"/>
        <v>50</v>
      </c>
      <c r="G2156" s="12" t="str">
        <f t="shared" si="168"/>
        <v>OK</v>
      </c>
      <c r="H2156" s="13">
        <f t="shared" si="169"/>
        <v>6</v>
      </c>
      <c r="I2156" s="14">
        <f t="shared" si="165"/>
        <v>1825.27</v>
      </c>
      <c r="K2156" t="str">
        <f>[1]!revcom(C2156)</f>
        <v>TTCGTC</v>
      </c>
      <c r="L2156">
        <v>7</v>
      </c>
    </row>
    <row r="2157" spans="1:12" ht="15.6" x14ac:dyDescent="0.3">
      <c r="A2157" s="9">
        <v>2146</v>
      </c>
      <c r="B2157" s="1"/>
      <c r="C2157" s="2" t="s">
        <v>2152</v>
      </c>
      <c r="D2157" s="1"/>
      <c r="E2157" s="11">
        <f t="shared" si="166"/>
        <v>28</v>
      </c>
      <c r="F2157" s="12">
        <f t="shared" si="167"/>
        <v>66.666666666666657</v>
      </c>
      <c r="G2157" s="12" t="str">
        <f t="shared" si="168"/>
        <v>Warning</v>
      </c>
      <c r="H2157" s="13">
        <f t="shared" si="169"/>
        <v>6</v>
      </c>
      <c r="I2157" s="14">
        <f t="shared" si="165"/>
        <v>1801.2399999999998</v>
      </c>
      <c r="K2157" t="str">
        <f>[1]!revcom(C2157)</f>
        <v>GTCGTC</v>
      </c>
      <c r="L2157">
        <v>7</v>
      </c>
    </row>
    <row r="2158" spans="1:12" ht="15.6" x14ac:dyDescent="0.3">
      <c r="A2158" s="9">
        <v>2147</v>
      </c>
      <c r="B2158" s="1"/>
      <c r="C2158" s="2" t="s">
        <v>2153</v>
      </c>
      <c r="D2158" s="1"/>
      <c r="E2158" s="11">
        <f t="shared" si="166"/>
        <v>28</v>
      </c>
      <c r="F2158" s="12">
        <f t="shared" si="167"/>
        <v>66.666666666666657</v>
      </c>
      <c r="G2158" s="12" t="str">
        <f t="shared" si="168"/>
        <v>Warning</v>
      </c>
      <c r="H2158" s="13">
        <f t="shared" si="169"/>
        <v>6</v>
      </c>
      <c r="I2158" s="14">
        <f t="shared" si="165"/>
        <v>1841.27</v>
      </c>
      <c r="K2158" t="str">
        <f>[1]!revcom(C2158)</f>
        <v>CTCGTC</v>
      </c>
      <c r="L2158">
        <v>7</v>
      </c>
    </row>
    <row r="2159" spans="1:12" ht="15.6" x14ac:dyDescent="0.3">
      <c r="A2159" s="9">
        <v>2148</v>
      </c>
      <c r="B2159" s="1"/>
      <c r="C2159" s="2" t="s">
        <v>2154</v>
      </c>
      <c r="D2159" s="1"/>
      <c r="E2159" s="11">
        <f t="shared" si="166"/>
        <v>22</v>
      </c>
      <c r="F2159" s="12">
        <f t="shared" si="167"/>
        <v>50</v>
      </c>
      <c r="G2159" s="12" t="str">
        <f t="shared" si="168"/>
        <v>OK</v>
      </c>
      <c r="H2159" s="13">
        <f t="shared" si="169"/>
        <v>6</v>
      </c>
      <c r="I2159" s="14">
        <f t="shared" si="165"/>
        <v>1816.25</v>
      </c>
      <c r="K2159" t="str">
        <f>[1]!revcom(C2159)</f>
        <v>ATCGTC</v>
      </c>
      <c r="L2159">
        <v>6</v>
      </c>
    </row>
    <row r="2160" spans="1:12" ht="15.6" x14ac:dyDescent="0.3">
      <c r="A2160" s="9">
        <v>2149</v>
      </c>
      <c r="B2160" s="1"/>
      <c r="C2160" s="2" t="s">
        <v>2155</v>
      </c>
      <c r="D2160" s="1"/>
      <c r="E2160" s="11">
        <f t="shared" si="166"/>
        <v>28</v>
      </c>
      <c r="F2160" s="12">
        <f t="shared" si="167"/>
        <v>66.666666666666657</v>
      </c>
      <c r="G2160" s="12" t="str">
        <f t="shared" si="168"/>
        <v>Warning</v>
      </c>
      <c r="H2160" s="13">
        <f t="shared" si="169"/>
        <v>6</v>
      </c>
      <c r="I2160" s="14">
        <f t="shared" si="165"/>
        <v>1801.2399999999998</v>
      </c>
      <c r="K2160" t="str">
        <f>[1]!revcom(C2160)</f>
        <v>TGCGTC</v>
      </c>
      <c r="L2160">
        <v>7</v>
      </c>
    </row>
    <row r="2161" spans="1:12" ht="15.6" x14ac:dyDescent="0.3">
      <c r="A2161" s="9">
        <v>2150</v>
      </c>
      <c r="B2161" s="1"/>
      <c r="C2161" s="2" t="s">
        <v>2156</v>
      </c>
      <c r="D2161" s="1"/>
      <c r="E2161" s="11">
        <f t="shared" si="166"/>
        <v>26</v>
      </c>
      <c r="F2161" s="12">
        <f t="shared" si="167"/>
        <v>83.333333333333343</v>
      </c>
      <c r="G2161" s="12" t="str">
        <f t="shared" si="168"/>
        <v>Warning</v>
      </c>
      <c r="H2161" s="13">
        <f t="shared" si="169"/>
        <v>6</v>
      </c>
      <c r="I2161" s="14">
        <f t="shared" si="165"/>
        <v>1777.21</v>
      </c>
      <c r="K2161" t="str">
        <f>[1]!revcom(C2161)</f>
        <v>GGCGTC</v>
      </c>
      <c r="L2161">
        <v>7</v>
      </c>
    </row>
    <row r="2162" spans="1:12" ht="15.6" x14ac:dyDescent="0.3">
      <c r="A2162" s="9">
        <v>2151</v>
      </c>
      <c r="B2162" s="1"/>
      <c r="C2162" s="2" t="s">
        <v>2157</v>
      </c>
      <c r="D2162" s="1"/>
      <c r="E2162" s="11">
        <f t="shared" si="166"/>
        <v>26</v>
      </c>
      <c r="F2162" s="12">
        <f t="shared" si="167"/>
        <v>83.333333333333343</v>
      </c>
      <c r="G2162" s="12" t="str">
        <f t="shared" si="168"/>
        <v>Warning</v>
      </c>
      <c r="H2162" s="13">
        <f t="shared" si="169"/>
        <v>6</v>
      </c>
      <c r="I2162" s="14">
        <f t="shared" si="165"/>
        <v>1817.2400000000002</v>
      </c>
      <c r="K2162" t="str">
        <f>[1]!revcom(C2162)</f>
        <v>CGCGTC</v>
      </c>
      <c r="L2162">
        <v>7</v>
      </c>
    </row>
    <row r="2163" spans="1:12" ht="15.6" x14ac:dyDescent="0.3">
      <c r="A2163" s="9">
        <v>2152</v>
      </c>
      <c r="B2163" s="1"/>
      <c r="C2163" s="2" t="s">
        <v>2158</v>
      </c>
      <c r="D2163" s="1"/>
      <c r="E2163" s="11">
        <f t="shared" si="166"/>
        <v>20</v>
      </c>
      <c r="F2163" s="12">
        <f t="shared" si="167"/>
        <v>66.666666666666657</v>
      </c>
      <c r="G2163" s="12" t="str">
        <f t="shared" si="168"/>
        <v>Warning</v>
      </c>
      <c r="H2163" s="13">
        <f t="shared" si="169"/>
        <v>6</v>
      </c>
      <c r="I2163" s="14">
        <f t="shared" si="165"/>
        <v>1792.2199999999998</v>
      </c>
      <c r="K2163" t="str">
        <f>[1]!revcom(C2163)</f>
        <v>AGCGTC</v>
      </c>
      <c r="L2163">
        <v>6</v>
      </c>
    </row>
    <row r="2164" spans="1:12" ht="15.6" x14ac:dyDescent="0.3">
      <c r="A2164" s="9">
        <v>2153</v>
      </c>
      <c r="B2164" s="1"/>
      <c r="C2164" s="2" t="s">
        <v>2159</v>
      </c>
      <c r="D2164" s="1"/>
      <c r="E2164" s="11">
        <f t="shared" si="166"/>
        <v>28</v>
      </c>
      <c r="F2164" s="12">
        <f t="shared" si="167"/>
        <v>66.666666666666657</v>
      </c>
      <c r="G2164" s="12" t="str">
        <f t="shared" si="168"/>
        <v>Warning</v>
      </c>
      <c r="H2164" s="13">
        <f t="shared" si="169"/>
        <v>6</v>
      </c>
      <c r="I2164" s="14">
        <f t="shared" si="165"/>
        <v>1841.27</v>
      </c>
      <c r="K2164" t="str">
        <f>[1]!revcom(C2164)</f>
        <v>TCCGTC</v>
      </c>
      <c r="L2164">
        <v>7</v>
      </c>
    </row>
    <row r="2165" spans="1:12" ht="15.6" x14ac:dyDescent="0.3">
      <c r="A2165" s="9">
        <v>2154</v>
      </c>
      <c r="B2165" s="1"/>
      <c r="C2165" s="2" t="s">
        <v>2160</v>
      </c>
      <c r="D2165" s="1"/>
      <c r="E2165" s="11">
        <f t="shared" si="166"/>
        <v>26</v>
      </c>
      <c r="F2165" s="12">
        <f t="shared" si="167"/>
        <v>83.333333333333343</v>
      </c>
      <c r="G2165" s="12" t="str">
        <f t="shared" si="168"/>
        <v>Warning</v>
      </c>
      <c r="H2165" s="13">
        <f t="shared" si="169"/>
        <v>6</v>
      </c>
      <c r="I2165" s="14">
        <f t="shared" si="165"/>
        <v>1817.2400000000002</v>
      </c>
      <c r="K2165" t="str">
        <f>[1]!revcom(C2165)</f>
        <v>GCCGTC</v>
      </c>
      <c r="L2165">
        <v>7</v>
      </c>
    </row>
    <row r="2166" spans="1:12" ht="15.6" x14ac:dyDescent="0.3">
      <c r="A2166" s="9">
        <v>2155</v>
      </c>
      <c r="B2166" s="1"/>
      <c r="C2166" s="2" t="s">
        <v>2161</v>
      </c>
      <c r="D2166" s="1"/>
      <c r="E2166" s="11">
        <f t="shared" si="166"/>
        <v>26</v>
      </c>
      <c r="F2166" s="12">
        <f t="shared" si="167"/>
        <v>83.333333333333343</v>
      </c>
      <c r="G2166" s="12" t="str">
        <f t="shared" si="168"/>
        <v>Warning</v>
      </c>
      <c r="H2166" s="13">
        <f t="shared" si="169"/>
        <v>6</v>
      </c>
      <c r="I2166" s="14">
        <f t="shared" si="165"/>
        <v>1857.27</v>
      </c>
      <c r="K2166" t="str">
        <f>[1]!revcom(C2166)</f>
        <v>CCCGTC</v>
      </c>
      <c r="L2166">
        <v>7</v>
      </c>
    </row>
    <row r="2167" spans="1:12" ht="15.6" x14ac:dyDescent="0.3">
      <c r="A2167" s="9">
        <v>2156</v>
      </c>
      <c r="B2167" s="1"/>
      <c r="C2167" s="2" t="s">
        <v>2162</v>
      </c>
      <c r="D2167" s="1"/>
      <c r="E2167" s="11">
        <f t="shared" si="166"/>
        <v>20</v>
      </c>
      <c r="F2167" s="12">
        <f t="shared" si="167"/>
        <v>66.666666666666657</v>
      </c>
      <c r="G2167" s="12" t="str">
        <f t="shared" si="168"/>
        <v>Warning</v>
      </c>
      <c r="H2167" s="13">
        <f t="shared" si="169"/>
        <v>6</v>
      </c>
      <c r="I2167" s="14">
        <f t="shared" si="165"/>
        <v>1832.25</v>
      </c>
      <c r="K2167" t="str">
        <f>[1]!revcom(C2167)</f>
        <v>ACCGTC</v>
      </c>
      <c r="L2167">
        <v>6</v>
      </c>
    </row>
    <row r="2168" spans="1:12" ht="15.6" x14ac:dyDescent="0.3">
      <c r="A2168" s="9">
        <v>2157</v>
      </c>
      <c r="B2168" s="1"/>
      <c r="C2168" s="2" t="s">
        <v>2163</v>
      </c>
      <c r="D2168" s="1"/>
      <c r="E2168" s="11">
        <f t="shared" si="166"/>
        <v>22</v>
      </c>
      <c r="F2168" s="12">
        <f t="shared" si="167"/>
        <v>50</v>
      </c>
      <c r="G2168" s="12" t="str">
        <f t="shared" si="168"/>
        <v>OK</v>
      </c>
      <c r="H2168" s="13">
        <f t="shared" si="169"/>
        <v>6</v>
      </c>
      <c r="I2168" s="14">
        <f t="shared" si="165"/>
        <v>1816.25</v>
      </c>
      <c r="K2168" t="str">
        <f>[1]!revcom(C2168)</f>
        <v>TACGTC</v>
      </c>
      <c r="L2168">
        <v>6</v>
      </c>
    </row>
    <row r="2169" spans="1:12" ht="15.6" x14ac:dyDescent="0.3">
      <c r="A2169" s="9">
        <v>2158</v>
      </c>
      <c r="B2169" s="1"/>
      <c r="C2169" s="2" t="s">
        <v>2164</v>
      </c>
      <c r="D2169" s="1"/>
      <c r="E2169" s="11">
        <f t="shared" si="166"/>
        <v>20</v>
      </c>
      <c r="F2169" s="12">
        <f t="shared" si="167"/>
        <v>66.666666666666657</v>
      </c>
      <c r="G2169" s="12" t="str">
        <f t="shared" si="168"/>
        <v>Warning</v>
      </c>
      <c r="H2169" s="13">
        <f t="shared" si="169"/>
        <v>6</v>
      </c>
      <c r="I2169" s="14">
        <f t="shared" si="165"/>
        <v>1792.2199999999998</v>
      </c>
      <c r="K2169" t="str">
        <f>[1]!revcom(C2169)</f>
        <v>GACGTC</v>
      </c>
      <c r="L2169">
        <v>6</v>
      </c>
    </row>
    <row r="2170" spans="1:12" ht="15.6" x14ac:dyDescent="0.3">
      <c r="A2170" s="9">
        <v>2159</v>
      </c>
      <c r="B2170" s="1"/>
      <c r="C2170" s="2" t="s">
        <v>2165</v>
      </c>
      <c r="D2170" s="1"/>
      <c r="E2170" s="11">
        <f t="shared" si="166"/>
        <v>20</v>
      </c>
      <c r="F2170" s="12">
        <f t="shared" si="167"/>
        <v>66.666666666666657</v>
      </c>
      <c r="G2170" s="12" t="str">
        <f t="shared" si="168"/>
        <v>Warning</v>
      </c>
      <c r="H2170" s="13">
        <f t="shared" si="169"/>
        <v>6</v>
      </c>
      <c r="I2170" s="14">
        <f t="shared" si="165"/>
        <v>1832.25</v>
      </c>
      <c r="K2170" t="str">
        <f>[1]!revcom(C2170)</f>
        <v>CACGTC</v>
      </c>
      <c r="L2170">
        <v>6</v>
      </c>
    </row>
    <row r="2171" spans="1:12" ht="15.6" x14ac:dyDescent="0.3">
      <c r="A2171" s="9">
        <v>2160</v>
      </c>
      <c r="B2171" s="1"/>
      <c r="C2171" s="2" t="s">
        <v>2166</v>
      </c>
      <c r="D2171" s="1"/>
      <c r="E2171" s="11">
        <f t="shared" si="166"/>
        <v>14</v>
      </c>
      <c r="F2171" s="12">
        <f t="shared" si="167"/>
        <v>50</v>
      </c>
      <c r="G2171" s="12" t="str">
        <f t="shared" si="168"/>
        <v>OK</v>
      </c>
      <c r="H2171" s="13">
        <f t="shared" si="169"/>
        <v>6</v>
      </c>
      <c r="I2171" s="14">
        <f t="shared" si="165"/>
        <v>1807.23</v>
      </c>
      <c r="K2171" t="str">
        <f>[1]!revcom(C2171)</f>
        <v>AACGTC</v>
      </c>
      <c r="L2171">
        <v>5</v>
      </c>
    </row>
    <row r="2172" spans="1:12" ht="15.6" x14ac:dyDescent="0.3">
      <c r="A2172" s="9">
        <v>2161</v>
      </c>
      <c r="B2172" s="1"/>
      <c r="C2172" s="2" t="s">
        <v>2167</v>
      </c>
      <c r="D2172" s="1"/>
      <c r="E2172" s="11">
        <f t="shared" si="166"/>
        <v>24</v>
      </c>
      <c r="F2172" s="12">
        <f t="shared" si="167"/>
        <v>33.333333333333329</v>
      </c>
      <c r="G2172" s="12" t="str">
        <f t="shared" si="168"/>
        <v>OK</v>
      </c>
      <c r="H2172" s="13">
        <f t="shared" si="169"/>
        <v>6</v>
      </c>
      <c r="I2172" s="14">
        <f t="shared" si="165"/>
        <v>1800.25</v>
      </c>
      <c r="K2172" t="str">
        <f>[1]!revcom(C2172)</f>
        <v>TTAGTC</v>
      </c>
      <c r="L2172">
        <v>6</v>
      </c>
    </row>
    <row r="2173" spans="1:12" ht="15.6" x14ac:dyDescent="0.3">
      <c r="A2173" s="9">
        <v>2162</v>
      </c>
      <c r="B2173" s="1"/>
      <c r="C2173" s="2" t="s">
        <v>2168</v>
      </c>
      <c r="D2173" s="1"/>
      <c r="E2173" s="11">
        <f t="shared" si="166"/>
        <v>22</v>
      </c>
      <c r="F2173" s="12">
        <f t="shared" si="167"/>
        <v>50</v>
      </c>
      <c r="G2173" s="12" t="str">
        <f t="shared" si="168"/>
        <v>OK</v>
      </c>
      <c r="H2173" s="13">
        <f t="shared" si="169"/>
        <v>6</v>
      </c>
      <c r="I2173" s="14">
        <f t="shared" si="165"/>
        <v>1776.2199999999998</v>
      </c>
      <c r="K2173" t="str">
        <f>[1]!revcom(C2173)</f>
        <v>GTAGTC</v>
      </c>
      <c r="L2173">
        <v>6</v>
      </c>
    </row>
    <row r="2174" spans="1:12" ht="15.6" x14ac:dyDescent="0.3">
      <c r="A2174" s="9">
        <v>2163</v>
      </c>
      <c r="B2174" s="1"/>
      <c r="C2174" s="2" t="s">
        <v>2169</v>
      </c>
      <c r="D2174" s="1"/>
      <c r="E2174" s="11">
        <f t="shared" si="166"/>
        <v>22</v>
      </c>
      <c r="F2174" s="12">
        <f t="shared" si="167"/>
        <v>50</v>
      </c>
      <c r="G2174" s="12" t="str">
        <f t="shared" si="168"/>
        <v>OK</v>
      </c>
      <c r="H2174" s="13">
        <f t="shared" si="169"/>
        <v>6</v>
      </c>
      <c r="I2174" s="14">
        <f t="shared" si="165"/>
        <v>1816.25</v>
      </c>
      <c r="K2174" t="str">
        <f>[1]!revcom(C2174)</f>
        <v>CTAGTC</v>
      </c>
      <c r="L2174">
        <v>6</v>
      </c>
    </row>
    <row r="2175" spans="1:12" ht="15.6" x14ac:dyDescent="0.3">
      <c r="A2175" s="9">
        <v>2164</v>
      </c>
      <c r="B2175" s="1"/>
      <c r="C2175" s="2" t="s">
        <v>2170</v>
      </c>
      <c r="D2175" s="1"/>
      <c r="E2175" s="11">
        <f t="shared" si="166"/>
        <v>16</v>
      </c>
      <c r="F2175" s="12">
        <f t="shared" si="167"/>
        <v>33.333333333333329</v>
      </c>
      <c r="G2175" s="12" t="str">
        <f t="shared" si="168"/>
        <v>OK</v>
      </c>
      <c r="H2175" s="13">
        <f t="shared" si="169"/>
        <v>6</v>
      </c>
      <c r="I2175" s="14">
        <f t="shared" si="165"/>
        <v>1791.23</v>
      </c>
      <c r="K2175" t="str">
        <f>[1]!revcom(C2175)</f>
        <v>ATAGTC</v>
      </c>
      <c r="L2175">
        <v>5</v>
      </c>
    </row>
    <row r="2176" spans="1:12" ht="15.6" x14ac:dyDescent="0.3">
      <c r="A2176" s="9">
        <v>2165</v>
      </c>
      <c r="B2176" s="1"/>
      <c r="C2176" s="2" t="s">
        <v>2171</v>
      </c>
      <c r="D2176" s="1"/>
      <c r="E2176" s="11">
        <f t="shared" si="166"/>
        <v>22</v>
      </c>
      <c r="F2176" s="12">
        <f t="shared" si="167"/>
        <v>50</v>
      </c>
      <c r="G2176" s="12" t="str">
        <f t="shared" si="168"/>
        <v>OK</v>
      </c>
      <c r="H2176" s="13">
        <f t="shared" si="169"/>
        <v>6</v>
      </c>
      <c r="I2176" s="14">
        <f t="shared" si="165"/>
        <v>1776.2199999999998</v>
      </c>
      <c r="K2176" t="str">
        <f>[1]!revcom(C2176)</f>
        <v>TGAGTC</v>
      </c>
      <c r="L2176">
        <v>6</v>
      </c>
    </row>
    <row r="2177" spans="1:12" ht="15.6" x14ac:dyDescent="0.3">
      <c r="A2177" s="9">
        <v>2166</v>
      </c>
      <c r="B2177" s="1"/>
      <c r="C2177" s="2" t="s">
        <v>2172</v>
      </c>
      <c r="D2177" s="1"/>
      <c r="E2177" s="11">
        <f t="shared" si="166"/>
        <v>20</v>
      </c>
      <c r="F2177" s="12">
        <f t="shared" si="167"/>
        <v>66.666666666666657</v>
      </c>
      <c r="G2177" s="12" t="str">
        <f t="shared" si="168"/>
        <v>Warning</v>
      </c>
      <c r="H2177" s="13">
        <f t="shared" si="169"/>
        <v>6</v>
      </c>
      <c r="I2177" s="14">
        <f t="shared" si="165"/>
        <v>1752.19</v>
      </c>
      <c r="K2177" t="str">
        <f>[1]!revcom(C2177)</f>
        <v>GGAGTC</v>
      </c>
      <c r="L2177">
        <v>6</v>
      </c>
    </row>
    <row r="2178" spans="1:12" ht="15.6" x14ac:dyDescent="0.3">
      <c r="A2178" s="9">
        <v>2167</v>
      </c>
      <c r="B2178" s="1"/>
      <c r="C2178" s="2" t="s">
        <v>2173</v>
      </c>
      <c r="D2178" s="1"/>
      <c r="E2178" s="11">
        <f t="shared" si="166"/>
        <v>20</v>
      </c>
      <c r="F2178" s="12">
        <f t="shared" si="167"/>
        <v>66.666666666666657</v>
      </c>
      <c r="G2178" s="12" t="str">
        <f t="shared" si="168"/>
        <v>Warning</v>
      </c>
      <c r="H2178" s="13">
        <f t="shared" si="169"/>
        <v>6</v>
      </c>
      <c r="I2178" s="14">
        <f t="shared" si="165"/>
        <v>1792.2199999999998</v>
      </c>
      <c r="K2178" t="str">
        <f>[1]!revcom(C2178)</f>
        <v>CGAGTC</v>
      </c>
      <c r="L2178">
        <v>6</v>
      </c>
    </row>
    <row r="2179" spans="1:12" ht="15.6" x14ac:dyDescent="0.3">
      <c r="A2179" s="9">
        <v>2168</v>
      </c>
      <c r="B2179" s="1"/>
      <c r="C2179" s="2" t="s">
        <v>2174</v>
      </c>
      <c r="D2179" s="1"/>
      <c r="E2179" s="11">
        <f t="shared" si="166"/>
        <v>14</v>
      </c>
      <c r="F2179" s="12">
        <f t="shared" si="167"/>
        <v>50</v>
      </c>
      <c r="G2179" s="12" t="str">
        <f t="shared" si="168"/>
        <v>OK</v>
      </c>
      <c r="H2179" s="13">
        <f t="shared" si="169"/>
        <v>6</v>
      </c>
      <c r="I2179" s="14">
        <f t="shared" si="165"/>
        <v>1767.1999999999998</v>
      </c>
      <c r="K2179" t="str">
        <f>[1]!revcom(C2179)</f>
        <v>AGAGTC</v>
      </c>
      <c r="L2179">
        <v>5</v>
      </c>
    </row>
    <row r="2180" spans="1:12" ht="15.6" x14ac:dyDescent="0.3">
      <c r="A2180" s="9">
        <v>2169</v>
      </c>
      <c r="B2180" s="1"/>
      <c r="C2180" s="2" t="s">
        <v>2175</v>
      </c>
      <c r="D2180" s="1"/>
      <c r="E2180" s="11">
        <f t="shared" si="166"/>
        <v>22</v>
      </c>
      <c r="F2180" s="12">
        <f t="shared" si="167"/>
        <v>50</v>
      </c>
      <c r="G2180" s="12" t="str">
        <f t="shared" si="168"/>
        <v>OK</v>
      </c>
      <c r="H2180" s="13">
        <f t="shared" si="169"/>
        <v>6</v>
      </c>
      <c r="I2180" s="14">
        <f t="shared" si="165"/>
        <v>1816.25</v>
      </c>
      <c r="K2180" t="str">
        <f>[1]!revcom(C2180)</f>
        <v>TCAGTC</v>
      </c>
      <c r="L2180">
        <v>6</v>
      </c>
    </row>
    <row r="2181" spans="1:12" ht="15.6" x14ac:dyDescent="0.3">
      <c r="A2181" s="9">
        <v>2170</v>
      </c>
      <c r="B2181" s="1"/>
      <c r="C2181" s="2" t="s">
        <v>2176</v>
      </c>
      <c r="D2181" s="1"/>
      <c r="E2181" s="11">
        <f t="shared" si="166"/>
        <v>20</v>
      </c>
      <c r="F2181" s="12">
        <f t="shared" si="167"/>
        <v>66.666666666666657</v>
      </c>
      <c r="G2181" s="12" t="str">
        <f t="shared" si="168"/>
        <v>Warning</v>
      </c>
      <c r="H2181" s="13">
        <f t="shared" si="169"/>
        <v>6</v>
      </c>
      <c r="I2181" s="14">
        <f t="shared" si="165"/>
        <v>1792.2199999999998</v>
      </c>
      <c r="K2181" t="str">
        <f>[1]!revcom(C2181)</f>
        <v>GCAGTC</v>
      </c>
      <c r="L2181">
        <v>6</v>
      </c>
    </row>
    <row r="2182" spans="1:12" ht="15.6" x14ac:dyDescent="0.3">
      <c r="A2182" s="9">
        <v>2171</v>
      </c>
      <c r="B2182" s="1"/>
      <c r="C2182" s="2" t="s">
        <v>2177</v>
      </c>
      <c r="D2182" s="1"/>
      <c r="E2182" s="11">
        <f t="shared" si="166"/>
        <v>20</v>
      </c>
      <c r="F2182" s="12">
        <f t="shared" si="167"/>
        <v>66.666666666666657</v>
      </c>
      <c r="G2182" s="12" t="str">
        <f t="shared" si="168"/>
        <v>Warning</v>
      </c>
      <c r="H2182" s="13">
        <f t="shared" si="169"/>
        <v>6</v>
      </c>
      <c r="I2182" s="14">
        <f t="shared" si="165"/>
        <v>1832.25</v>
      </c>
      <c r="K2182" t="str">
        <f>[1]!revcom(C2182)</f>
        <v>CCAGTC</v>
      </c>
      <c r="L2182">
        <v>6</v>
      </c>
    </row>
    <row r="2183" spans="1:12" ht="15.6" x14ac:dyDescent="0.3">
      <c r="A2183" s="9">
        <v>2172</v>
      </c>
      <c r="B2183" s="1"/>
      <c r="C2183" s="2" t="s">
        <v>2178</v>
      </c>
      <c r="D2183" s="1"/>
      <c r="E2183" s="11">
        <f t="shared" si="166"/>
        <v>14</v>
      </c>
      <c r="F2183" s="12">
        <f t="shared" si="167"/>
        <v>50</v>
      </c>
      <c r="G2183" s="12" t="str">
        <f t="shared" si="168"/>
        <v>OK</v>
      </c>
      <c r="H2183" s="13">
        <f t="shared" si="169"/>
        <v>6</v>
      </c>
      <c r="I2183" s="14">
        <f t="shared" si="165"/>
        <v>1807.23</v>
      </c>
      <c r="K2183" t="str">
        <f>[1]!revcom(C2183)</f>
        <v>ACAGTC</v>
      </c>
      <c r="L2183">
        <v>5</v>
      </c>
    </row>
    <row r="2184" spans="1:12" ht="15.6" x14ac:dyDescent="0.3">
      <c r="A2184" s="9">
        <v>2173</v>
      </c>
      <c r="B2184" s="1"/>
      <c r="C2184" s="2" t="s">
        <v>2179</v>
      </c>
      <c r="D2184" s="1"/>
      <c r="E2184" s="11">
        <f t="shared" si="166"/>
        <v>16</v>
      </c>
      <c r="F2184" s="12">
        <f t="shared" si="167"/>
        <v>33.333333333333329</v>
      </c>
      <c r="G2184" s="12" t="str">
        <f t="shared" si="168"/>
        <v>OK</v>
      </c>
      <c r="H2184" s="13">
        <f t="shared" si="169"/>
        <v>6</v>
      </c>
      <c r="I2184" s="14">
        <f t="shared" si="165"/>
        <v>1791.23</v>
      </c>
      <c r="K2184" t="str">
        <f>[1]!revcom(C2184)</f>
        <v>TAAGTC</v>
      </c>
      <c r="L2184">
        <v>5</v>
      </c>
    </row>
    <row r="2185" spans="1:12" ht="15.6" x14ac:dyDescent="0.3">
      <c r="A2185" s="9">
        <v>2174</v>
      </c>
      <c r="B2185" s="1"/>
      <c r="C2185" s="2" t="s">
        <v>2180</v>
      </c>
      <c r="D2185" s="1"/>
      <c r="E2185" s="11">
        <f t="shared" si="166"/>
        <v>14</v>
      </c>
      <c r="F2185" s="12">
        <f t="shared" si="167"/>
        <v>50</v>
      </c>
      <c r="G2185" s="12" t="str">
        <f t="shared" si="168"/>
        <v>OK</v>
      </c>
      <c r="H2185" s="13">
        <f t="shared" si="169"/>
        <v>6</v>
      </c>
      <c r="I2185" s="14">
        <f t="shared" si="165"/>
        <v>1767.1999999999998</v>
      </c>
      <c r="K2185" t="str">
        <f>[1]!revcom(C2185)</f>
        <v>GAAGTC</v>
      </c>
      <c r="L2185">
        <v>5</v>
      </c>
    </row>
    <row r="2186" spans="1:12" ht="15.6" x14ac:dyDescent="0.3">
      <c r="A2186" s="9">
        <v>2175</v>
      </c>
      <c r="B2186" s="1"/>
      <c r="C2186" s="2" t="s">
        <v>2181</v>
      </c>
      <c r="D2186" s="1"/>
      <c r="E2186" s="11">
        <f t="shared" si="166"/>
        <v>14</v>
      </c>
      <c r="F2186" s="12">
        <f t="shared" si="167"/>
        <v>50</v>
      </c>
      <c r="G2186" s="12" t="str">
        <f t="shared" si="168"/>
        <v>OK</v>
      </c>
      <c r="H2186" s="13">
        <f t="shared" si="169"/>
        <v>6</v>
      </c>
      <c r="I2186" s="14">
        <f t="shared" si="165"/>
        <v>1807.23</v>
      </c>
      <c r="K2186" t="str">
        <f>[1]!revcom(C2186)</f>
        <v>CAAGTC</v>
      </c>
      <c r="L2186">
        <v>5</v>
      </c>
    </row>
    <row r="2187" spans="1:12" ht="15.6" x14ac:dyDescent="0.3">
      <c r="A2187" s="9">
        <v>2176</v>
      </c>
      <c r="B2187" s="1"/>
      <c r="C2187" s="2" t="s">
        <v>2182</v>
      </c>
      <c r="D2187" s="1"/>
      <c r="E2187" s="11">
        <f t="shared" si="166"/>
        <v>8</v>
      </c>
      <c r="F2187" s="12">
        <f t="shared" si="167"/>
        <v>33.333333333333329</v>
      </c>
      <c r="G2187" s="12" t="str">
        <f t="shared" si="168"/>
        <v>OK</v>
      </c>
      <c r="H2187" s="13">
        <f t="shared" si="169"/>
        <v>6</v>
      </c>
      <c r="I2187" s="14">
        <f t="shared" si="165"/>
        <v>1782.21</v>
      </c>
      <c r="K2187" t="str">
        <f>[1]!revcom(C2187)</f>
        <v>AAAGTC</v>
      </c>
      <c r="L2187">
        <v>4</v>
      </c>
    </row>
    <row r="2188" spans="1:12" ht="15.6" x14ac:dyDescent="0.3">
      <c r="A2188" s="9">
        <v>2177</v>
      </c>
      <c r="B2188" s="1"/>
      <c r="C2188" s="2" t="s">
        <v>2183</v>
      </c>
      <c r="D2188" s="1"/>
      <c r="E2188" s="11">
        <f t="shared" si="166"/>
        <v>32</v>
      </c>
      <c r="F2188" s="12">
        <f t="shared" si="167"/>
        <v>33.333333333333329</v>
      </c>
      <c r="G2188" s="12" t="str">
        <f t="shared" si="168"/>
        <v>OK</v>
      </c>
      <c r="H2188" s="13">
        <f t="shared" si="169"/>
        <v>6</v>
      </c>
      <c r="I2188" s="14">
        <f t="shared" si="165"/>
        <v>1849.3000000000002</v>
      </c>
      <c r="K2188" t="str">
        <f>[1]!revcom(C2188)</f>
        <v>TTTCTC</v>
      </c>
      <c r="L2188">
        <v>8</v>
      </c>
    </row>
    <row r="2189" spans="1:12" ht="15.6" x14ac:dyDescent="0.3">
      <c r="A2189" s="9">
        <v>2178</v>
      </c>
      <c r="B2189" s="1"/>
      <c r="C2189" s="2" t="s">
        <v>2184</v>
      </c>
      <c r="D2189" s="1"/>
      <c r="E2189" s="11">
        <f t="shared" si="166"/>
        <v>30</v>
      </c>
      <c r="F2189" s="12">
        <f t="shared" si="167"/>
        <v>50</v>
      </c>
      <c r="G2189" s="12" t="str">
        <f t="shared" si="168"/>
        <v>OK</v>
      </c>
      <c r="H2189" s="13">
        <f t="shared" si="169"/>
        <v>6</v>
      </c>
      <c r="I2189" s="14">
        <f t="shared" ref="I2189:I2252" si="170">((LEN(C2189)-(LEN(SUBSTITUTE(C2189,"A",""))))*249.23)+((LEN(C2189)-(LEN(SUBSTITUTE(C2189,"T",""))))*240.21)+((LEN(C2189)-(LEN(SUBSTITUTE(C2189,"C",""))))*225.2)+((LEN(C2189)-(LEN(SUBSTITUTE(C2189,"G",""))))*265.23)+(63.98*(LEN(C2189)-1)+(2.02))</f>
        <v>1825.27</v>
      </c>
      <c r="K2189" t="str">
        <f>[1]!revcom(C2189)</f>
        <v>GTTCTC</v>
      </c>
      <c r="L2189">
        <v>7</v>
      </c>
    </row>
    <row r="2190" spans="1:12" ht="15.6" x14ac:dyDescent="0.3">
      <c r="A2190" s="9">
        <v>2179</v>
      </c>
      <c r="B2190" s="1"/>
      <c r="C2190" s="2" t="s">
        <v>2185</v>
      </c>
      <c r="D2190" s="1"/>
      <c r="E2190" s="11">
        <f t="shared" ref="E2190:E2253" si="171">IF(LEN(C2190)&gt;15,(69.3+((41*((LEN(C2190)-(((LEN(C2190)-(LEN(SUBSTITUTE(C2190,"A",""))))+((LEN(C2190)-(LEN(SUBSTITUTE(C2190,"T","")))))))))/(LEN(C2190)))-(650/(LEN(C2190))))),(2*((LEN(C2190)-(((LEN(C2190)-(LEN(SUBSTITUTE(C2190,"C",""))))+((LEN(C2190)-(LEN(SUBSTITUTE(C2190,"G",""))))))))))+(4*((LEN(C2190)-(((LEN(C2190)-(LEN(SUBSTITUTE(C2190,"T",""))))+((LEN(C2190)-(LEN(SUBSTITUTE(C2190,"T","")))))))))))</f>
        <v>30</v>
      </c>
      <c r="F2190" s="12">
        <f t="shared" ref="F2190:F2253" si="172">((LEN(C2190)- LEN(SUBSTITUTE(C2190,"G","")))+(LEN(C2190)- LEN(SUBSTITUTE(C2190,"C",""))) )/LEN(C2190)*100</f>
        <v>50</v>
      </c>
      <c r="G2190" s="12" t="str">
        <f t="shared" ref="G2190:G2253" si="173">IF((-5+((LEN(SUBSTITUTE(RIGHT(C2190,5),"C","")))+((LEN(SUBSTITUTE(RIGHT(C2190,5),"G",""))))))&gt;=3,"OK","Warning")</f>
        <v>OK</v>
      </c>
      <c r="H2190" s="13">
        <f t="shared" ref="H2190:H2253" si="174">LEN(C2190)</f>
        <v>6</v>
      </c>
      <c r="I2190" s="14">
        <f t="shared" si="170"/>
        <v>1865.3000000000002</v>
      </c>
      <c r="K2190" t="str">
        <f>[1]!revcom(C2190)</f>
        <v>CTTCTC</v>
      </c>
      <c r="L2190">
        <v>7</v>
      </c>
    </row>
    <row r="2191" spans="1:12" ht="15.6" x14ac:dyDescent="0.3">
      <c r="A2191" s="9">
        <v>2180</v>
      </c>
      <c r="B2191" s="1"/>
      <c r="C2191" s="2" t="s">
        <v>2186</v>
      </c>
      <c r="D2191" s="1"/>
      <c r="E2191" s="11">
        <f t="shared" si="171"/>
        <v>24</v>
      </c>
      <c r="F2191" s="12">
        <f t="shared" si="172"/>
        <v>33.333333333333329</v>
      </c>
      <c r="G2191" s="12" t="str">
        <f t="shared" si="173"/>
        <v>OK</v>
      </c>
      <c r="H2191" s="13">
        <f t="shared" si="174"/>
        <v>6</v>
      </c>
      <c r="I2191" s="14">
        <f t="shared" si="170"/>
        <v>1840.2800000000002</v>
      </c>
      <c r="K2191" t="str">
        <f>[1]!revcom(C2191)</f>
        <v>ATTCTC</v>
      </c>
      <c r="L2191">
        <v>6</v>
      </c>
    </row>
    <row r="2192" spans="1:12" ht="15.6" x14ac:dyDescent="0.3">
      <c r="A2192" s="9">
        <v>2181</v>
      </c>
      <c r="B2192" s="1"/>
      <c r="C2192" s="2" t="s">
        <v>2187</v>
      </c>
      <c r="D2192" s="1"/>
      <c r="E2192" s="11">
        <f t="shared" si="171"/>
        <v>30</v>
      </c>
      <c r="F2192" s="12">
        <f t="shared" si="172"/>
        <v>50</v>
      </c>
      <c r="G2192" s="12" t="str">
        <f t="shared" si="173"/>
        <v>OK</v>
      </c>
      <c r="H2192" s="13">
        <f t="shared" si="174"/>
        <v>6</v>
      </c>
      <c r="I2192" s="14">
        <f t="shared" si="170"/>
        <v>1825.27</v>
      </c>
      <c r="K2192" t="str">
        <f>[1]!revcom(C2192)</f>
        <v>TGTCTC</v>
      </c>
      <c r="L2192">
        <v>7</v>
      </c>
    </row>
    <row r="2193" spans="1:12" ht="15.6" x14ac:dyDescent="0.3">
      <c r="A2193" s="9">
        <v>2182</v>
      </c>
      <c r="B2193" s="1"/>
      <c r="C2193" s="2" t="s">
        <v>2188</v>
      </c>
      <c r="D2193" s="1"/>
      <c r="E2193" s="11">
        <f t="shared" si="171"/>
        <v>28</v>
      </c>
      <c r="F2193" s="12">
        <f t="shared" si="172"/>
        <v>66.666666666666657</v>
      </c>
      <c r="G2193" s="12" t="str">
        <f t="shared" si="173"/>
        <v>Warning</v>
      </c>
      <c r="H2193" s="13">
        <f t="shared" si="174"/>
        <v>6</v>
      </c>
      <c r="I2193" s="14">
        <f t="shared" si="170"/>
        <v>1801.2399999999998</v>
      </c>
      <c r="K2193" t="str">
        <f>[1]!revcom(C2193)</f>
        <v>GGTCTC</v>
      </c>
      <c r="L2193">
        <v>7</v>
      </c>
    </row>
    <row r="2194" spans="1:12" ht="15.6" x14ac:dyDescent="0.3">
      <c r="A2194" s="9">
        <v>2183</v>
      </c>
      <c r="B2194" s="1"/>
      <c r="C2194" s="2" t="s">
        <v>2189</v>
      </c>
      <c r="D2194" s="1"/>
      <c r="E2194" s="11">
        <f t="shared" si="171"/>
        <v>28</v>
      </c>
      <c r="F2194" s="12">
        <f t="shared" si="172"/>
        <v>66.666666666666657</v>
      </c>
      <c r="G2194" s="12" t="str">
        <f t="shared" si="173"/>
        <v>Warning</v>
      </c>
      <c r="H2194" s="13">
        <f t="shared" si="174"/>
        <v>6</v>
      </c>
      <c r="I2194" s="14">
        <f t="shared" si="170"/>
        <v>1841.27</v>
      </c>
      <c r="K2194" t="str">
        <f>[1]!revcom(C2194)</f>
        <v>CGTCTC</v>
      </c>
      <c r="L2194">
        <v>7</v>
      </c>
    </row>
    <row r="2195" spans="1:12" ht="15.6" x14ac:dyDescent="0.3">
      <c r="A2195" s="9">
        <v>2184</v>
      </c>
      <c r="B2195" s="1"/>
      <c r="C2195" s="2" t="s">
        <v>2190</v>
      </c>
      <c r="D2195" s="1"/>
      <c r="E2195" s="11">
        <f t="shared" si="171"/>
        <v>22</v>
      </c>
      <c r="F2195" s="12">
        <f t="shared" si="172"/>
        <v>50</v>
      </c>
      <c r="G2195" s="12" t="str">
        <f t="shared" si="173"/>
        <v>OK</v>
      </c>
      <c r="H2195" s="13">
        <f t="shared" si="174"/>
        <v>6</v>
      </c>
      <c r="I2195" s="14">
        <f t="shared" si="170"/>
        <v>1816.25</v>
      </c>
      <c r="K2195" t="str">
        <f>[1]!revcom(C2195)</f>
        <v>AGTCTC</v>
      </c>
      <c r="L2195">
        <v>6</v>
      </c>
    </row>
    <row r="2196" spans="1:12" ht="15.6" x14ac:dyDescent="0.3">
      <c r="A2196" s="9">
        <v>2185</v>
      </c>
      <c r="B2196" s="1"/>
      <c r="C2196" s="2" t="s">
        <v>2191</v>
      </c>
      <c r="D2196" s="1"/>
      <c r="E2196" s="11">
        <f t="shared" si="171"/>
        <v>30</v>
      </c>
      <c r="F2196" s="12">
        <f t="shared" si="172"/>
        <v>50</v>
      </c>
      <c r="G2196" s="12" t="str">
        <f t="shared" si="173"/>
        <v>OK</v>
      </c>
      <c r="H2196" s="13">
        <f t="shared" si="174"/>
        <v>6</v>
      </c>
      <c r="I2196" s="14">
        <f t="shared" si="170"/>
        <v>1865.3000000000002</v>
      </c>
      <c r="K2196" t="str">
        <f>[1]!revcom(C2196)</f>
        <v>TCTCTC</v>
      </c>
      <c r="L2196">
        <v>7</v>
      </c>
    </row>
    <row r="2197" spans="1:12" ht="15.6" x14ac:dyDescent="0.3">
      <c r="A2197" s="9">
        <v>2186</v>
      </c>
      <c r="B2197" s="1"/>
      <c r="C2197" s="2" t="s">
        <v>2192</v>
      </c>
      <c r="D2197" s="1"/>
      <c r="E2197" s="11">
        <f t="shared" si="171"/>
        <v>28</v>
      </c>
      <c r="F2197" s="12">
        <f t="shared" si="172"/>
        <v>66.666666666666657</v>
      </c>
      <c r="G2197" s="12" t="str">
        <f t="shared" si="173"/>
        <v>Warning</v>
      </c>
      <c r="H2197" s="13">
        <f t="shared" si="174"/>
        <v>6</v>
      </c>
      <c r="I2197" s="14">
        <f t="shared" si="170"/>
        <v>1841.27</v>
      </c>
      <c r="K2197" t="str">
        <f>[1]!revcom(C2197)</f>
        <v>GCTCTC</v>
      </c>
      <c r="L2197">
        <v>7</v>
      </c>
    </row>
    <row r="2198" spans="1:12" ht="15.6" x14ac:dyDescent="0.3">
      <c r="A2198" s="9">
        <v>2187</v>
      </c>
      <c r="B2198" s="1"/>
      <c r="C2198" s="2" t="s">
        <v>2193</v>
      </c>
      <c r="D2198" s="1"/>
      <c r="E2198" s="11">
        <f t="shared" si="171"/>
        <v>28</v>
      </c>
      <c r="F2198" s="12">
        <f t="shared" si="172"/>
        <v>66.666666666666657</v>
      </c>
      <c r="G2198" s="12" t="str">
        <f t="shared" si="173"/>
        <v>Warning</v>
      </c>
      <c r="H2198" s="13">
        <f t="shared" si="174"/>
        <v>6</v>
      </c>
      <c r="I2198" s="14">
        <f t="shared" si="170"/>
        <v>1881.3000000000002</v>
      </c>
      <c r="K2198" t="str">
        <f>[1]!revcom(C2198)</f>
        <v>CCTCTC</v>
      </c>
      <c r="L2198">
        <v>7</v>
      </c>
    </row>
    <row r="2199" spans="1:12" ht="15.6" x14ac:dyDescent="0.3">
      <c r="A2199" s="9">
        <v>2188</v>
      </c>
      <c r="B2199" s="1"/>
      <c r="C2199" s="2" t="s">
        <v>2194</v>
      </c>
      <c r="D2199" s="1"/>
      <c r="E2199" s="11">
        <f t="shared" si="171"/>
        <v>22</v>
      </c>
      <c r="F2199" s="12">
        <f t="shared" si="172"/>
        <v>50</v>
      </c>
      <c r="G2199" s="12" t="str">
        <f t="shared" si="173"/>
        <v>OK</v>
      </c>
      <c r="H2199" s="13">
        <f t="shared" si="174"/>
        <v>6</v>
      </c>
      <c r="I2199" s="14">
        <f t="shared" si="170"/>
        <v>1856.2800000000002</v>
      </c>
      <c r="K2199" t="str">
        <f>[1]!revcom(C2199)</f>
        <v>ACTCTC</v>
      </c>
      <c r="L2199">
        <v>6</v>
      </c>
    </row>
    <row r="2200" spans="1:12" ht="15.6" x14ac:dyDescent="0.3">
      <c r="A2200" s="9">
        <v>2189</v>
      </c>
      <c r="B2200" s="1"/>
      <c r="C2200" s="2" t="s">
        <v>2195</v>
      </c>
      <c r="D2200" s="1"/>
      <c r="E2200" s="11">
        <f t="shared" si="171"/>
        <v>24</v>
      </c>
      <c r="F2200" s="12">
        <f t="shared" si="172"/>
        <v>33.333333333333329</v>
      </c>
      <c r="G2200" s="12" t="str">
        <f t="shared" si="173"/>
        <v>OK</v>
      </c>
      <c r="H2200" s="13">
        <f t="shared" si="174"/>
        <v>6</v>
      </c>
      <c r="I2200" s="14">
        <f t="shared" si="170"/>
        <v>1840.2800000000002</v>
      </c>
      <c r="K2200" t="str">
        <f>[1]!revcom(C2200)</f>
        <v>TATCTC</v>
      </c>
      <c r="L2200">
        <v>6</v>
      </c>
    </row>
    <row r="2201" spans="1:12" ht="15.6" x14ac:dyDescent="0.3">
      <c r="A2201" s="9">
        <v>2190</v>
      </c>
      <c r="B2201" s="1"/>
      <c r="C2201" s="2" t="s">
        <v>2196</v>
      </c>
      <c r="D2201" s="1"/>
      <c r="E2201" s="11">
        <f t="shared" si="171"/>
        <v>22</v>
      </c>
      <c r="F2201" s="12">
        <f t="shared" si="172"/>
        <v>50</v>
      </c>
      <c r="G2201" s="12" t="str">
        <f t="shared" si="173"/>
        <v>OK</v>
      </c>
      <c r="H2201" s="13">
        <f t="shared" si="174"/>
        <v>6</v>
      </c>
      <c r="I2201" s="14">
        <f t="shared" si="170"/>
        <v>1816.25</v>
      </c>
      <c r="K2201" t="str">
        <f>[1]!revcom(C2201)</f>
        <v>GATCTC</v>
      </c>
      <c r="L2201">
        <v>6</v>
      </c>
    </row>
    <row r="2202" spans="1:12" ht="15.6" x14ac:dyDescent="0.3">
      <c r="A2202" s="9">
        <v>2191</v>
      </c>
      <c r="B2202" s="1"/>
      <c r="C2202" s="2" t="s">
        <v>2197</v>
      </c>
      <c r="D2202" s="1"/>
      <c r="E2202" s="11">
        <f t="shared" si="171"/>
        <v>22</v>
      </c>
      <c r="F2202" s="12">
        <f t="shared" si="172"/>
        <v>50</v>
      </c>
      <c r="G2202" s="12" t="str">
        <f t="shared" si="173"/>
        <v>OK</v>
      </c>
      <c r="H2202" s="13">
        <f t="shared" si="174"/>
        <v>6</v>
      </c>
      <c r="I2202" s="14">
        <f t="shared" si="170"/>
        <v>1856.2800000000002</v>
      </c>
      <c r="K2202" t="str">
        <f>[1]!revcom(C2202)</f>
        <v>CATCTC</v>
      </c>
      <c r="L2202">
        <v>6</v>
      </c>
    </row>
    <row r="2203" spans="1:12" ht="15.6" x14ac:dyDescent="0.3">
      <c r="A2203" s="9">
        <v>2192</v>
      </c>
      <c r="B2203" s="1"/>
      <c r="C2203" s="2" t="s">
        <v>2198</v>
      </c>
      <c r="D2203" s="1"/>
      <c r="E2203" s="11">
        <f t="shared" si="171"/>
        <v>16</v>
      </c>
      <c r="F2203" s="12">
        <f t="shared" si="172"/>
        <v>33.333333333333329</v>
      </c>
      <c r="G2203" s="12" t="str">
        <f t="shared" si="173"/>
        <v>OK</v>
      </c>
      <c r="H2203" s="13">
        <f t="shared" si="174"/>
        <v>6</v>
      </c>
      <c r="I2203" s="14">
        <f t="shared" si="170"/>
        <v>1831.2600000000002</v>
      </c>
      <c r="K2203" t="str">
        <f>[1]!revcom(C2203)</f>
        <v>AATCTC</v>
      </c>
      <c r="L2203">
        <v>5</v>
      </c>
    </row>
    <row r="2204" spans="1:12" ht="15.6" x14ac:dyDescent="0.3">
      <c r="A2204" s="9">
        <v>2193</v>
      </c>
      <c r="B2204" s="1"/>
      <c r="C2204" s="2" t="s">
        <v>2199</v>
      </c>
      <c r="D2204" s="1"/>
      <c r="E2204" s="11">
        <f t="shared" si="171"/>
        <v>30</v>
      </c>
      <c r="F2204" s="12">
        <f t="shared" si="172"/>
        <v>50</v>
      </c>
      <c r="G2204" s="12" t="str">
        <f t="shared" si="173"/>
        <v>OK</v>
      </c>
      <c r="H2204" s="13">
        <f t="shared" si="174"/>
        <v>6</v>
      </c>
      <c r="I2204" s="14">
        <f t="shared" si="170"/>
        <v>1825.27</v>
      </c>
      <c r="K2204" t="str">
        <f>[1]!revcom(C2204)</f>
        <v>TTGCTC</v>
      </c>
      <c r="L2204">
        <v>7</v>
      </c>
    </row>
    <row r="2205" spans="1:12" ht="15.6" x14ac:dyDescent="0.3">
      <c r="A2205" s="9">
        <v>2194</v>
      </c>
      <c r="B2205" s="1"/>
      <c r="C2205" s="2" t="s">
        <v>2200</v>
      </c>
      <c r="D2205" s="1"/>
      <c r="E2205" s="11">
        <f t="shared" si="171"/>
        <v>28</v>
      </c>
      <c r="F2205" s="12">
        <f t="shared" si="172"/>
        <v>66.666666666666657</v>
      </c>
      <c r="G2205" s="12" t="str">
        <f t="shared" si="173"/>
        <v>Warning</v>
      </c>
      <c r="H2205" s="13">
        <f t="shared" si="174"/>
        <v>6</v>
      </c>
      <c r="I2205" s="14">
        <f t="shared" si="170"/>
        <v>1801.2399999999998</v>
      </c>
      <c r="K2205" t="str">
        <f>[1]!revcom(C2205)</f>
        <v>GTGCTC</v>
      </c>
      <c r="L2205">
        <v>7</v>
      </c>
    </row>
    <row r="2206" spans="1:12" ht="15.6" x14ac:dyDescent="0.3">
      <c r="A2206" s="9">
        <v>2195</v>
      </c>
      <c r="B2206" s="1"/>
      <c r="C2206" s="2" t="s">
        <v>2201</v>
      </c>
      <c r="D2206" s="1"/>
      <c r="E2206" s="11">
        <f t="shared" si="171"/>
        <v>28</v>
      </c>
      <c r="F2206" s="12">
        <f t="shared" si="172"/>
        <v>66.666666666666657</v>
      </c>
      <c r="G2206" s="12" t="str">
        <f t="shared" si="173"/>
        <v>Warning</v>
      </c>
      <c r="H2206" s="13">
        <f t="shared" si="174"/>
        <v>6</v>
      </c>
      <c r="I2206" s="14">
        <f t="shared" si="170"/>
        <v>1841.27</v>
      </c>
      <c r="K2206" t="str">
        <f>[1]!revcom(C2206)</f>
        <v>CTGCTC</v>
      </c>
      <c r="L2206">
        <v>7</v>
      </c>
    </row>
    <row r="2207" spans="1:12" ht="15.6" x14ac:dyDescent="0.3">
      <c r="A2207" s="9">
        <v>2196</v>
      </c>
      <c r="B2207" s="1"/>
      <c r="C2207" s="2" t="s">
        <v>2202</v>
      </c>
      <c r="D2207" s="1"/>
      <c r="E2207" s="11">
        <f t="shared" si="171"/>
        <v>22</v>
      </c>
      <c r="F2207" s="12">
        <f t="shared" si="172"/>
        <v>50</v>
      </c>
      <c r="G2207" s="12" t="str">
        <f t="shared" si="173"/>
        <v>OK</v>
      </c>
      <c r="H2207" s="13">
        <f t="shared" si="174"/>
        <v>6</v>
      </c>
      <c r="I2207" s="14">
        <f t="shared" si="170"/>
        <v>1816.25</v>
      </c>
      <c r="K2207" t="str">
        <f>[1]!revcom(C2207)</f>
        <v>ATGCTC</v>
      </c>
      <c r="L2207">
        <v>6</v>
      </c>
    </row>
    <row r="2208" spans="1:12" ht="15.6" x14ac:dyDescent="0.3">
      <c r="A2208" s="9">
        <v>2197</v>
      </c>
      <c r="B2208" s="1"/>
      <c r="C2208" s="2" t="s">
        <v>2203</v>
      </c>
      <c r="D2208" s="1"/>
      <c r="E2208" s="11">
        <f t="shared" si="171"/>
        <v>28</v>
      </c>
      <c r="F2208" s="12">
        <f t="shared" si="172"/>
        <v>66.666666666666657</v>
      </c>
      <c r="G2208" s="12" t="str">
        <f t="shared" si="173"/>
        <v>Warning</v>
      </c>
      <c r="H2208" s="13">
        <f t="shared" si="174"/>
        <v>6</v>
      </c>
      <c r="I2208" s="14">
        <f t="shared" si="170"/>
        <v>1801.2399999999998</v>
      </c>
      <c r="K2208" t="str">
        <f>[1]!revcom(C2208)</f>
        <v>TGGCTC</v>
      </c>
      <c r="L2208">
        <v>7</v>
      </c>
    </row>
    <row r="2209" spans="1:12" ht="15.6" x14ac:dyDescent="0.3">
      <c r="A2209" s="9">
        <v>2198</v>
      </c>
      <c r="B2209" s="1"/>
      <c r="C2209" s="2" t="s">
        <v>2204</v>
      </c>
      <c r="D2209" s="1"/>
      <c r="E2209" s="11">
        <f t="shared" si="171"/>
        <v>26</v>
      </c>
      <c r="F2209" s="12">
        <f t="shared" si="172"/>
        <v>83.333333333333343</v>
      </c>
      <c r="G2209" s="12" t="str">
        <f t="shared" si="173"/>
        <v>Warning</v>
      </c>
      <c r="H2209" s="13">
        <f t="shared" si="174"/>
        <v>6</v>
      </c>
      <c r="I2209" s="14">
        <f t="shared" si="170"/>
        <v>1777.21</v>
      </c>
      <c r="K2209" t="str">
        <f>[1]!revcom(C2209)</f>
        <v>GGGCTC</v>
      </c>
      <c r="L2209">
        <v>7</v>
      </c>
    </row>
    <row r="2210" spans="1:12" ht="15.6" x14ac:dyDescent="0.3">
      <c r="A2210" s="9">
        <v>2199</v>
      </c>
      <c r="B2210" s="1"/>
      <c r="C2210" s="2" t="s">
        <v>2205</v>
      </c>
      <c r="D2210" s="1"/>
      <c r="E2210" s="11">
        <f t="shared" si="171"/>
        <v>26</v>
      </c>
      <c r="F2210" s="12">
        <f t="shared" si="172"/>
        <v>83.333333333333343</v>
      </c>
      <c r="G2210" s="12" t="str">
        <f t="shared" si="173"/>
        <v>Warning</v>
      </c>
      <c r="H2210" s="13">
        <f t="shared" si="174"/>
        <v>6</v>
      </c>
      <c r="I2210" s="14">
        <f t="shared" si="170"/>
        <v>1817.2400000000002</v>
      </c>
      <c r="K2210" t="str">
        <f>[1]!revcom(C2210)</f>
        <v>CGGCTC</v>
      </c>
      <c r="L2210">
        <v>7</v>
      </c>
    </row>
    <row r="2211" spans="1:12" ht="15.6" x14ac:dyDescent="0.3">
      <c r="A2211" s="9">
        <v>2200</v>
      </c>
      <c r="B2211" s="1"/>
      <c r="C2211" s="2" t="s">
        <v>2206</v>
      </c>
      <c r="D2211" s="1"/>
      <c r="E2211" s="11">
        <f t="shared" si="171"/>
        <v>20</v>
      </c>
      <c r="F2211" s="12">
        <f t="shared" si="172"/>
        <v>66.666666666666657</v>
      </c>
      <c r="G2211" s="12" t="str">
        <f t="shared" si="173"/>
        <v>Warning</v>
      </c>
      <c r="H2211" s="13">
        <f t="shared" si="174"/>
        <v>6</v>
      </c>
      <c r="I2211" s="14">
        <f t="shared" si="170"/>
        <v>1792.2199999999998</v>
      </c>
      <c r="K2211" t="str">
        <f>[1]!revcom(C2211)</f>
        <v>AGGCTC</v>
      </c>
      <c r="L2211">
        <v>6</v>
      </c>
    </row>
    <row r="2212" spans="1:12" ht="15.6" x14ac:dyDescent="0.3">
      <c r="A2212" s="9">
        <v>2201</v>
      </c>
      <c r="B2212" s="1"/>
      <c r="C2212" s="2" t="s">
        <v>2207</v>
      </c>
      <c r="D2212" s="1"/>
      <c r="E2212" s="11">
        <f t="shared" si="171"/>
        <v>28</v>
      </c>
      <c r="F2212" s="12">
        <f t="shared" si="172"/>
        <v>66.666666666666657</v>
      </c>
      <c r="G2212" s="12" t="str">
        <f t="shared" si="173"/>
        <v>Warning</v>
      </c>
      <c r="H2212" s="13">
        <f t="shared" si="174"/>
        <v>6</v>
      </c>
      <c r="I2212" s="14">
        <f t="shared" si="170"/>
        <v>1841.27</v>
      </c>
      <c r="K2212" t="str">
        <f>[1]!revcom(C2212)</f>
        <v>TCGCTC</v>
      </c>
      <c r="L2212">
        <v>7</v>
      </c>
    </row>
    <row r="2213" spans="1:12" ht="15.6" x14ac:dyDescent="0.3">
      <c r="A2213" s="9">
        <v>2202</v>
      </c>
      <c r="B2213" s="1"/>
      <c r="C2213" s="2" t="s">
        <v>2208</v>
      </c>
      <c r="D2213" s="1"/>
      <c r="E2213" s="11">
        <f t="shared" si="171"/>
        <v>26</v>
      </c>
      <c r="F2213" s="12">
        <f t="shared" si="172"/>
        <v>83.333333333333343</v>
      </c>
      <c r="G2213" s="12" t="str">
        <f t="shared" si="173"/>
        <v>Warning</v>
      </c>
      <c r="H2213" s="13">
        <f t="shared" si="174"/>
        <v>6</v>
      </c>
      <c r="I2213" s="14">
        <f t="shared" si="170"/>
        <v>1817.2400000000002</v>
      </c>
      <c r="K2213" t="str">
        <f>[1]!revcom(C2213)</f>
        <v>GCGCTC</v>
      </c>
      <c r="L2213">
        <v>7</v>
      </c>
    </row>
    <row r="2214" spans="1:12" ht="15.6" x14ac:dyDescent="0.3">
      <c r="A2214" s="9">
        <v>2203</v>
      </c>
      <c r="B2214" s="1"/>
      <c r="C2214" s="2" t="s">
        <v>2209</v>
      </c>
      <c r="D2214" s="1"/>
      <c r="E2214" s="11">
        <f t="shared" si="171"/>
        <v>26</v>
      </c>
      <c r="F2214" s="12">
        <f t="shared" si="172"/>
        <v>83.333333333333343</v>
      </c>
      <c r="G2214" s="12" t="str">
        <f t="shared" si="173"/>
        <v>Warning</v>
      </c>
      <c r="H2214" s="13">
        <f t="shared" si="174"/>
        <v>6</v>
      </c>
      <c r="I2214" s="14">
        <f t="shared" si="170"/>
        <v>1857.27</v>
      </c>
      <c r="K2214" t="str">
        <f>[1]!revcom(C2214)</f>
        <v>CCGCTC</v>
      </c>
      <c r="L2214">
        <v>7</v>
      </c>
    </row>
    <row r="2215" spans="1:12" ht="15.6" x14ac:dyDescent="0.3">
      <c r="A2215" s="9">
        <v>2204</v>
      </c>
      <c r="B2215" s="1"/>
      <c r="C2215" s="2" t="s">
        <v>2210</v>
      </c>
      <c r="D2215" s="1"/>
      <c r="E2215" s="11">
        <f t="shared" si="171"/>
        <v>20</v>
      </c>
      <c r="F2215" s="12">
        <f t="shared" si="172"/>
        <v>66.666666666666657</v>
      </c>
      <c r="G2215" s="12" t="str">
        <f t="shared" si="173"/>
        <v>Warning</v>
      </c>
      <c r="H2215" s="13">
        <f t="shared" si="174"/>
        <v>6</v>
      </c>
      <c r="I2215" s="14">
        <f t="shared" si="170"/>
        <v>1832.25</v>
      </c>
      <c r="K2215" t="str">
        <f>[1]!revcom(C2215)</f>
        <v>ACGCTC</v>
      </c>
      <c r="L2215">
        <v>6</v>
      </c>
    </row>
    <row r="2216" spans="1:12" ht="15.6" x14ac:dyDescent="0.3">
      <c r="A2216" s="9">
        <v>2205</v>
      </c>
      <c r="B2216" s="1"/>
      <c r="C2216" s="2" t="s">
        <v>2211</v>
      </c>
      <c r="D2216" s="1"/>
      <c r="E2216" s="11">
        <f t="shared" si="171"/>
        <v>22</v>
      </c>
      <c r="F2216" s="12">
        <f t="shared" si="172"/>
        <v>50</v>
      </c>
      <c r="G2216" s="12" t="str">
        <f t="shared" si="173"/>
        <v>OK</v>
      </c>
      <c r="H2216" s="13">
        <f t="shared" si="174"/>
        <v>6</v>
      </c>
      <c r="I2216" s="14">
        <f t="shared" si="170"/>
        <v>1816.25</v>
      </c>
      <c r="K2216" t="str">
        <f>[1]!revcom(C2216)</f>
        <v>TAGCTC</v>
      </c>
      <c r="L2216">
        <v>6</v>
      </c>
    </row>
    <row r="2217" spans="1:12" ht="15.6" x14ac:dyDescent="0.3">
      <c r="A2217" s="9">
        <v>2206</v>
      </c>
      <c r="B2217" s="1"/>
      <c r="C2217" s="2" t="s">
        <v>2212</v>
      </c>
      <c r="D2217" s="1"/>
      <c r="E2217" s="11">
        <f t="shared" si="171"/>
        <v>20</v>
      </c>
      <c r="F2217" s="12">
        <f t="shared" si="172"/>
        <v>66.666666666666657</v>
      </c>
      <c r="G2217" s="12" t="str">
        <f t="shared" si="173"/>
        <v>Warning</v>
      </c>
      <c r="H2217" s="13">
        <f t="shared" si="174"/>
        <v>6</v>
      </c>
      <c r="I2217" s="14">
        <f t="shared" si="170"/>
        <v>1792.2199999999998</v>
      </c>
      <c r="K2217" t="str">
        <f>[1]!revcom(C2217)</f>
        <v>GAGCTC</v>
      </c>
      <c r="L2217">
        <v>6</v>
      </c>
    </row>
    <row r="2218" spans="1:12" ht="15.6" x14ac:dyDescent="0.3">
      <c r="A2218" s="9">
        <v>2207</v>
      </c>
      <c r="B2218" s="1"/>
      <c r="C2218" s="2" t="s">
        <v>2213</v>
      </c>
      <c r="D2218" s="1"/>
      <c r="E2218" s="11">
        <f t="shared" si="171"/>
        <v>20</v>
      </c>
      <c r="F2218" s="12">
        <f t="shared" si="172"/>
        <v>66.666666666666657</v>
      </c>
      <c r="G2218" s="12" t="str">
        <f t="shared" si="173"/>
        <v>Warning</v>
      </c>
      <c r="H2218" s="13">
        <f t="shared" si="174"/>
        <v>6</v>
      </c>
      <c r="I2218" s="14">
        <f t="shared" si="170"/>
        <v>1832.25</v>
      </c>
      <c r="K2218" t="str">
        <f>[1]!revcom(C2218)</f>
        <v>CAGCTC</v>
      </c>
      <c r="L2218">
        <v>6</v>
      </c>
    </row>
    <row r="2219" spans="1:12" ht="15.6" x14ac:dyDescent="0.3">
      <c r="A2219" s="9">
        <v>2208</v>
      </c>
      <c r="B2219" s="1"/>
      <c r="C2219" s="2" t="s">
        <v>2214</v>
      </c>
      <c r="D2219" s="1"/>
      <c r="E2219" s="11">
        <f t="shared" si="171"/>
        <v>14</v>
      </c>
      <c r="F2219" s="12">
        <f t="shared" si="172"/>
        <v>50</v>
      </c>
      <c r="G2219" s="12" t="str">
        <f t="shared" si="173"/>
        <v>OK</v>
      </c>
      <c r="H2219" s="13">
        <f t="shared" si="174"/>
        <v>6</v>
      </c>
      <c r="I2219" s="14">
        <f t="shared" si="170"/>
        <v>1807.23</v>
      </c>
      <c r="K2219" t="str">
        <f>[1]!revcom(C2219)</f>
        <v>AAGCTC</v>
      </c>
      <c r="L2219">
        <v>5</v>
      </c>
    </row>
    <row r="2220" spans="1:12" ht="15.6" x14ac:dyDescent="0.3">
      <c r="A2220" s="9">
        <v>2209</v>
      </c>
      <c r="B2220" s="1"/>
      <c r="C2220" s="2" t="s">
        <v>2215</v>
      </c>
      <c r="D2220" s="1"/>
      <c r="E2220" s="11">
        <f t="shared" si="171"/>
        <v>30</v>
      </c>
      <c r="F2220" s="12">
        <f t="shared" si="172"/>
        <v>50</v>
      </c>
      <c r="G2220" s="12" t="str">
        <f t="shared" si="173"/>
        <v>OK</v>
      </c>
      <c r="H2220" s="13">
        <f t="shared" si="174"/>
        <v>6</v>
      </c>
      <c r="I2220" s="14">
        <f t="shared" si="170"/>
        <v>1865.3000000000002</v>
      </c>
      <c r="K2220" t="str">
        <f>[1]!revcom(C2220)</f>
        <v>TTCCTC</v>
      </c>
      <c r="L2220">
        <v>7</v>
      </c>
    </row>
    <row r="2221" spans="1:12" ht="15.6" x14ac:dyDescent="0.3">
      <c r="A2221" s="9">
        <v>2210</v>
      </c>
      <c r="B2221" s="1"/>
      <c r="C2221" s="2" t="s">
        <v>2216</v>
      </c>
      <c r="D2221" s="1"/>
      <c r="E2221" s="11">
        <f t="shared" si="171"/>
        <v>28</v>
      </c>
      <c r="F2221" s="12">
        <f t="shared" si="172"/>
        <v>66.666666666666657</v>
      </c>
      <c r="G2221" s="12" t="str">
        <f t="shared" si="173"/>
        <v>Warning</v>
      </c>
      <c r="H2221" s="13">
        <f t="shared" si="174"/>
        <v>6</v>
      </c>
      <c r="I2221" s="14">
        <f t="shared" si="170"/>
        <v>1841.27</v>
      </c>
      <c r="K2221" t="str">
        <f>[1]!revcom(C2221)</f>
        <v>GTCCTC</v>
      </c>
      <c r="L2221">
        <v>7</v>
      </c>
    </row>
    <row r="2222" spans="1:12" ht="15.6" x14ac:dyDescent="0.3">
      <c r="A2222" s="9">
        <v>2211</v>
      </c>
      <c r="B2222" s="1"/>
      <c r="C2222" s="2" t="s">
        <v>2217</v>
      </c>
      <c r="D2222" s="1"/>
      <c r="E2222" s="11">
        <f t="shared" si="171"/>
        <v>28</v>
      </c>
      <c r="F2222" s="12">
        <f t="shared" si="172"/>
        <v>66.666666666666657</v>
      </c>
      <c r="G2222" s="12" t="str">
        <f t="shared" si="173"/>
        <v>Warning</v>
      </c>
      <c r="H2222" s="13">
        <f t="shared" si="174"/>
        <v>6</v>
      </c>
      <c r="I2222" s="14">
        <f t="shared" si="170"/>
        <v>1881.3000000000002</v>
      </c>
      <c r="K2222" t="str">
        <f>[1]!revcom(C2222)</f>
        <v>CTCCTC</v>
      </c>
      <c r="L2222">
        <v>7</v>
      </c>
    </row>
    <row r="2223" spans="1:12" ht="15.6" x14ac:dyDescent="0.3">
      <c r="A2223" s="9">
        <v>2212</v>
      </c>
      <c r="B2223" s="1"/>
      <c r="C2223" s="2" t="s">
        <v>2218</v>
      </c>
      <c r="D2223" s="1"/>
      <c r="E2223" s="11">
        <f t="shared" si="171"/>
        <v>22</v>
      </c>
      <c r="F2223" s="12">
        <f t="shared" si="172"/>
        <v>50</v>
      </c>
      <c r="G2223" s="12" t="str">
        <f t="shared" si="173"/>
        <v>OK</v>
      </c>
      <c r="H2223" s="13">
        <f t="shared" si="174"/>
        <v>6</v>
      </c>
      <c r="I2223" s="14">
        <f t="shared" si="170"/>
        <v>1856.2800000000002</v>
      </c>
      <c r="K2223" t="str">
        <f>[1]!revcom(C2223)</f>
        <v>ATCCTC</v>
      </c>
      <c r="L2223">
        <v>6</v>
      </c>
    </row>
    <row r="2224" spans="1:12" ht="15.6" x14ac:dyDescent="0.3">
      <c r="A2224" s="9">
        <v>2213</v>
      </c>
      <c r="B2224" s="1"/>
      <c r="C2224" s="2" t="s">
        <v>2219</v>
      </c>
      <c r="D2224" s="1"/>
      <c r="E2224" s="11">
        <f t="shared" si="171"/>
        <v>28</v>
      </c>
      <c r="F2224" s="12">
        <f t="shared" si="172"/>
        <v>66.666666666666657</v>
      </c>
      <c r="G2224" s="12" t="str">
        <f t="shared" si="173"/>
        <v>Warning</v>
      </c>
      <c r="H2224" s="13">
        <f t="shared" si="174"/>
        <v>6</v>
      </c>
      <c r="I2224" s="14">
        <f t="shared" si="170"/>
        <v>1841.27</v>
      </c>
      <c r="K2224" t="str">
        <f>[1]!revcom(C2224)</f>
        <v>TGCCTC</v>
      </c>
      <c r="L2224">
        <v>7</v>
      </c>
    </row>
    <row r="2225" spans="1:12" ht="15.6" x14ac:dyDescent="0.3">
      <c r="A2225" s="9">
        <v>2214</v>
      </c>
      <c r="B2225" s="1"/>
      <c r="C2225" s="2" t="s">
        <v>2220</v>
      </c>
      <c r="D2225" s="1"/>
      <c r="E2225" s="11">
        <f t="shared" si="171"/>
        <v>26</v>
      </c>
      <c r="F2225" s="12">
        <f t="shared" si="172"/>
        <v>83.333333333333343</v>
      </c>
      <c r="G2225" s="12" t="str">
        <f t="shared" si="173"/>
        <v>Warning</v>
      </c>
      <c r="H2225" s="13">
        <f t="shared" si="174"/>
        <v>6</v>
      </c>
      <c r="I2225" s="14">
        <f t="shared" si="170"/>
        <v>1817.2400000000002</v>
      </c>
      <c r="K2225" t="str">
        <f>[1]!revcom(C2225)</f>
        <v>GGCCTC</v>
      </c>
      <c r="L2225">
        <v>7</v>
      </c>
    </row>
    <row r="2226" spans="1:12" ht="15.6" x14ac:dyDescent="0.3">
      <c r="A2226" s="9">
        <v>2215</v>
      </c>
      <c r="B2226" s="1"/>
      <c r="C2226" s="2" t="s">
        <v>2221</v>
      </c>
      <c r="D2226" s="1"/>
      <c r="E2226" s="11">
        <f t="shared" si="171"/>
        <v>26</v>
      </c>
      <c r="F2226" s="12">
        <f t="shared" si="172"/>
        <v>83.333333333333343</v>
      </c>
      <c r="G2226" s="12" t="str">
        <f t="shared" si="173"/>
        <v>Warning</v>
      </c>
      <c r="H2226" s="13">
        <f t="shared" si="174"/>
        <v>6</v>
      </c>
      <c r="I2226" s="14">
        <f t="shared" si="170"/>
        <v>1857.27</v>
      </c>
      <c r="K2226" t="str">
        <f>[1]!revcom(C2226)</f>
        <v>CGCCTC</v>
      </c>
      <c r="L2226">
        <v>7</v>
      </c>
    </row>
    <row r="2227" spans="1:12" ht="15.6" x14ac:dyDescent="0.3">
      <c r="A2227" s="9">
        <v>2216</v>
      </c>
      <c r="B2227" s="1"/>
      <c r="C2227" s="2" t="s">
        <v>2222</v>
      </c>
      <c r="D2227" s="1"/>
      <c r="E2227" s="11">
        <f t="shared" si="171"/>
        <v>20</v>
      </c>
      <c r="F2227" s="12">
        <f t="shared" si="172"/>
        <v>66.666666666666657</v>
      </c>
      <c r="G2227" s="12" t="str">
        <f t="shared" si="173"/>
        <v>Warning</v>
      </c>
      <c r="H2227" s="13">
        <f t="shared" si="174"/>
        <v>6</v>
      </c>
      <c r="I2227" s="14">
        <f t="shared" si="170"/>
        <v>1832.25</v>
      </c>
      <c r="K2227" t="str">
        <f>[1]!revcom(C2227)</f>
        <v>AGCCTC</v>
      </c>
      <c r="L2227">
        <v>6</v>
      </c>
    </row>
    <row r="2228" spans="1:12" ht="15.6" x14ac:dyDescent="0.3">
      <c r="A2228" s="9">
        <v>2217</v>
      </c>
      <c r="B2228" s="1"/>
      <c r="C2228" s="2" t="s">
        <v>2223</v>
      </c>
      <c r="D2228" s="1"/>
      <c r="E2228" s="11">
        <f t="shared" si="171"/>
        <v>28</v>
      </c>
      <c r="F2228" s="12">
        <f t="shared" si="172"/>
        <v>66.666666666666657</v>
      </c>
      <c r="G2228" s="12" t="str">
        <f t="shared" si="173"/>
        <v>Warning</v>
      </c>
      <c r="H2228" s="13">
        <f t="shared" si="174"/>
        <v>6</v>
      </c>
      <c r="I2228" s="14">
        <f t="shared" si="170"/>
        <v>1881.3000000000002</v>
      </c>
      <c r="K2228" t="str">
        <f>[1]!revcom(C2228)</f>
        <v>TCCCTC</v>
      </c>
      <c r="L2228">
        <v>7</v>
      </c>
    </row>
    <row r="2229" spans="1:12" ht="15.6" x14ac:dyDescent="0.3">
      <c r="A2229" s="9">
        <v>2218</v>
      </c>
      <c r="B2229" s="1"/>
      <c r="C2229" s="2" t="s">
        <v>2224</v>
      </c>
      <c r="D2229" s="1"/>
      <c r="E2229" s="11">
        <f t="shared" si="171"/>
        <v>26</v>
      </c>
      <c r="F2229" s="12">
        <f t="shared" si="172"/>
        <v>83.333333333333343</v>
      </c>
      <c r="G2229" s="12" t="str">
        <f t="shared" si="173"/>
        <v>Warning</v>
      </c>
      <c r="H2229" s="13">
        <f t="shared" si="174"/>
        <v>6</v>
      </c>
      <c r="I2229" s="14">
        <f t="shared" si="170"/>
        <v>1857.27</v>
      </c>
      <c r="K2229" t="str">
        <f>[1]!revcom(C2229)</f>
        <v>GCCCTC</v>
      </c>
      <c r="L2229">
        <v>7</v>
      </c>
    </row>
    <row r="2230" spans="1:12" ht="15.6" x14ac:dyDescent="0.3">
      <c r="A2230" s="9">
        <v>2219</v>
      </c>
      <c r="B2230" s="1"/>
      <c r="C2230" s="2" t="s">
        <v>2225</v>
      </c>
      <c r="D2230" s="1"/>
      <c r="E2230" s="11">
        <f t="shared" si="171"/>
        <v>26</v>
      </c>
      <c r="F2230" s="12">
        <f t="shared" si="172"/>
        <v>83.333333333333343</v>
      </c>
      <c r="G2230" s="12" t="str">
        <f t="shared" si="173"/>
        <v>Warning</v>
      </c>
      <c r="H2230" s="13">
        <f t="shared" si="174"/>
        <v>6</v>
      </c>
      <c r="I2230" s="14">
        <f t="shared" si="170"/>
        <v>1897.3000000000002</v>
      </c>
      <c r="K2230" t="str">
        <f>[1]!revcom(C2230)</f>
        <v>CCCCTC</v>
      </c>
      <c r="L2230">
        <v>7</v>
      </c>
    </row>
    <row r="2231" spans="1:12" ht="15.6" x14ac:dyDescent="0.3">
      <c r="A2231" s="9">
        <v>2220</v>
      </c>
      <c r="B2231" s="1"/>
      <c r="C2231" s="2" t="s">
        <v>2226</v>
      </c>
      <c r="D2231" s="1"/>
      <c r="E2231" s="11">
        <f t="shared" si="171"/>
        <v>20</v>
      </c>
      <c r="F2231" s="12">
        <f t="shared" si="172"/>
        <v>66.666666666666657</v>
      </c>
      <c r="G2231" s="12" t="str">
        <f t="shared" si="173"/>
        <v>Warning</v>
      </c>
      <c r="H2231" s="13">
        <f t="shared" si="174"/>
        <v>6</v>
      </c>
      <c r="I2231" s="14">
        <f t="shared" si="170"/>
        <v>1872.2800000000002</v>
      </c>
      <c r="K2231" t="str">
        <f>[1]!revcom(C2231)</f>
        <v>ACCCTC</v>
      </c>
      <c r="L2231">
        <v>6</v>
      </c>
    </row>
    <row r="2232" spans="1:12" ht="15.6" x14ac:dyDescent="0.3">
      <c r="A2232" s="9">
        <v>2221</v>
      </c>
      <c r="B2232" s="1"/>
      <c r="C2232" s="2" t="s">
        <v>2227</v>
      </c>
      <c r="D2232" s="1"/>
      <c r="E2232" s="11">
        <f t="shared" si="171"/>
        <v>22</v>
      </c>
      <c r="F2232" s="12">
        <f t="shared" si="172"/>
        <v>50</v>
      </c>
      <c r="G2232" s="12" t="str">
        <f t="shared" si="173"/>
        <v>OK</v>
      </c>
      <c r="H2232" s="13">
        <f t="shared" si="174"/>
        <v>6</v>
      </c>
      <c r="I2232" s="14">
        <f t="shared" si="170"/>
        <v>1856.2800000000002</v>
      </c>
      <c r="K2232" t="str">
        <f>[1]!revcom(C2232)</f>
        <v>TACCTC</v>
      </c>
      <c r="L2232">
        <v>6</v>
      </c>
    </row>
    <row r="2233" spans="1:12" ht="15.6" x14ac:dyDescent="0.3">
      <c r="A2233" s="9">
        <v>2222</v>
      </c>
      <c r="B2233" s="1"/>
      <c r="C2233" s="2" t="s">
        <v>2228</v>
      </c>
      <c r="D2233" s="1"/>
      <c r="E2233" s="11">
        <f t="shared" si="171"/>
        <v>20</v>
      </c>
      <c r="F2233" s="12">
        <f t="shared" si="172"/>
        <v>66.666666666666657</v>
      </c>
      <c r="G2233" s="12" t="str">
        <f t="shared" si="173"/>
        <v>Warning</v>
      </c>
      <c r="H2233" s="13">
        <f t="shared" si="174"/>
        <v>6</v>
      </c>
      <c r="I2233" s="14">
        <f t="shared" si="170"/>
        <v>1832.25</v>
      </c>
      <c r="K2233" t="str">
        <f>[1]!revcom(C2233)</f>
        <v>GACCTC</v>
      </c>
      <c r="L2233">
        <v>6</v>
      </c>
    </row>
    <row r="2234" spans="1:12" ht="15.6" x14ac:dyDescent="0.3">
      <c r="A2234" s="9">
        <v>2223</v>
      </c>
      <c r="B2234" s="1"/>
      <c r="C2234" s="2" t="s">
        <v>2229</v>
      </c>
      <c r="D2234" s="1"/>
      <c r="E2234" s="11">
        <f t="shared" si="171"/>
        <v>20</v>
      </c>
      <c r="F2234" s="12">
        <f t="shared" si="172"/>
        <v>66.666666666666657</v>
      </c>
      <c r="G2234" s="12" t="str">
        <f t="shared" si="173"/>
        <v>Warning</v>
      </c>
      <c r="H2234" s="13">
        <f t="shared" si="174"/>
        <v>6</v>
      </c>
      <c r="I2234" s="14">
        <f t="shared" si="170"/>
        <v>1872.2800000000002</v>
      </c>
      <c r="K2234" t="str">
        <f>[1]!revcom(C2234)</f>
        <v>CACCTC</v>
      </c>
      <c r="L2234">
        <v>6</v>
      </c>
    </row>
    <row r="2235" spans="1:12" ht="15.6" x14ac:dyDescent="0.3">
      <c r="A2235" s="9">
        <v>2224</v>
      </c>
      <c r="B2235" s="1"/>
      <c r="C2235" s="2" t="s">
        <v>2230</v>
      </c>
      <c r="D2235" s="1"/>
      <c r="E2235" s="11">
        <f t="shared" si="171"/>
        <v>14</v>
      </c>
      <c r="F2235" s="12">
        <f t="shared" si="172"/>
        <v>50</v>
      </c>
      <c r="G2235" s="12" t="str">
        <f t="shared" si="173"/>
        <v>OK</v>
      </c>
      <c r="H2235" s="13">
        <f t="shared" si="174"/>
        <v>6</v>
      </c>
      <c r="I2235" s="14">
        <f t="shared" si="170"/>
        <v>1847.2600000000002</v>
      </c>
      <c r="K2235" t="str">
        <f>[1]!revcom(C2235)</f>
        <v>AACCTC</v>
      </c>
      <c r="L2235">
        <v>5</v>
      </c>
    </row>
    <row r="2236" spans="1:12" ht="15.6" x14ac:dyDescent="0.3">
      <c r="A2236" s="9">
        <v>2225</v>
      </c>
      <c r="B2236" s="1"/>
      <c r="C2236" s="2" t="s">
        <v>2231</v>
      </c>
      <c r="D2236" s="1"/>
      <c r="E2236" s="11">
        <f t="shared" si="171"/>
        <v>24</v>
      </c>
      <c r="F2236" s="12">
        <f t="shared" si="172"/>
        <v>33.333333333333329</v>
      </c>
      <c r="G2236" s="12" t="str">
        <f t="shared" si="173"/>
        <v>OK</v>
      </c>
      <c r="H2236" s="13">
        <f t="shared" si="174"/>
        <v>6</v>
      </c>
      <c r="I2236" s="14">
        <f t="shared" si="170"/>
        <v>1840.2800000000002</v>
      </c>
      <c r="K2236" t="str">
        <f>[1]!revcom(C2236)</f>
        <v>TTACTC</v>
      </c>
      <c r="L2236">
        <v>6</v>
      </c>
    </row>
    <row r="2237" spans="1:12" ht="15.6" x14ac:dyDescent="0.3">
      <c r="A2237" s="9">
        <v>2226</v>
      </c>
      <c r="B2237" s="1"/>
      <c r="C2237" s="2" t="s">
        <v>2232</v>
      </c>
      <c r="D2237" s="1"/>
      <c r="E2237" s="11">
        <f t="shared" si="171"/>
        <v>22</v>
      </c>
      <c r="F2237" s="12">
        <f t="shared" si="172"/>
        <v>50</v>
      </c>
      <c r="G2237" s="12" t="str">
        <f t="shared" si="173"/>
        <v>OK</v>
      </c>
      <c r="H2237" s="13">
        <f t="shared" si="174"/>
        <v>6</v>
      </c>
      <c r="I2237" s="14">
        <f t="shared" si="170"/>
        <v>1816.25</v>
      </c>
      <c r="K2237" t="str">
        <f>[1]!revcom(C2237)</f>
        <v>GTACTC</v>
      </c>
      <c r="L2237">
        <v>6</v>
      </c>
    </row>
    <row r="2238" spans="1:12" ht="15.6" x14ac:dyDescent="0.3">
      <c r="A2238" s="9">
        <v>2227</v>
      </c>
      <c r="B2238" s="1"/>
      <c r="C2238" s="2" t="s">
        <v>2233</v>
      </c>
      <c r="D2238" s="1"/>
      <c r="E2238" s="11">
        <f t="shared" si="171"/>
        <v>22</v>
      </c>
      <c r="F2238" s="12">
        <f t="shared" si="172"/>
        <v>50</v>
      </c>
      <c r="G2238" s="12" t="str">
        <f t="shared" si="173"/>
        <v>OK</v>
      </c>
      <c r="H2238" s="13">
        <f t="shared" si="174"/>
        <v>6</v>
      </c>
      <c r="I2238" s="14">
        <f t="shared" si="170"/>
        <v>1856.2800000000002</v>
      </c>
      <c r="K2238" t="str">
        <f>[1]!revcom(C2238)</f>
        <v>CTACTC</v>
      </c>
      <c r="L2238">
        <v>6</v>
      </c>
    </row>
    <row r="2239" spans="1:12" ht="15.6" x14ac:dyDescent="0.3">
      <c r="A2239" s="9">
        <v>2228</v>
      </c>
      <c r="B2239" s="1"/>
      <c r="C2239" s="2" t="s">
        <v>2234</v>
      </c>
      <c r="D2239" s="1"/>
      <c r="E2239" s="11">
        <f t="shared" si="171"/>
        <v>16</v>
      </c>
      <c r="F2239" s="12">
        <f t="shared" si="172"/>
        <v>33.333333333333329</v>
      </c>
      <c r="G2239" s="12" t="str">
        <f t="shared" si="173"/>
        <v>OK</v>
      </c>
      <c r="H2239" s="13">
        <f t="shared" si="174"/>
        <v>6</v>
      </c>
      <c r="I2239" s="14">
        <f t="shared" si="170"/>
        <v>1831.2600000000002</v>
      </c>
      <c r="K2239" t="str">
        <f>[1]!revcom(C2239)</f>
        <v>ATACTC</v>
      </c>
      <c r="L2239">
        <v>5</v>
      </c>
    </row>
    <row r="2240" spans="1:12" ht="15.6" x14ac:dyDescent="0.3">
      <c r="A2240" s="9">
        <v>2229</v>
      </c>
      <c r="B2240" s="1"/>
      <c r="C2240" s="2" t="s">
        <v>2235</v>
      </c>
      <c r="D2240" s="1"/>
      <c r="E2240" s="11">
        <f t="shared" si="171"/>
        <v>22</v>
      </c>
      <c r="F2240" s="12">
        <f t="shared" si="172"/>
        <v>50</v>
      </c>
      <c r="G2240" s="12" t="str">
        <f t="shared" si="173"/>
        <v>OK</v>
      </c>
      <c r="H2240" s="13">
        <f t="shared" si="174"/>
        <v>6</v>
      </c>
      <c r="I2240" s="14">
        <f t="shared" si="170"/>
        <v>1816.25</v>
      </c>
      <c r="K2240" t="str">
        <f>[1]!revcom(C2240)</f>
        <v>TGACTC</v>
      </c>
      <c r="L2240">
        <v>6</v>
      </c>
    </row>
    <row r="2241" spans="1:12" ht="15.6" x14ac:dyDescent="0.3">
      <c r="A2241" s="9">
        <v>2230</v>
      </c>
      <c r="B2241" s="1"/>
      <c r="C2241" s="2" t="s">
        <v>2236</v>
      </c>
      <c r="D2241" s="1"/>
      <c r="E2241" s="11">
        <f t="shared" si="171"/>
        <v>20</v>
      </c>
      <c r="F2241" s="12">
        <f t="shared" si="172"/>
        <v>66.666666666666657</v>
      </c>
      <c r="G2241" s="12" t="str">
        <f t="shared" si="173"/>
        <v>Warning</v>
      </c>
      <c r="H2241" s="13">
        <f t="shared" si="174"/>
        <v>6</v>
      </c>
      <c r="I2241" s="14">
        <f t="shared" si="170"/>
        <v>1792.2199999999998</v>
      </c>
      <c r="K2241" t="str">
        <f>[1]!revcom(C2241)</f>
        <v>GGACTC</v>
      </c>
      <c r="L2241">
        <v>6</v>
      </c>
    </row>
    <row r="2242" spans="1:12" ht="15.6" x14ac:dyDescent="0.3">
      <c r="A2242" s="9">
        <v>2231</v>
      </c>
      <c r="B2242" s="1"/>
      <c r="C2242" s="2" t="s">
        <v>2237</v>
      </c>
      <c r="D2242" s="1"/>
      <c r="E2242" s="11">
        <f t="shared" si="171"/>
        <v>20</v>
      </c>
      <c r="F2242" s="12">
        <f t="shared" si="172"/>
        <v>66.666666666666657</v>
      </c>
      <c r="G2242" s="12" t="str">
        <f t="shared" si="173"/>
        <v>Warning</v>
      </c>
      <c r="H2242" s="13">
        <f t="shared" si="174"/>
        <v>6</v>
      </c>
      <c r="I2242" s="14">
        <f t="shared" si="170"/>
        <v>1832.25</v>
      </c>
      <c r="K2242" t="str">
        <f>[1]!revcom(C2242)</f>
        <v>CGACTC</v>
      </c>
      <c r="L2242">
        <v>6</v>
      </c>
    </row>
    <row r="2243" spans="1:12" ht="15.6" x14ac:dyDescent="0.3">
      <c r="A2243" s="9">
        <v>2232</v>
      </c>
      <c r="B2243" s="1"/>
      <c r="C2243" s="2" t="s">
        <v>2238</v>
      </c>
      <c r="D2243" s="1"/>
      <c r="E2243" s="11">
        <f t="shared" si="171"/>
        <v>14</v>
      </c>
      <c r="F2243" s="12">
        <f t="shared" si="172"/>
        <v>50</v>
      </c>
      <c r="G2243" s="12" t="str">
        <f t="shared" si="173"/>
        <v>OK</v>
      </c>
      <c r="H2243" s="13">
        <f t="shared" si="174"/>
        <v>6</v>
      </c>
      <c r="I2243" s="14">
        <f t="shared" si="170"/>
        <v>1807.23</v>
      </c>
      <c r="K2243" t="str">
        <f>[1]!revcom(C2243)</f>
        <v>AGACTC</v>
      </c>
      <c r="L2243">
        <v>5</v>
      </c>
    </row>
    <row r="2244" spans="1:12" ht="15.6" x14ac:dyDescent="0.3">
      <c r="A2244" s="9">
        <v>2233</v>
      </c>
      <c r="B2244" s="1"/>
      <c r="C2244" s="2" t="s">
        <v>2239</v>
      </c>
      <c r="D2244" s="1"/>
      <c r="E2244" s="11">
        <f t="shared" si="171"/>
        <v>22</v>
      </c>
      <c r="F2244" s="12">
        <f t="shared" si="172"/>
        <v>50</v>
      </c>
      <c r="G2244" s="12" t="str">
        <f t="shared" si="173"/>
        <v>OK</v>
      </c>
      <c r="H2244" s="13">
        <f t="shared" si="174"/>
        <v>6</v>
      </c>
      <c r="I2244" s="14">
        <f t="shared" si="170"/>
        <v>1856.2800000000002</v>
      </c>
      <c r="K2244" t="str">
        <f>[1]!revcom(C2244)</f>
        <v>TCACTC</v>
      </c>
      <c r="L2244">
        <v>6</v>
      </c>
    </row>
    <row r="2245" spans="1:12" ht="15.6" x14ac:dyDescent="0.3">
      <c r="A2245" s="9">
        <v>2234</v>
      </c>
      <c r="B2245" s="1"/>
      <c r="C2245" s="2" t="s">
        <v>2240</v>
      </c>
      <c r="D2245" s="1"/>
      <c r="E2245" s="11">
        <f t="shared" si="171"/>
        <v>20</v>
      </c>
      <c r="F2245" s="12">
        <f t="shared" si="172"/>
        <v>66.666666666666657</v>
      </c>
      <c r="G2245" s="12" t="str">
        <f t="shared" si="173"/>
        <v>Warning</v>
      </c>
      <c r="H2245" s="13">
        <f t="shared" si="174"/>
        <v>6</v>
      </c>
      <c r="I2245" s="14">
        <f t="shared" si="170"/>
        <v>1832.25</v>
      </c>
      <c r="K2245" t="str">
        <f>[1]!revcom(C2245)</f>
        <v>GCACTC</v>
      </c>
      <c r="L2245">
        <v>6</v>
      </c>
    </row>
    <row r="2246" spans="1:12" ht="15.6" x14ac:dyDescent="0.3">
      <c r="A2246" s="9">
        <v>2235</v>
      </c>
      <c r="B2246" s="1"/>
      <c r="C2246" s="2" t="s">
        <v>2241</v>
      </c>
      <c r="D2246" s="1"/>
      <c r="E2246" s="11">
        <f t="shared" si="171"/>
        <v>20</v>
      </c>
      <c r="F2246" s="12">
        <f t="shared" si="172"/>
        <v>66.666666666666657</v>
      </c>
      <c r="G2246" s="12" t="str">
        <f t="shared" si="173"/>
        <v>Warning</v>
      </c>
      <c r="H2246" s="13">
        <f t="shared" si="174"/>
        <v>6</v>
      </c>
      <c r="I2246" s="14">
        <f t="shared" si="170"/>
        <v>1872.2800000000002</v>
      </c>
      <c r="K2246" t="str">
        <f>[1]!revcom(C2246)</f>
        <v>CCACTC</v>
      </c>
      <c r="L2246">
        <v>6</v>
      </c>
    </row>
    <row r="2247" spans="1:12" ht="15.6" x14ac:dyDescent="0.3">
      <c r="A2247" s="9">
        <v>2236</v>
      </c>
      <c r="B2247" s="1"/>
      <c r="C2247" s="2" t="s">
        <v>2242</v>
      </c>
      <c r="D2247" s="1"/>
      <c r="E2247" s="11">
        <f t="shared" si="171"/>
        <v>14</v>
      </c>
      <c r="F2247" s="12">
        <f t="shared" si="172"/>
        <v>50</v>
      </c>
      <c r="G2247" s="12" t="str">
        <f t="shared" si="173"/>
        <v>OK</v>
      </c>
      <c r="H2247" s="13">
        <f t="shared" si="174"/>
        <v>6</v>
      </c>
      <c r="I2247" s="14">
        <f t="shared" si="170"/>
        <v>1847.2600000000002</v>
      </c>
      <c r="K2247" t="str">
        <f>[1]!revcom(C2247)</f>
        <v>ACACTC</v>
      </c>
      <c r="L2247">
        <v>5</v>
      </c>
    </row>
    <row r="2248" spans="1:12" ht="15.6" x14ac:dyDescent="0.3">
      <c r="A2248" s="9">
        <v>2237</v>
      </c>
      <c r="B2248" s="1"/>
      <c r="C2248" s="2" t="s">
        <v>2243</v>
      </c>
      <c r="D2248" s="1"/>
      <c r="E2248" s="11">
        <f t="shared" si="171"/>
        <v>16</v>
      </c>
      <c r="F2248" s="12">
        <f t="shared" si="172"/>
        <v>33.333333333333329</v>
      </c>
      <c r="G2248" s="12" t="str">
        <f t="shared" si="173"/>
        <v>OK</v>
      </c>
      <c r="H2248" s="13">
        <f t="shared" si="174"/>
        <v>6</v>
      </c>
      <c r="I2248" s="14">
        <f t="shared" si="170"/>
        <v>1831.2600000000002</v>
      </c>
      <c r="K2248" t="str">
        <f>[1]!revcom(C2248)</f>
        <v>TAACTC</v>
      </c>
      <c r="L2248">
        <v>5</v>
      </c>
    </row>
    <row r="2249" spans="1:12" ht="15.6" x14ac:dyDescent="0.3">
      <c r="A2249" s="9">
        <v>2238</v>
      </c>
      <c r="B2249" s="1"/>
      <c r="C2249" s="2" t="s">
        <v>2244</v>
      </c>
      <c r="D2249" s="1"/>
      <c r="E2249" s="11">
        <f t="shared" si="171"/>
        <v>14</v>
      </c>
      <c r="F2249" s="12">
        <f t="shared" si="172"/>
        <v>50</v>
      </c>
      <c r="G2249" s="12" t="str">
        <f t="shared" si="173"/>
        <v>OK</v>
      </c>
      <c r="H2249" s="13">
        <f t="shared" si="174"/>
        <v>6</v>
      </c>
      <c r="I2249" s="14">
        <f t="shared" si="170"/>
        <v>1807.23</v>
      </c>
      <c r="K2249" t="str">
        <f>[1]!revcom(C2249)</f>
        <v>GAACTC</v>
      </c>
      <c r="L2249">
        <v>5</v>
      </c>
    </row>
    <row r="2250" spans="1:12" ht="15.6" x14ac:dyDescent="0.3">
      <c r="A2250" s="9">
        <v>2239</v>
      </c>
      <c r="B2250" s="1"/>
      <c r="C2250" s="2" t="s">
        <v>2245</v>
      </c>
      <c r="D2250" s="1"/>
      <c r="E2250" s="11">
        <f t="shared" si="171"/>
        <v>14</v>
      </c>
      <c r="F2250" s="12">
        <f t="shared" si="172"/>
        <v>50</v>
      </c>
      <c r="G2250" s="12" t="str">
        <f t="shared" si="173"/>
        <v>OK</v>
      </c>
      <c r="H2250" s="13">
        <f t="shared" si="174"/>
        <v>6</v>
      </c>
      <c r="I2250" s="14">
        <f t="shared" si="170"/>
        <v>1847.2600000000002</v>
      </c>
      <c r="K2250" t="str">
        <f>[1]!revcom(C2250)</f>
        <v>CAACTC</v>
      </c>
      <c r="L2250">
        <v>5</v>
      </c>
    </row>
    <row r="2251" spans="1:12" ht="15.6" x14ac:dyDescent="0.3">
      <c r="A2251" s="9">
        <v>2240</v>
      </c>
      <c r="B2251" s="1"/>
      <c r="C2251" s="2" t="s">
        <v>2246</v>
      </c>
      <c r="D2251" s="1"/>
      <c r="E2251" s="11">
        <f t="shared" si="171"/>
        <v>8</v>
      </c>
      <c r="F2251" s="12">
        <f t="shared" si="172"/>
        <v>33.333333333333329</v>
      </c>
      <c r="G2251" s="12" t="str">
        <f t="shared" si="173"/>
        <v>OK</v>
      </c>
      <c r="H2251" s="13">
        <f t="shared" si="174"/>
        <v>6</v>
      </c>
      <c r="I2251" s="14">
        <f t="shared" si="170"/>
        <v>1822.2400000000002</v>
      </c>
      <c r="K2251" t="str">
        <f>[1]!revcom(C2251)</f>
        <v>AAACTC</v>
      </c>
      <c r="L2251">
        <v>4</v>
      </c>
    </row>
    <row r="2252" spans="1:12" ht="15.6" x14ac:dyDescent="0.3">
      <c r="A2252" s="9">
        <v>2241</v>
      </c>
      <c r="B2252" s="1"/>
      <c r="C2252" s="2" t="s">
        <v>2247</v>
      </c>
      <c r="D2252" s="1"/>
      <c r="E2252" s="11">
        <f t="shared" si="171"/>
        <v>26</v>
      </c>
      <c r="F2252" s="12">
        <f t="shared" si="172"/>
        <v>16.666666666666664</v>
      </c>
      <c r="G2252" s="12" t="str">
        <f t="shared" si="173"/>
        <v>OK</v>
      </c>
      <c r="H2252" s="13">
        <f t="shared" si="174"/>
        <v>6</v>
      </c>
      <c r="I2252" s="14">
        <f t="shared" si="170"/>
        <v>1824.2799999999997</v>
      </c>
      <c r="K2252" t="str">
        <f>[1]!revcom(C2252)</f>
        <v>TTTATC</v>
      </c>
      <c r="L2252">
        <v>7</v>
      </c>
    </row>
    <row r="2253" spans="1:12" ht="15.6" x14ac:dyDescent="0.3">
      <c r="A2253" s="9">
        <v>2242</v>
      </c>
      <c r="B2253" s="1"/>
      <c r="C2253" s="2" t="s">
        <v>2248</v>
      </c>
      <c r="D2253" s="1"/>
      <c r="E2253" s="11">
        <f t="shared" si="171"/>
        <v>24</v>
      </c>
      <c r="F2253" s="12">
        <f t="shared" si="172"/>
        <v>33.333333333333329</v>
      </c>
      <c r="G2253" s="12" t="str">
        <f t="shared" si="173"/>
        <v>OK</v>
      </c>
      <c r="H2253" s="13">
        <f t="shared" si="174"/>
        <v>6</v>
      </c>
      <c r="I2253" s="14">
        <f t="shared" ref="I2253:I2316" si="175">((LEN(C2253)-(LEN(SUBSTITUTE(C2253,"A",""))))*249.23)+((LEN(C2253)-(LEN(SUBSTITUTE(C2253,"T",""))))*240.21)+((LEN(C2253)-(LEN(SUBSTITUTE(C2253,"C",""))))*225.2)+((LEN(C2253)-(LEN(SUBSTITUTE(C2253,"G",""))))*265.23)+(63.98*(LEN(C2253)-1)+(2.02))</f>
        <v>1800.25</v>
      </c>
      <c r="K2253" t="str">
        <f>[1]!revcom(C2253)</f>
        <v>GTTATC</v>
      </c>
      <c r="L2253">
        <v>6</v>
      </c>
    </row>
    <row r="2254" spans="1:12" ht="15.6" x14ac:dyDescent="0.3">
      <c r="A2254" s="9">
        <v>2243</v>
      </c>
      <c r="B2254" s="1"/>
      <c r="C2254" s="2" t="s">
        <v>2249</v>
      </c>
      <c r="D2254" s="1"/>
      <c r="E2254" s="11">
        <f t="shared" ref="E2254:E2317" si="176">IF(LEN(C2254)&gt;15,(69.3+((41*((LEN(C2254)-(((LEN(C2254)-(LEN(SUBSTITUTE(C2254,"A",""))))+((LEN(C2254)-(LEN(SUBSTITUTE(C2254,"T","")))))))))/(LEN(C2254)))-(650/(LEN(C2254))))),(2*((LEN(C2254)-(((LEN(C2254)-(LEN(SUBSTITUTE(C2254,"C",""))))+((LEN(C2254)-(LEN(SUBSTITUTE(C2254,"G",""))))))))))+(4*((LEN(C2254)-(((LEN(C2254)-(LEN(SUBSTITUTE(C2254,"T",""))))+((LEN(C2254)-(LEN(SUBSTITUTE(C2254,"T","")))))))))))</f>
        <v>24</v>
      </c>
      <c r="F2254" s="12">
        <f t="shared" ref="F2254:F2317" si="177">((LEN(C2254)- LEN(SUBSTITUTE(C2254,"G","")))+(LEN(C2254)- LEN(SUBSTITUTE(C2254,"C",""))) )/LEN(C2254)*100</f>
        <v>33.333333333333329</v>
      </c>
      <c r="G2254" s="12" t="str">
        <f t="shared" ref="G2254:G2317" si="178">IF((-5+((LEN(SUBSTITUTE(RIGHT(C2254,5),"C","")))+((LEN(SUBSTITUTE(RIGHT(C2254,5),"G",""))))))&gt;=3,"OK","Warning")</f>
        <v>OK</v>
      </c>
      <c r="H2254" s="13">
        <f t="shared" ref="H2254:H2317" si="179">LEN(C2254)</f>
        <v>6</v>
      </c>
      <c r="I2254" s="14">
        <f t="shared" si="175"/>
        <v>1840.2800000000002</v>
      </c>
      <c r="K2254" t="str">
        <f>[1]!revcom(C2254)</f>
        <v>CTTATC</v>
      </c>
      <c r="L2254">
        <v>6</v>
      </c>
    </row>
    <row r="2255" spans="1:12" ht="15.6" x14ac:dyDescent="0.3">
      <c r="A2255" s="9">
        <v>2244</v>
      </c>
      <c r="B2255" s="1"/>
      <c r="C2255" s="2" t="s">
        <v>2250</v>
      </c>
      <c r="D2255" s="1"/>
      <c r="E2255" s="11">
        <f t="shared" si="176"/>
        <v>18</v>
      </c>
      <c r="F2255" s="12">
        <f t="shared" si="177"/>
        <v>16.666666666666664</v>
      </c>
      <c r="G2255" s="12" t="str">
        <f t="shared" si="178"/>
        <v>OK</v>
      </c>
      <c r="H2255" s="13">
        <f t="shared" si="179"/>
        <v>6</v>
      </c>
      <c r="I2255" s="14">
        <f t="shared" si="175"/>
        <v>1815.2599999999998</v>
      </c>
      <c r="K2255" t="str">
        <f>[1]!revcom(C2255)</f>
        <v>ATTATC</v>
      </c>
      <c r="L2255">
        <v>5</v>
      </c>
    </row>
    <row r="2256" spans="1:12" ht="15.6" x14ac:dyDescent="0.3">
      <c r="A2256" s="9">
        <v>2245</v>
      </c>
      <c r="B2256" s="1"/>
      <c r="C2256" s="2" t="s">
        <v>2251</v>
      </c>
      <c r="D2256" s="1"/>
      <c r="E2256" s="11">
        <f t="shared" si="176"/>
        <v>24</v>
      </c>
      <c r="F2256" s="12">
        <f t="shared" si="177"/>
        <v>33.333333333333329</v>
      </c>
      <c r="G2256" s="12" t="str">
        <f t="shared" si="178"/>
        <v>OK</v>
      </c>
      <c r="H2256" s="13">
        <f t="shared" si="179"/>
        <v>6</v>
      </c>
      <c r="I2256" s="14">
        <f t="shared" si="175"/>
        <v>1800.25</v>
      </c>
      <c r="K2256" t="str">
        <f>[1]!revcom(C2256)</f>
        <v>TGTATC</v>
      </c>
      <c r="L2256">
        <v>6</v>
      </c>
    </row>
    <row r="2257" spans="1:12" ht="15.6" x14ac:dyDescent="0.3">
      <c r="A2257" s="9">
        <v>2246</v>
      </c>
      <c r="B2257" s="1"/>
      <c r="C2257" s="2" t="s">
        <v>2252</v>
      </c>
      <c r="D2257" s="1"/>
      <c r="E2257" s="11">
        <f t="shared" si="176"/>
        <v>22</v>
      </c>
      <c r="F2257" s="12">
        <f t="shared" si="177"/>
        <v>50</v>
      </c>
      <c r="G2257" s="12" t="str">
        <f t="shared" si="178"/>
        <v>OK</v>
      </c>
      <c r="H2257" s="13">
        <f t="shared" si="179"/>
        <v>6</v>
      </c>
      <c r="I2257" s="14">
        <f t="shared" si="175"/>
        <v>1776.2199999999998</v>
      </c>
      <c r="K2257" t="str">
        <f>[1]!revcom(C2257)</f>
        <v>GGTATC</v>
      </c>
      <c r="L2257">
        <v>6</v>
      </c>
    </row>
    <row r="2258" spans="1:12" ht="15.6" x14ac:dyDescent="0.3">
      <c r="A2258" s="9">
        <v>2247</v>
      </c>
      <c r="B2258" s="1"/>
      <c r="C2258" s="2" t="s">
        <v>2253</v>
      </c>
      <c r="D2258" s="1"/>
      <c r="E2258" s="11">
        <f t="shared" si="176"/>
        <v>22</v>
      </c>
      <c r="F2258" s="12">
        <f t="shared" si="177"/>
        <v>50</v>
      </c>
      <c r="G2258" s="12" t="str">
        <f t="shared" si="178"/>
        <v>OK</v>
      </c>
      <c r="H2258" s="13">
        <f t="shared" si="179"/>
        <v>6</v>
      </c>
      <c r="I2258" s="14">
        <f t="shared" si="175"/>
        <v>1816.25</v>
      </c>
      <c r="K2258" t="str">
        <f>[1]!revcom(C2258)</f>
        <v>CGTATC</v>
      </c>
      <c r="L2258">
        <v>6</v>
      </c>
    </row>
    <row r="2259" spans="1:12" ht="15.6" x14ac:dyDescent="0.3">
      <c r="A2259" s="9">
        <v>2248</v>
      </c>
      <c r="B2259" s="1"/>
      <c r="C2259" s="2" t="s">
        <v>2254</v>
      </c>
      <c r="D2259" s="1"/>
      <c r="E2259" s="11">
        <f t="shared" si="176"/>
        <v>16</v>
      </c>
      <c r="F2259" s="12">
        <f t="shared" si="177"/>
        <v>33.333333333333329</v>
      </c>
      <c r="G2259" s="12" t="str">
        <f t="shared" si="178"/>
        <v>OK</v>
      </c>
      <c r="H2259" s="13">
        <f t="shared" si="179"/>
        <v>6</v>
      </c>
      <c r="I2259" s="14">
        <f t="shared" si="175"/>
        <v>1791.23</v>
      </c>
      <c r="K2259" t="str">
        <f>[1]!revcom(C2259)</f>
        <v>AGTATC</v>
      </c>
      <c r="L2259">
        <v>5</v>
      </c>
    </row>
    <row r="2260" spans="1:12" ht="15.6" x14ac:dyDescent="0.3">
      <c r="A2260" s="9">
        <v>2249</v>
      </c>
      <c r="B2260" s="1"/>
      <c r="C2260" s="2" t="s">
        <v>2255</v>
      </c>
      <c r="D2260" s="1"/>
      <c r="E2260" s="11">
        <f t="shared" si="176"/>
        <v>24</v>
      </c>
      <c r="F2260" s="12">
        <f t="shared" si="177"/>
        <v>33.333333333333329</v>
      </c>
      <c r="G2260" s="12" t="str">
        <f t="shared" si="178"/>
        <v>OK</v>
      </c>
      <c r="H2260" s="13">
        <f t="shared" si="179"/>
        <v>6</v>
      </c>
      <c r="I2260" s="14">
        <f t="shared" si="175"/>
        <v>1840.2800000000002</v>
      </c>
      <c r="K2260" t="str">
        <f>[1]!revcom(C2260)</f>
        <v>TCTATC</v>
      </c>
      <c r="L2260">
        <v>6</v>
      </c>
    </row>
    <row r="2261" spans="1:12" ht="15.6" x14ac:dyDescent="0.3">
      <c r="A2261" s="9">
        <v>2250</v>
      </c>
      <c r="B2261" s="1"/>
      <c r="C2261" s="2" t="s">
        <v>2256</v>
      </c>
      <c r="D2261" s="1"/>
      <c r="E2261" s="11">
        <f t="shared" si="176"/>
        <v>22</v>
      </c>
      <c r="F2261" s="12">
        <f t="shared" si="177"/>
        <v>50</v>
      </c>
      <c r="G2261" s="12" t="str">
        <f t="shared" si="178"/>
        <v>OK</v>
      </c>
      <c r="H2261" s="13">
        <f t="shared" si="179"/>
        <v>6</v>
      </c>
      <c r="I2261" s="14">
        <f t="shared" si="175"/>
        <v>1816.25</v>
      </c>
      <c r="K2261" t="str">
        <f>[1]!revcom(C2261)</f>
        <v>GCTATC</v>
      </c>
      <c r="L2261">
        <v>6</v>
      </c>
    </row>
    <row r="2262" spans="1:12" ht="15.6" x14ac:dyDescent="0.3">
      <c r="A2262" s="9">
        <v>2251</v>
      </c>
      <c r="B2262" s="1"/>
      <c r="C2262" s="2" t="s">
        <v>2257</v>
      </c>
      <c r="D2262" s="1"/>
      <c r="E2262" s="11">
        <f t="shared" si="176"/>
        <v>22</v>
      </c>
      <c r="F2262" s="12">
        <f t="shared" si="177"/>
        <v>50</v>
      </c>
      <c r="G2262" s="12" t="str">
        <f t="shared" si="178"/>
        <v>OK</v>
      </c>
      <c r="H2262" s="13">
        <f t="shared" si="179"/>
        <v>6</v>
      </c>
      <c r="I2262" s="14">
        <f t="shared" si="175"/>
        <v>1856.2800000000002</v>
      </c>
      <c r="K2262" t="str">
        <f>[1]!revcom(C2262)</f>
        <v>CCTATC</v>
      </c>
      <c r="L2262">
        <v>6</v>
      </c>
    </row>
    <row r="2263" spans="1:12" ht="15.6" x14ac:dyDescent="0.3">
      <c r="A2263" s="9">
        <v>2252</v>
      </c>
      <c r="B2263" s="1"/>
      <c r="C2263" s="2" t="s">
        <v>2258</v>
      </c>
      <c r="D2263" s="1"/>
      <c r="E2263" s="11">
        <f t="shared" si="176"/>
        <v>16</v>
      </c>
      <c r="F2263" s="12">
        <f t="shared" si="177"/>
        <v>33.333333333333329</v>
      </c>
      <c r="G2263" s="12" t="str">
        <f t="shared" si="178"/>
        <v>OK</v>
      </c>
      <c r="H2263" s="13">
        <f t="shared" si="179"/>
        <v>6</v>
      </c>
      <c r="I2263" s="14">
        <f t="shared" si="175"/>
        <v>1831.2600000000002</v>
      </c>
      <c r="K2263" t="str">
        <f>[1]!revcom(C2263)</f>
        <v>ACTATC</v>
      </c>
      <c r="L2263">
        <v>5</v>
      </c>
    </row>
    <row r="2264" spans="1:12" ht="15.6" x14ac:dyDescent="0.3">
      <c r="A2264" s="9">
        <v>2253</v>
      </c>
      <c r="B2264" s="1"/>
      <c r="C2264" s="2" t="s">
        <v>2259</v>
      </c>
      <c r="D2264" s="1"/>
      <c r="E2264" s="11">
        <f t="shared" si="176"/>
        <v>18</v>
      </c>
      <c r="F2264" s="12">
        <f t="shared" si="177"/>
        <v>16.666666666666664</v>
      </c>
      <c r="G2264" s="12" t="str">
        <f t="shared" si="178"/>
        <v>OK</v>
      </c>
      <c r="H2264" s="13">
        <f t="shared" si="179"/>
        <v>6</v>
      </c>
      <c r="I2264" s="14">
        <f t="shared" si="175"/>
        <v>1815.2599999999998</v>
      </c>
      <c r="K2264" t="str">
        <f>[1]!revcom(C2264)</f>
        <v>TATATC</v>
      </c>
      <c r="L2264">
        <v>5</v>
      </c>
    </row>
    <row r="2265" spans="1:12" ht="15.6" x14ac:dyDescent="0.3">
      <c r="A2265" s="9">
        <v>2254</v>
      </c>
      <c r="B2265" s="1"/>
      <c r="C2265" s="2" t="s">
        <v>2260</v>
      </c>
      <c r="D2265" s="1"/>
      <c r="E2265" s="11">
        <f t="shared" si="176"/>
        <v>16</v>
      </c>
      <c r="F2265" s="12">
        <f t="shared" si="177"/>
        <v>33.333333333333329</v>
      </c>
      <c r="G2265" s="12" t="str">
        <f t="shared" si="178"/>
        <v>OK</v>
      </c>
      <c r="H2265" s="13">
        <f t="shared" si="179"/>
        <v>6</v>
      </c>
      <c r="I2265" s="14">
        <f t="shared" si="175"/>
        <v>1791.23</v>
      </c>
      <c r="K2265" t="str">
        <f>[1]!revcom(C2265)</f>
        <v>GATATC</v>
      </c>
      <c r="L2265">
        <v>5</v>
      </c>
    </row>
    <row r="2266" spans="1:12" ht="15.6" x14ac:dyDescent="0.3">
      <c r="A2266" s="9">
        <v>2255</v>
      </c>
      <c r="B2266" s="1"/>
      <c r="C2266" s="2" t="s">
        <v>2261</v>
      </c>
      <c r="D2266" s="1"/>
      <c r="E2266" s="11">
        <f t="shared" si="176"/>
        <v>16</v>
      </c>
      <c r="F2266" s="12">
        <f t="shared" si="177"/>
        <v>33.333333333333329</v>
      </c>
      <c r="G2266" s="12" t="str">
        <f t="shared" si="178"/>
        <v>OK</v>
      </c>
      <c r="H2266" s="13">
        <f t="shared" si="179"/>
        <v>6</v>
      </c>
      <c r="I2266" s="14">
        <f t="shared" si="175"/>
        <v>1831.2600000000002</v>
      </c>
      <c r="K2266" t="str">
        <f>[1]!revcom(C2266)</f>
        <v>CATATC</v>
      </c>
      <c r="L2266">
        <v>5</v>
      </c>
    </row>
    <row r="2267" spans="1:12" ht="15.6" x14ac:dyDescent="0.3">
      <c r="A2267" s="9">
        <v>2256</v>
      </c>
      <c r="B2267" s="1"/>
      <c r="C2267" s="2" t="s">
        <v>2262</v>
      </c>
      <c r="D2267" s="1"/>
      <c r="E2267" s="11">
        <f t="shared" si="176"/>
        <v>10</v>
      </c>
      <c r="F2267" s="12">
        <f t="shared" si="177"/>
        <v>16.666666666666664</v>
      </c>
      <c r="G2267" s="12" t="str">
        <f t="shared" si="178"/>
        <v>OK</v>
      </c>
      <c r="H2267" s="13">
        <f t="shared" si="179"/>
        <v>6</v>
      </c>
      <c r="I2267" s="14">
        <f t="shared" si="175"/>
        <v>1806.2399999999998</v>
      </c>
      <c r="K2267" t="str">
        <f>[1]!revcom(C2267)</f>
        <v>AATATC</v>
      </c>
      <c r="L2267">
        <v>4</v>
      </c>
    </row>
    <row r="2268" spans="1:12" ht="15.6" x14ac:dyDescent="0.3">
      <c r="A2268" s="9">
        <v>2257</v>
      </c>
      <c r="B2268" s="1"/>
      <c r="C2268" s="2" t="s">
        <v>2263</v>
      </c>
      <c r="D2268" s="1"/>
      <c r="E2268" s="11">
        <f t="shared" si="176"/>
        <v>24</v>
      </c>
      <c r="F2268" s="12">
        <f t="shared" si="177"/>
        <v>33.333333333333329</v>
      </c>
      <c r="G2268" s="12" t="str">
        <f t="shared" si="178"/>
        <v>OK</v>
      </c>
      <c r="H2268" s="13">
        <f t="shared" si="179"/>
        <v>6</v>
      </c>
      <c r="I2268" s="14">
        <f t="shared" si="175"/>
        <v>1800.25</v>
      </c>
      <c r="K2268" t="str">
        <f>[1]!revcom(C2268)</f>
        <v>TTGATC</v>
      </c>
      <c r="L2268">
        <v>6</v>
      </c>
    </row>
    <row r="2269" spans="1:12" ht="15.6" x14ac:dyDescent="0.3">
      <c r="A2269" s="9">
        <v>2258</v>
      </c>
      <c r="B2269" s="1"/>
      <c r="C2269" s="2" t="s">
        <v>2264</v>
      </c>
      <c r="D2269" s="1"/>
      <c r="E2269" s="11">
        <f t="shared" si="176"/>
        <v>22</v>
      </c>
      <c r="F2269" s="12">
        <f t="shared" si="177"/>
        <v>50</v>
      </c>
      <c r="G2269" s="12" t="str">
        <f t="shared" si="178"/>
        <v>OK</v>
      </c>
      <c r="H2269" s="13">
        <f t="shared" si="179"/>
        <v>6</v>
      </c>
      <c r="I2269" s="14">
        <f t="shared" si="175"/>
        <v>1776.2199999999998</v>
      </c>
      <c r="K2269" t="str">
        <f>[1]!revcom(C2269)</f>
        <v>GTGATC</v>
      </c>
      <c r="L2269">
        <v>6</v>
      </c>
    </row>
    <row r="2270" spans="1:12" ht="15.6" x14ac:dyDescent="0.3">
      <c r="A2270" s="9">
        <v>2259</v>
      </c>
      <c r="B2270" s="1"/>
      <c r="C2270" s="2" t="s">
        <v>2265</v>
      </c>
      <c r="D2270" s="1"/>
      <c r="E2270" s="11">
        <f t="shared" si="176"/>
        <v>22</v>
      </c>
      <c r="F2270" s="12">
        <f t="shared" si="177"/>
        <v>50</v>
      </c>
      <c r="G2270" s="12" t="str">
        <f t="shared" si="178"/>
        <v>OK</v>
      </c>
      <c r="H2270" s="13">
        <f t="shared" si="179"/>
        <v>6</v>
      </c>
      <c r="I2270" s="14">
        <f t="shared" si="175"/>
        <v>1816.25</v>
      </c>
      <c r="K2270" t="str">
        <f>[1]!revcom(C2270)</f>
        <v>CTGATC</v>
      </c>
      <c r="L2270">
        <v>6</v>
      </c>
    </row>
    <row r="2271" spans="1:12" ht="15.6" x14ac:dyDescent="0.3">
      <c r="A2271" s="9">
        <v>2260</v>
      </c>
      <c r="B2271" s="1"/>
      <c r="C2271" s="2" t="s">
        <v>2266</v>
      </c>
      <c r="D2271" s="1"/>
      <c r="E2271" s="11">
        <f t="shared" si="176"/>
        <v>16</v>
      </c>
      <c r="F2271" s="12">
        <f t="shared" si="177"/>
        <v>33.333333333333329</v>
      </c>
      <c r="G2271" s="12" t="str">
        <f t="shared" si="178"/>
        <v>OK</v>
      </c>
      <c r="H2271" s="13">
        <f t="shared" si="179"/>
        <v>6</v>
      </c>
      <c r="I2271" s="14">
        <f t="shared" si="175"/>
        <v>1791.23</v>
      </c>
      <c r="K2271" t="str">
        <f>[1]!revcom(C2271)</f>
        <v>ATGATC</v>
      </c>
      <c r="L2271">
        <v>5</v>
      </c>
    </row>
    <row r="2272" spans="1:12" ht="15.6" x14ac:dyDescent="0.3">
      <c r="A2272" s="9">
        <v>2261</v>
      </c>
      <c r="B2272" s="1"/>
      <c r="C2272" s="2" t="s">
        <v>2267</v>
      </c>
      <c r="D2272" s="1"/>
      <c r="E2272" s="11">
        <f t="shared" si="176"/>
        <v>22</v>
      </c>
      <c r="F2272" s="12">
        <f t="shared" si="177"/>
        <v>50</v>
      </c>
      <c r="G2272" s="12" t="str">
        <f t="shared" si="178"/>
        <v>OK</v>
      </c>
      <c r="H2272" s="13">
        <f t="shared" si="179"/>
        <v>6</v>
      </c>
      <c r="I2272" s="14">
        <f t="shared" si="175"/>
        <v>1776.2199999999998</v>
      </c>
      <c r="K2272" t="str">
        <f>[1]!revcom(C2272)</f>
        <v>TGGATC</v>
      </c>
      <c r="L2272">
        <v>6</v>
      </c>
    </row>
    <row r="2273" spans="1:12" ht="15.6" x14ac:dyDescent="0.3">
      <c r="A2273" s="9">
        <v>2262</v>
      </c>
      <c r="B2273" s="1"/>
      <c r="C2273" s="2" t="s">
        <v>2268</v>
      </c>
      <c r="D2273" s="1"/>
      <c r="E2273" s="11">
        <f t="shared" si="176"/>
        <v>20</v>
      </c>
      <c r="F2273" s="12">
        <f t="shared" si="177"/>
        <v>66.666666666666657</v>
      </c>
      <c r="G2273" s="12" t="str">
        <f t="shared" si="178"/>
        <v>Warning</v>
      </c>
      <c r="H2273" s="13">
        <f t="shared" si="179"/>
        <v>6</v>
      </c>
      <c r="I2273" s="14">
        <f t="shared" si="175"/>
        <v>1752.19</v>
      </c>
      <c r="K2273" t="str">
        <f>[1]!revcom(C2273)</f>
        <v>GGGATC</v>
      </c>
      <c r="L2273">
        <v>6</v>
      </c>
    </row>
    <row r="2274" spans="1:12" ht="15.6" x14ac:dyDescent="0.3">
      <c r="A2274" s="9">
        <v>2263</v>
      </c>
      <c r="B2274" s="1"/>
      <c r="C2274" s="2" t="s">
        <v>2269</v>
      </c>
      <c r="D2274" s="1"/>
      <c r="E2274" s="11">
        <f t="shared" si="176"/>
        <v>20</v>
      </c>
      <c r="F2274" s="12">
        <f t="shared" si="177"/>
        <v>66.666666666666657</v>
      </c>
      <c r="G2274" s="12" t="str">
        <f t="shared" si="178"/>
        <v>Warning</v>
      </c>
      <c r="H2274" s="13">
        <f t="shared" si="179"/>
        <v>6</v>
      </c>
      <c r="I2274" s="14">
        <f t="shared" si="175"/>
        <v>1792.2199999999998</v>
      </c>
      <c r="K2274" t="str">
        <f>[1]!revcom(C2274)</f>
        <v>CGGATC</v>
      </c>
      <c r="L2274">
        <v>6</v>
      </c>
    </row>
    <row r="2275" spans="1:12" ht="15.6" x14ac:dyDescent="0.3">
      <c r="A2275" s="9">
        <v>2264</v>
      </c>
      <c r="B2275" s="1"/>
      <c r="C2275" s="2" t="s">
        <v>2270</v>
      </c>
      <c r="D2275" s="1"/>
      <c r="E2275" s="11">
        <f t="shared" si="176"/>
        <v>14</v>
      </c>
      <c r="F2275" s="12">
        <f t="shared" si="177"/>
        <v>50</v>
      </c>
      <c r="G2275" s="12" t="str">
        <f t="shared" si="178"/>
        <v>OK</v>
      </c>
      <c r="H2275" s="13">
        <f t="shared" si="179"/>
        <v>6</v>
      </c>
      <c r="I2275" s="14">
        <f t="shared" si="175"/>
        <v>1767.1999999999998</v>
      </c>
      <c r="K2275" t="str">
        <f>[1]!revcom(C2275)</f>
        <v>AGGATC</v>
      </c>
      <c r="L2275">
        <v>5</v>
      </c>
    </row>
    <row r="2276" spans="1:12" ht="15.6" x14ac:dyDescent="0.3">
      <c r="A2276" s="9">
        <v>2265</v>
      </c>
      <c r="B2276" s="1"/>
      <c r="C2276" s="2" t="s">
        <v>2271</v>
      </c>
      <c r="D2276" s="1"/>
      <c r="E2276" s="11">
        <f t="shared" si="176"/>
        <v>22</v>
      </c>
      <c r="F2276" s="12">
        <f t="shared" si="177"/>
        <v>50</v>
      </c>
      <c r="G2276" s="12" t="str">
        <f t="shared" si="178"/>
        <v>OK</v>
      </c>
      <c r="H2276" s="13">
        <f t="shared" si="179"/>
        <v>6</v>
      </c>
      <c r="I2276" s="14">
        <f t="shared" si="175"/>
        <v>1816.25</v>
      </c>
      <c r="K2276" t="str">
        <f>[1]!revcom(C2276)</f>
        <v>TCGATC</v>
      </c>
      <c r="L2276">
        <v>6</v>
      </c>
    </row>
    <row r="2277" spans="1:12" ht="15.6" x14ac:dyDescent="0.3">
      <c r="A2277" s="9">
        <v>2266</v>
      </c>
      <c r="B2277" s="1"/>
      <c r="C2277" s="2" t="s">
        <v>2272</v>
      </c>
      <c r="D2277" s="1"/>
      <c r="E2277" s="11">
        <f t="shared" si="176"/>
        <v>20</v>
      </c>
      <c r="F2277" s="12">
        <f t="shared" si="177"/>
        <v>66.666666666666657</v>
      </c>
      <c r="G2277" s="12" t="str">
        <f t="shared" si="178"/>
        <v>Warning</v>
      </c>
      <c r="H2277" s="13">
        <f t="shared" si="179"/>
        <v>6</v>
      </c>
      <c r="I2277" s="14">
        <f t="shared" si="175"/>
        <v>1792.2199999999998</v>
      </c>
      <c r="K2277" t="str">
        <f>[1]!revcom(C2277)</f>
        <v>GCGATC</v>
      </c>
      <c r="L2277">
        <v>6</v>
      </c>
    </row>
    <row r="2278" spans="1:12" ht="15.6" x14ac:dyDescent="0.3">
      <c r="A2278" s="9">
        <v>2267</v>
      </c>
      <c r="B2278" s="1"/>
      <c r="C2278" s="2" t="s">
        <v>2273</v>
      </c>
      <c r="D2278" s="1"/>
      <c r="E2278" s="11">
        <f t="shared" si="176"/>
        <v>20</v>
      </c>
      <c r="F2278" s="12">
        <f t="shared" si="177"/>
        <v>66.666666666666657</v>
      </c>
      <c r="G2278" s="12" t="str">
        <f t="shared" si="178"/>
        <v>Warning</v>
      </c>
      <c r="H2278" s="13">
        <f t="shared" si="179"/>
        <v>6</v>
      </c>
      <c r="I2278" s="14">
        <f t="shared" si="175"/>
        <v>1832.25</v>
      </c>
      <c r="K2278" t="str">
        <f>[1]!revcom(C2278)</f>
        <v>CCGATC</v>
      </c>
      <c r="L2278">
        <v>6</v>
      </c>
    </row>
    <row r="2279" spans="1:12" ht="15.6" x14ac:dyDescent="0.3">
      <c r="A2279" s="9">
        <v>2268</v>
      </c>
      <c r="B2279" s="1"/>
      <c r="C2279" s="2" t="s">
        <v>2274</v>
      </c>
      <c r="D2279" s="1"/>
      <c r="E2279" s="11">
        <f t="shared" si="176"/>
        <v>14</v>
      </c>
      <c r="F2279" s="12">
        <f t="shared" si="177"/>
        <v>50</v>
      </c>
      <c r="G2279" s="12" t="str">
        <f t="shared" si="178"/>
        <v>OK</v>
      </c>
      <c r="H2279" s="13">
        <f t="shared" si="179"/>
        <v>6</v>
      </c>
      <c r="I2279" s="14">
        <f t="shared" si="175"/>
        <v>1807.23</v>
      </c>
      <c r="K2279" t="str">
        <f>[1]!revcom(C2279)</f>
        <v>ACGATC</v>
      </c>
      <c r="L2279">
        <v>5</v>
      </c>
    </row>
    <row r="2280" spans="1:12" ht="15.6" x14ac:dyDescent="0.3">
      <c r="A2280" s="9">
        <v>2269</v>
      </c>
      <c r="B2280" s="1"/>
      <c r="C2280" s="2" t="s">
        <v>2275</v>
      </c>
      <c r="D2280" s="1"/>
      <c r="E2280" s="11">
        <f t="shared" si="176"/>
        <v>16</v>
      </c>
      <c r="F2280" s="12">
        <f t="shared" si="177"/>
        <v>33.333333333333329</v>
      </c>
      <c r="G2280" s="12" t="str">
        <f t="shared" si="178"/>
        <v>OK</v>
      </c>
      <c r="H2280" s="13">
        <f t="shared" si="179"/>
        <v>6</v>
      </c>
      <c r="I2280" s="14">
        <f t="shared" si="175"/>
        <v>1791.23</v>
      </c>
      <c r="K2280" t="str">
        <f>[1]!revcom(C2280)</f>
        <v>TAGATC</v>
      </c>
      <c r="L2280">
        <v>5</v>
      </c>
    </row>
    <row r="2281" spans="1:12" ht="15.6" x14ac:dyDescent="0.3">
      <c r="A2281" s="9">
        <v>2270</v>
      </c>
      <c r="B2281" s="1"/>
      <c r="C2281" s="2" t="s">
        <v>2276</v>
      </c>
      <c r="D2281" s="1"/>
      <c r="E2281" s="11">
        <f t="shared" si="176"/>
        <v>14</v>
      </c>
      <c r="F2281" s="12">
        <f t="shared" si="177"/>
        <v>50</v>
      </c>
      <c r="G2281" s="12" t="str">
        <f t="shared" si="178"/>
        <v>OK</v>
      </c>
      <c r="H2281" s="13">
        <f t="shared" si="179"/>
        <v>6</v>
      </c>
      <c r="I2281" s="14">
        <f t="shared" si="175"/>
        <v>1767.1999999999998</v>
      </c>
      <c r="K2281" t="str">
        <f>[1]!revcom(C2281)</f>
        <v>GAGATC</v>
      </c>
      <c r="L2281">
        <v>5</v>
      </c>
    </row>
    <row r="2282" spans="1:12" ht="15.6" x14ac:dyDescent="0.3">
      <c r="A2282" s="9">
        <v>2271</v>
      </c>
      <c r="B2282" s="1"/>
      <c r="C2282" s="2" t="s">
        <v>2277</v>
      </c>
      <c r="D2282" s="1"/>
      <c r="E2282" s="11">
        <f t="shared" si="176"/>
        <v>14</v>
      </c>
      <c r="F2282" s="12">
        <f t="shared" si="177"/>
        <v>50</v>
      </c>
      <c r="G2282" s="12" t="str">
        <f t="shared" si="178"/>
        <v>OK</v>
      </c>
      <c r="H2282" s="13">
        <f t="shared" si="179"/>
        <v>6</v>
      </c>
      <c r="I2282" s="14">
        <f t="shared" si="175"/>
        <v>1807.23</v>
      </c>
      <c r="K2282" t="str">
        <f>[1]!revcom(C2282)</f>
        <v>CAGATC</v>
      </c>
      <c r="L2282">
        <v>5</v>
      </c>
    </row>
    <row r="2283" spans="1:12" ht="15.6" x14ac:dyDescent="0.3">
      <c r="A2283" s="9">
        <v>2272</v>
      </c>
      <c r="B2283" s="1"/>
      <c r="C2283" s="2" t="s">
        <v>2278</v>
      </c>
      <c r="D2283" s="1"/>
      <c r="E2283" s="11">
        <f t="shared" si="176"/>
        <v>8</v>
      </c>
      <c r="F2283" s="12">
        <f t="shared" si="177"/>
        <v>33.333333333333329</v>
      </c>
      <c r="G2283" s="12" t="str">
        <f t="shared" si="178"/>
        <v>OK</v>
      </c>
      <c r="H2283" s="13">
        <f t="shared" si="179"/>
        <v>6</v>
      </c>
      <c r="I2283" s="14">
        <f t="shared" si="175"/>
        <v>1782.21</v>
      </c>
      <c r="K2283" t="str">
        <f>[1]!revcom(C2283)</f>
        <v>AAGATC</v>
      </c>
      <c r="L2283">
        <v>4</v>
      </c>
    </row>
    <row r="2284" spans="1:12" ht="15.6" x14ac:dyDescent="0.3">
      <c r="A2284" s="9">
        <v>2273</v>
      </c>
      <c r="B2284" s="1"/>
      <c r="C2284" s="2" t="s">
        <v>2279</v>
      </c>
      <c r="D2284" s="1"/>
      <c r="E2284" s="11">
        <f t="shared" si="176"/>
        <v>24</v>
      </c>
      <c r="F2284" s="12">
        <f t="shared" si="177"/>
        <v>33.333333333333329</v>
      </c>
      <c r="G2284" s="12" t="str">
        <f t="shared" si="178"/>
        <v>OK</v>
      </c>
      <c r="H2284" s="13">
        <f t="shared" si="179"/>
        <v>6</v>
      </c>
      <c r="I2284" s="14">
        <f t="shared" si="175"/>
        <v>1840.2800000000002</v>
      </c>
      <c r="K2284" t="str">
        <f>[1]!revcom(C2284)</f>
        <v>TTCATC</v>
      </c>
      <c r="L2284">
        <v>6</v>
      </c>
    </row>
    <row r="2285" spans="1:12" ht="15.6" x14ac:dyDescent="0.3">
      <c r="A2285" s="9">
        <v>2274</v>
      </c>
      <c r="B2285" s="1"/>
      <c r="C2285" s="2" t="s">
        <v>2280</v>
      </c>
      <c r="D2285" s="1"/>
      <c r="E2285" s="11">
        <f t="shared" si="176"/>
        <v>22</v>
      </c>
      <c r="F2285" s="12">
        <f t="shared" si="177"/>
        <v>50</v>
      </c>
      <c r="G2285" s="12" t="str">
        <f t="shared" si="178"/>
        <v>OK</v>
      </c>
      <c r="H2285" s="13">
        <f t="shared" si="179"/>
        <v>6</v>
      </c>
      <c r="I2285" s="14">
        <f t="shared" si="175"/>
        <v>1816.25</v>
      </c>
      <c r="K2285" t="str">
        <f>[1]!revcom(C2285)</f>
        <v>GTCATC</v>
      </c>
      <c r="L2285">
        <v>6</v>
      </c>
    </row>
    <row r="2286" spans="1:12" ht="15.6" x14ac:dyDescent="0.3">
      <c r="A2286" s="9">
        <v>2275</v>
      </c>
      <c r="B2286" s="1"/>
      <c r="C2286" s="2" t="s">
        <v>2281</v>
      </c>
      <c r="D2286" s="1"/>
      <c r="E2286" s="11">
        <f t="shared" si="176"/>
        <v>22</v>
      </c>
      <c r="F2286" s="12">
        <f t="shared" si="177"/>
        <v>50</v>
      </c>
      <c r="G2286" s="12" t="str">
        <f t="shared" si="178"/>
        <v>OK</v>
      </c>
      <c r="H2286" s="13">
        <f t="shared" si="179"/>
        <v>6</v>
      </c>
      <c r="I2286" s="14">
        <f t="shared" si="175"/>
        <v>1856.2800000000002</v>
      </c>
      <c r="K2286" t="str">
        <f>[1]!revcom(C2286)</f>
        <v>CTCATC</v>
      </c>
      <c r="L2286">
        <v>6</v>
      </c>
    </row>
    <row r="2287" spans="1:12" ht="15.6" x14ac:dyDescent="0.3">
      <c r="A2287" s="9">
        <v>2276</v>
      </c>
      <c r="B2287" s="1"/>
      <c r="C2287" s="2" t="s">
        <v>2282</v>
      </c>
      <c r="D2287" s="1"/>
      <c r="E2287" s="11">
        <f t="shared" si="176"/>
        <v>16</v>
      </c>
      <c r="F2287" s="12">
        <f t="shared" si="177"/>
        <v>33.333333333333329</v>
      </c>
      <c r="G2287" s="12" t="str">
        <f t="shared" si="178"/>
        <v>OK</v>
      </c>
      <c r="H2287" s="13">
        <f t="shared" si="179"/>
        <v>6</v>
      </c>
      <c r="I2287" s="14">
        <f t="shared" si="175"/>
        <v>1831.2600000000002</v>
      </c>
      <c r="K2287" t="str">
        <f>[1]!revcom(C2287)</f>
        <v>ATCATC</v>
      </c>
      <c r="L2287">
        <v>5</v>
      </c>
    </row>
    <row r="2288" spans="1:12" ht="15.6" x14ac:dyDescent="0.3">
      <c r="A2288" s="9">
        <v>2277</v>
      </c>
      <c r="B2288" s="1"/>
      <c r="C2288" s="2" t="s">
        <v>2283</v>
      </c>
      <c r="D2288" s="1"/>
      <c r="E2288" s="11">
        <f t="shared" si="176"/>
        <v>22</v>
      </c>
      <c r="F2288" s="12">
        <f t="shared" si="177"/>
        <v>50</v>
      </c>
      <c r="G2288" s="12" t="str">
        <f t="shared" si="178"/>
        <v>OK</v>
      </c>
      <c r="H2288" s="13">
        <f t="shared" si="179"/>
        <v>6</v>
      </c>
      <c r="I2288" s="14">
        <f t="shared" si="175"/>
        <v>1816.25</v>
      </c>
      <c r="K2288" t="str">
        <f>[1]!revcom(C2288)</f>
        <v>TGCATC</v>
      </c>
      <c r="L2288">
        <v>6</v>
      </c>
    </row>
    <row r="2289" spans="1:12" ht="15.6" x14ac:dyDescent="0.3">
      <c r="A2289" s="9">
        <v>2278</v>
      </c>
      <c r="B2289" s="1"/>
      <c r="C2289" s="2" t="s">
        <v>2284</v>
      </c>
      <c r="D2289" s="1"/>
      <c r="E2289" s="11">
        <f t="shared" si="176"/>
        <v>20</v>
      </c>
      <c r="F2289" s="12">
        <f t="shared" si="177"/>
        <v>66.666666666666657</v>
      </c>
      <c r="G2289" s="12" t="str">
        <f t="shared" si="178"/>
        <v>Warning</v>
      </c>
      <c r="H2289" s="13">
        <f t="shared" si="179"/>
        <v>6</v>
      </c>
      <c r="I2289" s="14">
        <f t="shared" si="175"/>
        <v>1792.2199999999998</v>
      </c>
      <c r="K2289" t="str">
        <f>[1]!revcom(C2289)</f>
        <v>GGCATC</v>
      </c>
      <c r="L2289">
        <v>6</v>
      </c>
    </row>
    <row r="2290" spans="1:12" ht="15.6" x14ac:dyDescent="0.3">
      <c r="A2290" s="9">
        <v>2279</v>
      </c>
      <c r="B2290" s="1"/>
      <c r="C2290" s="2" t="s">
        <v>2285</v>
      </c>
      <c r="D2290" s="1"/>
      <c r="E2290" s="11">
        <f t="shared" si="176"/>
        <v>20</v>
      </c>
      <c r="F2290" s="12">
        <f t="shared" si="177"/>
        <v>66.666666666666657</v>
      </c>
      <c r="G2290" s="12" t="str">
        <f t="shared" si="178"/>
        <v>Warning</v>
      </c>
      <c r="H2290" s="13">
        <f t="shared" si="179"/>
        <v>6</v>
      </c>
      <c r="I2290" s="14">
        <f t="shared" si="175"/>
        <v>1832.25</v>
      </c>
      <c r="K2290" t="str">
        <f>[1]!revcom(C2290)</f>
        <v>CGCATC</v>
      </c>
      <c r="L2290">
        <v>6</v>
      </c>
    </row>
    <row r="2291" spans="1:12" ht="15.6" x14ac:dyDescent="0.3">
      <c r="A2291" s="9">
        <v>2280</v>
      </c>
      <c r="B2291" s="1"/>
      <c r="C2291" s="2" t="s">
        <v>2286</v>
      </c>
      <c r="D2291" s="1"/>
      <c r="E2291" s="11">
        <f t="shared" si="176"/>
        <v>14</v>
      </c>
      <c r="F2291" s="12">
        <f t="shared" si="177"/>
        <v>50</v>
      </c>
      <c r="G2291" s="12" t="str">
        <f t="shared" si="178"/>
        <v>OK</v>
      </c>
      <c r="H2291" s="13">
        <f t="shared" si="179"/>
        <v>6</v>
      </c>
      <c r="I2291" s="14">
        <f t="shared" si="175"/>
        <v>1807.23</v>
      </c>
      <c r="K2291" t="str">
        <f>[1]!revcom(C2291)</f>
        <v>AGCATC</v>
      </c>
      <c r="L2291">
        <v>5</v>
      </c>
    </row>
    <row r="2292" spans="1:12" ht="15.6" x14ac:dyDescent="0.3">
      <c r="A2292" s="9">
        <v>2281</v>
      </c>
      <c r="B2292" s="1"/>
      <c r="C2292" s="2" t="s">
        <v>2287</v>
      </c>
      <c r="D2292" s="1"/>
      <c r="E2292" s="11">
        <f t="shared" si="176"/>
        <v>22</v>
      </c>
      <c r="F2292" s="12">
        <f t="shared" si="177"/>
        <v>50</v>
      </c>
      <c r="G2292" s="12" t="str">
        <f t="shared" si="178"/>
        <v>OK</v>
      </c>
      <c r="H2292" s="13">
        <f t="shared" si="179"/>
        <v>6</v>
      </c>
      <c r="I2292" s="14">
        <f t="shared" si="175"/>
        <v>1856.2800000000002</v>
      </c>
      <c r="K2292" t="str">
        <f>[1]!revcom(C2292)</f>
        <v>TCCATC</v>
      </c>
      <c r="L2292">
        <v>6</v>
      </c>
    </row>
    <row r="2293" spans="1:12" ht="15.6" x14ac:dyDescent="0.3">
      <c r="A2293" s="9">
        <v>2282</v>
      </c>
      <c r="B2293" s="1"/>
      <c r="C2293" s="2" t="s">
        <v>2288</v>
      </c>
      <c r="D2293" s="1"/>
      <c r="E2293" s="11">
        <f t="shared" si="176"/>
        <v>20</v>
      </c>
      <c r="F2293" s="12">
        <f t="shared" si="177"/>
        <v>66.666666666666657</v>
      </c>
      <c r="G2293" s="12" t="str">
        <f t="shared" si="178"/>
        <v>Warning</v>
      </c>
      <c r="H2293" s="13">
        <f t="shared" si="179"/>
        <v>6</v>
      </c>
      <c r="I2293" s="14">
        <f t="shared" si="175"/>
        <v>1832.25</v>
      </c>
      <c r="K2293" t="str">
        <f>[1]!revcom(C2293)</f>
        <v>GCCATC</v>
      </c>
      <c r="L2293">
        <v>6</v>
      </c>
    </row>
    <row r="2294" spans="1:12" ht="15.6" x14ac:dyDescent="0.3">
      <c r="A2294" s="9">
        <v>2283</v>
      </c>
      <c r="B2294" s="1"/>
      <c r="C2294" s="2" t="s">
        <v>2289</v>
      </c>
      <c r="D2294" s="1"/>
      <c r="E2294" s="11">
        <f t="shared" si="176"/>
        <v>20</v>
      </c>
      <c r="F2294" s="12">
        <f t="shared" si="177"/>
        <v>66.666666666666657</v>
      </c>
      <c r="G2294" s="12" t="str">
        <f t="shared" si="178"/>
        <v>Warning</v>
      </c>
      <c r="H2294" s="13">
        <f t="shared" si="179"/>
        <v>6</v>
      </c>
      <c r="I2294" s="14">
        <f t="shared" si="175"/>
        <v>1872.2800000000002</v>
      </c>
      <c r="K2294" t="str">
        <f>[1]!revcom(C2294)</f>
        <v>CCCATC</v>
      </c>
      <c r="L2294">
        <v>6</v>
      </c>
    </row>
    <row r="2295" spans="1:12" ht="15.6" x14ac:dyDescent="0.3">
      <c r="A2295" s="9">
        <v>2284</v>
      </c>
      <c r="B2295" s="1"/>
      <c r="C2295" s="2" t="s">
        <v>2290</v>
      </c>
      <c r="D2295" s="1"/>
      <c r="E2295" s="11">
        <f t="shared" si="176"/>
        <v>14</v>
      </c>
      <c r="F2295" s="12">
        <f t="shared" si="177"/>
        <v>50</v>
      </c>
      <c r="G2295" s="12" t="str">
        <f t="shared" si="178"/>
        <v>OK</v>
      </c>
      <c r="H2295" s="13">
        <f t="shared" si="179"/>
        <v>6</v>
      </c>
      <c r="I2295" s="14">
        <f t="shared" si="175"/>
        <v>1847.2600000000002</v>
      </c>
      <c r="K2295" t="str">
        <f>[1]!revcom(C2295)</f>
        <v>ACCATC</v>
      </c>
      <c r="L2295">
        <v>5</v>
      </c>
    </row>
    <row r="2296" spans="1:12" ht="15.6" x14ac:dyDescent="0.3">
      <c r="A2296" s="9">
        <v>2285</v>
      </c>
      <c r="B2296" s="1"/>
      <c r="C2296" s="2" t="s">
        <v>2291</v>
      </c>
      <c r="D2296" s="1"/>
      <c r="E2296" s="11">
        <f t="shared" si="176"/>
        <v>16</v>
      </c>
      <c r="F2296" s="12">
        <f t="shared" si="177"/>
        <v>33.333333333333329</v>
      </c>
      <c r="G2296" s="12" t="str">
        <f t="shared" si="178"/>
        <v>OK</v>
      </c>
      <c r="H2296" s="13">
        <f t="shared" si="179"/>
        <v>6</v>
      </c>
      <c r="I2296" s="14">
        <f t="shared" si="175"/>
        <v>1831.2600000000002</v>
      </c>
      <c r="K2296" t="str">
        <f>[1]!revcom(C2296)</f>
        <v>TACATC</v>
      </c>
      <c r="L2296">
        <v>5</v>
      </c>
    </row>
    <row r="2297" spans="1:12" ht="15.6" x14ac:dyDescent="0.3">
      <c r="A2297" s="9">
        <v>2286</v>
      </c>
      <c r="B2297" s="1"/>
      <c r="C2297" s="2" t="s">
        <v>2292</v>
      </c>
      <c r="D2297" s="1"/>
      <c r="E2297" s="11">
        <f t="shared" si="176"/>
        <v>14</v>
      </c>
      <c r="F2297" s="12">
        <f t="shared" si="177"/>
        <v>50</v>
      </c>
      <c r="G2297" s="12" t="str">
        <f t="shared" si="178"/>
        <v>OK</v>
      </c>
      <c r="H2297" s="13">
        <f t="shared" si="179"/>
        <v>6</v>
      </c>
      <c r="I2297" s="14">
        <f t="shared" si="175"/>
        <v>1807.23</v>
      </c>
      <c r="K2297" t="str">
        <f>[1]!revcom(C2297)</f>
        <v>GACATC</v>
      </c>
      <c r="L2297">
        <v>5</v>
      </c>
    </row>
    <row r="2298" spans="1:12" ht="15.6" x14ac:dyDescent="0.3">
      <c r="A2298" s="9">
        <v>2287</v>
      </c>
      <c r="B2298" s="1"/>
      <c r="C2298" s="2" t="s">
        <v>2293</v>
      </c>
      <c r="D2298" s="1"/>
      <c r="E2298" s="11">
        <f t="shared" si="176"/>
        <v>14</v>
      </c>
      <c r="F2298" s="12">
        <f t="shared" si="177"/>
        <v>50</v>
      </c>
      <c r="G2298" s="12" t="str">
        <f t="shared" si="178"/>
        <v>OK</v>
      </c>
      <c r="H2298" s="13">
        <f t="shared" si="179"/>
        <v>6</v>
      </c>
      <c r="I2298" s="14">
        <f t="shared" si="175"/>
        <v>1847.2600000000002</v>
      </c>
      <c r="K2298" t="str">
        <f>[1]!revcom(C2298)</f>
        <v>CACATC</v>
      </c>
      <c r="L2298">
        <v>5</v>
      </c>
    </row>
    <row r="2299" spans="1:12" ht="15.6" x14ac:dyDescent="0.3">
      <c r="A2299" s="9">
        <v>2288</v>
      </c>
      <c r="B2299" s="1"/>
      <c r="C2299" s="2" t="s">
        <v>2294</v>
      </c>
      <c r="D2299" s="1"/>
      <c r="E2299" s="11">
        <f t="shared" si="176"/>
        <v>8</v>
      </c>
      <c r="F2299" s="12">
        <f t="shared" si="177"/>
        <v>33.333333333333329</v>
      </c>
      <c r="G2299" s="12" t="str">
        <f t="shared" si="178"/>
        <v>OK</v>
      </c>
      <c r="H2299" s="13">
        <f t="shared" si="179"/>
        <v>6</v>
      </c>
      <c r="I2299" s="14">
        <f t="shared" si="175"/>
        <v>1822.2400000000002</v>
      </c>
      <c r="K2299" t="str">
        <f>[1]!revcom(C2299)</f>
        <v>AACATC</v>
      </c>
      <c r="L2299">
        <v>4</v>
      </c>
    </row>
    <row r="2300" spans="1:12" ht="15.6" x14ac:dyDescent="0.3">
      <c r="A2300" s="9">
        <v>2289</v>
      </c>
      <c r="B2300" s="1"/>
      <c r="C2300" s="2" t="s">
        <v>2295</v>
      </c>
      <c r="D2300" s="1"/>
      <c r="E2300" s="11">
        <f t="shared" si="176"/>
        <v>18</v>
      </c>
      <c r="F2300" s="12">
        <f t="shared" si="177"/>
        <v>16.666666666666664</v>
      </c>
      <c r="G2300" s="12" t="str">
        <f t="shared" si="178"/>
        <v>OK</v>
      </c>
      <c r="H2300" s="13">
        <f t="shared" si="179"/>
        <v>6</v>
      </c>
      <c r="I2300" s="14">
        <f t="shared" si="175"/>
        <v>1815.2599999999998</v>
      </c>
      <c r="K2300" t="str">
        <f>[1]!revcom(C2300)</f>
        <v>TTAATC</v>
      </c>
      <c r="L2300">
        <v>5</v>
      </c>
    </row>
    <row r="2301" spans="1:12" ht="15.6" x14ac:dyDescent="0.3">
      <c r="A2301" s="9">
        <v>2290</v>
      </c>
      <c r="B2301" s="1"/>
      <c r="C2301" s="2" t="s">
        <v>2296</v>
      </c>
      <c r="D2301" s="1"/>
      <c r="E2301" s="11">
        <f t="shared" si="176"/>
        <v>16</v>
      </c>
      <c r="F2301" s="12">
        <f t="shared" si="177"/>
        <v>33.333333333333329</v>
      </c>
      <c r="G2301" s="12" t="str">
        <f t="shared" si="178"/>
        <v>OK</v>
      </c>
      <c r="H2301" s="13">
        <f t="shared" si="179"/>
        <v>6</v>
      </c>
      <c r="I2301" s="14">
        <f t="shared" si="175"/>
        <v>1791.23</v>
      </c>
      <c r="K2301" t="str">
        <f>[1]!revcom(C2301)</f>
        <v>GTAATC</v>
      </c>
      <c r="L2301">
        <v>5</v>
      </c>
    </row>
    <row r="2302" spans="1:12" ht="15.6" x14ac:dyDescent="0.3">
      <c r="A2302" s="9">
        <v>2291</v>
      </c>
      <c r="B2302" s="1"/>
      <c r="C2302" s="2" t="s">
        <v>2297</v>
      </c>
      <c r="D2302" s="1"/>
      <c r="E2302" s="11">
        <f t="shared" si="176"/>
        <v>16</v>
      </c>
      <c r="F2302" s="12">
        <f t="shared" si="177"/>
        <v>33.333333333333329</v>
      </c>
      <c r="G2302" s="12" t="str">
        <f t="shared" si="178"/>
        <v>OK</v>
      </c>
      <c r="H2302" s="13">
        <f t="shared" si="179"/>
        <v>6</v>
      </c>
      <c r="I2302" s="14">
        <f t="shared" si="175"/>
        <v>1831.2600000000002</v>
      </c>
      <c r="K2302" t="str">
        <f>[1]!revcom(C2302)</f>
        <v>CTAATC</v>
      </c>
      <c r="L2302">
        <v>5</v>
      </c>
    </row>
    <row r="2303" spans="1:12" ht="15.6" x14ac:dyDescent="0.3">
      <c r="A2303" s="9">
        <v>2292</v>
      </c>
      <c r="B2303" s="1"/>
      <c r="C2303" s="2" t="s">
        <v>2298</v>
      </c>
      <c r="D2303" s="1"/>
      <c r="E2303" s="11">
        <f t="shared" si="176"/>
        <v>10</v>
      </c>
      <c r="F2303" s="12">
        <f t="shared" si="177"/>
        <v>16.666666666666664</v>
      </c>
      <c r="G2303" s="12" t="str">
        <f t="shared" si="178"/>
        <v>OK</v>
      </c>
      <c r="H2303" s="13">
        <f t="shared" si="179"/>
        <v>6</v>
      </c>
      <c r="I2303" s="14">
        <f t="shared" si="175"/>
        <v>1806.2399999999998</v>
      </c>
      <c r="K2303" t="str">
        <f>[1]!revcom(C2303)</f>
        <v>ATAATC</v>
      </c>
      <c r="L2303">
        <v>4</v>
      </c>
    </row>
    <row r="2304" spans="1:12" ht="15.6" x14ac:dyDescent="0.3">
      <c r="A2304" s="9">
        <v>2293</v>
      </c>
      <c r="B2304" s="1"/>
      <c r="C2304" s="2" t="s">
        <v>2299</v>
      </c>
      <c r="D2304" s="1"/>
      <c r="E2304" s="11">
        <f t="shared" si="176"/>
        <v>16</v>
      </c>
      <c r="F2304" s="12">
        <f t="shared" si="177"/>
        <v>33.333333333333329</v>
      </c>
      <c r="G2304" s="12" t="str">
        <f t="shared" si="178"/>
        <v>OK</v>
      </c>
      <c r="H2304" s="13">
        <f t="shared" si="179"/>
        <v>6</v>
      </c>
      <c r="I2304" s="14">
        <f t="shared" si="175"/>
        <v>1791.23</v>
      </c>
      <c r="K2304" t="str">
        <f>[1]!revcom(C2304)</f>
        <v>TGAATC</v>
      </c>
      <c r="L2304">
        <v>5</v>
      </c>
    </row>
    <row r="2305" spans="1:12" ht="15.6" x14ac:dyDescent="0.3">
      <c r="A2305" s="9">
        <v>2294</v>
      </c>
      <c r="B2305" s="1"/>
      <c r="C2305" s="2" t="s">
        <v>2300</v>
      </c>
      <c r="D2305" s="1"/>
      <c r="E2305" s="11">
        <f t="shared" si="176"/>
        <v>14</v>
      </c>
      <c r="F2305" s="12">
        <f t="shared" si="177"/>
        <v>50</v>
      </c>
      <c r="G2305" s="12" t="str">
        <f t="shared" si="178"/>
        <v>OK</v>
      </c>
      <c r="H2305" s="13">
        <f t="shared" si="179"/>
        <v>6</v>
      </c>
      <c r="I2305" s="14">
        <f t="shared" si="175"/>
        <v>1767.1999999999998</v>
      </c>
      <c r="K2305" t="str">
        <f>[1]!revcom(C2305)</f>
        <v>GGAATC</v>
      </c>
      <c r="L2305">
        <v>5</v>
      </c>
    </row>
    <row r="2306" spans="1:12" ht="15.6" x14ac:dyDescent="0.3">
      <c r="A2306" s="9">
        <v>2295</v>
      </c>
      <c r="B2306" s="1"/>
      <c r="C2306" s="2" t="s">
        <v>2301</v>
      </c>
      <c r="D2306" s="1"/>
      <c r="E2306" s="11">
        <f t="shared" si="176"/>
        <v>14</v>
      </c>
      <c r="F2306" s="12">
        <f t="shared" si="177"/>
        <v>50</v>
      </c>
      <c r="G2306" s="12" t="str">
        <f t="shared" si="178"/>
        <v>OK</v>
      </c>
      <c r="H2306" s="13">
        <f t="shared" si="179"/>
        <v>6</v>
      </c>
      <c r="I2306" s="14">
        <f t="shared" si="175"/>
        <v>1807.23</v>
      </c>
      <c r="K2306" t="str">
        <f>[1]!revcom(C2306)</f>
        <v>CGAATC</v>
      </c>
      <c r="L2306">
        <v>5</v>
      </c>
    </row>
    <row r="2307" spans="1:12" ht="15.6" x14ac:dyDescent="0.3">
      <c r="A2307" s="9">
        <v>2296</v>
      </c>
      <c r="B2307" s="1"/>
      <c r="C2307" s="2" t="s">
        <v>2302</v>
      </c>
      <c r="D2307" s="1"/>
      <c r="E2307" s="11">
        <f t="shared" si="176"/>
        <v>8</v>
      </c>
      <c r="F2307" s="12">
        <f t="shared" si="177"/>
        <v>33.333333333333329</v>
      </c>
      <c r="G2307" s="12" t="str">
        <f t="shared" si="178"/>
        <v>OK</v>
      </c>
      <c r="H2307" s="13">
        <f t="shared" si="179"/>
        <v>6</v>
      </c>
      <c r="I2307" s="14">
        <f t="shared" si="175"/>
        <v>1782.21</v>
      </c>
      <c r="K2307" t="str">
        <f>[1]!revcom(C2307)</f>
        <v>AGAATC</v>
      </c>
      <c r="L2307">
        <v>4</v>
      </c>
    </row>
    <row r="2308" spans="1:12" ht="15.6" x14ac:dyDescent="0.3">
      <c r="A2308" s="9">
        <v>2297</v>
      </c>
      <c r="B2308" s="1"/>
      <c r="C2308" s="2" t="s">
        <v>2303</v>
      </c>
      <c r="D2308" s="1"/>
      <c r="E2308" s="11">
        <f t="shared" si="176"/>
        <v>16</v>
      </c>
      <c r="F2308" s="12">
        <f t="shared" si="177"/>
        <v>33.333333333333329</v>
      </c>
      <c r="G2308" s="12" t="str">
        <f t="shared" si="178"/>
        <v>OK</v>
      </c>
      <c r="H2308" s="13">
        <f t="shared" si="179"/>
        <v>6</v>
      </c>
      <c r="I2308" s="14">
        <f t="shared" si="175"/>
        <v>1831.2600000000002</v>
      </c>
      <c r="K2308" t="str">
        <f>[1]!revcom(C2308)</f>
        <v>TCAATC</v>
      </c>
      <c r="L2308">
        <v>5</v>
      </c>
    </row>
    <row r="2309" spans="1:12" ht="15.6" x14ac:dyDescent="0.3">
      <c r="A2309" s="9">
        <v>2298</v>
      </c>
      <c r="B2309" s="1"/>
      <c r="C2309" s="2" t="s">
        <v>2304</v>
      </c>
      <c r="D2309" s="1"/>
      <c r="E2309" s="11">
        <f t="shared" si="176"/>
        <v>14</v>
      </c>
      <c r="F2309" s="12">
        <f t="shared" si="177"/>
        <v>50</v>
      </c>
      <c r="G2309" s="12" t="str">
        <f t="shared" si="178"/>
        <v>OK</v>
      </c>
      <c r="H2309" s="13">
        <f t="shared" si="179"/>
        <v>6</v>
      </c>
      <c r="I2309" s="14">
        <f t="shared" si="175"/>
        <v>1807.23</v>
      </c>
      <c r="K2309" t="str">
        <f>[1]!revcom(C2309)</f>
        <v>GCAATC</v>
      </c>
      <c r="L2309">
        <v>5</v>
      </c>
    </row>
    <row r="2310" spans="1:12" ht="15.6" x14ac:dyDescent="0.3">
      <c r="A2310" s="9">
        <v>2299</v>
      </c>
      <c r="B2310" s="1"/>
      <c r="C2310" s="2" t="s">
        <v>2305</v>
      </c>
      <c r="D2310" s="1"/>
      <c r="E2310" s="11">
        <f t="shared" si="176"/>
        <v>14</v>
      </c>
      <c r="F2310" s="12">
        <f t="shared" si="177"/>
        <v>50</v>
      </c>
      <c r="G2310" s="12" t="str">
        <f t="shared" si="178"/>
        <v>OK</v>
      </c>
      <c r="H2310" s="13">
        <f t="shared" si="179"/>
        <v>6</v>
      </c>
      <c r="I2310" s="14">
        <f t="shared" si="175"/>
        <v>1847.2600000000002</v>
      </c>
      <c r="K2310" t="str">
        <f>[1]!revcom(C2310)</f>
        <v>CCAATC</v>
      </c>
      <c r="L2310">
        <v>5</v>
      </c>
    </row>
    <row r="2311" spans="1:12" ht="15.6" x14ac:dyDescent="0.3">
      <c r="A2311" s="9">
        <v>2300</v>
      </c>
      <c r="B2311" s="1"/>
      <c r="C2311" s="2" t="s">
        <v>2306</v>
      </c>
      <c r="D2311" s="1"/>
      <c r="E2311" s="11">
        <f t="shared" si="176"/>
        <v>8</v>
      </c>
      <c r="F2311" s="12">
        <f t="shared" si="177"/>
        <v>33.333333333333329</v>
      </c>
      <c r="G2311" s="12" t="str">
        <f t="shared" si="178"/>
        <v>OK</v>
      </c>
      <c r="H2311" s="13">
        <f t="shared" si="179"/>
        <v>6</v>
      </c>
      <c r="I2311" s="14">
        <f t="shared" si="175"/>
        <v>1822.2400000000002</v>
      </c>
      <c r="K2311" t="str">
        <f>[1]!revcom(C2311)</f>
        <v>ACAATC</v>
      </c>
      <c r="L2311">
        <v>4</v>
      </c>
    </row>
    <row r="2312" spans="1:12" ht="15.6" x14ac:dyDescent="0.3">
      <c r="A2312" s="9">
        <v>2301</v>
      </c>
      <c r="B2312" s="1"/>
      <c r="C2312" s="2" t="s">
        <v>2307</v>
      </c>
      <c r="D2312" s="1"/>
      <c r="E2312" s="11">
        <f t="shared" si="176"/>
        <v>10</v>
      </c>
      <c r="F2312" s="12">
        <f t="shared" si="177"/>
        <v>16.666666666666664</v>
      </c>
      <c r="G2312" s="12" t="str">
        <f t="shared" si="178"/>
        <v>OK</v>
      </c>
      <c r="H2312" s="13">
        <f t="shared" si="179"/>
        <v>6</v>
      </c>
      <c r="I2312" s="14">
        <f t="shared" si="175"/>
        <v>1806.2399999999998</v>
      </c>
      <c r="K2312" t="str">
        <f>[1]!revcom(C2312)</f>
        <v>TAAATC</v>
      </c>
      <c r="L2312">
        <v>4</v>
      </c>
    </row>
    <row r="2313" spans="1:12" ht="15.6" x14ac:dyDescent="0.3">
      <c r="A2313" s="9">
        <v>2302</v>
      </c>
      <c r="B2313" s="1"/>
      <c r="C2313" s="2" t="s">
        <v>2308</v>
      </c>
      <c r="D2313" s="1"/>
      <c r="E2313" s="11">
        <f t="shared" si="176"/>
        <v>8</v>
      </c>
      <c r="F2313" s="12">
        <f t="shared" si="177"/>
        <v>33.333333333333329</v>
      </c>
      <c r="G2313" s="12" t="str">
        <f t="shared" si="178"/>
        <v>OK</v>
      </c>
      <c r="H2313" s="13">
        <f t="shared" si="179"/>
        <v>6</v>
      </c>
      <c r="I2313" s="14">
        <f t="shared" si="175"/>
        <v>1782.21</v>
      </c>
      <c r="K2313" t="str">
        <f>[1]!revcom(C2313)</f>
        <v>GAAATC</v>
      </c>
      <c r="L2313">
        <v>4</v>
      </c>
    </row>
    <row r="2314" spans="1:12" ht="15.6" x14ac:dyDescent="0.3">
      <c r="A2314" s="9">
        <v>2303</v>
      </c>
      <c r="B2314" s="1"/>
      <c r="C2314" s="2" t="s">
        <v>2309</v>
      </c>
      <c r="D2314" s="1"/>
      <c r="E2314" s="11">
        <f t="shared" si="176"/>
        <v>8</v>
      </c>
      <c r="F2314" s="12">
        <f t="shared" si="177"/>
        <v>33.333333333333329</v>
      </c>
      <c r="G2314" s="12" t="str">
        <f t="shared" si="178"/>
        <v>OK</v>
      </c>
      <c r="H2314" s="13">
        <f t="shared" si="179"/>
        <v>6</v>
      </c>
      <c r="I2314" s="14">
        <f t="shared" si="175"/>
        <v>1822.2400000000002</v>
      </c>
      <c r="K2314" t="str">
        <f>[1]!revcom(C2314)</f>
        <v>CAAATC</v>
      </c>
      <c r="L2314">
        <v>4</v>
      </c>
    </row>
    <row r="2315" spans="1:12" ht="15.6" x14ac:dyDescent="0.3">
      <c r="A2315" s="9">
        <v>2304</v>
      </c>
      <c r="B2315" s="1"/>
      <c r="C2315" s="2" t="s">
        <v>2310</v>
      </c>
      <c r="D2315" s="1"/>
      <c r="E2315" s="11">
        <f t="shared" si="176"/>
        <v>2</v>
      </c>
      <c r="F2315" s="12">
        <f t="shared" si="177"/>
        <v>16.666666666666664</v>
      </c>
      <c r="G2315" s="12" t="str">
        <f t="shared" si="178"/>
        <v>OK</v>
      </c>
      <c r="H2315" s="13">
        <f t="shared" si="179"/>
        <v>6</v>
      </c>
      <c r="I2315" s="14">
        <f t="shared" si="175"/>
        <v>1797.2199999999998</v>
      </c>
      <c r="K2315" t="str">
        <f>[1]!revcom(C2315)</f>
        <v>AAAATC</v>
      </c>
      <c r="L2315">
        <v>3</v>
      </c>
    </row>
    <row r="2316" spans="1:12" ht="15.6" x14ac:dyDescent="0.3">
      <c r="A2316" s="9">
        <v>2305</v>
      </c>
      <c r="B2316" s="1"/>
      <c r="C2316" s="2" t="s">
        <v>2311</v>
      </c>
      <c r="D2316" s="1"/>
      <c r="E2316" s="11">
        <f t="shared" si="176"/>
        <v>32</v>
      </c>
      <c r="F2316" s="12">
        <f t="shared" si="177"/>
        <v>33.333333333333329</v>
      </c>
      <c r="G2316" s="12" t="str">
        <f t="shared" si="178"/>
        <v>OK</v>
      </c>
      <c r="H2316" s="13">
        <f t="shared" si="179"/>
        <v>6</v>
      </c>
      <c r="I2316" s="14">
        <f t="shared" si="175"/>
        <v>1809.27</v>
      </c>
      <c r="K2316" t="str">
        <f>[1]!revcom(C2316)</f>
        <v>TTTTGC</v>
      </c>
      <c r="L2316">
        <v>8</v>
      </c>
    </row>
    <row r="2317" spans="1:12" ht="15.6" x14ac:dyDescent="0.3">
      <c r="A2317" s="9">
        <v>2306</v>
      </c>
      <c r="B2317" s="1"/>
      <c r="C2317" s="2" t="s">
        <v>2312</v>
      </c>
      <c r="D2317" s="1"/>
      <c r="E2317" s="11">
        <f t="shared" si="176"/>
        <v>30</v>
      </c>
      <c r="F2317" s="12">
        <f t="shared" si="177"/>
        <v>50</v>
      </c>
      <c r="G2317" s="12" t="str">
        <f t="shared" si="178"/>
        <v>OK</v>
      </c>
      <c r="H2317" s="13">
        <f t="shared" si="179"/>
        <v>6</v>
      </c>
      <c r="I2317" s="14">
        <f t="shared" ref="I2317:I2380" si="180">((LEN(C2317)-(LEN(SUBSTITUTE(C2317,"A",""))))*249.23)+((LEN(C2317)-(LEN(SUBSTITUTE(C2317,"T",""))))*240.21)+((LEN(C2317)-(LEN(SUBSTITUTE(C2317,"C",""))))*225.2)+((LEN(C2317)-(LEN(SUBSTITUTE(C2317,"G",""))))*265.23)+(63.98*(LEN(C2317)-1)+(2.02))</f>
        <v>1785.2399999999998</v>
      </c>
      <c r="K2317" t="str">
        <f>[1]!revcom(C2317)</f>
        <v>GTTTGC</v>
      </c>
      <c r="L2317">
        <v>7</v>
      </c>
    </row>
    <row r="2318" spans="1:12" ht="15.6" x14ac:dyDescent="0.3">
      <c r="A2318" s="9">
        <v>2307</v>
      </c>
      <c r="B2318" s="1"/>
      <c r="C2318" s="2" t="s">
        <v>2313</v>
      </c>
      <c r="D2318" s="1"/>
      <c r="E2318" s="11">
        <f t="shared" ref="E2318:E2381" si="181">IF(LEN(C2318)&gt;15,(69.3+((41*((LEN(C2318)-(((LEN(C2318)-(LEN(SUBSTITUTE(C2318,"A",""))))+((LEN(C2318)-(LEN(SUBSTITUTE(C2318,"T","")))))))))/(LEN(C2318)))-(650/(LEN(C2318))))),(2*((LEN(C2318)-(((LEN(C2318)-(LEN(SUBSTITUTE(C2318,"C",""))))+((LEN(C2318)-(LEN(SUBSTITUTE(C2318,"G",""))))))))))+(4*((LEN(C2318)-(((LEN(C2318)-(LEN(SUBSTITUTE(C2318,"T",""))))+((LEN(C2318)-(LEN(SUBSTITUTE(C2318,"T","")))))))))))</f>
        <v>30</v>
      </c>
      <c r="F2318" s="12">
        <f t="shared" ref="F2318:F2381" si="182">((LEN(C2318)- LEN(SUBSTITUTE(C2318,"G","")))+(LEN(C2318)- LEN(SUBSTITUTE(C2318,"C",""))) )/LEN(C2318)*100</f>
        <v>50</v>
      </c>
      <c r="G2318" s="12" t="str">
        <f t="shared" ref="G2318:G2381" si="183">IF((-5+((LEN(SUBSTITUTE(RIGHT(C2318,5),"C","")))+((LEN(SUBSTITUTE(RIGHT(C2318,5),"G",""))))))&gt;=3,"OK","Warning")</f>
        <v>OK</v>
      </c>
      <c r="H2318" s="13">
        <f t="shared" ref="H2318:H2381" si="184">LEN(C2318)</f>
        <v>6</v>
      </c>
      <c r="I2318" s="14">
        <f t="shared" si="180"/>
        <v>1825.27</v>
      </c>
      <c r="K2318" t="str">
        <f>[1]!revcom(C2318)</f>
        <v>CTTTGC</v>
      </c>
      <c r="L2318">
        <v>7</v>
      </c>
    </row>
    <row r="2319" spans="1:12" ht="15.6" x14ac:dyDescent="0.3">
      <c r="A2319" s="9">
        <v>2308</v>
      </c>
      <c r="B2319" s="1"/>
      <c r="C2319" s="2" t="s">
        <v>2314</v>
      </c>
      <c r="D2319" s="1"/>
      <c r="E2319" s="11">
        <f t="shared" si="181"/>
        <v>24</v>
      </c>
      <c r="F2319" s="12">
        <f t="shared" si="182"/>
        <v>33.333333333333329</v>
      </c>
      <c r="G2319" s="12" t="str">
        <f t="shared" si="183"/>
        <v>OK</v>
      </c>
      <c r="H2319" s="13">
        <f t="shared" si="184"/>
        <v>6</v>
      </c>
      <c r="I2319" s="14">
        <f t="shared" si="180"/>
        <v>1800.25</v>
      </c>
      <c r="K2319" t="str">
        <f>[1]!revcom(C2319)</f>
        <v>ATTTGC</v>
      </c>
      <c r="L2319">
        <v>6</v>
      </c>
    </row>
    <row r="2320" spans="1:12" ht="15.6" x14ac:dyDescent="0.3">
      <c r="A2320" s="9">
        <v>2309</v>
      </c>
      <c r="B2320" s="1"/>
      <c r="C2320" s="2" t="s">
        <v>2315</v>
      </c>
      <c r="D2320" s="1"/>
      <c r="E2320" s="11">
        <f t="shared" si="181"/>
        <v>30</v>
      </c>
      <c r="F2320" s="12">
        <f t="shared" si="182"/>
        <v>50</v>
      </c>
      <c r="G2320" s="12" t="str">
        <f t="shared" si="183"/>
        <v>OK</v>
      </c>
      <c r="H2320" s="13">
        <f t="shared" si="184"/>
        <v>6</v>
      </c>
      <c r="I2320" s="14">
        <f t="shared" si="180"/>
        <v>1785.2399999999998</v>
      </c>
      <c r="K2320" t="str">
        <f>[1]!revcom(C2320)</f>
        <v>TGTTGC</v>
      </c>
      <c r="L2320">
        <v>7</v>
      </c>
    </row>
    <row r="2321" spans="1:12" ht="15.6" x14ac:dyDescent="0.3">
      <c r="A2321" s="9">
        <v>2310</v>
      </c>
      <c r="B2321" s="1"/>
      <c r="C2321" s="2" t="s">
        <v>2316</v>
      </c>
      <c r="D2321" s="1"/>
      <c r="E2321" s="11">
        <f t="shared" si="181"/>
        <v>28</v>
      </c>
      <c r="F2321" s="12">
        <f t="shared" si="182"/>
        <v>66.666666666666657</v>
      </c>
      <c r="G2321" s="12" t="str">
        <f t="shared" si="183"/>
        <v>Warning</v>
      </c>
      <c r="H2321" s="13">
        <f t="shared" si="184"/>
        <v>6</v>
      </c>
      <c r="I2321" s="14">
        <f t="shared" si="180"/>
        <v>1761.21</v>
      </c>
      <c r="K2321" t="str">
        <f>[1]!revcom(C2321)</f>
        <v>GGTTGC</v>
      </c>
      <c r="L2321">
        <v>7</v>
      </c>
    </row>
    <row r="2322" spans="1:12" ht="15.6" x14ac:dyDescent="0.3">
      <c r="A2322" s="9">
        <v>2311</v>
      </c>
      <c r="B2322" s="1"/>
      <c r="C2322" s="2" t="s">
        <v>2317</v>
      </c>
      <c r="D2322" s="1"/>
      <c r="E2322" s="11">
        <f t="shared" si="181"/>
        <v>28</v>
      </c>
      <c r="F2322" s="12">
        <f t="shared" si="182"/>
        <v>66.666666666666657</v>
      </c>
      <c r="G2322" s="12" t="str">
        <f t="shared" si="183"/>
        <v>Warning</v>
      </c>
      <c r="H2322" s="13">
        <f t="shared" si="184"/>
        <v>6</v>
      </c>
      <c r="I2322" s="14">
        <f t="shared" si="180"/>
        <v>1801.2399999999998</v>
      </c>
      <c r="K2322" t="str">
        <f>[1]!revcom(C2322)</f>
        <v>CGTTGC</v>
      </c>
      <c r="L2322">
        <v>7</v>
      </c>
    </row>
    <row r="2323" spans="1:12" ht="15.6" x14ac:dyDescent="0.3">
      <c r="A2323" s="9">
        <v>2312</v>
      </c>
      <c r="B2323" s="1"/>
      <c r="C2323" s="2" t="s">
        <v>2318</v>
      </c>
      <c r="D2323" s="1"/>
      <c r="E2323" s="11">
        <f t="shared" si="181"/>
        <v>22</v>
      </c>
      <c r="F2323" s="12">
        <f t="shared" si="182"/>
        <v>50</v>
      </c>
      <c r="G2323" s="12" t="str">
        <f t="shared" si="183"/>
        <v>OK</v>
      </c>
      <c r="H2323" s="13">
        <f t="shared" si="184"/>
        <v>6</v>
      </c>
      <c r="I2323" s="14">
        <f t="shared" si="180"/>
        <v>1776.2199999999998</v>
      </c>
      <c r="K2323" t="str">
        <f>[1]!revcom(C2323)</f>
        <v>AGTTGC</v>
      </c>
      <c r="L2323">
        <v>6</v>
      </c>
    </row>
    <row r="2324" spans="1:12" ht="15.6" x14ac:dyDescent="0.3">
      <c r="A2324" s="9">
        <v>2313</v>
      </c>
      <c r="B2324" s="1"/>
      <c r="C2324" s="2" t="s">
        <v>2319</v>
      </c>
      <c r="D2324" s="1"/>
      <c r="E2324" s="11">
        <f t="shared" si="181"/>
        <v>30</v>
      </c>
      <c r="F2324" s="12">
        <f t="shared" si="182"/>
        <v>50</v>
      </c>
      <c r="G2324" s="12" t="str">
        <f t="shared" si="183"/>
        <v>OK</v>
      </c>
      <c r="H2324" s="13">
        <f t="shared" si="184"/>
        <v>6</v>
      </c>
      <c r="I2324" s="14">
        <f t="shared" si="180"/>
        <v>1825.27</v>
      </c>
      <c r="K2324" t="str">
        <f>[1]!revcom(C2324)</f>
        <v>TCTTGC</v>
      </c>
      <c r="L2324">
        <v>7</v>
      </c>
    </row>
    <row r="2325" spans="1:12" ht="15.6" x14ac:dyDescent="0.3">
      <c r="A2325" s="9">
        <v>2314</v>
      </c>
      <c r="B2325" s="1"/>
      <c r="C2325" s="2" t="s">
        <v>2320</v>
      </c>
      <c r="D2325" s="1"/>
      <c r="E2325" s="11">
        <f t="shared" si="181"/>
        <v>28</v>
      </c>
      <c r="F2325" s="12">
        <f t="shared" si="182"/>
        <v>66.666666666666657</v>
      </c>
      <c r="G2325" s="12" t="str">
        <f t="shared" si="183"/>
        <v>Warning</v>
      </c>
      <c r="H2325" s="13">
        <f t="shared" si="184"/>
        <v>6</v>
      </c>
      <c r="I2325" s="14">
        <f t="shared" si="180"/>
        <v>1801.2399999999998</v>
      </c>
      <c r="K2325" t="str">
        <f>[1]!revcom(C2325)</f>
        <v>GCTTGC</v>
      </c>
      <c r="L2325">
        <v>7</v>
      </c>
    </row>
    <row r="2326" spans="1:12" ht="15.6" x14ac:dyDescent="0.3">
      <c r="A2326" s="9">
        <v>2315</v>
      </c>
      <c r="B2326" s="1"/>
      <c r="C2326" s="2" t="s">
        <v>2321</v>
      </c>
      <c r="D2326" s="1"/>
      <c r="E2326" s="11">
        <f t="shared" si="181"/>
        <v>28</v>
      </c>
      <c r="F2326" s="12">
        <f t="shared" si="182"/>
        <v>66.666666666666657</v>
      </c>
      <c r="G2326" s="12" t="str">
        <f t="shared" si="183"/>
        <v>Warning</v>
      </c>
      <c r="H2326" s="13">
        <f t="shared" si="184"/>
        <v>6</v>
      </c>
      <c r="I2326" s="14">
        <f t="shared" si="180"/>
        <v>1841.27</v>
      </c>
      <c r="K2326" t="str">
        <f>[1]!revcom(C2326)</f>
        <v>CCTTGC</v>
      </c>
      <c r="L2326">
        <v>7</v>
      </c>
    </row>
    <row r="2327" spans="1:12" ht="15.6" x14ac:dyDescent="0.3">
      <c r="A2327" s="9">
        <v>2316</v>
      </c>
      <c r="B2327" s="1"/>
      <c r="C2327" s="2" t="s">
        <v>2322</v>
      </c>
      <c r="D2327" s="1"/>
      <c r="E2327" s="11">
        <f t="shared" si="181"/>
        <v>22</v>
      </c>
      <c r="F2327" s="12">
        <f t="shared" si="182"/>
        <v>50</v>
      </c>
      <c r="G2327" s="12" t="str">
        <f t="shared" si="183"/>
        <v>OK</v>
      </c>
      <c r="H2327" s="13">
        <f t="shared" si="184"/>
        <v>6</v>
      </c>
      <c r="I2327" s="14">
        <f t="shared" si="180"/>
        <v>1816.25</v>
      </c>
      <c r="K2327" t="str">
        <f>[1]!revcom(C2327)</f>
        <v>ACTTGC</v>
      </c>
      <c r="L2327">
        <v>6</v>
      </c>
    </row>
    <row r="2328" spans="1:12" ht="15.6" x14ac:dyDescent="0.3">
      <c r="A2328" s="9">
        <v>2317</v>
      </c>
      <c r="B2328" s="1"/>
      <c r="C2328" s="2" t="s">
        <v>2323</v>
      </c>
      <c r="D2328" s="1"/>
      <c r="E2328" s="11">
        <f t="shared" si="181"/>
        <v>24</v>
      </c>
      <c r="F2328" s="12">
        <f t="shared" si="182"/>
        <v>33.333333333333329</v>
      </c>
      <c r="G2328" s="12" t="str">
        <f t="shared" si="183"/>
        <v>OK</v>
      </c>
      <c r="H2328" s="13">
        <f t="shared" si="184"/>
        <v>6</v>
      </c>
      <c r="I2328" s="14">
        <f t="shared" si="180"/>
        <v>1800.25</v>
      </c>
      <c r="K2328" t="str">
        <f>[1]!revcom(C2328)</f>
        <v>TATTGC</v>
      </c>
      <c r="L2328">
        <v>6</v>
      </c>
    </row>
    <row r="2329" spans="1:12" ht="15.6" x14ac:dyDescent="0.3">
      <c r="A2329" s="9">
        <v>2318</v>
      </c>
      <c r="B2329" s="1"/>
      <c r="C2329" s="2" t="s">
        <v>2324</v>
      </c>
      <c r="D2329" s="1"/>
      <c r="E2329" s="11">
        <f t="shared" si="181"/>
        <v>22</v>
      </c>
      <c r="F2329" s="12">
        <f t="shared" si="182"/>
        <v>50</v>
      </c>
      <c r="G2329" s="12" t="str">
        <f t="shared" si="183"/>
        <v>OK</v>
      </c>
      <c r="H2329" s="13">
        <f t="shared" si="184"/>
        <v>6</v>
      </c>
      <c r="I2329" s="14">
        <f t="shared" si="180"/>
        <v>1776.2199999999998</v>
      </c>
      <c r="K2329" t="str">
        <f>[1]!revcom(C2329)</f>
        <v>GATTGC</v>
      </c>
      <c r="L2329">
        <v>6</v>
      </c>
    </row>
    <row r="2330" spans="1:12" ht="15.6" x14ac:dyDescent="0.3">
      <c r="A2330" s="9">
        <v>2319</v>
      </c>
      <c r="B2330" s="1"/>
      <c r="C2330" s="2" t="s">
        <v>2325</v>
      </c>
      <c r="D2330" s="1"/>
      <c r="E2330" s="11">
        <f t="shared" si="181"/>
        <v>22</v>
      </c>
      <c r="F2330" s="12">
        <f t="shared" si="182"/>
        <v>50</v>
      </c>
      <c r="G2330" s="12" t="str">
        <f t="shared" si="183"/>
        <v>OK</v>
      </c>
      <c r="H2330" s="13">
        <f t="shared" si="184"/>
        <v>6</v>
      </c>
      <c r="I2330" s="14">
        <f t="shared" si="180"/>
        <v>1816.25</v>
      </c>
      <c r="K2330" t="str">
        <f>[1]!revcom(C2330)</f>
        <v>CATTGC</v>
      </c>
      <c r="L2330">
        <v>6</v>
      </c>
    </row>
    <row r="2331" spans="1:12" ht="15.6" x14ac:dyDescent="0.3">
      <c r="A2331" s="9">
        <v>2320</v>
      </c>
      <c r="B2331" s="1"/>
      <c r="C2331" s="2" t="s">
        <v>2326</v>
      </c>
      <c r="D2331" s="1"/>
      <c r="E2331" s="11">
        <f t="shared" si="181"/>
        <v>16</v>
      </c>
      <c r="F2331" s="12">
        <f t="shared" si="182"/>
        <v>33.333333333333329</v>
      </c>
      <c r="G2331" s="12" t="str">
        <f t="shared" si="183"/>
        <v>OK</v>
      </c>
      <c r="H2331" s="13">
        <f t="shared" si="184"/>
        <v>6</v>
      </c>
      <c r="I2331" s="14">
        <f t="shared" si="180"/>
        <v>1791.23</v>
      </c>
      <c r="K2331" t="str">
        <f>[1]!revcom(C2331)</f>
        <v>AATTGC</v>
      </c>
      <c r="L2331">
        <v>5</v>
      </c>
    </row>
    <row r="2332" spans="1:12" ht="15.6" x14ac:dyDescent="0.3">
      <c r="A2332" s="9">
        <v>2321</v>
      </c>
      <c r="B2332" s="1"/>
      <c r="C2332" s="2" t="s">
        <v>2327</v>
      </c>
      <c r="D2332" s="1"/>
      <c r="E2332" s="11">
        <f t="shared" si="181"/>
        <v>30</v>
      </c>
      <c r="F2332" s="12">
        <f t="shared" si="182"/>
        <v>50</v>
      </c>
      <c r="G2332" s="12" t="str">
        <f t="shared" si="183"/>
        <v>OK</v>
      </c>
      <c r="H2332" s="13">
        <f t="shared" si="184"/>
        <v>6</v>
      </c>
      <c r="I2332" s="14">
        <f t="shared" si="180"/>
        <v>1785.2399999999998</v>
      </c>
      <c r="K2332" t="str">
        <f>[1]!revcom(C2332)</f>
        <v>TTGTGC</v>
      </c>
      <c r="L2332">
        <v>7</v>
      </c>
    </row>
    <row r="2333" spans="1:12" ht="15.6" x14ac:dyDescent="0.3">
      <c r="A2333" s="9">
        <v>2322</v>
      </c>
      <c r="B2333" s="1"/>
      <c r="C2333" s="2" t="s">
        <v>2328</v>
      </c>
      <c r="D2333" s="1"/>
      <c r="E2333" s="11">
        <f t="shared" si="181"/>
        <v>28</v>
      </c>
      <c r="F2333" s="12">
        <f t="shared" si="182"/>
        <v>66.666666666666657</v>
      </c>
      <c r="G2333" s="12" t="str">
        <f t="shared" si="183"/>
        <v>Warning</v>
      </c>
      <c r="H2333" s="13">
        <f t="shared" si="184"/>
        <v>6</v>
      </c>
      <c r="I2333" s="14">
        <f t="shared" si="180"/>
        <v>1761.21</v>
      </c>
      <c r="K2333" t="str">
        <f>[1]!revcom(C2333)</f>
        <v>GTGTGC</v>
      </c>
      <c r="L2333">
        <v>7</v>
      </c>
    </row>
    <row r="2334" spans="1:12" ht="15.6" x14ac:dyDescent="0.3">
      <c r="A2334" s="9">
        <v>2323</v>
      </c>
      <c r="B2334" s="1"/>
      <c r="C2334" s="2" t="s">
        <v>2329</v>
      </c>
      <c r="D2334" s="1"/>
      <c r="E2334" s="11">
        <f t="shared" si="181"/>
        <v>28</v>
      </c>
      <c r="F2334" s="12">
        <f t="shared" si="182"/>
        <v>66.666666666666657</v>
      </c>
      <c r="G2334" s="12" t="str">
        <f t="shared" si="183"/>
        <v>Warning</v>
      </c>
      <c r="H2334" s="13">
        <f t="shared" si="184"/>
        <v>6</v>
      </c>
      <c r="I2334" s="14">
        <f t="shared" si="180"/>
        <v>1801.2399999999998</v>
      </c>
      <c r="K2334" t="str">
        <f>[1]!revcom(C2334)</f>
        <v>CTGTGC</v>
      </c>
      <c r="L2334">
        <v>7</v>
      </c>
    </row>
    <row r="2335" spans="1:12" ht="15.6" x14ac:dyDescent="0.3">
      <c r="A2335" s="9">
        <v>2324</v>
      </c>
      <c r="B2335" s="1"/>
      <c r="C2335" s="2" t="s">
        <v>2330</v>
      </c>
      <c r="D2335" s="1"/>
      <c r="E2335" s="11">
        <f t="shared" si="181"/>
        <v>22</v>
      </c>
      <c r="F2335" s="12">
        <f t="shared" si="182"/>
        <v>50</v>
      </c>
      <c r="G2335" s="12" t="str">
        <f t="shared" si="183"/>
        <v>OK</v>
      </c>
      <c r="H2335" s="13">
        <f t="shared" si="184"/>
        <v>6</v>
      </c>
      <c r="I2335" s="14">
        <f t="shared" si="180"/>
        <v>1776.2199999999998</v>
      </c>
      <c r="K2335" t="str">
        <f>[1]!revcom(C2335)</f>
        <v>ATGTGC</v>
      </c>
      <c r="L2335">
        <v>6</v>
      </c>
    </row>
    <row r="2336" spans="1:12" ht="15.6" x14ac:dyDescent="0.3">
      <c r="A2336" s="9">
        <v>2325</v>
      </c>
      <c r="B2336" s="1"/>
      <c r="C2336" s="2" t="s">
        <v>2331</v>
      </c>
      <c r="D2336" s="1"/>
      <c r="E2336" s="11">
        <f t="shared" si="181"/>
        <v>28</v>
      </c>
      <c r="F2336" s="12">
        <f t="shared" si="182"/>
        <v>66.666666666666657</v>
      </c>
      <c r="G2336" s="12" t="str">
        <f t="shared" si="183"/>
        <v>Warning</v>
      </c>
      <c r="H2336" s="13">
        <f t="shared" si="184"/>
        <v>6</v>
      </c>
      <c r="I2336" s="14">
        <f t="shared" si="180"/>
        <v>1761.21</v>
      </c>
      <c r="K2336" t="str">
        <f>[1]!revcom(C2336)</f>
        <v>TGGTGC</v>
      </c>
      <c r="L2336">
        <v>7</v>
      </c>
    </row>
    <row r="2337" spans="1:12" ht="15.6" x14ac:dyDescent="0.3">
      <c r="A2337" s="9">
        <v>2326</v>
      </c>
      <c r="B2337" s="1"/>
      <c r="C2337" s="2" t="s">
        <v>2332</v>
      </c>
      <c r="D2337" s="1"/>
      <c r="E2337" s="11">
        <f t="shared" si="181"/>
        <v>26</v>
      </c>
      <c r="F2337" s="12">
        <f t="shared" si="182"/>
        <v>83.333333333333343</v>
      </c>
      <c r="G2337" s="12" t="str">
        <f t="shared" si="183"/>
        <v>Warning</v>
      </c>
      <c r="H2337" s="13">
        <f t="shared" si="184"/>
        <v>6</v>
      </c>
      <c r="I2337" s="14">
        <f t="shared" si="180"/>
        <v>1737.1799999999998</v>
      </c>
      <c r="K2337" t="str">
        <f>[1]!revcom(C2337)</f>
        <v>GGGTGC</v>
      </c>
      <c r="L2337">
        <v>7</v>
      </c>
    </row>
    <row r="2338" spans="1:12" ht="15.6" x14ac:dyDescent="0.3">
      <c r="A2338" s="9">
        <v>2327</v>
      </c>
      <c r="B2338" s="1"/>
      <c r="C2338" s="2" t="s">
        <v>2333</v>
      </c>
      <c r="D2338" s="1"/>
      <c r="E2338" s="11">
        <f t="shared" si="181"/>
        <v>26</v>
      </c>
      <c r="F2338" s="12">
        <f t="shared" si="182"/>
        <v>83.333333333333343</v>
      </c>
      <c r="G2338" s="12" t="str">
        <f t="shared" si="183"/>
        <v>Warning</v>
      </c>
      <c r="H2338" s="13">
        <f t="shared" si="184"/>
        <v>6</v>
      </c>
      <c r="I2338" s="14">
        <f t="shared" si="180"/>
        <v>1777.21</v>
      </c>
      <c r="K2338" t="str">
        <f>[1]!revcom(C2338)</f>
        <v>CGGTGC</v>
      </c>
      <c r="L2338">
        <v>7</v>
      </c>
    </row>
    <row r="2339" spans="1:12" ht="15.6" x14ac:dyDescent="0.3">
      <c r="A2339" s="9">
        <v>2328</v>
      </c>
      <c r="B2339" s="1"/>
      <c r="C2339" s="2" t="s">
        <v>2334</v>
      </c>
      <c r="D2339" s="1"/>
      <c r="E2339" s="11">
        <f t="shared" si="181"/>
        <v>20</v>
      </c>
      <c r="F2339" s="12">
        <f t="shared" si="182"/>
        <v>66.666666666666657</v>
      </c>
      <c r="G2339" s="12" t="str">
        <f t="shared" si="183"/>
        <v>Warning</v>
      </c>
      <c r="H2339" s="13">
        <f t="shared" si="184"/>
        <v>6</v>
      </c>
      <c r="I2339" s="14">
        <f t="shared" si="180"/>
        <v>1752.19</v>
      </c>
      <c r="K2339" t="str">
        <f>[1]!revcom(C2339)</f>
        <v>AGGTGC</v>
      </c>
      <c r="L2339">
        <v>6</v>
      </c>
    </row>
    <row r="2340" spans="1:12" ht="15.6" x14ac:dyDescent="0.3">
      <c r="A2340" s="9">
        <v>2329</v>
      </c>
      <c r="B2340" s="1"/>
      <c r="C2340" s="2" t="s">
        <v>2335</v>
      </c>
      <c r="D2340" s="1"/>
      <c r="E2340" s="11">
        <f t="shared" si="181"/>
        <v>28</v>
      </c>
      <c r="F2340" s="12">
        <f t="shared" si="182"/>
        <v>66.666666666666657</v>
      </c>
      <c r="G2340" s="12" t="str">
        <f t="shared" si="183"/>
        <v>Warning</v>
      </c>
      <c r="H2340" s="13">
        <f t="shared" si="184"/>
        <v>6</v>
      </c>
      <c r="I2340" s="14">
        <f t="shared" si="180"/>
        <v>1801.2399999999998</v>
      </c>
      <c r="K2340" t="str">
        <f>[1]!revcom(C2340)</f>
        <v>TCGTGC</v>
      </c>
      <c r="L2340">
        <v>7</v>
      </c>
    </row>
    <row r="2341" spans="1:12" ht="15.6" x14ac:dyDescent="0.3">
      <c r="A2341" s="9">
        <v>2330</v>
      </c>
      <c r="B2341" s="1"/>
      <c r="C2341" s="2" t="s">
        <v>2336</v>
      </c>
      <c r="D2341" s="1"/>
      <c r="E2341" s="11">
        <f t="shared" si="181"/>
        <v>26</v>
      </c>
      <c r="F2341" s="12">
        <f t="shared" si="182"/>
        <v>83.333333333333343</v>
      </c>
      <c r="G2341" s="12" t="str">
        <f t="shared" si="183"/>
        <v>Warning</v>
      </c>
      <c r="H2341" s="13">
        <f t="shared" si="184"/>
        <v>6</v>
      </c>
      <c r="I2341" s="14">
        <f t="shared" si="180"/>
        <v>1777.21</v>
      </c>
      <c r="K2341" t="str">
        <f>[1]!revcom(C2341)</f>
        <v>GCGTGC</v>
      </c>
      <c r="L2341">
        <v>7</v>
      </c>
    </row>
    <row r="2342" spans="1:12" ht="15.6" x14ac:dyDescent="0.3">
      <c r="A2342" s="9">
        <v>2331</v>
      </c>
      <c r="B2342" s="1"/>
      <c r="C2342" s="2" t="s">
        <v>2337</v>
      </c>
      <c r="D2342" s="1"/>
      <c r="E2342" s="11">
        <f t="shared" si="181"/>
        <v>26</v>
      </c>
      <c r="F2342" s="12">
        <f t="shared" si="182"/>
        <v>83.333333333333343</v>
      </c>
      <c r="G2342" s="12" t="str">
        <f t="shared" si="183"/>
        <v>Warning</v>
      </c>
      <c r="H2342" s="13">
        <f t="shared" si="184"/>
        <v>6</v>
      </c>
      <c r="I2342" s="14">
        <f t="shared" si="180"/>
        <v>1817.2400000000002</v>
      </c>
      <c r="K2342" t="str">
        <f>[1]!revcom(C2342)</f>
        <v>CCGTGC</v>
      </c>
      <c r="L2342">
        <v>7</v>
      </c>
    </row>
    <row r="2343" spans="1:12" ht="15.6" x14ac:dyDescent="0.3">
      <c r="A2343" s="9">
        <v>2332</v>
      </c>
      <c r="B2343" s="1"/>
      <c r="C2343" s="2" t="s">
        <v>2338</v>
      </c>
      <c r="D2343" s="1"/>
      <c r="E2343" s="11">
        <f t="shared" si="181"/>
        <v>20</v>
      </c>
      <c r="F2343" s="12">
        <f t="shared" si="182"/>
        <v>66.666666666666657</v>
      </c>
      <c r="G2343" s="12" t="str">
        <f t="shared" si="183"/>
        <v>Warning</v>
      </c>
      <c r="H2343" s="13">
        <f t="shared" si="184"/>
        <v>6</v>
      </c>
      <c r="I2343" s="14">
        <f t="shared" si="180"/>
        <v>1792.2199999999998</v>
      </c>
      <c r="K2343" t="str">
        <f>[1]!revcom(C2343)</f>
        <v>ACGTGC</v>
      </c>
      <c r="L2343">
        <v>6</v>
      </c>
    </row>
    <row r="2344" spans="1:12" ht="15.6" x14ac:dyDescent="0.3">
      <c r="A2344" s="9">
        <v>2333</v>
      </c>
      <c r="B2344" s="1"/>
      <c r="C2344" s="2" t="s">
        <v>2339</v>
      </c>
      <c r="D2344" s="1"/>
      <c r="E2344" s="11">
        <f t="shared" si="181"/>
        <v>22</v>
      </c>
      <c r="F2344" s="12">
        <f t="shared" si="182"/>
        <v>50</v>
      </c>
      <c r="G2344" s="12" t="str">
        <f t="shared" si="183"/>
        <v>OK</v>
      </c>
      <c r="H2344" s="13">
        <f t="shared" si="184"/>
        <v>6</v>
      </c>
      <c r="I2344" s="14">
        <f t="shared" si="180"/>
        <v>1776.2199999999998</v>
      </c>
      <c r="K2344" t="str">
        <f>[1]!revcom(C2344)</f>
        <v>TAGTGC</v>
      </c>
      <c r="L2344">
        <v>6</v>
      </c>
    </row>
    <row r="2345" spans="1:12" ht="15.6" x14ac:dyDescent="0.3">
      <c r="A2345" s="9">
        <v>2334</v>
      </c>
      <c r="B2345" s="1"/>
      <c r="C2345" s="2" t="s">
        <v>2340</v>
      </c>
      <c r="D2345" s="1"/>
      <c r="E2345" s="11">
        <f t="shared" si="181"/>
        <v>20</v>
      </c>
      <c r="F2345" s="12">
        <f t="shared" si="182"/>
        <v>66.666666666666657</v>
      </c>
      <c r="G2345" s="12" t="str">
        <f t="shared" si="183"/>
        <v>Warning</v>
      </c>
      <c r="H2345" s="13">
        <f t="shared" si="184"/>
        <v>6</v>
      </c>
      <c r="I2345" s="14">
        <f t="shared" si="180"/>
        <v>1752.19</v>
      </c>
      <c r="K2345" t="str">
        <f>[1]!revcom(C2345)</f>
        <v>GAGTGC</v>
      </c>
      <c r="L2345">
        <v>6</v>
      </c>
    </row>
    <row r="2346" spans="1:12" ht="15.6" x14ac:dyDescent="0.3">
      <c r="A2346" s="9">
        <v>2335</v>
      </c>
      <c r="B2346" s="1"/>
      <c r="C2346" s="2" t="s">
        <v>2341</v>
      </c>
      <c r="D2346" s="1"/>
      <c r="E2346" s="11">
        <f t="shared" si="181"/>
        <v>20</v>
      </c>
      <c r="F2346" s="12">
        <f t="shared" si="182"/>
        <v>66.666666666666657</v>
      </c>
      <c r="G2346" s="12" t="str">
        <f t="shared" si="183"/>
        <v>Warning</v>
      </c>
      <c r="H2346" s="13">
        <f t="shared" si="184"/>
        <v>6</v>
      </c>
      <c r="I2346" s="14">
        <f t="shared" si="180"/>
        <v>1792.2199999999998</v>
      </c>
      <c r="K2346" t="str">
        <f>[1]!revcom(C2346)</f>
        <v>CAGTGC</v>
      </c>
      <c r="L2346">
        <v>6</v>
      </c>
    </row>
    <row r="2347" spans="1:12" ht="15.6" x14ac:dyDescent="0.3">
      <c r="A2347" s="9">
        <v>2336</v>
      </c>
      <c r="B2347" s="1"/>
      <c r="C2347" s="2" t="s">
        <v>2342</v>
      </c>
      <c r="D2347" s="1"/>
      <c r="E2347" s="11">
        <f t="shared" si="181"/>
        <v>14</v>
      </c>
      <c r="F2347" s="12">
        <f t="shared" si="182"/>
        <v>50</v>
      </c>
      <c r="G2347" s="12" t="str">
        <f t="shared" si="183"/>
        <v>OK</v>
      </c>
      <c r="H2347" s="13">
        <f t="shared" si="184"/>
        <v>6</v>
      </c>
      <c r="I2347" s="14">
        <f t="shared" si="180"/>
        <v>1767.1999999999998</v>
      </c>
      <c r="K2347" t="str">
        <f>[1]!revcom(C2347)</f>
        <v>AAGTGC</v>
      </c>
      <c r="L2347">
        <v>5</v>
      </c>
    </row>
    <row r="2348" spans="1:12" ht="15.6" x14ac:dyDescent="0.3">
      <c r="A2348" s="9">
        <v>2337</v>
      </c>
      <c r="B2348" s="1"/>
      <c r="C2348" s="2" t="s">
        <v>2343</v>
      </c>
      <c r="D2348" s="1"/>
      <c r="E2348" s="11">
        <f t="shared" si="181"/>
        <v>30</v>
      </c>
      <c r="F2348" s="12">
        <f t="shared" si="182"/>
        <v>50</v>
      </c>
      <c r="G2348" s="12" t="str">
        <f t="shared" si="183"/>
        <v>OK</v>
      </c>
      <c r="H2348" s="13">
        <f t="shared" si="184"/>
        <v>6</v>
      </c>
      <c r="I2348" s="14">
        <f t="shared" si="180"/>
        <v>1825.27</v>
      </c>
      <c r="K2348" t="str">
        <f>[1]!revcom(C2348)</f>
        <v>TTCTGC</v>
      </c>
      <c r="L2348">
        <v>7</v>
      </c>
    </row>
    <row r="2349" spans="1:12" ht="15.6" x14ac:dyDescent="0.3">
      <c r="A2349" s="9">
        <v>2338</v>
      </c>
      <c r="B2349" s="1"/>
      <c r="C2349" s="2" t="s">
        <v>2344</v>
      </c>
      <c r="D2349" s="1"/>
      <c r="E2349" s="11">
        <f t="shared" si="181"/>
        <v>28</v>
      </c>
      <c r="F2349" s="12">
        <f t="shared" si="182"/>
        <v>66.666666666666657</v>
      </c>
      <c r="G2349" s="12" t="str">
        <f t="shared" si="183"/>
        <v>Warning</v>
      </c>
      <c r="H2349" s="13">
        <f t="shared" si="184"/>
        <v>6</v>
      </c>
      <c r="I2349" s="14">
        <f t="shared" si="180"/>
        <v>1801.2399999999998</v>
      </c>
      <c r="K2349" t="str">
        <f>[1]!revcom(C2349)</f>
        <v>GTCTGC</v>
      </c>
      <c r="L2349">
        <v>7</v>
      </c>
    </row>
    <row r="2350" spans="1:12" ht="15.6" x14ac:dyDescent="0.3">
      <c r="A2350" s="9">
        <v>2339</v>
      </c>
      <c r="B2350" s="1"/>
      <c r="C2350" s="2" t="s">
        <v>2345</v>
      </c>
      <c r="D2350" s="1"/>
      <c r="E2350" s="11">
        <f t="shared" si="181"/>
        <v>28</v>
      </c>
      <c r="F2350" s="12">
        <f t="shared" si="182"/>
        <v>66.666666666666657</v>
      </c>
      <c r="G2350" s="12" t="str">
        <f t="shared" si="183"/>
        <v>Warning</v>
      </c>
      <c r="H2350" s="13">
        <f t="shared" si="184"/>
        <v>6</v>
      </c>
      <c r="I2350" s="14">
        <f t="shared" si="180"/>
        <v>1841.27</v>
      </c>
      <c r="K2350" t="str">
        <f>[1]!revcom(C2350)</f>
        <v>CTCTGC</v>
      </c>
      <c r="L2350">
        <v>7</v>
      </c>
    </row>
    <row r="2351" spans="1:12" ht="15.6" x14ac:dyDescent="0.3">
      <c r="A2351" s="9">
        <v>2340</v>
      </c>
      <c r="B2351" s="1"/>
      <c r="C2351" s="2" t="s">
        <v>2346</v>
      </c>
      <c r="D2351" s="1"/>
      <c r="E2351" s="11">
        <f t="shared" si="181"/>
        <v>22</v>
      </c>
      <c r="F2351" s="12">
        <f t="shared" si="182"/>
        <v>50</v>
      </c>
      <c r="G2351" s="12" t="str">
        <f t="shared" si="183"/>
        <v>OK</v>
      </c>
      <c r="H2351" s="13">
        <f t="shared" si="184"/>
        <v>6</v>
      </c>
      <c r="I2351" s="14">
        <f t="shared" si="180"/>
        <v>1816.25</v>
      </c>
      <c r="K2351" t="str">
        <f>[1]!revcom(C2351)</f>
        <v>ATCTGC</v>
      </c>
      <c r="L2351">
        <v>6</v>
      </c>
    </row>
    <row r="2352" spans="1:12" ht="15.6" x14ac:dyDescent="0.3">
      <c r="A2352" s="9">
        <v>2341</v>
      </c>
      <c r="B2352" s="1"/>
      <c r="C2352" s="2" t="s">
        <v>2347</v>
      </c>
      <c r="D2352" s="1"/>
      <c r="E2352" s="11">
        <f t="shared" si="181"/>
        <v>28</v>
      </c>
      <c r="F2352" s="12">
        <f t="shared" si="182"/>
        <v>66.666666666666657</v>
      </c>
      <c r="G2352" s="12" t="str">
        <f t="shared" si="183"/>
        <v>Warning</v>
      </c>
      <c r="H2352" s="13">
        <f t="shared" si="184"/>
        <v>6</v>
      </c>
      <c r="I2352" s="14">
        <f t="shared" si="180"/>
        <v>1801.2399999999998</v>
      </c>
      <c r="K2352" t="str">
        <f>[1]!revcom(C2352)</f>
        <v>TGCTGC</v>
      </c>
      <c r="L2352">
        <v>7</v>
      </c>
    </row>
    <row r="2353" spans="1:12" ht="15.6" x14ac:dyDescent="0.3">
      <c r="A2353" s="9">
        <v>2342</v>
      </c>
      <c r="B2353" s="1"/>
      <c r="C2353" s="2" t="s">
        <v>2348</v>
      </c>
      <c r="D2353" s="1"/>
      <c r="E2353" s="11">
        <f t="shared" si="181"/>
        <v>26</v>
      </c>
      <c r="F2353" s="12">
        <f t="shared" si="182"/>
        <v>83.333333333333343</v>
      </c>
      <c r="G2353" s="12" t="str">
        <f t="shared" si="183"/>
        <v>Warning</v>
      </c>
      <c r="H2353" s="13">
        <f t="shared" si="184"/>
        <v>6</v>
      </c>
      <c r="I2353" s="14">
        <f t="shared" si="180"/>
        <v>1777.21</v>
      </c>
      <c r="K2353" t="str">
        <f>[1]!revcom(C2353)</f>
        <v>GGCTGC</v>
      </c>
      <c r="L2353">
        <v>7</v>
      </c>
    </row>
    <row r="2354" spans="1:12" ht="15.6" x14ac:dyDescent="0.3">
      <c r="A2354" s="9">
        <v>2343</v>
      </c>
      <c r="B2354" s="1"/>
      <c r="C2354" s="2" t="s">
        <v>2349</v>
      </c>
      <c r="D2354" s="1"/>
      <c r="E2354" s="11">
        <f t="shared" si="181"/>
        <v>26</v>
      </c>
      <c r="F2354" s="12">
        <f t="shared" si="182"/>
        <v>83.333333333333343</v>
      </c>
      <c r="G2354" s="12" t="str">
        <f t="shared" si="183"/>
        <v>Warning</v>
      </c>
      <c r="H2354" s="13">
        <f t="shared" si="184"/>
        <v>6</v>
      </c>
      <c r="I2354" s="14">
        <f t="shared" si="180"/>
        <v>1817.2400000000002</v>
      </c>
      <c r="K2354" t="str">
        <f>[1]!revcom(C2354)</f>
        <v>CGCTGC</v>
      </c>
      <c r="L2354">
        <v>7</v>
      </c>
    </row>
    <row r="2355" spans="1:12" ht="15.6" x14ac:dyDescent="0.3">
      <c r="A2355" s="9">
        <v>2344</v>
      </c>
      <c r="B2355" s="1"/>
      <c r="C2355" s="2" t="s">
        <v>2350</v>
      </c>
      <c r="D2355" s="1"/>
      <c r="E2355" s="11">
        <f t="shared" si="181"/>
        <v>20</v>
      </c>
      <c r="F2355" s="12">
        <f t="shared" si="182"/>
        <v>66.666666666666657</v>
      </c>
      <c r="G2355" s="12" t="str">
        <f t="shared" si="183"/>
        <v>Warning</v>
      </c>
      <c r="H2355" s="13">
        <f t="shared" si="184"/>
        <v>6</v>
      </c>
      <c r="I2355" s="14">
        <f t="shared" si="180"/>
        <v>1792.2199999999998</v>
      </c>
      <c r="K2355" t="str">
        <f>[1]!revcom(C2355)</f>
        <v>AGCTGC</v>
      </c>
      <c r="L2355">
        <v>6</v>
      </c>
    </row>
    <row r="2356" spans="1:12" ht="15.6" x14ac:dyDescent="0.3">
      <c r="A2356" s="9">
        <v>2345</v>
      </c>
      <c r="B2356" s="1"/>
      <c r="C2356" s="2" t="s">
        <v>2351</v>
      </c>
      <c r="D2356" s="1"/>
      <c r="E2356" s="11">
        <f t="shared" si="181"/>
        <v>28</v>
      </c>
      <c r="F2356" s="12">
        <f t="shared" si="182"/>
        <v>66.666666666666657</v>
      </c>
      <c r="G2356" s="12" t="str">
        <f t="shared" si="183"/>
        <v>Warning</v>
      </c>
      <c r="H2356" s="13">
        <f t="shared" si="184"/>
        <v>6</v>
      </c>
      <c r="I2356" s="14">
        <f t="shared" si="180"/>
        <v>1841.27</v>
      </c>
      <c r="K2356" t="str">
        <f>[1]!revcom(C2356)</f>
        <v>TCCTGC</v>
      </c>
      <c r="L2356">
        <v>7</v>
      </c>
    </row>
    <row r="2357" spans="1:12" ht="15.6" x14ac:dyDescent="0.3">
      <c r="A2357" s="9">
        <v>2346</v>
      </c>
      <c r="B2357" s="1"/>
      <c r="C2357" s="2" t="s">
        <v>2352</v>
      </c>
      <c r="D2357" s="1"/>
      <c r="E2357" s="11">
        <f t="shared" si="181"/>
        <v>26</v>
      </c>
      <c r="F2357" s="12">
        <f t="shared" si="182"/>
        <v>83.333333333333343</v>
      </c>
      <c r="G2357" s="12" t="str">
        <f t="shared" si="183"/>
        <v>Warning</v>
      </c>
      <c r="H2357" s="13">
        <f t="shared" si="184"/>
        <v>6</v>
      </c>
      <c r="I2357" s="14">
        <f t="shared" si="180"/>
        <v>1817.2400000000002</v>
      </c>
      <c r="K2357" t="str">
        <f>[1]!revcom(C2357)</f>
        <v>GCCTGC</v>
      </c>
      <c r="L2357">
        <v>7</v>
      </c>
    </row>
    <row r="2358" spans="1:12" ht="15.6" x14ac:dyDescent="0.3">
      <c r="A2358" s="9">
        <v>2347</v>
      </c>
      <c r="B2358" s="1"/>
      <c r="C2358" s="2" t="s">
        <v>2353</v>
      </c>
      <c r="D2358" s="1"/>
      <c r="E2358" s="11">
        <f t="shared" si="181"/>
        <v>26</v>
      </c>
      <c r="F2358" s="12">
        <f t="shared" si="182"/>
        <v>83.333333333333343</v>
      </c>
      <c r="G2358" s="12" t="str">
        <f t="shared" si="183"/>
        <v>Warning</v>
      </c>
      <c r="H2358" s="13">
        <f t="shared" si="184"/>
        <v>6</v>
      </c>
      <c r="I2358" s="14">
        <f t="shared" si="180"/>
        <v>1857.27</v>
      </c>
      <c r="K2358" t="str">
        <f>[1]!revcom(C2358)</f>
        <v>CCCTGC</v>
      </c>
      <c r="L2358">
        <v>7</v>
      </c>
    </row>
    <row r="2359" spans="1:12" ht="15.6" x14ac:dyDescent="0.3">
      <c r="A2359" s="9">
        <v>2348</v>
      </c>
      <c r="B2359" s="1"/>
      <c r="C2359" s="2" t="s">
        <v>2354</v>
      </c>
      <c r="D2359" s="1"/>
      <c r="E2359" s="11">
        <f t="shared" si="181"/>
        <v>20</v>
      </c>
      <c r="F2359" s="12">
        <f t="shared" si="182"/>
        <v>66.666666666666657</v>
      </c>
      <c r="G2359" s="12" t="str">
        <f t="shared" si="183"/>
        <v>Warning</v>
      </c>
      <c r="H2359" s="13">
        <f t="shared" si="184"/>
        <v>6</v>
      </c>
      <c r="I2359" s="14">
        <f t="shared" si="180"/>
        <v>1832.25</v>
      </c>
      <c r="K2359" t="str">
        <f>[1]!revcom(C2359)</f>
        <v>ACCTGC</v>
      </c>
      <c r="L2359">
        <v>6</v>
      </c>
    </row>
    <row r="2360" spans="1:12" ht="15.6" x14ac:dyDescent="0.3">
      <c r="A2360" s="9">
        <v>2349</v>
      </c>
      <c r="B2360" s="1"/>
      <c r="C2360" s="2" t="s">
        <v>2355</v>
      </c>
      <c r="D2360" s="1"/>
      <c r="E2360" s="11">
        <f t="shared" si="181"/>
        <v>22</v>
      </c>
      <c r="F2360" s="12">
        <f t="shared" si="182"/>
        <v>50</v>
      </c>
      <c r="G2360" s="12" t="str">
        <f t="shared" si="183"/>
        <v>OK</v>
      </c>
      <c r="H2360" s="13">
        <f t="shared" si="184"/>
        <v>6</v>
      </c>
      <c r="I2360" s="14">
        <f t="shared" si="180"/>
        <v>1816.25</v>
      </c>
      <c r="K2360" t="str">
        <f>[1]!revcom(C2360)</f>
        <v>TACTGC</v>
      </c>
      <c r="L2360">
        <v>6</v>
      </c>
    </row>
    <row r="2361" spans="1:12" ht="15.6" x14ac:dyDescent="0.3">
      <c r="A2361" s="9">
        <v>2350</v>
      </c>
      <c r="B2361" s="1"/>
      <c r="C2361" s="2" t="s">
        <v>2356</v>
      </c>
      <c r="D2361" s="1"/>
      <c r="E2361" s="11">
        <f t="shared" si="181"/>
        <v>20</v>
      </c>
      <c r="F2361" s="12">
        <f t="shared" si="182"/>
        <v>66.666666666666657</v>
      </c>
      <c r="G2361" s="12" t="str">
        <f t="shared" si="183"/>
        <v>Warning</v>
      </c>
      <c r="H2361" s="13">
        <f t="shared" si="184"/>
        <v>6</v>
      </c>
      <c r="I2361" s="14">
        <f t="shared" si="180"/>
        <v>1792.2199999999998</v>
      </c>
      <c r="K2361" t="str">
        <f>[1]!revcom(C2361)</f>
        <v>GACTGC</v>
      </c>
      <c r="L2361">
        <v>6</v>
      </c>
    </row>
    <row r="2362" spans="1:12" ht="15.6" x14ac:dyDescent="0.3">
      <c r="A2362" s="9">
        <v>2351</v>
      </c>
      <c r="B2362" s="1"/>
      <c r="C2362" s="2" t="s">
        <v>2357</v>
      </c>
      <c r="D2362" s="1"/>
      <c r="E2362" s="11">
        <f t="shared" si="181"/>
        <v>20</v>
      </c>
      <c r="F2362" s="12">
        <f t="shared" si="182"/>
        <v>66.666666666666657</v>
      </c>
      <c r="G2362" s="12" t="str">
        <f t="shared" si="183"/>
        <v>Warning</v>
      </c>
      <c r="H2362" s="13">
        <f t="shared" si="184"/>
        <v>6</v>
      </c>
      <c r="I2362" s="14">
        <f t="shared" si="180"/>
        <v>1832.25</v>
      </c>
      <c r="K2362" t="str">
        <f>[1]!revcom(C2362)</f>
        <v>CACTGC</v>
      </c>
      <c r="L2362">
        <v>6</v>
      </c>
    </row>
    <row r="2363" spans="1:12" ht="15.6" x14ac:dyDescent="0.3">
      <c r="A2363" s="9">
        <v>2352</v>
      </c>
      <c r="B2363" s="1"/>
      <c r="C2363" s="2" t="s">
        <v>2358</v>
      </c>
      <c r="D2363" s="1"/>
      <c r="E2363" s="11">
        <f t="shared" si="181"/>
        <v>14</v>
      </c>
      <c r="F2363" s="12">
        <f t="shared" si="182"/>
        <v>50</v>
      </c>
      <c r="G2363" s="12" t="str">
        <f t="shared" si="183"/>
        <v>OK</v>
      </c>
      <c r="H2363" s="13">
        <f t="shared" si="184"/>
        <v>6</v>
      </c>
      <c r="I2363" s="14">
        <f t="shared" si="180"/>
        <v>1807.23</v>
      </c>
      <c r="K2363" t="str">
        <f>[1]!revcom(C2363)</f>
        <v>AACTGC</v>
      </c>
      <c r="L2363">
        <v>5</v>
      </c>
    </row>
    <row r="2364" spans="1:12" ht="15.6" x14ac:dyDescent="0.3">
      <c r="A2364" s="9">
        <v>2353</v>
      </c>
      <c r="B2364" s="1"/>
      <c r="C2364" s="2" t="s">
        <v>2359</v>
      </c>
      <c r="D2364" s="1"/>
      <c r="E2364" s="11">
        <f t="shared" si="181"/>
        <v>24</v>
      </c>
      <c r="F2364" s="12">
        <f t="shared" si="182"/>
        <v>33.333333333333329</v>
      </c>
      <c r="G2364" s="12" t="str">
        <f t="shared" si="183"/>
        <v>OK</v>
      </c>
      <c r="H2364" s="13">
        <f t="shared" si="184"/>
        <v>6</v>
      </c>
      <c r="I2364" s="14">
        <f t="shared" si="180"/>
        <v>1800.25</v>
      </c>
      <c r="K2364" t="str">
        <f>[1]!revcom(C2364)</f>
        <v>TTATGC</v>
      </c>
      <c r="L2364">
        <v>6</v>
      </c>
    </row>
    <row r="2365" spans="1:12" ht="15.6" x14ac:dyDescent="0.3">
      <c r="A2365" s="9">
        <v>2354</v>
      </c>
      <c r="B2365" s="1"/>
      <c r="C2365" s="2" t="s">
        <v>2360</v>
      </c>
      <c r="D2365" s="1"/>
      <c r="E2365" s="11">
        <f t="shared" si="181"/>
        <v>22</v>
      </c>
      <c r="F2365" s="12">
        <f t="shared" si="182"/>
        <v>50</v>
      </c>
      <c r="G2365" s="12" t="str">
        <f t="shared" si="183"/>
        <v>OK</v>
      </c>
      <c r="H2365" s="13">
        <f t="shared" si="184"/>
        <v>6</v>
      </c>
      <c r="I2365" s="14">
        <f t="shared" si="180"/>
        <v>1776.2199999999998</v>
      </c>
      <c r="K2365" t="str">
        <f>[1]!revcom(C2365)</f>
        <v>GTATGC</v>
      </c>
      <c r="L2365">
        <v>6</v>
      </c>
    </row>
    <row r="2366" spans="1:12" ht="15.6" x14ac:dyDescent="0.3">
      <c r="A2366" s="9">
        <v>2355</v>
      </c>
      <c r="B2366" s="1"/>
      <c r="C2366" s="2" t="s">
        <v>2361</v>
      </c>
      <c r="D2366" s="1"/>
      <c r="E2366" s="11">
        <f t="shared" si="181"/>
        <v>22</v>
      </c>
      <c r="F2366" s="12">
        <f t="shared" si="182"/>
        <v>50</v>
      </c>
      <c r="G2366" s="12" t="str">
        <f t="shared" si="183"/>
        <v>OK</v>
      </c>
      <c r="H2366" s="13">
        <f t="shared" si="184"/>
        <v>6</v>
      </c>
      <c r="I2366" s="14">
        <f t="shared" si="180"/>
        <v>1816.25</v>
      </c>
      <c r="K2366" t="str">
        <f>[1]!revcom(C2366)</f>
        <v>CTATGC</v>
      </c>
      <c r="L2366">
        <v>6</v>
      </c>
    </row>
    <row r="2367" spans="1:12" ht="15.6" x14ac:dyDescent="0.3">
      <c r="A2367" s="9">
        <v>2356</v>
      </c>
      <c r="B2367" s="1"/>
      <c r="C2367" s="2" t="s">
        <v>2362</v>
      </c>
      <c r="D2367" s="1"/>
      <c r="E2367" s="11">
        <f t="shared" si="181"/>
        <v>16</v>
      </c>
      <c r="F2367" s="12">
        <f t="shared" si="182"/>
        <v>33.333333333333329</v>
      </c>
      <c r="G2367" s="12" t="str">
        <f t="shared" si="183"/>
        <v>OK</v>
      </c>
      <c r="H2367" s="13">
        <f t="shared" si="184"/>
        <v>6</v>
      </c>
      <c r="I2367" s="14">
        <f t="shared" si="180"/>
        <v>1791.23</v>
      </c>
      <c r="K2367" t="str">
        <f>[1]!revcom(C2367)</f>
        <v>ATATGC</v>
      </c>
      <c r="L2367">
        <v>5</v>
      </c>
    </row>
    <row r="2368" spans="1:12" ht="15.6" x14ac:dyDescent="0.3">
      <c r="A2368" s="9">
        <v>2357</v>
      </c>
      <c r="B2368" s="1"/>
      <c r="C2368" s="2" t="s">
        <v>2363</v>
      </c>
      <c r="D2368" s="1"/>
      <c r="E2368" s="11">
        <f t="shared" si="181"/>
        <v>22</v>
      </c>
      <c r="F2368" s="12">
        <f t="shared" si="182"/>
        <v>50</v>
      </c>
      <c r="G2368" s="12" t="str">
        <f t="shared" si="183"/>
        <v>OK</v>
      </c>
      <c r="H2368" s="13">
        <f t="shared" si="184"/>
        <v>6</v>
      </c>
      <c r="I2368" s="14">
        <f t="shared" si="180"/>
        <v>1776.2199999999998</v>
      </c>
      <c r="K2368" t="str">
        <f>[1]!revcom(C2368)</f>
        <v>TGATGC</v>
      </c>
      <c r="L2368">
        <v>6</v>
      </c>
    </row>
    <row r="2369" spans="1:12" ht="15.6" x14ac:dyDescent="0.3">
      <c r="A2369" s="9">
        <v>2358</v>
      </c>
      <c r="B2369" s="1"/>
      <c r="C2369" s="2" t="s">
        <v>2364</v>
      </c>
      <c r="D2369" s="1"/>
      <c r="E2369" s="11">
        <f t="shared" si="181"/>
        <v>20</v>
      </c>
      <c r="F2369" s="12">
        <f t="shared" si="182"/>
        <v>66.666666666666657</v>
      </c>
      <c r="G2369" s="12" t="str">
        <f t="shared" si="183"/>
        <v>Warning</v>
      </c>
      <c r="H2369" s="13">
        <f t="shared" si="184"/>
        <v>6</v>
      </c>
      <c r="I2369" s="14">
        <f t="shared" si="180"/>
        <v>1752.19</v>
      </c>
      <c r="K2369" t="str">
        <f>[1]!revcom(C2369)</f>
        <v>GGATGC</v>
      </c>
      <c r="L2369">
        <v>6</v>
      </c>
    </row>
    <row r="2370" spans="1:12" ht="15.6" x14ac:dyDescent="0.3">
      <c r="A2370" s="9">
        <v>2359</v>
      </c>
      <c r="B2370" s="1"/>
      <c r="C2370" s="2" t="s">
        <v>2365</v>
      </c>
      <c r="D2370" s="1"/>
      <c r="E2370" s="11">
        <f t="shared" si="181"/>
        <v>20</v>
      </c>
      <c r="F2370" s="12">
        <f t="shared" si="182"/>
        <v>66.666666666666657</v>
      </c>
      <c r="G2370" s="12" t="str">
        <f t="shared" si="183"/>
        <v>Warning</v>
      </c>
      <c r="H2370" s="13">
        <f t="shared" si="184"/>
        <v>6</v>
      </c>
      <c r="I2370" s="14">
        <f t="shared" si="180"/>
        <v>1792.2199999999998</v>
      </c>
      <c r="K2370" t="str">
        <f>[1]!revcom(C2370)</f>
        <v>CGATGC</v>
      </c>
      <c r="L2370">
        <v>6</v>
      </c>
    </row>
    <row r="2371" spans="1:12" ht="15.6" x14ac:dyDescent="0.3">
      <c r="A2371" s="9">
        <v>2360</v>
      </c>
      <c r="B2371" s="1"/>
      <c r="C2371" s="2" t="s">
        <v>2366</v>
      </c>
      <c r="D2371" s="1"/>
      <c r="E2371" s="11">
        <f t="shared" si="181"/>
        <v>14</v>
      </c>
      <c r="F2371" s="12">
        <f t="shared" si="182"/>
        <v>50</v>
      </c>
      <c r="G2371" s="12" t="str">
        <f t="shared" si="183"/>
        <v>OK</v>
      </c>
      <c r="H2371" s="13">
        <f t="shared" si="184"/>
        <v>6</v>
      </c>
      <c r="I2371" s="14">
        <f t="shared" si="180"/>
        <v>1767.1999999999998</v>
      </c>
      <c r="K2371" t="str">
        <f>[1]!revcom(C2371)</f>
        <v>AGATGC</v>
      </c>
      <c r="L2371">
        <v>5</v>
      </c>
    </row>
    <row r="2372" spans="1:12" ht="15.6" x14ac:dyDescent="0.3">
      <c r="A2372" s="9">
        <v>2361</v>
      </c>
      <c r="B2372" s="1"/>
      <c r="C2372" s="2" t="s">
        <v>2367</v>
      </c>
      <c r="D2372" s="1"/>
      <c r="E2372" s="11">
        <f t="shared" si="181"/>
        <v>22</v>
      </c>
      <c r="F2372" s="12">
        <f t="shared" si="182"/>
        <v>50</v>
      </c>
      <c r="G2372" s="12" t="str">
        <f t="shared" si="183"/>
        <v>OK</v>
      </c>
      <c r="H2372" s="13">
        <f t="shared" si="184"/>
        <v>6</v>
      </c>
      <c r="I2372" s="14">
        <f t="shared" si="180"/>
        <v>1816.25</v>
      </c>
      <c r="K2372" t="str">
        <f>[1]!revcom(C2372)</f>
        <v>TCATGC</v>
      </c>
      <c r="L2372">
        <v>6</v>
      </c>
    </row>
    <row r="2373" spans="1:12" ht="15.6" x14ac:dyDescent="0.3">
      <c r="A2373" s="9">
        <v>2362</v>
      </c>
      <c r="B2373" s="1"/>
      <c r="C2373" s="2" t="s">
        <v>2368</v>
      </c>
      <c r="D2373" s="1"/>
      <c r="E2373" s="11">
        <f t="shared" si="181"/>
        <v>20</v>
      </c>
      <c r="F2373" s="12">
        <f t="shared" si="182"/>
        <v>66.666666666666657</v>
      </c>
      <c r="G2373" s="12" t="str">
        <f t="shared" si="183"/>
        <v>Warning</v>
      </c>
      <c r="H2373" s="13">
        <f t="shared" si="184"/>
        <v>6</v>
      </c>
      <c r="I2373" s="14">
        <f t="shared" si="180"/>
        <v>1792.2199999999998</v>
      </c>
      <c r="K2373" t="str">
        <f>[1]!revcom(C2373)</f>
        <v>GCATGC</v>
      </c>
      <c r="L2373">
        <v>6</v>
      </c>
    </row>
    <row r="2374" spans="1:12" ht="15.6" x14ac:dyDescent="0.3">
      <c r="A2374" s="9">
        <v>2363</v>
      </c>
      <c r="B2374" s="1"/>
      <c r="C2374" s="2" t="s">
        <v>2369</v>
      </c>
      <c r="D2374" s="1"/>
      <c r="E2374" s="11">
        <f t="shared" si="181"/>
        <v>20</v>
      </c>
      <c r="F2374" s="12">
        <f t="shared" si="182"/>
        <v>66.666666666666657</v>
      </c>
      <c r="G2374" s="12" t="str">
        <f t="shared" si="183"/>
        <v>Warning</v>
      </c>
      <c r="H2374" s="13">
        <f t="shared" si="184"/>
        <v>6</v>
      </c>
      <c r="I2374" s="14">
        <f t="shared" si="180"/>
        <v>1832.25</v>
      </c>
      <c r="K2374" t="str">
        <f>[1]!revcom(C2374)</f>
        <v>CCATGC</v>
      </c>
      <c r="L2374">
        <v>6</v>
      </c>
    </row>
    <row r="2375" spans="1:12" ht="15.6" x14ac:dyDescent="0.3">
      <c r="A2375" s="9">
        <v>2364</v>
      </c>
      <c r="B2375" s="1"/>
      <c r="C2375" s="2" t="s">
        <v>2370</v>
      </c>
      <c r="D2375" s="1"/>
      <c r="E2375" s="11">
        <f t="shared" si="181"/>
        <v>14</v>
      </c>
      <c r="F2375" s="12">
        <f t="shared" si="182"/>
        <v>50</v>
      </c>
      <c r="G2375" s="12" t="str">
        <f t="shared" si="183"/>
        <v>OK</v>
      </c>
      <c r="H2375" s="13">
        <f t="shared" si="184"/>
        <v>6</v>
      </c>
      <c r="I2375" s="14">
        <f t="shared" si="180"/>
        <v>1807.23</v>
      </c>
      <c r="K2375" t="str">
        <f>[1]!revcom(C2375)</f>
        <v>ACATGC</v>
      </c>
      <c r="L2375">
        <v>5</v>
      </c>
    </row>
    <row r="2376" spans="1:12" ht="15.6" x14ac:dyDescent="0.3">
      <c r="A2376" s="9">
        <v>2365</v>
      </c>
      <c r="B2376" s="1"/>
      <c r="C2376" s="2" t="s">
        <v>2371</v>
      </c>
      <c r="D2376" s="1"/>
      <c r="E2376" s="11">
        <f t="shared" si="181"/>
        <v>16</v>
      </c>
      <c r="F2376" s="12">
        <f t="shared" si="182"/>
        <v>33.333333333333329</v>
      </c>
      <c r="G2376" s="12" t="str">
        <f t="shared" si="183"/>
        <v>OK</v>
      </c>
      <c r="H2376" s="13">
        <f t="shared" si="184"/>
        <v>6</v>
      </c>
      <c r="I2376" s="14">
        <f t="shared" si="180"/>
        <v>1791.23</v>
      </c>
      <c r="K2376" t="str">
        <f>[1]!revcom(C2376)</f>
        <v>TAATGC</v>
      </c>
      <c r="L2376">
        <v>5</v>
      </c>
    </row>
    <row r="2377" spans="1:12" ht="15.6" x14ac:dyDescent="0.3">
      <c r="A2377" s="9">
        <v>2366</v>
      </c>
      <c r="B2377" s="1"/>
      <c r="C2377" s="2" t="s">
        <v>2372</v>
      </c>
      <c r="D2377" s="1"/>
      <c r="E2377" s="11">
        <f t="shared" si="181"/>
        <v>14</v>
      </c>
      <c r="F2377" s="12">
        <f t="shared" si="182"/>
        <v>50</v>
      </c>
      <c r="G2377" s="12" t="str">
        <f t="shared" si="183"/>
        <v>OK</v>
      </c>
      <c r="H2377" s="13">
        <f t="shared" si="184"/>
        <v>6</v>
      </c>
      <c r="I2377" s="14">
        <f t="shared" si="180"/>
        <v>1767.1999999999998</v>
      </c>
      <c r="K2377" t="str">
        <f>[1]!revcom(C2377)</f>
        <v>GAATGC</v>
      </c>
      <c r="L2377">
        <v>5</v>
      </c>
    </row>
    <row r="2378" spans="1:12" ht="15.6" x14ac:dyDescent="0.3">
      <c r="A2378" s="9">
        <v>2367</v>
      </c>
      <c r="B2378" s="1"/>
      <c r="C2378" s="2" t="s">
        <v>2373</v>
      </c>
      <c r="D2378" s="1"/>
      <c r="E2378" s="11">
        <f t="shared" si="181"/>
        <v>14</v>
      </c>
      <c r="F2378" s="12">
        <f t="shared" si="182"/>
        <v>50</v>
      </c>
      <c r="G2378" s="12" t="str">
        <f t="shared" si="183"/>
        <v>OK</v>
      </c>
      <c r="H2378" s="13">
        <f t="shared" si="184"/>
        <v>6</v>
      </c>
      <c r="I2378" s="14">
        <f t="shared" si="180"/>
        <v>1807.23</v>
      </c>
      <c r="K2378" t="str">
        <f>[1]!revcom(C2378)</f>
        <v>CAATGC</v>
      </c>
      <c r="L2378">
        <v>5</v>
      </c>
    </row>
    <row r="2379" spans="1:12" ht="15.6" x14ac:dyDescent="0.3">
      <c r="A2379" s="9">
        <v>2368</v>
      </c>
      <c r="B2379" s="1"/>
      <c r="C2379" s="2" t="s">
        <v>2374</v>
      </c>
      <c r="D2379" s="1"/>
      <c r="E2379" s="11">
        <f t="shared" si="181"/>
        <v>8</v>
      </c>
      <c r="F2379" s="12">
        <f t="shared" si="182"/>
        <v>33.333333333333329</v>
      </c>
      <c r="G2379" s="12" t="str">
        <f t="shared" si="183"/>
        <v>OK</v>
      </c>
      <c r="H2379" s="13">
        <f t="shared" si="184"/>
        <v>6</v>
      </c>
      <c r="I2379" s="14">
        <f t="shared" si="180"/>
        <v>1782.21</v>
      </c>
      <c r="K2379" t="str">
        <f>[1]!revcom(C2379)</f>
        <v>AAATGC</v>
      </c>
      <c r="L2379">
        <v>4</v>
      </c>
    </row>
    <row r="2380" spans="1:12" ht="15.6" x14ac:dyDescent="0.3">
      <c r="A2380" s="9">
        <v>2369</v>
      </c>
      <c r="B2380" s="1"/>
      <c r="C2380" s="2" t="s">
        <v>2375</v>
      </c>
      <c r="D2380" s="1"/>
      <c r="E2380" s="11">
        <f t="shared" si="181"/>
        <v>30</v>
      </c>
      <c r="F2380" s="12">
        <f t="shared" si="182"/>
        <v>50</v>
      </c>
      <c r="G2380" s="12" t="str">
        <f t="shared" si="183"/>
        <v>OK</v>
      </c>
      <c r="H2380" s="13">
        <f t="shared" si="184"/>
        <v>6</v>
      </c>
      <c r="I2380" s="14">
        <f t="shared" si="180"/>
        <v>1785.2399999999998</v>
      </c>
      <c r="K2380" t="str">
        <f>[1]!revcom(C2380)</f>
        <v>TTTGGC</v>
      </c>
      <c r="L2380">
        <v>7</v>
      </c>
    </row>
    <row r="2381" spans="1:12" ht="15.6" x14ac:dyDescent="0.3">
      <c r="A2381" s="9">
        <v>2370</v>
      </c>
      <c r="B2381" s="1"/>
      <c r="C2381" s="2" t="s">
        <v>2376</v>
      </c>
      <c r="D2381" s="1"/>
      <c r="E2381" s="11">
        <f t="shared" si="181"/>
        <v>28</v>
      </c>
      <c r="F2381" s="12">
        <f t="shared" si="182"/>
        <v>66.666666666666657</v>
      </c>
      <c r="G2381" s="12" t="str">
        <f t="shared" si="183"/>
        <v>Warning</v>
      </c>
      <c r="H2381" s="13">
        <f t="shared" si="184"/>
        <v>6</v>
      </c>
      <c r="I2381" s="14">
        <f t="shared" ref="I2381:I2444" si="185">((LEN(C2381)-(LEN(SUBSTITUTE(C2381,"A",""))))*249.23)+((LEN(C2381)-(LEN(SUBSTITUTE(C2381,"T",""))))*240.21)+((LEN(C2381)-(LEN(SUBSTITUTE(C2381,"C",""))))*225.2)+((LEN(C2381)-(LEN(SUBSTITUTE(C2381,"G",""))))*265.23)+(63.98*(LEN(C2381)-1)+(2.02))</f>
        <v>1761.21</v>
      </c>
      <c r="K2381" t="str">
        <f>[1]!revcom(C2381)</f>
        <v>GTTGGC</v>
      </c>
      <c r="L2381">
        <v>7</v>
      </c>
    </row>
    <row r="2382" spans="1:12" ht="15.6" x14ac:dyDescent="0.3">
      <c r="A2382" s="9">
        <v>2371</v>
      </c>
      <c r="B2382" s="1"/>
      <c r="C2382" s="2" t="s">
        <v>2377</v>
      </c>
      <c r="D2382" s="1"/>
      <c r="E2382" s="11">
        <f t="shared" ref="E2382:E2445" si="186">IF(LEN(C2382)&gt;15,(69.3+((41*((LEN(C2382)-(((LEN(C2382)-(LEN(SUBSTITUTE(C2382,"A",""))))+((LEN(C2382)-(LEN(SUBSTITUTE(C2382,"T","")))))))))/(LEN(C2382)))-(650/(LEN(C2382))))),(2*((LEN(C2382)-(((LEN(C2382)-(LEN(SUBSTITUTE(C2382,"C",""))))+((LEN(C2382)-(LEN(SUBSTITUTE(C2382,"G",""))))))))))+(4*((LEN(C2382)-(((LEN(C2382)-(LEN(SUBSTITUTE(C2382,"T",""))))+((LEN(C2382)-(LEN(SUBSTITUTE(C2382,"T","")))))))))))</f>
        <v>28</v>
      </c>
      <c r="F2382" s="12">
        <f t="shared" ref="F2382:F2445" si="187">((LEN(C2382)- LEN(SUBSTITUTE(C2382,"G","")))+(LEN(C2382)- LEN(SUBSTITUTE(C2382,"C",""))) )/LEN(C2382)*100</f>
        <v>66.666666666666657</v>
      </c>
      <c r="G2382" s="12" t="str">
        <f t="shared" ref="G2382:G2445" si="188">IF((-5+((LEN(SUBSTITUTE(RIGHT(C2382,5),"C","")))+((LEN(SUBSTITUTE(RIGHT(C2382,5),"G",""))))))&gt;=3,"OK","Warning")</f>
        <v>Warning</v>
      </c>
      <c r="H2382" s="13">
        <f t="shared" ref="H2382:H2445" si="189">LEN(C2382)</f>
        <v>6</v>
      </c>
      <c r="I2382" s="14">
        <f t="shared" si="185"/>
        <v>1801.2399999999998</v>
      </c>
      <c r="K2382" t="str">
        <f>[1]!revcom(C2382)</f>
        <v>CTTGGC</v>
      </c>
      <c r="L2382">
        <v>7</v>
      </c>
    </row>
    <row r="2383" spans="1:12" ht="15.6" x14ac:dyDescent="0.3">
      <c r="A2383" s="9">
        <v>2372</v>
      </c>
      <c r="B2383" s="1"/>
      <c r="C2383" s="2" t="s">
        <v>2378</v>
      </c>
      <c r="D2383" s="1"/>
      <c r="E2383" s="11">
        <f t="shared" si="186"/>
        <v>22</v>
      </c>
      <c r="F2383" s="12">
        <f t="shared" si="187"/>
        <v>50</v>
      </c>
      <c r="G2383" s="12" t="str">
        <f t="shared" si="188"/>
        <v>OK</v>
      </c>
      <c r="H2383" s="13">
        <f t="shared" si="189"/>
        <v>6</v>
      </c>
      <c r="I2383" s="14">
        <f t="shared" si="185"/>
        <v>1776.2199999999998</v>
      </c>
      <c r="K2383" t="str">
        <f>[1]!revcom(C2383)</f>
        <v>ATTGGC</v>
      </c>
      <c r="L2383">
        <v>6</v>
      </c>
    </row>
    <row r="2384" spans="1:12" ht="15.6" x14ac:dyDescent="0.3">
      <c r="A2384" s="9">
        <v>2373</v>
      </c>
      <c r="B2384" s="1"/>
      <c r="C2384" s="2" t="s">
        <v>2379</v>
      </c>
      <c r="D2384" s="1"/>
      <c r="E2384" s="11">
        <f t="shared" si="186"/>
        <v>28</v>
      </c>
      <c r="F2384" s="12">
        <f t="shared" si="187"/>
        <v>66.666666666666657</v>
      </c>
      <c r="G2384" s="12" t="str">
        <f t="shared" si="188"/>
        <v>Warning</v>
      </c>
      <c r="H2384" s="13">
        <f t="shared" si="189"/>
        <v>6</v>
      </c>
      <c r="I2384" s="14">
        <f t="shared" si="185"/>
        <v>1761.21</v>
      </c>
      <c r="K2384" t="str">
        <f>[1]!revcom(C2384)</f>
        <v>TGTGGC</v>
      </c>
      <c r="L2384">
        <v>7</v>
      </c>
    </row>
    <row r="2385" spans="1:12" ht="15.6" x14ac:dyDescent="0.3">
      <c r="A2385" s="9">
        <v>2374</v>
      </c>
      <c r="B2385" s="1"/>
      <c r="C2385" s="2" t="s">
        <v>2380</v>
      </c>
      <c r="D2385" s="1"/>
      <c r="E2385" s="11">
        <f t="shared" si="186"/>
        <v>26</v>
      </c>
      <c r="F2385" s="12">
        <f t="shared" si="187"/>
        <v>83.333333333333343</v>
      </c>
      <c r="G2385" s="12" t="str">
        <f t="shared" si="188"/>
        <v>Warning</v>
      </c>
      <c r="H2385" s="13">
        <f t="shared" si="189"/>
        <v>6</v>
      </c>
      <c r="I2385" s="14">
        <f t="shared" si="185"/>
        <v>1737.1799999999998</v>
      </c>
      <c r="K2385" t="str">
        <f>[1]!revcom(C2385)</f>
        <v>GGTGGC</v>
      </c>
      <c r="L2385">
        <v>7</v>
      </c>
    </row>
    <row r="2386" spans="1:12" ht="15.6" x14ac:dyDescent="0.3">
      <c r="A2386" s="9">
        <v>2375</v>
      </c>
      <c r="B2386" s="1"/>
      <c r="C2386" s="2" t="s">
        <v>2381</v>
      </c>
      <c r="D2386" s="1"/>
      <c r="E2386" s="11">
        <f t="shared" si="186"/>
        <v>26</v>
      </c>
      <c r="F2386" s="12">
        <f t="shared" si="187"/>
        <v>83.333333333333343</v>
      </c>
      <c r="G2386" s="12" t="str">
        <f t="shared" si="188"/>
        <v>Warning</v>
      </c>
      <c r="H2386" s="13">
        <f t="shared" si="189"/>
        <v>6</v>
      </c>
      <c r="I2386" s="14">
        <f t="shared" si="185"/>
        <v>1777.21</v>
      </c>
      <c r="K2386" t="str">
        <f>[1]!revcom(C2386)</f>
        <v>CGTGGC</v>
      </c>
      <c r="L2386">
        <v>7</v>
      </c>
    </row>
    <row r="2387" spans="1:12" ht="15.6" x14ac:dyDescent="0.3">
      <c r="A2387" s="9">
        <v>2376</v>
      </c>
      <c r="B2387" s="1"/>
      <c r="C2387" s="2" t="s">
        <v>2382</v>
      </c>
      <c r="D2387" s="1"/>
      <c r="E2387" s="11">
        <f t="shared" si="186"/>
        <v>20</v>
      </c>
      <c r="F2387" s="12">
        <f t="shared" si="187"/>
        <v>66.666666666666657</v>
      </c>
      <c r="G2387" s="12" t="str">
        <f t="shared" si="188"/>
        <v>Warning</v>
      </c>
      <c r="H2387" s="13">
        <f t="shared" si="189"/>
        <v>6</v>
      </c>
      <c r="I2387" s="14">
        <f t="shared" si="185"/>
        <v>1752.19</v>
      </c>
      <c r="K2387" t="str">
        <f>[1]!revcom(C2387)</f>
        <v>AGTGGC</v>
      </c>
      <c r="L2387">
        <v>6</v>
      </c>
    </row>
    <row r="2388" spans="1:12" ht="15.6" x14ac:dyDescent="0.3">
      <c r="A2388" s="9">
        <v>2377</v>
      </c>
      <c r="B2388" s="1"/>
      <c r="C2388" s="2" t="s">
        <v>2383</v>
      </c>
      <c r="D2388" s="1"/>
      <c r="E2388" s="11">
        <f t="shared" si="186"/>
        <v>28</v>
      </c>
      <c r="F2388" s="12">
        <f t="shared" si="187"/>
        <v>66.666666666666657</v>
      </c>
      <c r="G2388" s="12" t="str">
        <f t="shared" si="188"/>
        <v>Warning</v>
      </c>
      <c r="H2388" s="13">
        <f t="shared" si="189"/>
        <v>6</v>
      </c>
      <c r="I2388" s="14">
        <f t="shared" si="185"/>
        <v>1801.2399999999998</v>
      </c>
      <c r="K2388" t="str">
        <f>[1]!revcom(C2388)</f>
        <v>TCTGGC</v>
      </c>
      <c r="L2388">
        <v>7</v>
      </c>
    </row>
    <row r="2389" spans="1:12" ht="15.6" x14ac:dyDescent="0.3">
      <c r="A2389" s="9">
        <v>2378</v>
      </c>
      <c r="B2389" s="1"/>
      <c r="C2389" s="2" t="s">
        <v>2384</v>
      </c>
      <c r="D2389" s="1"/>
      <c r="E2389" s="11">
        <f t="shared" si="186"/>
        <v>26</v>
      </c>
      <c r="F2389" s="12">
        <f t="shared" si="187"/>
        <v>83.333333333333343</v>
      </c>
      <c r="G2389" s="12" t="str">
        <f t="shared" si="188"/>
        <v>Warning</v>
      </c>
      <c r="H2389" s="13">
        <f t="shared" si="189"/>
        <v>6</v>
      </c>
      <c r="I2389" s="14">
        <f t="shared" si="185"/>
        <v>1777.21</v>
      </c>
      <c r="K2389" t="str">
        <f>[1]!revcom(C2389)</f>
        <v>GCTGGC</v>
      </c>
      <c r="L2389">
        <v>7</v>
      </c>
    </row>
    <row r="2390" spans="1:12" ht="15.6" x14ac:dyDescent="0.3">
      <c r="A2390" s="9">
        <v>2379</v>
      </c>
      <c r="B2390" s="1"/>
      <c r="C2390" s="2" t="s">
        <v>2385</v>
      </c>
      <c r="D2390" s="1"/>
      <c r="E2390" s="11">
        <f t="shared" si="186"/>
        <v>26</v>
      </c>
      <c r="F2390" s="12">
        <f t="shared" si="187"/>
        <v>83.333333333333343</v>
      </c>
      <c r="G2390" s="12" t="str">
        <f t="shared" si="188"/>
        <v>Warning</v>
      </c>
      <c r="H2390" s="13">
        <f t="shared" si="189"/>
        <v>6</v>
      </c>
      <c r="I2390" s="14">
        <f t="shared" si="185"/>
        <v>1817.2400000000002</v>
      </c>
      <c r="K2390" t="str">
        <f>[1]!revcom(C2390)</f>
        <v>CCTGGC</v>
      </c>
      <c r="L2390">
        <v>7</v>
      </c>
    </row>
    <row r="2391" spans="1:12" ht="15.6" x14ac:dyDescent="0.3">
      <c r="A2391" s="9">
        <v>2380</v>
      </c>
      <c r="B2391" s="1"/>
      <c r="C2391" s="2" t="s">
        <v>2386</v>
      </c>
      <c r="D2391" s="1"/>
      <c r="E2391" s="11">
        <f t="shared" si="186"/>
        <v>20</v>
      </c>
      <c r="F2391" s="12">
        <f t="shared" si="187"/>
        <v>66.666666666666657</v>
      </c>
      <c r="G2391" s="12" t="str">
        <f t="shared" si="188"/>
        <v>Warning</v>
      </c>
      <c r="H2391" s="13">
        <f t="shared" si="189"/>
        <v>6</v>
      </c>
      <c r="I2391" s="14">
        <f t="shared" si="185"/>
        <v>1792.2199999999998</v>
      </c>
      <c r="K2391" t="str">
        <f>[1]!revcom(C2391)</f>
        <v>ACTGGC</v>
      </c>
      <c r="L2391">
        <v>6</v>
      </c>
    </row>
    <row r="2392" spans="1:12" ht="15.6" x14ac:dyDescent="0.3">
      <c r="A2392" s="9">
        <v>2381</v>
      </c>
      <c r="B2392" s="1"/>
      <c r="C2392" s="2" t="s">
        <v>2387</v>
      </c>
      <c r="D2392" s="1"/>
      <c r="E2392" s="11">
        <f t="shared" si="186"/>
        <v>22</v>
      </c>
      <c r="F2392" s="12">
        <f t="shared" si="187"/>
        <v>50</v>
      </c>
      <c r="G2392" s="12" t="str">
        <f t="shared" si="188"/>
        <v>OK</v>
      </c>
      <c r="H2392" s="13">
        <f t="shared" si="189"/>
        <v>6</v>
      </c>
      <c r="I2392" s="14">
        <f t="shared" si="185"/>
        <v>1776.2199999999998</v>
      </c>
      <c r="K2392" t="str">
        <f>[1]!revcom(C2392)</f>
        <v>TATGGC</v>
      </c>
      <c r="L2392">
        <v>6</v>
      </c>
    </row>
    <row r="2393" spans="1:12" ht="15.6" x14ac:dyDescent="0.3">
      <c r="A2393" s="9">
        <v>2382</v>
      </c>
      <c r="B2393" s="1"/>
      <c r="C2393" s="2" t="s">
        <v>2388</v>
      </c>
      <c r="D2393" s="1"/>
      <c r="E2393" s="11">
        <f t="shared" si="186"/>
        <v>20</v>
      </c>
      <c r="F2393" s="12">
        <f t="shared" si="187"/>
        <v>66.666666666666657</v>
      </c>
      <c r="G2393" s="12" t="str">
        <f t="shared" si="188"/>
        <v>Warning</v>
      </c>
      <c r="H2393" s="13">
        <f t="shared" si="189"/>
        <v>6</v>
      </c>
      <c r="I2393" s="14">
        <f t="shared" si="185"/>
        <v>1752.19</v>
      </c>
      <c r="K2393" t="str">
        <f>[1]!revcom(C2393)</f>
        <v>GATGGC</v>
      </c>
      <c r="L2393">
        <v>6</v>
      </c>
    </row>
    <row r="2394" spans="1:12" ht="15.6" x14ac:dyDescent="0.3">
      <c r="A2394" s="9">
        <v>2383</v>
      </c>
      <c r="B2394" s="1"/>
      <c r="C2394" s="2" t="s">
        <v>2389</v>
      </c>
      <c r="D2394" s="1"/>
      <c r="E2394" s="11">
        <f t="shared" si="186"/>
        <v>20</v>
      </c>
      <c r="F2394" s="12">
        <f t="shared" si="187"/>
        <v>66.666666666666657</v>
      </c>
      <c r="G2394" s="12" t="str">
        <f t="shared" si="188"/>
        <v>Warning</v>
      </c>
      <c r="H2394" s="13">
        <f t="shared" si="189"/>
        <v>6</v>
      </c>
      <c r="I2394" s="14">
        <f t="shared" si="185"/>
        <v>1792.2199999999998</v>
      </c>
      <c r="K2394" t="str">
        <f>[1]!revcom(C2394)</f>
        <v>CATGGC</v>
      </c>
      <c r="L2394">
        <v>6</v>
      </c>
    </row>
    <row r="2395" spans="1:12" ht="15.6" x14ac:dyDescent="0.3">
      <c r="A2395" s="9">
        <v>2384</v>
      </c>
      <c r="B2395" s="1"/>
      <c r="C2395" s="2" t="s">
        <v>2390</v>
      </c>
      <c r="D2395" s="1"/>
      <c r="E2395" s="11">
        <f t="shared" si="186"/>
        <v>14</v>
      </c>
      <c r="F2395" s="12">
        <f t="shared" si="187"/>
        <v>50</v>
      </c>
      <c r="G2395" s="12" t="str">
        <f t="shared" si="188"/>
        <v>OK</v>
      </c>
      <c r="H2395" s="13">
        <f t="shared" si="189"/>
        <v>6</v>
      </c>
      <c r="I2395" s="14">
        <f t="shared" si="185"/>
        <v>1767.1999999999998</v>
      </c>
      <c r="K2395" t="str">
        <f>[1]!revcom(C2395)</f>
        <v>AATGGC</v>
      </c>
      <c r="L2395">
        <v>5</v>
      </c>
    </row>
    <row r="2396" spans="1:12" ht="15.6" x14ac:dyDescent="0.3">
      <c r="A2396" s="9">
        <v>2385</v>
      </c>
      <c r="B2396" s="1"/>
      <c r="C2396" s="2" t="s">
        <v>2391</v>
      </c>
      <c r="D2396" s="1"/>
      <c r="E2396" s="11">
        <f t="shared" si="186"/>
        <v>28</v>
      </c>
      <c r="F2396" s="12">
        <f t="shared" si="187"/>
        <v>66.666666666666657</v>
      </c>
      <c r="G2396" s="12" t="str">
        <f t="shared" si="188"/>
        <v>Warning</v>
      </c>
      <c r="H2396" s="13">
        <f t="shared" si="189"/>
        <v>6</v>
      </c>
      <c r="I2396" s="14">
        <f t="shared" si="185"/>
        <v>1761.21</v>
      </c>
      <c r="K2396" t="str">
        <f>[1]!revcom(C2396)</f>
        <v>TTGGGC</v>
      </c>
      <c r="L2396">
        <v>7</v>
      </c>
    </row>
    <row r="2397" spans="1:12" ht="15.6" x14ac:dyDescent="0.3">
      <c r="A2397" s="9">
        <v>2386</v>
      </c>
      <c r="B2397" s="1"/>
      <c r="C2397" s="2" t="s">
        <v>2392</v>
      </c>
      <c r="D2397" s="1"/>
      <c r="E2397" s="11">
        <f t="shared" si="186"/>
        <v>26</v>
      </c>
      <c r="F2397" s="12">
        <f t="shared" si="187"/>
        <v>83.333333333333343</v>
      </c>
      <c r="G2397" s="12" t="str">
        <f t="shared" si="188"/>
        <v>Warning</v>
      </c>
      <c r="H2397" s="13">
        <f t="shared" si="189"/>
        <v>6</v>
      </c>
      <c r="I2397" s="14">
        <f t="shared" si="185"/>
        <v>1737.1799999999998</v>
      </c>
      <c r="K2397" t="str">
        <f>[1]!revcom(C2397)</f>
        <v>GTGGGC</v>
      </c>
      <c r="L2397">
        <v>7</v>
      </c>
    </row>
    <row r="2398" spans="1:12" ht="15.6" x14ac:dyDescent="0.3">
      <c r="A2398" s="9">
        <v>2387</v>
      </c>
      <c r="B2398" s="1"/>
      <c r="C2398" s="2" t="s">
        <v>2393</v>
      </c>
      <c r="D2398" s="1"/>
      <c r="E2398" s="11">
        <f t="shared" si="186"/>
        <v>26</v>
      </c>
      <c r="F2398" s="12">
        <f t="shared" si="187"/>
        <v>83.333333333333343</v>
      </c>
      <c r="G2398" s="12" t="str">
        <f t="shared" si="188"/>
        <v>Warning</v>
      </c>
      <c r="H2398" s="13">
        <f t="shared" si="189"/>
        <v>6</v>
      </c>
      <c r="I2398" s="14">
        <f t="shared" si="185"/>
        <v>1777.21</v>
      </c>
      <c r="K2398" t="str">
        <f>[1]!revcom(C2398)</f>
        <v>CTGGGC</v>
      </c>
      <c r="L2398">
        <v>7</v>
      </c>
    </row>
    <row r="2399" spans="1:12" ht="15.6" x14ac:dyDescent="0.3">
      <c r="A2399" s="9">
        <v>2388</v>
      </c>
      <c r="B2399" s="1"/>
      <c r="C2399" s="2" t="s">
        <v>2394</v>
      </c>
      <c r="D2399" s="1"/>
      <c r="E2399" s="11">
        <f t="shared" si="186"/>
        <v>20</v>
      </c>
      <c r="F2399" s="12">
        <f t="shared" si="187"/>
        <v>66.666666666666657</v>
      </c>
      <c r="G2399" s="12" t="str">
        <f t="shared" si="188"/>
        <v>Warning</v>
      </c>
      <c r="H2399" s="13">
        <f t="shared" si="189"/>
        <v>6</v>
      </c>
      <c r="I2399" s="14">
        <f t="shared" si="185"/>
        <v>1752.19</v>
      </c>
      <c r="K2399" t="str">
        <f>[1]!revcom(C2399)</f>
        <v>ATGGGC</v>
      </c>
      <c r="L2399">
        <v>6</v>
      </c>
    </row>
    <row r="2400" spans="1:12" ht="15.6" x14ac:dyDescent="0.3">
      <c r="A2400" s="9">
        <v>2389</v>
      </c>
      <c r="B2400" s="1"/>
      <c r="C2400" s="2" t="s">
        <v>2395</v>
      </c>
      <c r="D2400" s="1"/>
      <c r="E2400" s="11">
        <f t="shared" si="186"/>
        <v>26</v>
      </c>
      <c r="F2400" s="12">
        <f t="shared" si="187"/>
        <v>83.333333333333343</v>
      </c>
      <c r="G2400" s="12" t="str">
        <f t="shared" si="188"/>
        <v>Warning</v>
      </c>
      <c r="H2400" s="13">
        <f t="shared" si="189"/>
        <v>6</v>
      </c>
      <c r="I2400" s="14">
        <f t="shared" si="185"/>
        <v>1737.1799999999998</v>
      </c>
      <c r="K2400" t="str">
        <f>[1]!revcom(C2400)</f>
        <v>TGGGGC</v>
      </c>
      <c r="L2400">
        <v>7</v>
      </c>
    </row>
    <row r="2401" spans="1:12" ht="15.6" x14ac:dyDescent="0.3">
      <c r="A2401" s="9">
        <v>2390</v>
      </c>
      <c r="B2401" s="1"/>
      <c r="C2401" s="2" t="s">
        <v>2396</v>
      </c>
      <c r="D2401" s="1"/>
      <c r="E2401" s="11">
        <f t="shared" si="186"/>
        <v>24</v>
      </c>
      <c r="F2401" s="12">
        <f t="shared" si="187"/>
        <v>100</v>
      </c>
      <c r="G2401" s="12" t="str">
        <f t="shared" si="188"/>
        <v>Warning</v>
      </c>
      <c r="H2401" s="13">
        <f t="shared" si="189"/>
        <v>6</v>
      </c>
      <c r="I2401" s="14">
        <f t="shared" si="185"/>
        <v>1713.15</v>
      </c>
      <c r="K2401" t="str">
        <f>[1]!revcom(C2401)</f>
        <v>GGGGGC</v>
      </c>
      <c r="L2401">
        <v>6</v>
      </c>
    </row>
    <row r="2402" spans="1:12" ht="15.6" x14ac:dyDescent="0.3">
      <c r="A2402" s="9">
        <v>2391</v>
      </c>
      <c r="B2402" s="1"/>
      <c r="C2402" s="2" t="s">
        <v>2397</v>
      </c>
      <c r="D2402" s="1"/>
      <c r="E2402" s="11">
        <f t="shared" si="186"/>
        <v>24</v>
      </c>
      <c r="F2402" s="12">
        <f t="shared" si="187"/>
        <v>100</v>
      </c>
      <c r="G2402" s="12" t="str">
        <f t="shared" si="188"/>
        <v>Warning</v>
      </c>
      <c r="H2402" s="13">
        <f t="shared" si="189"/>
        <v>6</v>
      </c>
      <c r="I2402" s="14">
        <f t="shared" si="185"/>
        <v>1753.1799999999998</v>
      </c>
      <c r="K2402" t="str">
        <f>[1]!revcom(C2402)</f>
        <v>CGGGGC</v>
      </c>
      <c r="L2402">
        <v>6</v>
      </c>
    </row>
    <row r="2403" spans="1:12" ht="15.6" x14ac:dyDescent="0.3">
      <c r="A2403" s="9">
        <v>2392</v>
      </c>
      <c r="B2403" s="1"/>
      <c r="C2403" s="2" t="s">
        <v>2398</v>
      </c>
      <c r="D2403" s="1"/>
      <c r="E2403" s="11">
        <f t="shared" si="186"/>
        <v>18</v>
      </c>
      <c r="F2403" s="12">
        <f t="shared" si="187"/>
        <v>83.333333333333343</v>
      </c>
      <c r="G2403" s="12" t="str">
        <f t="shared" si="188"/>
        <v>Warning</v>
      </c>
      <c r="H2403" s="13">
        <f t="shared" si="189"/>
        <v>6</v>
      </c>
      <c r="I2403" s="14">
        <f t="shared" si="185"/>
        <v>1728.1599999999999</v>
      </c>
      <c r="K2403" t="str">
        <f>[1]!revcom(C2403)</f>
        <v>AGGGGC</v>
      </c>
      <c r="L2403">
        <v>5</v>
      </c>
    </row>
    <row r="2404" spans="1:12" ht="15.6" x14ac:dyDescent="0.3">
      <c r="A2404" s="9">
        <v>2393</v>
      </c>
      <c r="B2404" s="1"/>
      <c r="C2404" s="2" t="s">
        <v>2399</v>
      </c>
      <c r="D2404" s="1"/>
      <c r="E2404" s="11">
        <f t="shared" si="186"/>
        <v>26</v>
      </c>
      <c r="F2404" s="12">
        <f t="shared" si="187"/>
        <v>83.333333333333343</v>
      </c>
      <c r="G2404" s="12" t="str">
        <f t="shared" si="188"/>
        <v>Warning</v>
      </c>
      <c r="H2404" s="13">
        <f t="shared" si="189"/>
        <v>6</v>
      </c>
      <c r="I2404" s="14">
        <f t="shared" si="185"/>
        <v>1777.21</v>
      </c>
      <c r="K2404" t="str">
        <f>[1]!revcom(C2404)</f>
        <v>TCGGGC</v>
      </c>
      <c r="L2404">
        <v>7</v>
      </c>
    </row>
    <row r="2405" spans="1:12" ht="15.6" x14ac:dyDescent="0.3">
      <c r="A2405" s="9">
        <v>2394</v>
      </c>
      <c r="B2405" s="1"/>
      <c r="C2405" s="2" t="s">
        <v>2400</v>
      </c>
      <c r="D2405" s="1"/>
      <c r="E2405" s="11">
        <f t="shared" si="186"/>
        <v>24</v>
      </c>
      <c r="F2405" s="12">
        <f t="shared" si="187"/>
        <v>100</v>
      </c>
      <c r="G2405" s="12" t="str">
        <f t="shared" si="188"/>
        <v>Warning</v>
      </c>
      <c r="H2405" s="13">
        <f t="shared" si="189"/>
        <v>6</v>
      </c>
      <c r="I2405" s="14">
        <f t="shared" si="185"/>
        <v>1753.1799999999998</v>
      </c>
      <c r="K2405" t="str">
        <f>[1]!revcom(C2405)</f>
        <v>GCGGGC</v>
      </c>
      <c r="L2405">
        <v>6</v>
      </c>
    </row>
    <row r="2406" spans="1:12" ht="15.6" x14ac:dyDescent="0.3">
      <c r="A2406" s="9">
        <v>2395</v>
      </c>
      <c r="B2406" s="1"/>
      <c r="C2406" s="2" t="s">
        <v>2401</v>
      </c>
      <c r="D2406" s="1"/>
      <c r="E2406" s="11">
        <f t="shared" si="186"/>
        <v>24</v>
      </c>
      <c r="F2406" s="12">
        <f t="shared" si="187"/>
        <v>100</v>
      </c>
      <c r="G2406" s="12" t="str">
        <f t="shared" si="188"/>
        <v>Warning</v>
      </c>
      <c r="H2406" s="13">
        <f t="shared" si="189"/>
        <v>6</v>
      </c>
      <c r="I2406" s="14">
        <f t="shared" si="185"/>
        <v>1793.21</v>
      </c>
      <c r="K2406" t="str">
        <f>[1]!revcom(C2406)</f>
        <v>CCGGGC</v>
      </c>
      <c r="L2406">
        <v>6</v>
      </c>
    </row>
    <row r="2407" spans="1:12" ht="15.6" x14ac:dyDescent="0.3">
      <c r="A2407" s="9">
        <v>2396</v>
      </c>
      <c r="B2407" s="1"/>
      <c r="C2407" s="2" t="s">
        <v>2402</v>
      </c>
      <c r="D2407" s="1"/>
      <c r="E2407" s="11">
        <f t="shared" si="186"/>
        <v>18</v>
      </c>
      <c r="F2407" s="12">
        <f t="shared" si="187"/>
        <v>83.333333333333343</v>
      </c>
      <c r="G2407" s="12" t="str">
        <f t="shared" si="188"/>
        <v>Warning</v>
      </c>
      <c r="H2407" s="13">
        <f t="shared" si="189"/>
        <v>6</v>
      </c>
      <c r="I2407" s="14">
        <f t="shared" si="185"/>
        <v>1768.19</v>
      </c>
      <c r="K2407" t="str">
        <f>[1]!revcom(C2407)</f>
        <v>ACGGGC</v>
      </c>
      <c r="L2407">
        <v>5</v>
      </c>
    </row>
    <row r="2408" spans="1:12" ht="15.6" x14ac:dyDescent="0.3">
      <c r="A2408" s="9">
        <v>2397</v>
      </c>
      <c r="B2408" s="1"/>
      <c r="C2408" s="2" t="s">
        <v>2403</v>
      </c>
      <c r="D2408" s="1"/>
      <c r="E2408" s="11">
        <f t="shared" si="186"/>
        <v>20</v>
      </c>
      <c r="F2408" s="12">
        <f t="shared" si="187"/>
        <v>66.666666666666657</v>
      </c>
      <c r="G2408" s="12" t="str">
        <f t="shared" si="188"/>
        <v>Warning</v>
      </c>
      <c r="H2408" s="13">
        <f t="shared" si="189"/>
        <v>6</v>
      </c>
      <c r="I2408" s="14">
        <f t="shared" si="185"/>
        <v>1752.19</v>
      </c>
      <c r="K2408" t="str">
        <f>[1]!revcom(C2408)</f>
        <v>TAGGGC</v>
      </c>
      <c r="L2408">
        <v>6</v>
      </c>
    </row>
    <row r="2409" spans="1:12" ht="15.6" x14ac:dyDescent="0.3">
      <c r="A2409" s="9">
        <v>2398</v>
      </c>
      <c r="B2409" s="1"/>
      <c r="C2409" s="2" t="s">
        <v>2404</v>
      </c>
      <c r="D2409" s="1"/>
      <c r="E2409" s="11">
        <f t="shared" si="186"/>
        <v>18</v>
      </c>
      <c r="F2409" s="12">
        <f t="shared" si="187"/>
        <v>83.333333333333343</v>
      </c>
      <c r="G2409" s="12" t="str">
        <f t="shared" si="188"/>
        <v>Warning</v>
      </c>
      <c r="H2409" s="13">
        <f t="shared" si="189"/>
        <v>6</v>
      </c>
      <c r="I2409" s="14">
        <f t="shared" si="185"/>
        <v>1728.1599999999999</v>
      </c>
      <c r="K2409" t="str">
        <f>[1]!revcom(C2409)</f>
        <v>GAGGGC</v>
      </c>
      <c r="L2409">
        <v>5</v>
      </c>
    </row>
    <row r="2410" spans="1:12" ht="15.6" x14ac:dyDescent="0.3">
      <c r="A2410" s="9">
        <v>2399</v>
      </c>
      <c r="B2410" s="1"/>
      <c r="C2410" s="2" t="s">
        <v>2405</v>
      </c>
      <c r="D2410" s="1"/>
      <c r="E2410" s="11">
        <f t="shared" si="186"/>
        <v>18</v>
      </c>
      <c r="F2410" s="12">
        <f t="shared" si="187"/>
        <v>83.333333333333343</v>
      </c>
      <c r="G2410" s="12" t="str">
        <f t="shared" si="188"/>
        <v>Warning</v>
      </c>
      <c r="H2410" s="13">
        <f t="shared" si="189"/>
        <v>6</v>
      </c>
      <c r="I2410" s="14">
        <f t="shared" si="185"/>
        <v>1768.19</v>
      </c>
      <c r="K2410" t="str">
        <f>[1]!revcom(C2410)</f>
        <v>CAGGGC</v>
      </c>
      <c r="L2410">
        <v>5</v>
      </c>
    </row>
    <row r="2411" spans="1:12" ht="15.6" x14ac:dyDescent="0.3">
      <c r="A2411" s="9">
        <v>2400</v>
      </c>
      <c r="B2411" s="1"/>
      <c r="C2411" s="2" t="s">
        <v>2406</v>
      </c>
      <c r="D2411" s="1"/>
      <c r="E2411" s="11">
        <f t="shared" si="186"/>
        <v>12</v>
      </c>
      <c r="F2411" s="12">
        <f t="shared" si="187"/>
        <v>66.666666666666657</v>
      </c>
      <c r="G2411" s="12" t="str">
        <f t="shared" si="188"/>
        <v>Warning</v>
      </c>
      <c r="H2411" s="13">
        <f t="shared" si="189"/>
        <v>6</v>
      </c>
      <c r="I2411" s="14">
        <f t="shared" si="185"/>
        <v>1743.17</v>
      </c>
      <c r="K2411" t="str">
        <f>[1]!revcom(C2411)</f>
        <v>AAGGGC</v>
      </c>
      <c r="L2411">
        <v>4</v>
      </c>
    </row>
    <row r="2412" spans="1:12" ht="15.6" x14ac:dyDescent="0.3">
      <c r="A2412" s="9">
        <v>2401</v>
      </c>
      <c r="B2412" s="1"/>
      <c r="C2412" s="2" t="s">
        <v>2407</v>
      </c>
      <c r="D2412" s="1"/>
      <c r="E2412" s="11">
        <f t="shared" si="186"/>
        <v>28</v>
      </c>
      <c r="F2412" s="12">
        <f t="shared" si="187"/>
        <v>66.666666666666657</v>
      </c>
      <c r="G2412" s="12" t="str">
        <f t="shared" si="188"/>
        <v>Warning</v>
      </c>
      <c r="H2412" s="13">
        <f t="shared" si="189"/>
        <v>6</v>
      </c>
      <c r="I2412" s="14">
        <f t="shared" si="185"/>
        <v>1801.2399999999998</v>
      </c>
      <c r="K2412" t="str">
        <f>[1]!revcom(C2412)</f>
        <v>TTCGGC</v>
      </c>
      <c r="L2412">
        <v>7</v>
      </c>
    </row>
    <row r="2413" spans="1:12" ht="15.6" x14ac:dyDescent="0.3">
      <c r="A2413" s="9">
        <v>2402</v>
      </c>
      <c r="B2413" s="1"/>
      <c r="C2413" s="2" t="s">
        <v>2408</v>
      </c>
      <c r="D2413" s="1"/>
      <c r="E2413" s="11">
        <f t="shared" si="186"/>
        <v>26</v>
      </c>
      <c r="F2413" s="12">
        <f t="shared" si="187"/>
        <v>83.333333333333343</v>
      </c>
      <c r="G2413" s="12" t="str">
        <f t="shared" si="188"/>
        <v>Warning</v>
      </c>
      <c r="H2413" s="13">
        <f t="shared" si="189"/>
        <v>6</v>
      </c>
      <c r="I2413" s="14">
        <f t="shared" si="185"/>
        <v>1777.21</v>
      </c>
      <c r="K2413" t="str">
        <f>[1]!revcom(C2413)</f>
        <v>GTCGGC</v>
      </c>
      <c r="L2413">
        <v>7</v>
      </c>
    </row>
    <row r="2414" spans="1:12" ht="15.6" x14ac:dyDescent="0.3">
      <c r="A2414" s="9">
        <v>2403</v>
      </c>
      <c r="B2414" s="1"/>
      <c r="C2414" s="2" t="s">
        <v>2409</v>
      </c>
      <c r="D2414" s="1"/>
      <c r="E2414" s="11">
        <f t="shared" si="186"/>
        <v>26</v>
      </c>
      <c r="F2414" s="12">
        <f t="shared" si="187"/>
        <v>83.333333333333343</v>
      </c>
      <c r="G2414" s="12" t="str">
        <f t="shared" si="188"/>
        <v>Warning</v>
      </c>
      <c r="H2414" s="13">
        <f t="shared" si="189"/>
        <v>6</v>
      </c>
      <c r="I2414" s="14">
        <f t="shared" si="185"/>
        <v>1817.2400000000002</v>
      </c>
      <c r="K2414" t="str">
        <f>[1]!revcom(C2414)</f>
        <v>CTCGGC</v>
      </c>
      <c r="L2414">
        <v>7</v>
      </c>
    </row>
    <row r="2415" spans="1:12" ht="15.6" x14ac:dyDescent="0.3">
      <c r="A2415" s="9">
        <v>2404</v>
      </c>
      <c r="B2415" s="1"/>
      <c r="C2415" s="2" t="s">
        <v>2410</v>
      </c>
      <c r="D2415" s="1"/>
      <c r="E2415" s="11">
        <f t="shared" si="186"/>
        <v>20</v>
      </c>
      <c r="F2415" s="12">
        <f t="shared" si="187"/>
        <v>66.666666666666657</v>
      </c>
      <c r="G2415" s="12" t="str">
        <f t="shared" si="188"/>
        <v>Warning</v>
      </c>
      <c r="H2415" s="13">
        <f t="shared" si="189"/>
        <v>6</v>
      </c>
      <c r="I2415" s="14">
        <f t="shared" si="185"/>
        <v>1792.2199999999998</v>
      </c>
      <c r="K2415" t="str">
        <f>[1]!revcom(C2415)</f>
        <v>ATCGGC</v>
      </c>
      <c r="L2415">
        <v>6</v>
      </c>
    </row>
    <row r="2416" spans="1:12" ht="15.6" x14ac:dyDescent="0.3">
      <c r="A2416" s="9">
        <v>2405</v>
      </c>
      <c r="B2416" s="1"/>
      <c r="C2416" s="2" t="s">
        <v>2411</v>
      </c>
      <c r="D2416" s="1"/>
      <c r="E2416" s="11">
        <f t="shared" si="186"/>
        <v>26</v>
      </c>
      <c r="F2416" s="12">
        <f t="shared" si="187"/>
        <v>83.333333333333343</v>
      </c>
      <c r="G2416" s="12" t="str">
        <f t="shared" si="188"/>
        <v>Warning</v>
      </c>
      <c r="H2416" s="13">
        <f t="shared" si="189"/>
        <v>6</v>
      </c>
      <c r="I2416" s="14">
        <f t="shared" si="185"/>
        <v>1777.21</v>
      </c>
      <c r="K2416" t="str">
        <f>[1]!revcom(C2416)</f>
        <v>TGCGGC</v>
      </c>
      <c r="L2416">
        <v>7</v>
      </c>
    </row>
    <row r="2417" spans="1:12" ht="15.6" x14ac:dyDescent="0.3">
      <c r="A2417" s="9">
        <v>2406</v>
      </c>
      <c r="B2417" s="1"/>
      <c r="C2417" s="2" t="s">
        <v>2412</v>
      </c>
      <c r="D2417" s="1"/>
      <c r="E2417" s="11">
        <f t="shared" si="186"/>
        <v>24</v>
      </c>
      <c r="F2417" s="12">
        <f t="shared" si="187"/>
        <v>100</v>
      </c>
      <c r="G2417" s="12" t="str">
        <f t="shared" si="188"/>
        <v>Warning</v>
      </c>
      <c r="H2417" s="13">
        <f t="shared" si="189"/>
        <v>6</v>
      </c>
      <c r="I2417" s="14">
        <f t="shared" si="185"/>
        <v>1753.1799999999998</v>
      </c>
      <c r="K2417" t="str">
        <f>[1]!revcom(C2417)</f>
        <v>GGCGGC</v>
      </c>
      <c r="L2417">
        <v>6</v>
      </c>
    </row>
    <row r="2418" spans="1:12" ht="15.6" x14ac:dyDescent="0.3">
      <c r="A2418" s="9">
        <v>2407</v>
      </c>
      <c r="B2418" s="1"/>
      <c r="C2418" s="2" t="s">
        <v>2413</v>
      </c>
      <c r="D2418" s="1"/>
      <c r="E2418" s="11">
        <f t="shared" si="186"/>
        <v>24</v>
      </c>
      <c r="F2418" s="12">
        <f t="shared" si="187"/>
        <v>100</v>
      </c>
      <c r="G2418" s="12" t="str">
        <f t="shared" si="188"/>
        <v>Warning</v>
      </c>
      <c r="H2418" s="13">
        <f t="shared" si="189"/>
        <v>6</v>
      </c>
      <c r="I2418" s="14">
        <f t="shared" si="185"/>
        <v>1793.21</v>
      </c>
      <c r="K2418" t="str">
        <f>[1]!revcom(C2418)</f>
        <v>CGCGGC</v>
      </c>
      <c r="L2418">
        <v>6</v>
      </c>
    </row>
    <row r="2419" spans="1:12" ht="15.6" x14ac:dyDescent="0.3">
      <c r="A2419" s="9">
        <v>2408</v>
      </c>
      <c r="B2419" s="1"/>
      <c r="C2419" s="2" t="s">
        <v>2414</v>
      </c>
      <c r="D2419" s="1"/>
      <c r="E2419" s="11">
        <f t="shared" si="186"/>
        <v>18</v>
      </c>
      <c r="F2419" s="12">
        <f t="shared" si="187"/>
        <v>83.333333333333343</v>
      </c>
      <c r="G2419" s="12" t="str">
        <f t="shared" si="188"/>
        <v>Warning</v>
      </c>
      <c r="H2419" s="13">
        <f t="shared" si="189"/>
        <v>6</v>
      </c>
      <c r="I2419" s="14">
        <f t="shared" si="185"/>
        <v>1768.19</v>
      </c>
      <c r="K2419" t="str">
        <f>[1]!revcom(C2419)</f>
        <v>AGCGGC</v>
      </c>
      <c r="L2419">
        <v>5</v>
      </c>
    </row>
    <row r="2420" spans="1:12" ht="15.6" x14ac:dyDescent="0.3">
      <c r="A2420" s="9">
        <v>2409</v>
      </c>
      <c r="B2420" s="1"/>
      <c r="C2420" s="2" t="s">
        <v>2415</v>
      </c>
      <c r="D2420" s="1"/>
      <c r="E2420" s="11">
        <f t="shared" si="186"/>
        <v>26</v>
      </c>
      <c r="F2420" s="12">
        <f t="shared" si="187"/>
        <v>83.333333333333343</v>
      </c>
      <c r="G2420" s="12" t="str">
        <f t="shared" si="188"/>
        <v>Warning</v>
      </c>
      <c r="H2420" s="13">
        <f t="shared" si="189"/>
        <v>6</v>
      </c>
      <c r="I2420" s="14">
        <f t="shared" si="185"/>
        <v>1817.2400000000002</v>
      </c>
      <c r="K2420" t="str">
        <f>[1]!revcom(C2420)</f>
        <v>TCCGGC</v>
      </c>
      <c r="L2420">
        <v>7</v>
      </c>
    </row>
    <row r="2421" spans="1:12" ht="15.6" x14ac:dyDescent="0.3">
      <c r="A2421" s="9">
        <v>2410</v>
      </c>
      <c r="B2421" s="1"/>
      <c r="C2421" s="2" t="s">
        <v>2416</v>
      </c>
      <c r="D2421" s="1"/>
      <c r="E2421" s="11">
        <f t="shared" si="186"/>
        <v>24</v>
      </c>
      <c r="F2421" s="12">
        <f t="shared" si="187"/>
        <v>100</v>
      </c>
      <c r="G2421" s="12" t="str">
        <f t="shared" si="188"/>
        <v>Warning</v>
      </c>
      <c r="H2421" s="13">
        <f t="shared" si="189"/>
        <v>6</v>
      </c>
      <c r="I2421" s="14">
        <f t="shared" si="185"/>
        <v>1793.21</v>
      </c>
      <c r="K2421" t="str">
        <f>[1]!revcom(C2421)</f>
        <v>GCCGGC</v>
      </c>
      <c r="L2421">
        <v>6</v>
      </c>
    </row>
    <row r="2422" spans="1:12" ht="15.6" x14ac:dyDescent="0.3">
      <c r="A2422" s="9">
        <v>2411</v>
      </c>
      <c r="B2422" s="1"/>
      <c r="C2422" s="2" t="s">
        <v>2417</v>
      </c>
      <c r="D2422" s="1"/>
      <c r="E2422" s="11">
        <f t="shared" si="186"/>
        <v>24</v>
      </c>
      <c r="F2422" s="12">
        <f t="shared" si="187"/>
        <v>100</v>
      </c>
      <c r="G2422" s="12" t="str">
        <f t="shared" si="188"/>
        <v>Warning</v>
      </c>
      <c r="H2422" s="13">
        <f t="shared" si="189"/>
        <v>6</v>
      </c>
      <c r="I2422" s="14">
        <f t="shared" si="185"/>
        <v>1833.2400000000002</v>
      </c>
      <c r="K2422" t="str">
        <f>[1]!revcom(C2422)</f>
        <v>CCCGGC</v>
      </c>
      <c r="L2422">
        <v>6</v>
      </c>
    </row>
    <row r="2423" spans="1:12" ht="15.6" x14ac:dyDescent="0.3">
      <c r="A2423" s="9">
        <v>2412</v>
      </c>
      <c r="B2423" s="1"/>
      <c r="C2423" s="2" t="s">
        <v>2418</v>
      </c>
      <c r="D2423" s="1"/>
      <c r="E2423" s="11">
        <f t="shared" si="186"/>
        <v>18</v>
      </c>
      <c r="F2423" s="12">
        <f t="shared" si="187"/>
        <v>83.333333333333343</v>
      </c>
      <c r="G2423" s="12" t="str">
        <f t="shared" si="188"/>
        <v>Warning</v>
      </c>
      <c r="H2423" s="13">
        <f t="shared" si="189"/>
        <v>6</v>
      </c>
      <c r="I2423" s="14">
        <f t="shared" si="185"/>
        <v>1808.2200000000003</v>
      </c>
      <c r="K2423" t="str">
        <f>[1]!revcom(C2423)</f>
        <v>ACCGGC</v>
      </c>
      <c r="L2423">
        <v>5</v>
      </c>
    </row>
    <row r="2424" spans="1:12" ht="15.6" x14ac:dyDescent="0.3">
      <c r="A2424" s="9">
        <v>2413</v>
      </c>
      <c r="B2424" s="1"/>
      <c r="C2424" s="2" t="s">
        <v>2419</v>
      </c>
      <c r="D2424" s="1"/>
      <c r="E2424" s="11">
        <f t="shared" si="186"/>
        <v>20</v>
      </c>
      <c r="F2424" s="12">
        <f t="shared" si="187"/>
        <v>66.666666666666657</v>
      </c>
      <c r="G2424" s="12" t="str">
        <f t="shared" si="188"/>
        <v>Warning</v>
      </c>
      <c r="H2424" s="13">
        <f t="shared" si="189"/>
        <v>6</v>
      </c>
      <c r="I2424" s="14">
        <f t="shared" si="185"/>
        <v>1792.2199999999998</v>
      </c>
      <c r="K2424" t="str">
        <f>[1]!revcom(C2424)</f>
        <v>TACGGC</v>
      </c>
      <c r="L2424">
        <v>6</v>
      </c>
    </row>
    <row r="2425" spans="1:12" ht="15.6" x14ac:dyDescent="0.3">
      <c r="A2425" s="9">
        <v>2414</v>
      </c>
      <c r="B2425" s="1"/>
      <c r="C2425" s="2" t="s">
        <v>2420</v>
      </c>
      <c r="D2425" s="1"/>
      <c r="E2425" s="11">
        <f t="shared" si="186"/>
        <v>18</v>
      </c>
      <c r="F2425" s="12">
        <f t="shared" si="187"/>
        <v>83.333333333333343</v>
      </c>
      <c r="G2425" s="12" t="str">
        <f t="shared" si="188"/>
        <v>Warning</v>
      </c>
      <c r="H2425" s="13">
        <f t="shared" si="189"/>
        <v>6</v>
      </c>
      <c r="I2425" s="14">
        <f t="shared" si="185"/>
        <v>1768.19</v>
      </c>
      <c r="K2425" t="str">
        <f>[1]!revcom(C2425)</f>
        <v>GACGGC</v>
      </c>
      <c r="L2425">
        <v>5</v>
      </c>
    </row>
    <row r="2426" spans="1:12" ht="15.6" x14ac:dyDescent="0.3">
      <c r="A2426" s="9">
        <v>2415</v>
      </c>
      <c r="B2426" s="1"/>
      <c r="C2426" s="2" t="s">
        <v>2421</v>
      </c>
      <c r="D2426" s="1"/>
      <c r="E2426" s="11">
        <f t="shared" si="186"/>
        <v>18</v>
      </c>
      <c r="F2426" s="12">
        <f t="shared" si="187"/>
        <v>83.333333333333343</v>
      </c>
      <c r="G2426" s="12" t="str">
        <f t="shared" si="188"/>
        <v>Warning</v>
      </c>
      <c r="H2426" s="13">
        <f t="shared" si="189"/>
        <v>6</v>
      </c>
      <c r="I2426" s="14">
        <f t="shared" si="185"/>
        <v>1808.2200000000003</v>
      </c>
      <c r="K2426" t="str">
        <f>[1]!revcom(C2426)</f>
        <v>CACGGC</v>
      </c>
      <c r="L2426">
        <v>5</v>
      </c>
    </row>
    <row r="2427" spans="1:12" ht="15.6" x14ac:dyDescent="0.3">
      <c r="A2427" s="9">
        <v>2416</v>
      </c>
      <c r="B2427" s="1"/>
      <c r="C2427" s="2" t="s">
        <v>2422</v>
      </c>
      <c r="D2427" s="1"/>
      <c r="E2427" s="11">
        <f t="shared" si="186"/>
        <v>12</v>
      </c>
      <c r="F2427" s="12">
        <f t="shared" si="187"/>
        <v>66.666666666666657</v>
      </c>
      <c r="G2427" s="12" t="str">
        <f t="shared" si="188"/>
        <v>Warning</v>
      </c>
      <c r="H2427" s="13">
        <f t="shared" si="189"/>
        <v>6</v>
      </c>
      <c r="I2427" s="14">
        <f t="shared" si="185"/>
        <v>1783.1999999999998</v>
      </c>
      <c r="K2427" t="str">
        <f>[1]!revcom(C2427)</f>
        <v>AACGGC</v>
      </c>
      <c r="L2427">
        <v>4</v>
      </c>
    </row>
    <row r="2428" spans="1:12" ht="15.6" x14ac:dyDescent="0.3">
      <c r="A2428" s="9">
        <v>2417</v>
      </c>
      <c r="B2428" s="1"/>
      <c r="C2428" s="2" t="s">
        <v>2423</v>
      </c>
      <c r="D2428" s="1"/>
      <c r="E2428" s="11">
        <f t="shared" si="186"/>
        <v>22</v>
      </c>
      <c r="F2428" s="12">
        <f t="shared" si="187"/>
        <v>50</v>
      </c>
      <c r="G2428" s="12" t="str">
        <f t="shared" si="188"/>
        <v>OK</v>
      </c>
      <c r="H2428" s="13">
        <f t="shared" si="189"/>
        <v>6</v>
      </c>
      <c r="I2428" s="14">
        <f t="shared" si="185"/>
        <v>1776.2199999999998</v>
      </c>
      <c r="K2428" t="str">
        <f>[1]!revcom(C2428)</f>
        <v>TTAGGC</v>
      </c>
      <c r="L2428">
        <v>6</v>
      </c>
    </row>
    <row r="2429" spans="1:12" ht="15.6" x14ac:dyDescent="0.3">
      <c r="A2429" s="9">
        <v>2418</v>
      </c>
      <c r="B2429" s="1"/>
      <c r="C2429" s="2" t="s">
        <v>2424</v>
      </c>
      <c r="D2429" s="1"/>
      <c r="E2429" s="11">
        <f t="shared" si="186"/>
        <v>20</v>
      </c>
      <c r="F2429" s="12">
        <f t="shared" si="187"/>
        <v>66.666666666666657</v>
      </c>
      <c r="G2429" s="12" t="str">
        <f t="shared" si="188"/>
        <v>Warning</v>
      </c>
      <c r="H2429" s="13">
        <f t="shared" si="189"/>
        <v>6</v>
      </c>
      <c r="I2429" s="14">
        <f t="shared" si="185"/>
        <v>1752.19</v>
      </c>
      <c r="K2429" t="str">
        <f>[1]!revcom(C2429)</f>
        <v>GTAGGC</v>
      </c>
      <c r="L2429">
        <v>6</v>
      </c>
    </row>
    <row r="2430" spans="1:12" ht="15.6" x14ac:dyDescent="0.3">
      <c r="A2430" s="9">
        <v>2419</v>
      </c>
      <c r="B2430" s="1"/>
      <c r="C2430" s="2" t="s">
        <v>2425</v>
      </c>
      <c r="D2430" s="1"/>
      <c r="E2430" s="11">
        <f t="shared" si="186"/>
        <v>20</v>
      </c>
      <c r="F2430" s="12">
        <f t="shared" si="187"/>
        <v>66.666666666666657</v>
      </c>
      <c r="G2430" s="12" t="str">
        <f t="shared" si="188"/>
        <v>Warning</v>
      </c>
      <c r="H2430" s="13">
        <f t="shared" si="189"/>
        <v>6</v>
      </c>
      <c r="I2430" s="14">
        <f t="shared" si="185"/>
        <v>1792.2199999999998</v>
      </c>
      <c r="K2430" t="str">
        <f>[1]!revcom(C2430)</f>
        <v>CTAGGC</v>
      </c>
      <c r="L2430">
        <v>6</v>
      </c>
    </row>
    <row r="2431" spans="1:12" ht="15.6" x14ac:dyDescent="0.3">
      <c r="A2431" s="9">
        <v>2420</v>
      </c>
      <c r="B2431" s="1"/>
      <c r="C2431" s="2" t="s">
        <v>2426</v>
      </c>
      <c r="D2431" s="1"/>
      <c r="E2431" s="11">
        <f t="shared" si="186"/>
        <v>14</v>
      </c>
      <c r="F2431" s="12">
        <f t="shared" si="187"/>
        <v>50</v>
      </c>
      <c r="G2431" s="12" t="str">
        <f t="shared" si="188"/>
        <v>OK</v>
      </c>
      <c r="H2431" s="13">
        <f t="shared" si="189"/>
        <v>6</v>
      </c>
      <c r="I2431" s="14">
        <f t="shared" si="185"/>
        <v>1767.1999999999998</v>
      </c>
      <c r="K2431" t="str">
        <f>[1]!revcom(C2431)</f>
        <v>ATAGGC</v>
      </c>
      <c r="L2431">
        <v>5</v>
      </c>
    </row>
    <row r="2432" spans="1:12" ht="15.6" x14ac:dyDescent="0.3">
      <c r="A2432" s="9">
        <v>2421</v>
      </c>
      <c r="B2432" s="1"/>
      <c r="C2432" s="2" t="s">
        <v>2427</v>
      </c>
      <c r="D2432" s="1"/>
      <c r="E2432" s="11">
        <f t="shared" si="186"/>
        <v>20</v>
      </c>
      <c r="F2432" s="12">
        <f t="shared" si="187"/>
        <v>66.666666666666657</v>
      </c>
      <c r="G2432" s="12" t="str">
        <f t="shared" si="188"/>
        <v>Warning</v>
      </c>
      <c r="H2432" s="13">
        <f t="shared" si="189"/>
        <v>6</v>
      </c>
      <c r="I2432" s="14">
        <f t="shared" si="185"/>
        <v>1752.19</v>
      </c>
      <c r="K2432" t="str">
        <f>[1]!revcom(C2432)</f>
        <v>TGAGGC</v>
      </c>
      <c r="L2432">
        <v>6</v>
      </c>
    </row>
    <row r="2433" spans="1:12" ht="15.6" x14ac:dyDescent="0.3">
      <c r="A2433" s="9">
        <v>2422</v>
      </c>
      <c r="B2433" s="1"/>
      <c r="C2433" s="2" t="s">
        <v>2428</v>
      </c>
      <c r="D2433" s="1"/>
      <c r="E2433" s="11">
        <f t="shared" si="186"/>
        <v>18</v>
      </c>
      <c r="F2433" s="12">
        <f t="shared" si="187"/>
        <v>83.333333333333343</v>
      </c>
      <c r="G2433" s="12" t="str">
        <f t="shared" si="188"/>
        <v>Warning</v>
      </c>
      <c r="H2433" s="13">
        <f t="shared" si="189"/>
        <v>6</v>
      </c>
      <c r="I2433" s="14">
        <f t="shared" si="185"/>
        <v>1728.1599999999999</v>
      </c>
      <c r="K2433" t="str">
        <f>[1]!revcom(C2433)</f>
        <v>GGAGGC</v>
      </c>
      <c r="L2433">
        <v>5</v>
      </c>
    </row>
    <row r="2434" spans="1:12" ht="15.6" x14ac:dyDescent="0.3">
      <c r="A2434" s="9">
        <v>2423</v>
      </c>
      <c r="B2434" s="1"/>
      <c r="C2434" s="2" t="s">
        <v>2429</v>
      </c>
      <c r="D2434" s="1"/>
      <c r="E2434" s="11">
        <f t="shared" si="186"/>
        <v>18</v>
      </c>
      <c r="F2434" s="12">
        <f t="shared" si="187"/>
        <v>83.333333333333343</v>
      </c>
      <c r="G2434" s="12" t="str">
        <f t="shared" si="188"/>
        <v>Warning</v>
      </c>
      <c r="H2434" s="13">
        <f t="shared" si="189"/>
        <v>6</v>
      </c>
      <c r="I2434" s="14">
        <f t="shared" si="185"/>
        <v>1768.19</v>
      </c>
      <c r="K2434" t="str">
        <f>[1]!revcom(C2434)</f>
        <v>CGAGGC</v>
      </c>
      <c r="L2434">
        <v>5</v>
      </c>
    </row>
    <row r="2435" spans="1:12" ht="15.6" x14ac:dyDescent="0.3">
      <c r="A2435" s="9">
        <v>2424</v>
      </c>
      <c r="B2435" s="1"/>
      <c r="C2435" s="2" t="s">
        <v>2430</v>
      </c>
      <c r="D2435" s="1"/>
      <c r="E2435" s="11">
        <f t="shared" si="186"/>
        <v>12</v>
      </c>
      <c r="F2435" s="12">
        <f t="shared" si="187"/>
        <v>66.666666666666657</v>
      </c>
      <c r="G2435" s="12" t="str">
        <f t="shared" si="188"/>
        <v>Warning</v>
      </c>
      <c r="H2435" s="13">
        <f t="shared" si="189"/>
        <v>6</v>
      </c>
      <c r="I2435" s="14">
        <f t="shared" si="185"/>
        <v>1743.17</v>
      </c>
      <c r="K2435" t="str">
        <f>[1]!revcom(C2435)</f>
        <v>AGAGGC</v>
      </c>
      <c r="L2435">
        <v>4</v>
      </c>
    </row>
    <row r="2436" spans="1:12" ht="15.6" x14ac:dyDescent="0.3">
      <c r="A2436" s="9">
        <v>2425</v>
      </c>
      <c r="B2436" s="1"/>
      <c r="C2436" s="2" t="s">
        <v>2431</v>
      </c>
      <c r="D2436" s="1"/>
      <c r="E2436" s="11">
        <f t="shared" si="186"/>
        <v>20</v>
      </c>
      <c r="F2436" s="12">
        <f t="shared" si="187"/>
        <v>66.666666666666657</v>
      </c>
      <c r="G2436" s="12" t="str">
        <f t="shared" si="188"/>
        <v>Warning</v>
      </c>
      <c r="H2436" s="13">
        <f t="shared" si="189"/>
        <v>6</v>
      </c>
      <c r="I2436" s="14">
        <f t="shared" si="185"/>
        <v>1792.2199999999998</v>
      </c>
      <c r="K2436" t="str">
        <f>[1]!revcom(C2436)</f>
        <v>TCAGGC</v>
      </c>
      <c r="L2436">
        <v>6</v>
      </c>
    </row>
    <row r="2437" spans="1:12" ht="15.6" x14ac:dyDescent="0.3">
      <c r="A2437" s="9">
        <v>2426</v>
      </c>
      <c r="B2437" s="1"/>
      <c r="C2437" s="2" t="s">
        <v>2432</v>
      </c>
      <c r="D2437" s="1"/>
      <c r="E2437" s="11">
        <f t="shared" si="186"/>
        <v>18</v>
      </c>
      <c r="F2437" s="12">
        <f t="shared" si="187"/>
        <v>83.333333333333343</v>
      </c>
      <c r="G2437" s="12" t="str">
        <f t="shared" si="188"/>
        <v>Warning</v>
      </c>
      <c r="H2437" s="13">
        <f t="shared" si="189"/>
        <v>6</v>
      </c>
      <c r="I2437" s="14">
        <f t="shared" si="185"/>
        <v>1768.19</v>
      </c>
      <c r="K2437" t="str">
        <f>[1]!revcom(C2437)</f>
        <v>GCAGGC</v>
      </c>
      <c r="L2437">
        <v>5</v>
      </c>
    </row>
    <row r="2438" spans="1:12" ht="15.6" x14ac:dyDescent="0.3">
      <c r="A2438" s="9">
        <v>2427</v>
      </c>
      <c r="B2438" s="1"/>
      <c r="C2438" s="2" t="s">
        <v>2433</v>
      </c>
      <c r="D2438" s="1"/>
      <c r="E2438" s="11">
        <f t="shared" si="186"/>
        <v>18</v>
      </c>
      <c r="F2438" s="12">
        <f t="shared" si="187"/>
        <v>83.333333333333343</v>
      </c>
      <c r="G2438" s="12" t="str">
        <f t="shared" si="188"/>
        <v>Warning</v>
      </c>
      <c r="H2438" s="13">
        <f t="shared" si="189"/>
        <v>6</v>
      </c>
      <c r="I2438" s="14">
        <f t="shared" si="185"/>
        <v>1808.2200000000003</v>
      </c>
      <c r="K2438" t="str">
        <f>[1]!revcom(C2438)</f>
        <v>CCAGGC</v>
      </c>
      <c r="L2438">
        <v>5</v>
      </c>
    </row>
    <row r="2439" spans="1:12" ht="15.6" x14ac:dyDescent="0.3">
      <c r="A2439" s="9">
        <v>2428</v>
      </c>
      <c r="B2439" s="1"/>
      <c r="C2439" s="2" t="s">
        <v>2434</v>
      </c>
      <c r="D2439" s="1"/>
      <c r="E2439" s="11">
        <f t="shared" si="186"/>
        <v>12</v>
      </c>
      <c r="F2439" s="12">
        <f t="shared" si="187"/>
        <v>66.666666666666657</v>
      </c>
      <c r="G2439" s="12" t="str">
        <f t="shared" si="188"/>
        <v>Warning</v>
      </c>
      <c r="H2439" s="13">
        <f t="shared" si="189"/>
        <v>6</v>
      </c>
      <c r="I2439" s="14">
        <f t="shared" si="185"/>
        <v>1783.1999999999998</v>
      </c>
      <c r="K2439" t="str">
        <f>[1]!revcom(C2439)</f>
        <v>ACAGGC</v>
      </c>
      <c r="L2439">
        <v>4</v>
      </c>
    </row>
    <row r="2440" spans="1:12" ht="15.6" x14ac:dyDescent="0.3">
      <c r="A2440" s="9">
        <v>2429</v>
      </c>
      <c r="B2440" s="1"/>
      <c r="C2440" s="2" t="s">
        <v>2435</v>
      </c>
      <c r="D2440" s="1"/>
      <c r="E2440" s="11">
        <f t="shared" si="186"/>
        <v>14</v>
      </c>
      <c r="F2440" s="12">
        <f t="shared" si="187"/>
        <v>50</v>
      </c>
      <c r="G2440" s="12" t="str">
        <f t="shared" si="188"/>
        <v>OK</v>
      </c>
      <c r="H2440" s="13">
        <f t="shared" si="189"/>
        <v>6</v>
      </c>
      <c r="I2440" s="14">
        <f t="shared" si="185"/>
        <v>1767.1999999999998</v>
      </c>
      <c r="K2440" t="str">
        <f>[1]!revcom(C2440)</f>
        <v>TAAGGC</v>
      </c>
      <c r="L2440">
        <v>5</v>
      </c>
    </row>
    <row r="2441" spans="1:12" ht="15.6" x14ac:dyDescent="0.3">
      <c r="A2441" s="9">
        <v>2430</v>
      </c>
      <c r="B2441" s="1"/>
      <c r="C2441" s="2" t="s">
        <v>2436</v>
      </c>
      <c r="D2441" s="1"/>
      <c r="E2441" s="11">
        <f t="shared" si="186"/>
        <v>12</v>
      </c>
      <c r="F2441" s="12">
        <f t="shared" si="187"/>
        <v>66.666666666666657</v>
      </c>
      <c r="G2441" s="12" t="str">
        <f t="shared" si="188"/>
        <v>Warning</v>
      </c>
      <c r="H2441" s="13">
        <f t="shared" si="189"/>
        <v>6</v>
      </c>
      <c r="I2441" s="14">
        <f t="shared" si="185"/>
        <v>1743.17</v>
      </c>
      <c r="K2441" t="str">
        <f>[1]!revcom(C2441)</f>
        <v>GAAGGC</v>
      </c>
      <c r="L2441">
        <v>4</v>
      </c>
    </row>
    <row r="2442" spans="1:12" ht="15.6" x14ac:dyDescent="0.3">
      <c r="A2442" s="9">
        <v>2431</v>
      </c>
      <c r="B2442" s="1"/>
      <c r="C2442" s="2" t="s">
        <v>2437</v>
      </c>
      <c r="D2442" s="1"/>
      <c r="E2442" s="11">
        <f t="shared" si="186"/>
        <v>12</v>
      </c>
      <c r="F2442" s="12">
        <f t="shared" si="187"/>
        <v>66.666666666666657</v>
      </c>
      <c r="G2442" s="12" t="str">
        <f t="shared" si="188"/>
        <v>Warning</v>
      </c>
      <c r="H2442" s="13">
        <f t="shared" si="189"/>
        <v>6</v>
      </c>
      <c r="I2442" s="14">
        <f t="shared" si="185"/>
        <v>1783.1999999999998</v>
      </c>
      <c r="K2442" t="str">
        <f>[1]!revcom(C2442)</f>
        <v>CAAGGC</v>
      </c>
      <c r="L2442">
        <v>4</v>
      </c>
    </row>
    <row r="2443" spans="1:12" ht="15.6" x14ac:dyDescent="0.3">
      <c r="A2443" s="9">
        <v>2432</v>
      </c>
      <c r="B2443" s="1"/>
      <c r="C2443" s="2" t="s">
        <v>2438</v>
      </c>
      <c r="D2443" s="1"/>
      <c r="E2443" s="11">
        <f t="shared" si="186"/>
        <v>6</v>
      </c>
      <c r="F2443" s="12">
        <f t="shared" si="187"/>
        <v>50</v>
      </c>
      <c r="G2443" s="12" t="str">
        <f t="shared" si="188"/>
        <v>OK</v>
      </c>
      <c r="H2443" s="13">
        <f t="shared" si="189"/>
        <v>6</v>
      </c>
      <c r="I2443" s="14">
        <f t="shared" si="185"/>
        <v>1758.1799999999998</v>
      </c>
      <c r="K2443" t="str">
        <f>[1]!revcom(C2443)</f>
        <v>AAAGGC</v>
      </c>
      <c r="L2443">
        <v>3</v>
      </c>
    </row>
    <row r="2444" spans="1:12" ht="15.6" x14ac:dyDescent="0.3">
      <c r="A2444" s="9">
        <v>2433</v>
      </c>
      <c r="B2444" s="1"/>
      <c r="C2444" s="2" t="s">
        <v>2439</v>
      </c>
      <c r="D2444" s="1"/>
      <c r="E2444" s="11">
        <f t="shared" si="186"/>
        <v>30</v>
      </c>
      <c r="F2444" s="12">
        <f t="shared" si="187"/>
        <v>50</v>
      </c>
      <c r="G2444" s="12" t="str">
        <f t="shared" si="188"/>
        <v>OK</v>
      </c>
      <c r="H2444" s="13">
        <f t="shared" si="189"/>
        <v>6</v>
      </c>
      <c r="I2444" s="14">
        <f t="shared" si="185"/>
        <v>1825.27</v>
      </c>
      <c r="K2444" t="str">
        <f>[1]!revcom(C2444)</f>
        <v>TTTCGC</v>
      </c>
      <c r="L2444">
        <v>7</v>
      </c>
    </row>
    <row r="2445" spans="1:12" ht="15.6" x14ac:dyDescent="0.3">
      <c r="A2445" s="9">
        <v>2434</v>
      </c>
      <c r="B2445" s="1"/>
      <c r="C2445" s="2" t="s">
        <v>2440</v>
      </c>
      <c r="D2445" s="1"/>
      <c r="E2445" s="11">
        <f t="shared" si="186"/>
        <v>28</v>
      </c>
      <c r="F2445" s="12">
        <f t="shared" si="187"/>
        <v>66.666666666666657</v>
      </c>
      <c r="G2445" s="12" t="str">
        <f t="shared" si="188"/>
        <v>Warning</v>
      </c>
      <c r="H2445" s="13">
        <f t="shared" si="189"/>
        <v>6</v>
      </c>
      <c r="I2445" s="14">
        <f t="shared" ref="I2445:I2508" si="190">((LEN(C2445)-(LEN(SUBSTITUTE(C2445,"A",""))))*249.23)+((LEN(C2445)-(LEN(SUBSTITUTE(C2445,"T",""))))*240.21)+((LEN(C2445)-(LEN(SUBSTITUTE(C2445,"C",""))))*225.2)+((LEN(C2445)-(LEN(SUBSTITUTE(C2445,"G",""))))*265.23)+(63.98*(LEN(C2445)-1)+(2.02))</f>
        <v>1801.2399999999998</v>
      </c>
      <c r="K2445" t="str">
        <f>[1]!revcom(C2445)</f>
        <v>GTTCGC</v>
      </c>
      <c r="L2445">
        <v>7</v>
      </c>
    </row>
    <row r="2446" spans="1:12" ht="15.6" x14ac:dyDescent="0.3">
      <c r="A2446" s="9">
        <v>2435</v>
      </c>
      <c r="B2446" s="1"/>
      <c r="C2446" s="2" t="s">
        <v>2441</v>
      </c>
      <c r="D2446" s="1"/>
      <c r="E2446" s="11">
        <f t="shared" ref="E2446:E2509" si="191">IF(LEN(C2446)&gt;15,(69.3+((41*((LEN(C2446)-(((LEN(C2446)-(LEN(SUBSTITUTE(C2446,"A",""))))+((LEN(C2446)-(LEN(SUBSTITUTE(C2446,"T","")))))))))/(LEN(C2446)))-(650/(LEN(C2446))))),(2*((LEN(C2446)-(((LEN(C2446)-(LEN(SUBSTITUTE(C2446,"C",""))))+((LEN(C2446)-(LEN(SUBSTITUTE(C2446,"G",""))))))))))+(4*((LEN(C2446)-(((LEN(C2446)-(LEN(SUBSTITUTE(C2446,"T",""))))+((LEN(C2446)-(LEN(SUBSTITUTE(C2446,"T","")))))))))))</f>
        <v>28</v>
      </c>
      <c r="F2446" s="12">
        <f t="shared" ref="F2446:F2509" si="192">((LEN(C2446)- LEN(SUBSTITUTE(C2446,"G","")))+(LEN(C2446)- LEN(SUBSTITUTE(C2446,"C",""))) )/LEN(C2446)*100</f>
        <v>66.666666666666657</v>
      </c>
      <c r="G2446" s="12" t="str">
        <f t="shared" ref="G2446:G2509" si="193">IF((-5+((LEN(SUBSTITUTE(RIGHT(C2446,5),"C","")))+((LEN(SUBSTITUTE(RIGHT(C2446,5),"G",""))))))&gt;=3,"OK","Warning")</f>
        <v>Warning</v>
      </c>
      <c r="H2446" s="13">
        <f t="shared" ref="H2446:H2509" si="194">LEN(C2446)</f>
        <v>6</v>
      </c>
      <c r="I2446" s="14">
        <f t="shared" si="190"/>
        <v>1841.27</v>
      </c>
      <c r="K2446" t="str">
        <f>[1]!revcom(C2446)</f>
        <v>CTTCGC</v>
      </c>
      <c r="L2446">
        <v>7</v>
      </c>
    </row>
    <row r="2447" spans="1:12" ht="15.6" x14ac:dyDescent="0.3">
      <c r="A2447" s="9">
        <v>2436</v>
      </c>
      <c r="B2447" s="1"/>
      <c r="C2447" s="2" t="s">
        <v>2442</v>
      </c>
      <c r="D2447" s="1"/>
      <c r="E2447" s="11">
        <f t="shared" si="191"/>
        <v>22</v>
      </c>
      <c r="F2447" s="12">
        <f t="shared" si="192"/>
        <v>50</v>
      </c>
      <c r="G2447" s="12" t="str">
        <f t="shared" si="193"/>
        <v>OK</v>
      </c>
      <c r="H2447" s="13">
        <f t="shared" si="194"/>
        <v>6</v>
      </c>
      <c r="I2447" s="14">
        <f t="shared" si="190"/>
        <v>1816.25</v>
      </c>
      <c r="K2447" t="str">
        <f>[1]!revcom(C2447)</f>
        <v>ATTCGC</v>
      </c>
      <c r="L2447">
        <v>6</v>
      </c>
    </row>
    <row r="2448" spans="1:12" ht="15.6" x14ac:dyDescent="0.3">
      <c r="A2448" s="9">
        <v>2437</v>
      </c>
      <c r="B2448" s="1"/>
      <c r="C2448" s="2" t="s">
        <v>2443</v>
      </c>
      <c r="D2448" s="1"/>
      <c r="E2448" s="11">
        <f t="shared" si="191"/>
        <v>28</v>
      </c>
      <c r="F2448" s="12">
        <f t="shared" si="192"/>
        <v>66.666666666666657</v>
      </c>
      <c r="G2448" s="12" t="str">
        <f t="shared" si="193"/>
        <v>Warning</v>
      </c>
      <c r="H2448" s="13">
        <f t="shared" si="194"/>
        <v>6</v>
      </c>
      <c r="I2448" s="14">
        <f t="shared" si="190"/>
        <v>1801.2399999999998</v>
      </c>
      <c r="K2448" t="str">
        <f>[1]!revcom(C2448)</f>
        <v>TGTCGC</v>
      </c>
      <c r="L2448">
        <v>7</v>
      </c>
    </row>
    <row r="2449" spans="1:12" ht="15.6" x14ac:dyDescent="0.3">
      <c r="A2449" s="9">
        <v>2438</v>
      </c>
      <c r="B2449" s="1"/>
      <c r="C2449" s="2" t="s">
        <v>2444</v>
      </c>
      <c r="D2449" s="1"/>
      <c r="E2449" s="11">
        <f t="shared" si="191"/>
        <v>26</v>
      </c>
      <c r="F2449" s="12">
        <f t="shared" si="192"/>
        <v>83.333333333333343</v>
      </c>
      <c r="G2449" s="12" t="str">
        <f t="shared" si="193"/>
        <v>Warning</v>
      </c>
      <c r="H2449" s="13">
        <f t="shared" si="194"/>
        <v>6</v>
      </c>
      <c r="I2449" s="14">
        <f t="shared" si="190"/>
        <v>1777.21</v>
      </c>
      <c r="K2449" t="str">
        <f>[1]!revcom(C2449)</f>
        <v>GGTCGC</v>
      </c>
      <c r="L2449">
        <v>7</v>
      </c>
    </row>
    <row r="2450" spans="1:12" ht="15.6" x14ac:dyDescent="0.3">
      <c r="A2450" s="9">
        <v>2439</v>
      </c>
      <c r="B2450" s="1"/>
      <c r="C2450" s="2" t="s">
        <v>2445</v>
      </c>
      <c r="D2450" s="1"/>
      <c r="E2450" s="11">
        <f t="shared" si="191"/>
        <v>26</v>
      </c>
      <c r="F2450" s="12">
        <f t="shared" si="192"/>
        <v>83.333333333333343</v>
      </c>
      <c r="G2450" s="12" t="str">
        <f t="shared" si="193"/>
        <v>Warning</v>
      </c>
      <c r="H2450" s="13">
        <f t="shared" si="194"/>
        <v>6</v>
      </c>
      <c r="I2450" s="14">
        <f t="shared" si="190"/>
        <v>1817.2400000000002</v>
      </c>
      <c r="K2450" t="str">
        <f>[1]!revcom(C2450)</f>
        <v>CGTCGC</v>
      </c>
      <c r="L2450">
        <v>7</v>
      </c>
    </row>
    <row r="2451" spans="1:12" ht="15.6" x14ac:dyDescent="0.3">
      <c r="A2451" s="9">
        <v>2440</v>
      </c>
      <c r="B2451" s="1"/>
      <c r="C2451" s="2" t="s">
        <v>2446</v>
      </c>
      <c r="D2451" s="1"/>
      <c r="E2451" s="11">
        <f t="shared" si="191"/>
        <v>20</v>
      </c>
      <c r="F2451" s="12">
        <f t="shared" si="192"/>
        <v>66.666666666666657</v>
      </c>
      <c r="G2451" s="12" t="str">
        <f t="shared" si="193"/>
        <v>Warning</v>
      </c>
      <c r="H2451" s="13">
        <f t="shared" si="194"/>
        <v>6</v>
      </c>
      <c r="I2451" s="14">
        <f t="shared" si="190"/>
        <v>1792.2199999999998</v>
      </c>
      <c r="K2451" t="str">
        <f>[1]!revcom(C2451)</f>
        <v>AGTCGC</v>
      </c>
      <c r="L2451">
        <v>6</v>
      </c>
    </row>
    <row r="2452" spans="1:12" ht="15.6" x14ac:dyDescent="0.3">
      <c r="A2452" s="9">
        <v>2441</v>
      </c>
      <c r="B2452" s="1"/>
      <c r="C2452" s="2" t="s">
        <v>2447</v>
      </c>
      <c r="D2452" s="1"/>
      <c r="E2452" s="11">
        <f t="shared" si="191"/>
        <v>28</v>
      </c>
      <c r="F2452" s="12">
        <f t="shared" si="192"/>
        <v>66.666666666666657</v>
      </c>
      <c r="G2452" s="12" t="str">
        <f t="shared" si="193"/>
        <v>Warning</v>
      </c>
      <c r="H2452" s="13">
        <f t="shared" si="194"/>
        <v>6</v>
      </c>
      <c r="I2452" s="14">
        <f t="shared" si="190"/>
        <v>1841.27</v>
      </c>
      <c r="K2452" t="str">
        <f>[1]!revcom(C2452)</f>
        <v>TCTCGC</v>
      </c>
      <c r="L2452">
        <v>7</v>
      </c>
    </row>
    <row r="2453" spans="1:12" ht="15.6" x14ac:dyDescent="0.3">
      <c r="A2453" s="9">
        <v>2442</v>
      </c>
      <c r="B2453" s="1"/>
      <c r="C2453" s="2" t="s">
        <v>2448</v>
      </c>
      <c r="D2453" s="1"/>
      <c r="E2453" s="11">
        <f t="shared" si="191"/>
        <v>26</v>
      </c>
      <c r="F2453" s="12">
        <f t="shared" si="192"/>
        <v>83.333333333333343</v>
      </c>
      <c r="G2453" s="12" t="str">
        <f t="shared" si="193"/>
        <v>Warning</v>
      </c>
      <c r="H2453" s="13">
        <f t="shared" si="194"/>
        <v>6</v>
      </c>
      <c r="I2453" s="14">
        <f t="shared" si="190"/>
        <v>1817.2400000000002</v>
      </c>
      <c r="K2453" t="str">
        <f>[1]!revcom(C2453)</f>
        <v>GCTCGC</v>
      </c>
      <c r="L2453">
        <v>7</v>
      </c>
    </row>
    <row r="2454" spans="1:12" ht="15.6" x14ac:dyDescent="0.3">
      <c r="A2454" s="9">
        <v>2443</v>
      </c>
      <c r="B2454" s="1"/>
      <c r="C2454" s="2" t="s">
        <v>2449</v>
      </c>
      <c r="D2454" s="1"/>
      <c r="E2454" s="11">
        <f t="shared" si="191"/>
        <v>26</v>
      </c>
      <c r="F2454" s="12">
        <f t="shared" si="192"/>
        <v>83.333333333333343</v>
      </c>
      <c r="G2454" s="12" t="str">
        <f t="shared" si="193"/>
        <v>Warning</v>
      </c>
      <c r="H2454" s="13">
        <f t="shared" si="194"/>
        <v>6</v>
      </c>
      <c r="I2454" s="14">
        <f t="shared" si="190"/>
        <v>1857.27</v>
      </c>
      <c r="K2454" t="str">
        <f>[1]!revcom(C2454)</f>
        <v>CCTCGC</v>
      </c>
      <c r="L2454">
        <v>7</v>
      </c>
    </row>
    <row r="2455" spans="1:12" ht="15.6" x14ac:dyDescent="0.3">
      <c r="A2455" s="9">
        <v>2444</v>
      </c>
      <c r="B2455" s="1"/>
      <c r="C2455" s="2" t="s">
        <v>2450</v>
      </c>
      <c r="D2455" s="1"/>
      <c r="E2455" s="11">
        <f t="shared" si="191"/>
        <v>20</v>
      </c>
      <c r="F2455" s="12">
        <f t="shared" si="192"/>
        <v>66.666666666666657</v>
      </c>
      <c r="G2455" s="12" t="str">
        <f t="shared" si="193"/>
        <v>Warning</v>
      </c>
      <c r="H2455" s="13">
        <f t="shared" si="194"/>
        <v>6</v>
      </c>
      <c r="I2455" s="14">
        <f t="shared" si="190"/>
        <v>1832.25</v>
      </c>
      <c r="K2455" t="str">
        <f>[1]!revcom(C2455)</f>
        <v>ACTCGC</v>
      </c>
      <c r="L2455">
        <v>6</v>
      </c>
    </row>
    <row r="2456" spans="1:12" ht="15.6" x14ac:dyDescent="0.3">
      <c r="A2456" s="9">
        <v>2445</v>
      </c>
      <c r="B2456" s="1"/>
      <c r="C2456" s="2" t="s">
        <v>2451</v>
      </c>
      <c r="D2456" s="1"/>
      <c r="E2456" s="11">
        <f t="shared" si="191"/>
        <v>22</v>
      </c>
      <c r="F2456" s="12">
        <f t="shared" si="192"/>
        <v>50</v>
      </c>
      <c r="G2456" s="12" t="str">
        <f t="shared" si="193"/>
        <v>OK</v>
      </c>
      <c r="H2456" s="13">
        <f t="shared" si="194"/>
        <v>6</v>
      </c>
      <c r="I2456" s="14">
        <f t="shared" si="190"/>
        <v>1816.25</v>
      </c>
      <c r="K2456" t="str">
        <f>[1]!revcom(C2456)</f>
        <v>TATCGC</v>
      </c>
      <c r="L2456">
        <v>6</v>
      </c>
    </row>
    <row r="2457" spans="1:12" ht="15.6" x14ac:dyDescent="0.3">
      <c r="A2457" s="9">
        <v>2446</v>
      </c>
      <c r="B2457" s="1"/>
      <c r="C2457" s="2" t="s">
        <v>2452</v>
      </c>
      <c r="D2457" s="1"/>
      <c r="E2457" s="11">
        <f t="shared" si="191"/>
        <v>20</v>
      </c>
      <c r="F2457" s="12">
        <f t="shared" si="192"/>
        <v>66.666666666666657</v>
      </c>
      <c r="G2457" s="12" t="str">
        <f t="shared" si="193"/>
        <v>Warning</v>
      </c>
      <c r="H2457" s="13">
        <f t="shared" si="194"/>
        <v>6</v>
      </c>
      <c r="I2457" s="14">
        <f t="shared" si="190"/>
        <v>1792.2199999999998</v>
      </c>
      <c r="K2457" t="str">
        <f>[1]!revcom(C2457)</f>
        <v>GATCGC</v>
      </c>
      <c r="L2457">
        <v>6</v>
      </c>
    </row>
    <row r="2458" spans="1:12" ht="15.6" x14ac:dyDescent="0.3">
      <c r="A2458" s="9">
        <v>2447</v>
      </c>
      <c r="B2458" s="1"/>
      <c r="C2458" s="2" t="s">
        <v>2453</v>
      </c>
      <c r="D2458" s="1"/>
      <c r="E2458" s="11">
        <f t="shared" si="191"/>
        <v>20</v>
      </c>
      <c r="F2458" s="12">
        <f t="shared" si="192"/>
        <v>66.666666666666657</v>
      </c>
      <c r="G2458" s="12" t="str">
        <f t="shared" si="193"/>
        <v>Warning</v>
      </c>
      <c r="H2458" s="13">
        <f t="shared" si="194"/>
        <v>6</v>
      </c>
      <c r="I2458" s="14">
        <f t="shared" si="190"/>
        <v>1832.25</v>
      </c>
      <c r="K2458" t="str">
        <f>[1]!revcom(C2458)</f>
        <v>CATCGC</v>
      </c>
      <c r="L2458">
        <v>6</v>
      </c>
    </row>
    <row r="2459" spans="1:12" ht="15.6" x14ac:dyDescent="0.3">
      <c r="A2459" s="9">
        <v>2448</v>
      </c>
      <c r="B2459" s="1"/>
      <c r="C2459" s="2" t="s">
        <v>2454</v>
      </c>
      <c r="D2459" s="1"/>
      <c r="E2459" s="11">
        <f t="shared" si="191"/>
        <v>14</v>
      </c>
      <c r="F2459" s="12">
        <f t="shared" si="192"/>
        <v>50</v>
      </c>
      <c r="G2459" s="12" t="str">
        <f t="shared" si="193"/>
        <v>OK</v>
      </c>
      <c r="H2459" s="13">
        <f t="shared" si="194"/>
        <v>6</v>
      </c>
      <c r="I2459" s="14">
        <f t="shared" si="190"/>
        <v>1807.23</v>
      </c>
      <c r="K2459" t="str">
        <f>[1]!revcom(C2459)</f>
        <v>AATCGC</v>
      </c>
      <c r="L2459">
        <v>5</v>
      </c>
    </row>
    <row r="2460" spans="1:12" ht="15.6" x14ac:dyDescent="0.3">
      <c r="A2460" s="9">
        <v>2449</v>
      </c>
      <c r="B2460" s="1"/>
      <c r="C2460" s="2" t="s">
        <v>2455</v>
      </c>
      <c r="D2460" s="1"/>
      <c r="E2460" s="11">
        <f t="shared" si="191"/>
        <v>28</v>
      </c>
      <c r="F2460" s="12">
        <f t="shared" si="192"/>
        <v>66.666666666666657</v>
      </c>
      <c r="G2460" s="12" t="str">
        <f t="shared" si="193"/>
        <v>Warning</v>
      </c>
      <c r="H2460" s="13">
        <f t="shared" si="194"/>
        <v>6</v>
      </c>
      <c r="I2460" s="14">
        <f t="shared" si="190"/>
        <v>1801.2399999999998</v>
      </c>
      <c r="K2460" t="str">
        <f>[1]!revcom(C2460)</f>
        <v>TTGCGC</v>
      </c>
      <c r="L2460">
        <v>7</v>
      </c>
    </row>
    <row r="2461" spans="1:12" ht="15.6" x14ac:dyDescent="0.3">
      <c r="A2461" s="9">
        <v>2450</v>
      </c>
      <c r="B2461" s="1"/>
      <c r="C2461" s="2" t="s">
        <v>2456</v>
      </c>
      <c r="D2461" s="1"/>
      <c r="E2461" s="11">
        <f t="shared" si="191"/>
        <v>26</v>
      </c>
      <c r="F2461" s="12">
        <f t="shared" si="192"/>
        <v>83.333333333333343</v>
      </c>
      <c r="G2461" s="12" t="str">
        <f t="shared" si="193"/>
        <v>Warning</v>
      </c>
      <c r="H2461" s="13">
        <f t="shared" si="194"/>
        <v>6</v>
      </c>
      <c r="I2461" s="14">
        <f t="shared" si="190"/>
        <v>1777.21</v>
      </c>
      <c r="K2461" t="str">
        <f>[1]!revcom(C2461)</f>
        <v>GTGCGC</v>
      </c>
      <c r="L2461">
        <v>7</v>
      </c>
    </row>
    <row r="2462" spans="1:12" ht="15.6" x14ac:dyDescent="0.3">
      <c r="A2462" s="9">
        <v>2451</v>
      </c>
      <c r="B2462" s="1"/>
      <c r="C2462" s="2" t="s">
        <v>2457</v>
      </c>
      <c r="D2462" s="1"/>
      <c r="E2462" s="11">
        <f t="shared" si="191"/>
        <v>26</v>
      </c>
      <c r="F2462" s="12">
        <f t="shared" si="192"/>
        <v>83.333333333333343</v>
      </c>
      <c r="G2462" s="12" t="str">
        <f t="shared" si="193"/>
        <v>Warning</v>
      </c>
      <c r="H2462" s="13">
        <f t="shared" si="194"/>
        <v>6</v>
      </c>
      <c r="I2462" s="14">
        <f t="shared" si="190"/>
        <v>1817.2400000000002</v>
      </c>
      <c r="K2462" t="str">
        <f>[1]!revcom(C2462)</f>
        <v>CTGCGC</v>
      </c>
      <c r="L2462">
        <v>7</v>
      </c>
    </row>
    <row r="2463" spans="1:12" ht="15.6" x14ac:dyDescent="0.3">
      <c r="A2463" s="9">
        <v>2452</v>
      </c>
      <c r="B2463" s="1"/>
      <c r="C2463" s="2" t="s">
        <v>2458</v>
      </c>
      <c r="D2463" s="1"/>
      <c r="E2463" s="11">
        <f t="shared" si="191"/>
        <v>20</v>
      </c>
      <c r="F2463" s="12">
        <f t="shared" si="192"/>
        <v>66.666666666666657</v>
      </c>
      <c r="G2463" s="12" t="str">
        <f t="shared" si="193"/>
        <v>Warning</v>
      </c>
      <c r="H2463" s="13">
        <f t="shared" si="194"/>
        <v>6</v>
      </c>
      <c r="I2463" s="14">
        <f t="shared" si="190"/>
        <v>1792.2199999999998</v>
      </c>
      <c r="K2463" t="str">
        <f>[1]!revcom(C2463)</f>
        <v>ATGCGC</v>
      </c>
      <c r="L2463">
        <v>6</v>
      </c>
    </row>
    <row r="2464" spans="1:12" ht="15.6" x14ac:dyDescent="0.3">
      <c r="A2464" s="9">
        <v>2453</v>
      </c>
      <c r="B2464" s="1"/>
      <c r="C2464" s="2" t="s">
        <v>2459</v>
      </c>
      <c r="D2464" s="1"/>
      <c r="E2464" s="11">
        <f t="shared" si="191"/>
        <v>26</v>
      </c>
      <c r="F2464" s="12">
        <f t="shared" si="192"/>
        <v>83.333333333333343</v>
      </c>
      <c r="G2464" s="12" t="str">
        <f t="shared" si="193"/>
        <v>Warning</v>
      </c>
      <c r="H2464" s="13">
        <f t="shared" si="194"/>
        <v>6</v>
      </c>
      <c r="I2464" s="14">
        <f t="shared" si="190"/>
        <v>1777.21</v>
      </c>
      <c r="K2464" t="str">
        <f>[1]!revcom(C2464)</f>
        <v>TGGCGC</v>
      </c>
      <c r="L2464">
        <v>7</v>
      </c>
    </row>
    <row r="2465" spans="1:12" ht="15.6" x14ac:dyDescent="0.3">
      <c r="A2465" s="9">
        <v>2454</v>
      </c>
      <c r="B2465" s="1"/>
      <c r="C2465" s="2" t="s">
        <v>2460</v>
      </c>
      <c r="D2465" s="1"/>
      <c r="E2465" s="11">
        <f t="shared" si="191"/>
        <v>24</v>
      </c>
      <c r="F2465" s="12">
        <f t="shared" si="192"/>
        <v>100</v>
      </c>
      <c r="G2465" s="12" t="str">
        <f t="shared" si="193"/>
        <v>Warning</v>
      </c>
      <c r="H2465" s="13">
        <f t="shared" si="194"/>
        <v>6</v>
      </c>
      <c r="I2465" s="14">
        <f t="shared" si="190"/>
        <v>1753.1799999999998</v>
      </c>
      <c r="K2465" t="str">
        <f>[1]!revcom(C2465)</f>
        <v>GGGCGC</v>
      </c>
      <c r="L2465">
        <v>6</v>
      </c>
    </row>
    <row r="2466" spans="1:12" ht="15.6" x14ac:dyDescent="0.3">
      <c r="A2466" s="9">
        <v>2455</v>
      </c>
      <c r="B2466" s="1"/>
      <c r="C2466" s="2" t="s">
        <v>2461</v>
      </c>
      <c r="D2466" s="1"/>
      <c r="E2466" s="11">
        <f t="shared" si="191"/>
        <v>24</v>
      </c>
      <c r="F2466" s="12">
        <f t="shared" si="192"/>
        <v>100</v>
      </c>
      <c r="G2466" s="12" t="str">
        <f t="shared" si="193"/>
        <v>Warning</v>
      </c>
      <c r="H2466" s="13">
        <f t="shared" si="194"/>
        <v>6</v>
      </c>
      <c r="I2466" s="14">
        <f t="shared" si="190"/>
        <v>1793.21</v>
      </c>
      <c r="K2466" t="str">
        <f>[1]!revcom(C2466)</f>
        <v>CGGCGC</v>
      </c>
      <c r="L2466">
        <v>6</v>
      </c>
    </row>
    <row r="2467" spans="1:12" ht="15.6" x14ac:dyDescent="0.3">
      <c r="A2467" s="9">
        <v>2456</v>
      </c>
      <c r="B2467" s="1"/>
      <c r="C2467" s="2" t="s">
        <v>2462</v>
      </c>
      <c r="D2467" s="1"/>
      <c r="E2467" s="11">
        <f t="shared" si="191"/>
        <v>18</v>
      </c>
      <c r="F2467" s="12">
        <f t="shared" si="192"/>
        <v>83.333333333333343</v>
      </c>
      <c r="G2467" s="12" t="str">
        <f t="shared" si="193"/>
        <v>Warning</v>
      </c>
      <c r="H2467" s="13">
        <f t="shared" si="194"/>
        <v>6</v>
      </c>
      <c r="I2467" s="14">
        <f t="shared" si="190"/>
        <v>1768.19</v>
      </c>
      <c r="K2467" t="str">
        <f>[1]!revcom(C2467)</f>
        <v>AGGCGC</v>
      </c>
      <c r="L2467">
        <v>5</v>
      </c>
    </row>
    <row r="2468" spans="1:12" ht="15.6" x14ac:dyDescent="0.3">
      <c r="A2468" s="9">
        <v>2457</v>
      </c>
      <c r="B2468" s="1"/>
      <c r="C2468" s="2" t="s">
        <v>2463</v>
      </c>
      <c r="D2468" s="1"/>
      <c r="E2468" s="11">
        <f t="shared" si="191"/>
        <v>26</v>
      </c>
      <c r="F2468" s="12">
        <f t="shared" si="192"/>
        <v>83.333333333333343</v>
      </c>
      <c r="G2468" s="12" t="str">
        <f t="shared" si="193"/>
        <v>Warning</v>
      </c>
      <c r="H2468" s="13">
        <f t="shared" si="194"/>
        <v>6</v>
      </c>
      <c r="I2468" s="14">
        <f t="shared" si="190"/>
        <v>1817.2400000000002</v>
      </c>
      <c r="K2468" t="str">
        <f>[1]!revcom(C2468)</f>
        <v>TCGCGC</v>
      </c>
      <c r="L2468">
        <v>7</v>
      </c>
    </row>
    <row r="2469" spans="1:12" ht="15.6" x14ac:dyDescent="0.3">
      <c r="A2469" s="9">
        <v>2458</v>
      </c>
      <c r="B2469" s="1"/>
      <c r="C2469" s="2" t="s">
        <v>2464</v>
      </c>
      <c r="D2469" s="1"/>
      <c r="E2469" s="11">
        <f t="shared" si="191"/>
        <v>24</v>
      </c>
      <c r="F2469" s="12">
        <f t="shared" si="192"/>
        <v>100</v>
      </c>
      <c r="G2469" s="12" t="str">
        <f t="shared" si="193"/>
        <v>Warning</v>
      </c>
      <c r="H2469" s="13">
        <f t="shared" si="194"/>
        <v>6</v>
      </c>
      <c r="I2469" s="14">
        <f t="shared" si="190"/>
        <v>1793.21</v>
      </c>
      <c r="K2469" t="str">
        <f>[1]!revcom(C2469)</f>
        <v>GCGCGC</v>
      </c>
      <c r="L2469">
        <v>6</v>
      </c>
    </row>
    <row r="2470" spans="1:12" ht="15.6" x14ac:dyDescent="0.3">
      <c r="A2470" s="9">
        <v>2459</v>
      </c>
      <c r="B2470" s="1"/>
      <c r="C2470" s="2" t="s">
        <v>2465</v>
      </c>
      <c r="D2470" s="1"/>
      <c r="E2470" s="11">
        <f t="shared" si="191"/>
        <v>24</v>
      </c>
      <c r="F2470" s="12">
        <f t="shared" si="192"/>
        <v>100</v>
      </c>
      <c r="G2470" s="12" t="str">
        <f t="shared" si="193"/>
        <v>Warning</v>
      </c>
      <c r="H2470" s="13">
        <f t="shared" si="194"/>
        <v>6</v>
      </c>
      <c r="I2470" s="14">
        <f t="shared" si="190"/>
        <v>1833.2400000000002</v>
      </c>
      <c r="K2470" t="str">
        <f>[1]!revcom(C2470)</f>
        <v>CCGCGC</v>
      </c>
      <c r="L2470">
        <v>6</v>
      </c>
    </row>
    <row r="2471" spans="1:12" ht="15.6" x14ac:dyDescent="0.3">
      <c r="A2471" s="9">
        <v>2460</v>
      </c>
      <c r="B2471" s="1"/>
      <c r="C2471" s="2" t="s">
        <v>2466</v>
      </c>
      <c r="D2471" s="1"/>
      <c r="E2471" s="11">
        <f t="shared" si="191"/>
        <v>18</v>
      </c>
      <c r="F2471" s="12">
        <f t="shared" si="192"/>
        <v>83.333333333333343</v>
      </c>
      <c r="G2471" s="12" t="str">
        <f t="shared" si="193"/>
        <v>Warning</v>
      </c>
      <c r="H2471" s="13">
        <f t="shared" si="194"/>
        <v>6</v>
      </c>
      <c r="I2471" s="14">
        <f t="shared" si="190"/>
        <v>1808.2200000000003</v>
      </c>
      <c r="K2471" t="str">
        <f>[1]!revcom(C2471)</f>
        <v>ACGCGC</v>
      </c>
      <c r="L2471">
        <v>5</v>
      </c>
    </row>
    <row r="2472" spans="1:12" ht="15.6" x14ac:dyDescent="0.3">
      <c r="A2472" s="9">
        <v>2461</v>
      </c>
      <c r="B2472" s="1"/>
      <c r="C2472" s="2" t="s">
        <v>2467</v>
      </c>
      <c r="D2472" s="1"/>
      <c r="E2472" s="11">
        <f t="shared" si="191"/>
        <v>20</v>
      </c>
      <c r="F2472" s="12">
        <f t="shared" si="192"/>
        <v>66.666666666666657</v>
      </c>
      <c r="G2472" s="12" t="str">
        <f t="shared" si="193"/>
        <v>Warning</v>
      </c>
      <c r="H2472" s="13">
        <f t="shared" si="194"/>
        <v>6</v>
      </c>
      <c r="I2472" s="14">
        <f t="shared" si="190"/>
        <v>1792.2199999999998</v>
      </c>
      <c r="K2472" t="str">
        <f>[1]!revcom(C2472)</f>
        <v>TAGCGC</v>
      </c>
      <c r="L2472">
        <v>6</v>
      </c>
    </row>
    <row r="2473" spans="1:12" ht="15.6" x14ac:dyDescent="0.3">
      <c r="A2473" s="9">
        <v>2462</v>
      </c>
      <c r="B2473" s="1"/>
      <c r="C2473" s="2" t="s">
        <v>2468</v>
      </c>
      <c r="D2473" s="1"/>
      <c r="E2473" s="11">
        <f t="shared" si="191"/>
        <v>18</v>
      </c>
      <c r="F2473" s="12">
        <f t="shared" si="192"/>
        <v>83.333333333333343</v>
      </c>
      <c r="G2473" s="12" t="str">
        <f t="shared" si="193"/>
        <v>Warning</v>
      </c>
      <c r="H2473" s="13">
        <f t="shared" si="194"/>
        <v>6</v>
      </c>
      <c r="I2473" s="14">
        <f t="shared" si="190"/>
        <v>1768.19</v>
      </c>
      <c r="K2473" t="str">
        <f>[1]!revcom(C2473)</f>
        <v>GAGCGC</v>
      </c>
      <c r="L2473">
        <v>5</v>
      </c>
    </row>
    <row r="2474" spans="1:12" ht="15.6" x14ac:dyDescent="0.3">
      <c r="A2474" s="9">
        <v>2463</v>
      </c>
      <c r="B2474" s="1"/>
      <c r="C2474" s="2" t="s">
        <v>2469</v>
      </c>
      <c r="D2474" s="1"/>
      <c r="E2474" s="11">
        <f t="shared" si="191"/>
        <v>18</v>
      </c>
      <c r="F2474" s="12">
        <f t="shared" si="192"/>
        <v>83.333333333333343</v>
      </c>
      <c r="G2474" s="12" t="str">
        <f t="shared" si="193"/>
        <v>Warning</v>
      </c>
      <c r="H2474" s="13">
        <f t="shared" si="194"/>
        <v>6</v>
      </c>
      <c r="I2474" s="14">
        <f t="shared" si="190"/>
        <v>1808.2200000000003</v>
      </c>
      <c r="K2474" t="str">
        <f>[1]!revcom(C2474)</f>
        <v>CAGCGC</v>
      </c>
      <c r="L2474">
        <v>5</v>
      </c>
    </row>
    <row r="2475" spans="1:12" ht="15.6" x14ac:dyDescent="0.3">
      <c r="A2475" s="9">
        <v>2464</v>
      </c>
      <c r="B2475" s="1"/>
      <c r="C2475" s="2" t="s">
        <v>2470</v>
      </c>
      <c r="D2475" s="1"/>
      <c r="E2475" s="11">
        <f t="shared" si="191"/>
        <v>12</v>
      </c>
      <c r="F2475" s="12">
        <f t="shared" si="192"/>
        <v>66.666666666666657</v>
      </c>
      <c r="G2475" s="12" t="str">
        <f t="shared" si="193"/>
        <v>Warning</v>
      </c>
      <c r="H2475" s="13">
        <f t="shared" si="194"/>
        <v>6</v>
      </c>
      <c r="I2475" s="14">
        <f t="shared" si="190"/>
        <v>1783.1999999999998</v>
      </c>
      <c r="K2475" t="str">
        <f>[1]!revcom(C2475)</f>
        <v>AAGCGC</v>
      </c>
      <c r="L2475">
        <v>4</v>
      </c>
    </row>
    <row r="2476" spans="1:12" ht="15.6" x14ac:dyDescent="0.3">
      <c r="A2476" s="9">
        <v>2465</v>
      </c>
      <c r="B2476" s="1"/>
      <c r="C2476" s="2" t="s">
        <v>2471</v>
      </c>
      <c r="D2476" s="1"/>
      <c r="E2476" s="11">
        <f t="shared" si="191"/>
        <v>28</v>
      </c>
      <c r="F2476" s="12">
        <f t="shared" si="192"/>
        <v>66.666666666666657</v>
      </c>
      <c r="G2476" s="12" t="str">
        <f t="shared" si="193"/>
        <v>Warning</v>
      </c>
      <c r="H2476" s="13">
        <f t="shared" si="194"/>
        <v>6</v>
      </c>
      <c r="I2476" s="14">
        <f t="shared" si="190"/>
        <v>1841.27</v>
      </c>
      <c r="K2476" t="str">
        <f>[1]!revcom(C2476)</f>
        <v>TTCCGC</v>
      </c>
      <c r="L2476">
        <v>7</v>
      </c>
    </row>
    <row r="2477" spans="1:12" ht="15.6" x14ac:dyDescent="0.3">
      <c r="A2477" s="9">
        <v>2466</v>
      </c>
      <c r="B2477" s="1"/>
      <c r="C2477" s="2" t="s">
        <v>2472</v>
      </c>
      <c r="D2477" s="1"/>
      <c r="E2477" s="11">
        <f t="shared" si="191"/>
        <v>26</v>
      </c>
      <c r="F2477" s="12">
        <f t="shared" si="192"/>
        <v>83.333333333333343</v>
      </c>
      <c r="G2477" s="12" t="str">
        <f t="shared" si="193"/>
        <v>Warning</v>
      </c>
      <c r="H2477" s="13">
        <f t="shared" si="194"/>
        <v>6</v>
      </c>
      <c r="I2477" s="14">
        <f t="shared" si="190"/>
        <v>1817.2400000000002</v>
      </c>
      <c r="K2477" t="str">
        <f>[1]!revcom(C2477)</f>
        <v>GTCCGC</v>
      </c>
      <c r="L2477">
        <v>7</v>
      </c>
    </row>
    <row r="2478" spans="1:12" ht="15.6" x14ac:dyDescent="0.3">
      <c r="A2478" s="9">
        <v>2467</v>
      </c>
      <c r="B2478" s="1"/>
      <c r="C2478" s="2" t="s">
        <v>2473</v>
      </c>
      <c r="D2478" s="1"/>
      <c r="E2478" s="11">
        <f t="shared" si="191"/>
        <v>26</v>
      </c>
      <c r="F2478" s="12">
        <f t="shared" si="192"/>
        <v>83.333333333333343</v>
      </c>
      <c r="G2478" s="12" t="str">
        <f t="shared" si="193"/>
        <v>Warning</v>
      </c>
      <c r="H2478" s="13">
        <f t="shared" si="194"/>
        <v>6</v>
      </c>
      <c r="I2478" s="14">
        <f t="shared" si="190"/>
        <v>1857.27</v>
      </c>
      <c r="K2478" t="str">
        <f>[1]!revcom(C2478)</f>
        <v>CTCCGC</v>
      </c>
      <c r="L2478">
        <v>7</v>
      </c>
    </row>
    <row r="2479" spans="1:12" ht="15.6" x14ac:dyDescent="0.3">
      <c r="A2479" s="9">
        <v>2468</v>
      </c>
      <c r="B2479" s="1"/>
      <c r="C2479" s="2" t="s">
        <v>2474</v>
      </c>
      <c r="D2479" s="1"/>
      <c r="E2479" s="11">
        <f t="shared" si="191"/>
        <v>20</v>
      </c>
      <c r="F2479" s="12">
        <f t="shared" si="192"/>
        <v>66.666666666666657</v>
      </c>
      <c r="G2479" s="12" t="str">
        <f t="shared" si="193"/>
        <v>Warning</v>
      </c>
      <c r="H2479" s="13">
        <f t="shared" si="194"/>
        <v>6</v>
      </c>
      <c r="I2479" s="14">
        <f t="shared" si="190"/>
        <v>1832.25</v>
      </c>
      <c r="K2479" t="str">
        <f>[1]!revcom(C2479)</f>
        <v>ATCCGC</v>
      </c>
      <c r="L2479">
        <v>6</v>
      </c>
    </row>
    <row r="2480" spans="1:12" ht="15.6" x14ac:dyDescent="0.3">
      <c r="A2480" s="9">
        <v>2469</v>
      </c>
      <c r="B2480" s="1"/>
      <c r="C2480" s="2" t="s">
        <v>2475</v>
      </c>
      <c r="D2480" s="1"/>
      <c r="E2480" s="11">
        <f t="shared" si="191"/>
        <v>26</v>
      </c>
      <c r="F2480" s="12">
        <f t="shared" si="192"/>
        <v>83.333333333333343</v>
      </c>
      <c r="G2480" s="12" t="str">
        <f t="shared" si="193"/>
        <v>Warning</v>
      </c>
      <c r="H2480" s="13">
        <f t="shared" si="194"/>
        <v>6</v>
      </c>
      <c r="I2480" s="14">
        <f t="shared" si="190"/>
        <v>1817.2400000000002</v>
      </c>
      <c r="K2480" t="str">
        <f>[1]!revcom(C2480)</f>
        <v>TGCCGC</v>
      </c>
      <c r="L2480">
        <v>7</v>
      </c>
    </row>
    <row r="2481" spans="1:12" ht="15.6" x14ac:dyDescent="0.3">
      <c r="A2481" s="9">
        <v>2470</v>
      </c>
      <c r="B2481" s="1"/>
      <c r="C2481" s="2" t="s">
        <v>2476</v>
      </c>
      <c r="D2481" s="1"/>
      <c r="E2481" s="11">
        <f t="shared" si="191"/>
        <v>24</v>
      </c>
      <c r="F2481" s="12">
        <f t="shared" si="192"/>
        <v>100</v>
      </c>
      <c r="G2481" s="12" t="str">
        <f t="shared" si="193"/>
        <v>Warning</v>
      </c>
      <c r="H2481" s="13">
        <f t="shared" si="194"/>
        <v>6</v>
      </c>
      <c r="I2481" s="14">
        <f t="shared" si="190"/>
        <v>1793.21</v>
      </c>
      <c r="K2481" t="str">
        <f>[1]!revcom(C2481)</f>
        <v>GGCCGC</v>
      </c>
      <c r="L2481">
        <v>6</v>
      </c>
    </row>
    <row r="2482" spans="1:12" ht="15.6" x14ac:dyDescent="0.3">
      <c r="A2482" s="9">
        <v>2471</v>
      </c>
      <c r="B2482" s="1"/>
      <c r="C2482" s="2" t="s">
        <v>2477</v>
      </c>
      <c r="D2482" s="1"/>
      <c r="E2482" s="11">
        <f t="shared" si="191"/>
        <v>24</v>
      </c>
      <c r="F2482" s="12">
        <f t="shared" si="192"/>
        <v>100</v>
      </c>
      <c r="G2482" s="12" t="str">
        <f t="shared" si="193"/>
        <v>Warning</v>
      </c>
      <c r="H2482" s="13">
        <f t="shared" si="194"/>
        <v>6</v>
      </c>
      <c r="I2482" s="14">
        <f t="shared" si="190"/>
        <v>1833.2400000000002</v>
      </c>
      <c r="K2482" t="str">
        <f>[1]!revcom(C2482)</f>
        <v>CGCCGC</v>
      </c>
      <c r="L2482">
        <v>6</v>
      </c>
    </row>
    <row r="2483" spans="1:12" ht="15.6" x14ac:dyDescent="0.3">
      <c r="A2483" s="9">
        <v>2472</v>
      </c>
      <c r="B2483" s="1"/>
      <c r="C2483" s="2" t="s">
        <v>2478</v>
      </c>
      <c r="D2483" s="1"/>
      <c r="E2483" s="11">
        <f t="shared" si="191"/>
        <v>18</v>
      </c>
      <c r="F2483" s="12">
        <f t="shared" si="192"/>
        <v>83.333333333333343</v>
      </c>
      <c r="G2483" s="12" t="str">
        <f t="shared" si="193"/>
        <v>Warning</v>
      </c>
      <c r="H2483" s="13">
        <f t="shared" si="194"/>
        <v>6</v>
      </c>
      <c r="I2483" s="14">
        <f t="shared" si="190"/>
        <v>1808.2200000000003</v>
      </c>
      <c r="K2483" t="str">
        <f>[1]!revcom(C2483)</f>
        <v>AGCCGC</v>
      </c>
      <c r="L2483">
        <v>5</v>
      </c>
    </row>
    <row r="2484" spans="1:12" ht="15.6" x14ac:dyDescent="0.3">
      <c r="A2484" s="9">
        <v>2473</v>
      </c>
      <c r="B2484" s="1"/>
      <c r="C2484" s="2" t="s">
        <v>2479</v>
      </c>
      <c r="D2484" s="1"/>
      <c r="E2484" s="11">
        <f t="shared" si="191"/>
        <v>26</v>
      </c>
      <c r="F2484" s="12">
        <f t="shared" si="192"/>
        <v>83.333333333333343</v>
      </c>
      <c r="G2484" s="12" t="str">
        <f t="shared" si="193"/>
        <v>Warning</v>
      </c>
      <c r="H2484" s="13">
        <f t="shared" si="194"/>
        <v>6</v>
      </c>
      <c r="I2484" s="14">
        <f t="shared" si="190"/>
        <v>1857.27</v>
      </c>
      <c r="K2484" t="str">
        <f>[1]!revcom(C2484)</f>
        <v>TCCCGC</v>
      </c>
      <c r="L2484">
        <v>7</v>
      </c>
    </row>
    <row r="2485" spans="1:12" ht="15.6" x14ac:dyDescent="0.3">
      <c r="A2485" s="9">
        <v>2474</v>
      </c>
      <c r="B2485" s="1"/>
      <c r="C2485" s="2" t="s">
        <v>2480</v>
      </c>
      <c r="D2485" s="1"/>
      <c r="E2485" s="11">
        <f t="shared" si="191"/>
        <v>24</v>
      </c>
      <c r="F2485" s="12">
        <f t="shared" si="192"/>
        <v>100</v>
      </c>
      <c r="G2485" s="12" t="str">
        <f t="shared" si="193"/>
        <v>Warning</v>
      </c>
      <c r="H2485" s="13">
        <f t="shared" si="194"/>
        <v>6</v>
      </c>
      <c r="I2485" s="14">
        <f t="shared" si="190"/>
        <v>1833.2400000000002</v>
      </c>
      <c r="K2485" t="str">
        <f>[1]!revcom(C2485)</f>
        <v>GCCCGC</v>
      </c>
      <c r="L2485">
        <v>6</v>
      </c>
    </row>
    <row r="2486" spans="1:12" ht="15.6" x14ac:dyDescent="0.3">
      <c r="A2486" s="9">
        <v>2475</v>
      </c>
      <c r="B2486" s="1"/>
      <c r="C2486" s="2" t="s">
        <v>2481</v>
      </c>
      <c r="D2486" s="1"/>
      <c r="E2486" s="11">
        <f t="shared" si="191"/>
        <v>24</v>
      </c>
      <c r="F2486" s="12">
        <f t="shared" si="192"/>
        <v>100</v>
      </c>
      <c r="G2486" s="12" t="str">
        <f t="shared" si="193"/>
        <v>Warning</v>
      </c>
      <c r="H2486" s="13">
        <f t="shared" si="194"/>
        <v>6</v>
      </c>
      <c r="I2486" s="14">
        <f t="shared" si="190"/>
        <v>1873.27</v>
      </c>
      <c r="K2486" t="str">
        <f>[1]!revcom(C2486)</f>
        <v>CCCCGC</v>
      </c>
      <c r="L2486">
        <v>6</v>
      </c>
    </row>
    <row r="2487" spans="1:12" ht="15.6" x14ac:dyDescent="0.3">
      <c r="A2487" s="9">
        <v>2476</v>
      </c>
      <c r="B2487" s="1"/>
      <c r="C2487" s="2" t="s">
        <v>2482</v>
      </c>
      <c r="D2487" s="1"/>
      <c r="E2487" s="11">
        <f t="shared" si="191"/>
        <v>18</v>
      </c>
      <c r="F2487" s="12">
        <f t="shared" si="192"/>
        <v>83.333333333333343</v>
      </c>
      <c r="G2487" s="12" t="str">
        <f t="shared" si="193"/>
        <v>Warning</v>
      </c>
      <c r="H2487" s="13">
        <f t="shared" si="194"/>
        <v>6</v>
      </c>
      <c r="I2487" s="14">
        <f t="shared" si="190"/>
        <v>1848.25</v>
      </c>
      <c r="K2487" t="str">
        <f>[1]!revcom(C2487)</f>
        <v>ACCCGC</v>
      </c>
      <c r="L2487">
        <v>5</v>
      </c>
    </row>
    <row r="2488" spans="1:12" ht="15.6" x14ac:dyDescent="0.3">
      <c r="A2488" s="9">
        <v>2477</v>
      </c>
      <c r="B2488" s="1"/>
      <c r="C2488" s="2" t="s">
        <v>2483</v>
      </c>
      <c r="D2488" s="1"/>
      <c r="E2488" s="11">
        <f t="shared" si="191"/>
        <v>20</v>
      </c>
      <c r="F2488" s="12">
        <f t="shared" si="192"/>
        <v>66.666666666666657</v>
      </c>
      <c r="G2488" s="12" t="str">
        <f t="shared" si="193"/>
        <v>Warning</v>
      </c>
      <c r="H2488" s="13">
        <f t="shared" si="194"/>
        <v>6</v>
      </c>
      <c r="I2488" s="14">
        <f t="shared" si="190"/>
        <v>1832.25</v>
      </c>
      <c r="K2488" t="str">
        <f>[1]!revcom(C2488)</f>
        <v>TACCGC</v>
      </c>
      <c r="L2488">
        <v>6</v>
      </c>
    </row>
    <row r="2489" spans="1:12" ht="15.6" x14ac:dyDescent="0.3">
      <c r="A2489" s="9">
        <v>2478</v>
      </c>
      <c r="B2489" s="1"/>
      <c r="C2489" s="2" t="s">
        <v>2484</v>
      </c>
      <c r="D2489" s="1"/>
      <c r="E2489" s="11">
        <f t="shared" si="191"/>
        <v>18</v>
      </c>
      <c r="F2489" s="12">
        <f t="shared" si="192"/>
        <v>83.333333333333343</v>
      </c>
      <c r="G2489" s="12" t="str">
        <f t="shared" si="193"/>
        <v>Warning</v>
      </c>
      <c r="H2489" s="13">
        <f t="shared" si="194"/>
        <v>6</v>
      </c>
      <c r="I2489" s="14">
        <f t="shared" si="190"/>
        <v>1808.2200000000003</v>
      </c>
      <c r="K2489" t="str">
        <f>[1]!revcom(C2489)</f>
        <v>GACCGC</v>
      </c>
      <c r="L2489">
        <v>5</v>
      </c>
    </row>
    <row r="2490" spans="1:12" ht="15.6" x14ac:dyDescent="0.3">
      <c r="A2490" s="9">
        <v>2479</v>
      </c>
      <c r="B2490" s="1"/>
      <c r="C2490" s="2" t="s">
        <v>2485</v>
      </c>
      <c r="D2490" s="1"/>
      <c r="E2490" s="11">
        <f t="shared" si="191"/>
        <v>18</v>
      </c>
      <c r="F2490" s="12">
        <f t="shared" si="192"/>
        <v>83.333333333333343</v>
      </c>
      <c r="G2490" s="12" t="str">
        <f t="shared" si="193"/>
        <v>Warning</v>
      </c>
      <c r="H2490" s="13">
        <f t="shared" si="194"/>
        <v>6</v>
      </c>
      <c r="I2490" s="14">
        <f t="shared" si="190"/>
        <v>1848.25</v>
      </c>
      <c r="K2490" t="str">
        <f>[1]!revcom(C2490)</f>
        <v>CACCGC</v>
      </c>
      <c r="L2490">
        <v>5</v>
      </c>
    </row>
    <row r="2491" spans="1:12" ht="15.6" x14ac:dyDescent="0.3">
      <c r="A2491" s="9">
        <v>2480</v>
      </c>
      <c r="B2491" s="1"/>
      <c r="C2491" s="2" t="s">
        <v>2486</v>
      </c>
      <c r="D2491" s="1"/>
      <c r="E2491" s="11">
        <f t="shared" si="191"/>
        <v>12</v>
      </c>
      <c r="F2491" s="12">
        <f t="shared" si="192"/>
        <v>66.666666666666657</v>
      </c>
      <c r="G2491" s="12" t="str">
        <f t="shared" si="193"/>
        <v>Warning</v>
      </c>
      <c r="H2491" s="13">
        <f t="shared" si="194"/>
        <v>6</v>
      </c>
      <c r="I2491" s="14">
        <f t="shared" si="190"/>
        <v>1823.23</v>
      </c>
      <c r="K2491" t="str">
        <f>[1]!revcom(C2491)</f>
        <v>AACCGC</v>
      </c>
      <c r="L2491">
        <v>4</v>
      </c>
    </row>
    <row r="2492" spans="1:12" ht="15.6" x14ac:dyDescent="0.3">
      <c r="A2492" s="9">
        <v>2481</v>
      </c>
      <c r="B2492" s="1"/>
      <c r="C2492" s="2" t="s">
        <v>2487</v>
      </c>
      <c r="D2492" s="1"/>
      <c r="E2492" s="11">
        <f t="shared" si="191"/>
        <v>22</v>
      </c>
      <c r="F2492" s="12">
        <f t="shared" si="192"/>
        <v>50</v>
      </c>
      <c r="G2492" s="12" t="str">
        <f t="shared" si="193"/>
        <v>OK</v>
      </c>
      <c r="H2492" s="13">
        <f t="shared" si="194"/>
        <v>6</v>
      </c>
      <c r="I2492" s="14">
        <f t="shared" si="190"/>
        <v>1816.25</v>
      </c>
      <c r="K2492" t="str">
        <f>[1]!revcom(C2492)</f>
        <v>TTACGC</v>
      </c>
      <c r="L2492">
        <v>6</v>
      </c>
    </row>
    <row r="2493" spans="1:12" ht="15.6" x14ac:dyDescent="0.3">
      <c r="A2493" s="9">
        <v>2482</v>
      </c>
      <c r="B2493" s="1"/>
      <c r="C2493" s="2" t="s">
        <v>2488</v>
      </c>
      <c r="D2493" s="1"/>
      <c r="E2493" s="11">
        <f t="shared" si="191"/>
        <v>20</v>
      </c>
      <c r="F2493" s="12">
        <f t="shared" si="192"/>
        <v>66.666666666666657</v>
      </c>
      <c r="G2493" s="12" t="str">
        <f t="shared" si="193"/>
        <v>Warning</v>
      </c>
      <c r="H2493" s="13">
        <f t="shared" si="194"/>
        <v>6</v>
      </c>
      <c r="I2493" s="14">
        <f t="shared" si="190"/>
        <v>1792.2199999999998</v>
      </c>
      <c r="K2493" t="str">
        <f>[1]!revcom(C2493)</f>
        <v>GTACGC</v>
      </c>
      <c r="L2493">
        <v>6</v>
      </c>
    </row>
    <row r="2494" spans="1:12" ht="15.6" x14ac:dyDescent="0.3">
      <c r="A2494" s="9">
        <v>2483</v>
      </c>
      <c r="B2494" s="1"/>
      <c r="C2494" s="2" t="s">
        <v>2489</v>
      </c>
      <c r="D2494" s="1"/>
      <c r="E2494" s="11">
        <f t="shared" si="191"/>
        <v>20</v>
      </c>
      <c r="F2494" s="12">
        <f t="shared" si="192"/>
        <v>66.666666666666657</v>
      </c>
      <c r="G2494" s="12" t="str">
        <f t="shared" si="193"/>
        <v>Warning</v>
      </c>
      <c r="H2494" s="13">
        <f t="shared" si="194"/>
        <v>6</v>
      </c>
      <c r="I2494" s="14">
        <f t="shared" si="190"/>
        <v>1832.25</v>
      </c>
      <c r="K2494" t="str">
        <f>[1]!revcom(C2494)</f>
        <v>CTACGC</v>
      </c>
      <c r="L2494">
        <v>6</v>
      </c>
    </row>
    <row r="2495" spans="1:12" ht="15.6" x14ac:dyDescent="0.3">
      <c r="A2495" s="9">
        <v>2484</v>
      </c>
      <c r="B2495" s="1"/>
      <c r="C2495" s="2" t="s">
        <v>2490</v>
      </c>
      <c r="D2495" s="1"/>
      <c r="E2495" s="11">
        <f t="shared" si="191"/>
        <v>14</v>
      </c>
      <c r="F2495" s="12">
        <f t="shared" si="192"/>
        <v>50</v>
      </c>
      <c r="G2495" s="12" t="str">
        <f t="shared" si="193"/>
        <v>OK</v>
      </c>
      <c r="H2495" s="13">
        <f t="shared" si="194"/>
        <v>6</v>
      </c>
      <c r="I2495" s="14">
        <f t="shared" si="190"/>
        <v>1807.23</v>
      </c>
      <c r="K2495" t="str">
        <f>[1]!revcom(C2495)</f>
        <v>ATACGC</v>
      </c>
      <c r="L2495">
        <v>5</v>
      </c>
    </row>
    <row r="2496" spans="1:12" ht="15.6" x14ac:dyDescent="0.3">
      <c r="A2496" s="9">
        <v>2485</v>
      </c>
      <c r="B2496" s="1"/>
      <c r="C2496" s="2" t="s">
        <v>2491</v>
      </c>
      <c r="D2496" s="1"/>
      <c r="E2496" s="11">
        <f t="shared" si="191"/>
        <v>20</v>
      </c>
      <c r="F2496" s="12">
        <f t="shared" si="192"/>
        <v>66.666666666666657</v>
      </c>
      <c r="G2496" s="12" t="str">
        <f t="shared" si="193"/>
        <v>Warning</v>
      </c>
      <c r="H2496" s="13">
        <f t="shared" si="194"/>
        <v>6</v>
      </c>
      <c r="I2496" s="14">
        <f t="shared" si="190"/>
        <v>1792.2199999999998</v>
      </c>
      <c r="K2496" t="str">
        <f>[1]!revcom(C2496)</f>
        <v>TGACGC</v>
      </c>
      <c r="L2496">
        <v>6</v>
      </c>
    </row>
    <row r="2497" spans="1:12" ht="15.6" x14ac:dyDescent="0.3">
      <c r="A2497" s="9">
        <v>2486</v>
      </c>
      <c r="B2497" s="1"/>
      <c r="C2497" s="2" t="s">
        <v>2492</v>
      </c>
      <c r="D2497" s="1"/>
      <c r="E2497" s="11">
        <f t="shared" si="191"/>
        <v>18</v>
      </c>
      <c r="F2497" s="12">
        <f t="shared" si="192"/>
        <v>83.333333333333343</v>
      </c>
      <c r="G2497" s="12" t="str">
        <f t="shared" si="193"/>
        <v>Warning</v>
      </c>
      <c r="H2497" s="13">
        <f t="shared" si="194"/>
        <v>6</v>
      </c>
      <c r="I2497" s="14">
        <f t="shared" si="190"/>
        <v>1768.19</v>
      </c>
      <c r="K2497" t="str">
        <f>[1]!revcom(C2497)</f>
        <v>GGACGC</v>
      </c>
      <c r="L2497">
        <v>5</v>
      </c>
    </row>
    <row r="2498" spans="1:12" ht="15.6" x14ac:dyDescent="0.3">
      <c r="A2498" s="9">
        <v>2487</v>
      </c>
      <c r="B2498" s="1"/>
      <c r="C2498" s="2" t="s">
        <v>2493</v>
      </c>
      <c r="D2498" s="1"/>
      <c r="E2498" s="11">
        <f t="shared" si="191"/>
        <v>18</v>
      </c>
      <c r="F2498" s="12">
        <f t="shared" si="192"/>
        <v>83.333333333333343</v>
      </c>
      <c r="G2498" s="12" t="str">
        <f t="shared" si="193"/>
        <v>Warning</v>
      </c>
      <c r="H2498" s="13">
        <f t="shared" si="194"/>
        <v>6</v>
      </c>
      <c r="I2498" s="14">
        <f t="shared" si="190"/>
        <v>1808.2200000000003</v>
      </c>
      <c r="K2498" t="str">
        <f>[1]!revcom(C2498)</f>
        <v>CGACGC</v>
      </c>
      <c r="L2498">
        <v>5</v>
      </c>
    </row>
    <row r="2499" spans="1:12" ht="15.6" x14ac:dyDescent="0.3">
      <c r="A2499" s="9">
        <v>2488</v>
      </c>
      <c r="B2499" s="1"/>
      <c r="C2499" s="2" t="s">
        <v>2494</v>
      </c>
      <c r="D2499" s="1"/>
      <c r="E2499" s="11">
        <f t="shared" si="191"/>
        <v>12</v>
      </c>
      <c r="F2499" s="12">
        <f t="shared" si="192"/>
        <v>66.666666666666657</v>
      </c>
      <c r="G2499" s="12" t="str">
        <f t="shared" si="193"/>
        <v>Warning</v>
      </c>
      <c r="H2499" s="13">
        <f t="shared" si="194"/>
        <v>6</v>
      </c>
      <c r="I2499" s="14">
        <f t="shared" si="190"/>
        <v>1783.1999999999998</v>
      </c>
      <c r="K2499" t="str">
        <f>[1]!revcom(C2499)</f>
        <v>AGACGC</v>
      </c>
      <c r="L2499">
        <v>4</v>
      </c>
    </row>
    <row r="2500" spans="1:12" ht="15.6" x14ac:dyDescent="0.3">
      <c r="A2500" s="9">
        <v>2489</v>
      </c>
      <c r="B2500" s="1"/>
      <c r="C2500" s="2" t="s">
        <v>2495</v>
      </c>
      <c r="D2500" s="1"/>
      <c r="E2500" s="11">
        <f t="shared" si="191"/>
        <v>20</v>
      </c>
      <c r="F2500" s="12">
        <f t="shared" si="192"/>
        <v>66.666666666666657</v>
      </c>
      <c r="G2500" s="12" t="str">
        <f t="shared" si="193"/>
        <v>Warning</v>
      </c>
      <c r="H2500" s="13">
        <f t="shared" si="194"/>
        <v>6</v>
      </c>
      <c r="I2500" s="14">
        <f t="shared" si="190"/>
        <v>1832.25</v>
      </c>
      <c r="K2500" t="str">
        <f>[1]!revcom(C2500)</f>
        <v>TCACGC</v>
      </c>
      <c r="L2500">
        <v>6</v>
      </c>
    </row>
    <row r="2501" spans="1:12" ht="15.6" x14ac:dyDescent="0.3">
      <c r="A2501" s="9">
        <v>2490</v>
      </c>
      <c r="B2501" s="1"/>
      <c r="C2501" s="2" t="s">
        <v>2496</v>
      </c>
      <c r="D2501" s="1"/>
      <c r="E2501" s="11">
        <f t="shared" si="191"/>
        <v>18</v>
      </c>
      <c r="F2501" s="12">
        <f t="shared" si="192"/>
        <v>83.333333333333343</v>
      </c>
      <c r="G2501" s="12" t="str">
        <f t="shared" si="193"/>
        <v>Warning</v>
      </c>
      <c r="H2501" s="13">
        <f t="shared" si="194"/>
        <v>6</v>
      </c>
      <c r="I2501" s="14">
        <f t="shared" si="190"/>
        <v>1808.2200000000003</v>
      </c>
      <c r="K2501" t="str">
        <f>[1]!revcom(C2501)</f>
        <v>GCACGC</v>
      </c>
      <c r="L2501">
        <v>5</v>
      </c>
    </row>
    <row r="2502" spans="1:12" ht="15.6" x14ac:dyDescent="0.3">
      <c r="A2502" s="9">
        <v>2491</v>
      </c>
      <c r="B2502" s="1"/>
      <c r="C2502" s="2" t="s">
        <v>2497</v>
      </c>
      <c r="D2502" s="1"/>
      <c r="E2502" s="11">
        <f t="shared" si="191"/>
        <v>18</v>
      </c>
      <c r="F2502" s="12">
        <f t="shared" si="192"/>
        <v>83.333333333333343</v>
      </c>
      <c r="G2502" s="12" t="str">
        <f t="shared" si="193"/>
        <v>Warning</v>
      </c>
      <c r="H2502" s="13">
        <f t="shared" si="194"/>
        <v>6</v>
      </c>
      <c r="I2502" s="14">
        <f t="shared" si="190"/>
        <v>1848.25</v>
      </c>
      <c r="K2502" t="str">
        <f>[1]!revcom(C2502)</f>
        <v>CCACGC</v>
      </c>
      <c r="L2502">
        <v>5</v>
      </c>
    </row>
    <row r="2503" spans="1:12" ht="15.6" x14ac:dyDescent="0.3">
      <c r="A2503" s="9">
        <v>2492</v>
      </c>
      <c r="B2503" s="1"/>
      <c r="C2503" s="2" t="s">
        <v>2498</v>
      </c>
      <c r="D2503" s="1"/>
      <c r="E2503" s="11">
        <f t="shared" si="191"/>
        <v>12</v>
      </c>
      <c r="F2503" s="12">
        <f t="shared" si="192"/>
        <v>66.666666666666657</v>
      </c>
      <c r="G2503" s="12" t="str">
        <f t="shared" si="193"/>
        <v>Warning</v>
      </c>
      <c r="H2503" s="13">
        <f t="shared" si="194"/>
        <v>6</v>
      </c>
      <c r="I2503" s="14">
        <f t="shared" si="190"/>
        <v>1823.23</v>
      </c>
      <c r="K2503" t="str">
        <f>[1]!revcom(C2503)</f>
        <v>ACACGC</v>
      </c>
      <c r="L2503">
        <v>4</v>
      </c>
    </row>
    <row r="2504" spans="1:12" ht="15.6" x14ac:dyDescent="0.3">
      <c r="A2504" s="9">
        <v>2493</v>
      </c>
      <c r="B2504" s="1"/>
      <c r="C2504" s="2" t="s">
        <v>2499</v>
      </c>
      <c r="D2504" s="1"/>
      <c r="E2504" s="11">
        <f t="shared" si="191"/>
        <v>14</v>
      </c>
      <c r="F2504" s="12">
        <f t="shared" si="192"/>
        <v>50</v>
      </c>
      <c r="G2504" s="12" t="str">
        <f t="shared" si="193"/>
        <v>OK</v>
      </c>
      <c r="H2504" s="13">
        <f t="shared" si="194"/>
        <v>6</v>
      </c>
      <c r="I2504" s="14">
        <f t="shared" si="190"/>
        <v>1807.23</v>
      </c>
      <c r="K2504" t="str">
        <f>[1]!revcom(C2504)</f>
        <v>TAACGC</v>
      </c>
      <c r="L2504">
        <v>5</v>
      </c>
    </row>
    <row r="2505" spans="1:12" ht="15.6" x14ac:dyDescent="0.3">
      <c r="A2505" s="9">
        <v>2494</v>
      </c>
      <c r="B2505" s="1"/>
      <c r="C2505" s="2" t="s">
        <v>2500</v>
      </c>
      <c r="D2505" s="1"/>
      <c r="E2505" s="11">
        <f t="shared" si="191"/>
        <v>12</v>
      </c>
      <c r="F2505" s="12">
        <f t="shared" si="192"/>
        <v>66.666666666666657</v>
      </c>
      <c r="G2505" s="12" t="str">
        <f t="shared" si="193"/>
        <v>Warning</v>
      </c>
      <c r="H2505" s="13">
        <f t="shared" si="194"/>
        <v>6</v>
      </c>
      <c r="I2505" s="14">
        <f t="shared" si="190"/>
        <v>1783.1999999999998</v>
      </c>
      <c r="K2505" t="str">
        <f>[1]!revcom(C2505)</f>
        <v>GAACGC</v>
      </c>
      <c r="L2505">
        <v>4</v>
      </c>
    </row>
    <row r="2506" spans="1:12" ht="15.6" x14ac:dyDescent="0.3">
      <c r="A2506" s="9">
        <v>2495</v>
      </c>
      <c r="B2506" s="1"/>
      <c r="C2506" s="2" t="s">
        <v>2501</v>
      </c>
      <c r="D2506" s="1"/>
      <c r="E2506" s="11">
        <f t="shared" si="191"/>
        <v>12</v>
      </c>
      <c r="F2506" s="12">
        <f t="shared" si="192"/>
        <v>66.666666666666657</v>
      </c>
      <c r="G2506" s="12" t="str">
        <f t="shared" si="193"/>
        <v>Warning</v>
      </c>
      <c r="H2506" s="13">
        <f t="shared" si="194"/>
        <v>6</v>
      </c>
      <c r="I2506" s="14">
        <f t="shared" si="190"/>
        <v>1823.23</v>
      </c>
      <c r="K2506" t="str">
        <f>[1]!revcom(C2506)</f>
        <v>CAACGC</v>
      </c>
      <c r="L2506">
        <v>4</v>
      </c>
    </row>
    <row r="2507" spans="1:12" ht="15.6" x14ac:dyDescent="0.3">
      <c r="A2507" s="9">
        <v>2496</v>
      </c>
      <c r="B2507" s="1"/>
      <c r="C2507" s="2" t="s">
        <v>2502</v>
      </c>
      <c r="D2507" s="1"/>
      <c r="E2507" s="11">
        <f t="shared" si="191"/>
        <v>6</v>
      </c>
      <c r="F2507" s="12">
        <f t="shared" si="192"/>
        <v>50</v>
      </c>
      <c r="G2507" s="12" t="str">
        <f t="shared" si="193"/>
        <v>OK</v>
      </c>
      <c r="H2507" s="13">
        <f t="shared" si="194"/>
        <v>6</v>
      </c>
      <c r="I2507" s="14">
        <f t="shared" si="190"/>
        <v>1798.21</v>
      </c>
      <c r="K2507" t="str">
        <f>[1]!revcom(C2507)</f>
        <v>AAACGC</v>
      </c>
      <c r="L2507">
        <v>3</v>
      </c>
    </row>
    <row r="2508" spans="1:12" ht="15.6" x14ac:dyDescent="0.3">
      <c r="A2508" s="9">
        <v>2497</v>
      </c>
      <c r="B2508" s="1"/>
      <c r="C2508" s="2" t="s">
        <v>2503</v>
      </c>
      <c r="D2508" s="1"/>
      <c r="E2508" s="11">
        <f t="shared" si="191"/>
        <v>24</v>
      </c>
      <c r="F2508" s="12">
        <f t="shared" si="192"/>
        <v>33.333333333333329</v>
      </c>
      <c r="G2508" s="12" t="str">
        <f t="shared" si="193"/>
        <v>OK</v>
      </c>
      <c r="H2508" s="13">
        <f t="shared" si="194"/>
        <v>6</v>
      </c>
      <c r="I2508" s="14">
        <f t="shared" si="190"/>
        <v>1800.25</v>
      </c>
      <c r="K2508" t="str">
        <f>[1]!revcom(C2508)</f>
        <v>TTTAGC</v>
      </c>
      <c r="L2508">
        <v>6</v>
      </c>
    </row>
    <row r="2509" spans="1:12" ht="15.6" x14ac:dyDescent="0.3">
      <c r="A2509" s="9">
        <v>2498</v>
      </c>
      <c r="B2509" s="1"/>
      <c r="C2509" s="2" t="s">
        <v>2504</v>
      </c>
      <c r="D2509" s="1"/>
      <c r="E2509" s="11">
        <f t="shared" si="191"/>
        <v>22</v>
      </c>
      <c r="F2509" s="12">
        <f t="shared" si="192"/>
        <v>50</v>
      </c>
      <c r="G2509" s="12" t="str">
        <f t="shared" si="193"/>
        <v>OK</v>
      </c>
      <c r="H2509" s="13">
        <f t="shared" si="194"/>
        <v>6</v>
      </c>
      <c r="I2509" s="14">
        <f t="shared" ref="I2509:I2572" si="195">((LEN(C2509)-(LEN(SUBSTITUTE(C2509,"A",""))))*249.23)+((LEN(C2509)-(LEN(SUBSTITUTE(C2509,"T",""))))*240.21)+((LEN(C2509)-(LEN(SUBSTITUTE(C2509,"C",""))))*225.2)+((LEN(C2509)-(LEN(SUBSTITUTE(C2509,"G",""))))*265.23)+(63.98*(LEN(C2509)-1)+(2.02))</f>
        <v>1776.2199999999998</v>
      </c>
      <c r="K2509" t="str">
        <f>[1]!revcom(C2509)</f>
        <v>GTTAGC</v>
      </c>
      <c r="L2509">
        <v>6</v>
      </c>
    </row>
    <row r="2510" spans="1:12" ht="15.6" x14ac:dyDescent="0.3">
      <c r="A2510" s="9">
        <v>2499</v>
      </c>
      <c r="B2510" s="1"/>
      <c r="C2510" s="2" t="s">
        <v>2505</v>
      </c>
      <c r="D2510" s="1"/>
      <c r="E2510" s="11">
        <f t="shared" ref="E2510:E2573" si="196">IF(LEN(C2510)&gt;15,(69.3+((41*((LEN(C2510)-(((LEN(C2510)-(LEN(SUBSTITUTE(C2510,"A",""))))+((LEN(C2510)-(LEN(SUBSTITUTE(C2510,"T","")))))))))/(LEN(C2510)))-(650/(LEN(C2510))))),(2*((LEN(C2510)-(((LEN(C2510)-(LEN(SUBSTITUTE(C2510,"C",""))))+((LEN(C2510)-(LEN(SUBSTITUTE(C2510,"G",""))))))))))+(4*((LEN(C2510)-(((LEN(C2510)-(LEN(SUBSTITUTE(C2510,"T",""))))+((LEN(C2510)-(LEN(SUBSTITUTE(C2510,"T","")))))))))))</f>
        <v>22</v>
      </c>
      <c r="F2510" s="12">
        <f t="shared" ref="F2510:F2573" si="197">((LEN(C2510)- LEN(SUBSTITUTE(C2510,"G","")))+(LEN(C2510)- LEN(SUBSTITUTE(C2510,"C",""))) )/LEN(C2510)*100</f>
        <v>50</v>
      </c>
      <c r="G2510" s="12" t="str">
        <f t="shared" ref="G2510:G2573" si="198">IF((-5+((LEN(SUBSTITUTE(RIGHT(C2510,5),"C","")))+((LEN(SUBSTITUTE(RIGHT(C2510,5),"G",""))))))&gt;=3,"OK","Warning")</f>
        <v>OK</v>
      </c>
      <c r="H2510" s="13">
        <f t="shared" ref="H2510:H2573" si="199">LEN(C2510)</f>
        <v>6</v>
      </c>
      <c r="I2510" s="14">
        <f t="shared" si="195"/>
        <v>1816.25</v>
      </c>
      <c r="K2510" t="str">
        <f>[1]!revcom(C2510)</f>
        <v>CTTAGC</v>
      </c>
      <c r="L2510">
        <v>6</v>
      </c>
    </row>
    <row r="2511" spans="1:12" ht="15.6" x14ac:dyDescent="0.3">
      <c r="A2511" s="9">
        <v>2500</v>
      </c>
      <c r="B2511" s="1"/>
      <c r="C2511" s="2" t="s">
        <v>2506</v>
      </c>
      <c r="D2511" s="1"/>
      <c r="E2511" s="11">
        <f t="shared" si="196"/>
        <v>16</v>
      </c>
      <c r="F2511" s="12">
        <f t="shared" si="197"/>
        <v>33.333333333333329</v>
      </c>
      <c r="G2511" s="12" t="str">
        <f t="shared" si="198"/>
        <v>OK</v>
      </c>
      <c r="H2511" s="13">
        <f t="shared" si="199"/>
        <v>6</v>
      </c>
      <c r="I2511" s="14">
        <f t="shared" si="195"/>
        <v>1791.23</v>
      </c>
      <c r="K2511" t="str">
        <f>[1]!revcom(C2511)</f>
        <v>ATTAGC</v>
      </c>
      <c r="L2511">
        <v>5</v>
      </c>
    </row>
    <row r="2512" spans="1:12" ht="15.6" x14ac:dyDescent="0.3">
      <c r="A2512" s="9">
        <v>2501</v>
      </c>
      <c r="B2512" s="1"/>
      <c r="C2512" s="2" t="s">
        <v>2507</v>
      </c>
      <c r="D2512" s="1"/>
      <c r="E2512" s="11">
        <f t="shared" si="196"/>
        <v>22</v>
      </c>
      <c r="F2512" s="12">
        <f t="shared" si="197"/>
        <v>50</v>
      </c>
      <c r="G2512" s="12" t="str">
        <f t="shared" si="198"/>
        <v>OK</v>
      </c>
      <c r="H2512" s="13">
        <f t="shared" si="199"/>
        <v>6</v>
      </c>
      <c r="I2512" s="14">
        <f t="shared" si="195"/>
        <v>1776.2199999999998</v>
      </c>
      <c r="K2512" t="str">
        <f>[1]!revcom(C2512)</f>
        <v>TGTAGC</v>
      </c>
      <c r="L2512">
        <v>6</v>
      </c>
    </row>
    <row r="2513" spans="1:12" ht="15.6" x14ac:dyDescent="0.3">
      <c r="A2513" s="9">
        <v>2502</v>
      </c>
      <c r="B2513" s="1"/>
      <c r="C2513" s="2" t="s">
        <v>2508</v>
      </c>
      <c r="D2513" s="1"/>
      <c r="E2513" s="11">
        <f t="shared" si="196"/>
        <v>20</v>
      </c>
      <c r="F2513" s="12">
        <f t="shared" si="197"/>
        <v>66.666666666666657</v>
      </c>
      <c r="G2513" s="12" t="str">
        <f t="shared" si="198"/>
        <v>Warning</v>
      </c>
      <c r="H2513" s="13">
        <f t="shared" si="199"/>
        <v>6</v>
      </c>
      <c r="I2513" s="14">
        <f t="shared" si="195"/>
        <v>1752.19</v>
      </c>
      <c r="K2513" t="str">
        <f>[1]!revcom(C2513)</f>
        <v>GGTAGC</v>
      </c>
      <c r="L2513">
        <v>6</v>
      </c>
    </row>
    <row r="2514" spans="1:12" ht="15.6" x14ac:dyDescent="0.3">
      <c r="A2514" s="9">
        <v>2503</v>
      </c>
      <c r="B2514" s="1"/>
      <c r="C2514" s="2" t="s">
        <v>2509</v>
      </c>
      <c r="D2514" s="1"/>
      <c r="E2514" s="11">
        <f t="shared" si="196"/>
        <v>20</v>
      </c>
      <c r="F2514" s="12">
        <f t="shared" si="197"/>
        <v>66.666666666666657</v>
      </c>
      <c r="G2514" s="12" t="str">
        <f t="shared" si="198"/>
        <v>Warning</v>
      </c>
      <c r="H2514" s="13">
        <f t="shared" si="199"/>
        <v>6</v>
      </c>
      <c r="I2514" s="14">
        <f t="shared" si="195"/>
        <v>1792.2199999999998</v>
      </c>
      <c r="K2514" t="str">
        <f>[1]!revcom(C2514)</f>
        <v>CGTAGC</v>
      </c>
      <c r="L2514">
        <v>6</v>
      </c>
    </row>
    <row r="2515" spans="1:12" ht="15.6" x14ac:dyDescent="0.3">
      <c r="A2515" s="9">
        <v>2504</v>
      </c>
      <c r="B2515" s="1"/>
      <c r="C2515" s="2" t="s">
        <v>2510</v>
      </c>
      <c r="D2515" s="1"/>
      <c r="E2515" s="11">
        <f t="shared" si="196"/>
        <v>14</v>
      </c>
      <c r="F2515" s="12">
        <f t="shared" si="197"/>
        <v>50</v>
      </c>
      <c r="G2515" s="12" t="str">
        <f t="shared" si="198"/>
        <v>OK</v>
      </c>
      <c r="H2515" s="13">
        <f t="shared" si="199"/>
        <v>6</v>
      </c>
      <c r="I2515" s="14">
        <f t="shared" si="195"/>
        <v>1767.1999999999998</v>
      </c>
      <c r="K2515" t="str">
        <f>[1]!revcom(C2515)</f>
        <v>AGTAGC</v>
      </c>
      <c r="L2515">
        <v>5</v>
      </c>
    </row>
    <row r="2516" spans="1:12" ht="15.6" x14ac:dyDescent="0.3">
      <c r="A2516" s="9">
        <v>2505</v>
      </c>
      <c r="B2516" s="1"/>
      <c r="C2516" s="2" t="s">
        <v>2511</v>
      </c>
      <c r="D2516" s="1"/>
      <c r="E2516" s="11">
        <f t="shared" si="196"/>
        <v>22</v>
      </c>
      <c r="F2516" s="12">
        <f t="shared" si="197"/>
        <v>50</v>
      </c>
      <c r="G2516" s="12" t="str">
        <f t="shared" si="198"/>
        <v>OK</v>
      </c>
      <c r="H2516" s="13">
        <f t="shared" si="199"/>
        <v>6</v>
      </c>
      <c r="I2516" s="14">
        <f t="shared" si="195"/>
        <v>1816.25</v>
      </c>
      <c r="K2516" t="str">
        <f>[1]!revcom(C2516)</f>
        <v>TCTAGC</v>
      </c>
      <c r="L2516">
        <v>6</v>
      </c>
    </row>
    <row r="2517" spans="1:12" ht="15.6" x14ac:dyDescent="0.3">
      <c r="A2517" s="9">
        <v>2506</v>
      </c>
      <c r="B2517" s="1"/>
      <c r="C2517" s="2" t="s">
        <v>2512</v>
      </c>
      <c r="D2517" s="1"/>
      <c r="E2517" s="11">
        <f t="shared" si="196"/>
        <v>20</v>
      </c>
      <c r="F2517" s="12">
        <f t="shared" si="197"/>
        <v>66.666666666666657</v>
      </c>
      <c r="G2517" s="12" t="str">
        <f t="shared" si="198"/>
        <v>Warning</v>
      </c>
      <c r="H2517" s="13">
        <f t="shared" si="199"/>
        <v>6</v>
      </c>
      <c r="I2517" s="14">
        <f t="shared" si="195"/>
        <v>1792.2199999999998</v>
      </c>
      <c r="K2517" t="str">
        <f>[1]!revcom(C2517)</f>
        <v>GCTAGC</v>
      </c>
      <c r="L2517">
        <v>6</v>
      </c>
    </row>
    <row r="2518" spans="1:12" ht="15.6" x14ac:dyDescent="0.3">
      <c r="A2518" s="9">
        <v>2507</v>
      </c>
      <c r="B2518" s="1"/>
      <c r="C2518" s="2" t="s">
        <v>2513</v>
      </c>
      <c r="D2518" s="1"/>
      <c r="E2518" s="11">
        <f t="shared" si="196"/>
        <v>20</v>
      </c>
      <c r="F2518" s="12">
        <f t="shared" si="197"/>
        <v>66.666666666666657</v>
      </c>
      <c r="G2518" s="12" t="str">
        <f t="shared" si="198"/>
        <v>Warning</v>
      </c>
      <c r="H2518" s="13">
        <f t="shared" si="199"/>
        <v>6</v>
      </c>
      <c r="I2518" s="14">
        <f t="shared" si="195"/>
        <v>1832.25</v>
      </c>
      <c r="K2518" t="str">
        <f>[1]!revcom(C2518)</f>
        <v>CCTAGC</v>
      </c>
      <c r="L2518">
        <v>6</v>
      </c>
    </row>
    <row r="2519" spans="1:12" ht="15.6" x14ac:dyDescent="0.3">
      <c r="A2519" s="9">
        <v>2508</v>
      </c>
      <c r="B2519" s="1"/>
      <c r="C2519" s="2" t="s">
        <v>2514</v>
      </c>
      <c r="D2519" s="1"/>
      <c r="E2519" s="11">
        <f t="shared" si="196"/>
        <v>14</v>
      </c>
      <c r="F2519" s="12">
        <f t="shared" si="197"/>
        <v>50</v>
      </c>
      <c r="G2519" s="12" t="str">
        <f t="shared" si="198"/>
        <v>OK</v>
      </c>
      <c r="H2519" s="13">
        <f t="shared" si="199"/>
        <v>6</v>
      </c>
      <c r="I2519" s="14">
        <f t="shared" si="195"/>
        <v>1807.23</v>
      </c>
      <c r="K2519" t="str">
        <f>[1]!revcom(C2519)</f>
        <v>ACTAGC</v>
      </c>
      <c r="L2519">
        <v>5</v>
      </c>
    </row>
    <row r="2520" spans="1:12" ht="15.6" x14ac:dyDescent="0.3">
      <c r="A2520" s="9">
        <v>2509</v>
      </c>
      <c r="B2520" s="1"/>
      <c r="C2520" s="2" t="s">
        <v>2515</v>
      </c>
      <c r="D2520" s="1"/>
      <c r="E2520" s="11">
        <f t="shared" si="196"/>
        <v>16</v>
      </c>
      <c r="F2520" s="12">
        <f t="shared" si="197"/>
        <v>33.333333333333329</v>
      </c>
      <c r="G2520" s="12" t="str">
        <f t="shared" si="198"/>
        <v>OK</v>
      </c>
      <c r="H2520" s="13">
        <f t="shared" si="199"/>
        <v>6</v>
      </c>
      <c r="I2520" s="14">
        <f t="shared" si="195"/>
        <v>1791.23</v>
      </c>
      <c r="K2520" t="str">
        <f>[1]!revcom(C2520)</f>
        <v>TATAGC</v>
      </c>
      <c r="L2520">
        <v>5</v>
      </c>
    </row>
    <row r="2521" spans="1:12" ht="15.6" x14ac:dyDescent="0.3">
      <c r="A2521" s="9">
        <v>2510</v>
      </c>
      <c r="B2521" s="1"/>
      <c r="C2521" s="2" t="s">
        <v>2516</v>
      </c>
      <c r="D2521" s="1"/>
      <c r="E2521" s="11">
        <f t="shared" si="196"/>
        <v>14</v>
      </c>
      <c r="F2521" s="12">
        <f t="shared" si="197"/>
        <v>50</v>
      </c>
      <c r="G2521" s="12" t="str">
        <f t="shared" si="198"/>
        <v>OK</v>
      </c>
      <c r="H2521" s="13">
        <f t="shared" si="199"/>
        <v>6</v>
      </c>
      <c r="I2521" s="14">
        <f t="shared" si="195"/>
        <v>1767.1999999999998</v>
      </c>
      <c r="K2521" t="str">
        <f>[1]!revcom(C2521)</f>
        <v>GATAGC</v>
      </c>
      <c r="L2521">
        <v>5</v>
      </c>
    </row>
    <row r="2522" spans="1:12" ht="15.6" x14ac:dyDescent="0.3">
      <c r="A2522" s="9">
        <v>2511</v>
      </c>
      <c r="B2522" s="1"/>
      <c r="C2522" s="2" t="s">
        <v>2517</v>
      </c>
      <c r="D2522" s="1"/>
      <c r="E2522" s="11">
        <f t="shared" si="196"/>
        <v>14</v>
      </c>
      <c r="F2522" s="12">
        <f t="shared" si="197"/>
        <v>50</v>
      </c>
      <c r="G2522" s="12" t="str">
        <f t="shared" si="198"/>
        <v>OK</v>
      </c>
      <c r="H2522" s="13">
        <f t="shared" si="199"/>
        <v>6</v>
      </c>
      <c r="I2522" s="14">
        <f t="shared" si="195"/>
        <v>1807.23</v>
      </c>
      <c r="K2522" t="str">
        <f>[1]!revcom(C2522)</f>
        <v>CATAGC</v>
      </c>
      <c r="L2522">
        <v>5</v>
      </c>
    </row>
    <row r="2523" spans="1:12" ht="15.6" x14ac:dyDescent="0.3">
      <c r="A2523" s="9">
        <v>2512</v>
      </c>
      <c r="B2523" s="1"/>
      <c r="C2523" s="2" t="s">
        <v>2518</v>
      </c>
      <c r="D2523" s="1"/>
      <c r="E2523" s="11">
        <f t="shared" si="196"/>
        <v>8</v>
      </c>
      <c r="F2523" s="12">
        <f t="shared" si="197"/>
        <v>33.333333333333329</v>
      </c>
      <c r="G2523" s="12" t="str">
        <f t="shared" si="198"/>
        <v>OK</v>
      </c>
      <c r="H2523" s="13">
        <f t="shared" si="199"/>
        <v>6</v>
      </c>
      <c r="I2523" s="14">
        <f t="shared" si="195"/>
        <v>1782.21</v>
      </c>
      <c r="K2523" t="str">
        <f>[1]!revcom(C2523)</f>
        <v>AATAGC</v>
      </c>
      <c r="L2523">
        <v>4</v>
      </c>
    </row>
    <row r="2524" spans="1:12" ht="15.6" x14ac:dyDescent="0.3">
      <c r="A2524" s="9">
        <v>2513</v>
      </c>
      <c r="B2524" s="1"/>
      <c r="C2524" s="2" t="s">
        <v>2519</v>
      </c>
      <c r="D2524" s="1"/>
      <c r="E2524" s="11">
        <f t="shared" si="196"/>
        <v>22</v>
      </c>
      <c r="F2524" s="12">
        <f t="shared" si="197"/>
        <v>50</v>
      </c>
      <c r="G2524" s="12" t="str">
        <f t="shared" si="198"/>
        <v>OK</v>
      </c>
      <c r="H2524" s="13">
        <f t="shared" si="199"/>
        <v>6</v>
      </c>
      <c r="I2524" s="14">
        <f t="shared" si="195"/>
        <v>1776.2199999999998</v>
      </c>
      <c r="K2524" t="str">
        <f>[1]!revcom(C2524)</f>
        <v>TTGAGC</v>
      </c>
      <c r="L2524">
        <v>6</v>
      </c>
    </row>
    <row r="2525" spans="1:12" ht="15.6" x14ac:dyDescent="0.3">
      <c r="A2525" s="9">
        <v>2514</v>
      </c>
      <c r="B2525" s="1"/>
      <c r="C2525" s="2" t="s">
        <v>2520</v>
      </c>
      <c r="D2525" s="1"/>
      <c r="E2525" s="11">
        <f t="shared" si="196"/>
        <v>20</v>
      </c>
      <c r="F2525" s="12">
        <f t="shared" si="197"/>
        <v>66.666666666666657</v>
      </c>
      <c r="G2525" s="12" t="str">
        <f t="shared" si="198"/>
        <v>Warning</v>
      </c>
      <c r="H2525" s="13">
        <f t="shared" si="199"/>
        <v>6</v>
      </c>
      <c r="I2525" s="14">
        <f t="shared" si="195"/>
        <v>1752.19</v>
      </c>
      <c r="K2525" t="str">
        <f>[1]!revcom(C2525)</f>
        <v>GTGAGC</v>
      </c>
      <c r="L2525">
        <v>6</v>
      </c>
    </row>
    <row r="2526" spans="1:12" ht="15.6" x14ac:dyDescent="0.3">
      <c r="A2526" s="9">
        <v>2515</v>
      </c>
      <c r="B2526" s="1"/>
      <c r="C2526" s="2" t="s">
        <v>2521</v>
      </c>
      <c r="D2526" s="1"/>
      <c r="E2526" s="11">
        <f t="shared" si="196"/>
        <v>20</v>
      </c>
      <c r="F2526" s="12">
        <f t="shared" si="197"/>
        <v>66.666666666666657</v>
      </c>
      <c r="G2526" s="12" t="str">
        <f t="shared" si="198"/>
        <v>Warning</v>
      </c>
      <c r="H2526" s="13">
        <f t="shared" si="199"/>
        <v>6</v>
      </c>
      <c r="I2526" s="14">
        <f t="shared" si="195"/>
        <v>1792.2199999999998</v>
      </c>
      <c r="K2526" t="str">
        <f>[1]!revcom(C2526)</f>
        <v>CTGAGC</v>
      </c>
      <c r="L2526">
        <v>6</v>
      </c>
    </row>
    <row r="2527" spans="1:12" ht="15.6" x14ac:dyDescent="0.3">
      <c r="A2527" s="9">
        <v>2516</v>
      </c>
      <c r="B2527" s="1"/>
      <c r="C2527" s="2" t="s">
        <v>2522</v>
      </c>
      <c r="D2527" s="1"/>
      <c r="E2527" s="11">
        <f t="shared" si="196"/>
        <v>14</v>
      </c>
      <c r="F2527" s="12">
        <f t="shared" si="197"/>
        <v>50</v>
      </c>
      <c r="G2527" s="12" t="str">
        <f t="shared" si="198"/>
        <v>OK</v>
      </c>
      <c r="H2527" s="13">
        <f t="shared" si="199"/>
        <v>6</v>
      </c>
      <c r="I2527" s="14">
        <f t="shared" si="195"/>
        <v>1767.1999999999998</v>
      </c>
      <c r="K2527" t="str">
        <f>[1]!revcom(C2527)</f>
        <v>ATGAGC</v>
      </c>
      <c r="L2527">
        <v>5</v>
      </c>
    </row>
    <row r="2528" spans="1:12" ht="15.6" x14ac:dyDescent="0.3">
      <c r="A2528" s="9">
        <v>2517</v>
      </c>
      <c r="B2528" s="1"/>
      <c r="C2528" s="2" t="s">
        <v>2523</v>
      </c>
      <c r="D2528" s="1"/>
      <c r="E2528" s="11">
        <f t="shared" si="196"/>
        <v>20</v>
      </c>
      <c r="F2528" s="12">
        <f t="shared" si="197"/>
        <v>66.666666666666657</v>
      </c>
      <c r="G2528" s="12" t="str">
        <f t="shared" si="198"/>
        <v>Warning</v>
      </c>
      <c r="H2528" s="13">
        <f t="shared" si="199"/>
        <v>6</v>
      </c>
      <c r="I2528" s="14">
        <f t="shared" si="195"/>
        <v>1752.19</v>
      </c>
      <c r="K2528" t="str">
        <f>[1]!revcom(C2528)</f>
        <v>TGGAGC</v>
      </c>
      <c r="L2528">
        <v>6</v>
      </c>
    </row>
    <row r="2529" spans="1:12" ht="15.6" x14ac:dyDescent="0.3">
      <c r="A2529" s="9">
        <v>2518</v>
      </c>
      <c r="B2529" s="1"/>
      <c r="C2529" s="2" t="s">
        <v>2524</v>
      </c>
      <c r="D2529" s="1"/>
      <c r="E2529" s="11">
        <f t="shared" si="196"/>
        <v>18</v>
      </c>
      <c r="F2529" s="12">
        <f t="shared" si="197"/>
        <v>83.333333333333343</v>
      </c>
      <c r="G2529" s="12" t="str">
        <f t="shared" si="198"/>
        <v>Warning</v>
      </c>
      <c r="H2529" s="13">
        <f t="shared" si="199"/>
        <v>6</v>
      </c>
      <c r="I2529" s="14">
        <f t="shared" si="195"/>
        <v>1728.1599999999999</v>
      </c>
      <c r="K2529" t="str">
        <f>[1]!revcom(C2529)</f>
        <v>GGGAGC</v>
      </c>
      <c r="L2529">
        <v>5</v>
      </c>
    </row>
    <row r="2530" spans="1:12" ht="15.6" x14ac:dyDescent="0.3">
      <c r="A2530" s="9">
        <v>2519</v>
      </c>
      <c r="B2530" s="1"/>
      <c r="C2530" s="2" t="s">
        <v>2525</v>
      </c>
      <c r="D2530" s="1"/>
      <c r="E2530" s="11">
        <f t="shared" si="196"/>
        <v>18</v>
      </c>
      <c r="F2530" s="12">
        <f t="shared" si="197"/>
        <v>83.333333333333343</v>
      </c>
      <c r="G2530" s="12" t="str">
        <f t="shared" si="198"/>
        <v>Warning</v>
      </c>
      <c r="H2530" s="13">
        <f t="shared" si="199"/>
        <v>6</v>
      </c>
      <c r="I2530" s="14">
        <f t="shared" si="195"/>
        <v>1768.19</v>
      </c>
      <c r="K2530" t="str">
        <f>[1]!revcom(C2530)</f>
        <v>CGGAGC</v>
      </c>
      <c r="L2530">
        <v>5</v>
      </c>
    </row>
    <row r="2531" spans="1:12" ht="15.6" x14ac:dyDescent="0.3">
      <c r="A2531" s="9">
        <v>2520</v>
      </c>
      <c r="B2531" s="1"/>
      <c r="C2531" s="2" t="s">
        <v>2526</v>
      </c>
      <c r="D2531" s="1"/>
      <c r="E2531" s="11">
        <f t="shared" si="196"/>
        <v>12</v>
      </c>
      <c r="F2531" s="12">
        <f t="shared" si="197"/>
        <v>66.666666666666657</v>
      </c>
      <c r="G2531" s="12" t="str">
        <f t="shared" si="198"/>
        <v>Warning</v>
      </c>
      <c r="H2531" s="13">
        <f t="shared" si="199"/>
        <v>6</v>
      </c>
      <c r="I2531" s="14">
        <f t="shared" si="195"/>
        <v>1743.17</v>
      </c>
      <c r="K2531" t="str">
        <f>[1]!revcom(C2531)</f>
        <v>AGGAGC</v>
      </c>
      <c r="L2531">
        <v>4</v>
      </c>
    </row>
    <row r="2532" spans="1:12" ht="15.6" x14ac:dyDescent="0.3">
      <c r="A2532" s="9">
        <v>2521</v>
      </c>
      <c r="B2532" s="1"/>
      <c r="C2532" s="2" t="s">
        <v>2527</v>
      </c>
      <c r="D2532" s="1"/>
      <c r="E2532" s="11">
        <f t="shared" si="196"/>
        <v>20</v>
      </c>
      <c r="F2532" s="12">
        <f t="shared" si="197"/>
        <v>66.666666666666657</v>
      </c>
      <c r="G2532" s="12" t="str">
        <f t="shared" si="198"/>
        <v>Warning</v>
      </c>
      <c r="H2532" s="13">
        <f t="shared" si="199"/>
        <v>6</v>
      </c>
      <c r="I2532" s="14">
        <f t="shared" si="195"/>
        <v>1792.2199999999998</v>
      </c>
      <c r="K2532" t="str">
        <f>[1]!revcom(C2532)</f>
        <v>TCGAGC</v>
      </c>
      <c r="L2532">
        <v>6</v>
      </c>
    </row>
    <row r="2533" spans="1:12" ht="15.6" x14ac:dyDescent="0.3">
      <c r="A2533" s="9">
        <v>2522</v>
      </c>
      <c r="B2533" s="1"/>
      <c r="C2533" s="2" t="s">
        <v>2528</v>
      </c>
      <c r="D2533" s="1"/>
      <c r="E2533" s="11">
        <f t="shared" si="196"/>
        <v>18</v>
      </c>
      <c r="F2533" s="12">
        <f t="shared" si="197"/>
        <v>83.333333333333343</v>
      </c>
      <c r="G2533" s="12" t="str">
        <f t="shared" si="198"/>
        <v>Warning</v>
      </c>
      <c r="H2533" s="13">
        <f t="shared" si="199"/>
        <v>6</v>
      </c>
      <c r="I2533" s="14">
        <f t="shared" si="195"/>
        <v>1768.19</v>
      </c>
      <c r="K2533" t="str">
        <f>[1]!revcom(C2533)</f>
        <v>GCGAGC</v>
      </c>
      <c r="L2533">
        <v>5</v>
      </c>
    </row>
    <row r="2534" spans="1:12" ht="15.6" x14ac:dyDescent="0.3">
      <c r="A2534" s="9">
        <v>2523</v>
      </c>
      <c r="B2534" s="1"/>
      <c r="C2534" s="2" t="s">
        <v>2529</v>
      </c>
      <c r="D2534" s="1"/>
      <c r="E2534" s="11">
        <f t="shared" si="196"/>
        <v>18</v>
      </c>
      <c r="F2534" s="12">
        <f t="shared" si="197"/>
        <v>83.333333333333343</v>
      </c>
      <c r="G2534" s="12" t="str">
        <f t="shared" si="198"/>
        <v>Warning</v>
      </c>
      <c r="H2534" s="13">
        <f t="shared" si="199"/>
        <v>6</v>
      </c>
      <c r="I2534" s="14">
        <f t="shared" si="195"/>
        <v>1808.2200000000003</v>
      </c>
      <c r="K2534" t="str">
        <f>[1]!revcom(C2534)</f>
        <v>CCGAGC</v>
      </c>
      <c r="L2534">
        <v>5</v>
      </c>
    </row>
    <row r="2535" spans="1:12" ht="15.6" x14ac:dyDescent="0.3">
      <c r="A2535" s="9">
        <v>2524</v>
      </c>
      <c r="B2535" s="1"/>
      <c r="C2535" s="2" t="s">
        <v>2530</v>
      </c>
      <c r="D2535" s="1"/>
      <c r="E2535" s="11">
        <f t="shared" si="196"/>
        <v>12</v>
      </c>
      <c r="F2535" s="12">
        <f t="shared" si="197"/>
        <v>66.666666666666657</v>
      </c>
      <c r="G2535" s="12" t="str">
        <f t="shared" si="198"/>
        <v>Warning</v>
      </c>
      <c r="H2535" s="13">
        <f t="shared" si="199"/>
        <v>6</v>
      </c>
      <c r="I2535" s="14">
        <f t="shared" si="195"/>
        <v>1783.1999999999998</v>
      </c>
      <c r="K2535" t="str">
        <f>[1]!revcom(C2535)</f>
        <v>ACGAGC</v>
      </c>
      <c r="L2535">
        <v>4</v>
      </c>
    </row>
    <row r="2536" spans="1:12" ht="15.6" x14ac:dyDescent="0.3">
      <c r="A2536" s="9">
        <v>2525</v>
      </c>
      <c r="B2536" s="1"/>
      <c r="C2536" s="2" t="s">
        <v>2531</v>
      </c>
      <c r="D2536" s="1"/>
      <c r="E2536" s="11">
        <f t="shared" si="196"/>
        <v>14</v>
      </c>
      <c r="F2536" s="12">
        <f t="shared" si="197"/>
        <v>50</v>
      </c>
      <c r="G2536" s="12" t="str">
        <f t="shared" si="198"/>
        <v>OK</v>
      </c>
      <c r="H2536" s="13">
        <f t="shared" si="199"/>
        <v>6</v>
      </c>
      <c r="I2536" s="14">
        <f t="shared" si="195"/>
        <v>1767.1999999999998</v>
      </c>
      <c r="K2536" t="str">
        <f>[1]!revcom(C2536)</f>
        <v>TAGAGC</v>
      </c>
      <c r="L2536">
        <v>5</v>
      </c>
    </row>
    <row r="2537" spans="1:12" ht="15.6" x14ac:dyDescent="0.3">
      <c r="A2537" s="9">
        <v>2526</v>
      </c>
      <c r="B2537" s="1"/>
      <c r="C2537" s="2" t="s">
        <v>2532</v>
      </c>
      <c r="D2537" s="1"/>
      <c r="E2537" s="11">
        <f t="shared" si="196"/>
        <v>12</v>
      </c>
      <c r="F2537" s="12">
        <f t="shared" si="197"/>
        <v>66.666666666666657</v>
      </c>
      <c r="G2537" s="12" t="str">
        <f t="shared" si="198"/>
        <v>Warning</v>
      </c>
      <c r="H2537" s="13">
        <f t="shared" si="199"/>
        <v>6</v>
      </c>
      <c r="I2537" s="14">
        <f t="shared" si="195"/>
        <v>1743.17</v>
      </c>
      <c r="K2537" t="str">
        <f>[1]!revcom(C2537)</f>
        <v>GAGAGC</v>
      </c>
      <c r="L2537">
        <v>4</v>
      </c>
    </row>
    <row r="2538" spans="1:12" ht="15.6" x14ac:dyDescent="0.3">
      <c r="A2538" s="9">
        <v>2527</v>
      </c>
      <c r="B2538" s="1"/>
      <c r="C2538" s="2" t="s">
        <v>2533</v>
      </c>
      <c r="D2538" s="1"/>
      <c r="E2538" s="11">
        <f t="shared" si="196"/>
        <v>12</v>
      </c>
      <c r="F2538" s="12">
        <f t="shared" si="197"/>
        <v>66.666666666666657</v>
      </c>
      <c r="G2538" s="12" t="str">
        <f t="shared" si="198"/>
        <v>Warning</v>
      </c>
      <c r="H2538" s="13">
        <f t="shared" si="199"/>
        <v>6</v>
      </c>
      <c r="I2538" s="14">
        <f t="shared" si="195"/>
        <v>1783.1999999999998</v>
      </c>
      <c r="K2538" t="str">
        <f>[1]!revcom(C2538)</f>
        <v>CAGAGC</v>
      </c>
      <c r="L2538">
        <v>4</v>
      </c>
    </row>
    <row r="2539" spans="1:12" ht="15.6" x14ac:dyDescent="0.3">
      <c r="A2539" s="9">
        <v>2528</v>
      </c>
      <c r="B2539" s="1"/>
      <c r="C2539" s="2" t="s">
        <v>2534</v>
      </c>
      <c r="D2539" s="1"/>
      <c r="E2539" s="11">
        <f t="shared" si="196"/>
        <v>6</v>
      </c>
      <c r="F2539" s="12">
        <f t="shared" si="197"/>
        <v>50</v>
      </c>
      <c r="G2539" s="12" t="str">
        <f t="shared" si="198"/>
        <v>OK</v>
      </c>
      <c r="H2539" s="13">
        <f t="shared" si="199"/>
        <v>6</v>
      </c>
      <c r="I2539" s="14">
        <f t="shared" si="195"/>
        <v>1758.1799999999998</v>
      </c>
      <c r="K2539" t="str">
        <f>[1]!revcom(C2539)</f>
        <v>AAGAGC</v>
      </c>
      <c r="L2539">
        <v>3</v>
      </c>
    </row>
    <row r="2540" spans="1:12" ht="15.6" x14ac:dyDescent="0.3">
      <c r="A2540" s="9">
        <v>2529</v>
      </c>
      <c r="B2540" s="1"/>
      <c r="C2540" s="2" t="s">
        <v>2535</v>
      </c>
      <c r="D2540" s="1"/>
      <c r="E2540" s="11">
        <f t="shared" si="196"/>
        <v>22</v>
      </c>
      <c r="F2540" s="12">
        <f t="shared" si="197"/>
        <v>50</v>
      </c>
      <c r="G2540" s="12" t="str">
        <f t="shared" si="198"/>
        <v>OK</v>
      </c>
      <c r="H2540" s="13">
        <f t="shared" si="199"/>
        <v>6</v>
      </c>
      <c r="I2540" s="14">
        <f t="shared" si="195"/>
        <v>1816.25</v>
      </c>
      <c r="K2540" t="str">
        <f>[1]!revcom(C2540)</f>
        <v>TTCAGC</v>
      </c>
      <c r="L2540">
        <v>6</v>
      </c>
    </row>
    <row r="2541" spans="1:12" ht="15.6" x14ac:dyDescent="0.3">
      <c r="A2541" s="9">
        <v>2530</v>
      </c>
      <c r="B2541" s="1"/>
      <c r="C2541" s="2" t="s">
        <v>2536</v>
      </c>
      <c r="D2541" s="1"/>
      <c r="E2541" s="11">
        <f t="shared" si="196"/>
        <v>20</v>
      </c>
      <c r="F2541" s="12">
        <f t="shared" si="197"/>
        <v>66.666666666666657</v>
      </c>
      <c r="G2541" s="12" t="str">
        <f t="shared" si="198"/>
        <v>Warning</v>
      </c>
      <c r="H2541" s="13">
        <f t="shared" si="199"/>
        <v>6</v>
      </c>
      <c r="I2541" s="14">
        <f t="shared" si="195"/>
        <v>1792.2199999999998</v>
      </c>
      <c r="K2541" t="str">
        <f>[1]!revcom(C2541)</f>
        <v>GTCAGC</v>
      </c>
      <c r="L2541">
        <v>6</v>
      </c>
    </row>
    <row r="2542" spans="1:12" ht="15.6" x14ac:dyDescent="0.3">
      <c r="A2542" s="9">
        <v>2531</v>
      </c>
      <c r="B2542" s="1"/>
      <c r="C2542" s="2" t="s">
        <v>2537</v>
      </c>
      <c r="D2542" s="1"/>
      <c r="E2542" s="11">
        <f t="shared" si="196"/>
        <v>20</v>
      </c>
      <c r="F2542" s="12">
        <f t="shared" si="197"/>
        <v>66.666666666666657</v>
      </c>
      <c r="G2542" s="12" t="str">
        <f t="shared" si="198"/>
        <v>Warning</v>
      </c>
      <c r="H2542" s="13">
        <f t="shared" si="199"/>
        <v>6</v>
      </c>
      <c r="I2542" s="14">
        <f t="shared" si="195"/>
        <v>1832.25</v>
      </c>
      <c r="K2542" t="str">
        <f>[1]!revcom(C2542)</f>
        <v>CTCAGC</v>
      </c>
      <c r="L2542">
        <v>6</v>
      </c>
    </row>
    <row r="2543" spans="1:12" ht="15.6" x14ac:dyDescent="0.3">
      <c r="A2543" s="9">
        <v>2532</v>
      </c>
      <c r="B2543" s="1"/>
      <c r="C2543" s="2" t="s">
        <v>2538</v>
      </c>
      <c r="D2543" s="1"/>
      <c r="E2543" s="11">
        <f t="shared" si="196"/>
        <v>14</v>
      </c>
      <c r="F2543" s="12">
        <f t="shared" si="197"/>
        <v>50</v>
      </c>
      <c r="G2543" s="12" t="str">
        <f t="shared" si="198"/>
        <v>OK</v>
      </c>
      <c r="H2543" s="13">
        <f t="shared" si="199"/>
        <v>6</v>
      </c>
      <c r="I2543" s="14">
        <f t="shared" si="195"/>
        <v>1807.23</v>
      </c>
      <c r="K2543" t="str">
        <f>[1]!revcom(C2543)</f>
        <v>ATCAGC</v>
      </c>
      <c r="L2543">
        <v>5</v>
      </c>
    </row>
    <row r="2544" spans="1:12" ht="15.6" x14ac:dyDescent="0.3">
      <c r="A2544" s="9">
        <v>2533</v>
      </c>
      <c r="B2544" s="1"/>
      <c r="C2544" s="2" t="s">
        <v>2539</v>
      </c>
      <c r="D2544" s="1"/>
      <c r="E2544" s="11">
        <f t="shared" si="196"/>
        <v>20</v>
      </c>
      <c r="F2544" s="12">
        <f t="shared" si="197"/>
        <v>66.666666666666657</v>
      </c>
      <c r="G2544" s="12" t="str">
        <f t="shared" si="198"/>
        <v>Warning</v>
      </c>
      <c r="H2544" s="13">
        <f t="shared" si="199"/>
        <v>6</v>
      </c>
      <c r="I2544" s="14">
        <f t="shared" si="195"/>
        <v>1792.2199999999998</v>
      </c>
      <c r="K2544" t="str">
        <f>[1]!revcom(C2544)</f>
        <v>TGCAGC</v>
      </c>
      <c r="L2544">
        <v>6</v>
      </c>
    </row>
    <row r="2545" spans="1:12" ht="15.6" x14ac:dyDescent="0.3">
      <c r="A2545" s="9">
        <v>2534</v>
      </c>
      <c r="B2545" s="1"/>
      <c r="C2545" s="2" t="s">
        <v>2540</v>
      </c>
      <c r="D2545" s="1"/>
      <c r="E2545" s="11">
        <f t="shared" si="196"/>
        <v>18</v>
      </c>
      <c r="F2545" s="12">
        <f t="shared" si="197"/>
        <v>83.333333333333343</v>
      </c>
      <c r="G2545" s="12" t="str">
        <f t="shared" si="198"/>
        <v>Warning</v>
      </c>
      <c r="H2545" s="13">
        <f t="shared" si="199"/>
        <v>6</v>
      </c>
      <c r="I2545" s="14">
        <f t="shared" si="195"/>
        <v>1768.19</v>
      </c>
      <c r="K2545" t="str">
        <f>[1]!revcom(C2545)</f>
        <v>GGCAGC</v>
      </c>
      <c r="L2545">
        <v>5</v>
      </c>
    </row>
    <row r="2546" spans="1:12" ht="15.6" x14ac:dyDescent="0.3">
      <c r="A2546" s="9">
        <v>2535</v>
      </c>
      <c r="B2546" s="1"/>
      <c r="C2546" s="2" t="s">
        <v>2541</v>
      </c>
      <c r="D2546" s="1"/>
      <c r="E2546" s="11">
        <f t="shared" si="196"/>
        <v>18</v>
      </c>
      <c r="F2546" s="12">
        <f t="shared" si="197"/>
        <v>83.333333333333343</v>
      </c>
      <c r="G2546" s="12" t="str">
        <f t="shared" si="198"/>
        <v>Warning</v>
      </c>
      <c r="H2546" s="13">
        <f t="shared" si="199"/>
        <v>6</v>
      </c>
      <c r="I2546" s="14">
        <f t="shared" si="195"/>
        <v>1808.2200000000003</v>
      </c>
      <c r="K2546" t="str">
        <f>[1]!revcom(C2546)</f>
        <v>CGCAGC</v>
      </c>
      <c r="L2546">
        <v>5</v>
      </c>
    </row>
    <row r="2547" spans="1:12" ht="15.6" x14ac:dyDescent="0.3">
      <c r="A2547" s="9">
        <v>2536</v>
      </c>
      <c r="B2547" s="1"/>
      <c r="C2547" s="2" t="s">
        <v>2542</v>
      </c>
      <c r="D2547" s="1"/>
      <c r="E2547" s="11">
        <f t="shared" si="196"/>
        <v>12</v>
      </c>
      <c r="F2547" s="12">
        <f t="shared" si="197"/>
        <v>66.666666666666657</v>
      </c>
      <c r="G2547" s="12" t="str">
        <f t="shared" si="198"/>
        <v>Warning</v>
      </c>
      <c r="H2547" s="13">
        <f t="shared" si="199"/>
        <v>6</v>
      </c>
      <c r="I2547" s="14">
        <f t="shared" si="195"/>
        <v>1783.1999999999998</v>
      </c>
      <c r="K2547" t="str">
        <f>[1]!revcom(C2547)</f>
        <v>AGCAGC</v>
      </c>
      <c r="L2547">
        <v>4</v>
      </c>
    </row>
    <row r="2548" spans="1:12" ht="15.6" x14ac:dyDescent="0.3">
      <c r="A2548" s="9">
        <v>2537</v>
      </c>
      <c r="B2548" s="1"/>
      <c r="C2548" s="2" t="s">
        <v>2543</v>
      </c>
      <c r="D2548" s="1"/>
      <c r="E2548" s="11">
        <f t="shared" si="196"/>
        <v>20</v>
      </c>
      <c r="F2548" s="12">
        <f t="shared" si="197"/>
        <v>66.666666666666657</v>
      </c>
      <c r="G2548" s="12" t="str">
        <f t="shared" si="198"/>
        <v>Warning</v>
      </c>
      <c r="H2548" s="13">
        <f t="shared" si="199"/>
        <v>6</v>
      </c>
      <c r="I2548" s="14">
        <f t="shared" si="195"/>
        <v>1832.25</v>
      </c>
      <c r="K2548" t="str">
        <f>[1]!revcom(C2548)</f>
        <v>TCCAGC</v>
      </c>
      <c r="L2548">
        <v>6</v>
      </c>
    </row>
    <row r="2549" spans="1:12" ht="15.6" x14ac:dyDescent="0.3">
      <c r="A2549" s="9">
        <v>2538</v>
      </c>
      <c r="B2549" s="1"/>
      <c r="C2549" s="2" t="s">
        <v>2544</v>
      </c>
      <c r="D2549" s="1"/>
      <c r="E2549" s="11">
        <f t="shared" si="196"/>
        <v>18</v>
      </c>
      <c r="F2549" s="12">
        <f t="shared" si="197"/>
        <v>83.333333333333343</v>
      </c>
      <c r="G2549" s="12" t="str">
        <f t="shared" si="198"/>
        <v>Warning</v>
      </c>
      <c r="H2549" s="13">
        <f t="shared" si="199"/>
        <v>6</v>
      </c>
      <c r="I2549" s="14">
        <f t="shared" si="195"/>
        <v>1808.2200000000003</v>
      </c>
      <c r="K2549" t="str">
        <f>[1]!revcom(C2549)</f>
        <v>GCCAGC</v>
      </c>
      <c r="L2549">
        <v>5</v>
      </c>
    </row>
    <row r="2550" spans="1:12" ht="15.6" x14ac:dyDescent="0.3">
      <c r="A2550" s="9">
        <v>2539</v>
      </c>
      <c r="B2550" s="1"/>
      <c r="C2550" s="2" t="s">
        <v>2545</v>
      </c>
      <c r="D2550" s="1"/>
      <c r="E2550" s="11">
        <f t="shared" si="196"/>
        <v>18</v>
      </c>
      <c r="F2550" s="12">
        <f t="shared" si="197"/>
        <v>83.333333333333343</v>
      </c>
      <c r="G2550" s="12" t="str">
        <f t="shared" si="198"/>
        <v>Warning</v>
      </c>
      <c r="H2550" s="13">
        <f t="shared" si="199"/>
        <v>6</v>
      </c>
      <c r="I2550" s="14">
        <f t="shared" si="195"/>
        <v>1848.25</v>
      </c>
      <c r="K2550" t="str">
        <f>[1]!revcom(C2550)</f>
        <v>CCCAGC</v>
      </c>
      <c r="L2550">
        <v>5</v>
      </c>
    </row>
    <row r="2551" spans="1:12" ht="15.6" x14ac:dyDescent="0.3">
      <c r="A2551" s="9">
        <v>2540</v>
      </c>
      <c r="B2551" s="1"/>
      <c r="C2551" s="2" t="s">
        <v>2546</v>
      </c>
      <c r="D2551" s="1"/>
      <c r="E2551" s="11">
        <f t="shared" si="196"/>
        <v>12</v>
      </c>
      <c r="F2551" s="12">
        <f t="shared" si="197"/>
        <v>66.666666666666657</v>
      </c>
      <c r="G2551" s="12" t="str">
        <f t="shared" si="198"/>
        <v>Warning</v>
      </c>
      <c r="H2551" s="13">
        <f t="shared" si="199"/>
        <v>6</v>
      </c>
      <c r="I2551" s="14">
        <f t="shared" si="195"/>
        <v>1823.23</v>
      </c>
      <c r="K2551" t="str">
        <f>[1]!revcom(C2551)</f>
        <v>ACCAGC</v>
      </c>
      <c r="L2551">
        <v>4</v>
      </c>
    </row>
    <row r="2552" spans="1:12" ht="15.6" x14ac:dyDescent="0.3">
      <c r="A2552" s="9">
        <v>2541</v>
      </c>
      <c r="B2552" s="1"/>
      <c r="C2552" s="2" t="s">
        <v>2547</v>
      </c>
      <c r="D2552" s="1"/>
      <c r="E2552" s="11">
        <f t="shared" si="196"/>
        <v>14</v>
      </c>
      <c r="F2552" s="12">
        <f t="shared" si="197"/>
        <v>50</v>
      </c>
      <c r="G2552" s="12" t="str">
        <f t="shared" si="198"/>
        <v>OK</v>
      </c>
      <c r="H2552" s="13">
        <f t="shared" si="199"/>
        <v>6</v>
      </c>
      <c r="I2552" s="14">
        <f t="shared" si="195"/>
        <v>1807.23</v>
      </c>
      <c r="K2552" t="str">
        <f>[1]!revcom(C2552)</f>
        <v>TACAGC</v>
      </c>
      <c r="L2552">
        <v>5</v>
      </c>
    </row>
    <row r="2553" spans="1:12" ht="15.6" x14ac:dyDescent="0.3">
      <c r="A2553" s="9">
        <v>2542</v>
      </c>
      <c r="B2553" s="1"/>
      <c r="C2553" s="2" t="s">
        <v>2548</v>
      </c>
      <c r="D2553" s="1"/>
      <c r="E2553" s="11">
        <f t="shared" si="196"/>
        <v>12</v>
      </c>
      <c r="F2553" s="12">
        <f t="shared" si="197"/>
        <v>66.666666666666657</v>
      </c>
      <c r="G2553" s="12" t="str">
        <f t="shared" si="198"/>
        <v>Warning</v>
      </c>
      <c r="H2553" s="13">
        <f t="shared" si="199"/>
        <v>6</v>
      </c>
      <c r="I2553" s="14">
        <f t="shared" si="195"/>
        <v>1783.1999999999998</v>
      </c>
      <c r="K2553" t="str">
        <f>[1]!revcom(C2553)</f>
        <v>GACAGC</v>
      </c>
      <c r="L2553">
        <v>4</v>
      </c>
    </row>
    <row r="2554" spans="1:12" ht="15.6" x14ac:dyDescent="0.3">
      <c r="A2554" s="9">
        <v>2543</v>
      </c>
      <c r="B2554" s="1"/>
      <c r="C2554" s="2" t="s">
        <v>2549</v>
      </c>
      <c r="D2554" s="1"/>
      <c r="E2554" s="11">
        <f t="shared" si="196"/>
        <v>12</v>
      </c>
      <c r="F2554" s="12">
        <f t="shared" si="197"/>
        <v>66.666666666666657</v>
      </c>
      <c r="G2554" s="12" t="str">
        <f t="shared" si="198"/>
        <v>Warning</v>
      </c>
      <c r="H2554" s="13">
        <f t="shared" si="199"/>
        <v>6</v>
      </c>
      <c r="I2554" s="14">
        <f t="shared" si="195"/>
        <v>1823.23</v>
      </c>
      <c r="K2554" t="str">
        <f>[1]!revcom(C2554)</f>
        <v>CACAGC</v>
      </c>
      <c r="L2554">
        <v>4</v>
      </c>
    </row>
    <row r="2555" spans="1:12" ht="15.6" x14ac:dyDescent="0.3">
      <c r="A2555" s="9">
        <v>2544</v>
      </c>
      <c r="B2555" s="1"/>
      <c r="C2555" s="2" t="s">
        <v>2550</v>
      </c>
      <c r="D2555" s="1"/>
      <c r="E2555" s="11">
        <f t="shared" si="196"/>
        <v>6</v>
      </c>
      <c r="F2555" s="12">
        <f t="shared" si="197"/>
        <v>50</v>
      </c>
      <c r="G2555" s="12" t="str">
        <f t="shared" si="198"/>
        <v>OK</v>
      </c>
      <c r="H2555" s="13">
        <f t="shared" si="199"/>
        <v>6</v>
      </c>
      <c r="I2555" s="14">
        <f t="shared" si="195"/>
        <v>1798.21</v>
      </c>
      <c r="K2555" t="str">
        <f>[1]!revcom(C2555)</f>
        <v>AACAGC</v>
      </c>
      <c r="L2555">
        <v>3</v>
      </c>
    </row>
    <row r="2556" spans="1:12" ht="15.6" x14ac:dyDescent="0.3">
      <c r="A2556" s="9">
        <v>2545</v>
      </c>
      <c r="B2556" s="1"/>
      <c r="C2556" s="2" t="s">
        <v>2551</v>
      </c>
      <c r="D2556" s="1"/>
      <c r="E2556" s="11">
        <f t="shared" si="196"/>
        <v>16</v>
      </c>
      <c r="F2556" s="12">
        <f t="shared" si="197"/>
        <v>33.333333333333329</v>
      </c>
      <c r="G2556" s="12" t="str">
        <f t="shared" si="198"/>
        <v>OK</v>
      </c>
      <c r="H2556" s="13">
        <f t="shared" si="199"/>
        <v>6</v>
      </c>
      <c r="I2556" s="14">
        <f t="shared" si="195"/>
        <v>1791.23</v>
      </c>
      <c r="K2556" t="str">
        <f>[1]!revcom(C2556)</f>
        <v>TTAAGC</v>
      </c>
      <c r="L2556">
        <v>5</v>
      </c>
    </row>
    <row r="2557" spans="1:12" ht="15.6" x14ac:dyDescent="0.3">
      <c r="A2557" s="9">
        <v>2546</v>
      </c>
      <c r="B2557" s="1"/>
      <c r="C2557" s="2" t="s">
        <v>2552</v>
      </c>
      <c r="D2557" s="1"/>
      <c r="E2557" s="11">
        <f t="shared" si="196"/>
        <v>14</v>
      </c>
      <c r="F2557" s="12">
        <f t="shared" si="197"/>
        <v>50</v>
      </c>
      <c r="G2557" s="12" t="str">
        <f t="shared" si="198"/>
        <v>OK</v>
      </c>
      <c r="H2557" s="13">
        <f t="shared" si="199"/>
        <v>6</v>
      </c>
      <c r="I2557" s="14">
        <f t="shared" si="195"/>
        <v>1767.1999999999998</v>
      </c>
      <c r="K2557" t="str">
        <f>[1]!revcom(C2557)</f>
        <v>GTAAGC</v>
      </c>
      <c r="L2557">
        <v>5</v>
      </c>
    </row>
    <row r="2558" spans="1:12" ht="15.6" x14ac:dyDescent="0.3">
      <c r="A2558" s="9">
        <v>2547</v>
      </c>
      <c r="B2558" s="1"/>
      <c r="C2558" s="2" t="s">
        <v>2553</v>
      </c>
      <c r="D2558" s="1"/>
      <c r="E2558" s="11">
        <f t="shared" si="196"/>
        <v>14</v>
      </c>
      <c r="F2558" s="12">
        <f t="shared" si="197"/>
        <v>50</v>
      </c>
      <c r="G2558" s="12" t="str">
        <f t="shared" si="198"/>
        <v>OK</v>
      </c>
      <c r="H2558" s="13">
        <f t="shared" si="199"/>
        <v>6</v>
      </c>
      <c r="I2558" s="14">
        <f t="shared" si="195"/>
        <v>1807.23</v>
      </c>
      <c r="K2558" t="str">
        <f>[1]!revcom(C2558)</f>
        <v>CTAAGC</v>
      </c>
      <c r="L2558">
        <v>5</v>
      </c>
    </row>
    <row r="2559" spans="1:12" ht="15.6" x14ac:dyDescent="0.3">
      <c r="A2559" s="9">
        <v>2548</v>
      </c>
      <c r="B2559" s="1"/>
      <c r="C2559" s="2" t="s">
        <v>2554</v>
      </c>
      <c r="D2559" s="1"/>
      <c r="E2559" s="11">
        <f t="shared" si="196"/>
        <v>8</v>
      </c>
      <c r="F2559" s="12">
        <f t="shared" si="197"/>
        <v>33.333333333333329</v>
      </c>
      <c r="G2559" s="12" t="str">
        <f t="shared" si="198"/>
        <v>OK</v>
      </c>
      <c r="H2559" s="13">
        <f t="shared" si="199"/>
        <v>6</v>
      </c>
      <c r="I2559" s="14">
        <f t="shared" si="195"/>
        <v>1782.21</v>
      </c>
      <c r="K2559" t="str">
        <f>[1]!revcom(C2559)</f>
        <v>ATAAGC</v>
      </c>
      <c r="L2559">
        <v>4</v>
      </c>
    </row>
    <row r="2560" spans="1:12" ht="15.6" x14ac:dyDescent="0.3">
      <c r="A2560" s="9">
        <v>2549</v>
      </c>
      <c r="B2560" s="1"/>
      <c r="C2560" s="2" t="s">
        <v>2555</v>
      </c>
      <c r="D2560" s="1"/>
      <c r="E2560" s="11">
        <f t="shared" si="196"/>
        <v>14</v>
      </c>
      <c r="F2560" s="12">
        <f t="shared" si="197"/>
        <v>50</v>
      </c>
      <c r="G2560" s="12" t="str">
        <f t="shared" si="198"/>
        <v>OK</v>
      </c>
      <c r="H2560" s="13">
        <f t="shared" si="199"/>
        <v>6</v>
      </c>
      <c r="I2560" s="14">
        <f t="shared" si="195"/>
        <v>1767.1999999999998</v>
      </c>
      <c r="K2560" t="str">
        <f>[1]!revcom(C2560)</f>
        <v>TGAAGC</v>
      </c>
      <c r="L2560">
        <v>5</v>
      </c>
    </row>
    <row r="2561" spans="1:12" ht="15.6" x14ac:dyDescent="0.3">
      <c r="A2561" s="9">
        <v>2550</v>
      </c>
      <c r="B2561" s="1"/>
      <c r="C2561" s="2" t="s">
        <v>2556</v>
      </c>
      <c r="D2561" s="1"/>
      <c r="E2561" s="11">
        <f t="shared" si="196"/>
        <v>12</v>
      </c>
      <c r="F2561" s="12">
        <f t="shared" si="197"/>
        <v>66.666666666666657</v>
      </c>
      <c r="G2561" s="12" t="str">
        <f t="shared" si="198"/>
        <v>Warning</v>
      </c>
      <c r="H2561" s="13">
        <f t="shared" si="199"/>
        <v>6</v>
      </c>
      <c r="I2561" s="14">
        <f t="shared" si="195"/>
        <v>1743.17</v>
      </c>
      <c r="K2561" t="str">
        <f>[1]!revcom(C2561)</f>
        <v>GGAAGC</v>
      </c>
      <c r="L2561">
        <v>4</v>
      </c>
    </row>
    <row r="2562" spans="1:12" ht="15.6" x14ac:dyDescent="0.3">
      <c r="A2562" s="9">
        <v>2551</v>
      </c>
      <c r="B2562" s="1"/>
      <c r="C2562" s="2" t="s">
        <v>2557</v>
      </c>
      <c r="D2562" s="1"/>
      <c r="E2562" s="11">
        <f t="shared" si="196"/>
        <v>12</v>
      </c>
      <c r="F2562" s="12">
        <f t="shared" si="197"/>
        <v>66.666666666666657</v>
      </c>
      <c r="G2562" s="12" t="str">
        <f t="shared" si="198"/>
        <v>Warning</v>
      </c>
      <c r="H2562" s="13">
        <f t="shared" si="199"/>
        <v>6</v>
      </c>
      <c r="I2562" s="14">
        <f t="shared" si="195"/>
        <v>1783.1999999999998</v>
      </c>
      <c r="K2562" t="str">
        <f>[1]!revcom(C2562)</f>
        <v>CGAAGC</v>
      </c>
      <c r="L2562">
        <v>4</v>
      </c>
    </row>
    <row r="2563" spans="1:12" ht="15.6" x14ac:dyDescent="0.3">
      <c r="A2563" s="9">
        <v>2552</v>
      </c>
      <c r="B2563" s="1"/>
      <c r="C2563" s="2" t="s">
        <v>2558</v>
      </c>
      <c r="D2563" s="1"/>
      <c r="E2563" s="11">
        <f t="shared" si="196"/>
        <v>6</v>
      </c>
      <c r="F2563" s="12">
        <f t="shared" si="197"/>
        <v>50</v>
      </c>
      <c r="G2563" s="12" t="str">
        <f t="shared" si="198"/>
        <v>OK</v>
      </c>
      <c r="H2563" s="13">
        <f t="shared" si="199"/>
        <v>6</v>
      </c>
      <c r="I2563" s="14">
        <f t="shared" si="195"/>
        <v>1758.1799999999998</v>
      </c>
      <c r="K2563" t="str">
        <f>[1]!revcom(C2563)</f>
        <v>AGAAGC</v>
      </c>
      <c r="L2563">
        <v>3</v>
      </c>
    </row>
    <row r="2564" spans="1:12" ht="15.6" x14ac:dyDescent="0.3">
      <c r="A2564" s="9">
        <v>2553</v>
      </c>
      <c r="B2564" s="1"/>
      <c r="C2564" s="2" t="s">
        <v>2559</v>
      </c>
      <c r="D2564" s="1"/>
      <c r="E2564" s="11">
        <f t="shared" si="196"/>
        <v>14</v>
      </c>
      <c r="F2564" s="12">
        <f t="shared" si="197"/>
        <v>50</v>
      </c>
      <c r="G2564" s="12" t="str">
        <f t="shared" si="198"/>
        <v>OK</v>
      </c>
      <c r="H2564" s="13">
        <f t="shared" si="199"/>
        <v>6</v>
      </c>
      <c r="I2564" s="14">
        <f t="shared" si="195"/>
        <v>1807.23</v>
      </c>
      <c r="K2564" t="str">
        <f>[1]!revcom(C2564)</f>
        <v>TCAAGC</v>
      </c>
      <c r="L2564">
        <v>5</v>
      </c>
    </row>
    <row r="2565" spans="1:12" ht="15.6" x14ac:dyDescent="0.3">
      <c r="A2565" s="9">
        <v>2554</v>
      </c>
      <c r="B2565" s="1"/>
      <c r="C2565" s="2" t="s">
        <v>2560</v>
      </c>
      <c r="D2565" s="1"/>
      <c r="E2565" s="11">
        <f t="shared" si="196"/>
        <v>12</v>
      </c>
      <c r="F2565" s="12">
        <f t="shared" si="197"/>
        <v>66.666666666666657</v>
      </c>
      <c r="G2565" s="12" t="str">
        <f t="shared" si="198"/>
        <v>Warning</v>
      </c>
      <c r="H2565" s="13">
        <f t="shared" si="199"/>
        <v>6</v>
      </c>
      <c r="I2565" s="14">
        <f t="shared" si="195"/>
        <v>1783.1999999999998</v>
      </c>
      <c r="K2565" t="str">
        <f>[1]!revcom(C2565)</f>
        <v>GCAAGC</v>
      </c>
      <c r="L2565">
        <v>4</v>
      </c>
    </row>
    <row r="2566" spans="1:12" ht="15.6" x14ac:dyDescent="0.3">
      <c r="A2566" s="9">
        <v>2555</v>
      </c>
      <c r="B2566" s="1"/>
      <c r="C2566" s="2" t="s">
        <v>2561</v>
      </c>
      <c r="D2566" s="1"/>
      <c r="E2566" s="11">
        <f t="shared" si="196"/>
        <v>12</v>
      </c>
      <c r="F2566" s="12">
        <f t="shared" si="197"/>
        <v>66.666666666666657</v>
      </c>
      <c r="G2566" s="12" t="str">
        <f t="shared" si="198"/>
        <v>Warning</v>
      </c>
      <c r="H2566" s="13">
        <f t="shared" si="199"/>
        <v>6</v>
      </c>
      <c r="I2566" s="14">
        <f t="shared" si="195"/>
        <v>1823.23</v>
      </c>
      <c r="K2566" t="str">
        <f>[1]!revcom(C2566)</f>
        <v>CCAAGC</v>
      </c>
      <c r="L2566">
        <v>4</v>
      </c>
    </row>
    <row r="2567" spans="1:12" ht="15.6" x14ac:dyDescent="0.3">
      <c r="A2567" s="9">
        <v>2556</v>
      </c>
      <c r="B2567" s="1"/>
      <c r="C2567" s="2" t="s">
        <v>2562</v>
      </c>
      <c r="D2567" s="1"/>
      <c r="E2567" s="11">
        <f t="shared" si="196"/>
        <v>6</v>
      </c>
      <c r="F2567" s="12">
        <f t="shared" si="197"/>
        <v>50</v>
      </c>
      <c r="G2567" s="12" t="str">
        <f t="shared" si="198"/>
        <v>OK</v>
      </c>
      <c r="H2567" s="13">
        <f t="shared" si="199"/>
        <v>6</v>
      </c>
      <c r="I2567" s="14">
        <f t="shared" si="195"/>
        <v>1798.21</v>
      </c>
      <c r="K2567" t="str">
        <f>[1]!revcom(C2567)</f>
        <v>ACAAGC</v>
      </c>
      <c r="L2567">
        <v>3</v>
      </c>
    </row>
    <row r="2568" spans="1:12" ht="15.6" x14ac:dyDescent="0.3">
      <c r="A2568" s="9">
        <v>2557</v>
      </c>
      <c r="B2568" s="1"/>
      <c r="C2568" s="2" t="s">
        <v>2563</v>
      </c>
      <c r="D2568" s="1"/>
      <c r="E2568" s="11">
        <f t="shared" si="196"/>
        <v>8</v>
      </c>
      <c r="F2568" s="12">
        <f t="shared" si="197"/>
        <v>33.333333333333329</v>
      </c>
      <c r="G2568" s="12" t="str">
        <f t="shared" si="198"/>
        <v>OK</v>
      </c>
      <c r="H2568" s="13">
        <f t="shared" si="199"/>
        <v>6</v>
      </c>
      <c r="I2568" s="14">
        <f t="shared" si="195"/>
        <v>1782.21</v>
      </c>
      <c r="K2568" t="str">
        <f>[1]!revcom(C2568)</f>
        <v>TAAAGC</v>
      </c>
      <c r="L2568">
        <v>4</v>
      </c>
    </row>
    <row r="2569" spans="1:12" ht="15.6" x14ac:dyDescent="0.3">
      <c r="A2569" s="9">
        <v>2558</v>
      </c>
      <c r="B2569" s="1"/>
      <c r="C2569" s="2" t="s">
        <v>2564</v>
      </c>
      <c r="D2569" s="1"/>
      <c r="E2569" s="11">
        <f t="shared" si="196"/>
        <v>6</v>
      </c>
      <c r="F2569" s="12">
        <f t="shared" si="197"/>
        <v>50</v>
      </c>
      <c r="G2569" s="12" t="str">
        <f t="shared" si="198"/>
        <v>OK</v>
      </c>
      <c r="H2569" s="13">
        <f t="shared" si="199"/>
        <v>6</v>
      </c>
      <c r="I2569" s="14">
        <f t="shared" si="195"/>
        <v>1758.1799999999998</v>
      </c>
      <c r="K2569" t="str">
        <f>[1]!revcom(C2569)</f>
        <v>GAAAGC</v>
      </c>
      <c r="L2569">
        <v>3</v>
      </c>
    </row>
    <row r="2570" spans="1:12" ht="15.6" x14ac:dyDescent="0.3">
      <c r="A2570" s="9">
        <v>2559</v>
      </c>
      <c r="B2570" s="1"/>
      <c r="C2570" s="2" t="s">
        <v>2565</v>
      </c>
      <c r="D2570" s="1"/>
      <c r="E2570" s="11">
        <f t="shared" si="196"/>
        <v>6</v>
      </c>
      <c r="F2570" s="12">
        <f t="shared" si="197"/>
        <v>50</v>
      </c>
      <c r="G2570" s="12" t="str">
        <f t="shared" si="198"/>
        <v>OK</v>
      </c>
      <c r="H2570" s="13">
        <f t="shared" si="199"/>
        <v>6</v>
      </c>
      <c r="I2570" s="14">
        <f t="shared" si="195"/>
        <v>1798.21</v>
      </c>
      <c r="K2570" t="str">
        <f>[1]!revcom(C2570)</f>
        <v>CAAAGC</v>
      </c>
      <c r="L2570">
        <v>3</v>
      </c>
    </row>
    <row r="2571" spans="1:12" ht="15.6" x14ac:dyDescent="0.3">
      <c r="A2571" s="9">
        <v>2560</v>
      </c>
      <c r="B2571" s="1"/>
      <c r="C2571" s="2" t="s">
        <v>2566</v>
      </c>
      <c r="D2571" s="1"/>
      <c r="E2571" s="11">
        <f t="shared" si="196"/>
        <v>0</v>
      </c>
      <c r="F2571" s="12">
        <f t="shared" si="197"/>
        <v>33.333333333333329</v>
      </c>
      <c r="G2571" s="12" t="str">
        <f t="shared" si="198"/>
        <v>OK</v>
      </c>
      <c r="H2571" s="13">
        <f t="shared" si="199"/>
        <v>6</v>
      </c>
      <c r="I2571" s="14">
        <f t="shared" si="195"/>
        <v>1773.19</v>
      </c>
      <c r="K2571" t="str">
        <f>[1]!revcom(C2571)</f>
        <v>AAAAGC</v>
      </c>
      <c r="L2571">
        <v>2</v>
      </c>
    </row>
    <row r="2572" spans="1:12" ht="15.6" x14ac:dyDescent="0.3">
      <c r="A2572" s="9">
        <v>2561</v>
      </c>
      <c r="B2572" s="1"/>
      <c r="C2572" s="2" t="s">
        <v>2567</v>
      </c>
      <c r="D2572" s="1"/>
      <c r="E2572" s="11">
        <f t="shared" si="196"/>
        <v>32</v>
      </c>
      <c r="F2572" s="12">
        <f t="shared" si="197"/>
        <v>33.333333333333329</v>
      </c>
      <c r="G2572" s="12" t="str">
        <f t="shared" si="198"/>
        <v>OK</v>
      </c>
      <c r="H2572" s="13">
        <f t="shared" si="199"/>
        <v>6</v>
      </c>
      <c r="I2572" s="14">
        <f t="shared" si="195"/>
        <v>1849.3000000000002</v>
      </c>
      <c r="K2572" t="str">
        <f>[1]!revcom(C2572)</f>
        <v>TTTTCC</v>
      </c>
      <c r="L2572">
        <v>8</v>
      </c>
    </row>
    <row r="2573" spans="1:12" ht="15.6" x14ac:dyDescent="0.3">
      <c r="A2573" s="9">
        <v>2562</v>
      </c>
      <c r="B2573" s="1"/>
      <c r="C2573" s="2" t="s">
        <v>2568</v>
      </c>
      <c r="D2573" s="1"/>
      <c r="E2573" s="11">
        <f t="shared" si="196"/>
        <v>30</v>
      </c>
      <c r="F2573" s="12">
        <f t="shared" si="197"/>
        <v>50</v>
      </c>
      <c r="G2573" s="12" t="str">
        <f t="shared" si="198"/>
        <v>OK</v>
      </c>
      <c r="H2573" s="13">
        <f t="shared" si="199"/>
        <v>6</v>
      </c>
      <c r="I2573" s="14">
        <f t="shared" ref="I2573:I2636" si="200">((LEN(C2573)-(LEN(SUBSTITUTE(C2573,"A",""))))*249.23)+((LEN(C2573)-(LEN(SUBSTITUTE(C2573,"T",""))))*240.21)+((LEN(C2573)-(LEN(SUBSTITUTE(C2573,"C",""))))*225.2)+((LEN(C2573)-(LEN(SUBSTITUTE(C2573,"G",""))))*265.23)+(63.98*(LEN(C2573)-1)+(2.02))</f>
        <v>1825.27</v>
      </c>
      <c r="K2573" t="str">
        <f>[1]!revcom(C2573)</f>
        <v>GTTTCC</v>
      </c>
      <c r="L2573">
        <v>7</v>
      </c>
    </row>
    <row r="2574" spans="1:12" ht="15.6" x14ac:dyDescent="0.3">
      <c r="A2574" s="9">
        <v>2563</v>
      </c>
      <c r="B2574" s="1"/>
      <c r="C2574" s="2" t="s">
        <v>2569</v>
      </c>
      <c r="D2574" s="1"/>
      <c r="E2574" s="11">
        <f t="shared" ref="E2574:E2637" si="201">IF(LEN(C2574)&gt;15,(69.3+((41*((LEN(C2574)-(((LEN(C2574)-(LEN(SUBSTITUTE(C2574,"A",""))))+((LEN(C2574)-(LEN(SUBSTITUTE(C2574,"T","")))))))))/(LEN(C2574)))-(650/(LEN(C2574))))),(2*((LEN(C2574)-(((LEN(C2574)-(LEN(SUBSTITUTE(C2574,"C",""))))+((LEN(C2574)-(LEN(SUBSTITUTE(C2574,"G",""))))))))))+(4*((LEN(C2574)-(((LEN(C2574)-(LEN(SUBSTITUTE(C2574,"T",""))))+((LEN(C2574)-(LEN(SUBSTITUTE(C2574,"T","")))))))))))</f>
        <v>30</v>
      </c>
      <c r="F2574" s="12">
        <f t="shared" ref="F2574:F2637" si="202">((LEN(C2574)- LEN(SUBSTITUTE(C2574,"G","")))+(LEN(C2574)- LEN(SUBSTITUTE(C2574,"C",""))) )/LEN(C2574)*100</f>
        <v>50</v>
      </c>
      <c r="G2574" s="12" t="str">
        <f t="shared" ref="G2574:G2637" si="203">IF((-5+((LEN(SUBSTITUTE(RIGHT(C2574,5),"C","")))+((LEN(SUBSTITUTE(RIGHT(C2574,5),"G",""))))))&gt;=3,"OK","Warning")</f>
        <v>OK</v>
      </c>
      <c r="H2574" s="13">
        <f t="shared" ref="H2574:H2637" si="204">LEN(C2574)</f>
        <v>6</v>
      </c>
      <c r="I2574" s="14">
        <f t="shared" si="200"/>
        <v>1865.3000000000002</v>
      </c>
      <c r="K2574" t="str">
        <f>[1]!revcom(C2574)</f>
        <v>CTTTCC</v>
      </c>
      <c r="L2574">
        <v>7</v>
      </c>
    </row>
    <row r="2575" spans="1:12" ht="15.6" x14ac:dyDescent="0.3">
      <c r="A2575" s="9">
        <v>2564</v>
      </c>
      <c r="B2575" s="1"/>
      <c r="C2575" s="2" t="s">
        <v>2570</v>
      </c>
      <c r="D2575" s="1"/>
      <c r="E2575" s="11">
        <f t="shared" si="201"/>
        <v>24</v>
      </c>
      <c r="F2575" s="12">
        <f t="shared" si="202"/>
        <v>33.333333333333329</v>
      </c>
      <c r="G2575" s="12" t="str">
        <f t="shared" si="203"/>
        <v>OK</v>
      </c>
      <c r="H2575" s="13">
        <f t="shared" si="204"/>
        <v>6</v>
      </c>
      <c r="I2575" s="14">
        <f t="shared" si="200"/>
        <v>1840.2800000000002</v>
      </c>
      <c r="K2575" t="str">
        <f>[1]!revcom(C2575)</f>
        <v>ATTTCC</v>
      </c>
      <c r="L2575">
        <v>6</v>
      </c>
    </row>
    <row r="2576" spans="1:12" ht="15.6" x14ac:dyDescent="0.3">
      <c r="A2576" s="9">
        <v>2565</v>
      </c>
      <c r="B2576" s="1"/>
      <c r="C2576" s="2" t="s">
        <v>2571</v>
      </c>
      <c r="D2576" s="1"/>
      <c r="E2576" s="11">
        <f t="shared" si="201"/>
        <v>30</v>
      </c>
      <c r="F2576" s="12">
        <f t="shared" si="202"/>
        <v>50</v>
      </c>
      <c r="G2576" s="12" t="str">
        <f t="shared" si="203"/>
        <v>OK</v>
      </c>
      <c r="H2576" s="13">
        <f t="shared" si="204"/>
        <v>6</v>
      </c>
      <c r="I2576" s="14">
        <f t="shared" si="200"/>
        <v>1825.27</v>
      </c>
      <c r="K2576" t="str">
        <f>[1]!revcom(C2576)</f>
        <v>TGTTCC</v>
      </c>
      <c r="L2576">
        <v>7</v>
      </c>
    </row>
    <row r="2577" spans="1:12" ht="15.6" x14ac:dyDescent="0.3">
      <c r="A2577" s="9">
        <v>2566</v>
      </c>
      <c r="B2577" s="1"/>
      <c r="C2577" s="2" t="s">
        <v>2572</v>
      </c>
      <c r="D2577" s="1"/>
      <c r="E2577" s="11">
        <f t="shared" si="201"/>
        <v>28</v>
      </c>
      <c r="F2577" s="12">
        <f t="shared" si="202"/>
        <v>66.666666666666657</v>
      </c>
      <c r="G2577" s="12" t="str">
        <f t="shared" si="203"/>
        <v>Warning</v>
      </c>
      <c r="H2577" s="13">
        <f t="shared" si="204"/>
        <v>6</v>
      </c>
      <c r="I2577" s="14">
        <f t="shared" si="200"/>
        <v>1801.2399999999998</v>
      </c>
      <c r="K2577" t="str">
        <f>[1]!revcom(C2577)</f>
        <v>GGTTCC</v>
      </c>
      <c r="L2577">
        <v>7</v>
      </c>
    </row>
    <row r="2578" spans="1:12" ht="15.6" x14ac:dyDescent="0.3">
      <c r="A2578" s="9">
        <v>2567</v>
      </c>
      <c r="B2578" s="1"/>
      <c r="C2578" s="2" t="s">
        <v>2573</v>
      </c>
      <c r="D2578" s="1"/>
      <c r="E2578" s="11">
        <f t="shared" si="201"/>
        <v>28</v>
      </c>
      <c r="F2578" s="12">
        <f t="shared" si="202"/>
        <v>66.666666666666657</v>
      </c>
      <c r="G2578" s="12" t="str">
        <f t="shared" si="203"/>
        <v>Warning</v>
      </c>
      <c r="H2578" s="13">
        <f t="shared" si="204"/>
        <v>6</v>
      </c>
      <c r="I2578" s="14">
        <f t="shared" si="200"/>
        <v>1841.27</v>
      </c>
      <c r="K2578" t="str">
        <f>[1]!revcom(C2578)</f>
        <v>CGTTCC</v>
      </c>
      <c r="L2578">
        <v>7</v>
      </c>
    </row>
    <row r="2579" spans="1:12" ht="15.6" x14ac:dyDescent="0.3">
      <c r="A2579" s="9">
        <v>2568</v>
      </c>
      <c r="B2579" s="1"/>
      <c r="C2579" s="2" t="s">
        <v>2574</v>
      </c>
      <c r="D2579" s="1"/>
      <c r="E2579" s="11">
        <f t="shared" si="201"/>
        <v>22</v>
      </c>
      <c r="F2579" s="12">
        <f t="shared" si="202"/>
        <v>50</v>
      </c>
      <c r="G2579" s="12" t="str">
        <f t="shared" si="203"/>
        <v>OK</v>
      </c>
      <c r="H2579" s="13">
        <f t="shared" si="204"/>
        <v>6</v>
      </c>
      <c r="I2579" s="14">
        <f t="shared" si="200"/>
        <v>1816.25</v>
      </c>
      <c r="K2579" t="str">
        <f>[1]!revcom(C2579)</f>
        <v>AGTTCC</v>
      </c>
      <c r="L2579">
        <v>6</v>
      </c>
    </row>
    <row r="2580" spans="1:12" ht="15.6" x14ac:dyDescent="0.3">
      <c r="A2580" s="9">
        <v>2569</v>
      </c>
      <c r="B2580" s="1"/>
      <c r="C2580" s="2" t="s">
        <v>2575</v>
      </c>
      <c r="D2580" s="1"/>
      <c r="E2580" s="11">
        <f t="shared" si="201"/>
        <v>30</v>
      </c>
      <c r="F2580" s="12">
        <f t="shared" si="202"/>
        <v>50</v>
      </c>
      <c r="G2580" s="12" t="str">
        <f t="shared" si="203"/>
        <v>OK</v>
      </c>
      <c r="H2580" s="13">
        <f t="shared" si="204"/>
        <v>6</v>
      </c>
      <c r="I2580" s="14">
        <f t="shared" si="200"/>
        <v>1865.3000000000002</v>
      </c>
      <c r="K2580" t="str">
        <f>[1]!revcom(C2580)</f>
        <v>TCTTCC</v>
      </c>
      <c r="L2580">
        <v>7</v>
      </c>
    </row>
    <row r="2581" spans="1:12" ht="15.6" x14ac:dyDescent="0.3">
      <c r="A2581" s="9">
        <v>2570</v>
      </c>
      <c r="B2581" s="1"/>
      <c r="C2581" s="2" t="s">
        <v>2576</v>
      </c>
      <c r="D2581" s="1"/>
      <c r="E2581" s="11">
        <f t="shared" si="201"/>
        <v>28</v>
      </c>
      <c r="F2581" s="12">
        <f t="shared" si="202"/>
        <v>66.666666666666657</v>
      </c>
      <c r="G2581" s="12" t="str">
        <f t="shared" si="203"/>
        <v>Warning</v>
      </c>
      <c r="H2581" s="13">
        <f t="shared" si="204"/>
        <v>6</v>
      </c>
      <c r="I2581" s="14">
        <f t="shared" si="200"/>
        <v>1841.27</v>
      </c>
      <c r="K2581" t="str">
        <f>[1]!revcom(C2581)</f>
        <v>GCTTCC</v>
      </c>
      <c r="L2581">
        <v>7</v>
      </c>
    </row>
    <row r="2582" spans="1:12" ht="15.6" x14ac:dyDescent="0.3">
      <c r="A2582" s="9">
        <v>2571</v>
      </c>
      <c r="B2582" s="1"/>
      <c r="C2582" s="2" t="s">
        <v>2577</v>
      </c>
      <c r="D2582" s="1"/>
      <c r="E2582" s="11">
        <f t="shared" si="201"/>
        <v>28</v>
      </c>
      <c r="F2582" s="12">
        <f t="shared" si="202"/>
        <v>66.666666666666657</v>
      </c>
      <c r="G2582" s="12" t="str">
        <f t="shared" si="203"/>
        <v>Warning</v>
      </c>
      <c r="H2582" s="13">
        <f t="shared" si="204"/>
        <v>6</v>
      </c>
      <c r="I2582" s="14">
        <f t="shared" si="200"/>
        <v>1881.3000000000002</v>
      </c>
      <c r="K2582" t="str">
        <f>[1]!revcom(C2582)</f>
        <v>CCTTCC</v>
      </c>
      <c r="L2582">
        <v>7</v>
      </c>
    </row>
    <row r="2583" spans="1:12" ht="15.6" x14ac:dyDescent="0.3">
      <c r="A2583" s="9">
        <v>2572</v>
      </c>
      <c r="B2583" s="1"/>
      <c r="C2583" s="2" t="s">
        <v>2578</v>
      </c>
      <c r="D2583" s="1"/>
      <c r="E2583" s="11">
        <f t="shared" si="201"/>
        <v>22</v>
      </c>
      <c r="F2583" s="12">
        <f t="shared" si="202"/>
        <v>50</v>
      </c>
      <c r="G2583" s="12" t="str">
        <f t="shared" si="203"/>
        <v>OK</v>
      </c>
      <c r="H2583" s="13">
        <f t="shared" si="204"/>
        <v>6</v>
      </c>
      <c r="I2583" s="14">
        <f t="shared" si="200"/>
        <v>1856.2800000000002</v>
      </c>
      <c r="K2583" t="str">
        <f>[1]!revcom(C2583)</f>
        <v>ACTTCC</v>
      </c>
      <c r="L2583">
        <v>6</v>
      </c>
    </row>
    <row r="2584" spans="1:12" ht="15.6" x14ac:dyDescent="0.3">
      <c r="A2584" s="9">
        <v>2573</v>
      </c>
      <c r="B2584" s="1"/>
      <c r="C2584" s="2" t="s">
        <v>2579</v>
      </c>
      <c r="D2584" s="1"/>
      <c r="E2584" s="11">
        <f t="shared" si="201"/>
        <v>24</v>
      </c>
      <c r="F2584" s="12">
        <f t="shared" si="202"/>
        <v>33.333333333333329</v>
      </c>
      <c r="G2584" s="12" t="str">
        <f t="shared" si="203"/>
        <v>OK</v>
      </c>
      <c r="H2584" s="13">
        <f t="shared" si="204"/>
        <v>6</v>
      </c>
      <c r="I2584" s="14">
        <f t="shared" si="200"/>
        <v>1840.2800000000002</v>
      </c>
      <c r="K2584" t="str">
        <f>[1]!revcom(C2584)</f>
        <v>TATTCC</v>
      </c>
      <c r="L2584">
        <v>6</v>
      </c>
    </row>
    <row r="2585" spans="1:12" ht="15.6" x14ac:dyDescent="0.3">
      <c r="A2585" s="9">
        <v>2574</v>
      </c>
      <c r="B2585" s="1"/>
      <c r="C2585" s="2" t="s">
        <v>2580</v>
      </c>
      <c r="D2585" s="1"/>
      <c r="E2585" s="11">
        <f t="shared" si="201"/>
        <v>22</v>
      </c>
      <c r="F2585" s="12">
        <f t="shared" si="202"/>
        <v>50</v>
      </c>
      <c r="G2585" s="12" t="str">
        <f t="shared" si="203"/>
        <v>OK</v>
      </c>
      <c r="H2585" s="13">
        <f t="shared" si="204"/>
        <v>6</v>
      </c>
      <c r="I2585" s="14">
        <f t="shared" si="200"/>
        <v>1816.25</v>
      </c>
      <c r="K2585" t="str">
        <f>[1]!revcom(C2585)</f>
        <v>GATTCC</v>
      </c>
      <c r="L2585">
        <v>6</v>
      </c>
    </row>
    <row r="2586" spans="1:12" ht="15.6" x14ac:dyDescent="0.3">
      <c r="A2586" s="9">
        <v>2575</v>
      </c>
      <c r="B2586" s="1"/>
      <c r="C2586" s="2" t="s">
        <v>2581</v>
      </c>
      <c r="D2586" s="1"/>
      <c r="E2586" s="11">
        <f t="shared" si="201"/>
        <v>22</v>
      </c>
      <c r="F2586" s="12">
        <f t="shared" si="202"/>
        <v>50</v>
      </c>
      <c r="G2586" s="12" t="str">
        <f t="shared" si="203"/>
        <v>OK</v>
      </c>
      <c r="H2586" s="13">
        <f t="shared" si="204"/>
        <v>6</v>
      </c>
      <c r="I2586" s="14">
        <f t="shared" si="200"/>
        <v>1856.2800000000002</v>
      </c>
      <c r="K2586" t="str">
        <f>[1]!revcom(C2586)</f>
        <v>CATTCC</v>
      </c>
      <c r="L2586">
        <v>6</v>
      </c>
    </row>
    <row r="2587" spans="1:12" ht="15.6" x14ac:dyDescent="0.3">
      <c r="A2587" s="9">
        <v>2576</v>
      </c>
      <c r="B2587" s="1"/>
      <c r="C2587" s="2" t="s">
        <v>2582</v>
      </c>
      <c r="D2587" s="1"/>
      <c r="E2587" s="11">
        <f t="shared" si="201"/>
        <v>16</v>
      </c>
      <c r="F2587" s="12">
        <f t="shared" si="202"/>
        <v>33.333333333333329</v>
      </c>
      <c r="G2587" s="12" t="str">
        <f t="shared" si="203"/>
        <v>OK</v>
      </c>
      <c r="H2587" s="13">
        <f t="shared" si="204"/>
        <v>6</v>
      </c>
      <c r="I2587" s="14">
        <f t="shared" si="200"/>
        <v>1831.2600000000002</v>
      </c>
      <c r="K2587" t="str">
        <f>[1]!revcom(C2587)</f>
        <v>AATTCC</v>
      </c>
      <c r="L2587">
        <v>5</v>
      </c>
    </row>
    <row r="2588" spans="1:12" ht="15.6" x14ac:dyDescent="0.3">
      <c r="A2588" s="9">
        <v>2577</v>
      </c>
      <c r="B2588" s="1"/>
      <c r="C2588" s="2" t="s">
        <v>2583</v>
      </c>
      <c r="D2588" s="1"/>
      <c r="E2588" s="11">
        <f t="shared" si="201"/>
        <v>30</v>
      </c>
      <c r="F2588" s="12">
        <f t="shared" si="202"/>
        <v>50</v>
      </c>
      <c r="G2588" s="12" t="str">
        <f t="shared" si="203"/>
        <v>OK</v>
      </c>
      <c r="H2588" s="13">
        <f t="shared" si="204"/>
        <v>6</v>
      </c>
      <c r="I2588" s="14">
        <f t="shared" si="200"/>
        <v>1825.27</v>
      </c>
      <c r="K2588" t="str">
        <f>[1]!revcom(C2588)</f>
        <v>TTGTCC</v>
      </c>
      <c r="L2588">
        <v>7</v>
      </c>
    </row>
    <row r="2589" spans="1:12" ht="15.6" x14ac:dyDescent="0.3">
      <c r="A2589" s="9">
        <v>2578</v>
      </c>
      <c r="B2589" s="1"/>
      <c r="C2589" s="2" t="s">
        <v>2584</v>
      </c>
      <c r="D2589" s="1"/>
      <c r="E2589" s="11">
        <f t="shared" si="201"/>
        <v>28</v>
      </c>
      <c r="F2589" s="12">
        <f t="shared" si="202"/>
        <v>66.666666666666657</v>
      </c>
      <c r="G2589" s="12" t="str">
        <f t="shared" si="203"/>
        <v>Warning</v>
      </c>
      <c r="H2589" s="13">
        <f t="shared" si="204"/>
        <v>6</v>
      </c>
      <c r="I2589" s="14">
        <f t="shared" si="200"/>
        <v>1801.2399999999998</v>
      </c>
      <c r="K2589" t="str">
        <f>[1]!revcom(C2589)</f>
        <v>GTGTCC</v>
      </c>
      <c r="L2589">
        <v>7</v>
      </c>
    </row>
    <row r="2590" spans="1:12" ht="15.6" x14ac:dyDescent="0.3">
      <c r="A2590" s="9">
        <v>2579</v>
      </c>
      <c r="B2590" s="1"/>
      <c r="C2590" s="2" t="s">
        <v>2585</v>
      </c>
      <c r="D2590" s="1"/>
      <c r="E2590" s="11">
        <f t="shared" si="201"/>
        <v>28</v>
      </c>
      <c r="F2590" s="12">
        <f t="shared" si="202"/>
        <v>66.666666666666657</v>
      </c>
      <c r="G2590" s="12" t="str">
        <f t="shared" si="203"/>
        <v>Warning</v>
      </c>
      <c r="H2590" s="13">
        <f t="shared" si="204"/>
        <v>6</v>
      </c>
      <c r="I2590" s="14">
        <f t="shared" si="200"/>
        <v>1841.27</v>
      </c>
      <c r="K2590" t="str">
        <f>[1]!revcom(C2590)</f>
        <v>CTGTCC</v>
      </c>
      <c r="L2590">
        <v>7</v>
      </c>
    </row>
    <row r="2591" spans="1:12" ht="15.6" x14ac:dyDescent="0.3">
      <c r="A2591" s="9">
        <v>2580</v>
      </c>
      <c r="B2591" s="1"/>
      <c r="C2591" s="2" t="s">
        <v>2586</v>
      </c>
      <c r="D2591" s="1"/>
      <c r="E2591" s="11">
        <f t="shared" si="201"/>
        <v>22</v>
      </c>
      <c r="F2591" s="12">
        <f t="shared" si="202"/>
        <v>50</v>
      </c>
      <c r="G2591" s="12" t="str">
        <f t="shared" si="203"/>
        <v>OK</v>
      </c>
      <c r="H2591" s="13">
        <f t="shared" si="204"/>
        <v>6</v>
      </c>
      <c r="I2591" s="14">
        <f t="shared" si="200"/>
        <v>1816.25</v>
      </c>
      <c r="K2591" t="str">
        <f>[1]!revcom(C2591)</f>
        <v>ATGTCC</v>
      </c>
      <c r="L2591">
        <v>6</v>
      </c>
    </row>
    <row r="2592" spans="1:12" ht="15.6" x14ac:dyDescent="0.3">
      <c r="A2592" s="9">
        <v>2581</v>
      </c>
      <c r="B2592" s="1"/>
      <c r="C2592" s="2" t="s">
        <v>2587</v>
      </c>
      <c r="D2592" s="1"/>
      <c r="E2592" s="11">
        <f t="shared" si="201"/>
        <v>28</v>
      </c>
      <c r="F2592" s="12">
        <f t="shared" si="202"/>
        <v>66.666666666666657</v>
      </c>
      <c r="G2592" s="12" t="str">
        <f t="shared" si="203"/>
        <v>Warning</v>
      </c>
      <c r="H2592" s="13">
        <f t="shared" si="204"/>
        <v>6</v>
      </c>
      <c r="I2592" s="14">
        <f t="shared" si="200"/>
        <v>1801.2399999999998</v>
      </c>
      <c r="K2592" t="str">
        <f>[1]!revcom(C2592)</f>
        <v>TGGTCC</v>
      </c>
      <c r="L2592">
        <v>7</v>
      </c>
    </row>
    <row r="2593" spans="1:12" ht="15.6" x14ac:dyDescent="0.3">
      <c r="A2593" s="9">
        <v>2582</v>
      </c>
      <c r="B2593" s="1"/>
      <c r="C2593" s="2" t="s">
        <v>2588</v>
      </c>
      <c r="D2593" s="1"/>
      <c r="E2593" s="11">
        <f t="shared" si="201"/>
        <v>26</v>
      </c>
      <c r="F2593" s="12">
        <f t="shared" si="202"/>
        <v>83.333333333333343</v>
      </c>
      <c r="G2593" s="12" t="str">
        <f t="shared" si="203"/>
        <v>Warning</v>
      </c>
      <c r="H2593" s="13">
        <f t="shared" si="204"/>
        <v>6</v>
      </c>
      <c r="I2593" s="14">
        <f t="shared" si="200"/>
        <v>1777.21</v>
      </c>
      <c r="K2593" t="str">
        <f>[1]!revcom(C2593)</f>
        <v>GGGTCC</v>
      </c>
      <c r="L2593">
        <v>7</v>
      </c>
    </row>
    <row r="2594" spans="1:12" ht="15.6" x14ac:dyDescent="0.3">
      <c r="A2594" s="9">
        <v>2583</v>
      </c>
      <c r="B2594" s="1"/>
      <c r="C2594" s="2" t="s">
        <v>2589</v>
      </c>
      <c r="D2594" s="1"/>
      <c r="E2594" s="11">
        <f t="shared" si="201"/>
        <v>26</v>
      </c>
      <c r="F2594" s="12">
        <f t="shared" si="202"/>
        <v>83.333333333333343</v>
      </c>
      <c r="G2594" s="12" t="str">
        <f t="shared" si="203"/>
        <v>Warning</v>
      </c>
      <c r="H2594" s="13">
        <f t="shared" si="204"/>
        <v>6</v>
      </c>
      <c r="I2594" s="14">
        <f t="shared" si="200"/>
        <v>1817.2400000000002</v>
      </c>
      <c r="K2594" t="str">
        <f>[1]!revcom(C2594)</f>
        <v>CGGTCC</v>
      </c>
      <c r="L2594">
        <v>7</v>
      </c>
    </row>
    <row r="2595" spans="1:12" ht="15.6" x14ac:dyDescent="0.3">
      <c r="A2595" s="9">
        <v>2584</v>
      </c>
      <c r="B2595" s="1"/>
      <c r="C2595" s="2" t="s">
        <v>2590</v>
      </c>
      <c r="D2595" s="1"/>
      <c r="E2595" s="11">
        <f t="shared" si="201"/>
        <v>20</v>
      </c>
      <c r="F2595" s="12">
        <f t="shared" si="202"/>
        <v>66.666666666666657</v>
      </c>
      <c r="G2595" s="12" t="str">
        <f t="shared" si="203"/>
        <v>Warning</v>
      </c>
      <c r="H2595" s="13">
        <f t="shared" si="204"/>
        <v>6</v>
      </c>
      <c r="I2595" s="14">
        <f t="shared" si="200"/>
        <v>1792.2199999999998</v>
      </c>
      <c r="K2595" t="str">
        <f>[1]!revcom(C2595)</f>
        <v>AGGTCC</v>
      </c>
      <c r="L2595">
        <v>6</v>
      </c>
    </row>
    <row r="2596" spans="1:12" ht="15.6" x14ac:dyDescent="0.3">
      <c r="A2596" s="9">
        <v>2585</v>
      </c>
      <c r="B2596" s="1"/>
      <c r="C2596" s="2" t="s">
        <v>2591</v>
      </c>
      <c r="D2596" s="1"/>
      <c r="E2596" s="11">
        <f t="shared" si="201"/>
        <v>28</v>
      </c>
      <c r="F2596" s="12">
        <f t="shared" si="202"/>
        <v>66.666666666666657</v>
      </c>
      <c r="G2596" s="12" t="str">
        <f t="shared" si="203"/>
        <v>Warning</v>
      </c>
      <c r="H2596" s="13">
        <f t="shared" si="204"/>
        <v>6</v>
      </c>
      <c r="I2596" s="14">
        <f t="shared" si="200"/>
        <v>1841.27</v>
      </c>
      <c r="K2596" t="str">
        <f>[1]!revcom(C2596)</f>
        <v>TCGTCC</v>
      </c>
      <c r="L2596">
        <v>7</v>
      </c>
    </row>
    <row r="2597" spans="1:12" ht="15.6" x14ac:dyDescent="0.3">
      <c r="A2597" s="9">
        <v>2586</v>
      </c>
      <c r="B2597" s="1"/>
      <c r="C2597" s="2" t="s">
        <v>2592</v>
      </c>
      <c r="D2597" s="1"/>
      <c r="E2597" s="11">
        <f t="shared" si="201"/>
        <v>26</v>
      </c>
      <c r="F2597" s="12">
        <f t="shared" si="202"/>
        <v>83.333333333333343</v>
      </c>
      <c r="G2597" s="12" t="str">
        <f t="shared" si="203"/>
        <v>Warning</v>
      </c>
      <c r="H2597" s="13">
        <f t="shared" si="204"/>
        <v>6</v>
      </c>
      <c r="I2597" s="14">
        <f t="shared" si="200"/>
        <v>1817.2400000000002</v>
      </c>
      <c r="K2597" t="str">
        <f>[1]!revcom(C2597)</f>
        <v>GCGTCC</v>
      </c>
      <c r="L2597">
        <v>7</v>
      </c>
    </row>
    <row r="2598" spans="1:12" ht="15.6" x14ac:dyDescent="0.3">
      <c r="A2598" s="9">
        <v>2587</v>
      </c>
      <c r="B2598" s="1"/>
      <c r="C2598" s="2" t="s">
        <v>2593</v>
      </c>
      <c r="D2598" s="1"/>
      <c r="E2598" s="11">
        <f t="shared" si="201"/>
        <v>26</v>
      </c>
      <c r="F2598" s="12">
        <f t="shared" si="202"/>
        <v>83.333333333333343</v>
      </c>
      <c r="G2598" s="12" t="str">
        <f t="shared" si="203"/>
        <v>Warning</v>
      </c>
      <c r="H2598" s="13">
        <f t="shared" si="204"/>
        <v>6</v>
      </c>
      <c r="I2598" s="14">
        <f t="shared" si="200"/>
        <v>1857.27</v>
      </c>
      <c r="K2598" t="str">
        <f>[1]!revcom(C2598)</f>
        <v>CCGTCC</v>
      </c>
      <c r="L2598">
        <v>7</v>
      </c>
    </row>
    <row r="2599" spans="1:12" ht="15.6" x14ac:dyDescent="0.3">
      <c r="A2599" s="9">
        <v>2588</v>
      </c>
      <c r="B2599" s="1"/>
      <c r="C2599" s="2" t="s">
        <v>2594</v>
      </c>
      <c r="D2599" s="1"/>
      <c r="E2599" s="11">
        <f t="shared" si="201"/>
        <v>20</v>
      </c>
      <c r="F2599" s="12">
        <f t="shared" si="202"/>
        <v>66.666666666666657</v>
      </c>
      <c r="G2599" s="12" t="str">
        <f t="shared" si="203"/>
        <v>Warning</v>
      </c>
      <c r="H2599" s="13">
        <f t="shared" si="204"/>
        <v>6</v>
      </c>
      <c r="I2599" s="14">
        <f t="shared" si="200"/>
        <v>1832.25</v>
      </c>
      <c r="K2599" t="str">
        <f>[1]!revcom(C2599)</f>
        <v>ACGTCC</v>
      </c>
      <c r="L2599">
        <v>6</v>
      </c>
    </row>
    <row r="2600" spans="1:12" ht="15.6" x14ac:dyDescent="0.3">
      <c r="A2600" s="9">
        <v>2589</v>
      </c>
      <c r="B2600" s="1"/>
      <c r="C2600" s="2" t="s">
        <v>2595</v>
      </c>
      <c r="D2600" s="1"/>
      <c r="E2600" s="11">
        <f t="shared" si="201"/>
        <v>22</v>
      </c>
      <c r="F2600" s="12">
        <f t="shared" si="202"/>
        <v>50</v>
      </c>
      <c r="G2600" s="12" t="str">
        <f t="shared" si="203"/>
        <v>OK</v>
      </c>
      <c r="H2600" s="13">
        <f t="shared" si="204"/>
        <v>6</v>
      </c>
      <c r="I2600" s="14">
        <f t="shared" si="200"/>
        <v>1816.25</v>
      </c>
      <c r="K2600" t="str">
        <f>[1]!revcom(C2600)</f>
        <v>TAGTCC</v>
      </c>
      <c r="L2600">
        <v>6</v>
      </c>
    </row>
    <row r="2601" spans="1:12" ht="15.6" x14ac:dyDescent="0.3">
      <c r="A2601" s="9">
        <v>2590</v>
      </c>
      <c r="B2601" s="1"/>
      <c r="C2601" s="2" t="s">
        <v>2596</v>
      </c>
      <c r="D2601" s="1"/>
      <c r="E2601" s="11">
        <f t="shared" si="201"/>
        <v>20</v>
      </c>
      <c r="F2601" s="12">
        <f t="shared" si="202"/>
        <v>66.666666666666657</v>
      </c>
      <c r="G2601" s="12" t="str">
        <f t="shared" si="203"/>
        <v>Warning</v>
      </c>
      <c r="H2601" s="13">
        <f t="shared" si="204"/>
        <v>6</v>
      </c>
      <c r="I2601" s="14">
        <f t="shared" si="200"/>
        <v>1792.2199999999998</v>
      </c>
      <c r="K2601" t="str">
        <f>[1]!revcom(C2601)</f>
        <v>GAGTCC</v>
      </c>
      <c r="L2601">
        <v>6</v>
      </c>
    </row>
    <row r="2602" spans="1:12" ht="15.6" x14ac:dyDescent="0.3">
      <c r="A2602" s="9">
        <v>2591</v>
      </c>
      <c r="B2602" s="1"/>
      <c r="C2602" s="2" t="s">
        <v>2597</v>
      </c>
      <c r="D2602" s="1"/>
      <c r="E2602" s="11">
        <f t="shared" si="201"/>
        <v>20</v>
      </c>
      <c r="F2602" s="12">
        <f t="shared" si="202"/>
        <v>66.666666666666657</v>
      </c>
      <c r="G2602" s="12" t="str">
        <f t="shared" si="203"/>
        <v>Warning</v>
      </c>
      <c r="H2602" s="13">
        <f t="shared" si="204"/>
        <v>6</v>
      </c>
      <c r="I2602" s="14">
        <f t="shared" si="200"/>
        <v>1832.25</v>
      </c>
      <c r="K2602" t="str">
        <f>[1]!revcom(C2602)</f>
        <v>CAGTCC</v>
      </c>
      <c r="L2602">
        <v>6</v>
      </c>
    </row>
    <row r="2603" spans="1:12" ht="15.6" x14ac:dyDescent="0.3">
      <c r="A2603" s="9">
        <v>2592</v>
      </c>
      <c r="B2603" s="1"/>
      <c r="C2603" s="2" t="s">
        <v>2598</v>
      </c>
      <c r="D2603" s="1"/>
      <c r="E2603" s="11">
        <f t="shared" si="201"/>
        <v>14</v>
      </c>
      <c r="F2603" s="12">
        <f t="shared" si="202"/>
        <v>50</v>
      </c>
      <c r="G2603" s="12" t="str">
        <f t="shared" si="203"/>
        <v>OK</v>
      </c>
      <c r="H2603" s="13">
        <f t="shared" si="204"/>
        <v>6</v>
      </c>
      <c r="I2603" s="14">
        <f t="shared" si="200"/>
        <v>1807.23</v>
      </c>
      <c r="K2603" t="str">
        <f>[1]!revcom(C2603)</f>
        <v>AAGTCC</v>
      </c>
      <c r="L2603">
        <v>5</v>
      </c>
    </row>
    <row r="2604" spans="1:12" ht="15.6" x14ac:dyDescent="0.3">
      <c r="A2604" s="9">
        <v>2593</v>
      </c>
      <c r="B2604" s="1"/>
      <c r="C2604" s="2" t="s">
        <v>2599</v>
      </c>
      <c r="D2604" s="1"/>
      <c r="E2604" s="11">
        <f t="shared" si="201"/>
        <v>30</v>
      </c>
      <c r="F2604" s="12">
        <f t="shared" si="202"/>
        <v>50</v>
      </c>
      <c r="G2604" s="12" t="str">
        <f t="shared" si="203"/>
        <v>OK</v>
      </c>
      <c r="H2604" s="13">
        <f t="shared" si="204"/>
        <v>6</v>
      </c>
      <c r="I2604" s="14">
        <f t="shared" si="200"/>
        <v>1865.3000000000002</v>
      </c>
      <c r="K2604" t="str">
        <f>[1]!revcom(C2604)</f>
        <v>TTCTCC</v>
      </c>
      <c r="L2604">
        <v>7</v>
      </c>
    </row>
    <row r="2605" spans="1:12" ht="15.6" x14ac:dyDescent="0.3">
      <c r="A2605" s="9">
        <v>2594</v>
      </c>
      <c r="B2605" s="1"/>
      <c r="C2605" s="2" t="s">
        <v>2600</v>
      </c>
      <c r="D2605" s="1"/>
      <c r="E2605" s="11">
        <f t="shared" si="201"/>
        <v>28</v>
      </c>
      <c r="F2605" s="12">
        <f t="shared" si="202"/>
        <v>66.666666666666657</v>
      </c>
      <c r="G2605" s="12" t="str">
        <f t="shared" si="203"/>
        <v>Warning</v>
      </c>
      <c r="H2605" s="13">
        <f t="shared" si="204"/>
        <v>6</v>
      </c>
      <c r="I2605" s="14">
        <f t="shared" si="200"/>
        <v>1841.27</v>
      </c>
      <c r="K2605" t="str">
        <f>[1]!revcom(C2605)</f>
        <v>GTCTCC</v>
      </c>
      <c r="L2605">
        <v>7</v>
      </c>
    </row>
    <row r="2606" spans="1:12" ht="15.6" x14ac:dyDescent="0.3">
      <c r="A2606" s="9">
        <v>2595</v>
      </c>
      <c r="B2606" s="1"/>
      <c r="C2606" s="2" t="s">
        <v>2601</v>
      </c>
      <c r="D2606" s="1"/>
      <c r="E2606" s="11">
        <f t="shared" si="201"/>
        <v>28</v>
      </c>
      <c r="F2606" s="12">
        <f t="shared" si="202"/>
        <v>66.666666666666657</v>
      </c>
      <c r="G2606" s="12" t="str">
        <f t="shared" si="203"/>
        <v>Warning</v>
      </c>
      <c r="H2606" s="13">
        <f t="shared" si="204"/>
        <v>6</v>
      </c>
      <c r="I2606" s="14">
        <f t="shared" si="200"/>
        <v>1881.3000000000002</v>
      </c>
      <c r="K2606" t="str">
        <f>[1]!revcom(C2606)</f>
        <v>CTCTCC</v>
      </c>
      <c r="L2606">
        <v>7</v>
      </c>
    </row>
    <row r="2607" spans="1:12" ht="15.6" x14ac:dyDescent="0.3">
      <c r="A2607" s="9">
        <v>2596</v>
      </c>
      <c r="B2607" s="1"/>
      <c r="C2607" s="2" t="s">
        <v>2602</v>
      </c>
      <c r="D2607" s="1"/>
      <c r="E2607" s="11">
        <f t="shared" si="201"/>
        <v>22</v>
      </c>
      <c r="F2607" s="12">
        <f t="shared" si="202"/>
        <v>50</v>
      </c>
      <c r="G2607" s="12" t="str">
        <f t="shared" si="203"/>
        <v>OK</v>
      </c>
      <c r="H2607" s="13">
        <f t="shared" si="204"/>
        <v>6</v>
      </c>
      <c r="I2607" s="14">
        <f t="shared" si="200"/>
        <v>1856.2800000000002</v>
      </c>
      <c r="K2607" t="str">
        <f>[1]!revcom(C2607)</f>
        <v>ATCTCC</v>
      </c>
      <c r="L2607">
        <v>6</v>
      </c>
    </row>
    <row r="2608" spans="1:12" ht="15.6" x14ac:dyDescent="0.3">
      <c r="A2608" s="9">
        <v>2597</v>
      </c>
      <c r="B2608" s="1"/>
      <c r="C2608" s="2" t="s">
        <v>2603</v>
      </c>
      <c r="D2608" s="1"/>
      <c r="E2608" s="11">
        <f t="shared" si="201"/>
        <v>28</v>
      </c>
      <c r="F2608" s="12">
        <f t="shared" si="202"/>
        <v>66.666666666666657</v>
      </c>
      <c r="G2608" s="12" t="str">
        <f t="shared" si="203"/>
        <v>Warning</v>
      </c>
      <c r="H2608" s="13">
        <f t="shared" si="204"/>
        <v>6</v>
      </c>
      <c r="I2608" s="14">
        <f t="shared" si="200"/>
        <v>1841.27</v>
      </c>
      <c r="K2608" t="str">
        <f>[1]!revcom(C2608)</f>
        <v>TGCTCC</v>
      </c>
      <c r="L2608">
        <v>7</v>
      </c>
    </row>
    <row r="2609" spans="1:12" ht="15.6" x14ac:dyDescent="0.3">
      <c r="A2609" s="9">
        <v>2598</v>
      </c>
      <c r="B2609" s="1"/>
      <c r="C2609" s="2" t="s">
        <v>2604</v>
      </c>
      <c r="D2609" s="1"/>
      <c r="E2609" s="11">
        <f t="shared" si="201"/>
        <v>26</v>
      </c>
      <c r="F2609" s="12">
        <f t="shared" si="202"/>
        <v>83.333333333333343</v>
      </c>
      <c r="G2609" s="12" t="str">
        <f t="shared" si="203"/>
        <v>Warning</v>
      </c>
      <c r="H2609" s="13">
        <f t="shared" si="204"/>
        <v>6</v>
      </c>
      <c r="I2609" s="14">
        <f t="shared" si="200"/>
        <v>1817.2400000000002</v>
      </c>
      <c r="K2609" t="str">
        <f>[1]!revcom(C2609)</f>
        <v>GGCTCC</v>
      </c>
      <c r="L2609">
        <v>7</v>
      </c>
    </row>
    <row r="2610" spans="1:12" ht="15.6" x14ac:dyDescent="0.3">
      <c r="A2610" s="9">
        <v>2599</v>
      </c>
      <c r="B2610" s="1"/>
      <c r="C2610" s="2" t="s">
        <v>2605</v>
      </c>
      <c r="D2610" s="1"/>
      <c r="E2610" s="11">
        <f t="shared" si="201"/>
        <v>26</v>
      </c>
      <c r="F2610" s="12">
        <f t="shared" si="202"/>
        <v>83.333333333333343</v>
      </c>
      <c r="G2610" s="12" t="str">
        <f t="shared" si="203"/>
        <v>Warning</v>
      </c>
      <c r="H2610" s="13">
        <f t="shared" si="204"/>
        <v>6</v>
      </c>
      <c r="I2610" s="14">
        <f t="shared" si="200"/>
        <v>1857.27</v>
      </c>
      <c r="K2610" t="str">
        <f>[1]!revcom(C2610)</f>
        <v>CGCTCC</v>
      </c>
      <c r="L2610">
        <v>7</v>
      </c>
    </row>
    <row r="2611" spans="1:12" ht="15.6" x14ac:dyDescent="0.3">
      <c r="A2611" s="9">
        <v>2600</v>
      </c>
      <c r="B2611" s="1"/>
      <c r="C2611" s="2" t="s">
        <v>2606</v>
      </c>
      <c r="D2611" s="1"/>
      <c r="E2611" s="11">
        <f t="shared" si="201"/>
        <v>20</v>
      </c>
      <c r="F2611" s="12">
        <f t="shared" si="202"/>
        <v>66.666666666666657</v>
      </c>
      <c r="G2611" s="12" t="str">
        <f t="shared" si="203"/>
        <v>Warning</v>
      </c>
      <c r="H2611" s="13">
        <f t="shared" si="204"/>
        <v>6</v>
      </c>
      <c r="I2611" s="14">
        <f t="shared" si="200"/>
        <v>1832.25</v>
      </c>
      <c r="K2611" t="str">
        <f>[1]!revcom(C2611)</f>
        <v>AGCTCC</v>
      </c>
      <c r="L2611">
        <v>6</v>
      </c>
    </row>
    <row r="2612" spans="1:12" ht="15.6" x14ac:dyDescent="0.3">
      <c r="A2612" s="9">
        <v>2601</v>
      </c>
      <c r="B2612" s="1"/>
      <c r="C2612" s="2" t="s">
        <v>2607</v>
      </c>
      <c r="D2612" s="1"/>
      <c r="E2612" s="11">
        <f t="shared" si="201"/>
        <v>28</v>
      </c>
      <c r="F2612" s="12">
        <f t="shared" si="202"/>
        <v>66.666666666666657</v>
      </c>
      <c r="G2612" s="12" t="str">
        <f t="shared" si="203"/>
        <v>Warning</v>
      </c>
      <c r="H2612" s="13">
        <f t="shared" si="204"/>
        <v>6</v>
      </c>
      <c r="I2612" s="14">
        <f t="shared" si="200"/>
        <v>1881.3000000000002</v>
      </c>
      <c r="K2612" t="str">
        <f>[1]!revcom(C2612)</f>
        <v>TCCTCC</v>
      </c>
      <c r="L2612">
        <v>7</v>
      </c>
    </row>
    <row r="2613" spans="1:12" ht="15.6" x14ac:dyDescent="0.3">
      <c r="A2613" s="9">
        <v>2602</v>
      </c>
      <c r="B2613" s="1"/>
      <c r="C2613" s="2" t="s">
        <v>2608</v>
      </c>
      <c r="D2613" s="1"/>
      <c r="E2613" s="11">
        <f t="shared" si="201"/>
        <v>26</v>
      </c>
      <c r="F2613" s="12">
        <f t="shared" si="202"/>
        <v>83.333333333333343</v>
      </c>
      <c r="G2613" s="12" t="str">
        <f t="shared" si="203"/>
        <v>Warning</v>
      </c>
      <c r="H2613" s="13">
        <f t="shared" si="204"/>
        <v>6</v>
      </c>
      <c r="I2613" s="14">
        <f t="shared" si="200"/>
        <v>1857.27</v>
      </c>
      <c r="K2613" t="str">
        <f>[1]!revcom(C2613)</f>
        <v>GCCTCC</v>
      </c>
      <c r="L2613">
        <v>7</v>
      </c>
    </row>
    <row r="2614" spans="1:12" ht="15.6" x14ac:dyDescent="0.3">
      <c r="A2614" s="9">
        <v>2603</v>
      </c>
      <c r="B2614" s="1"/>
      <c r="C2614" s="2" t="s">
        <v>2609</v>
      </c>
      <c r="D2614" s="1"/>
      <c r="E2614" s="11">
        <f t="shared" si="201"/>
        <v>26</v>
      </c>
      <c r="F2614" s="12">
        <f t="shared" si="202"/>
        <v>83.333333333333343</v>
      </c>
      <c r="G2614" s="12" t="str">
        <f t="shared" si="203"/>
        <v>Warning</v>
      </c>
      <c r="H2614" s="13">
        <f t="shared" si="204"/>
        <v>6</v>
      </c>
      <c r="I2614" s="14">
        <f t="shared" si="200"/>
        <v>1897.3000000000002</v>
      </c>
      <c r="K2614" t="str">
        <f>[1]!revcom(C2614)</f>
        <v>CCCTCC</v>
      </c>
      <c r="L2614">
        <v>7</v>
      </c>
    </row>
    <row r="2615" spans="1:12" ht="15.6" x14ac:dyDescent="0.3">
      <c r="A2615" s="9">
        <v>2604</v>
      </c>
      <c r="B2615" s="1"/>
      <c r="C2615" s="2" t="s">
        <v>2610</v>
      </c>
      <c r="D2615" s="1"/>
      <c r="E2615" s="11">
        <f t="shared" si="201"/>
        <v>20</v>
      </c>
      <c r="F2615" s="12">
        <f t="shared" si="202"/>
        <v>66.666666666666657</v>
      </c>
      <c r="G2615" s="12" t="str">
        <f t="shared" si="203"/>
        <v>Warning</v>
      </c>
      <c r="H2615" s="13">
        <f t="shared" si="204"/>
        <v>6</v>
      </c>
      <c r="I2615" s="14">
        <f t="shared" si="200"/>
        <v>1872.2800000000002</v>
      </c>
      <c r="K2615" t="str">
        <f>[1]!revcom(C2615)</f>
        <v>ACCTCC</v>
      </c>
      <c r="L2615">
        <v>6</v>
      </c>
    </row>
    <row r="2616" spans="1:12" ht="15.6" x14ac:dyDescent="0.3">
      <c r="A2616" s="9">
        <v>2605</v>
      </c>
      <c r="B2616" s="1"/>
      <c r="C2616" s="2" t="s">
        <v>2611</v>
      </c>
      <c r="D2616" s="1"/>
      <c r="E2616" s="11">
        <f t="shared" si="201"/>
        <v>22</v>
      </c>
      <c r="F2616" s="12">
        <f t="shared" si="202"/>
        <v>50</v>
      </c>
      <c r="G2616" s="12" t="str">
        <f t="shared" si="203"/>
        <v>OK</v>
      </c>
      <c r="H2616" s="13">
        <f t="shared" si="204"/>
        <v>6</v>
      </c>
      <c r="I2616" s="14">
        <f t="shared" si="200"/>
        <v>1856.2800000000002</v>
      </c>
      <c r="K2616" t="str">
        <f>[1]!revcom(C2616)</f>
        <v>TACTCC</v>
      </c>
      <c r="L2616">
        <v>6</v>
      </c>
    </row>
    <row r="2617" spans="1:12" ht="15.6" x14ac:dyDescent="0.3">
      <c r="A2617" s="9">
        <v>2606</v>
      </c>
      <c r="B2617" s="1"/>
      <c r="C2617" s="2" t="s">
        <v>2612</v>
      </c>
      <c r="D2617" s="1"/>
      <c r="E2617" s="11">
        <f t="shared" si="201"/>
        <v>20</v>
      </c>
      <c r="F2617" s="12">
        <f t="shared" si="202"/>
        <v>66.666666666666657</v>
      </c>
      <c r="G2617" s="12" t="str">
        <f t="shared" si="203"/>
        <v>Warning</v>
      </c>
      <c r="H2617" s="13">
        <f t="shared" si="204"/>
        <v>6</v>
      </c>
      <c r="I2617" s="14">
        <f t="shared" si="200"/>
        <v>1832.25</v>
      </c>
      <c r="K2617" t="str">
        <f>[1]!revcom(C2617)</f>
        <v>GACTCC</v>
      </c>
      <c r="L2617">
        <v>6</v>
      </c>
    </row>
    <row r="2618" spans="1:12" ht="15.6" x14ac:dyDescent="0.3">
      <c r="A2618" s="9">
        <v>2607</v>
      </c>
      <c r="B2618" s="1"/>
      <c r="C2618" s="2" t="s">
        <v>2613</v>
      </c>
      <c r="D2618" s="1"/>
      <c r="E2618" s="11">
        <f t="shared" si="201"/>
        <v>20</v>
      </c>
      <c r="F2618" s="12">
        <f t="shared" si="202"/>
        <v>66.666666666666657</v>
      </c>
      <c r="G2618" s="12" t="str">
        <f t="shared" si="203"/>
        <v>Warning</v>
      </c>
      <c r="H2618" s="13">
        <f t="shared" si="204"/>
        <v>6</v>
      </c>
      <c r="I2618" s="14">
        <f t="shared" si="200"/>
        <v>1872.2800000000002</v>
      </c>
      <c r="K2618" t="str">
        <f>[1]!revcom(C2618)</f>
        <v>CACTCC</v>
      </c>
      <c r="L2618">
        <v>6</v>
      </c>
    </row>
    <row r="2619" spans="1:12" ht="15.6" x14ac:dyDescent="0.3">
      <c r="A2619" s="9">
        <v>2608</v>
      </c>
      <c r="B2619" s="1"/>
      <c r="C2619" s="2" t="s">
        <v>2614</v>
      </c>
      <c r="D2619" s="1"/>
      <c r="E2619" s="11">
        <f t="shared" si="201"/>
        <v>14</v>
      </c>
      <c r="F2619" s="12">
        <f t="shared" si="202"/>
        <v>50</v>
      </c>
      <c r="G2619" s="12" t="str">
        <f t="shared" si="203"/>
        <v>OK</v>
      </c>
      <c r="H2619" s="13">
        <f t="shared" si="204"/>
        <v>6</v>
      </c>
      <c r="I2619" s="14">
        <f t="shared" si="200"/>
        <v>1847.2600000000002</v>
      </c>
      <c r="K2619" t="str">
        <f>[1]!revcom(C2619)</f>
        <v>AACTCC</v>
      </c>
      <c r="L2619">
        <v>5</v>
      </c>
    </row>
    <row r="2620" spans="1:12" ht="15.6" x14ac:dyDescent="0.3">
      <c r="A2620" s="9">
        <v>2609</v>
      </c>
      <c r="B2620" s="1"/>
      <c r="C2620" s="2" t="s">
        <v>2615</v>
      </c>
      <c r="D2620" s="1"/>
      <c r="E2620" s="11">
        <f t="shared" si="201"/>
        <v>24</v>
      </c>
      <c r="F2620" s="12">
        <f t="shared" si="202"/>
        <v>33.333333333333329</v>
      </c>
      <c r="G2620" s="12" t="str">
        <f t="shared" si="203"/>
        <v>OK</v>
      </c>
      <c r="H2620" s="13">
        <f t="shared" si="204"/>
        <v>6</v>
      </c>
      <c r="I2620" s="14">
        <f t="shared" si="200"/>
        <v>1840.2800000000002</v>
      </c>
      <c r="K2620" t="str">
        <f>[1]!revcom(C2620)</f>
        <v>TTATCC</v>
      </c>
      <c r="L2620">
        <v>6</v>
      </c>
    </row>
    <row r="2621" spans="1:12" ht="15.6" x14ac:dyDescent="0.3">
      <c r="A2621" s="9">
        <v>2610</v>
      </c>
      <c r="B2621" s="1"/>
      <c r="C2621" s="2" t="s">
        <v>2616</v>
      </c>
      <c r="D2621" s="1"/>
      <c r="E2621" s="11">
        <f t="shared" si="201"/>
        <v>22</v>
      </c>
      <c r="F2621" s="12">
        <f t="shared" si="202"/>
        <v>50</v>
      </c>
      <c r="G2621" s="12" t="str">
        <f t="shared" si="203"/>
        <v>OK</v>
      </c>
      <c r="H2621" s="13">
        <f t="shared" si="204"/>
        <v>6</v>
      </c>
      <c r="I2621" s="14">
        <f t="shared" si="200"/>
        <v>1816.25</v>
      </c>
      <c r="K2621" t="str">
        <f>[1]!revcom(C2621)</f>
        <v>GTATCC</v>
      </c>
      <c r="L2621">
        <v>6</v>
      </c>
    </row>
    <row r="2622" spans="1:12" ht="15.6" x14ac:dyDescent="0.3">
      <c r="A2622" s="9">
        <v>2611</v>
      </c>
      <c r="B2622" s="1"/>
      <c r="C2622" s="2" t="s">
        <v>2617</v>
      </c>
      <c r="D2622" s="1"/>
      <c r="E2622" s="11">
        <f t="shared" si="201"/>
        <v>22</v>
      </c>
      <c r="F2622" s="12">
        <f t="shared" si="202"/>
        <v>50</v>
      </c>
      <c r="G2622" s="12" t="str">
        <f t="shared" si="203"/>
        <v>OK</v>
      </c>
      <c r="H2622" s="13">
        <f t="shared" si="204"/>
        <v>6</v>
      </c>
      <c r="I2622" s="14">
        <f t="shared" si="200"/>
        <v>1856.2800000000002</v>
      </c>
      <c r="K2622" t="str">
        <f>[1]!revcom(C2622)</f>
        <v>CTATCC</v>
      </c>
      <c r="L2622">
        <v>6</v>
      </c>
    </row>
    <row r="2623" spans="1:12" ht="15.6" x14ac:dyDescent="0.3">
      <c r="A2623" s="9">
        <v>2612</v>
      </c>
      <c r="B2623" s="1"/>
      <c r="C2623" s="2" t="s">
        <v>2618</v>
      </c>
      <c r="D2623" s="1"/>
      <c r="E2623" s="11">
        <f t="shared" si="201"/>
        <v>16</v>
      </c>
      <c r="F2623" s="12">
        <f t="shared" si="202"/>
        <v>33.333333333333329</v>
      </c>
      <c r="G2623" s="12" t="str">
        <f t="shared" si="203"/>
        <v>OK</v>
      </c>
      <c r="H2623" s="13">
        <f t="shared" si="204"/>
        <v>6</v>
      </c>
      <c r="I2623" s="14">
        <f t="shared" si="200"/>
        <v>1831.2600000000002</v>
      </c>
      <c r="K2623" t="str">
        <f>[1]!revcom(C2623)</f>
        <v>ATATCC</v>
      </c>
      <c r="L2623">
        <v>5</v>
      </c>
    </row>
    <row r="2624" spans="1:12" ht="15.6" x14ac:dyDescent="0.3">
      <c r="A2624" s="9">
        <v>2613</v>
      </c>
      <c r="B2624" s="1"/>
      <c r="C2624" s="2" t="s">
        <v>2619</v>
      </c>
      <c r="D2624" s="1"/>
      <c r="E2624" s="11">
        <f t="shared" si="201"/>
        <v>22</v>
      </c>
      <c r="F2624" s="12">
        <f t="shared" si="202"/>
        <v>50</v>
      </c>
      <c r="G2624" s="12" t="str">
        <f t="shared" si="203"/>
        <v>OK</v>
      </c>
      <c r="H2624" s="13">
        <f t="shared" si="204"/>
        <v>6</v>
      </c>
      <c r="I2624" s="14">
        <f t="shared" si="200"/>
        <v>1816.25</v>
      </c>
      <c r="K2624" t="str">
        <f>[1]!revcom(C2624)</f>
        <v>TGATCC</v>
      </c>
      <c r="L2624">
        <v>6</v>
      </c>
    </row>
    <row r="2625" spans="1:12" ht="15.6" x14ac:dyDescent="0.3">
      <c r="A2625" s="9">
        <v>2614</v>
      </c>
      <c r="B2625" s="1"/>
      <c r="C2625" s="2" t="s">
        <v>2620</v>
      </c>
      <c r="D2625" s="1"/>
      <c r="E2625" s="11">
        <f t="shared" si="201"/>
        <v>20</v>
      </c>
      <c r="F2625" s="12">
        <f t="shared" si="202"/>
        <v>66.666666666666657</v>
      </c>
      <c r="G2625" s="12" t="str">
        <f t="shared" si="203"/>
        <v>Warning</v>
      </c>
      <c r="H2625" s="13">
        <f t="shared" si="204"/>
        <v>6</v>
      </c>
      <c r="I2625" s="14">
        <f t="shared" si="200"/>
        <v>1792.2199999999998</v>
      </c>
      <c r="K2625" t="str">
        <f>[1]!revcom(C2625)</f>
        <v>GGATCC</v>
      </c>
      <c r="L2625">
        <v>6</v>
      </c>
    </row>
    <row r="2626" spans="1:12" ht="15.6" x14ac:dyDescent="0.3">
      <c r="A2626" s="9">
        <v>2615</v>
      </c>
      <c r="B2626" s="1"/>
      <c r="C2626" s="2" t="s">
        <v>2621</v>
      </c>
      <c r="D2626" s="1"/>
      <c r="E2626" s="11">
        <f t="shared" si="201"/>
        <v>20</v>
      </c>
      <c r="F2626" s="12">
        <f t="shared" si="202"/>
        <v>66.666666666666657</v>
      </c>
      <c r="G2626" s="12" t="str">
        <f t="shared" si="203"/>
        <v>Warning</v>
      </c>
      <c r="H2626" s="13">
        <f t="shared" si="204"/>
        <v>6</v>
      </c>
      <c r="I2626" s="14">
        <f t="shared" si="200"/>
        <v>1832.25</v>
      </c>
      <c r="K2626" t="str">
        <f>[1]!revcom(C2626)</f>
        <v>CGATCC</v>
      </c>
      <c r="L2626">
        <v>6</v>
      </c>
    </row>
    <row r="2627" spans="1:12" ht="15.6" x14ac:dyDescent="0.3">
      <c r="A2627" s="9">
        <v>2616</v>
      </c>
      <c r="B2627" s="1"/>
      <c r="C2627" s="2" t="s">
        <v>2622</v>
      </c>
      <c r="D2627" s="1"/>
      <c r="E2627" s="11">
        <f t="shared" si="201"/>
        <v>14</v>
      </c>
      <c r="F2627" s="12">
        <f t="shared" si="202"/>
        <v>50</v>
      </c>
      <c r="G2627" s="12" t="str">
        <f t="shared" si="203"/>
        <v>OK</v>
      </c>
      <c r="H2627" s="13">
        <f t="shared" si="204"/>
        <v>6</v>
      </c>
      <c r="I2627" s="14">
        <f t="shared" si="200"/>
        <v>1807.23</v>
      </c>
      <c r="K2627" t="str">
        <f>[1]!revcom(C2627)</f>
        <v>AGATCC</v>
      </c>
      <c r="L2627">
        <v>5</v>
      </c>
    </row>
    <row r="2628" spans="1:12" ht="15.6" x14ac:dyDescent="0.3">
      <c r="A2628" s="9">
        <v>2617</v>
      </c>
      <c r="B2628" s="1"/>
      <c r="C2628" s="2" t="s">
        <v>2623</v>
      </c>
      <c r="D2628" s="1"/>
      <c r="E2628" s="11">
        <f t="shared" si="201"/>
        <v>22</v>
      </c>
      <c r="F2628" s="12">
        <f t="shared" si="202"/>
        <v>50</v>
      </c>
      <c r="G2628" s="12" t="str">
        <f t="shared" si="203"/>
        <v>OK</v>
      </c>
      <c r="H2628" s="13">
        <f t="shared" si="204"/>
        <v>6</v>
      </c>
      <c r="I2628" s="14">
        <f t="shared" si="200"/>
        <v>1856.2800000000002</v>
      </c>
      <c r="K2628" t="str">
        <f>[1]!revcom(C2628)</f>
        <v>TCATCC</v>
      </c>
      <c r="L2628">
        <v>6</v>
      </c>
    </row>
    <row r="2629" spans="1:12" ht="15.6" x14ac:dyDescent="0.3">
      <c r="A2629" s="9">
        <v>2618</v>
      </c>
      <c r="B2629" s="1"/>
      <c r="C2629" s="2" t="s">
        <v>2624</v>
      </c>
      <c r="D2629" s="1"/>
      <c r="E2629" s="11">
        <f t="shared" si="201"/>
        <v>20</v>
      </c>
      <c r="F2629" s="12">
        <f t="shared" si="202"/>
        <v>66.666666666666657</v>
      </c>
      <c r="G2629" s="12" t="str">
        <f t="shared" si="203"/>
        <v>Warning</v>
      </c>
      <c r="H2629" s="13">
        <f t="shared" si="204"/>
        <v>6</v>
      </c>
      <c r="I2629" s="14">
        <f t="shared" si="200"/>
        <v>1832.25</v>
      </c>
      <c r="K2629" t="str">
        <f>[1]!revcom(C2629)</f>
        <v>GCATCC</v>
      </c>
      <c r="L2629">
        <v>6</v>
      </c>
    </row>
    <row r="2630" spans="1:12" ht="15.6" x14ac:dyDescent="0.3">
      <c r="A2630" s="9">
        <v>2619</v>
      </c>
      <c r="B2630" s="1"/>
      <c r="C2630" s="2" t="s">
        <v>2625</v>
      </c>
      <c r="D2630" s="1"/>
      <c r="E2630" s="11">
        <f t="shared" si="201"/>
        <v>20</v>
      </c>
      <c r="F2630" s="12">
        <f t="shared" si="202"/>
        <v>66.666666666666657</v>
      </c>
      <c r="G2630" s="12" t="str">
        <f t="shared" si="203"/>
        <v>Warning</v>
      </c>
      <c r="H2630" s="13">
        <f t="shared" si="204"/>
        <v>6</v>
      </c>
      <c r="I2630" s="14">
        <f t="shared" si="200"/>
        <v>1872.2800000000002</v>
      </c>
      <c r="K2630" t="str">
        <f>[1]!revcom(C2630)</f>
        <v>CCATCC</v>
      </c>
      <c r="L2630">
        <v>6</v>
      </c>
    </row>
    <row r="2631" spans="1:12" ht="15.6" x14ac:dyDescent="0.3">
      <c r="A2631" s="9">
        <v>2620</v>
      </c>
      <c r="B2631" s="1"/>
      <c r="C2631" s="2" t="s">
        <v>2626</v>
      </c>
      <c r="D2631" s="1"/>
      <c r="E2631" s="11">
        <f t="shared" si="201"/>
        <v>14</v>
      </c>
      <c r="F2631" s="12">
        <f t="shared" si="202"/>
        <v>50</v>
      </c>
      <c r="G2631" s="12" t="str">
        <f t="shared" si="203"/>
        <v>OK</v>
      </c>
      <c r="H2631" s="13">
        <f t="shared" si="204"/>
        <v>6</v>
      </c>
      <c r="I2631" s="14">
        <f t="shared" si="200"/>
        <v>1847.2600000000002</v>
      </c>
      <c r="K2631" t="str">
        <f>[1]!revcom(C2631)</f>
        <v>ACATCC</v>
      </c>
      <c r="L2631">
        <v>5</v>
      </c>
    </row>
    <row r="2632" spans="1:12" ht="15.6" x14ac:dyDescent="0.3">
      <c r="A2632" s="9">
        <v>2621</v>
      </c>
      <c r="B2632" s="1"/>
      <c r="C2632" s="2" t="s">
        <v>2627</v>
      </c>
      <c r="D2632" s="1"/>
      <c r="E2632" s="11">
        <f t="shared" si="201"/>
        <v>16</v>
      </c>
      <c r="F2632" s="12">
        <f t="shared" si="202"/>
        <v>33.333333333333329</v>
      </c>
      <c r="G2632" s="12" t="str">
        <f t="shared" si="203"/>
        <v>OK</v>
      </c>
      <c r="H2632" s="13">
        <f t="shared" si="204"/>
        <v>6</v>
      </c>
      <c r="I2632" s="14">
        <f t="shared" si="200"/>
        <v>1831.2600000000002</v>
      </c>
      <c r="K2632" t="str">
        <f>[1]!revcom(C2632)</f>
        <v>TAATCC</v>
      </c>
      <c r="L2632">
        <v>5</v>
      </c>
    </row>
    <row r="2633" spans="1:12" ht="15.6" x14ac:dyDescent="0.3">
      <c r="A2633" s="9">
        <v>2622</v>
      </c>
      <c r="B2633" s="1"/>
      <c r="C2633" s="2" t="s">
        <v>2628</v>
      </c>
      <c r="D2633" s="1"/>
      <c r="E2633" s="11">
        <f t="shared" si="201"/>
        <v>14</v>
      </c>
      <c r="F2633" s="12">
        <f t="shared" si="202"/>
        <v>50</v>
      </c>
      <c r="G2633" s="12" t="str">
        <f t="shared" si="203"/>
        <v>OK</v>
      </c>
      <c r="H2633" s="13">
        <f t="shared" si="204"/>
        <v>6</v>
      </c>
      <c r="I2633" s="14">
        <f t="shared" si="200"/>
        <v>1807.23</v>
      </c>
      <c r="K2633" t="str">
        <f>[1]!revcom(C2633)</f>
        <v>GAATCC</v>
      </c>
      <c r="L2633">
        <v>5</v>
      </c>
    </row>
    <row r="2634" spans="1:12" ht="15.6" x14ac:dyDescent="0.3">
      <c r="A2634" s="9">
        <v>2623</v>
      </c>
      <c r="B2634" s="1"/>
      <c r="C2634" s="2" t="s">
        <v>2629</v>
      </c>
      <c r="D2634" s="1"/>
      <c r="E2634" s="11">
        <f t="shared" si="201"/>
        <v>14</v>
      </c>
      <c r="F2634" s="12">
        <f t="shared" si="202"/>
        <v>50</v>
      </c>
      <c r="G2634" s="12" t="str">
        <f t="shared" si="203"/>
        <v>OK</v>
      </c>
      <c r="H2634" s="13">
        <f t="shared" si="204"/>
        <v>6</v>
      </c>
      <c r="I2634" s="14">
        <f t="shared" si="200"/>
        <v>1847.2600000000002</v>
      </c>
      <c r="K2634" t="str">
        <f>[1]!revcom(C2634)</f>
        <v>CAATCC</v>
      </c>
      <c r="L2634">
        <v>5</v>
      </c>
    </row>
    <row r="2635" spans="1:12" ht="15.6" x14ac:dyDescent="0.3">
      <c r="A2635" s="9">
        <v>2624</v>
      </c>
      <c r="B2635" s="1"/>
      <c r="C2635" s="2" t="s">
        <v>2630</v>
      </c>
      <c r="D2635" s="1"/>
      <c r="E2635" s="11">
        <f t="shared" si="201"/>
        <v>8</v>
      </c>
      <c r="F2635" s="12">
        <f t="shared" si="202"/>
        <v>33.333333333333329</v>
      </c>
      <c r="G2635" s="12" t="str">
        <f t="shared" si="203"/>
        <v>OK</v>
      </c>
      <c r="H2635" s="13">
        <f t="shared" si="204"/>
        <v>6</v>
      </c>
      <c r="I2635" s="14">
        <f t="shared" si="200"/>
        <v>1822.2400000000002</v>
      </c>
      <c r="K2635" t="str">
        <f>[1]!revcom(C2635)</f>
        <v>AAATCC</v>
      </c>
      <c r="L2635">
        <v>4</v>
      </c>
    </row>
    <row r="2636" spans="1:12" ht="15.6" x14ac:dyDescent="0.3">
      <c r="A2636" s="9">
        <v>2625</v>
      </c>
      <c r="B2636" s="1"/>
      <c r="C2636" s="2" t="s">
        <v>2631</v>
      </c>
      <c r="D2636" s="1"/>
      <c r="E2636" s="11">
        <f t="shared" si="201"/>
        <v>30</v>
      </c>
      <c r="F2636" s="12">
        <f t="shared" si="202"/>
        <v>50</v>
      </c>
      <c r="G2636" s="12" t="str">
        <f t="shared" si="203"/>
        <v>OK</v>
      </c>
      <c r="H2636" s="13">
        <f t="shared" si="204"/>
        <v>6</v>
      </c>
      <c r="I2636" s="14">
        <f t="shared" si="200"/>
        <v>1825.27</v>
      </c>
      <c r="K2636" t="str">
        <f>[1]!revcom(C2636)</f>
        <v>TTTGCC</v>
      </c>
      <c r="L2636">
        <v>7</v>
      </c>
    </row>
    <row r="2637" spans="1:12" ht="15.6" x14ac:dyDescent="0.3">
      <c r="A2637" s="9">
        <v>2626</v>
      </c>
      <c r="B2637" s="1"/>
      <c r="C2637" s="2" t="s">
        <v>2632</v>
      </c>
      <c r="D2637" s="1"/>
      <c r="E2637" s="11">
        <f t="shared" si="201"/>
        <v>28</v>
      </c>
      <c r="F2637" s="12">
        <f t="shared" si="202"/>
        <v>66.666666666666657</v>
      </c>
      <c r="G2637" s="12" t="str">
        <f t="shared" si="203"/>
        <v>Warning</v>
      </c>
      <c r="H2637" s="13">
        <f t="shared" si="204"/>
        <v>6</v>
      </c>
      <c r="I2637" s="14">
        <f t="shared" ref="I2637:I2700" si="205">((LEN(C2637)-(LEN(SUBSTITUTE(C2637,"A",""))))*249.23)+((LEN(C2637)-(LEN(SUBSTITUTE(C2637,"T",""))))*240.21)+((LEN(C2637)-(LEN(SUBSTITUTE(C2637,"C",""))))*225.2)+((LEN(C2637)-(LEN(SUBSTITUTE(C2637,"G",""))))*265.23)+(63.98*(LEN(C2637)-1)+(2.02))</f>
        <v>1801.2399999999998</v>
      </c>
      <c r="K2637" t="str">
        <f>[1]!revcom(C2637)</f>
        <v>GTTGCC</v>
      </c>
      <c r="L2637">
        <v>7</v>
      </c>
    </row>
    <row r="2638" spans="1:12" ht="15.6" x14ac:dyDescent="0.3">
      <c r="A2638" s="9">
        <v>2627</v>
      </c>
      <c r="B2638" s="1"/>
      <c r="C2638" s="2" t="s">
        <v>2633</v>
      </c>
      <c r="D2638" s="1"/>
      <c r="E2638" s="11">
        <f t="shared" ref="E2638:E2701" si="206">IF(LEN(C2638)&gt;15,(69.3+((41*((LEN(C2638)-(((LEN(C2638)-(LEN(SUBSTITUTE(C2638,"A",""))))+((LEN(C2638)-(LEN(SUBSTITUTE(C2638,"T","")))))))))/(LEN(C2638)))-(650/(LEN(C2638))))),(2*((LEN(C2638)-(((LEN(C2638)-(LEN(SUBSTITUTE(C2638,"C",""))))+((LEN(C2638)-(LEN(SUBSTITUTE(C2638,"G",""))))))))))+(4*((LEN(C2638)-(((LEN(C2638)-(LEN(SUBSTITUTE(C2638,"T",""))))+((LEN(C2638)-(LEN(SUBSTITUTE(C2638,"T","")))))))))))</f>
        <v>28</v>
      </c>
      <c r="F2638" s="12">
        <f t="shared" ref="F2638:F2701" si="207">((LEN(C2638)- LEN(SUBSTITUTE(C2638,"G","")))+(LEN(C2638)- LEN(SUBSTITUTE(C2638,"C",""))) )/LEN(C2638)*100</f>
        <v>66.666666666666657</v>
      </c>
      <c r="G2638" s="12" t="str">
        <f t="shared" ref="G2638:G2701" si="208">IF((-5+((LEN(SUBSTITUTE(RIGHT(C2638,5),"C","")))+((LEN(SUBSTITUTE(RIGHT(C2638,5),"G",""))))))&gt;=3,"OK","Warning")</f>
        <v>Warning</v>
      </c>
      <c r="H2638" s="13">
        <f t="shared" ref="H2638:H2701" si="209">LEN(C2638)</f>
        <v>6</v>
      </c>
      <c r="I2638" s="14">
        <f t="shared" si="205"/>
        <v>1841.27</v>
      </c>
      <c r="K2638" t="str">
        <f>[1]!revcom(C2638)</f>
        <v>CTTGCC</v>
      </c>
      <c r="L2638">
        <v>7</v>
      </c>
    </row>
    <row r="2639" spans="1:12" ht="15.6" x14ac:dyDescent="0.3">
      <c r="A2639" s="9">
        <v>2628</v>
      </c>
      <c r="B2639" s="1"/>
      <c r="C2639" s="2" t="s">
        <v>2634</v>
      </c>
      <c r="D2639" s="1"/>
      <c r="E2639" s="11">
        <f t="shared" si="206"/>
        <v>22</v>
      </c>
      <c r="F2639" s="12">
        <f t="shared" si="207"/>
        <v>50</v>
      </c>
      <c r="G2639" s="12" t="str">
        <f t="shared" si="208"/>
        <v>OK</v>
      </c>
      <c r="H2639" s="13">
        <f t="shared" si="209"/>
        <v>6</v>
      </c>
      <c r="I2639" s="14">
        <f t="shared" si="205"/>
        <v>1816.25</v>
      </c>
      <c r="K2639" t="str">
        <f>[1]!revcom(C2639)</f>
        <v>ATTGCC</v>
      </c>
      <c r="L2639">
        <v>6</v>
      </c>
    </row>
    <row r="2640" spans="1:12" ht="15.6" x14ac:dyDescent="0.3">
      <c r="A2640" s="9">
        <v>2629</v>
      </c>
      <c r="B2640" s="1"/>
      <c r="C2640" s="2" t="s">
        <v>2635</v>
      </c>
      <c r="D2640" s="1"/>
      <c r="E2640" s="11">
        <f t="shared" si="206"/>
        <v>28</v>
      </c>
      <c r="F2640" s="12">
        <f t="shared" si="207"/>
        <v>66.666666666666657</v>
      </c>
      <c r="G2640" s="12" t="str">
        <f t="shared" si="208"/>
        <v>Warning</v>
      </c>
      <c r="H2640" s="13">
        <f t="shared" si="209"/>
        <v>6</v>
      </c>
      <c r="I2640" s="14">
        <f t="shared" si="205"/>
        <v>1801.2399999999998</v>
      </c>
      <c r="K2640" t="str">
        <f>[1]!revcom(C2640)</f>
        <v>TGTGCC</v>
      </c>
      <c r="L2640">
        <v>7</v>
      </c>
    </row>
    <row r="2641" spans="1:12" ht="15.6" x14ac:dyDescent="0.3">
      <c r="A2641" s="9">
        <v>2630</v>
      </c>
      <c r="B2641" s="1"/>
      <c r="C2641" s="2" t="s">
        <v>2636</v>
      </c>
      <c r="D2641" s="1"/>
      <c r="E2641" s="11">
        <f t="shared" si="206"/>
        <v>26</v>
      </c>
      <c r="F2641" s="12">
        <f t="shared" si="207"/>
        <v>83.333333333333343</v>
      </c>
      <c r="G2641" s="12" t="str">
        <f t="shared" si="208"/>
        <v>Warning</v>
      </c>
      <c r="H2641" s="13">
        <f t="shared" si="209"/>
        <v>6</v>
      </c>
      <c r="I2641" s="14">
        <f t="shared" si="205"/>
        <v>1777.21</v>
      </c>
      <c r="K2641" t="str">
        <f>[1]!revcom(C2641)</f>
        <v>GGTGCC</v>
      </c>
      <c r="L2641">
        <v>7</v>
      </c>
    </row>
    <row r="2642" spans="1:12" ht="15.6" x14ac:dyDescent="0.3">
      <c r="A2642" s="9">
        <v>2631</v>
      </c>
      <c r="B2642" s="1"/>
      <c r="C2642" s="2" t="s">
        <v>2637</v>
      </c>
      <c r="D2642" s="1"/>
      <c r="E2642" s="11">
        <f t="shared" si="206"/>
        <v>26</v>
      </c>
      <c r="F2642" s="12">
        <f t="shared" si="207"/>
        <v>83.333333333333343</v>
      </c>
      <c r="G2642" s="12" t="str">
        <f t="shared" si="208"/>
        <v>Warning</v>
      </c>
      <c r="H2642" s="13">
        <f t="shared" si="209"/>
        <v>6</v>
      </c>
      <c r="I2642" s="14">
        <f t="shared" si="205"/>
        <v>1817.2400000000002</v>
      </c>
      <c r="K2642" t="str">
        <f>[1]!revcom(C2642)</f>
        <v>CGTGCC</v>
      </c>
      <c r="L2642">
        <v>7</v>
      </c>
    </row>
    <row r="2643" spans="1:12" ht="15.6" x14ac:dyDescent="0.3">
      <c r="A2643" s="9">
        <v>2632</v>
      </c>
      <c r="B2643" s="1"/>
      <c r="C2643" s="2" t="s">
        <v>2638</v>
      </c>
      <c r="D2643" s="1"/>
      <c r="E2643" s="11">
        <f t="shared" si="206"/>
        <v>20</v>
      </c>
      <c r="F2643" s="12">
        <f t="shared" si="207"/>
        <v>66.666666666666657</v>
      </c>
      <c r="G2643" s="12" t="str">
        <f t="shared" si="208"/>
        <v>Warning</v>
      </c>
      <c r="H2643" s="13">
        <f t="shared" si="209"/>
        <v>6</v>
      </c>
      <c r="I2643" s="14">
        <f t="shared" si="205"/>
        <v>1792.2199999999998</v>
      </c>
      <c r="K2643" t="str">
        <f>[1]!revcom(C2643)</f>
        <v>AGTGCC</v>
      </c>
      <c r="L2643">
        <v>6</v>
      </c>
    </row>
    <row r="2644" spans="1:12" ht="15.6" x14ac:dyDescent="0.3">
      <c r="A2644" s="9">
        <v>2633</v>
      </c>
      <c r="B2644" s="1"/>
      <c r="C2644" s="2" t="s">
        <v>2639</v>
      </c>
      <c r="D2644" s="1"/>
      <c r="E2644" s="11">
        <f t="shared" si="206"/>
        <v>28</v>
      </c>
      <c r="F2644" s="12">
        <f t="shared" si="207"/>
        <v>66.666666666666657</v>
      </c>
      <c r="G2644" s="12" t="str">
        <f t="shared" si="208"/>
        <v>Warning</v>
      </c>
      <c r="H2644" s="13">
        <f t="shared" si="209"/>
        <v>6</v>
      </c>
      <c r="I2644" s="14">
        <f t="shared" si="205"/>
        <v>1841.27</v>
      </c>
      <c r="K2644" t="str">
        <f>[1]!revcom(C2644)</f>
        <v>TCTGCC</v>
      </c>
      <c r="L2644">
        <v>7</v>
      </c>
    </row>
    <row r="2645" spans="1:12" ht="15.6" x14ac:dyDescent="0.3">
      <c r="A2645" s="9">
        <v>2634</v>
      </c>
      <c r="B2645" s="1"/>
      <c r="C2645" s="2" t="s">
        <v>2640</v>
      </c>
      <c r="D2645" s="1"/>
      <c r="E2645" s="11">
        <f t="shared" si="206"/>
        <v>26</v>
      </c>
      <c r="F2645" s="12">
        <f t="shared" si="207"/>
        <v>83.333333333333343</v>
      </c>
      <c r="G2645" s="12" t="str">
        <f t="shared" si="208"/>
        <v>Warning</v>
      </c>
      <c r="H2645" s="13">
        <f t="shared" si="209"/>
        <v>6</v>
      </c>
      <c r="I2645" s="14">
        <f t="shared" si="205"/>
        <v>1817.2400000000002</v>
      </c>
      <c r="K2645" t="str">
        <f>[1]!revcom(C2645)</f>
        <v>GCTGCC</v>
      </c>
      <c r="L2645">
        <v>7</v>
      </c>
    </row>
    <row r="2646" spans="1:12" ht="15.6" x14ac:dyDescent="0.3">
      <c r="A2646" s="9">
        <v>2635</v>
      </c>
      <c r="B2646" s="1"/>
      <c r="C2646" s="2" t="s">
        <v>2641</v>
      </c>
      <c r="D2646" s="1"/>
      <c r="E2646" s="11">
        <f t="shared" si="206"/>
        <v>26</v>
      </c>
      <c r="F2646" s="12">
        <f t="shared" si="207"/>
        <v>83.333333333333343</v>
      </c>
      <c r="G2646" s="12" t="str">
        <f t="shared" si="208"/>
        <v>Warning</v>
      </c>
      <c r="H2646" s="13">
        <f t="shared" si="209"/>
        <v>6</v>
      </c>
      <c r="I2646" s="14">
        <f t="shared" si="205"/>
        <v>1857.27</v>
      </c>
      <c r="K2646" t="str">
        <f>[1]!revcom(C2646)</f>
        <v>CCTGCC</v>
      </c>
      <c r="L2646">
        <v>7</v>
      </c>
    </row>
    <row r="2647" spans="1:12" ht="15.6" x14ac:dyDescent="0.3">
      <c r="A2647" s="9">
        <v>2636</v>
      </c>
      <c r="B2647" s="1"/>
      <c r="C2647" s="2" t="s">
        <v>2642</v>
      </c>
      <c r="D2647" s="1"/>
      <c r="E2647" s="11">
        <f t="shared" si="206"/>
        <v>20</v>
      </c>
      <c r="F2647" s="12">
        <f t="shared" si="207"/>
        <v>66.666666666666657</v>
      </c>
      <c r="G2647" s="12" t="str">
        <f t="shared" si="208"/>
        <v>Warning</v>
      </c>
      <c r="H2647" s="13">
        <f t="shared" si="209"/>
        <v>6</v>
      </c>
      <c r="I2647" s="14">
        <f t="shared" si="205"/>
        <v>1832.25</v>
      </c>
      <c r="K2647" t="str">
        <f>[1]!revcom(C2647)</f>
        <v>ACTGCC</v>
      </c>
      <c r="L2647">
        <v>6</v>
      </c>
    </row>
    <row r="2648" spans="1:12" ht="15.6" x14ac:dyDescent="0.3">
      <c r="A2648" s="9">
        <v>2637</v>
      </c>
      <c r="B2648" s="1"/>
      <c r="C2648" s="2" t="s">
        <v>2643</v>
      </c>
      <c r="D2648" s="1"/>
      <c r="E2648" s="11">
        <f t="shared" si="206"/>
        <v>22</v>
      </c>
      <c r="F2648" s="12">
        <f t="shared" si="207"/>
        <v>50</v>
      </c>
      <c r="G2648" s="12" t="str">
        <f t="shared" si="208"/>
        <v>OK</v>
      </c>
      <c r="H2648" s="13">
        <f t="shared" si="209"/>
        <v>6</v>
      </c>
      <c r="I2648" s="14">
        <f t="shared" si="205"/>
        <v>1816.25</v>
      </c>
      <c r="K2648" t="str">
        <f>[1]!revcom(C2648)</f>
        <v>TATGCC</v>
      </c>
      <c r="L2648">
        <v>6</v>
      </c>
    </row>
    <row r="2649" spans="1:12" ht="15.6" x14ac:dyDescent="0.3">
      <c r="A2649" s="9">
        <v>2638</v>
      </c>
      <c r="B2649" s="1"/>
      <c r="C2649" s="2" t="s">
        <v>2644</v>
      </c>
      <c r="D2649" s="1"/>
      <c r="E2649" s="11">
        <f t="shared" si="206"/>
        <v>20</v>
      </c>
      <c r="F2649" s="12">
        <f t="shared" si="207"/>
        <v>66.666666666666657</v>
      </c>
      <c r="G2649" s="12" t="str">
        <f t="shared" si="208"/>
        <v>Warning</v>
      </c>
      <c r="H2649" s="13">
        <f t="shared" si="209"/>
        <v>6</v>
      </c>
      <c r="I2649" s="14">
        <f t="shared" si="205"/>
        <v>1792.2199999999998</v>
      </c>
      <c r="K2649" t="str">
        <f>[1]!revcom(C2649)</f>
        <v>GATGCC</v>
      </c>
      <c r="L2649">
        <v>6</v>
      </c>
    </row>
    <row r="2650" spans="1:12" ht="15.6" x14ac:dyDescent="0.3">
      <c r="A2650" s="9">
        <v>2639</v>
      </c>
      <c r="B2650" s="1"/>
      <c r="C2650" s="2" t="s">
        <v>2645</v>
      </c>
      <c r="D2650" s="1"/>
      <c r="E2650" s="11">
        <f t="shared" si="206"/>
        <v>20</v>
      </c>
      <c r="F2650" s="12">
        <f t="shared" si="207"/>
        <v>66.666666666666657</v>
      </c>
      <c r="G2650" s="12" t="str">
        <f t="shared" si="208"/>
        <v>Warning</v>
      </c>
      <c r="H2650" s="13">
        <f t="shared" si="209"/>
        <v>6</v>
      </c>
      <c r="I2650" s="14">
        <f t="shared" si="205"/>
        <v>1832.25</v>
      </c>
      <c r="K2650" t="str">
        <f>[1]!revcom(C2650)</f>
        <v>CATGCC</v>
      </c>
      <c r="L2650">
        <v>6</v>
      </c>
    </row>
    <row r="2651" spans="1:12" ht="15.6" x14ac:dyDescent="0.3">
      <c r="A2651" s="9">
        <v>2640</v>
      </c>
      <c r="B2651" s="1"/>
      <c r="C2651" s="2" t="s">
        <v>2646</v>
      </c>
      <c r="D2651" s="1"/>
      <c r="E2651" s="11">
        <f t="shared" si="206"/>
        <v>14</v>
      </c>
      <c r="F2651" s="12">
        <f t="shared" si="207"/>
        <v>50</v>
      </c>
      <c r="G2651" s="12" t="str">
        <f t="shared" si="208"/>
        <v>OK</v>
      </c>
      <c r="H2651" s="13">
        <f t="shared" si="209"/>
        <v>6</v>
      </c>
      <c r="I2651" s="14">
        <f t="shared" si="205"/>
        <v>1807.23</v>
      </c>
      <c r="K2651" t="str">
        <f>[1]!revcom(C2651)</f>
        <v>AATGCC</v>
      </c>
      <c r="L2651">
        <v>5</v>
      </c>
    </row>
    <row r="2652" spans="1:12" ht="15.6" x14ac:dyDescent="0.3">
      <c r="A2652" s="9">
        <v>2641</v>
      </c>
      <c r="B2652" s="1"/>
      <c r="C2652" s="2" t="s">
        <v>2647</v>
      </c>
      <c r="D2652" s="1"/>
      <c r="E2652" s="11">
        <f t="shared" si="206"/>
        <v>28</v>
      </c>
      <c r="F2652" s="12">
        <f t="shared" si="207"/>
        <v>66.666666666666657</v>
      </c>
      <c r="G2652" s="12" t="str">
        <f t="shared" si="208"/>
        <v>Warning</v>
      </c>
      <c r="H2652" s="13">
        <f t="shared" si="209"/>
        <v>6</v>
      </c>
      <c r="I2652" s="14">
        <f t="shared" si="205"/>
        <v>1801.2399999999998</v>
      </c>
      <c r="K2652" t="str">
        <f>[1]!revcom(C2652)</f>
        <v>TTGGCC</v>
      </c>
      <c r="L2652">
        <v>7</v>
      </c>
    </row>
    <row r="2653" spans="1:12" ht="15.6" x14ac:dyDescent="0.3">
      <c r="A2653" s="9">
        <v>2642</v>
      </c>
      <c r="B2653" s="1"/>
      <c r="C2653" s="2" t="s">
        <v>2648</v>
      </c>
      <c r="D2653" s="1"/>
      <c r="E2653" s="11">
        <f t="shared" si="206"/>
        <v>26</v>
      </c>
      <c r="F2653" s="12">
        <f t="shared" si="207"/>
        <v>83.333333333333343</v>
      </c>
      <c r="G2653" s="12" t="str">
        <f t="shared" si="208"/>
        <v>Warning</v>
      </c>
      <c r="H2653" s="13">
        <f t="shared" si="209"/>
        <v>6</v>
      </c>
      <c r="I2653" s="14">
        <f t="shared" si="205"/>
        <v>1777.21</v>
      </c>
      <c r="K2653" t="str">
        <f>[1]!revcom(C2653)</f>
        <v>GTGGCC</v>
      </c>
      <c r="L2653">
        <v>7</v>
      </c>
    </row>
    <row r="2654" spans="1:12" ht="15.6" x14ac:dyDescent="0.3">
      <c r="A2654" s="9">
        <v>2643</v>
      </c>
      <c r="B2654" s="1"/>
      <c r="C2654" s="2" t="s">
        <v>2649</v>
      </c>
      <c r="D2654" s="1"/>
      <c r="E2654" s="11">
        <f t="shared" si="206"/>
        <v>26</v>
      </c>
      <c r="F2654" s="12">
        <f t="shared" si="207"/>
        <v>83.333333333333343</v>
      </c>
      <c r="G2654" s="12" t="str">
        <f t="shared" si="208"/>
        <v>Warning</v>
      </c>
      <c r="H2654" s="13">
        <f t="shared" si="209"/>
        <v>6</v>
      </c>
      <c r="I2654" s="14">
        <f t="shared" si="205"/>
        <v>1817.2400000000002</v>
      </c>
      <c r="K2654" t="str">
        <f>[1]!revcom(C2654)</f>
        <v>CTGGCC</v>
      </c>
      <c r="L2654">
        <v>7</v>
      </c>
    </row>
    <row r="2655" spans="1:12" ht="15.6" x14ac:dyDescent="0.3">
      <c r="A2655" s="9">
        <v>2644</v>
      </c>
      <c r="B2655" s="1"/>
      <c r="C2655" s="2" t="s">
        <v>2650</v>
      </c>
      <c r="D2655" s="1"/>
      <c r="E2655" s="11">
        <f t="shared" si="206"/>
        <v>20</v>
      </c>
      <c r="F2655" s="12">
        <f t="shared" si="207"/>
        <v>66.666666666666657</v>
      </c>
      <c r="G2655" s="12" t="str">
        <f t="shared" si="208"/>
        <v>Warning</v>
      </c>
      <c r="H2655" s="13">
        <f t="shared" si="209"/>
        <v>6</v>
      </c>
      <c r="I2655" s="14">
        <f t="shared" si="205"/>
        <v>1792.2199999999998</v>
      </c>
      <c r="K2655" t="str">
        <f>[1]!revcom(C2655)</f>
        <v>ATGGCC</v>
      </c>
      <c r="L2655">
        <v>6</v>
      </c>
    </row>
    <row r="2656" spans="1:12" ht="15.6" x14ac:dyDescent="0.3">
      <c r="A2656" s="9">
        <v>2645</v>
      </c>
      <c r="B2656" s="1"/>
      <c r="C2656" s="2" t="s">
        <v>2651</v>
      </c>
      <c r="D2656" s="1"/>
      <c r="E2656" s="11">
        <f t="shared" si="206"/>
        <v>26</v>
      </c>
      <c r="F2656" s="12">
        <f t="shared" si="207"/>
        <v>83.333333333333343</v>
      </c>
      <c r="G2656" s="12" t="str">
        <f t="shared" si="208"/>
        <v>Warning</v>
      </c>
      <c r="H2656" s="13">
        <f t="shared" si="209"/>
        <v>6</v>
      </c>
      <c r="I2656" s="14">
        <f t="shared" si="205"/>
        <v>1777.21</v>
      </c>
      <c r="K2656" t="str">
        <f>[1]!revcom(C2656)</f>
        <v>TGGGCC</v>
      </c>
      <c r="L2656">
        <v>7</v>
      </c>
    </row>
    <row r="2657" spans="1:12" ht="15.6" x14ac:dyDescent="0.3">
      <c r="A2657" s="9">
        <v>2646</v>
      </c>
      <c r="B2657" s="1"/>
      <c r="C2657" s="2" t="s">
        <v>2652</v>
      </c>
      <c r="D2657" s="1"/>
      <c r="E2657" s="11">
        <f t="shared" si="206"/>
        <v>24</v>
      </c>
      <c r="F2657" s="12">
        <f t="shared" si="207"/>
        <v>100</v>
      </c>
      <c r="G2657" s="12" t="str">
        <f t="shared" si="208"/>
        <v>Warning</v>
      </c>
      <c r="H2657" s="13">
        <f t="shared" si="209"/>
        <v>6</v>
      </c>
      <c r="I2657" s="14">
        <f t="shared" si="205"/>
        <v>1753.1799999999998</v>
      </c>
      <c r="K2657" t="str">
        <f>[1]!revcom(C2657)</f>
        <v>GGGGCC</v>
      </c>
      <c r="L2657">
        <v>6</v>
      </c>
    </row>
    <row r="2658" spans="1:12" ht="15.6" x14ac:dyDescent="0.3">
      <c r="A2658" s="9">
        <v>2647</v>
      </c>
      <c r="B2658" s="1"/>
      <c r="C2658" s="2" t="s">
        <v>2653</v>
      </c>
      <c r="D2658" s="1"/>
      <c r="E2658" s="11">
        <f t="shared" si="206"/>
        <v>24</v>
      </c>
      <c r="F2658" s="12">
        <f t="shared" si="207"/>
        <v>100</v>
      </c>
      <c r="G2658" s="12" t="str">
        <f t="shared" si="208"/>
        <v>Warning</v>
      </c>
      <c r="H2658" s="13">
        <f t="shared" si="209"/>
        <v>6</v>
      </c>
      <c r="I2658" s="14">
        <f t="shared" si="205"/>
        <v>1793.21</v>
      </c>
      <c r="K2658" t="str">
        <f>[1]!revcom(C2658)</f>
        <v>CGGGCC</v>
      </c>
      <c r="L2658">
        <v>6</v>
      </c>
    </row>
    <row r="2659" spans="1:12" ht="15.6" x14ac:dyDescent="0.3">
      <c r="A2659" s="9">
        <v>2648</v>
      </c>
      <c r="B2659" s="1"/>
      <c r="C2659" s="2" t="s">
        <v>2654</v>
      </c>
      <c r="D2659" s="1"/>
      <c r="E2659" s="11">
        <f t="shared" si="206"/>
        <v>18</v>
      </c>
      <c r="F2659" s="12">
        <f t="shared" si="207"/>
        <v>83.333333333333343</v>
      </c>
      <c r="G2659" s="12" t="str">
        <f t="shared" si="208"/>
        <v>Warning</v>
      </c>
      <c r="H2659" s="13">
        <f t="shared" si="209"/>
        <v>6</v>
      </c>
      <c r="I2659" s="14">
        <f t="shared" si="205"/>
        <v>1768.19</v>
      </c>
      <c r="K2659" t="str">
        <f>[1]!revcom(C2659)</f>
        <v>AGGGCC</v>
      </c>
      <c r="L2659">
        <v>5</v>
      </c>
    </row>
    <row r="2660" spans="1:12" ht="15.6" x14ac:dyDescent="0.3">
      <c r="A2660" s="9">
        <v>2649</v>
      </c>
      <c r="B2660" s="1"/>
      <c r="C2660" s="2" t="s">
        <v>2655</v>
      </c>
      <c r="D2660" s="1"/>
      <c r="E2660" s="11">
        <f t="shared" si="206"/>
        <v>26</v>
      </c>
      <c r="F2660" s="12">
        <f t="shared" si="207"/>
        <v>83.333333333333343</v>
      </c>
      <c r="G2660" s="12" t="str">
        <f t="shared" si="208"/>
        <v>Warning</v>
      </c>
      <c r="H2660" s="13">
        <f t="shared" si="209"/>
        <v>6</v>
      </c>
      <c r="I2660" s="14">
        <f t="shared" si="205"/>
        <v>1817.2400000000002</v>
      </c>
      <c r="K2660" t="str">
        <f>[1]!revcom(C2660)</f>
        <v>TCGGCC</v>
      </c>
      <c r="L2660">
        <v>7</v>
      </c>
    </row>
    <row r="2661" spans="1:12" ht="15.6" x14ac:dyDescent="0.3">
      <c r="A2661" s="9">
        <v>2650</v>
      </c>
      <c r="B2661" s="1"/>
      <c r="C2661" s="2" t="s">
        <v>2656</v>
      </c>
      <c r="D2661" s="1"/>
      <c r="E2661" s="11">
        <f t="shared" si="206"/>
        <v>24</v>
      </c>
      <c r="F2661" s="12">
        <f t="shared" si="207"/>
        <v>100</v>
      </c>
      <c r="G2661" s="12" t="str">
        <f t="shared" si="208"/>
        <v>Warning</v>
      </c>
      <c r="H2661" s="13">
        <f t="shared" si="209"/>
        <v>6</v>
      </c>
      <c r="I2661" s="14">
        <f t="shared" si="205"/>
        <v>1793.21</v>
      </c>
      <c r="K2661" t="str">
        <f>[1]!revcom(C2661)</f>
        <v>GCGGCC</v>
      </c>
      <c r="L2661">
        <v>6</v>
      </c>
    </row>
    <row r="2662" spans="1:12" ht="15.6" x14ac:dyDescent="0.3">
      <c r="A2662" s="9">
        <v>2651</v>
      </c>
      <c r="B2662" s="1"/>
      <c r="C2662" s="2" t="s">
        <v>2657</v>
      </c>
      <c r="D2662" s="1"/>
      <c r="E2662" s="11">
        <f t="shared" si="206"/>
        <v>24</v>
      </c>
      <c r="F2662" s="12">
        <f t="shared" si="207"/>
        <v>100</v>
      </c>
      <c r="G2662" s="12" t="str">
        <f t="shared" si="208"/>
        <v>Warning</v>
      </c>
      <c r="H2662" s="13">
        <f t="shared" si="209"/>
        <v>6</v>
      </c>
      <c r="I2662" s="14">
        <f t="shared" si="205"/>
        <v>1833.2400000000002</v>
      </c>
      <c r="K2662" t="str">
        <f>[1]!revcom(C2662)</f>
        <v>CCGGCC</v>
      </c>
      <c r="L2662">
        <v>6</v>
      </c>
    </row>
    <row r="2663" spans="1:12" ht="15.6" x14ac:dyDescent="0.3">
      <c r="A2663" s="9">
        <v>2652</v>
      </c>
      <c r="B2663" s="1"/>
      <c r="C2663" s="2" t="s">
        <v>2658</v>
      </c>
      <c r="D2663" s="1"/>
      <c r="E2663" s="11">
        <f t="shared" si="206"/>
        <v>18</v>
      </c>
      <c r="F2663" s="12">
        <f t="shared" si="207"/>
        <v>83.333333333333343</v>
      </c>
      <c r="G2663" s="12" t="str">
        <f t="shared" si="208"/>
        <v>Warning</v>
      </c>
      <c r="H2663" s="13">
        <f t="shared" si="209"/>
        <v>6</v>
      </c>
      <c r="I2663" s="14">
        <f t="shared" si="205"/>
        <v>1808.2200000000003</v>
      </c>
      <c r="K2663" t="str">
        <f>[1]!revcom(C2663)</f>
        <v>ACGGCC</v>
      </c>
      <c r="L2663">
        <v>5</v>
      </c>
    </row>
    <row r="2664" spans="1:12" ht="15.6" x14ac:dyDescent="0.3">
      <c r="A2664" s="9">
        <v>2653</v>
      </c>
      <c r="B2664" s="1"/>
      <c r="C2664" s="2" t="s">
        <v>2659</v>
      </c>
      <c r="D2664" s="1"/>
      <c r="E2664" s="11">
        <f t="shared" si="206"/>
        <v>20</v>
      </c>
      <c r="F2664" s="12">
        <f t="shared" si="207"/>
        <v>66.666666666666657</v>
      </c>
      <c r="G2664" s="12" t="str">
        <f t="shared" si="208"/>
        <v>Warning</v>
      </c>
      <c r="H2664" s="13">
        <f t="shared" si="209"/>
        <v>6</v>
      </c>
      <c r="I2664" s="14">
        <f t="shared" si="205"/>
        <v>1792.2199999999998</v>
      </c>
      <c r="K2664" t="str">
        <f>[1]!revcom(C2664)</f>
        <v>TAGGCC</v>
      </c>
      <c r="L2664">
        <v>6</v>
      </c>
    </row>
    <row r="2665" spans="1:12" ht="15.6" x14ac:dyDescent="0.3">
      <c r="A2665" s="9">
        <v>2654</v>
      </c>
      <c r="B2665" s="1"/>
      <c r="C2665" s="2" t="s">
        <v>2660</v>
      </c>
      <c r="D2665" s="1"/>
      <c r="E2665" s="11">
        <f t="shared" si="206"/>
        <v>18</v>
      </c>
      <c r="F2665" s="12">
        <f t="shared" si="207"/>
        <v>83.333333333333343</v>
      </c>
      <c r="G2665" s="12" t="str">
        <f t="shared" si="208"/>
        <v>Warning</v>
      </c>
      <c r="H2665" s="13">
        <f t="shared" si="209"/>
        <v>6</v>
      </c>
      <c r="I2665" s="14">
        <f t="shared" si="205"/>
        <v>1768.19</v>
      </c>
      <c r="K2665" t="str">
        <f>[1]!revcom(C2665)</f>
        <v>GAGGCC</v>
      </c>
      <c r="L2665">
        <v>5</v>
      </c>
    </row>
    <row r="2666" spans="1:12" ht="15.6" x14ac:dyDescent="0.3">
      <c r="A2666" s="9">
        <v>2655</v>
      </c>
      <c r="B2666" s="1"/>
      <c r="C2666" s="2" t="s">
        <v>2661</v>
      </c>
      <c r="D2666" s="1"/>
      <c r="E2666" s="11">
        <f t="shared" si="206"/>
        <v>18</v>
      </c>
      <c r="F2666" s="12">
        <f t="shared" si="207"/>
        <v>83.333333333333343</v>
      </c>
      <c r="G2666" s="12" t="str">
        <f t="shared" si="208"/>
        <v>Warning</v>
      </c>
      <c r="H2666" s="13">
        <f t="shared" si="209"/>
        <v>6</v>
      </c>
      <c r="I2666" s="14">
        <f t="shared" si="205"/>
        <v>1808.2200000000003</v>
      </c>
      <c r="K2666" t="str">
        <f>[1]!revcom(C2666)</f>
        <v>CAGGCC</v>
      </c>
      <c r="L2666">
        <v>5</v>
      </c>
    </row>
    <row r="2667" spans="1:12" ht="15.6" x14ac:dyDescent="0.3">
      <c r="A2667" s="9">
        <v>2656</v>
      </c>
      <c r="B2667" s="1"/>
      <c r="C2667" s="2" t="s">
        <v>2662</v>
      </c>
      <c r="D2667" s="1"/>
      <c r="E2667" s="11">
        <f t="shared" si="206"/>
        <v>12</v>
      </c>
      <c r="F2667" s="12">
        <f t="shared" si="207"/>
        <v>66.666666666666657</v>
      </c>
      <c r="G2667" s="12" t="str">
        <f t="shared" si="208"/>
        <v>Warning</v>
      </c>
      <c r="H2667" s="13">
        <f t="shared" si="209"/>
        <v>6</v>
      </c>
      <c r="I2667" s="14">
        <f t="shared" si="205"/>
        <v>1783.1999999999998</v>
      </c>
      <c r="K2667" t="str">
        <f>[1]!revcom(C2667)</f>
        <v>AAGGCC</v>
      </c>
      <c r="L2667">
        <v>4</v>
      </c>
    </row>
    <row r="2668" spans="1:12" ht="15.6" x14ac:dyDescent="0.3">
      <c r="A2668" s="9">
        <v>2657</v>
      </c>
      <c r="B2668" s="1"/>
      <c r="C2668" s="2" t="s">
        <v>2663</v>
      </c>
      <c r="D2668" s="1"/>
      <c r="E2668" s="11">
        <f t="shared" si="206"/>
        <v>28</v>
      </c>
      <c r="F2668" s="12">
        <f t="shared" si="207"/>
        <v>66.666666666666657</v>
      </c>
      <c r="G2668" s="12" t="str">
        <f t="shared" si="208"/>
        <v>Warning</v>
      </c>
      <c r="H2668" s="13">
        <f t="shared" si="209"/>
        <v>6</v>
      </c>
      <c r="I2668" s="14">
        <f t="shared" si="205"/>
        <v>1841.27</v>
      </c>
      <c r="K2668" t="str">
        <f>[1]!revcom(C2668)</f>
        <v>TTCGCC</v>
      </c>
      <c r="L2668">
        <v>7</v>
      </c>
    </row>
    <row r="2669" spans="1:12" ht="15.6" x14ac:dyDescent="0.3">
      <c r="A2669" s="9">
        <v>2658</v>
      </c>
      <c r="B2669" s="1"/>
      <c r="C2669" s="2" t="s">
        <v>2664</v>
      </c>
      <c r="D2669" s="1"/>
      <c r="E2669" s="11">
        <f t="shared" si="206"/>
        <v>26</v>
      </c>
      <c r="F2669" s="12">
        <f t="shared" si="207"/>
        <v>83.333333333333343</v>
      </c>
      <c r="G2669" s="12" t="str">
        <f t="shared" si="208"/>
        <v>Warning</v>
      </c>
      <c r="H2669" s="13">
        <f t="shared" si="209"/>
        <v>6</v>
      </c>
      <c r="I2669" s="14">
        <f t="shared" si="205"/>
        <v>1817.2400000000002</v>
      </c>
      <c r="K2669" t="str">
        <f>[1]!revcom(C2669)</f>
        <v>GTCGCC</v>
      </c>
      <c r="L2669">
        <v>7</v>
      </c>
    </row>
    <row r="2670" spans="1:12" ht="15.6" x14ac:dyDescent="0.3">
      <c r="A2670" s="9">
        <v>2659</v>
      </c>
      <c r="B2670" s="1"/>
      <c r="C2670" s="2" t="s">
        <v>2665</v>
      </c>
      <c r="D2670" s="1"/>
      <c r="E2670" s="11">
        <f t="shared" si="206"/>
        <v>26</v>
      </c>
      <c r="F2670" s="12">
        <f t="shared" si="207"/>
        <v>83.333333333333343</v>
      </c>
      <c r="G2670" s="12" t="str">
        <f t="shared" si="208"/>
        <v>Warning</v>
      </c>
      <c r="H2670" s="13">
        <f t="shared" si="209"/>
        <v>6</v>
      </c>
      <c r="I2670" s="14">
        <f t="shared" si="205"/>
        <v>1857.27</v>
      </c>
      <c r="K2670" t="str">
        <f>[1]!revcom(C2670)</f>
        <v>CTCGCC</v>
      </c>
      <c r="L2670">
        <v>7</v>
      </c>
    </row>
    <row r="2671" spans="1:12" ht="15.6" x14ac:dyDescent="0.3">
      <c r="A2671" s="9">
        <v>2660</v>
      </c>
      <c r="B2671" s="1"/>
      <c r="C2671" s="2" t="s">
        <v>2666</v>
      </c>
      <c r="D2671" s="1"/>
      <c r="E2671" s="11">
        <f t="shared" si="206"/>
        <v>20</v>
      </c>
      <c r="F2671" s="12">
        <f t="shared" si="207"/>
        <v>66.666666666666657</v>
      </c>
      <c r="G2671" s="12" t="str">
        <f t="shared" si="208"/>
        <v>Warning</v>
      </c>
      <c r="H2671" s="13">
        <f t="shared" si="209"/>
        <v>6</v>
      </c>
      <c r="I2671" s="14">
        <f t="shared" si="205"/>
        <v>1832.25</v>
      </c>
      <c r="K2671" t="str">
        <f>[1]!revcom(C2671)</f>
        <v>ATCGCC</v>
      </c>
      <c r="L2671">
        <v>6</v>
      </c>
    </row>
    <row r="2672" spans="1:12" ht="15.6" x14ac:dyDescent="0.3">
      <c r="A2672" s="9">
        <v>2661</v>
      </c>
      <c r="B2672" s="1"/>
      <c r="C2672" s="2" t="s">
        <v>2667</v>
      </c>
      <c r="D2672" s="1"/>
      <c r="E2672" s="11">
        <f t="shared" si="206"/>
        <v>26</v>
      </c>
      <c r="F2672" s="12">
        <f t="shared" si="207"/>
        <v>83.333333333333343</v>
      </c>
      <c r="G2672" s="12" t="str">
        <f t="shared" si="208"/>
        <v>Warning</v>
      </c>
      <c r="H2672" s="13">
        <f t="shared" si="209"/>
        <v>6</v>
      </c>
      <c r="I2672" s="14">
        <f t="shared" si="205"/>
        <v>1817.2400000000002</v>
      </c>
      <c r="K2672" t="str">
        <f>[1]!revcom(C2672)</f>
        <v>TGCGCC</v>
      </c>
      <c r="L2672">
        <v>7</v>
      </c>
    </row>
    <row r="2673" spans="1:12" ht="15.6" x14ac:dyDescent="0.3">
      <c r="A2673" s="9">
        <v>2662</v>
      </c>
      <c r="B2673" s="1"/>
      <c r="C2673" s="2" t="s">
        <v>2668</v>
      </c>
      <c r="D2673" s="1"/>
      <c r="E2673" s="11">
        <f t="shared" si="206"/>
        <v>24</v>
      </c>
      <c r="F2673" s="12">
        <f t="shared" si="207"/>
        <v>100</v>
      </c>
      <c r="G2673" s="12" t="str">
        <f t="shared" si="208"/>
        <v>Warning</v>
      </c>
      <c r="H2673" s="13">
        <f t="shared" si="209"/>
        <v>6</v>
      </c>
      <c r="I2673" s="14">
        <f t="shared" si="205"/>
        <v>1793.21</v>
      </c>
      <c r="K2673" t="str">
        <f>[1]!revcom(C2673)</f>
        <v>GGCGCC</v>
      </c>
      <c r="L2673">
        <v>6</v>
      </c>
    </row>
    <row r="2674" spans="1:12" ht="15.6" x14ac:dyDescent="0.3">
      <c r="A2674" s="9">
        <v>2663</v>
      </c>
      <c r="B2674" s="1"/>
      <c r="C2674" s="2" t="s">
        <v>2669</v>
      </c>
      <c r="D2674" s="1"/>
      <c r="E2674" s="11">
        <f t="shared" si="206"/>
        <v>24</v>
      </c>
      <c r="F2674" s="12">
        <f t="shared" si="207"/>
        <v>100</v>
      </c>
      <c r="G2674" s="12" t="str">
        <f t="shared" si="208"/>
        <v>Warning</v>
      </c>
      <c r="H2674" s="13">
        <f t="shared" si="209"/>
        <v>6</v>
      </c>
      <c r="I2674" s="14">
        <f t="shared" si="205"/>
        <v>1833.2400000000002</v>
      </c>
      <c r="K2674" t="str">
        <f>[1]!revcom(C2674)</f>
        <v>CGCGCC</v>
      </c>
      <c r="L2674">
        <v>6</v>
      </c>
    </row>
    <row r="2675" spans="1:12" ht="15.6" x14ac:dyDescent="0.3">
      <c r="A2675" s="9">
        <v>2664</v>
      </c>
      <c r="B2675" s="1"/>
      <c r="C2675" s="2" t="s">
        <v>2670</v>
      </c>
      <c r="D2675" s="1"/>
      <c r="E2675" s="11">
        <f t="shared" si="206"/>
        <v>18</v>
      </c>
      <c r="F2675" s="12">
        <f t="shared" si="207"/>
        <v>83.333333333333343</v>
      </c>
      <c r="G2675" s="12" t="str">
        <f t="shared" si="208"/>
        <v>Warning</v>
      </c>
      <c r="H2675" s="13">
        <f t="shared" si="209"/>
        <v>6</v>
      </c>
      <c r="I2675" s="14">
        <f t="shared" si="205"/>
        <v>1808.2200000000003</v>
      </c>
      <c r="K2675" t="str">
        <f>[1]!revcom(C2675)</f>
        <v>AGCGCC</v>
      </c>
      <c r="L2675">
        <v>5</v>
      </c>
    </row>
    <row r="2676" spans="1:12" ht="15.6" x14ac:dyDescent="0.3">
      <c r="A2676" s="9">
        <v>2665</v>
      </c>
      <c r="B2676" s="1"/>
      <c r="C2676" s="2" t="s">
        <v>2671</v>
      </c>
      <c r="D2676" s="1"/>
      <c r="E2676" s="11">
        <f t="shared" si="206"/>
        <v>26</v>
      </c>
      <c r="F2676" s="12">
        <f t="shared" si="207"/>
        <v>83.333333333333343</v>
      </c>
      <c r="G2676" s="12" t="str">
        <f t="shared" si="208"/>
        <v>Warning</v>
      </c>
      <c r="H2676" s="13">
        <f t="shared" si="209"/>
        <v>6</v>
      </c>
      <c r="I2676" s="14">
        <f t="shared" si="205"/>
        <v>1857.27</v>
      </c>
      <c r="K2676" t="str">
        <f>[1]!revcom(C2676)</f>
        <v>TCCGCC</v>
      </c>
      <c r="L2676">
        <v>7</v>
      </c>
    </row>
    <row r="2677" spans="1:12" ht="15.6" x14ac:dyDescent="0.3">
      <c r="A2677" s="9">
        <v>2666</v>
      </c>
      <c r="B2677" s="1"/>
      <c r="C2677" s="2" t="s">
        <v>2672</v>
      </c>
      <c r="D2677" s="1"/>
      <c r="E2677" s="11">
        <f t="shared" si="206"/>
        <v>24</v>
      </c>
      <c r="F2677" s="12">
        <f t="shared" si="207"/>
        <v>100</v>
      </c>
      <c r="G2677" s="12" t="str">
        <f t="shared" si="208"/>
        <v>Warning</v>
      </c>
      <c r="H2677" s="13">
        <f t="shared" si="209"/>
        <v>6</v>
      </c>
      <c r="I2677" s="14">
        <f t="shared" si="205"/>
        <v>1833.2400000000002</v>
      </c>
      <c r="K2677" t="str">
        <f>[1]!revcom(C2677)</f>
        <v>GCCGCC</v>
      </c>
      <c r="L2677">
        <v>6</v>
      </c>
    </row>
    <row r="2678" spans="1:12" ht="15.6" x14ac:dyDescent="0.3">
      <c r="A2678" s="9">
        <v>2667</v>
      </c>
      <c r="B2678" s="1"/>
      <c r="C2678" s="2" t="s">
        <v>2673</v>
      </c>
      <c r="D2678" s="1"/>
      <c r="E2678" s="11">
        <f t="shared" si="206"/>
        <v>24</v>
      </c>
      <c r="F2678" s="12">
        <f t="shared" si="207"/>
        <v>100</v>
      </c>
      <c r="G2678" s="12" t="str">
        <f t="shared" si="208"/>
        <v>Warning</v>
      </c>
      <c r="H2678" s="13">
        <f t="shared" si="209"/>
        <v>6</v>
      </c>
      <c r="I2678" s="14">
        <f t="shared" si="205"/>
        <v>1873.27</v>
      </c>
      <c r="K2678" t="str">
        <f>[1]!revcom(C2678)</f>
        <v>CCCGCC</v>
      </c>
      <c r="L2678">
        <v>6</v>
      </c>
    </row>
    <row r="2679" spans="1:12" ht="15.6" x14ac:dyDescent="0.3">
      <c r="A2679" s="9">
        <v>2668</v>
      </c>
      <c r="B2679" s="1"/>
      <c r="C2679" s="2" t="s">
        <v>2674</v>
      </c>
      <c r="D2679" s="1"/>
      <c r="E2679" s="11">
        <f t="shared" si="206"/>
        <v>18</v>
      </c>
      <c r="F2679" s="12">
        <f t="shared" si="207"/>
        <v>83.333333333333343</v>
      </c>
      <c r="G2679" s="12" t="str">
        <f t="shared" si="208"/>
        <v>Warning</v>
      </c>
      <c r="H2679" s="13">
        <f t="shared" si="209"/>
        <v>6</v>
      </c>
      <c r="I2679" s="14">
        <f t="shared" si="205"/>
        <v>1848.25</v>
      </c>
      <c r="K2679" t="str">
        <f>[1]!revcom(C2679)</f>
        <v>ACCGCC</v>
      </c>
      <c r="L2679">
        <v>5</v>
      </c>
    </row>
    <row r="2680" spans="1:12" ht="15.6" x14ac:dyDescent="0.3">
      <c r="A2680" s="9">
        <v>2669</v>
      </c>
      <c r="B2680" s="1"/>
      <c r="C2680" s="2" t="s">
        <v>2675</v>
      </c>
      <c r="D2680" s="1"/>
      <c r="E2680" s="11">
        <f t="shared" si="206"/>
        <v>20</v>
      </c>
      <c r="F2680" s="12">
        <f t="shared" si="207"/>
        <v>66.666666666666657</v>
      </c>
      <c r="G2680" s="12" t="str">
        <f t="shared" si="208"/>
        <v>Warning</v>
      </c>
      <c r="H2680" s="13">
        <f t="shared" si="209"/>
        <v>6</v>
      </c>
      <c r="I2680" s="14">
        <f t="shared" si="205"/>
        <v>1832.25</v>
      </c>
      <c r="K2680" t="str">
        <f>[1]!revcom(C2680)</f>
        <v>TACGCC</v>
      </c>
      <c r="L2680">
        <v>6</v>
      </c>
    </row>
    <row r="2681" spans="1:12" ht="15.6" x14ac:dyDescent="0.3">
      <c r="A2681" s="9">
        <v>2670</v>
      </c>
      <c r="B2681" s="1"/>
      <c r="C2681" s="2" t="s">
        <v>2676</v>
      </c>
      <c r="D2681" s="1"/>
      <c r="E2681" s="11">
        <f t="shared" si="206"/>
        <v>18</v>
      </c>
      <c r="F2681" s="12">
        <f t="shared" si="207"/>
        <v>83.333333333333343</v>
      </c>
      <c r="G2681" s="12" t="str">
        <f t="shared" si="208"/>
        <v>Warning</v>
      </c>
      <c r="H2681" s="13">
        <f t="shared" si="209"/>
        <v>6</v>
      </c>
      <c r="I2681" s="14">
        <f t="shared" si="205"/>
        <v>1808.2200000000003</v>
      </c>
      <c r="K2681" t="str">
        <f>[1]!revcom(C2681)</f>
        <v>GACGCC</v>
      </c>
      <c r="L2681">
        <v>5</v>
      </c>
    </row>
    <row r="2682" spans="1:12" ht="15.6" x14ac:dyDescent="0.3">
      <c r="A2682" s="9">
        <v>2671</v>
      </c>
      <c r="B2682" s="1"/>
      <c r="C2682" s="2" t="s">
        <v>2677</v>
      </c>
      <c r="D2682" s="1"/>
      <c r="E2682" s="11">
        <f t="shared" si="206"/>
        <v>18</v>
      </c>
      <c r="F2682" s="12">
        <f t="shared" si="207"/>
        <v>83.333333333333343</v>
      </c>
      <c r="G2682" s="12" t="str">
        <f t="shared" si="208"/>
        <v>Warning</v>
      </c>
      <c r="H2682" s="13">
        <f t="shared" si="209"/>
        <v>6</v>
      </c>
      <c r="I2682" s="14">
        <f t="shared" si="205"/>
        <v>1848.25</v>
      </c>
      <c r="K2682" t="str">
        <f>[1]!revcom(C2682)</f>
        <v>CACGCC</v>
      </c>
      <c r="L2682">
        <v>5</v>
      </c>
    </row>
    <row r="2683" spans="1:12" ht="15.6" x14ac:dyDescent="0.3">
      <c r="A2683" s="9">
        <v>2672</v>
      </c>
      <c r="B2683" s="1"/>
      <c r="C2683" s="2" t="s">
        <v>2678</v>
      </c>
      <c r="D2683" s="1"/>
      <c r="E2683" s="11">
        <f t="shared" si="206"/>
        <v>12</v>
      </c>
      <c r="F2683" s="12">
        <f t="shared" si="207"/>
        <v>66.666666666666657</v>
      </c>
      <c r="G2683" s="12" t="str">
        <f t="shared" si="208"/>
        <v>Warning</v>
      </c>
      <c r="H2683" s="13">
        <f t="shared" si="209"/>
        <v>6</v>
      </c>
      <c r="I2683" s="14">
        <f t="shared" si="205"/>
        <v>1823.23</v>
      </c>
      <c r="K2683" t="str">
        <f>[1]!revcom(C2683)</f>
        <v>AACGCC</v>
      </c>
      <c r="L2683">
        <v>4</v>
      </c>
    </row>
    <row r="2684" spans="1:12" ht="15.6" x14ac:dyDescent="0.3">
      <c r="A2684" s="9">
        <v>2673</v>
      </c>
      <c r="B2684" s="1"/>
      <c r="C2684" s="2" t="s">
        <v>2679</v>
      </c>
      <c r="D2684" s="1"/>
      <c r="E2684" s="11">
        <f t="shared" si="206"/>
        <v>22</v>
      </c>
      <c r="F2684" s="12">
        <f t="shared" si="207"/>
        <v>50</v>
      </c>
      <c r="G2684" s="12" t="str">
        <f t="shared" si="208"/>
        <v>OK</v>
      </c>
      <c r="H2684" s="13">
        <f t="shared" si="209"/>
        <v>6</v>
      </c>
      <c r="I2684" s="14">
        <f t="shared" si="205"/>
        <v>1816.25</v>
      </c>
      <c r="K2684" t="str">
        <f>[1]!revcom(C2684)</f>
        <v>TTAGCC</v>
      </c>
      <c r="L2684">
        <v>6</v>
      </c>
    </row>
    <row r="2685" spans="1:12" ht="15.6" x14ac:dyDescent="0.3">
      <c r="A2685" s="9">
        <v>2674</v>
      </c>
      <c r="B2685" s="1"/>
      <c r="C2685" s="2" t="s">
        <v>2680</v>
      </c>
      <c r="D2685" s="1"/>
      <c r="E2685" s="11">
        <f t="shared" si="206"/>
        <v>20</v>
      </c>
      <c r="F2685" s="12">
        <f t="shared" si="207"/>
        <v>66.666666666666657</v>
      </c>
      <c r="G2685" s="12" t="str">
        <f t="shared" si="208"/>
        <v>Warning</v>
      </c>
      <c r="H2685" s="13">
        <f t="shared" si="209"/>
        <v>6</v>
      </c>
      <c r="I2685" s="14">
        <f t="shared" si="205"/>
        <v>1792.2199999999998</v>
      </c>
      <c r="K2685" t="str">
        <f>[1]!revcom(C2685)</f>
        <v>GTAGCC</v>
      </c>
      <c r="L2685">
        <v>6</v>
      </c>
    </row>
    <row r="2686" spans="1:12" ht="15.6" x14ac:dyDescent="0.3">
      <c r="A2686" s="9">
        <v>2675</v>
      </c>
      <c r="B2686" s="1"/>
      <c r="C2686" s="2" t="s">
        <v>2681</v>
      </c>
      <c r="D2686" s="1"/>
      <c r="E2686" s="11">
        <f t="shared" si="206"/>
        <v>20</v>
      </c>
      <c r="F2686" s="12">
        <f t="shared" si="207"/>
        <v>66.666666666666657</v>
      </c>
      <c r="G2686" s="12" t="str">
        <f t="shared" si="208"/>
        <v>Warning</v>
      </c>
      <c r="H2686" s="13">
        <f t="shared" si="209"/>
        <v>6</v>
      </c>
      <c r="I2686" s="14">
        <f t="shared" si="205"/>
        <v>1832.25</v>
      </c>
      <c r="K2686" t="str">
        <f>[1]!revcom(C2686)</f>
        <v>CTAGCC</v>
      </c>
      <c r="L2686">
        <v>6</v>
      </c>
    </row>
    <row r="2687" spans="1:12" ht="15.6" x14ac:dyDescent="0.3">
      <c r="A2687" s="9">
        <v>2676</v>
      </c>
      <c r="B2687" s="1"/>
      <c r="C2687" s="2" t="s">
        <v>2682</v>
      </c>
      <c r="D2687" s="1"/>
      <c r="E2687" s="11">
        <f t="shared" si="206"/>
        <v>14</v>
      </c>
      <c r="F2687" s="12">
        <f t="shared" si="207"/>
        <v>50</v>
      </c>
      <c r="G2687" s="12" t="str">
        <f t="shared" si="208"/>
        <v>OK</v>
      </c>
      <c r="H2687" s="13">
        <f t="shared" si="209"/>
        <v>6</v>
      </c>
      <c r="I2687" s="14">
        <f t="shared" si="205"/>
        <v>1807.23</v>
      </c>
      <c r="K2687" t="str">
        <f>[1]!revcom(C2687)</f>
        <v>ATAGCC</v>
      </c>
      <c r="L2687">
        <v>5</v>
      </c>
    </row>
    <row r="2688" spans="1:12" ht="15.6" x14ac:dyDescent="0.3">
      <c r="A2688" s="9">
        <v>2677</v>
      </c>
      <c r="B2688" s="1"/>
      <c r="C2688" s="2" t="s">
        <v>2683</v>
      </c>
      <c r="D2688" s="1"/>
      <c r="E2688" s="11">
        <f t="shared" si="206"/>
        <v>20</v>
      </c>
      <c r="F2688" s="12">
        <f t="shared" si="207"/>
        <v>66.666666666666657</v>
      </c>
      <c r="G2688" s="12" t="str">
        <f t="shared" si="208"/>
        <v>Warning</v>
      </c>
      <c r="H2688" s="13">
        <f t="shared" si="209"/>
        <v>6</v>
      </c>
      <c r="I2688" s="14">
        <f t="shared" si="205"/>
        <v>1792.2199999999998</v>
      </c>
      <c r="K2688" t="str">
        <f>[1]!revcom(C2688)</f>
        <v>TGAGCC</v>
      </c>
      <c r="L2688">
        <v>6</v>
      </c>
    </row>
    <row r="2689" spans="1:12" ht="15.6" x14ac:dyDescent="0.3">
      <c r="A2689" s="9">
        <v>2678</v>
      </c>
      <c r="B2689" s="1"/>
      <c r="C2689" s="2" t="s">
        <v>2684</v>
      </c>
      <c r="D2689" s="1"/>
      <c r="E2689" s="11">
        <f t="shared" si="206"/>
        <v>18</v>
      </c>
      <c r="F2689" s="12">
        <f t="shared" si="207"/>
        <v>83.333333333333343</v>
      </c>
      <c r="G2689" s="12" t="str">
        <f t="shared" si="208"/>
        <v>Warning</v>
      </c>
      <c r="H2689" s="13">
        <f t="shared" si="209"/>
        <v>6</v>
      </c>
      <c r="I2689" s="14">
        <f t="shared" si="205"/>
        <v>1768.19</v>
      </c>
      <c r="K2689" t="str">
        <f>[1]!revcom(C2689)</f>
        <v>GGAGCC</v>
      </c>
      <c r="L2689">
        <v>5</v>
      </c>
    </row>
    <row r="2690" spans="1:12" ht="15.6" x14ac:dyDescent="0.3">
      <c r="A2690" s="9">
        <v>2679</v>
      </c>
      <c r="B2690" s="1"/>
      <c r="C2690" s="2" t="s">
        <v>2685</v>
      </c>
      <c r="D2690" s="1"/>
      <c r="E2690" s="11">
        <f t="shared" si="206"/>
        <v>18</v>
      </c>
      <c r="F2690" s="12">
        <f t="shared" si="207"/>
        <v>83.333333333333343</v>
      </c>
      <c r="G2690" s="12" t="str">
        <f t="shared" si="208"/>
        <v>Warning</v>
      </c>
      <c r="H2690" s="13">
        <f t="shared" si="209"/>
        <v>6</v>
      </c>
      <c r="I2690" s="14">
        <f t="shared" si="205"/>
        <v>1808.2200000000003</v>
      </c>
      <c r="K2690" t="str">
        <f>[1]!revcom(C2690)</f>
        <v>CGAGCC</v>
      </c>
      <c r="L2690">
        <v>5</v>
      </c>
    </row>
    <row r="2691" spans="1:12" ht="15.6" x14ac:dyDescent="0.3">
      <c r="A2691" s="9">
        <v>2680</v>
      </c>
      <c r="B2691" s="1"/>
      <c r="C2691" s="2" t="s">
        <v>2686</v>
      </c>
      <c r="D2691" s="1"/>
      <c r="E2691" s="11">
        <f t="shared" si="206"/>
        <v>12</v>
      </c>
      <c r="F2691" s="12">
        <f t="shared" si="207"/>
        <v>66.666666666666657</v>
      </c>
      <c r="G2691" s="12" t="str">
        <f t="shared" si="208"/>
        <v>Warning</v>
      </c>
      <c r="H2691" s="13">
        <f t="shared" si="209"/>
        <v>6</v>
      </c>
      <c r="I2691" s="14">
        <f t="shared" si="205"/>
        <v>1783.1999999999998</v>
      </c>
      <c r="K2691" t="str">
        <f>[1]!revcom(C2691)</f>
        <v>AGAGCC</v>
      </c>
      <c r="L2691">
        <v>4</v>
      </c>
    </row>
    <row r="2692" spans="1:12" ht="15.6" x14ac:dyDescent="0.3">
      <c r="A2692" s="9">
        <v>2681</v>
      </c>
      <c r="B2692" s="1"/>
      <c r="C2692" s="2" t="s">
        <v>2687</v>
      </c>
      <c r="D2692" s="1"/>
      <c r="E2692" s="11">
        <f t="shared" si="206"/>
        <v>20</v>
      </c>
      <c r="F2692" s="12">
        <f t="shared" si="207"/>
        <v>66.666666666666657</v>
      </c>
      <c r="G2692" s="12" t="str">
        <f t="shared" si="208"/>
        <v>Warning</v>
      </c>
      <c r="H2692" s="13">
        <f t="shared" si="209"/>
        <v>6</v>
      </c>
      <c r="I2692" s="14">
        <f t="shared" si="205"/>
        <v>1832.25</v>
      </c>
      <c r="K2692" t="str">
        <f>[1]!revcom(C2692)</f>
        <v>TCAGCC</v>
      </c>
      <c r="L2692">
        <v>6</v>
      </c>
    </row>
    <row r="2693" spans="1:12" ht="15.6" x14ac:dyDescent="0.3">
      <c r="A2693" s="9">
        <v>2682</v>
      </c>
      <c r="B2693" s="1"/>
      <c r="C2693" s="2" t="s">
        <v>2688</v>
      </c>
      <c r="D2693" s="1"/>
      <c r="E2693" s="11">
        <f t="shared" si="206"/>
        <v>18</v>
      </c>
      <c r="F2693" s="12">
        <f t="shared" si="207"/>
        <v>83.333333333333343</v>
      </c>
      <c r="G2693" s="12" t="str">
        <f t="shared" si="208"/>
        <v>Warning</v>
      </c>
      <c r="H2693" s="13">
        <f t="shared" si="209"/>
        <v>6</v>
      </c>
      <c r="I2693" s="14">
        <f t="shared" si="205"/>
        <v>1808.2200000000003</v>
      </c>
      <c r="K2693" t="str">
        <f>[1]!revcom(C2693)</f>
        <v>GCAGCC</v>
      </c>
      <c r="L2693">
        <v>5</v>
      </c>
    </row>
    <row r="2694" spans="1:12" ht="15.6" x14ac:dyDescent="0.3">
      <c r="A2694" s="9">
        <v>2683</v>
      </c>
      <c r="B2694" s="1"/>
      <c r="C2694" s="2" t="s">
        <v>2689</v>
      </c>
      <c r="D2694" s="1"/>
      <c r="E2694" s="11">
        <f t="shared" si="206"/>
        <v>18</v>
      </c>
      <c r="F2694" s="12">
        <f t="shared" si="207"/>
        <v>83.333333333333343</v>
      </c>
      <c r="G2694" s="12" t="str">
        <f t="shared" si="208"/>
        <v>Warning</v>
      </c>
      <c r="H2694" s="13">
        <f t="shared" si="209"/>
        <v>6</v>
      </c>
      <c r="I2694" s="14">
        <f t="shared" si="205"/>
        <v>1848.25</v>
      </c>
      <c r="K2694" t="str">
        <f>[1]!revcom(C2694)</f>
        <v>CCAGCC</v>
      </c>
      <c r="L2694">
        <v>5</v>
      </c>
    </row>
    <row r="2695" spans="1:12" ht="15.6" x14ac:dyDescent="0.3">
      <c r="A2695" s="9">
        <v>2684</v>
      </c>
      <c r="B2695" s="1"/>
      <c r="C2695" s="2" t="s">
        <v>2690</v>
      </c>
      <c r="D2695" s="1"/>
      <c r="E2695" s="11">
        <f t="shared" si="206"/>
        <v>12</v>
      </c>
      <c r="F2695" s="12">
        <f t="shared" si="207"/>
        <v>66.666666666666657</v>
      </c>
      <c r="G2695" s="12" t="str">
        <f t="shared" si="208"/>
        <v>Warning</v>
      </c>
      <c r="H2695" s="13">
        <f t="shared" si="209"/>
        <v>6</v>
      </c>
      <c r="I2695" s="14">
        <f t="shared" si="205"/>
        <v>1823.23</v>
      </c>
      <c r="K2695" t="str">
        <f>[1]!revcom(C2695)</f>
        <v>ACAGCC</v>
      </c>
      <c r="L2695">
        <v>4</v>
      </c>
    </row>
    <row r="2696" spans="1:12" ht="15.6" x14ac:dyDescent="0.3">
      <c r="A2696" s="9">
        <v>2685</v>
      </c>
      <c r="B2696" s="1"/>
      <c r="C2696" s="2" t="s">
        <v>2691</v>
      </c>
      <c r="D2696" s="1"/>
      <c r="E2696" s="11">
        <f t="shared" si="206"/>
        <v>14</v>
      </c>
      <c r="F2696" s="12">
        <f t="shared" si="207"/>
        <v>50</v>
      </c>
      <c r="G2696" s="12" t="str">
        <f t="shared" si="208"/>
        <v>OK</v>
      </c>
      <c r="H2696" s="13">
        <f t="shared" si="209"/>
        <v>6</v>
      </c>
      <c r="I2696" s="14">
        <f t="shared" si="205"/>
        <v>1807.23</v>
      </c>
      <c r="K2696" t="str">
        <f>[1]!revcom(C2696)</f>
        <v>TAAGCC</v>
      </c>
      <c r="L2696">
        <v>5</v>
      </c>
    </row>
    <row r="2697" spans="1:12" ht="15.6" x14ac:dyDescent="0.3">
      <c r="A2697" s="9">
        <v>2686</v>
      </c>
      <c r="B2697" s="1"/>
      <c r="C2697" s="2" t="s">
        <v>2692</v>
      </c>
      <c r="D2697" s="1"/>
      <c r="E2697" s="11">
        <f t="shared" si="206"/>
        <v>12</v>
      </c>
      <c r="F2697" s="12">
        <f t="shared" si="207"/>
        <v>66.666666666666657</v>
      </c>
      <c r="G2697" s="12" t="str">
        <f t="shared" si="208"/>
        <v>Warning</v>
      </c>
      <c r="H2697" s="13">
        <f t="shared" si="209"/>
        <v>6</v>
      </c>
      <c r="I2697" s="14">
        <f t="shared" si="205"/>
        <v>1783.1999999999998</v>
      </c>
      <c r="K2697" t="str">
        <f>[1]!revcom(C2697)</f>
        <v>GAAGCC</v>
      </c>
      <c r="L2697">
        <v>4</v>
      </c>
    </row>
    <row r="2698" spans="1:12" ht="15.6" x14ac:dyDescent="0.3">
      <c r="A2698" s="9">
        <v>2687</v>
      </c>
      <c r="B2698" s="1"/>
      <c r="C2698" s="2" t="s">
        <v>2693</v>
      </c>
      <c r="D2698" s="1"/>
      <c r="E2698" s="11">
        <f t="shared" si="206"/>
        <v>12</v>
      </c>
      <c r="F2698" s="12">
        <f t="shared" si="207"/>
        <v>66.666666666666657</v>
      </c>
      <c r="G2698" s="12" t="str">
        <f t="shared" si="208"/>
        <v>Warning</v>
      </c>
      <c r="H2698" s="13">
        <f t="shared" si="209"/>
        <v>6</v>
      </c>
      <c r="I2698" s="14">
        <f t="shared" si="205"/>
        <v>1823.23</v>
      </c>
      <c r="K2698" t="str">
        <f>[1]!revcom(C2698)</f>
        <v>CAAGCC</v>
      </c>
      <c r="L2698">
        <v>4</v>
      </c>
    </row>
    <row r="2699" spans="1:12" ht="15.6" x14ac:dyDescent="0.3">
      <c r="A2699" s="9">
        <v>2688</v>
      </c>
      <c r="B2699" s="1"/>
      <c r="C2699" s="2" t="s">
        <v>2694</v>
      </c>
      <c r="D2699" s="1"/>
      <c r="E2699" s="11">
        <f t="shared" si="206"/>
        <v>6</v>
      </c>
      <c r="F2699" s="12">
        <f t="shared" si="207"/>
        <v>50</v>
      </c>
      <c r="G2699" s="12" t="str">
        <f t="shared" si="208"/>
        <v>OK</v>
      </c>
      <c r="H2699" s="13">
        <f t="shared" si="209"/>
        <v>6</v>
      </c>
      <c r="I2699" s="14">
        <f t="shared" si="205"/>
        <v>1798.21</v>
      </c>
      <c r="K2699" t="str">
        <f>[1]!revcom(C2699)</f>
        <v>AAAGCC</v>
      </c>
      <c r="L2699">
        <v>3</v>
      </c>
    </row>
    <row r="2700" spans="1:12" ht="15.6" x14ac:dyDescent="0.3">
      <c r="A2700" s="9">
        <v>2689</v>
      </c>
      <c r="B2700" s="1"/>
      <c r="C2700" s="2" t="s">
        <v>2695</v>
      </c>
      <c r="D2700" s="1"/>
      <c r="E2700" s="11">
        <f t="shared" si="206"/>
        <v>30</v>
      </c>
      <c r="F2700" s="12">
        <f t="shared" si="207"/>
        <v>50</v>
      </c>
      <c r="G2700" s="12" t="str">
        <f t="shared" si="208"/>
        <v>OK</v>
      </c>
      <c r="H2700" s="13">
        <f t="shared" si="209"/>
        <v>6</v>
      </c>
      <c r="I2700" s="14">
        <f t="shared" si="205"/>
        <v>1865.3000000000002</v>
      </c>
      <c r="K2700" t="str">
        <f>[1]!revcom(C2700)</f>
        <v>TTTCCC</v>
      </c>
      <c r="L2700">
        <v>7</v>
      </c>
    </row>
    <row r="2701" spans="1:12" ht="15.6" x14ac:dyDescent="0.3">
      <c r="A2701" s="9">
        <v>2690</v>
      </c>
      <c r="B2701" s="1"/>
      <c r="C2701" s="2" t="s">
        <v>2696</v>
      </c>
      <c r="D2701" s="1"/>
      <c r="E2701" s="11">
        <f t="shared" si="206"/>
        <v>28</v>
      </c>
      <c r="F2701" s="12">
        <f t="shared" si="207"/>
        <v>66.666666666666657</v>
      </c>
      <c r="G2701" s="12" t="str">
        <f t="shared" si="208"/>
        <v>Warning</v>
      </c>
      <c r="H2701" s="13">
        <f t="shared" si="209"/>
        <v>6</v>
      </c>
      <c r="I2701" s="14">
        <f t="shared" ref="I2701:I2764" si="210">((LEN(C2701)-(LEN(SUBSTITUTE(C2701,"A",""))))*249.23)+((LEN(C2701)-(LEN(SUBSTITUTE(C2701,"T",""))))*240.21)+((LEN(C2701)-(LEN(SUBSTITUTE(C2701,"C",""))))*225.2)+((LEN(C2701)-(LEN(SUBSTITUTE(C2701,"G",""))))*265.23)+(63.98*(LEN(C2701)-1)+(2.02))</f>
        <v>1841.27</v>
      </c>
      <c r="K2701" t="str">
        <f>[1]!revcom(C2701)</f>
        <v>GTTCCC</v>
      </c>
      <c r="L2701">
        <v>7</v>
      </c>
    </row>
    <row r="2702" spans="1:12" ht="15.6" x14ac:dyDescent="0.3">
      <c r="A2702" s="9">
        <v>2691</v>
      </c>
      <c r="B2702" s="1"/>
      <c r="C2702" s="2" t="s">
        <v>2697</v>
      </c>
      <c r="D2702" s="1"/>
      <c r="E2702" s="11">
        <f t="shared" ref="E2702:E2765" si="211">IF(LEN(C2702)&gt;15,(69.3+((41*((LEN(C2702)-(((LEN(C2702)-(LEN(SUBSTITUTE(C2702,"A",""))))+((LEN(C2702)-(LEN(SUBSTITUTE(C2702,"T","")))))))))/(LEN(C2702)))-(650/(LEN(C2702))))),(2*((LEN(C2702)-(((LEN(C2702)-(LEN(SUBSTITUTE(C2702,"C",""))))+((LEN(C2702)-(LEN(SUBSTITUTE(C2702,"G",""))))))))))+(4*((LEN(C2702)-(((LEN(C2702)-(LEN(SUBSTITUTE(C2702,"T",""))))+((LEN(C2702)-(LEN(SUBSTITUTE(C2702,"T","")))))))))))</f>
        <v>28</v>
      </c>
      <c r="F2702" s="12">
        <f t="shared" ref="F2702:F2765" si="212">((LEN(C2702)- LEN(SUBSTITUTE(C2702,"G","")))+(LEN(C2702)- LEN(SUBSTITUTE(C2702,"C",""))) )/LEN(C2702)*100</f>
        <v>66.666666666666657</v>
      </c>
      <c r="G2702" s="12" t="str">
        <f t="shared" ref="G2702:G2765" si="213">IF((-5+((LEN(SUBSTITUTE(RIGHT(C2702,5),"C","")))+((LEN(SUBSTITUTE(RIGHT(C2702,5),"G",""))))))&gt;=3,"OK","Warning")</f>
        <v>Warning</v>
      </c>
      <c r="H2702" s="13">
        <f t="shared" ref="H2702:H2765" si="214">LEN(C2702)</f>
        <v>6</v>
      </c>
      <c r="I2702" s="14">
        <f t="shared" si="210"/>
        <v>1881.3000000000002</v>
      </c>
      <c r="K2702" t="str">
        <f>[1]!revcom(C2702)</f>
        <v>CTTCCC</v>
      </c>
      <c r="L2702">
        <v>7</v>
      </c>
    </row>
    <row r="2703" spans="1:12" ht="15.6" x14ac:dyDescent="0.3">
      <c r="A2703" s="9">
        <v>2692</v>
      </c>
      <c r="B2703" s="1"/>
      <c r="C2703" s="2" t="s">
        <v>2698</v>
      </c>
      <c r="D2703" s="1"/>
      <c r="E2703" s="11">
        <f t="shared" si="211"/>
        <v>22</v>
      </c>
      <c r="F2703" s="12">
        <f t="shared" si="212"/>
        <v>50</v>
      </c>
      <c r="G2703" s="12" t="str">
        <f t="shared" si="213"/>
        <v>OK</v>
      </c>
      <c r="H2703" s="13">
        <f t="shared" si="214"/>
        <v>6</v>
      </c>
      <c r="I2703" s="14">
        <f t="shared" si="210"/>
        <v>1856.2800000000002</v>
      </c>
      <c r="K2703" t="str">
        <f>[1]!revcom(C2703)</f>
        <v>ATTCCC</v>
      </c>
      <c r="L2703">
        <v>6</v>
      </c>
    </row>
    <row r="2704" spans="1:12" ht="15.6" x14ac:dyDescent="0.3">
      <c r="A2704" s="9">
        <v>2693</v>
      </c>
      <c r="B2704" s="1"/>
      <c r="C2704" s="2" t="s">
        <v>2699</v>
      </c>
      <c r="D2704" s="1"/>
      <c r="E2704" s="11">
        <f t="shared" si="211"/>
        <v>28</v>
      </c>
      <c r="F2704" s="12">
        <f t="shared" si="212"/>
        <v>66.666666666666657</v>
      </c>
      <c r="G2704" s="12" t="str">
        <f t="shared" si="213"/>
        <v>Warning</v>
      </c>
      <c r="H2704" s="13">
        <f t="shared" si="214"/>
        <v>6</v>
      </c>
      <c r="I2704" s="14">
        <f t="shared" si="210"/>
        <v>1841.27</v>
      </c>
      <c r="K2704" t="str">
        <f>[1]!revcom(C2704)</f>
        <v>TGTCCC</v>
      </c>
      <c r="L2704">
        <v>7</v>
      </c>
    </row>
    <row r="2705" spans="1:12" ht="15.6" x14ac:dyDescent="0.3">
      <c r="A2705" s="9">
        <v>2694</v>
      </c>
      <c r="B2705" s="1"/>
      <c r="C2705" s="2" t="s">
        <v>2700</v>
      </c>
      <c r="D2705" s="1"/>
      <c r="E2705" s="11">
        <f t="shared" si="211"/>
        <v>26</v>
      </c>
      <c r="F2705" s="12">
        <f t="shared" si="212"/>
        <v>83.333333333333343</v>
      </c>
      <c r="G2705" s="12" t="str">
        <f t="shared" si="213"/>
        <v>Warning</v>
      </c>
      <c r="H2705" s="13">
        <f t="shared" si="214"/>
        <v>6</v>
      </c>
      <c r="I2705" s="14">
        <f t="shared" si="210"/>
        <v>1817.2400000000002</v>
      </c>
      <c r="K2705" t="str">
        <f>[1]!revcom(C2705)</f>
        <v>GGTCCC</v>
      </c>
      <c r="L2705">
        <v>7</v>
      </c>
    </row>
    <row r="2706" spans="1:12" ht="15.6" x14ac:dyDescent="0.3">
      <c r="A2706" s="9">
        <v>2695</v>
      </c>
      <c r="B2706" s="1"/>
      <c r="C2706" s="2" t="s">
        <v>2701</v>
      </c>
      <c r="D2706" s="1"/>
      <c r="E2706" s="11">
        <f t="shared" si="211"/>
        <v>26</v>
      </c>
      <c r="F2706" s="12">
        <f t="shared" si="212"/>
        <v>83.333333333333343</v>
      </c>
      <c r="G2706" s="12" t="str">
        <f t="shared" si="213"/>
        <v>Warning</v>
      </c>
      <c r="H2706" s="13">
        <f t="shared" si="214"/>
        <v>6</v>
      </c>
      <c r="I2706" s="14">
        <f t="shared" si="210"/>
        <v>1857.27</v>
      </c>
      <c r="K2706" t="str">
        <f>[1]!revcom(C2706)</f>
        <v>CGTCCC</v>
      </c>
      <c r="L2706">
        <v>7</v>
      </c>
    </row>
    <row r="2707" spans="1:12" ht="15.6" x14ac:dyDescent="0.3">
      <c r="A2707" s="9">
        <v>2696</v>
      </c>
      <c r="B2707" s="1"/>
      <c r="C2707" s="2" t="s">
        <v>2702</v>
      </c>
      <c r="D2707" s="1"/>
      <c r="E2707" s="11">
        <f t="shared" si="211"/>
        <v>20</v>
      </c>
      <c r="F2707" s="12">
        <f t="shared" si="212"/>
        <v>66.666666666666657</v>
      </c>
      <c r="G2707" s="12" t="str">
        <f t="shared" si="213"/>
        <v>Warning</v>
      </c>
      <c r="H2707" s="13">
        <f t="shared" si="214"/>
        <v>6</v>
      </c>
      <c r="I2707" s="14">
        <f t="shared" si="210"/>
        <v>1832.25</v>
      </c>
      <c r="K2707" t="str">
        <f>[1]!revcom(C2707)</f>
        <v>AGTCCC</v>
      </c>
      <c r="L2707">
        <v>6</v>
      </c>
    </row>
    <row r="2708" spans="1:12" ht="15.6" x14ac:dyDescent="0.3">
      <c r="A2708" s="9">
        <v>2697</v>
      </c>
      <c r="B2708" s="1"/>
      <c r="C2708" s="2" t="s">
        <v>2703</v>
      </c>
      <c r="D2708" s="1"/>
      <c r="E2708" s="11">
        <f t="shared" si="211"/>
        <v>28</v>
      </c>
      <c r="F2708" s="12">
        <f t="shared" si="212"/>
        <v>66.666666666666657</v>
      </c>
      <c r="G2708" s="12" t="str">
        <f t="shared" si="213"/>
        <v>Warning</v>
      </c>
      <c r="H2708" s="13">
        <f t="shared" si="214"/>
        <v>6</v>
      </c>
      <c r="I2708" s="14">
        <f t="shared" si="210"/>
        <v>1881.3000000000002</v>
      </c>
      <c r="K2708" t="str">
        <f>[1]!revcom(C2708)</f>
        <v>TCTCCC</v>
      </c>
      <c r="L2708">
        <v>7</v>
      </c>
    </row>
    <row r="2709" spans="1:12" ht="15.6" x14ac:dyDescent="0.3">
      <c r="A2709" s="9">
        <v>2698</v>
      </c>
      <c r="B2709" s="1"/>
      <c r="C2709" s="2" t="s">
        <v>2704</v>
      </c>
      <c r="D2709" s="1"/>
      <c r="E2709" s="11">
        <f t="shared" si="211"/>
        <v>26</v>
      </c>
      <c r="F2709" s="12">
        <f t="shared" si="212"/>
        <v>83.333333333333343</v>
      </c>
      <c r="G2709" s="12" t="str">
        <f t="shared" si="213"/>
        <v>Warning</v>
      </c>
      <c r="H2709" s="13">
        <f t="shared" si="214"/>
        <v>6</v>
      </c>
      <c r="I2709" s="14">
        <f t="shared" si="210"/>
        <v>1857.27</v>
      </c>
      <c r="K2709" t="str">
        <f>[1]!revcom(C2709)</f>
        <v>GCTCCC</v>
      </c>
      <c r="L2709">
        <v>7</v>
      </c>
    </row>
    <row r="2710" spans="1:12" ht="15.6" x14ac:dyDescent="0.3">
      <c r="A2710" s="9">
        <v>2699</v>
      </c>
      <c r="B2710" s="1"/>
      <c r="C2710" s="2" t="s">
        <v>2705</v>
      </c>
      <c r="D2710" s="1"/>
      <c r="E2710" s="11">
        <f t="shared" si="211"/>
        <v>26</v>
      </c>
      <c r="F2710" s="12">
        <f t="shared" si="212"/>
        <v>83.333333333333343</v>
      </c>
      <c r="G2710" s="12" t="str">
        <f t="shared" si="213"/>
        <v>Warning</v>
      </c>
      <c r="H2710" s="13">
        <f t="shared" si="214"/>
        <v>6</v>
      </c>
      <c r="I2710" s="14">
        <f t="shared" si="210"/>
        <v>1897.3000000000002</v>
      </c>
      <c r="K2710" t="str">
        <f>[1]!revcom(C2710)</f>
        <v>CCTCCC</v>
      </c>
      <c r="L2710">
        <v>7</v>
      </c>
    </row>
    <row r="2711" spans="1:12" ht="15.6" x14ac:dyDescent="0.3">
      <c r="A2711" s="9">
        <v>2700</v>
      </c>
      <c r="B2711" s="1"/>
      <c r="C2711" s="2" t="s">
        <v>2706</v>
      </c>
      <c r="D2711" s="1"/>
      <c r="E2711" s="11">
        <f t="shared" si="211"/>
        <v>20</v>
      </c>
      <c r="F2711" s="12">
        <f t="shared" si="212"/>
        <v>66.666666666666657</v>
      </c>
      <c r="G2711" s="12" t="str">
        <f t="shared" si="213"/>
        <v>Warning</v>
      </c>
      <c r="H2711" s="13">
        <f t="shared" si="214"/>
        <v>6</v>
      </c>
      <c r="I2711" s="14">
        <f t="shared" si="210"/>
        <v>1872.2800000000002</v>
      </c>
      <c r="K2711" t="str">
        <f>[1]!revcom(C2711)</f>
        <v>ACTCCC</v>
      </c>
      <c r="L2711">
        <v>6</v>
      </c>
    </row>
    <row r="2712" spans="1:12" ht="15.6" x14ac:dyDescent="0.3">
      <c r="A2712" s="9">
        <v>2701</v>
      </c>
      <c r="B2712" s="1"/>
      <c r="C2712" s="2" t="s">
        <v>2707</v>
      </c>
      <c r="D2712" s="1"/>
      <c r="E2712" s="11">
        <f t="shared" si="211"/>
        <v>22</v>
      </c>
      <c r="F2712" s="12">
        <f t="shared" si="212"/>
        <v>50</v>
      </c>
      <c r="G2712" s="12" t="str">
        <f t="shared" si="213"/>
        <v>OK</v>
      </c>
      <c r="H2712" s="13">
        <f t="shared" si="214"/>
        <v>6</v>
      </c>
      <c r="I2712" s="14">
        <f t="shared" si="210"/>
        <v>1856.2800000000002</v>
      </c>
      <c r="K2712" t="str">
        <f>[1]!revcom(C2712)</f>
        <v>TATCCC</v>
      </c>
      <c r="L2712">
        <v>6</v>
      </c>
    </row>
    <row r="2713" spans="1:12" ht="15.6" x14ac:dyDescent="0.3">
      <c r="A2713" s="9">
        <v>2702</v>
      </c>
      <c r="B2713" s="1"/>
      <c r="C2713" s="2" t="s">
        <v>2708</v>
      </c>
      <c r="D2713" s="1"/>
      <c r="E2713" s="11">
        <f t="shared" si="211"/>
        <v>20</v>
      </c>
      <c r="F2713" s="12">
        <f t="shared" si="212"/>
        <v>66.666666666666657</v>
      </c>
      <c r="G2713" s="12" t="str">
        <f t="shared" si="213"/>
        <v>Warning</v>
      </c>
      <c r="H2713" s="13">
        <f t="shared" si="214"/>
        <v>6</v>
      </c>
      <c r="I2713" s="14">
        <f t="shared" si="210"/>
        <v>1832.25</v>
      </c>
      <c r="K2713" t="str">
        <f>[1]!revcom(C2713)</f>
        <v>GATCCC</v>
      </c>
      <c r="L2713">
        <v>6</v>
      </c>
    </row>
    <row r="2714" spans="1:12" ht="15.6" x14ac:dyDescent="0.3">
      <c r="A2714" s="9">
        <v>2703</v>
      </c>
      <c r="B2714" s="1"/>
      <c r="C2714" s="2" t="s">
        <v>2709</v>
      </c>
      <c r="D2714" s="1"/>
      <c r="E2714" s="11">
        <f t="shared" si="211"/>
        <v>20</v>
      </c>
      <c r="F2714" s="12">
        <f t="shared" si="212"/>
        <v>66.666666666666657</v>
      </c>
      <c r="G2714" s="12" t="str">
        <f t="shared" si="213"/>
        <v>Warning</v>
      </c>
      <c r="H2714" s="13">
        <f t="shared" si="214"/>
        <v>6</v>
      </c>
      <c r="I2714" s="14">
        <f t="shared" si="210"/>
        <v>1872.2800000000002</v>
      </c>
      <c r="K2714" t="str">
        <f>[1]!revcom(C2714)</f>
        <v>CATCCC</v>
      </c>
      <c r="L2714">
        <v>6</v>
      </c>
    </row>
    <row r="2715" spans="1:12" ht="15.6" x14ac:dyDescent="0.3">
      <c r="A2715" s="9">
        <v>2704</v>
      </c>
      <c r="B2715" s="1"/>
      <c r="C2715" s="2" t="s">
        <v>2710</v>
      </c>
      <c r="D2715" s="1"/>
      <c r="E2715" s="11">
        <f t="shared" si="211"/>
        <v>14</v>
      </c>
      <c r="F2715" s="12">
        <f t="shared" si="212"/>
        <v>50</v>
      </c>
      <c r="G2715" s="12" t="str">
        <f t="shared" si="213"/>
        <v>OK</v>
      </c>
      <c r="H2715" s="13">
        <f t="shared" si="214"/>
        <v>6</v>
      </c>
      <c r="I2715" s="14">
        <f t="shared" si="210"/>
        <v>1847.2600000000002</v>
      </c>
      <c r="K2715" t="str">
        <f>[1]!revcom(C2715)</f>
        <v>AATCCC</v>
      </c>
      <c r="L2715">
        <v>5</v>
      </c>
    </row>
    <row r="2716" spans="1:12" ht="15.6" x14ac:dyDescent="0.3">
      <c r="A2716" s="9">
        <v>2705</v>
      </c>
      <c r="B2716" s="1"/>
      <c r="C2716" s="2" t="s">
        <v>2711</v>
      </c>
      <c r="D2716" s="1"/>
      <c r="E2716" s="11">
        <f t="shared" si="211"/>
        <v>28</v>
      </c>
      <c r="F2716" s="12">
        <f t="shared" si="212"/>
        <v>66.666666666666657</v>
      </c>
      <c r="G2716" s="12" t="str">
        <f t="shared" si="213"/>
        <v>Warning</v>
      </c>
      <c r="H2716" s="13">
        <f t="shared" si="214"/>
        <v>6</v>
      </c>
      <c r="I2716" s="14">
        <f t="shared" si="210"/>
        <v>1841.27</v>
      </c>
      <c r="K2716" t="str">
        <f>[1]!revcom(C2716)</f>
        <v>TTGCCC</v>
      </c>
      <c r="L2716">
        <v>7</v>
      </c>
    </row>
    <row r="2717" spans="1:12" ht="15.6" x14ac:dyDescent="0.3">
      <c r="A2717" s="9">
        <v>2706</v>
      </c>
      <c r="B2717" s="1"/>
      <c r="C2717" s="2" t="s">
        <v>2712</v>
      </c>
      <c r="D2717" s="1"/>
      <c r="E2717" s="11">
        <f t="shared" si="211"/>
        <v>26</v>
      </c>
      <c r="F2717" s="12">
        <f t="shared" si="212"/>
        <v>83.333333333333343</v>
      </c>
      <c r="G2717" s="12" t="str">
        <f t="shared" si="213"/>
        <v>Warning</v>
      </c>
      <c r="H2717" s="13">
        <f t="shared" si="214"/>
        <v>6</v>
      </c>
      <c r="I2717" s="14">
        <f t="shared" si="210"/>
        <v>1817.2400000000002</v>
      </c>
      <c r="K2717" t="str">
        <f>[1]!revcom(C2717)</f>
        <v>GTGCCC</v>
      </c>
      <c r="L2717">
        <v>7</v>
      </c>
    </row>
    <row r="2718" spans="1:12" ht="15.6" x14ac:dyDescent="0.3">
      <c r="A2718" s="9">
        <v>2707</v>
      </c>
      <c r="B2718" s="1"/>
      <c r="C2718" s="2" t="s">
        <v>2713</v>
      </c>
      <c r="D2718" s="1"/>
      <c r="E2718" s="11">
        <f t="shared" si="211"/>
        <v>26</v>
      </c>
      <c r="F2718" s="12">
        <f t="shared" si="212"/>
        <v>83.333333333333343</v>
      </c>
      <c r="G2718" s="12" t="str">
        <f t="shared" si="213"/>
        <v>Warning</v>
      </c>
      <c r="H2718" s="13">
        <f t="shared" si="214"/>
        <v>6</v>
      </c>
      <c r="I2718" s="14">
        <f t="shared" si="210"/>
        <v>1857.27</v>
      </c>
      <c r="K2718" t="str">
        <f>[1]!revcom(C2718)</f>
        <v>CTGCCC</v>
      </c>
      <c r="L2718">
        <v>7</v>
      </c>
    </row>
    <row r="2719" spans="1:12" ht="15.6" x14ac:dyDescent="0.3">
      <c r="A2719" s="9">
        <v>2708</v>
      </c>
      <c r="B2719" s="1"/>
      <c r="C2719" s="2" t="s">
        <v>2714</v>
      </c>
      <c r="D2719" s="1"/>
      <c r="E2719" s="11">
        <f t="shared" si="211"/>
        <v>20</v>
      </c>
      <c r="F2719" s="12">
        <f t="shared" si="212"/>
        <v>66.666666666666657</v>
      </c>
      <c r="G2719" s="12" t="str">
        <f t="shared" si="213"/>
        <v>Warning</v>
      </c>
      <c r="H2719" s="13">
        <f t="shared" si="214"/>
        <v>6</v>
      </c>
      <c r="I2719" s="14">
        <f t="shared" si="210"/>
        <v>1832.25</v>
      </c>
      <c r="K2719" t="str">
        <f>[1]!revcom(C2719)</f>
        <v>ATGCCC</v>
      </c>
      <c r="L2719">
        <v>6</v>
      </c>
    </row>
    <row r="2720" spans="1:12" ht="15.6" x14ac:dyDescent="0.3">
      <c r="A2720" s="9">
        <v>2709</v>
      </c>
      <c r="B2720" s="1"/>
      <c r="C2720" s="2" t="s">
        <v>2715</v>
      </c>
      <c r="D2720" s="1"/>
      <c r="E2720" s="11">
        <f t="shared" si="211"/>
        <v>26</v>
      </c>
      <c r="F2720" s="12">
        <f t="shared" si="212"/>
        <v>83.333333333333343</v>
      </c>
      <c r="G2720" s="12" t="str">
        <f t="shared" si="213"/>
        <v>Warning</v>
      </c>
      <c r="H2720" s="13">
        <f t="shared" si="214"/>
        <v>6</v>
      </c>
      <c r="I2720" s="14">
        <f t="shared" si="210"/>
        <v>1817.2400000000002</v>
      </c>
      <c r="K2720" t="str">
        <f>[1]!revcom(C2720)</f>
        <v>TGGCCC</v>
      </c>
      <c r="L2720">
        <v>7</v>
      </c>
    </row>
    <row r="2721" spans="1:12" ht="15.6" x14ac:dyDescent="0.3">
      <c r="A2721" s="9">
        <v>2710</v>
      </c>
      <c r="B2721" s="1"/>
      <c r="C2721" s="2" t="s">
        <v>2716</v>
      </c>
      <c r="D2721" s="1"/>
      <c r="E2721" s="11">
        <f t="shared" si="211"/>
        <v>24</v>
      </c>
      <c r="F2721" s="12">
        <f t="shared" si="212"/>
        <v>100</v>
      </c>
      <c r="G2721" s="12" t="str">
        <f t="shared" si="213"/>
        <v>Warning</v>
      </c>
      <c r="H2721" s="13">
        <f t="shared" si="214"/>
        <v>6</v>
      </c>
      <c r="I2721" s="14">
        <f t="shared" si="210"/>
        <v>1793.21</v>
      </c>
      <c r="K2721" t="str">
        <f>[1]!revcom(C2721)</f>
        <v>GGGCCC</v>
      </c>
      <c r="L2721">
        <v>6</v>
      </c>
    </row>
    <row r="2722" spans="1:12" ht="15.6" x14ac:dyDescent="0.3">
      <c r="A2722" s="9">
        <v>2711</v>
      </c>
      <c r="B2722" s="1"/>
      <c r="C2722" s="2" t="s">
        <v>2717</v>
      </c>
      <c r="D2722" s="1"/>
      <c r="E2722" s="11">
        <f t="shared" si="211"/>
        <v>24</v>
      </c>
      <c r="F2722" s="12">
        <f t="shared" si="212"/>
        <v>100</v>
      </c>
      <c r="G2722" s="12" t="str">
        <f t="shared" si="213"/>
        <v>Warning</v>
      </c>
      <c r="H2722" s="13">
        <f t="shared" si="214"/>
        <v>6</v>
      </c>
      <c r="I2722" s="14">
        <f t="shared" si="210"/>
        <v>1833.2400000000002</v>
      </c>
      <c r="K2722" t="str">
        <f>[1]!revcom(C2722)</f>
        <v>CGGCCC</v>
      </c>
      <c r="L2722">
        <v>6</v>
      </c>
    </row>
    <row r="2723" spans="1:12" ht="15.6" x14ac:dyDescent="0.3">
      <c r="A2723" s="9">
        <v>2712</v>
      </c>
      <c r="B2723" s="1"/>
      <c r="C2723" s="2" t="s">
        <v>2718</v>
      </c>
      <c r="D2723" s="1"/>
      <c r="E2723" s="11">
        <f t="shared" si="211"/>
        <v>18</v>
      </c>
      <c r="F2723" s="12">
        <f t="shared" si="212"/>
        <v>83.333333333333343</v>
      </c>
      <c r="G2723" s="12" t="str">
        <f t="shared" si="213"/>
        <v>Warning</v>
      </c>
      <c r="H2723" s="13">
        <f t="shared" si="214"/>
        <v>6</v>
      </c>
      <c r="I2723" s="14">
        <f t="shared" si="210"/>
        <v>1808.2200000000003</v>
      </c>
      <c r="K2723" t="str">
        <f>[1]!revcom(C2723)</f>
        <v>AGGCCC</v>
      </c>
      <c r="L2723">
        <v>5</v>
      </c>
    </row>
    <row r="2724" spans="1:12" ht="15.6" x14ac:dyDescent="0.3">
      <c r="A2724" s="9">
        <v>2713</v>
      </c>
      <c r="B2724" s="1"/>
      <c r="C2724" s="2" t="s">
        <v>2719</v>
      </c>
      <c r="D2724" s="1"/>
      <c r="E2724" s="11">
        <f t="shared" si="211"/>
        <v>26</v>
      </c>
      <c r="F2724" s="12">
        <f t="shared" si="212"/>
        <v>83.333333333333343</v>
      </c>
      <c r="G2724" s="12" t="str">
        <f t="shared" si="213"/>
        <v>Warning</v>
      </c>
      <c r="H2724" s="13">
        <f t="shared" si="214"/>
        <v>6</v>
      </c>
      <c r="I2724" s="14">
        <f t="shared" si="210"/>
        <v>1857.27</v>
      </c>
      <c r="K2724" t="str">
        <f>[1]!revcom(C2724)</f>
        <v>TCGCCC</v>
      </c>
      <c r="L2724">
        <v>7</v>
      </c>
    </row>
    <row r="2725" spans="1:12" ht="15.6" x14ac:dyDescent="0.3">
      <c r="A2725" s="9">
        <v>2714</v>
      </c>
      <c r="B2725" s="1"/>
      <c r="C2725" s="2" t="s">
        <v>2720</v>
      </c>
      <c r="D2725" s="1"/>
      <c r="E2725" s="11">
        <f t="shared" si="211"/>
        <v>24</v>
      </c>
      <c r="F2725" s="12">
        <f t="shared" si="212"/>
        <v>100</v>
      </c>
      <c r="G2725" s="12" t="str">
        <f t="shared" si="213"/>
        <v>Warning</v>
      </c>
      <c r="H2725" s="13">
        <f t="shared" si="214"/>
        <v>6</v>
      </c>
      <c r="I2725" s="14">
        <f t="shared" si="210"/>
        <v>1833.2400000000002</v>
      </c>
      <c r="K2725" t="str">
        <f>[1]!revcom(C2725)</f>
        <v>GCGCCC</v>
      </c>
      <c r="L2725">
        <v>6</v>
      </c>
    </row>
    <row r="2726" spans="1:12" ht="15.6" x14ac:dyDescent="0.3">
      <c r="A2726" s="9">
        <v>2715</v>
      </c>
      <c r="B2726" s="1"/>
      <c r="C2726" s="2" t="s">
        <v>2721</v>
      </c>
      <c r="D2726" s="1"/>
      <c r="E2726" s="11">
        <f t="shared" si="211"/>
        <v>24</v>
      </c>
      <c r="F2726" s="12">
        <f t="shared" si="212"/>
        <v>100</v>
      </c>
      <c r="G2726" s="12" t="str">
        <f t="shared" si="213"/>
        <v>Warning</v>
      </c>
      <c r="H2726" s="13">
        <f t="shared" si="214"/>
        <v>6</v>
      </c>
      <c r="I2726" s="14">
        <f t="shared" si="210"/>
        <v>1873.27</v>
      </c>
      <c r="K2726" t="str">
        <f>[1]!revcom(C2726)</f>
        <v>CCGCCC</v>
      </c>
      <c r="L2726">
        <v>6</v>
      </c>
    </row>
    <row r="2727" spans="1:12" ht="15.6" x14ac:dyDescent="0.3">
      <c r="A2727" s="9">
        <v>2716</v>
      </c>
      <c r="B2727" s="1"/>
      <c r="C2727" s="2" t="s">
        <v>2722</v>
      </c>
      <c r="D2727" s="1"/>
      <c r="E2727" s="11">
        <f t="shared" si="211"/>
        <v>18</v>
      </c>
      <c r="F2727" s="12">
        <f t="shared" si="212"/>
        <v>83.333333333333343</v>
      </c>
      <c r="G2727" s="12" t="str">
        <f t="shared" si="213"/>
        <v>Warning</v>
      </c>
      <c r="H2727" s="13">
        <f t="shared" si="214"/>
        <v>6</v>
      </c>
      <c r="I2727" s="14">
        <f t="shared" si="210"/>
        <v>1848.25</v>
      </c>
      <c r="K2727" t="str">
        <f>[1]!revcom(C2727)</f>
        <v>ACGCCC</v>
      </c>
      <c r="L2727">
        <v>5</v>
      </c>
    </row>
    <row r="2728" spans="1:12" ht="15.6" x14ac:dyDescent="0.3">
      <c r="A2728" s="9">
        <v>2717</v>
      </c>
      <c r="B2728" s="1"/>
      <c r="C2728" s="2" t="s">
        <v>2723</v>
      </c>
      <c r="D2728" s="1"/>
      <c r="E2728" s="11">
        <f t="shared" si="211"/>
        <v>20</v>
      </c>
      <c r="F2728" s="12">
        <f t="shared" si="212"/>
        <v>66.666666666666657</v>
      </c>
      <c r="G2728" s="12" t="str">
        <f t="shared" si="213"/>
        <v>Warning</v>
      </c>
      <c r="H2728" s="13">
        <f t="shared" si="214"/>
        <v>6</v>
      </c>
      <c r="I2728" s="14">
        <f t="shared" si="210"/>
        <v>1832.25</v>
      </c>
      <c r="K2728" t="str">
        <f>[1]!revcom(C2728)</f>
        <v>TAGCCC</v>
      </c>
      <c r="L2728">
        <v>6</v>
      </c>
    </row>
    <row r="2729" spans="1:12" ht="15.6" x14ac:dyDescent="0.3">
      <c r="A2729" s="9">
        <v>2718</v>
      </c>
      <c r="B2729" s="1"/>
      <c r="C2729" s="2" t="s">
        <v>2724</v>
      </c>
      <c r="D2729" s="1"/>
      <c r="E2729" s="11">
        <f t="shared" si="211"/>
        <v>18</v>
      </c>
      <c r="F2729" s="12">
        <f t="shared" si="212"/>
        <v>83.333333333333343</v>
      </c>
      <c r="G2729" s="12" t="str">
        <f t="shared" si="213"/>
        <v>Warning</v>
      </c>
      <c r="H2729" s="13">
        <f t="shared" si="214"/>
        <v>6</v>
      </c>
      <c r="I2729" s="14">
        <f t="shared" si="210"/>
        <v>1808.2200000000003</v>
      </c>
      <c r="K2729" t="str">
        <f>[1]!revcom(C2729)</f>
        <v>GAGCCC</v>
      </c>
      <c r="L2729">
        <v>5</v>
      </c>
    </row>
    <row r="2730" spans="1:12" ht="15.6" x14ac:dyDescent="0.3">
      <c r="A2730" s="9">
        <v>2719</v>
      </c>
      <c r="B2730" s="1"/>
      <c r="C2730" s="2" t="s">
        <v>2725</v>
      </c>
      <c r="D2730" s="1"/>
      <c r="E2730" s="11">
        <f t="shared" si="211"/>
        <v>18</v>
      </c>
      <c r="F2730" s="12">
        <f t="shared" si="212"/>
        <v>83.333333333333343</v>
      </c>
      <c r="G2730" s="12" t="str">
        <f t="shared" si="213"/>
        <v>Warning</v>
      </c>
      <c r="H2730" s="13">
        <f t="shared" si="214"/>
        <v>6</v>
      </c>
      <c r="I2730" s="14">
        <f t="shared" si="210"/>
        <v>1848.25</v>
      </c>
      <c r="K2730" t="str">
        <f>[1]!revcom(C2730)</f>
        <v>CAGCCC</v>
      </c>
      <c r="L2730">
        <v>5</v>
      </c>
    </row>
    <row r="2731" spans="1:12" ht="15.6" x14ac:dyDescent="0.3">
      <c r="A2731" s="9">
        <v>2720</v>
      </c>
      <c r="B2731" s="1"/>
      <c r="C2731" s="2" t="s">
        <v>2726</v>
      </c>
      <c r="D2731" s="1"/>
      <c r="E2731" s="11">
        <f t="shared" si="211"/>
        <v>12</v>
      </c>
      <c r="F2731" s="12">
        <f t="shared" si="212"/>
        <v>66.666666666666657</v>
      </c>
      <c r="G2731" s="12" t="str">
        <f t="shared" si="213"/>
        <v>Warning</v>
      </c>
      <c r="H2731" s="13">
        <f t="shared" si="214"/>
        <v>6</v>
      </c>
      <c r="I2731" s="14">
        <f t="shared" si="210"/>
        <v>1823.23</v>
      </c>
      <c r="K2731" t="str">
        <f>[1]!revcom(C2731)</f>
        <v>AAGCCC</v>
      </c>
      <c r="L2731">
        <v>4</v>
      </c>
    </row>
    <row r="2732" spans="1:12" ht="15.6" x14ac:dyDescent="0.3">
      <c r="A2732" s="9">
        <v>2721</v>
      </c>
      <c r="B2732" s="1"/>
      <c r="C2732" s="2" t="s">
        <v>2727</v>
      </c>
      <c r="D2732" s="1"/>
      <c r="E2732" s="11">
        <f t="shared" si="211"/>
        <v>28</v>
      </c>
      <c r="F2732" s="12">
        <f t="shared" si="212"/>
        <v>66.666666666666657</v>
      </c>
      <c r="G2732" s="12" t="str">
        <f t="shared" si="213"/>
        <v>Warning</v>
      </c>
      <c r="H2732" s="13">
        <f t="shared" si="214"/>
        <v>6</v>
      </c>
      <c r="I2732" s="14">
        <f t="shared" si="210"/>
        <v>1881.3000000000002</v>
      </c>
      <c r="K2732" t="str">
        <f>[1]!revcom(C2732)</f>
        <v>TTCCCC</v>
      </c>
      <c r="L2732">
        <v>7</v>
      </c>
    </row>
    <row r="2733" spans="1:12" ht="15.6" x14ac:dyDescent="0.3">
      <c r="A2733" s="9">
        <v>2722</v>
      </c>
      <c r="B2733" s="1"/>
      <c r="C2733" s="2" t="s">
        <v>2728</v>
      </c>
      <c r="D2733" s="1"/>
      <c r="E2733" s="11">
        <f t="shared" si="211"/>
        <v>26</v>
      </c>
      <c r="F2733" s="12">
        <f t="shared" si="212"/>
        <v>83.333333333333343</v>
      </c>
      <c r="G2733" s="12" t="str">
        <f t="shared" si="213"/>
        <v>Warning</v>
      </c>
      <c r="H2733" s="13">
        <f t="shared" si="214"/>
        <v>6</v>
      </c>
      <c r="I2733" s="14">
        <f t="shared" si="210"/>
        <v>1857.27</v>
      </c>
      <c r="K2733" t="str">
        <f>[1]!revcom(C2733)</f>
        <v>GTCCCC</v>
      </c>
      <c r="L2733">
        <v>7</v>
      </c>
    </row>
    <row r="2734" spans="1:12" ht="15.6" x14ac:dyDescent="0.3">
      <c r="A2734" s="9">
        <v>2723</v>
      </c>
      <c r="B2734" s="1"/>
      <c r="C2734" s="2" t="s">
        <v>2729</v>
      </c>
      <c r="D2734" s="1"/>
      <c r="E2734" s="11">
        <f t="shared" si="211"/>
        <v>26</v>
      </c>
      <c r="F2734" s="12">
        <f t="shared" si="212"/>
        <v>83.333333333333343</v>
      </c>
      <c r="G2734" s="12" t="str">
        <f t="shared" si="213"/>
        <v>Warning</v>
      </c>
      <c r="H2734" s="13">
        <f t="shared" si="214"/>
        <v>6</v>
      </c>
      <c r="I2734" s="14">
        <f t="shared" si="210"/>
        <v>1897.3000000000002</v>
      </c>
      <c r="K2734" t="str">
        <f>[1]!revcom(C2734)</f>
        <v>CTCCCC</v>
      </c>
      <c r="L2734">
        <v>7</v>
      </c>
    </row>
    <row r="2735" spans="1:12" ht="15.6" x14ac:dyDescent="0.3">
      <c r="A2735" s="9">
        <v>2724</v>
      </c>
      <c r="B2735" s="1"/>
      <c r="C2735" s="2" t="s">
        <v>2730</v>
      </c>
      <c r="D2735" s="1"/>
      <c r="E2735" s="11">
        <f t="shared" si="211"/>
        <v>20</v>
      </c>
      <c r="F2735" s="12">
        <f t="shared" si="212"/>
        <v>66.666666666666657</v>
      </c>
      <c r="G2735" s="12" t="str">
        <f t="shared" si="213"/>
        <v>Warning</v>
      </c>
      <c r="H2735" s="13">
        <f t="shared" si="214"/>
        <v>6</v>
      </c>
      <c r="I2735" s="14">
        <f t="shared" si="210"/>
        <v>1872.2800000000002</v>
      </c>
      <c r="K2735" t="str">
        <f>[1]!revcom(C2735)</f>
        <v>ATCCCC</v>
      </c>
      <c r="L2735">
        <v>6</v>
      </c>
    </row>
    <row r="2736" spans="1:12" ht="15.6" x14ac:dyDescent="0.3">
      <c r="A2736" s="9">
        <v>2725</v>
      </c>
      <c r="B2736" s="1"/>
      <c r="C2736" s="2" t="s">
        <v>2731</v>
      </c>
      <c r="D2736" s="1"/>
      <c r="E2736" s="11">
        <f t="shared" si="211"/>
        <v>26</v>
      </c>
      <c r="F2736" s="12">
        <f t="shared" si="212"/>
        <v>83.333333333333343</v>
      </c>
      <c r="G2736" s="12" t="str">
        <f t="shared" si="213"/>
        <v>Warning</v>
      </c>
      <c r="H2736" s="13">
        <f t="shared" si="214"/>
        <v>6</v>
      </c>
      <c r="I2736" s="14">
        <f t="shared" si="210"/>
        <v>1857.27</v>
      </c>
      <c r="K2736" t="str">
        <f>[1]!revcom(C2736)</f>
        <v>TGCCCC</v>
      </c>
      <c r="L2736">
        <v>7</v>
      </c>
    </row>
    <row r="2737" spans="1:12" ht="15.6" x14ac:dyDescent="0.3">
      <c r="A2737" s="9">
        <v>2726</v>
      </c>
      <c r="B2737" s="1"/>
      <c r="C2737" s="2" t="s">
        <v>2732</v>
      </c>
      <c r="D2737" s="1"/>
      <c r="E2737" s="11">
        <f t="shared" si="211"/>
        <v>24</v>
      </c>
      <c r="F2737" s="12">
        <f t="shared" si="212"/>
        <v>100</v>
      </c>
      <c r="G2737" s="12" t="str">
        <f t="shared" si="213"/>
        <v>Warning</v>
      </c>
      <c r="H2737" s="13">
        <f t="shared" si="214"/>
        <v>6</v>
      </c>
      <c r="I2737" s="14">
        <f t="shared" si="210"/>
        <v>1833.2400000000002</v>
      </c>
      <c r="K2737" t="str">
        <f>[1]!revcom(C2737)</f>
        <v>GGCCCC</v>
      </c>
      <c r="L2737">
        <v>6</v>
      </c>
    </row>
    <row r="2738" spans="1:12" ht="15.6" x14ac:dyDescent="0.3">
      <c r="A2738" s="9">
        <v>2727</v>
      </c>
      <c r="B2738" s="1"/>
      <c r="C2738" s="2" t="s">
        <v>2733</v>
      </c>
      <c r="D2738" s="1"/>
      <c r="E2738" s="11">
        <f t="shared" si="211"/>
        <v>24</v>
      </c>
      <c r="F2738" s="12">
        <f t="shared" si="212"/>
        <v>100</v>
      </c>
      <c r="G2738" s="12" t="str">
        <f t="shared" si="213"/>
        <v>Warning</v>
      </c>
      <c r="H2738" s="13">
        <f t="shared" si="214"/>
        <v>6</v>
      </c>
      <c r="I2738" s="14">
        <f t="shared" si="210"/>
        <v>1873.27</v>
      </c>
      <c r="K2738" t="str">
        <f>[1]!revcom(C2738)</f>
        <v>CGCCCC</v>
      </c>
      <c r="L2738">
        <v>6</v>
      </c>
    </row>
    <row r="2739" spans="1:12" ht="15.6" x14ac:dyDescent="0.3">
      <c r="A2739" s="9">
        <v>2728</v>
      </c>
      <c r="B2739" s="1"/>
      <c r="C2739" s="2" t="s">
        <v>2734</v>
      </c>
      <c r="D2739" s="1"/>
      <c r="E2739" s="11">
        <f t="shared" si="211"/>
        <v>18</v>
      </c>
      <c r="F2739" s="12">
        <f t="shared" si="212"/>
        <v>83.333333333333343</v>
      </c>
      <c r="G2739" s="12" t="str">
        <f t="shared" si="213"/>
        <v>Warning</v>
      </c>
      <c r="H2739" s="13">
        <f t="shared" si="214"/>
        <v>6</v>
      </c>
      <c r="I2739" s="14">
        <f t="shared" si="210"/>
        <v>1848.25</v>
      </c>
      <c r="K2739" t="str">
        <f>[1]!revcom(C2739)</f>
        <v>AGCCCC</v>
      </c>
      <c r="L2739">
        <v>5</v>
      </c>
    </row>
    <row r="2740" spans="1:12" ht="15.6" x14ac:dyDescent="0.3">
      <c r="A2740" s="9">
        <v>2729</v>
      </c>
      <c r="B2740" s="1"/>
      <c r="C2740" s="2" t="s">
        <v>2735</v>
      </c>
      <c r="D2740" s="1"/>
      <c r="E2740" s="11">
        <f t="shared" si="211"/>
        <v>26</v>
      </c>
      <c r="F2740" s="12">
        <f t="shared" si="212"/>
        <v>83.333333333333343</v>
      </c>
      <c r="G2740" s="12" t="str">
        <f t="shared" si="213"/>
        <v>Warning</v>
      </c>
      <c r="H2740" s="13">
        <f t="shared" si="214"/>
        <v>6</v>
      </c>
      <c r="I2740" s="14">
        <f t="shared" si="210"/>
        <v>1897.3000000000002</v>
      </c>
      <c r="K2740" t="str">
        <f>[1]!revcom(C2740)</f>
        <v>TCCCCC</v>
      </c>
      <c r="L2740">
        <v>7</v>
      </c>
    </row>
    <row r="2741" spans="1:12" ht="15.6" x14ac:dyDescent="0.3">
      <c r="A2741" s="9">
        <v>2730</v>
      </c>
      <c r="B2741" s="1"/>
      <c r="C2741" s="2" t="s">
        <v>2736</v>
      </c>
      <c r="D2741" s="1"/>
      <c r="E2741" s="11">
        <f t="shared" si="211"/>
        <v>24</v>
      </c>
      <c r="F2741" s="12">
        <f t="shared" si="212"/>
        <v>100</v>
      </c>
      <c r="G2741" s="12" t="str">
        <f t="shared" si="213"/>
        <v>Warning</v>
      </c>
      <c r="H2741" s="13">
        <f t="shared" si="214"/>
        <v>6</v>
      </c>
      <c r="I2741" s="14">
        <f t="shared" si="210"/>
        <v>1873.27</v>
      </c>
      <c r="K2741" t="str">
        <f>[1]!revcom(C2741)</f>
        <v>GCCCCC</v>
      </c>
      <c r="L2741">
        <v>6</v>
      </c>
    </row>
    <row r="2742" spans="1:12" ht="15.6" x14ac:dyDescent="0.3">
      <c r="A2742" s="9">
        <v>2731</v>
      </c>
      <c r="B2742" s="1"/>
      <c r="C2742" s="2" t="s">
        <v>2737</v>
      </c>
      <c r="D2742" s="1"/>
      <c r="E2742" s="11">
        <f t="shared" si="211"/>
        <v>24</v>
      </c>
      <c r="F2742" s="12">
        <f t="shared" si="212"/>
        <v>100</v>
      </c>
      <c r="G2742" s="12" t="str">
        <f t="shared" si="213"/>
        <v>Warning</v>
      </c>
      <c r="H2742" s="13">
        <f t="shared" si="214"/>
        <v>6</v>
      </c>
      <c r="I2742" s="14">
        <f t="shared" si="210"/>
        <v>1913.3000000000002</v>
      </c>
      <c r="K2742" t="str">
        <f>[1]!revcom(C2742)</f>
        <v>CCCCCC</v>
      </c>
      <c r="L2742">
        <v>6</v>
      </c>
    </row>
    <row r="2743" spans="1:12" ht="15.6" x14ac:dyDescent="0.3">
      <c r="A2743" s="9">
        <v>2732</v>
      </c>
      <c r="B2743" s="1"/>
      <c r="C2743" s="2" t="s">
        <v>2738</v>
      </c>
      <c r="D2743" s="1"/>
      <c r="E2743" s="11">
        <f t="shared" si="211"/>
        <v>18</v>
      </c>
      <c r="F2743" s="12">
        <f t="shared" si="212"/>
        <v>83.333333333333343</v>
      </c>
      <c r="G2743" s="12" t="str">
        <f t="shared" si="213"/>
        <v>Warning</v>
      </c>
      <c r="H2743" s="13">
        <f t="shared" si="214"/>
        <v>6</v>
      </c>
      <c r="I2743" s="14">
        <f t="shared" si="210"/>
        <v>1888.2800000000002</v>
      </c>
      <c r="K2743" t="str">
        <f>[1]!revcom(C2743)</f>
        <v>ACCCCC</v>
      </c>
      <c r="L2743">
        <v>5</v>
      </c>
    </row>
    <row r="2744" spans="1:12" ht="15.6" x14ac:dyDescent="0.3">
      <c r="A2744" s="9">
        <v>2733</v>
      </c>
      <c r="B2744" s="1"/>
      <c r="C2744" s="2" t="s">
        <v>2739</v>
      </c>
      <c r="D2744" s="1"/>
      <c r="E2744" s="11">
        <f t="shared" si="211"/>
        <v>20</v>
      </c>
      <c r="F2744" s="12">
        <f t="shared" si="212"/>
        <v>66.666666666666657</v>
      </c>
      <c r="G2744" s="12" t="str">
        <f t="shared" si="213"/>
        <v>Warning</v>
      </c>
      <c r="H2744" s="13">
        <f t="shared" si="214"/>
        <v>6</v>
      </c>
      <c r="I2744" s="14">
        <f t="shared" si="210"/>
        <v>1872.2800000000002</v>
      </c>
      <c r="K2744" t="str">
        <f>[1]!revcom(C2744)</f>
        <v>TACCCC</v>
      </c>
      <c r="L2744">
        <v>6</v>
      </c>
    </row>
    <row r="2745" spans="1:12" ht="15.6" x14ac:dyDescent="0.3">
      <c r="A2745" s="9">
        <v>2734</v>
      </c>
      <c r="B2745" s="1"/>
      <c r="C2745" s="2" t="s">
        <v>2740</v>
      </c>
      <c r="D2745" s="1"/>
      <c r="E2745" s="11">
        <f t="shared" si="211"/>
        <v>18</v>
      </c>
      <c r="F2745" s="12">
        <f t="shared" si="212"/>
        <v>83.333333333333343</v>
      </c>
      <c r="G2745" s="12" t="str">
        <f t="shared" si="213"/>
        <v>Warning</v>
      </c>
      <c r="H2745" s="13">
        <f t="shared" si="214"/>
        <v>6</v>
      </c>
      <c r="I2745" s="14">
        <f t="shared" si="210"/>
        <v>1848.25</v>
      </c>
      <c r="K2745" t="str">
        <f>[1]!revcom(C2745)</f>
        <v>GACCCC</v>
      </c>
      <c r="L2745">
        <v>5</v>
      </c>
    </row>
    <row r="2746" spans="1:12" ht="15.6" x14ac:dyDescent="0.3">
      <c r="A2746" s="9">
        <v>2735</v>
      </c>
      <c r="B2746" s="1"/>
      <c r="C2746" s="2" t="s">
        <v>2741</v>
      </c>
      <c r="D2746" s="1"/>
      <c r="E2746" s="11">
        <f t="shared" si="211"/>
        <v>18</v>
      </c>
      <c r="F2746" s="12">
        <f t="shared" si="212"/>
        <v>83.333333333333343</v>
      </c>
      <c r="G2746" s="12" t="str">
        <f t="shared" si="213"/>
        <v>Warning</v>
      </c>
      <c r="H2746" s="13">
        <f t="shared" si="214"/>
        <v>6</v>
      </c>
      <c r="I2746" s="14">
        <f t="shared" si="210"/>
        <v>1888.2800000000002</v>
      </c>
      <c r="K2746" t="str">
        <f>[1]!revcom(C2746)</f>
        <v>CACCCC</v>
      </c>
      <c r="L2746">
        <v>5</v>
      </c>
    </row>
    <row r="2747" spans="1:12" ht="15.6" x14ac:dyDescent="0.3">
      <c r="A2747" s="9">
        <v>2736</v>
      </c>
      <c r="B2747" s="1"/>
      <c r="C2747" s="2" t="s">
        <v>2742</v>
      </c>
      <c r="D2747" s="1"/>
      <c r="E2747" s="11">
        <f t="shared" si="211"/>
        <v>12</v>
      </c>
      <c r="F2747" s="12">
        <f t="shared" si="212"/>
        <v>66.666666666666657</v>
      </c>
      <c r="G2747" s="12" t="str">
        <f t="shared" si="213"/>
        <v>Warning</v>
      </c>
      <c r="H2747" s="13">
        <f t="shared" si="214"/>
        <v>6</v>
      </c>
      <c r="I2747" s="14">
        <f t="shared" si="210"/>
        <v>1863.2600000000002</v>
      </c>
      <c r="K2747" t="str">
        <f>[1]!revcom(C2747)</f>
        <v>AACCCC</v>
      </c>
      <c r="L2747">
        <v>4</v>
      </c>
    </row>
    <row r="2748" spans="1:12" ht="15.6" x14ac:dyDescent="0.3">
      <c r="A2748" s="9">
        <v>2737</v>
      </c>
      <c r="B2748" s="1"/>
      <c r="C2748" s="2" t="s">
        <v>2743</v>
      </c>
      <c r="D2748" s="1"/>
      <c r="E2748" s="11">
        <f t="shared" si="211"/>
        <v>22</v>
      </c>
      <c r="F2748" s="12">
        <f t="shared" si="212"/>
        <v>50</v>
      </c>
      <c r="G2748" s="12" t="str">
        <f t="shared" si="213"/>
        <v>OK</v>
      </c>
      <c r="H2748" s="13">
        <f t="shared" si="214"/>
        <v>6</v>
      </c>
      <c r="I2748" s="14">
        <f t="shared" si="210"/>
        <v>1856.2800000000002</v>
      </c>
      <c r="K2748" t="str">
        <f>[1]!revcom(C2748)</f>
        <v>TTACCC</v>
      </c>
      <c r="L2748">
        <v>6</v>
      </c>
    </row>
    <row r="2749" spans="1:12" ht="15.6" x14ac:dyDescent="0.3">
      <c r="A2749" s="9">
        <v>2738</v>
      </c>
      <c r="B2749" s="1"/>
      <c r="C2749" s="2" t="s">
        <v>2744</v>
      </c>
      <c r="D2749" s="1"/>
      <c r="E2749" s="11">
        <f t="shared" si="211"/>
        <v>20</v>
      </c>
      <c r="F2749" s="12">
        <f t="shared" si="212"/>
        <v>66.666666666666657</v>
      </c>
      <c r="G2749" s="12" t="str">
        <f t="shared" si="213"/>
        <v>Warning</v>
      </c>
      <c r="H2749" s="13">
        <f t="shared" si="214"/>
        <v>6</v>
      </c>
      <c r="I2749" s="14">
        <f t="shared" si="210"/>
        <v>1832.25</v>
      </c>
      <c r="K2749" t="str">
        <f>[1]!revcom(C2749)</f>
        <v>GTACCC</v>
      </c>
      <c r="L2749">
        <v>6</v>
      </c>
    </row>
    <row r="2750" spans="1:12" ht="15.6" x14ac:dyDescent="0.3">
      <c r="A2750" s="9">
        <v>2739</v>
      </c>
      <c r="B2750" s="1"/>
      <c r="C2750" s="2" t="s">
        <v>2745</v>
      </c>
      <c r="D2750" s="1"/>
      <c r="E2750" s="11">
        <f t="shared" si="211"/>
        <v>20</v>
      </c>
      <c r="F2750" s="12">
        <f t="shared" si="212"/>
        <v>66.666666666666657</v>
      </c>
      <c r="G2750" s="12" t="str">
        <f t="shared" si="213"/>
        <v>Warning</v>
      </c>
      <c r="H2750" s="13">
        <f t="shared" si="214"/>
        <v>6</v>
      </c>
      <c r="I2750" s="14">
        <f t="shared" si="210"/>
        <v>1872.2800000000002</v>
      </c>
      <c r="K2750" t="str">
        <f>[1]!revcom(C2750)</f>
        <v>CTACCC</v>
      </c>
      <c r="L2750">
        <v>6</v>
      </c>
    </row>
    <row r="2751" spans="1:12" ht="15.6" x14ac:dyDescent="0.3">
      <c r="A2751" s="9">
        <v>2740</v>
      </c>
      <c r="B2751" s="1"/>
      <c r="C2751" s="2" t="s">
        <v>2746</v>
      </c>
      <c r="D2751" s="1"/>
      <c r="E2751" s="11">
        <f t="shared" si="211"/>
        <v>14</v>
      </c>
      <c r="F2751" s="12">
        <f t="shared" si="212"/>
        <v>50</v>
      </c>
      <c r="G2751" s="12" t="str">
        <f t="shared" si="213"/>
        <v>OK</v>
      </c>
      <c r="H2751" s="13">
        <f t="shared" si="214"/>
        <v>6</v>
      </c>
      <c r="I2751" s="14">
        <f t="shared" si="210"/>
        <v>1847.2600000000002</v>
      </c>
      <c r="K2751" t="str">
        <f>[1]!revcom(C2751)</f>
        <v>ATACCC</v>
      </c>
      <c r="L2751">
        <v>5</v>
      </c>
    </row>
    <row r="2752" spans="1:12" ht="15.6" x14ac:dyDescent="0.3">
      <c r="A2752" s="9">
        <v>2741</v>
      </c>
      <c r="B2752" s="1"/>
      <c r="C2752" s="2" t="s">
        <v>2747</v>
      </c>
      <c r="D2752" s="1"/>
      <c r="E2752" s="11">
        <f t="shared" si="211"/>
        <v>20</v>
      </c>
      <c r="F2752" s="12">
        <f t="shared" si="212"/>
        <v>66.666666666666657</v>
      </c>
      <c r="G2752" s="12" t="str">
        <f t="shared" si="213"/>
        <v>Warning</v>
      </c>
      <c r="H2752" s="13">
        <f t="shared" si="214"/>
        <v>6</v>
      </c>
      <c r="I2752" s="14">
        <f t="shared" si="210"/>
        <v>1832.25</v>
      </c>
      <c r="K2752" t="str">
        <f>[1]!revcom(C2752)</f>
        <v>TGACCC</v>
      </c>
      <c r="L2752">
        <v>6</v>
      </c>
    </row>
    <row r="2753" spans="1:12" ht="15.6" x14ac:dyDescent="0.3">
      <c r="A2753" s="9">
        <v>2742</v>
      </c>
      <c r="B2753" s="1"/>
      <c r="C2753" s="2" t="s">
        <v>2748</v>
      </c>
      <c r="D2753" s="1"/>
      <c r="E2753" s="11">
        <f t="shared" si="211"/>
        <v>18</v>
      </c>
      <c r="F2753" s="12">
        <f t="shared" si="212"/>
        <v>83.333333333333343</v>
      </c>
      <c r="G2753" s="12" t="str">
        <f t="shared" si="213"/>
        <v>Warning</v>
      </c>
      <c r="H2753" s="13">
        <f t="shared" si="214"/>
        <v>6</v>
      </c>
      <c r="I2753" s="14">
        <f t="shared" si="210"/>
        <v>1808.2200000000003</v>
      </c>
      <c r="K2753" t="str">
        <f>[1]!revcom(C2753)</f>
        <v>GGACCC</v>
      </c>
      <c r="L2753">
        <v>5</v>
      </c>
    </row>
    <row r="2754" spans="1:12" ht="15.6" x14ac:dyDescent="0.3">
      <c r="A2754" s="9">
        <v>2743</v>
      </c>
      <c r="B2754" s="1"/>
      <c r="C2754" s="2" t="s">
        <v>2749</v>
      </c>
      <c r="D2754" s="1"/>
      <c r="E2754" s="11">
        <f t="shared" si="211"/>
        <v>18</v>
      </c>
      <c r="F2754" s="12">
        <f t="shared" si="212"/>
        <v>83.333333333333343</v>
      </c>
      <c r="G2754" s="12" t="str">
        <f t="shared" si="213"/>
        <v>Warning</v>
      </c>
      <c r="H2754" s="13">
        <f t="shared" si="214"/>
        <v>6</v>
      </c>
      <c r="I2754" s="14">
        <f t="shared" si="210"/>
        <v>1848.25</v>
      </c>
      <c r="K2754" t="str">
        <f>[1]!revcom(C2754)</f>
        <v>CGACCC</v>
      </c>
      <c r="L2754">
        <v>5</v>
      </c>
    </row>
    <row r="2755" spans="1:12" ht="15.6" x14ac:dyDescent="0.3">
      <c r="A2755" s="9">
        <v>2744</v>
      </c>
      <c r="B2755" s="1"/>
      <c r="C2755" s="2" t="s">
        <v>2750</v>
      </c>
      <c r="D2755" s="1"/>
      <c r="E2755" s="11">
        <f t="shared" si="211"/>
        <v>12</v>
      </c>
      <c r="F2755" s="12">
        <f t="shared" si="212"/>
        <v>66.666666666666657</v>
      </c>
      <c r="G2755" s="12" t="str">
        <f t="shared" si="213"/>
        <v>Warning</v>
      </c>
      <c r="H2755" s="13">
        <f t="shared" si="214"/>
        <v>6</v>
      </c>
      <c r="I2755" s="14">
        <f t="shared" si="210"/>
        <v>1823.23</v>
      </c>
      <c r="K2755" t="str">
        <f>[1]!revcom(C2755)</f>
        <v>AGACCC</v>
      </c>
      <c r="L2755">
        <v>4</v>
      </c>
    </row>
    <row r="2756" spans="1:12" ht="15.6" x14ac:dyDescent="0.3">
      <c r="A2756" s="9">
        <v>2745</v>
      </c>
      <c r="B2756" s="1"/>
      <c r="C2756" s="2" t="s">
        <v>2751</v>
      </c>
      <c r="D2756" s="1"/>
      <c r="E2756" s="11">
        <f t="shared" si="211"/>
        <v>20</v>
      </c>
      <c r="F2756" s="12">
        <f t="shared" si="212"/>
        <v>66.666666666666657</v>
      </c>
      <c r="G2756" s="12" t="str">
        <f t="shared" si="213"/>
        <v>Warning</v>
      </c>
      <c r="H2756" s="13">
        <f t="shared" si="214"/>
        <v>6</v>
      </c>
      <c r="I2756" s="14">
        <f t="shared" si="210"/>
        <v>1872.2800000000002</v>
      </c>
      <c r="K2756" t="str">
        <f>[1]!revcom(C2756)</f>
        <v>TCACCC</v>
      </c>
      <c r="L2756">
        <v>6</v>
      </c>
    </row>
    <row r="2757" spans="1:12" ht="15.6" x14ac:dyDescent="0.3">
      <c r="A2757" s="9">
        <v>2746</v>
      </c>
      <c r="B2757" s="1"/>
      <c r="C2757" s="2" t="s">
        <v>2752</v>
      </c>
      <c r="D2757" s="1"/>
      <c r="E2757" s="11">
        <f t="shared" si="211"/>
        <v>18</v>
      </c>
      <c r="F2757" s="12">
        <f t="shared" si="212"/>
        <v>83.333333333333343</v>
      </c>
      <c r="G2757" s="12" t="str">
        <f t="shared" si="213"/>
        <v>Warning</v>
      </c>
      <c r="H2757" s="13">
        <f t="shared" si="214"/>
        <v>6</v>
      </c>
      <c r="I2757" s="14">
        <f t="shared" si="210"/>
        <v>1848.25</v>
      </c>
      <c r="K2757" t="str">
        <f>[1]!revcom(C2757)</f>
        <v>GCACCC</v>
      </c>
      <c r="L2757">
        <v>5</v>
      </c>
    </row>
    <row r="2758" spans="1:12" ht="15.6" x14ac:dyDescent="0.3">
      <c r="A2758" s="9">
        <v>2747</v>
      </c>
      <c r="B2758" s="1"/>
      <c r="C2758" s="2" t="s">
        <v>2753</v>
      </c>
      <c r="D2758" s="1"/>
      <c r="E2758" s="11">
        <f t="shared" si="211"/>
        <v>18</v>
      </c>
      <c r="F2758" s="12">
        <f t="shared" si="212"/>
        <v>83.333333333333343</v>
      </c>
      <c r="G2758" s="12" t="str">
        <f t="shared" si="213"/>
        <v>Warning</v>
      </c>
      <c r="H2758" s="13">
        <f t="shared" si="214"/>
        <v>6</v>
      </c>
      <c r="I2758" s="14">
        <f t="shared" si="210"/>
        <v>1888.2800000000002</v>
      </c>
      <c r="K2758" t="str">
        <f>[1]!revcom(C2758)</f>
        <v>CCACCC</v>
      </c>
      <c r="L2758">
        <v>5</v>
      </c>
    </row>
    <row r="2759" spans="1:12" ht="15.6" x14ac:dyDescent="0.3">
      <c r="A2759" s="9">
        <v>2748</v>
      </c>
      <c r="B2759" s="1"/>
      <c r="C2759" s="2" t="s">
        <v>2754</v>
      </c>
      <c r="D2759" s="1"/>
      <c r="E2759" s="11">
        <f t="shared" si="211"/>
        <v>12</v>
      </c>
      <c r="F2759" s="12">
        <f t="shared" si="212"/>
        <v>66.666666666666657</v>
      </c>
      <c r="G2759" s="12" t="str">
        <f t="shared" si="213"/>
        <v>Warning</v>
      </c>
      <c r="H2759" s="13">
        <f t="shared" si="214"/>
        <v>6</v>
      </c>
      <c r="I2759" s="14">
        <f t="shared" si="210"/>
        <v>1863.2600000000002</v>
      </c>
      <c r="K2759" t="str">
        <f>[1]!revcom(C2759)</f>
        <v>ACACCC</v>
      </c>
      <c r="L2759">
        <v>4</v>
      </c>
    </row>
    <row r="2760" spans="1:12" ht="15.6" x14ac:dyDescent="0.3">
      <c r="A2760" s="9">
        <v>2749</v>
      </c>
      <c r="B2760" s="1"/>
      <c r="C2760" s="2" t="s">
        <v>2755</v>
      </c>
      <c r="D2760" s="1"/>
      <c r="E2760" s="11">
        <f t="shared" si="211"/>
        <v>14</v>
      </c>
      <c r="F2760" s="12">
        <f t="shared" si="212"/>
        <v>50</v>
      </c>
      <c r="G2760" s="12" t="str">
        <f t="shared" si="213"/>
        <v>OK</v>
      </c>
      <c r="H2760" s="13">
        <f t="shared" si="214"/>
        <v>6</v>
      </c>
      <c r="I2760" s="14">
        <f t="shared" si="210"/>
        <v>1847.2600000000002</v>
      </c>
      <c r="K2760" t="str">
        <f>[1]!revcom(C2760)</f>
        <v>TAACCC</v>
      </c>
      <c r="L2760">
        <v>5</v>
      </c>
    </row>
    <row r="2761" spans="1:12" ht="15.6" x14ac:dyDescent="0.3">
      <c r="A2761" s="9">
        <v>2750</v>
      </c>
      <c r="B2761" s="1"/>
      <c r="C2761" s="2" t="s">
        <v>2756</v>
      </c>
      <c r="D2761" s="1"/>
      <c r="E2761" s="11">
        <f t="shared" si="211"/>
        <v>12</v>
      </c>
      <c r="F2761" s="12">
        <f t="shared" si="212"/>
        <v>66.666666666666657</v>
      </c>
      <c r="G2761" s="12" t="str">
        <f t="shared" si="213"/>
        <v>Warning</v>
      </c>
      <c r="H2761" s="13">
        <f t="shared" si="214"/>
        <v>6</v>
      </c>
      <c r="I2761" s="14">
        <f t="shared" si="210"/>
        <v>1823.23</v>
      </c>
      <c r="K2761" t="str">
        <f>[1]!revcom(C2761)</f>
        <v>GAACCC</v>
      </c>
      <c r="L2761">
        <v>4</v>
      </c>
    </row>
    <row r="2762" spans="1:12" ht="15.6" x14ac:dyDescent="0.3">
      <c r="A2762" s="9">
        <v>2751</v>
      </c>
      <c r="B2762" s="1"/>
      <c r="C2762" s="2" t="s">
        <v>2757</v>
      </c>
      <c r="D2762" s="1"/>
      <c r="E2762" s="11">
        <f t="shared" si="211"/>
        <v>12</v>
      </c>
      <c r="F2762" s="12">
        <f t="shared" si="212"/>
        <v>66.666666666666657</v>
      </c>
      <c r="G2762" s="12" t="str">
        <f t="shared" si="213"/>
        <v>Warning</v>
      </c>
      <c r="H2762" s="13">
        <f t="shared" si="214"/>
        <v>6</v>
      </c>
      <c r="I2762" s="14">
        <f t="shared" si="210"/>
        <v>1863.2600000000002</v>
      </c>
      <c r="K2762" t="str">
        <f>[1]!revcom(C2762)</f>
        <v>CAACCC</v>
      </c>
      <c r="L2762">
        <v>4</v>
      </c>
    </row>
    <row r="2763" spans="1:12" ht="15.6" x14ac:dyDescent="0.3">
      <c r="A2763" s="9">
        <v>2752</v>
      </c>
      <c r="B2763" s="1"/>
      <c r="C2763" s="2" t="s">
        <v>2758</v>
      </c>
      <c r="D2763" s="1"/>
      <c r="E2763" s="11">
        <f t="shared" si="211"/>
        <v>6</v>
      </c>
      <c r="F2763" s="12">
        <f t="shared" si="212"/>
        <v>50</v>
      </c>
      <c r="G2763" s="12" t="str">
        <f t="shared" si="213"/>
        <v>OK</v>
      </c>
      <c r="H2763" s="13">
        <f t="shared" si="214"/>
        <v>6</v>
      </c>
      <c r="I2763" s="14">
        <f t="shared" si="210"/>
        <v>1838.2400000000002</v>
      </c>
      <c r="K2763" t="str">
        <f>[1]!revcom(C2763)</f>
        <v>AAACCC</v>
      </c>
      <c r="L2763">
        <v>3</v>
      </c>
    </row>
    <row r="2764" spans="1:12" ht="15.6" x14ac:dyDescent="0.3">
      <c r="A2764" s="9">
        <v>2753</v>
      </c>
      <c r="B2764" s="1"/>
      <c r="C2764" s="2" t="s">
        <v>2759</v>
      </c>
      <c r="D2764" s="1"/>
      <c r="E2764" s="11">
        <f t="shared" si="211"/>
        <v>24</v>
      </c>
      <c r="F2764" s="12">
        <f t="shared" si="212"/>
        <v>33.333333333333329</v>
      </c>
      <c r="G2764" s="12" t="str">
        <f t="shared" si="213"/>
        <v>OK</v>
      </c>
      <c r="H2764" s="13">
        <f t="shared" si="214"/>
        <v>6</v>
      </c>
      <c r="I2764" s="14">
        <f t="shared" si="210"/>
        <v>1840.2800000000002</v>
      </c>
      <c r="K2764" t="str">
        <f>[1]!revcom(C2764)</f>
        <v>TTTACC</v>
      </c>
      <c r="L2764">
        <v>6</v>
      </c>
    </row>
    <row r="2765" spans="1:12" ht="15.6" x14ac:dyDescent="0.3">
      <c r="A2765" s="9">
        <v>2754</v>
      </c>
      <c r="B2765" s="1"/>
      <c r="C2765" s="2" t="s">
        <v>2760</v>
      </c>
      <c r="D2765" s="1"/>
      <c r="E2765" s="11">
        <f t="shared" si="211"/>
        <v>22</v>
      </c>
      <c r="F2765" s="12">
        <f t="shared" si="212"/>
        <v>50</v>
      </c>
      <c r="G2765" s="12" t="str">
        <f t="shared" si="213"/>
        <v>OK</v>
      </c>
      <c r="H2765" s="13">
        <f t="shared" si="214"/>
        <v>6</v>
      </c>
      <c r="I2765" s="14">
        <f t="shared" ref="I2765:I2828" si="215">((LEN(C2765)-(LEN(SUBSTITUTE(C2765,"A",""))))*249.23)+((LEN(C2765)-(LEN(SUBSTITUTE(C2765,"T",""))))*240.21)+((LEN(C2765)-(LEN(SUBSTITUTE(C2765,"C",""))))*225.2)+((LEN(C2765)-(LEN(SUBSTITUTE(C2765,"G",""))))*265.23)+(63.98*(LEN(C2765)-1)+(2.02))</f>
        <v>1816.25</v>
      </c>
      <c r="K2765" t="str">
        <f>[1]!revcom(C2765)</f>
        <v>GTTACC</v>
      </c>
      <c r="L2765">
        <v>6</v>
      </c>
    </row>
    <row r="2766" spans="1:12" ht="15.6" x14ac:dyDescent="0.3">
      <c r="A2766" s="9">
        <v>2755</v>
      </c>
      <c r="B2766" s="1"/>
      <c r="C2766" s="2" t="s">
        <v>2761</v>
      </c>
      <c r="D2766" s="1"/>
      <c r="E2766" s="11">
        <f t="shared" ref="E2766:E2829" si="216">IF(LEN(C2766)&gt;15,(69.3+((41*((LEN(C2766)-(((LEN(C2766)-(LEN(SUBSTITUTE(C2766,"A",""))))+((LEN(C2766)-(LEN(SUBSTITUTE(C2766,"T","")))))))))/(LEN(C2766)))-(650/(LEN(C2766))))),(2*((LEN(C2766)-(((LEN(C2766)-(LEN(SUBSTITUTE(C2766,"C",""))))+((LEN(C2766)-(LEN(SUBSTITUTE(C2766,"G",""))))))))))+(4*((LEN(C2766)-(((LEN(C2766)-(LEN(SUBSTITUTE(C2766,"T",""))))+((LEN(C2766)-(LEN(SUBSTITUTE(C2766,"T","")))))))))))</f>
        <v>22</v>
      </c>
      <c r="F2766" s="12">
        <f t="shared" ref="F2766:F2829" si="217">((LEN(C2766)- LEN(SUBSTITUTE(C2766,"G","")))+(LEN(C2766)- LEN(SUBSTITUTE(C2766,"C",""))) )/LEN(C2766)*100</f>
        <v>50</v>
      </c>
      <c r="G2766" s="12" t="str">
        <f t="shared" ref="G2766:G2829" si="218">IF((-5+((LEN(SUBSTITUTE(RIGHT(C2766,5),"C","")))+((LEN(SUBSTITUTE(RIGHT(C2766,5),"G",""))))))&gt;=3,"OK","Warning")</f>
        <v>OK</v>
      </c>
      <c r="H2766" s="13">
        <f t="shared" ref="H2766:H2829" si="219">LEN(C2766)</f>
        <v>6</v>
      </c>
      <c r="I2766" s="14">
        <f t="shared" si="215"/>
        <v>1856.2800000000002</v>
      </c>
      <c r="K2766" t="str">
        <f>[1]!revcom(C2766)</f>
        <v>CTTACC</v>
      </c>
      <c r="L2766">
        <v>6</v>
      </c>
    </row>
    <row r="2767" spans="1:12" ht="15.6" x14ac:dyDescent="0.3">
      <c r="A2767" s="9">
        <v>2756</v>
      </c>
      <c r="B2767" s="1"/>
      <c r="C2767" s="2" t="s">
        <v>2762</v>
      </c>
      <c r="D2767" s="1"/>
      <c r="E2767" s="11">
        <f t="shared" si="216"/>
        <v>16</v>
      </c>
      <c r="F2767" s="12">
        <f t="shared" si="217"/>
        <v>33.333333333333329</v>
      </c>
      <c r="G2767" s="12" t="str">
        <f t="shared" si="218"/>
        <v>OK</v>
      </c>
      <c r="H2767" s="13">
        <f t="shared" si="219"/>
        <v>6</v>
      </c>
      <c r="I2767" s="14">
        <f t="shared" si="215"/>
        <v>1831.2600000000002</v>
      </c>
      <c r="K2767" t="str">
        <f>[1]!revcom(C2767)</f>
        <v>ATTACC</v>
      </c>
      <c r="L2767">
        <v>5</v>
      </c>
    </row>
    <row r="2768" spans="1:12" ht="15.6" x14ac:dyDescent="0.3">
      <c r="A2768" s="9">
        <v>2757</v>
      </c>
      <c r="B2768" s="1"/>
      <c r="C2768" s="2" t="s">
        <v>2763</v>
      </c>
      <c r="D2768" s="1"/>
      <c r="E2768" s="11">
        <f t="shared" si="216"/>
        <v>22</v>
      </c>
      <c r="F2768" s="12">
        <f t="shared" si="217"/>
        <v>50</v>
      </c>
      <c r="G2768" s="12" t="str">
        <f t="shared" si="218"/>
        <v>OK</v>
      </c>
      <c r="H2768" s="13">
        <f t="shared" si="219"/>
        <v>6</v>
      </c>
      <c r="I2768" s="14">
        <f t="shared" si="215"/>
        <v>1816.25</v>
      </c>
      <c r="K2768" t="str">
        <f>[1]!revcom(C2768)</f>
        <v>TGTACC</v>
      </c>
      <c r="L2768">
        <v>6</v>
      </c>
    </row>
    <row r="2769" spans="1:12" ht="15.6" x14ac:dyDescent="0.3">
      <c r="A2769" s="9">
        <v>2758</v>
      </c>
      <c r="B2769" s="1"/>
      <c r="C2769" s="2" t="s">
        <v>2764</v>
      </c>
      <c r="D2769" s="1"/>
      <c r="E2769" s="11">
        <f t="shared" si="216"/>
        <v>20</v>
      </c>
      <c r="F2769" s="12">
        <f t="shared" si="217"/>
        <v>66.666666666666657</v>
      </c>
      <c r="G2769" s="12" t="str">
        <f t="shared" si="218"/>
        <v>Warning</v>
      </c>
      <c r="H2769" s="13">
        <f t="shared" si="219"/>
        <v>6</v>
      </c>
      <c r="I2769" s="14">
        <f t="shared" si="215"/>
        <v>1792.2199999999998</v>
      </c>
      <c r="K2769" t="str">
        <f>[1]!revcom(C2769)</f>
        <v>GGTACC</v>
      </c>
      <c r="L2769">
        <v>6</v>
      </c>
    </row>
    <row r="2770" spans="1:12" ht="15.6" x14ac:dyDescent="0.3">
      <c r="A2770" s="9">
        <v>2759</v>
      </c>
      <c r="B2770" s="1"/>
      <c r="C2770" s="2" t="s">
        <v>2765</v>
      </c>
      <c r="D2770" s="1"/>
      <c r="E2770" s="11">
        <f t="shared" si="216"/>
        <v>20</v>
      </c>
      <c r="F2770" s="12">
        <f t="shared" si="217"/>
        <v>66.666666666666657</v>
      </c>
      <c r="G2770" s="12" t="str">
        <f t="shared" si="218"/>
        <v>Warning</v>
      </c>
      <c r="H2770" s="13">
        <f t="shared" si="219"/>
        <v>6</v>
      </c>
      <c r="I2770" s="14">
        <f t="shared" si="215"/>
        <v>1832.25</v>
      </c>
      <c r="K2770" t="str">
        <f>[1]!revcom(C2770)</f>
        <v>CGTACC</v>
      </c>
      <c r="L2770">
        <v>6</v>
      </c>
    </row>
    <row r="2771" spans="1:12" ht="15.6" x14ac:dyDescent="0.3">
      <c r="A2771" s="9">
        <v>2760</v>
      </c>
      <c r="B2771" s="1"/>
      <c r="C2771" s="2" t="s">
        <v>2766</v>
      </c>
      <c r="D2771" s="1"/>
      <c r="E2771" s="11">
        <f t="shared" si="216"/>
        <v>14</v>
      </c>
      <c r="F2771" s="12">
        <f t="shared" si="217"/>
        <v>50</v>
      </c>
      <c r="G2771" s="12" t="str">
        <f t="shared" si="218"/>
        <v>OK</v>
      </c>
      <c r="H2771" s="13">
        <f t="shared" si="219"/>
        <v>6</v>
      </c>
      <c r="I2771" s="14">
        <f t="shared" si="215"/>
        <v>1807.23</v>
      </c>
      <c r="K2771" t="str">
        <f>[1]!revcom(C2771)</f>
        <v>AGTACC</v>
      </c>
      <c r="L2771">
        <v>5</v>
      </c>
    </row>
    <row r="2772" spans="1:12" ht="15.6" x14ac:dyDescent="0.3">
      <c r="A2772" s="9">
        <v>2761</v>
      </c>
      <c r="B2772" s="1"/>
      <c r="C2772" s="2" t="s">
        <v>2767</v>
      </c>
      <c r="D2772" s="1"/>
      <c r="E2772" s="11">
        <f t="shared" si="216"/>
        <v>22</v>
      </c>
      <c r="F2772" s="12">
        <f t="shared" si="217"/>
        <v>50</v>
      </c>
      <c r="G2772" s="12" t="str">
        <f t="shared" si="218"/>
        <v>OK</v>
      </c>
      <c r="H2772" s="13">
        <f t="shared" si="219"/>
        <v>6</v>
      </c>
      <c r="I2772" s="14">
        <f t="shared" si="215"/>
        <v>1856.2800000000002</v>
      </c>
      <c r="K2772" t="str">
        <f>[1]!revcom(C2772)</f>
        <v>TCTACC</v>
      </c>
      <c r="L2772">
        <v>6</v>
      </c>
    </row>
    <row r="2773" spans="1:12" ht="15.6" x14ac:dyDescent="0.3">
      <c r="A2773" s="9">
        <v>2762</v>
      </c>
      <c r="B2773" s="1"/>
      <c r="C2773" s="2" t="s">
        <v>2768</v>
      </c>
      <c r="D2773" s="1"/>
      <c r="E2773" s="11">
        <f t="shared" si="216"/>
        <v>20</v>
      </c>
      <c r="F2773" s="12">
        <f t="shared" si="217"/>
        <v>66.666666666666657</v>
      </c>
      <c r="G2773" s="12" t="str">
        <f t="shared" si="218"/>
        <v>Warning</v>
      </c>
      <c r="H2773" s="13">
        <f t="shared" si="219"/>
        <v>6</v>
      </c>
      <c r="I2773" s="14">
        <f t="shared" si="215"/>
        <v>1832.25</v>
      </c>
      <c r="K2773" t="str">
        <f>[1]!revcom(C2773)</f>
        <v>GCTACC</v>
      </c>
      <c r="L2773">
        <v>6</v>
      </c>
    </row>
    <row r="2774" spans="1:12" ht="15.6" x14ac:dyDescent="0.3">
      <c r="A2774" s="9">
        <v>2763</v>
      </c>
      <c r="B2774" s="1"/>
      <c r="C2774" s="2" t="s">
        <v>2769</v>
      </c>
      <c r="D2774" s="1"/>
      <c r="E2774" s="11">
        <f t="shared" si="216"/>
        <v>20</v>
      </c>
      <c r="F2774" s="12">
        <f t="shared" si="217"/>
        <v>66.666666666666657</v>
      </c>
      <c r="G2774" s="12" t="str">
        <f t="shared" si="218"/>
        <v>Warning</v>
      </c>
      <c r="H2774" s="13">
        <f t="shared" si="219"/>
        <v>6</v>
      </c>
      <c r="I2774" s="14">
        <f t="shared" si="215"/>
        <v>1872.2800000000002</v>
      </c>
      <c r="K2774" t="str">
        <f>[1]!revcom(C2774)</f>
        <v>CCTACC</v>
      </c>
      <c r="L2774">
        <v>6</v>
      </c>
    </row>
    <row r="2775" spans="1:12" ht="15.6" x14ac:dyDescent="0.3">
      <c r="A2775" s="9">
        <v>2764</v>
      </c>
      <c r="B2775" s="1"/>
      <c r="C2775" s="2" t="s">
        <v>2770</v>
      </c>
      <c r="D2775" s="1"/>
      <c r="E2775" s="11">
        <f t="shared" si="216"/>
        <v>14</v>
      </c>
      <c r="F2775" s="12">
        <f t="shared" si="217"/>
        <v>50</v>
      </c>
      <c r="G2775" s="12" t="str">
        <f t="shared" si="218"/>
        <v>OK</v>
      </c>
      <c r="H2775" s="13">
        <f t="shared" si="219"/>
        <v>6</v>
      </c>
      <c r="I2775" s="14">
        <f t="shared" si="215"/>
        <v>1847.2600000000002</v>
      </c>
      <c r="K2775" t="str">
        <f>[1]!revcom(C2775)</f>
        <v>ACTACC</v>
      </c>
      <c r="L2775">
        <v>5</v>
      </c>
    </row>
    <row r="2776" spans="1:12" ht="15.6" x14ac:dyDescent="0.3">
      <c r="A2776" s="9">
        <v>2765</v>
      </c>
      <c r="B2776" s="1"/>
      <c r="C2776" s="2" t="s">
        <v>2771</v>
      </c>
      <c r="D2776" s="1"/>
      <c r="E2776" s="11">
        <f t="shared" si="216"/>
        <v>16</v>
      </c>
      <c r="F2776" s="12">
        <f t="shared" si="217"/>
        <v>33.333333333333329</v>
      </c>
      <c r="G2776" s="12" t="str">
        <f t="shared" si="218"/>
        <v>OK</v>
      </c>
      <c r="H2776" s="13">
        <f t="shared" si="219"/>
        <v>6</v>
      </c>
      <c r="I2776" s="14">
        <f t="shared" si="215"/>
        <v>1831.2600000000002</v>
      </c>
      <c r="K2776" t="str">
        <f>[1]!revcom(C2776)</f>
        <v>TATACC</v>
      </c>
      <c r="L2776">
        <v>5</v>
      </c>
    </row>
    <row r="2777" spans="1:12" ht="15.6" x14ac:dyDescent="0.3">
      <c r="A2777" s="9">
        <v>2766</v>
      </c>
      <c r="B2777" s="1"/>
      <c r="C2777" s="2" t="s">
        <v>2772</v>
      </c>
      <c r="D2777" s="1"/>
      <c r="E2777" s="11">
        <f t="shared" si="216"/>
        <v>14</v>
      </c>
      <c r="F2777" s="12">
        <f t="shared" si="217"/>
        <v>50</v>
      </c>
      <c r="G2777" s="12" t="str">
        <f t="shared" si="218"/>
        <v>OK</v>
      </c>
      <c r="H2777" s="13">
        <f t="shared" si="219"/>
        <v>6</v>
      </c>
      <c r="I2777" s="14">
        <f t="shared" si="215"/>
        <v>1807.23</v>
      </c>
      <c r="K2777" t="str">
        <f>[1]!revcom(C2777)</f>
        <v>GATACC</v>
      </c>
      <c r="L2777">
        <v>5</v>
      </c>
    </row>
    <row r="2778" spans="1:12" ht="15.6" x14ac:dyDescent="0.3">
      <c r="A2778" s="9">
        <v>2767</v>
      </c>
      <c r="B2778" s="1"/>
      <c r="C2778" s="2" t="s">
        <v>2773</v>
      </c>
      <c r="D2778" s="1"/>
      <c r="E2778" s="11">
        <f t="shared" si="216"/>
        <v>14</v>
      </c>
      <c r="F2778" s="12">
        <f t="shared" si="217"/>
        <v>50</v>
      </c>
      <c r="G2778" s="12" t="str">
        <f t="shared" si="218"/>
        <v>OK</v>
      </c>
      <c r="H2778" s="13">
        <f t="shared" si="219"/>
        <v>6</v>
      </c>
      <c r="I2778" s="14">
        <f t="shared" si="215"/>
        <v>1847.2600000000002</v>
      </c>
      <c r="K2778" t="str">
        <f>[1]!revcom(C2778)</f>
        <v>CATACC</v>
      </c>
      <c r="L2778">
        <v>5</v>
      </c>
    </row>
    <row r="2779" spans="1:12" ht="15.6" x14ac:dyDescent="0.3">
      <c r="A2779" s="9">
        <v>2768</v>
      </c>
      <c r="B2779" s="1"/>
      <c r="C2779" s="2" t="s">
        <v>2774</v>
      </c>
      <c r="D2779" s="1"/>
      <c r="E2779" s="11">
        <f t="shared" si="216"/>
        <v>8</v>
      </c>
      <c r="F2779" s="12">
        <f t="shared" si="217"/>
        <v>33.333333333333329</v>
      </c>
      <c r="G2779" s="12" t="str">
        <f t="shared" si="218"/>
        <v>OK</v>
      </c>
      <c r="H2779" s="13">
        <f t="shared" si="219"/>
        <v>6</v>
      </c>
      <c r="I2779" s="14">
        <f t="shared" si="215"/>
        <v>1822.2400000000002</v>
      </c>
      <c r="K2779" t="str">
        <f>[1]!revcom(C2779)</f>
        <v>AATACC</v>
      </c>
      <c r="L2779">
        <v>4</v>
      </c>
    </row>
    <row r="2780" spans="1:12" ht="15.6" x14ac:dyDescent="0.3">
      <c r="A2780" s="9">
        <v>2769</v>
      </c>
      <c r="B2780" s="1"/>
      <c r="C2780" s="2" t="s">
        <v>2775</v>
      </c>
      <c r="D2780" s="1"/>
      <c r="E2780" s="11">
        <f t="shared" si="216"/>
        <v>22</v>
      </c>
      <c r="F2780" s="12">
        <f t="shared" si="217"/>
        <v>50</v>
      </c>
      <c r="G2780" s="12" t="str">
        <f t="shared" si="218"/>
        <v>OK</v>
      </c>
      <c r="H2780" s="13">
        <f t="shared" si="219"/>
        <v>6</v>
      </c>
      <c r="I2780" s="14">
        <f t="shared" si="215"/>
        <v>1816.25</v>
      </c>
      <c r="K2780" t="str">
        <f>[1]!revcom(C2780)</f>
        <v>TTGACC</v>
      </c>
      <c r="L2780">
        <v>6</v>
      </c>
    </row>
    <row r="2781" spans="1:12" ht="15.6" x14ac:dyDescent="0.3">
      <c r="A2781" s="9">
        <v>2770</v>
      </c>
      <c r="B2781" s="1"/>
      <c r="C2781" s="2" t="s">
        <v>2776</v>
      </c>
      <c r="D2781" s="1"/>
      <c r="E2781" s="11">
        <f t="shared" si="216"/>
        <v>20</v>
      </c>
      <c r="F2781" s="12">
        <f t="shared" si="217"/>
        <v>66.666666666666657</v>
      </c>
      <c r="G2781" s="12" t="str">
        <f t="shared" si="218"/>
        <v>Warning</v>
      </c>
      <c r="H2781" s="13">
        <f t="shared" si="219"/>
        <v>6</v>
      </c>
      <c r="I2781" s="14">
        <f t="shared" si="215"/>
        <v>1792.2199999999998</v>
      </c>
      <c r="K2781" t="str">
        <f>[1]!revcom(C2781)</f>
        <v>GTGACC</v>
      </c>
      <c r="L2781">
        <v>6</v>
      </c>
    </row>
    <row r="2782" spans="1:12" ht="15.6" x14ac:dyDescent="0.3">
      <c r="A2782" s="9">
        <v>2771</v>
      </c>
      <c r="B2782" s="1"/>
      <c r="C2782" s="2" t="s">
        <v>2777</v>
      </c>
      <c r="D2782" s="1"/>
      <c r="E2782" s="11">
        <f t="shared" si="216"/>
        <v>20</v>
      </c>
      <c r="F2782" s="12">
        <f t="shared" si="217"/>
        <v>66.666666666666657</v>
      </c>
      <c r="G2782" s="12" t="str">
        <f t="shared" si="218"/>
        <v>Warning</v>
      </c>
      <c r="H2782" s="13">
        <f t="shared" si="219"/>
        <v>6</v>
      </c>
      <c r="I2782" s="14">
        <f t="shared" si="215"/>
        <v>1832.25</v>
      </c>
      <c r="K2782" t="str">
        <f>[1]!revcom(C2782)</f>
        <v>CTGACC</v>
      </c>
      <c r="L2782">
        <v>6</v>
      </c>
    </row>
    <row r="2783" spans="1:12" ht="15.6" x14ac:dyDescent="0.3">
      <c r="A2783" s="9">
        <v>2772</v>
      </c>
      <c r="B2783" s="1"/>
      <c r="C2783" s="2" t="s">
        <v>2778</v>
      </c>
      <c r="D2783" s="1"/>
      <c r="E2783" s="11">
        <f t="shared" si="216"/>
        <v>14</v>
      </c>
      <c r="F2783" s="12">
        <f t="shared" si="217"/>
        <v>50</v>
      </c>
      <c r="G2783" s="12" t="str">
        <f t="shared" si="218"/>
        <v>OK</v>
      </c>
      <c r="H2783" s="13">
        <f t="shared" si="219"/>
        <v>6</v>
      </c>
      <c r="I2783" s="14">
        <f t="shared" si="215"/>
        <v>1807.23</v>
      </c>
      <c r="K2783" t="str">
        <f>[1]!revcom(C2783)</f>
        <v>ATGACC</v>
      </c>
      <c r="L2783">
        <v>5</v>
      </c>
    </row>
    <row r="2784" spans="1:12" ht="15.6" x14ac:dyDescent="0.3">
      <c r="A2784" s="9">
        <v>2773</v>
      </c>
      <c r="B2784" s="1"/>
      <c r="C2784" s="2" t="s">
        <v>2779</v>
      </c>
      <c r="D2784" s="1"/>
      <c r="E2784" s="11">
        <f t="shared" si="216"/>
        <v>20</v>
      </c>
      <c r="F2784" s="12">
        <f t="shared" si="217"/>
        <v>66.666666666666657</v>
      </c>
      <c r="G2784" s="12" t="str">
        <f t="shared" si="218"/>
        <v>Warning</v>
      </c>
      <c r="H2784" s="13">
        <f t="shared" si="219"/>
        <v>6</v>
      </c>
      <c r="I2784" s="14">
        <f t="shared" si="215"/>
        <v>1792.2199999999998</v>
      </c>
      <c r="K2784" t="str">
        <f>[1]!revcom(C2784)</f>
        <v>TGGACC</v>
      </c>
      <c r="L2784">
        <v>6</v>
      </c>
    </row>
    <row r="2785" spans="1:12" ht="15.6" x14ac:dyDescent="0.3">
      <c r="A2785" s="9">
        <v>2774</v>
      </c>
      <c r="B2785" s="1"/>
      <c r="C2785" s="2" t="s">
        <v>2780</v>
      </c>
      <c r="D2785" s="1"/>
      <c r="E2785" s="11">
        <f t="shared" si="216"/>
        <v>18</v>
      </c>
      <c r="F2785" s="12">
        <f t="shared" si="217"/>
        <v>83.333333333333343</v>
      </c>
      <c r="G2785" s="12" t="str">
        <f t="shared" si="218"/>
        <v>Warning</v>
      </c>
      <c r="H2785" s="13">
        <f t="shared" si="219"/>
        <v>6</v>
      </c>
      <c r="I2785" s="14">
        <f t="shared" si="215"/>
        <v>1768.19</v>
      </c>
      <c r="K2785" t="str">
        <f>[1]!revcom(C2785)</f>
        <v>GGGACC</v>
      </c>
      <c r="L2785">
        <v>5</v>
      </c>
    </row>
    <row r="2786" spans="1:12" ht="15.6" x14ac:dyDescent="0.3">
      <c r="A2786" s="9">
        <v>2775</v>
      </c>
      <c r="B2786" s="1"/>
      <c r="C2786" s="2" t="s">
        <v>2781</v>
      </c>
      <c r="D2786" s="1"/>
      <c r="E2786" s="11">
        <f t="shared" si="216"/>
        <v>18</v>
      </c>
      <c r="F2786" s="12">
        <f t="shared" si="217"/>
        <v>83.333333333333343</v>
      </c>
      <c r="G2786" s="12" t="str">
        <f t="shared" si="218"/>
        <v>Warning</v>
      </c>
      <c r="H2786" s="13">
        <f t="shared" si="219"/>
        <v>6</v>
      </c>
      <c r="I2786" s="14">
        <f t="shared" si="215"/>
        <v>1808.2200000000003</v>
      </c>
      <c r="K2786" t="str">
        <f>[1]!revcom(C2786)</f>
        <v>CGGACC</v>
      </c>
      <c r="L2786">
        <v>5</v>
      </c>
    </row>
    <row r="2787" spans="1:12" ht="15.6" x14ac:dyDescent="0.3">
      <c r="A2787" s="9">
        <v>2776</v>
      </c>
      <c r="B2787" s="1"/>
      <c r="C2787" s="2" t="s">
        <v>2782</v>
      </c>
      <c r="D2787" s="1"/>
      <c r="E2787" s="11">
        <f t="shared" si="216"/>
        <v>12</v>
      </c>
      <c r="F2787" s="12">
        <f t="shared" si="217"/>
        <v>66.666666666666657</v>
      </c>
      <c r="G2787" s="12" t="str">
        <f t="shared" si="218"/>
        <v>Warning</v>
      </c>
      <c r="H2787" s="13">
        <f t="shared" si="219"/>
        <v>6</v>
      </c>
      <c r="I2787" s="14">
        <f t="shared" si="215"/>
        <v>1783.1999999999998</v>
      </c>
      <c r="K2787" t="str">
        <f>[1]!revcom(C2787)</f>
        <v>AGGACC</v>
      </c>
      <c r="L2787">
        <v>4</v>
      </c>
    </row>
    <row r="2788" spans="1:12" ht="15.6" x14ac:dyDescent="0.3">
      <c r="A2788" s="9">
        <v>2777</v>
      </c>
      <c r="B2788" s="1"/>
      <c r="C2788" s="2" t="s">
        <v>2783</v>
      </c>
      <c r="D2788" s="1"/>
      <c r="E2788" s="11">
        <f t="shared" si="216"/>
        <v>20</v>
      </c>
      <c r="F2788" s="12">
        <f t="shared" si="217"/>
        <v>66.666666666666657</v>
      </c>
      <c r="G2788" s="12" t="str">
        <f t="shared" si="218"/>
        <v>Warning</v>
      </c>
      <c r="H2788" s="13">
        <f t="shared" si="219"/>
        <v>6</v>
      </c>
      <c r="I2788" s="14">
        <f t="shared" si="215"/>
        <v>1832.25</v>
      </c>
      <c r="K2788" t="str">
        <f>[1]!revcom(C2788)</f>
        <v>TCGACC</v>
      </c>
      <c r="L2788">
        <v>6</v>
      </c>
    </row>
    <row r="2789" spans="1:12" ht="15.6" x14ac:dyDescent="0.3">
      <c r="A2789" s="9">
        <v>2778</v>
      </c>
      <c r="B2789" s="1"/>
      <c r="C2789" s="2" t="s">
        <v>2784</v>
      </c>
      <c r="D2789" s="1"/>
      <c r="E2789" s="11">
        <f t="shared" si="216"/>
        <v>18</v>
      </c>
      <c r="F2789" s="12">
        <f t="shared" si="217"/>
        <v>83.333333333333343</v>
      </c>
      <c r="G2789" s="12" t="str">
        <f t="shared" si="218"/>
        <v>Warning</v>
      </c>
      <c r="H2789" s="13">
        <f t="shared" si="219"/>
        <v>6</v>
      </c>
      <c r="I2789" s="14">
        <f t="shared" si="215"/>
        <v>1808.2200000000003</v>
      </c>
      <c r="K2789" t="str">
        <f>[1]!revcom(C2789)</f>
        <v>GCGACC</v>
      </c>
      <c r="L2789">
        <v>5</v>
      </c>
    </row>
    <row r="2790" spans="1:12" ht="15.6" x14ac:dyDescent="0.3">
      <c r="A2790" s="9">
        <v>2779</v>
      </c>
      <c r="B2790" s="1"/>
      <c r="C2790" s="2" t="s">
        <v>2785</v>
      </c>
      <c r="D2790" s="1"/>
      <c r="E2790" s="11">
        <f t="shared" si="216"/>
        <v>18</v>
      </c>
      <c r="F2790" s="12">
        <f t="shared" si="217"/>
        <v>83.333333333333343</v>
      </c>
      <c r="G2790" s="12" t="str">
        <f t="shared" si="218"/>
        <v>Warning</v>
      </c>
      <c r="H2790" s="13">
        <f t="shared" si="219"/>
        <v>6</v>
      </c>
      <c r="I2790" s="14">
        <f t="shared" si="215"/>
        <v>1848.25</v>
      </c>
      <c r="K2790" t="str">
        <f>[1]!revcom(C2790)</f>
        <v>CCGACC</v>
      </c>
      <c r="L2790">
        <v>5</v>
      </c>
    </row>
    <row r="2791" spans="1:12" ht="15.6" x14ac:dyDescent="0.3">
      <c r="A2791" s="9">
        <v>2780</v>
      </c>
      <c r="B2791" s="1"/>
      <c r="C2791" s="2" t="s">
        <v>2786</v>
      </c>
      <c r="D2791" s="1"/>
      <c r="E2791" s="11">
        <f t="shared" si="216"/>
        <v>12</v>
      </c>
      <c r="F2791" s="12">
        <f t="shared" si="217"/>
        <v>66.666666666666657</v>
      </c>
      <c r="G2791" s="12" t="str">
        <f t="shared" si="218"/>
        <v>Warning</v>
      </c>
      <c r="H2791" s="13">
        <f t="shared" si="219"/>
        <v>6</v>
      </c>
      <c r="I2791" s="14">
        <f t="shared" si="215"/>
        <v>1823.23</v>
      </c>
      <c r="K2791" t="str">
        <f>[1]!revcom(C2791)</f>
        <v>ACGACC</v>
      </c>
      <c r="L2791">
        <v>4</v>
      </c>
    </row>
    <row r="2792" spans="1:12" ht="15.6" x14ac:dyDescent="0.3">
      <c r="A2792" s="9">
        <v>2781</v>
      </c>
      <c r="B2792" s="1"/>
      <c r="C2792" s="2" t="s">
        <v>2787</v>
      </c>
      <c r="D2792" s="1"/>
      <c r="E2792" s="11">
        <f t="shared" si="216"/>
        <v>14</v>
      </c>
      <c r="F2792" s="12">
        <f t="shared" si="217"/>
        <v>50</v>
      </c>
      <c r="G2792" s="12" t="str">
        <f t="shared" si="218"/>
        <v>OK</v>
      </c>
      <c r="H2792" s="13">
        <f t="shared" si="219"/>
        <v>6</v>
      </c>
      <c r="I2792" s="14">
        <f t="shared" si="215"/>
        <v>1807.23</v>
      </c>
      <c r="K2792" t="str">
        <f>[1]!revcom(C2792)</f>
        <v>TAGACC</v>
      </c>
      <c r="L2792">
        <v>5</v>
      </c>
    </row>
    <row r="2793" spans="1:12" ht="15.6" x14ac:dyDescent="0.3">
      <c r="A2793" s="9">
        <v>2782</v>
      </c>
      <c r="B2793" s="1"/>
      <c r="C2793" s="2" t="s">
        <v>2788</v>
      </c>
      <c r="D2793" s="1"/>
      <c r="E2793" s="11">
        <f t="shared" si="216"/>
        <v>12</v>
      </c>
      <c r="F2793" s="12">
        <f t="shared" si="217"/>
        <v>66.666666666666657</v>
      </c>
      <c r="G2793" s="12" t="str">
        <f t="shared" si="218"/>
        <v>Warning</v>
      </c>
      <c r="H2793" s="13">
        <f t="shared" si="219"/>
        <v>6</v>
      </c>
      <c r="I2793" s="14">
        <f t="shared" si="215"/>
        <v>1783.1999999999998</v>
      </c>
      <c r="K2793" t="str">
        <f>[1]!revcom(C2793)</f>
        <v>GAGACC</v>
      </c>
      <c r="L2793">
        <v>4</v>
      </c>
    </row>
    <row r="2794" spans="1:12" ht="15.6" x14ac:dyDescent="0.3">
      <c r="A2794" s="9">
        <v>2783</v>
      </c>
      <c r="B2794" s="1"/>
      <c r="C2794" s="2" t="s">
        <v>2789</v>
      </c>
      <c r="D2794" s="1"/>
      <c r="E2794" s="11">
        <f t="shared" si="216"/>
        <v>12</v>
      </c>
      <c r="F2794" s="12">
        <f t="shared" si="217"/>
        <v>66.666666666666657</v>
      </c>
      <c r="G2794" s="12" t="str">
        <f t="shared" si="218"/>
        <v>Warning</v>
      </c>
      <c r="H2794" s="13">
        <f t="shared" si="219"/>
        <v>6</v>
      </c>
      <c r="I2794" s="14">
        <f t="shared" si="215"/>
        <v>1823.23</v>
      </c>
      <c r="K2794" t="str">
        <f>[1]!revcom(C2794)</f>
        <v>CAGACC</v>
      </c>
      <c r="L2794">
        <v>4</v>
      </c>
    </row>
    <row r="2795" spans="1:12" ht="15.6" x14ac:dyDescent="0.3">
      <c r="A2795" s="9">
        <v>2784</v>
      </c>
      <c r="B2795" s="1"/>
      <c r="C2795" s="2" t="s">
        <v>2790</v>
      </c>
      <c r="D2795" s="1"/>
      <c r="E2795" s="11">
        <f t="shared" si="216"/>
        <v>6</v>
      </c>
      <c r="F2795" s="12">
        <f t="shared" si="217"/>
        <v>50</v>
      </c>
      <c r="G2795" s="12" t="str">
        <f t="shared" si="218"/>
        <v>OK</v>
      </c>
      <c r="H2795" s="13">
        <f t="shared" si="219"/>
        <v>6</v>
      </c>
      <c r="I2795" s="14">
        <f t="shared" si="215"/>
        <v>1798.21</v>
      </c>
      <c r="K2795" t="str">
        <f>[1]!revcom(C2795)</f>
        <v>AAGACC</v>
      </c>
      <c r="L2795">
        <v>3</v>
      </c>
    </row>
    <row r="2796" spans="1:12" ht="15.6" x14ac:dyDescent="0.3">
      <c r="A2796" s="9">
        <v>2785</v>
      </c>
      <c r="B2796" s="1"/>
      <c r="C2796" s="2" t="s">
        <v>2791</v>
      </c>
      <c r="D2796" s="1"/>
      <c r="E2796" s="11">
        <f t="shared" si="216"/>
        <v>22</v>
      </c>
      <c r="F2796" s="12">
        <f t="shared" si="217"/>
        <v>50</v>
      </c>
      <c r="G2796" s="12" t="str">
        <f t="shared" si="218"/>
        <v>OK</v>
      </c>
      <c r="H2796" s="13">
        <f t="shared" si="219"/>
        <v>6</v>
      </c>
      <c r="I2796" s="14">
        <f t="shared" si="215"/>
        <v>1856.2800000000002</v>
      </c>
      <c r="K2796" t="str">
        <f>[1]!revcom(C2796)</f>
        <v>TTCACC</v>
      </c>
      <c r="L2796">
        <v>6</v>
      </c>
    </row>
    <row r="2797" spans="1:12" ht="15.6" x14ac:dyDescent="0.3">
      <c r="A2797" s="9">
        <v>2786</v>
      </c>
      <c r="B2797" s="1"/>
      <c r="C2797" s="2" t="s">
        <v>2792</v>
      </c>
      <c r="D2797" s="1"/>
      <c r="E2797" s="11">
        <f t="shared" si="216"/>
        <v>20</v>
      </c>
      <c r="F2797" s="12">
        <f t="shared" si="217"/>
        <v>66.666666666666657</v>
      </c>
      <c r="G2797" s="12" t="str">
        <f t="shared" si="218"/>
        <v>Warning</v>
      </c>
      <c r="H2797" s="13">
        <f t="shared" si="219"/>
        <v>6</v>
      </c>
      <c r="I2797" s="14">
        <f t="shared" si="215"/>
        <v>1832.25</v>
      </c>
      <c r="K2797" t="str">
        <f>[1]!revcom(C2797)</f>
        <v>GTCACC</v>
      </c>
      <c r="L2797">
        <v>6</v>
      </c>
    </row>
    <row r="2798" spans="1:12" ht="15.6" x14ac:dyDescent="0.3">
      <c r="A2798" s="9">
        <v>2787</v>
      </c>
      <c r="B2798" s="1"/>
      <c r="C2798" s="2" t="s">
        <v>2793</v>
      </c>
      <c r="D2798" s="1"/>
      <c r="E2798" s="11">
        <f t="shared" si="216"/>
        <v>20</v>
      </c>
      <c r="F2798" s="12">
        <f t="shared" si="217"/>
        <v>66.666666666666657</v>
      </c>
      <c r="G2798" s="12" t="str">
        <f t="shared" si="218"/>
        <v>Warning</v>
      </c>
      <c r="H2798" s="13">
        <f t="shared" si="219"/>
        <v>6</v>
      </c>
      <c r="I2798" s="14">
        <f t="shared" si="215"/>
        <v>1872.2800000000002</v>
      </c>
      <c r="K2798" t="str">
        <f>[1]!revcom(C2798)</f>
        <v>CTCACC</v>
      </c>
      <c r="L2798">
        <v>6</v>
      </c>
    </row>
    <row r="2799" spans="1:12" ht="15.6" x14ac:dyDescent="0.3">
      <c r="A2799" s="9">
        <v>2788</v>
      </c>
      <c r="B2799" s="1"/>
      <c r="C2799" s="2" t="s">
        <v>2794</v>
      </c>
      <c r="D2799" s="1"/>
      <c r="E2799" s="11">
        <f t="shared" si="216"/>
        <v>14</v>
      </c>
      <c r="F2799" s="12">
        <f t="shared" si="217"/>
        <v>50</v>
      </c>
      <c r="G2799" s="12" t="str">
        <f t="shared" si="218"/>
        <v>OK</v>
      </c>
      <c r="H2799" s="13">
        <f t="shared" si="219"/>
        <v>6</v>
      </c>
      <c r="I2799" s="14">
        <f t="shared" si="215"/>
        <v>1847.2600000000002</v>
      </c>
      <c r="K2799" t="str">
        <f>[1]!revcom(C2799)</f>
        <v>ATCACC</v>
      </c>
      <c r="L2799">
        <v>5</v>
      </c>
    </row>
    <row r="2800" spans="1:12" ht="15.6" x14ac:dyDescent="0.3">
      <c r="A2800" s="9">
        <v>2789</v>
      </c>
      <c r="B2800" s="1"/>
      <c r="C2800" s="2" t="s">
        <v>2795</v>
      </c>
      <c r="D2800" s="1"/>
      <c r="E2800" s="11">
        <f t="shared" si="216"/>
        <v>20</v>
      </c>
      <c r="F2800" s="12">
        <f t="shared" si="217"/>
        <v>66.666666666666657</v>
      </c>
      <c r="G2800" s="12" t="str">
        <f t="shared" si="218"/>
        <v>Warning</v>
      </c>
      <c r="H2800" s="13">
        <f t="shared" si="219"/>
        <v>6</v>
      </c>
      <c r="I2800" s="14">
        <f t="shared" si="215"/>
        <v>1832.25</v>
      </c>
      <c r="K2800" t="str">
        <f>[1]!revcom(C2800)</f>
        <v>TGCACC</v>
      </c>
      <c r="L2800">
        <v>6</v>
      </c>
    </row>
    <row r="2801" spans="1:12" ht="15.6" x14ac:dyDescent="0.3">
      <c r="A2801" s="9">
        <v>2790</v>
      </c>
      <c r="B2801" s="1"/>
      <c r="C2801" s="2" t="s">
        <v>2796</v>
      </c>
      <c r="D2801" s="1"/>
      <c r="E2801" s="11">
        <f t="shared" si="216"/>
        <v>18</v>
      </c>
      <c r="F2801" s="12">
        <f t="shared" si="217"/>
        <v>83.333333333333343</v>
      </c>
      <c r="G2801" s="12" t="str">
        <f t="shared" si="218"/>
        <v>Warning</v>
      </c>
      <c r="H2801" s="13">
        <f t="shared" si="219"/>
        <v>6</v>
      </c>
      <c r="I2801" s="14">
        <f t="shared" si="215"/>
        <v>1808.2200000000003</v>
      </c>
      <c r="K2801" t="str">
        <f>[1]!revcom(C2801)</f>
        <v>GGCACC</v>
      </c>
      <c r="L2801">
        <v>5</v>
      </c>
    </row>
    <row r="2802" spans="1:12" ht="15.6" x14ac:dyDescent="0.3">
      <c r="A2802" s="9">
        <v>2791</v>
      </c>
      <c r="B2802" s="1"/>
      <c r="C2802" s="2" t="s">
        <v>2797</v>
      </c>
      <c r="D2802" s="1"/>
      <c r="E2802" s="11">
        <f t="shared" si="216"/>
        <v>18</v>
      </c>
      <c r="F2802" s="12">
        <f t="shared" si="217"/>
        <v>83.333333333333343</v>
      </c>
      <c r="G2802" s="12" t="str">
        <f t="shared" si="218"/>
        <v>Warning</v>
      </c>
      <c r="H2802" s="13">
        <f t="shared" si="219"/>
        <v>6</v>
      </c>
      <c r="I2802" s="14">
        <f t="shared" si="215"/>
        <v>1848.25</v>
      </c>
      <c r="K2802" t="str">
        <f>[1]!revcom(C2802)</f>
        <v>CGCACC</v>
      </c>
      <c r="L2802">
        <v>5</v>
      </c>
    </row>
    <row r="2803" spans="1:12" ht="15.6" x14ac:dyDescent="0.3">
      <c r="A2803" s="9">
        <v>2792</v>
      </c>
      <c r="B2803" s="1"/>
      <c r="C2803" s="2" t="s">
        <v>2798</v>
      </c>
      <c r="D2803" s="1"/>
      <c r="E2803" s="11">
        <f t="shared" si="216"/>
        <v>12</v>
      </c>
      <c r="F2803" s="12">
        <f t="shared" si="217"/>
        <v>66.666666666666657</v>
      </c>
      <c r="G2803" s="12" t="str">
        <f t="shared" si="218"/>
        <v>Warning</v>
      </c>
      <c r="H2803" s="13">
        <f t="shared" si="219"/>
        <v>6</v>
      </c>
      <c r="I2803" s="14">
        <f t="shared" si="215"/>
        <v>1823.23</v>
      </c>
      <c r="K2803" t="str">
        <f>[1]!revcom(C2803)</f>
        <v>AGCACC</v>
      </c>
      <c r="L2803">
        <v>4</v>
      </c>
    </row>
    <row r="2804" spans="1:12" ht="15.6" x14ac:dyDescent="0.3">
      <c r="A2804" s="9">
        <v>2793</v>
      </c>
      <c r="B2804" s="1"/>
      <c r="C2804" s="2" t="s">
        <v>2799</v>
      </c>
      <c r="D2804" s="1"/>
      <c r="E2804" s="11">
        <f t="shared" si="216"/>
        <v>20</v>
      </c>
      <c r="F2804" s="12">
        <f t="shared" si="217"/>
        <v>66.666666666666657</v>
      </c>
      <c r="G2804" s="12" t="str">
        <f t="shared" si="218"/>
        <v>Warning</v>
      </c>
      <c r="H2804" s="13">
        <f t="shared" si="219"/>
        <v>6</v>
      </c>
      <c r="I2804" s="14">
        <f t="shared" si="215"/>
        <v>1872.2800000000002</v>
      </c>
      <c r="K2804" t="str">
        <f>[1]!revcom(C2804)</f>
        <v>TCCACC</v>
      </c>
      <c r="L2804">
        <v>6</v>
      </c>
    </row>
    <row r="2805" spans="1:12" ht="15.6" x14ac:dyDescent="0.3">
      <c r="A2805" s="9">
        <v>2794</v>
      </c>
      <c r="B2805" s="1"/>
      <c r="C2805" s="2" t="s">
        <v>2800</v>
      </c>
      <c r="D2805" s="1"/>
      <c r="E2805" s="11">
        <f t="shared" si="216"/>
        <v>18</v>
      </c>
      <c r="F2805" s="12">
        <f t="shared" si="217"/>
        <v>83.333333333333343</v>
      </c>
      <c r="G2805" s="12" t="str">
        <f t="shared" si="218"/>
        <v>Warning</v>
      </c>
      <c r="H2805" s="13">
        <f t="shared" si="219"/>
        <v>6</v>
      </c>
      <c r="I2805" s="14">
        <f t="shared" si="215"/>
        <v>1848.25</v>
      </c>
      <c r="K2805" t="str">
        <f>[1]!revcom(C2805)</f>
        <v>GCCACC</v>
      </c>
      <c r="L2805">
        <v>5</v>
      </c>
    </row>
    <row r="2806" spans="1:12" ht="15.6" x14ac:dyDescent="0.3">
      <c r="A2806" s="9">
        <v>2795</v>
      </c>
      <c r="B2806" s="1"/>
      <c r="C2806" s="2" t="s">
        <v>2801</v>
      </c>
      <c r="D2806" s="1"/>
      <c r="E2806" s="11">
        <f t="shared" si="216"/>
        <v>18</v>
      </c>
      <c r="F2806" s="12">
        <f t="shared" si="217"/>
        <v>83.333333333333343</v>
      </c>
      <c r="G2806" s="12" t="str">
        <f t="shared" si="218"/>
        <v>Warning</v>
      </c>
      <c r="H2806" s="13">
        <f t="shared" si="219"/>
        <v>6</v>
      </c>
      <c r="I2806" s="14">
        <f t="shared" si="215"/>
        <v>1888.2800000000002</v>
      </c>
      <c r="K2806" t="str">
        <f>[1]!revcom(C2806)</f>
        <v>CCCACC</v>
      </c>
      <c r="L2806">
        <v>5</v>
      </c>
    </row>
    <row r="2807" spans="1:12" ht="15.6" x14ac:dyDescent="0.3">
      <c r="A2807" s="9">
        <v>2796</v>
      </c>
      <c r="B2807" s="1"/>
      <c r="C2807" s="2" t="s">
        <v>2802</v>
      </c>
      <c r="D2807" s="1"/>
      <c r="E2807" s="11">
        <f t="shared" si="216"/>
        <v>12</v>
      </c>
      <c r="F2807" s="12">
        <f t="shared" si="217"/>
        <v>66.666666666666657</v>
      </c>
      <c r="G2807" s="12" t="str">
        <f t="shared" si="218"/>
        <v>Warning</v>
      </c>
      <c r="H2807" s="13">
        <f t="shared" si="219"/>
        <v>6</v>
      </c>
      <c r="I2807" s="14">
        <f t="shared" si="215"/>
        <v>1863.2600000000002</v>
      </c>
      <c r="K2807" t="str">
        <f>[1]!revcom(C2807)</f>
        <v>ACCACC</v>
      </c>
      <c r="L2807">
        <v>4</v>
      </c>
    </row>
    <row r="2808" spans="1:12" ht="15.6" x14ac:dyDescent="0.3">
      <c r="A2808" s="9">
        <v>2797</v>
      </c>
      <c r="B2808" s="1"/>
      <c r="C2808" s="2" t="s">
        <v>2803</v>
      </c>
      <c r="D2808" s="1"/>
      <c r="E2808" s="11">
        <f t="shared" si="216"/>
        <v>14</v>
      </c>
      <c r="F2808" s="12">
        <f t="shared" si="217"/>
        <v>50</v>
      </c>
      <c r="G2808" s="12" t="str">
        <f t="shared" si="218"/>
        <v>OK</v>
      </c>
      <c r="H2808" s="13">
        <f t="shared" si="219"/>
        <v>6</v>
      </c>
      <c r="I2808" s="14">
        <f t="shared" si="215"/>
        <v>1847.2600000000002</v>
      </c>
      <c r="K2808" t="str">
        <f>[1]!revcom(C2808)</f>
        <v>TACACC</v>
      </c>
      <c r="L2808">
        <v>5</v>
      </c>
    </row>
    <row r="2809" spans="1:12" ht="15.6" x14ac:dyDescent="0.3">
      <c r="A2809" s="9">
        <v>2798</v>
      </c>
      <c r="B2809" s="1"/>
      <c r="C2809" s="2" t="s">
        <v>2804</v>
      </c>
      <c r="D2809" s="1"/>
      <c r="E2809" s="11">
        <f t="shared" si="216"/>
        <v>12</v>
      </c>
      <c r="F2809" s="12">
        <f t="shared" si="217"/>
        <v>66.666666666666657</v>
      </c>
      <c r="G2809" s="12" t="str">
        <f t="shared" si="218"/>
        <v>Warning</v>
      </c>
      <c r="H2809" s="13">
        <f t="shared" si="219"/>
        <v>6</v>
      </c>
      <c r="I2809" s="14">
        <f t="shared" si="215"/>
        <v>1823.23</v>
      </c>
      <c r="K2809" t="str">
        <f>[1]!revcom(C2809)</f>
        <v>GACACC</v>
      </c>
      <c r="L2809">
        <v>4</v>
      </c>
    </row>
    <row r="2810" spans="1:12" ht="15.6" x14ac:dyDescent="0.3">
      <c r="A2810" s="9">
        <v>2799</v>
      </c>
      <c r="B2810" s="1"/>
      <c r="C2810" s="2" t="s">
        <v>2805</v>
      </c>
      <c r="D2810" s="1"/>
      <c r="E2810" s="11">
        <f t="shared" si="216"/>
        <v>12</v>
      </c>
      <c r="F2810" s="12">
        <f t="shared" si="217"/>
        <v>66.666666666666657</v>
      </c>
      <c r="G2810" s="12" t="str">
        <f t="shared" si="218"/>
        <v>Warning</v>
      </c>
      <c r="H2810" s="13">
        <f t="shared" si="219"/>
        <v>6</v>
      </c>
      <c r="I2810" s="14">
        <f t="shared" si="215"/>
        <v>1863.2600000000002</v>
      </c>
      <c r="K2810" t="str">
        <f>[1]!revcom(C2810)</f>
        <v>CACACC</v>
      </c>
      <c r="L2810">
        <v>4</v>
      </c>
    </row>
    <row r="2811" spans="1:12" ht="15.6" x14ac:dyDescent="0.3">
      <c r="A2811" s="9">
        <v>2800</v>
      </c>
      <c r="B2811" s="1"/>
      <c r="C2811" s="2" t="s">
        <v>2806</v>
      </c>
      <c r="D2811" s="1"/>
      <c r="E2811" s="11">
        <f t="shared" si="216"/>
        <v>6</v>
      </c>
      <c r="F2811" s="12">
        <f t="shared" si="217"/>
        <v>50</v>
      </c>
      <c r="G2811" s="12" t="str">
        <f t="shared" si="218"/>
        <v>OK</v>
      </c>
      <c r="H2811" s="13">
        <f t="shared" si="219"/>
        <v>6</v>
      </c>
      <c r="I2811" s="14">
        <f t="shared" si="215"/>
        <v>1838.2400000000002</v>
      </c>
      <c r="K2811" t="str">
        <f>[1]!revcom(C2811)</f>
        <v>AACACC</v>
      </c>
      <c r="L2811">
        <v>3</v>
      </c>
    </row>
    <row r="2812" spans="1:12" ht="15.6" x14ac:dyDescent="0.3">
      <c r="A2812" s="9">
        <v>2801</v>
      </c>
      <c r="B2812" s="1"/>
      <c r="C2812" s="2" t="s">
        <v>2807</v>
      </c>
      <c r="D2812" s="1"/>
      <c r="E2812" s="11">
        <f t="shared" si="216"/>
        <v>16</v>
      </c>
      <c r="F2812" s="12">
        <f t="shared" si="217"/>
        <v>33.333333333333329</v>
      </c>
      <c r="G2812" s="12" t="str">
        <f t="shared" si="218"/>
        <v>OK</v>
      </c>
      <c r="H2812" s="13">
        <f t="shared" si="219"/>
        <v>6</v>
      </c>
      <c r="I2812" s="14">
        <f t="shared" si="215"/>
        <v>1831.2600000000002</v>
      </c>
      <c r="K2812" t="str">
        <f>[1]!revcom(C2812)</f>
        <v>TTAACC</v>
      </c>
      <c r="L2812">
        <v>5</v>
      </c>
    </row>
    <row r="2813" spans="1:12" ht="15.6" x14ac:dyDescent="0.3">
      <c r="A2813" s="9">
        <v>2802</v>
      </c>
      <c r="B2813" s="1"/>
      <c r="C2813" s="2" t="s">
        <v>2808</v>
      </c>
      <c r="D2813" s="1"/>
      <c r="E2813" s="11">
        <f t="shared" si="216"/>
        <v>14</v>
      </c>
      <c r="F2813" s="12">
        <f t="shared" si="217"/>
        <v>50</v>
      </c>
      <c r="G2813" s="12" t="str">
        <f t="shared" si="218"/>
        <v>OK</v>
      </c>
      <c r="H2813" s="13">
        <f t="shared" si="219"/>
        <v>6</v>
      </c>
      <c r="I2813" s="14">
        <f t="shared" si="215"/>
        <v>1807.23</v>
      </c>
      <c r="K2813" t="str">
        <f>[1]!revcom(C2813)</f>
        <v>GTAACC</v>
      </c>
      <c r="L2813">
        <v>5</v>
      </c>
    </row>
    <row r="2814" spans="1:12" ht="15.6" x14ac:dyDescent="0.3">
      <c r="A2814" s="9">
        <v>2803</v>
      </c>
      <c r="B2814" s="1"/>
      <c r="C2814" s="2" t="s">
        <v>2809</v>
      </c>
      <c r="D2814" s="1"/>
      <c r="E2814" s="11">
        <f t="shared" si="216"/>
        <v>14</v>
      </c>
      <c r="F2814" s="12">
        <f t="shared" si="217"/>
        <v>50</v>
      </c>
      <c r="G2814" s="12" t="str">
        <f t="shared" si="218"/>
        <v>OK</v>
      </c>
      <c r="H2814" s="13">
        <f t="shared" si="219"/>
        <v>6</v>
      </c>
      <c r="I2814" s="14">
        <f t="shared" si="215"/>
        <v>1847.2600000000002</v>
      </c>
      <c r="K2814" t="str">
        <f>[1]!revcom(C2814)</f>
        <v>CTAACC</v>
      </c>
      <c r="L2814">
        <v>5</v>
      </c>
    </row>
    <row r="2815" spans="1:12" ht="15.6" x14ac:dyDescent="0.3">
      <c r="A2815" s="9">
        <v>2804</v>
      </c>
      <c r="B2815" s="1"/>
      <c r="C2815" s="2" t="s">
        <v>2810</v>
      </c>
      <c r="D2815" s="1"/>
      <c r="E2815" s="11">
        <f t="shared" si="216"/>
        <v>8</v>
      </c>
      <c r="F2815" s="12">
        <f t="shared" si="217"/>
        <v>33.333333333333329</v>
      </c>
      <c r="G2815" s="12" t="str">
        <f t="shared" si="218"/>
        <v>OK</v>
      </c>
      <c r="H2815" s="13">
        <f t="shared" si="219"/>
        <v>6</v>
      </c>
      <c r="I2815" s="14">
        <f t="shared" si="215"/>
        <v>1822.2400000000002</v>
      </c>
      <c r="K2815" t="str">
        <f>[1]!revcom(C2815)</f>
        <v>ATAACC</v>
      </c>
      <c r="L2815">
        <v>4</v>
      </c>
    </row>
    <row r="2816" spans="1:12" ht="15.6" x14ac:dyDescent="0.3">
      <c r="A2816" s="9">
        <v>2805</v>
      </c>
      <c r="B2816" s="1"/>
      <c r="C2816" s="2" t="s">
        <v>2811</v>
      </c>
      <c r="D2816" s="1"/>
      <c r="E2816" s="11">
        <f t="shared" si="216"/>
        <v>14</v>
      </c>
      <c r="F2816" s="12">
        <f t="shared" si="217"/>
        <v>50</v>
      </c>
      <c r="G2816" s="12" t="str">
        <f t="shared" si="218"/>
        <v>OK</v>
      </c>
      <c r="H2816" s="13">
        <f t="shared" si="219"/>
        <v>6</v>
      </c>
      <c r="I2816" s="14">
        <f t="shared" si="215"/>
        <v>1807.23</v>
      </c>
      <c r="K2816" t="str">
        <f>[1]!revcom(C2816)</f>
        <v>TGAACC</v>
      </c>
      <c r="L2816">
        <v>5</v>
      </c>
    </row>
    <row r="2817" spans="1:12" ht="15.6" x14ac:dyDescent="0.3">
      <c r="A2817" s="9">
        <v>2806</v>
      </c>
      <c r="B2817" s="1"/>
      <c r="C2817" s="2" t="s">
        <v>2812</v>
      </c>
      <c r="D2817" s="1"/>
      <c r="E2817" s="11">
        <f t="shared" si="216"/>
        <v>12</v>
      </c>
      <c r="F2817" s="12">
        <f t="shared" si="217"/>
        <v>66.666666666666657</v>
      </c>
      <c r="G2817" s="12" t="str">
        <f t="shared" si="218"/>
        <v>Warning</v>
      </c>
      <c r="H2817" s="13">
        <f t="shared" si="219"/>
        <v>6</v>
      </c>
      <c r="I2817" s="14">
        <f t="shared" si="215"/>
        <v>1783.1999999999998</v>
      </c>
      <c r="K2817" t="str">
        <f>[1]!revcom(C2817)</f>
        <v>GGAACC</v>
      </c>
      <c r="L2817">
        <v>4</v>
      </c>
    </row>
    <row r="2818" spans="1:12" ht="15.6" x14ac:dyDescent="0.3">
      <c r="A2818" s="9">
        <v>2807</v>
      </c>
      <c r="B2818" s="1"/>
      <c r="C2818" s="2" t="s">
        <v>2813</v>
      </c>
      <c r="D2818" s="1"/>
      <c r="E2818" s="11">
        <f t="shared" si="216"/>
        <v>12</v>
      </c>
      <c r="F2818" s="12">
        <f t="shared" si="217"/>
        <v>66.666666666666657</v>
      </c>
      <c r="G2818" s="12" t="str">
        <f t="shared" si="218"/>
        <v>Warning</v>
      </c>
      <c r="H2818" s="13">
        <f t="shared" si="219"/>
        <v>6</v>
      </c>
      <c r="I2818" s="14">
        <f t="shared" si="215"/>
        <v>1823.23</v>
      </c>
      <c r="K2818" t="str">
        <f>[1]!revcom(C2818)</f>
        <v>CGAACC</v>
      </c>
      <c r="L2818">
        <v>4</v>
      </c>
    </row>
    <row r="2819" spans="1:12" ht="15.6" x14ac:dyDescent="0.3">
      <c r="A2819" s="9">
        <v>2808</v>
      </c>
      <c r="B2819" s="1"/>
      <c r="C2819" s="2" t="s">
        <v>2814</v>
      </c>
      <c r="D2819" s="1"/>
      <c r="E2819" s="11">
        <f t="shared" si="216"/>
        <v>6</v>
      </c>
      <c r="F2819" s="12">
        <f t="shared" si="217"/>
        <v>50</v>
      </c>
      <c r="G2819" s="12" t="str">
        <f t="shared" si="218"/>
        <v>OK</v>
      </c>
      <c r="H2819" s="13">
        <f t="shared" si="219"/>
        <v>6</v>
      </c>
      <c r="I2819" s="14">
        <f t="shared" si="215"/>
        <v>1798.21</v>
      </c>
      <c r="K2819" t="str">
        <f>[1]!revcom(C2819)</f>
        <v>AGAACC</v>
      </c>
      <c r="L2819">
        <v>3</v>
      </c>
    </row>
    <row r="2820" spans="1:12" ht="15.6" x14ac:dyDescent="0.3">
      <c r="A2820" s="9">
        <v>2809</v>
      </c>
      <c r="B2820" s="1"/>
      <c r="C2820" s="2" t="s">
        <v>2815</v>
      </c>
      <c r="D2820" s="1"/>
      <c r="E2820" s="11">
        <f t="shared" si="216"/>
        <v>14</v>
      </c>
      <c r="F2820" s="12">
        <f t="shared" si="217"/>
        <v>50</v>
      </c>
      <c r="G2820" s="12" t="str">
        <f t="shared" si="218"/>
        <v>OK</v>
      </c>
      <c r="H2820" s="13">
        <f t="shared" si="219"/>
        <v>6</v>
      </c>
      <c r="I2820" s="14">
        <f t="shared" si="215"/>
        <v>1847.2600000000002</v>
      </c>
      <c r="K2820" t="str">
        <f>[1]!revcom(C2820)</f>
        <v>TCAACC</v>
      </c>
      <c r="L2820">
        <v>5</v>
      </c>
    </row>
    <row r="2821" spans="1:12" ht="15.6" x14ac:dyDescent="0.3">
      <c r="A2821" s="9">
        <v>2810</v>
      </c>
      <c r="B2821" s="1"/>
      <c r="C2821" s="2" t="s">
        <v>2816</v>
      </c>
      <c r="D2821" s="1"/>
      <c r="E2821" s="11">
        <f t="shared" si="216"/>
        <v>12</v>
      </c>
      <c r="F2821" s="12">
        <f t="shared" si="217"/>
        <v>66.666666666666657</v>
      </c>
      <c r="G2821" s="12" t="str">
        <f t="shared" si="218"/>
        <v>Warning</v>
      </c>
      <c r="H2821" s="13">
        <f t="shared" si="219"/>
        <v>6</v>
      </c>
      <c r="I2821" s="14">
        <f t="shared" si="215"/>
        <v>1823.23</v>
      </c>
      <c r="K2821" t="str">
        <f>[1]!revcom(C2821)</f>
        <v>GCAACC</v>
      </c>
      <c r="L2821">
        <v>4</v>
      </c>
    </row>
    <row r="2822" spans="1:12" ht="15.6" x14ac:dyDescent="0.3">
      <c r="A2822" s="9">
        <v>2811</v>
      </c>
      <c r="B2822" s="1"/>
      <c r="C2822" s="2" t="s">
        <v>2817</v>
      </c>
      <c r="D2822" s="1"/>
      <c r="E2822" s="11">
        <f t="shared" si="216"/>
        <v>12</v>
      </c>
      <c r="F2822" s="12">
        <f t="shared" si="217"/>
        <v>66.666666666666657</v>
      </c>
      <c r="G2822" s="12" t="str">
        <f t="shared" si="218"/>
        <v>Warning</v>
      </c>
      <c r="H2822" s="13">
        <f t="shared" si="219"/>
        <v>6</v>
      </c>
      <c r="I2822" s="14">
        <f t="shared" si="215"/>
        <v>1863.2600000000002</v>
      </c>
      <c r="K2822" t="str">
        <f>[1]!revcom(C2822)</f>
        <v>CCAACC</v>
      </c>
      <c r="L2822">
        <v>4</v>
      </c>
    </row>
    <row r="2823" spans="1:12" ht="15.6" x14ac:dyDescent="0.3">
      <c r="A2823" s="9">
        <v>2812</v>
      </c>
      <c r="B2823" s="1"/>
      <c r="C2823" s="2" t="s">
        <v>2818</v>
      </c>
      <c r="D2823" s="1"/>
      <c r="E2823" s="11">
        <f t="shared" si="216"/>
        <v>6</v>
      </c>
      <c r="F2823" s="12">
        <f t="shared" si="217"/>
        <v>50</v>
      </c>
      <c r="G2823" s="12" t="str">
        <f t="shared" si="218"/>
        <v>OK</v>
      </c>
      <c r="H2823" s="13">
        <f t="shared" si="219"/>
        <v>6</v>
      </c>
      <c r="I2823" s="14">
        <f t="shared" si="215"/>
        <v>1838.2400000000002</v>
      </c>
      <c r="K2823" t="str">
        <f>[1]!revcom(C2823)</f>
        <v>ACAACC</v>
      </c>
      <c r="L2823">
        <v>3</v>
      </c>
    </row>
    <row r="2824" spans="1:12" ht="15.6" x14ac:dyDescent="0.3">
      <c r="A2824" s="9">
        <v>2813</v>
      </c>
      <c r="B2824" s="1"/>
      <c r="C2824" s="2" t="s">
        <v>2819</v>
      </c>
      <c r="D2824" s="1"/>
      <c r="E2824" s="11">
        <f t="shared" si="216"/>
        <v>8</v>
      </c>
      <c r="F2824" s="12">
        <f t="shared" si="217"/>
        <v>33.333333333333329</v>
      </c>
      <c r="G2824" s="12" t="str">
        <f t="shared" si="218"/>
        <v>OK</v>
      </c>
      <c r="H2824" s="13">
        <f t="shared" si="219"/>
        <v>6</v>
      </c>
      <c r="I2824" s="14">
        <f t="shared" si="215"/>
        <v>1822.2400000000002</v>
      </c>
      <c r="K2824" t="str">
        <f>[1]!revcom(C2824)</f>
        <v>TAAACC</v>
      </c>
      <c r="L2824">
        <v>4</v>
      </c>
    </row>
    <row r="2825" spans="1:12" ht="15.6" x14ac:dyDescent="0.3">
      <c r="A2825" s="9">
        <v>2814</v>
      </c>
      <c r="B2825" s="1"/>
      <c r="C2825" s="2" t="s">
        <v>2820</v>
      </c>
      <c r="D2825" s="1"/>
      <c r="E2825" s="11">
        <f t="shared" si="216"/>
        <v>6</v>
      </c>
      <c r="F2825" s="12">
        <f t="shared" si="217"/>
        <v>50</v>
      </c>
      <c r="G2825" s="12" t="str">
        <f t="shared" si="218"/>
        <v>OK</v>
      </c>
      <c r="H2825" s="13">
        <f t="shared" si="219"/>
        <v>6</v>
      </c>
      <c r="I2825" s="14">
        <f t="shared" si="215"/>
        <v>1798.21</v>
      </c>
      <c r="K2825" t="str">
        <f>[1]!revcom(C2825)</f>
        <v>GAAACC</v>
      </c>
      <c r="L2825">
        <v>3</v>
      </c>
    </row>
    <row r="2826" spans="1:12" ht="15.6" x14ac:dyDescent="0.3">
      <c r="A2826" s="9">
        <v>2815</v>
      </c>
      <c r="B2826" s="1"/>
      <c r="C2826" s="2" t="s">
        <v>2821</v>
      </c>
      <c r="D2826" s="1"/>
      <c r="E2826" s="11">
        <f t="shared" si="216"/>
        <v>6</v>
      </c>
      <c r="F2826" s="12">
        <f t="shared" si="217"/>
        <v>50</v>
      </c>
      <c r="G2826" s="12" t="str">
        <f t="shared" si="218"/>
        <v>OK</v>
      </c>
      <c r="H2826" s="13">
        <f t="shared" si="219"/>
        <v>6</v>
      </c>
      <c r="I2826" s="14">
        <f t="shared" si="215"/>
        <v>1838.2400000000002</v>
      </c>
      <c r="K2826" t="str">
        <f>[1]!revcom(C2826)</f>
        <v>CAAACC</v>
      </c>
      <c r="L2826">
        <v>3</v>
      </c>
    </row>
    <row r="2827" spans="1:12" ht="15.6" x14ac:dyDescent="0.3">
      <c r="A2827" s="9">
        <v>2816</v>
      </c>
      <c r="B2827" s="1"/>
      <c r="C2827" s="2" t="s">
        <v>2822</v>
      </c>
      <c r="D2827" s="1"/>
      <c r="E2827" s="11">
        <f t="shared" si="216"/>
        <v>0</v>
      </c>
      <c r="F2827" s="12">
        <f t="shared" si="217"/>
        <v>33.333333333333329</v>
      </c>
      <c r="G2827" s="12" t="str">
        <f t="shared" si="218"/>
        <v>OK</v>
      </c>
      <c r="H2827" s="13">
        <f t="shared" si="219"/>
        <v>6</v>
      </c>
      <c r="I2827" s="14">
        <f t="shared" si="215"/>
        <v>1813.2200000000003</v>
      </c>
      <c r="K2827" t="str">
        <f>[1]!revcom(C2827)</f>
        <v>AAAACC</v>
      </c>
      <c r="L2827">
        <v>2</v>
      </c>
    </row>
    <row r="2828" spans="1:12" ht="15.6" x14ac:dyDescent="0.3">
      <c r="A2828" s="9">
        <v>2817</v>
      </c>
      <c r="B2828" s="1"/>
      <c r="C2828" s="2" t="s">
        <v>2823</v>
      </c>
      <c r="D2828" s="1"/>
      <c r="E2828" s="11">
        <f t="shared" si="216"/>
        <v>26</v>
      </c>
      <c r="F2828" s="12">
        <f t="shared" si="217"/>
        <v>16.666666666666664</v>
      </c>
      <c r="G2828" s="12" t="str">
        <f t="shared" si="218"/>
        <v>OK</v>
      </c>
      <c r="H2828" s="13">
        <f t="shared" si="219"/>
        <v>6</v>
      </c>
      <c r="I2828" s="14">
        <f t="shared" si="215"/>
        <v>1824.2799999999997</v>
      </c>
      <c r="K2828" t="str">
        <f>[1]!revcom(C2828)</f>
        <v>TTTTAC</v>
      </c>
      <c r="L2828">
        <v>7</v>
      </c>
    </row>
    <row r="2829" spans="1:12" ht="15.6" x14ac:dyDescent="0.3">
      <c r="A2829" s="9">
        <v>2818</v>
      </c>
      <c r="B2829" s="1"/>
      <c r="C2829" s="2" t="s">
        <v>2824</v>
      </c>
      <c r="D2829" s="1"/>
      <c r="E2829" s="11">
        <f t="shared" si="216"/>
        <v>24</v>
      </c>
      <c r="F2829" s="12">
        <f t="shared" si="217"/>
        <v>33.333333333333329</v>
      </c>
      <c r="G2829" s="12" t="str">
        <f t="shared" si="218"/>
        <v>OK</v>
      </c>
      <c r="H2829" s="13">
        <f t="shared" si="219"/>
        <v>6</v>
      </c>
      <c r="I2829" s="14">
        <f t="shared" ref="I2829:I2892" si="220">((LEN(C2829)-(LEN(SUBSTITUTE(C2829,"A",""))))*249.23)+((LEN(C2829)-(LEN(SUBSTITUTE(C2829,"T",""))))*240.21)+((LEN(C2829)-(LEN(SUBSTITUTE(C2829,"C",""))))*225.2)+((LEN(C2829)-(LEN(SUBSTITUTE(C2829,"G",""))))*265.23)+(63.98*(LEN(C2829)-1)+(2.02))</f>
        <v>1800.25</v>
      </c>
      <c r="K2829" t="str">
        <f>[1]!revcom(C2829)</f>
        <v>GTTTAC</v>
      </c>
      <c r="L2829">
        <v>6</v>
      </c>
    </row>
    <row r="2830" spans="1:12" ht="15.6" x14ac:dyDescent="0.3">
      <c r="A2830" s="9">
        <v>2819</v>
      </c>
      <c r="B2830" s="1"/>
      <c r="C2830" s="2" t="s">
        <v>2825</v>
      </c>
      <c r="D2830" s="1"/>
      <c r="E2830" s="11">
        <f t="shared" ref="E2830:E2893" si="221">IF(LEN(C2830)&gt;15,(69.3+((41*((LEN(C2830)-(((LEN(C2830)-(LEN(SUBSTITUTE(C2830,"A",""))))+((LEN(C2830)-(LEN(SUBSTITUTE(C2830,"T","")))))))))/(LEN(C2830)))-(650/(LEN(C2830))))),(2*((LEN(C2830)-(((LEN(C2830)-(LEN(SUBSTITUTE(C2830,"C",""))))+((LEN(C2830)-(LEN(SUBSTITUTE(C2830,"G",""))))))))))+(4*((LEN(C2830)-(((LEN(C2830)-(LEN(SUBSTITUTE(C2830,"T",""))))+((LEN(C2830)-(LEN(SUBSTITUTE(C2830,"T","")))))))))))</f>
        <v>24</v>
      </c>
      <c r="F2830" s="12">
        <f t="shared" ref="F2830:F2893" si="222">((LEN(C2830)- LEN(SUBSTITUTE(C2830,"G","")))+(LEN(C2830)- LEN(SUBSTITUTE(C2830,"C",""))) )/LEN(C2830)*100</f>
        <v>33.333333333333329</v>
      </c>
      <c r="G2830" s="12" t="str">
        <f t="shared" ref="G2830:G2893" si="223">IF((-5+((LEN(SUBSTITUTE(RIGHT(C2830,5),"C","")))+((LEN(SUBSTITUTE(RIGHT(C2830,5),"G",""))))))&gt;=3,"OK","Warning")</f>
        <v>OK</v>
      </c>
      <c r="H2830" s="13">
        <f t="shared" ref="H2830:H2893" si="224">LEN(C2830)</f>
        <v>6</v>
      </c>
      <c r="I2830" s="14">
        <f t="shared" si="220"/>
        <v>1840.2800000000002</v>
      </c>
      <c r="K2830" t="str">
        <f>[1]!revcom(C2830)</f>
        <v>CTTTAC</v>
      </c>
      <c r="L2830">
        <v>6</v>
      </c>
    </row>
    <row r="2831" spans="1:12" ht="15.6" x14ac:dyDescent="0.3">
      <c r="A2831" s="9">
        <v>2820</v>
      </c>
      <c r="B2831" s="1"/>
      <c r="C2831" s="2" t="s">
        <v>2826</v>
      </c>
      <c r="D2831" s="1"/>
      <c r="E2831" s="11">
        <f t="shared" si="221"/>
        <v>18</v>
      </c>
      <c r="F2831" s="12">
        <f t="shared" si="222"/>
        <v>16.666666666666664</v>
      </c>
      <c r="G2831" s="12" t="str">
        <f t="shared" si="223"/>
        <v>OK</v>
      </c>
      <c r="H2831" s="13">
        <f t="shared" si="224"/>
        <v>6</v>
      </c>
      <c r="I2831" s="14">
        <f t="shared" si="220"/>
        <v>1815.2599999999998</v>
      </c>
      <c r="K2831" t="str">
        <f>[1]!revcom(C2831)</f>
        <v>ATTTAC</v>
      </c>
      <c r="L2831">
        <v>5</v>
      </c>
    </row>
    <row r="2832" spans="1:12" ht="15.6" x14ac:dyDescent="0.3">
      <c r="A2832" s="9">
        <v>2821</v>
      </c>
      <c r="B2832" s="1"/>
      <c r="C2832" s="2" t="s">
        <v>2827</v>
      </c>
      <c r="D2832" s="1"/>
      <c r="E2832" s="11">
        <f t="shared" si="221"/>
        <v>24</v>
      </c>
      <c r="F2832" s="12">
        <f t="shared" si="222"/>
        <v>33.333333333333329</v>
      </c>
      <c r="G2832" s="12" t="str">
        <f t="shared" si="223"/>
        <v>OK</v>
      </c>
      <c r="H2832" s="13">
        <f t="shared" si="224"/>
        <v>6</v>
      </c>
      <c r="I2832" s="14">
        <f t="shared" si="220"/>
        <v>1800.25</v>
      </c>
      <c r="K2832" t="str">
        <f>[1]!revcom(C2832)</f>
        <v>TGTTAC</v>
      </c>
      <c r="L2832">
        <v>6</v>
      </c>
    </row>
    <row r="2833" spans="1:12" ht="15.6" x14ac:dyDescent="0.3">
      <c r="A2833" s="9">
        <v>2822</v>
      </c>
      <c r="B2833" s="1"/>
      <c r="C2833" s="2" t="s">
        <v>2828</v>
      </c>
      <c r="D2833" s="1"/>
      <c r="E2833" s="11">
        <f t="shared" si="221"/>
        <v>22</v>
      </c>
      <c r="F2833" s="12">
        <f t="shared" si="222"/>
        <v>50</v>
      </c>
      <c r="G2833" s="12" t="str">
        <f t="shared" si="223"/>
        <v>OK</v>
      </c>
      <c r="H2833" s="13">
        <f t="shared" si="224"/>
        <v>6</v>
      </c>
      <c r="I2833" s="14">
        <f t="shared" si="220"/>
        <v>1776.2199999999998</v>
      </c>
      <c r="K2833" t="str">
        <f>[1]!revcom(C2833)</f>
        <v>GGTTAC</v>
      </c>
      <c r="L2833">
        <v>6</v>
      </c>
    </row>
    <row r="2834" spans="1:12" ht="15.6" x14ac:dyDescent="0.3">
      <c r="A2834" s="9">
        <v>2823</v>
      </c>
      <c r="B2834" s="1"/>
      <c r="C2834" s="2" t="s">
        <v>2829</v>
      </c>
      <c r="D2834" s="1"/>
      <c r="E2834" s="11">
        <f t="shared" si="221"/>
        <v>22</v>
      </c>
      <c r="F2834" s="12">
        <f t="shared" si="222"/>
        <v>50</v>
      </c>
      <c r="G2834" s="12" t="str">
        <f t="shared" si="223"/>
        <v>OK</v>
      </c>
      <c r="H2834" s="13">
        <f t="shared" si="224"/>
        <v>6</v>
      </c>
      <c r="I2834" s="14">
        <f t="shared" si="220"/>
        <v>1816.25</v>
      </c>
      <c r="K2834" t="str">
        <f>[1]!revcom(C2834)</f>
        <v>CGTTAC</v>
      </c>
      <c r="L2834">
        <v>6</v>
      </c>
    </row>
    <row r="2835" spans="1:12" ht="15.6" x14ac:dyDescent="0.3">
      <c r="A2835" s="9">
        <v>2824</v>
      </c>
      <c r="B2835" s="1"/>
      <c r="C2835" s="2" t="s">
        <v>2830</v>
      </c>
      <c r="D2835" s="1"/>
      <c r="E2835" s="11">
        <f t="shared" si="221"/>
        <v>16</v>
      </c>
      <c r="F2835" s="12">
        <f t="shared" si="222"/>
        <v>33.333333333333329</v>
      </c>
      <c r="G2835" s="12" t="str">
        <f t="shared" si="223"/>
        <v>OK</v>
      </c>
      <c r="H2835" s="13">
        <f t="shared" si="224"/>
        <v>6</v>
      </c>
      <c r="I2835" s="14">
        <f t="shared" si="220"/>
        <v>1791.23</v>
      </c>
      <c r="K2835" t="str">
        <f>[1]!revcom(C2835)</f>
        <v>AGTTAC</v>
      </c>
      <c r="L2835">
        <v>5</v>
      </c>
    </row>
    <row r="2836" spans="1:12" ht="15.6" x14ac:dyDescent="0.3">
      <c r="A2836" s="9">
        <v>2825</v>
      </c>
      <c r="B2836" s="1"/>
      <c r="C2836" s="2" t="s">
        <v>2831</v>
      </c>
      <c r="D2836" s="1"/>
      <c r="E2836" s="11">
        <f t="shared" si="221"/>
        <v>24</v>
      </c>
      <c r="F2836" s="12">
        <f t="shared" si="222"/>
        <v>33.333333333333329</v>
      </c>
      <c r="G2836" s="12" t="str">
        <f t="shared" si="223"/>
        <v>OK</v>
      </c>
      <c r="H2836" s="13">
        <f t="shared" si="224"/>
        <v>6</v>
      </c>
      <c r="I2836" s="14">
        <f t="shared" si="220"/>
        <v>1840.2800000000002</v>
      </c>
      <c r="K2836" t="str">
        <f>[1]!revcom(C2836)</f>
        <v>TCTTAC</v>
      </c>
      <c r="L2836">
        <v>6</v>
      </c>
    </row>
    <row r="2837" spans="1:12" ht="15.6" x14ac:dyDescent="0.3">
      <c r="A2837" s="9">
        <v>2826</v>
      </c>
      <c r="B2837" s="1"/>
      <c r="C2837" s="2" t="s">
        <v>2832</v>
      </c>
      <c r="D2837" s="1"/>
      <c r="E2837" s="11">
        <f t="shared" si="221"/>
        <v>22</v>
      </c>
      <c r="F2837" s="12">
        <f t="shared" si="222"/>
        <v>50</v>
      </c>
      <c r="G2837" s="12" t="str">
        <f t="shared" si="223"/>
        <v>OK</v>
      </c>
      <c r="H2837" s="13">
        <f t="shared" si="224"/>
        <v>6</v>
      </c>
      <c r="I2837" s="14">
        <f t="shared" si="220"/>
        <v>1816.25</v>
      </c>
      <c r="K2837" t="str">
        <f>[1]!revcom(C2837)</f>
        <v>GCTTAC</v>
      </c>
      <c r="L2837">
        <v>6</v>
      </c>
    </row>
    <row r="2838" spans="1:12" ht="15.6" x14ac:dyDescent="0.3">
      <c r="A2838" s="9">
        <v>2827</v>
      </c>
      <c r="B2838" s="1"/>
      <c r="C2838" s="2" t="s">
        <v>2833</v>
      </c>
      <c r="D2838" s="1"/>
      <c r="E2838" s="11">
        <f t="shared" si="221"/>
        <v>22</v>
      </c>
      <c r="F2838" s="12">
        <f t="shared" si="222"/>
        <v>50</v>
      </c>
      <c r="G2838" s="12" t="str">
        <f t="shared" si="223"/>
        <v>OK</v>
      </c>
      <c r="H2838" s="13">
        <f t="shared" si="224"/>
        <v>6</v>
      </c>
      <c r="I2838" s="14">
        <f t="shared" si="220"/>
        <v>1856.2800000000002</v>
      </c>
      <c r="K2838" t="str">
        <f>[1]!revcom(C2838)</f>
        <v>CCTTAC</v>
      </c>
      <c r="L2838">
        <v>6</v>
      </c>
    </row>
    <row r="2839" spans="1:12" ht="15.6" x14ac:dyDescent="0.3">
      <c r="A2839" s="9">
        <v>2828</v>
      </c>
      <c r="B2839" s="1"/>
      <c r="C2839" s="2" t="s">
        <v>2834</v>
      </c>
      <c r="D2839" s="1"/>
      <c r="E2839" s="11">
        <f t="shared" si="221"/>
        <v>16</v>
      </c>
      <c r="F2839" s="12">
        <f t="shared" si="222"/>
        <v>33.333333333333329</v>
      </c>
      <c r="G2839" s="12" t="str">
        <f t="shared" si="223"/>
        <v>OK</v>
      </c>
      <c r="H2839" s="13">
        <f t="shared" si="224"/>
        <v>6</v>
      </c>
      <c r="I2839" s="14">
        <f t="shared" si="220"/>
        <v>1831.2600000000002</v>
      </c>
      <c r="K2839" t="str">
        <f>[1]!revcom(C2839)</f>
        <v>ACTTAC</v>
      </c>
      <c r="L2839">
        <v>5</v>
      </c>
    </row>
    <row r="2840" spans="1:12" ht="15.6" x14ac:dyDescent="0.3">
      <c r="A2840" s="9">
        <v>2829</v>
      </c>
      <c r="B2840" s="1"/>
      <c r="C2840" s="2" t="s">
        <v>2835</v>
      </c>
      <c r="D2840" s="1"/>
      <c r="E2840" s="11">
        <f t="shared" si="221"/>
        <v>18</v>
      </c>
      <c r="F2840" s="12">
        <f t="shared" si="222"/>
        <v>16.666666666666664</v>
      </c>
      <c r="G2840" s="12" t="str">
        <f t="shared" si="223"/>
        <v>OK</v>
      </c>
      <c r="H2840" s="13">
        <f t="shared" si="224"/>
        <v>6</v>
      </c>
      <c r="I2840" s="14">
        <f t="shared" si="220"/>
        <v>1815.2599999999998</v>
      </c>
      <c r="K2840" t="str">
        <f>[1]!revcom(C2840)</f>
        <v>TATTAC</v>
      </c>
      <c r="L2840">
        <v>5</v>
      </c>
    </row>
    <row r="2841" spans="1:12" ht="15.6" x14ac:dyDescent="0.3">
      <c r="A2841" s="9">
        <v>2830</v>
      </c>
      <c r="B2841" s="1"/>
      <c r="C2841" s="2" t="s">
        <v>2836</v>
      </c>
      <c r="D2841" s="1"/>
      <c r="E2841" s="11">
        <f t="shared" si="221"/>
        <v>16</v>
      </c>
      <c r="F2841" s="12">
        <f t="shared" si="222"/>
        <v>33.333333333333329</v>
      </c>
      <c r="G2841" s="12" t="str">
        <f t="shared" si="223"/>
        <v>OK</v>
      </c>
      <c r="H2841" s="13">
        <f t="shared" si="224"/>
        <v>6</v>
      </c>
      <c r="I2841" s="14">
        <f t="shared" si="220"/>
        <v>1791.23</v>
      </c>
      <c r="K2841" t="str">
        <f>[1]!revcom(C2841)</f>
        <v>GATTAC</v>
      </c>
      <c r="L2841">
        <v>5</v>
      </c>
    </row>
    <row r="2842" spans="1:12" ht="15.6" x14ac:dyDescent="0.3">
      <c r="A2842" s="9">
        <v>2831</v>
      </c>
      <c r="B2842" s="1"/>
      <c r="C2842" s="2" t="s">
        <v>2837</v>
      </c>
      <c r="D2842" s="1"/>
      <c r="E2842" s="11">
        <f t="shared" si="221"/>
        <v>16</v>
      </c>
      <c r="F2842" s="12">
        <f t="shared" si="222"/>
        <v>33.333333333333329</v>
      </c>
      <c r="G2842" s="12" t="str">
        <f t="shared" si="223"/>
        <v>OK</v>
      </c>
      <c r="H2842" s="13">
        <f t="shared" si="224"/>
        <v>6</v>
      </c>
      <c r="I2842" s="14">
        <f t="shared" si="220"/>
        <v>1831.2600000000002</v>
      </c>
      <c r="K2842" t="str">
        <f>[1]!revcom(C2842)</f>
        <v>CATTAC</v>
      </c>
      <c r="L2842">
        <v>5</v>
      </c>
    </row>
    <row r="2843" spans="1:12" ht="15.6" x14ac:dyDescent="0.3">
      <c r="A2843" s="9">
        <v>2832</v>
      </c>
      <c r="B2843" s="1"/>
      <c r="C2843" s="2" t="s">
        <v>2838</v>
      </c>
      <c r="D2843" s="1"/>
      <c r="E2843" s="11">
        <f t="shared" si="221"/>
        <v>10</v>
      </c>
      <c r="F2843" s="12">
        <f t="shared" si="222"/>
        <v>16.666666666666664</v>
      </c>
      <c r="G2843" s="12" t="str">
        <f t="shared" si="223"/>
        <v>OK</v>
      </c>
      <c r="H2843" s="13">
        <f t="shared" si="224"/>
        <v>6</v>
      </c>
      <c r="I2843" s="14">
        <f t="shared" si="220"/>
        <v>1806.2399999999998</v>
      </c>
      <c r="K2843" t="str">
        <f>[1]!revcom(C2843)</f>
        <v>AATTAC</v>
      </c>
      <c r="L2843">
        <v>4</v>
      </c>
    </row>
    <row r="2844" spans="1:12" ht="15.6" x14ac:dyDescent="0.3">
      <c r="A2844" s="9">
        <v>2833</v>
      </c>
      <c r="B2844" s="1"/>
      <c r="C2844" s="2" t="s">
        <v>2839</v>
      </c>
      <c r="D2844" s="1"/>
      <c r="E2844" s="11">
        <f t="shared" si="221"/>
        <v>24</v>
      </c>
      <c r="F2844" s="12">
        <f t="shared" si="222"/>
        <v>33.333333333333329</v>
      </c>
      <c r="G2844" s="12" t="str">
        <f t="shared" si="223"/>
        <v>OK</v>
      </c>
      <c r="H2844" s="13">
        <f t="shared" si="224"/>
        <v>6</v>
      </c>
      <c r="I2844" s="14">
        <f t="shared" si="220"/>
        <v>1800.25</v>
      </c>
      <c r="K2844" t="str">
        <f>[1]!revcom(C2844)</f>
        <v>TTGTAC</v>
      </c>
      <c r="L2844">
        <v>6</v>
      </c>
    </row>
    <row r="2845" spans="1:12" ht="15.6" x14ac:dyDescent="0.3">
      <c r="A2845" s="9">
        <v>2834</v>
      </c>
      <c r="B2845" s="1"/>
      <c r="C2845" s="2" t="s">
        <v>2840</v>
      </c>
      <c r="D2845" s="1"/>
      <c r="E2845" s="11">
        <f t="shared" si="221"/>
        <v>22</v>
      </c>
      <c r="F2845" s="12">
        <f t="shared" si="222"/>
        <v>50</v>
      </c>
      <c r="G2845" s="12" t="str">
        <f t="shared" si="223"/>
        <v>OK</v>
      </c>
      <c r="H2845" s="13">
        <f t="shared" si="224"/>
        <v>6</v>
      </c>
      <c r="I2845" s="14">
        <f t="shared" si="220"/>
        <v>1776.2199999999998</v>
      </c>
      <c r="K2845" t="str">
        <f>[1]!revcom(C2845)</f>
        <v>GTGTAC</v>
      </c>
      <c r="L2845">
        <v>6</v>
      </c>
    </row>
    <row r="2846" spans="1:12" ht="15.6" x14ac:dyDescent="0.3">
      <c r="A2846" s="9">
        <v>2835</v>
      </c>
      <c r="B2846" s="1"/>
      <c r="C2846" s="2" t="s">
        <v>2841</v>
      </c>
      <c r="D2846" s="1"/>
      <c r="E2846" s="11">
        <f t="shared" si="221"/>
        <v>22</v>
      </c>
      <c r="F2846" s="12">
        <f t="shared" si="222"/>
        <v>50</v>
      </c>
      <c r="G2846" s="12" t="str">
        <f t="shared" si="223"/>
        <v>OK</v>
      </c>
      <c r="H2846" s="13">
        <f t="shared" si="224"/>
        <v>6</v>
      </c>
      <c r="I2846" s="14">
        <f t="shared" si="220"/>
        <v>1816.25</v>
      </c>
      <c r="K2846" t="str">
        <f>[1]!revcom(C2846)</f>
        <v>CTGTAC</v>
      </c>
      <c r="L2846">
        <v>6</v>
      </c>
    </row>
    <row r="2847" spans="1:12" ht="15.6" x14ac:dyDescent="0.3">
      <c r="A2847" s="9">
        <v>2836</v>
      </c>
      <c r="B2847" s="1"/>
      <c r="C2847" s="2" t="s">
        <v>2842</v>
      </c>
      <c r="D2847" s="1"/>
      <c r="E2847" s="11">
        <f t="shared" si="221"/>
        <v>16</v>
      </c>
      <c r="F2847" s="12">
        <f t="shared" si="222"/>
        <v>33.333333333333329</v>
      </c>
      <c r="G2847" s="12" t="str">
        <f t="shared" si="223"/>
        <v>OK</v>
      </c>
      <c r="H2847" s="13">
        <f t="shared" si="224"/>
        <v>6</v>
      </c>
      <c r="I2847" s="14">
        <f t="shared" si="220"/>
        <v>1791.23</v>
      </c>
      <c r="K2847" t="str">
        <f>[1]!revcom(C2847)</f>
        <v>ATGTAC</v>
      </c>
      <c r="L2847">
        <v>5</v>
      </c>
    </row>
    <row r="2848" spans="1:12" ht="15.6" x14ac:dyDescent="0.3">
      <c r="A2848" s="9">
        <v>2837</v>
      </c>
      <c r="B2848" s="1"/>
      <c r="C2848" s="2" t="s">
        <v>2843</v>
      </c>
      <c r="D2848" s="1"/>
      <c r="E2848" s="11">
        <f t="shared" si="221"/>
        <v>22</v>
      </c>
      <c r="F2848" s="12">
        <f t="shared" si="222"/>
        <v>50</v>
      </c>
      <c r="G2848" s="12" t="str">
        <f t="shared" si="223"/>
        <v>OK</v>
      </c>
      <c r="H2848" s="13">
        <f t="shared" si="224"/>
        <v>6</v>
      </c>
      <c r="I2848" s="14">
        <f t="shared" si="220"/>
        <v>1776.2199999999998</v>
      </c>
      <c r="K2848" t="str">
        <f>[1]!revcom(C2848)</f>
        <v>TGGTAC</v>
      </c>
      <c r="L2848">
        <v>6</v>
      </c>
    </row>
    <row r="2849" spans="1:12" ht="15.6" x14ac:dyDescent="0.3">
      <c r="A2849" s="9">
        <v>2838</v>
      </c>
      <c r="B2849" s="1"/>
      <c r="C2849" s="2" t="s">
        <v>2844</v>
      </c>
      <c r="D2849" s="1"/>
      <c r="E2849" s="11">
        <f t="shared" si="221"/>
        <v>20</v>
      </c>
      <c r="F2849" s="12">
        <f t="shared" si="222"/>
        <v>66.666666666666657</v>
      </c>
      <c r="G2849" s="12" t="str">
        <f t="shared" si="223"/>
        <v>Warning</v>
      </c>
      <c r="H2849" s="13">
        <f t="shared" si="224"/>
        <v>6</v>
      </c>
      <c r="I2849" s="14">
        <f t="shared" si="220"/>
        <v>1752.19</v>
      </c>
      <c r="K2849" t="str">
        <f>[1]!revcom(C2849)</f>
        <v>GGGTAC</v>
      </c>
      <c r="L2849">
        <v>6</v>
      </c>
    </row>
    <row r="2850" spans="1:12" ht="15.6" x14ac:dyDescent="0.3">
      <c r="A2850" s="9">
        <v>2839</v>
      </c>
      <c r="B2850" s="1"/>
      <c r="C2850" s="2" t="s">
        <v>2845</v>
      </c>
      <c r="D2850" s="1"/>
      <c r="E2850" s="11">
        <f t="shared" si="221"/>
        <v>20</v>
      </c>
      <c r="F2850" s="12">
        <f t="shared" si="222"/>
        <v>66.666666666666657</v>
      </c>
      <c r="G2850" s="12" t="str">
        <f t="shared" si="223"/>
        <v>Warning</v>
      </c>
      <c r="H2850" s="13">
        <f t="shared" si="224"/>
        <v>6</v>
      </c>
      <c r="I2850" s="14">
        <f t="shared" si="220"/>
        <v>1792.2199999999998</v>
      </c>
      <c r="K2850" t="str">
        <f>[1]!revcom(C2850)</f>
        <v>CGGTAC</v>
      </c>
      <c r="L2850">
        <v>6</v>
      </c>
    </row>
    <row r="2851" spans="1:12" ht="15.6" x14ac:dyDescent="0.3">
      <c r="A2851" s="9">
        <v>2840</v>
      </c>
      <c r="B2851" s="1"/>
      <c r="C2851" s="2" t="s">
        <v>2846</v>
      </c>
      <c r="D2851" s="1"/>
      <c r="E2851" s="11">
        <f t="shared" si="221"/>
        <v>14</v>
      </c>
      <c r="F2851" s="12">
        <f t="shared" si="222"/>
        <v>50</v>
      </c>
      <c r="G2851" s="12" t="str">
        <f t="shared" si="223"/>
        <v>OK</v>
      </c>
      <c r="H2851" s="13">
        <f t="shared" si="224"/>
        <v>6</v>
      </c>
      <c r="I2851" s="14">
        <f t="shared" si="220"/>
        <v>1767.1999999999998</v>
      </c>
      <c r="K2851" t="str">
        <f>[1]!revcom(C2851)</f>
        <v>AGGTAC</v>
      </c>
      <c r="L2851">
        <v>5</v>
      </c>
    </row>
    <row r="2852" spans="1:12" ht="15.6" x14ac:dyDescent="0.3">
      <c r="A2852" s="9">
        <v>2841</v>
      </c>
      <c r="B2852" s="1"/>
      <c r="C2852" s="2" t="s">
        <v>2847</v>
      </c>
      <c r="D2852" s="1"/>
      <c r="E2852" s="11">
        <f t="shared" si="221"/>
        <v>22</v>
      </c>
      <c r="F2852" s="12">
        <f t="shared" si="222"/>
        <v>50</v>
      </c>
      <c r="G2852" s="12" t="str">
        <f t="shared" si="223"/>
        <v>OK</v>
      </c>
      <c r="H2852" s="13">
        <f t="shared" si="224"/>
        <v>6</v>
      </c>
      <c r="I2852" s="14">
        <f t="shared" si="220"/>
        <v>1816.25</v>
      </c>
      <c r="K2852" t="str">
        <f>[1]!revcom(C2852)</f>
        <v>TCGTAC</v>
      </c>
      <c r="L2852">
        <v>6</v>
      </c>
    </row>
    <row r="2853" spans="1:12" ht="15.6" x14ac:dyDescent="0.3">
      <c r="A2853" s="9">
        <v>2842</v>
      </c>
      <c r="B2853" s="1"/>
      <c r="C2853" s="2" t="s">
        <v>2848</v>
      </c>
      <c r="D2853" s="1"/>
      <c r="E2853" s="11">
        <f t="shared" si="221"/>
        <v>20</v>
      </c>
      <c r="F2853" s="12">
        <f t="shared" si="222"/>
        <v>66.666666666666657</v>
      </c>
      <c r="G2853" s="12" t="str">
        <f t="shared" si="223"/>
        <v>Warning</v>
      </c>
      <c r="H2853" s="13">
        <f t="shared" si="224"/>
        <v>6</v>
      </c>
      <c r="I2853" s="14">
        <f t="shared" si="220"/>
        <v>1792.2199999999998</v>
      </c>
      <c r="K2853" t="str">
        <f>[1]!revcom(C2853)</f>
        <v>GCGTAC</v>
      </c>
      <c r="L2853">
        <v>6</v>
      </c>
    </row>
    <row r="2854" spans="1:12" ht="15.6" x14ac:dyDescent="0.3">
      <c r="A2854" s="9">
        <v>2843</v>
      </c>
      <c r="B2854" s="1"/>
      <c r="C2854" s="2" t="s">
        <v>2849</v>
      </c>
      <c r="D2854" s="1"/>
      <c r="E2854" s="11">
        <f t="shared" si="221"/>
        <v>20</v>
      </c>
      <c r="F2854" s="12">
        <f t="shared" si="222"/>
        <v>66.666666666666657</v>
      </c>
      <c r="G2854" s="12" t="str">
        <f t="shared" si="223"/>
        <v>Warning</v>
      </c>
      <c r="H2854" s="13">
        <f t="shared" si="224"/>
        <v>6</v>
      </c>
      <c r="I2854" s="14">
        <f t="shared" si="220"/>
        <v>1832.25</v>
      </c>
      <c r="K2854" t="str">
        <f>[1]!revcom(C2854)</f>
        <v>CCGTAC</v>
      </c>
      <c r="L2854">
        <v>6</v>
      </c>
    </row>
    <row r="2855" spans="1:12" ht="15.6" x14ac:dyDescent="0.3">
      <c r="A2855" s="9">
        <v>2844</v>
      </c>
      <c r="B2855" s="1"/>
      <c r="C2855" s="2" t="s">
        <v>2850</v>
      </c>
      <c r="D2855" s="1"/>
      <c r="E2855" s="11">
        <f t="shared" si="221"/>
        <v>14</v>
      </c>
      <c r="F2855" s="12">
        <f t="shared" si="222"/>
        <v>50</v>
      </c>
      <c r="G2855" s="12" t="str">
        <f t="shared" si="223"/>
        <v>OK</v>
      </c>
      <c r="H2855" s="13">
        <f t="shared" si="224"/>
        <v>6</v>
      </c>
      <c r="I2855" s="14">
        <f t="shared" si="220"/>
        <v>1807.23</v>
      </c>
      <c r="K2855" t="str">
        <f>[1]!revcom(C2855)</f>
        <v>ACGTAC</v>
      </c>
      <c r="L2855">
        <v>5</v>
      </c>
    </row>
    <row r="2856" spans="1:12" ht="15.6" x14ac:dyDescent="0.3">
      <c r="A2856" s="9">
        <v>2845</v>
      </c>
      <c r="B2856" s="1"/>
      <c r="C2856" s="2" t="s">
        <v>2851</v>
      </c>
      <c r="D2856" s="1"/>
      <c r="E2856" s="11">
        <f t="shared" si="221"/>
        <v>16</v>
      </c>
      <c r="F2856" s="12">
        <f t="shared" si="222"/>
        <v>33.333333333333329</v>
      </c>
      <c r="G2856" s="12" t="str">
        <f t="shared" si="223"/>
        <v>OK</v>
      </c>
      <c r="H2856" s="13">
        <f t="shared" si="224"/>
        <v>6</v>
      </c>
      <c r="I2856" s="14">
        <f t="shared" si="220"/>
        <v>1791.23</v>
      </c>
      <c r="K2856" t="str">
        <f>[1]!revcom(C2856)</f>
        <v>TAGTAC</v>
      </c>
      <c r="L2856">
        <v>5</v>
      </c>
    </row>
    <row r="2857" spans="1:12" ht="15.6" x14ac:dyDescent="0.3">
      <c r="A2857" s="9">
        <v>2846</v>
      </c>
      <c r="B2857" s="1"/>
      <c r="C2857" s="2" t="s">
        <v>2852</v>
      </c>
      <c r="D2857" s="1"/>
      <c r="E2857" s="11">
        <f t="shared" si="221"/>
        <v>14</v>
      </c>
      <c r="F2857" s="12">
        <f t="shared" si="222"/>
        <v>50</v>
      </c>
      <c r="G2857" s="12" t="str">
        <f t="shared" si="223"/>
        <v>OK</v>
      </c>
      <c r="H2857" s="13">
        <f t="shared" si="224"/>
        <v>6</v>
      </c>
      <c r="I2857" s="14">
        <f t="shared" si="220"/>
        <v>1767.1999999999998</v>
      </c>
      <c r="K2857" t="str">
        <f>[1]!revcom(C2857)</f>
        <v>GAGTAC</v>
      </c>
      <c r="L2857">
        <v>5</v>
      </c>
    </row>
    <row r="2858" spans="1:12" ht="15.6" x14ac:dyDescent="0.3">
      <c r="A2858" s="9">
        <v>2847</v>
      </c>
      <c r="B2858" s="1"/>
      <c r="C2858" s="2" t="s">
        <v>2853</v>
      </c>
      <c r="D2858" s="1"/>
      <c r="E2858" s="11">
        <f t="shared" si="221"/>
        <v>14</v>
      </c>
      <c r="F2858" s="12">
        <f t="shared" si="222"/>
        <v>50</v>
      </c>
      <c r="G2858" s="12" t="str">
        <f t="shared" si="223"/>
        <v>OK</v>
      </c>
      <c r="H2858" s="13">
        <f t="shared" si="224"/>
        <v>6</v>
      </c>
      <c r="I2858" s="14">
        <f t="shared" si="220"/>
        <v>1807.23</v>
      </c>
      <c r="K2858" t="str">
        <f>[1]!revcom(C2858)</f>
        <v>CAGTAC</v>
      </c>
      <c r="L2858">
        <v>5</v>
      </c>
    </row>
    <row r="2859" spans="1:12" ht="15.6" x14ac:dyDescent="0.3">
      <c r="A2859" s="9">
        <v>2848</v>
      </c>
      <c r="B2859" s="1"/>
      <c r="C2859" s="2" t="s">
        <v>2854</v>
      </c>
      <c r="D2859" s="1"/>
      <c r="E2859" s="11">
        <f t="shared" si="221"/>
        <v>8</v>
      </c>
      <c r="F2859" s="12">
        <f t="shared" si="222"/>
        <v>33.333333333333329</v>
      </c>
      <c r="G2859" s="12" t="str">
        <f t="shared" si="223"/>
        <v>OK</v>
      </c>
      <c r="H2859" s="13">
        <f t="shared" si="224"/>
        <v>6</v>
      </c>
      <c r="I2859" s="14">
        <f t="shared" si="220"/>
        <v>1782.21</v>
      </c>
      <c r="K2859" t="str">
        <f>[1]!revcom(C2859)</f>
        <v>AAGTAC</v>
      </c>
      <c r="L2859">
        <v>4</v>
      </c>
    </row>
    <row r="2860" spans="1:12" ht="15.6" x14ac:dyDescent="0.3">
      <c r="A2860" s="9">
        <v>2849</v>
      </c>
      <c r="B2860" s="1"/>
      <c r="C2860" s="2" t="s">
        <v>2855</v>
      </c>
      <c r="D2860" s="1"/>
      <c r="E2860" s="11">
        <f t="shared" si="221"/>
        <v>24</v>
      </c>
      <c r="F2860" s="12">
        <f t="shared" si="222"/>
        <v>33.333333333333329</v>
      </c>
      <c r="G2860" s="12" t="str">
        <f t="shared" si="223"/>
        <v>OK</v>
      </c>
      <c r="H2860" s="13">
        <f t="shared" si="224"/>
        <v>6</v>
      </c>
      <c r="I2860" s="14">
        <f t="shared" si="220"/>
        <v>1840.2800000000002</v>
      </c>
      <c r="K2860" t="str">
        <f>[1]!revcom(C2860)</f>
        <v>TTCTAC</v>
      </c>
      <c r="L2860">
        <v>6</v>
      </c>
    </row>
    <row r="2861" spans="1:12" ht="15.6" x14ac:dyDescent="0.3">
      <c r="A2861" s="9">
        <v>2850</v>
      </c>
      <c r="B2861" s="1"/>
      <c r="C2861" s="2" t="s">
        <v>2856</v>
      </c>
      <c r="D2861" s="1"/>
      <c r="E2861" s="11">
        <f t="shared" si="221"/>
        <v>22</v>
      </c>
      <c r="F2861" s="12">
        <f t="shared" si="222"/>
        <v>50</v>
      </c>
      <c r="G2861" s="12" t="str">
        <f t="shared" si="223"/>
        <v>OK</v>
      </c>
      <c r="H2861" s="13">
        <f t="shared" si="224"/>
        <v>6</v>
      </c>
      <c r="I2861" s="14">
        <f t="shared" si="220"/>
        <v>1816.25</v>
      </c>
      <c r="K2861" t="str">
        <f>[1]!revcom(C2861)</f>
        <v>GTCTAC</v>
      </c>
      <c r="L2861">
        <v>6</v>
      </c>
    </row>
    <row r="2862" spans="1:12" ht="15.6" x14ac:dyDescent="0.3">
      <c r="A2862" s="9">
        <v>2851</v>
      </c>
      <c r="B2862" s="1"/>
      <c r="C2862" s="2" t="s">
        <v>2857</v>
      </c>
      <c r="D2862" s="1"/>
      <c r="E2862" s="11">
        <f t="shared" si="221"/>
        <v>22</v>
      </c>
      <c r="F2862" s="12">
        <f t="shared" si="222"/>
        <v>50</v>
      </c>
      <c r="G2862" s="12" t="str">
        <f t="shared" si="223"/>
        <v>OK</v>
      </c>
      <c r="H2862" s="13">
        <f t="shared" si="224"/>
        <v>6</v>
      </c>
      <c r="I2862" s="14">
        <f t="shared" si="220"/>
        <v>1856.2800000000002</v>
      </c>
      <c r="K2862" t="str">
        <f>[1]!revcom(C2862)</f>
        <v>CTCTAC</v>
      </c>
      <c r="L2862">
        <v>6</v>
      </c>
    </row>
    <row r="2863" spans="1:12" ht="15.6" x14ac:dyDescent="0.3">
      <c r="A2863" s="9">
        <v>2852</v>
      </c>
      <c r="B2863" s="1"/>
      <c r="C2863" s="2" t="s">
        <v>2858</v>
      </c>
      <c r="D2863" s="1"/>
      <c r="E2863" s="11">
        <f t="shared" si="221"/>
        <v>16</v>
      </c>
      <c r="F2863" s="12">
        <f t="shared" si="222"/>
        <v>33.333333333333329</v>
      </c>
      <c r="G2863" s="12" t="str">
        <f t="shared" si="223"/>
        <v>OK</v>
      </c>
      <c r="H2863" s="13">
        <f t="shared" si="224"/>
        <v>6</v>
      </c>
      <c r="I2863" s="14">
        <f t="shared" si="220"/>
        <v>1831.2600000000002</v>
      </c>
      <c r="K2863" t="str">
        <f>[1]!revcom(C2863)</f>
        <v>ATCTAC</v>
      </c>
      <c r="L2863">
        <v>5</v>
      </c>
    </row>
    <row r="2864" spans="1:12" ht="15.6" x14ac:dyDescent="0.3">
      <c r="A2864" s="9">
        <v>2853</v>
      </c>
      <c r="B2864" s="1"/>
      <c r="C2864" s="2" t="s">
        <v>2859</v>
      </c>
      <c r="D2864" s="1"/>
      <c r="E2864" s="11">
        <f t="shared" si="221"/>
        <v>22</v>
      </c>
      <c r="F2864" s="12">
        <f t="shared" si="222"/>
        <v>50</v>
      </c>
      <c r="G2864" s="12" t="str">
        <f t="shared" si="223"/>
        <v>OK</v>
      </c>
      <c r="H2864" s="13">
        <f t="shared" si="224"/>
        <v>6</v>
      </c>
      <c r="I2864" s="14">
        <f t="shared" si="220"/>
        <v>1816.25</v>
      </c>
      <c r="K2864" t="str">
        <f>[1]!revcom(C2864)</f>
        <v>TGCTAC</v>
      </c>
      <c r="L2864">
        <v>6</v>
      </c>
    </row>
    <row r="2865" spans="1:12" ht="15.6" x14ac:dyDescent="0.3">
      <c r="A2865" s="9">
        <v>2854</v>
      </c>
      <c r="B2865" s="1"/>
      <c r="C2865" s="2" t="s">
        <v>2860</v>
      </c>
      <c r="D2865" s="1"/>
      <c r="E2865" s="11">
        <f t="shared" si="221"/>
        <v>20</v>
      </c>
      <c r="F2865" s="12">
        <f t="shared" si="222"/>
        <v>66.666666666666657</v>
      </c>
      <c r="G2865" s="12" t="str">
        <f t="shared" si="223"/>
        <v>Warning</v>
      </c>
      <c r="H2865" s="13">
        <f t="shared" si="224"/>
        <v>6</v>
      </c>
      <c r="I2865" s="14">
        <f t="shared" si="220"/>
        <v>1792.2199999999998</v>
      </c>
      <c r="K2865" t="str">
        <f>[1]!revcom(C2865)</f>
        <v>GGCTAC</v>
      </c>
      <c r="L2865">
        <v>6</v>
      </c>
    </row>
    <row r="2866" spans="1:12" ht="15.6" x14ac:dyDescent="0.3">
      <c r="A2866" s="9">
        <v>2855</v>
      </c>
      <c r="B2866" s="1"/>
      <c r="C2866" s="2" t="s">
        <v>2861</v>
      </c>
      <c r="D2866" s="1"/>
      <c r="E2866" s="11">
        <f t="shared" si="221"/>
        <v>20</v>
      </c>
      <c r="F2866" s="12">
        <f t="shared" si="222"/>
        <v>66.666666666666657</v>
      </c>
      <c r="G2866" s="12" t="str">
        <f t="shared" si="223"/>
        <v>Warning</v>
      </c>
      <c r="H2866" s="13">
        <f t="shared" si="224"/>
        <v>6</v>
      </c>
      <c r="I2866" s="14">
        <f t="shared" si="220"/>
        <v>1832.25</v>
      </c>
      <c r="K2866" t="str">
        <f>[1]!revcom(C2866)</f>
        <v>CGCTAC</v>
      </c>
      <c r="L2866">
        <v>6</v>
      </c>
    </row>
    <row r="2867" spans="1:12" ht="15.6" x14ac:dyDescent="0.3">
      <c r="A2867" s="9">
        <v>2856</v>
      </c>
      <c r="B2867" s="1"/>
      <c r="C2867" s="2" t="s">
        <v>2862</v>
      </c>
      <c r="D2867" s="1"/>
      <c r="E2867" s="11">
        <f t="shared" si="221"/>
        <v>14</v>
      </c>
      <c r="F2867" s="12">
        <f t="shared" si="222"/>
        <v>50</v>
      </c>
      <c r="G2867" s="12" t="str">
        <f t="shared" si="223"/>
        <v>OK</v>
      </c>
      <c r="H2867" s="13">
        <f t="shared" si="224"/>
        <v>6</v>
      </c>
      <c r="I2867" s="14">
        <f t="shared" si="220"/>
        <v>1807.23</v>
      </c>
      <c r="K2867" t="str">
        <f>[1]!revcom(C2867)</f>
        <v>AGCTAC</v>
      </c>
      <c r="L2867">
        <v>5</v>
      </c>
    </row>
    <row r="2868" spans="1:12" ht="15.6" x14ac:dyDescent="0.3">
      <c r="A2868" s="9">
        <v>2857</v>
      </c>
      <c r="B2868" s="1"/>
      <c r="C2868" s="2" t="s">
        <v>2863</v>
      </c>
      <c r="D2868" s="1"/>
      <c r="E2868" s="11">
        <f t="shared" si="221"/>
        <v>22</v>
      </c>
      <c r="F2868" s="12">
        <f t="shared" si="222"/>
        <v>50</v>
      </c>
      <c r="G2868" s="12" t="str">
        <f t="shared" si="223"/>
        <v>OK</v>
      </c>
      <c r="H2868" s="13">
        <f t="shared" si="224"/>
        <v>6</v>
      </c>
      <c r="I2868" s="14">
        <f t="shared" si="220"/>
        <v>1856.2800000000002</v>
      </c>
      <c r="K2868" t="str">
        <f>[1]!revcom(C2868)</f>
        <v>TCCTAC</v>
      </c>
      <c r="L2868">
        <v>6</v>
      </c>
    </row>
    <row r="2869" spans="1:12" ht="15.6" x14ac:dyDescent="0.3">
      <c r="A2869" s="9">
        <v>2858</v>
      </c>
      <c r="B2869" s="1"/>
      <c r="C2869" s="2" t="s">
        <v>2864</v>
      </c>
      <c r="D2869" s="1"/>
      <c r="E2869" s="11">
        <f t="shared" si="221"/>
        <v>20</v>
      </c>
      <c r="F2869" s="12">
        <f t="shared" si="222"/>
        <v>66.666666666666657</v>
      </c>
      <c r="G2869" s="12" t="str">
        <f t="shared" si="223"/>
        <v>Warning</v>
      </c>
      <c r="H2869" s="13">
        <f t="shared" si="224"/>
        <v>6</v>
      </c>
      <c r="I2869" s="14">
        <f t="shared" si="220"/>
        <v>1832.25</v>
      </c>
      <c r="K2869" t="str">
        <f>[1]!revcom(C2869)</f>
        <v>GCCTAC</v>
      </c>
      <c r="L2869">
        <v>6</v>
      </c>
    </row>
    <row r="2870" spans="1:12" ht="15.6" x14ac:dyDescent="0.3">
      <c r="A2870" s="9">
        <v>2859</v>
      </c>
      <c r="B2870" s="1"/>
      <c r="C2870" s="2" t="s">
        <v>2865</v>
      </c>
      <c r="D2870" s="1"/>
      <c r="E2870" s="11">
        <f t="shared" si="221"/>
        <v>20</v>
      </c>
      <c r="F2870" s="12">
        <f t="shared" si="222"/>
        <v>66.666666666666657</v>
      </c>
      <c r="G2870" s="12" t="str">
        <f t="shared" si="223"/>
        <v>Warning</v>
      </c>
      <c r="H2870" s="13">
        <f t="shared" si="224"/>
        <v>6</v>
      </c>
      <c r="I2870" s="14">
        <f t="shared" si="220"/>
        <v>1872.2800000000002</v>
      </c>
      <c r="K2870" t="str">
        <f>[1]!revcom(C2870)</f>
        <v>CCCTAC</v>
      </c>
      <c r="L2870">
        <v>6</v>
      </c>
    </row>
    <row r="2871" spans="1:12" ht="15.6" x14ac:dyDescent="0.3">
      <c r="A2871" s="9">
        <v>2860</v>
      </c>
      <c r="B2871" s="1"/>
      <c r="C2871" s="2" t="s">
        <v>2866</v>
      </c>
      <c r="D2871" s="1"/>
      <c r="E2871" s="11">
        <f t="shared" si="221"/>
        <v>14</v>
      </c>
      <c r="F2871" s="12">
        <f t="shared" si="222"/>
        <v>50</v>
      </c>
      <c r="G2871" s="12" t="str">
        <f t="shared" si="223"/>
        <v>OK</v>
      </c>
      <c r="H2871" s="13">
        <f t="shared" si="224"/>
        <v>6</v>
      </c>
      <c r="I2871" s="14">
        <f t="shared" si="220"/>
        <v>1847.2600000000002</v>
      </c>
      <c r="K2871" t="str">
        <f>[1]!revcom(C2871)</f>
        <v>ACCTAC</v>
      </c>
      <c r="L2871">
        <v>5</v>
      </c>
    </row>
    <row r="2872" spans="1:12" ht="15.6" x14ac:dyDescent="0.3">
      <c r="A2872" s="9">
        <v>2861</v>
      </c>
      <c r="B2872" s="1"/>
      <c r="C2872" s="2" t="s">
        <v>2867</v>
      </c>
      <c r="D2872" s="1"/>
      <c r="E2872" s="11">
        <f t="shared" si="221"/>
        <v>16</v>
      </c>
      <c r="F2872" s="12">
        <f t="shared" si="222"/>
        <v>33.333333333333329</v>
      </c>
      <c r="G2872" s="12" t="str">
        <f t="shared" si="223"/>
        <v>OK</v>
      </c>
      <c r="H2872" s="13">
        <f t="shared" si="224"/>
        <v>6</v>
      </c>
      <c r="I2872" s="14">
        <f t="shared" si="220"/>
        <v>1831.2600000000002</v>
      </c>
      <c r="K2872" t="str">
        <f>[1]!revcom(C2872)</f>
        <v>TACTAC</v>
      </c>
      <c r="L2872">
        <v>5</v>
      </c>
    </row>
    <row r="2873" spans="1:12" ht="15.6" x14ac:dyDescent="0.3">
      <c r="A2873" s="9">
        <v>2862</v>
      </c>
      <c r="B2873" s="1"/>
      <c r="C2873" s="2" t="s">
        <v>2868</v>
      </c>
      <c r="D2873" s="1"/>
      <c r="E2873" s="11">
        <f t="shared" si="221"/>
        <v>14</v>
      </c>
      <c r="F2873" s="12">
        <f t="shared" si="222"/>
        <v>50</v>
      </c>
      <c r="G2873" s="12" t="str">
        <f t="shared" si="223"/>
        <v>OK</v>
      </c>
      <c r="H2873" s="13">
        <f t="shared" si="224"/>
        <v>6</v>
      </c>
      <c r="I2873" s="14">
        <f t="shared" si="220"/>
        <v>1807.23</v>
      </c>
      <c r="K2873" t="str">
        <f>[1]!revcom(C2873)</f>
        <v>GACTAC</v>
      </c>
      <c r="L2873">
        <v>5</v>
      </c>
    </row>
    <row r="2874" spans="1:12" ht="15.6" x14ac:dyDescent="0.3">
      <c r="A2874" s="9">
        <v>2863</v>
      </c>
      <c r="B2874" s="1"/>
      <c r="C2874" s="2" t="s">
        <v>2869</v>
      </c>
      <c r="D2874" s="1"/>
      <c r="E2874" s="11">
        <f t="shared" si="221"/>
        <v>14</v>
      </c>
      <c r="F2874" s="12">
        <f t="shared" si="222"/>
        <v>50</v>
      </c>
      <c r="G2874" s="12" t="str">
        <f t="shared" si="223"/>
        <v>OK</v>
      </c>
      <c r="H2874" s="13">
        <f t="shared" si="224"/>
        <v>6</v>
      </c>
      <c r="I2874" s="14">
        <f t="shared" si="220"/>
        <v>1847.2600000000002</v>
      </c>
      <c r="K2874" t="str">
        <f>[1]!revcom(C2874)</f>
        <v>CACTAC</v>
      </c>
      <c r="L2874">
        <v>5</v>
      </c>
    </row>
    <row r="2875" spans="1:12" ht="15.6" x14ac:dyDescent="0.3">
      <c r="A2875" s="9">
        <v>2864</v>
      </c>
      <c r="B2875" s="1"/>
      <c r="C2875" s="2" t="s">
        <v>2870</v>
      </c>
      <c r="D2875" s="1"/>
      <c r="E2875" s="11">
        <f t="shared" si="221"/>
        <v>8</v>
      </c>
      <c r="F2875" s="12">
        <f t="shared" si="222"/>
        <v>33.333333333333329</v>
      </c>
      <c r="G2875" s="12" t="str">
        <f t="shared" si="223"/>
        <v>OK</v>
      </c>
      <c r="H2875" s="13">
        <f t="shared" si="224"/>
        <v>6</v>
      </c>
      <c r="I2875" s="14">
        <f t="shared" si="220"/>
        <v>1822.2400000000002</v>
      </c>
      <c r="K2875" t="str">
        <f>[1]!revcom(C2875)</f>
        <v>AACTAC</v>
      </c>
      <c r="L2875">
        <v>4</v>
      </c>
    </row>
    <row r="2876" spans="1:12" ht="15.6" x14ac:dyDescent="0.3">
      <c r="A2876" s="9">
        <v>2865</v>
      </c>
      <c r="B2876" s="1"/>
      <c r="C2876" s="2" t="s">
        <v>2871</v>
      </c>
      <c r="D2876" s="1"/>
      <c r="E2876" s="11">
        <f t="shared" si="221"/>
        <v>18</v>
      </c>
      <c r="F2876" s="12">
        <f t="shared" si="222"/>
        <v>16.666666666666664</v>
      </c>
      <c r="G2876" s="12" t="str">
        <f t="shared" si="223"/>
        <v>OK</v>
      </c>
      <c r="H2876" s="13">
        <f t="shared" si="224"/>
        <v>6</v>
      </c>
      <c r="I2876" s="14">
        <f t="shared" si="220"/>
        <v>1815.2599999999998</v>
      </c>
      <c r="K2876" t="str">
        <f>[1]!revcom(C2876)</f>
        <v>TTATAC</v>
      </c>
      <c r="L2876">
        <v>5</v>
      </c>
    </row>
    <row r="2877" spans="1:12" ht="15.6" x14ac:dyDescent="0.3">
      <c r="A2877" s="9">
        <v>2866</v>
      </c>
      <c r="B2877" s="1"/>
      <c r="C2877" s="2" t="s">
        <v>2872</v>
      </c>
      <c r="D2877" s="1"/>
      <c r="E2877" s="11">
        <f t="shared" si="221"/>
        <v>16</v>
      </c>
      <c r="F2877" s="12">
        <f t="shared" si="222"/>
        <v>33.333333333333329</v>
      </c>
      <c r="G2877" s="12" t="str">
        <f t="shared" si="223"/>
        <v>OK</v>
      </c>
      <c r="H2877" s="13">
        <f t="shared" si="224"/>
        <v>6</v>
      </c>
      <c r="I2877" s="14">
        <f t="shared" si="220"/>
        <v>1791.23</v>
      </c>
      <c r="K2877" t="str">
        <f>[1]!revcom(C2877)</f>
        <v>GTATAC</v>
      </c>
      <c r="L2877">
        <v>5</v>
      </c>
    </row>
    <row r="2878" spans="1:12" ht="15.6" x14ac:dyDescent="0.3">
      <c r="A2878" s="9">
        <v>2867</v>
      </c>
      <c r="B2878" s="1"/>
      <c r="C2878" s="2" t="s">
        <v>2873</v>
      </c>
      <c r="D2878" s="1"/>
      <c r="E2878" s="11">
        <f t="shared" si="221"/>
        <v>16</v>
      </c>
      <c r="F2878" s="12">
        <f t="shared" si="222"/>
        <v>33.333333333333329</v>
      </c>
      <c r="G2878" s="12" t="str">
        <f t="shared" si="223"/>
        <v>OK</v>
      </c>
      <c r="H2878" s="13">
        <f t="shared" si="224"/>
        <v>6</v>
      </c>
      <c r="I2878" s="14">
        <f t="shared" si="220"/>
        <v>1831.2600000000002</v>
      </c>
      <c r="K2878" t="str">
        <f>[1]!revcom(C2878)</f>
        <v>CTATAC</v>
      </c>
      <c r="L2878">
        <v>5</v>
      </c>
    </row>
    <row r="2879" spans="1:12" ht="15.6" x14ac:dyDescent="0.3">
      <c r="A2879" s="9">
        <v>2868</v>
      </c>
      <c r="B2879" s="1"/>
      <c r="C2879" s="2" t="s">
        <v>2874</v>
      </c>
      <c r="D2879" s="1"/>
      <c r="E2879" s="11">
        <f t="shared" si="221"/>
        <v>10</v>
      </c>
      <c r="F2879" s="12">
        <f t="shared" si="222"/>
        <v>16.666666666666664</v>
      </c>
      <c r="G2879" s="12" t="str">
        <f t="shared" si="223"/>
        <v>OK</v>
      </c>
      <c r="H2879" s="13">
        <f t="shared" si="224"/>
        <v>6</v>
      </c>
      <c r="I2879" s="14">
        <f t="shared" si="220"/>
        <v>1806.2399999999998</v>
      </c>
      <c r="K2879" t="str">
        <f>[1]!revcom(C2879)</f>
        <v>ATATAC</v>
      </c>
      <c r="L2879">
        <v>4</v>
      </c>
    </row>
    <row r="2880" spans="1:12" ht="15.6" x14ac:dyDescent="0.3">
      <c r="A2880" s="9">
        <v>2869</v>
      </c>
      <c r="B2880" s="1"/>
      <c r="C2880" s="2" t="s">
        <v>2875</v>
      </c>
      <c r="D2880" s="1"/>
      <c r="E2880" s="11">
        <f t="shared" si="221"/>
        <v>16</v>
      </c>
      <c r="F2880" s="12">
        <f t="shared" si="222"/>
        <v>33.333333333333329</v>
      </c>
      <c r="G2880" s="12" t="str">
        <f t="shared" si="223"/>
        <v>OK</v>
      </c>
      <c r="H2880" s="13">
        <f t="shared" si="224"/>
        <v>6</v>
      </c>
      <c r="I2880" s="14">
        <f t="shared" si="220"/>
        <v>1791.23</v>
      </c>
      <c r="K2880" t="str">
        <f>[1]!revcom(C2880)</f>
        <v>TGATAC</v>
      </c>
      <c r="L2880">
        <v>5</v>
      </c>
    </row>
    <row r="2881" spans="1:12" ht="15.6" x14ac:dyDescent="0.3">
      <c r="A2881" s="9">
        <v>2870</v>
      </c>
      <c r="B2881" s="1"/>
      <c r="C2881" s="2" t="s">
        <v>2876</v>
      </c>
      <c r="D2881" s="1"/>
      <c r="E2881" s="11">
        <f t="shared" si="221"/>
        <v>14</v>
      </c>
      <c r="F2881" s="12">
        <f t="shared" si="222"/>
        <v>50</v>
      </c>
      <c r="G2881" s="12" t="str">
        <f t="shared" si="223"/>
        <v>OK</v>
      </c>
      <c r="H2881" s="13">
        <f t="shared" si="224"/>
        <v>6</v>
      </c>
      <c r="I2881" s="14">
        <f t="shared" si="220"/>
        <v>1767.1999999999998</v>
      </c>
      <c r="K2881" t="str">
        <f>[1]!revcom(C2881)</f>
        <v>GGATAC</v>
      </c>
      <c r="L2881">
        <v>5</v>
      </c>
    </row>
    <row r="2882" spans="1:12" ht="15.6" x14ac:dyDescent="0.3">
      <c r="A2882" s="9">
        <v>2871</v>
      </c>
      <c r="B2882" s="1"/>
      <c r="C2882" s="2" t="s">
        <v>2877</v>
      </c>
      <c r="D2882" s="1"/>
      <c r="E2882" s="11">
        <f t="shared" si="221"/>
        <v>14</v>
      </c>
      <c r="F2882" s="12">
        <f t="shared" si="222"/>
        <v>50</v>
      </c>
      <c r="G2882" s="12" t="str">
        <f t="shared" si="223"/>
        <v>OK</v>
      </c>
      <c r="H2882" s="13">
        <f t="shared" si="224"/>
        <v>6</v>
      </c>
      <c r="I2882" s="14">
        <f t="shared" si="220"/>
        <v>1807.23</v>
      </c>
      <c r="K2882" t="str">
        <f>[1]!revcom(C2882)</f>
        <v>CGATAC</v>
      </c>
      <c r="L2882">
        <v>5</v>
      </c>
    </row>
    <row r="2883" spans="1:12" ht="15.6" x14ac:dyDescent="0.3">
      <c r="A2883" s="9">
        <v>2872</v>
      </c>
      <c r="B2883" s="1"/>
      <c r="C2883" s="2" t="s">
        <v>2878</v>
      </c>
      <c r="D2883" s="1"/>
      <c r="E2883" s="11">
        <f t="shared" si="221"/>
        <v>8</v>
      </c>
      <c r="F2883" s="12">
        <f t="shared" si="222"/>
        <v>33.333333333333329</v>
      </c>
      <c r="G2883" s="12" t="str">
        <f t="shared" si="223"/>
        <v>OK</v>
      </c>
      <c r="H2883" s="13">
        <f t="shared" si="224"/>
        <v>6</v>
      </c>
      <c r="I2883" s="14">
        <f t="shared" si="220"/>
        <v>1782.21</v>
      </c>
      <c r="K2883" t="str">
        <f>[1]!revcom(C2883)</f>
        <v>AGATAC</v>
      </c>
      <c r="L2883">
        <v>4</v>
      </c>
    </row>
    <row r="2884" spans="1:12" ht="15.6" x14ac:dyDescent="0.3">
      <c r="A2884" s="9">
        <v>2873</v>
      </c>
      <c r="B2884" s="1"/>
      <c r="C2884" s="2" t="s">
        <v>2879</v>
      </c>
      <c r="D2884" s="1"/>
      <c r="E2884" s="11">
        <f t="shared" si="221"/>
        <v>16</v>
      </c>
      <c r="F2884" s="12">
        <f t="shared" si="222"/>
        <v>33.333333333333329</v>
      </c>
      <c r="G2884" s="12" t="str">
        <f t="shared" si="223"/>
        <v>OK</v>
      </c>
      <c r="H2884" s="13">
        <f t="shared" si="224"/>
        <v>6</v>
      </c>
      <c r="I2884" s="14">
        <f t="shared" si="220"/>
        <v>1831.2600000000002</v>
      </c>
      <c r="K2884" t="str">
        <f>[1]!revcom(C2884)</f>
        <v>TCATAC</v>
      </c>
      <c r="L2884">
        <v>5</v>
      </c>
    </row>
    <row r="2885" spans="1:12" ht="15.6" x14ac:dyDescent="0.3">
      <c r="A2885" s="9">
        <v>2874</v>
      </c>
      <c r="B2885" s="1"/>
      <c r="C2885" s="2" t="s">
        <v>2880</v>
      </c>
      <c r="D2885" s="1"/>
      <c r="E2885" s="11">
        <f t="shared" si="221"/>
        <v>14</v>
      </c>
      <c r="F2885" s="12">
        <f t="shared" si="222"/>
        <v>50</v>
      </c>
      <c r="G2885" s="12" t="str">
        <f t="shared" si="223"/>
        <v>OK</v>
      </c>
      <c r="H2885" s="13">
        <f t="shared" si="224"/>
        <v>6</v>
      </c>
      <c r="I2885" s="14">
        <f t="shared" si="220"/>
        <v>1807.23</v>
      </c>
      <c r="K2885" t="str">
        <f>[1]!revcom(C2885)</f>
        <v>GCATAC</v>
      </c>
      <c r="L2885">
        <v>5</v>
      </c>
    </row>
    <row r="2886" spans="1:12" ht="15.6" x14ac:dyDescent="0.3">
      <c r="A2886" s="9">
        <v>2875</v>
      </c>
      <c r="B2886" s="1"/>
      <c r="C2886" s="2" t="s">
        <v>2881</v>
      </c>
      <c r="D2886" s="1"/>
      <c r="E2886" s="11">
        <f t="shared" si="221"/>
        <v>14</v>
      </c>
      <c r="F2886" s="12">
        <f t="shared" si="222"/>
        <v>50</v>
      </c>
      <c r="G2886" s="12" t="str">
        <f t="shared" si="223"/>
        <v>OK</v>
      </c>
      <c r="H2886" s="13">
        <f t="shared" si="224"/>
        <v>6</v>
      </c>
      <c r="I2886" s="14">
        <f t="shared" si="220"/>
        <v>1847.2600000000002</v>
      </c>
      <c r="K2886" t="str">
        <f>[1]!revcom(C2886)</f>
        <v>CCATAC</v>
      </c>
      <c r="L2886">
        <v>5</v>
      </c>
    </row>
    <row r="2887" spans="1:12" ht="15.6" x14ac:dyDescent="0.3">
      <c r="A2887" s="9">
        <v>2876</v>
      </c>
      <c r="B2887" s="1"/>
      <c r="C2887" s="2" t="s">
        <v>2882</v>
      </c>
      <c r="D2887" s="1"/>
      <c r="E2887" s="11">
        <f t="shared" si="221"/>
        <v>8</v>
      </c>
      <c r="F2887" s="12">
        <f t="shared" si="222"/>
        <v>33.333333333333329</v>
      </c>
      <c r="G2887" s="12" t="str">
        <f t="shared" si="223"/>
        <v>OK</v>
      </c>
      <c r="H2887" s="13">
        <f t="shared" si="224"/>
        <v>6</v>
      </c>
      <c r="I2887" s="14">
        <f t="shared" si="220"/>
        <v>1822.2400000000002</v>
      </c>
      <c r="K2887" t="str">
        <f>[1]!revcom(C2887)</f>
        <v>ACATAC</v>
      </c>
      <c r="L2887">
        <v>4</v>
      </c>
    </row>
    <row r="2888" spans="1:12" ht="15.6" x14ac:dyDescent="0.3">
      <c r="A2888" s="9">
        <v>2877</v>
      </c>
      <c r="B2888" s="1"/>
      <c r="C2888" s="2" t="s">
        <v>2883</v>
      </c>
      <c r="D2888" s="1"/>
      <c r="E2888" s="11">
        <f t="shared" si="221"/>
        <v>10</v>
      </c>
      <c r="F2888" s="12">
        <f t="shared" si="222"/>
        <v>16.666666666666664</v>
      </c>
      <c r="G2888" s="12" t="str">
        <f t="shared" si="223"/>
        <v>OK</v>
      </c>
      <c r="H2888" s="13">
        <f t="shared" si="224"/>
        <v>6</v>
      </c>
      <c r="I2888" s="14">
        <f t="shared" si="220"/>
        <v>1806.2399999999998</v>
      </c>
      <c r="K2888" t="str">
        <f>[1]!revcom(C2888)</f>
        <v>TAATAC</v>
      </c>
      <c r="L2888">
        <v>4</v>
      </c>
    </row>
    <row r="2889" spans="1:12" ht="15.6" x14ac:dyDescent="0.3">
      <c r="A2889" s="9">
        <v>2878</v>
      </c>
      <c r="B2889" s="1"/>
      <c r="C2889" s="2" t="s">
        <v>2884</v>
      </c>
      <c r="D2889" s="1"/>
      <c r="E2889" s="11">
        <f t="shared" si="221"/>
        <v>8</v>
      </c>
      <c r="F2889" s="12">
        <f t="shared" si="222"/>
        <v>33.333333333333329</v>
      </c>
      <c r="G2889" s="12" t="str">
        <f t="shared" si="223"/>
        <v>OK</v>
      </c>
      <c r="H2889" s="13">
        <f t="shared" si="224"/>
        <v>6</v>
      </c>
      <c r="I2889" s="14">
        <f t="shared" si="220"/>
        <v>1782.21</v>
      </c>
      <c r="K2889" t="str">
        <f>[1]!revcom(C2889)</f>
        <v>GAATAC</v>
      </c>
      <c r="L2889">
        <v>4</v>
      </c>
    </row>
    <row r="2890" spans="1:12" ht="15.6" x14ac:dyDescent="0.3">
      <c r="A2890" s="9">
        <v>2879</v>
      </c>
      <c r="B2890" s="1"/>
      <c r="C2890" s="2" t="s">
        <v>2885</v>
      </c>
      <c r="D2890" s="1"/>
      <c r="E2890" s="11">
        <f t="shared" si="221"/>
        <v>8</v>
      </c>
      <c r="F2890" s="12">
        <f t="shared" si="222"/>
        <v>33.333333333333329</v>
      </c>
      <c r="G2890" s="12" t="str">
        <f t="shared" si="223"/>
        <v>OK</v>
      </c>
      <c r="H2890" s="13">
        <f t="shared" si="224"/>
        <v>6</v>
      </c>
      <c r="I2890" s="14">
        <f t="shared" si="220"/>
        <v>1822.2400000000002</v>
      </c>
      <c r="K2890" t="str">
        <f>[1]!revcom(C2890)</f>
        <v>CAATAC</v>
      </c>
      <c r="L2890">
        <v>4</v>
      </c>
    </row>
    <row r="2891" spans="1:12" ht="15.6" x14ac:dyDescent="0.3">
      <c r="A2891" s="9">
        <v>2880</v>
      </c>
      <c r="B2891" s="1"/>
      <c r="C2891" s="2" t="s">
        <v>2886</v>
      </c>
      <c r="D2891" s="1"/>
      <c r="E2891" s="11">
        <f t="shared" si="221"/>
        <v>2</v>
      </c>
      <c r="F2891" s="12">
        <f t="shared" si="222"/>
        <v>16.666666666666664</v>
      </c>
      <c r="G2891" s="12" t="str">
        <f t="shared" si="223"/>
        <v>OK</v>
      </c>
      <c r="H2891" s="13">
        <f t="shared" si="224"/>
        <v>6</v>
      </c>
      <c r="I2891" s="14">
        <f t="shared" si="220"/>
        <v>1797.2199999999998</v>
      </c>
      <c r="K2891" t="str">
        <f>[1]!revcom(C2891)</f>
        <v>AAATAC</v>
      </c>
      <c r="L2891">
        <v>3</v>
      </c>
    </row>
    <row r="2892" spans="1:12" ht="15.6" x14ac:dyDescent="0.3">
      <c r="A2892" s="9">
        <v>2881</v>
      </c>
      <c r="B2892" s="1"/>
      <c r="C2892" s="2" t="s">
        <v>2887</v>
      </c>
      <c r="D2892" s="1"/>
      <c r="E2892" s="11">
        <f t="shared" si="221"/>
        <v>24</v>
      </c>
      <c r="F2892" s="12">
        <f t="shared" si="222"/>
        <v>33.333333333333329</v>
      </c>
      <c r="G2892" s="12" t="str">
        <f t="shared" si="223"/>
        <v>OK</v>
      </c>
      <c r="H2892" s="13">
        <f t="shared" si="224"/>
        <v>6</v>
      </c>
      <c r="I2892" s="14">
        <f t="shared" si="220"/>
        <v>1800.25</v>
      </c>
      <c r="K2892" t="str">
        <f>[1]!revcom(C2892)</f>
        <v>TTTGAC</v>
      </c>
      <c r="L2892">
        <v>6</v>
      </c>
    </row>
    <row r="2893" spans="1:12" ht="15.6" x14ac:dyDescent="0.3">
      <c r="A2893" s="9">
        <v>2882</v>
      </c>
      <c r="B2893" s="1"/>
      <c r="C2893" s="2" t="s">
        <v>2888</v>
      </c>
      <c r="D2893" s="1"/>
      <c r="E2893" s="11">
        <f t="shared" si="221"/>
        <v>22</v>
      </c>
      <c r="F2893" s="12">
        <f t="shared" si="222"/>
        <v>50</v>
      </c>
      <c r="G2893" s="12" t="str">
        <f t="shared" si="223"/>
        <v>OK</v>
      </c>
      <c r="H2893" s="13">
        <f t="shared" si="224"/>
        <v>6</v>
      </c>
      <c r="I2893" s="14">
        <f t="shared" ref="I2893:I2956" si="225">((LEN(C2893)-(LEN(SUBSTITUTE(C2893,"A",""))))*249.23)+((LEN(C2893)-(LEN(SUBSTITUTE(C2893,"T",""))))*240.21)+((LEN(C2893)-(LEN(SUBSTITUTE(C2893,"C",""))))*225.2)+((LEN(C2893)-(LEN(SUBSTITUTE(C2893,"G",""))))*265.23)+(63.98*(LEN(C2893)-1)+(2.02))</f>
        <v>1776.2199999999998</v>
      </c>
      <c r="K2893" t="str">
        <f>[1]!revcom(C2893)</f>
        <v>GTTGAC</v>
      </c>
      <c r="L2893">
        <v>6</v>
      </c>
    </row>
    <row r="2894" spans="1:12" ht="15.6" x14ac:dyDescent="0.3">
      <c r="A2894" s="9">
        <v>2883</v>
      </c>
      <c r="B2894" s="1"/>
      <c r="C2894" s="2" t="s">
        <v>2889</v>
      </c>
      <c r="D2894" s="1"/>
      <c r="E2894" s="11">
        <f t="shared" ref="E2894:E2957" si="226">IF(LEN(C2894)&gt;15,(69.3+((41*((LEN(C2894)-(((LEN(C2894)-(LEN(SUBSTITUTE(C2894,"A",""))))+((LEN(C2894)-(LEN(SUBSTITUTE(C2894,"T","")))))))))/(LEN(C2894)))-(650/(LEN(C2894))))),(2*((LEN(C2894)-(((LEN(C2894)-(LEN(SUBSTITUTE(C2894,"C",""))))+((LEN(C2894)-(LEN(SUBSTITUTE(C2894,"G",""))))))))))+(4*((LEN(C2894)-(((LEN(C2894)-(LEN(SUBSTITUTE(C2894,"T",""))))+((LEN(C2894)-(LEN(SUBSTITUTE(C2894,"T","")))))))))))</f>
        <v>22</v>
      </c>
      <c r="F2894" s="12">
        <f t="shared" ref="F2894:F2957" si="227">((LEN(C2894)- LEN(SUBSTITUTE(C2894,"G","")))+(LEN(C2894)- LEN(SUBSTITUTE(C2894,"C",""))) )/LEN(C2894)*100</f>
        <v>50</v>
      </c>
      <c r="G2894" s="12" t="str">
        <f t="shared" ref="G2894:G2957" si="228">IF((-5+((LEN(SUBSTITUTE(RIGHT(C2894,5),"C","")))+((LEN(SUBSTITUTE(RIGHT(C2894,5),"G",""))))))&gt;=3,"OK","Warning")</f>
        <v>OK</v>
      </c>
      <c r="H2894" s="13">
        <f t="shared" ref="H2894:H2957" si="229">LEN(C2894)</f>
        <v>6</v>
      </c>
      <c r="I2894" s="14">
        <f t="shared" si="225"/>
        <v>1816.25</v>
      </c>
      <c r="K2894" t="str">
        <f>[1]!revcom(C2894)</f>
        <v>CTTGAC</v>
      </c>
      <c r="L2894">
        <v>6</v>
      </c>
    </row>
    <row r="2895" spans="1:12" ht="15.6" x14ac:dyDescent="0.3">
      <c r="A2895" s="9">
        <v>2884</v>
      </c>
      <c r="B2895" s="1"/>
      <c r="C2895" s="2" t="s">
        <v>2890</v>
      </c>
      <c r="D2895" s="1"/>
      <c r="E2895" s="11">
        <f t="shared" si="226"/>
        <v>16</v>
      </c>
      <c r="F2895" s="12">
        <f t="shared" si="227"/>
        <v>33.333333333333329</v>
      </c>
      <c r="G2895" s="12" t="str">
        <f t="shared" si="228"/>
        <v>OK</v>
      </c>
      <c r="H2895" s="13">
        <f t="shared" si="229"/>
        <v>6</v>
      </c>
      <c r="I2895" s="14">
        <f t="shared" si="225"/>
        <v>1791.23</v>
      </c>
      <c r="K2895" t="str">
        <f>[1]!revcom(C2895)</f>
        <v>ATTGAC</v>
      </c>
      <c r="L2895">
        <v>5</v>
      </c>
    </row>
    <row r="2896" spans="1:12" ht="15.6" x14ac:dyDescent="0.3">
      <c r="A2896" s="9">
        <v>2885</v>
      </c>
      <c r="B2896" s="1"/>
      <c r="C2896" s="2" t="s">
        <v>2891</v>
      </c>
      <c r="D2896" s="1"/>
      <c r="E2896" s="11">
        <f t="shared" si="226"/>
        <v>22</v>
      </c>
      <c r="F2896" s="12">
        <f t="shared" si="227"/>
        <v>50</v>
      </c>
      <c r="G2896" s="12" t="str">
        <f t="shared" si="228"/>
        <v>OK</v>
      </c>
      <c r="H2896" s="13">
        <f t="shared" si="229"/>
        <v>6</v>
      </c>
      <c r="I2896" s="14">
        <f t="shared" si="225"/>
        <v>1776.2199999999998</v>
      </c>
      <c r="K2896" t="str">
        <f>[1]!revcom(C2896)</f>
        <v>TGTGAC</v>
      </c>
      <c r="L2896">
        <v>6</v>
      </c>
    </row>
    <row r="2897" spans="1:12" ht="15.6" x14ac:dyDescent="0.3">
      <c r="A2897" s="9">
        <v>2886</v>
      </c>
      <c r="B2897" s="1"/>
      <c r="C2897" s="2" t="s">
        <v>2892</v>
      </c>
      <c r="D2897" s="1"/>
      <c r="E2897" s="11">
        <f t="shared" si="226"/>
        <v>20</v>
      </c>
      <c r="F2897" s="12">
        <f t="shared" si="227"/>
        <v>66.666666666666657</v>
      </c>
      <c r="G2897" s="12" t="str">
        <f t="shared" si="228"/>
        <v>Warning</v>
      </c>
      <c r="H2897" s="13">
        <f t="shared" si="229"/>
        <v>6</v>
      </c>
      <c r="I2897" s="14">
        <f t="shared" si="225"/>
        <v>1752.19</v>
      </c>
      <c r="K2897" t="str">
        <f>[1]!revcom(C2897)</f>
        <v>GGTGAC</v>
      </c>
      <c r="L2897">
        <v>6</v>
      </c>
    </row>
    <row r="2898" spans="1:12" ht="15.6" x14ac:dyDescent="0.3">
      <c r="A2898" s="9">
        <v>2887</v>
      </c>
      <c r="B2898" s="1"/>
      <c r="C2898" s="2" t="s">
        <v>2893</v>
      </c>
      <c r="D2898" s="1"/>
      <c r="E2898" s="11">
        <f t="shared" si="226"/>
        <v>20</v>
      </c>
      <c r="F2898" s="12">
        <f t="shared" si="227"/>
        <v>66.666666666666657</v>
      </c>
      <c r="G2898" s="12" t="str">
        <f t="shared" si="228"/>
        <v>Warning</v>
      </c>
      <c r="H2898" s="13">
        <f t="shared" si="229"/>
        <v>6</v>
      </c>
      <c r="I2898" s="14">
        <f t="shared" si="225"/>
        <v>1792.2199999999998</v>
      </c>
      <c r="K2898" t="str">
        <f>[1]!revcom(C2898)</f>
        <v>CGTGAC</v>
      </c>
      <c r="L2898">
        <v>6</v>
      </c>
    </row>
    <row r="2899" spans="1:12" ht="15.6" x14ac:dyDescent="0.3">
      <c r="A2899" s="9">
        <v>2888</v>
      </c>
      <c r="B2899" s="1"/>
      <c r="C2899" s="2" t="s">
        <v>2894</v>
      </c>
      <c r="D2899" s="1"/>
      <c r="E2899" s="11">
        <f t="shared" si="226"/>
        <v>14</v>
      </c>
      <c r="F2899" s="12">
        <f t="shared" si="227"/>
        <v>50</v>
      </c>
      <c r="G2899" s="12" t="str">
        <f t="shared" si="228"/>
        <v>OK</v>
      </c>
      <c r="H2899" s="13">
        <f t="shared" si="229"/>
        <v>6</v>
      </c>
      <c r="I2899" s="14">
        <f t="shared" si="225"/>
        <v>1767.1999999999998</v>
      </c>
      <c r="K2899" t="str">
        <f>[1]!revcom(C2899)</f>
        <v>AGTGAC</v>
      </c>
      <c r="L2899">
        <v>5</v>
      </c>
    </row>
    <row r="2900" spans="1:12" ht="15.6" x14ac:dyDescent="0.3">
      <c r="A2900" s="9">
        <v>2889</v>
      </c>
      <c r="B2900" s="1"/>
      <c r="C2900" s="2" t="s">
        <v>2895</v>
      </c>
      <c r="D2900" s="1"/>
      <c r="E2900" s="11">
        <f t="shared" si="226"/>
        <v>22</v>
      </c>
      <c r="F2900" s="12">
        <f t="shared" si="227"/>
        <v>50</v>
      </c>
      <c r="G2900" s="12" t="str">
        <f t="shared" si="228"/>
        <v>OK</v>
      </c>
      <c r="H2900" s="13">
        <f t="shared" si="229"/>
        <v>6</v>
      </c>
      <c r="I2900" s="14">
        <f t="shared" si="225"/>
        <v>1816.25</v>
      </c>
      <c r="K2900" t="str">
        <f>[1]!revcom(C2900)</f>
        <v>TCTGAC</v>
      </c>
      <c r="L2900">
        <v>6</v>
      </c>
    </row>
    <row r="2901" spans="1:12" ht="15.6" x14ac:dyDescent="0.3">
      <c r="A2901" s="9">
        <v>2890</v>
      </c>
      <c r="B2901" s="1"/>
      <c r="C2901" s="2" t="s">
        <v>2896</v>
      </c>
      <c r="D2901" s="1"/>
      <c r="E2901" s="11">
        <f t="shared" si="226"/>
        <v>20</v>
      </c>
      <c r="F2901" s="12">
        <f t="shared" si="227"/>
        <v>66.666666666666657</v>
      </c>
      <c r="G2901" s="12" t="str">
        <f t="shared" si="228"/>
        <v>Warning</v>
      </c>
      <c r="H2901" s="13">
        <f t="shared" si="229"/>
        <v>6</v>
      </c>
      <c r="I2901" s="14">
        <f t="shared" si="225"/>
        <v>1792.2199999999998</v>
      </c>
      <c r="K2901" t="str">
        <f>[1]!revcom(C2901)</f>
        <v>GCTGAC</v>
      </c>
      <c r="L2901">
        <v>6</v>
      </c>
    </row>
    <row r="2902" spans="1:12" ht="15.6" x14ac:dyDescent="0.3">
      <c r="A2902" s="9">
        <v>2891</v>
      </c>
      <c r="B2902" s="1"/>
      <c r="C2902" s="2" t="s">
        <v>2897</v>
      </c>
      <c r="D2902" s="1"/>
      <c r="E2902" s="11">
        <f t="shared" si="226"/>
        <v>20</v>
      </c>
      <c r="F2902" s="12">
        <f t="shared" si="227"/>
        <v>66.666666666666657</v>
      </c>
      <c r="G2902" s="12" t="str">
        <f t="shared" si="228"/>
        <v>Warning</v>
      </c>
      <c r="H2902" s="13">
        <f t="shared" si="229"/>
        <v>6</v>
      </c>
      <c r="I2902" s="14">
        <f t="shared" si="225"/>
        <v>1832.25</v>
      </c>
      <c r="K2902" t="str">
        <f>[1]!revcom(C2902)</f>
        <v>CCTGAC</v>
      </c>
      <c r="L2902">
        <v>6</v>
      </c>
    </row>
    <row r="2903" spans="1:12" ht="15.6" x14ac:dyDescent="0.3">
      <c r="A2903" s="9">
        <v>2892</v>
      </c>
      <c r="B2903" s="1"/>
      <c r="C2903" s="2" t="s">
        <v>2898</v>
      </c>
      <c r="D2903" s="1"/>
      <c r="E2903" s="11">
        <f t="shared" si="226"/>
        <v>14</v>
      </c>
      <c r="F2903" s="12">
        <f t="shared" si="227"/>
        <v>50</v>
      </c>
      <c r="G2903" s="12" t="str">
        <f t="shared" si="228"/>
        <v>OK</v>
      </c>
      <c r="H2903" s="13">
        <f t="shared" si="229"/>
        <v>6</v>
      </c>
      <c r="I2903" s="14">
        <f t="shared" si="225"/>
        <v>1807.23</v>
      </c>
      <c r="K2903" t="str">
        <f>[1]!revcom(C2903)</f>
        <v>ACTGAC</v>
      </c>
      <c r="L2903">
        <v>5</v>
      </c>
    </row>
    <row r="2904" spans="1:12" ht="15.6" x14ac:dyDescent="0.3">
      <c r="A2904" s="9">
        <v>2893</v>
      </c>
      <c r="B2904" s="1"/>
      <c r="C2904" s="2" t="s">
        <v>2899</v>
      </c>
      <c r="D2904" s="1"/>
      <c r="E2904" s="11">
        <f t="shared" si="226"/>
        <v>16</v>
      </c>
      <c r="F2904" s="12">
        <f t="shared" si="227"/>
        <v>33.333333333333329</v>
      </c>
      <c r="G2904" s="12" t="str">
        <f t="shared" si="228"/>
        <v>OK</v>
      </c>
      <c r="H2904" s="13">
        <f t="shared" si="229"/>
        <v>6</v>
      </c>
      <c r="I2904" s="14">
        <f t="shared" si="225"/>
        <v>1791.23</v>
      </c>
      <c r="K2904" t="str">
        <f>[1]!revcom(C2904)</f>
        <v>TATGAC</v>
      </c>
      <c r="L2904">
        <v>5</v>
      </c>
    </row>
    <row r="2905" spans="1:12" ht="15.6" x14ac:dyDescent="0.3">
      <c r="A2905" s="9">
        <v>2894</v>
      </c>
      <c r="B2905" s="1"/>
      <c r="C2905" s="2" t="s">
        <v>2900</v>
      </c>
      <c r="D2905" s="1"/>
      <c r="E2905" s="11">
        <f t="shared" si="226"/>
        <v>14</v>
      </c>
      <c r="F2905" s="12">
        <f t="shared" si="227"/>
        <v>50</v>
      </c>
      <c r="G2905" s="12" t="str">
        <f t="shared" si="228"/>
        <v>OK</v>
      </c>
      <c r="H2905" s="13">
        <f t="shared" si="229"/>
        <v>6</v>
      </c>
      <c r="I2905" s="14">
        <f t="shared" si="225"/>
        <v>1767.1999999999998</v>
      </c>
      <c r="K2905" t="str">
        <f>[1]!revcom(C2905)</f>
        <v>GATGAC</v>
      </c>
      <c r="L2905">
        <v>5</v>
      </c>
    </row>
    <row r="2906" spans="1:12" ht="15.6" x14ac:dyDescent="0.3">
      <c r="A2906" s="9">
        <v>2895</v>
      </c>
      <c r="B2906" s="1"/>
      <c r="C2906" s="2" t="s">
        <v>2901</v>
      </c>
      <c r="D2906" s="1"/>
      <c r="E2906" s="11">
        <f t="shared" si="226"/>
        <v>14</v>
      </c>
      <c r="F2906" s="12">
        <f t="shared" si="227"/>
        <v>50</v>
      </c>
      <c r="G2906" s="12" t="str">
        <f t="shared" si="228"/>
        <v>OK</v>
      </c>
      <c r="H2906" s="13">
        <f t="shared" si="229"/>
        <v>6</v>
      </c>
      <c r="I2906" s="14">
        <f t="shared" si="225"/>
        <v>1807.23</v>
      </c>
      <c r="K2906" t="str">
        <f>[1]!revcom(C2906)</f>
        <v>CATGAC</v>
      </c>
      <c r="L2906">
        <v>5</v>
      </c>
    </row>
    <row r="2907" spans="1:12" ht="15.6" x14ac:dyDescent="0.3">
      <c r="A2907" s="9">
        <v>2896</v>
      </c>
      <c r="B2907" s="1"/>
      <c r="C2907" s="2" t="s">
        <v>2902</v>
      </c>
      <c r="D2907" s="1"/>
      <c r="E2907" s="11">
        <f t="shared" si="226"/>
        <v>8</v>
      </c>
      <c r="F2907" s="12">
        <f t="shared" si="227"/>
        <v>33.333333333333329</v>
      </c>
      <c r="G2907" s="12" t="str">
        <f t="shared" si="228"/>
        <v>OK</v>
      </c>
      <c r="H2907" s="13">
        <f t="shared" si="229"/>
        <v>6</v>
      </c>
      <c r="I2907" s="14">
        <f t="shared" si="225"/>
        <v>1782.21</v>
      </c>
      <c r="K2907" t="str">
        <f>[1]!revcom(C2907)</f>
        <v>AATGAC</v>
      </c>
      <c r="L2907">
        <v>4</v>
      </c>
    </row>
    <row r="2908" spans="1:12" ht="15.6" x14ac:dyDescent="0.3">
      <c r="A2908" s="9">
        <v>2897</v>
      </c>
      <c r="B2908" s="1"/>
      <c r="C2908" s="2" t="s">
        <v>2903</v>
      </c>
      <c r="D2908" s="1"/>
      <c r="E2908" s="11">
        <f t="shared" si="226"/>
        <v>22</v>
      </c>
      <c r="F2908" s="12">
        <f t="shared" si="227"/>
        <v>50</v>
      </c>
      <c r="G2908" s="12" t="str">
        <f t="shared" si="228"/>
        <v>OK</v>
      </c>
      <c r="H2908" s="13">
        <f t="shared" si="229"/>
        <v>6</v>
      </c>
      <c r="I2908" s="14">
        <f t="shared" si="225"/>
        <v>1776.2199999999998</v>
      </c>
      <c r="K2908" t="str">
        <f>[1]!revcom(C2908)</f>
        <v>TTGGAC</v>
      </c>
      <c r="L2908">
        <v>6</v>
      </c>
    </row>
    <row r="2909" spans="1:12" ht="15.6" x14ac:dyDescent="0.3">
      <c r="A2909" s="9">
        <v>2898</v>
      </c>
      <c r="B2909" s="1"/>
      <c r="C2909" s="2" t="s">
        <v>2904</v>
      </c>
      <c r="D2909" s="1"/>
      <c r="E2909" s="11">
        <f t="shared" si="226"/>
        <v>20</v>
      </c>
      <c r="F2909" s="12">
        <f t="shared" si="227"/>
        <v>66.666666666666657</v>
      </c>
      <c r="G2909" s="12" t="str">
        <f t="shared" si="228"/>
        <v>Warning</v>
      </c>
      <c r="H2909" s="13">
        <f t="shared" si="229"/>
        <v>6</v>
      </c>
      <c r="I2909" s="14">
        <f t="shared" si="225"/>
        <v>1752.19</v>
      </c>
      <c r="K2909" t="str">
        <f>[1]!revcom(C2909)</f>
        <v>GTGGAC</v>
      </c>
      <c r="L2909">
        <v>6</v>
      </c>
    </row>
    <row r="2910" spans="1:12" ht="15.6" x14ac:dyDescent="0.3">
      <c r="A2910" s="9">
        <v>2899</v>
      </c>
      <c r="B2910" s="1"/>
      <c r="C2910" s="2" t="s">
        <v>2905</v>
      </c>
      <c r="D2910" s="1"/>
      <c r="E2910" s="11">
        <f t="shared" si="226"/>
        <v>20</v>
      </c>
      <c r="F2910" s="12">
        <f t="shared" si="227"/>
        <v>66.666666666666657</v>
      </c>
      <c r="G2910" s="12" t="str">
        <f t="shared" si="228"/>
        <v>Warning</v>
      </c>
      <c r="H2910" s="13">
        <f t="shared" si="229"/>
        <v>6</v>
      </c>
      <c r="I2910" s="14">
        <f t="shared" si="225"/>
        <v>1792.2199999999998</v>
      </c>
      <c r="K2910" t="str">
        <f>[1]!revcom(C2910)</f>
        <v>CTGGAC</v>
      </c>
      <c r="L2910">
        <v>6</v>
      </c>
    </row>
    <row r="2911" spans="1:12" ht="15.6" x14ac:dyDescent="0.3">
      <c r="A2911" s="9">
        <v>2900</v>
      </c>
      <c r="B2911" s="1"/>
      <c r="C2911" s="2" t="s">
        <v>2906</v>
      </c>
      <c r="D2911" s="1"/>
      <c r="E2911" s="11">
        <f t="shared" si="226"/>
        <v>14</v>
      </c>
      <c r="F2911" s="12">
        <f t="shared" si="227"/>
        <v>50</v>
      </c>
      <c r="G2911" s="12" t="str">
        <f t="shared" si="228"/>
        <v>OK</v>
      </c>
      <c r="H2911" s="13">
        <f t="shared" si="229"/>
        <v>6</v>
      </c>
      <c r="I2911" s="14">
        <f t="shared" si="225"/>
        <v>1767.1999999999998</v>
      </c>
      <c r="K2911" t="str">
        <f>[1]!revcom(C2911)</f>
        <v>ATGGAC</v>
      </c>
      <c r="L2911">
        <v>5</v>
      </c>
    </row>
    <row r="2912" spans="1:12" ht="15.6" x14ac:dyDescent="0.3">
      <c r="A2912" s="9">
        <v>2901</v>
      </c>
      <c r="B2912" s="1"/>
      <c r="C2912" s="2" t="s">
        <v>2907</v>
      </c>
      <c r="D2912" s="1"/>
      <c r="E2912" s="11">
        <f t="shared" si="226"/>
        <v>20</v>
      </c>
      <c r="F2912" s="12">
        <f t="shared" si="227"/>
        <v>66.666666666666657</v>
      </c>
      <c r="G2912" s="12" t="str">
        <f t="shared" si="228"/>
        <v>Warning</v>
      </c>
      <c r="H2912" s="13">
        <f t="shared" si="229"/>
        <v>6</v>
      </c>
      <c r="I2912" s="14">
        <f t="shared" si="225"/>
        <v>1752.19</v>
      </c>
      <c r="K2912" t="str">
        <f>[1]!revcom(C2912)</f>
        <v>TGGGAC</v>
      </c>
      <c r="L2912">
        <v>6</v>
      </c>
    </row>
    <row r="2913" spans="1:12" ht="15.6" x14ac:dyDescent="0.3">
      <c r="A2913" s="9">
        <v>2902</v>
      </c>
      <c r="B2913" s="1"/>
      <c r="C2913" s="2" t="s">
        <v>2908</v>
      </c>
      <c r="D2913" s="1"/>
      <c r="E2913" s="11">
        <f t="shared" si="226"/>
        <v>18</v>
      </c>
      <c r="F2913" s="12">
        <f t="shared" si="227"/>
        <v>83.333333333333343</v>
      </c>
      <c r="G2913" s="12" t="str">
        <f t="shared" si="228"/>
        <v>Warning</v>
      </c>
      <c r="H2913" s="13">
        <f t="shared" si="229"/>
        <v>6</v>
      </c>
      <c r="I2913" s="14">
        <f t="shared" si="225"/>
        <v>1728.1599999999999</v>
      </c>
      <c r="K2913" t="str">
        <f>[1]!revcom(C2913)</f>
        <v>GGGGAC</v>
      </c>
      <c r="L2913">
        <v>5</v>
      </c>
    </row>
    <row r="2914" spans="1:12" ht="15.6" x14ac:dyDescent="0.3">
      <c r="A2914" s="9">
        <v>2903</v>
      </c>
      <c r="B2914" s="1"/>
      <c r="C2914" s="2" t="s">
        <v>2909</v>
      </c>
      <c r="D2914" s="1"/>
      <c r="E2914" s="11">
        <f t="shared" si="226"/>
        <v>18</v>
      </c>
      <c r="F2914" s="12">
        <f t="shared" si="227"/>
        <v>83.333333333333343</v>
      </c>
      <c r="G2914" s="12" t="str">
        <f t="shared" si="228"/>
        <v>Warning</v>
      </c>
      <c r="H2914" s="13">
        <f t="shared" si="229"/>
        <v>6</v>
      </c>
      <c r="I2914" s="14">
        <f t="shared" si="225"/>
        <v>1768.19</v>
      </c>
      <c r="K2914" t="str">
        <f>[1]!revcom(C2914)</f>
        <v>CGGGAC</v>
      </c>
      <c r="L2914">
        <v>5</v>
      </c>
    </row>
    <row r="2915" spans="1:12" ht="15.6" x14ac:dyDescent="0.3">
      <c r="A2915" s="9">
        <v>2904</v>
      </c>
      <c r="B2915" s="1"/>
      <c r="C2915" s="2" t="s">
        <v>2910</v>
      </c>
      <c r="D2915" s="1"/>
      <c r="E2915" s="11">
        <f t="shared" si="226"/>
        <v>12</v>
      </c>
      <c r="F2915" s="12">
        <f t="shared" si="227"/>
        <v>66.666666666666657</v>
      </c>
      <c r="G2915" s="12" t="str">
        <f t="shared" si="228"/>
        <v>Warning</v>
      </c>
      <c r="H2915" s="13">
        <f t="shared" si="229"/>
        <v>6</v>
      </c>
      <c r="I2915" s="14">
        <f t="shared" si="225"/>
        <v>1743.17</v>
      </c>
      <c r="K2915" t="str">
        <f>[1]!revcom(C2915)</f>
        <v>AGGGAC</v>
      </c>
      <c r="L2915">
        <v>4</v>
      </c>
    </row>
    <row r="2916" spans="1:12" ht="15.6" x14ac:dyDescent="0.3">
      <c r="A2916" s="9">
        <v>2905</v>
      </c>
      <c r="B2916" s="1"/>
      <c r="C2916" s="2" t="s">
        <v>2911</v>
      </c>
      <c r="D2916" s="1"/>
      <c r="E2916" s="11">
        <f t="shared" si="226"/>
        <v>20</v>
      </c>
      <c r="F2916" s="12">
        <f t="shared" si="227"/>
        <v>66.666666666666657</v>
      </c>
      <c r="G2916" s="12" t="str">
        <f t="shared" si="228"/>
        <v>Warning</v>
      </c>
      <c r="H2916" s="13">
        <f t="shared" si="229"/>
        <v>6</v>
      </c>
      <c r="I2916" s="14">
        <f t="shared" si="225"/>
        <v>1792.2199999999998</v>
      </c>
      <c r="K2916" t="str">
        <f>[1]!revcom(C2916)</f>
        <v>TCGGAC</v>
      </c>
      <c r="L2916">
        <v>6</v>
      </c>
    </row>
    <row r="2917" spans="1:12" ht="15.6" x14ac:dyDescent="0.3">
      <c r="A2917" s="9">
        <v>2906</v>
      </c>
      <c r="B2917" s="1"/>
      <c r="C2917" s="2" t="s">
        <v>2912</v>
      </c>
      <c r="D2917" s="1"/>
      <c r="E2917" s="11">
        <f t="shared" si="226"/>
        <v>18</v>
      </c>
      <c r="F2917" s="12">
        <f t="shared" si="227"/>
        <v>83.333333333333343</v>
      </c>
      <c r="G2917" s="12" t="str">
        <f t="shared" si="228"/>
        <v>Warning</v>
      </c>
      <c r="H2917" s="13">
        <f t="shared" si="229"/>
        <v>6</v>
      </c>
      <c r="I2917" s="14">
        <f t="shared" si="225"/>
        <v>1768.19</v>
      </c>
      <c r="K2917" t="str">
        <f>[1]!revcom(C2917)</f>
        <v>GCGGAC</v>
      </c>
      <c r="L2917">
        <v>5</v>
      </c>
    </row>
    <row r="2918" spans="1:12" ht="15.6" x14ac:dyDescent="0.3">
      <c r="A2918" s="9">
        <v>2907</v>
      </c>
      <c r="B2918" s="1"/>
      <c r="C2918" s="2" t="s">
        <v>2913</v>
      </c>
      <c r="D2918" s="1"/>
      <c r="E2918" s="11">
        <f t="shared" si="226"/>
        <v>18</v>
      </c>
      <c r="F2918" s="12">
        <f t="shared" si="227"/>
        <v>83.333333333333343</v>
      </c>
      <c r="G2918" s="12" t="str">
        <f t="shared" si="228"/>
        <v>Warning</v>
      </c>
      <c r="H2918" s="13">
        <f t="shared" si="229"/>
        <v>6</v>
      </c>
      <c r="I2918" s="14">
        <f t="shared" si="225"/>
        <v>1808.2200000000003</v>
      </c>
      <c r="K2918" t="str">
        <f>[1]!revcom(C2918)</f>
        <v>CCGGAC</v>
      </c>
      <c r="L2918">
        <v>5</v>
      </c>
    </row>
    <row r="2919" spans="1:12" ht="15.6" x14ac:dyDescent="0.3">
      <c r="A2919" s="9">
        <v>2908</v>
      </c>
      <c r="B2919" s="1"/>
      <c r="C2919" s="2" t="s">
        <v>2914</v>
      </c>
      <c r="D2919" s="1"/>
      <c r="E2919" s="11">
        <f t="shared" si="226"/>
        <v>12</v>
      </c>
      <c r="F2919" s="12">
        <f t="shared" si="227"/>
        <v>66.666666666666657</v>
      </c>
      <c r="G2919" s="12" t="str">
        <f t="shared" si="228"/>
        <v>Warning</v>
      </c>
      <c r="H2919" s="13">
        <f t="shared" si="229"/>
        <v>6</v>
      </c>
      <c r="I2919" s="14">
        <f t="shared" si="225"/>
        <v>1783.1999999999998</v>
      </c>
      <c r="K2919" t="str">
        <f>[1]!revcom(C2919)</f>
        <v>ACGGAC</v>
      </c>
      <c r="L2919">
        <v>4</v>
      </c>
    </row>
    <row r="2920" spans="1:12" ht="15.6" x14ac:dyDescent="0.3">
      <c r="A2920" s="9">
        <v>2909</v>
      </c>
      <c r="B2920" s="1"/>
      <c r="C2920" s="2" t="s">
        <v>2915</v>
      </c>
      <c r="D2920" s="1"/>
      <c r="E2920" s="11">
        <f t="shared" si="226"/>
        <v>14</v>
      </c>
      <c r="F2920" s="12">
        <f t="shared" si="227"/>
        <v>50</v>
      </c>
      <c r="G2920" s="12" t="str">
        <f t="shared" si="228"/>
        <v>OK</v>
      </c>
      <c r="H2920" s="13">
        <f t="shared" si="229"/>
        <v>6</v>
      </c>
      <c r="I2920" s="14">
        <f t="shared" si="225"/>
        <v>1767.1999999999998</v>
      </c>
      <c r="K2920" t="str">
        <f>[1]!revcom(C2920)</f>
        <v>TAGGAC</v>
      </c>
      <c r="L2920">
        <v>5</v>
      </c>
    </row>
    <row r="2921" spans="1:12" ht="15.6" x14ac:dyDescent="0.3">
      <c r="A2921" s="9">
        <v>2910</v>
      </c>
      <c r="B2921" s="1"/>
      <c r="C2921" s="2" t="s">
        <v>2916</v>
      </c>
      <c r="D2921" s="1"/>
      <c r="E2921" s="11">
        <f t="shared" si="226"/>
        <v>12</v>
      </c>
      <c r="F2921" s="12">
        <f t="shared" si="227"/>
        <v>66.666666666666657</v>
      </c>
      <c r="G2921" s="12" t="str">
        <f t="shared" si="228"/>
        <v>Warning</v>
      </c>
      <c r="H2921" s="13">
        <f t="shared" si="229"/>
        <v>6</v>
      </c>
      <c r="I2921" s="14">
        <f t="shared" si="225"/>
        <v>1743.17</v>
      </c>
      <c r="K2921" t="str">
        <f>[1]!revcom(C2921)</f>
        <v>GAGGAC</v>
      </c>
      <c r="L2921">
        <v>4</v>
      </c>
    </row>
    <row r="2922" spans="1:12" ht="15.6" x14ac:dyDescent="0.3">
      <c r="A2922" s="9">
        <v>2911</v>
      </c>
      <c r="B2922" s="1"/>
      <c r="C2922" s="2" t="s">
        <v>2917</v>
      </c>
      <c r="D2922" s="1"/>
      <c r="E2922" s="11">
        <f t="shared" si="226"/>
        <v>12</v>
      </c>
      <c r="F2922" s="12">
        <f t="shared" si="227"/>
        <v>66.666666666666657</v>
      </c>
      <c r="G2922" s="12" t="str">
        <f t="shared" si="228"/>
        <v>Warning</v>
      </c>
      <c r="H2922" s="13">
        <f t="shared" si="229"/>
        <v>6</v>
      </c>
      <c r="I2922" s="14">
        <f t="shared" si="225"/>
        <v>1783.1999999999998</v>
      </c>
      <c r="K2922" t="str">
        <f>[1]!revcom(C2922)</f>
        <v>CAGGAC</v>
      </c>
      <c r="L2922">
        <v>4</v>
      </c>
    </row>
    <row r="2923" spans="1:12" ht="15.6" x14ac:dyDescent="0.3">
      <c r="A2923" s="9">
        <v>2912</v>
      </c>
      <c r="B2923" s="1"/>
      <c r="C2923" s="2" t="s">
        <v>2918</v>
      </c>
      <c r="D2923" s="1"/>
      <c r="E2923" s="11">
        <f t="shared" si="226"/>
        <v>6</v>
      </c>
      <c r="F2923" s="12">
        <f t="shared" si="227"/>
        <v>50</v>
      </c>
      <c r="G2923" s="12" t="str">
        <f t="shared" si="228"/>
        <v>OK</v>
      </c>
      <c r="H2923" s="13">
        <f t="shared" si="229"/>
        <v>6</v>
      </c>
      <c r="I2923" s="14">
        <f t="shared" si="225"/>
        <v>1758.1799999999998</v>
      </c>
      <c r="K2923" t="str">
        <f>[1]!revcom(C2923)</f>
        <v>AAGGAC</v>
      </c>
      <c r="L2923">
        <v>3</v>
      </c>
    </row>
    <row r="2924" spans="1:12" ht="15.6" x14ac:dyDescent="0.3">
      <c r="A2924" s="9">
        <v>2913</v>
      </c>
      <c r="B2924" s="1"/>
      <c r="C2924" s="2" t="s">
        <v>2919</v>
      </c>
      <c r="D2924" s="1"/>
      <c r="E2924" s="11">
        <f t="shared" si="226"/>
        <v>22</v>
      </c>
      <c r="F2924" s="12">
        <f t="shared" si="227"/>
        <v>50</v>
      </c>
      <c r="G2924" s="12" t="str">
        <f t="shared" si="228"/>
        <v>OK</v>
      </c>
      <c r="H2924" s="13">
        <f t="shared" si="229"/>
        <v>6</v>
      </c>
      <c r="I2924" s="14">
        <f t="shared" si="225"/>
        <v>1816.25</v>
      </c>
      <c r="K2924" t="str">
        <f>[1]!revcom(C2924)</f>
        <v>TTCGAC</v>
      </c>
      <c r="L2924">
        <v>6</v>
      </c>
    </row>
    <row r="2925" spans="1:12" ht="15.6" x14ac:dyDescent="0.3">
      <c r="A2925" s="9">
        <v>2914</v>
      </c>
      <c r="B2925" s="1"/>
      <c r="C2925" s="2" t="s">
        <v>2920</v>
      </c>
      <c r="D2925" s="1"/>
      <c r="E2925" s="11">
        <f t="shared" si="226"/>
        <v>20</v>
      </c>
      <c r="F2925" s="12">
        <f t="shared" si="227"/>
        <v>66.666666666666657</v>
      </c>
      <c r="G2925" s="12" t="str">
        <f t="shared" si="228"/>
        <v>Warning</v>
      </c>
      <c r="H2925" s="13">
        <f t="shared" si="229"/>
        <v>6</v>
      </c>
      <c r="I2925" s="14">
        <f t="shared" si="225"/>
        <v>1792.2199999999998</v>
      </c>
      <c r="K2925" t="str">
        <f>[1]!revcom(C2925)</f>
        <v>GTCGAC</v>
      </c>
      <c r="L2925">
        <v>6</v>
      </c>
    </row>
    <row r="2926" spans="1:12" ht="15.6" x14ac:dyDescent="0.3">
      <c r="A2926" s="9">
        <v>2915</v>
      </c>
      <c r="B2926" s="1"/>
      <c r="C2926" s="2" t="s">
        <v>2921</v>
      </c>
      <c r="D2926" s="1"/>
      <c r="E2926" s="11">
        <f t="shared" si="226"/>
        <v>20</v>
      </c>
      <c r="F2926" s="12">
        <f t="shared" si="227"/>
        <v>66.666666666666657</v>
      </c>
      <c r="G2926" s="12" t="str">
        <f t="shared" si="228"/>
        <v>Warning</v>
      </c>
      <c r="H2926" s="13">
        <f t="shared" si="229"/>
        <v>6</v>
      </c>
      <c r="I2926" s="14">
        <f t="shared" si="225"/>
        <v>1832.25</v>
      </c>
      <c r="K2926" t="str">
        <f>[1]!revcom(C2926)</f>
        <v>CTCGAC</v>
      </c>
      <c r="L2926">
        <v>6</v>
      </c>
    </row>
    <row r="2927" spans="1:12" ht="15.6" x14ac:dyDescent="0.3">
      <c r="A2927" s="9">
        <v>2916</v>
      </c>
      <c r="B2927" s="1"/>
      <c r="C2927" s="2" t="s">
        <v>2922</v>
      </c>
      <c r="D2927" s="1"/>
      <c r="E2927" s="11">
        <f t="shared" si="226"/>
        <v>14</v>
      </c>
      <c r="F2927" s="12">
        <f t="shared" si="227"/>
        <v>50</v>
      </c>
      <c r="G2927" s="12" t="str">
        <f t="shared" si="228"/>
        <v>OK</v>
      </c>
      <c r="H2927" s="13">
        <f t="shared" si="229"/>
        <v>6</v>
      </c>
      <c r="I2927" s="14">
        <f t="shared" si="225"/>
        <v>1807.23</v>
      </c>
      <c r="K2927" t="str">
        <f>[1]!revcom(C2927)</f>
        <v>ATCGAC</v>
      </c>
      <c r="L2927">
        <v>5</v>
      </c>
    </row>
    <row r="2928" spans="1:12" ht="15.6" x14ac:dyDescent="0.3">
      <c r="A2928" s="9">
        <v>2917</v>
      </c>
      <c r="B2928" s="1"/>
      <c r="C2928" s="2" t="s">
        <v>2923</v>
      </c>
      <c r="D2928" s="1"/>
      <c r="E2928" s="11">
        <f t="shared" si="226"/>
        <v>20</v>
      </c>
      <c r="F2928" s="12">
        <f t="shared" si="227"/>
        <v>66.666666666666657</v>
      </c>
      <c r="G2928" s="12" t="str">
        <f t="shared" si="228"/>
        <v>Warning</v>
      </c>
      <c r="H2928" s="13">
        <f t="shared" si="229"/>
        <v>6</v>
      </c>
      <c r="I2928" s="14">
        <f t="shared" si="225"/>
        <v>1792.2199999999998</v>
      </c>
      <c r="K2928" t="str">
        <f>[1]!revcom(C2928)</f>
        <v>TGCGAC</v>
      </c>
      <c r="L2928">
        <v>6</v>
      </c>
    </row>
    <row r="2929" spans="1:12" ht="15.6" x14ac:dyDescent="0.3">
      <c r="A2929" s="9">
        <v>2918</v>
      </c>
      <c r="B2929" s="1"/>
      <c r="C2929" s="2" t="s">
        <v>2924</v>
      </c>
      <c r="D2929" s="1"/>
      <c r="E2929" s="11">
        <f t="shared" si="226"/>
        <v>18</v>
      </c>
      <c r="F2929" s="12">
        <f t="shared" si="227"/>
        <v>83.333333333333343</v>
      </c>
      <c r="G2929" s="12" t="str">
        <f t="shared" si="228"/>
        <v>Warning</v>
      </c>
      <c r="H2929" s="13">
        <f t="shared" si="229"/>
        <v>6</v>
      </c>
      <c r="I2929" s="14">
        <f t="shared" si="225"/>
        <v>1768.19</v>
      </c>
      <c r="K2929" t="str">
        <f>[1]!revcom(C2929)</f>
        <v>GGCGAC</v>
      </c>
      <c r="L2929">
        <v>5</v>
      </c>
    </row>
    <row r="2930" spans="1:12" ht="15.6" x14ac:dyDescent="0.3">
      <c r="A2930" s="9">
        <v>2919</v>
      </c>
      <c r="B2930" s="1"/>
      <c r="C2930" s="2" t="s">
        <v>2925</v>
      </c>
      <c r="D2930" s="1"/>
      <c r="E2930" s="11">
        <f t="shared" si="226"/>
        <v>18</v>
      </c>
      <c r="F2930" s="12">
        <f t="shared" si="227"/>
        <v>83.333333333333343</v>
      </c>
      <c r="G2930" s="12" t="str">
        <f t="shared" si="228"/>
        <v>Warning</v>
      </c>
      <c r="H2930" s="13">
        <f t="shared" si="229"/>
        <v>6</v>
      </c>
      <c r="I2930" s="14">
        <f t="shared" si="225"/>
        <v>1808.2200000000003</v>
      </c>
      <c r="K2930" t="str">
        <f>[1]!revcom(C2930)</f>
        <v>CGCGAC</v>
      </c>
      <c r="L2930">
        <v>5</v>
      </c>
    </row>
    <row r="2931" spans="1:12" ht="15.6" x14ac:dyDescent="0.3">
      <c r="A2931" s="9">
        <v>2920</v>
      </c>
      <c r="B2931" s="1"/>
      <c r="C2931" s="2" t="s">
        <v>2926</v>
      </c>
      <c r="D2931" s="1"/>
      <c r="E2931" s="11">
        <f t="shared" si="226"/>
        <v>12</v>
      </c>
      <c r="F2931" s="12">
        <f t="shared" si="227"/>
        <v>66.666666666666657</v>
      </c>
      <c r="G2931" s="12" t="str">
        <f t="shared" si="228"/>
        <v>Warning</v>
      </c>
      <c r="H2931" s="13">
        <f t="shared" si="229"/>
        <v>6</v>
      </c>
      <c r="I2931" s="14">
        <f t="shared" si="225"/>
        <v>1783.1999999999998</v>
      </c>
      <c r="K2931" t="str">
        <f>[1]!revcom(C2931)</f>
        <v>AGCGAC</v>
      </c>
      <c r="L2931">
        <v>4</v>
      </c>
    </row>
    <row r="2932" spans="1:12" ht="15.6" x14ac:dyDescent="0.3">
      <c r="A2932" s="9">
        <v>2921</v>
      </c>
      <c r="B2932" s="1"/>
      <c r="C2932" s="2" t="s">
        <v>2927</v>
      </c>
      <c r="D2932" s="1"/>
      <c r="E2932" s="11">
        <f t="shared" si="226"/>
        <v>20</v>
      </c>
      <c r="F2932" s="12">
        <f t="shared" si="227"/>
        <v>66.666666666666657</v>
      </c>
      <c r="G2932" s="12" t="str">
        <f t="shared" si="228"/>
        <v>Warning</v>
      </c>
      <c r="H2932" s="13">
        <f t="shared" si="229"/>
        <v>6</v>
      </c>
      <c r="I2932" s="14">
        <f t="shared" si="225"/>
        <v>1832.25</v>
      </c>
      <c r="K2932" t="str">
        <f>[1]!revcom(C2932)</f>
        <v>TCCGAC</v>
      </c>
      <c r="L2932">
        <v>6</v>
      </c>
    </row>
    <row r="2933" spans="1:12" ht="15.6" x14ac:dyDescent="0.3">
      <c r="A2933" s="9">
        <v>2922</v>
      </c>
      <c r="B2933" s="1"/>
      <c r="C2933" s="2" t="s">
        <v>2928</v>
      </c>
      <c r="D2933" s="1"/>
      <c r="E2933" s="11">
        <f t="shared" si="226"/>
        <v>18</v>
      </c>
      <c r="F2933" s="12">
        <f t="shared" si="227"/>
        <v>83.333333333333343</v>
      </c>
      <c r="G2933" s="12" t="str">
        <f t="shared" si="228"/>
        <v>Warning</v>
      </c>
      <c r="H2933" s="13">
        <f t="shared" si="229"/>
        <v>6</v>
      </c>
      <c r="I2933" s="14">
        <f t="shared" si="225"/>
        <v>1808.2200000000003</v>
      </c>
      <c r="K2933" t="str">
        <f>[1]!revcom(C2933)</f>
        <v>GCCGAC</v>
      </c>
      <c r="L2933">
        <v>5</v>
      </c>
    </row>
    <row r="2934" spans="1:12" ht="15.6" x14ac:dyDescent="0.3">
      <c r="A2934" s="9">
        <v>2923</v>
      </c>
      <c r="B2934" s="1"/>
      <c r="C2934" s="2" t="s">
        <v>2929</v>
      </c>
      <c r="D2934" s="1"/>
      <c r="E2934" s="11">
        <f t="shared" si="226"/>
        <v>18</v>
      </c>
      <c r="F2934" s="12">
        <f t="shared" si="227"/>
        <v>83.333333333333343</v>
      </c>
      <c r="G2934" s="12" t="str">
        <f t="shared" si="228"/>
        <v>Warning</v>
      </c>
      <c r="H2934" s="13">
        <f t="shared" si="229"/>
        <v>6</v>
      </c>
      <c r="I2934" s="14">
        <f t="shared" si="225"/>
        <v>1848.25</v>
      </c>
      <c r="K2934" t="str">
        <f>[1]!revcom(C2934)</f>
        <v>CCCGAC</v>
      </c>
      <c r="L2934">
        <v>5</v>
      </c>
    </row>
    <row r="2935" spans="1:12" ht="15.6" x14ac:dyDescent="0.3">
      <c r="A2935" s="9">
        <v>2924</v>
      </c>
      <c r="B2935" s="1"/>
      <c r="C2935" s="2" t="s">
        <v>2930</v>
      </c>
      <c r="D2935" s="1"/>
      <c r="E2935" s="11">
        <f t="shared" si="226"/>
        <v>12</v>
      </c>
      <c r="F2935" s="12">
        <f t="shared" si="227"/>
        <v>66.666666666666657</v>
      </c>
      <c r="G2935" s="12" t="str">
        <f t="shared" si="228"/>
        <v>Warning</v>
      </c>
      <c r="H2935" s="13">
        <f t="shared" si="229"/>
        <v>6</v>
      </c>
      <c r="I2935" s="14">
        <f t="shared" si="225"/>
        <v>1823.23</v>
      </c>
      <c r="K2935" t="str">
        <f>[1]!revcom(C2935)</f>
        <v>ACCGAC</v>
      </c>
      <c r="L2935">
        <v>4</v>
      </c>
    </row>
    <row r="2936" spans="1:12" ht="15.6" x14ac:dyDescent="0.3">
      <c r="A2936" s="9">
        <v>2925</v>
      </c>
      <c r="B2936" s="1"/>
      <c r="C2936" s="2" t="s">
        <v>2931</v>
      </c>
      <c r="D2936" s="1"/>
      <c r="E2936" s="11">
        <f t="shared" si="226"/>
        <v>14</v>
      </c>
      <c r="F2936" s="12">
        <f t="shared" si="227"/>
        <v>50</v>
      </c>
      <c r="G2936" s="12" t="str">
        <f t="shared" si="228"/>
        <v>OK</v>
      </c>
      <c r="H2936" s="13">
        <f t="shared" si="229"/>
        <v>6</v>
      </c>
      <c r="I2936" s="14">
        <f t="shared" si="225"/>
        <v>1807.23</v>
      </c>
      <c r="K2936" t="str">
        <f>[1]!revcom(C2936)</f>
        <v>TACGAC</v>
      </c>
      <c r="L2936">
        <v>5</v>
      </c>
    </row>
    <row r="2937" spans="1:12" ht="15.6" x14ac:dyDescent="0.3">
      <c r="A2937" s="9">
        <v>2926</v>
      </c>
      <c r="B2937" s="1"/>
      <c r="C2937" s="2" t="s">
        <v>2932</v>
      </c>
      <c r="D2937" s="1"/>
      <c r="E2937" s="11">
        <f t="shared" si="226"/>
        <v>12</v>
      </c>
      <c r="F2937" s="12">
        <f t="shared" si="227"/>
        <v>66.666666666666657</v>
      </c>
      <c r="G2937" s="12" t="str">
        <f t="shared" si="228"/>
        <v>Warning</v>
      </c>
      <c r="H2937" s="13">
        <f t="shared" si="229"/>
        <v>6</v>
      </c>
      <c r="I2937" s="14">
        <f t="shared" si="225"/>
        <v>1783.1999999999998</v>
      </c>
      <c r="K2937" t="str">
        <f>[1]!revcom(C2937)</f>
        <v>GACGAC</v>
      </c>
      <c r="L2937">
        <v>4</v>
      </c>
    </row>
    <row r="2938" spans="1:12" ht="15.6" x14ac:dyDescent="0.3">
      <c r="A2938" s="9">
        <v>2927</v>
      </c>
      <c r="B2938" s="1"/>
      <c r="C2938" s="2" t="s">
        <v>2933</v>
      </c>
      <c r="D2938" s="1"/>
      <c r="E2938" s="11">
        <f t="shared" si="226"/>
        <v>12</v>
      </c>
      <c r="F2938" s="12">
        <f t="shared" si="227"/>
        <v>66.666666666666657</v>
      </c>
      <c r="G2938" s="12" t="str">
        <f t="shared" si="228"/>
        <v>Warning</v>
      </c>
      <c r="H2938" s="13">
        <f t="shared" si="229"/>
        <v>6</v>
      </c>
      <c r="I2938" s="14">
        <f t="shared" si="225"/>
        <v>1823.23</v>
      </c>
      <c r="K2938" t="str">
        <f>[1]!revcom(C2938)</f>
        <v>CACGAC</v>
      </c>
      <c r="L2938">
        <v>4</v>
      </c>
    </row>
    <row r="2939" spans="1:12" ht="15.6" x14ac:dyDescent="0.3">
      <c r="A2939" s="9">
        <v>2928</v>
      </c>
      <c r="B2939" s="1"/>
      <c r="C2939" s="2" t="s">
        <v>2934</v>
      </c>
      <c r="D2939" s="1"/>
      <c r="E2939" s="11">
        <f t="shared" si="226"/>
        <v>6</v>
      </c>
      <c r="F2939" s="12">
        <f t="shared" si="227"/>
        <v>50</v>
      </c>
      <c r="G2939" s="12" t="str">
        <f t="shared" si="228"/>
        <v>OK</v>
      </c>
      <c r="H2939" s="13">
        <f t="shared" si="229"/>
        <v>6</v>
      </c>
      <c r="I2939" s="14">
        <f t="shared" si="225"/>
        <v>1798.21</v>
      </c>
      <c r="K2939" t="str">
        <f>[1]!revcom(C2939)</f>
        <v>AACGAC</v>
      </c>
      <c r="L2939">
        <v>3</v>
      </c>
    </row>
    <row r="2940" spans="1:12" ht="15.6" x14ac:dyDescent="0.3">
      <c r="A2940" s="9">
        <v>2929</v>
      </c>
      <c r="B2940" s="1"/>
      <c r="C2940" s="2" t="s">
        <v>2935</v>
      </c>
      <c r="D2940" s="1"/>
      <c r="E2940" s="11">
        <f t="shared" si="226"/>
        <v>16</v>
      </c>
      <c r="F2940" s="12">
        <f t="shared" si="227"/>
        <v>33.333333333333329</v>
      </c>
      <c r="G2940" s="12" t="str">
        <f t="shared" si="228"/>
        <v>OK</v>
      </c>
      <c r="H2940" s="13">
        <f t="shared" si="229"/>
        <v>6</v>
      </c>
      <c r="I2940" s="14">
        <f t="shared" si="225"/>
        <v>1791.23</v>
      </c>
      <c r="K2940" t="str">
        <f>[1]!revcom(C2940)</f>
        <v>TTAGAC</v>
      </c>
      <c r="L2940">
        <v>5</v>
      </c>
    </row>
    <row r="2941" spans="1:12" ht="15.6" x14ac:dyDescent="0.3">
      <c r="A2941" s="9">
        <v>2930</v>
      </c>
      <c r="B2941" s="1"/>
      <c r="C2941" s="2" t="s">
        <v>2936</v>
      </c>
      <c r="D2941" s="1"/>
      <c r="E2941" s="11">
        <f t="shared" si="226"/>
        <v>14</v>
      </c>
      <c r="F2941" s="12">
        <f t="shared" si="227"/>
        <v>50</v>
      </c>
      <c r="G2941" s="12" t="str">
        <f t="shared" si="228"/>
        <v>OK</v>
      </c>
      <c r="H2941" s="13">
        <f t="shared" si="229"/>
        <v>6</v>
      </c>
      <c r="I2941" s="14">
        <f t="shared" si="225"/>
        <v>1767.1999999999998</v>
      </c>
      <c r="K2941" t="str">
        <f>[1]!revcom(C2941)</f>
        <v>GTAGAC</v>
      </c>
      <c r="L2941">
        <v>5</v>
      </c>
    </row>
    <row r="2942" spans="1:12" ht="15.6" x14ac:dyDescent="0.3">
      <c r="A2942" s="9">
        <v>2931</v>
      </c>
      <c r="B2942" s="1"/>
      <c r="C2942" s="2" t="s">
        <v>2937</v>
      </c>
      <c r="D2942" s="1"/>
      <c r="E2942" s="11">
        <f t="shared" si="226"/>
        <v>14</v>
      </c>
      <c r="F2942" s="12">
        <f t="shared" si="227"/>
        <v>50</v>
      </c>
      <c r="G2942" s="12" t="str">
        <f t="shared" si="228"/>
        <v>OK</v>
      </c>
      <c r="H2942" s="13">
        <f t="shared" si="229"/>
        <v>6</v>
      </c>
      <c r="I2942" s="14">
        <f t="shared" si="225"/>
        <v>1807.23</v>
      </c>
      <c r="K2942" t="str">
        <f>[1]!revcom(C2942)</f>
        <v>CTAGAC</v>
      </c>
      <c r="L2942">
        <v>5</v>
      </c>
    </row>
    <row r="2943" spans="1:12" ht="15.6" x14ac:dyDescent="0.3">
      <c r="A2943" s="9">
        <v>2932</v>
      </c>
      <c r="B2943" s="1"/>
      <c r="C2943" s="2" t="s">
        <v>2938</v>
      </c>
      <c r="D2943" s="1"/>
      <c r="E2943" s="11">
        <f t="shared" si="226"/>
        <v>8</v>
      </c>
      <c r="F2943" s="12">
        <f t="shared" si="227"/>
        <v>33.333333333333329</v>
      </c>
      <c r="G2943" s="12" t="str">
        <f t="shared" si="228"/>
        <v>OK</v>
      </c>
      <c r="H2943" s="13">
        <f t="shared" si="229"/>
        <v>6</v>
      </c>
      <c r="I2943" s="14">
        <f t="shared" si="225"/>
        <v>1782.21</v>
      </c>
      <c r="K2943" t="str">
        <f>[1]!revcom(C2943)</f>
        <v>ATAGAC</v>
      </c>
      <c r="L2943">
        <v>4</v>
      </c>
    </row>
    <row r="2944" spans="1:12" ht="15.6" x14ac:dyDescent="0.3">
      <c r="A2944" s="9">
        <v>2933</v>
      </c>
      <c r="B2944" s="1"/>
      <c r="C2944" s="2" t="s">
        <v>2939</v>
      </c>
      <c r="D2944" s="1"/>
      <c r="E2944" s="11">
        <f t="shared" si="226"/>
        <v>14</v>
      </c>
      <c r="F2944" s="12">
        <f t="shared" si="227"/>
        <v>50</v>
      </c>
      <c r="G2944" s="12" t="str">
        <f t="shared" si="228"/>
        <v>OK</v>
      </c>
      <c r="H2944" s="13">
        <f t="shared" si="229"/>
        <v>6</v>
      </c>
      <c r="I2944" s="14">
        <f t="shared" si="225"/>
        <v>1767.1999999999998</v>
      </c>
      <c r="K2944" t="str">
        <f>[1]!revcom(C2944)</f>
        <v>TGAGAC</v>
      </c>
      <c r="L2944">
        <v>5</v>
      </c>
    </row>
    <row r="2945" spans="1:12" ht="15.6" x14ac:dyDescent="0.3">
      <c r="A2945" s="9">
        <v>2934</v>
      </c>
      <c r="B2945" s="1"/>
      <c r="C2945" s="2" t="s">
        <v>2940</v>
      </c>
      <c r="D2945" s="1"/>
      <c r="E2945" s="11">
        <f t="shared" si="226"/>
        <v>12</v>
      </c>
      <c r="F2945" s="12">
        <f t="shared" si="227"/>
        <v>66.666666666666657</v>
      </c>
      <c r="G2945" s="12" t="str">
        <f t="shared" si="228"/>
        <v>Warning</v>
      </c>
      <c r="H2945" s="13">
        <f t="shared" si="229"/>
        <v>6</v>
      </c>
      <c r="I2945" s="14">
        <f t="shared" si="225"/>
        <v>1743.17</v>
      </c>
      <c r="K2945" t="str">
        <f>[1]!revcom(C2945)</f>
        <v>GGAGAC</v>
      </c>
      <c r="L2945">
        <v>4</v>
      </c>
    </row>
    <row r="2946" spans="1:12" ht="15.6" x14ac:dyDescent="0.3">
      <c r="A2946" s="9">
        <v>2935</v>
      </c>
      <c r="B2946" s="1"/>
      <c r="C2946" s="2" t="s">
        <v>2941</v>
      </c>
      <c r="D2946" s="1"/>
      <c r="E2946" s="11">
        <f t="shared" si="226"/>
        <v>12</v>
      </c>
      <c r="F2946" s="12">
        <f t="shared" si="227"/>
        <v>66.666666666666657</v>
      </c>
      <c r="G2946" s="12" t="str">
        <f t="shared" si="228"/>
        <v>Warning</v>
      </c>
      <c r="H2946" s="13">
        <f t="shared" si="229"/>
        <v>6</v>
      </c>
      <c r="I2946" s="14">
        <f t="shared" si="225"/>
        <v>1783.1999999999998</v>
      </c>
      <c r="K2946" t="str">
        <f>[1]!revcom(C2946)</f>
        <v>CGAGAC</v>
      </c>
      <c r="L2946">
        <v>4</v>
      </c>
    </row>
    <row r="2947" spans="1:12" ht="15.6" x14ac:dyDescent="0.3">
      <c r="A2947" s="9">
        <v>2936</v>
      </c>
      <c r="B2947" s="1"/>
      <c r="C2947" s="2" t="s">
        <v>2942</v>
      </c>
      <c r="D2947" s="1"/>
      <c r="E2947" s="11">
        <f t="shared" si="226"/>
        <v>6</v>
      </c>
      <c r="F2947" s="12">
        <f t="shared" si="227"/>
        <v>50</v>
      </c>
      <c r="G2947" s="12" t="str">
        <f t="shared" si="228"/>
        <v>OK</v>
      </c>
      <c r="H2947" s="13">
        <f t="shared" si="229"/>
        <v>6</v>
      </c>
      <c r="I2947" s="14">
        <f t="shared" si="225"/>
        <v>1758.1799999999998</v>
      </c>
      <c r="K2947" t="str">
        <f>[1]!revcom(C2947)</f>
        <v>AGAGAC</v>
      </c>
      <c r="L2947">
        <v>3</v>
      </c>
    </row>
    <row r="2948" spans="1:12" ht="15.6" x14ac:dyDescent="0.3">
      <c r="A2948" s="9">
        <v>2937</v>
      </c>
      <c r="B2948" s="1"/>
      <c r="C2948" s="2" t="s">
        <v>2943</v>
      </c>
      <c r="D2948" s="1"/>
      <c r="E2948" s="11">
        <f t="shared" si="226"/>
        <v>14</v>
      </c>
      <c r="F2948" s="12">
        <f t="shared" si="227"/>
        <v>50</v>
      </c>
      <c r="G2948" s="12" t="str">
        <f t="shared" si="228"/>
        <v>OK</v>
      </c>
      <c r="H2948" s="13">
        <f t="shared" si="229"/>
        <v>6</v>
      </c>
      <c r="I2948" s="14">
        <f t="shared" si="225"/>
        <v>1807.23</v>
      </c>
      <c r="K2948" t="str">
        <f>[1]!revcom(C2948)</f>
        <v>TCAGAC</v>
      </c>
      <c r="L2948">
        <v>5</v>
      </c>
    </row>
    <row r="2949" spans="1:12" ht="15.6" x14ac:dyDescent="0.3">
      <c r="A2949" s="9">
        <v>2938</v>
      </c>
      <c r="B2949" s="1"/>
      <c r="C2949" s="2" t="s">
        <v>2944</v>
      </c>
      <c r="D2949" s="1"/>
      <c r="E2949" s="11">
        <f t="shared" si="226"/>
        <v>12</v>
      </c>
      <c r="F2949" s="12">
        <f t="shared" si="227"/>
        <v>66.666666666666657</v>
      </c>
      <c r="G2949" s="12" t="str">
        <f t="shared" si="228"/>
        <v>Warning</v>
      </c>
      <c r="H2949" s="13">
        <f t="shared" si="229"/>
        <v>6</v>
      </c>
      <c r="I2949" s="14">
        <f t="shared" si="225"/>
        <v>1783.1999999999998</v>
      </c>
      <c r="K2949" t="str">
        <f>[1]!revcom(C2949)</f>
        <v>GCAGAC</v>
      </c>
      <c r="L2949">
        <v>4</v>
      </c>
    </row>
    <row r="2950" spans="1:12" ht="15.6" x14ac:dyDescent="0.3">
      <c r="A2950" s="9">
        <v>2939</v>
      </c>
      <c r="B2950" s="1"/>
      <c r="C2950" s="2" t="s">
        <v>2945</v>
      </c>
      <c r="D2950" s="1"/>
      <c r="E2950" s="11">
        <f t="shared" si="226"/>
        <v>12</v>
      </c>
      <c r="F2950" s="12">
        <f t="shared" si="227"/>
        <v>66.666666666666657</v>
      </c>
      <c r="G2950" s="12" t="str">
        <f t="shared" si="228"/>
        <v>Warning</v>
      </c>
      <c r="H2950" s="13">
        <f t="shared" si="229"/>
        <v>6</v>
      </c>
      <c r="I2950" s="14">
        <f t="shared" si="225"/>
        <v>1823.23</v>
      </c>
      <c r="K2950" t="str">
        <f>[1]!revcom(C2950)</f>
        <v>CCAGAC</v>
      </c>
      <c r="L2950">
        <v>4</v>
      </c>
    </row>
    <row r="2951" spans="1:12" ht="15.6" x14ac:dyDescent="0.3">
      <c r="A2951" s="9">
        <v>2940</v>
      </c>
      <c r="B2951" s="1"/>
      <c r="C2951" s="2" t="s">
        <v>2946</v>
      </c>
      <c r="D2951" s="1"/>
      <c r="E2951" s="11">
        <f t="shared" si="226"/>
        <v>6</v>
      </c>
      <c r="F2951" s="12">
        <f t="shared" si="227"/>
        <v>50</v>
      </c>
      <c r="G2951" s="12" t="str">
        <f t="shared" si="228"/>
        <v>OK</v>
      </c>
      <c r="H2951" s="13">
        <f t="shared" si="229"/>
        <v>6</v>
      </c>
      <c r="I2951" s="14">
        <f t="shared" si="225"/>
        <v>1798.21</v>
      </c>
      <c r="K2951" t="str">
        <f>[1]!revcom(C2951)</f>
        <v>ACAGAC</v>
      </c>
      <c r="L2951">
        <v>3</v>
      </c>
    </row>
    <row r="2952" spans="1:12" ht="15.6" x14ac:dyDescent="0.3">
      <c r="A2952" s="9">
        <v>2941</v>
      </c>
      <c r="B2952" s="1"/>
      <c r="C2952" s="2" t="s">
        <v>2947</v>
      </c>
      <c r="D2952" s="1"/>
      <c r="E2952" s="11">
        <f t="shared" si="226"/>
        <v>8</v>
      </c>
      <c r="F2952" s="12">
        <f t="shared" si="227"/>
        <v>33.333333333333329</v>
      </c>
      <c r="G2952" s="12" t="str">
        <f t="shared" si="228"/>
        <v>OK</v>
      </c>
      <c r="H2952" s="13">
        <f t="shared" si="229"/>
        <v>6</v>
      </c>
      <c r="I2952" s="14">
        <f t="shared" si="225"/>
        <v>1782.21</v>
      </c>
      <c r="K2952" t="str">
        <f>[1]!revcom(C2952)</f>
        <v>TAAGAC</v>
      </c>
      <c r="L2952">
        <v>4</v>
      </c>
    </row>
    <row r="2953" spans="1:12" ht="15.6" x14ac:dyDescent="0.3">
      <c r="A2953" s="9">
        <v>2942</v>
      </c>
      <c r="B2953" s="1"/>
      <c r="C2953" s="2" t="s">
        <v>2948</v>
      </c>
      <c r="D2953" s="1"/>
      <c r="E2953" s="11">
        <f t="shared" si="226"/>
        <v>6</v>
      </c>
      <c r="F2953" s="12">
        <f t="shared" si="227"/>
        <v>50</v>
      </c>
      <c r="G2953" s="12" t="str">
        <f t="shared" si="228"/>
        <v>OK</v>
      </c>
      <c r="H2953" s="13">
        <f t="shared" si="229"/>
        <v>6</v>
      </c>
      <c r="I2953" s="14">
        <f t="shared" si="225"/>
        <v>1758.1799999999998</v>
      </c>
      <c r="K2953" t="str">
        <f>[1]!revcom(C2953)</f>
        <v>GAAGAC</v>
      </c>
      <c r="L2953">
        <v>3</v>
      </c>
    </row>
    <row r="2954" spans="1:12" ht="15.6" x14ac:dyDescent="0.3">
      <c r="A2954" s="9">
        <v>2943</v>
      </c>
      <c r="B2954" s="1"/>
      <c r="C2954" s="2" t="s">
        <v>2949</v>
      </c>
      <c r="D2954" s="1"/>
      <c r="E2954" s="11">
        <f t="shared" si="226"/>
        <v>6</v>
      </c>
      <c r="F2954" s="12">
        <f t="shared" si="227"/>
        <v>50</v>
      </c>
      <c r="G2954" s="12" t="str">
        <f t="shared" si="228"/>
        <v>OK</v>
      </c>
      <c r="H2954" s="13">
        <f t="shared" si="229"/>
        <v>6</v>
      </c>
      <c r="I2954" s="14">
        <f t="shared" si="225"/>
        <v>1798.21</v>
      </c>
      <c r="K2954" t="str">
        <f>[1]!revcom(C2954)</f>
        <v>CAAGAC</v>
      </c>
      <c r="L2954">
        <v>3</v>
      </c>
    </row>
    <row r="2955" spans="1:12" ht="15.6" x14ac:dyDescent="0.3">
      <c r="A2955" s="9">
        <v>2944</v>
      </c>
      <c r="B2955" s="1"/>
      <c r="C2955" s="2" t="s">
        <v>2950</v>
      </c>
      <c r="D2955" s="1"/>
      <c r="E2955" s="11">
        <f t="shared" si="226"/>
        <v>0</v>
      </c>
      <c r="F2955" s="12">
        <f t="shared" si="227"/>
        <v>33.333333333333329</v>
      </c>
      <c r="G2955" s="12" t="str">
        <f t="shared" si="228"/>
        <v>OK</v>
      </c>
      <c r="H2955" s="13">
        <f t="shared" si="229"/>
        <v>6</v>
      </c>
      <c r="I2955" s="14">
        <f t="shared" si="225"/>
        <v>1773.19</v>
      </c>
      <c r="K2955" t="str">
        <f>[1]!revcom(C2955)</f>
        <v>AAAGAC</v>
      </c>
      <c r="L2955">
        <v>2</v>
      </c>
    </row>
    <row r="2956" spans="1:12" ht="15.6" x14ac:dyDescent="0.3">
      <c r="A2956" s="9">
        <v>2945</v>
      </c>
      <c r="B2956" s="1"/>
      <c r="C2956" s="2" t="s">
        <v>2951</v>
      </c>
      <c r="D2956" s="1"/>
      <c r="E2956" s="11">
        <f t="shared" si="226"/>
        <v>24</v>
      </c>
      <c r="F2956" s="12">
        <f t="shared" si="227"/>
        <v>33.333333333333329</v>
      </c>
      <c r="G2956" s="12" t="str">
        <f t="shared" si="228"/>
        <v>OK</v>
      </c>
      <c r="H2956" s="13">
        <f t="shared" si="229"/>
        <v>6</v>
      </c>
      <c r="I2956" s="14">
        <f t="shared" si="225"/>
        <v>1840.2800000000002</v>
      </c>
      <c r="K2956" t="str">
        <f>[1]!revcom(C2956)</f>
        <v>TTTCAC</v>
      </c>
      <c r="L2956">
        <v>6</v>
      </c>
    </row>
    <row r="2957" spans="1:12" ht="15.6" x14ac:dyDescent="0.3">
      <c r="A2957" s="9">
        <v>2946</v>
      </c>
      <c r="B2957" s="1"/>
      <c r="C2957" s="2" t="s">
        <v>2952</v>
      </c>
      <c r="D2957" s="1"/>
      <c r="E2957" s="11">
        <f t="shared" si="226"/>
        <v>22</v>
      </c>
      <c r="F2957" s="12">
        <f t="shared" si="227"/>
        <v>50</v>
      </c>
      <c r="G2957" s="12" t="str">
        <f t="shared" si="228"/>
        <v>OK</v>
      </c>
      <c r="H2957" s="13">
        <f t="shared" si="229"/>
        <v>6</v>
      </c>
      <c r="I2957" s="14">
        <f t="shared" ref="I2957:I3020" si="230">((LEN(C2957)-(LEN(SUBSTITUTE(C2957,"A",""))))*249.23)+((LEN(C2957)-(LEN(SUBSTITUTE(C2957,"T",""))))*240.21)+((LEN(C2957)-(LEN(SUBSTITUTE(C2957,"C",""))))*225.2)+((LEN(C2957)-(LEN(SUBSTITUTE(C2957,"G",""))))*265.23)+(63.98*(LEN(C2957)-1)+(2.02))</f>
        <v>1816.25</v>
      </c>
      <c r="K2957" t="str">
        <f>[1]!revcom(C2957)</f>
        <v>GTTCAC</v>
      </c>
      <c r="L2957">
        <v>6</v>
      </c>
    </row>
    <row r="2958" spans="1:12" ht="15.6" x14ac:dyDescent="0.3">
      <c r="A2958" s="9">
        <v>2947</v>
      </c>
      <c r="B2958" s="1"/>
      <c r="C2958" s="2" t="s">
        <v>2953</v>
      </c>
      <c r="D2958" s="1"/>
      <c r="E2958" s="11">
        <f t="shared" ref="E2958:E3021" si="231">IF(LEN(C2958)&gt;15,(69.3+((41*((LEN(C2958)-(((LEN(C2958)-(LEN(SUBSTITUTE(C2958,"A",""))))+((LEN(C2958)-(LEN(SUBSTITUTE(C2958,"T","")))))))))/(LEN(C2958)))-(650/(LEN(C2958))))),(2*((LEN(C2958)-(((LEN(C2958)-(LEN(SUBSTITUTE(C2958,"C",""))))+((LEN(C2958)-(LEN(SUBSTITUTE(C2958,"G",""))))))))))+(4*((LEN(C2958)-(((LEN(C2958)-(LEN(SUBSTITUTE(C2958,"T",""))))+((LEN(C2958)-(LEN(SUBSTITUTE(C2958,"T","")))))))))))</f>
        <v>22</v>
      </c>
      <c r="F2958" s="12">
        <f t="shared" ref="F2958:F3021" si="232">((LEN(C2958)- LEN(SUBSTITUTE(C2958,"G","")))+(LEN(C2958)- LEN(SUBSTITUTE(C2958,"C",""))) )/LEN(C2958)*100</f>
        <v>50</v>
      </c>
      <c r="G2958" s="12" t="str">
        <f t="shared" ref="G2958:G3021" si="233">IF((-5+((LEN(SUBSTITUTE(RIGHT(C2958,5),"C","")))+((LEN(SUBSTITUTE(RIGHT(C2958,5),"G",""))))))&gt;=3,"OK","Warning")</f>
        <v>OK</v>
      </c>
      <c r="H2958" s="13">
        <f t="shared" ref="H2958:H3021" si="234">LEN(C2958)</f>
        <v>6</v>
      </c>
      <c r="I2958" s="14">
        <f t="shared" si="230"/>
        <v>1856.2800000000002</v>
      </c>
      <c r="K2958" t="str">
        <f>[1]!revcom(C2958)</f>
        <v>CTTCAC</v>
      </c>
      <c r="L2958">
        <v>6</v>
      </c>
    </row>
    <row r="2959" spans="1:12" ht="15.6" x14ac:dyDescent="0.3">
      <c r="A2959" s="9">
        <v>2948</v>
      </c>
      <c r="B2959" s="1"/>
      <c r="C2959" s="2" t="s">
        <v>2954</v>
      </c>
      <c r="D2959" s="1"/>
      <c r="E2959" s="11">
        <f t="shared" si="231"/>
        <v>16</v>
      </c>
      <c r="F2959" s="12">
        <f t="shared" si="232"/>
        <v>33.333333333333329</v>
      </c>
      <c r="G2959" s="12" t="str">
        <f t="shared" si="233"/>
        <v>OK</v>
      </c>
      <c r="H2959" s="13">
        <f t="shared" si="234"/>
        <v>6</v>
      </c>
      <c r="I2959" s="14">
        <f t="shared" si="230"/>
        <v>1831.2600000000002</v>
      </c>
      <c r="K2959" t="str">
        <f>[1]!revcom(C2959)</f>
        <v>ATTCAC</v>
      </c>
      <c r="L2959">
        <v>5</v>
      </c>
    </row>
    <row r="2960" spans="1:12" ht="15.6" x14ac:dyDescent="0.3">
      <c r="A2960" s="9">
        <v>2949</v>
      </c>
      <c r="B2960" s="1"/>
      <c r="C2960" s="2" t="s">
        <v>2955</v>
      </c>
      <c r="D2960" s="1"/>
      <c r="E2960" s="11">
        <f t="shared" si="231"/>
        <v>22</v>
      </c>
      <c r="F2960" s="12">
        <f t="shared" si="232"/>
        <v>50</v>
      </c>
      <c r="G2960" s="12" t="str">
        <f t="shared" si="233"/>
        <v>OK</v>
      </c>
      <c r="H2960" s="13">
        <f t="shared" si="234"/>
        <v>6</v>
      </c>
      <c r="I2960" s="14">
        <f t="shared" si="230"/>
        <v>1816.25</v>
      </c>
      <c r="K2960" t="str">
        <f>[1]!revcom(C2960)</f>
        <v>TGTCAC</v>
      </c>
      <c r="L2960">
        <v>6</v>
      </c>
    </row>
    <row r="2961" spans="1:12" ht="15.6" x14ac:dyDescent="0.3">
      <c r="A2961" s="9">
        <v>2950</v>
      </c>
      <c r="B2961" s="1"/>
      <c r="C2961" s="2" t="s">
        <v>2956</v>
      </c>
      <c r="D2961" s="1"/>
      <c r="E2961" s="11">
        <f t="shared" si="231"/>
        <v>20</v>
      </c>
      <c r="F2961" s="12">
        <f t="shared" si="232"/>
        <v>66.666666666666657</v>
      </c>
      <c r="G2961" s="12" t="str">
        <f t="shared" si="233"/>
        <v>Warning</v>
      </c>
      <c r="H2961" s="13">
        <f t="shared" si="234"/>
        <v>6</v>
      </c>
      <c r="I2961" s="14">
        <f t="shared" si="230"/>
        <v>1792.2199999999998</v>
      </c>
      <c r="K2961" t="str">
        <f>[1]!revcom(C2961)</f>
        <v>GGTCAC</v>
      </c>
      <c r="L2961">
        <v>6</v>
      </c>
    </row>
    <row r="2962" spans="1:12" ht="15.6" x14ac:dyDescent="0.3">
      <c r="A2962" s="9">
        <v>2951</v>
      </c>
      <c r="B2962" s="1"/>
      <c r="C2962" s="2" t="s">
        <v>2957</v>
      </c>
      <c r="D2962" s="1"/>
      <c r="E2962" s="11">
        <f t="shared" si="231"/>
        <v>20</v>
      </c>
      <c r="F2962" s="12">
        <f t="shared" si="232"/>
        <v>66.666666666666657</v>
      </c>
      <c r="G2962" s="12" t="str">
        <f t="shared" si="233"/>
        <v>Warning</v>
      </c>
      <c r="H2962" s="13">
        <f t="shared" si="234"/>
        <v>6</v>
      </c>
      <c r="I2962" s="14">
        <f t="shared" si="230"/>
        <v>1832.25</v>
      </c>
      <c r="K2962" t="str">
        <f>[1]!revcom(C2962)</f>
        <v>CGTCAC</v>
      </c>
      <c r="L2962">
        <v>6</v>
      </c>
    </row>
    <row r="2963" spans="1:12" ht="15.6" x14ac:dyDescent="0.3">
      <c r="A2963" s="9">
        <v>2952</v>
      </c>
      <c r="B2963" s="1"/>
      <c r="C2963" s="2" t="s">
        <v>2958</v>
      </c>
      <c r="D2963" s="1"/>
      <c r="E2963" s="11">
        <f t="shared" si="231"/>
        <v>14</v>
      </c>
      <c r="F2963" s="12">
        <f t="shared" si="232"/>
        <v>50</v>
      </c>
      <c r="G2963" s="12" t="str">
        <f t="shared" si="233"/>
        <v>OK</v>
      </c>
      <c r="H2963" s="13">
        <f t="shared" si="234"/>
        <v>6</v>
      </c>
      <c r="I2963" s="14">
        <f t="shared" si="230"/>
        <v>1807.23</v>
      </c>
      <c r="K2963" t="str">
        <f>[1]!revcom(C2963)</f>
        <v>AGTCAC</v>
      </c>
      <c r="L2963">
        <v>5</v>
      </c>
    </row>
    <row r="2964" spans="1:12" ht="15.6" x14ac:dyDescent="0.3">
      <c r="A2964" s="9">
        <v>2953</v>
      </c>
      <c r="B2964" s="1"/>
      <c r="C2964" s="2" t="s">
        <v>2959</v>
      </c>
      <c r="D2964" s="1"/>
      <c r="E2964" s="11">
        <f t="shared" si="231"/>
        <v>22</v>
      </c>
      <c r="F2964" s="12">
        <f t="shared" si="232"/>
        <v>50</v>
      </c>
      <c r="G2964" s="12" t="str">
        <f t="shared" si="233"/>
        <v>OK</v>
      </c>
      <c r="H2964" s="13">
        <f t="shared" si="234"/>
        <v>6</v>
      </c>
      <c r="I2964" s="14">
        <f t="shared" si="230"/>
        <v>1856.2800000000002</v>
      </c>
      <c r="K2964" t="str">
        <f>[1]!revcom(C2964)</f>
        <v>TCTCAC</v>
      </c>
      <c r="L2964">
        <v>6</v>
      </c>
    </row>
    <row r="2965" spans="1:12" ht="15.6" x14ac:dyDescent="0.3">
      <c r="A2965" s="9">
        <v>2954</v>
      </c>
      <c r="B2965" s="1"/>
      <c r="C2965" s="2" t="s">
        <v>2960</v>
      </c>
      <c r="D2965" s="1"/>
      <c r="E2965" s="11">
        <f t="shared" si="231"/>
        <v>20</v>
      </c>
      <c r="F2965" s="12">
        <f t="shared" si="232"/>
        <v>66.666666666666657</v>
      </c>
      <c r="G2965" s="12" t="str">
        <f t="shared" si="233"/>
        <v>Warning</v>
      </c>
      <c r="H2965" s="13">
        <f t="shared" si="234"/>
        <v>6</v>
      </c>
      <c r="I2965" s="14">
        <f t="shared" si="230"/>
        <v>1832.25</v>
      </c>
      <c r="K2965" t="str">
        <f>[1]!revcom(C2965)</f>
        <v>GCTCAC</v>
      </c>
      <c r="L2965">
        <v>6</v>
      </c>
    </row>
    <row r="2966" spans="1:12" ht="15.6" x14ac:dyDescent="0.3">
      <c r="A2966" s="9">
        <v>2955</v>
      </c>
      <c r="B2966" s="1"/>
      <c r="C2966" s="2" t="s">
        <v>2961</v>
      </c>
      <c r="D2966" s="1"/>
      <c r="E2966" s="11">
        <f t="shared" si="231"/>
        <v>20</v>
      </c>
      <c r="F2966" s="12">
        <f t="shared" si="232"/>
        <v>66.666666666666657</v>
      </c>
      <c r="G2966" s="12" t="str">
        <f t="shared" si="233"/>
        <v>Warning</v>
      </c>
      <c r="H2966" s="13">
        <f t="shared" si="234"/>
        <v>6</v>
      </c>
      <c r="I2966" s="14">
        <f t="shared" si="230"/>
        <v>1872.2800000000002</v>
      </c>
      <c r="K2966" t="str">
        <f>[1]!revcom(C2966)</f>
        <v>CCTCAC</v>
      </c>
      <c r="L2966">
        <v>6</v>
      </c>
    </row>
    <row r="2967" spans="1:12" ht="15.6" x14ac:dyDescent="0.3">
      <c r="A2967" s="9">
        <v>2956</v>
      </c>
      <c r="B2967" s="1"/>
      <c r="C2967" s="2" t="s">
        <v>2962</v>
      </c>
      <c r="D2967" s="1"/>
      <c r="E2967" s="11">
        <f t="shared" si="231"/>
        <v>14</v>
      </c>
      <c r="F2967" s="12">
        <f t="shared" si="232"/>
        <v>50</v>
      </c>
      <c r="G2967" s="12" t="str">
        <f t="shared" si="233"/>
        <v>OK</v>
      </c>
      <c r="H2967" s="13">
        <f t="shared" si="234"/>
        <v>6</v>
      </c>
      <c r="I2967" s="14">
        <f t="shared" si="230"/>
        <v>1847.2600000000002</v>
      </c>
      <c r="K2967" t="str">
        <f>[1]!revcom(C2967)</f>
        <v>ACTCAC</v>
      </c>
      <c r="L2967">
        <v>5</v>
      </c>
    </row>
    <row r="2968" spans="1:12" ht="15.6" x14ac:dyDescent="0.3">
      <c r="A2968" s="9">
        <v>2957</v>
      </c>
      <c r="B2968" s="1"/>
      <c r="C2968" s="2" t="s">
        <v>2963</v>
      </c>
      <c r="D2968" s="1"/>
      <c r="E2968" s="11">
        <f t="shared" si="231"/>
        <v>16</v>
      </c>
      <c r="F2968" s="12">
        <f t="shared" si="232"/>
        <v>33.333333333333329</v>
      </c>
      <c r="G2968" s="12" t="str">
        <f t="shared" si="233"/>
        <v>OK</v>
      </c>
      <c r="H2968" s="13">
        <f t="shared" si="234"/>
        <v>6</v>
      </c>
      <c r="I2968" s="14">
        <f t="shared" si="230"/>
        <v>1831.2600000000002</v>
      </c>
      <c r="K2968" t="str">
        <f>[1]!revcom(C2968)</f>
        <v>TATCAC</v>
      </c>
      <c r="L2968">
        <v>5</v>
      </c>
    </row>
    <row r="2969" spans="1:12" ht="15.6" x14ac:dyDescent="0.3">
      <c r="A2969" s="9">
        <v>2958</v>
      </c>
      <c r="B2969" s="1"/>
      <c r="C2969" s="2" t="s">
        <v>2964</v>
      </c>
      <c r="D2969" s="1"/>
      <c r="E2969" s="11">
        <f t="shared" si="231"/>
        <v>14</v>
      </c>
      <c r="F2969" s="12">
        <f t="shared" si="232"/>
        <v>50</v>
      </c>
      <c r="G2969" s="12" t="str">
        <f t="shared" si="233"/>
        <v>OK</v>
      </c>
      <c r="H2969" s="13">
        <f t="shared" si="234"/>
        <v>6</v>
      </c>
      <c r="I2969" s="14">
        <f t="shared" si="230"/>
        <v>1807.23</v>
      </c>
      <c r="K2969" t="str">
        <f>[1]!revcom(C2969)</f>
        <v>GATCAC</v>
      </c>
      <c r="L2969">
        <v>5</v>
      </c>
    </row>
    <row r="2970" spans="1:12" ht="15.6" x14ac:dyDescent="0.3">
      <c r="A2970" s="9">
        <v>2959</v>
      </c>
      <c r="B2970" s="1"/>
      <c r="C2970" s="2" t="s">
        <v>2965</v>
      </c>
      <c r="D2970" s="1"/>
      <c r="E2970" s="11">
        <f t="shared" si="231"/>
        <v>14</v>
      </c>
      <c r="F2970" s="12">
        <f t="shared" si="232"/>
        <v>50</v>
      </c>
      <c r="G2970" s="12" t="str">
        <f t="shared" si="233"/>
        <v>OK</v>
      </c>
      <c r="H2970" s="13">
        <f t="shared" si="234"/>
        <v>6</v>
      </c>
      <c r="I2970" s="14">
        <f t="shared" si="230"/>
        <v>1847.2600000000002</v>
      </c>
      <c r="K2970" t="str">
        <f>[1]!revcom(C2970)</f>
        <v>CATCAC</v>
      </c>
      <c r="L2970">
        <v>5</v>
      </c>
    </row>
    <row r="2971" spans="1:12" ht="15.6" x14ac:dyDescent="0.3">
      <c r="A2971" s="9">
        <v>2960</v>
      </c>
      <c r="B2971" s="1"/>
      <c r="C2971" s="2" t="s">
        <v>2966</v>
      </c>
      <c r="D2971" s="1"/>
      <c r="E2971" s="11">
        <f t="shared" si="231"/>
        <v>8</v>
      </c>
      <c r="F2971" s="12">
        <f t="shared" si="232"/>
        <v>33.333333333333329</v>
      </c>
      <c r="G2971" s="12" t="str">
        <f t="shared" si="233"/>
        <v>OK</v>
      </c>
      <c r="H2971" s="13">
        <f t="shared" si="234"/>
        <v>6</v>
      </c>
      <c r="I2971" s="14">
        <f t="shared" si="230"/>
        <v>1822.2400000000002</v>
      </c>
      <c r="K2971" t="str">
        <f>[1]!revcom(C2971)</f>
        <v>AATCAC</v>
      </c>
      <c r="L2971">
        <v>4</v>
      </c>
    </row>
    <row r="2972" spans="1:12" ht="15.6" x14ac:dyDescent="0.3">
      <c r="A2972" s="9">
        <v>2961</v>
      </c>
      <c r="B2972" s="1"/>
      <c r="C2972" s="2" t="s">
        <v>2967</v>
      </c>
      <c r="D2972" s="1"/>
      <c r="E2972" s="11">
        <f t="shared" si="231"/>
        <v>22</v>
      </c>
      <c r="F2972" s="12">
        <f t="shared" si="232"/>
        <v>50</v>
      </c>
      <c r="G2972" s="12" t="str">
        <f t="shared" si="233"/>
        <v>OK</v>
      </c>
      <c r="H2972" s="13">
        <f t="shared" si="234"/>
        <v>6</v>
      </c>
      <c r="I2972" s="14">
        <f t="shared" si="230"/>
        <v>1816.25</v>
      </c>
      <c r="K2972" t="str">
        <f>[1]!revcom(C2972)</f>
        <v>TTGCAC</v>
      </c>
      <c r="L2972">
        <v>6</v>
      </c>
    </row>
    <row r="2973" spans="1:12" ht="15.6" x14ac:dyDescent="0.3">
      <c r="A2973" s="9">
        <v>2962</v>
      </c>
      <c r="B2973" s="1"/>
      <c r="C2973" s="2" t="s">
        <v>2968</v>
      </c>
      <c r="D2973" s="1"/>
      <c r="E2973" s="11">
        <f t="shared" si="231"/>
        <v>20</v>
      </c>
      <c r="F2973" s="12">
        <f t="shared" si="232"/>
        <v>66.666666666666657</v>
      </c>
      <c r="G2973" s="12" t="str">
        <f t="shared" si="233"/>
        <v>Warning</v>
      </c>
      <c r="H2973" s="13">
        <f t="shared" si="234"/>
        <v>6</v>
      </c>
      <c r="I2973" s="14">
        <f t="shared" si="230"/>
        <v>1792.2199999999998</v>
      </c>
      <c r="K2973" t="str">
        <f>[1]!revcom(C2973)</f>
        <v>GTGCAC</v>
      </c>
      <c r="L2973">
        <v>6</v>
      </c>
    </row>
    <row r="2974" spans="1:12" ht="15.6" x14ac:dyDescent="0.3">
      <c r="A2974" s="9">
        <v>2963</v>
      </c>
      <c r="B2974" s="1"/>
      <c r="C2974" s="2" t="s">
        <v>2969</v>
      </c>
      <c r="D2974" s="1"/>
      <c r="E2974" s="11">
        <f t="shared" si="231"/>
        <v>20</v>
      </c>
      <c r="F2974" s="12">
        <f t="shared" si="232"/>
        <v>66.666666666666657</v>
      </c>
      <c r="G2974" s="12" t="str">
        <f t="shared" si="233"/>
        <v>Warning</v>
      </c>
      <c r="H2974" s="13">
        <f t="shared" si="234"/>
        <v>6</v>
      </c>
      <c r="I2974" s="14">
        <f t="shared" si="230"/>
        <v>1832.25</v>
      </c>
      <c r="K2974" t="str">
        <f>[1]!revcom(C2974)</f>
        <v>CTGCAC</v>
      </c>
      <c r="L2974">
        <v>6</v>
      </c>
    </row>
    <row r="2975" spans="1:12" ht="15.6" x14ac:dyDescent="0.3">
      <c r="A2975" s="9">
        <v>2964</v>
      </c>
      <c r="B2975" s="1"/>
      <c r="C2975" s="2" t="s">
        <v>2970</v>
      </c>
      <c r="D2975" s="1"/>
      <c r="E2975" s="11">
        <f t="shared" si="231"/>
        <v>14</v>
      </c>
      <c r="F2975" s="12">
        <f t="shared" si="232"/>
        <v>50</v>
      </c>
      <c r="G2975" s="12" t="str">
        <f t="shared" si="233"/>
        <v>OK</v>
      </c>
      <c r="H2975" s="13">
        <f t="shared" si="234"/>
        <v>6</v>
      </c>
      <c r="I2975" s="14">
        <f t="shared" si="230"/>
        <v>1807.23</v>
      </c>
      <c r="K2975" t="str">
        <f>[1]!revcom(C2975)</f>
        <v>ATGCAC</v>
      </c>
      <c r="L2975">
        <v>5</v>
      </c>
    </row>
    <row r="2976" spans="1:12" ht="15.6" x14ac:dyDescent="0.3">
      <c r="A2976" s="9">
        <v>2965</v>
      </c>
      <c r="B2976" s="1"/>
      <c r="C2976" s="2" t="s">
        <v>2971</v>
      </c>
      <c r="D2976" s="1"/>
      <c r="E2976" s="11">
        <f t="shared" si="231"/>
        <v>20</v>
      </c>
      <c r="F2976" s="12">
        <f t="shared" si="232"/>
        <v>66.666666666666657</v>
      </c>
      <c r="G2976" s="12" t="str">
        <f t="shared" si="233"/>
        <v>Warning</v>
      </c>
      <c r="H2976" s="13">
        <f t="shared" si="234"/>
        <v>6</v>
      </c>
      <c r="I2976" s="14">
        <f t="shared" si="230"/>
        <v>1792.2199999999998</v>
      </c>
      <c r="K2976" t="str">
        <f>[1]!revcom(C2976)</f>
        <v>TGGCAC</v>
      </c>
      <c r="L2976">
        <v>6</v>
      </c>
    </row>
    <row r="2977" spans="1:12" ht="15.6" x14ac:dyDescent="0.3">
      <c r="A2977" s="9">
        <v>2966</v>
      </c>
      <c r="B2977" s="1"/>
      <c r="C2977" s="2" t="s">
        <v>2972</v>
      </c>
      <c r="D2977" s="1"/>
      <c r="E2977" s="11">
        <f t="shared" si="231"/>
        <v>18</v>
      </c>
      <c r="F2977" s="12">
        <f t="shared" si="232"/>
        <v>83.333333333333343</v>
      </c>
      <c r="G2977" s="12" t="str">
        <f t="shared" si="233"/>
        <v>Warning</v>
      </c>
      <c r="H2977" s="13">
        <f t="shared" si="234"/>
        <v>6</v>
      </c>
      <c r="I2977" s="14">
        <f t="shared" si="230"/>
        <v>1768.19</v>
      </c>
      <c r="K2977" t="str">
        <f>[1]!revcom(C2977)</f>
        <v>GGGCAC</v>
      </c>
      <c r="L2977">
        <v>5</v>
      </c>
    </row>
    <row r="2978" spans="1:12" ht="15.6" x14ac:dyDescent="0.3">
      <c r="A2978" s="9">
        <v>2967</v>
      </c>
      <c r="B2978" s="1"/>
      <c r="C2978" s="2" t="s">
        <v>2973</v>
      </c>
      <c r="D2978" s="1"/>
      <c r="E2978" s="11">
        <f t="shared" si="231"/>
        <v>18</v>
      </c>
      <c r="F2978" s="12">
        <f t="shared" si="232"/>
        <v>83.333333333333343</v>
      </c>
      <c r="G2978" s="12" t="str">
        <f t="shared" si="233"/>
        <v>Warning</v>
      </c>
      <c r="H2978" s="13">
        <f t="shared" si="234"/>
        <v>6</v>
      </c>
      <c r="I2978" s="14">
        <f t="shared" si="230"/>
        <v>1808.2200000000003</v>
      </c>
      <c r="K2978" t="str">
        <f>[1]!revcom(C2978)</f>
        <v>CGGCAC</v>
      </c>
      <c r="L2978">
        <v>5</v>
      </c>
    </row>
    <row r="2979" spans="1:12" ht="15.6" x14ac:dyDescent="0.3">
      <c r="A2979" s="9">
        <v>2968</v>
      </c>
      <c r="B2979" s="1"/>
      <c r="C2979" s="2" t="s">
        <v>2974</v>
      </c>
      <c r="D2979" s="1"/>
      <c r="E2979" s="11">
        <f t="shared" si="231"/>
        <v>12</v>
      </c>
      <c r="F2979" s="12">
        <f t="shared" si="232"/>
        <v>66.666666666666657</v>
      </c>
      <c r="G2979" s="12" t="str">
        <f t="shared" si="233"/>
        <v>Warning</v>
      </c>
      <c r="H2979" s="13">
        <f t="shared" si="234"/>
        <v>6</v>
      </c>
      <c r="I2979" s="14">
        <f t="shared" si="230"/>
        <v>1783.1999999999998</v>
      </c>
      <c r="K2979" t="str">
        <f>[1]!revcom(C2979)</f>
        <v>AGGCAC</v>
      </c>
      <c r="L2979">
        <v>4</v>
      </c>
    </row>
    <row r="2980" spans="1:12" ht="15.6" x14ac:dyDescent="0.3">
      <c r="A2980" s="9">
        <v>2969</v>
      </c>
      <c r="B2980" s="1"/>
      <c r="C2980" s="2" t="s">
        <v>2975</v>
      </c>
      <c r="D2980" s="1"/>
      <c r="E2980" s="11">
        <f t="shared" si="231"/>
        <v>20</v>
      </c>
      <c r="F2980" s="12">
        <f t="shared" si="232"/>
        <v>66.666666666666657</v>
      </c>
      <c r="G2980" s="12" t="str">
        <f t="shared" si="233"/>
        <v>Warning</v>
      </c>
      <c r="H2980" s="13">
        <f t="shared" si="234"/>
        <v>6</v>
      </c>
      <c r="I2980" s="14">
        <f t="shared" si="230"/>
        <v>1832.25</v>
      </c>
      <c r="K2980" t="str">
        <f>[1]!revcom(C2980)</f>
        <v>TCGCAC</v>
      </c>
      <c r="L2980">
        <v>6</v>
      </c>
    </row>
    <row r="2981" spans="1:12" ht="15.6" x14ac:dyDescent="0.3">
      <c r="A2981" s="9">
        <v>2970</v>
      </c>
      <c r="B2981" s="1"/>
      <c r="C2981" s="2" t="s">
        <v>2976</v>
      </c>
      <c r="D2981" s="1"/>
      <c r="E2981" s="11">
        <f t="shared" si="231"/>
        <v>18</v>
      </c>
      <c r="F2981" s="12">
        <f t="shared" si="232"/>
        <v>83.333333333333343</v>
      </c>
      <c r="G2981" s="12" t="str">
        <f t="shared" si="233"/>
        <v>Warning</v>
      </c>
      <c r="H2981" s="13">
        <f t="shared" si="234"/>
        <v>6</v>
      </c>
      <c r="I2981" s="14">
        <f t="shared" si="230"/>
        <v>1808.2200000000003</v>
      </c>
      <c r="K2981" t="str">
        <f>[1]!revcom(C2981)</f>
        <v>GCGCAC</v>
      </c>
      <c r="L2981">
        <v>5</v>
      </c>
    </row>
    <row r="2982" spans="1:12" ht="15.6" x14ac:dyDescent="0.3">
      <c r="A2982" s="9">
        <v>2971</v>
      </c>
      <c r="B2982" s="1"/>
      <c r="C2982" s="2" t="s">
        <v>2977</v>
      </c>
      <c r="D2982" s="1"/>
      <c r="E2982" s="11">
        <f t="shared" si="231"/>
        <v>18</v>
      </c>
      <c r="F2982" s="12">
        <f t="shared" si="232"/>
        <v>83.333333333333343</v>
      </c>
      <c r="G2982" s="12" t="str">
        <f t="shared" si="233"/>
        <v>Warning</v>
      </c>
      <c r="H2982" s="13">
        <f t="shared" si="234"/>
        <v>6</v>
      </c>
      <c r="I2982" s="14">
        <f t="shared" si="230"/>
        <v>1848.25</v>
      </c>
      <c r="K2982" t="str">
        <f>[1]!revcom(C2982)</f>
        <v>CCGCAC</v>
      </c>
      <c r="L2982">
        <v>5</v>
      </c>
    </row>
    <row r="2983" spans="1:12" ht="15.6" x14ac:dyDescent="0.3">
      <c r="A2983" s="9">
        <v>2972</v>
      </c>
      <c r="B2983" s="1"/>
      <c r="C2983" s="2" t="s">
        <v>2978</v>
      </c>
      <c r="D2983" s="1"/>
      <c r="E2983" s="11">
        <f t="shared" si="231"/>
        <v>12</v>
      </c>
      <c r="F2983" s="12">
        <f t="shared" si="232"/>
        <v>66.666666666666657</v>
      </c>
      <c r="G2983" s="12" t="str">
        <f t="shared" si="233"/>
        <v>Warning</v>
      </c>
      <c r="H2983" s="13">
        <f t="shared" si="234"/>
        <v>6</v>
      </c>
      <c r="I2983" s="14">
        <f t="shared" si="230"/>
        <v>1823.23</v>
      </c>
      <c r="K2983" t="str">
        <f>[1]!revcom(C2983)</f>
        <v>ACGCAC</v>
      </c>
      <c r="L2983">
        <v>4</v>
      </c>
    </row>
    <row r="2984" spans="1:12" ht="15.6" x14ac:dyDescent="0.3">
      <c r="A2984" s="9">
        <v>2973</v>
      </c>
      <c r="B2984" s="1"/>
      <c r="C2984" s="2" t="s">
        <v>2979</v>
      </c>
      <c r="D2984" s="1"/>
      <c r="E2984" s="11">
        <f t="shared" si="231"/>
        <v>14</v>
      </c>
      <c r="F2984" s="12">
        <f t="shared" si="232"/>
        <v>50</v>
      </c>
      <c r="G2984" s="12" t="str">
        <f t="shared" si="233"/>
        <v>OK</v>
      </c>
      <c r="H2984" s="13">
        <f t="shared" si="234"/>
        <v>6</v>
      </c>
      <c r="I2984" s="14">
        <f t="shared" si="230"/>
        <v>1807.23</v>
      </c>
      <c r="K2984" t="str">
        <f>[1]!revcom(C2984)</f>
        <v>TAGCAC</v>
      </c>
      <c r="L2984">
        <v>5</v>
      </c>
    </row>
    <row r="2985" spans="1:12" ht="15.6" x14ac:dyDescent="0.3">
      <c r="A2985" s="9">
        <v>2974</v>
      </c>
      <c r="B2985" s="1"/>
      <c r="C2985" s="2" t="s">
        <v>2980</v>
      </c>
      <c r="D2985" s="1"/>
      <c r="E2985" s="11">
        <f t="shared" si="231"/>
        <v>12</v>
      </c>
      <c r="F2985" s="12">
        <f t="shared" si="232"/>
        <v>66.666666666666657</v>
      </c>
      <c r="G2985" s="12" t="str">
        <f t="shared" si="233"/>
        <v>Warning</v>
      </c>
      <c r="H2985" s="13">
        <f t="shared" si="234"/>
        <v>6</v>
      </c>
      <c r="I2985" s="14">
        <f t="shared" si="230"/>
        <v>1783.1999999999998</v>
      </c>
      <c r="K2985" t="str">
        <f>[1]!revcom(C2985)</f>
        <v>GAGCAC</v>
      </c>
      <c r="L2985">
        <v>4</v>
      </c>
    </row>
    <row r="2986" spans="1:12" ht="15.6" x14ac:dyDescent="0.3">
      <c r="A2986" s="9">
        <v>2975</v>
      </c>
      <c r="B2986" s="1"/>
      <c r="C2986" s="2" t="s">
        <v>2981</v>
      </c>
      <c r="D2986" s="1"/>
      <c r="E2986" s="11">
        <f t="shared" si="231"/>
        <v>12</v>
      </c>
      <c r="F2986" s="12">
        <f t="shared" si="232"/>
        <v>66.666666666666657</v>
      </c>
      <c r="G2986" s="12" t="str">
        <f t="shared" si="233"/>
        <v>Warning</v>
      </c>
      <c r="H2986" s="13">
        <f t="shared" si="234"/>
        <v>6</v>
      </c>
      <c r="I2986" s="14">
        <f t="shared" si="230"/>
        <v>1823.23</v>
      </c>
      <c r="K2986" t="str">
        <f>[1]!revcom(C2986)</f>
        <v>CAGCAC</v>
      </c>
      <c r="L2986">
        <v>4</v>
      </c>
    </row>
    <row r="2987" spans="1:12" ht="15.6" x14ac:dyDescent="0.3">
      <c r="A2987" s="9">
        <v>2976</v>
      </c>
      <c r="B2987" s="1"/>
      <c r="C2987" s="2" t="s">
        <v>2982</v>
      </c>
      <c r="D2987" s="1"/>
      <c r="E2987" s="11">
        <f t="shared" si="231"/>
        <v>6</v>
      </c>
      <c r="F2987" s="12">
        <f t="shared" si="232"/>
        <v>50</v>
      </c>
      <c r="G2987" s="12" t="str">
        <f t="shared" si="233"/>
        <v>OK</v>
      </c>
      <c r="H2987" s="13">
        <f t="shared" si="234"/>
        <v>6</v>
      </c>
      <c r="I2987" s="14">
        <f t="shared" si="230"/>
        <v>1798.21</v>
      </c>
      <c r="K2987" t="str">
        <f>[1]!revcom(C2987)</f>
        <v>AAGCAC</v>
      </c>
      <c r="L2987">
        <v>3</v>
      </c>
    </row>
    <row r="2988" spans="1:12" ht="15.6" x14ac:dyDescent="0.3">
      <c r="A2988" s="9">
        <v>2977</v>
      </c>
      <c r="B2988" s="1"/>
      <c r="C2988" s="2" t="s">
        <v>2983</v>
      </c>
      <c r="D2988" s="1"/>
      <c r="E2988" s="11">
        <f t="shared" si="231"/>
        <v>22</v>
      </c>
      <c r="F2988" s="12">
        <f t="shared" si="232"/>
        <v>50</v>
      </c>
      <c r="G2988" s="12" t="str">
        <f t="shared" si="233"/>
        <v>OK</v>
      </c>
      <c r="H2988" s="13">
        <f t="shared" si="234"/>
        <v>6</v>
      </c>
      <c r="I2988" s="14">
        <f t="shared" si="230"/>
        <v>1856.2800000000002</v>
      </c>
      <c r="K2988" t="str">
        <f>[1]!revcom(C2988)</f>
        <v>TTCCAC</v>
      </c>
      <c r="L2988">
        <v>6</v>
      </c>
    </row>
    <row r="2989" spans="1:12" ht="15.6" x14ac:dyDescent="0.3">
      <c r="A2989" s="9">
        <v>2978</v>
      </c>
      <c r="B2989" s="1"/>
      <c r="C2989" s="2" t="s">
        <v>2984</v>
      </c>
      <c r="D2989" s="1"/>
      <c r="E2989" s="11">
        <f t="shared" si="231"/>
        <v>20</v>
      </c>
      <c r="F2989" s="12">
        <f t="shared" si="232"/>
        <v>66.666666666666657</v>
      </c>
      <c r="G2989" s="12" t="str">
        <f t="shared" si="233"/>
        <v>Warning</v>
      </c>
      <c r="H2989" s="13">
        <f t="shared" si="234"/>
        <v>6</v>
      </c>
      <c r="I2989" s="14">
        <f t="shared" si="230"/>
        <v>1832.25</v>
      </c>
      <c r="K2989" t="str">
        <f>[1]!revcom(C2989)</f>
        <v>GTCCAC</v>
      </c>
      <c r="L2989">
        <v>6</v>
      </c>
    </row>
    <row r="2990" spans="1:12" ht="15.6" x14ac:dyDescent="0.3">
      <c r="A2990" s="9">
        <v>2979</v>
      </c>
      <c r="B2990" s="1"/>
      <c r="C2990" s="2" t="s">
        <v>2985</v>
      </c>
      <c r="D2990" s="1"/>
      <c r="E2990" s="11">
        <f t="shared" si="231"/>
        <v>20</v>
      </c>
      <c r="F2990" s="12">
        <f t="shared" si="232"/>
        <v>66.666666666666657</v>
      </c>
      <c r="G2990" s="12" t="str">
        <f t="shared" si="233"/>
        <v>Warning</v>
      </c>
      <c r="H2990" s="13">
        <f t="shared" si="234"/>
        <v>6</v>
      </c>
      <c r="I2990" s="14">
        <f t="shared" si="230"/>
        <v>1872.2800000000002</v>
      </c>
      <c r="K2990" t="str">
        <f>[1]!revcom(C2990)</f>
        <v>CTCCAC</v>
      </c>
      <c r="L2990">
        <v>6</v>
      </c>
    </row>
    <row r="2991" spans="1:12" ht="15.6" x14ac:dyDescent="0.3">
      <c r="A2991" s="9">
        <v>2980</v>
      </c>
      <c r="B2991" s="1"/>
      <c r="C2991" s="2" t="s">
        <v>2986</v>
      </c>
      <c r="D2991" s="1"/>
      <c r="E2991" s="11">
        <f t="shared" si="231"/>
        <v>14</v>
      </c>
      <c r="F2991" s="12">
        <f t="shared" si="232"/>
        <v>50</v>
      </c>
      <c r="G2991" s="12" t="str">
        <f t="shared" si="233"/>
        <v>OK</v>
      </c>
      <c r="H2991" s="13">
        <f t="shared" si="234"/>
        <v>6</v>
      </c>
      <c r="I2991" s="14">
        <f t="shared" si="230"/>
        <v>1847.2600000000002</v>
      </c>
      <c r="K2991" t="str">
        <f>[1]!revcom(C2991)</f>
        <v>ATCCAC</v>
      </c>
      <c r="L2991">
        <v>5</v>
      </c>
    </row>
    <row r="2992" spans="1:12" ht="15.6" x14ac:dyDescent="0.3">
      <c r="A2992" s="9">
        <v>2981</v>
      </c>
      <c r="B2992" s="1"/>
      <c r="C2992" s="2" t="s">
        <v>2987</v>
      </c>
      <c r="D2992" s="1"/>
      <c r="E2992" s="11">
        <f t="shared" si="231"/>
        <v>20</v>
      </c>
      <c r="F2992" s="12">
        <f t="shared" si="232"/>
        <v>66.666666666666657</v>
      </c>
      <c r="G2992" s="12" t="str">
        <f t="shared" si="233"/>
        <v>Warning</v>
      </c>
      <c r="H2992" s="13">
        <f t="shared" si="234"/>
        <v>6</v>
      </c>
      <c r="I2992" s="14">
        <f t="shared" si="230"/>
        <v>1832.25</v>
      </c>
      <c r="K2992" t="str">
        <f>[1]!revcom(C2992)</f>
        <v>TGCCAC</v>
      </c>
      <c r="L2992">
        <v>6</v>
      </c>
    </row>
    <row r="2993" spans="1:12" ht="15.6" x14ac:dyDescent="0.3">
      <c r="A2993" s="9">
        <v>2982</v>
      </c>
      <c r="B2993" s="1"/>
      <c r="C2993" s="2" t="s">
        <v>2988</v>
      </c>
      <c r="D2993" s="1"/>
      <c r="E2993" s="11">
        <f t="shared" si="231"/>
        <v>18</v>
      </c>
      <c r="F2993" s="12">
        <f t="shared" si="232"/>
        <v>83.333333333333343</v>
      </c>
      <c r="G2993" s="12" t="str">
        <f t="shared" si="233"/>
        <v>Warning</v>
      </c>
      <c r="H2993" s="13">
        <f t="shared" si="234"/>
        <v>6</v>
      </c>
      <c r="I2993" s="14">
        <f t="shared" si="230"/>
        <v>1808.2200000000003</v>
      </c>
      <c r="K2993" t="str">
        <f>[1]!revcom(C2993)</f>
        <v>GGCCAC</v>
      </c>
      <c r="L2993">
        <v>5</v>
      </c>
    </row>
    <row r="2994" spans="1:12" ht="15.6" x14ac:dyDescent="0.3">
      <c r="A2994" s="9">
        <v>2983</v>
      </c>
      <c r="B2994" s="1"/>
      <c r="C2994" s="2" t="s">
        <v>2989</v>
      </c>
      <c r="D2994" s="1"/>
      <c r="E2994" s="11">
        <f t="shared" si="231"/>
        <v>18</v>
      </c>
      <c r="F2994" s="12">
        <f t="shared" si="232"/>
        <v>83.333333333333343</v>
      </c>
      <c r="G2994" s="12" t="str">
        <f t="shared" si="233"/>
        <v>Warning</v>
      </c>
      <c r="H2994" s="13">
        <f t="shared" si="234"/>
        <v>6</v>
      </c>
      <c r="I2994" s="14">
        <f t="shared" si="230"/>
        <v>1848.25</v>
      </c>
      <c r="K2994" t="str">
        <f>[1]!revcom(C2994)</f>
        <v>CGCCAC</v>
      </c>
      <c r="L2994">
        <v>5</v>
      </c>
    </row>
    <row r="2995" spans="1:12" ht="15.6" x14ac:dyDescent="0.3">
      <c r="A2995" s="9">
        <v>2984</v>
      </c>
      <c r="B2995" s="1"/>
      <c r="C2995" s="2" t="s">
        <v>2990</v>
      </c>
      <c r="D2995" s="1"/>
      <c r="E2995" s="11">
        <f t="shared" si="231"/>
        <v>12</v>
      </c>
      <c r="F2995" s="12">
        <f t="shared" si="232"/>
        <v>66.666666666666657</v>
      </c>
      <c r="G2995" s="12" t="str">
        <f t="shared" si="233"/>
        <v>Warning</v>
      </c>
      <c r="H2995" s="13">
        <f t="shared" si="234"/>
        <v>6</v>
      </c>
      <c r="I2995" s="14">
        <f t="shared" si="230"/>
        <v>1823.23</v>
      </c>
      <c r="K2995" t="str">
        <f>[1]!revcom(C2995)</f>
        <v>AGCCAC</v>
      </c>
      <c r="L2995">
        <v>4</v>
      </c>
    </row>
    <row r="2996" spans="1:12" ht="15.6" x14ac:dyDescent="0.3">
      <c r="A2996" s="9">
        <v>2985</v>
      </c>
      <c r="B2996" s="1"/>
      <c r="C2996" s="2" t="s">
        <v>2991</v>
      </c>
      <c r="D2996" s="1"/>
      <c r="E2996" s="11">
        <f t="shared" si="231"/>
        <v>20</v>
      </c>
      <c r="F2996" s="12">
        <f t="shared" si="232"/>
        <v>66.666666666666657</v>
      </c>
      <c r="G2996" s="12" t="str">
        <f t="shared" si="233"/>
        <v>Warning</v>
      </c>
      <c r="H2996" s="13">
        <f t="shared" si="234"/>
        <v>6</v>
      </c>
      <c r="I2996" s="14">
        <f t="shared" si="230"/>
        <v>1872.2800000000002</v>
      </c>
      <c r="K2996" t="str">
        <f>[1]!revcom(C2996)</f>
        <v>TCCCAC</v>
      </c>
      <c r="L2996">
        <v>6</v>
      </c>
    </row>
    <row r="2997" spans="1:12" ht="15.6" x14ac:dyDescent="0.3">
      <c r="A2997" s="9">
        <v>2986</v>
      </c>
      <c r="B2997" s="1"/>
      <c r="C2997" s="2" t="s">
        <v>2992</v>
      </c>
      <c r="D2997" s="1"/>
      <c r="E2997" s="11">
        <f t="shared" si="231"/>
        <v>18</v>
      </c>
      <c r="F2997" s="12">
        <f t="shared" si="232"/>
        <v>83.333333333333343</v>
      </c>
      <c r="G2997" s="12" t="str">
        <f t="shared" si="233"/>
        <v>Warning</v>
      </c>
      <c r="H2997" s="13">
        <f t="shared" si="234"/>
        <v>6</v>
      </c>
      <c r="I2997" s="14">
        <f t="shared" si="230"/>
        <v>1848.25</v>
      </c>
      <c r="K2997" t="str">
        <f>[1]!revcom(C2997)</f>
        <v>GCCCAC</v>
      </c>
      <c r="L2997">
        <v>5</v>
      </c>
    </row>
    <row r="2998" spans="1:12" ht="15.6" x14ac:dyDescent="0.3">
      <c r="A2998" s="9">
        <v>2987</v>
      </c>
      <c r="B2998" s="1"/>
      <c r="C2998" s="2" t="s">
        <v>2993</v>
      </c>
      <c r="D2998" s="1"/>
      <c r="E2998" s="11">
        <f t="shared" si="231"/>
        <v>18</v>
      </c>
      <c r="F2998" s="12">
        <f t="shared" si="232"/>
        <v>83.333333333333343</v>
      </c>
      <c r="G2998" s="12" t="str">
        <f t="shared" si="233"/>
        <v>Warning</v>
      </c>
      <c r="H2998" s="13">
        <f t="shared" si="234"/>
        <v>6</v>
      </c>
      <c r="I2998" s="14">
        <f t="shared" si="230"/>
        <v>1888.2800000000002</v>
      </c>
      <c r="K2998" t="str">
        <f>[1]!revcom(C2998)</f>
        <v>CCCCAC</v>
      </c>
      <c r="L2998">
        <v>5</v>
      </c>
    </row>
    <row r="2999" spans="1:12" ht="15.6" x14ac:dyDescent="0.3">
      <c r="A2999" s="9">
        <v>2988</v>
      </c>
      <c r="B2999" s="1"/>
      <c r="C2999" s="2" t="s">
        <v>2994</v>
      </c>
      <c r="D2999" s="1"/>
      <c r="E2999" s="11">
        <f t="shared" si="231"/>
        <v>12</v>
      </c>
      <c r="F2999" s="12">
        <f t="shared" si="232"/>
        <v>66.666666666666657</v>
      </c>
      <c r="G2999" s="12" t="str">
        <f t="shared" si="233"/>
        <v>Warning</v>
      </c>
      <c r="H2999" s="13">
        <f t="shared" si="234"/>
        <v>6</v>
      </c>
      <c r="I2999" s="14">
        <f t="shared" si="230"/>
        <v>1863.2600000000002</v>
      </c>
      <c r="K2999" t="str">
        <f>[1]!revcom(C2999)</f>
        <v>ACCCAC</v>
      </c>
      <c r="L2999">
        <v>4</v>
      </c>
    </row>
    <row r="3000" spans="1:12" ht="15.6" x14ac:dyDescent="0.3">
      <c r="A3000" s="9">
        <v>2989</v>
      </c>
      <c r="B3000" s="1"/>
      <c r="C3000" s="2" t="s">
        <v>2995</v>
      </c>
      <c r="D3000" s="1"/>
      <c r="E3000" s="11">
        <f t="shared" si="231"/>
        <v>14</v>
      </c>
      <c r="F3000" s="12">
        <f t="shared" si="232"/>
        <v>50</v>
      </c>
      <c r="G3000" s="12" t="str">
        <f t="shared" si="233"/>
        <v>OK</v>
      </c>
      <c r="H3000" s="13">
        <f t="shared" si="234"/>
        <v>6</v>
      </c>
      <c r="I3000" s="14">
        <f t="shared" si="230"/>
        <v>1847.2600000000002</v>
      </c>
      <c r="K3000" t="str">
        <f>[1]!revcom(C3000)</f>
        <v>TACCAC</v>
      </c>
      <c r="L3000">
        <v>5</v>
      </c>
    </row>
    <row r="3001" spans="1:12" ht="15.6" x14ac:dyDescent="0.3">
      <c r="A3001" s="9">
        <v>2990</v>
      </c>
      <c r="B3001" s="1"/>
      <c r="C3001" s="2" t="s">
        <v>2996</v>
      </c>
      <c r="D3001" s="1"/>
      <c r="E3001" s="11">
        <f t="shared" si="231"/>
        <v>12</v>
      </c>
      <c r="F3001" s="12">
        <f t="shared" si="232"/>
        <v>66.666666666666657</v>
      </c>
      <c r="G3001" s="12" t="str">
        <f t="shared" si="233"/>
        <v>Warning</v>
      </c>
      <c r="H3001" s="13">
        <f t="shared" si="234"/>
        <v>6</v>
      </c>
      <c r="I3001" s="14">
        <f t="shared" si="230"/>
        <v>1823.23</v>
      </c>
      <c r="K3001" t="str">
        <f>[1]!revcom(C3001)</f>
        <v>GACCAC</v>
      </c>
      <c r="L3001">
        <v>4</v>
      </c>
    </row>
    <row r="3002" spans="1:12" ht="15.6" x14ac:dyDescent="0.3">
      <c r="A3002" s="9">
        <v>2991</v>
      </c>
      <c r="B3002" s="1"/>
      <c r="C3002" s="2" t="s">
        <v>2997</v>
      </c>
      <c r="D3002" s="1"/>
      <c r="E3002" s="11">
        <f t="shared" si="231"/>
        <v>12</v>
      </c>
      <c r="F3002" s="12">
        <f t="shared" si="232"/>
        <v>66.666666666666657</v>
      </c>
      <c r="G3002" s="12" t="str">
        <f t="shared" si="233"/>
        <v>Warning</v>
      </c>
      <c r="H3002" s="13">
        <f t="shared" si="234"/>
        <v>6</v>
      </c>
      <c r="I3002" s="14">
        <f t="shared" si="230"/>
        <v>1863.2600000000002</v>
      </c>
      <c r="K3002" t="str">
        <f>[1]!revcom(C3002)</f>
        <v>CACCAC</v>
      </c>
      <c r="L3002">
        <v>4</v>
      </c>
    </row>
    <row r="3003" spans="1:12" ht="15.6" x14ac:dyDescent="0.3">
      <c r="A3003" s="9">
        <v>2992</v>
      </c>
      <c r="B3003" s="1"/>
      <c r="C3003" s="2" t="s">
        <v>2998</v>
      </c>
      <c r="D3003" s="1"/>
      <c r="E3003" s="11">
        <f t="shared" si="231"/>
        <v>6</v>
      </c>
      <c r="F3003" s="12">
        <f t="shared" si="232"/>
        <v>50</v>
      </c>
      <c r="G3003" s="12" t="str">
        <f t="shared" si="233"/>
        <v>OK</v>
      </c>
      <c r="H3003" s="13">
        <f t="shared" si="234"/>
        <v>6</v>
      </c>
      <c r="I3003" s="14">
        <f t="shared" si="230"/>
        <v>1838.2400000000002</v>
      </c>
      <c r="K3003" t="str">
        <f>[1]!revcom(C3003)</f>
        <v>AACCAC</v>
      </c>
      <c r="L3003">
        <v>3</v>
      </c>
    </row>
    <row r="3004" spans="1:12" ht="15.6" x14ac:dyDescent="0.3">
      <c r="A3004" s="9">
        <v>2993</v>
      </c>
      <c r="B3004" s="1"/>
      <c r="C3004" s="2" t="s">
        <v>2999</v>
      </c>
      <c r="D3004" s="1"/>
      <c r="E3004" s="11">
        <f t="shared" si="231"/>
        <v>16</v>
      </c>
      <c r="F3004" s="12">
        <f t="shared" si="232"/>
        <v>33.333333333333329</v>
      </c>
      <c r="G3004" s="12" t="str">
        <f t="shared" si="233"/>
        <v>OK</v>
      </c>
      <c r="H3004" s="13">
        <f t="shared" si="234"/>
        <v>6</v>
      </c>
      <c r="I3004" s="14">
        <f t="shared" si="230"/>
        <v>1831.2600000000002</v>
      </c>
      <c r="K3004" t="str">
        <f>[1]!revcom(C3004)</f>
        <v>TTACAC</v>
      </c>
      <c r="L3004">
        <v>5</v>
      </c>
    </row>
    <row r="3005" spans="1:12" ht="15.6" x14ac:dyDescent="0.3">
      <c r="A3005" s="9">
        <v>2994</v>
      </c>
      <c r="B3005" s="1"/>
      <c r="C3005" s="2" t="s">
        <v>3000</v>
      </c>
      <c r="D3005" s="1"/>
      <c r="E3005" s="11">
        <f t="shared" si="231"/>
        <v>14</v>
      </c>
      <c r="F3005" s="12">
        <f t="shared" si="232"/>
        <v>50</v>
      </c>
      <c r="G3005" s="12" t="str">
        <f t="shared" si="233"/>
        <v>OK</v>
      </c>
      <c r="H3005" s="13">
        <f t="shared" si="234"/>
        <v>6</v>
      </c>
      <c r="I3005" s="14">
        <f t="shared" si="230"/>
        <v>1807.23</v>
      </c>
      <c r="K3005" t="str">
        <f>[1]!revcom(C3005)</f>
        <v>GTACAC</v>
      </c>
      <c r="L3005">
        <v>5</v>
      </c>
    </row>
    <row r="3006" spans="1:12" ht="15.6" x14ac:dyDescent="0.3">
      <c r="A3006" s="9">
        <v>2995</v>
      </c>
      <c r="B3006" s="1"/>
      <c r="C3006" s="2" t="s">
        <v>3001</v>
      </c>
      <c r="D3006" s="1"/>
      <c r="E3006" s="11">
        <f t="shared" si="231"/>
        <v>14</v>
      </c>
      <c r="F3006" s="12">
        <f t="shared" si="232"/>
        <v>50</v>
      </c>
      <c r="G3006" s="12" t="str">
        <f t="shared" si="233"/>
        <v>OK</v>
      </c>
      <c r="H3006" s="13">
        <f t="shared" si="234"/>
        <v>6</v>
      </c>
      <c r="I3006" s="14">
        <f t="shared" si="230"/>
        <v>1847.2600000000002</v>
      </c>
      <c r="K3006" t="str">
        <f>[1]!revcom(C3006)</f>
        <v>CTACAC</v>
      </c>
      <c r="L3006">
        <v>5</v>
      </c>
    </row>
    <row r="3007" spans="1:12" ht="15.6" x14ac:dyDescent="0.3">
      <c r="A3007" s="9">
        <v>2996</v>
      </c>
      <c r="B3007" s="1"/>
      <c r="C3007" s="2" t="s">
        <v>3002</v>
      </c>
      <c r="D3007" s="1"/>
      <c r="E3007" s="11">
        <f t="shared" si="231"/>
        <v>8</v>
      </c>
      <c r="F3007" s="12">
        <f t="shared" si="232"/>
        <v>33.333333333333329</v>
      </c>
      <c r="G3007" s="12" t="str">
        <f t="shared" si="233"/>
        <v>OK</v>
      </c>
      <c r="H3007" s="13">
        <f t="shared" si="234"/>
        <v>6</v>
      </c>
      <c r="I3007" s="14">
        <f t="shared" si="230"/>
        <v>1822.2400000000002</v>
      </c>
      <c r="K3007" t="str">
        <f>[1]!revcom(C3007)</f>
        <v>ATACAC</v>
      </c>
      <c r="L3007">
        <v>4</v>
      </c>
    </row>
    <row r="3008" spans="1:12" ht="15.6" x14ac:dyDescent="0.3">
      <c r="A3008" s="9">
        <v>2997</v>
      </c>
      <c r="B3008" s="1"/>
      <c r="C3008" s="2" t="s">
        <v>3003</v>
      </c>
      <c r="D3008" s="1"/>
      <c r="E3008" s="11">
        <f t="shared" si="231"/>
        <v>14</v>
      </c>
      <c r="F3008" s="12">
        <f t="shared" si="232"/>
        <v>50</v>
      </c>
      <c r="G3008" s="12" t="str">
        <f t="shared" si="233"/>
        <v>OK</v>
      </c>
      <c r="H3008" s="13">
        <f t="shared" si="234"/>
        <v>6</v>
      </c>
      <c r="I3008" s="14">
        <f t="shared" si="230"/>
        <v>1807.23</v>
      </c>
      <c r="K3008" t="str">
        <f>[1]!revcom(C3008)</f>
        <v>TGACAC</v>
      </c>
      <c r="L3008">
        <v>5</v>
      </c>
    </row>
    <row r="3009" spans="1:12" ht="15.6" x14ac:dyDescent="0.3">
      <c r="A3009" s="9">
        <v>2998</v>
      </c>
      <c r="B3009" s="1"/>
      <c r="C3009" s="2" t="s">
        <v>3004</v>
      </c>
      <c r="D3009" s="1"/>
      <c r="E3009" s="11">
        <f t="shared" si="231"/>
        <v>12</v>
      </c>
      <c r="F3009" s="12">
        <f t="shared" si="232"/>
        <v>66.666666666666657</v>
      </c>
      <c r="G3009" s="12" t="str">
        <f t="shared" si="233"/>
        <v>Warning</v>
      </c>
      <c r="H3009" s="13">
        <f t="shared" si="234"/>
        <v>6</v>
      </c>
      <c r="I3009" s="14">
        <f t="shared" si="230"/>
        <v>1783.1999999999998</v>
      </c>
      <c r="K3009" t="str">
        <f>[1]!revcom(C3009)</f>
        <v>GGACAC</v>
      </c>
      <c r="L3009">
        <v>4</v>
      </c>
    </row>
    <row r="3010" spans="1:12" ht="15.6" x14ac:dyDescent="0.3">
      <c r="A3010" s="9">
        <v>2999</v>
      </c>
      <c r="B3010" s="1"/>
      <c r="C3010" s="2" t="s">
        <v>3005</v>
      </c>
      <c r="D3010" s="1"/>
      <c r="E3010" s="11">
        <f t="shared" si="231"/>
        <v>12</v>
      </c>
      <c r="F3010" s="12">
        <f t="shared" si="232"/>
        <v>66.666666666666657</v>
      </c>
      <c r="G3010" s="12" t="str">
        <f t="shared" si="233"/>
        <v>Warning</v>
      </c>
      <c r="H3010" s="13">
        <f t="shared" si="234"/>
        <v>6</v>
      </c>
      <c r="I3010" s="14">
        <f t="shared" si="230"/>
        <v>1823.23</v>
      </c>
      <c r="K3010" t="str">
        <f>[1]!revcom(C3010)</f>
        <v>CGACAC</v>
      </c>
      <c r="L3010">
        <v>4</v>
      </c>
    </row>
    <row r="3011" spans="1:12" ht="15.6" x14ac:dyDescent="0.3">
      <c r="A3011" s="9">
        <v>3000</v>
      </c>
      <c r="B3011" s="1"/>
      <c r="C3011" s="2" t="s">
        <v>3006</v>
      </c>
      <c r="D3011" s="1"/>
      <c r="E3011" s="11">
        <f t="shared" si="231"/>
        <v>6</v>
      </c>
      <c r="F3011" s="12">
        <f t="shared" si="232"/>
        <v>50</v>
      </c>
      <c r="G3011" s="12" t="str">
        <f t="shared" si="233"/>
        <v>OK</v>
      </c>
      <c r="H3011" s="13">
        <f t="shared" si="234"/>
        <v>6</v>
      </c>
      <c r="I3011" s="14">
        <f t="shared" si="230"/>
        <v>1798.21</v>
      </c>
      <c r="K3011" t="str">
        <f>[1]!revcom(C3011)</f>
        <v>AGACAC</v>
      </c>
      <c r="L3011">
        <v>3</v>
      </c>
    </row>
    <row r="3012" spans="1:12" ht="15.6" x14ac:dyDescent="0.3">
      <c r="A3012" s="9">
        <v>3001</v>
      </c>
      <c r="B3012" s="1"/>
      <c r="C3012" s="2" t="s">
        <v>3007</v>
      </c>
      <c r="D3012" s="1"/>
      <c r="E3012" s="11">
        <f t="shared" si="231"/>
        <v>14</v>
      </c>
      <c r="F3012" s="12">
        <f t="shared" si="232"/>
        <v>50</v>
      </c>
      <c r="G3012" s="12" t="str">
        <f t="shared" si="233"/>
        <v>OK</v>
      </c>
      <c r="H3012" s="13">
        <f t="shared" si="234"/>
        <v>6</v>
      </c>
      <c r="I3012" s="14">
        <f t="shared" si="230"/>
        <v>1847.2600000000002</v>
      </c>
      <c r="K3012" t="str">
        <f>[1]!revcom(C3012)</f>
        <v>TCACAC</v>
      </c>
      <c r="L3012">
        <v>5</v>
      </c>
    </row>
    <row r="3013" spans="1:12" ht="15.6" x14ac:dyDescent="0.3">
      <c r="A3013" s="9">
        <v>3002</v>
      </c>
      <c r="B3013" s="1"/>
      <c r="C3013" s="2" t="s">
        <v>3008</v>
      </c>
      <c r="D3013" s="1"/>
      <c r="E3013" s="11">
        <f t="shared" si="231"/>
        <v>12</v>
      </c>
      <c r="F3013" s="12">
        <f t="shared" si="232"/>
        <v>66.666666666666657</v>
      </c>
      <c r="G3013" s="12" t="str">
        <f t="shared" si="233"/>
        <v>Warning</v>
      </c>
      <c r="H3013" s="13">
        <f t="shared" si="234"/>
        <v>6</v>
      </c>
      <c r="I3013" s="14">
        <f t="shared" si="230"/>
        <v>1823.23</v>
      </c>
      <c r="K3013" t="str">
        <f>[1]!revcom(C3013)</f>
        <v>GCACAC</v>
      </c>
      <c r="L3013">
        <v>4</v>
      </c>
    </row>
    <row r="3014" spans="1:12" ht="15.6" x14ac:dyDescent="0.3">
      <c r="A3014" s="9">
        <v>3003</v>
      </c>
      <c r="B3014" s="1"/>
      <c r="C3014" s="2" t="s">
        <v>3009</v>
      </c>
      <c r="D3014" s="1"/>
      <c r="E3014" s="11">
        <f t="shared" si="231"/>
        <v>12</v>
      </c>
      <c r="F3014" s="12">
        <f t="shared" si="232"/>
        <v>66.666666666666657</v>
      </c>
      <c r="G3014" s="12" t="str">
        <f t="shared" si="233"/>
        <v>Warning</v>
      </c>
      <c r="H3014" s="13">
        <f t="shared" si="234"/>
        <v>6</v>
      </c>
      <c r="I3014" s="14">
        <f t="shared" si="230"/>
        <v>1863.2600000000002</v>
      </c>
      <c r="K3014" t="str">
        <f>[1]!revcom(C3014)</f>
        <v>CCACAC</v>
      </c>
      <c r="L3014">
        <v>4</v>
      </c>
    </row>
    <row r="3015" spans="1:12" ht="15.6" x14ac:dyDescent="0.3">
      <c r="A3015" s="9">
        <v>3004</v>
      </c>
      <c r="B3015" s="1"/>
      <c r="C3015" s="2" t="s">
        <v>3010</v>
      </c>
      <c r="D3015" s="1"/>
      <c r="E3015" s="11">
        <f t="shared" si="231"/>
        <v>6</v>
      </c>
      <c r="F3015" s="12">
        <f t="shared" si="232"/>
        <v>50</v>
      </c>
      <c r="G3015" s="12" t="str">
        <f t="shared" si="233"/>
        <v>OK</v>
      </c>
      <c r="H3015" s="13">
        <f t="shared" si="234"/>
        <v>6</v>
      </c>
      <c r="I3015" s="14">
        <f t="shared" si="230"/>
        <v>1838.2400000000002</v>
      </c>
      <c r="K3015" t="str">
        <f>[1]!revcom(C3015)</f>
        <v>ACACAC</v>
      </c>
      <c r="L3015">
        <v>3</v>
      </c>
    </row>
    <row r="3016" spans="1:12" ht="15.6" x14ac:dyDescent="0.3">
      <c r="A3016" s="9">
        <v>3005</v>
      </c>
      <c r="B3016" s="1"/>
      <c r="C3016" s="2" t="s">
        <v>3011</v>
      </c>
      <c r="D3016" s="1"/>
      <c r="E3016" s="11">
        <f t="shared" si="231"/>
        <v>8</v>
      </c>
      <c r="F3016" s="12">
        <f t="shared" si="232"/>
        <v>33.333333333333329</v>
      </c>
      <c r="G3016" s="12" t="str">
        <f t="shared" si="233"/>
        <v>OK</v>
      </c>
      <c r="H3016" s="13">
        <f t="shared" si="234"/>
        <v>6</v>
      </c>
      <c r="I3016" s="14">
        <f t="shared" si="230"/>
        <v>1822.2400000000002</v>
      </c>
      <c r="K3016" t="str">
        <f>[1]!revcom(C3016)</f>
        <v>TAACAC</v>
      </c>
      <c r="L3016">
        <v>4</v>
      </c>
    </row>
    <row r="3017" spans="1:12" ht="15.6" x14ac:dyDescent="0.3">
      <c r="A3017" s="9">
        <v>3006</v>
      </c>
      <c r="B3017" s="1"/>
      <c r="C3017" s="2" t="s">
        <v>3012</v>
      </c>
      <c r="D3017" s="1"/>
      <c r="E3017" s="11">
        <f t="shared" si="231"/>
        <v>6</v>
      </c>
      <c r="F3017" s="12">
        <f t="shared" si="232"/>
        <v>50</v>
      </c>
      <c r="G3017" s="12" t="str">
        <f t="shared" si="233"/>
        <v>OK</v>
      </c>
      <c r="H3017" s="13">
        <f t="shared" si="234"/>
        <v>6</v>
      </c>
      <c r="I3017" s="14">
        <f t="shared" si="230"/>
        <v>1798.21</v>
      </c>
      <c r="K3017" t="str">
        <f>[1]!revcom(C3017)</f>
        <v>GAACAC</v>
      </c>
      <c r="L3017">
        <v>3</v>
      </c>
    </row>
    <row r="3018" spans="1:12" ht="15.6" x14ac:dyDescent="0.3">
      <c r="A3018" s="9">
        <v>3007</v>
      </c>
      <c r="B3018" s="1"/>
      <c r="C3018" s="2" t="s">
        <v>3013</v>
      </c>
      <c r="D3018" s="1"/>
      <c r="E3018" s="11">
        <f t="shared" si="231"/>
        <v>6</v>
      </c>
      <c r="F3018" s="12">
        <f t="shared" si="232"/>
        <v>50</v>
      </c>
      <c r="G3018" s="12" t="str">
        <f t="shared" si="233"/>
        <v>OK</v>
      </c>
      <c r="H3018" s="13">
        <f t="shared" si="234"/>
        <v>6</v>
      </c>
      <c r="I3018" s="14">
        <f t="shared" si="230"/>
        <v>1838.2400000000002</v>
      </c>
      <c r="K3018" t="str">
        <f>[1]!revcom(C3018)</f>
        <v>CAACAC</v>
      </c>
      <c r="L3018">
        <v>3</v>
      </c>
    </row>
    <row r="3019" spans="1:12" ht="15.6" x14ac:dyDescent="0.3">
      <c r="A3019" s="9">
        <v>3008</v>
      </c>
      <c r="B3019" s="1"/>
      <c r="C3019" s="2" t="s">
        <v>3014</v>
      </c>
      <c r="D3019" s="1"/>
      <c r="E3019" s="11">
        <f t="shared" si="231"/>
        <v>0</v>
      </c>
      <c r="F3019" s="12">
        <f t="shared" si="232"/>
        <v>33.333333333333329</v>
      </c>
      <c r="G3019" s="12" t="str">
        <f t="shared" si="233"/>
        <v>OK</v>
      </c>
      <c r="H3019" s="13">
        <f t="shared" si="234"/>
        <v>6</v>
      </c>
      <c r="I3019" s="14">
        <f t="shared" si="230"/>
        <v>1813.2200000000003</v>
      </c>
      <c r="K3019" t="str">
        <f>[1]!revcom(C3019)</f>
        <v>AAACAC</v>
      </c>
      <c r="L3019">
        <v>2</v>
      </c>
    </row>
    <row r="3020" spans="1:12" ht="15.6" x14ac:dyDescent="0.3">
      <c r="A3020" s="9">
        <v>3009</v>
      </c>
      <c r="B3020" s="1"/>
      <c r="C3020" s="2" t="s">
        <v>3015</v>
      </c>
      <c r="D3020" s="1"/>
      <c r="E3020" s="11">
        <f t="shared" si="231"/>
        <v>18</v>
      </c>
      <c r="F3020" s="12">
        <f t="shared" si="232"/>
        <v>16.666666666666664</v>
      </c>
      <c r="G3020" s="12" t="str">
        <f t="shared" si="233"/>
        <v>OK</v>
      </c>
      <c r="H3020" s="13">
        <f t="shared" si="234"/>
        <v>6</v>
      </c>
      <c r="I3020" s="14">
        <f t="shared" si="230"/>
        <v>1815.2599999999998</v>
      </c>
      <c r="K3020" t="str">
        <f>[1]!revcom(C3020)</f>
        <v>TTTAAC</v>
      </c>
      <c r="L3020">
        <v>5</v>
      </c>
    </row>
    <row r="3021" spans="1:12" ht="15.6" x14ac:dyDescent="0.3">
      <c r="A3021" s="9">
        <v>3010</v>
      </c>
      <c r="B3021" s="1"/>
      <c r="C3021" s="2" t="s">
        <v>3016</v>
      </c>
      <c r="D3021" s="1"/>
      <c r="E3021" s="11">
        <f t="shared" si="231"/>
        <v>16</v>
      </c>
      <c r="F3021" s="12">
        <f t="shared" si="232"/>
        <v>33.333333333333329</v>
      </c>
      <c r="G3021" s="12" t="str">
        <f t="shared" si="233"/>
        <v>OK</v>
      </c>
      <c r="H3021" s="13">
        <f t="shared" si="234"/>
        <v>6</v>
      </c>
      <c r="I3021" s="14">
        <f t="shared" ref="I3021:I3084" si="235">((LEN(C3021)-(LEN(SUBSTITUTE(C3021,"A",""))))*249.23)+((LEN(C3021)-(LEN(SUBSTITUTE(C3021,"T",""))))*240.21)+((LEN(C3021)-(LEN(SUBSTITUTE(C3021,"C",""))))*225.2)+((LEN(C3021)-(LEN(SUBSTITUTE(C3021,"G",""))))*265.23)+(63.98*(LEN(C3021)-1)+(2.02))</f>
        <v>1791.23</v>
      </c>
      <c r="K3021" t="str">
        <f>[1]!revcom(C3021)</f>
        <v>GTTAAC</v>
      </c>
      <c r="L3021">
        <v>5</v>
      </c>
    </row>
    <row r="3022" spans="1:12" ht="15.6" x14ac:dyDescent="0.3">
      <c r="A3022" s="9">
        <v>3011</v>
      </c>
      <c r="B3022" s="1"/>
      <c r="C3022" s="2" t="s">
        <v>3017</v>
      </c>
      <c r="D3022" s="1"/>
      <c r="E3022" s="11">
        <f t="shared" ref="E3022:E3085" si="236">IF(LEN(C3022)&gt;15,(69.3+((41*((LEN(C3022)-(((LEN(C3022)-(LEN(SUBSTITUTE(C3022,"A",""))))+((LEN(C3022)-(LEN(SUBSTITUTE(C3022,"T","")))))))))/(LEN(C3022)))-(650/(LEN(C3022))))),(2*((LEN(C3022)-(((LEN(C3022)-(LEN(SUBSTITUTE(C3022,"C",""))))+((LEN(C3022)-(LEN(SUBSTITUTE(C3022,"G",""))))))))))+(4*((LEN(C3022)-(((LEN(C3022)-(LEN(SUBSTITUTE(C3022,"T",""))))+((LEN(C3022)-(LEN(SUBSTITUTE(C3022,"T","")))))))))))</f>
        <v>16</v>
      </c>
      <c r="F3022" s="12">
        <f t="shared" ref="F3022:F3085" si="237">((LEN(C3022)- LEN(SUBSTITUTE(C3022,"G","")))+(LEN(C3022)- LEN(SUBSTITUTE(C3022,"C",""))) )/LEN(C3022)*100</f>
        <v>33.333333333333329</v>
      </c>
      <c r="G3022" s="12" t="str">
        <f t="shared" ref="G3022:G3085" si="238">IF((-5+((LEN(SUBSTITUTE(RIGHT(C3022,5),"C","")))+((LEN(SUBSTITUTE(RIGHT(C3022,5),"G",""))))))&gt;=3,"OK","Warning")</f>
        <v>OK</v>
      </c>
      <c r="H3022" s="13">
        <f t="shared" ref="H3022:H3085" si="239">LEN(C3022)</f>
        <v>6</v>
      </c>
      <c r="I3022" s="14">
        <f t="shared" si="235"/>
        <v>1831.2600000000002</v>
      </c>
      <c r="K3022" t="str">
        <f>[1]!revcom(C3022)</f>
        <v>CTTAAC</v>
      </c>
      <c r="L3022">
        <v>5</v>
      </c>
    </row>
    <row r="3023" spans="1:12" ht="15.6" x14ac:dyDescent="0.3">
      <c r="A3023" s="9">
        <v>3012</v>
      </c>
      <c r="B3023" s="1"/>
      <c r="C3023" s="2" t="s">
        <v>3018</v>
      </c>
      <c r="D3023" s="1"/>
      <c r="E3023" s="11">
        <f t="shared" si="236"/>
        <v>10</v>
      </c>
      <c r="F3023" s="12">
        <f t="shared" si="237"/>
        <v>16.666666666666664</v>
      </c>
      <c r="G3023" s="12" t="str">
        <f t="shared" si="238"/>
        <v>OK</v>
      </c>
      <c r="H3023" s="13">
        <f t="shared" si="239"/>
        <v>6</v>
      </c>
      <c r="I3023" s="14">
        <f t="shared" si="235"/>
        <v>1806.2399999999998</v>
      </c>
      <c r="K3023" t="str">
        <f>[1]!revcom(C3023)</f>
        <v>ATTAAC</v>
      </c>
      <c r="L3023">
        <v>4</v>
      </c>
    </row>
    <row r="3024" spans="1:12" ht="15.6" x14ac:dyDescent="0.3">
      <c r="A3024" s="9">
        <v>3013</v>
      </c>
      <c r="B3024" s="1"/>
      <c r="C3024" s="2" t="s">
        <v>3019</v>
      </c>
      <c r="D3024" s="1"/>
      <c r="E3024" s="11">
        <f t="shared" si="236"/>
        <v>16</v>
      </c>
      <c r="F3024" s="12">
        <f t="shared" si="237"/>
        <v>33.333333333333329</v>
      </c>
      <c r="G3024" s="12" t="str">
        <f t="shared" si="238"/>
        <v>OK</v>
      </c>
      <c r="H3024" s="13">
        <f t="shared" si="239"/>
        <v>6</v>
      </c>
      <c r="I3024" s="14">
        <f t="shared" si="235"/>
        <v>1791.23</v>
      </c>
      <c r="K3024" t="str">
        <f>[1]!revcom(C3024)</f>
        <v>TGTAAC</v>
      </c>
      <c r="L3024">
        <v>5</v>
      </c>
    </row>
    <row r="3025" spans="1:12" ht="15.6" x14ac:dyDescent="0.3">
      <c r="A3025" s="9">
        <v>3014</v>
      </c>
      <c r="B3025" s="1"/>
      <c r="C3025" s="2" t="s">
        <v>3020</v>
      </c>
      <c r="D3025" s="1"/>
      <c r="E3025" s="11">
        <f t="shared" si="236"/>
        <v>14</v>
      </c>
      <c r="F3025" s="12">
        <f t="shared" si="237"/>
        <v>50</v>
      </c>
      <c r="G3025" s="12" t="str">
        <f t="shared" si="238"/>
        <v>OK</v>
      </c>
      <c r="H3025" s="13">
        <f t="shared" si="239"/>
        <v>6</v>
      </c>
      <c r="I3025" s="14">
        <f t="shared" si="235"/>
        <v>1767.1999999999998</v>
      </c>
      <c r="K3025" t="str">
        <f>[1]!revcom(C3025)</f>
        <v>GGTAAC</v>
      </c>
      <c r="L3025">
        <v>5</v>
      </c>
    </row>
    <row r="3026" spans="1:12" ht="15.6" x14ac:dyDescent="0.3">
      <c r="A3026" s="9">
        <v>3015</v>
      </c>
      <c r="B3026" s="1"/>
      <c r="C3026" s="2" t="s">
        <v>3021</v>
      </c>
      <c r="D3026" s="1"/>
      <c r="E3026" s="11">
        <f t="shared" si="236"/>
        <v>14</v>
      </c>
      <c r="F3026" s="12">
        <f t="shared" si="237"/>
        <v>50</v>
      </c>
      <c r="G3026" s="12" t="str">
        <f t="shared" si="238"/>
        <v>OK</v>
      </c>
      <c r="H3026" s="13">
        <f t="shared" si="239"/>
        <v>6</v>
      </c>
      <c r="I3026" s="14">
        <f t="shared" si="235"/>
        <v>1807.23</v>
      </c>
      <c r="K3026" t="str">
        <f>[1]!revcom(C3026)</f>
        <v>CGTAAC</v>
      </c>
      <c r="L3026">
        <v>5</v>
      </c>
    </row>
    <row r="3027" spans="1:12" ht="15.6" x14ac:dyDescent="0.3">
      <c r="A3027" s="9">
        <v>3016</v>
      </c>
      <c r="B3027" s="1"/>
      <c r="C3027" s="2" t="s">
        <v>3022</v>
      </c>
      <c r="D3027" s="1"/>
      <c r="E3027" s="11">
        <f t="shared" si="236"/>
        <v>8</v>
      </c>
      <c r="F3027" s="12">
        <f t="shared" si="237"/>
        <v>33.333333333333329</v>
      </c>
      <c r="G3027" s="12" t="str">
        <f t="shared" si="238"/>
        <v>OK</v>
      </c>
      <c r="H3027" s="13">
        <f t="shared" si="239"/>
        <v>6</v>
      </c>
      <c r="I3027" s="14">
        <f t="shared" si="235"/>
        <v>1782.21</v>
      </c>
      <c r="K3027" t="str">
        <f>[1]!revcom(C3027)</f>
        <v>AGTAAC</v>
      </c>
      <c r="L3027">
        <v>4</v>
      </c>
    </row>
    <row r="3028" spans="1:12" ht="15.6" x14ac:dyDescent="0.3">
      <c r="A3028" s="9">
        <v>3017</v>
      </c>
      <c r="B3028" s="1"/>
      <c r="C3028" s="2" t="s">
        <v>3023</v>
      </c>
      <c r="D3028" s="1"/>
      <c r="E3028" s="11">
        <f t="shared" si="236"/>
        <v>16</v>
      </c>
      <c r="F3028" s="12">
        <f t="shared" si="237"/>
        <v>33.333333333333329</v>
      </c>
      <c r="G3028" s="12" t="str">
        <f t="shared" si="238"/>
        <v>OK</v>
      </c>
      <c r="H3028" s="13">
        <f t="shared" si="239"/>
        <v>6</v>
      </c>
      <c r="I3028" s="14">
        <f t="shared" si="235"/>
        <v>1831.2600000000002</v>
      </c>
      <c r="K3028" t="str">
        <f>[1]!revcom(C3028)</f>
        <v>TCTAAC</v>
      </c>
      <c r="L3028">
        <v>5</v>
      </c>
    </row>
    <row r="3029" spans="1:12" ht="15.6" x14ac:dyDescent="0.3">
      <c r="A3029" s="9">
        <v>3018</v>
      </c>
      <c r="B3029" s="1"/>
      <c r="C3029" s="2" t="s">
        <v>3024</v>
      </c>
      <c r="D3029" s="1"/>
      <c r="E3029" s="11">
        <f t="shared" si="236"/>
        <v>14</v>
      </c>
      <c r="F3029" s="12">
        <f t="shared" si="237"/>
        <v>50</v>
      </c>
      <c r="G3029" s="12" t="str">
        <f t="shared" si="238"/>
        <v>OK</v>
      </c>
      <c r="H3029" s="13">
        <f t="shared" si="239"/>
        <v>6</v>
      </c>
      <c r="I3029" s="14">
        <f t="shared" si="235"/>
        <v>1807.23</v>
      </c>
      <c r="K3029" t="str">
        <f>[1]!revcom(C3029)</f>
        <v>GCTAAC</v>
      </c>
      <c r="L3029">
        <v>5</v>
      </c>
    </row>
    <row r="3030" spans="1:12" ht="15.6" x14ac:dyDescent="0.3">
      <c r="A3030" s="9">
        <v>3019</v>
      </c>
      <c r="B3030" s="1"/>
      <c r="C3030" s="2" t="s">
        <v>3025</v>
      </c>
      <c r="D3030" s="1"/>
      <c r="E3030" s="11">
        <f t="shared" si="236"/>
        <v>14</v>
      </c>
      <c r="F3030" s="12">
        <f t="shared" si="237"/>
        <v>50</v>
      </c>
      <c r="G3030" s="12" t="str">
        <f t="shared" si="238"/>
        <v>OK</v>
      </c>
      <c r="H3030" s="13">
        <f t="shared" si="239"/>
        <v>6</v>
      </c>
      <c r="I3030" s="14">
        <f t="shared" si="235"/>
        <v>1847.2600000000002</v>
      </c>
      <c r="K3030" t="str">
        <f>[1]!revcom(C3030)</f>
        <v>CCTAAC</v>
      </c>
      <c r="L3030">
        <v>5</v>
      </c>
    </row>
    <row r="3031" spans="1:12" ht="15.6" x14ac:dyDescent="0.3">
      <c r="A3031" s="9">
        <v>3020</v>
      </c>
      <c r="B3031" s="1"/>
      <c r="C3031" s="2" t="s">
        <v>3026</v>
      </c>
      <c r="D3031" s="1"/>
      <c r="E3031" s="11">
        <f t="shared" si="236"/>
        <v>8</v>
      </c>
      <c r="F3031" s="12">
        <f t="shared" si="237"/>
        <v>33.333333333333329</v>
      </c>
      <c r="G3031" s="12" t="str">
        <f t="shared" si="238"/>
        <v>OK</v>
      </c>
      <c r="H3031" s="13">
        <f t="shared" si="239"/>
        <v>6</v>
      </c>
      <c r="I3031" s="14">
        <f t="shared" si="235"/>
        <v>1822.2400000000002</v>
      </c>
      <c r="K3031" t="str">
        <f>[1]!revcom(C3031)</f>
        <v>ACTAAC</v>
      </c>
      <c r="L3031">
        <v>4</v>
      </c>
    </row>
    <row r="3032" spans="1:12" ht="15.6" x14ac:dyDescent="0.3">
      <c r="A3032" s="9">
        <v>3021</v>
      </c>
      <c r="B3032" s="1"/>
      <c r="C3032" s="2" t="s">
        <v>3027</v>
      </c>
      <c r="D3032" s="1"/>
      <c r="E3032" s="11">
        <f t="shared" si="236"/>
        <v>10</v>
      </c>
      <c r="F3032" s="12">
        <f t="shared" si="237"/>
        <v>16.666666666666664</v>
      </c>
      <c r="G3032" s="12" t="str">
        <f t="shared" si="238"/>
        <v>OK</v>
      </c>
      <c r="H3032" s="13">
        <f t="shared" si="239"/>
        <v>6</v>
      </c>
      <c r="I3032" s="14">
        <f t="shared" si="235"/>
        <v>1806.2399999999998</v>
      </c>
      <c r="K3032" t="str">
        <f>[1]!revcom(C3032)</f>
        <v>TATAAC</v>
      </c>
      <c r="L3032">
        <v>4</v>
      </c>
    </row>
    <row r="3033" spans="1:12" ht="15.6" x14ac:dyDescent="0.3">
      <c r="A3033" s="9">
        <v>3022</v>
      </c>
      <c r="B3033" s="1"/>
      <c r="C3033" s="2" t="s">
        <v>3028</v>
      </c>
      <c r="D3033" s="1"/>
      <c r="E3033" s="11">
        <f t="shared" si="236"/>
        <v>8</v>
      </c>
      <c r="F3033" s="12">
        <f t="shared" si="237"/>
        <v>33.333333333333329</v>
      </c>
      <c r="G3033" s="12" t="str">
        <f t="shared" si="238"/>
        <v>OK</v>
      </c>
      <c r="H3033" s="13">
        <f t="shared" si="239"/>
        <v>6</v>
      </c>
      <c r="I3033" s="14">
        <f t="shared" si="235"/>
        <v>1782.21</v>
      </c>
      <c r="K3033" t="str">
        <f>[1]!revcom(C3033)</f>
        <v>GATAAC</v>
      </c>
      <c r="L3033">
        <v>4</v>
      </c>
    </row>
    <row r="3034" spans="1:12" ht="15.6" x14ac:dyDescent="0.3">
      <c r="A3034" s="9">
        <v>3023</v>
      </c>
      <c r="B3034" s="1"/>
      <c r="C3034" s="2" t="s">
        <v>3029</v>
      </c>
      <c r="D3034" s="1"/>
      <c r="E3034" s="11">
        <f t="shared" si="236"/>
        <v>8</v>
      </c>
      <c r="F3034" s="12">
        <f t="shared" si="237"/>
        <v>33.333333333333329</v>
      </c>
      <c r="G3034" s="12" t="str">
        <f t="shared" si="238"/>
        <v>OK</v>
      </c>
      <c r="H3034" s="13">
        <f t="shared" si="239"/>
        <v>6</v>
      </c>
      <c r="I3034" s="14">
        <f t="shared" si="235"/>
        <v>1822.2400000000002</v>
      </c>
      <c r="K3034" t="str">
        <f>[1]!revcom(C3034)</f>
        <v>CATAAC</v>
      </c>
      <c r="L3034">
        <v>4</v>
      </c>
    </row>
    <row r="3035" spans="1:12" ht="15.6" x14ac:dyDescent="0.3">
      <c r="A3035" s="9">
        <v>3024</v>
      </c>
      <c r="B3035" s="1"/>
      <c r="C3035" s="2" t="s">
        <v>3030</v>
      </c>
      <c r="D3035" s="1"/>
      <c r="E3035" s="11">
        <f t="shared" si="236"/>
        <v>2</v>
      </c>
      <c r="F3035" s="12">
        <f t="shared" si="237"/>
        <v>16.666666666666664</v>
      </c>
      <c r="G3035" s="12" t="str">
        <f t="shared" si="238"/>
        <v>OK</v>
      </c>
      <c r="H3035" s="13">
        <f t="shared" si="239"/>
        <v>6</v>
      </c>
      <c r="I3035" s="14">
        <f t="shared" si="235"/>
        <v>1797.2199999999998</v>
      </c>
      <c r="K3035" t="str">
        <f>[1]!revcom(C3035)</f>
        <v>AATAAC</v>
      </c>
      <c r="L3035">
        <v>3</v>
      </c>
    </row>
    <row r="3036" spans="1:12" ht="15.6" x14ac:dyDescent="0.3">
      <c r="A3036" s="9">
        <v>3025</v>
      </c>
      <c r="B3036" s="1"/>
      <c r="C3036" s="2" t="s">
        <v>3031</v>
      </c>
      <c r="D3036" s="1"/>
      <c r="E3036" s="11">
        <f t="shared" si="236"/>
        <v>16</v>
      </c>
      <c r="F3036" s="12">
        <f t="shared" si="237"/>
        <v>33.333333333333329</v>
      </c>
      <c r="G3036" s="12" t="str">
        <f t="shared" si="238"/>
        <v>OK</v>
      </c>
      <c r="H3036" s="13">
        <f t="shared" si="239"/>
        <v>6</v>
      </c>
      <c r="I3036" s="14">
        <f t="shared" si="235"/>
        <v>1791.23</v>
      </c>
      <c r="K3036" t="str">
        <f>[1]!revcom(C3036)</f>
        <v>TTGAAC</v>
      </c>
      <c r="L3036">
        <v>5</v>
      </c>
    </row>
    <row r="3037" spans="1:12" ht="15.6" x14ac:dyDescent="0.3">
      <c r="A3037" s="9">
        <v>3026</v>
      </c>
      <c r="B3037" s="1"/>
      <c r="C3037" s="2" t="s">
        <v>3032</v>
      </c>
      <c r="D3037" s="1"/>
      <c r="E3037" s="11">
        <f t="shared" si="236"/>
        <v>14</v>
      </c>
      <c r="F3037" s="12">
        <f t="shared" si="237"/>
        <v>50</v>
      </c>
      <c r="G3037" s="12" t="str">
        <f t="shared" si="238"/>
        <v>OK</v>
      </c>
      <c r="H3037" s="13">
        <f t="shared" si="239"/>
        <v>6</v>
      </c>
      <c r="I3037" s="14">
        <f t="shared" si="235"/>
        <v>1767.1999999999998</v>
      </c>
      <c r="K3037" t="str">
        <f>[1]!revcom(C3037)</f>
        <v>GTGAAC</v>
      </c>
      <c r="L3037">
        <v>5</v>
      </c>
    </row>
    <row r="3038" spans="1:12" ht="15.6" x14ac:dyDescent="0.3">
      <c r="A3038" s="9">
        <v>3027</v>
      </c>
      <c r="B3038" s="1"/>
      <c r="C3038" s="2" t="s">
        <v>3033</v>
      </c>
      <c r="D3038" s="1"/>
      <c r="E3038" s="11">
        <f t="shared" si="236"/>
        <v>14</v>
      </c>
      <c r="F3038" s="12">
        <f t="shared" si="237"/>
        <v>50</v>
      </c>
      <c r="G3038" s="12" t="str">
        <f t="shared" si="238"/>
        <v>OK</v>
      </c>
      <c r="H3038" s="13">
        <f t="shared" si="239"/>
        <v>6</v>
      </c>
      <c r="I3038" s="14">
        <f t="shared" si="235"/>
        <v>1807.23</v>
      </c>
      <c r="K3038" t="str">
        <f>[1]!revcom(C3038)</f>
        <v>CTGAAC</v>
      </c>
      <c r="L3038">
        <v>5</v>
      </c>
    </row>
    <row r="3039" spans="1:12" ht="15.6" x14ac:dyDescent="0.3">
      <c r="A3039" s="9">
        <v>3028</v>
      </c>
      <c r="B3039" s="1"/>
      <c r="C3039" s="2" t="s">
        <v>3034</v>
      </c>
      <c r="D3039" s="1"/>
      <c r="E3039" s="11">
        <f t="shared" si="236"/>
        <v>8</v>
      </c>
      <c r="F3039" s="12">
        <f t="shared" si="237"/>
        <v>33.333333333333329</v>
      </c>
      <c r="G3039" s="12" t="str">
        <f t="shared" si="238"/>
        <v>OK</v>
      </c>
      <c r="H3039" s="13">
        <f t="shared" si="239"/>
        <v>6</v>
      </c>
      <c r="I3039" s="14">
        <f t="shared" si="235"/>
        <v>1782.21</v>
      </c>
      <c r="K3039" t="str">
        <f>[1]!revcom(C3039)</f>
        <v>ATGAAC</v>
      </c>
      <c r="L3039">
        <v>4</v>
      </c>
    </row>
    <row r="3040" spans="1:12" ht="15.6" x14ac:dyDescent="0.3">
      <c r="A3040" s="9">
        <v>3029</v>
      </c>
      <c r="B3040" s="1"/>
      <c r="C3040" s="2" t="s">
        <v>3035</v>
      </c>
      <c r="D3040" s="1"/>
      <c r="E3040" s="11">
        <f t="shared" si="236"/>
        <v>14</v>
      </c>
      <c r="F3040" s="12">
        <f t="shared" si="237"/>
        <v>50</v>
      </c>
      <c r="G3040" s="12" t="str">
        <f t="shared" si="238"/>
        <v>OK</v>
      </c>
      <c r="H3040" s="13">
        <f t="shared" si="239"/>
        <v>6</v>
      </c>
      <c r="I3040" s="14">
        <f t="shared" si="235"/>
        <v>1767.1999999999998</v>
      </c>
      <c r="K3040" t="str">
        <f>[1]!revcom(C3040)</f>
        <v>TGGAAC</v>
      </c>
      <c r="L3040">
        <v>5</v>
      </c>
    </row>
    <row r="3041" spans="1:12" ht="15.6" x14ac:dyDescent="0.3">
      <c r="A3041" s="9">
        <v>3030</v>
      </c>
      <c r="B3041" s="1"/>
      <c r="C3041" s="2" t="s">
        <v>3036</v>
      </c>
      <c r="D3041" s="1"/>
      <c r="E3041" s="11">
        <f t="shared" si="236"/>
        <v>12</v>
      </c>
      <c r="F3041" s="12">
        <f t="shared" si="237"/>
        <v>66.666666666666657</v>
      </c>
      <c r="G3041" s="12" t="str">
        <f t="shared" si="238"/>
        <v>Warning</v>
      </c>
      <c r="H3041" s="13">
        <f t="shared" si="239"/>
        <v>6</v>
      </c>
      <c r="I3041" s="14">
        <f t="shared" si="235"/>
        <v>1743.17</v>
      </c>
      <c r="K3041" t="str">
        <f>[1]!revcom(C3041)</f>
        <v>GGGAAC</v>
      </c>
      <c r="L3041">
        <v>4</v>
      </c>
    </row>
    <row r="3042" spans="1:12" ht="15.6" x14ac:dyDescent="0.3">
      <c r="A3042" s="9">
        <v>3031</v>
      </c>
      <c r="B3042" s="1"/>
      <c r="C3042" s="2" t="s">
        <v>3037</v>
      </c>
      <c r="D3042" s="1"/>
      <c r="E3042" s="11">
        <f t="shared" si="236"/>
        <v>12</v>
      </c>
      <c r="F3042" s="12">
        <f t="shared" si="237"/>
        <v>66.666666666666657</v>
      </c>
      <c r="G3042" s="12" t="str">
        <f t="shared" si="238"/>
        <v>Warning</v>
      </c>
      <c r="H3042" s="13">
        <f t="shared" si="239"/>
        <v>6</v>
      </c>
      <c r="I3042" s="14">
        <f t="shared" si="235"/>
        <v>1783.1999999999998</v>
      </c>
      <c r="K3042" t="str">
        <f>[1]!revcom(C3042)</f>
        <v>CGGAAC</v>
      </c>
      <c r="L3042">
        <v>4</v>
      </c>
    </row>
    <row r="3043" spans="1:12" ht="15.6" x14ac:dyDescent="0.3">
      <c r="A3043" s="9">
        <v>3032</v>
      </c>
      <c r="B3043" s="1"/>
      <c r="C3043" s="2" t="s">
        <v>3038</v>
      </c>
      <c r="D3043" s="1"/>
      <c r="E3043" s="11">
        <f t="shared" si="236"/>
        <v>6</v>
      </c>
      <c r="F3043" s="12">
        <f t="shared" si="237"/>
        <v>50</v>
      </c>
      <c r="G3043" s="12" t="str">
        <f t="shared" si="238"/>
        <v>OK</v>
      </c>
      <c r="H3043" s="13">
        <f t="shared" si="239"/>
        <v>6</v>
      </c>
      <c r="I3043" s="14">
        <f t="shared" si="235"/>
        <v>1758.1799999999998</v>
      </c>
      <c r="K3043" t="str">
        <f>[1]!revcom(C3043)</f>
        <v>AGGAAC</v>
      </c>
      <c r="L3043">
        <v>3</v>
      </c>
    </row>
    <row r="3044" spans="1:12" ht="15.6" x14ac:dyDescent="0.3">
      <c r="A3044" s="9">
        <v>3033</v>
      </c>
      <c r="B3044" s="1"/>
      <c r="C3044" s="2" t="s">
        <v>3039</v>
      </c>
      <c r="D3044" s="1"/>
      <c r="E3044" s="11">
        <f t="shared" si="236"/>
        <v>14</v>
      </c>
      <c r="F3044" s="12">
        <f t="shared" si="237"/>
        <v>50</v>
      </c>
      <c r="G3044" s="12" t="str">
        <f t="shared" si="238"/>
        <v>OK</v>
      </c>
      <c r="H3044" s="13">
        <f t="shared" si="239"/>
        <v>6</v>
      </c>
      <c r="I3044" s="14">
        <f t="shared" si="235"/>
        <v>1807.23</v>
      </c>
      <c r="K3044" t="str">
        <f>[1]!revcom(C3044)</f>
        <v>TCGAAC</v>
      </c>
      <c r="L3044">
        <v>5</v>
      </c>
    </row>
    <row r="3045" spans="1:12" ht="15.6" x14ac:dyDescent="0.3">
      <c r="A3045" s="9">
        <v>3034</v>
      </c>
      <c r="B3045" s="1"/>
      <c r="C3045" s="2" t="s">
        <v>3040</v>
      </c>
      <c r="D3045" s="1"/>
      <c r="E3045" s="11">
        <f t="shared" si="236"/>
        <v>12</v>
      </c>
      <c r="F3045" s="12">
        <f t="shared" si="237"/>
        <v>66.666666666666657</v>
      </c>
      <c r="G3045" s="12" t="str">
        <f t="shared" si="238"/>
        <v>Warning</v>
      </c>
      <c r="H3045" s="13">
        <f t="shared" si="239"/>
        <v>6</v>
      </c>
      <c r="I3045" s="14">
        <f t="shared" si="235"/>
        <v>1783.1999999999998</v>
      </c>
      <c r="K3045" t="str">
        <f>[1]!revcom(C3045)</f>
        <v>GCGAAC</v>
      </c>
      <c r="L3045">
        <v>4</v>
      </c>
    </row>
    <row r="3046" spans="1:12" ht="15.6" x14ac:dyDescent="0.3">
      <c r="A3046" s="9">
        <v>3035</v>
      </c>
      <c r="B3046" s="1"/>
      <c r="C3046" s="2" t="s">
        <v>3041</v>
      </c>
      <c r="D3046" s="1"/>
      <c r="E3046" s="11">
        <f t="shared" si="236"/>
        <v>12</v>
      </c>
      <c r="F3046" s="12">
        <f t="shared" si="237"/>
        <v>66.666666666666657</v>
      </c>
      <c r="G3046" s="12" t="str">
        <f t="shared" si="238"/>
        <v>Warning</v>
      </c>
      <c r="H3046" s="13">
        <f t="shared" si="239"/>
        <v>6</v>
      </c>
      <c r="I3046" s="14">
        <f t="shared" si="235"/>
        <v>1823.23</v>
      </c>
      <c r="K3046" t="str">
        <f>[1]!revcom(C3046)</f>
        <v>CCGAAC</v>
      </c>
      <c r="L3046">
        <v>4</v>
      </c>
    </row>
    <row r="3047" spans="1:12" ht="15.6" x14ac:dyDescent="0.3">
      <c r="A3047" s="9">
        <v>3036</v>
      </c>
      <c r="B3047" s="1"/>
      <c r="C3047" s="2" t="s">
        <v>3042</v>
      </c>
      <c r="D3047" s="1"/>
      <c r="E3047" s="11">
        <f t="shared" si="236"/>
        <v>6</v>
      </c>
      <c r="F3047" s="12">
        <f t="shared" si="237"/>
        <v>50</v>
      </c>
      <c r="G3047" s="12" t="str">
        <f t="shared" si="238"/>
        <v>OK</v>
      </c>
      <c r="H3047" s="13">
        <f t="shared" si="239"/>
        <v>6</v>
      </c>
      <c r="I3047" s="14">
        <f t="shared" si="235"/>
        <v>1798.21</v>
      </c>
      <c r="K3047" t="str">
        <f>[1]!revcom(C3047)</f>
        <v>ACGAAC</v>
      </c>
      <c r="L3047">
        <v>3</v>
      </c>
    </row>
    <row r="3048" spans="1:12" ht="15.6" x14ac:dyDescent="0.3">
      <c r="A3048" s="9">
        <v>3037</v>
      </c>
      <c r="B3048" s="1"/>
      <c r="C3048" s="2" t="s">
        <v>3043</v>
      </c>
      <c r="D3048" s="1"/>
      <c r="E3048" s="11">
        <f t="shared" si="236"/>
        <v>8</v>
      </c>
      <c r="F3048" s="12">
        <f t="shared" si="237"/>
        <v>33.333333333333329</v>
      </c>
      <c r="G3048" s="12" t="str">
        <f t="shared" si="238"/>
        <v>OK</v>
      </c>
      <c r="H3048" s="13">
        <f t="shared" si="239"/>
        <v>6</v>
      </c>
      <c r="I3048" s="14">
        <f t="shared" si="235"/>
        <v>1782.21</v>
      </c>
      <c r="K3048" t="str">
        <f>[1]!revcom(C3048)</f>
        <v>TAGAAC</v>
      </c>
      <c r="L3048">
        <v>4</v>
      </c>
    </row>
    <row r="3049" spans="1:12" ht="15.6" x14ac:dyDescent="0.3">
      <c r="A3049" s="9">
        <v>3038</v>
      </c>
      <c r="B3049" s="1"/>
      <c r="C3049" s="2" t="s">
        <v>3044</v>
      </c>
      <c r="D3049" s="1"/>
      <c r="E3049" s="11">
        <f t="shared" si="236"/>
        <v>6</v>
      </c>
      <c r="F3049" s="12">
        <f t="shared" si="237"/>
        <v>50</v>
      </c>
      <c r="G3049" s="12" t="str">
        <f t="shared" si="238"/>
        <v>OK</v>
      </c>
      <c r="H3049" s="13">
        <f t="shared" si="239"/>
        <v>6</v>
      </c>
      <c r="I3049" s="14">
        <f t="shared" si="235"/>
        <v>1758.1799999999998</v>
      </c>
      <c r="K3049" t="str">
        <f>[1]!revcom(C3049)</f>
        <v>GAGAAC</v>
      </c>
      <c r="L3049">
        <v>3</v>
      </c>
    </row>
    <row r="3050" spans="1:12" ht="15.6" x14ac:dyDescent="0.3">
      <c r="A3050" s="9">
        <v>3039</v>
      </c>
      <c r="B3050" s="1"/>
      <c r="C3050" s="2" t="s">
        <v>3045</v>
      </c>
      <c r="D3050" s="1"/>
      <c r="E3050" s="11">
        <f t="shared" si="236"/>
        <v>6</v>
      </c>
      <c r="F3050" s="12">
        <f t="shared" si="237"/>
        <v>50</v>
      </c>
      <c r="G3050" s="12" t="str">
        <f t="shared" si="238"/>
        <v>OK</v>
      </c>
      <c r="H3050" s="13">
        <f t="shared" si="239"/>
        <v>6</v>
      </c>
      <c r="I3050" s="14">
        <f t="shared" si="235"/>
        <v>1798.21</v>
      </c>
      <c r="K3050" t="str">
        <f>[1]!revcom(C3050)</f>
        <v>CAGAAC</v>
      </c>
      <c r="L3050">
        <v>3</v>
      </c>
    </row>
    <row r="3051" spans="1:12" ht="15.6" x14ac:dyDescent="0.3">
      <c r="A3051" s="9">
        <v>3040</v>
      </c>
      <c r="B3051" s="1"/>
      <c r="C3051" s="2" t="s">
        <v>3046</v>
      </c>
      <c r="D3051" s="1"/>
      <c r="E3051" s="11">
        <f t="shared" si="236"/>
        <v>0</v>
      </c>
      <c r="F3051" s="12">
        <f t="shared" si="237"/>
        <v>33.333333333333329</v>
      </c>
      <c r="G3051" s="12" t="str">
        <f t="shared" si="238"/>
        <v>OK</v>
      </c>
      <c r="H3051" s="13">
        <f t="shared" si="239"/>
        <v>6</v>
      </c>
      <c r="I3051" s="14">
        <f t="shared" si="235"/>
        <v>1773.19</v>
      </c>
      <c r="K3051" t="str">
        <f>[1]!revcom(C3051)</f>
        <v>AAGAAC</v>
      </c>
      <c r="L3051">
        <v>2</v>
      </c>
    </row>
    <row r="3052" spans="1:12" ht="15.6" x14ac:dyDescent="0.3">
      <c r="A3052" s="9">
        <v>3041</v>
      </c>
      <c r="B3052" s="1"/>
      <c r="C3052" s="2" t="s">
        <v>3047</v>
      </c>
      <c r="D3052" s="1"/>
      <c r="E3052" s="11">
        <f t="shared" si="236"/>
        <v>16</v>
      </c>
      <c r="F3052" s="12">
        <f t="shared" si="237"/>
        <v>33.333333333333329</v>
      </c>
      <c r="G3052" s="12" t="str">
        <f t="shared" si="238"/>
        <v>OK</v>
      </c>
      <c r="H3052" s="13">
        <f t="shared" si="239"/>
        <v>6</v>
      </c>
      <c r="I3052" s="14">
        <f t="shared" si="235"/>
        <v>1831.2600000000002</v>
      </c>
      <c r="K3052" t="str">
        <f>[1]!revcom(C3052)</f>
        <v>TTCAAC</v>
      </c>
      <c r="L3052">
        <v>5</v>
      </c>
    </row>
    <row r="3053" spans="1:12" ht="15.6" x14ac:dyDescent="0.3">
      <c r="A3053" s="9">
        <v>3042</v>
      </c>
      <c r="B3053" s="1"/>
      <c r="C3053" s="2" t="s">
        <v>3048</v>
      </c>
      <c r="D3053" s="1"/>
      <c r="E3053" s="11">
        <f t="shared" si="236"/>
        <v>14</v>
      </c>
      <c r="F3053" s="12">
        <f t="shared" si="237"/>
        <v>50</v>
      </c>
      <c r="G3053" s="12" t="str">
        <f t="shared" si="238"/>
        <v>OK</v>
      </c>
      <c r="H3053" s="13">
        <f t="shared" si="239"/>
        <v>6</v>
      </c>
      <c r="I3053" s="14">
        <f t="shared" si="235"/>
        <v>1807.23</v>
      </c>
      <c r="K3053" t="str">
        <f>[1]!revcom(C3053)</f>
        <v>GTCAAC</v>
      </c>
      <c r="L3053">
        <v>5</v>
      </c>
    </row>
    <row r="3054" spans="1:12" ht="15.6" x14ac:dyDescent="0.3">
      <c r="A3054" s="9">
        <v>3043</v>
      </c>
      <c r="B3054" s="1"/>
      <c r="C3054" s="2" t="s">
        <v>3049</v>
      </c>
      <c r="D3054" s="1"/>
      <c r="E3054" s="11">
        <f t="shared" si="236"/>
        <v>14</v>
      </c>
      <c r="F3054" s="12">
        <f t="shared" si="237"/>
        <v>50</v>
      </c>
      <c r="G3054" s="12" t="str">
        <f t="shared" si="238"/>
        <v>OK</v>
      </c>
      <c r="H3054" s="13">
        <f t="shared" si="239"/>
        <v>6</v>
      </c>
      <c r="I3054" s="14">
        <f t="shared" si="235"/>
        <v>1847.2600000000002</v>
      </c>
      <c r="K3054" t="str">
        <f>[1]!revcom(C3054)</f>
        <v>CTCAAC</v>
      </c>
      <c r="L3054">
        <v>5</v>
      </c>
    </row>
    <row r="3055" spans="1:12" ht="15.6" x14ac:dyDescent="0.3">
      <c r="A3055" s="9">
        <v>3044</v>
      </c>
      <c r="B3055" s="1"/>
      <c r="C3055" s="2" t="s">
        <v>3050</v>
      </c>
      <c r="D3055" s="1"/>
      <c r="E3055" s="11">
        <f t="shared" si="236"/>
        <v>8</v>
      </c>
      <c r="F3055" s="12">
        <f t="shared" si="237"/>
        <v>33.333333333333329</v>
      </c>
      <c r="G3055" s="12" t="str">
        <f t="shared" si="238"/>
        <v>OK</v>
      </c>
      <c r="H3055" s="13">
        <f t="shared" si="239"/>
        <v>6</v>
      </c>
      <c r="I3055" s="14">
        <f t="shared" si="235"/>
        <v>1822.2400000000002</v>
      </c>
      <c r="K3055" t="str">
        <f>[1]!revcom(C3055)</f>
        <v>ATCAAC</v>
      </c>
      <c r="L3055">
        <v>4</v>
      </c>
    </row>
    <row r="3056" spans="1:12" ht="15.6" x14ac:dyDescent="0.3">
      <c r="A3056" s="9">
        <v>3045</v>
      </c>
      <c r="B3056" s="1"/>
      <c r="C3056" s="2" t="s">
        <v>3051</v>
      </c>
      <c r="D3056" s="1"/>
      <c r="E3056" s="11">
        <f t="shared" si="236"/>
        <v>14</v>
      </c>
      <c r="F3056" s="12">
        <f t="shared" si="237"/>
        <v>50</v>
      </c>
      <c r="G3056" s="12" t="str">
        <f t="shared" si="238"/>
        <v>OK</v>
      </c>
      <c r="H3056" s="13">
        <f t="shared" si="239"/>
        <v>6</v>
      </c>
      <c r="I3056" s="14">
        <f t="shared" si="235"/>
        <v>1807.23</v>
      </c>
      <c r="K3056" t="str">
        <f>[1]!revcom(C3056)</f>
        <v>TGCAAC</v>
      </c>
      <c r="L3056">
        <v>5</v>
      </c>
    </row>
    <row r="3057" spans="1:12" ht="15.6" x14ac:dyDescent="0.3">
      <c r="A3057" s="9">
        <v>3046</v>
      </c>
      <c r="B3057" s="1"/>
      <c r="C3057" s="2" t="s">
        <v>3052</v>
      </c>
      <c r="D3057" s="1"/>
      <c r="E3057" s="11">
        <f t="shared" si="236"/>
        <v>12</v>
      </c>
      <c r="F3057" s="12">
        <f t="shared" si="237"/>
        <v>66.666666666666657</v>
      </c>
      <c r="G3057" s="12" t="str">
        <f t="shared" si="238"/>
        <v>Warning</v>
      </c>
      <c r="H3057" s="13">
        <f t="shared" si="239"/>
        <v>6</v>
      </c>
      <c r="I3057" s="14">
        <f t="shared" si="235"/>
        <v>1783.1999999999998</v>
      </c>
      <c r="K3057" t="str">
        <f>[1]!revcom(C3057)</f>
        <v>GGCAAC</v>
      </c>
      <c r="L3057">
        <v>4</v>
      </c>
    </row>
    <row r="3058" spans="1:12" ht="15.6" x14ac:dyDescent="0.3">
      <c r="A3058" s="9">
        <v>3047</v>
      </c>
      <c r="B3058" s="1"/>
      <c r="C3058" s="2" t="s">
        <v>3053</v>
      </c>
      <c r="D3058" s="1"/>
      <c r="E3058" s="11">
        <f t="shared" si="236"/>
        <v>12</v>
      </c>
      <c r="F3058" s="12">
        <f t="shared" si="237"/>
        <v>66.666666666666657</v>
      </c>
      <c r="G3058" s="12" t="str">
        <f t="shared" si="238"/>
        <v>Warning</v>
      </c>
      <c r="H3058" s="13">
        <f t="shared" si="239"/>
        <v>6</v>
      </c>
      <c r="I3058" s="14">
        <f t="shared" si="235"/>
        <v>1823.23</v>
      </c>
      <c r="K3058" t="str">
        <f>[1]!revcom(C3058)</f>
        <v>CGCAAC</v>
      </c>
      <c r="L3058">
        <v>4</v>
      </c>
    </row>
    <row r="3059" spans="1:12" ht="15.6" x14ac:dyDescent="0.3">
      <c r="A3059" s="9">
        <v>3048</v>
      </c>
      <c r="B3059" s="1"/>
      <c r="C3059" s="2" t="s">
        <v>3054</v>
      </c>
      <c r="D3059" s="1"/>
      <c r="E3059" s="11">
        <f t="shared" si="236"/>
        <v>6</v>
      </c>
      <c r="F3059" s="12">
        <f t="shared" si="237"/>
        <v>50</v>
      </c>
      <c r="G3059" s="12" t="str">
        <f t="shared" si="238"/>
        <v>OK</v>
      </c>
      <c r="H3059" s="13">
        <f t="shared" si="239"/>
        <v>6</v>
      </c>
      <c r="I3059" s="14">
        <f t="shared" si="235"/>
        <v>1798.21</v>
      </c>
      <c r="K3059" t="str">
        <f>[1]!revcom(C3059)</f>
        <v>AGCAAC</v>
      </c>
      <c r="L3059">
        <v>3</v>
      </c>
    </row>
    <row r="3060" spans="1:12" ht="15.6" x14ac:dyDescent="0.3">
      <c r="A3060" s="9">
        <v>3049</v>
      </c>
      <c r="B3060" s="1"/>
      <c r="C3060" s="2" t="s">
        <v>3055</v>
      </c>
      <c r="D3060" s="1"/>
      <c r="E3060" s="11">
        <f t="shared" si="236"/>
        <v>14</v>
      </c>
      <c r="F3060" s="12">
        <f t="shared" si="237"/>
        <v>50</v>
      </c>
      <c r="G3060" s="12" t="str">
        <f t="shared" si="238"/>
        <v>OK</v>
      </c>
      <c r="H3060" s="13">
        <f t="shared" si="239"/>
        <v>6</v>
      </c>
      <c r="I3060" s="14">
        <f t="shared" si="235"/>
        <v>1847.2600000000002</v>
      </c>
      <c r="K3060" t="str">
        <f>[1]!revcom(C3060)</f>
        <v>TCCAAC</v>
      </c>
      <c r="L3060">
        <v>5</v>
      </c>
    </row>
    <row r="3061" spans="1:12" ht="15.6" x14ac:dyDescent="0.3">
      <c r="A3061" s="9">
        <v>3050</v>
      </c>
      <c r="B3061" s="1"/>
      <c r="C3061" s="2" t="s">
        <v>3056</v>
      </c>
      <c r="D3061" s="1"/>
      <c r="E3061" s="11">
        <f t="shared" si="236"/>
        <v>12</v>
      </c>
      <c r="F3061" s="12">
        <f t="shared" si="237"/>
        <v>66.666666666666657</v>
      </c>
      <c r="G3061" s="12" t="str">
        <f t="shared" si="238"/>
        <v>Warning</v>
      </c>
      <c r="H3061" s="13">
        <f t="shared" si="239"/>
        <v>6</v>
      </c>
      <c r="I3061" s="14">
        <f t="shared" si="235"/>
        <v>1823.23</v>
      </c>
      <c r="K3061" t="str">
        <f>[1]!revcom(C3061)</f>
        <v>GCCAAC</v>
      </c>
      <c r="L3061">
        <v>4</v>
      </c>
    </row>
    <row r="3062" spans="1:12" ht="15.6" x14ac:dyDescent="0.3">
      <c r="A3062" s="9">
        <v>3051</v>
      </c>
      <c r="B3062" s="1"/>
      <c r="C3062" s="2" t="s">
        <v>3057</v>
      </c>
      <c r="D3062" s="1"/>
      <c r="E3062" s="11">
        <f t="shared" si="236"/>
        <v>12</v>
      </c>
      <c r="F3062" s="12">
        <f t="shared" si="237"/>
        <v>66.666666666666657</v>
      </c>
      <c r="G3062" s="12" t="str">
        <f t="shared" si="238"/>
        <v>Warning</v>
      </c>
      <c r="H3062" s="13">
        <f t="shared" si="239"/>
        <v>6</v>
      </c>
      <c r="I3062" s="14">
        <f t="shared" si="235"/>
        <v>1863.2600000000002</v>
      </c>
      <c r="K3062" t="str">
        <f>[1]!revcom(C3062)</f>
        <v>CCCAAC</v>
      </c>
      <c r="L3062">
        <v>4</v>
      </c>
    </row>
    <row r="3063" spans="1:12" ht="15.6" x14ac:dyDescent="0.3">
      <c r="A3063" s="9">
        <v>3052</v>
      </c>
      <c r="B3063" s="1"/>
      <c r="C3063" s="2" t="s">
        <v>3058</v>
      </c>
      <c r="D3063" s="1"/>
      <c r="E3063" s="11">
        <f t="shared" si="236"/>
        <v>6</v>
      </c>
      <c r="F3063" s="12">
        <f t="shared" si="237"/>
        <v>50</v>
      </c>
      <c r="G3063" s="12" t="str">
        <f t="shared" si="238"/>
        <v>OK</v>
      </c>
      <c r="H3063" s="13">
        <f t="shared" si="239"/>
        <v>6</v>
      </c>
      <c r="I3063" s="14">
        <f t="shared" si="235"/>
        <v>1838.2400000000002</v>
      </c>
      <c r="K3063" t="str">
        <f>[1]!revcom(C3063)</f>
        <v>ACCAAC</v>
      </c>
      <c r="L3063">
        <v>3</v>
      </c>
    </row>
    <row r="3064" spans="1:12" ht="15.6" x14ac:dyDescent="0.3">
      <c r="A3064" s="9">
        <v>3053</v>
      </c>
      <c r="B3064" s="1"/>
      <c r="C3064" s="2" t="s">
        <v>3059</v>
      </c>
      <c r="D3064" s="1"/>
      <c r="E3064" s="11">
        <f t="shared" si="236"/>
        <v>8</v>
      </c>
      <c r="F3064" s="12">
        <f t="shared" si="237"/>
        <v>33.333333333333329</v>
      </c>
      <c r="G3064" s="12" t="str">
        <f t="shared" si="238"/>
        <v>OK</v>
      </c>
      <c r="H3064" s="13">
        <f t="shared" si="239"/>
        <v>6</v>
      </c>
      <c r="I3064" s="14">
        <f t="shared" si="235"/>
        <v>1822.2400000000002</v>
      </c>
      <c r="K3064" t="str">
        <f>[1]!revcom(C3064)</f>
        <v>TACAAC</v>
      </c>
      <c r="L3064">
        <v>4</v>
      </c>
    </row>
    <row r="3065" spans="1:12" ht="15.6" x14ac:dyDescent="0.3">
      <c r="A3065" s="9">
        <v>3054</v>
      </c>
      <c r="B3065" s="1"/>
      <c r="C3065" s="2" t="s">
        <v>3060</v>
      </c>
      <c r="D3065" s="1"/>
      <c r="E3065" s="11">
        <f t="shared" si="236"/>
        <v>6</v>
      </c>
      <c r="F3065" s="12">
        <f t="shared" si="237"/>
        <v>50</v>
      </c>
      <c r="G3065" s="12" t="str">
        <f t="shared" si="238"/>
        <v>OK</v>
      </c>
      <c r="H3065" s="13">
        <f t="shared" si="239"/>
        <v>6</v>
      </c>
      <c r="I3065" s="14">
        <f t="shared" si="235"/>
        <v>1798.21</v>
      </c>
      <c r="K3065" t="str">
        <f>[1]!revcom(C3065)</f>
        <v>GACAAC</v>
      </c>
      <c r="L3065">
        <v>3</v>
      </c>
    </row>
    <row r="3066" spans="1:12" ht="15.6" x14ac:dyDescent="0.3">
      <c r="A3066" s="9">
        <v>3055</v>
      </c>
      <c r="B3066" s="1"/>
      <c r="C3066" s="2" t="s">
        <v>3061</v>
      </c>
      <c r="D3066" s="1"/>
      <c r="E3066" s="11">
        <f t="shared" si="236"/>
        <v>6</v>
      </c>
      <c r="F3066" s="12">
        <f t="shared" si="237"/>
        <v>50</v>
      </c>
      <c r="G3066" s="12" t="str">
        <f t="shared" si="238"/>
        <v>OK</v>
      </c>
      <c r="H3066" s="13">
        <f t="shared" si="239"/>
        <v>6</v>
      </c>
      <c r="I3066" s="14">
        <f t="shared" si="235"/>
        <v>1838.2400000000002</v>
      </c>
      <c r="K3066" t="str">
        <f>[1]!revcom(C3066)</f>
        <v>CACAAC</v>
      </c>
      <c r="L3066">
        <v>3</v>
      </c>
    </row>
    <row r="3067" spans="1:12" ht="15.6" x14ac:dyDescent="0.3">
      <c r="A3067" s="9">
        <v>3056</v>
      </c>
      <c r="B3067" s="1"/>
      <c r="C3067" s="2" t="s">
        <v>3062</v>
      </c>
      <c r="D3067" s="1"/>
      <c r="E3067" s="11">
        <f t="shared" si="236"/>
        <v>0</v>
      </c>
      <c r="F3067" s="12">
        <f t="shared" si="237"/>
        <v>33.333333333333329</v>
      </c>
      <c r="G3067" s="12" t="str">
        <f t="shared" si="238"/>
        <v>OK</v>
      </c>
      <c r="H3067" s="13">
        <f t="shared" si="239"/>
        <v>6</v>
      </c>
      <c r="I3067" s="14">
        <f t="shared" si="235"/>
        <v>1813.2200000000003</v>
      </c>
      <c r="K3067" t="str">
        <f>[1]!revcom(C3067)</f>
        <v>AACAAC</v>
      </c>
      <c r="L3067">
        <v>2</v>
      </c>
    </row>
    <row r="3068" spans="1:12" ht="15.6" x14ac:dyDescent="0.3">
      <c r="A3068" s="9">
        <v>3057</v>
      </c>
      <c r="B3068" s="1"/>
      <c r="C3068" s="2" t="s">
        <v>3063</v>
      </c>
      <c r="D3068" s="1"/>
      <c r="E3068" s="11">
        <f t="shared" si="236"/>
        <v>10</v>
      </c>
      <c r="F3068" s="12">
        <f t="shared" si="237"/>
        <v>16.666666666666664</v>
      </c>
      <c r="G3068" s="12" t="str">
        <f t="shared" si="238"/>
        <v>OK</v>
      </c>
      <c r="H3068" s="13">
        <f t="shared" si="239"/>
        <v>6</v>
      </c>
      <c r="I3068" s="14">
        <f t="shared" si="235"/>
        <v>1806.2399999999998</v>
      </c>
      <c r="K3068" t="str">
        <f>[1]!revcom(C3068)</f>
        <v>TTAAAC</v>
      </c>
      <c r="L3068">
        <v>4</v>
      </c>
    </row>
    <row r="3069" spans="1:12" ht="15.6" x14ac:dyDescent="0.3">
      <c r="A3069" s="9">
        <v>3058</v>
      </c>
      <c r="B3069" s="1"/>
      <c r="C3069" s="2" t="s">
        <v>3064</v>
      </c>
      <c r="D3069" s="1"/>
      <c r="E3069" s="11">
        <f t="shared" si="236"/>
        <v>8</v>
      </c>
      <c r="F3069" s="12">
        <f t="shared" si="237"/>
        <v>33.333333333333329</v>
      </c>
      <c r="G3069" s="12" t="str">
        <f t="shared" si="238"/>
        <v>OK</v>
      </c>
      <c r="H3069" s="13">
        <f t="shared" si="239"/>
        <v>6</v>
      </c>
      <c r="I3069" s="14">
        <f t="shared" si="235"/>
        <v>1782.21</v>
      </c>
      <c r="K3069" t="str">
        <f>[1]!revcom(C3069)</f>
        <v>GTAAAC</v>
      </c>
      <c r="L3069">
        <v>4</v>
      </c>
    </row>
    <row r="3070" spans="1:12" ht="15.6" x14ac:dyDescent="0.3">
      <c r="A3070" s="9">
        <v>3059</v>
      </c>
      <c r="B3070" s="1"/>
      <c r="C3070" s="2" t="s">
        <v>3065</v>
      </c>
      <c r="D3070" s="1"/>
      <c r="E3070" s="11">
        <f t="shared" si="236"/>
        <v>8</v>
      </c>
      <c r="F3070" s="12">
        <f t="shared" si="237"/>
        <v>33.333333333333329</v>
      </c>
      <c r="G3070" s="12" t="str">
        <f t="shared" si="238"/>
        <v>OK</v>
      </c>
      <c r="H3070" s="13">
        <f t="shared" si="239"/>
        <v>6</v>
      </c>
      <c r="I3070" s="14">
        <f t="shared" si="235"/>
        <v>1822.2400000000002</v>
      </c>
      <c r="K3070" t="str">
        <f>[1]!revcom(C3070)</f>
        <v>CTAAAC</v>
      </c>
      <c r="L3070">
        <v>4</v>
      </c>
    </row>
    <row r="3071" spans="1:12" ht="15.6" x14ac:dyDescent="0.3">
      <c r="A3071" s="9">
        <v>3060</v>
      </c>
      <c r="B3071" s="1"/>
      <c r="C3071" s="2" t="s">
        <v>3066</v>
      </c>
      <c r="D3071" s="1"/>
      <c r="E3071" s="11">
        <f t="shared" si="236"/>
        <v>2</v>
      </c>
      <c r="F3071" s="12">
        <f t="shared" si="237"/>
        <v>16.666666666666664</v>
      </c>
      <c r="G3071" s="12" t="str">
        <f t="shared" si="238"/>
        <v>OK</v>
      </c>
      <c r="H3071" s="13">
        <f t="shared" si="239"/>
        <v>6</v>
      </c>
      <c r="I3071" s="14">
        <f t="shared" si="235"/>
        <v>1797.2199999999998</v>
      </c>
      <c r="K3071" t="str">
        <f>[1]!revcom(C3071)</f>
        <v>ATAAAC</v>
      </c>
      <c r="L3071">
        <v>3</v>
      </c>
    </row>
    <row r="3072" spans="1:12" ht="15.6" x14ac:dyDescent="0.3">
      <c r="A3072" s="9">
        <v>3061</v>
      </c>
      <c r="B3072" s="1"/>
      <c r="C3072" s="2" t="s">
        <v>3067</v>
      </c>
      <c r="D3072" s="1"/>
      <c r="E3072" s="11">
        <f t="shared" si="236"/>
        <v>8</v>
      </c>
      <c r="F3072" s="12">
        <f t="shared" si="237"/>
        <v>33.333333333333329</v>
      </c>
      <c r="G3072" s="12" t="str">
        <f t="shared" si="238"/>
        <v>OK</v>
      </c>
      <c r="H3072" s="13">
        <f t="shared" si="239"/>
        <v>6</v>
      </c>
      <c r="I3072" s="14">
        <f t="shared" si="235"/>
        <v>1782.21</v>
      </c>
      <c r="K3072" t="str">
        <f>[1]!revcom(C3072)</f>
        <v>TGAAAC</v>
      </c>
      <c r="L3072">
        <v>4</v>
      </c>
    </row>
    <row r="3073" spans="1:12" ht="15.6" x14ac:dyDescent="0.3">
      <c r="A3073" s="9">
        <v>3062</v>
      </c>
      <c r="B3073" s="1"/>
      <c r="C3073" s="2" t="s">
        <v>3068</v>
      </c>
      <c r="D3073" s="1"/>
      <c r="E3073" s="11">
        <f t="shared" si="236"/>
        <v>6</v>
      </c>
      <c r="F3073" s="12">
        <f t="shared" si="237"/>
        <v>50</v>
      </c>
      <c r="G3073" s="12" t="str">
        <f t="shared" si="238"/>
        <v>OK</v>
      </c>
      <c r="H3073" s="13">
        <f t="shared" si="239"/>
        <v>6</v>
      </c>
      <c r="I3073" s="14">
        <f t="shared" si="235"/>
        <v>1758.1799999999998</v>
      </c>
      <c r="K3073" t="str">
        <f>[1]!revcom(C3073)</f>
        <v>GGAAAC</v>
      </c>
      <c r="L3073">
        <v>3</v>
      </c>
    </row>
    <row r="3074" spans="1:12" ht="15.6" x14ac:dyDescent="0.3">
      <c r="A3074" s="9">
        <v>3063</v>
      </c>
      <c r="B3074" s="1"/>
      <c r="C3074" s="2" t="s">
        <v>3069</v>
      </c>
      <c r="D3074" s="1"/>
      <c r="E3074" s="11">
        <f t="shared" si="236"/>
        <v>6</v>
      </c>
      <c r="F3074" s="12">
        <f t="shared" si="237"/>
        <v>50</v>
      </c>
      <c r="G3074" s="12" t="str">
        <f t="shared" si="238"/>
        <v>OK</v>
      </c>
      <c r="H3074" s="13">
        <f t="shared" si="239"/>
        <v>6</v>
      </c>
      <c r="I3074" s="14">
        <f t="shared" si="235"/>
        <v>1798.21</v>
      </c>
      <c r="K3074" t="str">
        <f>[1]!revcom(C3074)</f>
        <v>CGAAAC</v>
      </c>
      <c r="L3074">
        <v>3</v>
      </c>
    </row>
    <row r="3075" spans="1:12" ht="15.6" x14ac:dyDescent="0.3">
      <c r="A3075" s="9">
        <v>3064</v>
      </c>
      <c r="B3075" s="1"/>
      <c r="C3075" s="2" t="s">
        <v>3070</v>
      </c>
      <c r="D3075" s="1"/>
      <c r="E3075" s="11">
        <f t="shared" si="236"/>
        <v>0</v>
      </c>
      <c r="F3075" s="12">
        <f t="shared" si="237"/>
        <v>33.333333333333329</v>
      </c>
      <c r="G3075" s="12" t="str">
        <f t="shared" si="238"/>
        <v>OK</v>
      </c>
      <c r="H3075" s="13">
        <f t="shared" si="239"/>
        <v>6</v>
      </c>
      <c r="I3075" s="14">
        <f t="shared" si="235"/>
        <v>1773.19</v>
      </c>
      <c r="K3075" t="str">
        <f>[1]!revcom(C3075)</f>
        <v>AGAAAC</v>
      </c>
      <c r="L3075">
        <v>2</v>
      </c>
    </row>
    <row r="3076" spans="1:12" ht="15.6" x14ac:dyDescent="0.3">
      <c r="A3076" s="9">
        <v>3065</v>
      </c>
      <c r="B3076" s="1"/>
      <c r="C3076" s="2" t="s">
        <v>3071</v>
      </c>
      <c r="D3076" s="1"/>
      <c r="E3076" s="11">
        <f t="shared" si="236"/>
        <v>8</v>
      </c>
      <c r="F3076" s="12">
        <f t="shared" si="237"/>
        <v>33.333333333333329</v>
      </c>
      <c r="G3076" s="12" t="str">
        <f t="shared" si="238"/>
        <v>OK</v>
      </c>
      <c r="H3076" s="13">
        <f t="shared" si="239"/>
        <v>6</v>
      </c>
      <c r="I3076" s="14">
        <f t="shared" si="235"/>
        <v>1822.2400000000002</v>
      </c>
      <c r="K3076" t="str">
        <f>[1]!revcom(C3076)</f>
        <v>TCAAAC</v>
      </c>
      <c r="L3076">
        <v>4</v>
      </c>
    </row>
    <row r="3077" spans="1:12" ht="15.6" x14ac:dyDescent="0.3">
      <c r="A3077" s="9">
        <v>3066</v>
      </c>
      <c r="B3077" s="1"/>
      <c r="C3077" s="2" t="s">
        <v>3072</v>
      </c>
      <c r="D3077" s="1"/>
      <c r="E3077" s="11">
        <f t="shared" si="236"/>
        <v>6</v>
      </c>
      <c r="F3077" s="12">
        <f t="shared" si="237"/>
        <v>50</v>
      </c>
      <c r="G3077" s="12" t="str">
        <f t="shared" si="238"/>
        <v>OK</v>
      </c>
      <c r="H3077" s="13">
        <f t="shared" si="239"/>
        <v>6</v>
      </c>
      <c r="I3077" s="14">
        <f t="shared" si="235"/>
        <v>1798.21</v>
      </c>
      <c r="K3077" t="str">
        <f>[1]!revcom(C3077)</f>
        <v>GCAAAC</v>
      </c>
      <c r="L3077">
        <v>3</v>
      </c>
    </row>
    <row r="3078" spans="1:12" ht="15.6" x14ac:dyDescent="0.3">
      <c r="A3078" s="9">
        <v>3067</v>
      </c>
      <c r="B3078" s="1"/>
      <c r="C3078" s="2" t="s">
        <v>3073</v>
      </c>
      <c r="D3078" s="1"/>
      <c r="E3078" s="11">
        <f t="shared" si="236"/>
        <v>6</v>
      </c>
      <c r="F3078" s="12">
        <f t="shared" si="237"/>
        <v>50</v>
      </c>
      <c r="G3078" s="12" t="str">
        <f t="shared" si="238"/>
        <v>OK</v>
      </c>
      <c r="H3078" s="13">
        <f t="shared" si="239"/>
        <v>6</v>
      </c>
      <c r="I3078" s="14">
        <f t="shared" si="235"/>
        <v>1838.2400000000002</v>
      </c>
      <c r="K3078" t="str">
        <f>[1]!revcom(C3078)</f>
        <v>CCAAAC</v>
      </c>
      <c r="L3078">
        <v>3</v>
      </c>
    </row>
    <row r="3079" spans="1:12" ht="15.6" x14ac:dyDescent="0.3">
      <c r="A3079" s="9">
        <v>3068</v>
      </c>
      <c r="B3079" s="1"/>
      <c r="C3079" s="2" t="s">
        <v>3074</v>
      </c>
      <c r="D3079" s="1"/>
      <c r="E3079" s="11">
        <f t="shared" si="236"/>
        <v>0</v>
      </c>
      <c r="F3079" s="12">
        <f t="shared" si="237"/>
        <v>33.333333333333329</v>
      </c>
      <c r="G3079" s="12" t="str">
        <f t="shared" si="238"/>
        <v>OK</v>
      </c>
      <c r="H3079" s="13">
        <f t="shared" si="239"/>
        <v>6</v>
      </c>
      <c r="I3079" s="14">
        <f t="shared" si="235"/>
        <v>1813.2200000000003</v>
      </c>
      <c r="K3079" t="str">
        <f>[1]!revcom(C3079)</f>
        <v>ACAAAC</v>
      </c>
      <c r="L3079">
        <v>2</v>
      </c>
    </row>
    <row r="3080" spans="1:12" ht="15.6" x14ac:dyDescent="0.3">
      <c r="A3080" s="9">
        <v>3069</v>
      </c>
      <c r="B3080" s="1"/>
      <c r="C3080" s="2" t="s">
        <v>3075</v>
      </c>
      <c r="D3080" s="1"/>
      <c r="E3080" s="11">
        <f t="shared" si="236"/>
        <v>2</v>
      </c>
      <c r="F3080" s="12">
        <f t="shared" si="237"/>
        <v>16.666666666666664</v>
      </c>
      <c r="G3080" s="12" t="str">
        <f t="shared" si="238"/>
        <v>OK</v>
      </c>
      <c r="H3080" s="13">
        <f t="shared" si="239"/>
        <v>6</v>
      </c>
      <c r="I3080" s="14">
        <f t="shared" si="235"/>
        <v>1797.2199999999998</v>
      </c>
      <c r="K3080" t="str">
        <f>[1]!revcom(C3080)</f>
        <v>TAAAAC</v>
      </c>
      <c r="L3080">
        <v>3</v>
      </c>
    </row>
    <row r="3081" spans="1:12" ht="15.6" x14ac:dyDescent="0.3">
      <c r="A3081" s="9">
        <v>3070</v>
      </c>
      <c r="B3081" s="1"/>
      <c r="C3081" s="2" t="s">
        <v>3076</v>
      </c>
      <c r="D3081" s="1"/>
      <c r="E3081" s="11">
        <f t="shared" si="236"/>
        <v>0</v>
      </c>
      <c r="F3081" s="12">
        <f t="shared" si="237"/>
        <v>33.333333333333329</v>
      </c>
      <c r="G3081" s="12" t="str">
        <f t="shared" si="238"/>
        <v>OK</v>
      </c>
      <c r="H3081" s="13">
        <f t="shared" si="239"/>
        <v>6</v>
      </c>
      <c r="I3081" s="14">
        <f t="shared" si="235"/>
        <v>1773.19</v>
      </c>
      <c r="K3081" t="str">
        <f>[1]!revcom(C3081)</f>
        <v>GAAAAC</v>
      </c>
      <c r="L3081">
        <v>2</v>
      </c>
    </row>
    <row r="3082" spans="1:12" ht="15.6" x14ac:dyDescent="0.3">
      <c r="A3082" s="9">
        <v>3071</v>
      </c>
      <c r="B3082" s="1"/>
      <c r="C3082" s="2" t="s">
        <v>3077</v>
      </c>
      <c r="D3082" s="1"/>
      <c r="E3082" s="11">
        <f t="shared" si="236"/>
        <v>0</v>
      </c>
      <c r="F3082" s="12">
        <f t="shared" si="237"/>
        <v>33.333333333333329</v>
      </c>
      <c r="G3082" s="12" t="str">
        <f t="shared" si="238"/>
        <v>OK</v>
      </c>
      <c r="H3082" s="13">
        <f t="shared" si="239"/>
        <v>6</v>
      </c>
      <c r="I3082" s="14">
        <f t="shared" si="235"/>
        <v>1813.2200000000003</v>
      </c>
      <c r="K3082" t="str">
        <f>[1]!revcom(C3082)</f>
        <v>CAAAAC</v>
      </c>
      <c r="L3082">
        <v>2</v>
      </c>
    </row>
    <row r="3083" spans="1:12" ht="15.6" x14ac:dyDescent="0.3">
      <c r="A3083" s="9">
        <v>3072</v>
      </c>
      <c r="B3083" s="1"/>
      <c r="C3083" s="2" t="s">
        <v>3078</v>
      </c>
      <c r="D3083" s="1"/>
      <c r="E3083" s="11">
        <f t="shared" si="236"/>
        <v>-6</v>
      </c>
      <c r="F3083" s="12">
        <f t="shared" si="237"/>
        <v>16.666666666666664</v>
      </c>
      <c r="G3083" s="12" t="str">
        <f t="shared" si="238"/>
        <v>OK</v>
      </c>
      <c r="H3083" s="13">
        <f t="shared" si="239"/>
        <v>6</v>
      </c>
      <c r="I3083" s="14">
        <f t="shared" si="235"/>
        <v>1788.1999999999998</v>
      </c>
      <c r="K3083" t="str">
        <f>[1]!revcom(C3083)</f>
        <v>AAAAAC</v>
      </c>
      <c r="L3083">
        <v>1</v>
      </c>
    </row>
    <row r="3084" spans="1:12" ht="15.6" x14ac:dyDescent="0.3">
      <c r="A3084" s="9">
        <v>3073</v>
      </c>
      <c r="B3084" s="1"/>
      <c r="C3084" s="2" t="s">
        <v>3079</v>
      </c>
      <c r="D3084" s="1"/>
      <c r="E3084" s="11">
        <f t="shared" si="236"/>
        <v>28</v>
      </c>
      <c r="F3084" s="12">
        <f t="shared" si="237"/>
        <v>0</v>
      </c>
      <c r="G3084" s="12" t="str">
        <f t="shared" si="238"/>
        <v>OK</v>
      </c>
      <c r="H3084" s="13">
        <f t="shared" si="239"/>
        <v>6</v>
      </c>
      <c r="I3084" s="14">
        <f t="shared" si="235"/>
        <v>1808.2799999999997</v>
      </c>
      <c r="K3084" t="str">
        <f>[1]!revcom(C3084)</f>
        <v>TTTTTA</v>
      </c>
      <c r="L3084">
        <v>7</v>
      </c>
    </row>
    <row r="3085" spans="1:12" ht="15.6" x14ac:dyDescent="0.3">
      <c r="A3085" s="9">
        <v>3074</v>
      </c>
      <c r="B3085" s="1"/>
      <c r="C3085" s="2" t="s">
        <v>3080</v>
      </c>
      <c r="D3085" s="1"/>
      <c r="E3085" s="11">
        <f t="shared" si="236"/>
        <v>26</v>
      </c>
      <c r="F3085" s="12">
        <f t="shared" si="237"/>
        <v>16.666666666666664</v>
      </c>
      <c r="G3085" s="12" t="str">
        <f t="shared" si="238"/>
        <v>OK</v>
      </c>
      <c r="H3085" s="13">
        <f t="shared" si="239"/>
        <v>6</v>
      </c>
      <c r="I3085" s="14">
        <f t="shared" ref="I3085:I3148" si="240">((LEN(C3085)-(LEN(SUBSTITUTE(C3085,"A",""))))*249.23)+((LEN(C3085)-(LEN(SUBSTITUTE(C3085,"T",""))))*240.21)+((LEN(C3085)-(LEN(SUBSTITUTE(C3085,"C",""))))*225.2)+((LEN(C3085)-(LEN(SUBSTITUTE(C3085,"G",""))))*265.23)+(63.98*(LEN(C3085)-1)+(2.02))</f>
        <v>1784.25</v>
      </c>
      <c r="K3085" t="str">
        <f>[1]!revcom(C3085)</f>
        <v>GTTTTA</v>
      </c>
      <c r="L3085">
        <v>7</v>
      </c>
    </row>
    <row r="3086" spans="1:12" ht="15.6" x14ac:dyDescent="0.3">
      <c r="A3086" s="9">
        <v>3075</v>
      </c>
      <c r="B3086" s="1"/>
      <c r="C3086" s="2" t="s">
        <v>3081</v>
      </c>
      <c r="D3086" s="1"/>
      <c r="E3086" s="11">
        <f t="shared" ref="E3086:E3149" si="241">IF(LEN(C3086)&gt;15,(69.3+((41*((LEN(C3086)-(((LEN(C3086)-(LEN(SUBSTITUTE(C3086,"A",""))))+((LEN(C3086)-(LEN(SUBSTITUTE(C3086,"T","")))))))))/(LEN(C3086)))-(650/(LEN(C3086))))),(2*((LEN(C3086)-(((LEN(C3086)-(LEN(SUBSTITUTE(C3086,"C",""))))+((LEN(C3086)-(LEN(SUBSTITUTE(C3086,"G",""))))))))))+(4*((LEN(C3086)-(((LEN(C3086)-(LEN(SUBSTITUTE(C3086,"T",""))))+((LEN(C3086)-(LEN(SUBSTITUTE(C3086,"T","")))))))))))</f>
        <v>26</v>
      </c>
      <c r="F3086" s="12">
        <f t="shared" ref="F3086:F3149" si="242">((LEN(C3086)- LEN(SUBSTITUTE(C3086,"G","")))+(LEN(C3086)- LEN(SUBSTITUTE(C3086,"C",""))) )/LEN(C3086)*100</f>
        <v>16.666666666666664</v>
      </c>
      <c r="G3086" s="12" t="str">
        <f t="shared" ref="G3086:G3149" si="243">IF((-5+((LEN(SUBSTITUTE(RIGHT(C3086,5),"C","")))+((LEN(SUBSTITUTE(RIGHT(C3086,5),"G",""))))))&gt;=3,"OK","Warning")</f>
        <v>OK</v>
      </c>
      <c r="H3086" s="13">
        <f t="shared" ref="H3086:H3149" si="244">LEN(C3086)</f>
        <v>6</v>
      </c>
      <c r="I3086" s="14">
        <f t="shared" si="240"/>
        <v>1824.2799999999997</v>
      </c>
      <c r="K3086" t="str">
        <f>[1]!revcom(C3086)</f>
        <v>CTTTTA</v>
      </c>
      <c r="L3086">
        <v>7</v>
      </c>
    </row>
    <row r="3087" spans="1:12" ht="15.6" x14ac:dyDescent="0.3">
      <c r="A3087" s="9">
        <v>3076</v>
      </c>
      <c r="B3087" s="1"/>
      <c r="C3087" s="2" t="s">
        <v>3082</v>
      </c>
      <c r="D3087" s="1"/>
      <c r="E3087" s="11">
        <f t="shared" si="241"/>
        <v>20</v>
      </c>
      <c r="F3087" s="12">
        <f t="shared" si="242"/>
        <v>0</v>
      </c>
      <c r="G3087" s="12" t="str">
        <f t="shared" si="243"/>
        <v>OK</v>
      </c>
      <c r="H3087" s="13">
        <f t="shared" si="244"/>
        <v>6</v>
      </c>
      <c r="I3087" s="14">
        <f t="shared" si="240"/>
        <v>1799.2599999999998</v>
      </c>
      <c r="K3087" t="str">
        <f>[1]!revcom(C3087)</f>
        <v>ATTTTA</v>
      </c>
      <c r="L3087">
        <v>6</v>
      </c>
    </row>
    <row r="3088" spans="1:12" ht="15.6" x14ac:dyDescent="0.3">
      <c r="A3088" s="9">
        <v>3077</v>
      </c>
      <c r="B3088" s="1"/>
      <c r="C3088" s="2" t="s">
        <v>3083</v>
      </c>
      <c r="D3088" s="1"/>
      <c r="E3088" s="11">
        <f t="shared" si="241"/>
        <v>26</v>
      </c>
      <c r="F3088" s="12">
        <f t="shared" si="242"/>
        <v>16.666666666666664</v>
      </c>
      <c r="G3088" s="12" t="str">
        <f t="shared" si="243"/>
        <v>OK</v>
      </c>
      <c r="H3088" s="13">
        <f t="shared" si="244"/>
        <v>6</v>
      </c>
      <c r="I3088" s="14">
        <f t="shared" si="240"/>
        <v>1784.25</v>
      </c>
      <c r="K3088" t="str">
        <f>[1]!revcom(C3088)</f>
        <v>TGTTTA</v>
      </c>
      <c r="L3088">
        <v>7</v>
      </c>
    </row>
    <row r="3089" spans="1:12" ht="15.6" x14ac:dyDescent="0.3">
      <c r="A3089" s="9">
        <v>3078</v>
      </c>
      <c r="B3089" s="1"/>
      <c r="C3089" s="2" t="s">
        <v>3084</v>
      </c>
      <c r="D3089" s="1"/>
      <c r="E3089" s="11">
        <f t="shared" si="241"/>
        <v>24</v>
      </c>
      <c r="F3089" s="12">
        <f t="shared" si="242"/>
        <v>33.333333333333329</v>
      </c>
      <c r="G3089" s="12" t="str">
        <f t="shared" si="243"/>
        <v>OK</v>
      </c>
      <c r="H3089" s="13">
        <f t="shared" si="244"/>
        <v>6</v>
      </c>
      <c r="I3089" s="14">
        <f t="shared" si="240"/>
        <v>1760.2199999999998</v>
      </c>
      <c r="K3089" t="str">
        <f>[1]!revcom(C3089)</f>
        <v>GGTTTA</v>
      </c>
      <c r="L3089">
        <v>6</v>
      </c>
    </row>
    <row r="3090" spans="1:12" ht="15.6" x14ac:dyDescent="0.3">
      <c r="A3090" s="9">
        <v>3079</v>
      </c>
      <c r="B3090" s="1"/>
      <c r="C3090" s="2" t="s">
        <v>3085</v>
      </c>
      <c r="D3090" s="1"/>
      <c r="E3090" s="11">
        <f t="shared" si="241"/>
        <v>24</v>
      </c>
      <c r="F3090" s="12">
        <f t="shared" si="242"/>
        <v>33.333333333333329</v>
      </c>
      <c r="G3090" s="12" t="str">
        <f t="shared" si="243"/>
        <v>OK</v>
      </c>
      <c r="H3090" s="13">
        <f t="shared" si="244"/>
        <v>6</v>
      </c>
      <c r="I3090" s="14">
        <f t="shared" si="240"/>
        <v>1800.25</v>
      </c>
      <c r="K3090" t="str">
        <f>[1]!revcom(C3090)</f>
        <v>CGTTTA</v>
      </c>
      <c r="L3090">
        <v>6</v>
      </c>
    </row>
    <row r="3091" spans="1:12" ht="15.6" x14ac:dyDescent="0.3">
      <c r="A3091" s="9">
        <v>3080</v>
      </c>
      <c r="B3091" s="1"/>
      <c r="C3091" s="2" t="s">
        <v>3086</v>
      </c>
      <c r="D3091" s="1"/>
      <c r="E3091" s="11">
        <f t="shared" si="241"/>
        <v>18</v>
      </c>
      <c r="F3091" s="12">
        <f t="shared" si="242"/>
        <v>16.666666666666664</v>
      </c>
      <c r="G3091" s="12" t="str">
        <f t="shared" si="243"/>
        <v>OK</v>
      </c>
      <c r="H3091" s="13">
        <f t="shared" si="244"/>
        <v>6</v>
      </c>
      <c r="I3091" s="14">
        <f t="shared" si="240"/>
        <v>1775.23</v>
      </c>
      <c r="K3091" t="str">
        <f>[1]!revcom(C3091)</f>
        <v>AGTTTA</v>
      </c>
      <c r="L3091">
        <v>5</v>
      </c>
    </row>
    <row r="3092" spans="1:12" ht="15.6" x14ac:dyDescent="0.3">
      <c r="A3092" s="9">
        <v>3081</v>
      </c>
      <c r="B3092" s="1"/>
      <c r="C3092" s="2" t="s">
        <v>3087</v>
      </c>
      <c r="D3092" s="1"/>
      <c r="E3092" s="11">
        <f t="shared" si="241"/>
        <v>26</v>
      </c>
      <c r="F3092" s="12">
        <f t="shared" si="242"/>
        <v>16.666666666666664</v>
      </c>
      <c r="G3092" s="12" t="str">
        <f t="shared" si="243"/>
        <v>OK</v>
      </c>
      <c r="H3092" s="13">
        <f t="shared" si="244"/>
        <v>6</v>
      </c>
      <c r="I3092" s="14">
        <f t="shared" si="240"/>
        <v>1824.2799999999997</v>
      </c>
      <c r="K3092" t="str">
        <f>[1]!revcom(C3092)</f>
        <v>TCTTTA</v>
      </c>
      <c r="L3092">
        <v>7</v>
      </c>
    </row>
    <row r="3093" spans="1:12" ht="15.6" x14ac:dyDescent="0.3">
      <c r="A3093" s="9">
        <v>3082</v>
      </c>
      <c r="B3093" s="1"/>
      <c r="C3093" s="2" t="s">
        <v>3088</v>
      </c>
      <c r="D3093" s="1"/>
      <c r="E3093" s="11">
        <f t="shared" si="241"/>
        <v>24</v>
      </c>
      <c r="F3093" s="12">
        <f t="shared" si="242"/>
        <v>33.333333333333329</v>
      </c>
      <c r="G3093" s="12" t="str">
        <f t="shared" si="243"/>
        <v>OK</v>
      </c>
      <c r="H3093" s="13">
        <f t="shared" si="244"/>
        <v>6</v>
      </c>
      <c r="I3093" s="14">
        <f t="shared" si="240"/>
        <v>1800.25</v>
      </c>
      <c r="K3093" t="str">
        <f>[1]!revcom(C3093)</f>
        <v>GCTTTA</v>
      </c>
      <c r="L3093">
        <v>6</v>
      </c>
    </row>
    <row r="3094" spans="1:12" ht="15.6" x14ac:dyDescent="0.3">
      <c r="A3094" s="9">
        <v>3083</v>
      </c>
      <c r="B3094" s="1"/>
      <c r="C3094" s="2" t="s">
        <v>3089</v>
      </c>
      <c r="D3094" s="1"/>
      <c r="E3094" s="11">
        <f t="shared" si="241"/>
        <v>24</v>
      </c>
      <c r="F3094" s="12">
        <f t="shared" si="242"/>
        <v>33.333333333333329</v>
      </c>
      <c r="G3094" s="12" t="str">
        <f t="shared" si="243"/>
        <v>OK</v>
      </c>
      <c r="H3094" s="13">
        <f t="shared" si="244"/>
        <v>6</v>
      </c>
      <c r="I3094" s="14">
        <f t="shared" si="240"/>
        <v>1840.2800000000002</v>
      </c>
      <c r="K3094" t="str">
        <f>[1]!revcom(C3094)</f>
        <v>CCTTTA</v>
      </c>
      <c r="L3094">
        <v>6</v>
      </c>
    </row>
    <row r="3095" spans="1:12" ht="15.6" x14ac:dyDescent="0.3">
      <c r="A3095" s="9">
        <v>3084</v>
      </c>
      <c r="B3095" s="1"/>
      <c r="C3095" s="2" t="s">
        <v>3090</v>
      </c>
      <c r="D3095" s="1"/>
      <c r="E3095" s="11">
        <f t="shared" si="241"/>
        <v>18</v>
      </c>
      <c r="F3095" s="12">
        <f t="shared" si="242"/>
        <v>16.666666666666664</v>
      </c>
      <c r="G3095" s="12" t="str">
        <f t="shared" si="243"/>
        <v>OK</v>
      </c>
      <c r="H3095" s="13">
        <f t="shared" si="244"/>
        <v>6</v>
      </c>
      <c r="I3095" s="14">
        <f t="shared" si="240"/>
        <v>1815.2599999999998</v>
      </c>
      <c r="K3095" t="str">
        <f>[1]!revcom(C3095)</f>
        <v>ACTTTA</v>
      </c>
      <c r="L3095">
        <v>5</v>
      </c>
    </row>
    <row r="3096" spans="1:12" ht="15.6" x14ac:dyDescent="0.3">
      <c r="A3096" s="9">
        <v>3085</v>
      </c>
      <c r="B3096" s="1"/>
      <c r="C3096" s="2" t="s">
        <v>3091</v>
      </c>
      <c r="D3096" s="1"/>
      <c r="E3096" s="11">
        <f t="shared" si="241"/>
        <v>20</v>
      </c>
      <c r="F3096" s="12">
        <f t="shared" si="242"/>
        <v>0</v>
      </c>
      <c r="G3096" s="12" t="str">
        <f t="shared" si="243"/>
        <v>OK</v>
      </c>
      <c r="H3096" s="13">
        <f t="shared" si="244"/>
        <v>6</v>
      </c>
      <c r="I3096" s="14">
        <f t="shared" si="240"/>
        <v>1799.2599999999998</v>
      </c>
      <c r="K3096" t="str">
        <f>[1]!revcom(C3096)</f>
        <v>TATTTA</v>
      </c>
      <c r="L3096">
        <v>6</v>
      </c>
    </row>
    <row r="3097" spans="1:12" ht="15.6" x14ac:dyDescent="0.3">
      <c r="A3097" s="9">
        <v>3086</v>
      </c>
      <c r="B3097" s="1"/>
      <c r="C3097" s="2" t="s">
        <v>3092</v>
      </c>
      <c r="D3097" s="1"/>
      <c r="E3097" s="11">
        <f t="shared" si="241"/>
        <v>18</v>
      </c>
      <c r="F3097" s="12">
        <f t="shared" si="242"/>
        <v>16.666666666666664</v>
      </c>
      <c r="G3097" s="12" t="str">
        <f t="shared" si="243"/>
        <v>OK</v>
      </c>
      <c r="H3097" s="13">
        <f t="shared" si="244"/>
        <v>6</v>
      </c>
      <c r="I3097" s="14">
        <f t="shared" si="240"/>
        <v>1775.23</v>
      </c>
      <c r="K3097" t="str">
        <f>[1]!revcom(C3097)</f>
        <v>GATTTA</v>
      </c>
      <c r="L3097">
        <v>5</v>
      </c>
    </row>
    <row r="3098" spans="1:12" ht="15.6" x14ac:dyDescent="0.3">
      <c r="A3098" s="9">
        <v>3087</v>
      </c>
      <c r="B3098" s="1"/>
      <c r="C3098" s="2" t="s">
        <v>3093</v>
      </c>
      <c r="D3098" s="1"/>
      <c r="E3098" s="11">
        <f t="shared" si="241"/>
        <v>18</v>
      </c>
      <c r="F3098" s="12">
        <f t="shared" si="242"/>
        <v>16.666666666666664</v>
      </c>
      <c r="G3098" s="12" t="str">
        <f t="shared" si="243"/>
        <v>OK</v>
      </c>
      <c r="H3098" s="13">
        <f t="shared" si="244"/>
        <v>6</v>
      </c>
      <c r="I3098" s="14">
        <f t="shared" si="240"/>
        <v>1815.2599999999998</v>
      </c>
      <c r="K3098" t="str">
        <f>[1]!revcom(C3098)</f>
        <v>CATTTA</v>
      </c>
      <c r="L3098">
        <v>5</v>
      </c>
    </row>
    <row r="3099" spans="1:12" ht="15.6" x14ac:dyDescent="0.3">
      <c r="A3099" s="9">
        <v>3088</v>
      </c>
      <c r="B3099" s="1"/>
      <c r="C3099" s="2" t="s">
        <v>3094</v>
      </c>
      <c r="D3099" s="1"/>
      <c r="E3099" s="11">
        <f t="shared" si="241"/>
        <v>12</v>
      </c>
      <c r="F3099" s="12">
        <f t="shared" si="242"/>
        <v>0</v>
      </c>
      <c r="G3099" s="12" t="str">
        <f t="shared" si="243"/>
        <v>OK</v>
      </c>
      <c r="H3099" s="13">
        <f t="shared" si="244"/>
        <v>6</v>
      </c>
      <c r="I3099" s="14">
        <f t="shared" si="240"/>
        <v>1790.2399999999998</v>
      </c>
      <c r="K3099" t="str">
        <f>[1]!revcom(C3099)</f>
        <v>AATTTA</v>
      </c>
      <c r="L3099">
        <v>4</v>
      </c>
    </row>
    <row r="3100" spans="1:12" ht="15.6" x14ac:dyDescent="0.3">
      <c r="A3100" s="9">
        <v>3089</v>
      </c>
      <c r="B3100" s="1"/>
      <c r="C3100" s="2" t="s">
        <v>3095</v>
      </c>
      <c r="D3100" s="1"/>
      <c r="E3100" s="11">
        <f t="shared" si="241"/>
        <v>26</v>
      </c>
      <c r="F3100" s="12">
        <f t="shared" si="242"/>
        <v>16.666666666666664</v>
      </c>
      <c r="G3100" s="12" t="str">
        <f t="shared" si="243"/>
        <v>OK</v>
      </c>
      <c r="H3100" s="13">
        <f t="shared" si="244"/>
        <v>6</v>
      </c>
      <c r="I3100" s="14">
        <f t="shared" si="240"/>
        <v>1784.25</v>
      </c>
      <c r="K3100" t="str">
        <f>[1]!revcom(C3100)</f>
        <v>TTGTTA</v>
      </c>
      <c r="L3100">
        <v>7</v>
      </c>
    </row>
    <row r="3101" spans="1:12" ht="15.6" x14ac:dyDescent="0.3">
      <c r="A3101" s="9">
        <v>3090</v>
      </c>
      <c r="B3101" s="1"/>
      <c r="C3101" s="2" t="s">
        <v>3096</v>
      </c>
      <c r="D3101" s="1"/>
      <c r="E3101" s="11">
        <f t="shared" si="241"/>
        <v>24</v>
      </c>
      <c r="F3101" s="12">
        <f t="shared" si="242"/>
        <v>33.333333333333329</v>
      </c>
      <c r="G3101" s="12" t="str">
        <f t="shared" si="243"/>
        <v>OK</v>
      </c>
      <c r="H3101" s="13">
        <f t="shared" si="244"/>
        <v>6</v>
      </c>
      <c r="I3101" s="14">
        <f t="shared" si="240"/>
        <v>1760.2199999999998</v>
      </c>
      <c r="K3101" t="str">
        <f>[1]!revcom(C3101)</f>
        <v>GTGTTA</v>
      </c>
      <c r="L3101">
        <v>6</v>
      </c>
    </row>
    <row r="3102" spans="1:12" ht="15.6" x14ac:dyDescent="0.3">
      <c r="A3102" s="9">
        <v>3091</v>
      </c>
      <c r="B3102" s="1"/>
      <c r="C3102" s="2" t="s">
        <v>3097</v>
      </c>
      <c r="D3102" s="1"/>
      <c r="E3102" s="11">
        <f t="shared" si="241"/>
        <v>24</v>
      </c>
      <c r="F3102" s="12">
        <f t="shared" si="242"/>
        <v>33.333333333333329</v>
      </c>
      <c r="G3102" s="12" t="str">
        <f t="shared" si="243"/>
        <v>OK</v>
      </c>
      <c r="H3102" s="13">
        <f t="shared" si="244"/>
        <v>6</v>
      </c>
      <c r="I3102" s="14">
        <f t="shared" si="240"/>
        <v>1800.25</v>
      </c>
      <c r="K3102" t="str">
        <f>[1]!revcom(C3102)</f>
        <v>CTGTTA</v>
      </c>
      <c r="L3102">
        <v>6</v>
      </c>
    </row>
    <row r="3103" spans="1:12" ht="15.6" x14ac:dyDescent="0.3">
      <c r="A3103" s="9">
        <v>3092</v>
      </c>
      <c r="B3103" s="1"/>
      <c r="C3103" s="2" t="s">
        <v>3098</v>
      </c>
      <c r="D3103" s="1"/>
      <c r="E3103" s="11">
        <f t="shared" si="241"/>
        <v>18</v>
      </c>
      <c r="F3103" s="12">
        <f t="shared" si="242"/>
        <v>16.666666666666664</v>
      </c>
      <c r="G3103" s="12" t="str">
        <f t="shared" si="243"/>
        <v>OK</v>
      </c>
      <c r="H3103" s="13">
        <f t="shared" si="244"/>
        <v>6</v>
      </c>
      <c r="I3103" s="14">
        <f t="shared" si="240"/>
        <v>1775.23</v>
      </c>
      <c r="K3103" t="str">
        <f>[1]!revcom(C3103)</f>
        <v>ATGTTA</v>
      </c>
      <c r="L3103">
        <v>5</v>
      </c>
    </row>
    <row r="3104" spans="1:12" ht="15.6" x14ac:dyDescent="0.3">
      <c r="A3104" s="9">
        <v>3093</v>
      </c>
      <c r="B3104" s="1"/>
      <c r="C3104" s="2" t="s">
        <v>3099</v>
      </c>
      <c r="D3104" s="1"/>
      <c r="E3104" s="11">
        <f t="shared" si="241"/>
        <v>24</v>
      </c>
      <c r="F3104" s="12">
        <f t="shared" si="242"/>
        <v>33.333333333333329</v>
      </c>
      <c r="G3104" s="12" t="str">
        <f t="shared" si="243"/>
        <v>OK</v>
      </c>
      <c r="H3104" s="13">
        <f t="shared" si="244"/>
        <v>6</v>
      </c>
      <c r="I3104" s="14">
        <f t="shared" si="240"/>
        <v>1760.2199999999998</v>
      </c>
      <c r="K3104" t="str">
        <f>[1]!revcom(C3104)</f>
        <v>TGGTTA</v>
      </c>
      <c r="L3104">
        <v>6</v>
      </c>
    </row>
    <row r="3105" spans="1:12" ht="15.6" x14ac:dyDescent="0.3">
      <c r="A3105" s="9">
        <v>3094</v>
      </c>
      <c r="B3105" s="1"/>
      <c r="C3105" s="2" t="s">
        <v>3100</v>
      </c>
      <c r="D3105" s="1"/>
      <c r="E3105" s="11">
        <f t="shared" si="241"/>
        <v>22</v>
      </c>
      <c r="F3105" s="12">
        <f t="shared" si="242"/>
        <v>50</v>
      </c>
      <c r="G3105" s="12" t="str">
        <f t="shared" si="243"/>
        <v>Warning</v>
      </c>
      <c r="H3105" s="13">
        <f t="shared" si="244"/>
        <v>6</v>
      </c>
      <c r="I3105" s="14">
        <f t="shared" si="240"/>
        <v>1736.19</v>
      </c>
      <c r="K3105" t="str">
        <f>[1]!revcom(C3105)</f>
        <v>GGGTTA</v>
      </c>
      <c r="L3105">
        <v>6</v>
      </c>
    </row>
    <row r="3106" spans="1:12" ht="15.6" x14ac:dyDescent="0.3">
      <c r="A3106" s="9">
        <v>3095</v>
      </c>
      <c r="B3106" s="1"/>
      <c r="C3106" s="2" t="s">
        <v>3101</v>
      </c>
      <c r="D3106" s="1"/>
      <c r="E3106" s="11">
        <f t="shared" si="241"/>
        <v>22</v>
      </c>
      <c r="F3106" s="12">
        <f t="shared" si="242"/>
        <v>50</v>
      </c>
      <c r="G3106" s="12" t="str">
        <f t="shared" si="243"/>
        <v>Warning</v>
      </c>
      <c r="H3106" s="13">
        <f t="shared" si="244"/>
        <v>6</v>
      </c>
      <c r="I3106" s="14">
        <f t="shared" si="240"/>
        <v>1776.2199999999998</v>
      </c>
      <c r="K3106" t="str">
        <f>[1]!revcom(C3106)</f>
        <v>CGGTTA</v>
      </c>
      <c r="L3106">
        <v>6</v>
      </c>
    </row>
    <row r="3107" spans="1:12" ht="15.6" x14ac:dyDescent="0.3">
      <c r="A3107" s="9">
        <v>3096</v>
      </c>
      <c r="B3107" s="1"/>
      <c r="C3107" s="2" t="s">
        <v>3102</v>
      </c>
      <c r="D3107" s="1"/>
      <c r="E3107" s="11">
        <f t="shared" si="241"/>
        <v>16</v>
      </c>
      <c r="F3107" s="12">
        <f t="shared" si="242"/>
        <v>33.333333333333329</v>
      </c>
      <c r="G3107" s="12" t="str">
        <f t="shared" si="243"/>
        <v>OK</v>
      </c>
      <c r="H3107" s="13">
        <f t="shared" si="244"/>
        <v>6</v>
      </c>
      <c r="I3107" s="14">
        <f t="shared" si="240"/>
        <v>1751.1999999999998</v>
      </c>
      <c r="K3107" t="str">
        <f>[1]!revcom(C3107)</f>
        <v>AGGTTA</v>
      </c>
      <c r="L3107">
        <v>5</v>
      </c>
    </row>
    <row r="3108" spans="1:12" ht="15.6" x14ac:dyDescent="0.3">
      <c r="A3108" s="9">
        <v>3097</v>
      </c>
      <c r="B3108" s="1"/>
      <c r="C3108" s="2" t="s">
        <v>3103</v>
      </c>
      <c r="D3108" s="1"/>
      <c r="E3108" s="11">
        <f t="shared" si="241"/>
        <v>24</v>
      </c>
      <c r="F3108" s="12">
        <f t="shared" si="242"/>
        <v>33.333333333333329</v>
      </c>
      <c r="G3108" s="12" t="str">
        <f t="shared" si="243"/>
        <v>OK</v>
      </c>
      <c r="H3108" s="13">
        <f t="shared" si="244"/>
        <v>6</v>
      </c>
      <c r="I3108" s="14">
        <f t="shared" si="240"/>
        <v>1800.25</v>
      </c>
      <c r="K3108" t="str">
        <f>[1]!revcom(C3108)</f>
        <v>TCGTTA</v>
      </c>
      <c r="L3108">
        <v>6</v>
      </c>
    </row>
    <row r="3109" spans="1:12" ht="15.6" x14ac:dyDescent="0.3">
      <c r="A3109" s="9">
        <v>3098</v>
      </c>
      <c r="B3109" s="1"/>
      <c r="C3109" s="2" t="s">
        <v>3104</v>
      </c>
      <c r="D3109" s="1"/>
      <c r="E3109" s="11">
        <f t="shared" si="241"/>
        <v>22</v>
      </c>
      <c r="F3109" s="12">
        <f t="shared" si="242"/>
        <v>50</v>
      </c>
      <c r="G3109" s="12" t="str">
        <f t="shared" si="243"/>
        <v>Warning</v>
      </c>
      <c r="H3109" s="13">
        <f t="shared" si="244"/>
        <v>6</v>
      </c>
      <c r="I3109" s="14">
        <f t="shared" si="240"/>
        <v>1776.2199999999998</v>
      </c>
      <c r="K3109" t="str">
        <f>[1]!revcom(C3109)</f>
        <v>GCGTTA</v>
      </c>
      <c r="L3109">
        <v>6</v>
      </c>
    </row>
    <row r="3110" spans="1:12" ht="15.6" x14ac:dyDescent="0.3">
      <c r="A3110" s="9">
        <v>3099</v>
      </c>
      <c r="B3110" s="1"/>
      <c r="C3110" s="2" t="s">
        <v>3105</v>
      </c>
      <c r="D3110" s="1"/>
      <c r="E3110" s="11">
        <f t="shared" si="241"/>
        <v>22</v>
      </c>
      <c r="F3110" s="12">
        <f t="shared" si="242"/>
        <v>50</v>
      </c>
      <c r="G3110" s="12" t="str">
        <f t="shared" si="243"/>
        <v>Warning</v>
      </c>
      <c r="H3110" s="13">
        <f t="shared" si="244"/>
        <v>6</v>
      </c>
      <c r="I3110" s="14">
        <f t="shared" si="240"/>
        <v>1816.25</v>
      </c>
      <c r="K3110" t="str">
        <f>[1]!revcom(C3110)</f>
        <v>CCGTTA</v>
      </c>
      <c r="L3110">
        <v>6</v>
      </c>
    </row>
    <row r="3111" spans="1:12" ht="15.6" x14ac:dyDescent="0.3">
      <c r="A3111" s="9">
        <v>3100</v>
      </c>
      <c r="B3111" s="1"/>
      <c r="C3111" s="2" t="s">
        <v>3106</v>
      </c>
      <c r="D3111" s="1"/>
      <c r="E3111" s="11">
        <f t="shared" si="241"/>
        <v>16</v>
      </c>
      <c r="F3111" s="12">
        <f t="shared" si="242"/>
        <v>33.333333333333329</v>
      </c>
      <c r="G3111" s="12" t="str">
        <f t="shared" si="243"/>
        <v>OK</v>
      </c>
      <c r="H3111" s="13">
        <f t="shared" si="244"/>
        <v>6</v>
      </c>
      <c r="I3111" s="14">
        <f t="shared" si="240"/>
        <v>1791.23</v>
      </c>
      <c r="K3111" t="str">
        <f>[1]!revcom(C3111)</f>
        <v>ACGTTA</v>
      </c>
      <c r="L3111">
        <v>5</v>
      </c>
    </row>
    <row r="3112" spans="1:12" ht="15.6" x14ac:dyDescent="0.3">
      <c r="A3112" s="9">
        <v>3101</v>
      </c>
      <c r="B3112" s="1"/>
      <c r="C3112" s="2" t="s">
        <v>3107</v>
      </c>
      <c r="D3112" s="1"/>
      <c r="E3112" s="11">
        <f t="shared" si="241"/>
        <v>18</v>
      </c>
      <c r="F3112" s="12">
        <f t="shared" si="242"/>
        <v>16.666666666666664</v>
      </c>
      <c r="G3112" s="12" t="str">
        <f t="shared" si="243"/>
        <v>OK</v>
      </c>
      <c r="H3112" s="13">
        <f t="shared" si="244"/>
        <v>6</v>
      </c>
      <c r="I3112" s="14">
        <f t="shared" si="240"/>
        <v>1775.23</v>
      </c>
      <c r="K3112" t="str">
        <f>[1]!revcom(C3112)</f>
        <v>TAGTTA</v>
      </c>
      <c r="L3112">
        <v>5</v>
      </c>
    </row>
    <row r="3113" spans="1:12" ht="15.6" x14ac:dyDescent="0.3">
      <c r="A3113" s="9">
        <v>3102</v>
      </c>
      <c r="B3113" s="1"/>
      <c r="C3113" s="2" t="s">
        <v>3108</v>
      </c>
      <c r="D3113" s="1"/>
      <c r="E3113" s="11">
        <f t="shared" si="241"/>
        <v>16</v>
      </c>
      <c r="F3113" s="12">
        <f t="shared" si="242"/>
        <v>33.333333333333329</v>
      </c>
      <c r="G3113" s="12" t="str">
        <f t="shared" si="243"/>
        <v>OK</v>
      </c>
      <c r="H3113" s="13">
        <f t="shared" si="244"/>
        <v>6</v>
      </c>
      <c r="I3113" s="14">
        <f t="shared" si="240"/>
        <v>1751.1999999999998</v>
      </c>
      <c r="K3113" t="str">
        <f>[1]!revcom(C3113)</f>
        <v>GAGTTA</v>
      </c>
      <c r="L3113">
        <v>5</v>
      </c>
    </row>
    <row r="3114" spans="1:12" ht="15.6" x14ac:dyDescent="0.3">
      <c r="A3114" s="9">
        <v>3103</v>
      </c>
      <c r="B3114" s="1"/>
      <c r="C3114" s="2" t="s">
        <v>3109</v>
      </c>
      <c r="D3114" s="1"/>
      <c r="E3114" s="11">
        <f t="shared" si="241"/>
        <v>16</v>
      </c>
      <c r="F3114" s="12">
        <f t="shared" si="242"/>
        <v>33.333333333333329</v>
      </c>
      <c r="G3114" s="12" t="str">
        <f t="shared" si="243"/>
        <v>OK</v>
      </c>
      <c r="H3114" s="13">
        <f t="shared" si="244"/>
        <v>6</v>
      </c>
      <c r="I3114" s="14">
        <f t="shared" si="240"/>
        <v>1791.23</v>
      </c>
      <c r="K3114" t="str">
        <f>[1]!revcom(C3114)</f>
        <v>CAGTTA</v>
      </c>
      <c r="L3114">
        <v>5</v>
      </c>
    </row>
    <row r="3115" spans="1:12" ht="15.6" x14ac:dyDescent="0.3">
      <c r="A3115" s="9">
        <v>3104</v>
      </c>
      <c r="B3115" s="1"/>
      <c r="C3115" s="2" t="s">
        <v>3110</v>
      </c>
      <c r="D3115" s="1"/>
      <c r="E3115" s="11">
        <f t="shared" si="241"/>
        <v>10</v>
      </c>
      <c r="F3115" s="12">
        <f t="shared" si="242"/>
        <v>16.666666666666664</v>
      </c>
      <c r="G3115" s="12" t="str">
        <f t="shared" si="243"/>
        <v>OK</v>
      </c>
      <c r="H3115" s="13">
        <f t="shared" si="244"/>
        <v>6</v>
      </c>
      <c r="I3115" s="14">
        <f t="shared" si="240"/>
        <v>1766.21</v>
      </c>
      <c r="K3115" t="str">
        <f>[1]!revcom(C3115)</f>
        <v>AAGTTA</v>
      </c>
      <c r="L3115">
        <v>4</v>
      </c>
    </row>
    <row r="3116" spans="1:12" ht="15.6" x14ac:dyDescent="0.3">
      <c r="A3116" s="9">
        <v>3105</v>
      </c>
      <c r="B3116" s="1"/>
      <c r="C3116" s="2" t="s">
        <v>3111</v>
      </c>
      <c r="D3116" s="1"/>
      <c r="E3116" s="11">
        <f t="shared" si="241"/>
        <v>26</v>
      </c>
      <c r="F3116" s="12">
        <f t="shared" si="242"/>
        <v>16.666666666666664</v>
      </c>
      <c r="G3116" s="12" t="str">
        <f t="shared" si="243"/>
        <v>OK</v>
      </c>
      <c r="H3116" s="13">
        <f t="shared" si="244"/>
        <v>6</v>
      </c>
      <c r="I3116" s="14">
        <f t="shared" si="240"/>
        <v>1824.2799999999997</v>
      </c>
      <c r="K3116" t="str">
        <f>[1]!revcom(C3116)</f>
        <v>TTCTTA</v>
      </c>
      <c r="L3116">
        <v>7</v>
      </c>
    </row>
    <row r="3117" spans="1:12" ht="15.6" x14ac:dyDescent="0.3">
      <c r="A3117" s="9">
        <v>3106</v>
      </c>
      <c r="B3117" s="1"/>
      <c r="C3117" s="2" t="s">
        <v>3112</v>
      </c>
      <c r="D3117" s="1"/>
      <c r="E3117" s="11">
        <f t="shared" si="241"/>
        <v>24</v>
      </c>
      <c r="F3117" s="12">
        <f t="shared" si="242"/>
        <v>33.333333333333329</v>
      </c>
      <c r="G3117" s="12" t="str">
        <f t="shared" si="243"/>
        <v>OK</v>
      </c>
      <c r="H3117" s="13">
        <f t="shared" si="244"/>
        <v>6</v>
      </c>
      <c r="I3117" s="14">
        <f t="shared" si="240"/>
        <v>1800.25</v>
      </c>
      <c r="K3117" t="str">
        <f>[1]!revcom(C3117)</f>
        <v>GTCTTA</v>
      </c>
      <c r="L3117">
        <v>6</v>
      </c>
    </row>
    <row r="3118" spans="1:12" ht="15.6" x14ac:dyDescent="0.3">
      <c r="A3118" s="9">
        <v>3107</v>
      </c>
      <c r="B3118" s="1"/>
      <c r="C3118" s="2" t="s">
        <v>3113</v>
      </c>
      <c r="D3118" s="1"/>
      <c r="E3118" s="11">
        <f t="shared" si="241"/>
        <v>24</v>
      </c>
      <c r="F3118" s="12">
        <f t="shared" si="242"/>
        <v>33.333333333333329</v>
      </c>
      <c r="G3118" s="12" t="str">
        <f t="shared" si="243"/>
        <v>OK</v>
      </c>
      <c r="H3118" s="13">
        <f t="shared" si="244"/>
        <v>6</v>
      </c>
      <c r="I3118" s="14">
        <f t="shared" si="240"/>
        <v>1840.2800000000002</v>
      </c>
      <c r="K3118" t="str">
        <f>[1]!revcom(C3118)</f>
        <v>CTCTTA</v>
      </c>
      <c r="L3118">
        <v>6</v>
      </c>
    </row>
    <row r="3119" spans="1:12" ht="15.6" x14ac:dyDescent="0.3">
      <c r="A3119" s="9">
        <v>3108</v>
      </c>
      <c r="B3119" s="1"/>
      <c r="C3119" s="2" t="s">
        <v>3114</v>
      </c>
      <c r="D3119" s="1"/>
      <c r="E3119" s="11">
        <f t="shared" si="241"/>
        <v>18</v>
      </c>
      <c r="F3119" s="12">
        <f t="shared" si="242"/>
        <v>16.666666666666664</v>
      </c>
      <c r="G3119" s="12" t="str">
        <f t="shared" si="243"/>
        <v>OK</v>
      </c>
      <c r="H3119" s="13">
        <f t="shared" si="244"/>
        <v>6</v>
      </c>
      <c r="I3119" s="14">
        <f t="shared" si="240"/>
        <v>1815.2599999999998</v>
      </c>
      <c r="K3119" t="str">
        <f>[1]!revcom(C3119)</f>
        <v>ATCTTA</v>
      </c>
      <c r="L3119">
        <v>5</v>
      </c>
    </row>
    <row r="3120" spans="1:12" ht="15.6" x14ac:dyDescent="0.3">
      <c r="A3120" s="9">
        <v>3109</v>
      </c>
      <c r="B3120" s="1"/>
      <c r="C3120" s="2" t="s">
        <v>3115</v>
      </c>
      <c r="D3120" s="1"/>
      <c r="E3120" s="11">
        <f t="shared" si="241"/>
        <v>24</v>
      </c>
      <c r="F3120" s="12">
        <f t="shared" si="242"/>
        <v>33.333333333333329</v>
      </c>
      <c r="G3120" s="12" t="str">
        <f t="shared" si="243"/>
        <v>OK</v>
      </c>
      <c r="H3120" s="13">
        <f t="shared" si="244"/>
        <v>6</v>
      </c>
      <c r="I3120" s="14">
        <f t="shared" si="240"/>
        <v>1800.25</v>
      </c>
      <c r="K3120" t="str">
        <f>[1]!revcom(C3120)</f>
        <v>TGCTTA</v>
      </c>
      <c r="L3120">
        <v>6</v>
      </c>
    </row>
    <row r="3121" spans="1:12" ht="15.6" x14ac:dyDescent="0.3">
      <c r="A3121" s="9">
        <v>3110</v>
      </c>
      <c r="B3121" s="1"/>
      <c r="C3121" s="2" t="s">
        <v>3116</v>
      </c>
      <c r="D3121" s="1"/>
      <c r="E3121" s="11">
        <f t="shared" si="241"/>
        <v>22</v>
      </c>
      <c r="F3121" s="12">
        <f t="shared" si="242"/>
        <v>50</v>
      </c>
      <c r="G3121" s="12" t="str">
        <f t="shared" si="243"/>
        <v>Warning</v>
      </c>
      <c r="H3121" s="13">
        <f t="shared" si="244"/>
        <v>6</v>
      </c>
      <c r="I3121" s="14">
        <f t="shared" si="240"/>
        <v>1776.2199999999998</v>
      </c>
      <c r="K3121" t="str">
        <f>[1]!revcom(C3121)</f>
        <v>GGCTTA</v>
      </c>
      <c r="L3121">
        <v>6</v>
      </c>
    </row>
    <row r="3122" spans="1:12" ht="15.6" x14ac:dyDescent="0.3">
      <c r="A3122" s="9">
        <v>3111</v>
      </c>
      <c r="B3122" s="1"/>
      <c r="C3122" s="2" t="s">
        <v>3117</v>
      </c>
      <c r="D3122" s="1"/>
      <c r="E3122" s="11">
        <f t="shared" si="241"/>
        <v>22</v>
      </c>
      <c r="F3122" s="12">
        <f t="shared" si="242"/>
        <v>50</v>
      </c>
      <c r="G3122" s="12" t="str">
        <f t="shared" si="243"/>
        <v>Warning</v>
      </c>
      <c r="H3122" s="13">
        <f t="shared" si="244"/>
        <v>6</v>
      </c>
      <c r="I3122" s="14">
        <f t="shared" si="240"/>
        <v>1816.25</v>
      </c>
      <c r="K3122" t="str">
        <f>[1]!revcom(C3122)</f>
        <v>CGCTTA</v>
      </c>
      <c r="L3122">
        <v>6</v>
      </c>
    </row>
    <row r="3123" spans="1:12" ht="15.6" x14ac:dyDescent="0.3">
      <c r="A3123" s="9">
        <v>3112</v>
      </c>
      <c r="B3123" s="1"/>
      <c r="C3123" s="2" t="s">
        <v>3118</v>
      </c>
      <c r="D3123" s="1"/>
      <c r="E3123" s="11">
        <f t="shared" si="241"/>
        <v>16</v>
      </c>
      <c r="F3123" s="12">
        <f t="shared" si="242"/>
        <v>33.333333333333329</v>
      </c>
      <c r="G3123" s="12" t="str">
        <f t="shared" si="243"/>
        <v>OK</v>
      </c>
      <c r="H3123" s="13">
        <f t="shared" si="244"/>
        <v>6</v>
      </c>
      <c r="I3123" s="14">
        <f t="shared" si="240"/>
        <v>1791.23</v>
      </c>
      <c r="K3123" t="str">
        <f>[1]!revcom(C3123)</f>
        <v>AGCTTA</v>
      </c>
      <c r="L3123">
        <v>5</v>
      </c>
    </row>
    <row r="3124" spans="1:12" ht="15.6" x14ac:dyDescent="0.3">
      <c r="A3124" s="9">
        <v>3113</v>
      </c>
      <c r="B3124" s="1"/>
      <c r="C3124" s="2" t="s">
        <v>3119</v>
      </c>
      <c r="D3124" s="1"/>
      <c r="E3124" s="11">
        <f t="shared" si="241"/>
        <v>24</v>
      </c>
      <c r="F3124" s="12">
        <f t="shared" si="242"/>
        <v>33.333333333333329</v>
      </c>
      <c r="G3124" s="12" t="str">
        <f t="shared" si="243"/>
        <v>OK</v>
      </c>
      <c r="H3124" s="13">
        <f t="shared" si="244"/>
        <v>6</v>
      </c>
      <c r="I3124" s="14">
        <f t="shared" si="240"/>
        <v>1840.2800000000002</v>
      </c>
      <c r="K3124" t="str">
        <f>[1]!revcom(C3124)</f>
        <v>TCCTTA</v>
      </c>
      <c r="L3124">
        <v>6</v>
      </c>
    </row>
    <row r="3125" spans="1:12" ht="15.6" x14ac:dyDescent="0.3">
      <c r="A3125" s="9">
        <v>3114</v>
      </c>
      <c r="B3125" s="1"/>
      <c r="C3125" s="2" t="s">
        <v>3120</v>
      </c>
      <c r="D3125" s="1"/>
      <c r="E3125" s="11">
        <f t="shared" si="241"/>
        <v>22</v>
      </c>
      <c r="F3125" s="12">
        <f t="shared" si="242"/>
        <v>50</v>
      </c>
      <c r="G3125" s="12" t="str">
        <f t="shared" si="243"/>
        <v>Warning</v>
      </c>
      <c r="H3125" s="13">
        <f t="shared" si="244"/>
        <v>6</v>
      </c>
      <c r="I3125" s="14">
        <f t="shared" si="240"/>
        <v>1816.25</v>
      </c>
      <c r="K3125" t="str">
        <f>[1]!revcom(C3125)</f>
        <v>GCCTTA</v>
      </c>
      <c r="L3125">
        <v>6</v>
      </c>
    </row>
    <row r="3126" spans="1:12" ht="15.6" x14ac:dyDescent="0.3">
      <c r="A3126" s="9">
        <v>3115</v>
      </c>
      <c r="B3126" s="1"/>
      <c r="C3126" s="2" t="s">
        <v>3121</v>
      </c>
      <c r="D3126" s="1"/>
      <c r="E3126" s="11">
        <f t="shared" si="241"/>
        <v>22</v>
      </c>
      <c r="F3126" s="12">
        <f t="shared" si="242"/>
        <v>50</v>
      </c>
      <c r="G3126" s="12" t="str">
        <f t="shared" si="243"/>
        <v>Warning</v>
      </c>
      <c r="H3126" s="13">
        <f t="shared" si="244"/>
        <v>6</v>
      </c>
      <c r="I3126" s="14">
        <f t="shared" si="240"/>
        <v>1856.2800000000002</v>
      </c>
      <c r="K3126" t="str">
        <f>[1]!revcom(C3126)</f>
        <v>CCCTTA</v>
      </c>
      <c r="L3126">
        <v>6</v>
      </c>
    </row>
    <row r="3127" spans="1:12" ht="15.6" x14ac:dyDescent="0.3">
      <c r="A3127" s="9">
        <v>3116</v>
      </c>
      <c r="B3127" s="1"/>
      <c r="C3127" s="2" t="s">
        <v>3122</v>
      </c>
      <c r="D3127" s="1"/>
      <c r="E3127" s="11">
        <f t="shared" si="241"/>
        <v>16</v>
      </c>
      <c r="F3127" s="12">
        <f t="shared" si="242"/>
        <v>33.333333333333329</v>
      </c>
      <c r="G3127" s="12" t="str">
        <f t="shared" si="243"/>
        <v>OK</v>
      </c>
      <c r="H3127" s="13">
        <f t="shared" si="244"/>
        <v>6</v>
      </c>
      <c r="I3127" s="14">
        <f t="shared" si="240"/>
        <v>1831.2600000000002</v>
      </c>
      <c r="K3127" t="str">
        <f>[1]!revcom(C3127)</f>
        <v>ACCTTA</v>
      </c>
      <c r="L3127">
        <v>5</v>
      </c>
    </row>
    <row r="3128" spans="1:12" ht="15.6" x14ac:dyDescent="0.3">
      <c r="A3128" s="9">
        <v>3117</v>
      </c>
      <c r="B3128" s="1"/>
      <c r="C3128" s="2" t="s">
        <v>3123</v>
      </c>
      <c r="D3128" s="1"/>
      <c r="E3128" s="11">
        <f t="shared" si="241"/>
        <v>18</v>
      </c>
      <c r="F3128" s="12">
        <f t="shared" si="242"/>
        <v>16.666666666666664</v>
      </c>
      <c r="G3128" s="12" t="str">
        <f t="shared" si="243"/>
        <v>OK</v>
      </c>
      <c r="H3128" s="13">
        <f t="shared" si="244"/>
        <v>6</v>
      </c>
      <c r="I3128" s="14">
        <f t="shared" si="240"/>
        <v>1815.2599999999998</v>
      </c>
      <c r="K3128" t="str">
        <f>[1]!revcom(C3128)</f>
        <v>TACTTA</v>
      </c>
      <c r="L3128">
        <v>5</v>
      </c>
    </row>
    <row r="3129" spans="1:12" ht="15.6" x14ac:dyDescent="0.3">
      <c r="A3129" s="9">
        <v>3118</v>
      </c>
      <c r="B3129" s="1"/>
      <c r="C3129" s="2" t="s">
        <v>3124</v>
      </c>
      <c r="D3129" s="1"/>
      <c r="E3129" s="11">
        <f t="shared" si="241"/>
        <v>16</v>
      </c>
      <c r="F3129" s="12">
        <f t="shared" si="242"/>
        <v>33.333333333333329</v>
      </c>
      <c r="G3129" s="12" t="str">
        <f t="shared" si="243"/>
        <v>OK</v>
      </c>
      <c r="H3129" s="13">
        <f t="shared" si="244"/>
        <v>6</v>
      </c>
      <c r="I3129" s="14">
        <f t="shared" si="240"/>
        <v>1791.23</v>
      </c>
      <c r="K3129" t="str">
        <f>[1]!revcom(C3129)</f>
        <v>GACTTA</v>
      </c>
      <c r="L3129">
        <v>5</v>
      </c>
    </row>
    <row r="3130" spans="1:12" ht="15.6" x14ac:dyDescent="0.3">
      <c r="A3130" s="9">
        <v>3119</v>
      </c>
      <c r="B3130" s="1"/>
      <c r="C3130" s="2" t="s">
        <v>3125</v>
      </c>
      <c r="D3130" s="1"/>
      <c r="E3130" s="11">
        <f t="shared" si="241"/>
        <v>16</v>
      </c>
      <c r="F3130" s="12">
        <f t="shared" si="242"/>
        <v>33.333333333333329</v>
      </c>
      <c r="G3130" s="12" t="str">
        <f t="shared" si="243"/>
        <v>OK</v>
      </c>
      <c r="H3130" s="13">
        <f t="shared" si="244"/>
        <v>6</v>
      </c>
      <c r="I3130" s="14">
        <f t="shared" si="240"/>
        <v>1831.2600000000002</v>
      </c>
      <c r="K3130" t="str">
        <f>[1]!revcom(C3130)</f>
        <v>CACTTA</v>
      </c>
      <c r="L3130">
        <v>5</v>
      </c>
    </row>
    <row r="3131" spans="1:12" ht="15.6" x14ac:dyDescent="0.3">
      <c r="A3131" s="9">
        <v>3120</v>
      </c>
      <c r="B3131" s="1"/>
      <c r="C3131" s="2" t="s">
        <v>3126</v>
      </c>
      <c r="D3131" s="1"/>
      <c r="E3131" s="11">
        <f t="shared" si="241"/>
        <v>10</v>
      </c>
      <c r="F3131" s="12">
        <f t="shared" si="242"/>
        <v>16.666666666666664</v>
      </c>
      <c r="G3131" s="12" t="str">
        <f t="shared" si="243"/>
        <v>OK</v>
      </c>
      <c r="H3131" s="13">
        <f t="shared" si="244"/>
        <v>6</v>
      </c>
      <c r="I3131" s="14">
        <f t="shared" si="240"/>
        <v>1806.2399999999998</v>
      </c>
      <c r="K3131" t="str">
        <f>[1]!revcom(C3131)</f>
        <v>AACTTA</v>
      </c>
      <c r="L3131">
        <v>4</v>
      </c>
    </row>
    <row r="3132" spans="1:12" ht="15.6" x14ac:dyDescent="0.3">
      <c r="A3132" s="9">
        <v>3121</v>
      </c>
      <c r="B3132" s="1"/>
      <c r="C3132" s="2" t="s">
        <v>3127</v>
      </c>
      <c r="D3132" s="1"/>
      <c r="E3132" s="11">
        <f t="shared" si="241"/>
        <v>20</v>
      </c>
      <c r="F3132" s="12">
        <f t="shared" si="242"/>
        <v>0</v>
      </c>
      <c r="G3132" s="12" t="str">
        <f t="shared" si="243"/>
        <v>OK</v>
      </c>
      <c r="H3132" s="13">
        <f t="shared" si="244"/>
        <v>6</v>
      </c>
      <c r="I3132" s="14">
        <f t="shared" si="240"/>
        <v>1799.2599999999998</v>
      </c>
      <c r="K3132" t="str">
        <f>[1]!revcom(C3132)</f>
        <v>TTATTA</v>
      </c>
      <c r="L3132">
        <v>6</v>
      </c>
    </row>
    <row r="3133" spans="1:12" ht="15.6" x14ac:dyDescent="0.3">
      <c r="A3133" s="9">
        <v>3122</v>
      </c>
      <c r="B3133" s="1"/>
      <c r="C3133" s="2" t="s">
        <v>3128</v>
      </c>
      <c r="D3133" s="1"/>
      <c r="E3133" s="11">
        <f t="shared" si="241"/>
        <v>18</v>
      </c>
      <c r="F3133" s="12">
        <f t="shared" si="242"/>
        <v>16.666666666666664</v>
      </c>
      <c r="G3133" s="12" t="str">
        <f t="shared" si="243"/>
        <v>OK</v>
      </c>
      <c r="H3133" s="13">
        <f t="shared" si="244"/>
        <v>6</v>
      </c>
      <c r="I3133" s="14">
        <f t="shared" si="240"/>
        <v>1775.23</v>
      </c>
      <c r="K3133" t="str">
        <f>[1]!revcom(C3133)</f>
        <v>GTATTA</v>
      </c>
      <c r="L3133">
        <v>5</v>
      </c>
    </row>
    <row r="3134" spans="1:12" ht="15.6" x14ac:dyDescent="0.3">
      <c r="A3134" s="9">
        <v>3123</v>
      </c>
      <c r="B3134" s="1"/>
      <c r="C3134" s="2" t="s">
        <v>3129</v>
      </c>
      <c r="D3134" s="1"/>
      <c r="E3134" s="11">
        <f t="shared" si="241"/>
        <v>18</v>
      </c>
      <c r="F3134" s="12">
        <f t="shared" si="242"/>
        <v>16.666666666666664</v>
      </c>
      <c r="G3134" s="12" t="str">
        <f t="shared" si="243"/>
        <v>OK</v>
      </c>
      <c r="H3134" s="13">
        <f t="shared" si="244"/>
        <v>6</v>
      </c>
      <c r="I3134" s="14">
        <f t="shared" si="240"/>
        <v>1815.2599999999998</v>
      </c>
      <c r="K3134" t="str">
        <f>[1]!revcom(C3134)</f>
        <v>CTATTA</v>
      </c>
      <c r="L3134">
        <v>5</v>
      </c>
    </row>
    <row r="3135" spans="1:12" ht="15.6" x14ac:dyDescent="0.3">
      <c r="A3135" s="9">
        <v>3124</v>
      </c>
      <c r="B3135" s="1"/>
      <c r="C3135" s="2" t="s">
        <v>3130</v>
      </c>
      <c r="D3135" s="1"/>
      <c r="E3135" s="11">
        <f t="shared" si="241"/>
        <v>12</v>
      </c>
      <c r="F3135" s="12">
        <f t="shared" si="242"/>
        <v>0</v>
      </c>
      <c r="G3135" s="12" t="str">
        <f t="shared" si="243"/>
        <v>OK</v>
      </c>
      <c r="H3135" s="13">
        <f t="shared" si="244"/>
        <v>6</v>
      </c>
      <c r="I3135" s="14">
        <f t="shared" si="240"/>
        <v>1790.2399999999998</v>
      </c>
      <c r="K3135" t="str">
        <f>[1]!revcom(C3135)</f>
        <v>ATATTA</v>
      </c>
      <c r="L3135">
        <v>4</v>
      </c>
    </row>
    <row r="3136" spans="1:12" ht="15.6" x14ac:dyDescent="0.3">
      <c r="A3136" s="9">
        <v>3125</v>
      </c>
      <c r="B3136" s="1"/>
      <c r="C3136" s="2" t="s">
        <v>3131</v>
      </c>
      <c r="D3136" s="1"/>
      <c r="E3136" s="11">
        <f t="shared" si="241"/>
        <v>18</v>
      </c>
      <c r="F3136" s="12">
        <f t="shared" si="242"/>
        <v>16.666666666666664</v>
      </c>
      <c r="G3136" s="12" t="str">
        <f t="shared" si="243"/>
        <v>OK</v>
      </c>
      <c r="H3136" s="13">
        <f t="shared" si="244"/>
        <v>6</v>
      </c>
      <c r="I3136" s="14">
        <f t="shared" si="240"/>
        <v>1775.23</v>
      </c>
      <c r="K3136" t="str">
        <f>[1]!revcom(C3136)</f>
        <v>TGATTA</v>
      </c>
      <c r="L3136">
        <v>5</v>
      </c>
    </row>
    <row r="3137" spans="1:12" ht="15.6" x14ac:dyDescent="0.3">
      <c r="A3137" s="9">
        <v>3126</v>
      </c>
      <c r="B3137" s="1"/>
      <c r="C3137" s="2" t="s">
        <v>3132</v>
      </c>
      <c r="D3137" s="1"/>
      <c r="E3137" s="11">
        <f t="shared" si="241"/>
        <v>16</v>
      </c>
      <c r="F3137" s="12">
        <f t="shared" si="242"/>
        <v>33.333333333333329</v>
      </c>
      <c r="G3137" s="12" t="str">
        <f t="shared" si="243"/>
        <v>OK</v>
      </c>
      <c r="H3137" s="13">
        <f t="shared" si="244"/>
        <v>6</v>
      </c>
      <c r="I3137" s="14">
        <f t="shared" si="240"/>
        <v>1751.1999999999998</v>
      </c>
      <c r="K3137" t="str">
        <f>[1]!revcom(C3137)</f>
        <v>GGATTA</v>
      </c>
      <c r="L3137">
        <v>5</v>
      </c>
    </row>
    <row r="3138" spans="1:12" ht="15.6" x14ac:dyDescent="0.3">
      <c r="A3138" s="9">
        <v>3127</v>
      </c>
      <c r="B3138" s="1"/>
      <c r="C3138" s="2" t="s">
        <v>3133</v>
      </c>
      <c r="D3138" s="1"/>
      <c r="E3138" s="11">
        <f t="shared" si="241"/>
        <v>16</v>
      </c>
      <c r="F3138" s="12">
        <f t="shared" si="242"/>
        <v>33.333333333333329</v>
      </c>
      <c r="G3138" s="12" t="str">
        <f t="shared" si="243"/>
        <v>OK</v>
      </c>
      <c r="H3138" s="13">
        <f t="shared" si="244"/>
        <v>6</v>
      </c>
      <c r="I3138" s="14">
        <f t="shared" si="240"/>
        <v>1791.23</v>
      </c>
      <c r="K3138" t="str">
        <f>[1]!revcom(C3138)</f>
        <v>CGATTA</v>
      </c>
      <c r="L3138">
        <v>5</v>
      </c>
    </row>
    <row r="3139" spans="1:12" ht="15.6" x14ac:dyDescent="0.3">
      <c r="A3139" s="9">
        <v>3128</v>
      </c>
      <c r="B3139" s="1"/>
      <c r="C3139" s="2" t="s">
        <v>3134</v>
      </c>
      <c r="D3139" s="1"/>
      <c r="E3139" s="11">
        <f t="shared" si="241"/>
        <v>10</v>
      </c>
      <c r="F3139" s="12">
        <f t="shared" si="242"/>
        <v>16.666666666666664</v>
      </c>
      <c r="G3139" s="12" t="str">
        <f t="shared" si="243"/>
        <v>OK</v>
      </c>
      <c r="H3139" s="13">
        <f t="shared" si="244"/>
        <v>6</v>
      </c>
      <c r="I3139" s="14">
        <f t="shared" si="240"/>
        <v>1766.21</v>
      </c>
      <c r="K3139" t="str">
        <f>[1]!revcom(C3139)</f>
        <v>AGATTA</v>
      </c>
      <c r="L3139">
        <v>4</v>
      </c>
    </row>
    <row r="3140" spans="1:12" ht="15.6" x14ac:dyDescent="0.3">
      <c r="A3140" s="9">
        <v>3129</v>
      </c>
      <c r="B3140" s="1"/>
      <c r="C3140" s="2" t="s">
        <v>3135</v>
      </c>
      <c r="D3140" s="1"/>
      <c r="E3140" s="11">
        <f t="shared" si="241"/>
        <v>18</v>
      </c>
      <c r="F3140" s="12">
        <f t="shared" si="242"/>
        <v>16.666666666666664</v>
      </c>
      <c r="G3140" s="12" t="str">
        <f t="shared" si="243"/>
        <v>OK</v>
      </c>
      <c r="H3140" s="13">
        <f t="shared" si="244"/>
        <v>6</v>
      </c>
      <c r="I3140" s="14">
        <f t="shared" si="240"/>
        <v>1815.2599999999998</v>
      </c>
      <c r="K3140" t="str">
        <f>[1]!revcom(C3140)</f>
        <v>TCATTA</v>
      </c>
      <c r="L3140">
        <v>5</v>
      </c>
    </row>
    <row r="3141" spans="1:12" ht="15.6" x14ac:dyDescent="0.3">
      <c r="A3141" s="9">
        <v>3130</v>
      </c>
      <c r="B3141" s="1"/>
      <c r="C3141" s="2" t="s">
        <v>3136</v>
      </c>
      <c r="D3141" s="1"/>
      <c r="E3141" s="11">
        <f t="shared" si="241"/>
        <v>16</v>
      </c>
      <c r="F3141" s="12">
        <f t="shared" si="242"/>
        <v>33.333333333333329</v>
      </c>
      <c r="G3141" s="12" t="str">
        <f t="shared" si="243"/>
        <v>OK</v>
      </c>
      <c r="H3141" s="13">
        <f t="shared" si="244"/>
        <v>6</v>
      </c>
      <c r="I3141" s="14">
        <f t="shared" si="240"/>
        <v>1791.23</v>
      </c>
      <c r="K3141" t="str">
        <f>[1]!revcom(C3141)</f>
        <v>GCATTA</v>
      </c>
      <c r="L3141">
        <v>5</v>
      </c>
    </row>
    <row r="3142" spans="1:12" ht="15.6" x14ac:dyDescent="0.3">
      <c r="A3142" s="9">
        <v>3131</v>
      </c>
      <c r="B3142" s="1"/>
      <c r="C3142" s="2" t="s">
        <v>3137</v>
      </c>
      <c r="D3142" s="1"/>
      <c r="E3142" s="11">
        <f t="shared" si="241"/>
        <v>16</v>
      </c>
      <c r="F3142" s="12">
        <f t="shared" si="242"/>
        <v>33.333333333333329</v>
      </c>
      <c r="G3142" s="12" t="str">
        <f t="shared" si="243"/>
        <v>OK</v>
      </c>
      <c r="H3142" s="13">
        <f t="shared" si="244"/>
        <v>6</v>
      </c>
      <c r="I3142" s="14">
        <f t="shared" si="240"/>
        <v>1831.2600000000002</v>
      </c>
      <c r="K3142" t="str">
        <f>[1]!revcom(C3142)</f>
        <v>CCATTA</v>
      </c>
      <c r="L3142">
        <v>5</v>
      </c>
    </row>
    <row r="3143" spans="1:12" ht="15.6" x14ac:dyDescent="0.3">
      <c r="A3143" s="9">
        <v>3132</v>
      </c>
      <c r="B3143" s="1"/>
      <c r="C3143" s="2" t="s">
        <v>3138</v>
      </c>
      <c r="D3143" s="1"/>
      <c r="E3143" s="11">
        <f t="shared" si="241"/>
        <v>10</v>
      </c>
      <c r="F3143" s="12">
        <f t="shared" si="242"/>
        <v>16.666666666666664</v>
      </c>
      <c r="G3143" s="12" t="str">
        <f t="shared" si="243"/>
        <v>OK</v>
      </c>
      <c r="H3143" s="13">
        <f t="shared" si="244"/>
        <v>6</v>
      </c>
      <c r="I3143" s="14">
        <f t="shared" si="240"/>
        <v>1806.2399999999998</v>
      </c>
      <c r="K3143" t="str">
        <f>[1]!revcom(C3143)</f>
        <v>ACATTA</v>
      </c>
      <c r="L3143">
        <v>4</v>
      </c>
    </row>
    <row r="3144" spans="1:12" ht="15.6" x14ac:dyDescent="0.3">
      <c r="A3144" s="9">
        <v>3133</v>
      </c>
      <c r="B3144" s="1"/>
      <c r="C3144" s="2" t="s">
        <v>3139</v>
      </c>
      <c r="D3144" s="1"/>
      <c r="E3144" s="11">
        <f t="shared" si="241"/>
        <v>12</v>
      </c>
      <c r="F3144" s="12">
        <f t="shared" si="242"/>
        <v>0</v>
      </c>
      <c r="G3144" s="12" t="str">
        <f t="shared" si="243"/>
        <v>OK</v>
      </c>
      <c r="H3144" s="13">
        <f t="shared" si="244"/>
        <v>6</v>
      </c>
      <c r="I3144" s="14">
        <f t="shared" si="240"/>
        <v>1790.2399999999998</v>
      </c>
      <c r="K3144" t="str">
        <f>[1]!revcom(C3144)</f>
        <v>TAATTA</v>
      </c>
      <c r="L3144">
        <v>4</v>
      </c>
    </row>
    <row r="3145" spans="1:12" ht="15.6" x14ac:dyDescent="0.3">
      <c r="A3145" s="9">
        <v>3134</v>
      </c>
      <c r="B3145" s="1"/>
      <c r="C3145" s="2" t="s">
        <v>3140</v>
      </c>
      <c r="D3145" s="1"/>
      <c r="E3145" s="11">
        <f t="shared" si="241"/>
        <v>10</v>
      </c>
      <c r="F3145" s="12">
        <f t="shared" si="242"/>
        <v>16.666666666666664</v>
      </c>
      <c r="G3145" s="12" t="str">
        <f t="shared" si="243"/>
        <v>OK</v>
      </c>
      <c r="H3145" s="13">
        <f t="shared" si="244"/>
        <v>6</v>
      </c>
      <c r="I3145" s="14">
        <f t="shared" si="240"/>
        <v>1766.21</v>
      </c>
      <c r="K3145" t="str">
        <f>[1]!revcom(C3145)</f>
        <v>GAATTA</v>
      </c>
      <c r="L3145">
        <v>4</v>
      </c>
    </row>
    <row r="3146" spans="1:12" ht="15.6" x14ac:dyDescent="0.3">
      <c r="A3146" s="9">
        <v>3135</v>
      </c>
      <c r="B3146" s="1"/>
      <c r="C3146" s="2" t="s">
        <v>3141</v>
      </c>
      <c r="D3146" s="1"/>
      <c r="E3146" s="11">
        <f t="shared" si="241"/>
        <v>10</v>
      </c>
      <c r="F3146" s="12">
        <f t="shared" si="242"/>
        <v>16.666666666666664</v>
      </c>
      <c r="G3146" s="12" t="str">
        <f t="shared" si="243"/>
        <v>OK</v>
      </c>
      <c r="H3146" s="13">
        <f t="shared" si="244"/>
        <v>6</v>
      </c>
      <c r="I3146" s="14">
        <f t="shared" si="240"/>
        <v>1806.2399999999998</v>
      </c>
      <c r="K3146" t="str">
        <f>[1]!revcom(C3146)</f>
        <v>CAATTA</v>
      </c>
      <c r="L3146">
        <v>4</v>
      </c>
    </row>
    <row r="3147" spans="1:12" ht="15.6" x14ac:dyDescent="0.3">
      <c r="A3147" s="9">
        <v>3136</v>
      </c>
      <c r="B3147" s="1"/>
      <c r="C3147" s="2" t="s">
        <v>3142</v>
      </c>
      <c r="D3147" s="1"/>
      <c r="E3147" s="11">
        <f t="shared" si="241"/>
        <v>4</v>
      </c>
      <c r="F3147" s="12">
        <f t="shared" si="242"/>
        <v>0</v>
      </c>
      <c r="G3147" s="12" t="str">
        <f t="shared" si="243"/>
        <v>OK</v>
      </c>
      <c r="H3147" s="13">
        <f t="shared" si="244"/>
        <v>6</v>
      </c>
      <c r="I3147" s="14">
        <f t="shared" si="240"/>
        <v>1781.2199999999998</v>
      </c>
      <c r="K3147" t="str">
        <f>[1]!revcom(C3147)</f>
        <v>AAATTA</v>
      </c>
      <c r="L3147">
        <v>3</v>
      </c>
    </row>
    <row r="3148" spans="1:12" ht="15.6" x14ac:dyDescent="0.3">
      <c r="A3148" s="9">
        <v>3137</v>
      </c>
      <c r="B3148" s="1"/>
      <c r="C3148" s="2" t="s">
        <v>3143</v>
      </c>
      <c r="D3148" s="1"/>
      <c r="E3148" s="11">
        <f t="shared" si="241"/>
        <v>26</v>
      </c>
      <c r="F3148" s="12">
        <f t="shared" si="242"/>
        <v>16.666666666666664</v>
      </c>
      <c r="G3148" s="12" t="str">
        <f t="shared" si="243"/>
        <v>OK</v>
      </c>
      <c r="H3148" s="13">
        <f t="shared" si="244"/>
        <v>6</v>
      </c>
      <c r="I3148" s="14">
        <f t="shared" si="240"/>
        <v>1784.25</v>
      </c>
      <c r="K3148" t="str">
        <f>[1]!revcom(C3148)</f>
        <v>TTTGTA</v>
      </c>
      <c r="L3148">
        <v>7</v>
      </c>
    </row>
    <row r="3149" spans="1:12" ht="15.6" x14ac:dyDescent="0.3">
      <c r="A3149" s="9">
        <v>3138</v>
      </c>
      <c r="B3149" s="1"/>
      <c r="C3149" s="2" t="s">
        <v>3144</v>
      </c>
      <c r="D3149" s="1"/>
      <c r="E3149" s="11">
        <f t="shared" si="241"/>
        <v>24</v>
      </c>
      <c r="F3149" s="12">
        <f t="shared" si="242"/>
        <v>33.333333333333329</v>
      </c>
      <c r="G3149" s="12" t="str">
        <f t="shared" si="243"/>
        <v>OK</v>
      </c>
      <c r="H3149" s="13">
        <f t="shared" si="244"/>
        <v>6</v>
      </c>
      <c r="I3149" s="14">
        <f t="shared" ref="I3149:I3212" si="245">((LEN(C3149)-(LEN(SUBSTITUTE(C3149,"A",""))))*249.23)+((LEN(C3149)-(LEN(SUBSTITUTE(C3149,"T",""))))*240.21)+((LEN(C3149)-(LEN(SUBSTITUTE(C3149,"C",""))))*225.2)+((LEN(C3149)-(LEN(SUBSTITUTE(C3149,"G",""))))*265.23)+(63.98*(LEN(C3149)-1)+(2.02))</f>
        <v>1760.2199999999998</v>
      </c>
      <c r="K3149" t="str">
        <f>[1]!revcom(C3149)</f>
        <v>GTTGTA</v>
      </c>
      <c r="L3149">
        <v>6</v>
      </c>
    </row>
    <row r="3150" spans="1:12" ht="15.6" x14ac:dyDescent="0.3">
      <c r="A3150" s="9">
        <v>3139</v>
      </c>
      <c r="B3150" s="1"/>
      <c r="C3150" s="2" t="s">
        <v>3145</v>
      </c>
      <c r="D3150" s="1"/>
      <c r="E3150" s="11">
        <f t="shared" ref="E3150:E3213" si="246">IF(LEN(C3150)&gt;15,(69.3+((41*((LEN(C3150)-(((LEN(C3150)-(LEN(SUBSTITUTE(C3150,"A",""))))+((LEN(C3150)-(LEN(SUBSTITUTE(C3150,"T","")))))))))/(LEN(C3150)))-(650/(LEN(C3150))))),(2*((LEN(C3150)-(((LEN(C3150)-(LEN(SUBSTITUTE(C3150,"C",""))))+((LEN(C3150)-(LEN(SUBSTITUTE(C3150,"G",""))))))))))+(4*((LEN(C3150)-(((LEN(C3150)-(LEN(SUBSTITUTE(C3150,"T",""))))+((LEN(C3150)-(LEN(SUBSTITUTE(C3150,"T","")))))))))))</f>
        <v>24</v>
      </c>
      <c r="F3150" s="12">
        <f t="shared" ref="F3150:F3213" si="247">((LEN(C3150)- LEN(SUBSTITUTE(C3150,"G","")))+(LEN(C3150)- LEN(SUBSTITUTE(C3150,"C",""))) )/LEN(C3150)*100</f>
        <v>33.333333333333329</v>
      </c>
      <c r="G3150" s="12" t="str">
        <f t="shared" ref="G3150:G3213" si="248">IF((-5+((LEN(SUBSTITUTE(RIGHT(C3150,5),"C","")))+((LEN(SUBSTITUTE(RIGHT(C3150,5),"G",""))))))&gt;=3,"OK","Warning")</f>
        <v>OK</v>
      </c>
      <c r="H3150" s="13">
        <f t="shared" ref="H3150:H3213" si="249">LEN(C3150)</f>
        <v>6</v>
      </c>
      <c r="I3150" s="14">
        <f t="shared" si="245"/>
        <v>1800.25</v>
      </c>
      <c r="K3150" t="str">
        <f>[1]!revcom(C3150)</f>
        <v>CTTGTA</v>
      </c>
      <c r="L3150">
        <v>6</v>
      </c>
    </row>
    <row r="3151" spans="1:12" ht="15.6" x14ac:dyDescent="0.3">
      <c r="A3151" s="9">
        <v>3140</v>
      </c>
      <c r="B3151" s="1"/>
      <c r="C3151" s="2" t="s">
        <v>3146</v>
      </c>
      <c r="D3151" s="1"/>
      <c r="E3151" s="11">
        <f t="shared" si="246"/>
        <v>18</v>
      </c>
      <c r="F3151" s="12">
        <f t="shared" si="247"/>
        <v>16.666666666666664</v>
      </c>
      <c r="G3151" s="12" t="str">
        <f t="shared" si="248"/>
        <v>OK</v>
      </c>
      <c r="H3151" s="13">
        <f t="shared" si="249"/>
        <v>6</v>
      </c>
      <c r="I3151" s="14">
        <f t="shared" si="245"/>
        <v>1775.23</v>
      </c>
      <c r="K3151" t="str">
        <f>[1]!revcom(C3151)</f>
        <v>ATTGTA</v>
      </c>
      <c r="L3151">
        <v>5</v>
      </c>
    </row>
    <row r="3152" spans="1:12" ht="15.6" x14ac:dyDescent="0.3">
      <c r="A3152" s="9">
        <v>3141</v>
      </c>
      <c r="B3152" s="1"/>
      <c r="C3152" s="2" t="s">
        <v>3147</v>
      </c>
      <c r="D3152" s="1"/>
      <c r="E3152" s="11">
        <f t="shared" si="246"/>
        <v>24</v>
      </c>
      <c r="F3152" s="12">
        <f t="shared" si="247"/>
        <v>33.333333333333329</v>
      </c>
      <c r="G3152" s="12" t="str">
        <f t="shared" si="248"/>
        <v>OK</v>
      </c>
      <c r="H3152" s="13">
        <f t="shared" si="249"/>
        <v>6</v>
      </c>
      <c r="I3152" s="14">
        <f t="shared" si="245"/>
        <v>1760.2199999999998</v>
      </c>
      <c r="K3152" t="str">
        <f>[1]!revcom(C3152)</f>
        <v>TGTGTA</v>
      </c>
      <c r="L3152">
        <v>6</v>
      </c>
    </row>
    <row r="3153" spans="1:12" ht="15.6" x14ac:dyDescent="0.3">
      <c r="A3153" s="9">
        <v>3142</v>
      </c>
      <c r="B3153" s="1"/>
      <c r="C3153" s="2" t="s">
        <v>3148</v>
      </c>
      <c r="D3153" s="1"/>
      <c r="E3153" s="11">
        <f t="shared" si="246"/>
        <v>22</v>
      </c>
      <c r="F3153" s="12">
        <f t="shared" si="247"/>
        <v>50</v>
      </c>
      <c r="G3153" s="12" t="str">
        <f t="shared" si="248"/>
        <v>Warning</v>
      </c>
      <c r="H3153" s="13">
        <f t="shared" si="249"/>
        <v>6</v>
      </c>
      <c r="I3153" s="14">
        <f t="shared" si="245"/>
        <v>1736.19</v>
      </c>
      <c r="K3153" t="str">
        <f>[1]!revcom(C3153)</f>
        <v>GGTGTA</v>
      </c>
      <c r="L3153">
        <v>6</v>
      </c>
    </row>
    <row r="3154" spans="1:12" ht="15.6" x14ac:dyDescent="0.3">
      <c r="A3154" s="9">
        <v>3143</v>
      </c>
      <c r="B3154" s="1"/>
      <c r="C3154" s="2" t="s">
        <v>3149</v>
      </c>
      <c r="D3154" s="1"/>
      <c r="E3154" s="11">
        <f t="shared" si="246"/>
        <v>22</v>
      </c>
      <c r="F3154" s="12">
        <f t="shared" si="247"/>
        <v>50</v>
      </c>
      <c r="G3154" s="12" t="str">
        <f t="shared" si="248"/>
        <v>Warning</v>
      </c>
      <c r="H3154" s="13">
        <f t="shared" si="249"/>
        <v>6</v>
      </c>
      <c r="I3154" s="14">
        <f t="shared" si="245"/>
        <v>1776.2199999999998</v>
      </c>
      <c r="K3154" t="str">
        <f>[1]!revcom(C3154)</f>
        <v>CGTGTA</v>
      </c>
      <c r="L3154">
        <v>6</v>
      </c>
    </row>
    <row r="3155" spans="1:12" ht="15.6" x14ac:dyDescent="0.3">
      <c r="A3155" s="9">
        <v>3144</v>
      </c>
      <c r="B3155" s="1"/>
      <c r="C3155" s="2" t="s">
        <v>3150</v>
      </c>
      <c r="D3155" s="1"/>
      <c r="E3155" s="11">
        <f t="shared" si="246"/>
        <v>16</v>
      </c>
      <c r="F3155" s="12">
        <f t="shared" si="247"/>
        <v>33.333333333333329</v>
      </c>
      <c r="G3155" s="12" t="str">
        <f t="shared" si="248"/>
        <v>OK</v>
      </c>
      <c r="H3155" s="13">
        <f t="shared" si="249"/>
        <v>6</v>
      </c>
      <c r="I3155" s="14">
        <f t="shared" si="245"/>
        <v>1751.1999999999998</v>
      </c>
      <c r="K3155" t="str">
        <f>[1]!revcom(C3155)</f>
        <v>AGTGTA</v>
      </c>
      <c r="L3155">
        <v>5</v>
      </c>
    </row>
    <row r="3156" spans="1:12" ht="15.6" x14ac:dyDescent="0.3">
      <c r="A3156" s="9">
        <v>3145</v>
      </c>
      <c r="B3156" s="1"/>
      <c r="C3156" s="2" t="s">
        <v>3151</v>
      </c>
      <c r="D3156" s="1"/>
      <c r="E3156" s="11">
        <f t="shared" si="246"/>
        <v>24</v>
      </c>
      <c r="F3156" s="12">
        <f t="shared" si="247"/>
        <v>33.333333333333329</v>
      </c>
      <c r="G3156" s="12" t="str">
        <f t="shared" si="248"/>
        <v>OK</v>
      </c>
      <c r="H3156" s="13">
        <f t="shared" si="249"/>
        <v>6</v>
      </c>
      <c r="I3156" s="14">
        <f t="shared" si="245"/>
        <v>1800.25</v>
      </c>
      <c r="K3156" t="str">
        <f>[1]!revcom(C3156)</f>
        <v>TCTGTA</v>
      </c>
      <c r="L3156">
        <v>6</v>
      </c>
    </row>
    <row r="3157" spans="1:12" ht="15.6" x14ac:dyDescent="0.3">
      <c r="A3157" s="9">
        <v>3146</v>
      </c>
      <c r="B3157" s="1"/>
      <c r="C3157" s="2" t="s">
        <v>3152</v>
      </c>
      <c r="D3157" s="1"/>
      <c r="E3157" s="11">
        <f t="shared" si="246"/>
        <v>22</v>
      </c>
      <c r="F3157" s="12">
        <f t="shared" si="247"/>
        <v>50</v>
      </c>
      <c r="G3157" s="12" t="str">
        <f t="shared" si="248"/>
        <v>Warning</v>
      </c>
      <c r="H3157" s="13">
        <f t="shared" si="249"/>
        <v>6</v>
      </c>
      <c r="I3157" s="14">
        <f t="shared" si="245"/>
        <v>1776.2199999999998</v>
      </c>
      <c r="K3157" t="str">
        <f>[1]!revcom(C3157)</f>
        <v>GCTGTA</v>
      </c>
      <c r="L3157">
        <v>6</v>
      </c>
    </row>
    <row r="3158" spans="1:12" ht="15.6" x14ac:dyDescent="0.3">
      <c r="A3158" s="9">
        <v>3147</v>
      </c>
      <c r="B3158" s="1"/>
      <c r="C3158" s="2" t="s">
        <v>3153</v>
      </c>
      <c r="D3158" s="1"/>
      <c r="E3158" s="11">
        <f t="shared" si="246"/>
        <v>22</v>
      </c>
      <c r="F3158" s="12">
        <f t="shared" si="247"/>
        <v>50</v>
      </c>
      <c r="G3158" s="12" t="str">
        <f t="shared" si="248"/>
        <v>Warning</v>
      </c>
      <c r="H3158" s="13">
        <f t="shared" si="249"/>
        <v>6</v>
      </c>
      <c r="I3158" s="14">
        <f t="shared" si="245"/>
        <v>1816.25</v>
      </c>
      <c r="K3158" t="str">
        <f>[1]!revcom(C3158)</f>
        <v>CCTGTA</v>
      </c>
      <c r="L3158">
        <v>6</v>
      </c>
    </row>
    <row r="3159" spans="1:12" ht="15.6" x14ac:dyDescent="0.3">
      <c r="A3159" s="9">
        <v>3148</v>
      </c>
      <c r="B3159" s="1"/>
      <c r="C3159" s="2" t="s">
        <v>3154</v>
      </c>
      <c r="D3159" s="1"/>
      <c r="E3159" s="11">
        <f t="shared" si="246"/>
        <v>16</v>
      </c>
      <c r="F3159" s="12">
        <f t="shared" si="247"/>
        <v>33.333333333333329</v>
      </c>
      <c r="G3159" s="12" t="str">
        <f t="shared" si="248"/>
        <v>OK</v>
      </c>
      <c r="H3159" s="13">
        <f t="shared" si="249"/>
        <v>6</v>
      </c>
      <c r="I3159" s="14">
        <f t="shared" si="245"/>
        <v>1791.23</v>
      </c>
      <c r="K3159" t="str">
        <f>[1]!revcom(C3159)</f>
        <v>ACTGTA</v>
      </c>
      <c r="L3159">
        <v>5</v>
      </c>
    </row>
    <row r="3160" spans="1:12" ht="15.6" x14ac:dyDescent="0.3">
      <c r="A3160" s="9">
        <v>3149</v>
      </c>
      <c r="B3160" s="1"/>
      <c r="C3160" s="2" t="s">
        <v>3155</v>
      </c>
      <c r="D3160" s="1"/>
      <c r="E3160" s="11">
        <f t="shared" si="246"/>
        <v>18</v>
      </c>
      <c r="F3160" s="12">
        <f t="shared" si="247"/>
        <v>16.666666666666664</v>
      </c>
      <c r="G3160" s="12" t="str">
        <f t="shared" si="248"/>
        <v>OK</v>
      </c>
      <c r="H3160" s="13">
        <f t="shared" si="249"/>
        <v>6</v>
      </c>
      <c r="I3160" s="14">
        <f t="shared" si="245"/>
        <v>1775.23</v>
      </c>
      <c r="K3160" t="str">
        <f>[1]!revcom(C3160)</f>
        <v>TATGTA</v>
      </c>
      <c r="L3160">
        <v>5</v>
      </c>
    </row>
    <row r="3161" spans="1:12" ht="15.6" x14ac:dyDescent="0.3">
      <c r="A3161" s="9">
        <v>3150</v>
      </c>
      <c r="B3161" s="1"/>
      <c r="C3161" s="2" t="s">
        <v>3156</v>
      </c>
      <c r="D3161" s="1"/>
      <c r="E3161" s="11">
        <f t="shared" si="246"/>
        <v>16</v>
      </c>
      <c r="F3161" s="12">
        <f t="shared" si="247"/>
        <v>33.333333333333329</v>
      </c>
      <c r="G3161" s="12" t="str">
        <f t="shared" si="248"/>
        <v>OK</v>
      </c>
      <c r="H3161" s="13">
        <f t="shared" si="249"/>
        <v>6</v>
      </c>
      <c r="I3161" s="14">
        <f t="shared" si="245"/>
        <v>1751.1999999999998</v>
      </c>
      <c r="K3161" t="str">
        <f>[1]!revcom(C3161)</f>
        <v>GATGTA</v>
      </c>
      <c r="L3161">
        <v>5</v>
      </c>
    </row>
    <row r="3162" spans="1:12" ht="15.6" x14ac:dyDescent="0.3">
      <c r="A3162" s="9">
        <v>3151</v>
      </c>
      <c r="B3162" s="1"/>
      <c r="C3162" s="2" t="s">
        <v>3157</v>
      </c>
      <c r="D3162" s="1"/>
      <c r="E3162" s="11">
        <f t="shared" si="246"/>
        <v>16</v>
      </c>
      <c r="F3162" s="12">
        <f t="shared" si="247"/>
        <v>33.333333333333329</v>
      </c>
      <c r="G3162" s="12" t="str">
        <f t="shared" si="248"/>
        <v>OK</v>
      </c>
      <c r="H3162" s="13">
        <f t="shared" si="249"/>
        <v>6</v>
      </c>
      <c r="I3162" s="14">
        <f t="shared" si="245"/>
        <v>1791.23</v>
      </c>
      <c r="K3162" t="str">
        <f>[1]!revcom(C3162)</f>
        <v>CATGTA</v>
      </c>
      <c r="L3162">
        <v>5</v>
      </c>
    </row>
    <row r="3163" spans="1:12" ht="15.6" x14ac:dyDescent="0.3">
      <c r="A3163" s="9">
        <v>3152</v>
      </c>
      <c r="B3163" s="1"/>
      <c r="C3163" s="2" t="s">
        <v>3158</v>
      </c>
      <c r="D3163" s="1"/>
      <c r="E3163" s="11">
        <f t="shared" si="246"/>
        <v>10</v>
      </c>
      <c r="F3163" s="12">
        <f t="shared" si="247"/>
        <v>16.666666666666664</v>
      </c>
      <c r="G3163" s="12" t="str">
        <f t="shared" si="248"/>
        <v>OK</v>
      </c>
      <c r="H3163" s="13">
        <f t="shared" si="249"/>
        <v>6</v>
      </c>
      <c r="I3163" s="14">
        <f t="shared" si="245"/>
        <v>1766.21</v>
      </c>
      <c r="K3163" t="str">
        <f>[1]!revcom(C3163)</f>
        <v>AATGTA</v>
      </c>
      <c r="L3163">
        <v>4</v>
      </c>
    </row>
    <row r="3164" spans="1:12" ht="15.6" x14ac:dyDescent="0.3">
      <c r="A3164" s="9">
        <v>3153</v>
      </c>
      <c r="B3164" s="1"/>
      <c r="C3164" s="2" t="s">
        <v>3159</v>
      </c>
      <c r="D3164" s="1"/>
      <c r="E3164" s="11">
        <f t="shared" si="246"/>
        <v>24</v>
      </c>
      <c r="F3164" s="12">
        <f t="shared" si="247"/>
        <v>33.333333333333329</v>
      </c>
      <c r="G3164" s="12" t="str">
        <f t="shared" si="248"/>
        <v>OK</v>
      </c>
      <c r="H3164" s="13">
        <f t="shared" si="249"/>
        <v>6</v>
      </c>
      <c r="I3164" s="14">
        <f t="shared" si="245"/>
        <v>1760.2199999999998</v>
      </c>
      <c r="K3164" t="str">
        <f>[1]!revcom(C3164)</f>
        <v>TTGGTA</v>
      </c>
      <c r="L3164">
        <v>6</v>
      </c>
    </row>
    <row r="3165" spans="1:12" ht="15.6" x14ac:dyDescent="0.3">
      <c r="A3165" s="9">
        <v>3154</v>
      </c>
      <c r="B3165" s="1"/>
      <c r="C3165" s="2" t="s">
        <v>3160</v>
      </c>
      <c r="D3165" s="1"/>
      <c r="E3165" s="11">
        <f t="shared" si="246"/>
        <v>22</v>
      </c>
      <c r="F3165" s="12">
        <f t="shared" si="247"/>
        <v>50</v>
      </c>
      <c r="G3165" s="12" t="str">
        <f t="shared" si="248"/>
        <v>Warning</v>
      </c>
      <c r="H3165" s="13">
        <f t="shared" si="249"/>
        <v>6</v>
      </c>
      <c r="I3165" s="14">
        <f t="shared" si="245"/>
        <v>1736.19</v>
      </c>
      <c r="K3165" t="str">
        <f>[1]!revcom(C3165)</f>
        <v>GTGGTA</v>
      </c>
      <c r="L3165">
        <v>6</v>
      </c>
    </row>
    <row r="3166" spans="1:12" ht="15.6" x14ac:dyDescent="0.3">
      <c r="A3166" s="9">
        <v>3155</v>
      </c>
      <c r="B3166" s="1"/>
      <c r="C3166" s="2" t="s">
        <v>3161</v>
      </c>
      <c r="D3166" s="1"/>
      <c r="E3166" s="11">
        <f t="shared" si="246"/>
        <v>22</v>
      </c>
      <c r="F3166" s="12">
        <f t="shared" si="247"/>
        <v>50</v>
      </c>
      <c r="G3166" s="12" t="str">
        <f t="shared" si="248"/>
        <v>Warning</v>
      </c>
      <c r="H3166" s="13">
        <f t="shared" si="249"/>
        <v>6</v>
      </c>
      <c r="I3166" s="14">
        <f t="shared" si="245"/>
        <v>1776.2199999999998</v>
      </c>
      <c r="K3166" t="str">
        <f>[1]!revcom(C3166)</f>
        <v>CTGGTA</v>
      </c>
      <c r="L3166">
        <v>6</v>
      </c>
    </row>
    <row r="3167" spans="1:12" ht="15.6" x14ac:dyDescent="0.3">
      <c r="A3167" s="9">
        <v>3156</v>
      </c>
      <c r="B3167" s="1"/>
      <c r="C3167" s="2" t="s">
        <v>3162</v>
      </c>
      <c r="D3167" s="1"/>
      <c r="E3167" s="11">
        <f t="shared" si="246"/>
        <v>16</v>
      </c>
      <c r="F3167" s="12">
        <f t="shared" si="247"/>
        <v>33.333333333333329</v>
      </c>
      <c r="G3167" s="12" t="str">
        <f t="shared" si="248"/>
        <v>OK</v>
      </c>
      <c r="H3167" s="13">
        <f t="shared" si="249"/>
        <v>6</v>
      </c>
      <c r="I3167" s="14">
        <f t="shared" si="245"/>
        <v>1751.1999999999998</v>
      </c>
      <c r="K3167" t="str">
        <f>[1]!revcom(C3167)</f>
        <v>ATGGTA</v>
      </c>
      <c r="L3167">
        <v>5</v>
      </c>
    </row>
    <row r="3168" spans="1:12" ht="15.6" x14ac:dyDescent="0.3">
      <c r="A3168" s="9">
        <v>3157</v>
      </c>
      <c r="B3168" s="1"/>
      <c r="C3168" s="2" t="s">
        <v>3163</v>
      </c>
      <c r="D3168" s="1"/>
      <c r="E3168" s="11">
        <f t="shared" si="246"/>
        <v>22</v>
      </c>
      <c r="F3168" s="12">
        <f t="shared" si="247"/>
        <v>50</v>
      </c>
      <c r="G3168" s="12" t="str">
        <f t="shared" si="248"/>
        <v>Warning</v>
      </c>
      <c r="H3168" s="13">
        <f t="shared" si="249"/>
        <v>6</v>
      </c>
      <c r="I3168" s="14">
        <f t="shared" si="245"/>
        <v>1736.19</v>
      </c>
      <c r="K3168" t="str">
        <f>[1]!revcom(C3168)</f>
        <v>TGGGTA</v>
      </c>
      <c r="L3168">
        <v>6</v>
      </c>
    </row>
    <row r="3169" spans="1:12" ht="15.6" x14ac:dyDescent="0.3">
      <c r="A3169" s="9">
        <v>3158</v>
      </c>
      <c r="B3169" s="1"/>
      <c r="C3169" s="2" t="s">
        <v>3164</v>
      </c>
      <c r="D3169" s="1"/>
      <c r="E3169" s="11">
        <f t="shared" si="246"/>
        <v>20</v>
      </c>
      <c r="F3169" s="12">
        <f t="shared" si="247"/>
        <v>66.666666666666657</v>
      </c>
      <c r="G3169" s="12" t="str">
        <f t="shared" si="248"/>
        <v>Warning</v>
      </c>
      <c r="H3169" s="13">
        <f t="shared" si="249"/>
        <v>6</v>
      </c>
      <c r="I3169" s="14">
        <f t="shared" si="245"/>
        <v>1712.1599999999999</v>
      </c>
      <c r="K3169" t="str">
        <f>[1]!revcom(C3169)</f>
        <v>GGGGTA</v>
      </c>
      <c r="L3169">
        <v>6</v>
      </c>
    </row>
    <row r="3170" spans="1:12" ht="15.6" x14ac:dyDescent="0.3">
      <c r="A3170" s="9">
        <v>3159</v>
      </c>
      <c r="B3170" s="1"/>
      <c r="C3170" s="2" t="s">
        <v>3165</v>
      </c>
      <c r="D3170" s="1"/>
      <c r="E3170" s="11">
        <f t="shared" si="246"/>
        <v>20</v>
      </c>
      <c r="F3170" s="12">
        <f t="shared" si="247"/>
        <v>66.666666666666657</v>
      </c>
      <c r="G3170" s="12" t="str">
        <f t="shared" si="248"/>
        <v>Warning</v>
      </c>
      <c r="H3170" s="13">
        <f t="shared" si="249"/>
        <v>6</v>
      </c>
      <c r="I3170" s="14">
        <f t="shared" si="245"/>
        <v>1752.19</v>
      </c>
      <c r="K3170" t="str">
        <f>[1]!revcom(C3170)</f>
        <v>CGGGTA</v>
      </c>
      <c r="L3170">
        <v>6</v>
      </c>
    </row>
    <row r="3171" spans="1:12" ht="15.6" x14ac:dyDescent="0.3">
      <c r="A3171" s="9">
        <v>3160</v>
      </c>
      <c r="B3171" s="1"/>
      <c r="C3171" s="2" t="s">
        <v>3166</v>
      </c>
      <c r="D3171" s="1"/>
      <c r="E3171" s="11">
        <f t="shared" si="246"/>
        <v>14</v>
      </c>
      <c r="F3171" s="12">
        <f t="shared" si="247"/>
        <v>50</v>
      </c>
      <c r="G3171" s="12" t="str">
        <f t="shared" si="248"/>
        <v>Warning</v>
      </c>
      <c r="H3171" s="13">
        <f t="shared" si="249"/>
        <v>6</v>
      </c>
      <c r="I3171" s="14">
        <f t="shared" si="245"/>
        <v>1727.17</v>
      </c>
      <c r="K3171" t="str">
        <f>[1]!revcom(C3171)</f>
        <v>AGGGTA</v>
      </c>
      <c r="L3171">
        <v>5</v>
      </c>
    </row>
    <row r="3172" spans="1:12" ht="15.6" x14ac:dyDescent="0.3">
      <c r="A3172" s="9">
        <v>3161</v>
      </c>
      <c r="B3172" s="1"/>
      <c r="C3172" s="2" t="s">
        <v>3167</v>
      </c>
      <c r="D3172" s="1"/>
      <c r="E3172" s="11">
        <f t="shared" si="246"/>
        <v>22</v>
      </c>
      <c r="F3172" s="12">
        <f t="shared" si="247"/>
        <v>50</v>
      </c>
      <c r="G3172" s="12" t="str">
        <f t="shared" si="248"/>
        <v>Warning</v>
      </c>
      <c r="H3172" s="13">
        <f t="shared" si="249"/>
        <v>6</v>
      </c>
      <c r="I3172" s="14">
        <f t="shared" si="245"/>
        <v>1776.2199999999998</v>
      </c>
      <c r="K3172" t="str">
        <f>[1]!revcom(C3172)</f>
        <v>TCGGTA</v>
      </c>
      <c r="L3172">
        <v>6</v>
      </c>
    </row>
    <row r="3173" spans="1:12" ht="15.6" x14ac:dyDescent="0.3">
      <c r="A3173" s="9">
        <v>3162</v>
      </c>
      <c r="B3173" s="1"/>
      <c r="C3173" s="2" t="s">
        <v>3168</v>
      </c>
      <c r="D3173" s="1"/>
      <c r="E3173" s="11">
        <f t="shared" si="246"/>
        <v>20</v>
      </c>
      <c r="F3173" s="12">
        <f t="shared" si="247"/>
        <v>66.666666666666657</v>
      </c>
      <c r="G3173" s="12" t="str">
        <f t="shared" si="248"/>
        <v>Warning</v>
      </c>
      <c r="H3173" s="13">
        <f t="shared" si="249"/>
        <v>6</v>
      </c>
      <c r="I3173" s="14">
        <f t="shared" si="245"/>
        <v>1752.19</v>
      </c>
      <c r="K3173" t="str">
        <f>[1]!revcom(C3173)</f>
        <v>GCGGTA</v>
      </c>
      <c r="L3173">
        <v>6</v>
      </c>
    </row>
    <row r="3174" spans="1:12" ht="15.6" x14ac:dyDescent="0.3">
      <c r="A3174" s="9">
        <v>3163</v>
      </c>
      <c r="B3174" s="1"/>
      <c r="C3174" s="2" t="s">
        <v>3169</v>
      </c>
      <c r="D3174" s="1"/>
      <c r="E3174" s="11">
        <f t="shared" si="246"/>
        <v>20</v>
      </c>
      <c r="F3174" s="12">
        <f t="shared" si="247"/>
        <v>66.666666666666657</v>
      </c>
      <c r="G3174" s="12" t="str">
        <f t="shared" si="248"/>
        <v>Warning</v>
      </c>
      <c r="H3174" s="13">
        <f t="shared" si="249"/>
        <v>6</v>
      </c>
      <c r="I3174" s="14">
        <f t="shared" si="245"/>
        <v>1792.2199999999998</v>
      </c>
      <c r="K3174" t="str">
        <f>[1]!revcom(C3174)</f>
        <v>CCGGTA</v>
      </c>
      <c r="L3174">
        <v>6</v>
      </c>
    </row>
    <row r="3175" spans="1:12" ht="15.6" x14ac:dyDescent="0.3">
      <c r="A3175" s="9">
        <v>3164</v>
      </c>
      <c r="B3175" s="1"/>
      <c r="C3175" s="2" t="s">
        <v>3170</v>
      </c>
      <c r="D3175" s="1"/>
      <c r="E3175" s="11">
        <f t="shared" si="246"/>
        <v>14</v>
      </c>
      <c r="F3175" s="12">
        <f t="shared" si="247"/>
        <v>50</v>
      </c>
      <c r="G3175" s="12" t="str">
        <f t="shared" si="248"/>
        <v>Warning</v>
      </c>
      <c r="H3175" s="13">
        <f t="shared" si="249"/>
        <v>6</v>
      </c>
      <c r="I3175" s="14">
        <f t="shared" si="245"/>
        <v>1767.1999999999998</v>
      </c>
      <c r="K3175" t="str">
        <f>[1]!revcom(C3175)</f>
        <v>ACGGTA</v>
      </c>
      <c r="L3175">
        <v>5</v>
      </c>
    </row>
    <row r="3176" spans="1:12" ht="15.6" x14ac:dyDescent="0.3">
      <c r="A3176" s="9">
        <v>3165</v>
      </c>
      <c r="B3176" s="1"/>
      <c r="C3176" s="2" t="s">
        <v>3171</v>
      </c>
      <c r="D3176" s="1"/>
      <c r="E3176" s="11">
        <f t="shared" si="246"/>
        <v>16</v>
      </c>
      <c r="F3176" s="12">
        <f t="shared" si="247"/>
        <v>33.333333333333329</v>
      </c>
      <c r="G3176" s="12" t="str">
        <f t="shared" si="248"/>
        <v>OK</v>
      </c>
      <c r="H3176" s="13">
        <f t="shared" si="249"/>
        <v>6</v>
      </c>
      <c r="I3176" s="14">
        <f t="shared" si="245"/>
        <v>1751.1999999999998</v>
      </c>
      <c r="K3176" t="str">
        <f>[1]!revcom(C3176)</f>
        <v>TAGGTA</v>
      </c>
      <c r="L3176">
        <v>5</v>
      </c>
    </row>
    <row r="3177" spans="1:12" ht="15.6" x14ac:dyDescent="0.3">
      <c r="A3177" s="9">
        <v>3166</v>
      </c>
      <c r="B3177" s="1"/>
      <c r="C3177" s="2" t="s">
        <v>3172</v>
      </c>
      <c r="D3177" s="1"/>
      <c r="E3177" s="11">
        <f t="shared" si="246"/>
        <v>14</v>
      </c>
      <c r="F3177" s="12">
        <f t="shared" si="247"/>
        <v>50</v>
      </c>
      <c r="G3177" s="12" t="str">
        <f t="shared" si="248"/>
        <v>Warning</v>
      </c>
      <c r="H3177" s="13">
        <f t="shared" si="249"/>
        <v>6</v>
      </c>
      <c r="I3177" s="14">
        <f t="shared" si="245"/>
        <v>1727.17</v>
      </c>
      <c r="K3177" t="str">
        <f>[1]!revcom(C3177)</f>
        <v>GAGGTA</v>
      </c>
      <c r="L3177">
        <v>5</v>
      </c>
    </row>
    <row r="3178" spans="1:12" ht="15.6" x14ac:dyDescent="0.3">
      <c r="A3178" s="9">
        <v>3167</v>
      </c>
      <c r="B3178" s="1"/>
      <c r="C3178" s="2" t="s">
        <v>3173</v>
      </c>
      <c r="D3178" s="1"/>
      <c r="E3178" s="11">
        <f t="shared" si="246"/>
        <v>14</v>
      </c>
      <c r="F3178" s="12">
        <f t="shared" si="247"/>
        <v>50</v>
      </c>
      <c r="G3178" s="12" t="str">
        <f t="shared" si="248"/>
        <v>Warning</v>
      </c>
      <c r="H3178" s="13">
        <f t="shared" si="249"/>
        <v>6</v>
      </c>
      <c r="I3178" s="14">
        <f t="shared" si="245"/>
        <v>1767.1999999999998</v>
      </c>
      <c r="K3178" t="str">
        <f>[1]!revcom(C3178)</f>
        <v>CAGGTA</v>
      </c>
      <c r="L3178">
        <v>5</v>
      </c>
    </row>
    <row r="3179" spans="1:12" ht="15.6" x14ac:dyDescent="0.3">
      <c r="A3179" s="9">
        <v>3168</v>
      </c>
      <c r="B3179" s="1"/>
      <c r="C3179" s="2" t="s">
        <v>3174</v>
      </c>
      <c r="D3179" s="1"/>
      <c r="E3179" s="11">
        <f t="shared" si="246"/>
        <v>8</v>
      </c>
      <c r="F3179" s="12">
        <f t="shared" si="247"/>
        <v>33.333333333333329</v>
      </c>
      <c r="G3179" s="12" t="str">
        <f t="shared" si="248"/>
        <v>OK</v>
      </c>
      <c r="H3179" s="13">
        <f t="shared" si="249"/>
        <v>6</v>
      </c>
      <c r="I3179" s="14">
        <f t="shared" si="245"/>
        <v>1742.1799999999998</v>
      </c>
      <c r="K3179" t="str">
        <f>[1]!revcom(C3179)</f>
        <v>AAGGTA</v>
      </c>
      <c r="L3179">
        <v>4</v>
      </c>
    </row>
    <row r="3180" spans="1:12" ht="15.6" x14ac:dyDescent="0.3">
      <c r="A3180" s="9">
        <v>3169</v>
      </c>
      <c r="B3180" s="1"/>
      <c r="C3180" s="2" t="s">
        <v>3175</v>
      </c>
      <c r="D3180" s="1"/>
      <c r="E3180" s="11">
        <f t="shared" si="246"/>
        <v>24</v>
      </c>
      <c r="F3180" s="12">
        <f t="shared" si="247"/>
        <v>33.333333333333329</v>
      </c>
      <c r="G3180" s="12" t="str">
        <f t="shared" si="248"/>
        <v>OK</v>
      </c>
      <c r="H3180" s="13">
        <f t="shared" si="249"/>
        <v>6</v>
      </c>
      <c r="I3180" s="14">
        <f t="shared" si="245"/>
        <v>1800.25</v>
      </c>
      <c r="K3180" t="str">
        <f>[1]!revcom(C3180)</f>
        <v>TTCGTA</v>
      </c>
      <c r="L3180">
        <v>6</v>
      </c>
    </row>
    <row r="3181" spans="1:12" ht="15.6" x14ac:dyDescent="0.3">
      <c r="A3181" s="9">
        <v>3170</v>
      </c>
      <c r="B3181" s="1"/>
      <c r="C3181" s="2" t="s">
        <v>3176</v>
      </c>
      <c r="D3181" s="1"/>
      <c r="E3181" s="11">
        <f t="shared" si="246"/>
        <v>22</v>
      </c>
      <c r="F3181" s="12">
        <f t="shared" si="247"/>
        <v>50</v>
      </c>
      <c r="G3181" s="12" t="str">
        <f t="shared" si="248"/>
        <v>Warning</v>
      </c>
      <c r="H3181" s="13">
        <f t="shared" si="249"/>
        <v>6</v>
      </c>
      <c r="I3181" s="14">
        <f t="shared" si="245"/>
        <v>1776.2199999999998</v>
      </c>
      <c r="K3181" t="str">
        <f>[1]!revcom(C3181)</f>
        <v>GTCGTA</v>
      </c>
      <c r="L3181">
        <v>6</v>
      </c>
    </row>
    <row r="3182" spans="1:12" ht="15.6" x14ac:dyDescent="0.3">
      <c r="A3182" s="9">
        <v>3171</v>
      </c>
      <c r="B3182" s="1"/>
      <c r="C3182" s="2" t="s">
        <v>3177</v>
      </c>
      <c r="D3182" s="1"/>
      <c r="E3182" s="11">
        <f t="shared" si="246"/>
        <v>22</v>
      </c>
      <c r="F3182" s="12">
        <f t="shared" si="247"/>
        <v>50</v>
      </c>
      <c r="G3182" s="12" t="str">
        <f t="shared" si="248"/>
        <v>Warning</v>
      </c>
      <c r="H3182" s="13">
        <f t="shared" si="249"/>
        <v>6</v>
      </c>
      <c r="I3182" s="14">
        <f t="shared" si="245"/>
        <v>1816.25</v>
      </c>
      <c r="K3182" t="str">
        <f>[1]!revcom(C3182)</f>
        <v>CTCGTA</v>
      </c>
      <c r="L3182">
        <v>6</v>
      </c>
    </row>
    <row r="3183" spans="1:12" ht="15.6" x14ac:dyDescent="0.3">
      <c r="A3183" s="9">
        <v>3172</v>
      </c>
      <c r="B3183" s="1"/>
      <c r="C3183" s="2" t="s">
        <v>3178</v>
      </c>
      <c r="D3183" s="1"/>
      <c r="E3183" s="11">
        <f t="shared" si="246"/>
        <v>16</v>
      </c>
      <c r="F3183" s="12">
        <f t="shared" si="247"/>
        <v>33.333333333333329</v>
      </c>
      <c r="G3183" s="12" t="str">
        <f t="shared" si="248"/>
        <v>OK</v>
      </c>
      <c r="H3183" s="13">
        <f t="shared" si="249"/>
        <v>6</v>
      </c>
      <c r="I3183" s="14">
        <f t="shared" si="245"/>
        <v>1791.23</v>
      </c>
      <c r="K3183" t="str">
        <f>[1]!revcom(C3183)</f>
        <v>ATCGTA</v>
      </c>
      <c r="L3183">
        <v>5</v>
      </c>
    </row>
    <row r="3184" spans="1:12" ht="15.6" x14ac:dyDescent="0.3">
      <c r="A3184" s="9">
        <v>3173</v>
      </c>
      <c r="B3184" s="1"/>
      <c r="C3184" s="2" t="s">
        <v>3179</v>
      </c>
      <c r="D3184" s="1"/>
      <c r="E3184" s="11">
        <f t="shared" si="246"/>
        <v>22</v>
      </c>
      <c r="F3184" s="12">
        <f t="shared" si="247"/>
        <v>50</v>
      </c>
      <c r="G3184" s="12" t="str">
        <f t="shared" si="248"/>
        <v>Warning</v>
      </c>
      <c r="H3184" s="13">
        <f t="shared" si="249"/>
        <v>6</v>
      </c>
      <c r="I3184" s="14">
        <f t="shared" si="245"/>
        <v>1776.2199999999998</v>
      </c>
      <c r="K3184" t="str">
        <f>[1]!revcom(C3184)</f>
        <v>TGCGTA</v>
      </c>
      <c r="L3184">
        <v>6</v>
      </c>
    </row>
    <row r="3185" spans="1:12" ht="15.6" x14ac:dyDescent="0.3">
      <c r="A3185" s="9">
        <v>3174</v>
      </c>
      <c r="B3185" s="1"/>
      <c r="C3185" s="2" t="s">
        <v>3180</v>
      </c>
      <c r="D3185" s="1"/>
      <c r="E3185" s="11">
        <f t="shared" si="246"/>
        <v>20</v>
      </c>
      <c r="F3185" s="12">
        <f t="shared" si="247"/>
        <v>66.666666666666657</v>
      </c>
      <c r="G3185" s="12" t="str">
        <f t="shared" si="248"/>
        <v>Warning</v>
      </c>
      <c r="H3185" s="13">
        <f t="shared" si="249"/>
        <v>6</v>
      </c>
      <c r="I3185" s="14">
        <f t="shared" si="245"/>
        <v>1752.19</v>
      </c>
      <c r="K3185" t="str">
        <f>[1]!revcom(C3185)</f>
        <v>GGCGTA</v>
      </c>
      <c r="L3185">
        <v>6</v>
      </c>
    </row>
    <row r="3186" spans="1:12" ht="15.6" x14ac:dyDescent="0.3">
      <c r="A3186" s="9">
        <v>3175</v>
      </c>
      <c r="B3186" s="1"/>
      <c r="C3186" s="2" t="s">
        <v>3181</v>
      </c>
      <c r="D3186" s="1"/>
      <c r="E3186" s="11">
        <f t="shared" si="246"/>
        <v>20</v>
      </c>
      <c r="F3186" s="12">
        <f t="shared" si="247"/>
        <v>66.666666666666657</v>
      </c>
      <c r="G3186" s="12" t="str">
        <f t="shared" si="248"/>
        <v>Warning</v>
      </c>
      <c r="H3186" s="13">
        <f t="shared" si="249"/>
        <v>6</v>
      </c>
      <c r="I3186" s="14">
        <f t="shared" si="245"/>
        <v>1792.2199999999998</v>
      </c>
      <c r="K3186" t="str">
        <f>[1]!revcom(C3186)</f>
        <v>CGCGTA</v>
      </c>
      <c r="L3186">
        <v>6</v>
      </c>
    </row>
    <row r="3187" spans="1:12" ht="15.6" x14ac:dyDescent="0.3">
      <c r="A3187" s="9">
        <v>3176</v>
      </c>
      <c r="B3187" s="1"/>
      <c r="C3187" s="2" t="s">
        <v>3182</v>
      </c>
      <c r="D3187" s="1"/>
      <c r="E3187" s="11">
        <f t="shared" si="246"/>
        <v>14</v>
      </c>
      <c r="F3187" s="12">
        <f t="shared" si="247"/>
        <v>50</v>
      </c>
      <c r="G3187" s="12" t="str">
        <f t="shared" si="248"/>
        <v>Warning</v>
      </c>
      <c r="H3187" s="13">
        <f t="shared" si="249"/>
        <v>6</v>
      </c>
      <c r="I3187" s="14">
        <f t="shared" si="245"/>
        <v>1767.1999999999998</v>
      </c>
      <c r="K3187" t="str">
        <f>[1]!revcom(C3187)</f>
        <v>AGCGTA</v>
      </c>
      <c r="L3187">
        <v>5</v>
      </c>
    </row>
    <row r="3188" spans="1:12" ht="15.6" x14ac:dyDescent="0.3">
      <c r="A3188" s="9">
        <v>3177</v>
      </c>
      <c r="B3188" s="1"/>
      <c r="C3188" s="2" t="s">
        <v>3183</v>
      </c>
      <c r="D3188" s="1"/>
      <c r="E3188" s="11">
        <f t="shared" si="246"/>
        <v>22</v>
      </c>
      <c r="F3188" s="12">
        <f t="shared" si="247"/>
        <v>50</v>
      </c>
      <c r="G3188" s="12" t="str">
        <f t="shared" si="248"/>
        <v>Warning</v>
      </c>
      <c r="H3188" s="13">
        <f t="shared" si="249"/>
        <v>6</v>
      </c>
      <c r="I3188" s="14">
        <f t="shared" si="245"/>
        <v>1816.25</v>
      </c>
      <c r="K3188" t="str">
        <f>[1]!revcom(C3188)</f>
        <v>TCCGTA</v>
      </c>
      <c r="L3188">
        <v>6</v>
      </c>
    </row>
    <row r="3189" spans="1:12" ht="15.6" x14ac:dyDescent="0.3">
      <c r="A3189" s="9">
        <v>3178</v>
      </c>
      <c r="B3189" s="1"/>
      <c r="C3189" s="2" t="s">
        <v>3184</v>
      </c>
      <c r="D3189" s="1"/>
      <c r="E3189" s="11">
        <f t="shared" si="246"/>
        <v>20</v>
      </c>
      <c r="F3189" s="12">
        <f t="shared" si="247"/>
        <v>66.666666666666657</v>
      </c>
      <c r="G3189" s="12" t="str">
        <f t="shared" si="248"/>
        <v>Warning</v>
      </c>
      <c r="H3189" s="13">
        <f t="shared" si="249"/>
        <v>6</v>
      </c>
      <c r="I3189" s="14">
        <f t="shared" si="245"/>
        <v>1792.2199999999998</v>
      </c>
      <c r="K3189" t="str">
        <f>[1]!revcom(C3189)</f>
        <v>GCCGTA</v>
      </c>
      <c r="L3189">
        <v>6</v>
      </c>
    </row>
    <row r="3190" spans="1:12" ht="15.6" x14ac:dyDescent="0.3">
      <c r="A3190" s="9">
        <v>3179</v>
      </c>
      <c r="B3190" s="1"/>
      <c r="C3190" s="2" t="s">
        <v>3185</v>
      </c>
      <c r="D3190" s="1"/>
      <c r="E3190" s="11">
        <f t="shared" si="246"/>
        <v>20</v>
      </c>
      <c r="F3190" s="12">
        <f t="shared" si="247"/>
        <v>66.666666666666657</v>
      </c>
      <c r="G3190" s="12" t="str">
        <f t="shared" si="248"/>
        <v>Warning</v>
      </c>
      <c r="H3190" s="13">
        <f t="shared" si="249"/>
        <v>6</v>
      </c>
      <c r="I3190" s="14">
        <f t="shared" si="245"/>
        <v>1832.25</v>
      </c>
      <c r="K3190" t="str">
        <f>[1]!revcom(C3190)</f>
        <v>CCCGTA</v>
      </c>
      <c r="L3190">
        <v>6</v>
      </c>
    </row>
    <row r="3191" spans="1:12" ht="15.6" x14ac:dyDescent="0.3">
      <c r="A3191" s="9">
        <v>3180</v>
      </c>
      <c r="B3191" s="1"/>
      <c r="C3191" s="2" t="s">
        <v>3186</v>
      </c>
      <c r="D3191" s="1"/>
      <c r="E3191" s="11">
        <f t="shared" si="246"/>
        <v>14</v>
      </c>
      <c r="F3191" s="12">
        <f t="shared" si="247"/>
        <v>50</v>
      </c>
      <c r="G3191" s="12" t="str">
        <f t="shared" si="248"/>
        <v>Warning</v>
      </c>
      <c r="H3191" s="13">
        <f t="shared" si="249"/>
        <v>6</v>
      </c>
      <c r="I3191" s="14">
        <f t="shared" si="245"/>
        <v>1807.23</v>
      </c>
      <c r="K3191" t="str">
        <f>[1]!revcom(C3191)</f>
        <v>ACCGTA</v>
      </c>
      <c r="L3191">
        <v>5</v>
      </c>
    </row>
    <row r="3192" spans="1:12" ht="15.6" x14ac:dyDescent="0.3">
      <c r="A3192" s="9">
        <v>3181</v>
      </c>
      <c r="B3192" s="1"/>
      <c r="C3192" s="2" t="s">
        <v>3187</v>
      </c>
      <c r="D3192" s="1"/>
      <c r="E3192" s="11">
        <f t="shared" si="246"/>
        <v>16</v>
      </c>
      <c r="F3192" s="12">
        <f t="shared" si="247"/>
        <v>33.333333333333329</v>
      </c>
      <c r="G3192" s="12" t="str">
        <f t="shared" si="248"/>
        <v>OK</v>
      </c>
      <c r="H3192" s="13">
        <f t="shared" si="249"/>
        <v>6</v>
      </c>
      <c r="I3192" s="14">
        <f t="shared" si="245"/>
        <v>1791.23</v>
      </c>
      <c r="K3192" t="str">
        <f>[1]!revcom(C3192)</f>
        <v>TACGTA</v>
      </c>
      <c r="L3192">
        <v>5</v>
      </c>
    </row>
    <row r="3193" spans="1:12" ht="15.6" x14ac:dyDescent="0.3">
      <c r="A3193" s="9">
        <v>3182</v>
      </c>
      <c r="B3193" s="1"/>
      <c r="C3193" s="2" t="s">
        <v>3188</v>
      </c>
      <c r="D3193" s="1"/>
      <c r="E3193" s="11">
        <f t="shared" si="246"/>
        <v>14</v>
      </c>
      <c r="F3193" s="12">
        <f t="shared" si="247"/>
        <v>50</v>
      </c>
      <c r="G3193" s="12" t="str">
        <f t="shared" si="248"/>
        <v>Warning</v>
      </c>
      <c r="H3193" s="13">
        <f t="shared" si="249"/>
        <v>6</v>
      </c>
      <c r="I3193" s="14">
        <f t="shared" si="245"/>
        <v>1767.1999999999998</v>
      </c>
      <c r="K3193" t="str">
        <f>[1]!revcom(C3193)</f>
        <v>GACGTA</v>
      </c>
      <c r="L3193">
        <v>5</v>
      </c>
    </row>
    <row r="3194" spans="1:12" ht="15.6" x14ac:dyDescent="0.3">
      <c r="A3194" s="9">
        <v>3183</v>
      </c>
      <c r="B3194" s="1"/>
      <c r="C3194" s="2" t="s">
        <v>3189</v>
      </c>
      <c r="D3194" s="1"/>
      <c r="E3194" s="11">
        <f t="shared" si="246"/>
        <v>14</v>
      </c>
      <c r="F3194" s="12">
        <f t="shared" si="247"/>
        <v>50</v>
      </c>
      <c r="G3194" s="12" t="str">
        <f t="shared" si="248"/>
        <v>Warning</v>
      </c>
      <c r="H3194" s="13">
        <f t="shared" si="249"/>
        <v>6</v>
      </c>
      <c r="I3194" s="14">
        <f t="shared" si="245"/>
        <v>1807.23</v>
      </c>
      <c r="K3194" t="str">
        <f>[1]!revcom(C3194)</f>
        <v>CACGTA</v>
      </c>
      <c r="L3194">
        <v>5</v>
      </c>
    </row>
    <row r="3195" spans="1:12" ht="15.6" x14ac:dyDescent="0.3">
      <c r="A3195" s="9">
        <v>3184</v>
      </c>
      <c r="B3195" s="1"/>
      <c r="C3195" s="2" t="s">
        <v>3190</v>
      </c>
      <c r="D3195" s="1"/>
      <c r="E3195" s="11">
        <f t="shared" si="246"/>
        <v>8</v>
      </c>
      <c r="F3195" s="12">
        <f t="shared" si="247"/>
        <v>33.333333333333329</v>
      </c>
      <c r="G3195" s="12" t="str">
        <f t="shared" si="248"/>
        <v>OK</v>
      </c>
      <c r="H3195" s="13">
        <f t="shared" si="249"/>
        <v>6</v>
      </c>
      <c r="I3195" s="14">
        <f t="shared" si="245"/>
        <v>1782.21</v>
      </c>
      <c r="K3195" t="str">
        <f>[1]!revcom(C3195)</f>
        <v>AACGTA</v>
      </c>
      <c r="L3195">
        <v>4</v>
      </c>
    </row>
    <row r="3196" spans="1:12" ht="15.6" x14ac:dyDescent="0.3">
      <c r="A3196" s="9">
        <v>3185</v>
      </c>
      <c r="B3196" s="1"/>
      <c r="C3196" s="2" t="s">
        <v>3191</v>
      </c>
      <c r="D3196" s="1"/>
      <c r="E3196" s="11">
        <f t="shared" si="246"/>
        <v>18</v>
      </c>
      <c r="F3196" s="12">
        <f t="shared" si="247"/>
        <v>16.666666666666664</v>
      </c>
      <c r="G3196" s="12" t="str">
        <f t="shared" si="248"/>
        <v>OK</v>
      </c>
      <c r="H3196" s="13">
        <f t="shared" si="249"/>
        <v>6</v>
      </c>
      <c r="I3196" s="14">
        <f t="shared" si="245"/>
        <v>1775.23</v>
      </c>
      <c r="K3196" t="str">
        <f>[1]!revcom(C3196)</f>
        <v>TTAGTA</v>
      </c>
      <c r="L3196">
        <v>5</v>
      </c>
    </row>
    <row r="3197" spans="1:12" ht="15.6" x14ac:dyDescent="0.3">
      <c r="A3197" s="9">
        <v>3186</v>
      </c>
      <c r="B3197" s="1"/>
      <c r="C3197" s="2" t="s">
        <v>3192</v>
      </c>
      <c r="D3197" s="1"/>
      <c r="E3197" s="11">
        <f t="shared" si="246"/>
        <v>16</v>
      </c>
      <c r="F3197" s="12">
        <f t="shared" si="247"/>
        <v>33.333333333333329</v>
      </c>
      <c r="G3197" s="12" t="str">
        <f t="shared" si="248"/>
        <v>OK</v>
      </c>
      <c r="H3197" s="13">
        <f t="shared" si="249"/>
        <v>6</v>
      </c>
      <c r="I3197" s="14">
        <f t="shared" si="245"/>
        <v>1751.1999999999998</v>
      </c>
      <c r="K3197" t="str">
        <f>[1]!revcom(C3197)</f>
        <v>GTAGTA</v>
      </c>
      <c r="L3197">
        <v>5</v>
      </c>
    </row>
    <row r="3198" spans="1:12" ht="15.6" x14ac:dyDescent="0.3">
      <c r="A3198" s="9">
        <v>3187</v>
      </c>
      <c r="B3198" s="1"/>
      <c r="C3198" s="2" t="s">
        <v>3193</v>
      </c>
      <c r="D3198" s="1"/>
      <c r="E3198" s="11">
        <f t="shared" si="246"/>
        <v>16</v>
      </c>
      <c r="F3198" s="12">
        <f t="shared" si="247"/>
        <v>33.333333333333329</v>
      </c>
      <c r="G3198" s="12" t="str">
        <f t="shared" si="248"/>
        <v>OK</v>
      </c>
      <c r="H3198" s="13">
        <f t="shared" si="249"/>
        <v>6</v>
      </c>
      <c r="I3198" s="14">
        <f t="shared" si="245"/>
        <v>1791.23</v>
      </c>
      <c r="K3198" t="str">
        <f>[1]!revcom(C3198)</f>
        <v>CTAGTA</v>
      </c>
      <c r="L3198">
        <v>5</v>
      </c>
    </row>
    <row r="3199" spans="1:12" ht="15.6" x14ac:dyDescent="0.3">
      <c r="A3199" s="9">
        <v>3188</v>
      </c>
      <c r="B3199" s="1"/>
      <c r="C3199" s="2" t="s">
        <v>3194</v>
      </c>
      <c r="D3199" s="1"/>
      <c r="E3199" s="11">
        <f t="shared" si="246"/>
        <v>10</v>
      </c>
      <c r="F3199" s="12">
        <f t="shared" si="247"/>
        <v>16.666666666666664</v>
      </c>
      <c r="G3199" s="12" t="str">
        <f t="shared" si="248"/>
        <v>OK</v>
      </c>
      <c r="H3199" s="13">
        <f t="shared" si="249"/>
        <v>6</v>
      </c>
      <c r="I3199" s="14">
        <f t="shared" si="245"/>
        <v>1766.21</v>
      </c>
      <c r="K3199" t="str">
        <f>[1]!revcom(C3199)</f>
        <v>ATAGTA</v>
      </c>
      <c r="L3199">
        <v>4</v>
      </c>
    </row>
    <row r="3200" spans="1:12" ht="15.6" x14ac:dyDescent="0.3">
      <c r="A3200" s="9">
        <v>3189</v>
      </c>
      <c r="B3200" s="1"/>
      <c r="C3200" s="2" t="s">
        <v>3195</v>
      </c>
      <c r="D3200" s="1"/>
      <c r="E3200" s="11">
        <f t="shared" si="246"/>
        <v>16</v>
      </c>
      <c r="F3200" s="12">
        <f t="shared" si="247"/>
        <v>33.333333333333329</v>
      </c>
      <c r="G3200" s="12" t="str">
        <f t="shared" si="248"/>
        <v>OK</v>
      </c>
      <c r="H3200" s="13">
        <f t="shared" si="249"/>
        <v>6</v>
      </c>
      <c r="I3200" s="14">
        <f t="shared" si="245"/>
        <v>1751.1999999999998</v>
      </c>
      <c r="K3200" t="str">
        <f>[1]!revcom(C3200)</f>
        <v>TGAGTA</v>
      </c>
      <c r="L3200">
        <v>5</v>
      </c>
    </row>
    <row r="3201" spans="1:12" ht="15.6" x14ac:dyDescent="0.3">
      <c r="A3201" s="9">
        <v>3190</v>
      </c>
      <c r="B3201" s="1"/>
      <c r="C3201" s="2" t="s">
        <v>3196</v>
      </c>
      <c r="D3201" s="1"/>
      <c r="E3201" s="11">
        <f t="shared" si="246"/>
        <v>14</v>
      </c>
      <c r="F3201" s="12">
        <f t="shared" si="247"/>
        <v>50</v>
      </c>
      <c r="G3201" s="12" t="str">
        <f t="shared" si="248"/>
        <v>Warning</v>
      </c>
      <c r="H3201" s="13">
        <f t="shared" si="249"/>
        <v>6</v>
      </c>
      <c r="I3201" s="14">
        <f t="shared" si="245"/>
        <v>1727.17</v>
      </c>
      <c r="K3201" t="str">
        <f>[1]!revcom(C3201)</f>
        <v>GGAGTA</v>
      </c>
      <c r="L3201">
        <v>5</v>
      </c>
    </row>
    <row r="3202" spans="1:12" ht="15.6" x14ac:dyDescent="0.3">
      <c r="A3202" s="9">
        <v>3191</v>
      </c>
      <c r="B3202" s="1"/>
      <c r="C3202" s="2" t="s">
        <v>3197</v>
      </c>
      <c r="D3202" s="1"/>
      <c r="E3202" s="11">
        <f t="shared" si="246"/>
        <v>14</v>
      </c>
      <c r="F3202" s="12">
        <f t="shared" si="247"/>
        <v>50</v>
      </c>
      <c r="G3202" s="12" t="str">
        <f t="shared" si="248"/>
        <v>Warning</v>
      </c>
      <c r="H3202" s="13">
        <f t="shared" si="249"/>
        <v>6</v>
      </c>
      <c r="I3202" s="14">
        <f t="shared" si="245"/>
        <v>1767.1999999999998</v>
      </c>
      <c r="K3202" t="str">
        <f>[1]!revcom(C3202)</f>
        <v>CGAGTA</v>
      </c>
      <c r="L3202">
        <v>5</v>
      </c>
    </row>
    <row r="3203" spans="1:12" ht="15.6" x14ac:dyDescent="0.3">
      <c r="A3203" s="9">
        <v>3192</v>
      </c>
      <c r="B3203" s="1"/>
      <c r="C3203" s="2" t="s">
        <v>3198</v>
      </c>
      <c r="D3203" s="1"/>
      <c r="E3203" s="11">
        <f t="shared" si="246"/>
        <v>8</v>
      </c>
      <c r="F3203" s="12">
        <f t="shared" si="247"/>
        <v>33.333333333333329</v>
      </c>
      <c r="G3203" s="12" t="str">
        <f t="shared" si="248"/>
        <v>OK</v>
      </c>
      <c r="H3203" s="13">
        <f t="shared" si="249"/>
        <v>6</v>
      </c>
      <c r="I3203" s="14">
        <f t="shared" si="245"/>
        <v>1742.1799999999998</v>
      </c>
      <c r="K3203" t="str">
        <f>[1]!revcom(C3203)</f>
        <v>AGAGTA</v>
      </c>
      <c r="L3203">
        <v>4</v>
      </c>
    </row>
    <row r="3204" spans="1:12" ht="15.6" x14ac:dyDescent="0.3">
      <c r="A3204" s="9">
        <v>3193</v>
      </c>
      <c r="B3204" s="1"/>
      <c r="C3204" s="2" t="s">
        <v>3199</v>
      </c>
      <c r="D3204" s="1"/>
      <c r="E3204" s="11">
        <f t="shared" si="246"/>
        <v>16</v>
      </c>
      <c r="F3204" s="12">
        <f t="shared" si="247"/>
        <v>33.333333333333329</v>
      </c>
      <c r="G3204" s="12" t="str">
        <f t="shared" si="248"/>
        <v>OK</v>
      </c>
      <c r="H3204" s="13">
        <f t="shared" si="249"/>
        <v>6</v>
      </c>
      <c r="I3204" s="14">
        <f t="shared" si="245"/>
        <v>1791.23</v>
      </c>
      <c r="K3204" t="str">
        <f>[1]!revcom(C3204)</f>
        <v>TCAGTA</v>
      </c>
      <c r="L3204">
        <v>5</v>
      </c>
    </row>
    <row r="3205" spans="1:12" ht="15.6" x14ac:dyDescent="0.3">
      <c r="A3205" s="9">
        <v>3194</v>
      </c>
      <c r="B3205" s="1"/>
      <c r="C3205" s="2" t="s">
        <v>3200</v>
      </c>
      <c r="D3205" s="1"/>
      <c r="E3205" s="11">
        <f t="shared" si="246"/>
        <v>14</v>
      </c>
      <c r="F3205" s="12">
        <f t="shared" si="247"/>
        <v>50</v>
      </c>
      <c r="G3205" s="12" t="str">
        <f t="shared" si="248"/>
        <v>Warning</v>
      </c>
      <c r="H3205" s="13">
        <f t="shared" si="249"/>
        <v>6</v>
      </c>
      <c r="I3205" s="14">
        <f t="shared" si="245"/>
        <v>1767.1999999999998</v>
      </c>
      <c r="K3205" t="str">
        <f>[1]!revcom(C3205)</f>
        <v>GCAGTA</v>
      </c>
      <c r="L3205">
        <v>5</v>
      </c>
    </row>
    <row r="3206" spans="1:12" ht="15.6" x14ac:dyDescent="0.3">
      <c r="A3206" s="9">
        <v>3195</v>
      </c>
      <c r="B3206" s="1"/>
      <c r="C3206" s="2" t="s">
        <v>3201</v>
      </c>
      <c r="D3206" s="1"/>
      <c r="E3206" s="11">
        <f t="shared" si="246"/>
        <v>14</v>
      </c>
      <c r="F3206" s="12">
        <f t="shared" si="247"/>
        <v>50</v>
      </c>
      <c r="G3206" s="12" t="str">
        <f t="shared" si="248"/>
        <v>Warning</v>
      </c>
      <c r="H3206" s="13">
        <f t="shared" si="249"/>
        <v>6</v>
      </c>
      <c r="I3206" s="14">
        <f t="shared" si="245"/>
        <v>1807.23</v>
      </c>
      <c r="K3206" t="str">
        <f>[1]!revcom(C3206)</f>
        <v>CCAGTA</v>
      </c>
      <c r="L3206">
        <v>5</v>
      </c>
    </row>
    <row r="3207" spans="1:12" ht="15.6" x14ac:dyDescent="0.3">
      <c r="A3207" s="9">
        <v>3196</v>
      </c>
      <c r="B3207" s="1"/>
      <c r="C3207" s="2" t="s">
        <v>3202</v>
      </c>
      <c r="D3207" s="1"/>
      <c r="E3207" s="11">
        <f t="shared" si="246"/>
        <v>8</v>
      </c>
      <c r="F3207" s="12">
        <f t="shared" si="247"/>
        <v>33.333333333333329</v>
      </c>
      <c r="G3207" s="12" t="str">
        <f t="shared" si="248"/>
        <v>OK</v>
      </c>
      <c r="H3207" s="13">
        <f t="shared" si="249"/>
        <v>6</v>
      </c>
      <c r="I3207" s="14">
        <f t="shared" si="245"/>
        <v>1782.21</v>
      </c>
      <c r="K3207" t="str">
        <f>[1]!revcom(C3207)</f>
        <v>ACAGTA</v>
      </c>
      <c r="L3207">
        <v>4</v>
      </c>
    </row>
    <row r="3208" spans="1:12" ht="15.6" x14ac:dyDescent="0.3">
      <c r="A3208" s="9">
        <v>3197</v>
      </c>
      <c r="B3208" s="1"/>
      <c r="C3208" s="2" t="s">
        <v>3203</v>
      </c>
      <c r="D3208" s="1"/>
      <c r="E3208" s="11">
        <f t="shared" si="246"/>
        <v>10</v>
      </c>
      <c r="F3208" s="12">
        <f t="shared" si="247"/>
        <v>16.666666666666664</v>
      </c>
      <c r="G3208" s="12" t="str">
        <f t="shared" si="248"/>
        <v>OK</v>
      </c>
      <c r="H3208" s="13">
        <f t="shared" si="249"/>
        <v>6</v>
      </c>
      <c r="I3208" s="14">
        <f t="shared" si="245"/>
        <v>1766.21</v>
      </c>
      <c r="K3208" t="str">
        <f>[1]!revcom(C3208)</f>
        <v>TAAGTA</v>
      </c>
      <c r="L3208">
        <v>4</v>
      </c>
    </row>
    <row r="3209" spans="1:12" ht="15.6" x14ac:dyDescent="0.3">
      <c r="A3209" s="9">
        <v>3198</v>
      </c>
      <c r="B3209" s="1"/>
      <c r="C3209" s="2" t="s">
        <v>3204</v>
      </c>
      <c r="D3209" s="1"/>
      <c r="E3209" s="11">
        <f t="shared" si="246"/>
        <v>8</v>
      </c>
      <c r="F3209" s="12">
        <f t="shared" si="247"/>
        <v>33.333333333333329</v>
      </c>
      <c r="G3209" s="12" t="str">
        <f t="shared" si="248"/>
        <v>OK</v>
      </c>
      <c r="H3209" s="13">
        <f t="shared" si="249"/>
        <v>6</v>
      </c>
      <c r="I3209" s="14">
        <f t="shared" si="245"/>
        <v>1742.1799999999998</v>
      </c>
      <c r="K3209" t="str">
        <f>[1]!revcom(C3209)</f>
        <v>GAAGTA</v>
      </c>
      <c r="L3209">
        <v>4</v>
      </c>
    </row>
    <row r="3210" spans="1:12" ht="15.6" x14ac:dyDescent="0.3">
      <c r="A3210" s="9">
        <v>3199</v>
      </c>
      <c r="B3210" s="1"/>
      <c r="C3210" s="2" t="s">
        <v>3205</v>
      </c>
      <c r="D3210" s="1"/>
      <c r="E3210" s="11">
        <f t="shared" si="246"/>
        <v>8</v>
      </c>
      <c r="F3210" s="12">
        <f t="shared" si="247"/>
        <v>33.333333333333329</v>
      </c>
      <c r="G3210" s="12" t="str">
        <f t="shared" si="248"/>
        <v>OK</v>
      </c>
      <c r="H3210" s="13">
        <f t="shared" si="249"/>
        <v>6</v>
      </c>
      <c r="I3210" s="14">
        <f t="shared" si="245"/>
        <v>1782.21</v>
      </c>
      <c r="K3210" t="str">
        <f>[1]!revcom(C3210)</f>
        <v>CAAGTA</v>
      </c>
      <c r="L3210">
        <v>4</v>
      </c>
    </row>
    <row r="3211" spans="1:12" ht="15.6" x14ac:dyDescent="0.3">
      <c r="A3211" s="9">
        <v>3200</v>
      </c>
      <c r="B3211" s="1"/>
      <c r="C3211" s="2" t="s">
        <v>3206</v>
      </c>
      <c r="D3211" s="1"/>
      <c r="E3211" s="11">
        <f t="shared" si="246"/>
        <v>2</v>
      </c>
      <c r="F3211" s="12">
        <f t="shared" si="247"/>
        <v>16.666666666666664</v>
      </c>
      <c r="G3211" s="12" t="str">
        <f t="shared" si="248"/>
        <v>OK</v>
      </c>
      <c r="H3211" s="13">
        <f t="shared" si="249"/>
        <v>6</v>
      </c>
      <c r="I3211" s="14">
        <f t="shared" si="245"/>
        <v>1757.19</v>
      </c>
      <c r="K3211" t="str">
        <f>[1]!revcom(C3211)</f>
        <v>AAAGTA</v>
      </c>
      <c r="L3211">
        <v>3</v>
      </c>
    </row>
    <row r="3212" spans="1:12" ht="15.6" x14ac:dyDescent="0.3">
      <c r="A3212" s="9">
        <v>3201</v>
      </c>
      <c r="B3212" s="1"/>
      <c r="C3212" s="2" t="s">
        <v>3207</v>
      </c>
      <c r="D3212" s="1"/>
      <c r="E3212" s="11">
        <f t="shared" si="246"/>
        <v>26</v>
      </c>
      <c r="F3212" s="12">
        <f t="shared" si="247"/>
        <v>16.666666666666664</v>
      </c>
      <c r="G3212" s="12" t="str">
        <f t="shared" si="248"/>
        <v>OK</v>
      </c>
      <c r="H3212" s="13">
        <f t="shared" si="249"/>
        <v>6</v>
      </c>
      <c r="I3212" s="14">
        <f t="shared" si="245"/>
        <v>1824.2799999999997</v>
      </c>
      <c r="K3212" t="str">
        <f>[1]!revcom(C3212)</f>
        <v>TTTCTA</v>
      </c>
      <c r="L3212">
        <v>7</v>
      </c>
    </row>
    <row r="3213" spans="1:12" ht="15.6" x14ac:dyDescent="0.3">
      <c r="A3213" s="9">
        <v>3202</v>
      </c>
      <c r="B3213" s="1"/>
      <c r="C3213" s="2" t="s">
        <v>3208</v>
      </c>
      <c r="D3213" s="1"/>
      <c r="E3213" s="11">
        <f t="shared" si="246"/>
        <v>24</v>
      </c>
      <c r="F3213" s="12">
        <f t="shared" si="247"/>
        <v>33.333333333333329</v>
      </c>
      <c r="G3213" s="12" t="str">
        <f t="shared" si="248"/>
        <v>OK</v>
      </c>
      <c r="H3213" s="13">
        <f t="shared" si="249"/>
        <v>6</v>
      </c>
      <c r="I3213" s="14">
        <f t="shared" ref="I3213:I3276" si="250">((LEN(C3213)-(LEN(SUBSTITUTE(C3213,"A",""))))*249.23)+((LEN(C3213)-(LEN(SUBSTITUTE(C3213,"T",""))))*240.21)+((LEN(C3213)-(LEN(SUBSTITUTE(C3213,"C",""))))*225.2)+((LEN(C3213)-(LEN(SUBSTITUTE(C3213,"G",""))))*265.23)+(63.98*(LEN(C3213)-1)+(2.02))</f>
        <v>1800.25</v>
      </c>
      <c r="K3213" t="str">
        <f>[1]!revcom(C3213)</f>
        <v>GTTCTA</v>
      </c>
      <c r="L3213">
        <v>6</v>
      </c>
    </row>
    <row r="3214" spans="1:12" ht="15.6" x14ac:dyDescent="0.3">
      <c r="A3214" s="9">
        <v>3203</v>
      </c>
      <c r="B3214" s="1"/>
      <c r="C3214" s="2" t="s">
        <v>3209</v>
      </c>
      <c r="D3214" s="1"/>
      <c r="E3214" s="11">
        <f t="shared" ref="E3214:E3277" si="251">IF(LEN(C3214)&gt;15,(69.3+((41*((LEN(C3214)-(((LEN(C3214)-(LEN(SUBSTITUTE(C3214,"A",""))))+((LEN(C3214)-(LEN(SUBSTITUTE(C3214,"T","")))))))))/(LEN(C3214)))-(650/(LEN(C3214))))),(2*((LEN(C3214)-(((LEN(C3214)-(LEN(SUBSTITUTE(C3214,"C",""))))+((LEN(C3214)-(LEN(SUBSTITUTE(C3214,"G",""))))))))))+(4*((LEN(C3214)-(((LEN(C3214)-(LEN(SUBSTITUTE(C3214,"T",""))))+((LEN(C3214)-(LEN(SUBSTITUTE(C3214,"T","")))))))))))</f>
        <v>24</v>
      </c>
      <c r="F3214" s="12">
        <f t="shared" ref="F3214:F3277" si="252">((LEN(C3214)- LEN(SUBSTITUTE(C3214,"G","")))+(LEN(C3214)- LEN(SUBSTITUTE(C3214,"C",""))) )/LEN(C3214)*100</f>
        <v>33.333333333333329</v>
      </c>
      <c r="G3214" s="12" t="str">
        <f t="shared" ref="G3214:G3277" si="253">IF((-5+((LEN(SUBSTITUTE(RIGHT(C3214,5),"C","")))+((LEN(SUBSTITUTE(RIGHT(C3214,5),"G",""))))))&gt;=3,"OK","Warning")</f>
        <v>OK</v>
      </c>
      <c r="H3214" s="13">
        <f t="shared" ref="H3214:H3277" si="254">LEN(C3214)</f>
        <v>6</v>
      </c>
      <c r="I3214" s="14">
        <f t="shared" si="250"/>
        <v>1840.2800000000002</v>
      </c>
      <c r="K3214" t="str">
        <f>[1]!revcom(C3214)</f>
        <v>CTTCTA</v>
      </c>
      <c r="L3214">
        <v>6</v>
      </c>
    </row>
    <row r="3215" spans="1:12" ht="15.6" x14ac:dyDescent="0.3">
      <c r="A3215" s="9">
        <v>3204</v>
      </c>
      <c r="B3215" s="1"/>
      <c r="C3215" s="2" t="s">
        <v>3210</v>
      </c>
      <c r="D3215" s="1"/>
      <c r="E3215" s="11">
        <f t="shared" si="251"/>
        <v>18</v>
      </c>
      <c r="F3215" s="12">
        <f t="shared" si="252"/>
        <v>16.666666666666664</v>
      </c>
      <c r="G3215" s="12" t="str">
        <f t="shared" si="253"/>
        <v>OK</v>
      </c>
      <c r="H3215" s="13">
        <f t="shared" si="254"/>
        <v>6</v>
      </c>
      <c r="I3215" s="14">
        <f t="shared" si="250"/>
        <v>1815.2599999999998</v>
      </c>
      <c r="K3215" t="str">
        <f>[1]!revcom(C3215)</f>
        <v>ATTCTA</v>
      </c>
      <c r="L3215">
        <v>5</v>
      </c>
    </row>
    <row r="3216" spans="1:12" ht="15.6" x14ac:dyDescent="0.3">
      <c r="A3216" s="9">
        <v>3205</v>
      </c>
      <c r="B3216" s="1"/>
      <c r="C3216" s="2" t="s">
        <v>3211</v>
      </c>
      <c r="D3216" s="1"/>
      <c r="E3216" s="11">
        <f t="shared" si="251"/>
        <v>24</v>
      </c>
      <c r="F3216" s="12">
        <f t="shared" si="252"/>
        <v>33.333333333333329</v>
      </c>
      <c r="G3216" s="12" t="str">
        <f t="shared" si="253"/>
        <v>OK</v>
      </c>
      <c r="H3216" s="13">
        <f t="shared" si="254"/>
        <v>6</v>
      </c>
      <c r="I3216" s="14">
        <f t="shared" si="250"/>
        <v>1800.25</v>
      </c>
      <c r="K3216" t="str">
        <f>[1]!revcom(C3216)</f>
        <v>TGTCTA</v>
      </c>
      <c r="L3216">
        <v>6</v>
      </c>
    </row>
    <row r="3217" spans="1:12" ht="15.6" x14ac:dyDescent="0.3">
      <c r="A3217" s="9">
        <v>3206</v>
      </c>
      <c r="B3217" s="1"/>
      <c r="C3217" s="2" t="s">
        <v>3212</v>
      </c>
      <c r="D3217" s="1"/>
      <c r="E3217" s="11">
        <f t="shared" si="251"/>
        <v>22</v>
      </c>
      <c r="F3217" s="12">
        <f t="shared" si="252"/>
        <v>50</v>
      </c>
      <c r="G3217" s="12" t="str">
        <f t="shared" si="253"/>
        <v>Warning</v>
      </c>
      <c r="H3217" s="13">
        <f t="shared" si="254"/>
        <v>6</v>
      </c>
      <c r="I3217" s="14">
        <f t="shared" si="250"/>
        <v>1776.2199999999998</v>
      </c>
      <c r="K3217" t="str">
        <f>[1]!revcom(C3217)</f>
        <v>GGTCTA</v>
      </c>
      <c r="L3217">
        <v>6</v>
      </c>
    </row>
    <row r="3218" spans="1:12" ht="15.6" x14ac:dyDescent="0.3">
      <c r="A3218" s="9">
        <v>3207</v>
      </c>
      <c r="B3218" s="1"/>
      <c r="C3218" s="2" t="s">
        <v>3213</v>
      </c>
      <c r="D3218" s="1"/>
      <c r="E3218" s="11">
        <f t="shared" si="251"/>
        <v>22</v>
      </c>
      <c r="F3218" s="12">
        <f t="shared" si="252"/>
        <v>50</v>
      </c>
      <c r="G3218" s="12" t="str">
        <f t="shared" si="253"/>
        <v>Warning</v>
      </c>
      <c r="H3218" s="13">
        <f t="shared" si="254"/>
        <v>6</v>
      </c>
      <c r="I3218" s="14">
        <f t="shared" si="250"/>
        <v>1816.25</v>
      </c>
      <c r="K3218" t="str">
        <f>[1]!revcom(C3218)</f>
        <v>CGTCTA</v>
      </c>
      <c r="L3218">
        <v>6</v>
      </c>
    </row>
    <row r="3219" spans="1:12" ht="15.6" x14ac:dyDescent="0.3">
      <c r="A3219" s="9">
        <v>3208</v>
      </c>
      <c r="B3219" s="1"/>
      <c r="C3219" s="2" t="s">
        <v>3214</v>
      </c>
      <c r="D3219" s="1"/>
      <c r="E3219" s="11">
        <f t="shared" si="251"/>
        <v>16</v>
      </c>
      <c r="F3219" s="12">
        <f t="shared" si="252"/>
        <v>33.333333333333329</v>
      </c>
      <c r="G3219" s="12" t="str">
        <f t="shared" si="253"/>
        <v>OK</v>
      </c>
      <c r="H3219" s="13">
        <f t="shared" si="254"/>
        <v>6</v>
      </c>
      <c r="I3219" s="14">
        <f t="shared" si="250"/>
        <v>1791.23</v>
      </c>
      <c r="K3219" t="str">
        <f>[1]!revcom(C3219)</f>
        <v>AGTCTA</v>
      </c>
      <c r="L3219">
        <v>5</v>
      </c>
    </row>
    <row r="3220" spans="1:12" ht="15.6" x14ac:dyDescent="0.3">
      <c r="A3220" s="9">
        <v>3209</v>
      </c>
      <c r="B3220" s="1"/>
      <c r="C3220" s="2" t="s">
        <v>3215</v>
      </c>
      <c r="D3220" s="1"/>
      <c r="E3220" s="11">
        <f t="shared" si="251"/>
        <v>24</v>
      </c>
      <c r="F3220" s="12">
        <f t="shared" si="252"/>
        <v>33.333333333333329</v>
      </c>
      <c r="G3220" s="12" t="str">
        <f t="shared" si="253"/>
        <v>OK</v>
      </c>
      <c r="H3220" s="13">
        <f t="shared" si="254"/>
        <v>6</v>
      </c>
      <c r="I3220" s="14">
        <f t="shared" si="250"/>
        <v>1840.2800000000002</v>
      </c>
      <c r="K3220" t="str">
        <f>[1]!revcom(C3220)</f>
        <v>TCTCTA</v>
      </c>
      <c r="L3220">
        <v>6</v>
      </c>
    </row>
    <row r="3221" spans="1:12" ht="15.6" x14ac:dyDescent="0.3">
      <c r="A3221" s="9">
        <v>3210</v>
      </c>
      <c r="B3221" s="1"/>
      <c r="C3221" s="2" t="s">
        <v>3216</v>
      </c>
      <c r="D3221" s="1"/>
      <c r="E3221" s="11">
        <f t="shared" si="251"/>
        <v>22</v>
      </c>
      <c r="F3221" s="12">
        <f t="shared" si="252"/>
        <v>50</v>
      </c>
      <c r="G3221" s="12" t="str">
        <f t="shared" si="253"/>
        <v>Warning</v>
      </c>
      <c r="H3221" s="13">
        <f t="shared" si="254"/>
        <v>6</v>
      </c>
      <c r="I3221" s="14">
        <f t="shared" si="250"/>
        <v>1816.25</v>
      </c>
      <c r="K3221" t="str">
        <f>[1]!revcom(C3221)</f>
        <v>GCTCTA</v>
      </c>
      <c r="L3221">
        <v>6</v>
      </c>
    </row>
    <row r="3222" spans="1:12" ht="15.6" x14ac:dyDescent="0.3">
      <c r="A3222" s="9">
        <v>3211</v>
      </c>
      <c r="B3222" s="1"/>
      <c r="C3222" s="2" t="s">
        <v>3217</v>
      </c>
      <c r="D3222" s="1"/>
      <c r="E3222" s="11">
        <f t="shared" si="251"/>
        <v>22</v>
      </c>
      <c r="F3222" s="12">
        <f t="shared" si="252"/>
        <v>50</v>
      </c>
      <c r="G3222" s="12" t="str">
        <f t="shared" si="253"/>
        <v>Warning</v>
      </c>
      <c r="H3222" s="13">
        <f t="shared" si="254"/>
        <v>6</v>
      </c>
      <c r="I3222" s="14">
        <f t="shared" si="250"/>
        <v>1856.2800000000002</v>
      </c>
      <c r="K3222" t="str">
        <f>[1]!revcom(C3222)</f>
        <v>CCTCTA</v>
      </c>
      <c r="L3222">
        <v>6</v>
      </c>
    </row>
    <row r="3223" spans="1:12" ht="15.6" x14ac:dyDescent="0.3">
      <c r="A3223" s="9">
        <v>3212</v>
      </c>
      <c r="B3223" s="1"/>
      <c r="C3223" s="2" t="s">
        <v>3218</v>
      </c>
      <c r="D3223" s="1"/>
      <c r="E3223" s="11">
        <f t="shared" si="251"/>
        <v>16</v>
      </c>
      <c r="F3223" s="12">
        <f t="shared" si="252"/>
        <v>33.333333333333329</v>
      </c>
      <c r="G3223" s="12" t="str">
        <f t="shared" si="253"/>
        <v>OK</v>
      </c>
      <c r="H3223" s="13">
        <f t="shared" si="254"/>
        <v>6</v>
      </c>
      <c r="I3223" s="14">
        <f t="shared" si="250"/>
        <v>1831.2600000000002</v>
      </c>
      <c r="K3223" t="str">
        <f>[1]!revcom(C3223)</f>
        <v>ACTCTA</v>
      </c>
      <c r="L3223">
        <v>5</v>
      </c>
    </row>
    <row r="3224" spans="1:12" ht="15.6" x14ac:dyDescent="0.3">
      <c r="A3224" s="9">
        <v>3213</v>
      </c>
      <c r="B3224" s="1"/>
      <c r="C3224" s="2" t="s">
        <v>3219</v>
      </c>
      <c r="D3224" s="1"/>
      <c r="E3224" s="11">
        <f t="shared" si="251"/>
        <v>18</v>
      </c>
      <c r="F3224" s="12">
        <f t="shared" si="252"/>
        <v>16.666666666666664</v>
      </c>
      <c r="G3224" s="12" t="str">
        <f t="shared" si="253"/>
        <v>OK</v>
      </c>
      <c r="H3224" s="13">
        <f t="shared" si="254"/>
        <v>6</v>
      </c>
      <c r="I3224" s="14">
        <f t="shared" si="250"/>
        <v>1815.2599999999998</v>
      </c>
      <c r="K3224" t="str">
        <f>[1]!revcom(C3224)</f>
        <v>TATCTA</v>
      </c>
      <c r="L3224">
        <v>5</v>
      </c>
    </row>
    <row r="3225" spans="1:12" ht="15.6" x14ac:dyDescent="0.3">
      <c r="A3225" s="9">
        <v>3214</v>
      </c>
      <c r="B3225" s="1"/>
      <c r="C3225" s="2" t="s">
        <v>3220</v>
      </c>
      <c r="D3225" s="1"/>
      <c r="E3225" s="11">
        <f t="shared" si="251"/>
        <v>16</v>
      </c>
      <c r="F3225" s="12">
        <f t="shared" si="252"/>
        <v>33.333333333333329</v>
      </c>
      <c r="G3225" s="12" t="str">
        <f t="shared" si="253"/>
        <v>OK</v>
      </c>
      <c r="H3225" s="13">
        <f t="shared" si="254"/>
        <v>6</v>
      </c>
      <c r="I3225" s="14">
        <f t="shared" si="250"/>
        <v>1791.23</v>
      </c>
      <c r="K3225" t="str">
        <f>[1]!revcom(C3225)</f>
        <v>GATCTA</v>
      </c>
      <c r="L3225">
        <v>5</v>
      </c>
    </row>
    <row r="3226" spans="1:12" ht="15.6" x14ac:dyDescent="0.3">
      <c r="A3226" s="9">
        <v>3215</v>
      </c>
      <c r="B3226" s="1"/>
      <c r="C3226" s="2" t="s">
        <v>3221</v>
      </c>
      <c r="D3226" s="1"/>
      <c r="E3226" s="11">
        <f t="shared" si="251"/>
        <v>16</v>
      </c>
      <c r="F3226" s="12">
        <f t="shared" si="252"/>
        <v>33.333333333333329</v>
      </c>
      <c r="G3226" s="12" t="str">
        <f t="shared" si="253"/>
        <v>OK</v>
      </c>
      <c r="H3226" s="13">
        <f t="shared" si="254"/>
        <v>6</v>
      </c>
      <c r="I3226" s="14">
        <f t="shared" si="250"/>
        <v>1831.2600000000002</v>
      </c>
      <c r="K3226" t="str">
        <f>[1]!revcom(C3226)</f>
        <v>CATCTA</v>
      </c>
      <c r="L3226">
        <v>5</v>
      </c>
    </row>
    <row r="3227" spans="1:12" ht="15.6" x14ac:dyDescent="0.3">
      <c r="A3227" s="9">
        <v>3216</v>
      </c>
      <c r="B3227" s="1"/>
      <c r="C3227" s="2" t="s">
        <v>3222</v>
      </c>
      <c r="D3227" s="1"/>
      <c r="E3227" s="11">
        <f t="shared" si="251"/>
        <v>10</v>
      </c>
      <c r="F3227" s="12">
        <f t="shared" si="252"/>
        <v>16.666666666666664</v>
      </c>
      <c r="G3227" s="12" t="str">
        <f t="shared" si="253"/>
        <v>OK</v>
      </c>
      <c r="H3227" s="13">
        <f t="shared" si="254"/>
        <v>6</v>
      </c>
      <c r="I3227" s="14">
        <f t="shared" si="250"/>
        <v>1806.2399999999998</v>
      </c>
      <c r="K3227" t="str">
        <f>[1]!revcom(C3227)</f>
        <v>AATCTA</v>
      </c>
      <c r="L3227">
        <v>4</v>
      </c>
    </row>
    <row r="3228" spans="1:12" ht="15.6" x14ac:dyDescent="0.3">
      <c r="A3228" s="9">
        <v>3217</v>
      </c>
      <c r="B3228" s="1"/>
      <c r="C3228" s="2" t="s">
        <v>3223</v>
      </c>
      <c r="D3228" s="1"/>
      <c r="E3228" s="11">
        <f t="shared" si="251"/>
        <v>24</v>
      </c>
      <c r="F3228" s="12">
        <f t="shared" si="252"/>
        <v>33.333333333333329</v>
      </c>
      <c r="G3228" s="12" t="str">
        <f t="shared" si="253"/>
        <v>OK</v>
      </c>
      <c r="H3228" s="13">
        <f t="shared" si="254"/>
        <v>6</v>
      </c>
      <c r="I3228" s="14">
        <f t="shared" si="250"/>
        <v>1800.25</v>
      </c>
      <c r="K3228" t="str">
        <f>[1]!revcom(C3228)</f>
        <v>TTGCTA</v>
      </c>
      <c r="L3228">
        <v>6</v>
      </c>
    </row>
    <row r="3229" spans="1:12" ht="15.6" x14ac:dyDescent="0.3">
      <c r="A3229" s="9">
        <v>3218</v>
      </c>
      <c r="B3229" s="1"/>
      <c r="C3229" s="2" t="s">
        <v>3224</v>
      </c>
      <c r="D3229" s="1"/>
      <c r="E3229" s="11">
        <f t="shared" si="251"/>
        <v>22</v>
      </c>
      <c r="F3229" s="12">
        <f t="shared" si="252"/>
        <v>50</v>
      </c>
      <c r="G3229" s="12" t="str">
        <f t="shared" si="253"/>
        <v>Warning</v>
      </c>
      <c r="H3229" s="13">
        <f t="shared" si="254"/>
        <v>6</v>
      </c>
      <c r="I3229" s="14">
        <f t="shared" si="250"/>
        <v>1776.2199999999998</v>
      </c>
      <c r="K3229" t="str">
        <f>[1]!revcom(C3229)</f>
        <v>GTGCTA</v>
      </c>
      <c r="L3229">
        <v>6</v>
      </c>
    </row>
    <row r="3230" spans="1:12" ht="15.6" x14ac:dyDescent="0.3">
      <c r="A3230" s="9">
        <v>3219</v>
      </c>
      <c r="B3230" s="1"/>
      <c r="C3230" s="2" t="s">
        <v>3225</v>
      </c>
      <c r="D3230" s="1"/>
      <c r="E3230" s="11">
        <f t="shared" si="251"/>
        <v>22</v>
      </c>
      <c r="F3230" s="12">
        <f t="shared" si="252"/>
        <v>50</v>
      </c>
      <c r="G3230" s="12" t="str">
        <f t="shared" si="253"/>
        <v>Warning</v>
      </c>
      <c r="H3230" s="13">
        <f t="shared" si="254"/>
        <v>6</v>
      </c>
      <c r="I3230" s="14">
        <f t="shared" si="250"/>
        <v>1816.25</v>
      </c>
      <c r="K3230" t="str">
        <f>[1]!revcom(C3230)</f>
        <v>CTGCTA</v>
      </c>
      <c r="L3230">
        <v>6</v>
      </c>
    </row>
    <row r="3231" spans="1:12" ht="15.6" x14ac:dyDescent="0.3">
      <c r="A3231" s="9">
        <v>3220</v>
      </c>
      <c r="B3231" s="1"/>
      <c r="C3231" s="2" t="s">
        <v>3226</v>
      </c>
      <c r="D3231" s="1"/>
      <c r="E3231" s="11">
        <f t="shared" si="251"/>
        <v>16</v>
      </c>
      <c r="F3231" s="12">
        <f t="shared" si="252"/>
        <v>33.333333333333329</v>
      </c>
      <c r="G3231" s="12" t="str">
        <f t="shared" si="253"/>
        <v>OK</v>
      </c>
      <c r="H3231" s="13">
        <f t="shared" si="254"/>
        <v>6</v>
      </c>
      <c r="I3231" s="14">
        <f t="shared" si="250"/>
        <v>1791.23</v>
      </c>
      <c r="K3231" t="str">
        <f>[1]!revcom(C3231)</f>
        <v>ATGCTA</v>
      </c>
      <c r="L3231">
        <v>5</v>
      </c>
    </row>
    <row r="3232" spans="1:12" ht="15.6" x14ac:dyDescent="0.3">
      <c r="A3232" s="9">
        <v>3221</v>
      </c>
      <c r="B3232" s="1"/>
      <c r="C3232" s="2" t="s">
        <v>3227</v>
      </c>
      <c r="D3232" s="1"/>
      <c r="E3232" s="11">
        <f t="shared" si="251"/>
        <v>22</v>
      </c>
      <c r="F3232" s="12">
        <f t="shared" si="252"/>
        <v>50</v>
      </c>
      <c r="G3232" s="12" t="str">
        <f t="shared" si="253"/>
        <v>Warning</v>
      </c>
      <c r="H3232" s="13">
        <f t="shared" si="254"/>
        <v>6</v>
      </c>
      <c r="I3232" s="14">
        <f t="shared" si="250"/>
        <v>1776.2199999999998</v>
      </c>
      <c r="K3232" t="str">
        <f>[1]!revcom(C3232)</f>
        <v>TGGCTA</v>
      </c>
      <c r="L3232">
        <v>6</v>
      </c>
    </row>
    <row r="3233" spans="1:12" ht="15.6" x14ac:dyDescent="0.3">
      <c r="A3233" s="9">
        <v>3222</v>
      </c>
      <c r="B3233" s="1"/>
      <c r="C3233" s="2" t="s">
        <v>3228</v>
      </c>
      <c r="D3233" s="1"/>
      <c r="E3233" s="11">
        <f t="shared" si="251"/>
        <v>20</v>
      </c>
      <c r="F3233" s="12">
        <f t="shared" si="252"/>
        <v>66.666666666666657</v>
      </c>
      <c r="G3233" s="12" t="str">
        <f t="shared" si="253"/>
        <v>Warning</v>
      </c>
      <c r="H3233" s="13">
        <f t="shared" si="254"/>
        <v>6</v>
      </c>
      <c r="I3233" s="14">
        <f t="shared" si="250"/>
        <v>1752.19</v>
      </c>
      <c r="K3233" t="str">
        <f>[1]!revcom(C3233)</f>
        <v>GGGCTA</v>
      </c>
      <c r="L3233">
        <v>6</v>
      </c>
    </row>
    <row r="3234" spans="1:12" ht="15.6" x14ac:dyDescent="0.3">
      <c r="A3234" s="9">
        <v>3223</v>
      </c>
      <c r="B3234" s="1"/>
      <c r="C3234" s="2" t="s">
        <v>3229</v>
      </c>
      <c r="D3234" s="1"/>
      <c r="E3234" s="11">
        <f t="shared" si="251"/>
        <v>20</v>
      </c>
      <c r="F3234" s="12">
        <f t="shared" si="252"/>
        <v>66.666666666666657</v>
      </c>
      <c r="G3234" s="12" t="str">
        <f t="shared" si="253"/>
        <v>Warning</v>
      </c>
      <c r="H3234" s="13">
        <f t="shared" si="254"/>
        <v>6</v>
      </c>
      <c r="I3234" s="14">
        <f t="shared" si="250"/>
        <v>1792.2199999999998</v>
      </c>
      <c r="K3234" t="str">
        <f>[1]!revcom(C3234)</f>
        <v>CGGCTA</v>
      </c>
      <c r="L3234">
        <v>6</v>
      </c>
    </row>
    <row r="3235" spans="1:12" ht="15.6" x14ac:dyDescent="0.3">
      <c r="A3235" s="9">
        <v>3224</v>
      </c>
      <c r="B3235" s="1"/>
      <c r="C3235" s="2" t="s">
        <v>3230</v>
      </c>
      <c r="D3235" s="1"/>
      <c r="E3235" s="11">
        <f t="shared" si="251"/>
        <v>14</v>
      </c>
      <c r="F3235" s="12">
        <f t="shared" si="252"/>
        <v>50</v>
      </c>
      <c r="G3235" s="12" t="str">
        <f t="shared" si="253"/>
        <v>Warning</v>
      </c>
      <c r="H3235" s="13">
        <f t="shared" si="254"/>
        <v>6</v>
      </c>
      <c r="I3235" s="14">
        <f t="shared" si="250"/>
        <v>1767.1999999999998</v>
      </c>
      <c r="K3235" t="str">
        <f>[1]!revcom(C3235)</f>
        <v>AGGCTA</v>
      </c>
      <c r="L3235">
        <v>5</v>
      </c>
    </row>
    <row r="3236" spans="1:12" ht="15.6" x14ac:dyDescent="0.3">
      <c r="A3236" s="9">
        <v>3225</v>
      </c>
      <c r="B3236" s="1"/>
      <c r="C3236" s="2" t="s">
        <v>3231</v>
      </c>
      <c r="D3236" s="1"/>
      <c r="E3236" s="11">
        <f t="shared" si="251"/>
        <v>22</v>
      </c>
      <c r="F3236" s="12">
        <f t="shared" si="252"/>
        <v>50</v>
      </c>
      <c r="G3236" s="12" t="str">
        <f t="shared" si="253"/>
        <v>Warning</v>
      </c>
      <c r="H3236" s="13">
        <f t="shared" si="254"/>
        <v>6</v>
      </c>
      <c r="I3236" s="14">
        <f t="shared" si="250"/>
        <v>1816.25</v>
      </c>
      <c r="K3236" t="str">
        <f>[1]!revcom(C3236)</f>
        <v>TCGCTA</v>
      </c>
      <c r="L3236">
        <v>6</v>
      </c>
    </row>
    <row r="3237" spans="1:12" ht="15.6" x14ac:dyDescent="0.3">
      <c r="A3237" s="9">
        <v>3226</v>
      </c>
      <c r="B3237" s="1"/>
      <c r="C3237" s="2" t="s">
        <v>3232</v>
      </c>
      <c r="D3237" s="1"/>
      <c r="E3237" s="11">
        <f t="shared" si="251"/>
        <v>20</v>
      </c>
      <c r="F3237" s="12">
        <f t="shared" si="252"/>
        <v>66.666666666666657</v>
      </c>
      <c r="G3237" s="12" t="str">
        <f t="shared" si="253"/>
        <v>Warning</v>
      </c>
      <c r="H3237" s="13">
        <f t="shared" si="254"/>
        <v>6</v>
      </c>
      <c r="I3237" s="14">
        <f t="shared" si="250"/>
        <v>1792.2199999999998</v>
      </c>
      <c r="K3237" t="str">
        <f>[1]!revcom(C3237)</f>
        <v>GCGCTA</v>
      </c>
      <c r="L3237">
        <v>6</v>
      </c>
    </row>
    <row r="3238" spans="1:12" ht="15.6" x14ac:dyDescent="0.3">
      <c r="A3238" s="9">
        <v>3227</v>
      </c>
      <c r="B3238" s="1"/>
      <c r="C3238" s="2" t="s">
        <v>3233</v>
      </c>
      <c r="D3238" s="1"/>
      <c r="E3238" s="11">
        <f t="shared" si="251"/>
        <v>20</v>
      </c>
      <c r="F3238" s="12">
        <f t="shared" si="252"/>
        <v>66.666666666666657</v>
      </c>
      <c r="G3238" s="12" t="str">
        <f t="shared" si="253"/>
        <v>Warning</v>
      </c>
      <c r="H3238" s="13">
        <f t="shared" si="254"/>
        <v>6</v>
      </c>
      <c r="I3238" s="14">
        <f t="shared" si="250"/>
        <v>1832.25</v>
      </c>
      <c r="K3238" t="str">
        <f>[1]!revcom(C3238)</f>
        <v>CCGCTA</v>
      </c>
      <c r="L3238">
        <v>6</v>
      </c>
    </row>
    <row r="3239" spans="1:12" ht="15.6" x14ac:dyDescent="0.3">
      <c r="A3239" s="9">
        <v>3228</v>
      </c>
      <c r="B3239" s="1"/>
      <c r="C3239" s="2" t="s">
        <v>3234</v>
      </c>
      <c r="D3239" s="1"/>
      <c r="E3239" s="11">
        <f t="shared" si="251"/>
        <v>14</v>
      </c>
      <c r="F3239" s="12">
        <f t="shared" si="252"/>
        <v>50</v>
      </c>
      <c r="G3239" s="12" t="str">
        <f t="shared" si="253"/>
        <v>Warning</v>
      </c>
      <c r="H3239" s="13">
        <f t="shared" si="254"/>
        <v>6</v>
      </c>
      <c r="I3239" s="14">
        <f t="shared" si="250"/>
        <v>1807.23</v>
      </c>
      <c r="K3239" t="str">
        <f>[1]!revcom(C3239)</f>
        <v>ACGCTA</v>
      </c>
      <c r="L3239">
        <v>5</v>
      </c>
    </row>
    <row r="3240" spans="1:12" ht="15.6" x14ac:dyDescent="0.3">
      <c r="A3240" s="9">
        <v>3229</v>
      </c>
      <c r="B3240" s="1"/>
      <c r="C3240" s="2" t="s">
        <v>3235</v>
      </c>
      <c r="D3240" s="1"/>
      <c r="E3240" s="11">
        <f t="shared" si="251"/>
        <v>16</v>
      </c>
      <c r="F3240" s="12">
        <f t="shared" si="252"/>
        <v>33.333333333333329</v>
      </c>
      <c r="G3240" s="12" t="str">
        <f t="shared" si="253"/>
        <v>OK</v>
      </c>
      <c r="H3240" s="13">
        <f t="shared" si="254"/>
        <v>6</v>
      </c>
      <c r="I3240" s="14">
        <f t="shared" si="250"/>
        <v>1791.23</v>
      </c>
      <c r="K3240" t="str">
        <f>[1]!revcom(C3240)</f>
        <v>TAGCTA</v>
      </c>
      <c r="L3240">
        <v>5</v>
      </c>
    </row>
    <row r="3241" spans="1:12" ht="15.6" x14ac:dyDescent="0.3">
      <c r="A3241" s="9">
        <v>3230</v>
      </c>
      <c r="B3241" s="1"/>
      <c r="C3241" s="2" t="s">
        <v>3236</v>
      </c>
      <c r="D3241" s="1"/>
      <c r="E3241" s="11">
        <f t="shared" si="251"/>
        <v>14</v>
      </c>
      <c r="F3241" s="12">
        <f t="shared" si="252"/>
        <v>50</v>
      </c>
      <c r="G3241" s="12" t="str">
        <f t="shared" si="253"/>
        <v>Warning</v>
      </c>
      <c r="H3241" s="13">
        <f t="shared" si="254"/>
        <v>6</v>
      </c>
      <c r="I3241" s="14">
        <f t="shared" si="250"/>
        <v>1767.1999999999998</v>
      </c>
      <c r="K3241" t="str">
        <f>[1]!revcom(C3241)</f>
        <v>GAGCTA</v>
      </c>
      <c r="L3241">
        <v>5</v>
      </c>
    </row>
    <row r="3242" spans="1:12" ht="15.6" x14ac:dyDescent="0.3">
      <c r="A3242" s="9">
        <v>3231</v>
      </c>
      <c r="B3242" s="1"/>
      <c r="C3242" s="2" t="s">
        <v>3237</v>
      </c>
      <c r="D3242" s="1"/>
      <c r="E3242" s="11">
        <f t="shared" si="251"/>
        <v>14</v>
      </c>
      <c r="F3242" s="12">
        <f t="shared" si="252"/>
        <v>50</v>
      </c>
      <c r="G3242" s="12" t="str">
        <f t="shared" si="253"/>
        <v>Warning</v>
      </c>
      <c r="H3242" s="13">
        <f t="shared" si="254"/>
        <v>6</v>
      </c>
      <c r="I3242" s="14">
        <f t="shared" si="250"/>
        <v>1807.23</v>
      </c>
      <c r="K3242" t="str">
        <f>[1]!revcom(C3242)</f>
        <v>CAGCTA</v>
      </c>
      <c r="L3242">
        <v>5</v>
      </c>
    </row>
    <row r="3243" spans="1:12" ht="15.6" x14ac:dyDescent="0.3">
      <c r="A3243" s="9">
        <v>3232</v>
      </c>
      <c r="B3243" s="1"/>
      <c r="C3243" s="2" t="s">
        <v>3238</v>
      </c>
      <c r="D3243" s="1"/>
      <c r="E3243" s="11">
        <f t="shared" si="251"/>
        <v>8</v>
      </c>
      <c r="F3243" s="12">
        <f t="shared" si="252"/>
        <v>33.333333333333329</v>
      </c>
      <c r="G3243" s="12" t="str">
        <f t="shared" si="253"/>
        <v>OK</v>
      </c>
      <c r="H3243" s="13">
        <f t="shared" si="254"/>
        <v>6</v>
      </c>
      <c r="I3243" s="14">
        <f t="shared" si="250"/>
        <v>1782.21</v>
      </c>
      <c r="K3243" t="str">
        <f>[1]!revcom(C3243)</f>
        <v>AAGCTA</v>
      </c>
      <c r="L3243">
        <v>4</v>
      </c>
    </row>
    <row r="3244" spans="1:12" ht="15.6" x14ac:dyDescent="0.3">
      <c r="A3244" s="9">
        <v>3233</v>
      </c>
      <c r="B3244" s="1"/>
      <c r="C3244" s="2" t="s">
        <v>3239</v>
      </c>
      <c r="D3244" s="1"/>
      <c r="E3244" s="11">
        <f t="shared" si="251"/>
        <v>24</v>
      </c>
      <c r="F3244" s="12">
        <f t="shared" si="252"/>
        <v>33.333333333333329</v>
      </c>
      <c r="G3244" s="12" t="str">
        <f t="shared" si="253"/>
        <v>OK</v>
      </c>
      <c r="H3244" s="13">
        <f t="shared" si="254"/>
        <v>6</v>
      </c>
      <c r="I3244" s="14">
        <f t="shared" si="250"/>
        <v>1840.2800000000002</v>
      </c>
      <c r="K3244" t="str">
        <f>[1]!revcom(C3244)</f>
        <v>TTCCTA</v>
      </c>
      <c r="L3244">
        <v>6</v>
      </c>
    </row>
    <row r="3245" spans="1:12" ht="15.6" x14ac:dyDescent="0.3">
      <c r="A3245" s="9">
        <v>3234</v>
      </c>
      <c r="B3245" s="1"/>
      <c r="C3245" s="2" t="s">
        <v>3240</v>
      </c>
      <c r="D3245" s="1"/>
      <c r="E3245" s="11">
        <f t="shared" si="251"/>
        <v>22</v>
      </c>
      <c r="F3245" s="12">
        <f t="shared" si="252"/>
        <v>50</v>
      </c>
      <c r="G3245" s="12" t="str">
        <f t="shared" si="253"/>
        <v>Warning</v>
      </c>
      <c r="H3245" s="13">
        <f t="shared" si="254"/>
        <v>6</v>
      </c>
      <c r="I3245" s="14">
        <f t="shared" si="250"/>
        <v>1816.25</v>
      </c>
      <c r="K3245" t="str">
        <f>[1]!revcom(C3245)</f>
        <v>GTCCTA</v>
      </c>
      <c r="L3245">
        <v>6</v>
      </c>
    </row>
    <row r="3246" spans="1:12" ht="15.6" x14ac:dyDescent="0.3">
      <c r="A3246" s="9">
        <v>3235</v>
      </c>
      <c r="B3246" s="1"/>
      <c r="C3246" s="2" t="s">
        <v>3241</v>
      </c>
      <c r="D3246" s="1"/>
      <c r="E3246" s="11">
        <f t="shared" si="251"/>
        <v>22</v>
      </c>
      <c r="F3246" s="12">
        <f t="shared" si="252"/>
        <v>50</v>
      </c>
      <c r="G3246" s="12" t="str">
        <f t="shared" si="253"/>
        <v>Warning</v>
      </c>
      <c r="H3246" s="13">
        <f t="shared" si="254"/>
        <v>6</v>
      </c>
      <c r="I3246" s="14">
        <f t="shared" si="250"/>
        <v>1856.2800000000002</v>
      </c>
      <c r="K3246" t="str">
        <f>[1]!revcom(C3246)</f>
        <v>CTCCTA</v>
      </c>
      <c r="L3246">
        <v>6</v>
      </c>
    </row>
    <row r="3247" spans="1:12" ht="15.6" x14ac:dyDescent="0.3">
      <c r="A3247" s="9">
        <v>3236</v>
      </c>
      <c r="B3247" s="1"/>
      <c r="C3247" s="2" t="s">
        <v>3242</v>
      </c>
      <c r="D3247" s="1"/>
      <c r="E3247" s="11">
        <f t="shared" si="251"/>
        <v>16</v>
      </c>
      <c r="F3247" s="12">
        <f t="shared" si="252"/>
        <v>33.333333333333329</v>
      </c>
      <c r="G3247" s="12" t="str">
        <f t="shared" si="253"/>
        <v>OK</v>
      </c>
      <c r="H3247" s="13">
        <f t="shared" si="254"/>
        <v>6</v>
      </c>
      <c r="I3247" s="14">
        <f t="shared" si="250"/>
        <v>1831.2600000000002</v>
      </c>
      <c r="K3247" t="str">
        <f>[1]!revcom(C3247)</f>
        <v>ATCCTA</v>
      </c>
      <c r="L3247">
        <v>5</v>
      </c>
    </row>
    <row r="3248" spans="1:12" ht="15.6" x14ac:dyDescent="0.3">
      <c r="A3248" s="9">
        <v>3237</v>
      </c>
      <c r="B3248" s="1"/>
      <c r="C3248" s="2" t="s">
        <v>3243</v>
      </c>
      <c r="D3248" s="1"/>
      <c r="E3248" s="11">
        <f t="shared" si="251"/>
        <v>22</v>
      </c>
      <c r="F3248" s="12">
        <f t="shared" si="252"/>
        <v>50</v>
      </c>
      <c r="G3248" s="12" t="str">
        <f t="shared" si="253"/>
        <v>Warning</v>
      </c>
      <c r="H3248" s="13">
        <f t="shared" si="254"/>
        <v>6</v>
      </c>
      <c r="I3248" s="14">
        <f t="shared" si="250"/>
        <v>1816.25</v>
      </c>
      <c r="K3248" t="str">
        <f>[1]!revcom(C3248)</f>
        <v>TGCCTA</v>
      </c>
      <c r="L3248">
        <v>6</v>
      </c>
    </row>
    <row r="3249" spans="1:12" ht="15.6" x14ac:dyDescent="0.3">
      <c r="A3249" s="9">
        <v>3238</v>
      </c>
      <c r="B3249" s="1"/>
      <c r="C3249" s="2" t="s">
        <v>3244</v>
      </c>
      <c r="D3249" s="1"/>
      <c r="E3249" s="11">
        <f t="shared" si="251"/>
        <v>20</v>
      </c>
      <c r="F3249" s="12">
        <f t="shared" si="252"/>
        <v>66.666666666666657</v>
      </c>
      <c r="G3249" s="12" t="str">
        <f t="shared" si="253"/>
        <v>Warning</v>
      </c>
      <c r="H3249" s="13">
        <f t="shared" si="254"/>
        <v>6</v>
      </c>
      <c r="I3249" s="14">
        <f t="shared" si="250"/>
        <v>1792.2199999999998</v>
      </c>
      <c r="K3249" t="str">
        <f>[1]!revcom(C3249)</f>
        <v>GGCCTA</v>
      </c>
      <c r="L3249">
        <v>6</v>
      </c>
    </row>
    <row r="3250" spans="1:12" ht="15.6" x14ac:dyDescent="0.3">
      <c r="A3250" s="9">
        <v>3239</v>
      </c>
      <c r="B3250" s="1"/>
      <c r="C3250" s="2" t="s">
        <v>3245</v>
      </c>
      <c r="D3250" s="1"/>
      <c r="E3250" s="11">
        <f t="shared" si="251"/>
        <v>20</v>
      </c>
      <c r="F3250" s="12">
        <f t="shared" si="252"/>
        <v>66.666666666666657</v>
      </c>
      <c r="G3250" s="12" t="str">
        <f t="shared" si="253"/>
        <v>Warning</v>
      </c>
      <c r="H3250" s="13">
        <f t="shared" si="254"/>
        <v>6</v>
      </c>
      <c r="I3250" s="14">
        <f t="shared" si="250"/>
        <v>1832.25</v>
      </c>
      <c r="K3250" t="str">
        <f>[1]!revcom(C3250)</f>
        <v>CGCCTA</v>
      </c>
      <c r="L3250">
        <v>6</v>
      </c>
    </row>
    <row r="3251" spans="1:12" ht="15.6" x14ac:dyDescent="0.3">
      <c r="A3251" s="9">
        <v>3240</v>
      </c>
      <c r="B3251" s="1"/>
      <c r="C3251" s="2" t="s">
        <v>3246</v>
      </c>
      <c r="D3251" s="1"/>
      <c r="E3251" s="11">
        <f t="shared" si="251"/>
        <v>14</v>
      </c>
      <c r="F3251" s="12">
        <f t="shared" si="252"/>
        <v>50</v>
      </c>
      <c r="G3251" s="12" t="str">
        <f t="shared" si="253"/>
        <v>Warning</v>
      </c>
      <c r="H3251" s="13">
        <f t="shared" si="254"/>
        <v>6</v>
      </c>
      <c r="I3251" s="14">
        <f t="shared" si="250"/>
        <v>1807.23</v>
      </c>
      <c r="K3251" t="str">
        <f>[1]!revcom(C3251)</f>
        <v>AGCCTA</v>
      </c>
      <c r="L3251">
        <v>5</v>
      </c>
    </row>
    <row r="3252" spans="1:12" ht="15.6" x14ac:dyDescent="0.3">
      <c r="A3252" s="9">
        <v>3241</v>
      </c>
      <c r="B3252" s="1"/>
      <c r="C3252" s="2" t="s">
        <v>3247</v>
      </c>
      <c r="D3252" s="1"/>
      <c r="E3252" s="11">
        <f t="shared" si="251"/>
        <v>22</v>
      </c>
      <c r="F3252" s="12">
        <f t="shared" si="252"/>
        <v>50</v>
      </c>
      <c r="G3252" s="12" t="str">
        <f t="shared" si="253"/>
        <v>Warning</v>
      </c>
      <c r="H3252" s="13">
        <f t="shared" si="254"/>
        <v>6</v>
      </c>
      <c r="I3252" s="14">
        <f t="shared" si="250"/>
        <v>1856.2800000000002</v>
      </c>
      <c r="K3252" t="str">
        <f>[1]!revcom(C3252)</f>
        <v>TCCCTA</v>
      </c>
      <c r="L3252">
        <v>6</v>
      </c>
    </row>
    <row r="3253" spans="1:12" ht="15.6" x14ac:dyDescent="0.3">
      <c r="A3253" s="9">
        <v>3242</v>
      </c>
      <c r="B3253" s="1"/>
      <c r="C3253" s="2" t="s">
        <v>3248</v>
      </c>
      <c r="D3253" s="1"/>
      <c r="E3253" s="11">
        <f t="shared" si="251"/>
        <v>20</v>
      </c>
      <c r="F3253" s="12">
        <f t="shared" si="252"/>
        <v>66.666666666666657</v>
      </c>
      <c r="G3253" s="12" t="str">
        <f t="shared" si="253"/>
        <v>Warning</v>
      </c>
      <c r="H3253" s="13">
        <f t="shared" si="254"/>
        <v>6</v>
      </c>
      <c r="I3253" s="14">
        <f t="shared" si="250"/>
        <v>1832.25</v>
      </c>
      <c r="K3253" t="str">
        <f>[1]!revcom(C3253)</f>
        <v>GCCCTA</v>
      </c>
      <c r="L3253">
        <v>6</v>
      </c>
    </row>
    <row r="3254" spans="1:12" ht="15.6" x14ac:dyDescent="0.3">
      <c r="A3254" s="9">
        <v>3243</v>
      </c>
      <c r="B3254" s="1"/>
      <c r="C3254" s="2" t="s">
        <v>3249</v>
      </c>
      <c r="D3254" s="1"/>
      <c r="E3254" s="11">
        <f t="shared" si="251"/>
        <v>20</v>
      </c>
      <c r="F3254" s="12">
        <f t="shared" si="252"/>
        <v>66.666666666666657</v>
      </c>
      <c r="G3254" s="12" t="str">
        <f t="shared" si="253"/>
        <v>Warning</v>
      </c>
      <c r="H3254" s="13">
        <f t="shared" si="254"/>
        <v>6</v>
      </c>
      <c r="I3254" s="14">
        <f t="shared" si="250"/>
        <v>1872.2800000000002</v>
      </c>
      <c r="K3254" t="str">
        <f>[1]!revcom(C3254)</f>
        <v>CCCCTA</v>
      </c>
      <c r="L3254">
        <v>6</v>
      </c>
    </row>
    <row r="3255" spans="1:12" ht="15.6" x14ac:dyDescent="0.3">
      <c r="A3255" s="9">
        <v>3244</v>
      </c>
      <c r="B3255" s="1"/>
      <c r="C3255" s="2" t="s">
        <v>3250</v>
      </c>
      <c r="D3255" s="1"/>
      <c r="E3255" s="11">
        <f t="shared" si="251"/>
        <v>14</v>
      </c>
      <c r="F3255" s="12">
        <f t="shared" si="252"/>
        <v>50</v>
      </c>
      <c r="G3255" s="12" t="str">
        <f t="shared" si="253"/>
        <v>Warning</v>
      </c>
      <c r="H3255" s="13">
        <f t="shared" si="254"/>
        <v>6</v>
      </c>
      <c r="I3255" s="14">
        <f t="shared" si="250"/>
        <v>1847.2600000000002</v>
      </c>
      <c r="K3255" t="str">
        <f>[1]!revcom(C3255)</f>
        <v>ACCCTA</v>
      </c>
      <c r="L3255">
        <v>5</v>
      </c>
    </row>
    <row r="3256" spans="1:12" ht="15.6" x14ac:dyDescent="0.3">
      <c r="A3256" s="9">
        <v>3245</v>
      </c>
      <c r="B3256" s="1"/>
      <c r="C3256" s="2" t="s">
        <v>3251</v>
      </c>
      <c r="D3256" s="1"/>
      <c r="E3256" s="11">
        <f t="shared" si="251"/>
        <v>16</v>
      </c>
      <c r="F3256" s="12">
        <f t="shared" si="252"/>
        <v>33.333333333333329</v>
      </c>
      <c r="G3256" s="12" t="str">
        <f t="shared" si="253"/>
        <v>OK</v>
      </c>
      <c r="H3256" s="13">
        <f t="shared" si="254"/>
        <v>6</v>
      </c>
      <c r="I3256" s="14">
        <f t="shared" si="250"/>
        <v>1831.2600000000002</v>
      </c>
      <c r="K3256" t="str">
        <f>[1]!revcom(C3256)</f>
        <v>TACCTA</v>
      </c>
      <c r="L3256">
        <v>5</v>
      </c>
    </row>
    <row r="3257" spans="1:12" ht="15.6" x14ac:dyDescent="0.3">
      <c r="A3257" s="9">
        <v>3246</v>
      </c>
      <c r="B3257" s="1"/>
      <c r="C3257" s="2" t="s">
        <v>3252</v>
      </c>
      <c r="D3257" s="1"/>
      <c r="E3257" s="11">
        <f t="shared" si="251"/>
        <v>14</v>
      </c>
      <c r="F3257" s="12">
        <f t="shared" si="252"/>
        <v>50</v>
      </c>
      <c r="G3257" s="12" t="str">
        <f t="shared" si="253"/>
        <v>Warning</v>
      </c>
      <c r="H3257" s="13">
        <f t="shared" si="254"/>
        <v>6</v>
      </c>
      <c r="I3257" s="14">
        <f t="shared" si="250"/>
        <v>1807.23</v>
      </c>
      <c r="K3257" t="str">
        <f>[1]!revcom(C3257)</f>
        <v>GACCTA</v>
      </c>
      <c r="L3257">
        <v>5</v>
      </c>
    </row>
    <row r="3258" spans="1:12" ht="15.6" x14ac:dyDescent="0.3">
      <c r="A3258" s="9">
        <v>3247</v>
      </c>
      <c r="B3258" s="1"/>
      <c r="C3258" s="2" t="s">
        <v>3253</v>
      </c>
      <c r="D3258" s="1"/>
      <c r="E3258" s="11">
        <f t="shared" si="251"/>
        <v>14</v>
      </c>
      <c r="F3258" s="12">
        <f t="shared" si="252"/>
        <v>50</v>
      </c>
      <c r="G3258" s="12" t="str">
        <f t="shared" si="253"/>
        <v>Warning</v>
      </c>
      <c r="H3258" s="13">
        <f t="shared" si="254"/>
        <v>6</v>
      </c>
      <c r="I3258" s="14">
        <f t="shared" si="250"/>
        <v>1847.2600000000002</v>
      </c>
      <c r="K3258" t="str">
        <f>[1]!revcom(C3258)</f>
        <v>CACCTA</v>
      </c>
      <c r="L3258">
        <v>5</v>
      </c>
    </row>
    <row r="3259" spans="1:12" ht="15.6" x14ac:dyDescent="0.3">
      <c r="A3259" s="9">
        <v>3248</v>
      </c>
      <c r="B3259" s="1"/>
      <c r="C3259" s="2" t="s">
        <v>3254</v>
      </c>
      <c r="D3259" s="1"/>
      <c r="E3259" s="11">
        <f t="shared" si="251"/>
        <v>8</v>
      </c>
      <c r="F3259" s="12">
        <f t="shared" si="252"/>
        <v>33.333333333333329</v>
      </c>
      <c r="G3259" s="12" t="str">
        <f t="shared" si="253"/>
        <v>OK</v>
      </c>
      <c r="H3259" s="13">
        <f t="shared" si="254"/>
        <v>6</v>
      </c>
      <c r="I3259" s="14">
        <f t="shared" si="250"/>
        <v>1822.2400000000002</v>
      </c>
      <c r="K3259" t="str">
        <f>[1]!revcom(C3259)</f>
        <v>AACCTA</v>
      </c>
      <c r="L3259">
        <v>4</v>
      </c>
    </row>
    <row r="3260" spans="1:12" ht="15.6" x14ac:dyDescent="0.3">
      <c r="A3260" s="9">
        <v>3249</v>
      </c>
      <c r="B3260" s="1"/>
      <c r="C3260" s="2" t="s">
        <v>3255</v>
      </c>
      <c r="D3260" s="1"/>
      <c r="E3260" s="11">
        <f t="shared" si="251"/>
        <v>18</v>
      </c>
      <c r="F3260" s="12">
        <f t="shared" si="252"/>
        <v>16.666666666666664</v>
      </c>
      <c r="G3260" s="12" t="str">
        <f t="shared" si="253"/>
        <v>OK</v>
      </c>
      <c r="H3260" s="13">
        <f t="shared" si="254"/>
        <v>6</v>
      </c>
      <c r="I3260" s="14">
        <f t="shared" si="250"/>
        <v>1815.2599999999998</v>
      </c>
      <c r="K3260" t="str">
        <f>[1]!revcom(C3260)</f>
        <v>TTACTA</v>
      </c>
      <c r="L3260">
        <v>5</v>
      </c>
    </row>
    <row r="3261" spans="1:12" ht="15.6" x14ac:dyDescent="0.3">
      <c r="A3261" s="9">
        <v>3250</v>
      </c>
      <c r="B3261" s="1"/>
      <c r="C3261" s="2" t="s">
        <v>3256</v>
      </c>
      <c r="D3261" s="1"/>
      <c r="E3261" s="11">
        <f t="shared" si="251"/>
        <v>16</v>
      </c>
      <c r="F3261" s="12">
        <f t="shared" si="252"/>
        <v>33.333333333333329</v>
      </c>
      <c r="G3261" s="12" t="str">
        <f t="shared" si="253"/>
        <v>OK</v>
      </c>
      <c r="H3261" s="13">
        <f t="shared" si="254"/>
        <v>6</v>
      </c>
      <c r="I3261" s="14">
        <f t="shared" si="250"/>
        <v>1791.23</v>
      </c>
      <c r="K3261" t="str">
        <f>[1]!revcom(C3261)</f>
        <v>GTACTA</v>
      </c>
      <c r="L3261">
        <v>5</v>
      </c>
    </row>
    <row r="3262" spans="1:12" ht="15.6" x14ac:dyDescent="0.3">
      <c r="A3262" s="9">
        <v>3251</v>
      </c>
      <c r="B3262" s="1"/>
      <c r="C3262" s="2" t="s">
        <v>3257</v>
      </c>
      <c r="D3262" s="1"/>
      <c r="E3262" s="11">
        <f t="shared" si="251"/>
        <v>16</v>
      </c>
      <c r="F3262" s="12">
        <f t="shared" si="252"/>
        <v>33.333333333333329</v>
      </c>
      <c r="G3262" s="12" t="str">
        <f t="shared" si="253"/>
        <v>OK</v>
      </c>
      <c r="H3262" s="13">
        <f t="shared" si="254"/>
        <v>6</v>
      </c>
      <c r="I3262" s="14">
        <f t="shared" si="250"/>
        <v>1831.2600000000002</v>
      </c>
      <c r="K3262" t="str">
        <f>[1]!revcom(C3262)</f>
        <v>CTACTA</v>
      </c>
      <c r="L3262">
        <v>5</v>
      </c>
    </row>
    <row r="3263" spans="1:12" ht="15.6" x14ac:dyDescent="0.3">
      <c r="A3263" s="9">
        <v>3252</v>
      </c>
      <c r="B3263" s="1"/>
      <c r="C3263" s="2" t="s">
        <v>3258</v>
      </c>
      <c r="D3263" s="1"/>
      <c r="E3263" s="11">
        <f t="shared" si="251"/>
        <v>10</v>
      </c>
      <c r="F3263" s="12">
        <f t="shared" si="252"/>
        <v>16.666666666666664</v>
      </c>
      <c r="G3263" s="12" t="str">
        <f t="shared" si="253"/>
        <v>OK</v>
      </c>
      <c r="H3263" s="13">
        <f t="shared" si="254"/>
        <v>6</v>
      </c>
      <c r="I3263" s="14">
        <f t="shared" si="250"/>
        <v>1806.2399999999998</v>
      </c>
      <c r="K3263" t="str">
        <f>[1]!revcom(C3263)</f>
        <v>ATACTA</v>
      </c>
      <c r="L3263">
        <v>4</v>
      </c>
    </row>
    <row r="3264" spans="1:12" ht="15.6" x14ac:dyDescent="0.3">
      <c r="A3264" s="9">
        <v>3253</v>
      </c>
      <c r="B3264" s="1"/>
      <c r="C3264" s="2" t="s">
        <v>3259</v>
      </c>
      <c r="D3264" s="1"/>
      <c r="E3264" s="11">
        <f t="shared" si="251"/>
        <v>16</v>
      </c>
      <c r="F3264" s="12">
        <f t="shared" si="252"/>
        <v>33.333333333333329</v>
      </c>
      <c r="G3264" s="12" t="str">
        <f t="shared" si="253"/>
        <v>OK</v>
      </c>
      <c r="H3264" s="13">
        <f t="shared" si="254"/>
        <v>6</v>
      </c>
      <c r="I3264" s="14">
        <f t="shared" si="250"/>
        <v>1791.23</v>
      </c>
      <c r="K3264" t="str">
        <f>[1]!revcom(C3264)</f>
        <v>TGACTA</v>
      </c>
      <c r="L3264">
        <v>5</v>
      </c>
    </row>
    <row r="3265" spans="1:12" ht="15.6" x14ac:dyDescent="0.3">
      <c r="A3265" s="9">
        <v>3254</v>
      </c>
      <c r="B3265" s="1"/>
      <c r="C3265" s="2" t="s">
        <v>3260</v>
      </c>
      <c r="D3265" s="1"/>
      <c r="E3265" s="11">
        <f t="shared" si="251"/>
        <v>14</v>
      </c>
      <c r="F3265" s="12">
        <f t="shared" si="252"/>
        <v>50</v>
      </c>
      <c r="G3265" s="12" t="str">
        <f t="shared" si="253"/>
        <v>Warning</v>
      </c>
      <c r="H3265" s="13">
        <f t="shared" si="254"/>
        <v>6</v>
      </c>
      <c r="I3265" s="14">
        <f t="shared" si="250"/>
        <v>1767.1999999999998</v>
      </c>
      <c r="K3265" t="str">
        <f>[1]!revcom(C3265)</f>
        <v>GGACTA</v>
      </c>
      <c r="L3265">
        <v>5</v>
      </c>
    </row>
    <row r="3266" spans="1:12" ht="15.6" x14ac:dyDescent="0.3">
      <c r="A3266" s="9">
        <v>3255</v>
      </c>
      <c r="B3266" s="1"/>
      <c r="C3266" s="2" t="s">
        <v>3261</v>
      </c>
      <c r="D3266" s="1"/>
      <c r="E3266" s="11">
        <f t="shared" si="251"/>
        <v>14</v>
      </c>
      <c r="F3266" s="12">
        <f t="shared" si="252"/>
        <v>50</v>
      </c>
      <c r="G3266" s="12" t="str">
        <f t="shared" si="253"/>
        <v>Warning</v>
      </c>
      <c r="H3266" s="13">
        <f t="shared" si="254"/>
        <v>6</v>
      </c>
      <c r="I3266" s="14">
        <f t="shared" si="250"/>
        <v>1807.23</v>
      </c>
      <c r="K3266" t="str">
        <f>[1]!revcom(C3266)</f>
        <v>CGACTA</v>
      </c>
      <c r="L3266">
        <v>5</v>
      </c>
    </row>
    <row r="3267" spans="1:12" ht="15.6" x14ac:dyDescent="0.3">
      <c r="A3267" s="9">
        <v>3256</v>
      </c>
      <c r="B3267" s="1"/>
      <c r="C3267" s="2" t="s">
        <v>3262</v>
      </c>
      <c r="D3267" s="1"/>
      <c r="E3267" s="11">
        <f t="shared" si="251"/>
        <v>8</v>
      </c>
      <c r="F3267" s="12">
        <f t="shared" si="252"/>
        <v>33.333333333333329</v>
      </c>
      <c r="G3267" s="12" t="str">
        <f t="shared" si="253"/>
        <v>OK</v>
      </c>
      <c r="H3267" s="13">
        <f t="shared" si="254"/>
        <v>6</v>
      </c>
      <c r="I3267" s="14">
        <f t="shared" si="250"/>
        <v>1782.21</v>
      </c>
      <c r="K3267" t="str">
        <f>[1]!revcom(C3267)</f>
        <v>AGACTA</v>
      </c>
      <c r="L3267">
        <v>4</v>
      </c>
    </row>
    <row r="3268" spans="1:12" ht="15.6" x14ac:dyDescent="0.3">
      <c r="A3268" s="9">
        <v>3257</v>
      </c>
      <c r="B3268" s="1"/>
      <c r="C3268" s="2" t="s">
        <v>3263</v>
      </c>
      <c r="D3268" s="1"/>
      <c r="E3268" s="11">
        <f t="shared" si="251"/>
        <v>16</v>
      </c>
      <c r="F3268" s="12">
        <f t="shared" si="252"/>
        <v>33.333333333333329</v>
      </c>
      <c r="G3268" s="12" t="str">
        <f t="shared" si="253"/>
        <v>OK</v>
      </c>
      <c r="H3268" s="13">
        <f t="shared" si="254"/>
        <v>6</v>
      </c>
      <c r="I3268" s="14">
        <f t="shared" si="250"/>
        <v>1831.2600000000002</v>
      </c>
      <c r="K3268" t="str">
        <f>[1]!revcom(C3268)</f>
        <v>TCACTA</v>
      </c>
      <c r="L3268">
        <v>5</v>
      </c>
    </row>
    <row r="3269" spans="1:12" ht="15.6" x14ac:dyDescent="0.3">
      <c r="A3269" s="9">
        <v>3258</v>
      </c>
      <c r="B3269" s="1"/>
      <c r="C3269" s="2" t="s">
        <v>3264</v>
      </c>
      <c r="D3269" s="1"/>
      <c r="E3269" s="11">
        <f t="shared" si="251"/>
        <v>14</v>
      </c>
      <c r="F3269" s="12">
        <f t="shared" si="252"/>
        <v>50</v>
      </c>
      <c r="G3269" s="12" t="str">
        <f t="shared" si="253"/>
        <v>Warning</v>
      </c>
      <c r="H3269" s="13">
        <f t="shared" si="254"/>
        <v>6</v>
      </c>
      <c r="I3269" s="14">
        <f t="shared" si="250"/>
        <v>1807.23</v>
      </c>
      <c r="K3269" t="str">
        <f>[1]!revcom(C3269)</f>
        <v>GCACTA</v>
      </c>
      <c r="L3269">
        <v>5</v>
      </c>
    </row>
    <row r="3270" spans="1:12" ht="15.6" x14ac:dyDescent="0.3">
      <c r="A3270" s="9">
        <v>3259</v>
      </c>
      <c r="B3270" s="1"/>
      <c r="C3270" s="2" t="s">
        <v>3265</v>
      </c>
      <c r="D3270" s="1"/>
      <c r="E3270" s="11">
        <f t="shared" si="251"/>
        <v>14</v>
      </c>
      <c r="F3270" s="12">
        <f t="shared" si="252"/>
        <v>50</v>
      </c>
      <c r="G3270" s="12" t="str">
        <f t="shared" si="253"/>
        <v>Warning</v>
      </c>
      <c r="H3270" s="13">
        <f t="shared" si="254"/>
        <v>6</v>
      </c>
      <c r="I3270" s="14">
        <f t="shared" si="250"/>
        <v>1847.2600000000002</v>
      </c>
      <c r="K3270" t="str">
        <f>[1]!revcom(C3270)</f>
        <v>CCACTA</v>
      </c>
      <c r="L3270">
        <v>5</v>
      </c>
    </row>
    <row r="3271" spans="1:12" ht="15.6" x14ac:dyDescent="0.3">
      <c r="A3271" s="9">
        <v>3260</v>
      </c>
      <c r="B3271" s="1"/>
      <c r="C3271" s="2" t="s">
        <v>3266</v>
      </c>
      <c r="D3271" s="1"/>
      <c r="E3271" s="11">
        <f t="shared" si="251"/>
        <v>8</v>
      </c>
      <c r="F3271" s="12">
        <f t="shared" si="252"/>
        <v>33.333333333333329</v>
      </c>
      <c r="G3271" s="12" t="str">
        <f t="shared" si="253"/>
        <v>OK</v>
      </c>
      <c r="H3271" s="13">
        <f t="shared" si="254"/>
        <v>6</v>
      </c>
      <c r="I3271" s="14">
        <f t="shared" si="250"/>
        <v>1822.2400000000002</v>
      </c>
      <c r="K3271" t="str">
        <f>[1]!revcom(C3271)</f>
        <v>ACACTA</v>
      </c>
      <c r="L3271">
        <v>4</v>
      </c>
    </row>
    <row r="3272" spans="1:12" ht="15.6" x14ac:dyDescent="0.3">
      <c r="A3272" s="9">
        <v>3261</v>
      </c>
      <c r="B3272" s="1"/>
      <c r="C3272" s="2" t="s">
        <v>3267</v>
      </c>
      <c r="D3272" s="1"/>
      <c r="E3272" s="11">
        <f t="shared" si="251"/>
        <v>10</v>
      </c>
      <c r="F3272" s="12">
        <f t="shared" si="252"/>
        <v>16.666666666666664</v>
      </c>
      <c r="G3272" s="12" t="str">
        <f t="shared" si="253"/>
        <v>OK</v>
      </c>
      <c r="H3272" s="13">
        <f t="shared" si="254"/>
        <v>6</v>
      </c>
      <c r="I3272" s="14">
        <f t="shared" si="250"/>
        <v>1806.2399999999998</v>
      </c>
      <c r="K3272" t="str">
        <f>[1]!revcom(C3272)</f>
        <v>TAACTA</v>
      </c>
      <c r="L3272">
        <v>4</v>
      </c>
    </row>
    <row r="3273" spans="1:12" ht="15.6" x14ac:dyDescent="0.3">
      <c r="A3273" s="9">
        <v>3262</v>
      </c>
      <c r="B3273" s="1"/>
      <c r="C3273" s="2" t="s">
        <v>3268</v>
      </c>
      <c r="D3273" s="1"/>
      <c r="E3273" s="11">
        <f t="shared" si="251"/>
        <v>8</v>
      </c>
      <c r="F3273" s="12">
        <f t="shared" si="252"/>
        <v>33.333333333333329</v>
      </c>
      <c r="G3273" s="12" t="str">
        <f t="shared" si="253"/>
        <v>OK</v>
      </c>
      <c r="H3273" s="13">
        <f t="shared" si="254"/>
        <v>6</v>
      </c>
      <c r="I3273" s="14">
        <f t="shared" si="250"/>
        <v>1782.21</v>
      </c>
      <c r="K3273" t="str">
        <f>[1]!revcom(C3273)</f>
        <v>GAACTA</v>
      </c>
      <c r="L3273">
        <v>4</v>
      </c>
    </row>
    <row r="3274" spans="1:12" ht="15.6" x14ac:dyDescent="0.3">
      <c r="A3274" s="9">
        <v>3263</v>
      </c>
      <c r="B3274" s="1"/>
      <c r="C3274" s="2" t="s">
        <v>3269</v>
      </c>
      <c r="D3274" s="1"/>
      <c r="E3274" s="11">
        <f t="shared" si="251"/>
        <v>8</v>
      </c>
      <c r="F3274" s="12">
        <f t="shared" si="252"/>
        <v>33.333333333333329</v>
      </c>
      <c r="G3274" s="12" t="str">
        <f t="shared" si="253"/>
        <v>OK</v>
      </c>
      <c r="H3274" s="13">
        <f t="shared" si="254"/>
        <v>6</v>
      </c>
      <c r="I3274" s="14">
        <f t="shared" si="250"/>
        <v>1822.2400000000002</v>
      </c>
      <c r="K3274" t="str">
        <f>[1]!revcom(C3274)</f>
        <v>CAACTA</v>
      </c>
      <c r="L3274">
        <v>4</v>
      </c>
    </row>
    <row r="3275" spans="1:12" ht="15.6" x14ac:dyDescent="0.3">
      <c r="A3275" s="9">
        <v>3264</v>
      </c>
      <c r="B3275" s="1"/>
      <c r="C3275" s="2" t="s">
        <v>3270</v>
      </c>
      <c r="D3275" s="1"/>
      <c r="E3275" s="11">
        <f t="shared" si="251"/>
        <v>2</v>
      </c>
      <c r="F3275" s="12">
        <f t="shared" si="252"/>
        <v>16.666666666666664</v>
      </c>
      <c r="G3275" s="12" t="str">
        <f t="shared" si="253"/>
        <v>OK</v>
      </c>
      <c r="H3275" s="13">
        <f t="shared" si="254"/>
        <v>6</v>
      </c>
      <c r="I3275" s="14">
        <f t="shared" si="250"/>
        <v>1797.2199999999998</v>
      </c>
      <c r="K3275" t="str">
        <f>[1]!revcom(C3275)</f>
        <v>AAACTA</v>
      </c>
      <c r="L3275">
        <v>3</v>
      </c>
    </row>
    <row r="3276" spans="1:12" ht="15.6" x14ac:dyDescent="0.3">
      <c r="A3276" s="9">
        <v>3265</v>
      </c>
      <c r="B3276" s="1"/>
      <c r="C3276" s="2" t="s">
        <v>3271</v>
      </c>
      <c r="D3276" s="1"/>
      <c r="E3276" s="11">
        <f t="shared" si="251"/>
        <v>20</v>
      </c>
      <c r="F3276" s="12">
        <f t="shared" si="252"/>
        <v>0</v>
      </c>
      <c r="G3276" s="12" t="str">
        <f t="shared" si="253"/>
        <v>OK</v>
      </c>
      <c r="H3276" s="13">
        <f t="shared" si="254"/>
        <v>6</v>
      </c>
      <c r="I3276" s="14">
        <f t="shared" si="250"/>
        <v>1799.2599999999998</v>
      </c>
      <c r="K3276" t="str">
        <f>[1]!revcom(C3276)</f>
        <v>TTTATA</v>
      </c>
      <c r="L3276">
        <v>6</v>
      </c>
    </row>
    <row r="3277" spans="1:12" ht="15.6" x14ac:dyDescent="0.3">
      <c r="A3277" s="9">
        <v>3266</v>
      </c>
      <c r="B3277" s="1"/>
      <c r="C3277" s="2" t="s">
        <v>3272</v>
      </c>
      <c r="D3277" s="1"/>
      <c r="E3277" s="11">
        <f t="shared" si="251"/>
        <v>18</v>
      </c>
      <c r="F3277" s="12">
        <f t="shared" si="252"/>
        <v>16.666666666666664</v>
      </c>
      <c r="G3277" s="12" t="str">
        <f t="shared" si="253"/>
        <v>OK</v>
      </c>
      <c r="H3277" s="13">
        <f t="shared" si="254"/>
        <v>6</v>
      </c>
      <c r="I3277" s="14">
        <f t="shared" ref="I3277:I3340" si="255">((LEN(C3277)-(LEN(SUBSTITUTE(C3277,"A",""))))*249.23)+((LEN(C3277)-(LEN(SUBSTITUTE(C3277,"T",""))))*240.21)+((LEN(C3277)-(LEN(SUBSTITUTE(C3277,"C",""))))*225.2)+((LEN(C3277)-(LEN(SUBSTITUTE(C3277,"G",""))))*265.23)+(63.98*(LEN(C3277)-1)+(2.02))</f>
        <v>1775.23</v>
      </c>
      <c r="K3277" t="str">
        <f>[1]!revcom(C3277)</f>
        <v>GTTATA</v>
      </c>
      <c r="L3277">
        <v>5</v>
      </c>
    </row>
    <row r="3278" spans="1:12" ht="15.6" x14ac:dyDescent="0.3">
      <c r="A3278" s="9">
        <v>3267</v>
      </c>
      <c r="B3278" s="1"/>
      <c r="C3278" s="2" t="s">
        <v>3273</v>
      </c>
      <c r="D3278" s="1"/>
      <c r="E3278" s="11">
        <f t="shared" ref="E3278:E3341" si="256">IF(LEN(C3278)&gt;15,(69.3+((41*((LEN(C3278)-(((LEN(C3278)-(LEN(SUBSTITUTE(C3278,"A",""))))+((LEN(C3278)-(LEN(SUBSTITUTE(C3278,"T","")))))))))/(LEN(C3278)))-(650/(LEN(C3278))))),(2*((LEN(C3278)-(((LEN(C3278)-(LEN(SUBSTITUTE(C3278,"C",""))))+((LEN(C3278)-(LEN(SUBSTITUTE(C3278,"G",""))))))))))+(4*((LEN(C3278)-(((LEN(C3278)-(LEN(SUBSTITUTE(C3278,"T",""))))+((LEN(C3278)-(LEN(SUBSTITUTE(C3278,"T","")))))))))))</f>
        <v>18</v>
      </c>
      <c r="F3278" s="12">
        <f t="shared" ref="F3278:F3341" si="257">((LEN(C3278)- LEN(SUBSTITUTE(C3278,"G","")))+(LEN(C3278)- LEN(SUBSTITUTE(C3278,"C",""))) )/LEN(C3278)*100</f>
        <v>16.666666666666664</v>
      </c>
      <c r="G3278" s="12" t="str">
        <f t="shared" ref="G3278:G3341" si="258">IF((-5+((LEN(SUBSTITUTE(RIGHT(C3278,5),"C","")))+((LEN(SUBSTITUTE(RIGHT(C3278,5),"G",""))))))&gt;=3,"OK","Warning")</f>
        <v>OK</v>
      </c>
      <c r="H3278" s="13">
        <f t="shared" ref="H3278:H3341" si="259">LEN(C3278)</f>
        <v>6</v>
      </c>
      <c r="I3278" s="14">
        <f t="shared" si="255"/>
        <v>1815.2599999999998</v>
      </c>
      <c r="K3278" t="str">
        <f>[1]!revcom(C3278)</f>
        <v>CTTATA</v>
      </c>
      <c r="L3278">
        <v>5</v>
      </c>
    </row>
    <row r="3279" spans="1:12" ht="15.6" x14ac:dyDescent="0.3">
      <c r="A3279" s="9">
        <v>3268</v>
      </c>
      <c r="B3279" s="1"/>
      <c r="C3279" s="2" t="s">
        <v>3274</v>
      </c>
      <c r="D3279" s="1"/>
      <c r="E3279" s="11">
        <f t="shared" si="256"/>
        <v>12</v>
      </c>
      <c r="F3279" s="12">
        <f t="shared" si="257"/>
        <v>0</v>
      </c>
      <c r="G3279" s="12" t="str">
        <f t="shared" si="258"/>
        <v>OK</v>
      </c>
      <c r="H3279" s="13">
        <f t="shared" si="259"/>
        <v>6</v>
      </c>
      <c r="I3279" s="14">
        <f t="shared" si="255"/>
        <v>1790.2399999999998</v>
      </c>
      <c r="K3279" t="str">
        <f>[1]!revcom(C3279)</f>
        <v>ATTATA</v>
      </c>
      <c r="L3279">
        <v>4</v>
      </c>
    </row>
    <row r="3280" spans="1:12" ht="15.6" x14ac:dyDescent="0.3">
      <c r="A3280" s="9">
        <v>3269</v>
      </c>
      <c r="B3280" s="1"/>
      <c r="C3280" s="2" t="s">
        <v>3275</v>
      </c>
      <c r="D3280" s="1"/>
      <c r="E3280" s="11">
        <f t="shared" si="256"/>
        <v>18</v>
      </c>
      <c r="F3280" s="12">
        <f t="shared" si="257"/>
        <v>16.666666666666664</v>
      </c>
      <c r="G3280" s="12" t="str">
        <f t="shared" si="258"/>
        <v>OK</v>
      </c>
      <c r="H3280" s="13">
        <f t="shared" si="259"/>
        <v>6</v>
      </c>
      <c r="I3280" s="14">
        <f t="shared" si="255"/>
        <v>1775.23</v>
      </c>
      <c r="K3280" t="str">
        <f>[1]!revcom(C3280)</f>
        <v>TGTATA</v>
      </c>
      <c r="L3280">
        <v>5</v>
      </c>
    </row>
    <row r="3281" spans="1:12" ht="15.6" x14ac:dyDescent="0.3">
      <c r="A3281" s="9">
        <v>3270</v>
      </c>
      <c r="B3281" s="1"/>
      <c r="C3281" s="2" t="s">
        <v>3276</v>
      </c>
      <c r="D3281" s="1"/>
      <c r="E3281" s="11">
        <f t="shared" si="256"/>
        <v>16</v>
      </c>
      <c r="F3281" s="12">
        <f t="shared" si="257"/>
        <v>33.333333333333329</v>
      </c>
      <c r="G3281" s="12" t="str">
        <f t="shared" si="258"/>
        <v>OK</v>
      </c>
      <c r="H3281" s="13">
        <f t="shared" si="259"/>
        <v>6</v>
      </c>
      <c r="I3281" s="14">
        <f t="shared" si="255"/>
        <v>1751.1999999999998</v>
      </c>
      <c r="K3281" t="str">
        <f>[1]!revcom(C3281)</f>
        <v>GGTATA</v>
      </c>
      <c r="L3281">
        <v>5</v>
      </c>
    </row>
    <row r="3282" spans="1:12" ht="15.6" x14ac:dyDescent="0.3">
      <c r="A3282" s="9">
        <v>3271</v>
      </c>
      <c r="B3282" s="1"/>
      <c r="C3282" s="2" t="s">
        <v>3277</v>
      </c>
      <c r="D3282" s="1"/>
      <c r="E3282" s="11">
        <f t="shared" si="256"/>
        <v>16</v>
      </c>
      <c r="F3282" s="12">
        <f t="shared" si="257"/>
        <v>33.333333333333329</v>
      </c>
      <c r="G3282" s="12" t="str">
        <f t="shared" si="258"/>
        <v>OK</v>
      </c>
      <c r="H3282" s="13">
        <f t="shared" si="259"/>
        <v>6</v>
      </c>
      <c r="I3282" s="14">
        <f t="shared" si="255"/>
        <v>1791.23</v>
      </c>
      <c r="K3282" t="str">
        <f>[1]!revcom(C3282)</f>
        <v>CGTATA</v>
      </c>
      <c r="L3282">
        <v>5</v>
      </c>
    </row>
    <row r="3283" spans="1:12" ht="15.6" x14ac:dyDescent="0.3">
      <c r="A3283" s="9">
        <v>3272</v>
      </c>
      <c r="B3283" s="1"/>
      <c r="C3283" s="2" t="s">
        <v>3278</v>
      </c>
      <c r="D3283" s="1"/>
      <c r="E3283" s="11">
        <f t="shared" si="256"/>
        <v>10</v>
      </c>
      <c r="F3283" s="12">
        <f t="shared" si="257"/>
        <v>16.666666666666664</v>
      </c>
      <c r="G3283" s="12" t="str">
        <f t="shared" si="258"/>
        <v>OK</v>
      </c>
      <c r="H3283" s="13">
        <f t="shared" si="259"/>
        <v>6</v>
      </c>
      <c r="I3283" s="14">
        <f t="shared" si="255"/>
        <v>1766.21</v>
      </c>
      <c r="K3283" t="str">
        <f>[1]!revcom(C3283)</f>
        <v>AGTATA</v>
      </c>
      <c r="L3283">
        <v>4</v>
      </c>
    </row>
    <row r="3284" spans="1:12" ht="15.6" x14ac:dyDescent="0.3">
      <c r="A3284" s="9">
        <v>3273</v>
      </c>
      <c r="B3284" s="1"/>
      <c r="C3284" s="2" t="s">
        <v>3279</v>
      </c>
      <c r="D3284" s="1"/>
      <c r="E3284" s="11">
        <f t="shared" si="256"/>
        <v>18</v>
      </c>
      <c r="F3284" s="12">
        <f t="shared" si="257"/>
        <v>16.666666666666664</v>
      </c>
      <c r="G3284" s="12" t="str">
        <f t="shared" si="258"/>
        <v>OK</v>
      </c>
      <c r="H3284" s="13">
        <f t="shared" si="259"/>
        <v>6</v>
      </c>
      <c r="I3284" s="14">
        <f t="shared" si="255"/>
        <v>1815.2599999999998</v>
      </c>
      <c r="K3284" t="str">
        <f>[1]!revcom(C3284)</f>
        <v>TCTATA</v>
      </c>
      <c r="L3284">
        <v>5</v>
      </c>
    </row>
    <row r="3285" spans="1:12" ht="15.6" x14ac:dyDescent="0.3">
      <c r="A3285" s="9">
        <v>3274</v>
      </c>
      <c r="B3285" s="1"/>
      <c r="C3285" s="2" t="s">
        <v>3280</v>
      </c>
      <c r="D3285" s="1"/>
      <c r="E3285" s="11">
        <f t="shared" si="256"/>
        <v>16</v>
      </c>
      <c r="F3285" s="12">
        <f t="shared" si="257"/>
        <v>33.333333333333329</v>
      </c>
      <c r="G3285" s="12" t="str">
        <f t="shared" si="258"/>
        <v>OK</v>
      </c>
      <c r="H3285" s="13">
        <f t="shared" si="259"/>
        <v>6</v>
      </c>
      <c r="I3285" s="14">
        <f t="shared" si="255"/>
        <v>1791.23</v>
      </c>
      <c r="K3285" t="str">
        <f>[1]!revcom(C3285)</f>
        <v>GCTATA</v>
      </c>
      <c r="L3285">
        <v>5</v>
      </c>
    </row>
    <row r="3286" spans="1:12" ht="15.6" x14ac:dyDescent="0.3">
      <c r="A3286" s="9">
        <v>3275</v>
      </c>
      <c r="B3286" s="1"/>
      <c r="C3286" s="2" t="s">
        <v>3281</v>
      </c>
      <c r="D3286" s="1"/>
      <c r="E3286" s="11">
        <f t="shared" si="256"/>
        <v>16</v>
      </c>
      <c r="F3286" s="12">
        <f t="shared" si="257"/>
        <v>33.333333333333329</v>
      </c>
      <c r="G3286" s="12" t="str">
        <f t="shared" si="258"/>
        <v>OK</v>
      </c>
      <c r="H3286" s="13">
        <f t="shared" si="259"/>
        <v>6</v>
      </c>
      <c r="I3286" s="14">
        <f t="shared" si="255"/>
        <v>1831.2600000000002</v>
      </c>
      <c r="K3286" t="str">
        <f>[1]!revcom(C3286)</f>
        <v>CCTATA</v>
      </c>
      <c r="L3286">
        <v>5</v>
      </c>
    </row>
    <row r="3287" spans="1:12" ht="15.6" x14ac:dyDescent="0.3">
      <c r="A3287" s="9">
        <v>3276</v>
      </c>
      <c r="B3287" s="1"/>
      <c r="C3287" s="2" t="s">
        <v>3282</v>
      </c>
      <c r="D3287" s="1"/>
      <c r="E3287" s="11">
        <f t="shared" si="256"/>
        <v>10</v>
      </c>
      <c r="F3287" s="12">
        <f t="shared" si="257"/>
        <v>16.666666666666664</v>
      </c>
      <c r="G3287" s="12" t="str">
        <f t="shared" si="258"/>
        <v>OK</v>
      </c>
      <c r="H3287" s="13">
        <f t="shared" si="259"/>
        <v>6</v>
      </c>
      <c r="I3287" s="14">
        <f t="shared" si="255"/>
        <v>1806.2399999999998</v>
      </c>
      <c r="K3287" t="str">
        <f>[1]!revcom(C3287)</f>
        <v>ACTATA</v>
      </c>
      <c r="L3287">
        <v>4</v>
      </c>
    </row>
    <row r="3288" spans="1:12" ht="15.6" x14ac:dyDescent="0.3">
      <c r="A3288" s="9">
        <v>3277</v>
      </c>
      <c r="B3288" s="1"/>
      <c r="C3288" s="2" t="s">
        <v>3283</v>
      </c>
      <c r="D3288" s="1"/>
      <c r="E3288" s="11">
        <f t="shared" si="256"/>
        <v>12</v>
      </c>
      <c r="F3288" s="12">
        <f t="shared" si="257"/>
        <v>0</v>
      </c>
      <c r="G3288" s="12" t="str">
        <f t="shared" si="258"/>
        <v>OK</v>
      </c>
      <c r="H3288" s="13">
        <f t="shared" si="259"/>
        <v>6</v>
      </c>
      <c r="I3288" s="14">
        <f t="shared" si="255"/>
        <v>1790.2399999999998</v>
      </c>
      <c r="K3288" t="str">
        <f>[1]!revcom(C3288)</f>
        <v>TATATA</v>
      </c>
      <c r="L3288">
        <v>4</v>
      </c>
    </row>
    <row r="3289" spans="1:12" ht="15.6" x14ac:dyDescent="0.3">
      <c r="A3289" s="9">
        <v>3278</v>
      </c>
      <c r="B3289" s="1"/>
      <c r="C3289" s="2" t="s">
        <v>3284</v>
      </c>
      <c r="D3289" s="1"/>
      <c r="E3289" s="11">
        <f t="shared" si="256"/>
        <v>10</v>
      </c>
      <c r="F3289" s="12">
        <f t="shared" si="257"/>
        <v>16.666666666666664</v>
      </c>
      <c r="G3289" s="12" t="str">
        <f t="shared" si="258"/>
        <v>OK</v>
      </c>
      <c r="H3289" s="13">
        <f t="shared" si="259"/>
        <v>6</v>
      </c>
      <c r="I3289" s="14">
        <f t="shared" si="255"/>
        <v>1766.21</v>
      </c>
      <c r="K3289" t="str">
        <f>[1]!revcom(C3289)</f>
        <v>GATATA</v>
      </c>
      <c r="L3289">
        <v>4</v>
      </c>
    </row>
    <row r="3290" spans="1:12" ht="15.6" x14ac:dyDescent="0.3">
      <c r="A3290" s="9">
        <v>3279</v>
      </c>
      <c r="B3290" s="1"/>
      <c r="C3290" s="2" t="s">
        <v>3285</v>
      </c>
      <c r="D3290" s="1"/>
      <c r="E3290" s="11">
        <f t="shared" si="256"/>
        <v>10</v>
      </c>
      <c r="F3290" s="12">
        <f t="shared" si="257"/>
        <v>16.666666666666664</v>
      </c>
      <c r="G3290" s="12" t="str">
        <f t="shared" si="258"/>
        <v>OK</v>
      </c>
      <c r="H3290" s="13">
        <f t="shared" si="259"/>
        <v>6</v>
      </c>
      <c r="I3290" s="14">
        <f t="shared" si="255"/>
        <v>1806.2399999999998</v>
      </c>
      <c r="K3290" t="str">
        <f>[1]!revcom(C3290)</f>
        <v>CATATA</v>
      </c>
      <c r="L3290">
        <v>4</v>
      </c>
    </row>
    <row r="3291" spans="1:12" ht="15.6" x14ac:dyDescent="0.3">
      <c r="A3291" s="9">
        <v>3280</v>
      </c>
      <c r="B3291" s="1"/>
      <c r="C3291" s="2" t="s">
        <v>3286</v>
      </c>
      <c r="D3291" s="1"/>
      <c r="E3291" s="11">
        <f t="shared" si="256"/>
        <v>4</v>
      </c>
      <c r="F3291" s="12">
        <f t="shared" si="257"/>
        <v>0</v>
      </c>
      <c r="G3291" s="12" t="str">
        <f t="shared" si="258"/>
        <v>OK</v>
      </c>
      <c r="H3291" s="13">
        <f t="shared" si="259"/>
        <v>6</v>
      </c>
      <c r="I3291" s="14">
        <f t="shared" si="255"/>
        <v>1781.2199999999998</v>
      </c>
      <c r="K3291" t="str">
        <f>[1]!revcom(C3291)</f>
        <v>AATATA</v>
      </c>
      <c r="L3291">
        <v>3</v>
      </c>
    </row>
    <row r="3292" spans="1:12" ht="15.6" x14ac:dyDescent="0.3">
      <c r="A3292" s="9">
        <v>3281</v>
      </c>
      <c r="B3292" s="1"/>
      <c r="C3292" s="2" t="s">
        <v>3287</v>
      </c>
      <c r="D3292" s="1"/>
      <c r="E3292" s="11">
        <f t="shared" si="256"/>
        <v>18</v>
      </c>
      <c r="F3292" s="12">
        <f t="shared" si="257"/>
        <v>16.666666666666664</v>
      </c>
      <c r="G3292" s="12" t="str">
        <f t="shared" si="258"/>
        <v>OK</v>
      </c>
      <c r="H3292" s="13">
        <f t="shared" si="259"/>
        <v>6</v>
      </c>
      <c r="I3292" s="14">
        <f t="shared" si="255"/>
        <v>1775.23</v>
      </c>
      <c r="K3292" t="str">
        <f>[1]!revcom(C3292)</f>
        <v>TTGATA</v>
      </c>
      <c r="L3292">
        <v>5</v>
      </c>
    </row>
    <row r="3293" spans="1:12" ht="15.6" x14ac:dyDescent="0.3">
      <c r="A3293" s="9">
        <v>3282</v>
      </c>
      <c r="B3293" s="1"/>
      <c r="C3293" s="2" t="s">
        <v>3288</v>
      </c>
      <c r="D3293" s="1"/>
      <c r="E3293" s="11">
        <f t="shared" si="256"/>
        <v>16</v>
      </c>
      <c r="F3293" s="12">
        <f t="shared" si="257"/>
        <v>33.333333333333329</v>
      </c>
      <c r="G3293" s="12" t="str">
        <f t="shared" si="258"/>
        <v>OK</v>
      </c>
      <c r="H3293" s="13">
        <f t="shared" si="259"/>
        <v>6</v>
      </c>
      <c r="I3293" s="14">
        <f t="shared" si="255"/>
        <v>1751.1999999999998</v>
      </c>
      <c r="K3293" t="str">
        <f>[1]!revcom(C3293)</f>
        <v>GTGATA</v>
      </c>
      <c r="L3293">
        <v>5</v>
      </c>
    </row>
    <row r="3294" spans="1:12" ht="15.6" x14ac:dyDescent="0.3">
      <c r="A3294" s="9">
        <v>3283</v>
      </c>
      <c r="B3294" s="1"/>
      <c r="C3294" s="2" t="s">
        <v>3289</v>
      </c>
      <c r="D3294" s="1"/>
      <c r="E3294" s="11">
        <f t="shared" si="256"/>
        <v>16</v>
      </c>
      <c r="F3294" s="12">
        <f t="shared" si="257"/>
        <v>33.333333333333329</v>
      </c>
      <c r="G3294" s="12" t="str">
        <f t="shared" si="258"/>
        <v>OK</v>
      </c>
      <c r="H3294" s="13">
        <f t="shared" si="259"/>
        <v>6</v>
      </c>
      <c r="I3294" s="14">
        <f t="shared" si="255"/>
        <v>1791.23</v>
      </c>
      <c r="K3294" t="str">
        <f>[1]!revcom(C3294)</f>
        <v>CTGATA</v>
      </c>
      <c r="L3294">
        <v>5</v>
      </c>
    </row>
    <row r="3295" spans="1:12" ht="15.6" x14ac:dyDescent="0.3">
      <c r="A3295" s="9">
        <v>3284</v>
      </c>
      <c r="B3295" s="1"/>
      <c r="C3295" s="2" t="s">
        <v>3290</v>
      </c>
      <c r="D3295" s="1"/>
      <c r="E3295" s="11">
        <f t="shared" si="256"/>
        <v>10</v>
      </c>
      <c r="F3295" s="12">
        <f t="shared" si="257"/>
        <v>16.666666666666664</v>
      </c>
      <c r="G3295" s="12" t="str">
        <f t="shared" si="258"/>
        <v>OK</v>
      </c>
      <c r="H3295" s="13">
        <f t="shared" si="259"/>
        <v>6</v>
      </c>
      <c r="I3295" s="14">
        <f t="shared" si="255"/>
        <v>1766.21</v>
      </c>
      <c r="K3295" t="str">
        <f>[1]!revcom(C3295)</f>
        <v>ATGATA</v>
      </c>
      <c r="L3295">
        <v>4</v>
      </c>
    </row>
    <row r="3296" spans="1:12" ht="15.6" x14ac:dyDescent="0.3">
      <c r="A3296" s="9">
        <v>3285</v>
      </c>
      <c r="B3296" s="1"/>
      <c r="C3296" s="2" t="s">
        <v>3291</v>
      </c>
      <c r="D3296" s="1"/>
      <c r="E3296" s="11">
        <f t="shared" si="256"/>
        <v>16</v>
      </c>
      <c r="F3296" s="12">
        <f t="shared" si="257"/>
        <v>33.333333333333329</v>
      </c>
      <c r="G3296" s="12" t="str">
        <f t="shared" si="258"/>
        <v>OK</v>
      </c>
      <c r="H3296" s="13">
        <f t="shared" si="259"/>
        <v>6</v>
      </c>
      <c r="I3296" s="14">
        <f t="shared" si="255"/>
        <v>1751.1999999999998</v>
      </c>
      <c r="K3296" t="str">
        <f>[1]!revcom(C3296)</f>
        <v>TGGATA</v>
      </c>
      <c r="L3296">
        <v>5</v>
      </c>
    </row>
    <row r="3297" spans="1:12" ht="15.6" x14ac:dyDescent="0.3">
      <c r="A3297" s="9">
        <v>3286</v>
      </c>
      <c r="B3297" s="1"/>
      <c r="C3297" s="2" t="s">
        <v>3292</v>
      </c>
      <c r="D3297" s="1"/>
      <c r="E3297" s="11">
        <f t="shared" si="256"/>
        <v>14</v>
      </c>
      <c r="F3297" s="12">
        <f t="shared" si="257"/>
        <v>50</v>
      </c>
      <c r="G3297" s="12" t="str">
        <f t="shared" si="258"/>
        <v>Warning</v>
      </c>
      <c r="H3297" s="13">
        <f t="shared" si="259"/>
        <v>6</v>
      </c>
      <c r="I3297" s="14">
        <f t="shared" si="255"/>
        <v>1727.17</v>
      </c>
      <c r="K3297" t="str">
        <f>[1]!revcom(C3297)</f>
        <v>GGGATA</v>
      </c>
      <c r="L3297">
        <v>5</v>
      </c>
    </row>
    <row r="3298" spans="1:12" ht="15.6" x14ac:dyDescent="0.3">
      <c r="A3298" s="9">
        <v>3287</v>
      </c>
      <c r="B3298" s="1"/>
      <c r="C3298" s="2" t="s">
        <v>3293</v>
      </c>
      <c r="D3298" s="1"/>
      <c r="E3298" s="11">
        <f t="shared" si="256"/>
        <v>14</v>
      </c>
      <c r="F3298" s="12">
        <f t="shared" si="257"/>
        <v>50</v>
      </c>
      <c r="G3298" s="12" t="str">
        <f t="shared" si="258"/>
        <v>Warning</v>
      </c>
      <c r="H3298" s="13">
        <f t="shared" si="259"/>
        <v>6</v>
      </c>
      <c r="I3298" s="14">
        <f t="shared" si="255"/>
        <v>1767.1999999999998</v>
      </c>
      <c r="K3298" t="str">
        <f>[1]!revcom(C3298)</f>
        <v>CGGATA</v>
      </c>
      <c r="L3298">
        <v>5</v>
      </c>
    </row>
    <row r="3299" spans="1:12" ht="15.6" x14ac:dyDescent="0.3">
      <c r="A3299" s="9">
        <v>3288</v>
      </c>
      <c r="B3299" s="1"/>
      <c r="C3299" s="2" t="s">
        <v>3294</v>
      </c>
      <c r="D3299" s="1"/>
      <c r="E3299" s="11">
        <f t="shared" si="256"/>
        <v>8</v>
      </c>
      <c r="F3299" s="12">
        <f t="shared" si="257"/>
        <v>33.333333333333329</v>
      </c>
      <c r="G3299" s="12" t="str">
        <f t="shared" si="258"/>
        <v>OK</v>
      </c>
      <c r="H3299" s="13">
        <f t="shared" si="259"/>
        <v>6</v>
      </c>
      <c r="I3299" s="14">
        <f t="shared" si="255"/>
        <v>1742.1799999999998</v>
      </c>
      <c r="K3299" t="str">
        <f>[1]!revcom(C3299)</f>
        <v>AGGATA</v>
      </c>
      <c r="L3299">
        <v>4</v>
      </c>
    </row>
    <row r="3300" spans="1:12" ht="15.6" x14ac:dyDescent="0.3">
      <c r="A3300" s="9">
        <v>3289</v>
      </c>
      <c r="B3300" s="1"/>
      <c r="C3300" s="2" t="s">
        <v>3295</v>
      </c>
      <c r="D3300" s="1"/>
      <c r="E3300" s="11">
        <f t="shared" si="256"/>
        <v>16</v>
      </c>
      <c r="F3300" s="12">
        <f t="shared" si="257"/>
        <v>33.333333333333329</v>
      </c>
      <c r="G3300" s="12" t="str">
        <f t="shared" si="258"/>
        <v>OK</v>
      </c>
      <c r="H3300" s="13">
        <f t="shared" si="259"/>
        <v>6</v>
      </c>
      <c r="I3300" s="14">
        <f t="shared" si="255"/>
        <v>1791.23</v>
      </c>
      <c r="K3300" t="str">
        <f>[1]!revcom(C3300)</f>
        <v>TCGATA</v>
      </c>
      <c r="L3300">
        <v>5</v>
      </c>
    </row>
    <row r="3301" spans="1:12" ht="15.6" x14ac:dyDescent="0.3">
      <c r="A3301" s="9">
        <v>3290</v>
      </c>
      <c r="B3301" s="1"/>
      <c r="C3301" s="2" t="s">
        <v>3296</v>
      </c>
      <c r="D3301" s="1"/>
      <c r="E3301" s="11">
        <f t="shared" si="256"/>
        <v>14</v>
      </c>
      <c r="F3301" s="12">
        <f t="shared" si="257"/>
        <v>50</v>
      </c>
      <c r="G3301" s="12" t="str">
        <f t="shared" si="258"/>
        <v>Warning</v>
      </c>
      <c r="H3301" s="13">
        <f t="shared" si="259"/>
        <v>6</v>
      </c>
      <c r="I3301" s="14">
        <f t="shared" si="255"/>
        <v>1767.1999999999998</v>
      </c>
      <c r="K3301" t="str">
        <f>[1]!revcom(C3301)</f>
        <v>GCGATA</v>
      </c>
      <c r="L3301">
        <v>5</v>
      </c>
    </row>
    <row r="3302" spans="1:12" ht="15.6" x14ac:dyDescent="0.3">
      <c r="A3302" s="9">
        <v>3291</v>
      </c>
      <c r="B3302" s="1"/>
      <c r="C3302" s="2" t="s">
        <v>3297</v>
      </c>
      <c r="D3302" s="1"/>
      <c r="E3302" s="11">
        <f t="shared" si="256"/>
        <v>14</v>
      </c>
      <c r="F3302" s="12">
        <f t="shared" si="257"/>
        <v>50</v>
      </c>
      <c r="G3302" s="12" t="str">
        <f t="shared" si="258"/>
        <v>Warning</v>
      </c>
      <c r="H3302" s="13">
        <f t="shared" si="259"/>
        <v>6</v>
      </c>
      <c r="I3302" s="14">
        <f t="shared" si="255"/>
        <v>1807.23</v>
      </c>
      <c r="K3302" t="str">
        <f>[1]!revcom(C3302)</f>
        <v>CCGATA</v>
      </c>
      <c r="L3302">
        <v>5</v>
      </c>
    </row>
    <row r="3303" spans="1:12" ht="15.6" x14ac:dyDescent="0.3">
      <c r="A3303" s="9">
        <v>3292</v>
      </c>
      <c r="B3303" s="1"/>
      <c r="C3303" s="2" t="s">
        <v>3298</v>
      </c>
      <c r="D3303" s="1"/>
      <c r="E3303" s="11">
        <f t="shared" si="256"/>
        <v>8</v>
      </c>
      <c r="F3303" s="12">
        <f t="shared" si="257"/>
        <v>33.333333333333329</v>
      </c>
      <c r="G3303" s="12" t="str">
        <f t="shared" si="258"/>
        <v>OK</v>
      </c>
      <c r="H3303" s="13">
        <f t="shared" si="259"/>
        <v>6</v>
      </c>
      <c r="I3303" s="14">
        <f t="shared" si="255"/>
        <v>1782.21</v>
      </c>
      <c r="K3303" t="str">
        <f>[1]!revcom(C3303)</f>
        <v>ACGATA</v>
      </c>
      <c r="L3303">
        <v>4</v>
      </c>
    </row>
    <row r="3304" spans="1:12" ht="15.6" x14ac:dyDescent="0.3">
      <c r="A3304" s="9">
        <v>3293</v>
      </c>
      <c r="B3304" s="1"/>
      <c r="C3304" s="2" t="s">
        <v>3299</v>
      </c>
      <c r="D3304" s="1"/>
      <c r="E3304" s="11">
        <f t="shared" si="256"/>
        <v>10</v>
      </c>
      <c r="F3304" s="12">
        <f t="shared" si="257"/>
        <v>16.666666666666664</v>
      </c>
      <c r="G3304" s="12" t="str">
        <f t="shared" si="258"/>
        <v>OK</v>
      </c>
      <c r="H3304" s="13">
        <f t="shared" si="259"/>
        <v>6</v>
      </c>
      <c r="I3304" s="14">
        <f t="shared" si="255"/>
        <v>1766.21</v>
      </c>
      <c r="K3304" t="str">
        <f>[1]!revcom(C3304)</f>
        <v>TAGATA</v>
      </c>
      <c r="L3304">
        <v>4</v>
      </c>
    </row>
    <row r="3305" spans="1:12" ht="15.6" x14ac:dyDescent="0.3">
      <c r="A3305" s="9">
        <v>3294</v>
      </c>
      <c r="B3305" s="1"/>
      <c r="C3305" s="2" t="s">
        <v>3300</v>
      </c>
      <c r="D3305" s="1"/>
      <c r="E3305" s="11">
        <f t="shared" si="256"/>
        <v>8</v>
      </c>
      <c r="F3305" s="12">
        <f t="shared" si="257"/>
        <v>33.333333333333329</v>
      </c>
      <c r="G3305" s="12" t="str">
        <f t="shared" si="258"/>
        <v>OK</v>
      </c>
      <c r="H3305" s="13">
        <f t="shared" si="259"/>
        <v>6</v>
      </c>
      <c r="I3305" s="14">
        <f t="shared" si="255"/>
        <v>1742.1799999999998</v>
      </c>
      <c r="K3305" t="str">
        <f>[1]!revcom(C3305)</f>
        <v>GAGATA</v>
      </c>
      <c r="L3305">
        <v>4</v>
      </c>
    </row>
    <row r="3306" spans="1:12" ht="15.6" x14ac:dyDescent="0.3">
      <c r="A3306" s="9">
        <v>3295</v>
      </c>
      <c r="B3306" s="1"/>
      <c r="C3306" s="2" t="s">
        <v>3301</v>
      </c>
      <c r="D3306" s="1"/>
      <c r="E3306" s="11">
        <f t="shared" si="256"/>
        <v>8</v>
      </c>
      <c r="F3306" s="12">
        <f t="shared" si="257"/>
        <v>33.333333333333329</v>
      </c>
      <c r="G3306" s="12" t="str">
        <f t="shared" si="258"/>
        <v>OK</v>
      </c>
      <c r="H3306" s="13">
        <f t="shared" si="259"/>
        <v>6</v>
      </c>
      <c r="I3306" s="14">
        <f t="shared" si="255"/>
        <v>1782.21</v>
      </c>
      <c r="K3306" t="str">
        <f>[1]!revcom(C3306)</f>
        <v>CAGATA</v>
      </c>
      <c r="L3306">
        <v>4</v>
      </c>
    </row>
    <row r="3307" spans="1:12" ht="15.6" x14ac:dyDescent="0.3">
      <c r="A3307" s="9">
        <v>3296</v>
      </c>
      <c r="B3307" s="1"/>
      <c r="C3307" s="2" t="s">
        <v>3302</v>
      </c>
      <c r="D3307" s="1"/>
      <c r="E3307" s="11">
        <f t="shared" si="256"/>
        <v>2</v>
      </c>
      <c r="F3307" s="12">
        <f t="shared" si="257"/>
        <v>16.666666666666664</v>
      </c>
      <c r="G3307" s="12" t="str">
        <f t="shared" si="258"/>
        <v>OK</v>
      </c>
      <c r="H3307" s="13">
        <f t="shared" si="259"/>
        <v>6</v>
      </c>
      <c r="I3307" s="14">
        <f t="shared" si="255"/>
        <v>1757.19</v>
      </c>
      <c r="K3307" t="str">
        <f>[1]!revcom(C3307)</f>
        <v>AAGATA</v>
      </c>
      <c r="L3307">
        <v>3</v>
      </c>
    </row>
    <row r="3308" spans="1:12" ht="15.6" x14ac:dyDescent="0.3">
      <c r="A3308" s="9">
        <v>3297</v>
      </c>
      <c r="B3308" s="1"/>
      <c r="C3308" s="2" t="s">
        <v>3303</v>
      </c>
      <c r="D3308" s="1"/>
      <c r="E3308" s="11">
        <f t="shared" si="256"/>
        <v>18</v>
      </c>
      <c r="F3308" s="12">
        <f t="shared" si="257"/>
        <v>16.666666666666664</v>
      </c>
      <c r="G3308" s="12" t="str">
        <f t="shared" si="258"/>
        <v>OK</v>
      </c>
      <c r="H3308" s="13">
        <f t="shared" si="259"/>
        <v>6</v>
      </c>
      <c r="I3308" s="14">
        <f t="shared" si="255"/>
        <v>1815.2599999999998</v>
      </c>
      <c r="K3308" t="str">
        <f>[1]!revcom(C3308)</f>
        <v>TTCATA</v>
      </c>
      <c r="L3308">
        <v>5</v>
      </c>
    </row>
    <row r="3309" spans="1:12" ht="15.6" x14ac:dyDescent="0.3">
      <c r="A3309" s="9">
        <v>3298</v>
      </c>
      <c r="B3309" s="1"/>
      <c r="C3309" s="2" t="s">
        <v>3304</v>
      </c>
      <c r="D3309" s="1"/>
      <c r="E3309" s="11">
        <f t="shared" si="256"/>
        <v>16</v>
      </c>
      <c r="F3309" s="12">
        <f t="shared" si="257"/>
        <v>33.333333333333329</v>
      </c>
      <c r="G3309" s="12" t="str">
        <f t="shared" si="258"/>
        <v>OK</v>
      </c>
      <c r="H3309" s="13">
        <f t="shared" si="259"/>
        <v>6</v>
      </c>
      <c r="I3309" s="14">
        <f t="shared" si="255"/>
        <v>1791.23</v>
      </c>
      <c r="K3309" t="str">
        <f>[1]!revcom(C3309)</f>
        <v>GTCATA</v>
      </c>
      <c r="L3309">
        <v>5</v>
      </c>
    </row>
    <row r="3310" spans="1:12" ht="15.6" x14ac:dyDescent="0.3">
      <c r="A3310" s="9">
        <v>3299</v>
      </c>
      <c r="B3310" s="1"/>
      <c r="C3310" s="2" t="s">
        <v>3305</v>
      </c>
      <c r="D3310" s="1"/>
      <c r="E3310" s="11">
        <f t="shared" si="256"/>
        <v>16</v>
      </c>
      <c r="F3310" s="12">
        <f t="shared" si="257"/>
        <v>33.333333333333329</v>
      </c>
      <c r="G3310" s="12" t="str">
        <f t="shared" si="258"/>
        <v>OK</v>
      </c>
      <c r="H3310" s="13">
        <f t="shared" si="259"/>
        <v>6</v>
      </c>
      <c r="I3310" s="14">
        <f t="shared" si="255"/>
        <v>1831.2600000000002</v>
      </c>
      <c r="K3310" t="str">
        <f>[1]!revcom(C3310)</f>
        <v>CTCATA</v>
      </c>
      <c r="L3310">
        <v>5</v>
      </c>
    </row>
    <row r="3311" spans="1:12" ht="15.6" x14ac:dyDescent="0.3">
      <c r="A3311" s="9">
        <v>3300</v>
      </c>
      <c r="B3311" s="1"/>
      <c r="C3311" s="2" t="s">
        <v>3306</v>
      </c>
      <c r="D3311" s="1"/>
      <c r="E3311" s="11">
        <f t="shared" si="256"/>
        <v>10</v>
      </c>
      <c r="F3311" s="12">
        <f t="shared" si="257"/>
        <v>16.666666666666664</v>
      </c>
      <c r="G3311" s="12" t="str">
        <f t="shared" si="258"/>
        <v>OK</v>
      </c>
      <c r="H3311" s="13">
        <f t="shared" si="259"/>
        <v>6</v>
      </c>
      <c r="I3311" s="14">
        <f t="shared" si="255"/>
        <v>1806.2399999999998</v>
      </c>
      <c r="K3311" t="str">
        <f>[1]!revcom(C3311)</f>
        <v>ATCATA</v>
      </c>
      <c r="L3311">
        <v>4</v>
      </c>
    </row>
    <row r="3312" spans="1:12" ht="15.6" x14ac:dyDescent="0.3">
      <c r="A3312" s="9">
        <v>3301</v>
      </c>
      <c r="B3312" s="1"/>
      <c r="C3312" s="2" t="s">
        <v>3307</v>
      </c>
      <c r="D3312" s="1"/>
      <c r="E3312" s="11">
        <f t="shared" si="256"/>
        <v>16</v>
      </c>
      <c r="F3312" s="12">
        <f t="shared" si="257"/>
        <v>33.333333333333329</v>
      </c>
      <c r="G3312" s="12" t="str">
        <f t="shared" si="258"/>
        <v>OK</v>
      </c>
      <c r="H3312" s="13">
        <f t="shared" si="259"/>
        <v>6</v>
      </c>
      <c r="I3312" s="14">
        <f t="shared" si="255"/>
        <v>1791.23</v>
      </c>
      <c r="K3312" t="str">
        <f>[1]!revcom(C3312)</f>
        <v>TGCATA</v>
      </c>
      <c r="L3312">
        <v>5</v>
      </c>
    </row>
    <row r="3313" spans="1:12" ht="15.6" x14ac:dyDescent="0.3">
      <c r="A3313" s="9">
        <v>3302</v>
      </c>
      <c r="B3313" s="1"/>
      <c r="C3313" s="2" t="s">
        <v>3308</v>
      </c>
      <c r="D3313" s="1"/>
      <c r="E3313" s="11">
        <f t="shared" si="256"/>
        <v>14</v>
      </c>
      <c r="F3313" s="12">
        <f t="shared" si="257"/>
        <v>50</v>
      </c>
      <c r="G3313" s="12" t="str">
        <f t="shared" si="258"/>
        <v>Warning</v>
      </c>
      <c r="H3313" s="13">
        <f t="shared" si="259"/>
        <v>6</v>
      </c>
      <c r="I3313" s="14">
        <f t="shared" si="255"/>
        <v>1767.1999999999998</v>
      </c>
      <c r="K3313" t="str">
        <f>[1]!revcom(C3313)</f>
        <v>GGCATA</v>
      </c>
      <c r="L3313">
        <v>5</v>
      </c>
    </row>
    <row r="3314" spans="1:12" ht="15.6" x14ac:dyDescent="0.3">
      <c r="A3314" s="9">
        <v>3303</v>
      </c>
      <c r="B3314" s="1"/>
      <c r="C3314" s="2" t="s">
        <v>3309</v>
      </c>
      <c r="D3314" s="1"/>
      <c r="E3314" s="11">
        <f t="shared" si="256"/>
        <v>14</v>
      </c>
      <c r="F3314" s="12">
        <f t="shared" si="257"/>
        <v>50</v>
      </c>
      <c r="G3314" s="12" t="str">
        <f t="shared" si="258"/>
        <v>Warning</v>
      </c>
      <c r="H3314" s="13">
        <f t="shared" si="259"/>
        <v>6</v>
      </c>
      <c r="I3314" s="14">
        <f t="shared" si="255"/>
        <v>1807.23</v>
      </c>
      <c r="K3314" t="str">
        <f>[1]!revcom(C3314)</f>
        <v>CGCATA</v>
      </c>
      <c r="L3314">
        <v>5</v>
      </c>
    </row>
    <row r="3315" spans="1:12" ht="15.6" x14ac:dyDescent="0.3">
      <c r="A3315" s="9">
        <v>3304</v>
      </c>
      <c r="B3315" s="1"/>
      <c r="C3315" s="2" t="s">
        <v>3310</v>
      </c>
      <c r="D3315" s="1"/>
      <c r="E3315" s="11">
        <f t="shared" si="256"/>
        <v>8</v>
      </c>
      <c r="F3315" s="12">
        <f t="shared" si="257"/>
        <v>33.333333333333329</v>
      </c>
      <c r="G3315" s="12" t="str">
        <f t="shared" si="258"/>
        <v>OK</v>
      </c>
      <c r="H3315" s="13">
        <f t="shared" si="259"/>
        <v>6</v>
      </c>
      <c r="I3315" s="14">
        <f t="shared" si="255"/>
        <v>1782.21</v>
      </c>
      <c r="K3315" t="str">
        <f>[1]!revcom(C3315)</f>
        <v>AGCATA</v>
      </c>
      <c r="L3315">
        <v>4</v>
      </c>
    </row>
    <row r="3316" spans="1:12" ht="15.6" x14ac:dyDescent="0.3">
      <c r="A3316" s="9">
        <v>3305</v>
      </c>
      <c r="B3316" s="1"/>
      <c r="C3316" s="2" t="s">
        <v>3311</v>
      </c>
      <c r="D3316" s="1"/>
      <c r="E3316" s="11">
        <f t="shared" si="256"/>
        <v>16</v>
      </c>
      <c r="F3316" s="12">
        <f t="shared" si="257"/>
        <v>33.333333333333329</v>
      </c>
      <c r="G3316" s="12" t="str">
        <f t="shared" si="258"/>
        <v>OK</v>
      </c>
      <c r="H3316" s="13">
        <f t="shared" si="259"/>
        <v>6</v>
      </c>
      <c r="I3316" s="14">
        <f t="shared" si="255"/>
        <v>1831.2600000000002</v>
      </c>
      <c r="K3316" t="str">
        <f>[1]!revcom(C3316)</f>
        <v>TCCATA</v>
      </c>
      <c r="L3316">
        <v>5</v>
      </c>
    </row>
    <row r="3317" spans="1:12" ht="15.6" x14ac:dyDescent="0.3">
      <c r="A3317" s="9">
        <v>3306</v>
      </c>
      <c r="B3317" s="1"/>
      <c r="C3317" s="2" t="s">
        <v>3312</v>
      </c>
      <c r="D3317" s="1"/>
      <c r="E3317" s="11">
        <f t="shared" si="256"/>
        <v>14</v>
      </c>
      <c r="F3317" s="12">
        <f t="shared" si="257"/>
        <v>50</v>
      </c>
      <c r="G3317" s="12" t="str">
        <f t="shared" si="258"/>
        <v>Warning</v>
      </c>
      <c r="H3317" s="13">
        <f t="shared" si="259"/>
        <v>6</v>
      </c>
      <c r="I3317" s="14">
        <f t="shared" si="255"/>
        <v>1807.23</v>
      </c>
      <c r="K3317" t="str">
        <f>[1]!revcom(C3317)</f>
        <v>GCCATA</v>
      </c>
      <c r="L3317">
        <v>5</v>
      </c>
    </row>
    <row r="3318" spans="1:12" ht="15.6" x14ac:dyDescent="0.3">
      <c r="A3318" s="9">
        <v>3307</v>
      </c>
      <c r="B3318" s="1"/>
      <c r="C3318" s="2" t="s">
        <v>3313</v>
      </c>
      <c r="D3318" s="1"/>
      <c r="E3318" s="11">
        <f t="shared" si="256"/>
        <v>14</v>
      </c>
      <c r="F3318" s="12">
        <f t="shared" si="257"/>
        <v>50</v>
      </c>
      <c r="G3318" s="12" t="str">
        <f t="shared" si="258"/>
        <v>Warning</v>
      </c>
      <c r="H3318" s="13">
        <f t="shared" si="259"/>
        <v>6</v>
      </c>
      <c r="I3318" s="14">
        <f t="shared" si="255"/>
        <v>1847.2600000000002</v>
      </c>
      <c r="K3318" t="str">
        <f>[1]!revcom(C3318)</f>
        <v>CCCATA</v>
      </c>
      <c r="L3318">
        <v>5</v>
      </c>
    </row>
    <row r="3319" spans="1:12" ht="15.6" x14ac:dyDescent="0.3">
      <c r="A3319" s="9">
        <v>3308</v>
      </c>
      <c r="B3319" s="1"/>
      <c r="C3319" s="2" t="s">
        <v>3314</v>
      </c>
      <c r="D3319" s="1"/>
      <c r="E3319" s="11">
        <f t="shared" si="256"/>
        <v>8</v>
      </c>
      <c r="F3319" s="12">
        <f t="shared" si="257"/>
        <v>33.333333333333329</v>
      </c>
      <c r="G3319" s="12" t="str">
        <f t="shared" si="258"/>
        <v>OK</v>
      </c>
      <c r="H3319" s="13">
        <f t="shared" si="259"/>
        <v>6</v>
      </c>
      <c r="I3319" s="14">
        <f t="shared" si="255"/>
        <v>1822.2400000000002</v>
      </c>
      <c r="K3319" t="str">
        <f>[1]!revcom(C3319)</f>
        <v>ACCATA</v>
      </c>
      <c r="L3319">
        <v>4</v>
      </c>
    </row>
    <row r="3320" spans="1:12" ht="15.6" x14ac:dyDescent="0.3">
      <c r="A3320" s="9">
        <v>3309</v>
      </c>
      <c r="B3320" s="1"/>
      <c r="C3320" s="2" t="s">
        <v>3315</v>
      </c>
      <c r="D3320" s="1"/>
      <c r="E3320" s="11">
        <f t="shared" si="256"/>
        <v>10</v>
      </c>
      <c r="F3320" s="12">
        <f t="shared" si="257"/>
        <v>16.666666666666664</v>
      </c>
      <c r="G3320" s="12" t="str">
        <f t="shared" si="258"/>
        <v>OK</v>
      </c>
      <c r="H3320" s="13">
        <f t="shared" si="259"/>
        <v>6</v>
      </c>
      <c r="I3320" s="14">
        <f t="shared" si="255"/>
        <v>1806.2399999999998</v>
      </c>
      <c r="K3320" t="str">
        <f>[1]!revcom(C3320)</f>
        <v>TACATA</v>
      </c>
      <c r="L3320">
        <v>4</v>
      </c>
    </row>
    <row r="3321" spans="1:12" ht="15.6" x14ac:dyDescent="0.3">
      <c r="A3321" s="9">
        <v>3310</v>
      </c>
      <c r="B3321" s="1"/>
      <c r="C3321" s="2" t="s">
        <v>3316</v>
      </c>
      <c r="D3321" s="1"/>
      <c r="E3321" s="11">
        <f t="shared" si="256"/>
        <v>8</v>
      </c>
      <c r="F3321" s="12">
        <f t="shared" si="257"/>
        <v>33.333333333333329</v>
      </c>
      <c r="G3321" s="12" t="str">
        <f t="shared" si="258"/>
        <v>OK</v>
      </c>
      <c r="H3321" s="13">
        <f t="shared" si="259"/>
        <v>6</v>
      </c>
      <c r="I3321" s="14">
        <f t="shared" si="255"/>
        <v>1782.21</v>
      </c>
      <c r="K3321" t="str">
        <f>[1]!revcom(C3321)</f>
        <v>GACATA</v>
      </c>
      <c r="L3321">
        <v>4</v>
      </c>
    </row>
    <row r="3322" spans="1:12" ht="15.6" x14ac:dyDescent="0.3">
      <c r="A3322" s="9">
        <v>3311</v>
      </c>
      <c r="B3322" s="1"/>
      <c r="C3322" s="2" t="s">
        <v>3317</v>
      </c>
      <c r="D3322" s="1"/>
      <c r="E3322" s="11">
        <f t="shared" si="256"/>
        <v>8</v>
      </c>
      <c r="F3322" s="12">
        <f t="shared" si="257"/>
        <v>33.333333333333329</v>
      </c>
      <c r="G3322" s="12" t="str">
        <f t="shared" si="258"/>
        <v>OK</v>
      </c>
      <c r="H3322" s="13">
        <f t="shared" si="259"/>
        <v>6</v>
      </c>
      <c r="I3322" s="14">
        <f t="shared" si="255"/>
        <v>1822.2400000000002</v>
      </c>
      <c r="K3322" t="str">
        <f>[1]!revcom(C3322)</f>
        <v>CACATA</v>
      </c>
      <c r="L3322">
        <v>4</v>
      </c>
    </row>
    <row r="3323" spans="1:12" ht="15.6" x14ac:dyDescent="0.3">
      <c r="A3323" s="9">
        <v>3312</v>
      </c>
      <c r="B3323" s="1"/>
      <c r="C3323" s="2" t="s">
        <v>3318</v>
      </c>
      <c r="D3323" s="1"/>
      <c r="E3323" s="11">
        <f t="shared" si="256"/>
        <v>2</v>
      </c>
      <c r="F3323" s="12">
        <f t="shared" si="257"/>
        <v>16.666666666666664</v>
      </c>
      <c r="G3323" s="12" t="str">
        <f t="shared" si="258"/>
        <v>OK</v>
      </c>
      <c r="H3323" s="13">
        <f t="shared" si="259"/>
        <v>6</v>
      </c>
      <c r="I3323" s="14">
        <f t="shared" si="255"/>
        <v>1797.2199999999998</v>
      </c>
      <c r="K3323" t="str">
        <f>[1]!revcom(C3323)</f>
        <v>AACATA</v>
      </c>
      <c r="L3323">
        <v>3</v>
      </c>
    </row>
    <row r="3324" spans="1:12" ht="15.6" x14ac:dyDescent="0.3">
      <c r="A3324" s="9">
        <v>3313</v>
      </c>
      <c r="B3324" s="1"/>
      <c r="C3324" s="2" t="s">
        <v>3319</v>
      </c>
      <c r="D3324" s="1"/>
      <c r="E3324" s="11">
        <f t="shared" si="256"/>
        <v>12</v>
      </c>
      <c r="F3324" s="12">
        <f t="shared" si="257"/>
        <v>0</v>
      </c>
      <c r="G3324" s="12" t="str">
        <f t="shared" si="258"/>
        <v>OK</v>
      </c>
      <c r="H3324" s="13">
        <f t="shared" si="259"/>
        <v>6</v>
      </c>
      <c r="I3324" s="14">
        <f t="shared" si="255"/>
        <v>1790.2399999999998</v>
      </c>
      <c r="K3324" t="str">
        <f>[1]!revcom(C3324)</f>
        <v>TTAATA</v>
      </c>
      <c r="L3324">
        <v>4</v>
      </c>
    </row>
    <row r="3325" spans="1:12" ht="15.6" x14ac:dyDescent="0.3">
      <c r="A3325" s="9">
        <v>3314</v>
      </c>
      <c r="B3325" s="1"/>
      <c r="C3325" s="2" t="s">
        <v>3320</v>
      </c>
      <c r="D3325" s="1"/>
      <c r="E3325" s="11">
        <f t="shared" si="256"/>
        <v>10</v>
      </c>
      <c r="F3325" s="12">
        <f t="shared" si="257"/>
        <v>16.666666666666664</v>
      </c>
      <c r="G3325" s="12" t="str">
        <f t="shared" si="258"/>
        <v>OK</v>
      </c>
      <c r="H3325" s="13">
        <f t="shared" si="259"/>
        <v>6</v>
      </c>
      <c r="I3325" s="14">
        <f t="shared" si="255"/>
        <v>1766.21</v>
      </c>
      <c r="K3325" t="str">
        <f>[1]!revcom(C3325)</f>
        <v>GTAATA</v>
      </c>
      <c r="L3325">
        <v>4</v>
      </c>
    </row>
    <row r="3326" spans="1:12" ht="15.6" x14ac:dyDescent="0.3">
      <c r="A3326" s="9">
        <v>3315</v>
      </c>
      <c r="B3326" s="1"/>
      <c r="C3326" s="2" t="s">
        <v>3321</v>
      </c>
      <c r="D3326" s="1"/>
      <c r="E3326" s="11">
        <f t="shared" si="256"/>
        <v>10</v>
      </c>
      <c r="F3326" s="12">
        <f t="shared" si="257"/>
        <v>16.666666666666664</v>
      </c>
      <c r="G3326" s="12" t="str">
        <f t="shared" si="258"/>
        <v>OK</v>
      </c>
      <c r="H3326" s="13">
        <f t="shared" si="259"/>
        <v>6</v>
      </c>
      <c r="I3326" s="14">
        <f t="shared" si="255"/>
        <v>1806.2399999999998</v>
      </c>
      <c r="K3326" t="str">
        <f>[1]!revcom(C3326)</f>
        <v>CTAATA</v>
      </c>
      <c r="L3326">
        <v>4</v>
      </c>
    </row>
    <row r="3327" spans="1:12" ht="15.6" x14ac:dyDescent="0.3">
      <c r="A3327" s="9">
        <v>3316</v>
      </c>
      <c r="B3327" s="1"/>
      <c r="C3327" s="2" t="s">
        <v>3322</v>
      </c>
      <c r="D3327" s="1"/>
      <c r="E3327" s="11">
        <f t="shared" si="256"/>
        <v>4</v>
      </c>
      <c r="F3327" s="12">
        <f t="shared" si="257"/>
        <v>0</v>
      </c>
      <c r="G3327" s="12" t="str">
        <f t="shared" si="258"/>
        <v>OK</v>
      </c>
      <c r="H3327" s="13">
        <f t="shared" si="259"/>
        <v>6</v>
      </c>
      <c r="I3327" s="14">
        <f t="shared" si="255"/>
        <v>1781.2199999999998</v>
      </c>
      <c r="K3327" t="str">
        <f>[1]!revcom(C3327)</f>
        <v>ATAATA</v>
      </c>
      <c r="L3327">
        <v>3</v>
      </c>
    </row>
    <row r="3328" spans="1:12" ht="15.6" x14ac:dyDescent="0.3">
      <c r="A3328" s="9">
        <v>3317</v>
      </c>
      <c r="B3328" s="1"/>
      <c r="C3328" s="2" t="s">
        <v>3323</v>
      </c>
      <c r="D3328" s="1"/>
      <c r="E3328" s="11">
        <f t="shared" si="256"/>
        <v>10</v>
      </c>
      <c r="F3328" s="12">
        <f t="shared" si="257"/>
        <v>16.666666666666664</v>
      </c>
      <c r="G3328" s="12" t="str">
        <f t="shared" si="258"/>
        <v>OK</v>
      </c>
      <c r="H3328" s="13">
        <f t="shared" si="259"/>
        <v>6</v>
      </c>
      <c r="I3328" s="14">
        <f t="shared" si="255"/>
        <v>1766.21</v>
      </c>
      <c r="K3328" t="str">
        <f>[1]!revcom(C3328)</f>
        <v>TGAATA</v>
      </c>
      <c r="L3328">
        <v>4</v>
      </c>
    </row>
    <row r="3329" spans="1:12" ht="15.6" x14ac:dyDescent="0.3">
      <c r="A3329" s="9">
        <v>3318</v>
      </c>
      <c r="B3329" s="1"/>
      <c r="C3329" s="2" t="s">
        <v>3324</v>
      </c>
      <c r="D3329" s="1"/>
      <c r="E3329" s="11">
        <f t="shared" si="256"/>
        <v>8</v>
      </c>
      <c r="F3329" s="12">
        <f t="shared" si="257"/>
        <v>33.333333333333329</v>
      </c>
      <c r="G3329" s="12" t="str">
        <f t="shared" si="258"/>
        <v>OK</v>
      </c>
      <c r="H3329" s="13">
        <f t="shared" si="259"/>
        <v>6</v>
      </c>
      <c r="I3329" s="14">
        <f t="shared" si="255"/>
        <v>1742.1799999999998</v>
      </c>
      <c r="K3329" t="str">
        <f>[1]!revcom(C3329)</f>
        <v>GGAATA</v>
      </c>
      <c r="L3329">
        <v>4</v>
      </c>
    </row>
    <row r="3330" spans="1:12" ht="15.6" x14ac:dyDescent="0.3">
      <c r="A3330" s="9">
        <v>3319</v>
      </c>
      <c r="B3330" s="1"/>
      <c r="C3330" s="2" t="s">
        <v>3325</v>
      </c>
      <c r="D3330" s="1"/>
      <c r="E3330" s="11">
        <f t="shared" si="256"/>
        <v>8</v>
      </c>
      <c r="F3330" s="12">
        <f t="shared" si="257"/>
        <v>33.333333333333329</v>
      </c>
      <c r="G3330" s="12" t="str">
        <f t="shared" si="258"/>
        <v>OK</v>
      </c>
      <c r="H3330" s="13">
        <f t="shared" si="259"/>
        <v>6</v>
      </c>
      <c r="I3330" s="14">
        <f t="shared" si="255"/>
        <v>1782.21</v>
      </c>
      <c r="K3330" t="str">
        <f>[1]!revcom(C3330)</f>
        <v>CGAATA</v>
      </c>
      <c r="L3330">
        <v>4</v>
      </c>
    </row>
    <row r="3331" spans="1:12" ht="15.6" x14ac:dyDescent="0.3">
      <c r="A3331" s="9">
        <v>3320</v>
      </c>
      <c r="B3331" s="1"/>
      <c r="C3331" s="2" t="s">
        <v>3326</v>
      </c>
      <c r="D3331" s="1"/>
      <c r="E3331" s="11">
        <f t="shared" si="256"/>
        <v>2</v>
      </c>
      <c r="F3331" s="12">
        <f t="shared" si="257"/>
        <v>16.666666666666664</v>
      </c>
      <c r="G3331" s="12" t="str">
        <f t="shared" si="258"/>
        <v>OK</v>
      </c>
      <c r="H3331" s="13">
        <f t="shared" si="259"/>
        <v>6</v>
      </c>
      <c r="I3331" s="14">
        <f t="shared" si="255"/>
        <v>1757.19</v>
      </c>
      <c r="K3331" t="str">
        <f>[1]!revcom(C3331)</f>
        <v>AGAATA</v>
      </c>
      <c r="L3331">
        <v>3</v>
      </c>
    </row>
    <row r="3332" spans="1:12" ht="15.6" x14ac:dyDescent="0.3">
      <c r="A3332" s="9">
        <v>3321</v>
      </c>
      <c r="B3332" s="1"/>
      <c r="C3332" s="2" t="s">
        <v>3327</v>
      </c>
      <c r="D3332" s="1"/>
      <c r="E3332" s="11">
        <f t="shared" si="256"/>
        <v>10</v>
      </c>
      <c r="F3332" s="12">
        <f t="shared" si="257"/>
        <v>16.666666666666664</v>
      </c>
      <c r="G3332" s="12" t="str">
        <f t="shared" si="258"/>
        <v>OK</v>
      </c>
      <c r="H3332" s="13">
        <f t="shared" si="259"/>
        <v>6</v>
      </c>
      <c r="I3332" s="14">
        <f t="shared" si="255"/>
        <v>1806.2399999999998</v>
      </c>
      <c r="K3332" t="str">
        <f>[1]!revcom(C3332)</f>
        <v>TCAATA</v>
      </c>
      <c r="L3332">
        <v>4</v>
      </c>
    </row>
    <row r="3333" spans="1:12" ht="15.6" x14ac:dyDescent="0.3">
      <c r="A3333" s="9">
        <v>3322</v>
      </c>
      <c r="B3333" s="1"/>
      <c r="C3333" s="2" t="s">
        <v>3328</v>
      </c>
      <c r="D3333" s="1"/>
      <c r="E3333" s="11">
        <f t="shared" si="256"/>
        <v>8</v>
      </c>
      <c r="F3333" s="12">
        <f t="shared" si="257"/>
        <v>33.333333333333329</v>
      </c>
      <c r="G3333" s="12" t="str">
        <f t="shared" si="258"/>
        <v>OK</v>
      </c>
      <c r="H3333" s="13">
        <f t="shared" si="259"/>
        <v>6</v>
      </c>
      <c r="I3333" s="14">
        <f t="shared" si="255"/>
        <v>1782.21</v>
      </c>
      <c r="K3333" t="str">
        <f>[1]!revcom(C3333)</f>
        <v>GCAATA</v>
      </c>
      <c r="L3333">
        <v>4</v>
      </c>
    </row>
    <row r="3334" spans="1:12" ht="15.6" x14ac:dyDescent="0.3">
      <c r="A3334" s="9">
        <v>3323</v>
      </c>
      <c r="B3334" s="1"/>
      <c r="C3334" s="2" t="s">
        <v>3329</v>
      </c>
      <c r="D3334" s="1"/>
      <c r="E3334" s="11">
        <f t="shared" si="256"/>
        <v>8</v>
      </c>
      <c r="F3334" s="12">
        <f t="shared" si="257"/>
        <v>33.333333333333329</v>
      </c>
      <c r="G3334" s="12" t="str">
        <f t="shared" si="258"/>
        <v>OK</v>
      </c>
      <c r="H3334" s="13">
        <f t="shared" si="259"/>
        <v>6</v>
      </c>
      <c r="I3334" s="14">
        <f t="shared" si="255"/>
        <v>1822.2400000000002</v>
      </c>
      <c r="K3334" t="str">
        <f>[1]!revcom(C3334)</f>
        <v>CCAATA</v>
      </c>
      <c r="L3334">
        <v>4</v>
      </c>
    </row>
    <row r="3335" spans="1:12" ht="15.6" x14ac:dyDescent="0.3">
      <c r="A3335" s="9">
        <v>3324</v>
      </c>
      <c r="B3335" s="1"/>
      <c r="C3335" s="2" t="s">
        <v>3330</v>
      </c>
      <c r="D3335" s="1"/>
      <c r="E3335" s="11">
        <f t="shared" si="256"/>
        <v>2</v>
      </c>
      <c r="F3335" s="12">
        <f t="shared" si="257"/>
        <v>16.666666666666664</v>
      </c>
      <c r="G3335" s="12" t="str">
        <f t="shared" si="258"/>
        <v>OK</v>
      </c>
      <c r="H3335" s="13">
        <f t="shared" si="259"/>
        <v>6</v>
      </c>
      <c r="I3335" s="14">
        <f t="shared" si="255"/>
        <v>1797.2199999999998</v>
      </c>
      <c r="K3335" t="str">
        <f>[1]!revcom(C3335)</f>
        <v>ACAATA</v>
      </c>
      <c r="L3335">
        <v>3</v>
      </c>
    </row>
    <row r="3336" spans="1:12" ht="15.6" x14ac:dyDescent="0.3">
      <c r="A3336" s="9">
        <v>3325</v>
      </c>
      <c r="B3336" s="1"/>
      <c r="C3336" s="2" t="s">
        <v>3331</v>
      </c>
      <c r="D3336" s="1"/>
      <c r="E3336" s="11">
        <f t="shared" si="256"/>
        <v>4</v>
      </c>
      <c r="F3336" s="12">
        <f t="shared" si="257"/>
        <v>0</v>
      </c>
      <c r="G3336" s="12" t="str">
        <f t="shared" si="258"/>
        <v>OK</v>
      </c>
      <c r="H3336" s="13">
        <f t="shared" si="259"/>
        <v>6</v>
      </c>
      <c r="I3336" s="14">
        <f t="shared" si="255"/>
        <v>1781.2199999999998</v>
      </c>
      <c r="K3336" t="str">
        <f>[1]!revcom(C3336)</f>
        <v>TAAATA</v>
      </c>
      <c r="L3336">
        <v>3</v>
      </c>
    </row>
    <row r="3337" spans="1:12" ht="15.6" x14ac:dyDescent="0.3">
      <c r="A3337" s="9">
        <v>3326</v>
      </c>
      <c r="B3337" s="1"/>
      <c r="C3337" s="2" t="s">
        <v>3332</v>
      </c>
      <c r="D3337" s="1"/>
      <c r="E3337" s="11">
        <f t="shared" si="256"/>
        <v>2</v>
      </c>
      <c r="F3337" s="12">
        <f t="shared" si="257"/>
        <v>16.666666666666664</v>
      </c>
      <c r="G3337" s="12" t="str">
        <f t="shared" si="258"/>
        <v>OK</v>
      </c>
      <c r="H3337" s="13">
        <f t="shared" si="259"/>
        <v>6</v>
      </c>
      <c r="I3337" s="14">
        <f t="shared" si="255"/>
        <v>1757.19</v>
      </c>
      <c r="K3337" t="str">
        <f>[1]!revcom(C3337)</f>
        <v>GAAATA</v>
      </c>
      <c r="L3337">
        <v>3</v>
      </c>
    </row>
    <row r="3338" spans="1:12" ht="15.6" x14ac:dyDescent="0.3">
      <c r="A3338" s="9">
        <v>3327</v>
      </c>
      <c r="B3338" s="1"/>
      <c r="C3338" s="2" t="s">
        <v>3333</v>
      </c>
      <c r="D3338" s="1"/>
      <c r="E3338" s="11">
        <f t="shared" si="256"/>
        <v>2</v>
      </c>
      <c r="F3338" s="12">
        <f t="shared" si="257"/>
        <v>16.666666666666664</v>
      </c>
      <c r="G3338" s="12" t="str">
        <f t="shared" si="258"/>
        <v>OK</v>
      </c>
      <c r="H3338" s="13">
        <f t="shared" si="259"/>
        <v>6</v>
      </c>
      <c r="I3338" s="14">
        <f t="shared" si="255"/>
        <v>1797.2199999999998</v>
      </c>
      <c r="K3338" t="str">
        <f>[1]!revcom(C3338)</f>
        <v>CAAATA</v>
      </c>
      <c r="L3338">
        <v>3</v>
      </c>
    </row>
    <row r="3339" spans="1:12" ht="15.6" x14ac:dyDescent="0.3">
      <c r="A3339" s="9">
        <v>3328</v>
      </c>
      <c r="B3339" s="1"/>
      <c r="C3339" s="2" t="s">
        <v>3334</v>
      </c>
      <c r="D3339" s="1"/>
      <c r="E3339" s="11">
        <f t="shared" si="256"/>
        <v>-4</v>
      </c>
      <c r="F3339" s="12">
        <f t="shared" si="257"/>
        <v>0</v>
      </c>
      <c r="G3339" s="12" t="str">
        <f t="shared" si="258"/>
        <v>OK</v>
      </c>
      <c r="H3339" s="13">
        <f t="shared" si="259"/>
        <v>6</v>
      </c>
      <c r="I3339" s="14">
        <f t="shared" si="255"/>
        <v>1772.1999999999998</v>
      </c>
      <c r="K3339" t="str">
        <f>[1]!revcom(C3339)</f>
        <v>AAAATA</v>
      </c>
      <c r="L3339">
        <v>2</v>
      </c>
    </row>
    <row r="3340" spans="1:12" ht="15.6" x14ac:dyDescent="0.3">
      <c r="A3340" s="9">
        <v>3329</v>
      </c>
      <c r="B3340" s="1"/>
      <c r="C3340" s="2" t="s">
        <v>3335</v>
      </c>
      <c r="D3340" s="1"/>
      <c r="E3340" s="11">
        <f t="shared" si="256"/>
        <v>26</v>
      </c>
      <c r="F3340" s="12">
        <f t="shared" si="257"/>
        <v>16.666666666666664</v>
      </c>
      <c r="G3340" s="12" t="str">
        <f t="shared" si="258"/>
        <v>OK</v>
      </c>
      <c r="H3340" s="13">
        <f t="shared" si="259"/>
        <v>6</v>
      </c>
      <c r="I3340" s="14">
        <f t="shared" si="255"/>
        <v>1784.25</v>
      </c>
      <c r="K3340" t="str">
        <f>[1]!revcom(C3340)</f>
        <v>TTTTGA</v>
      </c>
      <c r="L3340">
        <v>7</v>
      </c>
    </row>
    <row r="3341" spans="1:12" ht="15.6" x14ac:dyDescent="0.3">
      <c r="A3341" s="9">
        <v>3330</v>
      </c>
      <c r="B3341" s="1"/>
      <c r="C3341" s="2" t="s">
        <v>3336</v>
      </c>
      <c r="D3341" s="1"/>
      <c r="E3341" s="11">
        <f t="shared" si="256"/>
        <v>24</v>
      </c>
      <c r="F3341" s="12">
        <f t="shared" si="257"/>
        <v>33.333333333333329</v>
      </c>
      <c r="G3341" s="12" t="str">
        <f t="shared" si="258"/>
        <v>OK</v>
      </c>
      <c r="H3341" s="13">
        <f t="shared" si="259"/>
        <v>6</v>
      </c>
      <c r="I3341" s="14">
        <f t="shared" ref="I3341:I3404" si="260">((LEN(C3341)-(LEN(SUBSTITUTE(C3341,"A",""))))*249.23)+((LEN(C3341)-(LEN(SUBSTITUTE(C3341,"T",""))))*240.21)+((LEN(C3341)-(LEN(SUBSTITUTE(C3341,"C",""))))*225.2)+((LEN(C3341)-(LEN(SUBSTITUTE(C3341,"G",""))))*265.23)+(63.98*(LEN(C3341)-1)+(2.02))</f>
        <v>1760.2199999999998</v>
      </c>
      <c r="K3341" t="str">
        <f>[1]!revcom(C3341)</f>
        <v>GTTTGA</v>
      </c>
      <c r="L3341">
        <v>6</v>
      </c>
    </row>
    <row r="3342" spans="1:12" ht="15.6" x14ac:dyDescent="0.3">
      <c r="A3342" s="9">
        <v>3331</v>
      </c>
      <c r="B3342" s="1"/>
      <c r="C3342" s="2" t="s">
        <v>3337</v>
      </c>
      <c r="D3342" s="1"/>
      <c r="E3342" s="11">
        <f t="shared" ref="E3342:E3405" si="261">IF(LEN(C3342)&gt;15,(69.3+((41*((LEN(C3342)-(((LEN(C3342)-(LEN(SUBSTITUTE(C3342,"A",""))))+((LEN(C3342)-(LEN(SUBSTITUTE(C3342,"T","")))))))))/(LEN(C3342)))-(650/(LEN(C3342))))),(2*((LEN(C3342)-(((LEN(C3342)-(LEN(SUBSTITUTE(C3342,"C",""))))+((LEN(C3342)-(LEN(SUBSTITUTE(C3342,"G",""))))))))))+(4*((LEN(C3342)-(((LEN(C3342)-(LEN(SUBSTITUTE(C3342,"T",""))))+((LEN(C3342)-(LEN(SUBSTITUTE(C3342,"T","")))))))))))</f>
        <v>24</v>
      </c>
      <c r="F3342" s="12">
        <f t="shared" ref="F3342:F3405" si="262">((LEN(C3342)- LEN(SUBSTITUTE(C3342,"G","")))+(LEN(C3342)- LEN(SUBSTITUTE(C3342,"C",""))) )/LEN(C3342)*100</f>
        <v>33.333333333333329</v>
      </c>
      <c r="G3342" s="12" t="str">
        <f t="shared" ref="G3342:G3405" si="263">IF((-5+((LEN(SUBSTITUTE(RIGHT(C3342,5),"C","")))+((LEN(SUBSTITUTE(RIGHT(C3342,5),"G",""))))))&gt;=3,"OK","Warning")</f>
        <v>OK</v>
      </c>
      <c r="H3342" s="13">
        <f t="shared" ref="H3342:H3405" si="264">LEN(C3342)</f>
        <v>6</v>
      </c>
      <c r="I3342" s="14">
        <f t="shared" si="260"/>
        <v>1800.25</v>
      </c>
      <c r="K3342" t="str">
        <f>[1]!revcom(C3342)</f>
        <v>CTTTGA</v>
      </c>
      <c r="L3342">
        <v>6</v>
      </c>
    </row>
    <row r="3343" spans="1:12" ht="15.6" x14ac:dyDescent="0.3">
      <c r="A3343" s="9">
        <v>3332</v>
      </c>
      <c r="B3343" s="1"/>
      <c r="C3343" s="2" t="s">
        <v>3338</v>
      </c>
      <c r="D3343" s="1"/>
      <c r="E3343" s="11">
        <f t="shared" si="261"/>
        <v>18</v>
      </c>
      <c r="F3343" s="12">
        <f t="shared" si="262"/>
        <v>16.666666666666664</v>
      </c>
      <c r="G3343" s="12" t="str">
        <f t="shared" si="263"/>
        <v>OK</v>
      </c>
      <c r="H3343" s="13">
        <f t="shared" si="264"/>
        <v>6</v>
      </c>
      <c r="I3343" s="14">
        <f t="shared" si="260"/>
        <v>1775.23</v>
      </c>
      <c r="K3343" t="str">
        <f>[1]!revcom(C3343)</f>
        <v>ATTTGA</v>
      </c>
      <c r="L3343">
        <v>5</v>
      </c>
    </row>
    <row r="3344" spans="1:12" ht="15.6" x14ac:dyDescent="0.3">
      <c r="A3344" s="9">
        <v>3333</v>
      </c>
      <c r="B3344" s="1"/>
      <c r="C3344" s="2" t="s">
        <v>3339</v>
      </c>
      <c r="D3344" s="1"/>
      <c r="E3344" s="11">
        <f t="shared" si="261"/>
        <v>24</v>
      </c>
      <c r="F3344" s="12">
        <f t="shared" si="262"/>
        <v>33.333333333333329</v>
      </c>
      <c r="G3344" s="12" t="str">
        <f t="shared" si="263"/>
        <v>OK</v>
      </c>
      <c r="H3344" s="13">
        <f t="shared" si="264"/>
        <v>6</v>
      </c>
      <c r="I3344" s="14">
        <f t="shared" si="260"/>
        <v>1760.2199999999998</v>
      </c>
      <c r="K3344" t="str">
        <f>[1]!revcom(C3344)</f>
        <v>TGTTGA</v>
      </c>
      <c r="L3344">
        <v>6</v>
      </c>
    </row>
    <row r="3345" spans="1:12" ht="15.6" x14ac:dyDescent="0.3">
      <c r="A3345" s="9">
        <v>3334</v>
      </c>
      <c r="B3345" s="1"/>
      <c r="C3345" s="2" t="s">
        <v>3340</v>
      </c>
      <c r="D3345" s="1"/>
      <c r="E3345" s="11">
        <f t="shared" si="261"/>
        <v>22</v>
      </c>
      <c r="F3345" s="12">
        <f t="shared" si="262"/>
        <v>50</v>
      </c>
      <c r="G3345" s="12" t="str">
        <f t="shared" si="263"/>
        <v>Warning</v>
      </c>
      <c r="H3345" s="13">
        <f t="shared" si="264"/>
        <v>6</v>
      </c>
      <c r="I3345" s="14">
        <f t="shared" si="260"/>
        <v>1736.19</v>
      </c>
      <c r="K3345" t="str">
        <f>[1]!revcom(C3345)</f>
        <v>GGTTGA</v>
      </c>
      <c r="L3345">
        <v>6</v>
      </c>
    </row>
    <row r="3346" spans="1:12" ht="15.6" x14ac:dyDescent="0.3">
      <c r="A3346" s="9">
        <v>3335</v>
      </c>
      <c r="B3346" s="1"/>
      <c r="C3346" s="2" t="s">
        <v>3341</v>
      </c>
      <c r="D3346" s="1"/>
      <c r="E3346" s="11">
        <f t="shared" si="261"/>
        <v>22</v>
      </c>
      <c r="F3346" s="12">
        <f t="shared" si="262"/>
        <v>50</v>
      </c>
      <c r="G3346" s="12" t="str">
        <f t="shared" si="263"/>
        <v>Warning</v>
      </c>
      <c r="H3346" s="13">
        <f t="shared" si="264"/>
        <v>6</v>
      </c>
      <c r="I3346" s="14">
        <f t="shared" si="260"/>
        <v>1776.2199999999998</v>
      </c>
      <c r="K3346" t="str">
        <f>[1]!revcom(C3346)</f>
        <v>CGTTGA</v>
      </c>
      <c r="L3346">
        <v>6</v>
      </c>
    </row>
    <row r="3347" spans="1:12" ht="15.6" x14ac:dyDescent="0.3">
      <c r="A3347" s="9">
        <v>3336</v>
      </c>
      <c r="B3347" s="1"/>
      <c r="C3347" s="2" t="s">
        <v>3342</v>
      </c>
      <c r="D3347" s="1"/>
      <c r="E3347" s="11">
        <f t="shared" si="261"/>
        <v>16</v>
      </c>
      <c r="F3347" s="12">
        <f t="shared" si="262"/>
        <v>33.333333333333329</v>
      </c>
      <c r="G3347" s="12" t="str">
        <f t="shared" si="263"/>
        <v>OK</v>
      </c>
      <c r="H3347" s="13">
        <f t="shared" si="264"/>
        <v>6</v>
      </c>
      <c r="I3347" s="14">
        <f t="shared" si="260"/>
        <v>1751.1999999999998</v>
      </c>
      <c r="K3347" t="str">
        <f>[1]!revcom(C3347)</f>
        <v>AGTTGA</v>
      </c>
      <c r="L3347">
        <v>5</v>
      </c>
    </row>
    <row r="3348" spans="1:12" ht="15.6" x14ac:dyDescent="0.3">
      <c r="A3348" s="9">
        <v>3337</v>
      </c>
      <c r="B3348" s="1"/>
      <c r="C3348" s="2" t="s">
        <v>3343</v>
      </c>
      <c r="D3348" s="1"/>
      <c r="E3348" s="11">
        <f t="shared" si="261"/>
        <v>24</v>
      </c>
      <c r="F3348" s="12">
        <f t="shared" si="262"/>
        <v>33.333333333333329</v>
      </c>
      <c r="G3348" s="12" t="str">
        <f t="shared" si="263"/>
        <v>OK</v>
      </c>
      <c r="H3348" s="13">
        <f t="shared" si="264"/>
        <v>6</v>
      </c>
      <c r="I3348" s="14">
        <f t="shared" si="260"/>
        <v>1800.25</v>
      </c>
      <c r="K3348" t="str">
        <f>[1]!revcom(C3348)</f>
        <v>TCTTGA</v>
      </c>
      <c r="L3348">
        <v>6</v>
      </c>
    </row>
    <row r="3349" spans="1:12" ht="15.6" x14ac:dyDescent="0.3">
      <c r="A3349" s="9">
        <v>3338</v>
      </c>
      <c r="B3349" s="1"/>
      <c r="C3349" s="2" t="s">
        <v>3344</v>
      </c>
      <c r="D3349" s="1"/>
      <c r="E3349" s="11">
        <f t="shared" si="261"/>
        <v>22</v>
      </c>
      <c r="F3349" s="12">
        <f t="shared" si="262"/>
        <v>50</v>
      </c>
      <c r="G3349" s="12" t="str">
        <f t="shared" si="263"/>
        <v>Warning</v>
      </c>
      <c r="H3349" s="13">
        <f t="shared" si="264"/>
        <v>6</v>
      </c>
      <c r="I3349" s="14">
        <f t="shared" si="260"/>
        <v>1776.2199999999998</v>
      </c>
      <c r="K3349" t="str">
        <f>[1]!revcom(C3349)</f>
        <v>GCTTGA</v>
      </c>
      <c r="L3349">
        <v>6</v>
      </c>
    </row>
    <row r="3350" spans="1:12" ht="15.6" x14ac:dyDescent="0.3">
      <c r="A3350" s="9">
        <v>3339</v>
      </c>
      <c r="B3350" s="1"/>
      <c r="C3350" s="2" t="s">
        <v>3345</v>
      </c>
      <c r="D3350" s="1"/>
      <c r="E3350" s="11">
        <f t="shared" si="261"/>
        <v>22</v>
      </c>
      <c r="F3350" s="12">
        <f t="shared" si="262"/>
        <v>50</v>
      </c>
      <c r="G3350" s="12" t="str">
        <f t="shared" si="263"/>
        <v>Warning</v>
      </c>
      <c r="H3350" s="13">
        <f t="shared" si="264"/>
        <v>6</v>
      </c>
      <c r="I3350" s="14">
        <f t="shared" si="260"/>
        <v>1816.25</v>
      </c>
      <c r="K3350" t="str">
        <f>[1]!revcom(C3350)</f>
        <v>CCTTGA</v>
      </c>
      <c r="L3350">
        <v>6</v>
      </c>
    </row>
    <row r="3351" spans="1:12" ht="15.6" x14ac:dyDescent="0.3">
      <c r="A3351" s="9">
        <v>3340</v>
      </c>
      <c r="B3351" s="1"/>
      <c r="C3351" s="2" t="s">
        <v>3346</v>
      </c>
      <c r="D3351" s="1"/>
      <c r="E3351" s="11">
        <f t="shared" si="261"/>
        <v>16</v>
      </c>
      <c r="F3351" s="12">
        <f t="shared" si="262"/>
        <v>33.333333333333329</v>
      </c>
      <c r="G3351" s="12" t="str">
        <f t="shared" si="263"/>
        <v>OK</v>
      </c>
      <c r="H3351" s="13">
        <f t="shared" si="264"/>
        <v>6</v>
      </c>
      <c r="I3351" s="14">
        <f t="shared" si="260"/>
        <v>1791.23</v>
      </c>
      <c r="K3351" t="str">
        <f>[1]!revcom(C3351)</f>
        <v>ACTTGA</v>
      </c>
      <c r="L3351">
        <v>5</v>
      </c>
    </row>
    <row r="3352" spans="1:12" ht="15.6" x14ac:dyDescent="0.3">
      <c r="A3352" s="9">
        <v>3341</v>
      </c>
      <c r="B3352" s="1"/>
      <c r="C3352" s="2" t="s">
        <v>3347</v>
      </c>
      <c r="D3352" s="1"/>
      <c r="E3352" s="11">
        <f t="shared" si="261"/>
        <v>18</v>
      </c>
      <c r="F3352" s="12">
        <f t="shared" si="262"/>
        <v>16.666666666666664</v>
      </c>
      <c r="G3352" s="12" t="str">
        <f t="shared" si="263"/>
        <v>OK</v>
      </c>
      <c r="H3352" s="13">
        <f t="shared" si="264"/>
        <v>6</v>
      </c>
      <c r="I3352" s="14">
        <f t="shared" si="260"/>
        <v>1775.23</v>
      </c>
      <c r="K3352" t="str">
        <f>[1]!revcom(C3352)</f>
        <v>TATTGA</v>
      </c>
      <c r="L3352">
        <v>5</v>
      </c>
    </row>
    <row r="3353" spans="1:12" ht="15.6" x14ac:dyDescent="0.3">
      <c r="A3353" s="9">
        <v>3342</v>
      </c>
      <c r="B3353" s="1"/>
      <c r="C3353" s="2" t="s">
        <v>3348</v>
      </c>
      <c r="D3353" s="1"/>
      <c r="E3353" s="11">
        <f t="shared" si="261"/>
        <v>16</v>
      </c>
      <c r="F3353" s="12">
        <f t="shared" si="262"/>
        <v>33.333333333333329</v>
      </c>
      <c r="G3353" s="12" t="str">
        <f t="shared" si="263"/>
        <v>OK</v>
      </c>
      <c r="H3353" s="13">
        <f t="shared" si="264"/>
        <v>6</v>
      </c>
      <c r="I3353" s="14">
        <f t="shared" si="260"/>
        <v>1751.1999999999998</v>
      </c>
      <c r="K3353" t="str">
        <f>[1]!revcom(C3353)</f>
        <v>GATTGA</v>
      </c>
      <c r="L3353">
        <v>5</v>
      </c>
    </row>
    <row r="3354" spans="1:12" ht="15.6" x14ac:dyDescent="0.3">
      <c r="A3354" s="9">
        <v>3343</v>
      </c>
      <c r="B3354" s="1"/>
      <c r="C3354" s="2" t="s">
        <v>3349</v>
      </c>
      <c r="D3354" s="1"/>
      <c r="E3354" s="11">
        <f t="shared" si="261"/>
        <v>16</v>
      </c>
      <c r="F3354" s="12">
        <f t="shared" si="262"/>
        <v>33.333333333333329</v>
      </c>
      <c r="G3354" s="12" t="str">
        <f t="shared" si="263"/>
        <v>OK</v>
      </c>
      <c r="H3354" s="13">
        <f t="shared" si="264"/>
        <v>6</v>
      </c>
      <c r="I3354" s="14">
        <f t="shared" si="260"/>
        <v>1791.23</v>
      </c>
      <c r="K3354" t="str">
        <f>[1]!revcom(C3354)</f>
        <v>CATTGA</v>
      </c>
      <c r="L3354">
        <v>5</v>
      </c>
    </row>
    <row r="3355" spans="1:12" ht="15.6" x14ac:dyDescent="0.3">
      <c r="A3355" s="9">
        <v>3344</v>
      </c>
      <c r="B3355" s="1"/>
      <c r="C3355" s="2" t="s">
        <v>3350</v>
      </c>
      <c r="D3355" s="1"/>
      <c r="E3355" s="11">
        <f t="shared" si="261"/>
        <v>10</v>
      </c>
      <c r="F3355" s="12">
        <f t="shared" si="262"/>
        <v>16.666666666666664</v>
      </c>
      <c r="G3355" s="12" t="str">
        <f t="shared" si="263"/>
        <v>OK</v>
      </c>
      <c r="H3355" s="13">
        <f t="shared" si="264"/>
        <v>6</v>
      </c>
      <c r="I3355" s="14">
        <f t="shared" si="260"/>
        <v>1766.21</v>
      </c>
      <c r="K3355" t="str">
        <f>[1]!revcom(C3355)</f>
        <v>AATTGA</v>
      </c>
      <c r="L3355">
        <v>4</v>
      </c>
    </row>
    <row r="3356" spans="1:12" ht="15.6" x14ac:dyDescent="0.3">
      <c r="A3356" s="9">
        <v>3345</v>
      </c>
      <c r="B3356" s="1"/>
      <c r="C3356" s="2" t="s">
        <v>3351</v>
      </c>
      <c r="D3356" s="1"/>
      <c r="E3356" s="11">
        <f t="shared" si="261"/>
        <v>24</v>
      </c>
      <c r="F3356" s="12">
        <f t="shared" si="262"/>
        <v>33.333333333333329</v>
      </c>
      <c r="G3356" s="12" t="str">
        <f t="shared" si="263"/>
        <v>OK</v>
      </c>
      <c r="H3356" s="13">
        <f t="shared" si="264"/>
        <v>6</v>
      </c>
      <c r="I3356" s="14">
        <f t="shared" si="260"/>
        <v>1760.2199999999998</v>
      </c>
      <c r="K3356" t="str">
        <f>[1]!revcom(C3356)</f>
        <v>TTGTGA</v>
      </c>
      <c r="L3356">
        <v>6</v>
      </c>
    </row>
    <row r="3357" spans="1:12" ht="15.6" x14ac:dyDescent="0.3">
      <c r="A3357" s="9">
        <v>3346</v>
      </c>
      <c r="B3357" s="1"/>
      <c r="C3357" s="2" t="s">
        <v>3352</v>
      </c>
      <c r="D3357" s="1"/>
      <c r="E3357" s="11">
        <f t="shared" si="261"/>
        <v>22</v>
      </c>
      <c r="F3357" s="12">
        <f t="shared" si="262"/>
        <v>50</v>
      </c>
      <c r="G3357" s="12" t="str">
        <f t="shared" si="263"/>
        <v>Warning</v>
      </c>
      <c r="H3357" s="13">
        <f t="shared" si="264"/>
        <v>6</v>
      </c>
      <c r="I3357" s="14">
        <f t="shared" si="260"/>
        <v>1736.19</v>
      </c>
      <c r="K3357" t="str">
        <f>[1]!revcom(C3357)</f>
        <v>GTGTGA</v>
      </c>
      <c r="L3357">
        <v>6</v>
      </c>
    </row>
    <row r="3358" spans="1:12" ht="15.6" x14ac:dyDescent="0.3">
      <c r="A3358" s="9">
        <v>3347</v>
      </c>
      <c r="B3358" s="1"/>
      <c r="C3358" s="2" t="s">
        <v>3353</v>
      </c>
      <c r="D3358" s="1"/>
      <c r="E3358" s="11">
        <f t="shared" si="261"/>
        <v>22</v>
      </c>
      <c r="F3358" s="12">
        <f t="shared" si="262"/>
        <v>50</v>
      </c>
      <c r="G3358" s="12" t="str">
        <f t="shared" si="263"/>
        <v>Warning</v>
      </c>
      <c r="H3358" s="13">
        <f t="shared" si="264"/>
        <v>6</v>
      </c>
      <c r="I3358" s="14">
        <f t="shared" si="260"/>
        <v>1776.2199999999998</v>
      </c>
      <c r="K3358" t="str">
        <f>[1]!revcom(C3358)</f>
        <v>CTGTGA</v>
      </c>
      <c r="L3358">
        <v>6</v>
      </c>
    </row>
    <row r="3359" spans="1:12" ht="15.6" x14ac:dyDescent="0.3">
      <c r="A3359" s="9">
        <v>3348</v>
      </c>
      <c r="B3359" s="1"/>
      <c r="C3359" s="2" t="s">
        <v>3354</v>
      </c>
      <c r="D3359" s="1"/>
      <c r="E3359" s="11">
        <f t="shared" si="261"/>
        <v>16</v>
      </c>
      <c r="F3359" s="12">
        <f t="shared" si="262"/>
        <v>33.333333333333329</v>
      </c>
      <c r="G3359" s="12" t="str">
        <f t="shared" si="263"/>
        <v>OK</v>
      </c>
      <c r="H3359" s="13">
        <f t="shared" si="264"/>
        <v>6</v>
      </c>
      <c r="I3359" s="14">
        <f t="shared" si="260"/>
        <v>1751.1999999999998</v>
      </c>
      <c r="K3359" t="str">
        <f>[1]!revcom(C3359)</f>
        <v>ATGTGA</v>
      </c>
      <c r="L3359">
        <v>5</v>
      </c>
    </row>
    <row r="3360" spans="1:12" ht="15.6" x14ac:dyDescent="0.3">
      <c r="A3360" s="9">
        <v>3349</v>
      </c>
      <c r="B3360" s="1"/>
      <c r="C3360" s="2" t="s">
        <v>3355</v>
      </c>
      <c r="D3360" s="1"/>
      <c r="E3360" s="11">
        <f t="shared" si="261"/>
        <v>22</v>
      </c>
      <c r="F3360" s="12">
        <f t="shared" si="262"/>
        <v>50</v>
      </c>
      <c r="G3360" s="12" t="str">
        <f t="shared" si="263"/>
        <v>Warning</v>
      </c>
      <c r="H3360" s="13">
        <f t="shared" si="264"/>
        <v>6</v>
      </c>
      <c r="I3360" s="14">
        <f t="shared" si="260"/>
        <v>1736.19</v>
      </c>
      <c r="K3360" t="str">
        <f>[1]!revcom(C3360)</f>
        <v>TGGTGA</v>
      </c>
      <c r="L3360">
        <v>6</v>
      </c>
    </row>
    <row r="3361" spans="1:12" ht="15.6" x14ac:dyDescent="0.3">
      <c r="A3361" s="9">
        <v>3350</v>
      </c>
      <c r="B3361" s="1"/>
      <c r="C3361" s="2" t="s">
        <v>3356</v>
      </c>
      <c r="D3361" s="1"/>
      <c r="E3361" s="11">
        <f t="shared" si="261"/>
        <v>20</v>
      </c>
      <c r="F3361" s="12">
        <f t="shared" si="262"/>
        <v>66.666666666666657</v>
      </c>
      <c r="G3361" s="12" t="str">
        <f t="shared" si="263"/>
        <v>Warning</v>
      </c>
      <c r="H3361" s="13">
        <f t="shared" si="264"/>
        <v>6</v>
      </c>
      <c r="I3361" s="14">
        <f t="shared" si="260"/>
        <v>1712.1599999999999</v>
      </c>
      <c r="K3361" t="str">
        <f>[1]!revcom(C3361)</f>
        <v>GGGTGA</v>
      </c>
      <c r="L3361">
        <v>6</v>
      </c>
    </row>
    <row r="3362" spans="1:12" ht="15.6" x14ac:dyDescent="0.3">
      <c r="A3362" s="9">
        <v>3351</v>
      </c>
      <c r="B3362" s="1"/>
      <c r="C3362" s="2" t="s">
        <v>3357</v>
      </c>
      <c r="D3362" s="1"/>
      <c r="E3362" s="11">
        <f t="shared" si="261"/>
        <v>20</v>
      </c>
      <c r="F3362" s="12">
        <f t="shared" si="262"/>
        <v>66.666666666666657</v>
      </c>
      <c r="G3362" s="12" t="str">
        <f t="shared" si="263"/>
        <v>Warning</v>
      </c>
      <c r="H3362" s="13">
        <f t="shared" si="264"/>
        <v>6</v>
      </c>
      <c r="I3362" s="14">
        <f t="shared" si="260"/>
        <v>1752.19</v>
      </c>
      <c r="K3362" t="str">
        <f>[1]!revcom(C3362)</f>
        <v>CGGTGA</v>
      </c>
      <c r="L3362">
        <v>6</v>
      </c>
    </row>
    <row r="3363" spans="1:12" ht="15.6" x14ac:dyDescent="0.3">
      <c r="A3363" s="9">
        <v>3352</v>
      </c>
      <c r="B3363" s="1"/>
      <c r="C3363" s="2" t="s">
        <v>3358</v>
      </c>
      <c r="D3363" s="1"/>
      <c r="E3363" s="11">
        <f t="shared" si="261"/>
        <v>14</v>
      </c>
      <c r="F3363" s="12">
        <f t="shared" si="262"/>
        <v>50</v>
      </c>
      <c r="G3363" s="12" t="str">
        <f t="shared" si="263"/>
        <v>Warning</v>
      </c>
      <c r="H3363" s="13">
        <f t="shared" si="264"/>
        <v>6</v>
      </c>
      <c r="I3363" s="14">
        <f t="shared" si="260"/>
        <v>1727.17</v>
      </c>
      <c r="K3363" t="str">
        <f>[1]!revcom(C3363)</f>
        <v>AGGTGA</v>
      </c>
      <c r="L3363">
        <v>5</v>
      </c>
    </row>
    <row r="3364" spans="1:12" ht="15.6" x14ac:dyDescent="0.3">
      <c r="A3364" s="9">
        <v>3353</v>
      </c>
      <c r="B3364" s="1"/>
      <c r="C3364" s="2" t="s">
        <v>3359</v>
      </c>
      <c r="D3364" s="1"/>
      <c r="E3364" s="11">
        <f t="shared" si="261"/>
        <v>22</v>
      </c>
      <c r="F3364" s="12">
        <f t="shared" si="262"/>
        <v>50</v>
      </c>
      <c r="G3364" s="12" t="str">
        <f t="shared" si="263"/>
        <v>Warning</v>
      </c>
      <c r="H3364" s="13">
        <f t="shared" si="264"/>
        <v>6</v>
      </c>
      <c r="I3364" s="14">
        <f t="shared" si="260"/>
        <v>1776.2199999999998</v>
      </c>
      <c r="K3364" t="str">
        <f>[1]!revcom(C3364)</f>
        <v>TCGTGA</v>
      </c>
      <c r="L3364">
        <v>6</v>
      </c>
    </row>
    <row r="3365" spans="1:12" ht="15.6" x14ac:dyDescent="0.3">
      <c r="A3365" s="9">
        <v>3354</v>
      </c>
      <c r="B3365" s="1"/>
      <c r="C3365" s="2" t="s">
        <v>3360</v>
      </c>
      <c r="D3365" s="1"/>
      <c r="E3365" s="11">
        <f t="shared" si="261"/>
        <v>20</v>
      </c>
      <c r="F3365" s="12">
        <f t="shared" si="262"/>
        <v>66.666666666666657</v>
      </c>
      <c r="G3365" s="12" t="str">
        <f t="shared" si="263"/>
        <v>Warning</v>
      </c>
      <c r="H3365" s="13">
        <f t="shared" si="264"/>
        <v>6</v>
      </c>
      <c r="I3365" s="14">
        <f t="shared" si="260"/>
        <v>1752.19</v>
      </c>
      <c r="K3365" t="str">
        <f>[1]!revcom(C3365)</f>
        <v>GCGTGA</v>
      </c>
      <c r="L3365">
        <v>6</v>
      </c>
    </row>
    <row r="3366" spans="1:12" ht="15.6" x14ac:dyDescent="0.3">
      <c r="A3366" s="9">
        <v>3355</v>
      </c>
      <c r="B3366" s="1"/>
      <c r="C3366" s="2" t="s">
        <v>3361</v>
      </c>
      <c r="D3366" s="1"/>
      <c r="E3366" s="11">
        <f t="shared" si="261"/>
        <v>20</v>
      </c>
      <c r="F3366" s="12">
        <f t="shared" si="262"/>
        <v>66.666666666666657</v>
      </c>
      <c r="G3366" s="12" t="str">
        <f t="shared" si="263"/>
        <v>Warning</v>
      </c>
      <c r="H3366" s="13">
        <f t="shared" si="264"/>
        <v>6</v>
      </c>
      <c r="I3366" s="14">
        <f t="shared" si="260"/>
        <v>1792.2199999999998</v>
      </c>
      <c r="K3366" t="str">
        <f>[1]!revcom(C3366)</f>
        <v>CCGTGA</v>
      </c>
      <c r="L3366">
        <v>6</v>
      </c>
    </row>
    <row r="3367" spans="1:12" ht="15.6" x14ac:dyDescent="0.3">
      <c r="A3367" s="9">
        <v>3356</v>
      </c>
      <c r="B3367" s="1"/>
      <c r="C3367" s="2" t="s">
        <v>3362</v>
      </c>
      <c r="D3367" s="1"/>
      <c r="E3367" s="11">
        <f t="shared" si="261"/>
        <v>14</v>
      </c>
      <c r="F3367" s="12">
        <f t="shared" si="262"/>
        <v>50</v>
      </c>
      <c r="G3367" s="12" t="str">
        <f t="shared" si="263"/>
        <v>Warning</v>
      </c>
      <c r="H3367" s="13">
        <f t="shared" si="264"/>
        <v>6</v>
      </c>
      <c r="I3367" s="14">
        <f t="shared" si="260"/>
        <v>1767.1999999999998</v>
      </c>
      <c r="K3367" t="str">
        <f>[1]!revcom(C3367)</f>
        <v>ACGTGA</v>
      </c>
      <c r="L3367">
        <v>5</v>
      </c>
    </row>
    <row r="3368" spans="1:12" ht="15.6" x14ac:dyDescent="0.3">
      <c r="A3368" s="9">
        <v>3357</v>
      </c>
      <c r="B3368" s="1"/>
      <c r="C3368" s="2" t="s">
        <v>3363</v>
      </c>
      <c r="D3368" s="1"/>
      <c r="E3368" s="11">
        <f t="shared" si="261"/>
        <v>16</v>
      </c>
      <c r="F3368" s="12">
        <f t="shared" si="262"/>
        <v>33.333333333333329</v>
      </c>
      <c r="G3368" s="12" t="str">
        <f t="shared" si="263"/>
        <v>OK</v>
      </c>
      <c r="H3368" s="13">
        <f t="shared" si="264"/>
        <v>6</v>
      </c>
      <c r="I3368" s="14">
        <f t="shared" si="260"/>
        <v>1751.1999999999998</v>
      </c>
      <c r="K3368" t="str">
        <f>[1]!revcom(C3368)</f>
        <v>TAGTGA</v>
      </c>
      <c r="L3368">
        <v>5</v>
      </c>
    </row>
    <row r="3369" spans="1:12" ht="15.6" x14ac:dyDescent="0.3">
      <c r="A3369" s="9">
        <v>3358</v>
      </c>
      <c r="B3369" s="1"/>
      <c r="C3369" s="2" t="s">
        <v>3364</v>
      </c>
      <c r="D3369" s="1"/>
      <c r="E3369" s="11">
        <f t="shared" si="261"/>
        <v>14</v>
      </c>
      <c r="F3369" s="12">
        <f t="shared" si="262"/>
        <v>50</v>
      </c>
      <c r="G3369" s="12" t="str">
        <f t="shared" si="263"/>
        <v>Warning</v>
      </c>
      <c r="H3369" s="13">
        <f t="shared" si="264"/>
        <v>6</v>
      </c>
      <c r="I3369" s="14">
        <f t="shared" si="260"/>
        <v>1727.17</v>
      </c>
      <c r="K3369" t="str">
        <f>[1]!revcom(C3369)</f>
        <v>GAGTGA</v>
      </c>
      <c r="L3369">
        <v>5</v>
      </c>
    </row>
    <row r="3370" spans="1:12" ht="15.6" x14ac:dyDescent="0.3">
      <c r="A3370" s="9">
        <v>3359</v>
      </c>
      <c r="B3370" s="1"/>
      <c r="C3370" s="2" t="s">
        <v>3365</v>
      </c>
      <c r="D3370" s="1"/>
      <c r="E3370" s="11">
        <f t="shared" si="261"/>
        <v>14</v>
      </c>
      <c r="F3370" s="12">
        <f t="shared" si="262"/>
        <v>50</v>
      </c>
      <c r="G3370" s="12" t="str">
        <f t="shared" si="263"/>
        <v>Warning</v>
      </c>
      <c r="H3370" s="13">
        <f t="shared" si="264"/>
        <v>6</v>
      </c>
      <c r="I3370" s="14">
        <f t="shared" si="260"/>
        <v>1767.1999999999998</v>
      </c>
      <c r="K3370" t="str">
        <f>[1]!revcom(C3370)</f>
        <v>CAGTGA</v>
      </c>
      <c r="L3370">
        <v>5</v>
      </c>
    </row>
    <row r="3371" spans="1:12" ht="15.6" x14ac:dyDescent="0.3">
      <c r="A3371" s="9">
        <v>3360</v>
      </c>
      <c r="B3371" s="1"/>
      <c r="C3371" s="2" t="s">
        <v>3366</v>
      </c>
      <c r="D3371" s="1"/>
      <c r="E3371" s="11">
        <f t="shared" si="261"/>
        <v>8</v>
      </c>
      <c r="F3371" s="12">
        <f t="shared" si="262"/>
        <v>33.333333333333329</v>
      </c>
      <c r="G3371" s="12" t="str">
        <f t="shared" si="263"/>
        <v>OK</v>
      </c>
      <c r="H3371" s="13">
        <f t="shared" si="264"/>
        <v>6</v>
      </c>
      <c r="I3371" s="14">
        <f t="shared" si="260"/>
        <v>1742.1799999999998</v>
      </c>
      <c r="K3371" t="str">
        <f>[1]!revcom(C3371)</f>
        <v>AAGTGA</v>
      </c>
      <c r="L3371">
        <v>4</v>
      </c>
    </row>
    <row r="3372" spans="1:12" ht="15.6" x14ac:dyDescent="0.3">
      <c r="A3372" s="9">
        <v>3361</v>
      </c>
      <c r="B3372" s="1"/>
      <c r="C3372" s="2" t="s">
        <v>3367</v>
      </c>
      <c r="D3372" s="1"/>
      <c r="E3372" s="11">
        <f t="shared" si="261"/>
        <v>24</v>
      </c>
      <c r="F3372" s="12">
        <f t="shared" si="262"/>
        <v>33.333333333333329</v>
      </c>
      <c r="G3372" s="12" t="str">
        <f t="shared" si="263"/>
        <v>OK</v>
      </c>
      <c r="H3372" s="13">
        <f t="shared" si="264"/>
        <v>6</v>
      </c>
      <c r="I3372" s="14">
        <f t="shared" si="260"/>
        <v>1800.25</v>
      </c>
      <c r="K3372" t="str">
        <f>[1]!revcom(C3372)</f>
        <v>TTCTGA</v>
      </c>
      <c r="L3372">
        <v>6</v>
      </c>
    </row>
    <row r="3373" spans="1:12" ht="15.6" x14ac:dyDescent="0.3">
      <c r="A3373" s="9">
        <v>3362</v>
      </c>
      <c r="B3373" s="1"/>
      <c r="C3373" s="2" t="s">
        <v>3368</v>
      </c>
      <c r="D3373" s="1"/>
      <c r="E3373" s="11">
        <f t="shared" si="261"/>
        <v>22</v>
      </c>
      <c r="F3373" s="12">
        <f t="shared" si="262"/>
        <v>50</v>
      </c>
      <c r="G3373" s="12" t="str">
        <f t="shared" si="263"/>
        <v>Warning</v>
      </c>
      <c r="H3373" s="13">
        <f t="shared" si="264"/>
        <v>6</v>
      </c>
      <c r="I3373" s="14">
        <f t="shared" si="260"/>
        <v>1776.2199999999998</v>
      </c>
      <c r="K3373" t="str">
        <f>[1]!revcom(C3373)</f>
        <v>GTCTGA</v>
      </c>
      <c r="L3373">
        <v>6</v>
      </c>
    </row>
    <row r="3374" spans="1:12" ht="15.6" x14ac:dyDescent="0.3">
      <c r="A3374" s="9">
        <v>3363</v>
      </c>
      <c r="B3374" s="1"/>
      <c r="C3374" s="2" t="s">
        <v>3369</v>
      </c>
      <c r="D3374" s="1"/>
      <c r="E3374" s="11">
        <f t="shared" si="261"/>
        <v>22</v>
      </c>
      <c r="F3374" s="12">
        <f t="shared" si="262"/>
        <v>50</v>
      </c>
      <c r="G3374" s="12" t="str">
        <f t="shared" si="263"/>
        <v>Warning</v>
      </c>
      <c r="H3374" s="13">
        <f t="shared" si="264"/>
        <v>6</v>
      </c>
      <c r="I3374" s="14">
        <f t="shared" si="260"/>
        <v>1816.25</v>
      </c>
      <c r="K3374" t="str">
        <f>[1]!revcom(C3374)</f>
        <v>CTCTGA</v>
      </c>
      <c r="L3374">
        <v>6</v>
      </c>
    </row>
    <row r="3375" spans="1:12" ht="15.6" x14ac:dyDescent="0.3">
      <c r="A3375" s="9">
        <v>3364</v>
      </c>
      <c r="B3375" s="1"/>
      <c r="C3375" s="2" t="s">
        <v>3370</v>
      </c>
      <c r="D3375" s="1"/>
      <c r="E3375" s="11">
        <f t="shared" si="261"/>
        <v>16</v>
      </c>
      <c r="F3375" s="12">
        <f t="shared" si="262"/>
        <v>33.333333333333329</v>
      </c>
      <c r="G3375" s="12" t="str">
        <f t="shared" si="263"/>
        <v>OK</v>
      </c>
      <c r="H3375" s="13">
        <f t="shared" si="264"/>
        <v>6</v>
      </c>
      <c r="I3375" s="14">
        <f t="shared" si="260"/>
        <v>1791.23</v>
      </c>
      <c r="K3375" t="str">
        <f>[1]!revcom(C3375)</f>
        <v>ATCTGA</v>
      </c>
      <c r="L3375">
        <v>5</v>
      </c>
    </row>
    <row r="3376" spans="1:12" ht="15.6" x14ac:dyDescent="0.3">
      <c r="A3376" s="9">
        <v>3365</v>
      </c>
      <c r="B3376" s="1"/>
      <c r="C3376" s="2" t="s">
        <v>3371</v>
      </c>
      <c r="D3376" s="1"/>
      <c r="E3376" s="11">
        <f t="shared" si="261"/>
        <v>22</v>
      </c>
      <c r="F3376" s="12">
        <f t="shared" si="262"/>
        <v>50</v>
      </c>
      <c r="G3376" s="12" t="str">
        <f t="shared" si="263"/>
        <v>Warning</v>
      </c>
      <c r="H3376" s="13">
        <f t="shared" si="264"/>
        <v>6</v>
      </c>
      <c r="I3376" s="14">
        <f t="shared" si="260"/>
        <v>1776.2199999999998</v>
      </c>
      <c r="K3376" t="str">
        <f>[1]!revcom(C3376)</f>
        <v>TGCTGA</v>
      </c>
      <c r="L3376">
        <v>6</v>
      </c>
    </row>
    <row r="3377" spans="1:12" ht="15.6" x14ac:dyDescent="0.3">
      <c r="A3377" s="9">
        <v>3366</v>
      </c>
      <c r="B3377" s="1"/>
      <c r="C3377" s="2" t="s">
        <v>3372</v>
      </c>
      <c r="D3377" s="1"/>
      <c r="E3377" s="11">
        <f t="shared" si="261"/>
        <v>20</v>
      </c>
      <c r="F3377" s="12">
        <f t="shared" si="262"/>
        <v>66.666666666666657</v>
      </c>
      <c r="G3377" s="12" t="str">
        <f t="shared" si="263"/>
        <v>Warning</v>
      </c>
      <c r="H3377" s="13">
        <f t="shared" si="264"/>
        <v>6</v>
      </c>
      <c r="I3377" s="14">
        <f t="shared" si="260"/>
        <v>1752.19</v>
      </c>
      <c r="K3377" t="str">
        <f>[1]!revcom(C3377)</f>
        <v>GGCTGA</v>
      </c>
      <c r="L3377">
        <v>6</v>
      </c>
    </row>
    <row r="3378" spans="1:12" ht="15.6" x14ac:dyDescent="0.3">
      <c r="A3378" s="9">
        <v>3367</v>
      </c>
      <c r="B3378" s="1"/>
      <c r="C3378" s="2" t="s">
        <v>3373</v>
      </c>
      <c r="D3378" s="1"/>
      <c r="E3378" s="11">
        <f t="shared" si="261"/>
        <v>20</v>
      </c>
      <c r="F3378" s="12">
        <f t="shared" si="262"/>
        <v>66.666666666666657</v>
      </c>
      <c r="G3378" s="12" t="str">
        <f t="shared" si="263"/>
        <v>Warning</v>
      </c>
      <c r="H3378" s="13">
        <f t="shared" si="264"/>
        <v>6</v>
      </c>
      <c r="I3378" s="14">
        <f t="shared" si="260"/>
        <v>1792.2199999999998</v>
      </c>
      <c r="K3378" t="str">
        <f>[1]!revcom(C3378)</f>
        <v>CGCTGA</v>
      </c>
      <c r="L3378">
        <v>6</v>
      </c>
    </row>
    <row r="3379" spans="1:12" ht="15.6" x14ac:dyDescent="0.3">
      <c r="A3379" s="9">
        <v>3368</v>
      </c>
      <c r="B3379" s="1"/>
      <c r="C3379" s="2" t="s">
        <v>3374</v>
      </c>
      <c r="D3379" s="1"/>
      <c r="E3379" s="11">
        <f t="shared" si="261"/>
        <v>14</v>
      </c>
      <c r="F3379" s="12">
        <f t="shared" si="262"/>
        <v>50</v>
      </c>
      <c r="G3379" s="12" t="str">
        <f t="shared" si="263"/>
        <v>Warning</v>
      </c>
      <c r="H3379" s="13">
        <f t="shared" si="264"/>
        <v>6</v>
      </c>
      <c r="I3379" s="14">
        <f t="shared" si="260"/>
        <v>1767.1999999999998</v>
      </c>
      <c r="K3379" t="str">
        <f>[1]!revcom(C3379)</f>
        <v>AGCTGA</v>
      </c>
      <c r="L3379">
        <v>5</v>
      </c>
    </row>
    <row r="3380" spans="1:12" ht="15.6" x14ac:dyDescent="0.3">
      <c r="A3380" s="9">
        <v>3369</v>
      </c>
      <c r="B3380" s="1"/>
      <c r="C3380" s="2" t="s">
        <v>3375</v>
      </c>
      <c r="D3380" s="1"/>
      <c r="E3380" s="11">
        <f t="shared" si="261"/>
        <v>22</v>
      </c>
      <c r="F3380" s="12">
        <f t="shared" si="262"/>
        <v>50</v>
      </c>
      <c r="G3380" s="12" t="str">
        <f t="shared" si="263"/>
        <v>Warning</v>
      </c>
      <c r="H3380" s="13">
        <f t="shared" si="264"/>
        <v>6</v>
      </c>
      <c r="I3380" s="14">
        <f t="shared" si="260"/>
        <v>1816.25</v>
      </c>
      <c r="K3380" t="str">
        <f>[1]!revcom(C3380)</f>
        <v>TCCTGA</v>
      </c>
      <c r="L3380">
        <v>6</v>
      </c>
    </row>
    <row r="3381" spans="1:12" ht="15.6" x14ac:dyDescent="0.3">
      <c r="A3381" s="9">
        <v>3370</v>
      </c>
      <c r="B3381" s="1"/>
      <c r="C3381" s="2" t="s">
        <v>3376</v>
      </c>
      <c r="D3381" s="1"/>
      <c r="E3381" s="11">
        <f t="shared" si="261"/>
        <v>20</v>
      </c>
      <c r="F3381" s="12">
        <f t="shared" si="262"/>
        <v>66.666666666666657</v>
      </c>
      <c r="G3381" s="12" t="str">
        <f t="shared" si="263"/>
        <v>Warning</v>
      </c>
      <c r="H3381" s="13">
        <f t="shared" si="264"/>
        <v>6</v>
      </c>
      <c r="I3381" s="14">
        <f t="shared" si="260"/>
        <v>1792.2199999999998</v>
      </c>
      <c r="K3381" t="str">
        <f>[1]!revcom(C3381)</f>
        <v>GCCTGA</v>
      </c>
      <c r="L3381">
        <v>6</v>
      </c>
    </row>
    <row r="3382" spans="1:12" ht="15.6" x14ac:dyDescent="0.3">
      <c r="A3382" s="9">
        <v>3371</v>
      </c>
      <c r="B3382" s="1"/>
      <c r="C3382" s="2" t="s">
        <v>3377</v>
      </c>
      <c r="D3382" s="1"/>
      <c r="E3382" s="11">
        <f t="shared" si="261"/>
        <v>20</v>
      </c>
      <c r="F3382" s="12">
        <f t="shared" si="262"/>
        <v>66.666666666666657</v>
      </c>
      <c r="G3382" s="12" t="str">
        <f t="shared" si="263"/>
        <v>Warning</v>
      </c>
      <c r="H3382" s="13">
        <f t="shared" si="264"/>
        <v>6</v>
      </c>
      <c r="I3382" s="14">
        <f t="shared" si="260"/>
        <v>1832.25</v>
      </c>
      <c r="K3382" t="str">
        <f>[1]!revcom(C3382)</f>
        <v>CCCTGA</v>
      </c>
      <c r="L3382">
        <v>6</v>
      </c>
    </row>
    <row r="3383" spans="1:12" ht="15.6" x14ac:dyDescent="0.3">
      <c r="A3383" s="9">
        <v>3372</v>
      </c>
      <c r="B3383" s="1"/>
      <c r="C3383" s="2" t="s">
        <v>3378</v>
      </c>
      <c r="D3383" s="1"/>
      <c r="E3383" s="11">
        <f t="shared" si="261"/>
        <v>14</v>
      </c>
      <c r="F3383" s="12">
        <f t="shared" si="262"/>
        <v>50</v>
      </c>
      <c r="G3383" s="12" t="str">
        <f t="shared" si="263"/>
        <v>Warning</v>
      </c>
      <c r="H3383" s="13">
        <f t="shared" si="264"/>
        <v>6</v>
      </c>
      <c r="I3383" s="14">
        <f t="shared" si="260"/>
        <v>1807.23</v>
      </c>
      <c r="K3383" t="str">
        <f>[1]!revcom(C3383)</f>
        <v>ACCTGA</v>
      </c>
      <c r="L3383">
        <v>5</v>
      </c>
    </row>
    <row r="3384" spans="1:12" ht="15.6" x14ac:dyDescent="0.3">
      <c r="A3384" s="9">
        <v>3373</v>
      </c>
      <c r="B3384" s="1"/>
      <c r="C3384" s="2" t="s">
        <v>3379</v>
      </c>
      <c r="D3384" s="1"/>
      <c r="E3384" s="11">
        <f t="shared" si="261"/>
        <v>16</v>
      </c>
      <c r="F3384" s="12">
        <f t="shared" si="262"/>
        <v>33.333333333333329</v>
      </c>
      <c r="G3384" s="12" t="str">
        <f t="shared" si="263"/>
        <v>OK</v>
      </c>
      <c r="H3384" s="13">
        <f t="shared" si="264"/>
        <v>6</v>
      </c>
      <c r="I3384" s="14">
        <f t="shared" si="260"/>
        <v>1791.23</v>
      </c>
      <c r="K3384" t="str">
        <f>[1]!revcom(C3384)</f>
        <v>TACTGA</v>
      </c>
      <c r="L3384">
        <v>5</v>
      </c>
    </row>
    <row r="3385" spans="1:12" ht="15.6" x14ac:dyDescent="0.3">
      <c r="A3385" s="9">
        <v>3374</v>
      </c>
      <c r="B3385" s="1"/>
      <c r="C3385" s="2" t="s">
        <v>3380</v>
      </c>
      <c r="D3385" s="1"/>
      <c r="E3385" s="11">
        <f t="shared" si="261"/>
        <v>14</v>
      </c>
      <c r="F3385" s="12">
        <f t="shared" si="262"/>
        <v>50</v>
      </c>
      <c r="G3385" s="12" t="str">
        <f t="shared" si="263"/>
        <v>Warning</v>
      </c>
      <c r="H3385" s="13">
        <f t="shared" si="264"/>
        <v>6</v>
      </c>
      <c r="I3385" s="14">
        <f t="shared" si="260"/>
        <v>1767.1999999999998</v>
      </c>
      <c r="K3385" t="str">
        <f>[1]!revcom(C3385)</f>
        <v>GACTGA</v>
      </c>
      <c r="L3385">
        <v>5</v>
      </c>
    </row>
    <row r="3386" spans="1:12" ht="15.6" x14ac:dyDescent="0.3">
      <c r="A3386" s="9">
        <v>3375</v>
      </c>
      <c r="B3386" s="1"/>
      <c r="C3386" s="2" t="s">
        <v>3381</v>
      </c>
      <c r="D3386" s="1"/>
      <c r="E3386" s="11">
        <f t="shared" si="261"/>
        <v>14</v>
      </c>
      <c r="F3386" s="12">
        <f t="shared" si="262"/>
        <v>50</v>
      </c>
      <c r="G3386" s="12" t="str">
        <f t="shared" si="263"/>
        <v>Warning</v>
      </c>
      <c r="H3386" s="13">
        <f t="shared" si="264"/>
        <v>6</v>
      </c>
      <c r="I3386" s="14">
        <f t="shared" si="260"/>
        <v>1807.23</v>
      </c>
      <c r="K3386" t="str">
        <f>[1]!revcom(C3386)</f>
        <v>CACTGA</v>
      </c>
      <c r="L3386">
        <v>5</v>
      </c>
    </row>
    <row r="3387" spans="1:12" ht="15.6" x14ac:dyDescent="0.3">
      <c r="A3387" s="9">
        <v>3376</v>
      </c>
      <c r="B3387" s="1"/>
      <c r="C3387" s="2" t="s">
        <v>3382</v>
      </c>
      <c r="D3387" s="1"/>
      <c r="E3387" s="11">
        <f t="shared" si="261"/>
        <v>8</v>
      </c>
      <c r="F3387" s="12">
        <f t="shared" si="262"/>
        <v>33.333333333333329</v>
      </c>
      <c r="G3387" s="12" t="str">
        <f t="shared" si="263"/>
        <v>OK</v>
      </c>
      <c r="H3387" s="13">
        <f t="shared" si="264"/>
        <v>6</v>
      </c>
      <c r="I3387" s="14">
        <f t="shared" si="260"/>
        <v>1782.21</v>
      </c>
      <c r="K3387" t="str">
        <f>[1]!revcom(C3387)</f>
        <v>AACTGA</v>
      </c>
      <c r="L3387">
        <v>4</v>
      </c>
    </row>
    <row r="3388" spans="1:12" ht="15.6" x14ac:dyDescent="0.3">
      <c r="A3388" s="9">
        <v>3377</v>
      </c>
      <c r="B3388" s="1"/>
      <c r="C3388" s="2" t="s">
        <v>3383</v>
      </c>
      <c r="D3388" s="1"/>
      <c r="E3388" s="11">
        <f t="shared" si="261"/>
        <v>18</v>
      </c>
      <c r="F3388" s="12">
        <f t="shared" si="262"/>
        <v>16.666666666666664</v>
      </c>
      <c r="G3388" s="12" t="str">
        <f t="shared" si="263"/>
        <v>OK</v>
      </c>
      <c r="H3388" s="13">
        <f t="shared" si="264"/>
        <v>6</v>
      </c>
      <c r="I3388" s="14">
        <f t="shared" si="260"/>
        <v>1775.23</v>
      </c>
      <c r="K3388" t="str">
        <f>[1]!revcom(C3388)</f>
        <v>TTATGA</v>
      </c>
      <c r="L3388">
        <v>5</v>
      </c>
    </row>
    <row r="3389" spans="1:12" ht="15.6" x14ac:dyDescent="0.3">
      <c r="A3389" s="9">
        <v>3378</v>
      </c>
      <c r="B3389" s="1"/>
      <c r="C3389" s="2" t="s">
        <v>3384</v>
      </c>
      <c r="D3389" s="1"/>
      <c r="E3389" s="11">
        <f t="shared" si="261"/>
        <v>16</v>
      </c>
      <c r="F3389" s="12">
        <f t="shared" si="262"/>
        <v>33.333333333333329</v>
      </c>
      <c r="G3389" s="12" t="str">
        <f t="shared" si="263"/>
        <v>OK</v>
      </c>
      <c r="H3389" s="13">
        <f t="shared" si="264"/>
        <v>6</v>
      </c>
      <c r="I3389" s="14">
        <f t="shared" si="260"/>
        <v>1751.1999999999998</v>
      </c>
      <c r="K3389" t="str">
        <f>[1]!revcom(C3389)</f>
        <v>GTATGA</v>
      </c>
      <c r="L3389">
        <v>5</v>
      </c>
    </row>
    <row r="3390" spans="1:12" ht="15.6" x14ac:dyDescent="0.3">
      <c r="A3390" s="9">
        <v>3379</v>
      </c>
      <c r="B3390" s="1"/>
      <c r="C3390" s="2" t="s">
        <v>3385</v>
      </c>
      <c r="D3390" s="1"/>
      <c r="E3390" s="11">
        <f t="shared" si="261"/>
        <v>16</v>
      </c>
      <c r="F3390" s="12">
        <f t="shared" si="262"/>
        <v>33.333333333333329</v>
      </c>
      <c r="G3390" s="12" t="str">
        <f t="shared" si="263"/>
        <v>OK</v>
      </c>
      <c r="H3390" s="13">
        <f t="shared" si="264"/>
        <v>6</v>
      </c>
      <c r="I3390" s="14">
        <f t="shared" si="260"/>
        <v>1791.23</v>
      </c>
      <c r="K3390" t="str">
        <f>[1]!revcom(C3390)</f>
        <v>CTATGA</v>
      </c>
      <c r="L3390">
        <v>5</v>
      </c>
    </row>
    <row r="3391" spans="1:12" ht="15.6" x14ac:dyDescent="0.3">
      <c r="A3391" s="9">
        <v>3380</v>
      </c>
      <c r="B3391" s="1"/>
      <c r="C3391" s="2" t="s">
        <v>3386</v>
      </c>
      <c r="D3391" s="1"/>
      <c r="E3391" s="11">
        <f t="shared" si="261"/>
        <v>10</v>
      </c>
      <c r="F3391" s="12">
        <f t="shared" si="262"/>
        <v>16.666666666666664</v>
      </c>
      <c r="G3391" s="12" t="str">
        <f t="shared" si="263"/>
        <v>OK</v>
      </c>
      <c r="H3391" s="13">
        <f t="shared" si="264"/>
        <v>6</v>
      </c>
      <c r="I3391" s="14">
        <f t="shared" si="260"/>
        <v>1766.21</v>
      </c>
      <c r="K3391" t="str">
        <f>[1]!revcom(C3391)</f>
        <v>ATATGA</v>
      </c>
      <c r="L3391">
        <v>4</v>
      </c>
    </row>
    <row r="3392" spans="1:12" ht="15.6" x14ac:dyDescent="0.3">
      <c r="A3392" s="9">
        <v>3381</v>
      </c>
      <c r="B3392" s="1"/>
      <c r="C3392" s="2" t="s">
        <v>3387</v>
      </c>
      <c r="D3392" s="1"/>
      <c r="E3392" s="11">
        <f t="shared" si="261"/>
        <v>16</v>
      </c>
      <c r="F3392" s="12">
        <f t="shared" si="262"/>
        <v>33.333333333333329</v>
      </c>
      <c r="G3392" s="12" t="str">
        <f t="shared" si="263"/>
        <v>OK</v>
      </c>
      <c r="H3392" s="13">
        <f t="shared" si="264"/>
        <v>6</v>
      </c>
      <c r="I3392" s="14">
        <f t="shared" si="260"/>
        <v>1751.1999999999998</v>
      </c>
      <c r="K3392" t="str">
        <f>[1]!revcom(C3392)</f>
        <v>TGATGA</v>
      </c>
      <c r="L3392">
        <v>5</v>
      </c>
    </row>
    <row r="3393" spans="1:12" ht="15.6" x14ac:dyDescent="0.3">
      <c r="A3393" s="9">
        <v>3382</v>
      </c>
      <c r="B3393" s="1"/>
      <c r="C3393" s="2" t="s">
        <v>3388</v>
      </c>
      <c r="D3393" s="1"/>
      <c r="E3393" s="11">
        <f t="shared" si="261"/>
        <v>14</v>
      </c>
      <c r="F3393" s="12">
        <f t="shared" si="262"/>
        <v>50</v>
      </c>
      <c r="G3393" s="12" t="str">
        <f t="shared" si="263"/>
        <v>Warning</v>
      </c>
      <c r="H3393" s="13">
        <f t="shared" si="264"/>
        <v>6</v>
      </c>
      <c r="I3393" s="14">
        <f t="shared" si="260"/>
        <v>1727.17</v>
      </c>
      <c r="K3393" t="str">
        <f>[1]!revcom(C3393)</f>
        <v>GGATGA</v>
      </c>
      <c r="L3393">
        <v>5</v>
      </c>
    </row>
    <row r="3394" spans="1:12" ht="15.6" x14ac:dyDescent="0.3">
      <c r="A3394" s="9">
        <v>3383</v>
      </c>
      <c r="B3394" s="1"/>
      <c r="C3394" s="2" t="s">
        <v>3389</v>
      </c>
      <c r="D3394" s="1"/>
      <c r="E3394" s="11">
        <f t="shared" si="261"/>
        <v>14</v>
      </c>
      <c r="F3394" s="12">
        <f t="shared" si="262"/>
        <v>50</v>
      </c>
      <c r="G3394" s="12" t="str">
        <f t="shared" si="263"/>
        <v>Warning</v>
      </c>
      <c r="H3394" s="13">
        <f t="shared" si="264"/>
        <v>6</v>
      </c>
      <c r="I3394" s="14">
        <f t="shared" si="260"/>
        <v>1767.1999999999998</v>
      </c>
      <c r="K3394" t="str">
        <f>[1]!revcom(C3394)</f>
        <v>CGATGA</v>
      </c>
      <c r="L3394">
        <v>5</v>
      </c>
    </row>
    <row r="3395" spans="1:12" ht="15.6" x14ac:dyDescent="0.3">
      <c r="A3395" s="9">
        <v>3384</v>
      </c>
      <c r="B3395" s="1"/>
      <c r="C3395" s="2" t="s">
        <v>3390</v>
      </c>
      <c r="D3395" s="1"/>
      <c r="E3395" s="11">
        <f t="shared" si="261"/>
        <v>8</v>
      </c>
      <c r="F3395" s="12">
        <f t="shared" si="262"/>
        <v>33.333333333333329</v>
      </c>
      <c r="G3395" s="12" t="str">
        <f t="shared" si="263"/>
        <v>OK</v>
      </c>
      <c r="H3395" s="13">
        <f t="shared" si="264"/>
        <v>6</v>
      </c>
      <c r="I3395" s="14">
        <f t="shared" si="260"/>
        <v>1742.1799999999998</v>
      </c>
      <c r="K3395" t="str">
        <f>[1]!revcom(C3395)</f>
        <v>AGATGA</v>
      </c>
      <c r="L3395">
        <v>4</v>
      </c>
    </row>
    <row r="3396" spans="1:12" ht="15.6" x14ac:dyDescent="0.3">
      <c r="A3396" s="9">
        <v>3385</v>
      </c>
      <c r="B3396" s="1"/>
      <c r="C3396" s="2" t="s">
        <v>3391</v>
      </c>
      <c r="D3396" s="1"/>
      <c r="E3396" s="11">
        <f t="shared" si="261"/>
        <v>16</v>
      </c>
      <c r="F3396" s="12">
        <f t="shared" si="262"/>
        <v>33.333333333333329</v>
      </c>
      <c r="G3396" s="12" t="str">
        <f t="shared" si="263"/>
        <v>OK</v>
      </c>
      <c r="H3396" s="13">
        <f t="shared" si="264"/>
        <v>6</v>
      </c>
      <c r="I3396" s="14">
        <f t="shared" si="260"/>
        <v>1791.23</v>
      </c>
      <c r="K3396" t="str">
        <f>[1]!revcom(C3396)</f>
        <v>TCATGA</v>
      </c>
      <c r="L3396">
        <v>5</v>
      </c>
    </row>
    <row r="3397" spans="1:12" ht="15.6" x14ac:dyDescent="0.3">
      <c r="A3397" s="9">
        <v>3386</v>
      </c>
      <c r="B3397" s="1"/>
      <c r="C3397" s="2" t="s">
        <v>3392</v>
      </c>
      <c r="D3397" s="1"/>
      <c r="E3397" s="11">
        <f t="shared" si="261"/>
        <v>14</v>
      </c>
      <c r="F3397" s="12">
        <f t="shared" si="262"/>
        <v>50</v>
      </c>
      <c r="G3397" s="12" t="str">
        <f t="shared" si="263"/>
        <v>Warning</v>
      </c>
      <c r="H3397" s="13">
        <f t="shared" si="264"/>
        <v>6</v>
      </c>
      <c r="I3397" s="14">
        <f t="shared" si="260"/>
        <v>1767.1999999999998</v>
      </c>
      <c r="K3397" t="str">
        <f>[1]!revcom(C3397)</f>
        <v>GCATGA</v>
      </c>
      <c r="L3397">
        <v>5</v>
      </c>
    </row>
    <row r="3398" spans="1:12" ht="15.6" x14ac:dyDescent="0.3">
      <c r="A3398" s="9">
        <v>3387</v>
      </c>
      <c r="B3398" s="1"/>
      <c r="C3398" s="2" t="s">
        <v>3393</v>
      </c>
      <c r="D3398" s="1"/>
      <c r="E3398" s="11">
        <f t="shared" si="261"/>
        <v>14</v>
      </c>
      <c r="F3398" s="12">
        <f t="shared" si="262"/>
        <v>50</v>
      </c>
      <c r="G3398" s="12" t="str">
        <f t="shared" si="263"/>
        <v>Warning</v>
      </c>
      <c r="H3398" s="13">
        <f t="shared" si="264"/>
        <v>6</v>
      </c>
      <c r="I3398" s="14">
        <f t="shared" si="260"/>
        <v>1807.23</v>
      </c>
      <c r="K3398" t="str">
        <f>[1]!revcom(C3398)</f>
        <v>CCATGA</v>
      </c>
      <c r="L3398">
        <v>5</v>
      </c>
    </row>
    <row r="3399" spans="1:12" ht="15.6" x14ac:dyDescent="0.3">
      <c r="A3399" s="9">
        <v>3388</v>
      </c>
      <c r="B3399" s="1"/>
      <c r="C3399" s="2" t="s">
        <v>3394</v>
      </c>
      <c r="D3399" s="1"/>
      <c r="E3399" s="11">
        <f t="shared" si="261"/>
        <v>8</v>
      </c>
      <c r="F3399" s="12">
        <f t="shared" si="262"/>
        <v>33.333333333333329</v>
      </c>
      <c r="G3399" s="12" t="str">
        <f t="shared" si="263"/>
        <v>OK</v>
      </c>
      <c r="H3399" s="13">
        <f t="shared" si="264"/>
        <v>6</v>
      </c>
      <c r="I3399" s="14">
        <f t="shared" si="260"/>
        <v>1782.21</v>
      </c>
      <c r="K3399" t="str">
        <f>[1]!revcom(C3399)</f>
        <v>ACATGA</v>
      </c>
      <c r="L3399">
        <v>4</v>
      </c>
    </row>
    <row r="3400" spans="1:12" ht="15.6" x14ac:dyDescent="0.3">
      <c r="A3400" s="9">
        <v>3389</v>
      </c>
      <c r="B3400" s="1"/>
      <c r="C3400" s="2" t="s">
        <v>3395</v>
      </c>
      <c r="D3400" s="1"/>
      <c r="E3400" s="11">
        <f t="shared" si="261"/>
        <v>10</v>
      </c>
      <c r="F3400" s="12">
        <f t="shared" si="262"/>
        <v>16.666666666666664</v>
      </c>
      <c r="G3400" s="12" t="str">
        <f t="shared" si="263"/>
        <v>OK</v>
      </c>
      <c r="H3400" s="13">
        <f t="shared" si="264"/>
        <v>6</v>
      </c>
      <c r="I3400" s="14">
        <f t="shared" si="260"/>
        <v>1766.21</v>
      </c>
      <c r="K3400" t="str">
        <f>[1]!revcom(C3400)</f>
        <v>TAATGA</v>
      </c>
      <c r="L3400">
        <v>4</v>
      </c>
    </row>
    <row r="3401" spans="1:12" ht="15.6" x14ac:dyDescent="0.3">
      <c r="A3401" s="9">
        <v>3390</v>
      </c>
      <c r="B3401" s="1"/>
      <c r="C3401" s="2" t="s">
        <v>3396</v>
      </c>
      <c r="D3401" s="1"/>
      <c r="E3401" s="11">
        <f t="shared" si="261"/>
        <v>8</v>
      </c>
      <c r="F3401" s="12">
        <f t="shared" si="262"/>
        <v>33.333333333333329</v>
      </c>
      <c r="G3401" s="12" t="str">
        <f t="shared" si="263"/>
        <v>OK</v>
      </c>
      <c r="H3401" s="13">
        <f t="shared" si="264"/>
        <v>6</v>
      </c>
      <c r="I3401" s="14">
        <f t="shared" si="260"/>
        <v>1742.1799999999998</v>
      </c>
      <c r="K3401" t="str">
        <f>[1]!revcom(C3401)</f>
        <v>GAATGA</v>
      </c>
      <c r="L3401">
        <v>4</v>
      </c>
    </row>
    <row r="3402" spans="1:12" ht="15.6" x14ac:dyDescent="0.3">
      <c r="A3402" s="9">
        <v>3391</v>
      </c>
      <c r="B3402" s="1"/>
      <c r="C3402" s="2" t="s">
        <v>3397</v>
      </c>
      <c r="D3402" s="1"/>
      <c r="E3402" s="11">
        <f t="shared" si="261"/>
        <v>8</v>
      </c>
      <c r="F3402" s="12">
        <f t="shared" si="262"/>
        <v>33.333333333333329</v>
      </c>
      <c r="G3402" s="12" t="str">
        <f t="shared" si="263"/>
        <v>OK</v>
      </c>
      <c r="H3402" s="13">
        <f t="shared" si="264"/>
        <v>6</v>
      </c>
      <c r="I3402" s="14">
        <f t="shared" si="260"/>
        <v>1782.21</v>
      </c>
      <c r="K3402" t="str">
        <f>[1]!revcom(C3402)</f>
        <v>CAATGA</v>
      </c>
      <c r="L3402">
        <v>4</v>
      </c>
    </row>
    <row r="3403" spans="1:12" ht="15.6" x14ac:dyDescent="0.3">
      <c r="A3403" s="9">
        <v>3392</v>
      </c>
      <c r="B3403" s="1"/>
      <c r="C3403" s="2" t="s">
        <v>3398</v>
      </c>
      <c r="D3403" s="1"/>
      <c r="E3403" s="11">
        <f t="shared" si="261"/>
        <v>2</v>
      </c>
      <c r="F3403" s="12">
        <f t="shared" si="262"/>
        <v>16.666666666666664</v>
      </c>
      <c r="G3403" s="12" t="str">
        <f t="shared" si="263"/>
        <v>OK</v>
      </c>
      <c r="H3403" s="13">
        <f t="shared" si="264"/>
        <v>6</v>
      </c>
      <c r="I3403" s="14">
        <f t="shared" si="260"/>
        <v>1757.19</v>
      </c>
      <c r="K3403" t="str">
        <f>[1]!revcom(C3403)</f>
        <v>AAATGA</v>
      </c>
      <c r="L3403">
        <v>3</v>
      </c>
    </row>
    <row r="3404" spans="1:12" ht="15.6" x14ac:dyDescent="0.3">
      <c r="A3404" s="9">
        <v>3393</v>
      </c>
      <c r="B3404" s="1"/>
      <c r="C3404" s="2" t="s">
        <v>3399</v>
      </c>
      <c r="D3404" s="1"/>
      <c r="E3404" s="11">
        <f t="shared" si="261"/>
        <v>24</v>
      </c>
      <c r="F3404" s="12">
        <f t="shared" si="262"/>
        <v>33.333333333333329</v>
      </c>
      <c r="G3404" s="12" t="str">
        <f t="shared" si="263"/>
        <v>OK</v>
      </c>
      <c r="H3404" s="13">
        <f t="shared" si="264"/>
        <v>6</v>
      </c>
      <c r="I3404" s="14">
        <f t="shared" si="260"/>
        <v>1760.2199999999998</v>
      </c>
      <c r="K3404" t="str">
        <f>[1]!revcom(C3404)</f>
        <v>TTTGGA</v>
      </c>
      <c r="L3404">
        <v>6</v>
      </c>
    </row>
    <row r="3405" spans="1:12" ht="15.6" x14ac:dyDescent="0.3">
      <c r="A3405" s="9">
        <v>3394</v>
      </c>
      <c r="B3405" s="1"/>
      <c r="C3405" s="2" t="s">
        <v>3400</v>
      </c>
      <c r="D3405" s="1"/>
      <c r="E3405" s="11">
        <f t="shared" si="261"/>
        <v>22</v>
      </c>
      <c r="F3405" s="12">
        <f t="shared" si="262"/>
        <v>50</v>
      </c>
      <c r="G3405" s="12" t="str">
        <f t="shared" si="263"/>
        <v>Warning</v>
      </c>
      <c r="H3405" s="13">
        <f t="shared" si="264"/>
        <v>6</v>
      </c>
      <c r="I3405" s="14">
        <f t="shared" ref="I3405:I3468" si="265">((LEN(C3405)-(LEN(SUBSTITUTE(C3405,"A",""))))*249.23)+((LEN(C3405)-(LEN(SUBSTITUTE(C3405,"T",""))))*240.21)+((LEN(C3405)-(LEN(SUBSTITUTE(C3405,"C",""))))*225.2)+((LEN(C3405)-(LEN(SUBSTITUTE(C3405,"G",""))))*265.23)+(63.98*(LEN(C3405)-1)+(2.02))</f>
        <v>1736.19</v>
      </c>
      <c r="K3405" t="str">
        <f>[1]!revcom(C3405)</f>
        <v>GTTGGA</v>
      </c>
      <c r="L3405">
        <v>6</v>
      </c>
    </row>
    <row r="3406" spans="1:12" ht="15.6" x14ac:dyDescent="0.3">
      <c r="A3406" s="9">
        <v>3395</v>
      </c>
      <c r="B3406" s="1"/>
      <c r="C3406" s="2" t="s">
        <v>3401</v>
      </c>
      <c r="D3406" s="1"/>
      <c r="E3406" s="11">
        <f t="shared" ref="E3406:E3469" si="266">IF(LEN(C3406)&gt;15,(69.3+((41*((LEN(C3406)-(((LEN(C3406)-(LEN(SUBSTITUTE(C3406,"A",""))))+((LEN(C3406)-(LEN(SUBSTITUTE(C3406,"T","")))))))))/(LEN(C3406)))-(650/(LEN(C3406))))),(2*((LEN(C3406)-(((LEN(C3406)-(LEN(SUBSTITUTE(C3406,"C",""))))+((LEN(C3406)-(LEN(SUBSTITUTE(C3406,"G",""))))))))))+(4*((LEN(C3406)-(((LEN(C3406)-(LEN(SUBSTITUTE(C3406,"T",""))))+((LEN(C3406)-(LEN(SUBSTITUTE(C3406,"T","")))))))))))</f>
        <v>22</v>
      </c>
      <c r="F3406" s="12">
        <f t="shared" ref="F3406:F3469" si="267">((LEN(C3406)- LEN(SUBSTITUTE(C3406,"G","")))+(LEN(C3406)- LEN(SUBSTITUTE(C3406,"C",""))) )/LEN(C3406)*100</f>
        <v>50</v>
      </c>
      <c r="G3406" s="12" t="str">
        <f t="shared" ref="G3406:G3469" si="268">IF((-5+((LEN(SUBSTITUTE(RIGHT(C3406,5),"C","")))+((LEN(SUBSTITUTE(RIGHT(C3406,5),"G",""))))))&gt;=3,"OK","Warning")</f>
        <v>Warning</v>
      </c>
      <c r="H3406" s="13">
        <f t="shared" ref="H3406:H3469" si="269">LEN(C3406)</f>
        <v>6</v>
      </c>
      <c r="I3406" s="14">
        <f t="shared" si="265"/>
        <v>1776.2199999999998</v>
      </c>
      <c r="K3406" t="str">
        <f>[1]!revcom(C3406)</f>
        <v>CTTGGA</v>
      </c>
      <c r="L3406">
        <v>6</v>
      </c>
    </row>
    <row r="3407" spans="1:12" ht="15.6" x14ac:dyDescent="0.3">
      <c r="A3407" s="9">
        <v>3396</v>
      </c>
      <c r="B3407" s="1"/>
      <c r="C3407" s="2" t="s">
        <v>3402</v>
      </c>
      <c r="D3407" s="1"/>
      <c r="E3407" s="11">
        <f t="shared" si="266"/>
        <v>16</v>
      </c>
      <c r="F3407" s="12">
        <f t="shared" si="267"/>
        <v>33.333333333333329</v>
      </c>
      <c r="G3407" s="12" t="str">
        <f t="shared" si="268"/>
        <v>OK</v>
      </c>
      <c r="H3407" s="13">
        <f t="shared" si="269"/>
        <v>6</v>
      </c>
      <c r="I3407" s="14">
        <f t="shared" si="265"/>
        <v>1751.1999999999998</v>
      </c>
      <c r="K3407" t="str">
        <f>[1]!revcom(C3407)</f>
        <v>ATTGGA</v>
      </c>
      <c r="L3407">
        <v>5</v>
      </c>
    </row>
    <row r="3408" spans="1:12" ht="15.6" x14ac:dyDescent="0.3">
      <c r="A3408" s="9">
        <v>3397</v>
      </c>
      <c r="B3408" s="1"/>
      <c r="C3408" s="2" t="s">
        <v>3403</v>
      </c>
      <c r="D3408" s="1"/>
      <c r="E3408" s="11">
        <f t="shared" si="266"/>
        <v>22</v>
      </c>
      <c r="F3408" s="12">
        <f t="shared" si="267"/>
        <v>50</v>
      </c>
      <c r="G3408" s="12" t="str">
        <f t="shared" si="268"/>
        <v>Warning</v>
      </c>
      <c r="H3408" s="13">
        <f t="shared" si="269"/>
        <v>6</v>
      </c>
      <c r="I3408" s="14">
        <f t="shared" si="265"/>
        <v>1736.19</v>
      </c>
      <c r="K3408" t="str">
        <f>[1]!revcom(C3408)</f>
        <v>TGTGGA</v>
      </c>
      <c r="L3408">
        <v>6</v>
      </c>
    </row>
    <row r="3409" spans="1:12" ht="15.6" x14ac:dyDescent="0.3">
      <c r="A3409" s="9">
        <v>3398</v>
      </c>
      <c r="B3409" s="1"/>
      <c r="C3409" s="2" t="s">
        <v>3404</v>
      </c>
      <c r="D3409" s="1"/>
      <c r="E3409" s="11">
        <f t="shared" si="266"/>
        <v>20</v>
      </c>
      <c r="F3409" s="12">
        <f t="shared" si="267"/>
        <v>66.666666666666657</v>
      </c>
      <c r="G3409" s="12" t="str">
        <f t="shared" si="268"/>
        <v>Warning</v>
      </c>
      <c r="H3409" s="13">
        <f t="shared" si="269"/>
        <v>6</v>
      </c>
      <c r="I3409" s="14">
        <f t="shared" si="265"/>
        <v>1712.1599999999999</v>
      </c>
      <c r="K3409" t="str">
        <f>[1]!revcom(C3409)</f>
        <v>GGTGGA</v>
      </c>
      <c r="L3409">
        <v>6</v>
      </c>
    </row>
    <row r="3410" spans="1:12" ht="15.6" x14ac:dyDescent="0.3">
      <c r="A3410" s="9">
        <v>3399</v>
      </c>
      <c r="B3410" s="1"/>
      <c r="C3410" s="2" t="s">
        <v>3405</v>
      </c>
      <c r="D3410" s="1"/>
      <c r="E3410" s="11">
        <f t="shared" si="266"/>
        <v>20</v>
      </c>
      <c r="F3410" s="12">
        <f t="shared" si="267"/>
        <v>66.666666666666657</v>
      </c>
      <c r="G3410" s="12" t="str">
        <f t="shared" si="268"/>
        <v>Warning</v>
      </c>
      <c r="H3410" s="13">
        <f t="shared" si="269"/>
        <v>6</v>
      </c>
      <c r="I3410" s="14">
        <f t="shared" si="265"/>
        <v>1752.19</v>
      </c>
      <c r="K3410" t="str">
        <f>[1]!revcom(C3410)</f>
        <v>CGTGGA</v>
      </c>
      <c r="L3410">
        <v>6</v>
      </c>
    </row>
    <row r="3411" spans="1:12" ht="15.6" x14ac:dyDescent="0.3">
      <c r="A3411" s="9">
        <v>3400</v>
      </c>
      <c r="B3411" s="1"/>
      <c r="C3411" s="2" t="s">
        <v>3406</v>
      </c>
      <c r="D3411" s="1"/>
      <c r="E3411" s="11">
        <f t="shared" si="266"/>
        <v>14</v>
      </c>
      <c r="F3411" s="12">
        <f t="shared" si="267"/>
        <v>50</v>
      </c>
      <c r="G3411" s="12" t="str">
        <f t="shared" si="268"/>
        <v>Warning</v>
      </c>
      <c r="H3411" s="13">
        <f t="shared" si="269"/>
        <v>6</v>
      </c>
      <c r="I3411" s="14">
        <f t="shared" si="265"/>
        <v>1727.17</v>
      </c>
      <c r="K3411" t="str">
        <f>[1]!revcom(C3411)</f>
        <v>AGTGGA</v>
      </c>
      <c r="L3411">
        <v>5</v>
      </c>
    </row>
    <row r="3412" spans="1:12" ht="15.6" x14ac:dyDescent="0.3">
      <c r="A3412" s="9">
        <v>3401</v>
      </c>
      <c r="B3412" s="1"/>
      <c r="C3412" s="2" t="s">
        <v>3407</v>
      </c>
      <c r="D3412" s="1"/>
      <c r="E3412" s="11">
        <f t="shared" si="266"/>
        <v>22</v>
      </c>
      <c r="F3412" s="12">
        <f t="shared" si="267"/>
        <v>50</v>
      </c>
      <c r="G3412" s="12" t="str">
        <f t="shared" si="268"/>
        <v>Warning</v>
      </c>
      <c r="H3412" s="13">
        <f t="shared" si="269"/>
        <v>6</v>
      </c>
      <c r="I3412" s="14">
        <f t="shared" si="265"/>
        <v>1776.2199999999998</v>
      </c>
      <c r="K3412" t="str">
        <f>[1]!revcom(C3412)</f>
        <v>TCTGGA</v>
      </c>
      <c r="L3412">
        <v>6</v>
      </c>
    </row>
    <row r="3413" spans="1:12" ht="15.6" x14ac:dyDescent="0.3">
      <c r="A3413" s="9">
        <v>3402</v>
      </c>
      <c r="B3413" s="1"/>
      <c r="C3413" s="2" t="s">
        <v>3408</v>
      </c>
      <c r="D3413" s="1"/>
      <c r="E3413" s="11">
        <f t="shared" si="266"/>
        <v>20</v>
      </c>
      <c r="F3413" s="12">
        <f t="shared" si="267"/>
        <v>66.666666666666657</v>
      </c>
      <c r="G3413" s="12" t="str">
        <f t="shared" si="268"/>
        <v>Warning</v>
      </c>
      <c r="H3413" s="13">
        <f t="shared" si="269"/>
        <v>6</v>
      </c>
      <c r="I3413" s="14">
        <f t="shared" si="265"/>
        <v>1752.19</v>
      </c>
      <c r="K3413" t="str">
        <f>[1]!revcom(C3413)</f>
        <v>GCTGGA</v>
      </c>
      <c r="L3413">
        <v>6</v>
      </c>
    </row>
    <row r="3414" spans="1:12" ht="15.6" x14ac:dyDescent="0.3">
      <c r="A3414" s="9">
        <v>3403</v>
      </c>
      <c r="B3414" s="1"/>
      <c r="C3414" s="2" t="s">
        <v>3409</v>
      </c>
      <c r="D3414" s="1"/>
      <c r="E3414" s="11">
        <f t="shared" si="266"/>
        <v>20</v>
      </c>
      <c r="F3414" s="12">
        <f t="shared" si="267"/>
        <v>66.666666666666657</v>
      </c>
      <c r="G3414" s="12" t="str">
        <f t="shared" si="268"/>
        <v>Warning</v>
      </c>
      <c r="H3414" s="13">
        <f t="shared" si="269"/>
        <v>6</v>
      </c>
      <c r="I3414" s="14">
        <f t="shared" si="265"/>
        <v>1792.2199999999998</v>
      </c>
      <c r="K3414" t="str">
        <f>[1]!revcom(C3414)</f>
        <v>CCTGGA</v>
      </c>
      <c r="L3414">
        <v>6</v>
      </c>
    </row>
    <row r="3415" spans="1:12" ht="15.6" x14ac:dyDescent="0.3">
      <c r="A3415" s="9">
        <v>3404</v>
      </c>
      <c r="B3415" s="1"/>
      <c r="C3415" s="2" t="s">
        <v>3410</v>
      </c>
      <c r="D3415" s="1"/>
      <c r="E3415" s="11">
        <f t="shared" si="266"/>
        <v>14</v>
      </c>
      <c r="F3415" s="12">
        <f t="shared" si="267"/>
        <v>50</v>
      </c>
      <c r="G3415" s="12" t="str">
        <f t="shared" si="268"/>
        <v>Warning</v>
      </c>
      <c r="H3415" s="13">
        <f t="shared" si="269"/>
        <v>6</v>
      </c>
      <c r="I3415" s="14">
        <f t="shared" si="265"/>
        <v>1767.1999999999998</v>
      </c>
      <c r="K3415" t="str">
        <f>[1]!revcom(C3415)</f>
        <v>ACTGGA</v>
      </c>
      <c r="L3415">
        <v>5</v>
      </c>
    </row>
    <row r="3416" spans="1:12" ht="15.6" x14ac:dyDescent="0.3">
      <c r="A3416" s="9">
        <v>3405</v>
      </c>
      <c r="B3416" s="1"/>
      <c r="C3416" s="2" t="s">
        <v>3411</v>
      </c>
      <c r="D3416" s="1"/>
      <c r="E3416" s="11">
        <f t="shared" si="266"/>
        <v>16</v>
      </c>
      <c r="F3416" s="12">
        <f t="shared" si="267"/>
        <v>33.333333333333329</v>
      </c>
      <c r="G3416" s="12" t="str">
        <f t="shared" si="268"/>
        <v>OK</v>
      </c>
      <c r="H3416" s="13">
        <f t="shared" si="269"/>
        <v>6</v>
      </c>
      <c r="I3416" s="14">
        <f t="shared" si="265"/>
        <v>1751.1999999999998</v>
      </c>
      <c r="K3416" t="str">
        <f>[1]!revcom(C3416)</f>
        <v>TATGGA</v>
      </c>
      <c r="L3416">
        <v>5</v>
      </c>
    </row>
    <row r="3417" spans="1:12" ht="15.6" x14ac:dyDescent="0.3">
      <c r="A3417" s="9">
        <v>3406</v>
      </c>
      <c r="B3417" s="1"/>
      <c r="C3417" s="2" t="s">
        <v>3412</v>
      </c>
      <c r="D3417" s="1"/>
      <c r="E3417" s="11">
        <f t="shared" si="266"/>
        <v>14</v>
      </c>
      <c r="F3417" s="12">
        <f t="shared" si="267"/>
        <v>50</v>
      </c>
      <c r="G3417" s="12" t="str">
        <f t="shared" si="268"/>
        <v>Warning</v>
      </c>
      <c r="H3417" s="13">
        <f t="shared" si="269"/>
        <v>6</v>
      </c>
      <c r="I3417" s="14">
        <f t="shared" si="265"/>
        <v>1727.17</v>
      </c>
      <c r="K3417" t="str">
        <f>[1]!revcom(C3417)</f>
        <v>GATGGA</v>
      </c>
      <c r="L3417">
        <v>5</v>
      </c>
    </row>
    <row r="3418" spans="1:12" ht="15.6" x14ac:dyDescent="0.3">
      <c r="A3418" s="9">
        <v>3407</v>
      </c>
      <c r="B3418" s="1"/>
      <c r="C3418" s="2" t="s">
        <v>3413</v>
      </c>
      <c r="D3418" s="1"/>
      <c r="E3418" s="11">
        <f t="shared" si="266"/>
        <v>14</v>
      </c>
      <c r="F3418" s="12">
        <f t="shared" si="267"/>
        <v>50</v>
      </c>
      <c r="G3418" s="12" t="str">
        <f t="shared" si="268"/>
        <v>Warning</v>
      </c>
      <c r="H3418" s="13">
        <f t="shared" si="269"/>
        <v>6</v>
      </c>
      <c r="I3418" s="14">
        <f t="shared" si="265"/>
        <v>1767.1999999999998</v>
      </c>
      <c r="K3418" t="str">
        <f>[1]!revcom(C3418)</f>
        <v>CATGGA</v>
      </c>
      <c r="L3418">
        <v>5</v>
      </c>
    </row>
    <row r="3419" spans="1:12" ht="15.6" x14ac:dyDescent="0.3">
      <c r="A3419" s="9">
        <v>3408</v>
      </c>
      <c r="B3419" s="1"/>
      <c r="C3419" s="2" t="s">
        <v>3414</v>
      </c>
      <c r="D3419" s="1"/>
      <c r="E3419" s="11">
        <f t="shared" si="266"/>
        <v>8</v>
      </c>
      <c r="F3419" s="12">
        <f t="shared" si="267"/>
        <v>33.333333333333329</v>
      </c>
      <c r="G3419" s="12" t="str">
        <f t="shared" si="268"/>
        <v>OK</v>
      </c>
      <c r="H3419" s="13">
        <f t="shared" si="269"/>
        <v>6</v>
      </c>
      <c r="I3419" s="14">
        <f t="shared" si="265"/>
        <v>1742.1799999999998</v>
      </c>
      <c r="K3419" t="str">
        <f>[1]!revcom(C3419)</f>
        <v>AATGGA</v>
      </c>
      <c r="L3419">
        <v>4</v>
      </c>
    </row>
    <row r="3420" spans="1:12" ht="15.6" x14ac:dyDescent="0.3">
      <c r="A3420" s="9">
        <v>3409</v>
      </c>
      <c r="B3420" s="1"/>
      <c r="C3420" s="2" t="s">
        <v>3415</v>
      </c>
      <c r="D3420" s="1"/>
      <c r="E3420" s="11">
        <f t="shared" si="266"/>
        <v>22</v>
      </c>
      <c r="F3420" s="12">
        <f t="shared" si="267"/>
        <v>50</v>
      </c>
      <c r="G3420" s="12" t="str">
        <f t="shared" si="268"/>
        <v>Warning</v>
      </c>
      <c r="H3420" s="13">
        <f t="shared" si="269"/>
        <v>6</v>
      </c>
      <c r="I3420" s="14">
        <f t="shared" si="265"/>
        <v>1736.19</v>
      </c>
      <c r="K3420" t="str">
        <f>[1]!revcom(C3420)</f>
        <v>TTGGGA</v>
      </c>
      <c r="L3420">
        <v>6</v>
      </c>
    </row>
    <row r="3421" spans="1:12" ht="15.6" x14ac:dyDescent="0.3">
      <c r="A3421" s="9">
        <v>3410</v>
      </c>
      <c r="B3421" s="1"/>
      <c r="C3421" s="2" t="s">
        <v>3416</v>
      </c>
      <c r="D3421" s="1"/>
      <c r="E3421" s="11">
        <f t="shared" si="266"/>
        <v>20</v>
      </c>
      <c r="F3421" s="12">
        <f t="shared" si="267"/>
        <v>66.666666666666657</v>
      </c>
      <c r="G3421" s="12" t="str">
        <f t="shared" si="268"/>
        <v>Warning</v>
      </c>
      <c r="H3421" s="13">
        <f t="shared" si="269"/>
        <v>6</v>
      </c>
      <c r="I3421" s="14">
        <f t="shared" si="265"/>
        <v>1712.1599999999999</v>
      </c>
      <c r="K3421" t="str">
        <f>[1]!revcom(C3421)</f>
        <v>GTGGGA</v>
      </c>
      <c r="L3421">
        <v>6</v>
      </c>
    </row>
    <row r="3422" spans="1:12" ht="15.6" x14ac:dyDescent="0.3">
      <c r="A3422" s="9">
        <v>3411</v>
      </c>
      <c r="B3422" s="1"/>
      <c r="C3422" s="2" t="s">
        <v>3417</v>
      </c>
      <c r="D3422" s="1"/>
      <c r="E3422" s="11">
        <f t="shared" si="266"/>
        <v>20</v>
      </c>
      <c r="F3422" s="12">
        <f t="shared" si="267"/>
        <v>66.666666666666657</v>
      </c>
      <c r="G3422" s="12" t="str">
        <f t="shared" si="268"/>
        <v>Warning</v>
      </c>
      <c r="H3422" s="13">
        <f t="shared" si="269"/>
        <v>6</v>
      </c>
      <c r="I3422" s="14">
        <f t="shared" si="265"/>
        <v>1752.19</v>
      </c>
      <c r="K3422" t="str">
        <f>[1]!revcom(C3422)</f>
        <v>CTGGGA</v>
      </c>
      <c r="L3422">
        <v>6</v>
      </c>
    </row>
    <row r="3423" spans="1:12" ht="15.6" x14ac:dyDescent="0.3">
      <c r="A3423" s="9">
        <v>3412</v>
      </c>
      <c r="B3423" s="1"/>
      <c r="C3423" s="2" t="s">
        <v>3418</v>
      </c>
      <c r="D3423" s="1"/>
      <c r="E3423" s="11">
        <f t="shared" si="266"/>
        <v>14</v>
      </c>
      <c r="F3423" s="12">
        <f t="shared" si="267"/>
        <v>50</v>
      </c>
      <c r="G3423" s="12" t="str">
        <f t="shared" si="268"/>
        <v>Warning</v>
      </c>
      <c r="H3423" s="13">
        <f t="shared" si="269"/>
        <v>6</v>
      </c>
      <c r="I3423" s="14">
        <f t="shared" si="265"/>
        <v>1727.17</v>
      </c>
      <c r="K3423" t="str">
        <f>[1]!revcom(C3423)</f>
        <v>ATGGGA</v>
      </c>
      <c r="L3423">
        <v>5</v>
      </c>
    </row>
    <row r="3424" spans="1:12" ht="15.6" x14ac:dyDescent="0.3">
      <c r="A3424" s="9">
        <v>3413</v>
      </c>
      <c r="B3424" s="1"/>
      <c r="C3424" s="2" t="s">
        <v>3419</v>
      </c>
      <c r="D3424" s="1"/>
      <c r="E3424" s="11">
        <f t="shared" si="266"/>
        <v>20</v>
      </c>
      <c r="F3424" s="12">
        <f t="shared" si="267"/>
        <v>66.666666666666657</v>
      </c>
      <c r="G3424" s="12" t="str">
        <f t="shared" si="268"/>
        <v>Warning</v>
      </c>
      <c r="H3424" s="13">
        <f t="shared" si="269"/>
        <v>6</v>
      </c>
      <c r="I3424" s="14">
        <f t="shared" si="265"/>
        <v>1712.1599999999999</v>
      </c>
      <c r="K3424" t="str">
        <f>[1]!revcom(C3424)</f>
        <v>TGGGGA</v>
      </c>
      <c r="L3424">
        <v>6</v>
      </c>
    </row>
    <row r="3425" spans="1:12" ht="15.6" x14ac:dyDescent="0.3">
      <c r="A3425" s="9">
        <v>3414</v>
      </c>
      <c r="B3425" s="1"/>
      <c r="C3425" s="2" t="s">
        <v>3420</v>
      </c>
      <c r="D3425" s="1"/>
      <c r="E3425" s="11">
        <f t="shared" si="266"/>
        <v>18</v>
      </c>
      <c r="F3425" s="12">
        <f t="shared" si="267"/>
        <v>83.333333333333343</v>
      </c>
      <c r="G3425" s="12" t="str">
        <f t="shared" si="268"/>
        <v>Warning</v>
      </c>
      <c r="H3425" s="13">
        <f t="shared" si="269"/>
        <v>6</v>
      </c>
      <c r="I3425" s="14">
        <f t="shared" si="265"/>
        <v>1688.13</v>
      </c>
      <c r="K3425" t="str">
        <f>[1]!revcom(C3425)</f>
        <v>GGGGGA</v>
      </c>
      <c r="L3425">
        <v>5</v>
      </c>
    </row>
    <row r="3426" spans="1:12" ht="15.6" x14ac:dyDescent="0.3">
      <c r="A3426" s="9">
        <v>3415</v>
      </c>
      <c r="B3426" s="1"/>
      <c r="C3426" s="2" t="s">
        <v>3421</v>
      </c>
      <c r="D3426" s="1"/>
      <c r="E3426" s="11">
        <f t="shared" si="266"/>
        <v>18</v>
      </c>
      <c r="F3426" s="12">
        <f t="shared" si="267"/>
        <v>83.333333333333343</v>
      </c>
      <c r="G3426" s="12" t="str">
        <f t="shared" si="268"/>
        <v>Warning</v>
      </c>
      <c r="H3426" s="13">
        <f t="shared" si="269"/>
        <v>6</v>
      </c>
      <c r="I3426" s="14">
        <f t="shared" si="265"/>
        <v>1728.1599999999999</v>
      </c>
      <c r="K3426" t="str">
        <f>[1]!revcom(C3426)</f>
        <v>CGGGGA</v>
      </c>
      <c r="L3426">
        <v>5</v>
      </c>
    </row>
    <row r="3427" spans="1:12" ht="15.6" x14ac:dyDescent="0.3">
      <c r="A3427" s="9">
        <v>3416</v>
      </c>
      <c r="B3427" s="1"/>
      <c r="C3427" s="2" t="s">
        <v>3422</v>
      </c>
      <c r="D3427" s="1"/>
      <c r="E3427" s="11">
        <f t="shared" si="266"/>
        <v>12</v>
      </c>
      <c r="F3427" s="12">
        <f t="shared" si="267"/>
        <v>66.666666666666657</v>
      </c>
      <c r="G3427" s="12" t="str">
        <f t="shared" si="268"/>
        <v>Warning</v>
      </c>
      <c r="H3427" s="13">
        <f t="shared" si="269"/>
        <v>6</v>
      </c>
      <c r="I3427" s="14">
        <f t="shared" si="265"/>
        <v>1703.1399999999999</v>
      </c>
      <c r="K3427" t="str">
        <f>[1]!revcom(C3427)</f>
        <v>AGGGGA</v>
      </c>
      <c r="L3427">
        <v>4</v>
      </c>
    </row>
    <row r="3428" spans="1:12" ht="15.6" x14ac:dyDescent="0.3">
      <c r="A3428" s="9">
        <v>3417</v>
      </c>
      <c r="B3428" s="1"/>
      <c r="C3428" s="2" t="s">
        <v>3423</v>
      </c>
      <c r="D3428" s="1"/>
      <c r="E3428" s="11">
        <f t="shared" si="266"/>
        <v>20</v>
      </c>
      <c r="F3428" s="12">
        <f t="shared" si="267"/>
        <v>66.666666666666657</v>
      </c>
      <c r="G3428" s="12" t="str">
        <f t="shared" si="268"/>
        <v>Warning</v>
      </c>
      <c r="H3428" s="13">
        <f t="shared" si="269"/>
        <v>6</v>
      </c>
      <c r="I3428" s="14">
        <f t="shared" si="265"/>
        <v>1752.19</v>
      </c>
      <c r="K3428" t="str">
        <f>[1]!revcom(C3428)</f>
        <v>TCGGGA</v>
      </c>
      <c r="L3428">
        <v>6</v>
      </c>
    </row>
    <row r="3429" spans="1:12" ht="15.6" x14ac:dyDescent="0.3">
      <c r="A3429" s="9">
        <v>3418</v>
      </c>
      <c r="B3429" s="1"/>
      <c r="C3429" s="2" t="s">
        <v>3424</v>
      </c>
      <c r="D3429" s="1"/>
      <c r="E3429" s="11">
        <f t="shared" si="266"/>
        <v>18</v>
      </c>
      <c r="F3429" s="12">
        <f t="shared" si="267"/>
        <v>83.333333333333343</v>
      </c>
      <c r="G3429" s="12" t="str">
        <f t="shared" si="268"/>
        <v>Warning</v>
      </c>
      <c r="H3429" s="13">
        <f t="shared" si="269"/>
        <v>6</v>
      </c>
      <c r="I3429" s="14">
        <f t="shared" si="265"/>
        <v>1728.1599999999999</v>
      </c>
      <c r="K3429" t="str">
        <f>[1]!revcom(C3429)</f>
        <v>GCGGGA</v>
      </c>
      <c r="L3429">
        <v>5</v>
      </c>
    </row>
    <row r="3430" spans="1:12" ht="15.6" x14ac:dyDescent="0.3">
      <c r="A3430" s="9">
        <v>3419</v>
      </c>
      <c r="B3430" s="1"/>
      <c r="C3430" s="2" t="s">
        <v>3425</v>
      </c>
      <c r="D3430" s="1"/>
      <c r="E3430" s="11">
        <f t="shared" si="266"/>
        <v>18</v>
      </c>
      <c r="F3430" s="12">
        <f t="shared" si="267"/>
        <v>83.333333333333343</v>
      </c>
      <c r="G3430" s="12" t="str">
        <f t="shared" si="268"/>
        <v>Warning</v>
      </c>
      <c r="H3430" s="13">
        <f t="shared" si="269"/>
        <v>6</v>
      </c>
      <c r="I3430" s="14">
        <f t="shared" si="265"/>
        <v>1768.19</v>
      </c>
      <c r="K3430" t="str">
        <f>[1]!revcom(C3430)</f>
        <v>CCGGGA</v>
      </c>
      <c r="L3430">
        <v>5</v>
      </c>
    </row>
    <row r="3431" spans="1:12" ht="15.6" x14ac:dyDescent="0.3">
      <c r="A3431" s="9">
        <v>3420</v>
      </c>
      <c r="B3431" s="1"/>
      <c r="C3431" s="2" t="s">
        <v>3426</v>
      </c>
      <c r="D3431" s="1"/>
      <c r="E3431" s="11">
        <f t="shared" si="266"/>
        <v>12</v>
      </c>
      <c r="F3431" s="12">
        <f t="shared" si="267"/>
        <v>66.666666666666657</v>
      </c>
      <c r="G3431" s="12" t="str">
        <f t="shared" si="268"/>
        <v>Warning</v>
      </c>
      <c r="H3431" s="13">
        <f t="shared" si="269"/>
        <v>6</v>
      </c>
      <c r="I3431" s="14">
        <f t="shared" si="265"/>
        <v>1743.17</v>
      </c>
      <c r="K3431" t="str">
        <f>[1]!revcom(C3431)</f>
        <v>ACGGGA</v>
      </c>
      <c r="L3431">
        <v>4</v>
      </c>
    </row>
    <row r="3432" spans="1:12" ht="15.6" x14ac:dyDescent="0.3">
      <c r="A3432" s="9">
        <v>3421</v>
      </c>
      <c r="B3432" s="1"/>
      <c r="C3432" s="2" t="s">
        <v>3427</v>
      </c>
      <c r="D3432" s="1"/>
      <c r="E3432" s="11">
        <f t="shared" si="266"/>
        <v>14</v>
      </c>
      <c r="F3432" s="12">
        <f t="shared" si="267"/>
        <v>50</v>
      </c>
      <c r="G3432" s="12" t="str">
        <f t="shared" si="268"/>
        <v>Warning</v>
      </c>
      <c r="H3432" s="13">
        <f t="shared" si="269"/>
        <v>6</v>
      </c>
      <c r="I3432" s="14">
        <f t="shared" si="265"/>
        <v>1727.17</v>
      </c>
      <c r="K3432" t="str">
        <f>[1]!revcom(C3432)</f>
        <v>TAGGGA</v>
      </c>
      <c r="L3432">
        <v>5</v>
      </c>
    </row>
    <row r="3433" spans="1:12" ht="15.6" x14ac:dyDescent="0.3">
      <c r="A3433" s="9">
        <v>3422</v>
      </c>
      <c r="B3433" s="1"/>
      <c r="C3433" s="2" t="s">
        <v>3428</v>
      </c>
      <c r="D3433" s="1"/>
      <c r="E3433" s="11">
        <f t="shared" si="266"/>
        <v>12</v>
      </c>
      <c r="F3433" s="12">
        <f t="shared" si="267"/>
        <v>66.666666666666657</v>
      </c>
      <c r="G3433" s="12" t="str">
        <f t="shared" si="268"/>
        <v>Warning</v>
      </c>
      <c r="H3433" s="13">
        <f t="shared" si="269"/>
        <v>6</v>
      </c>
      <c r="I3433" s="14">
        <f t="shared" si="265"/>
        <v>1703.1399999999999</v>
      </c>
      <c r="K3433" t="str">
        <f>[1]!revcom(C3433)</f>
        <v>GAGGGA</v>
      </c>
      <c r="L3433">
        <v>4</v>
      </c>
    </row>
    <row r="3434" spans="1:12" ht="15.6" x14ac:dyDescent="0.3">
      <c r="A3434" s="9">
        <v>3423</v>
      </c>
      <c r="B3434" s="1"/>
      <c r="C3434" s="2" t="s">
        <v>3429</v>
      </c>
      <c r="D3434" s="1"/>
      <c r="E3434" s="11">
        <f t="shared" si="266"/>
        <v>12</v>
      </c>
      <c r="F3434" s="12">
        <f t="shared" si="267"/>
        <v>66.666666666666657</v>
      </c>
      <c r="G3434" s="12" t="str">
        <f t="shared" si="268"/>
        <v>Warning</v>
      </c>
      <c r="H3434" s="13">
        <f t="shared" si="269"/>
        <v>6</v>
      </c>
      <c r="I3434" s="14">
        <f t="shared" si="265"/>
        <v>1743.17</v>
      </c>
      <c r="K3434" t="str">
        <f>[1]!revcom(C3434)</f>
        <v>CAGGGA</v>
      </c>
      <c r="L3434">
        <v>4</v>
      </c>
    </row>
    <row r="3435" spans="1:12" ht="15.6" x14ac:dyDescent="0.3">
      <c r="A3435" s="9">
        <v>3424</v>
      </c>
      <c r="B3435" s="1"/>
      <c r="C3435" s="2" t="s">
        <v>3430</v>
      </c>
      <c r="D3435" s="1"/>
      <c r="E3435" s="11">
        <f t="shared" si="266"/>
        <v>6</v>
      </c>
      <c r="F3435" s="12">
        <f t="shared" si="267"/>
        <v>50</v>
      </c>
      <c r="G3435" s="12" t="str">
        <f t="shared" si="268"/>
        <v>Warning</v>
      </c>
      <c r="H3435" s="13">
        <f t="shared" si="269"/>
        <v>6</v>
      </c>
      <c r="I3435" s="14">
        <f t="shared" si="265"/>
        <v>1718.15</v>
      </c>
      <c r="K3435" t="str">
        <f>[1]!revcom(C3435)</f>
        <v>AAGGGA</v>
      </c>
      <c r="L3435">
        <v>3</v>
      </c>
    </row>
    <row r="3436" spans="1:12" ht="15.6" x14ac:dyDescent="0.3">
      <c r="A3436" s="9">
        <v>3425</v>
      </c>
      <c r="B3436" s="1"/>
      <c r="C3436" s="2" t="s">
        <v>3431</v>
      </c>
      <c r="D3436" s="1"/>
      <c r="E3436" s="11">
        <f t="shared" si="266"/>
        <v>22</v>
      </c>
      <c r="F3436" s="12">
        <f t="shared" si="267"/>
        <v>50</v>
      </c>
      <c r="G3436" s="12" t="str">
        <f t="shared" si="268"/>
        <v>Warning</v>
      </c>
      <c r="H3436" s="13">
        <f t="shared" si="269"/>
        <v>6</v>
      </c>
      <c r="I3436" s="14">
        <f t="shared" si="265"/>
        <v>1776.2199999999998</v>
      </c>
      <c r="K3436" t="str">
        <f>[1]!revcom(C3436)</f>
        <v>TTCGGA</v>
      </c>
      <c r="L3436">
        <v>6</v>
      </c>
    </row>
    <row r="3437" spans="1:12" ht="15.6" x14ac:dyDescent="0.3">
      <c r="A3437" s="9">
        <v>3426</v>
      </c>
      <c r="B3437" s="1"/>
      <c r="C3437" s="2" t="s">
        <v>3432</v>
      </c>
      <c r="D3437" s="1"/>
      <c r="E3437" s="11">
        <f t="shared" si="266"/>
        <v>20</v>
      </c>
      <c r="F3437" s="12">
        <f t="shared" si="267"/>
        <v>66.666666666666657</v>
      </c>
      <c r="G3437" s="12" t="str">
        <f t="shared" si="268"/>
        <v>Warning</v>
      </c>
      <c r="H3437" s="13">
        <f t="shared" si="269"/>
        <v>6</v>
      </c>
      <c r="I3437" s="14">
        <f t="shared" si="265"/>
        <v>1752.19</v>
      </c>
      <c r="K3437" t="str">
        <f>[1]!revcom(C3437)</f>
        <v>GTCGGA</v>
      </c>
      <c r="L3437">
        <v>6</v>
      </c>
    </row>
    <row r="3438" spans="1:12" ht="15.6" x14ac:dyDescent="0.3">
      <c r="A3438" s="9">
        <v>3427</v>
      </c>
      <c r="B3438" s="1"/>
      <c r="C3438" s="2" t="s">
        <v>3433</v>
      </c>
      <c r="D3438" s="1"/>
      <c r="E3438" s="11">
        <f t="shared" si="266"/>
        <v>20</v>
      </c>
      <c r="F3438" s="12">
        <f t="shared" si="267"/>
        <v>66.666666666666657</v>
      </c>
      <c r="G3438" s="12" t="str">
        <f t="shared" si="268"/>
        <v>Warning</v>
      </c>
      <c r="H3438" s="13">
        <f t="shared" si="269"/>
        <v>6</v>
      </c>
      <c r="I3438" s="14">
        <f t="shared" si="265"/>
        <v>1792.2199999999998</v>
      </c>
      <c r="K3438" t="str">
        <f>[1]!revcom(C3438)</f>
        <v>CTCGGA</v>
      </c>
      <c r="L3438">
        <v>6</v>
      </c>
    </row>
    <row r="3439" spans="1:12" ht="15.6" x14ac:dyDescent="0.3">
      <c r="A3439" s="9">
        <v>3428</v>
      </c>
      <c r="B3439" s="1"/>
      <c r="C3439" s="2" t="s">
        <v>3434</v>
      </c>
      <c r="D3439" s="1"/>
      <c r="E3439" s="11">
        <f t="shared" si="266"/>
        <v>14</v>
      </c>
      <c r="F3439" s="12">
        <f t="shared" si="267"/>
        <v>50</v>
      </c>
      <c r="G3439" s="12" t="str">
        <f t="shared" si="268"/>
        <v>Warning</v>
      </c>
      <c r="H3439" s="13">
        <f t="shared" si="269"/>
        <v>6</v>
      </c>
      <c r="I3439" s="14">
        <f t="shared" si="265"/>
        <v>1767.1999999999998</v>
      </c>
      <c r="K3439" t="str">
        <f>[1]!revcom(C3439)</f>
        <v>ATCGGA</v>
      </c>
      <c r="L3439">
        <v>5</v>
      </c>
    </row>
    <row r="3440" spans="1:12" ht="15.6" x14ac:dyDescent="0.3">
      <c r="A3440" s="9">
        <v>3429</v>
      </c>
      <c r="B3440" s="1"/>
      <c r="C3440" s="2" t="s">
        <v>3435</v>
      </c>
      <c r="D3440" s="1"/>
      <c r="E3440" s="11">
        <f t="shared" si="266"/>
        <v>20</v>
      </c>
      <c r="F3440" s="12">
        <f t="shared" si="267"/>
        <v>66.666666666666657</v>
      </c>
      <c r="G3440" s="12" t="str">
        <f t="shared" si="268"/>
        <v>Warning</v>
      </c>
      <c r="H3440" s="13">
        <f t="shared" si="269"/>
        <v>6</v>
      </c>
      <c r="I3440" s="14">
        <f t="shared" si="265"/>
        <v>1752.19</v>
      </c>
      <c r="K3440" t="str">
        <f>[1]!revcom(C3440)</f>
        <v>TGCGGA</v>
      </c>
      <c r="L3440">
        <v>6</v>
      </c>
    </row>
    <row r="3441" spans="1:12" ht="15.6" x14ac:dyDescent="0.3">
      <c r="A3441" s="9">
        <v>3430</v>
      </c>
      <c r="B3441" s="1"/>
      <c r="C3441" s="2" t="s">
        <v>3436</v>
      </c>
      <c r="D3441" s="1"/>
      <c r="E3441" s="11">
        <f t="shared" si="266"/>
        <v>18</v>
      </c>
      <c r="F3441" s="12">
        <f t="shared" si="267"/>
        <v>83.333333333333343</v>
      </c>
      <c r="G3441" s="12" t="str">
        <f t="shared" si="268"/>
        <v>Warning</v>
      </c>
      <c r="H3441" s="13">
        <f t="shared" si="269"/>
        <v>6</v>
      </c>
      <c r="I3441" s="14">
        <f t="shared" si="265"/>
        <v>1728.1599999999999</v>
      </c>
      <c r="K3441" t="str">
        <f>[1]!revcom(C3441)</f>
        <v>GGCGGA</v>
      </c>
      <c r="L3441">
        <v>5</v>
      </c>
    </row>
    <row r="3442" spans="1:12" ht="15.6" x14ac:dyDescent="0.3">
      <c r="A3442" s="9">
        <v>3431</v>
      </c>
      <c r="B3442" s="1"/>
      <c r="C3442" s="2" t="s">
        <v>3437</v>
      </c>
      <c r="D3442" s="1"/>
      <c r="E3442" s="11">
        <f t="shared" si="266"/>
        <v>18</v>
      </c>
      <c r="F3442" s="12">
        <f t="shared" si="267"/>
        <v>83.333333333333343</v>
      </c>
      <c r="G3442" s="12" t="str">
        <f t="shared" si="268"/>
        <v>Warning</v>
      </c>
      <c r="H3442" s="13">
        <f t="shared" si="269"/>
        <v>6</v>
      </c>
      <c r="I3442" s="14">
        <f t="shared" si="265"/>
        <v>1768.19</v>
      </c>
      <c r="K3442" t="str">
        <f>[1]!revcom(C3442)</f>
        <v>CGCGGA</v>
      </c>
      <c r="L3442">
        <v>5</v>
      </c>
    </row>
    <row r="3443" spans="1:12" ht="15.6" x14ac:dyDescent="0.3">
      <c r="A3443" s="9">
        <v>3432</v>
      </c>
      <c r="B3443" s="1"/>
      <c r="C3443" s="2" t="s">
        <v>3438</v>
      </c>
      <c r="D3443" s="1"/>
      <c r="E3443" s="11">
        <f t="shared" si="266"/>
        <v>12</v>
      </c>
      <c r="F3443" s="12">
        <f t="shared" si="267"/>
        <v>66.666666666666657</v>
      </c>
      <c r="G3443" s="12" t="str">
        <f t="shared" si="268"/>
        <v>Warning</v>
      </c>
      <c r="H3443" s="13">
        <f t="shared" si="269"/>
        <v>6</v>
      </c>
      <c r="I3443" s="14">
        <f t="shared" si="265"/>
        <v>1743.17</v>
      </c>
      <c r="K3443" t="str">
        <f>[1]!revcom(C3443)</f>
        <v>AGCGGA</v>
      </c>
      <c r="L3443">
        <v>4</v>
      </c>
    </row>
    <row r="3444" spans="1:12" ht="15.6" x14ac:dyDescent="0.3">
      <c r="A3444" s="9">
        <v>3433</v>
      </c>
      <c r="B3444" s="1"/>
      <c r="C3444" s="2" t="s">
        <v>3439</v>
      </c>
      <c r="D3444" s="1"/>
      <c r="E3444" s="11">
        <f t="shared" si="266"/>
        <v>20</v>
      </c>
      <c r="F3444" s="12">
        <f t="shared" si="267"/>
        <v>66.666666666666657</v>
      </c>
      <c r="G3444" s="12" t="str">
        <f t="shared" si="268"/>
        <v>Warning</v>
      </c>
      <c r="H3444" s="13">
        <f t="shared" si="269"/>
        <v>6</v>
      </c>
      <c r="I3444" s="14">
        <f t="shared" si="265"/>
        <v>1792.2199999999998</v>
      </c>
      <c r="K3444" t="str">
        <f>[1]!revcom(C3444)</f>
        <v>TCCGGA</v>
      </c>
      <c r="L3444">
        <v>6</v>
      </c>
    </row>
    <row r="3445" spans="1:12" ht="15.6" x14ac:dyDescent="0.3">
      <c r="A3445" s="9">
        <v>3434</v>
      </c>
      <c r="B3445" s="1"/>
      <c r="C3445" s="2" t="s">
        <v>3440</v>
      </c>
      <c r="D3445" s="1"/>
      <c r="E3445" s="11">
        <f t="shared" si="266"/>
        <v>18</v>
      </c>
      <c r="F3445" s="12">
        <f t="shared" si="267"/>
        <v>83.333333333333343</v>
      </c>
      <c r="G3445" s="12" t="str">
        <f t="shared" si="268"/>
        <v>Warning</v>
      </c>
      <c r="H3445" s="13">
        <f t="shared" si="269"/>
        <v>6</v>
      </c>
      <c r="I3445" s="14">
        <f t="shared" si="265"/>
        <v>1768.19</v>
      </c>
      <c r="K3445" t="str">
        <f>[1]!revcom(C3445)</f>
        <v>GCCGGA</v>
      </c>
      <c r="L3445">
        <v>5</v>
      </c>
    </row>
    <row r="3446" spans="1:12" ht="15.6" x14ac:dyDescent="0.3">
      <c r="A3446" s="9">
        <v>3435</v>
      </c>
      <c r="B3446" s="1"/>
      <c r="C3446" s="2" t="s">
        <v>3441</v>
      </c>
      <c r="D3446" s="1"/>
      <c r="E3446" s="11">
        <f t="shared" si="266"/>
        <v>18</v>
      </c>
      <c r="F3446" s="12">
        <f t="shared" si="267"/>
        <v>83.333333333333343</v>
      </c>
      <c r="G3446" s="12" t="str">
        <f t="shared" si="268"/>
        <v>Warning</v>
      </c>
      <c r="H3446" s="13">
        <f t="shared" si="269"/>
        <v>6</v>
      </c>
      <c r="I3446" s="14">
        <f t="shared" si="265"/>
        <v>1808.2200000000003</v>
      </c>
      <c r="K3446" t="str">
        <f>[1]!revcom(C3446)</f>
        <v>CCCGGA</v>
      </c>
      <c r="L3446">
        <v>5</v>
      </c>
    </row>
    <row r="3447" spans="1:12" ht="15.6" x14ac:dyDescent="0.3">
      <c r="A3447" s="9">
        <v>3436</v>
      </c>
      <c r="B3447" s="1"/>
      <c r="C3447" s="2" t="s">
        <v>3442</v>
      </c>
      <c r="D3447" s="1"/>
      <c r="E3447" s="11">
        <f t="shared" si="266"/>
        <v>12</v>
      </c>
      <c r="F3447" s="12">
        <f t="shared" si="267"/>
        <v>66.666666666666657</v>
      </c>
      <c r="G3447" s="12" t="str">
        <f t="shared" si="268"/>
        <v>Warning</v>
      </c>
      <c r="H3447" s="13">
        <f t="shared" si="269"/>
        <v>6</v>
      </c>
      <c r="I3447" s="14">
        <f t="shared" si="265"/>
        <v>1783.1999999999998</v>
      </c>
      <c r="K3447" t="str">
        <f>[1]!revcom(C3447)</f>
        <v>ACCGGA</v>
      </c>
      <c r="L3447">
        <v>4</v>
      </c>
    </row>
    <row r="3448" spans="1:12" ht="15.6" x14ac:dyDescent="0.3">
      <c r="A3448" s="9">
        <v>3437</v>
      </c>
      <c r="B3448" s="1"/>
      <c r="C3448" s="2" t="s">
        <v>3443</v>
      </c>
      <c r="D3448" s="1"/>
      <c r="E3448" s="11">
        <f t="shared" si="266"/>
        <v>14</v>
      </c>
      <c r="F3448" s="12">
        <f t="shared" si="267"/>
        <v>50</v>
      </c>
      <c r="G3448" s="12" t="str">
        <f t="shared" si="268"/>
        <v>Warning</v>
      </c>
      <c r="H3448" s="13">
        <f t="shared" si="269"/>
        <v>6</v>
      </c>
      <c r="I3448" s="14">
        <f t="shared" si="265"/>
        <v>1767.1999999999998</v>
      </c>
      <c r="K3448" t="str">
        <f>[1]!revcom(C3448)</f>
        <v>TACGGA</v>
      </c>
      <c r="L3448">
        <v>5</v>
      </c>
    </row>
    <row r="3449" spans="1:12" ht="15.6" x14ac:dyDescent="0.3">
      <c r="A3449" s="9">
        <v>3438</v>
      </c>
      <c r="B3449" s="1"/>
      <c r="C3449" s="2" t="s">
        <v>3444</v>
      </c>
      <c r="D3449" s="1"/>
      <c r="E3449" s="11">
        <f t="shared" si="266"/>
        <v>12</v>
      </c>
      <c r="F3449" s="12">
        <f t="shared" si="267"/>
        <v>66.666666666666657</v>
      </c>
      <c r="G3449" s="12" t="str">
        <f t="shared" si="268"/>
        <v>Warning</v>
      </c>
      <c r="H3449" s="13">
        <f t="shared" si="269"/>
        <v>6</v>
      </c>
      <c r="I3449" s="14">
        <f t="shared" si="265"/>
        <v>1743.17</v>
      </c>
      <c r="K3449" t="str">
        <f>[1]!revcom(C3449)</f>
        <v>GACGGA</v>
      </c>
      <c r="L3449">
        <v>4</v>
      </c>
    </row>
    <row r="3450" spans="1:12" ht="15.6" x14ac:dyDescent="0.3">
      <c r="A3450" s="9">
        <v>3439</v>
      </c>
      <c r="B3450" s="1"/>
      <c r="C3450" s="2" t="s">
        <v>3445</v>
      </c>
      <c r="D3450" s="1"/>
      <c r="E3450" s="11">
        <f t="shared" si="266"/>
        <v>12</v>
      </c>
      <c r="F3450" s="12">
        <f t="shared" si="267"/>
        <v>66.666666666666657</v>
      </c>
      <c r="G3450" s="12" t="str">
        <f t="shared" si="268"/>
        <v>Warning</v>
      </c>
      <c r="H3450" s="13">
        <f t="shared" si="269"/>
        <v>6</v>
      </c>
      <c r="I3450" s="14">
        <f t="shared" si="265"/>
        <v>1783.1999999999998</v>
      </c>
      <c r="K3450" t="str">
        <f>[1]!revcom(C3450)</f>
        <v>CACGGA</v>
      </c>
      <c r="L3450">
        <v>4</v>
      </c>
    </row>
    <row r="3451" spans="1:12" ht="15.6" x14ac:dyDescent="0.3">
      <c r="A3451" s="9">
        <v>3440</v>
      </c>
      <c r="B3451" s="1"/>
      <c r="C3451" s="2" t="s">
        <v>3446</v>
      </c>
      <c r="D3451" s="1"/>
      <c r="E3451" s="11">
        <f t="shared" si="266"/>
        <v>6</v>
      </c>
      <c r="F3451" s="12">
        <f t="shared" si="267"/>
        <v>50</v>
      </c>
      <c r="G3451" s="12" t="str">
        <f t="shared" si="268"/>
        <v>Warning</v>
      </c>
      <c r="H3451" s="13">
        <f t="shared" si="269"/>
        <v>6</v>
      </c>
      <c r="I3451" s="14">
        <f t="shared" si="265"/>
        <v>1758.1799999999998</v>
      </c>
      <c r="K3451" t="str">
        <f>[1]!revcom(C3451)</f>
        <v>AACGGA</v>
      </c>
      <c r="L3451">
        <v>3</v>
      </c>
    </row>
    <row r="3452" spans="1:12" ht="15.6" x14ac:dyDescent="0.3">
      <c r="A3452" s="9">
        <v>3441</v>
      </c>
      <c r="B3452" s="1"/>
      <c r="C3452" s="2" t="s">
        <v>3447</v>
      </c>
      <c r="D3452" s="1"/>
      <c r="E3452" s="11">
        <f t="shared" si="266"/>
        <v>16</v>
      </c>
      <c r="F3452" s="12">
        <f t="shared" si="267"/>
        <v>33.333333333333329</v>
      </c>
      <c r="G3452" s="12" t="str">
        <f t="shared" si="268"/>
        <v>OK</v>
      </c>
      <c r="H3452" s="13">
        <f t="shared" si="269"/>
        <v>6</v>
      </c>
      <c r="I3452" s="14">
        <f t="shared" si="265"/>
        <v>1751.1999999999998</v>
      </c>
      <c r="K3452" t="str">
        <f>[1]!revcom(C3452)</f>
        <v>TTAGGA</v>
      </c>
      <c r="L3452">
        <v>5</v>
      </c>
    </row>
    <row r="3453" spans="1:12" ht="15.6" x14ac:dyDescent="0.3">
      <c r="A3453" s="9">
        <v>3442</v>
      </c>
      <c r="B3453" s="1"/>
      <c r="C3453" s="2" t="s">
        <v>3448</v>
      </c>
      <c r="D3453" s="1"/>
      <c r="E3453" s="11">
        <f t="shared" si="266"/>
        <v>14</v>
      </c>
      <c r="F3453" s="12">
        <f t="shared" si="267"/>
        <v>50</v>
      </c>
      <c r="G3453" s="12" t="str">
        <f t="shared" si="268"/>
        <v>Warning</v>
      </c>
      <c r="H3453" s="13">
        <f t="shared" si="269"/>
        <v>6</v>
      </c>
      <c r="I3453" s="14">
        <f t="shared" si="265"/>
        <v>1727.17</v>
      </c>
      <c r="K3453" t="str">
        <f>[1]!revcom(C3453)</f>
        <v>GTAGGA</v>
      </c>
      <c r="L3453">
        <v>5</v>
      </c>
    </row>
    <row r="3454" spans="1:12" ht="15.6" x14ac:dyDescent="0.3">
      <c r="A3454" s="9">
        <v>3443</v>
      </c>
      <c r="B3454" s="1"/>
      <c r="C3454" s="2" t="s">
        <v>3449</v>
      </c>
      <c r="D3454" s="1"/>
      <c r="E3454" s="11">
        <f t="shared" si="266"/>
        <v>14</v>
      </c>
      <c r="F3454" s="12">
        <f t="shared" si="267"/>
        <v>50</v>
      </c>
      <c r="G3454" s="12" t="str">
        <f t="shared" si="268"/>
        <v>Warning</v>
      </c>
      <c r="H3454" s="13">
        <f t="shared" si="269"/>
        <v>6</v>
      </c>
      <c r="I3454" s="14">
        <f t="shared" si="265"/>
        <v>1767.1999999999998</v>
      </c>
      <c r="K3454" t="str">
        <f>[1]!revcom(C3454)</f>
        <v>CTAGGA</v>
      </c>
      <c r="L3454">
        <v>5</v>
      </c>
    </row>
    <row r="3455" spans="1:12" ht="15.6" x14ac:dyDescent="0.3">
      <c r="A3455" s="9">
        <v>3444</v>
      </c>
      <c r="B3455" s="1"/>
      <c r="C3455" s="2" t="s">
        <v>3450</v>
      </c>
      <c r="D3455" s="1"/>
      <c r="E3455" s="11">
        <f t="shared" si="266"/>
        <v>8</v>
      </c>
      <c r="F3455" s="12">
        <f t="shared" si="267"/>
        <v>33.333333333333329</v>
      </c>
      <c r="G3455" s="12" t="str">
        <f t="shared" si="268"/>
        <v>OK</v>
      </c>
      <c r="H3455" s="13">
        <f t="shared" si="269"/>
        <v>6</v>
      </c>
      <c r="I3455" s="14">
        <f t="shared" si="265"/>
        <v>1742.1799999999998</v>
      </c>
      <c r="K3455" t="str">
        <f>[1]!revcom(C3455)</f>
        <v>ATAGGA</v>
      </c>
      <c r="L3455">
        <v>4</v>
      </c>
    </row>
    <row r="3456" spans="1:12" ht="15.6" x14ac:dyDescent="0.3">
      <c r="A3456" s="9">
        <v>3445</v>
      </c>
      <c r="B3456" s="1"/>
      <c r="C3456" s="2" t="s">
        <v>3451</v>
      </c>
      <c r="D3456" s="1"/>
      <c r="E3456" s="11">
        <f t="shared" si="266"/>
        <v>14</v>
      </c>
      <c r="F3456" s="12">
        <f t="shared" si="267"/>
        <v>50</v>
      </c>
      <c r="G3456" s="12" t="str">
        <f t="shared" si="268"/>
        <v>Warning</v>
      </c>
      <c r="H3456" s="13">
        <f t="shared" si="269"/>
        <v>6</v>
      </c>
      <c r="I3456" s="14">
        <f t="shared" si="265"/>
        <v>1727.17</v>
      </c>
      <c r="K3456" t="str">
        <f>[1]!revcom(C3456)</f>
        <v>TGAGGA</v>
      </c>
      <c r="L3456">
        <v>5</v>
      </c>
    </row>
    <row r="3457" spans="1:12" ht="15.6" x14ac:dyDescent="0.3">
      <c r="A3457" s="9">
        <v>3446</v>
      </c>
      <c r="B3457" s="1"/>
      <c r="C3457" s="2" t="s">
        <v>3452</v>
      </c>
      <c r="D3457" s="1"/>
      <c r="E3457" s="11">
        <f t="shared" si="266"/>
        <v>12</v>
      </c>
      <c r="F3457" s="12">
        <f t="shared" si="267"/>
        <v>66.666666666666657</v>
      </c>
      <c r="G3457" s="12" t="str">
        <f t="shared" si="268"/>
        <v>Warning</v>
      </c>
      <c r="H3457" s="13">
        <f t="shared" si="269"/>
        <v>6</v>
      </c>
      <c r="I3457" s="14">
        <f t="shared" si="265"/>
        <v>1703.1399999999999</v>
      </c>
      <c r="K3457" t="str">
        <f>[1]!revcom(C3457)</f>
        <v>GGAGGA</v>
      </c>
      <c r="L3457">
        <v>4</v>
      </c>
    </row>
    <row r="3458" spans="1:12" ht="15.6" x14ac:dyDescent="0.3">
      <c r="A3458" s="9">
        <v>3447</v>
      </c>
      <c r="B3458" s="1"/>
      <c r="C3458" s="2" t="s">
        <v>3453</v>
      </c>
      <c r="D3458" s="1"/>
      <c r="E3458" s="11">
        <f t="shared" si="266"/>
        <v>12</v>
      </c>
      <c r="F3458" s="12">
        <f t="shared" si="267"/>
        <v>66.666666666666657</v>
      </c>
      <c r="G3458" s="12" t="str">
        <f t="shared" si="268"/>
        <v>Warning</v>
      </c>
      <c r="H3458" s="13">
        <f t="shared" si="269"/>
        <v>6</v>
      </c>
      <c r="I3458" s="14">
        <f t="shared" si="265"/>
        <v>1743.17</v>
      </c>
      <c r="K3458" t="str">
        <f>[1]!revcom(C3458)</f>
        <v>CGAGGA</v>
      </c>
      <c r="L3458">
        <v>4</v>
      </c>
    </row>
    <row r="3459" spans="1:12" ht="15.6" x14ac:dyDescent="0.3">
      <c r="A3459" s="9">
        <v>3448</v>
      </c>
      <c r="B3459" s="1"/>
      <c r="C3459" s="2" t="s">
        <v>3454</v>
      </c>
      <c r="D3459" s="1"/>
      <c r="E3459" s="11">
        <f t="shared" si="266"/>
        <v>6</v>
      </c>
      <c r="F3459" s="12">
        <f t="shared" si="267"/>
        <v>50</v>
      </c>
      <c r="G3459" s="12" t="str">
        <f t="shared" si="268"/>
        <v>Warning</v>
      </c>
      <c r="H3459" s="13">
        <f t="shared" si="269"/>
        <v>6</v>
      </c>
      <c r="I3459" s="14">
        <f t="shared" si="265"/>
        <v>1718.15</v>
      </c>
      <c r="K3459" t="str">
        <f>[1]!revcom(C3459)</f>
        <v>AGAGGA</v>
      </c>
      <c r="L3459">
        <v>3</v>
      </c>
    </row>
    <row r="3460" spans="1:12" ht="15.6" x14ac:dyDescent="0.3">
      <c r="A3460" s="9">
        <v>3449</v>
      </c>
      <c r="B3460" s="1"/>
      <c r="C3460" s="2" t="s">
        <v>3455</v>
      </c>
      <c r="D3460" s="1"/>
      <c r="E3460" s="11">
        <f t="shared" si="266"/>
        <v>14</v>
      </c>
      <c r="F3460" s="12">
        <f t="shared" si="267"/>
        <v>50</v>
      </c>
      <c r="G3460" s="12" t="str">
        <f t="shared" si="268"/>
        <v>Warning</v>
      </c>
      <c r="H3460" s="13">
        <f t="shared" si="269"/>
        <v>6</v>
      </c>
      <c r="I3460" s="14">
        <f t="shared" si="265"/>
        <v>1767.1999999999998</v>
      </c>
      <c r="K3460" t="str">
        <f>[1]!revcom(C3460)</f>
        <v>TCAGGA</v>
      </c>
      <c r="L3460">
        <v>5</v>
      </c>
    </row>
    <row r="3461" spans="1:12" ht="15.6" x14ac:dyDescent="0.3">
      <c r="A3461" s="9">
        <v>3450</v>
      </c>
      <c r="B3461" s="1"/>
      <c r="C3461" s="2" t="s">
        <v>3456</v>
      </c>
      <c r="D3461" s="1"/>
      <c r="E3461" s="11">
        <f t="shared" si="266"/>
        <v>12</v>
      </c>
      <c r="F3461" s="12">
        <f t="shared" si="267"/>
        <v>66.666666666666657</v>
      </c>
      <c r="G3461" s="12" t="str">
        <f t="shared" si="268"/>
        <v>Warning</v>
      </c>
      <c r="H3461" s="13">
        <f t="shared" si="269"/>
        <v>6</v>
      </c>
      <c r="I3461" s="14">
        <f t="shared" si="265"/>
        <v>1743.17</v>
      </c>
      <c r="K3461" t="str">
        <f>[1]!revcom(C3461)</f>
        <v>GCAGGA</v>
      </c>
      <c r="L3461">
        <v>4</v>
      </c>
    </row>
    <row r="3462" spans="1:12" ht="15.6" x14ac:dyDescent="0.3">
      <c r="A3462" s="9">
        <v>3451</v>
      </c>
      <c r="B3462" s="1"/>
      <c r="C3462" s="2" t="s">
        <v>3457</v>
      </c>
      <c r="D3462" s="1"/>
      <c r="E3462" s="11">
        <f t="shared" si="266"/>
        <v>12</v>
      </c>
      <c r="F3462" s="12">
        <f t="shared" si="267"/>
        <v>66.666666666666657</v>
      </c>
      <c r="G3462" s="12" t="str">
        <f t="shared" si="268"/>
        <v>Warning</v>
      </c>
      <c r="H3462" s="13">
        <f t="shared" si="269"/>
        <v>6</v>
      </c>
      <c r="I3462" s="14">
        <f t="shared" si="265"/>
        <v>1783.1999999999998</v>
      </c>
      <c r="K3462" t="str">
        <f>[1]!revcom(C3462)</f>
        <v>CCAGGA</v>
      </c>
      <c r="L3462">
        <v>4</v>
      </c>
    </row>
    <row r="3463" spans="1:12" ht="15.6" x14ac:dyDescent="0.3">
      <c r="A3463" s="9">
        <v>3452</v>
      </c>
      <c r="B3463" s="1"/>
      <c r="C3463" s="2" t="s">
        <v>3458</v>
      </c>
      <c r="D3463" s="1"/>
      <c r="E3463" s="11">
        <f t="shared" si="266"/>
        <v>6</v>
      </c>
      <c r="F3463" s="12">
        <f t="shared" si="267"/>
        <v>50</v>
      </c>
      <c r="G3463" s="12" t="str">
        <f t="shared" si="268"/>
        <v>Warning</v>
      </c>
      <c r="H3463" s="13">
        <f t="shared" si="269"/>
        <v>6</v>
      </c>
      <c r="I3463" s="14">
        <f t="shared" si="265"/>
        <v>1758.1799999999998</v>
      </c>
      <c r="K3463" t="str">
        <f>[1]!revcom(C3463)</f>
        <v>ACAGGA</v>
      </c>
      <c r="L3463">
        <v>3</v>
      </c>
    </row>
    <row r="3464" spans="1:12" ht="15.6" x14ac:dyDescent="0.3">
      <c r="A3464" s="9">
        <v>3453</v>
      </c>
      <c r="B3464" s="1"/>
      <c r="C3464" s="2" t="s">
        <v>3459</v>
      </c>
      <c r="D3464" s="1"/>
      <c r="E3464" s="11">
        <f t="shared" si="266"/>
        <v>8</v>
      </c>
      <c r="F3464" s="12">
        <f t="shared" si="267"/>
        <v>33.333333333333329</v>
      </c>
      <c r="G3464" s="12" t="str">
        <f t="shared" si="268"/>
        <v>OK</v>
      </c>
      <c r="H3464" s="13">
        <f t="shared" si="269"/>
        <v>6</v>
      </c>
      <c r="I3464" s="14">
        <f t="shared" si="265"/>
        <v>1742.1799999999998</v>
      </c>
      <c r="K3464" t="str">
        <f>[1]!revcom(C3464)</f>
        <v>TAAGGA</v>
      </c>
      <c r="L3464">
        <v>4</v>
      </c>
    </row>
    <row r="3465" spans="1:12" ht="15.6" x14ac:dyDescent="0.3">
      <c r="A3465" s="9">
        <v>3454</v>
      </c>
      <c r="B3465" s="1"/>
      <c r="C3465" s="2" t="s">
        <v>3460</v>
      </c>
      <c r="D3465" s="1"/>
      <c r="E3465" s="11">
        <f t="shared" si="266"/>
        <v>6</v>
      </c>
      <c r="F3465" s="12">
        <f t="shared" si="267"/>
        <v>50</v>
      </c>
      <c r="G3465" s="12" t="str">
        <f t="shared" si="268"/>
        <v>Warning</v>
      </c>
      <c r="H3465" s="13">
        <f t="shared" si="269"/>
        <v>6</v>
      </c>
      <c r="I3465" s="14">
        <f t="shared" si="265"/>
        <v>1718.15</v>
      </c>
      <c r="K3465" t="str">
        <f>[1]!revcom(C3465)</f>
        <v>GAAGGA</v>
      </c>
      <c r="L3465">
        <v>3</v>
      </c>
    </row>
    <row r="3466" spans="1:12" ht="15.6" x14ac:dyDescent="0.3">
      <c r="A3466" s="9">
        <v>3455</v>
      </c>
      <c r="B3466" s="1"/>
      <c r="C3466" s="2" t="s">
        <v>3461</v>
      </c>
      <c r="D3466" s="1"/>
      <c r="E3466" s="11">
        <f t="shared" si="266"/>
        <v>6</v>
      </c>
      <c r="F3466" s="12">
        <f t="shared" si="267"/>
        <v>50</v>
      </c>
      <c r="G3466" s="12" t="str">
        <f t="shared" si="268"/>
        <v>Warning</v>
      </c>
      <c r="H3466" s="13">
        <f t="shared" si="269"/>
        <v>6</v>
      </c>
      <c r="I3466" s="14">
        <f t="shared" si="265"/>
        <v>1758.1799999999998</v>
      </c>
      <c r="K3466" t="str">
        <f>[1]!revcom(C3466)</f>
        <v>CAAGGA</v>
      </c>
      <c r="L3466">
        <v>3</v>
      </c>
    </row>
    <row r="3467" spans="1:12" ht="15.6" x14ac:dyDescent="0.3">
      <c r="A3467" s="9">
        <v>3456</v>
      </c>
      <c r="B3467" s="1"/>
      <c r="C3467" s="2" t="s">
        <v>3462</v>
      </c>
      <c r="D3467" s="1"/>
      <c r="E3467" s="11">
        <f t="shared" si="266"/>
        <v>0</v>
      </c>
      <c r="F3467" s="12">
        <f t="shared" si="267"/>
        <v>33.333333333333329</v>
      </c>
      <c r="G3467" s="12" t="str">
        <f t="shared" si="268"/>
        <v>OK</v>
      </c>
      <c r="H3467" s="13">
        <f t="shared" si="269"/>
        <v>6</v>
      </c>
      <c r="I3467" s="14">
        <f t="shared" si="265"/>
        <v>1733.1599999999999</v>
      </c>
      <c r="K3467" t="str">
        <f>[1]!revcom(C3467)</f>
        <v>AAAGGA</v>
      </c>
      <c r="L3467">
        <v>2</v>
      </c>
    </row>
    <row r="3468" spans="1:12" ht="15.6" x14ac:dyDescent="0.3">
      <c r="A3468" s="9">
        <v>3457</v>
      </c>
      <c r="B3468" s="1"/>
      <c r="C3468" s="2" t="s">
        <v>3463</v>
      </c>
      <c r="D3468" s="1"/>
      <c r="E3468" s="11">
        <f t="shared" si="266"/>
        <v>24</v>
      </c>
      <c r="F3468" s="12">
        <f t="shared" si="267"/>
        <v>33.333333333333329</v>
      </c>
      <c r="G3468" s="12" t="str">
        <f t="shared" si="268"/>
        <v>OK</v>
      </c>
      <c r="H3468" s="13">
        <f t="shared" si="269"/>
        <v>6</v>
      </c>
      <c r="I3468" s="14">
        <f t="shared" si="265"/>
        <v>1800.25</v>
      </c>
      <c r="K3468" t="str">
        <f>[1]!revcom(C3468)</f>
        <v>TTTCGA</v>
      </c>
      <c r="L3468">
        <v>6</v>
      </c>
    </row>
    <row r="3469" spans="1:12" ht="15.6" x14ac:dyDescent="0.3">
      <c r="A3469" s="9">
        <v>3458</v>
      </c>
      <c r="B3469" s="1"/>
      <c r="C3469" s="2" t="s">
        <v>3464</v>
      </c>
      <c r="D3469" s="1"/>
      <c r="E3469" s="11">
        <f t="shared" si="266"/>
        <v>22</v>
      </c>
      <c r="F3469" s="12">
        <f t="shared" si="267"/>
        <v>50</v>
      </c>
      <c r="G3469" s="12" t="str">
        <f t="shared" si="268"/>
        <v>Warning</v>
      </c>
      <c r="H3469" s="13">
        <f t="shared" si="269"/>
        <v>6</v>
      </c>
      <c r="I3469" s="14">
        <f t="shared" ref="I3469:I3532" si="270">((LEN(C3469)-(LEN(SUBSTITUTE(C3469,"A",""))))*249.23)+((LEN(C3469)-(LEN(SUBSTITUTE(C3469,"T",""))))*240.21)+((LEN(C3469)-(LEN(SUBSTITUTE(C3469,"C",""))))*225.2)+((LEN(C3469)-(LEN(SUBSTITUTE(C3469,"G",""))))*265.23)+(63.98*(LEN(C3469)-1)+(2.02))</f>
        <v>1776.2199999999998</v>
      </c>
      <c r="K3469" t="str">
        <f>[1]!revcom(C3469)</f>
        <v>GTTCGA</v>
      </c>
      <c r="L3469">
        <v>6</v>
      </c>
    </row>
    <row r="3470" spans="1:12" ht="15.6" x14ac:dyDescent="0.3">
      <c r="A3470" s="9">
        <v>3459</v>
      </c>
      <c r="B3470" s="1"/>
      <c r="C3470" s="2" t="s">
        <v>3465</v>
      </c>
      <c r="D3470" s="1"/>
      <c r="E3470" s="11">
        <f t="shared" ref="E3470:E3533" si="271">IF(LEN(C3470)&gt;15,(69.3+((41*((LEN(C3470)-(((LEN(C3470)-(LEN(SUBSTITUTE(C3470,"A",""))))+((LEN(C3470)-(LEN(SUBSTITUTE(C3470,"T","")))))))))/(LEN(C3470)))-(650/(LEN(C3470))))),(2*((LEN(C3470)-(((LEN(C3470)-(LEN(SUBSTITUTE(C3470,"C",""))))+((LEN(C3470)-(LEN(SUBSTITUTE(C3470,"G",""))))))))))+(4*((LEN(C3470)-(((LEN(C3470)-(LEN(SUBSTITUTE(C3470,"T",""))))+((LEN(C3470)-(LEN(SUBSTITUTE(C3470,"T","")))))))))))</f>
        <v>22</v>
      </c>
      <c r="F3470" s="12">
        <f t="shared" ref="F3470:F3533" si="272">((LEN(C3470)- LEN(SUBSTITUTE(C3470,"G","")))+(LEN(C3470)- LEN(SUBSTITUTE(C3470,"C",""))) )/LEN(C3470)*100</f>
        <v>50</v>
      </c>
      <c r="G3470" s="12" t="str">
        <f t="shared" ref="G3470:G3533" si="273">IF((-5+((LEN(SUBSTITUTE(RIGHT(C3470,5),"C","")))+((LEN(SUBSTITUTE(RIGHT(C3470,5),"G",""))))))&gt;=3,"OK","Warning")</f>
        <v>Warning</v>
      </c>
      <c r="H3470" s="13">
        <f t="shared" ref="H3470:H3533" si="274">LEN(C3470)</f>
        <v>6</v>
      </c>
      <c r="I3470" s="14">
        <f t="shared" si="270"/>
        <v>1816.25</v>
      </c>
      <c r="K3470" t="str">
        <f>[1]!revcom(C3470)</f>
        <v>CTTCGA</v>
      </c>
      <c r="L3470">
        <v>6</v>
      </c>
    </row>
    <row r="3471" spans="1:12" ht="15.6" x14ac:dyDescent="0.3">
      <c r="A3471" s="9">
        <v>3460</v>
      </c>
      <c r="B3471" s="1"/>
      <c r="C3471" s="2" t="s">
        <v>3466</v>
      </c>
      <c r="D3471" s="1"/>
      <c r="E3471" s="11">
        <f t="shared" si="271"/>
        <v>16</v>
      </c>
      <c r="F3471" s="12">
        <f t="shared" si="272"/>
        <v>33.333333333333329</v>
      </c>
      <c r="G3471" s="12" t="str">
        <f t="shared" si="273"/>
        <v>OK</v>
      </c>
      <c r="H3471" s="13">
        <f t="shared" si="274"/>
        <v>6</v>
      </c>
      <c r="I3471" s="14">
        <f t="shared" si="270"/>
        <v>1791.23</v>
      </c>
      <c r="K3471" t="str">
        <f>[1]!revcom(C3471)</f>
        <v>ATTCGA</v>
      </c>
      <c r="L3471">
        <v>5</v>
      </c>
    </row>
    <row r="3472" spans="1:12" ht="15.6" x14ac:dyDescent="0.3">
      <c r="A3472" s="9">
        <v>3461</v>
      </c>
      <c r="B3472" s="1"/>
      <c r="C3472" s="2" t="s">
        <v>3467</v>
      </c>
      <c r="D3472" s="1"/>
      <c r="E3472" s="11">
        <f t="shared" si="271"/>
        <v>22</v>
      </c>
      <c r="F3472" s="12">
        <f t="shared" si="272"/>
        <v>50</v>
      </c>
      <c r="G3472" s="12" t="str">
        <f t="shared" si="273"/>
        <v>Warning</v>
      </c>
      <c r="H3472" s="13">
        <f t="shared" si="274"/>
        <v>6</v>
      </c>
      <c r="I3472" s="14">
        <f t="shared" si="270"/>
        <v>1776.2199999999998</v>
      </c>
      <c r="K3472" t="str">
        <f>[1]!revcom(C3472)</f>
        <v>TGTCGA</v>
      </c>
      <c r="L3472">
        <v>6</v>
      </c>
    </row>
    <row r="3473" spans="1:12" ht="15.6" x14ac:dyDescent="0.3">
      <c r="A3473" s="9">
        <v>3462</v>
      </c>
      <c r="B3473" s="1"/>
      <c r="C3473" s="2" t="s">
        <v>3468</v>
      </c>
      <c r="D3473" s="1"/>
      <c r="E3473" s="11">
        <f t="shared" si="271"/>
        <v>20</v>
      </c>
      <c r="F3473" s="12">
        <f t="shared" si="272"/>
        <v>66.666666666666657</v>
      </c>
      <c r="G3473" s="12" t="str">
        <f t="shared" si="273"/>
        <v>Warning</v>
      </c>
      <c r="H3473" s="13">
        <f t="shared" si="274"/>
        <v>6</v>
      </c>
      <c r="I3473" s="14">
        <f t="shared" si="270"/>
        <v>1752.19</v>
      </c>
      <c r="K3473" t="str">
        <f>[1]!revcom(C3473)</f>
        <v>GGTCGA</v>
      </c>
      <c r="L3473">
        <v>6</v>
      </c>
    </row>
    <row r="3474" spans="1:12" ht="15.6" x14ac:dyDescent="0.3">
      <c r="A3474" s="9">
        <v>3463</v>
      </c>
      <c r="B3474" s="1"/>
      <c r="C3474" s="2" t="s">
        <v>3469</v>
      </c>
      <c r="D3474" s="1"/>
      <c r="E3474" s="11">
        <f t="shared" si="271"/>
        <v>20</v>
      </c>
      <c r="F3474" s="12">
        <f t="shared" si="272"/>
        <v>66.666666666666657</v>
      </c>
      <c r="G3474" s="12" t="str">
        <f t="shared" si="273"/>
        <v>Warning</v>
      </c>
      <c r="H3474" s="13">
        <f t="shared" si="274"/>
        <v>6</v>
      </c>
      <c r="I3474" s="14">
        <f t="shared" si="270"/>
        <v>1792.2199999999998</v>
      </c>
      <c r="K3474" t="str">
        <f>[1]!revcom(C3474)</f>
        <v>CGTCGA</v>
      </c>
      <c r="L3474">
        <v>6</v>
      </c>
    </row>
    <row r="3475" spans="1:12" ht="15.6" x14ac:dyDescent="0.3">
      <c r="A3475" s="9">
        <v>3464</v>
      </c>
      <c r="B3475" s="1"/>
      <c r="C3475" s="2" t="s">
        <v>3470</v>
      </c>
      <c r="D3475" s="1"/>
      <c r="E3475" s="11">
        <f t="shared" si="271"/>
        <v>14</v>
      </c>
      <c r="F3475" s="12">
        <f t="shared" si="272"/>
        <v>50</v>
      </c>
      <c r="G3475" s="12" t="str">
        <f t="shared" si="273"/>
        <v>Warning</v>
      </c>
      <c r="H3475" s="13">
        <f t="shared" si="274"/>
        <v>6</v>
      </c>
      <c r="I3475" s="14">
        <f t="shared" si="270"/>
        <v>1767.1999999999998</v>
      </c>
      <c r="K3475" t="str">
        <f>[1]!revcom(C3475)</f>
        <v>AGTCGA</v>
      </c>
      <c r="L3475">
        <v>5</v>
      </c>
    </row>
    <row r="3476" spans="1:12" ht="15.6" x14ac:dyDescent="0.3">
      <c r="A3476" s="9">
        <v>3465</v>
      </c>
      <c r="B3476" s="1"/>
      <c r="C3476" s="2" t="s">
        <v>3471</v>
      </c>
      <c r="D3476" s="1"/>
      <c r="E3476" s="11">
        <f t="shared" si="271"/>
        <v>22</v>
      </c>
      <c r="F3476" s="12">
        <f t="shared" si="272"/>
        <v>50</v>
      </c>
      <c r="G3476" s="12" t="str">
        <f t="shared" si="273"/>
        <v>Warning</v>
      </c>
      <c r="H3476" s="13">
        <f t="shared" si="274"/>
        <v>6</v>
      </c>
      <c r="I3476" s="14">
        <f t="shared" si="270"/>
        <v>1816.25</v>
      </c>
      <c r="K3476" t="str">
        <f>[1]!revcom(C3476)</f>
        <v>TCTCGA</v>
      </c>
      <c r="L3476">
        <v>6</v>
      </c>
    </row>
    <row r="3477" spans="1:12" ht="15.6" x14ac:dyDescent="0.3">
      <c r="A3477" s="9">
        <v>3466</v>
      </c>
      <c r="B3477" s="1"/>
      <c r="C3477" s="2" t="s">
        <v>3472</v>
      </c>
      <c r="D3477" s="1"/>
      <c r="E3477" s="11">
        <f t="shared" si="271"/>
        <v>20</v>
      </c>
      <c r="F3477" s="12">
        <f t="shared" si="272"/>
        <v>66.666666666666657</v>
      </c>
      <c r="G3477" s="12" t="str">
        <f t="shared" si="273"/>
        <v>Warning</v>
      </c>
      <c r="H3477" s="13">
        <f t="shared" si="274"/>
        <v>6</v>
      </c>
      <c r="I3477" s="14">
        <f t="shared" si="270"/>
        <v>1792.2199999999998</v>
      </c>
      <c r="K3477" t="str">
        <f>[1]!revcom(C3477)</f>
        <v>GCTCGA</v>
      </c>
      <c r="L3477">
        <v>6</v>
      </c>
    </row>
    <row r="3478" spans="1:12" ht="15.6" x14ac:dyDescent="0.3">
      <c r="A3478" s="9">
        <v>3467</v>
      </c>
      <c r="B3478" s="1"/>
      <c r="C3478" s="2" t="s">
        <v>3473</v>
      </c>
      <c r="D3478" s="1"/>
      <c r="E3478" s="11">
        <f t="shared" si="271"/>
        <v>20</v>
      </c>
      <c r="F3478" s="12">
        <f t="shared" si="272"/>
        <v>66.666666666666657</v>
      </c>
      <c r="G3478" s="12" t="str">
        <f t="shared" si="273"/>
        <v>Warning</v>
      </c>
      <c r="H3478" s="13">
        <f t="shared" si="274"/>
        <v>6</v>
      </c>
      <c r="I3478" s="14">
        <f t="shared" si="270"/>
        <v>1832.25</v>
      </c>
      <c r="K3478" t="str">
        <f>[1]!revcom(C3478)</f>
        <v>CCTCGA</v>
      </c>
      <c r="L3478">
        <v>6</v>
      </c>
    </row>
    <row r="3479" spans="1:12" ht="15.6" x14ac:dyDescent="0.3">
      <c r="A3479" s="9">
        <v>3468</v>
      </c>
      <c r="B3479" s="1"/>
      <c r="C3479" s="2" t="s">
        <v>3474</v>
      </c>
      <c r="D3479" s="1"/>
      <c r="E3479" s="11">
        <f t="shared" si="271"/>
        <v>14</v>
      </c>
      <c r="F3479" s="12">
        <f t="shared" si="272"/>
        <v>50</v>
      </c>
      <c r="G3479" s="12" t="str">
        <f t="shared" si="273"/>
        <v>Warning</v>
      </c>
      <c r="H3479" s="13">
        <f t="shared" si="274"/>
        <v>6</v>
      </c>
      <c r="I3479" s="14">
        <f t="shared" si="270"/>
        <v>1807.23</v>
      </c>
      <c r="K3479" t="str">
        <f>[1]!revcom(C3479)</f>
        <v>ACTCGA</v>
      </c>
      <c r="L3479">
        <v>5</v>
      </c>
    </row>
    <row r="3480" spans="1:12" ht="15.6" x14ac:dyDescent="0.3">
      <c r="A3480" s="9">
        <v>3469</v>
      </c>
      <c r="B3480" s="1"/>
      <c r="C3480" s="2" t="s">
        <v>3475</v>
      </c>
      <c r="D3480" s="1"/>
      <c r="E3480" s="11">
        <f t="shared" si="271"/>
        <v>16</v>
      </c>
      <c r="F3480" s="12">
        <f t="shared" si="272"/>
        <v>33.333333333333329</v>
      </c>
      <c r="G3480" s="12" t="str">
        <f t="shared" si="273"/>
        <v>OK</v>
      </c>
      <c r="H3480" s="13">
        <f t="shared" si="274"/>
        <v>6</v>
      </c>
      <c r="I3480" s="14">
        <f t="shared" si="270"/>
        <v>1791.23</v>
      </c>
      <c r="K3480" t="str">
        <f>[1]!revcom(C3480)</f>
        <v>TATCGA</v>
      </c>
      <c r="L3480">
        <v>5</v>
      </c>
    </row>
    <row r="3481" spans="1:12" ht="15.6" x14ac:dyDescent="0.3">
      <c r="A3481" s="9">
        <v>3470</v>
      </c>
      <c r="B3481" s="1"/>
      <c r="C3481" s="2" t="s">
        <v>3476</v>
      </c>
      <c r="D3481" s="1"/>
      <c r="E3481" s="11">
        <f t="shared" si="271"/>
        <v>14</v>
      </c>
      <c r="F3481" s="12">
        <f t="shared" si="272"/>
        <v>50</v>
      </c>
      <c r="G3481" s="12" t="str">
        <f t="shared" si="273"/>
        <v>Warning</v>
      </c>
      <c r="H3481" s="13">
        <f t="shared" si="274"/>
        <v>6</v>
      </c>
      <c r="I3481" s="14">
        <f t="shared" si="270"/>
        <v>1767.1999999999998</v>
      </c>
      <c r="K3481" t="str">
        <f>[1]!revcom(C3481)</f>
        <v>GATCGA</v>
      </c>
      <c r="L3481">
        <v>5</v>
      </c>
    </row>
    <row r="3482" spans="1:12" ht="15.6" x14ac:dyDescent="0.3">
      <c r="A3482" s="9">
        <v>3471</v>
      </c>
      <c r="B3482" s="1"/>
      <c r="C3482" s="2" t="s">
        <v>3477</v>
      </c>
      <c r="D3482" s="1"/>
      <c r="E3482" s="11">
        <f t="shared" si="271"/>
        <v>14</v>
      </c>
      <c r="F3482" s="12">
        <f t="shared" si="272"/>
        <v>50</v>
      </c>
      <c r="G3482" s="12" t="str">
        <f t="shared" si="273"/>
        <v>Warning</v>
      </c>
      <c r="H3482" s="13">
        <f t="shared" si="274"/>
        <v>6</v>
      </c>
      <c r="I3482" s="14">
        <f t="shared" si="270"/>
        <v>1807.23</v>
      </c>
      <c r="K3482" t="str">
        <f>[1]!revcom(C3482)</f>
        <v>CATCGA</v>
      </c>
      <c r="L3482">
        <v>5</v>
      </c>
    </row>
    <row r="3483" spans="1:12" ht="15.6" x14ac:dyDescent="0.3">
      <c r="A3483" s="9">
        <v>3472</v>
      </c>
      <c r="B3483" s="1"/>
      <c r="C3483" s="2" t="s">
        <v>3478</v>
      </c>
      <c r="D3483" s="1"/>
      <c r="E3483" s="11">
        <f t="shared" si="271"/>
        <v>8</v>
      </c>
      <c r="F3483" s="12">
        <f t="shared" si="272"/>
        <v>33.333333333333329</v>
      </c>
      <c r="G3483" s="12" t="str">
        <f t="shared" si="273"/>
        <v>OK</v>
      </c>
      <c r="H3483" s="13">
        <f t="shared" si="274"/>
        <v>6</v>
      </c>
      <c r="I3483" s="14">
        <f t="shared" si="270"/>
        <v>1782.21</v>
      </c>
      <c r="K3483" t="str">
        <f>[1]!revcom(C3483)</f>
        <v>AATCGA</v>
      </c>
      <c r="L3483">
        <v>4</v>
      </c>
    </row>
    <row r="3484" spans="1:12" ht="15.6" x14ac:dyDescent="0.3">
      <c r="A3484" s="9">
        <v>3473</v>
      </c>
      <c r="B3484" s="1"/>
      <c r="C3484" s="2" t="s">
        <v>3479</v>
      </c>
      <c r="D3484" s="1"/>
      <c r="E3484" s="11">
        <f t="shared" si="271"/>
        <v>22</v>
      </c>
      <c r="F3484" s="12">
        <f t="shared" si="272"/>
        <v>50</v>
      </c>
      <c r="G3484" s="12" t="str">
        <f t="shared" si="273"/>
        <v>Warning</v>
      </c>
      <c r="H3484" s="13">
        <f t="shared" si="274"/>
        <v>6</v>
      </c>
      <c r="I3484" s="14">
        <f t="shared" si="270"/>
        <v>1776.2199999999998</v>
      </c>
      <c r="K3484" t="str">
        <f>[1]!revcom(C3484)</f>
        <v>TTGCGA</v>
      </c>
      <c r="L3484">
        <v>6</v>
      </c>
    </row>
    <row r="3485" spans="1:12" ht="15.6" x14ac:dyDescent="0.3">
      <c r="A3485" s="9">
        <v>3474</v>
      </c>
      <c r="B3485" s="1"/>
      <c r="C3485" s="2" t="s">
        <v>3480</v>
      </c>
      <c r="D3485" s="1"/>
      <c r="E3485" s="11">
        <f t="shared" si="271"/>
        <v>20</v>
      </c>
      <c r="F3485" s="12">
        <f t="shared" si="272"/>
        <v>66.666666666666657</v>
      </c>
      <c r="G3485" s="12" t="str">
        <f t="shared" si="273"/>
        <v>Warning</v>
      </c>
      <c r="H3485" s="13">
        <f t="shared" si="274"/>
        <v>6</v>
      </c>
      <c r="I3485" s="14">
        <f t="shared" si="270"/>
        <v>1752.19</v>
      </c>
      <c r="K3485" t="str">
        <f>[1]!revcom(C3485)</f>
        <v>GTGCGA</v>
      </c>
      <c r="L3485">
        <v>6</v>
      </c>
    </row>
    <row r="3486" spans="1:12" ht="15.6" x14ac:dyDescent="0.3">
      <c r="A3486" s="9">
        <v>3475</v>
      </c>
      <c r="B3486" s="1"/>
      <c r="C3486" s="2" t="s">
        <v>3481</v>
      </c>
      <c r="D3486" s="1"/>
      <c r="E3486" s="11">
        <f t="shared" si="271"/>
        <v>20</v>
      </c>
      <c r="F3486" s="12">
        <f t="shared" si="272"/>
        <v>66.666666666666657</v>
      </c>
      <c r="G3486" s="12" t="str">
        <f t="shared" si="273"/>
        <v>Warning</v>
      </c>
      <c r="H3486" s="13">
        <f t="shared" si="274"/>
        <v>6</v>
      </c>
      <c r="I3486" s="14">
        <f t="shared" si="270"/>
        <v>1792.2199999999998</v>
      </c>
      <c r="K3486" t="str">
        <f>[1]!revcom(C3486)</f>
        <v>CTGCGA</v>
      </c>
      <c r="L3486">
        <v>6</v>
      </c>
    </row>
    <row r="3487" spans="1:12" ht="15.6" x14ac:dyDescent="0.3">
      <c r="A3487" s="9">
        <v>3476</v>
      </c>
      <c r="B3487" s="1"/>
      <c r="C3487" s="2" t="s">
        <v>3482</v>
      </c>
      <c r="D3487" s="1"/>
      <c r="E3487" s="11">
        <f t="shared" si="271"/>
        <v>14</v>
      </c>
      <c r="F3487" s="12">
        <f t="shared" si="272"/>
        <v>50</v>
      </c>
      <c r="G3487" s="12" t="str">
        <f t="shared" si="273"/>
        <v>Warning</v>
      </c>
      <c r="H3487" s="13">
        <f t="shared" si="274"/>
        <v>6</v>
      </c>
      <c r="I3487" s="14">
        <f t="shared" si="270"/>
        <v>1767.1999999999998</v>
      </c>
      <c r="K3487" t="str">
        <f>[1]!revcom(C3487)</f>
        <v>ATGCGA</v>
      </c>
      <c r="L3487">
        <v>5</v>
      </c>
    </row>
    <row r="3488" spans="1:12" ht="15.6" x14ac:dyDescent="0.3">
      <c r="A3488" s="9">
        <v>3477</v>
      </c>
      <c r="B3488" s="1"/>
      <c r="C3488" s="2" t="s">
        <v>3483</v>
      </c>
      <c r="D3488" s="1"/>
      <c r="E3488" s="11">
        <f t="shared" si="271"/>
        <v>20</v>
      </c>
      <c r="F3488" s="12">
        <f t="shared" si="272"/>
        <v>66.666666666666657</v>
      </c>
      <c r="G3488" s="12" t="str">
        <f t="shared" si="273"/>
        <v>Warning</v>
      </c>
      <c r="H3488" s="13">
        <f t="shared" si="274"/>
        <v>6</v>
      </c>
      <c r="I3488" s="14">
        <f t="shared" si="270"/>
        <v>1752.19</v>
      </c>
      <c r="K3488" t="str">
        <f>[1]!revcom(C3488)</f>
        <v>TGGCGA</v>
      </c>
      <c r="L3488">
        <v>6</v>
      </c>
    </row>
    <row r="3489" spans="1:12" ht="15.6" x14ac:dyDescent="0.3">
      <c r="A3489" s="9">
        <v>3478</v>
      </c>
      <c r="B3489" s="1"/>
      <c r="C3489" s="2" t="s">
        <v>3484</v>
      </c>
      <c r="D3489" s="1"/>
      <c r="E3489" s="11">
        <f t="shared" si="271"/>
        <v>18</v>
      </c>
      <c r="F3489" s="12">
        <f t="shared" si="272"/>
        <v>83.333333333333343</v>
      </c>
      <c r="G3489" s="12" t="str">
        <f t="shared" si="273"/>
        <v>Warning</v>
      </c>
      <c r="H3489" s="13">
        <f t="shared" si="274"/>
        <v>6</v>
      </c>
      <c r="I3489" s="14">
        <f t="shared" si="270"/>
        <v>1728.1599999999999</v>
      </c>
      <c r="K3489" t="str">
        <f>[1]!revcom(C3489)</f>
        <v>GGGCGA</v>
      </c>
      <c r="L3489">
        <v>5</v>
      </c>
    </row>
    <row r="3490" spans="1:12" ht="15.6" x14ac:dyDescent="0.3">
      <c r="A3490" s="9">
        <v>3479</v>
      </c>
      <c r="B3490" s="1"/>
      <c r="C3490" s="2" t="s">
        <v>3485</v>
      </c>
      <c r="D3490" s="1"/>
      <c r="E3490" s="11">
        <f t="shared" si="271"/>
        <v>18</v>
      </c>
      <c r="F3490" s="12">
        <f t="shared" si="272"/>
        <v>83.333333333333343</v>
      </c>
      <c r="G3490" s="12" t="str">
        <f t="shared" si="273"/>
        <v>Warning</v>
      </c>
      <c r="H3490" s="13">
        <f t="shared" si="274"/>
        <v>6</v>
      </c>
      <c r="I3490" s="14">
        <f t="shared" si="270"/>
        <v>1768.19</v>
      </c>
      <c r="K3490" t="str">
        <f>[1]!revcom(C3490)</f>
        <v>CGGCGA</v>
      </c>
      <c r="L3490">
        <v>5</v>
      </c>
    </row>
    <row r="3491" spans="1:12" ht="15.6" x14ac:dyDescent="0.3">
      <c r="A3491" s="9">
        <v>3480</v>
      </c>
      <c r="B3491" s="1"/>
      <c r="C3491" s="2" t="s">
        <v>3486</v>
      </c>
      <c r="D3491" s="1"/>
      <c r="E3491" s="11">
        <f t="shared" si="271"/>
        <v>12</v>
      </c>
      <c r="F3491" s="12">
        <f t="shared" si="272"/>
        <v>66.666666666666657</v>
      </c>
      <c r="G3491" s="12" t="str">
        <f t="shared" si="273"/>
        <v>Warning</v>
      </c>
      <c r="H3491" s="13">
        <f t="shared" si="274"/>
        <v>6</v>
      </c>
      <c r="I3491" s="14">
        <f t="shared" si="270"/>
        <v>1743.17</v>
      </c>
      <c r="K3491" t="str">
        <f>[1]!revcom(C3491)</f>
        <v>AGGCGA</v>
      </c>
      <c r="L3491">
        <v>4</v>
      </c>
    </row>
    <row r="3492" spans="1:12" ht="15.6" x14ac:dyDescent="0.3">
      <c r="A3492" s="9">
        <v>3481</v>
      </c>
      <c r="B3492" s="1"/>
      <c r="C3492" s="2" t="s">
        <v>3487</v>
      </c>
      <c r="D3492" s="1"/>
      <c r="E3492" s="11">
        <f t="shared" si="271"/>
        <v>20</v>
      </c>
      <c r="F3492" s="12">
        <f t="shared" si="272"/>
        <v>66.666666666666657</v>
      </c>
      <c r="G3492" s="12" t="str">
        <f t="shared" si="273"/>
        <v>Warning</v>
      </c>
      <c r="H3492" s="13">
        <f t="shared" si="274"/>
        <v>6</v>
      </c>
      <c r="I3492" s="14">
        <f t="shared" si="270"/>
        <v>1792.2199999999998</v>
      </c>
      <c r="K3492" t="str">
        <f>[1]!revcom(C3492)</f>
        <v>TCGCGA</v>
      </c>
      <c r="L3492">
        <v>6</v>
      </c>
    </row>
    <row r="3493" spans="1:12" ht="15.6" x14ac:dyDescent="0.3">
      <c r="A3493" s="9">
        <v>3482</v>
      </c>
      <c r="B3493" s="1"/>
      <c r="C3493" s="2" t="s">
        <v>3488</v>
      </c>
      <c r="D3493" s="1"/>
      <c r="E3493" s="11">
        <f t="shared" si="271"/>
        <v>18</v>
      </c>
      <c r="F3493" s="12">
        <f t="shared" si="272"/>
        <v>83.333333333333343</v>
      </c>
      <c r="G3493" s="12" t="str">
        <f t="shared" si="273"/>
        <v>Warning</v>
      </c>
      <c r="H3493" s="13">
        <f t="shared" si="274"/>
        <v>6</v>
      </c>
      <c r="I3493" s="14">
        <f t="shared" si="270"/>
        <v>1768.19</v>
      </c>
      <c r="K3493" t="str">
        <f>[1]!revcom(C3493)</f>
        <v>GCGCGA</v>
      </c>
      <c r="L3493">
        <v>5</v>
      </c>
    </row>
    <row r="3494" spans="1:12" ht="15.6" x14ac:dyDescent="0.3">
      <c r="A3494" s="9">
        <v>3483</v>
      </c>
      <c r="B3494" s="1"/>
      <c r="C3494" s="2" t="s">
        <v>3489</v>
      </c>
      <c r="D3494" s="1"/>
      <c r="E3494" s="11">
        <f t="shared" si="271"/>
        <v>18</v>
      </c>
      <c r="F3494" s="12">
        <f t="shared" si="272"/>
        <v>83.333333333333343</v>
      </c>
      <c r="G3494" s="12" t="str">
        <f t="shared" si="273"/>
        <v>Warning</v>
      </c>
      <c r="H3494" s="13">
        <f t="shared" si="274"/>
        <v>6</v>
      </c>
      <c r="I3494" s="14">
        <f t="shared" si="270"/>
        <v>1808.2200000000003</v>
      </c>
      <c r="K3494" t="str">
        <f>[1]!revcom(C3494)</f>
        <v>CCGCGA</v>
      </c>
      <c r="L3494">
        <v>5</v>
      </c>
    </row>
    <row r="3495" spans="1:12" ht="15.6" x14ac:dyDescent="0.3">
      <c r="A3495" s="9">
        <v>3484</v>
      </c>
      <c r="B3495" s="1"/>
      <c r="C3495" s="2" t="s">
        <v>3490</v>
      </c>
      <c r="D3495" s="1"/>
      <c r="E3495" s="11">
        <f t="shared" si="271"/>
        <v>12</v>
      </c>
      <c r="F3495" s="12">
        <f t="shared" si="272"/>
        <v>66.666666666666657</v>
      </c>
      <c r="G3495" s="12" t="str">
        <f t="shared" si="273"/>
        <v>Warning</v>
      </c>
      <c r="H3495" s="13">
        <f t="shared" si="274"/>
        <v>6</v>
      </c>
      <c r="I3495" s="14">
        <f t="shared" si="270"/>
        <v>1783.1999999999998</v>
      </c>
      <c r="K3495" t="str">
        <f>[1]!revcom(C3495)</f>
        <v>ACGCGA</v>
      </c>
      <c r="L3495">
        <v>4</v>
      </c>
    </row>
    <row r="3496" spans="1:12" ht="15.6" x14ac:dyDescent="0.3">
      <c r="A3496" s="9">
        <v>3485</v>
      </c>
      <c r="B3496" s="1"/>
      <c r="C3496" s="2" t="s">
        <v>3491</v>
      </c>
      <c r="D3496" s="1"/>
      <c r="E3496" s="11">
        <f t="shared" si="271"/>
        <v>14</v>
      </c>
      <c r="F3496" s="12">
        <f t="shared" si="272"/>
        <v>50</v>
      </c>
      <c r="G3496" s="12" t="str">
        <f t="shared" si="273"/>
        <v>Warning</v>
      </c>
      <c r="H3496" s="13">
        <f t="shared" si="274"/>
        <v>6</v>
      </c>
      <c r="I3496" s="14">
        <f t="shared" si="270"/>
        <v>1767.1999999999998</v>
      </c>
      <c r="K3496" t="str">
        <f>[1]!revcom(C3496)</f>
        <v>TAGCGA</v>
      </c>
      <c r="L3496">
        <v>5</v>
      </c>
    </row>
    <row r="3497" spans="1:12" ht="15.6" x14ac:dyDescent="0.3">
      <c r="A3497" s="9">
        <v>3486</v>
      </c>
      <c r="B3497" s="1"/>
      <c r="C3497" s="2" t="s">
        <v>3492</v>
      </c>
      <c r="D3497" s="1"/>
      <c r="E3497" s="11">
        <f t="shared" si="271"/>
        <v>12</v>
      </c>
      <c r="F3497" s="12">
        <f t="shared" si="272"/>
        <v>66.666666666666657</v>
      </c>
      <c r="G3497" s="12" t="str">
        <f t="shared" si="273"/>
        <v>Warning</v>
      </c>
      <c r="H3497" s="13">
        <f t="shared" si="274"/>
        <v>6</v>
      </c>
      <c r="I3497" s="14">
        <f t="shared" si="270"/>
        <v>1743.17</v>
      </c>
      <c r="K3497" t="str">
        <f>[1]!revcom(C3497)</f>
        <v>GAGCGA</v>
      </c>
      <c r="L3497">
        <v>4</v>
      </c>
    </row>
    <row r="3498" spans="1:12" ht="15.6" x14ac:dyDescent="0.3">
      <c r="A3498" s="9">
        <v>3487</v>
      </c>
      <c r="B3498" s="1"/>
      <c r="C3498" s="2" t="s">
        <v>3493</v>
      </c>
      <c r="D3498" s="1"/>
      <c r="E3498" s="11">
        <f t="shared" si="271"/>
        <v>12</v>
      </c>
      <c r="F3498" s="12">
        <f t="shared" si="272"/>
        <v>66.666666666666657</v>
      </c>
      <c r="G3498" s="12" t="str">
        <f t="shared" si="273"/>
        <v>Warning</v>
      </c>
      <c r="H3498" s="13">
        <f t="shared" si="274"/>
        <v>6</v>
      </c>
      <c r="I3498" s="14">
        <f t="shared" si="270"/>
        <v>1783.1999999999998</v>
      </c>
      <c r="K3498" t="str">
        <f>[1]!revcom(C3498)</f>
        <v>CAGCGA</v>
      </c>
      <c r="L3498">
        <v>4</v>
      </c>
    </row>
    <row r="3499" spans="1:12" ht="15.6" x14ac:dyDescent="0.3">
      <c r="A3499" s="9">
        <v>3488</v>
      </c>
      <c r="B3499" s="1"/>
      <c r="C3499" s="2" t="s">
        <v>3494</v>
      </c>
      <c r="D3499" s="1"/>
      <c r="E3499" s="11">
        <f t="shared" si="271"/>
        <v>6</v>
      </c>
      <c r="F3499" s="12">
        <f t="shared" si="272"/>
        <v>50</v>
      </c>
      <c r="G3499" s="12" t="str">
        <f t="shared" si="273"/>
        <v>Warning</v>
      </c>
      <c r="H3499" s="13">
        <f t="shared" si="274"/>
        <v>6</v>
      </c>
      <c r="I3499" s="14">
        <f t="shared" si="270"/>
        <v>1758.1799999999998</v>
      </c>
      <c r="K3499" t="str">
        <f>[1]!revcom(C3499)</f>
        <v>AAGCGA</v>
      </c>
      <c r="L3499">
        <v>3</v>
      </c>
    </row>
    <row r="3500" spans="1:12" ht="15.6" x14ac:dyDescent="0.3">
      <c r="A3500" s="9">
        <v>3489</v>
      </c>
      <c r="B3500" s="1"/>
      <c r="C3500" s="2" t="s">
        <v>3495</v>
      </c>
      <c r="D3500" s="1"/>
      <c r="E3500" s="11">
        <f t="shared" si="271"/>
        <v>22</v>
      </c>
      <c r="F3500" s="12">
        <f t="shared" si="272"/>
        <v>50</v>
      </c>
      <c r="G3500" s="12" t="str">
        <f t="shared" si="273"/>
        <v>Warning</v>
      </c>
      <c r="H3500" s="13">
        <f t="shared" si="274"/>
        <v>6</v>
      </c>
      <c r="I3500" s="14">
        <f t="shared" si="270"/>
        <v>1816.25</v>
      </c>
      <c r="K3500" t="str">
        <f>[1]!revcom(C3500)</f>
        <v>TTCCGA</v>
      </c>
      <c r="L3500">
        <v>6</v>
      </c>
    </row>
    <row r="3501" spans="1:12" ht="15.6" x14ac:dyDescent="0.3">
      <c r="A3501" s="9">
        <v>3490</v>
      </c>
      <c r="B3501" s="1"/>
      <c r="C3501" s="2" t="s">
        <v>3496</v>
      </c>
      <c r="D3501" s="1"/>
      <c r="E3501" s="11">
        <f t="shared" si="271"/>
        <v>20</v>
      </c>
      <c r="F3501" s="12">
        <f t="shared" si="272"/>
        <v>66.666666666666657</v>
      </c>
      <c r="G3501" s="12" t="str">
        <f t="shared" si="273"/>
        <v>Warning</v>
      </c>
      <c r="H3501" s="13">
        <f t="shared" si="274"/>
        <v>6</v>
      </c>
      <c r="I3501" s="14">
        <f t="shared" si="270"/>
        <v>1792.2199999999998</v>
      </c>
      <c r="K3501" t="str">
        <f>[1]!revcom(C3501)</f>
        <v>GTCCGA</v>
      </c>
      <c r="L3501">
        <v>6</v>
      </c>
    </row>
    <row r="3502" spans="1:12" ht="15.6" x14ac:dyDescent="0.3">
      <c r="A3502" s="9">
        <v>3491</v>
      </c>
      <c r="B3502" s="1"/>
      <c r="C3502" s="2" t="s">
        <v>3497</v>
      </c>
      <c r="D3502" s="1"/>
      <c r="E3502" s="11">
        <f t="shared" si="271"/>
        <v>20</v>
      </c>
      <c r="F3502" s="12">
        <f t="shared" si="272"/>
        <v>66.666666666666657</v>
      </c>
      <c r="G3502" s="12" t="str">
        <f t="shared" si="273"/>
        <v>Warning</v>
      </c>
      <c r="H3502" s="13">
        <f t="shared" si="274"/>
        <v>6</v>
      </c>
      <c r="I3502" s="14">
        <f t="shared" si="270"/>
        <v>1832.25</v>
      </c>
      <c r="K3502" t="str">
        <f>[1]!revcom(C3502)</f>
        <v>CTCCGA</v>
      </c>
      <c r="L3502">
        <v>6</v>
      </c>
    </row>
    <row r="3503" spans="1:12" ht="15.6" x14ac:dyDescent="0.3">
      <c r="A3503" s="9">
        <v>3492</v>
      </c>
      <c r="B3503" s="1"/>
      <c r="C3503" s="2" t="s">
        <v>3498</v>
      </c>
      <c r="D3503" s="1"/>
      <c r="E3503" s="11">
        <f t="shared" si="271"/>
        <v>14</v>
      </c>
      <c r="F3503" s="12">
        <f t="shared" si="272"/>
        <v>50</v>
      </c>
      <c r="G3503" s="12" t="str">
        <f t="shared" si="273"/>
        <v>Warning</v>
      </c>
      <c r="H3503" s="13">
        <f t="shared" si="274"/>
        <v>6</v>
      </c>
      <c r="I3503" s="14">
        <f t="shared" si="270"/>
        <v>1807.23</v>
      </c>
      <c r="K3503" t="str">
        <f>[1]!revcom(C3503)</f>
        <v>ATCCGA</v>
      </c>
      <c r="L3503">
        <v>5</v>
      </c>
    </row>
    <row r="3504" spans="1:12" ht="15.6" x14ac:dyDescent="0.3">
      <c r="A3504" s="9">
        <v>3493</v>
      </c>
      <c r="B3504" s="1"/>
      <c r="C3504" s="2" t="s">
        <v>3499</v>
      </c>
      <c r="D3504" s="1"/>
      <c r="E3504" s="11">
        <f t="shared" si="271"/>
        <v>20</v>
      </c>
      <c r="F3504" s="12">
        <f t="shared" si="272"/>
        <v>66.666666666666657</v>
      </c>
      <c r="G3504" s="12" t="str">
        <f t="shared" si="273"/>
        <v>Warning</v>
      </c>
      <c r="H3504" s="13">
        <f t="shared" si="274"/>
        <v>6</v>
      </c>
      <c r="I3504" s="14">
        <f t="shared" si="270"/>
        <v>1792.2199999999998</v>
      </c>
      <c r="K3504" t="str">
        <f>[1]!revcom(C3504)</f>
        <v>TGCCGA</v>
      </c>
      <c r="L3504">
        <v>6</v>
      </c>
    </row>
    <row r="3505" spans="1:12" ht="15.6" x14ac:dyDescent="0.3">
      <c r="A3505" s="9">
        <v>3494</v>
      </c>
      <c r="B3505" s="1"/>
      <c r="C3505" s="2" t="s">
        <v>3500</v>
      </c>
      <c r="D3505" s="1"/>
      <c r="E3505" s="11">
        <f t="shared" si="271"/>
        <v>18</v>
      </c>
      <c r="F3505" s="12">
        <f t="shared" si="272"/>
        <v>83.333333333333343</v>
      </c>
      <c r="G3505" s="12" t="str">
        <f t="shared" si="273"/>
        <v>Warning</v>
      </c>
      <c r="H3505" s="13">
        <f t="shared" si="274"/>
        <v>6</v>
      </c>
      <c r="I3505" s="14">
        <f t="shared" si="270"/>
        <v>1768.19</v>
      </c>
      <c r="K3505" t="str">
        <f>[1]!revcom(C3505)</f>
        <v>GGCCGA</v>
      </c>
      <c r="L3505">
        <v>5</v>
      </c>
    </row>
    <row r="3506" spans="1:12" ht="15.6" x14ac:dyDescent="0.3">
      <c r="A3506" s="9">
        <v>3495</v>
      </c>
      <c r="B3506" s="1"/>
      <c r="C3506" s="2" t="s">
        <v>3501</v>
      </c>
      <c r="D3506" s="1"/>
      <c r="E3506" s="11">
        <f t="shared" si="271"/>
        <v>18</v>
      </c>
      <c r="F3506" s="12">
        <f t="shared" si="272"/>
        <v>83.333333333333343</v>
      </c>
      <c r="G3506" s="12" t="str">
        <f t="shared" si="273"/>
        <v>Warning</v>
      </c>
      <c r="H3506" s="13">
        <f t="shared" si="274"/>
        <v>6</v>
      </c>
      <c r="I3506" s="14">
        <f t="shared" si="270"/>
        <v>1808.2200000000003</v>
      </c>
      <c r="K3506" t="str">
        <f>[1]!revcom(C3506)</f>
        <v>CGCCGA</v>
      </c>
      <c r="L3506">
        <v>5</v>
      </c>
    </row>
    <row r="3507" spans="1:12" ht="15.6" x14ac:dyDescent="0.3">
      <c r="A3507" s="9">
        <v>3496</v>
      </c>
      <c r="B3507" s="1"/>
      <c r="C3507" s="2" t="s">
        <v>3502</v>
      </c>
      <c r="D3507" s="1"/>
      <c r="E3507" s="11">
        <f t="shared" si="271"/>
        <v>12</v>
      </c>
      <c r="F3507" s="12">
        <f t="shared" si="272"/>
        <v>66.666666666666657</v>
      </c>
      <c r="G3507" s="12" t="str">
        <f t="shared" si="273"/>
        <v>Warning</v>
      </c>
      <c r="H3507" s="13">
        <f t="shared" si="274"/>
        <v>6</v>
      </c>
      <c r="I3507" s="14">
        <f t="shared" si="270"/>
        <v>1783.1999999999998</v>
      </c>
      <c r="K3507" t="str">
        <f>[1]!revcom(C3507)</f>
        <v>AGCCGA</v>
      </c>
      <c r="L3507">
        <v>4</v>
      </c>
    </row>
    <row r="3508" spans="1:12" ht="15.6" x14ac:dyDescent="0.3">
      <c r="A3508" s="9">
        <v>3497</v>
      </c>
      <c r="B3508" s="1"/>
      <c r="C3508" s="2" t="s">
        <v>3503</v>
      </c>
      <c r="D3508" s="1"/>
      <c r="E3508" s="11">
        <f t="shared" si="271"/>
        <v>20</v>
      </c>
      <c r="F3508" s="12">
        <f t="shared" si="272"/>
        <v>66.666666666666657</v>
      </c>
      <c r="G3508" s="12" t="str">
        <f t="shared" si="273"/>
        <v>Warning</v>
      </c>
      <c r="H3508" s="13">
        <f t="shared" si="274"/>
        <v>6</v>
      </c>
      <c r="I3508" s="14">
        <f t="shared" si="270"/>
        <v>1832.25</v>
      </c>
      <c r="K3508" t="str">
        <f>[1]!revcom(C3508)</f>
        <v>TCCCGA</v>
      </c>
      <c r="L3508">
        <v>6</v>
      </c>
    </row>
    <row r="3509" spans="1:12" ht="15.6" x14ac:dyDescent="0.3">
      <c r="A3509" s="9">
        <v>3498</v>
      </c>
      <c r="B3509" s="1"/>
      <c r="C3509" s="2" t="s">
        <v>3504</v>
      </c>
      <c r="D3509" s="1"/>
      <c r="E3509" s="11">
        <f t="shared" si="271"/>
        <v>18</v>
      </c>
      <c r="F3509" s="12">
        <f t="shared" si="272"/>
        <v>83.333333333333343</v>
      </c>
      <c r="G3509" s="12" t="str">
        <f t="shared" si="273"/>
        <v>Warning</v>
      </c>
      <c r="H3509" s="13">
        <f t="shared" si="274"/>
        <v>6</v>
      </c>
      <c r="I3509" s="14">
        <f t="shared" si="270"/>
        <v>1808.2200000000003</v>
      </c>
      <c r="K3509" t="str">
        <f>[1]!revcom(C3509)</f>
        <v>GCCCGA</v>
      </c>
      <c r="L3509">
        <v>5</v>
      </c>
    </row>
    <row r="3510" spans="1:12" ht="15.6" x14ac:dyDescent="0.3">
      <c r="A3510" s="9">
        <v>3499</v>
      </c>
      <c r="B3510" s="1"/>
      <c r="C3510" s="2" t="s">
        <v>3505</v>
      </c>
      <c r="D3510" s="1"/>
      <c r="E3510" s="11">
        <f t="shared" si="271"/>
        <v>18</v>
      </c>
      <c r="F3510" s="12">
        <f t="shared" si="272"/>
        <v>83.333333333333343</v>
      </c>
      <c r="G3510" s="12" t="str">
        <f t="shared" si="273"/>
        <v>Warning</v>
      </c>
      <c r="H3510" s="13">
        <f t="shared" si="274"/>
        <v>6</v>
      </c>
      <c r="I3510" s="14">
        <f t="shared" si="270"/>
        <v>1848.25</v>
      </c>
      <c r="K3510" t="str">
        <f>[1]!revcom(C3510)</f>
        <v>CCCCGA</v>
      </c>
      <c r="L3510">
        <v>5</v>
      </c>
    </row>
    <row r="3511" spans="1:12" ht="15.6" x14ac:dyDescent="0.3">
      <c r="A3511" s="9">
        <v>3500</v>
      </c>
      <c r="B3511" s="1"/>
      <c r="C3511" s="2" t="s">
        <v>3506</v>
      </c>
      <c r="D3511" s="1"/>
      <c r="E3511" s="11">
        <f t="shared" si="271"/>
        <v>12</v>
      </c>
      <c r="F3511" s="12">
        <f t="shared" si="272"/>
        <v>66.666666666666657</v>
      </c>
      <c r="G3511" s="12" t="str">
        <f t="shared" si="273"/>
        <v>Warning</v>
      </c>
      <c r="H3511" s="13">
        <f t="shared" si="274"/>
        <v>6</v>
      </c>
      <c r="I3511" s="14">
        <f t="shared" si="270"/>
        <v>1823.23</v>
      </c>
      <c r="K3511" t="str">
        <f>[1]!revcom(C3511)</f>
        <v>ACCCGA</v>
      </c>
      <c r="L3511">
        <v>4</v>
      </c>
    </row>
    <row r="3512" spans="1:12" ht="15.6" x14ac:dyDescent="0.3">
      <c r="A3512" s="9">
        <v>3501</v>
      </c>
      <c r="B3512" s="1"/>
      <c r="C3512" s="2" t="s">
        <v>3507</v>
      </c>
      <c r="D3512" s="1"/>
      <c r="E3512" s="11">
        <f t="shared" si="271"/>
        <v>14</v>
      </c>
      <c r="F3512" s="12">
        <f t="shared" si="272"/>
        <v>50</v>
      </c>
      <c r="G3512" s="12" t="str">
        <f t="shared" si="273"/>
        <v>Warning</v>
      </c>
      <c r="H3512" s="13">
        <f t="shared" si="274"/>
        <v>6</v>
      </c>
      <c r="I3512" s="14">
        <f t="shared" si="270"/>
        <v>1807.23</v>
      </c>
      <c r="K3512" t="str">
        <f>[1]!revcom(C3512)</f>
        <v>TACCGA</v>
      </c>
      <c r="L3512">
        <v>5</v>
      </c>
    </row>
    <row r="3513" spans="1:12" ht="15.6" x14ac:dyDescent="0.3">
      <c r="A3513" s="9">
        <v>3502</v>
      </c>
      <c r="B3513" s="1"/>
      <c r="C3513" s="2" t="s">
        <v>3508</v>
      </c>
      <c r="D3513" s="1"/>
      <c r="E3513" s="11">
        <f t="shared" si="271"/>
        <v>12</v>
      </c>
      <c r="F3513" s="12">
        <f t="shared" si="272"/>
        <v>66.666666666666657</v>
      </c>
      <c r="G3513" s="12" t="str">
        <f t="shared" si="273"/>
        <v>Warning</v>
      </c>
      <c r="H3513" s="13">
        <f t="shared" si="274"/>
        <v>6</v>
      </c>
      <c r="I3513" s="14">
        <f t="shared" si="270"/>
        <v>1783.1999999999998</v>
      </c>
      <c r="K3513" t="str">
        <f>[1]!revcom(C3513)</f>
        <v>GACCGA</v>
      </c>
      <c r="L3513">
        <v>4</v>
      </c>
    </row>
    <row r="3514" spans="1:12" ht="15.6" x14ac:dyDescent="0.3">
      <c r="A3514" s="9">
        <v>3503</v>
      </c>
      <c r="B3514" s="1"/>
      <c r="C3514" s="2" t="s">
        <v>3509</v>
      </c>
      <c r="D3514" s="1"/>
      <c r="E3514" s="11">
        <f t="shared" si="271"/>
        <v>12</v>
      </c>
      <c r="F3514" s="12">
        <f t="shared" si="272"/>
        <v>66.666666666666657</v>
      </c>
      <c r="G3514" s="12" t="str">
        <f t="shared" si="273"/>
        <v>Warning</v>
      </c>
      <c r="H3514" s="13">
        <f t="shared" si="274"/>
        <v>6</v>
      </c>
      <c r="I3514" s="14">
        <f t="shared" si="270"/>
        <v>1823.23</v>
      </c>
      <c r="K3514" t="str">
        <f>[1]!revcom(C3514)</f>
        <v>CACCGA</v>
      </c>
      <c r="L3514">
        <v>4</v>
      </c>
    </row>
    <row r="3515" spans="1:12" ht="15.6" x14ac:dyDescent="0.3">
      <c r="A3515" s="9">
        <v>3504</v>
      </c>
      <c r="B3515" s="1"/>
      <c r="C3515" s="2" t="s">
        <v>3510</v>
      </c>
      <c r="D3515" s="1"/>
      <c r="E3515" s="11">
        <f t="shared" si="271"/>
        <v>6</v>
      </c>
      <c r="F3515" s="12">
        <f t="shared" si="272"/>
        <v>50</v>
      </c>
      <c r="G3515" s="12" t="str">
        <f t="shared" si="273"/>
        <v>Warning</v>
      </c>
      <c r="H3515" s="13">
        <f t="shared" si="274"/>
        <v>6</v>
      </c>
      <c r="I3515" s="14">
        <f t="shared" si="270"/>
        <v>1798.21</v>
      </c>
      <c r="K3515" t="str">
        <f>[1]!revcom(C3515)</f>
        <v>AACCGA</v>
      </c>
      <c r="L3515">
        <v>3</v>
      </c>
    </row>
    <row r="3516" spans="1:12" ht="15.6" x14ac:dyDescent="0.3">
      <c r="A3516" s="9">
        <v>3505</v>
      </c>
      <c r="B3516" s="1"/>
      <c r="C3516" s="2" t="s">
        <v>3511</v>
      </c>
      <c r="D3516" s="1"/>
      <c r="E3516" s="11">
        <f t="shared" si="271"/>
        <v>16</v>
      </c>
      <c r="F3516" s="12">
        <f t="shared" si="272"/>
        <v>33.333333333333329</v>
      </c>
      <c r="G3516" s="12" t="str">
        <f t="shared" si="273"/>
        <v>OK</v>
      </c>
      <c r="H3516" s="13">
        <f t="shared" si="274"/>
        <v>6</v>
      </c>
      <c r="I3516" s="14">
        <f t="shared" si="270"/>
        <v>1791.23</v>
      </c>
      <c r="K3516" t="str">
        <f>[1]!revcom(C3516)</f>
        <v>TTACGA</v>
      </c>
      <c r="L3516">
        <v>5</v>
      </c>
    </row>
    <row r="3517" spans="1:12" ht="15.6" x14ac:dyDescent="0.3">
      <c r="A3517" s="9">
        <v>3506</v>
      </c>
      <c r="B3517" s="1"/>
      <c r="C3517" s="2" t="s">
        <v>3512</v>
      </c>
      <c r="D3517" s="1"/>
      <c r="E3517" s="11">
        <f t="shared" si="271"/>
        <v>14</v>
      </c>
      <c r="F3517" s="12">
        <f t="shared" si="272"/>
        <v>50</v>
      </c>
      <c r="G3517" s="12" t="str">
        <f t="shared" si="273"/>
        <v>Warning</v>
      </c>
      <c r="H3517" s="13">
        <f t="shared" si="274"/>
        <v>6</v>
      </c>
      <c r="I3517" s="14">
        <f t="shared" si="270"/>
        <v>1767.1999999999998</v>
      </c>
      <c r="K3517" t="str">
        <f>[1]!revcom(C3517)</f>
        <v>GTACGA</v>
      </c>
      <c r="L3517">
        <v>5</v>
      </c>
    </row>
    <row r="3518" spans="1:12" ht="15.6" x14ac:dyDescent="0.3">
      <c r="A3518" s="9">
        <v>3507</v>
      </c>
      <c r="B3518" s="1"/>
      <c r="C3518" s="2" t="s">
        <v>3513</v>
      </c>
      <c r="D3518" s="1"/>
      <c r="E3518" s="11">
        <f t="shared" si="271"/>
        <v>14</v>
      </c>
      <c r="F3518" s="12">
        <f t="shared" si="272"/>
        <v>50</v>
      </c>
      <c r="G3518" s="12" t="str">
        <f t="shared" si="273"/>
        <v>Warning</v>
      </c>
      <c r="H3518" s="13">
        <f t="shared" si="274"/>
        <v>6</v>
      </c>
      <c r="I3518" s="14">
        <f t="shared" si="270"/>
        <v>1807.23</v>
      </c>
      <c r="K3518" t="str">
        <f>[1]!revcom(C3518)</f>
        <v>CTACGA</v>
      </c>
      <c r="L3518">
        <v>5</v>
      </c>
    </row>
    <row r="3519" spans="1:12" ht="15.6" x14ac:dyDescent="0.3">
      <c r="A3519" s="9">
        <v>3508</v>
      </c>
      <c r="B3519" s="1"/>
      <c r="C3519" s="2" t="s">
        <v>3514</v>
      </c>
      <c r="D3519" s="1"/>
      <c r="E3519" s="11">
        <f t="shared" si="271"/>
        <v>8</v>
      </c>
      <c r="F3519" s="12">
        <f t="shared" si="272"/>
        <v>33.333333333333329</v>
      </c>
      <c r="G3519" s="12" t="str">
        <f t="shared" si="273"/>
        <v>OK</v>
      </c>
      <c r="H3519" s="13">
        <f t="shared" si="274"/>
        <v>6</v>
      </c>
      <c r="I3519" s="14">
        <f t="shared" si="270"/>
        <v>1782.21</v>
      </c>
      <c r="K3519" t="str">
        <f>[1]!revcom(C3519)</f>
        <v>ATACGA</v>
      </c>
      <c r="L3519">
        <v>4</v>
      </c>
    </row>
    <row r="3520" spans="1:12" ht="15.6" x14ac:dyDescent="0.3">
      <c r="A3520" s="9">
        <v>3509</v>
      </c>
      <c r="B3520" s="1"/>
      <c r="C3520" s="2" t="s">
        <v>3515</v>
      </c>
      <c r="D3520" s="1"/>
      <c r="E3520" s="11">
        <f t="shared" si="271"/>
        <v>14</v>
      </c>
      <c r="F3520" s="12">
        <f t="shared" si="272"/>
        <v>50</v>
      </c>
      <c r="G3520" s="12" t="str">
        <f t="shared" si="273"/>
        <v>Warning</v>
      </c>
      <c r="H3520" s="13">
        <f t="shared" si="274"/>
        <v>6</v>
      </c>
      <c r="I3520" s="14">
        <f t="shared" si="270"/>
        <v>1767.1999999999998</v>
      </c>
      <c r="K3520" t="str">
        <f>[1]!revcom(C3520)</f>
        <v>TGACGA</v>
      </c>
      <c r="L3520">
        <v>5</v>
      </c>
    </row>
    <row r="3521" spans="1:12" ht="15.6" x14ac:dyDescent="0.3">
      <c r="A3521" s="9">
        <v>3510</v>
      </c>
      <c r="B3521" s="1"/>
      <c r="C3521" s="2" t="s">
        <v>3516</v>
      </c>
      <c r="D3521" s="1"/>
      <c r="E3521" s="11">
        <f t="shared" si="271"/>
        <v>12</v>
      </c>
      <c r="F3521" s="12">
        <f t="shared" si="272"/>
        <v>66.666666666666657</v>
      </c>
      <c r="G3521" s="12" t="str">
        <f t="shared" si="273"/>
        <v>Warning</v>
      </c>
      <c r="H3521" s="13">
        <f t="shared" si="274"/>
        <v>6</v>
      </c>
      <c r="I3521" s="14">
        <f t="shared" si="270"/>
        <v>1743.17</v>
      </c>
      <c r="K3521" t="str">
        <f>[1]!revcom(C3521)</f>
        <v>GGACGA</v>
      </c>
      <c r="L3521">
        <v>4</v>
      </c>
    </row>
    <row r="3522" spans="1:12" ht="15.6" x14ac:dyDescent="0.3">
      <c r="A3522" s="9">
        <v>3511</v>
      </c>
      <c r="B3522" s="1"/>
      <c r="C3522" s="2" t="s">
        <v>3517</v>
      </c>
      <c r="D3522" s="1"/>
      <c r="E3522" s="11">
        <f t="shared" si="271"/>
        <v>12</v>
      </c>
      <c r="F3522" s="12">
        <f t="shared" si="272"/>
        <v>66.666666666666657</v>
      </c>
      <c r="G3522" s="12" t="str">
        <f t="shared" si="273"/>
        <v>Warning</v>
      </c>
      <c r="H3522" s="13">
        <f t="shared" si="274"/>
        <v>6</v>
      </c>
      <c r="I3522" s="14">
        <f t="shared" si="270"/>
        <v>1783.1999999999998</v>
      </c>
      <c r="K3522" t="str">
        <f>[1]!revcom(C3522)</f>
        <v>CGACGA</v>
      </c>
      <c r="L3522">
        <v>4</v>
      </c>
    </row>
    <row r="3523" spans="1:12" ht="15.6" x14ac:dyDescent="0.3">
      <c r="A3523" s="9">
        <v>3512</v>
      </c>
      <c r="B3523" s="1"/>
      <c r="C3523" s="2" t="s">
        <v>3518</v>
      </c>
      <c r="D3523" s="1"/>
      <c r="E3523" s="11">
        <f t="shared" si="271"/>
        <v>6</v>
      </c>
      <c r="F3523" s="12">
        <f t="shared" si="272"/>
        <v>50</v>
      </c>
      <c r="G3523" s="12" t="str">
        <f t="shared" si="273"/>
        <v>Warning</v>
      </c>
      <c r="H3523" s="13">
        <f t="shared" si="274"/>
        <v>6</v>
      </c>
      <c r="I3523" s="14">
        <f t="shared" si="270"/>
        <v>1758.1799999999998</v>
      </c>
      <c r="K3523" t="str">
        <f>[1]!revcom(C3523)</f>
        <v>AGACGA</v>
      </c>
      <c r="L3523">
        <v>3</v>
      </c>
    </row>
    <row r="3524" spans="1:12" ht="15.6" x14ac:dyDescent="0.3">
      <c r="A3524" s="9">
        <v>3513</v>
      </c>
      <c r="B3524" s="1"/>
      <c r="C3524" s="2" t="s">
        <v>3519</v>
      </c>
      <c r="D3524" s="1"/>
      <c r="E3524" s="11">
        <f t="shared" si="271"/>
        <v>14</v>
      </c>
      <c r="F3524" s="12">
        <f t="shared" si="272"/>
        <v>50</v>
      </c>
      <c r="G3524" s="12" t="str">
        <f t="shared" si="273"/>
        <v>Warning</v>
      </c>
      <c r="H3524" s="13">
        <f t="shared" si="274"/>
        <v>6</v>
      </c>
      <c r="I3524" s="14">
        <f t="shared" si="270"/>
        <v>1807.23</v>
      </c>
      <c r="K3524" t="str">
        <f>[1]!revcom(C3524)</f>
        <v>TCACGA</v>
      </c>
      <c r="L3524">
        <v>5</v>
      </c>
    </row>
    <row r="3525" spans="1:12" ht="15.6" x14ac:dyDescent="0.3">
      <c r="A3525" s="9">
        <v>3514</v>
      </c>
      <c r="B3525" s="1"/>
      <c r="C3525" s="2" t="s">
        <v>3520</v>
      </c>
      <c r="D3525" s="1"/>
      <c r="E3525" s="11">
        <f t="shared" si="271"/>
        <v>12</v>
      </c>
      <c r="F3525" s="12">
        <f t="shared" si="272"/>
        <v>66.666666666666657</v>
      </c>
      <c r="G3525" s="12" t="str">
        <f t="shared" si="273"/>
        <v>Warning</v>
      </c>
      <c r="H3525" s="13">
        <f t="shared" si="274"/>
        <v>6</v>
      </c>
      <c r="I3525" s="14">
        <f t="shared" si="270"/>
        <v>1783.1999999999998</v>
      </c>
      <c r="K3525" t="str">
        <f>[1]!revcom(C3525)</f>
        <v>GCACGA</v>
      </c>
      <c r="L3525">
        <v>4</v>
      </c>
    </row>
    <row r="3526" spans="1:12" ht="15.6" x14ac:dyDescent="0.3">
      <c r="A3526" s="9">
        <v>3515</v>
      </c>
      <c r="B3526" s="1"/>
      <c r="C3526" s="2" t="s">
        <v>3521</v>
      </c>
      <c r="D3526" s="1"/>
      <c r="E3526" s="11">
        <f t="shared" si="271"/>
        <v>12</v>
      </c>
      <c r="F3526" s="12">
        <f t="shared" si="272"/>
        <v>66.666666666666657</v>
      </c>
      <c r="G3526" s="12" t="str">
        <f t="shared" si="273"/>
        <v>Warning</v>
      </c>
      <c r="H3526" s="13">
        <f t="shared" si="274"/>
        <v>6</v>
      </c>
      <c r="I3526" s="14">
        <f t="shared" si="270"/>
        <v>1823.23</v>
      </c>
      <c r="K3526" t="str">
        <f>[1]!revcom(C3526)</f>
        <v>CCACGA</v>
      </c>
      <c r="L3526">
        <v>4</v>
      </c>
    </row>
    <row r="3527" spans="1:12" ht="15.6" x14ac:dyDescent="0.3">
      <c r="A3527" s="9">
        <v>3516</v>
      </c>
      <c r="B3527" s="1"/>
      <c r="C3527" s="2" t="s">
        <v>3522</v>
      </c>
      <c r="D3527" s="1"/>
      <c r="E3527" s="11">
        <f t="shared" si="271"/>
        <v>6</v>
      </c>
      <c r="F3527" s="12">
        <f t="shared" si="272"/>
        <v>50</v>
      </c>
      <c r="G3527" s="12" t="str">
        <f t="shared" si="273"/>
        <v>Warning</v>
      </c>
      <c r="H3527" s="13">
        <f t="shared" si="274"/>
        <v>6</v>
      </c>
      <c r="I3527" s="14">
        <f t="shared" si="270"/>
        <v>1798.21</v>
      </c>
      <c r="K3527" t="str">
        <f>[1]!revcom(C3527)</f>
        <v>ACACGA</v>
      </c>
      <c r="L3527">
        <v>3</v>
      </c>
    </row>
    <row r="3528" spans="1:12" ht="15.6" x14ac:dyDescent="0.3">
      <c r="A3528" s="9">
        <v>3517</v>
      </c>
      <c r="B3528" s="1"/>
      <c r="C3528" s="2" t="s">
        <v>3523</v>
      </c>
      <c r="D3528" s="1"/>
      <c r="E3528" s="11">
        <f t="shared" si="271"/>
        <v>8</v>
      </c>
      <c r="F3528" s="12">
        <f t="shared" si="272"/>
        <v>33.333333333333329</v>
      </c>
      <c r="G3528" s="12" t="str">
        <f t="shared" si="273"/>
        <v>OK</v>
      </c>
      <c r="H3528" s="13">
        <f t="shared" si="274"/>
        <v>6</v>
      </c>
      <c r="I3528" s="14">
        <f t="shared" si="270"/>
        <v>1782.21</v>
      </c>
      <c r="K3528" t="str">
        <f>[1]!revcom(C3528)</f>
        <v>TAACGA</v>
      </c>
      <c r="L3528">
        <v>4</v>
      </c>
    </row>
    <row r="3529" spans="1:12" ht="15.6" x14ac:dyDescent="0.3">
      <c r="A3529" s="9">
        <v>3518</v>
      </c>
      <c r="B3529" s="1"/>
      <c r="C3529" s="2" t="s">
        <v>3524</v>
      </c>
      <c r="D3529" s="1"/>
      <c r="E3529" s="11">
        <f t="shared" si="271"/>
        <v>6</v>
      </c>
      <c r="F3529" s="12">
        <f t="shared" si="272"/>
        <v>50</v>
      </c>
      <c r="G3529" s="12" t="str">
        <f t="shared" si="273"/>
        <v>Warning</v>
      </c>
      <c r="H3529" s="13">
        <f t="shared" si="274"/>
        <v>6</v>
      </c>
      <c r="I3529" s="14">
        <f t="shared" si="270"/>
        <v>1758.1799999999998</v>
      </c>
      <c r="K3529" t="str">
        <f>[1]!revcom(C3529)</f>
        <v>GAACGA</v>
      </c>
      <c r="L3529">
        <v>3</v>
      </c>
    </row>
    <row r="3530" spans="1:12" ht="15.6" x14ac:dyDescent="0.3">
      <c r="A3530" s="9">
        <v>3519</v>
      </c>
      <c r="B3530" s="1"/>
      <c r="C3530" s="2" t="s">
        <v>3525</v>
      </c>
      <c r="D3530" s="1"/>
      <c r="E3530" s="11">
        <f t="shared" si="271"/>
        <v>6</v>
      </c>
      <c r="F3530" s="12">
        <f t="shared" si="272"/>
        <v>50</v>
      </c>
      <c r="G3530" s="12" t="str">
        <f t="shared" si="273"/>
        <v>Warning</v>
      </c>
      <c r="H3530" s="13">
        <f t="shared" si="274"/>
        <v>6</v>
      </c>
      <c r="I3530" s="14">
        <f t="shared" si="270"/>
        <v>1798.21</v>
      </c>
      <c r="K3530" t="str">
        <f>[1]!revcom(C3530)</f>
        <v>CAACGA</v>
      </c>
      <c r="L3530">
        <v>3</v>
      </c>
    </row>
    <row r="3531" spans="1:12" ht="15.6" x14ac:dyDescent="0.3">
      <c r="A3531" s="9">
        <v>3520</v>
      </c>
      <c r="B3531" s="1"/>
      <c r="C3531" s="2" t="s">
        <v>3526</v>
      </c>
      <c r="D3531" s="1"/>
      <c r="E3531" s="11">
        <f t="shared" si="271"/>
        <v>0</v>
      </c>
      <c r="F3531" s="12">
        <f t="shared" si="272"/>
        <v>33.333333333333329</v>
      </c>
      <c r="G3531" s="12" t="str">
        <f t="shared" si="273"/>
        <v>OK</v>
      </c>
      <c r="H3531" s="13">
        <f t="shared" si="274"/>
        <v>6</v>
      </c>
      <c r="I3531" s="14">
        <f t="shared" si="270"/>
        <v>1773.19</v>
      </c>
      <c r="K3531" t="str">
        <f>[1]!revcom(C3531)</f>
        <v>AAACGA</v>
      </c>
      <c r="L3531">
        <v>2</v>
      </c>
    </row>
    <row r="3532" spans="1:12" ht="15.6" x14ac:dyDescent="0.3">
      <c r="A3532" s="9">
        <v>3521</v>
      </c>
      <c r="B3532" s="1"/>
      <c r="C3532" s="2" t="s">
        <v>3527</v>
      </c>
      <c r="D3532" s="1"/>
      <c r="E3532" s="11">
        <f t="shared" si="271"/>
        <v>18</v>
      </c>
      <c r="F3532" s="12">
        <f t="shared" si="272"/>
        <v>16.666666666666664</v>
      </c>
      <c r="G3532" s="12" t="str">
        <f t="shared" si="273"/>
        <v>OK</v>
      </c>
      <c r="H3532" s="13">
        <f t="shared" si="274"/>
        <v>6</v>
      </c>
      <c r="I3532" s="14">
        <f t="shared" si="270"/>
        <v>1775.23</v>
      </c>
      <c r="K3532" t="str">
        <f>[1]!revcom(C3532)</f>
        <v>TTTAGA</v>
      </c>
      <c r="L3532">
        <v>5</v>
      </c>
    </row>
    <row r="3533" spans="1:12" ht="15.6" x14ac:dyDescent="0.3">
      <c r="A3533" s="9">
        <v>3522</v>
      </c>
      <c r="B3533" s="1"/>
      <c r="C3533" s="2" t="s">
        <v>3528</v>
      </c>
      <c r="D3533" s="1"/>
      <c r="E3533" s="11">
        <f t="shared" si="271"/>
        <v>16</v>
      </c>
      <c r="F3533" s="12">
        <f t="shared" si="272"/>
        <v>33.333333333333329</v>
      </c>
      <c r="G3533" s="12" t="str">
        <f t="shared" si="273"/>
        <v>OK</v>
      </c>
      <c r="H3533" s="13">
        <f t="shared" si="274"/>
        <v>6</v>
      </c>
      <c r="I3533" s="14">
        <f t="shared" ref="I3533:I3596" si="275">((LEN(C3533)-(LEN(SUBSTITUTE(C3533,"A",""))))*249.23)+((LEN(C3533)-(LEN(SUBSTITUTE(C3533,"T",""))))*240.21)+((LEN(C3533)-(LEN(SUBSTITUTE(C3533,"C",""))))*225.2)+((LEN(C3533)-(LEN(SUBSTITUTE(C3533,"G",""))))*265.23)+(63.98*(LEN(C3533)-1)+(2.02))</f>
        <v>1751.1999999999998</v>
      </c>
      <c r="K3533" t="str">
        <f>[1]!revcom(C3533)</f>
        <v>GTTAGA</v>
      </c>
      <c r="L3533">
        <v>5</v>
      </c>
    </row>
    <row r="3534" spans="1:12" ht="15.6" x14ac:dyDescent="0.3">
      <c r="A3534" s="9">
        <v>3523</v>
      </c>
      <c r="B3534" s="1"/>
      <c r="C3534" s="2" t="s">
        <v>3529</v>
      </c>
      <c r="D3534" s="1"/>
      <c r="E3534" s="11">
        <f t="shared" ref="E3534:E3597" si="276">IF(LEN(C3534)&gt;15,(69.3+((41*((LEN(C3534)-(((LEN(C3534)-(LEN(SUBSTITUTE(C3534,"A",""))))+((LEN(C3534)-(LEN(SUBSTITUTE(C3534,"T","")))))))))/(LEN(C3534)))-(650/(LEN(C3534))))),(2*((LEN(C3534)-(((LEN(C3534)-(LEN(SUBSTITUTE(C3534,"C",""))))+((LEN(C3534)-(LEN(SUBSTITUTE(C3534,"G",""))))))))))+(4*((LEN(C3534)-(((LEN(C3534)-(LEN(SUBSTITUTE(C3534,"T",""))))+((LEN(C3534)-(LEN(SUBSTITUTE(C3534,"T","")))))))))))</f>
        <v>16</v>
      </c>
      <c r="F3534" s="12">
        <f t="shared" ref="F3534:F3597" si="277">((LEN(C3534)- LEN(SUBSTITUTE(C3534,"G","")))+(LEN(C3534)- LEN(SUBSTITUTE(C3534,"C",""))) )/LEN(C3534)*100</f>
        <v>33.333333333333329</v>
      </c>
      <c r="G3534" s="12" t="str">
        <f t="shared" ref="G3534:G3597" si="278">IF((-5+((LEN(SUBSTITUTE(RIGHT(C3534,5),"C","")))+((LEN(SUBSTITUTE(RIGHT(C3534,5),"G",""))))))&gt;=3,"OK","Warning")</f>
        <v>OK</v>
      </c>
      <c r="H3534" s="13">
        <f t="shared" ref="H3534:H3597" si="279">LEN(C3534)</f>
        <v>6</v>
      </c>
      <c r="I3534" s="14">
        <f t="shared" si="275"/>
        <v>1791.23</v>
      </c>
      <c r="K3534" t="str">
        <f>[1]!revcom(C3534)</f>
        <v>CTTAGA</v>
      </c>
      <c r="L3534">
        <v>5</v>
      </c>
    </row>
    <row r="3535" spans="1:12" ht="15.6" x14ac:dyDescent="0.3">
      <c r="A3535" s="9">
        <v>3524</v>
      </c>
      <c r="B3535" s="1"/>
      <c r="C3535" s="2" t="s">
        <v>3530</v>
      </c>
      <c r="D3535" s="1"/>
      <c r="E3535" s="11">
        <f t="shared" si="276"/>
        <v>10</v>
      </c>
      <c r="F3535" s="12">
        <f t="shared" si="277"/>
        <v>16.666666666666664</v>
      </c>
      <c r="G3535" s="12" t="str">
        <f t="shared" si="278"/>
        <v>OK</v>
      </c>
      <c r="H3535" s="13">
        <f t="shared" si="279"/>
        <v>6</v>
      </c>
      <c r="I3535" s="14">
        <f t="shared" si="275"/>
        <v>1766.21</v>
      </c>
      <c r="K3535" t="str">
        <f>[1]!revcom(C3535)</f>
        <v>ATTAGA</v>
      </c>
      <c r="L3535">
        <v>4</v>
      </c>
    </row>
    <row r="3536" spans="1:12" ht="15.6" x14ac:dyDescent="0.3">
      <c r="A3536" s="9">
        <v>3525</v>
      </c>
      <c r="B3536" s="1"/>
      <c r="C3536" s="2" t="s">
        <v>3531</v>
      </c>
      <c r="D3536" s="1"/>
      <c r="E3536" s="11">
        <f t="shared" si="276"/>
        <v>16</v>
      </c>
      <c r="F3536" s="12">
        <f t="shared" si="277"/>
        <v>33.333333333333329</v>
      </c>
      <c r="G3536" s="12" t="str">
        <f t="shared" si="278"/>
        <v>OK</v>
      </c>
      <c r="H3536" s="13">
        <f t="shared" si="279"/>
        <v>6</v>
      </c>
      <c r="I3536" s="14">
        <f t="shared" si="275"/>
        <v>1751.1999999999998</v>
      </c>
      <c r="K3536" t="str">
        <f>[1]!revcom(C3536)</f>
        <v>TGTAGA</v>
      </c>
      <c r="L3536">
        <v>5</v>
      </c>
    </row>
    <row r="3537" spans="1:12" ht="15.6" x14ac:dyDescent="0.3">
      <c r="A3537" s="9">
        <v>3526</v>
      </c>
      <c r="B3537" s="1"/>
      <c r="C3537" s="2" t="s">
        <v>3532</v>
      </c>
      <c r="D3537" s="1"/>
      <c r="E3537" s="11">
        <f t="shared" si="276"/>
        <v>14</v>
      </c>
      <c r="F3537" s="12">
        <f t="shared" si="277"/>
        <v>50</v>
      </c>
      <c r="G3537" s="12" t="str">
        <f t="shared" si="278"/>
        <v>Warning</v>
      </c>
      <c r="H3537" s="13">
        <f t="shared" si="279"/>
        <v>6</v>
      </c>
      <c r="I3537" s="14">
        <f t="shared" si="275"/>
        <v>1727.17</v>
      </c>
      <c r="K3537" t="str">
        <f>[1]!revcom(C3537)</f>
        <v>GGTAGA</v>
      </c>
      <c r="L3537">
        <v>5</v>
      </c>
    </row>
    <row r="3538" spans="1:12" ht="15.6" x14ac:dyDescent="0.3">
      <c r="A3538" s="9">
        <v>3527</v>
      </c>
      <c r="B3538" s="1"/>
      <c r="C3538" s="2" t="s">
        <v>3533</v>
      </c>
      <c r="D3538" s="1"/>
      <c r="E3538" s="11">
        <f t="shared" si="276"/>
        <v>14</v>
      </c>
      <c r="F3538" s="12">
        <f t="shared" si="277"/>
        <v>50</v>
      </c>
      <c r="G3538" s="12" t="str">
        <f t="shared" si="278"/>
        <v>Warning</v>
      </c>
      <c r="H3538" s="13">
        <f t="shared" si="279"/>
        <v>6</v>
      </c>
      <c r="I3538" s="14">
        <f t="shared" si="275"/>
        <v>1767.1999999999998</v>
      </c>
      <c r="K3538" t="str">
        <f>[1]!revcom(C3538)</f>
        <v>CGTAGA</v>
      </c>
      <c r="L3538">
        <v>5</v>
      </c>
    </row>
    <row r="3539" spans="1:12" ht="15.6" x14ac:dyDescent="0.3">
      <c r="A3539" s="9">
        <v>3528</v>
      </c>
      <c r="B3539" s="1"/>
      <c r="C3539" s="2" t="s">
        <v>3534</v>
      </c>
      <c r="D3539" s="1"/>
      <c r="E3539" s="11">
        <f t="shared" si="276"/>
        <v>8</v>
      </c>
      <c r="F3539" s="12">
        <f t="shared" si="277"/>
        <v>33.333333333333329</v>
      </c>
      <c r="G3539" s="12" t="str">
        <f t="shared" si="278"/>
        <v>OK</v>
      </c>
      <c r="H3539" s="13">
        <f t="shared" si="279"/>
        <v>6</v>
      </c>
      <c r="I3539" s="14">
        <f t="shared" si="275"/>
        <v>1742.1799999999998</v>
      </c>
      <c r="K3539" t="str">
        <f>[1]!revcom(C3539)</f>
        <v>AGTAGA</v>
      </c>
      <c r="L3539">
        <v>4</v>
      </c>
    </row>
    <row r="3540" spans="1:12" ht="15.6" x14ac:dyDescent="0.3">
      <c r="A3540" s="9">
        <v>3529</v>
      </c>
      <c r="B3540" s="1"/>
      <c r="C3540" s="2" t="s">
        <v>3535</v>
      </c>
      <c r="D3540" s="1"/>
      <c r="E3540" s="11">
        <f t="shared" si="276"/>
        <v>16</v>
      </c>
      <c r="F3540" s="12">
        <f t="shared" si="277"/>
        <v>33.333333333333329</v>
      </c>
      <c r="G3540" s="12" t="str">
        <f t="shared" si="278"/>
        <v>OK</v>
      </c>
      <c r="H3540" s="13">
        <f t="shared" si="279"/>
        <v>6</v>
      </c>
      <c r="I3540" s="14">
        <f t="shared" si="275"/>
        <v>1791.23</v>
      </c>
      <c r="K3540" t="str">
        <f>[1]!revcom(C3540)</f>
        <v>TCTAGA</v>
      </c>
      <c r="L3540">
        <v>5</v>
      </c>
    </row>
    <row r="3541" spans="1:12" ht="15.6" x14ac:dyDescent="0.3">
      <c r="A3541" s="9">
        <v>3530</v>
      </c>
      <c r="B3541" s="1"/>
      <c r="C3541" s="2" t="s">
        <v>3536</v>
      </c>
      <c r="D3541" s="1"/>
      <c r="E3541" s="11">
        <f t="shared" si="276"/>
        <v>14</v>
      </c>
      <c r="F3541" s="12">
        <f t="shared" si="277"/>
        <v>50</v>
      </c>
      <c r="G3541" s="12" t="str">
        <f t="shared" si="278"/>
        <v>Warning</v>
      </c>
      <c r="H3541" s="13">
        <f t="shared" si="279"/>
        <v>6</v>
      </c>
      <c r="I3541" s="14">
        <f t="shared" si="275"/>
        <v>1767.1999999999998</v>
      </c>
      <c r="K3541" t="str">
        <f>[1]!revcom(C3541)</f>
        <v>GCTAGA</v>
      </c>
      <c r="L3541">
        <v>5</v>
      </c>
    </row>
    <row r="3542" spans="1:12" ht="15.6" x14ac:dyDescent="0.3">
      <c r="A3542" s="9">
        <v>3531</v>
      </c>
      <c r="B3542" s="1"/>
      <c r="C3542" s="2" t="s">
        <v>3537</v>
      </c>
      <c r="D3542" s="1"/>
      <c r="E3542" s="11">
        <f t="shared" si="276"/>
        <v>14</v>
      </c>
      <c r="F3542" s="12">
        <f t="shared" si="277"/>
        <v>50</v>
      </c>
      <c r="G3542" s="12" t="str">
        <f t="shared" si="278"/>
        <v>Warning</v>
      </c>
      <c r="H3542" s="13">
        <f t="shared" si="279"/>
        <v>6</v>
      </c>
      <c r="I3542" s="14">
        <f t="shared" si="275"/>
        <v>1807.23</v>
      </c>
      <c r="K3542" t="str">
        <f>[1]!revcom(C3542)</f>
        <v>CCTAGA</v>
      </c>
      <c r="L3542">
        <v>5</v>
      </c>
    </row>
    <row r="3543" spans="1:12" ht="15.6" x14ac:dyDescent="0.3">
      <c r="A3543" s="9">
        <v>3532</v>
      </c>
      <c r="B3543" s="1"/>
      <c r="C3543" s="2" t="s">
        <v>3538</v>
      </c>
      <c r="D3543" s="1"/>
      <c r="E3543" s="11">
        <f t="shared" si="276"/>
        <v>8</v>
      </c>
      <c r="F3543" s="12">
        <f t="shared" si="277"/>
        <v>33.333333333333329</v>
      </c>
      <c r="G3543" s="12" t="str">
        <f t="shared" si="278"/>
        <v>OK</v>
      </c>
      <c r="H3543" s="13">
        <f t="shared" si="279"/>
        <v>6</v>
      </c>
      <c r="I3543" s="14">
        <f t="shared" si="275"/>
        <v>1782.21</v>
      </c>
      <c r="K3543" t="str">
        <f>[1]!revcom(C3543)</f>
        <v>ACTAGA</v>
      </c>
      <c r="L3543">
        <v>4</v>
      </c>
    </row>
    <row r="3544" spans="1:12" ht="15.6" x14ac:dyDescent="0.3">
      <c r="A3544" s="9">
        <v>3533</v>
      </c>
      <c r="B3544" s="1"/>
      <c r="C3544" s="2" t="s">
        <v>3539</v>
      </c>
      <c r="D3544" s="1"/>
      <c r="E3544" s="11">
        <f t="shared" si="276"/>
        <v>10</v>
      </c>
      <c r="F3544" s="12">
        <f t="shared" si="277"/>
        <v>16.666666666666664</v>
      </c>
      <c r="G3544" s="12" t="str">
        <f t="shared" si="278"/>
        <v>OK</v>
      </c>
      <c r="H3544" s="13">
        <f t="shared" si="279"/>
        <v>6</v>
      </c>
      <c r="I3544" s="14">
        <f t="shared" si="275"/>
        <v>1766.21</v>
      </c>
      <c r="K3544" t="str">
        <f>[1]!revcom(C3544)</f>
        <v>TATAGA</v>
      </c>
      <c r="L3544">
        <v>4</v>
      </c>
    </row>
    <row r="3545" spans="1:12" ht="15.6" x14ac:dyDescent="0.3">
      <c r="A3545" s="9">
        <v>3534</v>
      </c>
      <c r="B3545" s="1"/>
      <c r="C3545" s="2" t="s">
        <v>3540</v>
      </c>
      <c r="D3545" s="1"/>
      <c r="E3545" s="11">
        <f t="shared" si="276"/>
        <v>8</v>
      </c>
      <c r="F3545" s="12">
        <f t="shared" si="277"/>
        <v>33.333333333333329</v>
      </c>
      <c r="G3545" s="12" t="str">
        <f t="shared" si="278"/>
        <v>OK</v>
      </c>
      <c r="H3545" s="13">
        <f t="shared" si="279"/>
        <v>6</v>
      </c>
      <c r="I3545" s="14">
        <f t="shared" si="275"/>
        <v>1742.1799999999998</v>
      </c>
      <c r="K3545" t="str">
        <f>[1]!revcom(C3545)</f>
        <v>GATAGA</v>
      </c>
      <c r="L3545">
        <v>4</v>
      </c>
    </row>
    <row r="3546" spans="1:12" ht="15.6" x14ac:dyDescent="0.3">
      <c r="A3546" s="9">
        <v>3535</v>
      </c>
      <c r="B3546" s="1"/>
      <c r="C3546" s="2" t="s">
        <v>3541</v>
      </c>
      <c r="D3546" s="1"/>
      <c r="E3546" s="11">
        <f t="shared" si="276"/>
        <v>8</v>
      </c>
      <c r="F3546" s="12">
        <f t="shared" si="277"/>
        <v>33.333333333333329</v>
      </c>
      <c r="G3546" s="12" t="str">
        <f t="shared" si="278"/>
        <v>OK</v>
      </c>
      <c r="H3546" s="13">
        <f t="shared" si="279"/>
        <v>6</v>
      </c>
      <c r="I3546" s="14">
        <f t="shared" si="275"/>
        <v>1782.21</v>
      </c>
      <c r="K3546" t="str">
        <f>[1]!revcom(C3546)</f>
        <v>CATAGA</v>
      </c>
      <c r="L3546">
        <v>4</v>
      </c>
    </row>
    <row r="3547" spans="1:12" ht="15.6" x14ac:dyDescent="0.3">
      <c r="A3547" s="9">
        <v>3536</v>
      </c>
      <c r="B3547" s="1"/>
      <c r="C3547" s="2" t="s">
        <v>3542</v>
      </c>
      <c r="D3547" s="1"/>
      <c r="E3547" s="11">
        <f t="shared" si="276"/>
        <v>2</v>
      </c>
      <c r="F3547" s="12">
        <f t="shared" si="277"/>
        <v>16.666666666666664</v>
      </c>
      <c r="G3547" s="12" t="str">
        <f t="shared" si="278"/>
        <v>OK</v>
      </c>
      <c r="H3547" s="13">
        <f t="shared" si="279"/>
        <v>6</v>
      </c>
      <c r="I3547" s="14">
        <f t="shared" si="275"/>
        <v>1757.19</v>
      </c>
      <c r="K3547" t="str">
        <f>[1]!revcom(C3547)</f>
        <v>AATAGA</v>
      </c>
      <c r="L3547">
        <v>3</v>
      </c>
    </row>
    <row r="3548" spans="1:12" ht="15.6" x14ac:dyDescent="0.3">
      <c r="A3548" s="9">
        <v>3537</v>
      </c>
      <c r="B3548" s="1"/>
      <c r="C3548" s="2" t="s">
        <v>3543</v>
      </c>
      <c r="D3548" s="1"/>
      <c r="E3548" s="11">
        <f t="shared" si="276"/>
        <v>16</v>
      </c>
      <c r="F3548" s="12">
        <f t="shared" si="277"/>
        <v>33.333333333333329</v>
      </c>
      <c r="G3548" s="12" t="str">
        <f t="shared" si="278"/>
        <v>OK</v>
      </c>
      <c r="H3548" s="13">
        <f t="shared" si="279"/>
        <v>6</v>
      </c>
      <c r="I3548" s="14">
        <f t="shared" si="275"/>
        <v>1751.1999999999998</v>
      </c>
      <c r="K3548" t="str">
        <f>[1]!revcom(C3548)</f>
        <v>TTGAGA</v>
      </c>
      <c r="L3548">
        <v>5</v>
      </c>
    </row>
    <row r="3549" spans="1:12" ht="15.6" x14ac:dyDescent="0.3">
      <c r="A3549" s="9">
        <v>3538</v>
      </c>
      <c r="B3549" s="1"/>
      <c r="C3549" s="2" t="s">
        <v>3544</v>
      </c>
      <c r="D3549" s="1"/>
      <c r="E3549" s="11">
        <f t="shared" si="276"/>
        <v>14</v>
      </c>
      <c r="F3549" s="12">
        <f t="shared" si="277"/>
        <v>50</v>
      </c>
      <c r="G3549" s="12" t="str">
        <f t="shared" si="278"/>
        <v>Warning</v>
      </c>
      <c r="H3549" s="13">
        <f t="shared" si="279"/>
        <v>6</v>
      </c>
      <c r="I3549" s="14">
        <f t="shared" si="275"/>
        <v>1727.17</v>
      </c>
      <c r="K3549" t="str">
        <f>[1]!revcom(C3549)</f>
        <v>GTGAGA</v>
      </c>
      <c r="L3549">
        <v>5</v>
      </c>
    </row>
    <row r="3550" spans="1:12" ht="15.6" x14ac:dyDescent="0.3">
      <c r="A3550" s="9">
        <v>3539</v>
      </c>
      <c r="B3550" s="1"/>
      <c r="C3550" s="2" t="s">
        <v>3545</v>
      </c>
      <c r="D3550" s="1"/>
      <c r="E3550" s="11">
        <f t="shared" si="276"/>
        <v>14</v>
      </c>
      <c r="F3550" s="12">
        <f t="shared" si="277"/>
        <v>50</v>
      </c>
      <c r="G3550" s="12" t="str">
        <f t="shared" si="278"/>
        <v>Warning</v>
      </c>
      <c r="H3550" s="13">
        <f t="shared" si="279"/>
        <v>6</v>
      </c>
      <c r="I3550" s="14">
        <f t="shared" si="275"/>
        <v>1767.1999999999998</v>
      </c>
      <c r="K3550" t="str">
        <f>[1]!revcom(C3550)</f>
        <v>CTGAGA</v>
      </c>
      <c r="L3550">
        <v>5</v>
      </c>
    </row>
    <row r="3551" spans="1:12" ht="15.6" x14ac:dyDescent="0.3">
      <c r="A3551" s="9">
        <v>3540</v>
      </c>
      <c r="B3551" s="1"/>
      <c r="C3551" s="2" t="s">
        <v>3546</v>
      </c>
      <c r="D3551" s="1"/>
      <c r="E3551" s="11">
        <f t="shared" si="276"/>
        <v>8</v>
      </c>
      <c r="F3551" s="12">
        <f t="shared" si="277"/>
        <v>33.333333333333329</v>
      </c>
      <c r="G3551" s="12" t="str">
        <f t="shared" si="278"/>
        <v>OK</v>
      </c>
      <c r="H3551" s="13">
        <f t="shared" si="279"/>
        <v>6</v>
      </c>
      <c r="I3551" s="14">
        <f t="shared" si="275"/>
        <v>1742.1799999999998</v>
      </c>
      <c r="K3551" t="str">
        <f>[1]!revcom(C3551)</f>
        <v>ATGAGA</v>
      </c>
      <c r="L3551">
        <v>4</v>
      </c>
    </row>
    <row r="3552" spans="1:12" ht="15.6" x14ac:dyDescent="0.3">
      <c r="A3552" s="9">
        <v>3541</v>
      </c>
      <c r="B3552" s="1"/>
      <c r="C3552" s="2" t="s">
        <v>3547</v>
      </c>
      <c r="D3552" s="1"/>
      <c r="E3552" s="11">
        <f t="shared" si="276"/>
        <v>14</v>
      </c>
      <c r="F3552" s="12">
        <f t="shared" si="277"/>
        <v>50</v>
      </c>
      <c r="G3552" s="12" t="str">
        <f t="shared" si="278"/>
        <v>Warning</v>
      </c>
      <c r="H3552" s="13">
        <f t="shared" si="279"/>
        <v>6</v>
      </c>
      <c r="I3552" s="14">
        <f t="shared" si="275"/>
        <v>1727.17</v>
      </c>
      <c r="K3552" t="str">
        <f>[1]!revcom(C3552)</f>
        <v>TGGAGA</v>
      </c>
      <c r="L3552">
        <v>5</v>
      </c>
    </row>
    <row r="3553" spans="1:12" ht="15.6" x14ac:dyDescent="0.3">
      <c r="A3553" s="9">
        <v>3542</v>
      </c>
      <c r="B3553" s="1"/>
      <c r="C3553" s="2" t="s">
        <v>3548</v>
      </c>
      <c r="D3553" s="1"/>
      <c r="E3553" s="11">
        <f t="shared" si="276"/>
        <v>12</v>
      </c>
      <c r="F3553" s="12">
        <f t="shared" si="277"/>
        <v>66.666666666666657</v>
      </c>
      <c r="G3553" s="12" t="str">
        <f t="shared" si="278"/>
        <v>Warning</v>
      </c>
      <c r="H3553" s="13">
        <f t="shared" si="279"/>
        <v>6</v>
      </c>
      <c r="I3553" s="14">
        <f t="shared" si="275"/>
        <v>1703.1399999999999</v>
      </c>
      <c r="K3553" t="str">
        <f>[1]!revcom(C3553)</f>
        <v>GGGAGA</v>
      </c>
      <c r="L3553">
        <v>4</v>
      </c>
    </row>
    <row r="3554" spans="1:12" ht="15.6" x14ac:dyDescent="0.3">
      <c r="A3554" s="9">
        <v>3543</v>
      </c>
      <c r="B3554" s="1"/>
      <c r="C3554" s="2" t="s">
        <v>3549</v>
      </c>
      <c r="D3554" s="1"/>
      <c r="E3554" s="11">
        <f t="shared" si="276"/>
        <v>12</v>
      </c>
      <c r="F3554" s="12">
        <f t="shared" si="277"/>
        <v>66.666666666666657</v>
      </c>
      <c r="G3554" s="12" t="str">
        <f t="shared" si="278"/>
        <v>Warning</v>
      </c>
      <c r="H3554" s="13">
        <f t="shared" si="279"/>
        <v>6</v>
      </c>
      <c r="I3554" s="14">
        <f t="shared" si="275"/>
        <v>1743.17</v>
      </c>
      <c r="K3554" t="str">
        <f>[1]!revcom(C3554)</f>
        <v>CGGAGA</v>
      </c>
      <c r="L3554">
        <v>4</v>
      </c>
    </row>
    <row r="3555" spans="1:12" ht="15.6" x14ac:dyDescent="0.3">
      <c r="A3555" s="9">
        <v>3544</v>
      </c>
      <c r="B3555" s="1"/>
      <c r="C3555" s="2" t="s">
        <v>3550</v>
      </c>
      <c r="D3555" s="1"/>
      <c r="E3555" s="11">
        <f t="shared" si="276"/>
        <v>6</v>
      </c>
      <c r="F3555" s="12">
        <f t="shared" si="277"/>
        <v>50</v>
      </c>
      <c r="G3555" s="12" t="str">
        <f t="shared" si="278"/>
        <v>Warning</v>
      </c>
      <c r="H3555" s="13">
        <f t="shared" si="279"/>
        <v>6</v>
      </c>
      <c r="I3555" s="14">
        <f t="shared" si="275"/>
        <v>1718.15</v>
      </c>
      <c r="K3555" t="str">
        <f>[1]!revcom(C3555)</f>
        <v>AGGAGA</v>
      </c>
      <c r="L3555">
        <v>3</v>
      </c>
    </row>
    <row r="3556" spans="1:12" ht="15.6" x14ac:dyDescent="0.3">
      <c r="A3556" s="9">
        <v>3545</v>
      </c>
      <c r="B3556" s="1"/>
      <c r="C3556" s="2" t="s">
        <v>3551</v>
      </c>
      <c r="D3556" s="1"/>
      <c r="E3556" s="11">
        <f t="shared" si="276"/>
        <v>14</v>
      </c>
      <c r="F3556" s="12">
        <f t="shared" si="277"/>
        <v>50</v>
      </c>
      <c r="G3556" s="12" t="str">
        <f t="shared" si="278"/>
        <v>Warning</v>
      </c>
      <c r="H3556" s="13">
        <f t="shared" si="279"/>
        <v>6</v>
      </c>
      <c r="I3556" s="14">
        <f t="shared" si="275"/>
        <v>1767.1999999999998</v>
      </c>
      <c r="K3556" t="str">
        <f>[1]!revcom(C3556)</f>
        <v>TCGAGA</v>
      </c>
      <c r="L3556">
        <v>5</v>
      </c>
    </row>
    <row r="3557" spans="1:12" ht="15.6" x14ac:dyDescent="0.3">
      <c r="A3557" s="9">
        <v>3546</v>
      </c>
      <c r="B3557" s="1"/>
      <c r="C3557" s="2" t="s">
        <v>3552</v>
      </c>
      <c r="D3557" s="1"/>
      <c r="E3557" s="11">
        <f t="shared" si="276"/>
        <v>12</v>
      </c>
      <c r="F3557" s="12">
        <f t="shared" si="277"/>
        <v>66.666666666666657</v>
      </c>
      <c r="G3557" s="12" t="str">
        <f t="shared" si="278"/>
        <v>Warning</v>
      </c>
      <c r="H3557" s="13">
        <f t="shared" si="279"/>
        <v>6</v>
      </c>
      <c r="I3557" s="14">
        <f t="shared" si="275"/>
        <v>1743.17</v>
      </c>
      <c r="K3557" t="str">
        <f>[1]!revcom(C3557)</f>
        <v>GCGAGA</v>
      </c>
      <c r="L3557">
        <v>4</v>
      </c>
    </row>
    <row r="3558" spans="1:12" ht="15.6" x14ac:dyDescent="0.3">
      <c r="A3558" s="9">
        <v>3547</v>
      </c>
      <c r="B3558" s="1"/>
      <c r="C3558" s="2" t="s">
        <v>3553</v>
      </c>
      <c r="D3558" s="1"/>
      <c r="E3558" s="11">
        <f t="shared" si="276"/>
        <v>12</v>
      </c>
      <c r="F3558" s="12">
        <f t="shared" si="277"/>
        <v>66.666666666666657</v>
      </c>
      <c r="G3558" s="12" t="str">
        <f t="shared" si="278"/>
        <v>Warning</v>
      </c>
      <c r="H3558" s="13">
        <f t="shared" si="279"/>
        <v>6</v>
      </c>
      <c r="I3558" s="14">
        <f t="shared" si="275"/>
        <v>1783.1999999999998</v>
      </c>
      <c r="K3558" t="str">
        <f>[1]!revcom(C3558)</f>
        <v>CCGAGA</v>
      </c>
      <c r="L3558">
        <v>4</v>
      </c>
    </row>
    <row r="3559" spans="1:12" ht="15.6" x14ac:dyDescent="0.3">
      <c r="A3559" s="9">
        <v>3548</v>
      </c>
      <c r="B3559" s="1"/>
      <c r="C3559" s="2" t="s">
        <v>3554</v>
      </c>
      <c r="D3559" s="1"/>
      <c r="E3559" s="11">
        <f t="shared" si="276"/>
        <v>6</v>
      </c>
      <c r="F3559" s="12">
        <f t="shared" si="277"/>
        <v>50</v>
      </c>
      <c r="G3559" s="12" t="str">
        <f t="shared" si="278"/>
        <v>Warning</v>
      </c>
      <c r="H3559" s="13">
        <f t="shared" si="279"/>
        <v>6</v>
      </c>
      <c r="I3559" s="14">
        <f t="shared" si="275"/>
        <v>1758.1799999999998</v>
      </c>
      <c r="K3559" t="str">
        <f>[1]!revcom(C3559)</f>
        <v>ACGAGA</v>
      </c>
      <c r="L3559">
        <v>3</v>
      </c>
    </row>
    <row r="3560" spans="1:12" ht="15.6" x14ac:dyDescent="0.3">
      <c r="A3560" s="9">
        <v>3549</v>
      </c>
      <c r="B3560" s="1"/>
      <c r="C3560" s="2" t="s">
        <v>3555</v>
      </c>
      <c r="D3560" s="1"/>
      <c r="E3560" s="11">
        <f t="shared" si="276"/>
        <v>8</v>
      </c>
      <c r="F3560" s="12">
        <f t="shared" si="277"/>
        <v>33.333333333333329</v>
      </c>
      <c r="G3560" s="12" t="str">
        <f t="shared" si="278"/>
        <v>OK</v>
      </c>
      <c r="H3560" s="13">
        <f t="shared" si="279"/>
        <v>6</v>
      </c>
      <c r="I3560" s="14">
        <f t="shared" si="275"/>
        <v>1742.1799999999998</v>
      </c>
      <c r="K3560" t="str">
        <f>[1]!revcom(C3560)</f>
        <v>TAGAGA</v>
      </c>
      <c r="L3560">
        <v>4</v>
      </c>
    </row>
    <row r="3561" spans="1:12" ht="15.6" x14ac:dyDescent="0.3">
      <c r="A3561" s="9">
        <v>3550</v>
      </c>
      <c r="B3561" s="1"/>
      <c r="C3561" s="2" t="s">
        <v>3556</v>
      </c>
      <c r="D3561" s="1"/>
      <c r="E3561" s="11">
        <f t="shared" si="276"/>
        <v>6</v>
      </c>
      <c r="F3561" s="12">
        <f t="shared" si="277"/>
        <v>50</v>
      </c>
      <c r="G3561" s="12" t="str">
        <f t="shared" si="278"/>
        <v>Warning</v>
      </c>
      <c r="H3561" s="13">
        <f t="shared" si="279"/>
        <v>6</v>
      </c>
      <c r="I3561" s="14">
        <f t="shared" si="275"/>
        <v>1718.15</v>
      </c>
      <c r="K3561" t="str">
        <f>[1]!revcom(C3561)</f>
        <v>GAGAGA</v>
      </c>
      <c r="L3561">
        <v>3</v>
      </c>
    </row>
    <row r="3562" spans="1:12" ht="15.6" x14ac:dyDescent="0.3">
      <c r="A3562" s="9">
        <v>3551</v>
      </c>
      <c r="B3562" s="1"/>
      <c r="C3562" s="2" t="s">
        <v>3557</v>
      </c>
      <c r="D3562" s="1"/>
      <c r="E3562" s="11">
        <f t="shared" si="276"/>
        <v>6</v>
      </c>
      <c r="F3562" s="12">
        <f t="shared" si="277"/>
        <v>50</v>
      </c>
      <c r="G3562" s="12" t="str">
        <f t="shared" si="278"/>
        <v>Warning</v>
      </c>
      <c r="H3562" s="13">
        <f t="shared" si="279"/>
        <v>6</v>
      </c>
      <c r="I3562" s="14">
        <f t="shared" si="275"/>
        <v>1758.1799999999998</v>
      </c>
      <c r="K3562" t="str">
        <f>[1]!revcom(C3562)</f>
        <v>CAGAGA</v>
      </c>
      <c r="L3562">
        <v>3</v>
      </c>
    </row>
    <row r="3563" spans="1:12" ht="15.6" x14ac:dyDescent="0.3">
      <c r="A3563" s="9">
        <v>3552</v>
      </c>
      <c r="B3563" s="1"/>
      <c r="C3563" s="2" t="s">
        <v>3558</v>
      </c>
      <c r="D3563" s="1"/>
      <c r="E3563" s="11">
        <f t="shared" si="276"/>
        <v>0</v>
      </c>
      <c r="F3563" s="12">
        <f t="shared" si="277"/>
        <v>33.333333333333329</v>
      </c>
      <c r="G3563" s="12" t="str">
        <f t="shared" si="278"/>
        <v>OK</v>
      </c>
      <c r="H3563" s="13">
        <f t="shared" si="279"/>
        <v>6</v>
      </c>
      <c r="I3563" s="14">
        <f t="shared" si="275"/>
        <v>1733.1599999999999</v>
      </c>
      <c r="K3563" t="str">
        <f>[1]!revcom(C3563)</f>
        <v>AAGAGA</v>
      </c>
      <c r="L3563">
        <v>2</v>
      </c>
    </row>
    <row r="3564" spans="1:12" ht="15.6" x14ac:dyDescent="0.3">
      <c r="A3564" s="9">
        <v>3553</v>
      </c>
      <c r="B3564" s="1"/>
      <c r="C3564" s="2" t="s">
        <v>3559</v>
      </c>
      <c r="D3564" s="1"/>
      <c r="E3564" s="11">
        <f t="shared" si="276"/>
        <v>16</v>
      </c>
      <c r="F3564" s="12">
        <f t="shared" si="277"/>
        <v>33.333333333333329</v>
      </c>
      <c r="G3564" s="12" t="str">
        <f t="shared" si="278"/>
        <v>OK</v>
      </c>
      <c r="H3564" s="13">
        <f t="shared" si="279"/>
        <v>6</v>
      </c>
      <c r="I3564" s="14">
        <f t="shared" si="275"/>
        <v>1791.23</v>
      </c>
      <c r="K3564" t="str">
        <f>[1]!revcom(C3564)</f>
        <v>TTCAGA</v>
      </c>
      <c r="L3564">
        <v>5</v>
      </c>
    </row>
    <row r="3565" spans="1:12" ht="15.6" x14ac:dyDescent="0.3">
      <c r="A3565" s="9">
        <v>3554</v>
      </c>
      <c r="B3565" s="1"/>
      <c r="C3565" s="2" t="s">
        <v>3560</v>
      </c>
      <c r="D3565" s="1"/>
      <c r="E3565" s="11">
        <f t="shared" si="276"/>
        <v>14</v>
      </c>
      <c r="F3565" s="12">
        <f t="shared" si="277"/>
        <v>50</v>
      </c>
      <c r="G3565" s="12" t="str">
        <f t="shared" si="278"/>
        <v>Warning</v>
      </c>
      <c r="H3565" s="13">
        <f t="shared" si="279"/>
        <v>6</v>
      </c>
      <c r="I3565" s="14">
        <f t="shared" si="275"/>
        <v>1767.1999999999998</v>
      </c>
      <c r="K3565" t="str">
        <f>[1]!revcom(C3565)</f>
        <v>GTCAGA</v>
      </c>
      <c r="L3565">
        <v>5</v>
      </c>
    </row>
    <row r="3566" spans="1:12" ht="15.6" x14ac:dyDescent="0.3">
      <c r="A3566" s="9">
        <v>3555</v>
      </c>
      <c r="B3566" s="1"/>
      <c r="C3566" s="2" t="s">
        <v>3561</v>
      </c>
      <c r="D3566" s="1"/>
      <c r="E3566" s="11">
        <f t="shared" si="276"/>
        <v>14</v>
      </c>
      <c r="F3566" s="12">
        <f t="shared" si="277"/>
        <v>50</v>
      </c>
      <c r="G3566" s="12" t="str">
        <f t="shared" si="278"/>
        <v>Warning</v>
      </c>
      <c r="H3566" s="13">
        <f t="shared" si="279"/>
        <v>6</v>
      </c>
      <c r="I3566" s="14">
        <f t="shared" si="275"/>
        <v>1807.23</v>
      </c>
      <c r="K3566" t="str">
        <f>[1]!revcom(C3566)</f>
        <v>CTCAGA</v>
      </c>
      <c r="L3566">
        <v>5</v>
      </c>
    </row>
    <row r="3567" spans="1:12" ht="15.6" x14ac:dyDescent="0.3">
      <c r="A3567" s="9">
        <v>3556</v>
      </c>
      <c r="B3567" s="1"/>
      <c r="C3567" s="2" t="s">
        <v>3562</v>
      </c>
      <c r="D3567" s="1"/>
      <c r="E3567" s="11">
        <f t="shared" si="276"/>
        <v>8</v>
      </c>
      <c r="F3567" s="12">
        <f t="shared" si="277"/>
        <v>33.333333333333329</v>
      </c>
      <c r="G3567" s="12" t="str">
        <f t="shared" si="278"/>
        <v>OK</v>
      </c>
      <c r="H3567" s="13">
        <f t="shared" si="279"/>
        <v>6</v>
      </c>
      <c r="I3567" s="14">
        <f t="shared" si="275"/>
        <v>1782.21</v>
      </c>
      <c r="K3567" t="str">
        <f>[1]!revcom(C3567)</f>
        <v>ATCAGA</v>
      </c>
      <c r="L3567">
        <v>4</v>
      </c>
    </row>
    <row r="3568" spans="1:12" ht="15.6" x14ac:dyDescent="0.3">
      <c r="A3568" s="9">
        <v>3557</v>
      </c>
      <c r="B3568" s="1"/>
      <c r="C3568" s="2" t="s">
        <v>3563</v>
      </c>
      <c r="D3568" s="1"/>
      <c r="E3568" s="11">
        <f t="shared" si="276"/>
        <v>14</v>
      </c>
      <c r="F3568" s="12">
        <f t="shared" si="277"/>
        <v>50</v>
      </c>
      <c r="G3568" s="12" t="str">
        <f t="shared" si="278"/>
        <v>Warning</v>
      </c>
      <c r="H3568" s="13">
        <f t="shared" si="279"/>
        <v>6</v>
      </c>
      <c r="I3568" s="14">
        <f t="shared" si="275"/>
        <v>1767.1999999999998</v>
      </c>
      <c r="K3568" t="str">
        <f>[1]!revcom(C3568)</f>
        <v>TGCAGA</v>
      </c>
      <c r="L3568">
        <v>5</v>
      </c>
    </row>
    <row r="3569" spans="1:12" ht="15.6" x14ac:dyDescent="0.3">
      <c r="A3569" s="9">
        <v>3558</v>
      </c>
      <c r="B3569" s="1"/>
      <c r="C3569" s="2" t="s">
        <v>3564</v>
      </c>
      <c r="D3569" s="1"/>
      <c r="E3569" s="11">
        <f t="shared" si="276"/>
        <v>12</v>
      </c>
      <c r="F3569" s="12">
        <f t="shared" si="277"/>
        <v>66.666666666666657</v>
      </c>
      <c r="G3569" s="12" t="str">
        <f t="shared" si="278"/>
        <v>Warning</v>
      </c>
      <c r="H3569" s="13">
        <f t="shared" si="279"/>
        <v>6</v>
      </c>
      <c r="I3569" s="14">
        <f t="shared" si="275"/>
        <v>1743.17</v>
      </c>
      <c r="K3569" t="str">
        <f>[1]!revcom(C3569)</f>
        <v>GGCAGA</v>
      </c>
      <c r="L3569">
        <v>4</v>
      </c>
    </row>
    <row r="3570" spans="1:12" ht="15.6" x14ac:dyDescent="0.3">
      <c r="A3570" s="9">
        <v>3559</v>
      </c>
      <c r="B3570" s="1"/>
      <c r="C3570" s="2" t="s">
        <v>3565</v>
      </c>
      <c r="D3570" s="1"/>
      <c r="E3570" s="11">
        <f t="shared" si="276"/>
        <v>12</v>
      </c>
      <c r="F3570" s="12">
        <f t="shared" si="277"/>
        <v>66.666666666666657</v>
      </c>
      <c r="G3570" s="12" t="str">
        <f t="shared" si="278"/>
        <v>Warning</v>
      </c>
      <c r="H3570" s="13">
        <f t="shared" si="279"/>
        <v>6</v>
      </c>
      <c r="I3570" s="14">
        <f t="shared" si="275"/>
        <v>1783.1999999999998</v>
      </c>
      <c r="K3570" t="str">
        <f>[1]!revcom(C3570)</f>
        <v>CGCAGA</v>
      </c>
      <c r="L3570">
        <v>4</v>
      </c>
    </row>
    <row r="3571" spans="1:12" ht="15.6" x14ac:dyDescent="0.3">
      <c r="A3571" s="9">
        <v>3560</v>
      </c>
      <c r="B3571" s="1"/>
      <c r="C3571" s="2" t="s">
        <v>3566</v>
      </c>
      <c r="D3571" s="1"/>
      <c r="E3571" s="11">
        <f t="shared" si="276"/>
        <v>6</v>
      </c>
      <c r="F3571" s="12">
        <f t="shared" si="277"/>
        <v>50</v>
      </c>
      <c r="G3571" s="12" t="str">
        <f t="shared" si="278"/>
        <v>Warning</v>
      </c>
      <c r="H3571" s="13">
        <f t="shared" si="279"/>
        <v>6</v>
      </c>
      <c r="I3571" s="14">
        <f t="shared" si="275"/>
        <v>1758.1799999999998</v>
      </c>
      <c r="K3571" t="str">
        <f>[1]!revcom(C3571)</f>
        <v>AGCAGA</v>
      </c>
      <c r="L3571">
        <v>3</v>
      </c>
    </row>
    <row r="3572" spans="1:12" ht="15.6" x14ac:dyDescent="0.3">
      <c r="A3572" s="9">
        <v>3561</v>
      </c>
      <c r="B3572" s="1"/>
      <c r="C3572" s="2" t="s">
        <v>3567</v>
      </c>
      <c r="D3572" s="1"/>
      <c r="E3572" s="11">
        <f t="shared" si="276"/>
        <v>14</v>
      </c>
      <c r="F3572" s="12">
        <f t="shared" si="277"/>
        <v>50</v>
      </c>
      <c r="G3572" s="12" t="str">
        <f t="shared" si="278"/>
        <v>Warning</v>
      </c>
      <c r="H3572" s="13">
        <f t="shared" si="279"/>
        <v>6</v>
      </c>
      <c r="I3572" s="14">
        <f t="shared" si="275"/>
        <v>1807.23</v>
      </c>
      <c r="K3572" t="str">
        <f>[1]!revcom(C3572)</f>
        <v>TCCAGA</v>
      </c>
      <c r="L3572">
        <v>5</v>
      </c>
    </row>
    <row r="3573" spans="1:12" ht="15.6" x14ac:dyDescent="0.3">
      <c r="A3573" s="9">
        <v>3562</v>
      </c>
      <c r="B3573" s="1"/>
      <c r="C3573" s="2" t="s">
        <v>3568</v>
      </c>
      <c r="D3573" s="1"/>
      <c r="E3573" s="11">
        <f t="shared" si="276"/>
        <v>12</v>
      </c>
      <c r="F3573" s="12">
        <f t="shared" si="277"/>
        <v>66.666666666666657</v>
      </c>
      <c r="G3573" s="12" t="str">
        <f t="shared" si="278"/>
        <v>Warning</v>
      </c>
      <c r="H3573" s="13">
        <f t="shared" si="279"/>
        <v>6</v>
      </c>
      <c r="I3573" s="14">
        <f t="shared" si="275"/>
        <v>1783.1999999999998</v>
      </c>
      <c r="K3573" t="str">
        <f>[1]!revcom(C3573)</f>
        <v>GCCAGA</v>
      </c>
      <c r="L3573">
        <v>4</v>
      </c>
    </row>
    <row r="3574" spans="1:12" ht="15.6" x14ac:dyDescent="0.3">
      <c r="A3574" s="9">
        <v>3563</v>
      </c>
      <c r="B3574" s="1"/>
      <c r="C3574" s="2" t="s">
        <v>3569</v>
      </c>
      <c r="D3574" s="1"/>
      <c r="E3574" s="11">
        <f t="shared" si="276"/>
        <v>12</v>
      </c>
      <c r="F3574" s="12">
        <f t="shared" si="277"/>
        <v>66.666666666666657</v>
      </c>
      <c r="G3574" s="12" t="str">
        <f t="shared" si="278"/>
        <v>Warning</v>
      </c>
      <c r="H3574" s="13">
        <f t="shared" si="279"/>
        <v>6</v>
      </c>
      <c r="I3574" s="14">
        <f t="shared" si="275"/>
        <v>1823.23</v>
      </c>
      <c r="K3574" t="str">
        <f>[1]!revcom(C3574)</f>
        <v>CCCAGA</v>
      </c>
      <c r="L3574">
        <v>4</v>
      </c>
    </row>
    <row r="3575" spans="1:12" ht="15.6" x14ac:dyDescent="0.3">
      <c r="A3575" s="9">
        <v>3564</v>
      </c>
      <c r="B3575" s="1"/>
      <c r="C3575" s="2" t="s">
        <v>3570</v>
      </c>
      <c r="D3575" s="1"/>
      <c r="E3575" s="11">
        <f t="shared" si="276"/>
        <v>6</v>
      </c>
      <c r="F3575" s="12">
        <f t="shared" si="277"/>
        <v>50</v>
      </c>
      <c r="G3575" s="12" t="str">
        <f t="shared" si="278"/>
        <v>Warning</v>
      </c>
      <c r="H3575" s="13">
        <f t="shared" si="279"/>
        <v>6</v>
      </c>
      <c r="I3575" s="14">
        <f t="shared" si="275"/>
        <v>1798.21</v>
      </c>
      <c r="K3575" t="str">
        <f>[1]!revcom(C3575)</f>
        <v>ACCAGA</v>
      </c>
      <c r="L3575">
        <v>3</v>
      </c>
    </row>
    <row r="3576" spans="1:12" ht="15.6" x14ac:dyDescent="0.3">
      <c r="A3576" s="9">
        <v>3565</v>
      </c>
      <c r="B3576" s="1"/>
      <c r="C3576" s="2" t="s">
        <v>3571</v>
      </c>
      <c r="D3576" s="1"/>
      <c r="E3576" s="11">
        <f t="shared" si="276"/>
        <v>8</v>
      </c>
      <c r="F3576" s="12">
        <f t="shared" si="277"/>
        <v>33.333333333333329</v>
      </c>
      <c r="G3576" s="12" t="str">
        <f t="shared" si="278"/>
        <v>OK</v>
      </c>
      <c r="H3576" s="13">
        <f t="shared" si="279"/>
        <v>6</v>
      </c>
      <c r="I3576" s="14">
        <f t="shared" si="275"/>
        <v>1782.21</v>
      </c>
      <c r="K3576" t="str">
        <f>[1]!revcom(C3576)</f>
        <v>TACAGA</v>
      </c>
      <c r="L3576">
        <v>4</v>
      </c>
    </row>
    <row r="3577" spans="1:12" ht="15.6" x14ac:dyDescent="0.3">
      <c r="A3577" s="9">
        <v>3566</v>
      </c>
      <c r="B3577" s="1"/>
      <c r="C3577" s="2" t="s">
        <v>3572</v>
      </c>
      <c r="D3577" s="1"/>
      <c r="E3577" s="11">
        <f t="shared" si="276"/>
        <v>6</v>
      </c>
      <c r="F3577" s="12">
        <f t="shared" si="277"/>
        <v>50</v>
      </c>
      <c r="G3577" s="12" t="str">
        <f t="shared" si="278"/>
        <v>Warning</v>
      </c>
      <c r="H3577" s="13">
        <f t="shared" si="279"/>
        <v>6</v>
      </c>
      <c r="I3577" s="14">
        <f t="shared" si="275"/>
        <v>1758.1799999999998</v>
      </c>
      <c r="K3577" t="str">
        <f>[1]!revcom(C3577)</f>
        <v>GACAGA</v>
      </c>
      <c r="L3577">
        <v>3</v>
      </c>
    </row>
    <row r="3578" spans="1:12" ht="15.6" x14ac:dyDescent="0.3">
      <c r="A3578" s="9">
        <v>3567</v>
      </c>
      <c r="B3578" s="1"/>
      <c r="C3578" s="2" t="s">
        <v>3573</v>
      </c>
      <c r="D3578" s="1"/>
      <c r="E3578" s="11">
        <f t="shared" si="276"/>
        <v>6</v>
      </c>
      <c r="F3578" s="12">
        <f t="shared" si="277"/>
        <v>50</v>
      </c>
      <c r="G3578" s="12" t="str">
        <f t="shared" si="278"/>
        <v>Warning</v>
      </c>
      <c r="H3578" s="13">
        <f t="shared" si="279"/>
        <v>6</v>
      </c>
      <c r="I3578" s="14">
        <f t="shared" si="275"/>
        <v>1798.21</v>
      </c>
      <c r="K3578" t="str">
        <f>[1]!revcom(C3578)</f>
        <v>CACAGA</v>
      </c>
      <c r="L3578">
        <v>3</v>
      </c>
    </row>
    <row r="3579" spans="1:12" ht="15.6" x14ac:dyDescent="0.3">
      <c r="A3579" s="9">
        <v>3568</v>
      </c>
      <c r="B3579" s="1"/>
      <c r="C3579" s="2" t="s">
        <v>3574</v>
      </c>
      <c r="D3579" s="1"/>
      <c r="E3579" s="11">
        <f t="shared" si="276"/>
        <v>0</v>
      </c>
      <c r="F3579" s="12">
        <f t="shared" si="277"/>
        <v>33.333333333333329</v>
      </c>
      <c r="G3579" s="12" t="str">
        <f t="shared" si="278"/>
        <v>OK</v>
      </c>
      <c r="H3579" s="13">
        <f t="shared" si="279"/>
        <v>6</v>
      </c>
      <c r="I3579" s="14">
        <f t="shared" si="275"/>
        <v>1773.19</v>
      </c>
      <c r="K3579" t="str">
        <f>[1]!revcom(C3579)</f>
        <v>AACAGA</v>
      </c>
      <c r="L3579">
        <v>2</v>
      </c>
    </row>
    <row r="3580" spans="1:12" ht="15.6" x14ac:dyDescent="0.3">
      <c r="A3580" s="9">
        <v>3569</v>
      </c>
      <c r="B3580" s="1"/>
      <c r="C3580" s="2" t="s">
        <v>3575</v>
      </c>
      <c r="D3580" s="1"/>
      <c r="E3580" s="11">
        <f t="shared" si="276"/>
        <v>10</v>
      </c>
      <c r="F3580" s="12">
        <f t="shared" si="277"/>
        <v>16.666666666666664</v>
      </c>
      <c r="G3580" s="12" t="str">
        <f t="shared" si="278"/>
        <v>OK</v>
      </c>
      <c r="H3580" s="13">
        <f t="shared" si="279"/>
        <v>6</v>
      </c>
      <c r="I3580" s="14">
        <f t="shared" si="275"/>
        <v>1766.21</v>
      </c>
      <c r="K3580" t="str">
        <f>[1]!revcom(C3580)</f>
        <v>TTAAGA</v>
      </c>
      <c r="L3580">
        <v>4</v>
      </c>
    </row>
    <row r="3581" spans="1:12" ht="15.6" x14ac:dyDescent="0.3">
      <c r="A3581" s="9">
        <v>3570</v>
      </c>
      <c r="B3581" s="1"/>
      <c r="C3581" s="2" t="s">
        <v>3576</v>
      </c>
      <c r="D3581" s="1"/>
      <c r="E3581" s="11">
        <f t="shared" si="276"/>
        <v>8</v>
      </c>
      <c r="F3581" s="12">
        <f t="shared" si="277"/>
        <v>33.333333333333329</v>
      </c>
      <c r="G3581" s="12" t="str">
        <f t="shared" si="278"/>
        <v>OK</v>
      </c>
      <c r="H3581" s="13">
        <f t="shared" si="279"/>
        <v>6</v>
      </c>
      <c r="I3581" s="14">
        <f t="shared" si="275"/>
        <v>1742.1799999999998</v>
      </c>
      <c r="K3581" t="str">
        <f>[1]!revcom(C3581)</f>
        <v>GTAAGA</v>
      </c>
      <c r="L3581">
        <v>4</v>
      </c>
    </row>
    <row r="3582" spans="1:12" ht="15.6" x14ac:dyDescent="0.3">
      <c r="A3582" s="9">
        <v>3571</v>
      </c>
      <c r="B3582" s="1"/>
      <c r="C3582" s="2" t="s">
        <v>3577</v>
      </c>
      <c r="D3582" s="1"/>
      <c r="E3582" s="11">
        <f t="shared" si="276"/>
        <v>8</v>
      </c>
      <c r="F3582" s="12">
        <f t="shared" si="277"/>
        <v>33.333333333333329</v>
      </c>
      <c r="G3582" s="12" t="str">
        <f t="shared" si="278"/>
        <v>OK</v>
      </c>
      <c r="H3582" s="13">
        <f t="shared" si="279"/>
        <v>6</v>
      </c>
      <c r="I3582" s="14">
        <f t="shared" si="275"/>
        <v>1782.21</v>
      </c>
      <c r="K3582" t="str">
        <f>[1]!revcom(C3582)</f>
        <v>CTAAGA</v>
      </c>
      <c r="L3582">
        <v>4</v>
      </c>
    </row>
    <row r="3583" spans="1:12" ht="15.6" x14ac:dyDescent="0.3">
      <c r="A3583" s="9">
        <v>3572</v>
      </c>
      <c r="B3583" s="1"/>
      <c r="C3583" s="2" t="s">
        <v>3578</v>
      </c>
      <c r="D3583" s="1"/>
      <c r="E3583" s="11">
        <f t="shared" si="276"/>
        <v>2</v>
      </c>
      <c r="F3583" s="12">
        <f t="shared" si="277"/>
        <v>16.666666666666664</v>
      </c>
      <c r="G3583" s="12" t="str">
        <f t="shared" si="278"/>
        <v>OK</v>
      </c>
      <c r="H3583" s="13">
        <f t="shared" si="279"/>
        <v>6</v>
      </c>
      <c r="I3583" s="14">
        <f t="shared" si="275"/>
        <v>1757.19</v>
      </c>
      <c r="K3583" t="str">
        <f>[1]!revcom(C3583)</f>
        <v>ATAAGA</v>
      </c>
      <c r="L3583">
        <v>3</v>
      </c>
    </row>
    <row r="3584" spans="1:12" ht="15.6" x14ac:dyDescent="0.3">
      <c r="A3584" s="9">
        <v>3573</v>
      </c>
      <c r="B3584" s="1"/>
      <c r="C3584" s="2" t="s">
        <v>3579</v>
      </c>
      <c r="D3584" s="1"/>
      <c r="E3584" s="11">
        <f t="shared" si="276"/>
        <v>8</v>
      </c>
      <c r="F3584" s="12">
        <f t="shared" si="277"/>
        <v>33.333333333333329</v>
      </c>
      <c r="G3584" s="12" t="str">
        <f t="shared" si="278"/>
        <v>OK</v>
      </c>
      <c r="H3584" s="13">
        <f t="shared" si="279"/>
        <v>6</v>
      </c>
      <c r="I3584" s="14">
        <f t="shared" si="275"/>
        <v>1742.1799999999998</v>
      </c>
      <c r="K3584" t="str">
        <f>[1]!revcom(C3584)</f>
        <v>TGAAGA</v>
      </c>
      <c r="L3584">
        <v>4</v>
      </c>
    </row>
    <row r="3585" spans="1:12" ht="15.6" x14ac:dyDescent="0.3">
      <c r="A3585" s="9">
        <v>3574</v>
      </c>
      <c r="B3585" s="1"/>
      <c r="C3585" s="2" t="s">
        <v>3580</v>
      </c>
      <c r="D3585" s="1"/>
      <c r="E3585" s="11">
        <f t="shared" si="276"/>
        <v>6</v>
      </c>
      <c r="F3585" s="12">
        <f t="shared" si="277"/>
        <v>50</v>
      </c>
      <c r="G3585" s="12" t="str">
        <f t="shared" si="278"/>
        <v>Warning</v>
      </c>
      <c r="H3585" s="13">
        <f t="shared" si="279"/>
        <v>6</v>
      </c>
      <c r="I3585" s="14">
        <f t="shared" si="275"/>
        <v>1718.15</v>
      </c>
      <c r="K3585" t="str">
        <f>[1]!revcom(C3585)</f>
        <v>GGAAGA</v>
      </c>
      <c r="L3585">
        <v>3</v>
      </c>
    </row>
    <row r="3586" spans="1:12" ht="15.6" x14ac:dyDescent="0.3">
      <c r="A3586" s="9">
        <v>3575</v>
      </c>
      <c r="B3586" s="1"/>
      <c r="C3586" s="2" t="s">
        <v>3581</v>
      </c>
      <c r="D3586" s="1"/>
      <c r="E3586" s="11">
        <f t="shared" si="276"/>
        <v>6</v>
      </c>
      <c r="F3586" s="12">
        <f t="shared" si="277"/>
        <v>50</v>
      </c>
      <c r="G3586" s="12" t="str">
        <f t="shared" si="278"/>
        <v>Warning</v>
      </c>
      <c r="H3586" s="13">
        <f t="shared" si="279"/>
        <v>6</v>
      </c>
      <c r="I3586" s="14">
        <f t="shared" si="275"/>
        <v>1758.1799999999998</v>
      </c>
      <c r="K3586" t="str">
        <f>[1]!revcom(C3586)</f>
        <v>CGAAGA</v>
      </c>
      <c r="L3586">
        <v>3</v>
      </c>
    </row>
    <row r="3587" spans="1:12" ht="15.6" x14ac:dyDescent="0.3">
      <c r="A3587" s="9">
        <v>3576</v>
      </c>
      <c r="B3587" s="1"/>
      <c r="C3587" s="2" t="s">
        <v>3582</v>
      </c>
      <c r="D3587" s="1"/>
      <c r="E3587" s="11">
        <f t="shared" si="276"/>
        <v>0</v>
      </c>
      <c r="F3587" s="12">
        <f t="shared" si="277"/>
        <v>33.333333333333329</v>
      </c>
      <c r="G3587" s="12" t="str">
        <f t="shared" si="278"/>
        <v>OK</v>
      </c>
      <c r="H3587" s="13">
        <f t="shared" si="279"/>
        <v>6</v>
      </c>
      <c r="I3587" s="14">
        <f t="shared" si="275"/>
        <v>1733.1599999999999</v>
      </c>
      <c r="K3587" t="str">
        <f>[1]!revcom(C3587)</f>
        <v>AGAAGA</v>
      </c>
      <c r="L3587">
        <v>2</v>
      </c>
    </row>
    <row r="3588" spans="1:12" ht="15.6" x14ac:dyDescent="0.3">
      <c r="A3588" s="9">
        <v>3577</v>
      </c>
      <c r="B3588" s="1"/>
      <c r="C3588" s="2" t="s">
        <v>3583</v>
      </c>
      <c r="D3588" s="1"/>
      <c r="E3588" s="11">
        <f t="shared" si="276"/>
        <v>8</v>
      </c>
      <c r="F3588" s="12">
        <f t="shared" si="277"/>
        <v>33.333333333333329</v>
      </c>
      <c r="G3588" s="12" t="str">
        <f t="shared" si="278"/>
        <v>OK</v>
      </c>
      <c r="H3588" s="13">
        <f t="shared" si="279"/>
        <v>6</v>
      </c>
      <c r="I3588" s="14">
        <f t="shared" si="275"/>
        <v>1782.21</v>
      </c>
      <c r="K3588" t="str">
        <f>[1]!revcom(C3588)</f>
        <v>TCAAGA</v>
      </c>
      <c r="L3588">
        <v>4</v>
      </c>
    </row>
    <row r="3589" spans="1:12" ht="15.6" x14ac:dyDescent="0.3">
      <c r="A3589" s="9">
        <v>3578</v>
      </c>
      <c r="B3589" s="1"/>
      <c r="C3589" s="2" t="s">
        <v>3584</v>
      </c>
      <c r="D3589" s="1"/>
      <c r="E3589" s="11">
        <f t="shared" si="276"/>
        <v>6</v>
      </c>
      <c r="F3589" s="12">
        <f t="shared" si="277"/>
        <v>50</v>
      </c>
      <c r="G3589" s="12" t="str">
        <f t="shared" si="278"/>
        <v>Warning</v>
      </c>
      <c r="H3589" s="13">
        <f t="shared" si="279"/>
        <v>6</v>
      </c>
      <c r="I3589" s="14">
        <f t="shared" si="275"/>
        <v>1758.1799999999998</v>
      </c>
      <c r="K3589" t="str">
        <f>[1]!revcom(C3589)</f>
        <v>GCAAGA</v>
      </c>
      <c r="L3589">
        <v>3</v>
      </c>
    </row>
    <row r="3590" spans="1:12" ht="15.6" x14ac:dyDescent="0.3">
      <c r="A3590" s="9">
        <v>3579</v>
      </c>
      <c r="B3590" s="1"/>
      <c r="C3590" s="2" t="s">
        <v>3585</v>
      </c>
      <c r="D3590" s="1"/>
      <c r="E3590" s="11">
        <f t="shared" si="276"/>
        <v>6</v>
      </c>
      <c r="F3590" s="12">
        <f t="shared" si="277"/>
        <v>50</v>
      </c>
      <c r="G3590" s="12" t="str">
        <f t="shared" si="278"/>
        <v>Warning</v>
      </c>
      <c r="H3590" s="13">
        <f t="shared" si="279"/>
        <v>6</v>
      </c>
      <c r="I3590" s="14">
        <f t="shared" si="275"/>
        <v>1798.21</v>
      </c>
      <c r="K3590" t="str">
        <f>[1]!revcom(C3590)</f>
        <v>CCAAGA</v>
      </c>
      <c r="L3590">
        <v>3</v>
      </c>
    </row>
    <row r="3591" spans="1:12" ht="15.6" x14ac:dyDescent="0.3">
      <c r="A3591" s="9">
        <v>3580</v>
      </c>
      <c r="B3591" s="1"/>
      <c r="C3591" s="2" t="s">
        <v>3586</v>
      </c>
      <c r="D3591" s="1"/>
      <c r="E3591" s="11">
        <f t="shared" si="276"/>
        <v>0</v>
      </c>
      <c r="F3591" s="12">
        <f t="shared" si="277"/>
        <v>33.333333333333329</v>
      </c>
      <c r="G3591" s="12" t="str">
        <f t="shared" si="278"/>
        <v>OK</v>
      </c>
      <c r="H3591" s="13">
        <f t="shared" si="279"/>
        <v>6</v>
      </c>
      <c r="I3591" s="14">
        <f t="shared" si="275"/>
        <v>1773.19</v>
      </c>
      <c r="K3591" t="str">
        <f>[1]!revcom(C3591)</f>
        <v>ACAAGA</v>
      </c>
      <c r="L3591">
        <v>2</v>
      </c>
    </row>
    <row r="3592" spans="1:12" ht="15.6" x14ac:dyDescent="0.3">
      <c r="A3592" s="9">
        <v>3581</v>
      </c>
      <c r="B3592" s="1"/>
      <c r="C3592" s="2" t="s">
        <v>3587</v>
      </c>
      <c r="D3592" s="1"/>
      <c r="E3592" s="11">
        <f t="shared" si="276"/>
        <v>2</v>
      </c>
      <c r="F3592" s="12">
        <f t="shared" si="277"/>
        <v>16.666666666666664</v>
      </c>
      <c r="G3592" s="12" t="str">
        <f t="shared" si="278"/>
        <v>OK</v>
      </c>
      <c r="H3592" s="13">
        <f t="shared" si="279"/>
        <v>6</v>
      </c>
      <c r="I3592" s="14">
        <f t="shared" si="275"/>
        <v>1757.19</v>
      </c>
      <c r="K3592" t="str">
        <f>[1]!revcom(C3592)</f>
        <v>TAAAGA</v>
      </c>
      <c r="L3592">
        <v>3</v>
      </c>
    </row>
    <row r="3593" spans="1:12" ht="15.6" x14ac:dyDescent="0.3">
      <c r="A3593" s="9">
        <v>3582</v>
      </c>
      <c r="B3593" s="1"/>
      <c r="C3593" s="2" t="s">
        <v>3588</v>
      </c>
      <c r="D3593" s="1"/>
      <c r="E3593" s="11">
        <f t="shared" si="276"/>
        <v>0</v>
      </c>
      <c r="F3593" s="12">
        <f t="shared" si="277"/>
        <v>33.333333333333329</v>
      </c>
      <c r="G3593" s="12" t="str">
        <f t="shared" si="278"/>
        <v>OK</v>
      </c>
      <c r="H3593" s="13">
        <f t="shared" si="279"/>
        <v>6</v>
      </c>
      <c r="I3593" s="14">
        <f t="shared" si="275"/>
        <v>1733.1599999999999</v>
      </c>
      <c r="K3593" t="str">
        <f>[1]!revcom(C3593)</f>
        <v>GAAAGA</v>
      </c>
      <c r="L3593">
        <v>2</v>
      </c>
    </row>
    <row r="3594" spans="1:12" ht="15.6" x14ac:dyDescent="0.3">
      <c r="A3594" s="9">
        <v>3583</v>
      </c>
      <c r="B3594" s="1"/>
      <c r="C3594" s="2" t="s">
        <v>3589</v>
      </c>
      <c r="D3594" s="1"/>
      <c r="E3594" s="11">
        <f t="shared" si="276"/>
        <v>0</v>
      </c>
      <c r="F3594" s="12">
        <f t="shared" si="277"/>
        <v>33.333333333333329</v>
      </c>
      <c r="G3594" s="12" t="str">
        <f t="shared" si="278"/>
        <v>OK</v>
      </c>
      <c r="H3594" s="13">
        <f t="shared" si="279"/>
        <v>6</v>
      </c>
      <c r="I3594" s="14">
        <f t="shared" si="275"/>
        <v>1773.19</v>
      </c>
      <c r="K3594" t="str">
        <f>[1]!revcom(C3594)</f>
        <v>CAAAGA</v>
      </c>
      <c r="L3594">
        <v>2</v>
      </c>
    </row>
    <row r="3595" spans="1:12" ht="15.6" x14ac:dyDescent="0.3">
      <c r="A3595" s="9">
        <v>3584</v>
      </c>
      <c r="B3595" s="1"/>
      <c r="C3595" s="2" t="s">
        <v>3590</v>
      </c>
      <c r="D3595" s="1"/>
      <c r="E3595" s="11">
        <f t="shared" si="276"/>
        <v>-6</v>
      </c>
      <c r="F3595" s="12">
        <f t="shared" si="277"/>
        <v>16.666666666666664</v>
      </c>
      <c r="G3595" s="12" t="str">
        <f t="shared" si="278"/>
        <v>OK</v>
      </c>
      <c r="H3595" s="13">
        <f t="shared" si="279"/>
        <v>6</v>
      </c>
      <c r="I3595" s="14">
        <f t="shared" si="275"/>
        <v>1748.17</v>
      </c>
      <c r="K3595" t="str">
        <f>[1]!revcom(C3595)</f>
        <v>AAAAGA</v>
      </c>
      <c r="L3595">
        <v>1</v>
      </c>
    </row>
    <row r="3596" spans="1:12" ht="15.6" x14ac:dyDescent="0.3">
      <c r="A3596" s="9">
        <v>3585</v>
      </c>
      <c r="B3596" s="1"/>
      <c r="C3596" s="2" t="s">
        <v>3591</v>
      </c>
      <c r="D3596" s="1"/>
      <c r="E3596" s="11">
        <f t="shared" si="276"/>
        <v>26</v>
      </c>
      <c r="F3596" s="12">
        <f t="shared" si="277"/>
        <v>16.666666666666664</v>
      </c>
      <c r="G3596" s="12" t="str">
        <f t="shared" si="278"/>
        <v>OK</v>
      </c>
      <c r="H3596" s="13">
        <f t="shared" si="279"/>
        <v>6</v>
      </c>
      <c r="I3596" s="14">
        <f t="shared" si="275"/>
        <v>1824.2799999999997</v>
      </c>
      <c r="K3596" t="str">
        <f>[1]!revcom(C3596)</f>
        <v>TTTTCA</v>
      </c>
      <c r="L3596">
        <v>7</v>
      </c>
    </row>
    <row r="3597" spans="1:12" ht="15.6" x14ac:dyDescent="0.3">
      <c r="A3597" s="9">
        <v>3586</v>
      </c>
      <c r="B3597" s="1"/>
      <c r="C3597" s="2" t="s">
        <v>3592</v>
      </c>
      <c r="D3597" s="1"/>
      <c r="E3597" s="11">
        <f t="shared" si="276"/>
        <v>24</v>
      </c>
      <c r="F3597" s="12">
        <f t="shared" si="277"/>
        <v>33.333333333333329</v>
      </c>
      <c r="G3597" s="12" t="str">
        <f t="shared" si="278"/>
        <v>OK</v>
      </c>
      <c r="H3597" s="13">
        <f t="shared" si="279"/>
        <v>6</v>
      </c>
      <c r="I3597" s="14">
        <f t="shared" ref="I3597:I3660" si="280">((LEN(C3597)-(LEN(SUBSTITUTE(C3597,"A",""))))*249.23)+((LEN(C3597)-(LEN(SUBSTITUTE(C3597,"T",""))))*240.21)+((LEN(C3597)-(LEN(SUBSTITUTE(C3597,"C",""))))*225.2)+((LEN(C3597)-(LEN(SUBSTITUTE(C3597,"G",""))))*265.23)+(63.98*(LEN(C3597)-1)+(2.02))</f>
        <v>1800.25</v>
      </c>
      <c r="K3597" t="str">
        <f>[1]!revcom(C3597)</f>
        <v>GTTTCA</v>
      </c>
      <c r="L3597">
        <v>6</v>
      </c>
    </row>
    <row r="3598" spans="1:12" ht="15.6" x14ac:dyDescent="0.3">
      <c r="A3598" s="9">
        <v>3587</v>
      </c>
      <c r="B3598" s="1"/>
      <c r="C3598" s="2" t="s">
        <v>3593</v>
      </c>
      <c r="D3598" s="1"/>
      <c r="E3598" s="11">
        <f t="shared" ref="E3598:E3661" si="281">IF(LEN(C3598)&gt;15,(69.3+((41*((LEN(C3598)-(((LEN(C3598)-(LEN(SUBSTITUTE(C3598,"A",""))))+((LEN(C3598)-(LEN(SUBSTITUTE(C3598,"T","")))))))))/(LEN(C3598)))-(650/(LEN(C3598))))),(2*((LEN(C3598)-(((LEN(C3598)-(LEN(SUBSTITUTE(C3598,"C",""))))+((LEN(C3598)-(LEN(SUBSTITUTE(C3598,"G",""))))))))))+(4*((LEN(C3598)-(((LEN(C3598)-(LEN(SUBSTITUTE(C3598,"T",""))))+((LEN(C3598)-(LEN(SUBSTITUTE(C3598,"T","")))))))))))</f>
        <v>24</v>
      </c>
      <c r="F3598" s="12">
        <f t="shared" ref="F3598:F3661" si="282">((LEN(C3598)- LEN(SUBSTITUTE(C3598,"G","")))+(LEN(C3598)- LEN(SUBSTITUTE(C3598,"C",""))) )/LEN(C3598)*100</f>
        <v>33.333333333333329</v>
      </c>
      <c r="G3598" s="12" t="str">
        <f t="shared" ref="G3598:G3661" si="283">IF((-5+((LEN(SUBSTITUTE(RIGHT(C3598,5),"C","")))+((LEN(SUBSTITUTE(RIGHT(C3598,5),"G",""))))))&gt;=3,"OK","Warning")</f>
        <v>OK</v>
      </c>
      <c r="H3598" s="13">
        <f t="shared" ref="H3598:H3661" si="284">LEN(C3598)</f>
        <v>6</v>
      </c>
      <c r="I3598" s="14">
        <f t="shared" si="280"/>
        <v>1840.2800000000002</v>
      </c>
      <c r="K3598" t="str">
        <f>[1]!revcom(C3598)</f>
        <v>CTTTCA</v>
      </c>
      <c r="L3598">
        <v>6</v>
      </c>
    </row>
    <row r="3599" spans="1:12" ht="15.6" x14ac:dyDescent="0.3">
      <c r="A3599" s="9">
        <v>3588</v>
      </c>
      <c r="B3599" s="1"/>
      <c r="C3599" s="2" t="s">
        <v>3594</v>
      </c>
      <c r="D3599" s="1"/>
      <c r="E3599" s="11">
        <f t="shared" si="281"/>
        <v>18</v>
      </c>
      <c r="F3599" s="12">
        <f t="shared" si="282"/>
        <v>16.666666666666664</v>
      </c>
      <c r="G3599" s="12" t="str">
        <f t="shared" si="283"/>
        <v>OK</v>
      </c>
      <c r="H3599" s="13">
        <f t="shared" si="284"/>
        <v>6</v>
      </c>
      <c r="I3599" s="14">
        <f t="shared" si="280"/>
        <v>1815.2599999999998</v>
      </c>
      <c r="K3599" t="str">
        <f>[1]!revcom(C3599)</f>
        <v>ATTTCA</v>
      </c>
      <c r="L3599">
        <v>5</v>
      </c>
    </row>
    <row r="3600" spans="1:12" ht="15.6" x14ac:dyDescent="0.3">
      <c r="A3600" s="9">
        <v>3589</v>
      </c>
      <c r="B3600" s="1"/>
      <c r="C3600" s="2" t="s">
        <v>3595</v>
      </c>
      <c r="D3600" s="1"/>
      <c r="E3600" s="11">
        <f t="shared" si="281"/>
        <v>24</v>
      </c>
      <c r="F3600" s="12">
        <f t="shared" si="282"/>
        <v>33.333333333333329</v>
      </c>
      <c r="G3600" s="12" t="str">
        <f t="shared" si="283"/>
        <v>OK</v>
      </c>
      <c r="H3600" s="13">
        <f t="shared" si="284"/>
        <v>6</v>
      </c>
      <c r="I3600" s="14">
        <f t="shared" si="280"/>
        <v>1800.25</v>
      </c>
      <c r="K3600" t="str">
        <f>[1]!revcom(C3600)</f>
        <v>TGTTCA</v>
      </c>
      <c r="L3600">
        <v>6</v>
      </c>
    </row>
    <row r="3601" spans="1:12" ht="15.6" x14ac:dyDescent="0.3">
      <c r="A3601" s="9">
        <v>3590</v>
      </c>
      <c r="B3601" s="1"/>
      <c r="C3601" s="2" t="s">
        <v>3596</v>
      </c>
      <c r="D3601" s="1"/>
      <c r="E3601" s="11">
        <f t="shared" si="281"/>
        <v>22</v>
      </c>
      <c r="F3601" s="12">
        <f t="shared" si="282"/>
        <v>50</v>
      </c>
      <c r="G3601" s="12" t="str">
        <f t="shared" si="283"/>
        <v>Warning</v>
      </c>
      <c r="H3601" s="13">
        <f t="shared" si="284"/>
        <v>6</v>
      </c>
      <c r="I3601" s="14">
        <f t="shared" si="280"/>
        <v>1776.2199999999998</v>
      </c>
      <c r="K3601" t="str">
        <f>[1]!revcom(C3601)</f>
        <v>GGTTCA</v>
      </c>
      <c r="L3601">
        <v>6</v>
      </c>
    </row>
    <row r="3602" spans="1:12" ht="15.6" x14ac:dyDescent="0.3">
      <c r="A3602" s="9">
        <v>3591</v>
      </c>
      <c r="B3602" s="1"/>
      <c r="C3602" s="2" t="s">
        <v>3597</v>
      </c>
      <c r="D3602" s="1"/>
      <c r="E3602" s="11">
        <f t="shared" si="281"/>
        <v>22</v>
      </c>
      <c r="F3602" s="12">
        <f t="shared" si="282"/>
        <v>50</v>
      </c>
      <c r="G3602" s="12" t="str">
        <f t="shared" si="283"/>
        <v>Warning</v>
      </c>
      <c r="H3602" s="13">
        <f t="shared" si="284"/>
        <v>6</v>
      </c>
      <c r="I3602" s="14">
        <f t="shared" si="280"/>
        <v>1816.25</v>
      </c>
      <c r="K3602" t="str">
        <f>[1]!revcom(C3602)</f>
        <v>CGTTCA</v>
      </c>
      <c r="L3602">
        <v>6</v>
      </c>
    </row>
    <row r="3603" spans="1:12" ht="15.6" x14ac:dyDescent="0.3">
      <c r="A3603" s="9">
        <v>3592</v>
      </c>
      <c r="B3603" s="1"/>
      <c r="C3603" s="2" t="s">
        <v>3598</v>
      </c>
      <c r="D3603" s="1"/>
      <c r="E3603" s="11">
        <f t="shared" si="281"/>
        <v>16</v>
      </c>
      <c r="F3603" s="12">
        <f t="shared" si="282"/>
        <v>33.333333333333329</v>
      </c>
      <c r="G3603" s="12" t="str">
        <f t="shared" si="283"/>
        <v>OK</v>
      </c>
      <c r="H3603" s="13">
        <f t="shared" si="284"/>
        <v>6</v>
      </c>
      <c r="I3603" s="14">
        <f t="shared" si="280"/>
        <v>1791.23</v>
      </c>
      <c r="K3603" t="str">
        <f>[1]!revcom(C3603)</f>
        <v>AGTTCA</v>
      </c>
      <c r="L3603">
        <v>5</v>
      </c>
    </row>
    <row r="3604" spans="1:12" ht="15.6" x14ac:dyDescent="0.3">
      <c r="A3604" s="9">
        <v>3593</v>
      </c>
      <c r="B3604" s="1"/>
      <c r="C3604" s="2" t="s">
        <v>3599</v>
      </c>
      <c r="D3604" s="1"/>
      <c r="E3604" s="11">
        <f t="shared" si="281"/>
        <v>24</v>
      </c>
      <c r="F3604" s="12">
        <f t="shared" si="282"/>
        <v>33.333333333333329</v>
      </c>
      <c r="G3604" s="12" t="str">
        <f t="shared" si="283"/>
        <v>OK</v>
      </c>
      <c r="H3604" s="13">
        <f t="shared" si="284"/>
        <v>6</v>
      </c>
      <c r="I3604" s="14">
        <f t="shared" si="280"/>
        <v>1840.2800000000002</v>
      </c>
      <c r="K3604" t="str">
        <f>[1]!revcom(C3604)</f>
        <v>TCTTCA</v>
      </c>
      <c r="L3604">
        <v>6</v>
      </c>
    </row>
    <row r="3605" spans="1:12" ht="15.6" x14ac:dyDescent="0.3">
      <c r="A3605" s="9">
        <v>3594</v>
      </c>
      <c r="B3605" s="1"/>
      <c r="C3605" s="2" t="s">
        <v>3600</v>
      </c>
      <c r="D3605" s="1"/>
      <c r="E3605" s="11">
        <f t="shared" si="281"/>
        <v>22</v>
      </c>
      <c r="F3605" s="12">
        <f t="shared" si="282"/>
        <v>50</v>
      </c>
      <c r="G3605" s="12" t="str">
        <f t="shared" si="283"/>
        <v>Warning</v>
      </c>
      <c r="H3605" s="13">
        <f t="shared" si="284"/>
        <v>6</v>
      </c>
      <c r="I3605" s="14">
        <f t="shared" si="280"/>
        <v>1816.25</v>
      </c>
      <c r="K3605" t="str">
        <f>[1]!revcom(C3605)</f>
        <v>GCTTCA</v>
      </c>
      <c r="L3605">
        <v>6</v>
      </c>
    </row>
    <row r="3606" spans="1:12" ht="15.6" x14ac:dyDescent="0.3">
      <c r="A3606" s="9">
        <v>3595</v>
      </c>
      <c r="B3606" s="1"/>
      <c r="C3606" s="2" t="s">
        <v>3601</v>
      </c>
      <c r="D3606" s="1"/>
      <c r="E3606" s="11">
        <f t="shared" si="281"/>
        <v>22</v>
      </c>
      <c r="F3606" s="12">
        <f t="shared" si="282"/>
        <v>50</v>
      </c>
      <c r="G3606" s="12" t="str">
        <f t="shared" si="283"/>
        <v>Warning</v>
      </c>
      <c r="H3606" s="13">
        <f t="shared" si="284"/>
        <v>6</v>
      </c>
      <c r="I3606" s="14">
        <f t="shared" si="280"/>
        <v>1856.2800000000002</v>
      </c>
      <c r="K3606" t="str">
        <f>[1]!revcom(C3606)</f>
        <v>CCTTCA</v>
      </c>
      <c r="L3606">
        <v>6</v>
      </c>
    </row>
    <row r="3607" spans="1:12" ht="15.6" x14ac:dyDescent="0.3">
      <c r="A3607" s="9">
        <v>3596</v>
      </c>
      <c r="B3607" s="1"/>
      <c r="C3607" s="2" t="s">
        <v>3602</v>
      </c>
      <c r="D3607" s="1"/>
      <c r="E3607" s="11">
        <f t="shared" si="281"/>
        <v>16</v>
      </c>
      <c r="F3607" s="12">
        <f t="shared" si="282"/>
        <v>33.333333333333329</v>
      </c>
      <c r="G3607" s="12" t="str">
        <f t="shared" si="283"/>
        <v>OK</v>
      </c>
      <c r="H3607" s="13">
        <f t="shared" si="284"/>
        <v>6</v>
      </c>
      <c r="I3607" s="14">
        <f t="shared" si="280"/>
        <v>1831.2600000000002</v>
      </c>
      <c r="K3607" t="str">
        <f>[1]!revcom(C3607)</f>
        <v>ACTTCA</v>
      </c>
      <c r="L3607">
        <v>5</v>
      </c>
    </row>
    <row r="3608" spans="1:12" ht="15.6" x14ac:dyDescent="0.3">
      <c r="A3608" s="9">
        <v>3597</v>
      </c>
      <c r="B3608" s="1"/>
      <c r="C3608" s="2" t="s">
        <v>3603</v>
      </c>
      <c r="D3608" s="1"/>
      <c r="E3608" s="11">
        <f t="shared" si="281"/>
        <v>18</v>
      </c>
      <c r="F3608" s="12">
        <f t="shared" si="282"/>
        <v>16.666666666666664</v>
      </c>
      <c r="G3608" s="12" t="str">
        <f t="shared" si="283"/>
        <v>OK</v>
      </c>
      <c r="H3608" s="13">
        <f t="shared" si="284"/>
        <v>6</v>
      </c>
      <c r="I3608" s="14">
        <f t="shared" si="280"/>
        <v>1815.2599999999998</v>
      </c>
      <c r="K3608" t="str">
        <f>[1]!revcom(C3608)</f>
        <v>TATTCA</v>
      </c>
      <c r="L3608">
        <v>5</v>
      </c>
    </row>
    <row r="3609" spans="1:12" ht="15.6" x14ac:dyDescent="0.3">
      <c r="A3609" s="9">
        <v>3598</v>
      </c>
      <c r="B3609" s="1"/>
      <c r="C3609" s="2" t="s">
        <v>3604</v>
      </c>
      <c r="D3609" s="1"/>
      <c r="E3609" s="11">
        <f t="shared" si="281"/>
        <v>16</v>
      </c>
      <c r="F3609" s="12">
        <f t="shared" si="282"/>
        <v>33.333333333333329</v>
      </c>
      <c r="G3609" s="12" t="str">
        <f t="shared" si="283"/>
        <v>OK</v>
      </c>
      <c r="H3609" s="13">
        <f t="shared" si="284"/>
        <v>6</v>
      </c>
      <c r="I3609" s="14">
        <f t="shared" si="280"/>
        <v>1791.23</v>
      </c>
      <c r="K3609" t="str">
        <f>[1]!revcom(C3609)</f>
        <v>GATTCA</v>
      </c>
      <c r="L3609">
        <v>5</v>
      </c>
    </row>
    <row r="3610" spans="1:12" ht="15.6" x14ac:dyDescent="0.3">
      <c r="A3610" s="9">
        <v>3599</v>
      </c>
      <c r="B3610" s="1"/>
      <c r="C3610" s="2" t="s">
        <v>3605</v>
      </c>
      <c r="D3610" s="1"/>
      <c r="E3610" s="11">
        <f t="shared" si="281"/>
        <v>16</v>
      </c>
      <c r="F3610" s="12">
        <f t="shared" si="282"/>
        <v>33.333333333333329</v>
      </c>
      <c r="G3610" s="12" t="str">
        <f t="shared" si="283"/>
        <v>OK</v>
      </c>
      <c r="H3610" s="13">
        <f t="shared" si="284"/>
        <v>6</v>
      </c>
      <c r="I3610" s="14">
        <f t="shared" si="280"/>
        <v>1831.2600000000002</v>
      </c>
      <c r="K3610" t="str">
        <f>[1]!revcom(C3610)</f>
        <v>CATTCA</v>
      </c>
      <c r="L3610">
        <v>5</v>
      </c>
    </row>
    <row r="3611" spans="1:12" ht="15.6" x14ac:dyDescent="0.3">
      <c r="A3611" s="9">
        <v>3600</v>
      </c>
      <c r="B3611" s="1"/>
      <c r="C3611" s="2" t="s">
        <v>3606</v>
      </c>
      <c r="D3611" s="1"/>
      <c r="E3611" s="11">
        <f t="shared" si="281"/>
        <v>10</v>
      </c>
      <c r="F3611" s="12">
        <f t="shared" si="282"/>
        <v>16.666666666666664</v>
      </c>
      <c r="G3611" s="12" t="str">
        <f t="shared" si="283"/>
        <v>OK</v>
      </c>
      <c r="H3611" s="13">
        <f t="shared" si="284"/>
        <v>6</v>
      </c>
      <c r="I3611" s="14">
        <f t="shared" si="280"/>
        <v>1806.2399999999998</v>
      </c>
      <c r="K3611" t="str">
        <f>[1]!revcom(C3611)</f>
        <v>AATTCA</v>
      </c>
      <c r="L3611">
        <v>4</v>
      </c>
    </row>
    <row r="3612" spans="1:12" ht="15.6" x14ac:dyDescent="0.3">
      <c r="A3612" s="9">
        <v>3601</v>
      </c>
      <c r="B3612" s="1"/>
      <c r="C3612" s="2" t="s">
        <v>3607</v>
      </c>
      <c r="D3612" s="1"/>
      <c r="E3612" s="11">
        <f t="shared" si="281"/>
        <v>24</v>
      </c>
      <c r="F3612" s="12">
        <f t="shared" si="282"/>
        <v>33.333333333333329</v>
      </c>
      <c r="G3612" s="12" t="str">
        <f t="shared" si="283"/>
        <v>OK</v>
      </c>
      <c r="H3612" s="13">
        <f t="shared" si="284"/>
        <v>6</v>
      </c>
      <c r="I3612" s="14">
        <f t="shared" si="280"/>
        <v>1800.25</v>
      </c>
      <c r="K3612" t="str">
        <f>[1]!revcom(C3612)</f>
        <v>TTGTCA</v>
      </c>
      <c r="L3612">
        <v>6</v>
      </c>
    </row>
    <row r="3613" spans="1:12" ht="15.6" x14ac:dyDescent="0.3">
      <c r="A3613" s="9">
        <v>3602</v>
      </c>
      <c r="B3613" s="1"/>
      <c r="C3613" s="2" t="s">
        <v>3608</v>
      </c>
      <c r="D3613" s="1"/>
      <c r="E3613" s="11">
        <f t="shared" si="281"/>
        <v>22</v>
      </c>
      <c r="F3613" s="12">
        <f t="shared" si="282"/>
        <v>50</v>
      </c>
      <c r="G3613" s="12" t="str">
        <f t="shared" si="283"/>
        <v>Warning</v>
      </c>
      <c r="H3613" s="13">
        <f t="shared" si="284"/>
        <v>6</v>
      </c>
      <c r="I3613" s="14">
        <f t="shared" si="280"/>
        <v>1776.2199999999998</v>
      </c>
      <c r="K3613" t="str">
        <f>[1]!revcom(C3613)</f>
        <v>GTGTCA</v>
      </c>
      <c r="L3613">
        <v>6</v>
      </c>
    </row>
    <row r="3614" spans="1:12" ht="15.6" x14ac:dyDescent="0.3">
      <c r="A3614" s="9">
        <v>3603</v>
      </c>
      <c r="B3614" s="1"/>
      <c r="C3614" s="2" t="s">
        <v>3609</v>
      </c>
      <c r="D3614" s="1"/>
      <c r="E3614" s="11">
        <f t="shared" si="281"/>
        <v>22</v>
      </c>
      <c r="F3614" s="12">
        <f t="shared" si="282"/>
        <v>50</v>
      </c>
      <c r="G3614" s="12" t="str">
        <f t="shared" si="283"/>
        <v>Warning</v>
      </c>
      <c r="H3614" s="13">
        <f t="shared" si="284"/>
        <v>6</v>
      </c>
      <c r="I3614" s="14">
        <f t="shared" si="280"/>
        <v>1816.25</v>
      </c>
      <c r="K3614" t="str">
        <f>[1]!revcom(C3614)</f>
        <v>CTGTCA</v>
      </c>
      <c r="L3614">
        <v>6</v>
      </c>
    </row>
    <row r="3615" spans="1:12" ht="15.6" x14ac:dyDescent="0.3">
      <c r="A3615" s="9">
        <v>3604</v>
      </c>
      <c r="B3615" s="1"/>
      <c r="C3615" s="2" t="s">
        <v>3610</v>
      </c>
      <c r="D3615" s="1"/>
      <c r="E3615" s="11">
        <f t="shared" si="281"/>
        <v>16</v>
      </c>
      <c r="F3615" s="12">
        <f t="shared" si="282"/>
        <v>33.333333333333329</v>
      </c>
      <c r="G3615" s="12" t="str">
        <f t="shared" si="283"/>
        <v>OK</v>
      </c>
      <c r="H3615" s="13">
        <f t="shared" si="284"/>
        <v>6</v>
      </c>
      <c r="I3615" s="14">
        <f t="shared" si="280"/>
        <v>1791.23</v>
      </c>
      <c r="K3615" t="str">
        <f>[1]!revcom(C3615)</f>
        <v>ATGTCA</v>
      </c>
      <c r="L3615">
        <v>5</v>
      </c>
    </row>
    <row r="3616" spans="1:12" ht="15.6" x14ac:dyDescent="0.3">
      <c r="A3616" s="9">
        <v>3605</v>
      </c>
      <c r="B3616" s="1"/>
      <c r="C3616" s="2" t="s">
        <v>3611</v>
      </c>
      <c r="D3616" s="1"/>
      <c r="E3616" s="11">
        <f t="shared" si="281"/>
        <v>22</v>
      </c>
      <c r="F3616" s="12">
        <f t="shared" si="282"/>
        <v>50</v>
      </c>
      <c r="G3616" s="12" t="str">
        <f t="shared" si="283"/>
        <v>Warning</v>
      </c>
      <c r="H3616" s="13">
        <f t="shared" si="284"/>
        <v>6</v>
      </c>
      <c r="I3616" s="14">
        <f t="shared" si="280"/>
        <v>1776.2199999999998</v>
      </c>
      <c r="K3616" t="str">
        <f>[1]!revcom(C3616)</f>
        <v>TGGTCA</v>
      </c>
      <c r="L3616">
        <v>6</v>
      </c>
    </row>
    <row r="3617" spans="1:12" ht="15.6" x14ac:dyDescent="0.3">
      <c r="A3617" s="9">
        <v>3606</v>
      </c>
      <c r="B3617" s="1"/>
      <c r="C3617" s="2" t="s">
        <v>3612</v>
      </c>
      <c r="D3617" s="1"/>
      <c r="E3617" s="11">
        <f t="shared" si="281"/>
        <v>20</v>
      </c>
      <c r="F3617" s="12">
        <f t="shared" si="282"/>
        <v>66.666666666666657</v>
      </c>
      <c r="G3617" s="12" t="str">
        <f t="shared" si="283"/>
        <v>Warning</v>
      </c>
      <c r="H3617" s="13">
        <f t="shared" si="284"/>
        <v>6</v>
      </c>
      <c r="I3617" s="14">
        <f t="shared" si="280"/>
        <v>1752.19</v>
      </c>
      <c r="K3617" t="str">
        <f>[1]!revcom(C3617)</f>
        <v>GGGTCA</v>
      </c>
      <c r="L3617">
        <v>6</v>
      </c>
    </row>
    <row r="3618" spans="1:12" ht="15.6" x14ac:dyDescent="0.3">
      <c r="A3618" s="9">
        <v>3607</v>
      </c>
      <c r="B3618" s="1"/>
      <c r="C3618" s="2" t="s">
        <v>3613</v>
      </c>
      <c r="D3618" s="1"/>
      <c r="E3618" s="11">
        <f t="shared" si="281"/>
        <v>20</v>
      </c>
      <c r="F3618" s="12">
        <f t="shared" si="282"/>
        <v>66.666666666666657</v>
      </c>
      <c r="G3618" s="12" t="str">
        <f t="shared" si="283"/>
        <v>Warning</v>
      </c>
      <c r="H3618" s="13">
        <f t="shared" si="284"/>
        <v>6</v>
      </c>
      <c r="I3618" s="14">
        <f t="shared" si="280"/>
        <v>1792.2199999999998</v>
      </c>
      <c r="K3618" t="str">
        <f>[1]!revcom(C3618)</f>
        <v>CGGTCA</v>
      </c>
      <c r="L3618">
        <v>6</v>
      </c>
    </row>
    <row r="3619" spans="1:12" ht="15.6" x14ac:dyDescent="0.3">
      <c r="A3619" s="9">
        <v>3608</v>
      </c>
      <c r="B3619" s="1"/>
      <c r="C3619" s="2" t="s">
        <v>3614</v>
      </c>
      <c r="D3619" s="1"/>
      <c r="E3619" s="11">
        <f t="shared" si="281"/>
        <v>14</v>
      </c>
      <c r="F3619" s="12">
        <f t="shared" si="282"/>
        <v>50</v>
      </c>
      <c r="G3619" s="12" t="str">
        <f t="shared" si="283"/>
        <v>Warning</v>
      </c>
      <c r="H3619" s="13">
        <f t="shared" si="284"/>
        <v>6</v>
      </c>
      <c r="I3619" s="14">
        <f t="shared" si="280"/>
        <v>1767.1999999999998</v>
      </c>
      <c r="K3619" t="str">
        <f>[1]!revcom(C3619)</f>
        <v>AGGTCA</v>
      </c>
      <c r="L3619">
        <v>5</v>
      </c>
    </row>
    <row r="3620" spans="1:12" ht="15.6" x14ac:dyDescent="0.3">
      <c r="A3620" s="9">
        <v>3609</v>
      </c>
      <c r="B3620" s="1"/>
      <c r="C3620" s="2" t="s">
        <v>3615</v>
      </c>
      <c r="D3620" s="1"/>
      <c r="E3620" s="11">
        <f t="shared" si="281"/>
        <v>22</v>
      </c>
      <c r="F3620" s="12">
        <f t="shared" si="282"/>
        <v>50</v>
      </c>
      <c r="G3620" s="12" t="str">
        <f t="shared" si="283"/>
        <v>Warning</v>
      </c>
      <c r="H3620" s="13">
        <f t="shared" si="284"/>
        <v>6</v>
      </c>
      <c r="I3620" s="14">
        <f t="shared" si="280"/>
        <v>1816.25</v>
      </c>
      <c r="K3620" t="str">
        <f>[1]!revcom(C3620)</f>
        <v>TCGTCA</v>
      </c>
      <c r="L3620">
        <v>6</v>
      </c>
    </row>
    <row r="3621" spans="1:12" ht="15.6" x14ac:dyDescent="0.3">
      <c r="A3621" s="9">
        <v>3610</v>
      </c>
      <c r="B3621" s="1"/>
      <c r="C3621" s="2" t="s">
        <v>3616</v>
      </c>
      <c r="D3621" s="1"/>
      <c r="E3621" s="11">
        <f t="shared" si="281"/>
        <v>20</v>
      </c>
      <c r="F3621" s="12">
        <f t="shared" si="282"/>
        <v>66.666666666666657</v>
      </c>
      <c r="G3621" s="12" t="str">
        <f t="shared" si="283"/>
        <v>Warning</v>
      </c>
      <c r="H3621" s="13">
        <f t="shared" si="284"/>
        <v>6</v>
      </c>
      <c r="I3621" s="14">
        <f t="shared" si="280"/>
        <v>1792.2199999999998</v>
      </c>
      <c r="K3621" t="str">
        <f>[1]!revcom(C3621)</f>
        <v>GCGTCA</v>
      </c>
      <c r="L3621">
        <v>6</v>
      </c>
    </row>
    <row r="3622" spans="1:12" ht="15.6" x14ac:dyDescent="0.3">
      <c r="A3622" s="9">
        <v>3611</v>
      </c>
      <c r="B3622" s="1"/>
      <c r="C3622" s="2" t="s">
        <v>3617</v>
      </c>
      <c r="D3622" s="1"/>
      <c r="E3622" s="11">
        <f t="shared" si="281"/>
        <v>20</v>
      </c>
      <c r="F3622" s="12">
        <f t="shared" si="282"/>
        <v>66.666666666666657</v>
      </c>
      <c r="G3622" s="12" t="str">
        <f t="shared" si="283"/>
        <v>Warning</v>
      </c>
      <c r="H3622" s="13">
        <f t="shared" si="284"/>
        <v>6</v>
      </c>
      <c r="I3622" s="14">
        <f t="shared" si="280"/>
        <v>1832.25</v>
      </c>
      <c r="K3622" t="str">
        <f>[1]!revcom(C3622)</f>
        <v>CCGTCA</v>
      </c>
      <c r="L3622">
        <v>6</v>
      </c>
    </row>
    <row r="3623" spans="1:12" ht="15.6" x14ac:dyDescent="0.3">
      <c r="A3623" s="9">
        <v>3612</v>
      </c>
      <c r="B3623" s="1"/>
      <c r="C3623" s="2" t="s">
        <v>3618</v>
      </c>
      <c r="D3623" s="1"/>
      <c r="E3623" s="11">
        <f t="shared" si="281"/>
        <v>14</v>
      </c>
      <c r="F3623" s="12">
        <f t="shared" si="282"/>
        <v>50</v>
      </c>
      <c r="G3623" s="12" t="str">
        <f t="shared" si="283"/>
        <v>Warning</v>
      </c>
      <c r="H3623" s="13">
        <f t="shared" si="284"/>
        <v>6</v>
      </c>
      <c r="I3623" s="14">
        <f t="shared" si="280"/>
        <v>1807.23</v>
      </c>
      <c r="K3623" t="str">
        <f>[1]!revcom(C3623)</f>
        <v>ACGTCA</v>
      </c>
      <c r="L3623">
        <v>5</v>
      </c>
    </row>
    <row r="3624" spans="1:12" ht="15.6" x14ac:dyDescent="0.3">
      <c r="A3624" s="9">
        <v>3613</v>
      </c>
      <c r="B3624" s="1"/>
      <c r="C3624" s="2" t="s">
        <v>3619</v>
      </c>
      <c r="D3624" s="1"/>
      <c r="E3624" s="11">
        <f t="shared" si="281"/>
        <v>16</v>
      </c>
      <c r="F3624" s="12">
        <f t="shared" si="282"/>
        <v>33.333333333333329</v>
      </c>
      <c r="G3624" s="12" t="str">
        <f t="shared" si="283"/>
        <v>OK</v>
      </c>
      <c r="H3624" s="13">
        <f t="shared" si="284"/>
        <v>6</v>
      </c>
      <c r="I3624" s="14">
        <f t="shared" si="280"/>
        <v>1791.23</v>
      </c>
      <c r="K3624" t="str">
        <f>[1]!revcom(C3624)</f>
        <v>TAGTCA</v>
      </c>
      <c r="L3624">
        <v>5</v>
      </c>
    </row>
    <row r="3625" spans="1:12" ht="15.6" x14ac:dyDescent="0.3">
      <c r="A3625" s="9">
        <v>3614</v>
      </c>
      <c r="B3625" s="1"/>
      <c r="C3625" s="2" t="s">
        <v>3620</v>
      </c>
      <c r="D3625" s="1"/>
      <c r="E3625" s="11">
        <f t="shared" si="281"/>
        <v>14</v>
      </c>
      <c r="F3625" s="12">
        <f t="shared" si="282"/>
        <v>50</v>
      </c>
      <c r="G3625" s="12" t="str">
        <f t="shared" si="283"/>
        <v>Warning</v>
      </c>
      <c r="H3625" s="13">
        <f t="shared" si="284"/>
        <v>6</v>
      </c>
      <c r="I3625" s="14">
        <f t="shared" si="280"/>
        <v>1767.1999999999998</v>
      </c>
      <c r="K3625" t="str">
        <f>[1]!revcom(C3625)</f>
        <v>GAGTCA</v>
      </c>
      <c r="L3625">
        <v>5</v>
      </c>
    </row>
    <row r="3626" spans="1:12" ht="15.6" x14ac:dyDescent="0.3">
      <c r="A3626" s="9">
        <v>3615</v>
      </c>
      <c r="B3626" s="1"/>
      <c r="C3626" s="2" t="s">
        <v>3621</v>
      </c>
      <c r="D3626" s="1"/>
      <c r="E3626" s="11">
        <f t="shared" si="281"/>
        <v>14</v>
      </c>
      <c r="F3626" s="12">
        <f t="shared" si="282"/>
        <v>50</v>
      </c>
      <c r="G3626" s="12" t="str">
        <f t="shared" si="283"/>
        <v>Warning</v>
      </c>
      <c r="H3626" s="13">
        <f t="shared" si="284"/>
        <v>6</v>
      </c>
      <c r="I3626" s="14">
        <f t="shared" si="280"/>
        <v>1807.23</v>
      </c>
      <c r="K3626" t="str">
        <f>[1]!revcom(C3626)</f>
        <v>CAGTCA</v>
      </c>
      <c r="L3626">
        <v>5</v>
      </c>
    </row>
    <row r="3627" spans="1:12" ht="15.6" x14ac:dyDescent="0.3">
      <c r="A3627" s="9">
        <v>3616</v>
      </c>
      <c r="B3627" s="1"/>
      <c r="C3627" s="2" t="s">
        <v>3622</v>
      </c>
      <c r="D3627" s="1"/>
      <c r="E3627" s="11">
        <f t="shared" si="281"/>
        <v>8</v>
      </c>
      <c r="F3627" s="12">
        <f t="shared" si="282"/>
        <v>33.333333333333329</v>
      </c>
      <c r="G3627" s="12" t="str">
        <f t="shared" si="283"/>
        <v>OK</v>
      </c>
      <c r="H3627" s="13">
        <f t="shared" si="284"/>
        <v>6</v>
      </c>
      <c r="I3627" s="14">
        <f t="shared" si="280"/>
        <v>1782.21</v>
      </c>
      <c r="K3627" t="str">
        <f>[1]!revcom(C3627)</f>
        <v>AAGTCA</v>
      </c>
      <c r="L3627">
        <v>4</v>
      </c>
    </row>
    <row r="3628" spans="1:12" ht="15.6" x14ac:dyDescent="0.3">
      <c r="A3628" s="9">
        <v>3617</v>
      </c>
      <c r="B3628" s="1"/>
      <c r="C3628" s="2" t="s">
        <v>3623</v>
      </c>
      <c r="D3628" s="1"/>
      <c r="E3628" s="11">
        <f t="shared" si="281"/>
        <v>24</v>
      </c>
      <c r="F3628" s="12">
        <f t="shared" si="282"/>
        <v>33.333333333333329</v>
      </c>
      <c r="G3628" s="12" t="str">
        <f t="shared" si="283"/>
        <v>OK</v>
      </c>
      <c r="H3628" s="13">
        <f t="shared" si="284"/>
        <v>6</v>
      </c>
      <c r="I3628" s="14">
        <f t="shared" si="280"/>
        <v>1840.2800000000002</v>
      </c>
      <c r="K3628" t="str">
        <f>[1]!revcom(C3628)</f>
        <v>TTCTCA</v>
      </c>
      <c r="L3628">
        <v>6</v>
      </c>
    </row>
    <row r="3629" spans="1:12" ht="15.6" x14ac:dyDescent="0.3">
      <c r="A3629" s="9">
        <v>3618</v>
      </c>
      <c r="B3629" s="1"/>
      <c r="C3629" s="2" t="s">
        <v>3624</v>
      </c>
      <c r="D3629" s="1"/>
      <c r="E3629" s="11">
        <f t="shared" si="281"/>
        <v>22</v>
      </c>
      <c r="F3629" s="12">
        <f t="shared" si="282"/>
        <v>50</v>
      </c>
      <c r="G3629" s="12" t="str">
        <f t="shared" si="283"/>
        <v>Warning</v>
      </c>
      <c r="H3629" s="13">
        <f t="shared" si="284"/>
        <v>6</v>
      </c>
      <c r="I3629" s="14">
        <f t="shared" si="280"/>
        <v>1816.25</v>
      </c>
      <c r="K3629" t="str">
        <f>[1]!revcom(C3629)</f>
        <v>GTCTCA</v>
      </c>
      <c r="L3629">
        <v>6</v>
      </c>
    </row>
    <row r="3630" spans="1:12" ht="15.6" x14ac:dyDescent="0.3">
      <c r="A3630" s="9">
        <v>3619</v>
      </c>
      <c r="B3630" s="1"/>
      <c r="C3630" s="2" t="s">
        <v>3625</v>
      </c>
      <c r="D3630" s="1"/>
      <c r="E3630" s="11">
        <f t="shared" si="281"/>
        <v>22</v>
      </c>
      <c r="F3630" s="12">
        <f t="shared" si="282"/>
        <v>50</v>
      </c>
      <c r="G3630" s="12" t="str">
        <f t="shared" si="283"/>
        <v>Warning</v>
      </c>
      <c r="H3630" s="13">
        <f t="shared" si="284"/>
        <v>6</v>
      </c>
      <c r="I3630" s="14">
        <f t="shared" si="280"/>
        <v>1856.2800000000002</v>
      </c>
      <c r="K3630" t="str">
        <f>[1]!revcom(C3630)</f>
        <v>CTCTCA</v>
      </c>
      <c r="L3630">
        <v>6</v>
      </c>
    </row>
    <row r="3631" spans="1:12" ht="15.6" x14ac:dyDescent="0.3">
      <c r="A3631" s="9">
        <v>3620</v>
      </c>
      <c r="B3631" s="1"/>
      <c r="C3631" s="2" t="s">
        <v>3626</v>
      </c>
      <c r="D3631" s="1"/>
      <c r="E3631" s="11">
        <f t="shared" si="281"/>
        <v>16</v>
      </c>
      <c r="F3631" s="12">
        <f t="shared" si="282"/>
        <v>33.333333333333329</v>
      </c>
      <c r="G3631" s="12" t="str">
        <f t="shared" si="283"/>
        <v>OK</v>
      </c>
      <c r="H3631" s="13">
        <f t="shared" si="284"/>
        <v>6</v>
      </c>
      <c r="I3631" s="14">
        <f t="shared" si="280"/>
        <v>1831.2600000000002</v>
      </c>
      <c r="K3631" t="str">
        <f>[1]!revcom(C3631)</f>
        <v>ATCTCA</v>
      </c>
      <c r="L3631">
        <v>5</v>
      </c>
    </row>
    <row r="3632" spans="1:12" ht="15.6" x14ac:dyDescent="0.3">
      <c r="A3632" s="9">
        <v>3621</v>
      </c>
      <c r="B3632" s="1"/>
      <c r="C3632" s="2" t="s">
        <v>3627</v>
      </c>
      <c r="D3632" s="1"/>
      <c r="E3632" s="11">
        <f t="shared" si="281"/>
        <v>22</v>
      </c>
      <c r="F3632" s="12">
        <f t="shared" si="282"/>
        <v>50</v>
      </c>
      <c r="G3632" s="12" t="str">
        <f t="shared" si="283"/>
        <v>Warning</v>
      </c>
      <c r="H3632" s="13">
        <f t="shared" si="284"/>
        <v>6</v>
      </c>
      <c r="I3632" s="14">
        <f t="shared" si="280"/>
        <v>1816.25</v>
      </c>
      <c r="K3632" t="str">
        <f>[1]!revcom(C3632)</f>
        <v>TGCTCA</v>
      </c>
      <c r="L3632">
        <v>6</v>
      </c>
    </row>
    <row r="3633" spans="1:12" ht="15.6" x14ac:dyDescent="0.3">
      <c r="A3633" s="9">
        <v>3622</v>
      </c>
      <c r="B3633" s="1"/>
      <c r="C3633" s="2" t="s">
        <v>3628</v>
      </c>
      <c r="D3633" s="1"/>
      <c r="E3633" s="11">
        <f t="shared" si="281"/>
        <v>20</v>
      </c>
      <c r="F3633" s="12">
        <f t="shared" si="282"/>
        <v>66.666666666666657</v>
      </c>
      <c r="G3633" s="12" t="str">
        <f t="shared" si="283"/>
        <v>Warning</v>
      </c>
      <c r="H3633" s="13">
        <f t="shared" si="284"/>
        <v>6</v>
      </c>
      <c r="I3633" s="14">
        <f t="shared" si="280"/>
        <v>1792.2199999999998</v>
      </c>
      <c r="K3633" t="str">
        <f>[1]!revcom(C3633)</f>
        <v>GGCTCA</v>
      </c>
      <c r="L3633">
        <v>6</v>
      </c>
    </row>
    <row r="3634" spans="1:12" ht="15.6" x14ac:dyDescent="0.3">
      <c r="A3634" s="9">
        <v>3623</v>
      </c>
      <c r="B3634" s="1"/>
      <c r="C3634" s="2" t="s">
        <v>3629</v>
      </c>
      <c r="D3634" s="1"/>
      <c r="E3634" s="11">
        <f t="shared" si="281"/>
        <v>20</v>
      </c>
      <c r="F3634" s="12">
        <f t="shared" si="282"/>
        <v>66.666666666666657</v>
      </c>
      <c r="G3634" s="12" t="str">
        <f t="shared" si="283"/>
        <v>Warning</v>
      </c>
      <c r="H3634" s="13">
        <f t="shared" si="284"/>
        <v>6</v>
      </c>
      <c r="I3634" s="14">
        <f t="shared" si="280"/>
        <v>1832.25</v>
      </c>
      <c r="K3634" t="str">
        <f>[1]!revcom(C3634)</f>
        <v>CGCTCA</v>
      </c>
      <c r="L3634">
        <v>6</v>
      </c>
    </row>
    <row r="3635" spans="1:12" ht="15.6" x14ac:dyDescent="0.3">
      <c r="A3635" s="9">
        <v>3624</v>
      </c>
      <c r="B3635" s="1"/>
      <c r="C3635" s="2" t="s">
        <v>3630</v>
      </c>
      <c r="D3635" s="1"/>
      <c r="E3635" s="11">
        <f t="shared" si="281"/>
        <v>14</v>
      </c>
      <c r="F3635" s="12">
        <f t="shared" si="282"/>
        <v>50</v>
      </c>
      <c r="G3635" s="12" t="str">
        <f t="shared" si="283"/>
        <v>Warning</v>
      </c>
      <c r="H3635" s="13">
        <f t="shared" si="284"/>
        <v>6</v>
      </c>
      <c r="I3635" s="14">
        <f t="shared" si="280"/>
        <v>1807.23</v>
      </c>
      <c r="K3635" t="str">
        <f>[1]!revcom(C3635)</f>
        <v>AGCTCA</v>
      </c>
      <c r="L3635">
        <v>5</v>
      </c>
    </row>
    <row r="3636" spans="1:12" ht="15.6" x14ac:dyDescent="0.3">
      <c r="A3636" s="9">
        <v>3625</v>
      </c>
      <c r="B3636" s="1"/>
      <c r="C3636" s="2" t="s">
        <v>3631</v>
      </c>
      <c r="D3636" s="1"/>
      <c r="E3636" s="11">
        <f t="shared" si="281"/>
        <v>22</v>
      </c>
      <c r="F3636" s="12">
        <f t="shared" si="282"/>
        <v>50</v>
      </c>
      <c r="G3636" s="12" t="str">
        <f t="shared" si="283"/>
        <v>Warning</v>
      </c>
      <c r="H3636" s="13">
        <f t="shared" si="284"/>
        <v>6</v>
      </c>
      <c r="I3636" s="14">
        <f t="shared" si="280"/>
        <v>1856.2800000000002</v>
      </c>
      <c r="K3636" t="str">
        <f>[1]!revcom(C3636)</f>
        <v>TCCTCA</v>
      </c>
      <c r="L3636">
        <v>6</v>
      </c>
    </row>
    <row r="3637" spans="1:12" ht="15.6" x14ac:dyDescent="0.3">
      <c r="A3637" s="9">
        <v>3626</v>
      </c>
      <c r="B3637" s="1"/>
      <c r="C3637" s="2" t="s">
        <v>3632</v>
      </c>
      <c r="D3637" s="1"/>
      <c r="E3637" s="11">
        <f t="shared" si="281"/>
        <v>20</v>
      </c>
      <c r="F3637" s="12">
        <f t="shared" si="282"/>
        <v>66.666666666666657</v>
      </c>
      <c r="G3637" s="12" t="str">
        <f t="shared" si="283"/>
        <v>Warning</v>
      </c>
      <c r="H3637" s="13">
        <f t="shared" si="284"/>
        <v>6</v>
      </c>
      <c r="I3637" s="14">
        <f t="shared" si="280"/>
        <v>1832.25</v>
      </c>
      <c r="K3637" t="str">
        <f>[1]!revcom(C3637)</f>
        <v>GCCTCA</v>
      </c>
      <c r="L3637">
        <v>6</v>
      </c>
    </row>
    <row r="3638" spans="1:12" ht="15.6" x14ac:dyDescent="0.3">
      <c r="A3638" s="9">
        <v>3627</v>
      </c>
      <c r="B3638" s="1"/>
      <c r="C3638" s="2" t="s">
        <v>3633</v>
      </c>
      <c r="D3638" s="1"/>
      <c r="E3638" s="11">
        <f t="shared" si="281"/>
        <v>20</v>
      </c>
      <c r="F3638" s="12">
        <f t="shared" si="282"/>
        <v>66.666666666666657</v>
      </c>
      <c r="G3638" s="12" t="str">
        <f t="shared" si="283"/>
        <v>Warning</v>
      </c>
      <c r="H3638" s="13">
        <f t="shared" si="284"/>
        <v>6</v>
      </c>
      <c r="I3638" s="14">
        <f t="shared" si="280"/>
        <v>1872.2800000000002</v>
      </c>
      <c r="K3638" t="str">
        <f>[1]!revcom(C3638)</f>
        <v>CCCTCA</v>
      </c>
      <c r="L3638">
        <v>6</v>
      </c>
    </row>
    <row r="3639" spans="1:12" ht="15.6" x14ac:dyDescent="0.3">
      <c r="A3639" s="9">
        <v>3628</v>
      </c>
      <c r="B3639" s="1"/>
      <c r="C3639" s="2" t="s">
        <v>3634</v>
      </c>
      <c r="D3639" s="1"/>
      <c r="E3639" s="11">
        <f t="shared" si="281"/>
        <v>14</v>
      </c>
      <c r="F3639" s="12">
        <f t="shared" si="282"/>
        <v>50</v>
      </c>
      <c r="G3639" s="12" t="str">
        <f t="shared" si="283"/>
        <v>Warning</v>
      </c>
      <c r="H3639" s="13">
        <f t="shared" si="284"/>
        <v>6</v>
      </c>
      <c r="I3639" s="14">
        <f t="shared" si="280"/>
        <v>1847.2600000000002</v>
      </c>
      <c r="K3639" t="str">
        <f>[1]!revcom(C3639)</f>
        <v>ACCTCA</v>
      </c>
      <c r="L3639">
        <v>5</v>
      </c>
    </row>
    <row r="3640" spans="1:12" ht="15.6" x14ac:dyDescent="0.3">
      <c r="A3640" s="9">
        <v>3629</v>
      </c>
      <c r="B3640" s="1"/>
      <c r="C3640" s="2" t="s">
        <v>3635</v>
      </c>
      <c r="D3640" s="1"/>
      <c r="E3640" s="11">
        <f t="shared" si="281"/>
        <v>16</v>
      </c>
      <c r="F3640" s="12">
        <f t="shared" si="282"/>
        <v>33.333333333333329</v>
      </c>
      <c r="G3640" s="12" t="str">
        <f t="shared" si="283"/>
        <v>OK</v>
      </c>
      <c r="H3640" s="13">
        <f t="shared" si="284"/>
        <v>6</v>
      </c>
      <c r="I3640" s="14">
        <f t="shared" si="280"/>
        <v>1831.2600000000002</v>
      </c>
      <c r="K3640" t="str">
        <f>[1]!revcom(C3640)</f>
        <v>TACTCA</v>
      </c>
      <c r="L3640">
        <v>5</v>
      </c>
    </row>
    <row r="3641" spans="1:12" ht="15.6" x14ac:dyDescent="0.3">
      <c r="A3641" s="9">
        <v>3630</v>
      </c>
      <c r="B3641" s="1"/>
      <c r="C3641" s="2" t="s">
        <v>3636</v>
      </c>
      <c r="D3641" s="1"/>
      <c r="E3641" s="11">
        <f t="shared" si="281"/>
        <v>14</v>
      </c>
      <c r="F3641" s="12">
        <f t="shared" si="282"/>
        <v>50</v>
      </c>
      <c r="G3641" s="12" t="str">
        <f t="shared" si="283"/>
        <v>Warning</v>
      </c>
      <c r="H3641" s="13">
        <f t="shared" si="284"/>
        <v>6</v>
      </c>
      <c r="I3641" s="14">
        <f t="shared" si="280"/>
        <v>1807.23</v>
      </c>
      <c r="K3641" t="str">
        <f>[1]!revcom(C3641)</f>
        <v>GACTCA</v>
      </c>
      <c r="L3641">
        <v>5</v>
      </c>
    </row>
    <row r="3642" spans="1:12" ht="15.6" x14ac:dyDescent="0.3">
      <c r="A3642" s="9">
        <v>3631</v>
      </c>
      <c r="B3642" s="1"/>
      <c r="C3642" s="2" t="s">
        <v>3637</v>
      </c>
      <c r="D3642" s="1"/>
      <c r="E3642" s="11">
        <f t="shared" si="281"/>
        <v>14</v>
      </c>
      <c r="F3642" s="12">
        <f t="shared" si="282"/>
        <v>50</v>
      </c>
      <c r="G3642" s="12" t="str">
        <f t="shared" si="283"/>
        <v>Warning</v>
      </c>
      <c r="H3642" s="13">
        <f t="shared" si="284"/>
        <v>6</v>
      </c>
      <c r="I3642" s="14">
        <f t="shared" si="280"/>
        <v>1847.2600000000002</v>
      </c>
      <c r="K3642" t="str">
        <f>[1]!revcom(C3642)</f>
        <v>CACTCA</v>
      </c>
      <c r="L3642">
        <v>5</v>
      </c>
    </row>
    <row r="3643" spans="1:12" ht="15.6" x14ac:dyDescent="0.3">
      <c r="A3643" s="9">
        <v>3632</v>
      </c>
      <c r="B3643" s="1"/>
      <c r="C3643" s="2" t="s">
        <v>3638</v>
      </c>
      <c r="D3643" s="1"/>
      <c r="E3643" s="11">
        <f t="shared" si="281"/>
        <v>8</v>
      </c>
      <c r="F3643" s="12">
        <f t="shared" si="282"/>
        <v>33.333333333333329</v>
      </c>
      <c r="G3643" s="12" t="str">
        <f t="shared" si="283"/>
        <v>OK</v>
      </c>
      <c r="H3643" s="13">
        <f t="shared" si="284"/>
        <v>6</v>
      </c>
      <c r="I3643" s="14">
        <f t="shared" si="280"/>
        <v>1822.2400000000002</v>
      </c>
      <c r="K3643" t="str">
        <f>[1]!revcom(C3643)</f>
        <v>AACTCA</v>
      </c>
      <c r="L3643">
        <v>4</v>
      </c>
    </row>
    <row r="3644" spans="1:12" ht="15.6" x14ac:dyDescent="0.3">
      <c r="A3644" s="9">
        <v>3633</v>
      </c>
      <c r="B3644" s="1"/>
      <c r="C3644" s="2" t="s">
        <v>3639</v>
      </c>
      <c r="D3644" s="1"/>
      <c r="E3644" s="11">
        <f t="shared" si="281"/>
        <v>18</v>
      </c>
      <c r="F3644" s="12">
        <f t="shared" si="282"/>
        <v>16.666666666666664</v>
      </c>
      <c r="G3644" s="12" t="str">
        <f t="shared" si="283"/>
        <v>OK</v>
      </c>
      <c r="H3644" s="13">
        <f t="shared" si="284"/>
        <v>6</v>
      </c>
      <c r="I3644" s="14">
        <f t="shared" si="280"/>
        <v>1815.2599999999998</v>
      </c>
      <c r="K3644" t="str">
        <f>[1]!revcom(C3644)</f>
        <v>TTATCA</v>
      </c>
      <c r="L3644">
        <v>5</v>
      </c>
    </row>
    <row r="3645" spans="1:12" ht="15.6" x14ac:dyDescent="0.3">
      <c r="A3645" s="9">
        <v>3634</v>
      </c>
      <c r="B3645" s="1"/>
      <c r="C3645" s="2" t="s">
        <v>3640</v>
      </c>
      <c r="D3645" s="1"/>
      <c r="E3645" s="11">
        <f t="shared" si="281"/>
        <v>16</v>
      </c>
      <c r="F3645" s="12">
        <f t="shared" si="282"/>
        <v>33.333333333333329</v>
      </c>
      <c r="G3645" s="12" t="str">
        <f t="shared" si="283"/>
        <v>OK</v>
      </c>
      <c r="H3645" s="13">
        <f t="shared" si="284"/>
        <v>6</v>
      </c>
      <c r="I3645" s="14">
        <f t="shared" si="280"/>
        <v>1791.23</v>
      </c>
      <c r="K3645" t="str">
        <f>[1]!revcom(C3645)</f>
        <v>GTATCA</v>
      </c>
      <c r="L3645">
        <v>5</v>
      </c>
    </row>
    <row r="3646" spans="1:12" ht="15.6" x14ac:dyDescent="0.3">
      <c r="A3646" s="9">
        <v>3635</v>
      </c>
      <c r="B3646" s="1"/>
      <c r="C3646" s="2" t="s">
        <v>3641</v>
      </c>
      <c r="D3646" s="1"/>
      <c r="E3646" s="11">
        <f t="shared" si="281"/>
        <v>16</v>
      </c>
      <c r="F3646" s="12">
        <f t="shared" si="282"/>
        <v>33.333333333333329</v>
      </c>
      <c r="G3646" s="12" t="str">
        <f t="shared" si="283"/>
        <v>OK</v>
      </c>
      <c r="H3646" s="13">
        <f t="shared" si="284"/>
        <v>6</v>
      </c>
      <c r="I3646" s="14">
        <f t="shared" si="280"/>
        <v>1831.2600000000002</v>
      </c>
      <c r="K3646" t="str">
        <f>[1]!revcom(C3646)</f>
        <v>CTATCA</v>
      </c>
      <c r="L3646">
        <v>5</v>
      </c>
    </row>
    <row r="3647" spans="1:12" ht="15.6" x14ac:dyDescent="0.3">
      <c r="A3647" s="9">
        <v>3636</v>
      </c>
      <c r="B3647" s="1"/>
      <c r="C3647" s="2" t="s">
        <v>3642</v>
      </c>
      <c r="D3647" s="1"/>
      <c r="E3647" s="11">
        <f t="shared" si="281"/>
        <v>10</v>
      </c>
      <c r="F3647" s="12">
        <f t="shared" si="282"/>
        <v>16.666666666666664</v>
      </c>
      <c r="G3647" s="12" t="str">
        <f t="shared" si="283"/>
        <v>OK</v>
      </c>
      <c r="H3647" s="13">
        <f t="shared" si="284"/>
        <v>6</v>
      </c>
      <c r="I3647" s="14">
        <f t="shared" si="280"/>
        <v>1806.2399999999998</v>
      </c>
      <c r="K3647" t="str">
        <f>[1]!revcom(C3647)</f>
        <v>ATATCA</v>
      </c>
      <c r="L3647">
        <v>4</v>
      </c>
    </row>
    <row r="3648" spans="1:12" ht="15.6" x14ac:dyDescent="0.3">
      <c r="A3648" s="9">
        <v>3637</v>
      </c>
      <c r="B3648" s="1"/>
      <c r="C3648" s="2" t="s">
        <v>3643</v>
      </c>
      <c r="D3648" s="1"/>
      <c r="E3648" s="11">
        <f t="shared" si="281"/>
        <v>16</v>
      </c>
      <c r="F3648" s="12">
        <f t="shared" si="282"/>
        <v>33.333333333333329</v>
      </c>
      <c r="G3648" s="12" t="str">
        <f t="shared" si="283"/>
        <v>OK</v>
      </c>
      <c r="H3648" s="13">
        <f t="shared" si="284"/>
        <v>6</v>
      </c>
      <c r="I3648" s="14">
        <f t="shared" si="280"/>
        <v>1791.23</v>
      </c>
      <c r="K3648" t="str">
        <f>[1]!revcom(C3648)</f>
        <v>TGATCA</v>
      </c>
      <c r="L3648">
        <v>5</v>
      </c>
    </row>
    <row r="3649" spans="1:12" ht="15.6" x14ac:dyDescent="0.3">
      <c r="A3649" s="9">
        <v>3638</v>
      </c>
      <c r="B3649" s="1"/>
      <c r="C3649" s="2" t="s">
        <v>3644</v>
      </c>
      <c r="D3649" s="1"/>
      <c r="E3649" s="11">
        <f t="shared" si="281"/>
        <v>14</v>
      </c>
      <c r="F3649" s="12">
        <f t="shared" si="282"/>
        <v>50</v>
      </c>
      <c r="G3649" s="12" t="str">
        <f t="shared" si="283"/>
        <v>Warning</v>
      </c>
      <c r="H3649" s="13">
        <f t="shared" si="284"/>
        <v>6</v>
      </c>
      <c r="I3649" s="14">
        <f t="shared" si="280"/>
        <v>1767.1999999999998</v>
      </c>
      <c r="K3649" t="str">
        <f>[1]!revcom(C3649)</f>
        <v>GGATCA</v>
      </c>
      <c r="L3649">
        <v>5</v>
      </c>
    </row>
    <row r="3650" spans="1:12" ht="15.6" x14ac:dyDescent="0.3">
      <c r="A3650" s="9">
        <v>3639</v>
      </c>
      <c r="B3650" s="1"/>
      <c r="C3650" s="2" t="s">
        <v>3645</v>
      </c>
      <c r="D3650" s="1"/>
      <c r="E3650" s="11">
        <f t="shared" si="281"/>
        <v>14</v>
      </c>
      <c r="F3650" s="12">
        <f t="shared" si="282"/>
        <v>50</v>
      </c>
      <c r="G3650" s="12" t="str">
        <f t="shared" si="283"/>
        <v>Warning</v>
      </c>
      <c r="H3650" s="13">
        <f t="shared" si="284"/>
        <v>6</v>
      </c>
      <c r="I3650" s="14">
        <f t="shared" si="280"/>
        <v>1807.23</v>
      </c>
      <c r="K3650" t="str">
        <f>[1]!revcom(C3650)</f>
        <v>CGATCA</v>
      </c>
      <c r="L3650">
        <v>5</v>
      </c>
    </row>
    <row r="3651" spans="1:12" ht="15.6" x14ac:dyDescent="0.3">
      <c r="A3651" s="9">
        <v>3640</v>
      </c>
      <c r="B3651" s="1"/>
      <c r="C3651" s="2" t="s">
        <v>3646</v>
      </c>
      <c r="D3651" s="1"/>
      <c r="E3651" s="11">
        <f t="shared" si="281"/>
        <v>8</v>
      </c>
      <c r="F3651" s="12">
        <f t="shared" si="282"/>
        <v>33.333333333333329</v>
      </c>
      <c r="G3651" s="12" t="str">
        <f t="shared" si="283"/>
        <v>OK</v>
      </c>
      <c r="H3651" s="13">
        <f t="shared" si="284"/>
        <v>6</v>
      </c>
      <c r="I3651" s="14">
        <f t="shared" si="280"/>
        <v>1782.21</v>
      </c>
      <c r="K3651" t="str">
        <f>[1]!revcom(C3651)</f>
        <v>AGATCA</v>
      </c>
      <c r="L3651">
        <v>4</v>
      </c>
    </row>
    <row r="3652" spans="1:12" ht="15.6" x14ac:dyDescent="0.3">
      <c r="A3652" s="9">
        <v>3641</v>
      </c>
      <c r="B3652" s="1"/>
      <c r="C3652" s="2" t="s">
        <v>3647</v>
      </c>
      <c r="D3652" s="1"/>
      <c r="E3652" s="11">
        <f t="shared" si="281"/>
        <v>16</v>
      </c>
      <c r="F3652" s="12">
        <f t="shared" si="282"/>
        <v>33.333333333333329</v>
      </c>
      <c r="G3652" s="12" t="str">
        <f t="shared" si="283"/>
        <v>OK</v>
      </c>
      <c r="H3652" s="13">
        <f t="shared" si="284"/>
        <v>6</v>
      </c>
      <c r="I3652" s="14">
        <f t="shared" si="280"/>
        <v>1831.2600000000002</v>
      </c>
      <c r="K3652" t="str">
        <f>[1]!revcom(C3652)</f>
        <v>TCATCA</v>
      </c>
      <c r="L3652">
        <v>5</v>
      </c>
    </row>
    <row r="3653" spans="1:12" ht="15.6" x14ac:dyDescent="0.3">
      <c r="A3653" s="9">
        <v>3642</v>
      </c>
      <c r="B3653" s="1"/>
      <c r="C3653" s="2" t="s">
        <v>3648</v>
      </c>
      <c r="D3653" s="1"/>
      <c r="E3653" s="11">
        <f t="shared" si="281"/>
        <v>14</v>
      </c>
      <c r="F3653" s="12">
        <f t="shared" si="282"/>
        <v>50</v>
      </c>
      <c r="G3653" s="12" t="str">
        <f t="shared" si="283"/>
        <v>Warning</v>
      </c>
      <c r="H3653" s="13">
        <f t="shared" si="284"/>
        <v>6</v>
      </c>
      <c r="I3653" s="14">
        <f t="shared" si="280"/>
        <v>1807.23</v>
      </c>
      <c r="K3653" t="str">
        <f>[1]!revcom(C3653)</f>
        <v>GCATCA</v>
      </c>
      <c r="L3653">
        <v>5</v>
      </c>
    </row>
    <row r="3654" spans="1:12" ht="15.6" x14ac:dyDescent="0.3">
      <c r="A3654" s="9">
        <v>3643</v>
      </c>
      <c r="B3654" s="1"/>
      <c r="C3654" s="2" t="s">
        <v>3649</v>
      </c>
      <c r="D3654" s="1"/>
      <c r="E3654" s="11">
        <f t="shared" si="281"/>
        <v>14</v>
      </c>
      <c r="F3654" s="12">
        <f t="shared" si="282"/>
        <v>50</v>
      </c>
      <c r="G3654" s="12" t="str">
        <f t="shared" si="283"/>
        <v>Warning</v>
      </c>
      <c r="H3654" s="13">
        <f t="shared" si="284"/>
        <v>6</v>
      </c>
      <c r="I3654" s="14">
        <f t="shared" si="280"/>
        <v>1847.2600000000002</v>
      </c>
      <c r="K3654" t="str">
        <f>[1]!revcom(C3654)</f>
        <v>CCATCA</v>
      </c>
      <c r="L3654">
        <v>5</v>
      </c>
    </row>
    <row r="3655" spans="1:12" ht="15.6" x14ac:dyDescent="0.3">
      <c r="A3655" s="9">
        <v>3644</v>
      </c>
      <c r="B3655" s="1"/>
      <c r="C3655" s="2" t="s">
        <v>3650</v>
      </c>
      <c r="D3655" s="1"/>
      <c r="E3655" s="11">
        <f t="shared" si="281"/>
        <v>8</v>
      </c>
      <c r="F3655" s="12">
        <f t="shared" si="282"/>
        <v>33.333333333333329</v>
      </c>
      <c r="G3655" s="12" t="str">
        <f t="shared" si="283"/>
        <v>OK</v>
      </c>
      <c r="H3655" s="13">
        <f t="shared" si="284"/>
        <v>6</v>
      </c>
      <c r="I3655" s="14">
        <f t="shared" si="280"/>
        <v>1822.2400000000002</v>
      </c>
      <c r="K3655" t="str">
        <f>[1]!revcom(C3655)</f>
        <v>ACATCA</v>
      </c>
      <c r="L3655">
        <v>4</v>
      </c>
    </row>
    <row r="3656" spans="1:12" ht="15.6" x14ac:dyDescent="0.3">
      <c r="A3656" s="9">
        <v>3645</v>
      </c>
      <c r="B3656" s="1"/>
      <c r="C3656" s="2" t="s">
        <v>3651</v>
      </c>
      <c r="D3656" s="1"/>
      <c r="E3656" s="11">
        <f t="shared" si="281"/>
        <v>10</v>
      </c>
      <c r="F3656" s="12">
        <f t="shared" si="282"/>
        <v>16.666666666666664</v>
      </c>
      <c r="G3656" s="12" t="str">
        <f t="shared" si="283"/>
        <v>OK</v>
      </c>
      <c r="H3656" s="13">
        <f t="shared" si="284"/>
        <v>6</v>
      </c>
      <c r="I3656" s="14">
        <f t="shared" si="280"/>
        <v>1806.2399999999998</v>
      </c>
      <c r="K3656" t="str">
        <f>[1]!revcom(C3656)</f>
        <v>TAATCA</v>
      </c>
      <c r="L3656">
        <v>4</v>
      </c>
    </row>
    <row r="3657" spans="1:12" ht="15.6" x14ac:dyDescent="0.3">
      <c r="A3657" s="9">
        <v>3646</v>
      </c>
      <c r="B3657" s="1"/>
      <c r="C3657" s="2" t="s">
        <v>3652</v>
      </c>
      <c r="D3657" s="1"/>
      <c r="E3657" s="11">
        <f t="shared" si="281"/>
        <v>8</v>
      </c>
      <c r="F3657" s="12">
        <f t="shared" si="282"/>
        <v>33.333333333333329</v>
      </c>
      <c r="G3657" s="12" t="str">
        <f t="shared" si="283"/>
        <v>OK</v>
      </c>
      <c r="H3657" s="13">
        <f t="shared" si="284"/>
        <v>6</v>
      </c>
      <c r="I3657" s="14">
        <f t="shared" si="280"/>
        <v>1782.21</v>
      </c>
      <c r="K3657" t="str">
        <f>[1]!revcom(C3657)</f>
        <v>GAATCA</v>
      </c>
      <c r="L3657">
        <v>4</v>
      </c>
    </row>
    <row r="3658" spans="1:12" ht="15.6" x14ac:dyDescent="0.3">
      <c r="A3658" s="9">
        <v>3647</v>
      </c>
      <c r="B3658" s="1"/>
      <c r="C3658" s="2" t="s">
        <v>3653</v>
      </c>
      <c r="D3658" s="1"/>
      <c r="E3658" s="11">
        <f t="shared" si="281"/>
        <v>8</v>
      </c>
      <c r="F3658" s="12">
        <f t="shared" si="282"/>
        <v>33.333333333333329</v>
      </c>
      <c r="G3658" s="12" t="str">
        <f t="shared" si="283"/>
        <v>OK</v>
      </c>
      <c r="H3658" s="13">
        <f t="shared" si="284"/>
        <v>6</v>
      </c>
      <c r="I3658" s="14">
        <f t="shared" si="280"/>
        <v>1822.2400000000002</v>
      </c>
      <c r="K3658" t="str">
        <f>[1]!revcom(C3658)</f>
        <v>CAATCA</v>
      </c>
      <c r="L3658">
        <v>4</v>
      </c>
    </row>
    <row r="3659" spans="1:12" ht="15.6" x14ac:dyDescent="0.3">
      <c r="A3659" s="9">
        <v>3648</v>
      </c>
      <c r="B3659" s="1"/>
      <c r="C3659" s="2" t="s">
        <v>3654</v>
      </c>
      <c r="D3659" s="1"/>
      <c r="E3659" s="11">
        <f t="shared" si="281"/>
        <v>2</v>
      </c>
      <c r="F3659" s="12">
        <f t="shared" si="282"/>
        <v>16.666666666666664</v>
      </c>
      <c r="G3659" s="12" t="str">
        <f t="shared" si="283"/>
        <v>OK</v>
      </c>
      <c r="H3659" s="13">
        <f t="shared" si="284"/>
        <v>6</v>
      </c>
      <c r="I3659" s="14">
        <f t="shared" si="280"/>
        <v>1797.2199999999998</v>
      </c>
      <c r="K3659" t="str">
        <f>[1]!revcom(C3659)</f>
        <v>AAATCA</v>
      </c>
      <c r="L3659">
        <v>3</v>
      </c>
    </row>
    <row r="3660" spans="1:12" ht="15.6" x14ac:dyDescent="0.3">
      <c r="A3660" s="9">
        <v>3649</v>
      </c>
      <c r="B3660" s="1"/>
      <c r="C3660" s="2" t="s">
        <v>3655</v>
      </c>
      <c r="D3660" s="1"/>
      <c r="E3660" s="11">
        <f t="shared" si="281"/>
        <v>24</v>
      </c>
      <c r="F3660" s="12">
        <f t="shared" si="282"/>
        <v>33.333333333333329</v>
      </c>
      <c r="G3660" s="12" t="str">
        <f t="shared" si="283"/>
        <v>OK</v>
      </c>
      <c r="H3660" s="13">
        <f t="shared" si="284"/>
        <v>6</v>
      </c>
      <c r="I3660" s="14">
        <f t="shared" si="280"/>
        <v>1800.25</v>
      </c>
      <c r="K3660" t="str">
        <f>[1]!revcom(C3660)</f>
        <v>TTTGCA</v>
      </c>
      <c r="L3660">
        <v>6</v>
      </c>
    </row>
    <row r="3661" spans="1:12" ht="15.6" x14ac:dyDescent="0.3">
      <c r="A3661" s="9">
        <v>3650</v>
      </c>
      <c r="B3661" s="1"/>
      <c r="C3661" s="2" t="s">
        <v>3656</v>
      </c>
      <c r="D3661" s="1"/>
      <c r="E3661" s="11">
        <f t="shared" si="281"/>
        <v>22</v>
      </c>
      <c r="F3661" s="12">
        <f t="shared" si="282"/>
        <v>50</v>
      </c>
      <c r="G3661" s="12" t="str">
        <f t="shared" si="283"/>
        <v>Warning</v>
      </c>
      <c r="H3661" s="13">
        <f t="shared" si="284"/>
        <v>6</v>
      </c>
      <c r="I3661" s="14">
        <f t="shared" ref="I3661:I3724" si="285">((LEN(C3661)-(LEN(SUBSTITUTE(C3661,"A",""))))*249.23)+((LEN(C3661)-(LEN(SUBSTITUTE(C3661,"T",""))))*240.21)+((LEN(C3661)-(LEN(SUBSTITUTE(C3661,"C",""))))*225.2)+((LEN(C3661)-(LEN(SUBSTITUTE(C3661,"G",""))))*265.23)+(63.98*(LEN(C3661)-1)+(2.02))</f>
        <v>1776.2199999999998</v>
      </c>
      <c r="K3661" t="str">
        <f>[1]!revcom(C3661)</f>
        <v>GTTGCA</v>
      </c>
      <c r="L3661">
        <v>6</v>
      </c>
    </row>
    <row r="3662" spans="1:12" ht="15.6" x14ac:dyDescent="0.3">
      <c r="A3662" s="9">
        <v>3651</v>
      </c>
      <c r="B3662" s="1"/>
      <c r="C3662" s="2" t="s">
        <v>3657</v>
      </c>
      <c r="D3662" s="1"/>
      <c r="E3662" s="11">
        <f t="shared" ref="E3662:E3725" si="286">IF(LEN(C3662)&gt;15,(69.3+((41*((LEN(C3662)-(((LEN(C3662)-(LEN(SUBSTITUTE(C3662,"A",""))))+((LEN(C3662)-(LEN(SUBSTITUTE(C3662,"T","")))))))))/(LEN(C3662)))-(650/(LEN(C3662))))),(2*((LEN(C3662)-(((LEN(C3662)-(LEN(SUBSTITUTE(C3662,"C",""))))+((LEN(C3662)-(LEN(SUBSTITUTE(C3662,"G",""))))))))))+(4*((LEN(C3662)-(((LEN(C3662)-(LEN(SUBSTITUTE(C3662,"T",""))))+((LEN(C3662)-(LEN(SUBSTITUTE(C3662,"T","")))))))))))</f>
        <v>22</v>
      </c>
      <c r="F3662" s="12">
        <f t="shared" ref="F3662:F3725" si="287">((LEN(C3662)- LEN(SUBSTITUTE(C3662,"G","")))+(LEN(C3662)- LEN(SUBSTITUTE(C3662,"C",""))) )/LEN(C3662)*100</f>
        <v>50</v>
      </c>
      <c r="G3662" s="12" t="str">
        <f t="shared" ref="G3662:G3725" si="288">IF((-5+((LEN(SUBSTITUTE(RIGHT(C3662,5),"C","")))+((LEN(SUBSTITUTE(RIGHT(C3662,5),"G",""))))))&gt;=3,"OK","Warning")</f>
        <v>Warning</v>
      </c>
      <c r="H3662" s="13">
        <f t="shared" ref="H3662:H3725" si="289">LEN(C3662)</f>
        <v>6</v>
      </c>
      <c r="I3662" s="14">
        <f t="shared" si="285"/>
        <v>1816.25</v>
      </c>
      <c r="K3662" t="str">
        <f>[1]!revcom(C3662)</f>
        <v>CTTGCA</v>
      </c>
      <c r="L3662">
        <v>6</v>
      </c>
    </row>
    <row r="3663" spans="1:12" ht="15.6" x14ac:dyDescent="0.3">
      <c r="A3663" s="9">
        <v>3652</v>
      </c>
      <c r="B3663" s="1"/>
      <c r="C3663" s="2" t="s">
        <v>3658</v>
      </c>
      <c r="D3663" s="1"/>
      <c r="E3663" s="11">
        <f t="shared" si="286"/>
        <v>16</v>
      </c>
      <c r="F3663" s="12">
        <f t="shared" si="287"/>
        <v>33.333333333333329</v>
      </c>
      <c r="G3663" s="12" t="str">
        <f t="shared" si="288"/>
        <v>OK</v>
      </c>
      <c r="H3663" s="13">
        <f t="shared" si="289"/>
        <v>6</v>
      </c>
      <c r="I3663" s="14">
        <f t="shared" si="285"/>
        <v>1791.23</v>
      </c>
      <c r="K3663" t="str">
        <f>[1]!revcom(C3663)</f>
        <v>ATTGCA</v>
      </c>
      <c r="L3663">
        <v>5</v>
      </c>
    </row>
    <row r="3664" spans="1:12" ht="15.6" x14ac:dyDescent="0.3">
      <c r="A3664" s="9">
        <v>3653</v>
      </c>
      <c r="B3664" s="1"/>
      <c r="C3664" s="2" t="s">
        <v>3659</v>
      </c>
      <c r="D3664" s="1"/>
      <c r="E3664" s="11">
        <f t="shared" si="286"/>
        <v>22</v>
      </c>
      <c r="F3664" s="12">
        <f t="shared" si="287"/>
        <v>50</v>
      </c>
      <c r="G3664" s="12" t="str">
        <f t="shared" si="288"/>
        <v>Warning</v>
      </c>
      <c r="H3664" s="13">
        <f t="shared" si="289"/>
        <v>6</v>
      </c>
      <c r="I3664" s="14">
        <f t="shared" si="285"/>
        <v>1776.2199999999998</v>
      </c>
      <c r="K3664" t="str">
        <f>[1]!revcom(C3664)</f>
        <v>TGTGCA</v>
      </c>
      <c r="L3664">
        <v>6</v>
      </c>
    </row>
    <row r="3665" spans="1:12" ht="15.6" x14ac:dyDescent="0.3">
      <c r="A3665" s="9">
        <v>3654</v>
      </c>
      <c r="B3665" s="1"/>
      <c r="C3665" s="2" t="s">
        <v>3660</v>
      </c>
      <c r="D3665" s="1"/>
      <c r="E3665" s="11">
        <f t="shared" si="286"/>
        <v>20</v>
      </c>
      <c r="F3665" s="12">
        <f t="shared" si="287"/>
        <v>66.666666666666657</v>
      </c>
      <c r="G3665" s="12" t="str">
        <f t="shared" si="288"/>
        <v>Warning</v>
      </c>
      <c r="H3665" s="13">
        <f t="shared" si="289"/>
        <v>6</v>
      </c>
      <c r="I3665" s="14">
        <f t="shared" si="285"/>
        <v>1752.19</v>
      </c>
      <c r="K3665" t="str">
        <f>[1]!revcom(C3665)</f>
        <v>GGTGCA</v>
      </c>
      <c r="L3665">
        <v>6</v>
      </c>
    </row>
    <row r="3666" spans="1:12" ht="15.6" x14ac:dyDescent="0.3">
      <c r="A3666" s="9">
        <v>3655</v>
      </c>
      <c r="B3666" s="1"/>
      <c r="C3666" s="2" t="s">
        <v>3661</v>
      </c>
      <c r="D3666" s="1"/>
      <c r="E3666" s="11">
        <f t="shared" si="286"/>
        <v>20</v>
      </c>
      <c r="F3666" s="12">
        <f t="shared" si="287"/>
        <v>66.666666666666657</v>
      </c>
      <c r="G3666" s="12" t="str">
        <f t="shared" si="288"/>
        <v>Warning</v>
      </c>
      <c r="H3666" s="13">
        <f t="shared" si="289"/>
        <v>6</v>
      </c>
      <c r="I3666" s="14">
        <f t="shared" si="285"/>
        <v>1792.2199999999998</v>
      </c>
      <c r="K3666" t="str">
        <f>[1]!revcom(C3666)</f>
        <v>CGTGCA</v>
      </c>
      <c r="L3666">
        <v>6</v>
      </c>
    </row>
    <row r="3667" spans="1:12" ht="15.6" x14ac:dyDescent="0.3">
      <c r="A3667" s="9">
        <v>3656</v>
      </c>
      <c r="B3667" s="1"/>
      <c r="C3667" s="2" t="s">
        <v>3662</v>
      </c>
      <c r="D3667" s="1"/>
      <c r="E3667" s="11">
        <f t="shared" si="286"/>
        <v>14</v>
      </c>
      <c r="F3667" s="12">
        <f t="shared" si="287"/>
        <v>50</v>
      </c>
      <c r="G3667" s="12" t="str">
        <f t="shared" si="288"/>
        <v>Warning</v>
      </c>
      <c r="H3667" s="13">
        <f t="shared" si="289"/>
        <v>6</v>
      </c>
      <c r="I3667" s="14">
        <f t="shared" si="285"/>
        <v>1767.1999999999998</v>
      </c>
      <c r="K3667" t="str">
        <f>[1]!revcom(C3667)</f>
        <v>AGTGCA</v>
      </c>
      <c r="L3667">
        <v>5</v>
      </c>
    </row>
    <row r="3668" spans="1:12" ht="15.6" x14ac:dyDescent="0.3">
      <c r="A3668" s="9">
        <v>3657</v>
      </c>
      <c r="B3668" s="1"/>
      <c r="C3668" s="2" t="s">
        <v>3663</v>
      </c>
      <c r="D3668" s="1"/>
      <c r="E3668" s="11">
        <f t="shared" si="286"/>
        <v>22</v>
      </c>
      <c r="F3668" s="12">
        <f t="shared" si="287"/>
        <v>50</v>
      </c>
      <c r="G3668" s="12" t="str">
        <f t="shared" si="288"/>
        <v>Warning</v>
      </c>
      <c r="H3668" s="13">
        <f t="shared" si="289"/>
        <v>6</v>
      </c>
      <c r="I3668" s="14">
        <f t="shared" si="285"/>
        <v>1816.25</v>
      </c>
      <c r="K3668" t="str">
        <f>[1]!revcom(C3668)</f>
        <v>TCTGCA</v>
      </c>
      <c r="L3668">
        <v>6</v>
      </c>
    </row>
    <row r="3669" spans="1:12" ht="15.6" x14ac:dyDescent="0.3">
      <c r="A3669" s="9">
        <v>3658</v>
      </c>
      <c r="B3669" s="1"/>
      <c r="C3669" s="2" t="s">
        <v>3664</v>
      </c>
      <c r="D3669" s="1"/>
      <c r="E3669" s="11">
        <f t="shared" si="286"/>
        <v>20</v>
      </c>
      <c r="F3669" s="12">
        <f t="shared" si="287"/>
        <v>66.666666666666657</v>
      </c>
      <c r="G3669" s="12" t="str">
        <f t="shared" si="288"/>
        <v>Warning</v>
      </c>
      <c r="H3669" s="13">
        <f t="shared" si="289"/>
        <v>6</v>
      </c>
      <c r="I3669" s="14">
        <f t="shared" si="285"/>
        <v>1792.2199999999998</v>
      </c>
      <c r="K3669" t="str">
        <f>[1]!revcom(C3669)</f>
        <v>GCTGCA</v>
      </c>
      <c r="L3669">
        <v>6</v>
      </c>
    </row>
    <row r="3670" spans="1:12" ht="15.6" x14ac:dyDescent="0.3">
      <c r="A3670" s="9">
        <v>3659</v>
      </c>
      <c r="B3670" s="1"/>
      <c r="C3670" s="2" t="s">
        <v>3665</v>
      </c>
      <c r="D3670" s="1"/>
      <c r="E3670" s="11">
        <f t="shared" si="286"/>
        <v>20</v>
      </c>
      <c r="F3670" s="12">
        <f t="shared" si="287"/>
        <v>66.666666666666657</v>
      </c>
      <c r="G3670" s="12" t="str">
        <f t="shared" si="288"/>
        <v>Warning</v>
      </c>
      <c r="H3670" s="13">
        <f t="shared" si="289"/>
        <v>6</v>
      </c>
      <c r="I3670" s="14">
        <f t="shared" si="285"/>
        <v>1832.25</v>
      </c>
      <c r="K3670" t="str">
        <f>[1]!revcom(C3670)</f>
        <v>CCTGCA</v>
      </c>
      <c r="L3670">
        <v>6</v>
      </c>
    </row>
    <row r="3671" spans="1:12" ht="15.6" x14ac:dyDescent="0.3">
      <c r="A3671" s="9">
        <v>3660</v>
      </c>
      <c r="B3671" s="1"/>
      <c r="C3671" s="2" t="s">
        <v>3666</v>
      </c>
      <c r="D3671" s="1"/>
      <c r="E3671" s="11">
        <f t="shared" si="286"/>
        <v>14</v>
      </c>
      <c r="F3671" s="12">
        <f t="shared" si="287"/>
        <v>50</v>
      </c>
      <c r="G3671" s="12" t="str">
        <f t="shared" si="288"/>
        <v>Warning</v>
      </c>
      <c r="H3671" s="13">
        <f t="shared" si="289"/>
        <v>6</v>
      </c>
      <c r="I3671" s="14">
        <f t="shared" si="285"/>
        <v>1807.23</v>
      </c>
      <c r="K3671" t="str">
        <f>[1]!revcom(C3671)</f>
        <v>ACTGCA</v>
      </c>
      <c r="L3671">
        <v>5</v>
      </c>
    </row>
    <row r="3672" spans="1:12" ht="15.6" x14ac:dyDescent="0.3">
      <c r="A3672" s="9">
        <v>3661</v>
      </c>
      <c r="B3672" s="1"/>
      <c r="C3672" s="2" t="s">
        <v>3667</v>
      </c>
      <c r="D3672" s="1"/>
      <c r="E3672" s="11">
        <f t="shared" si="286"/>
        <v>16</v>
      </c>
      <c r="F3672" s="12">
        <f t="shared" si="287"/>
        <v>33.333333333333329</v>
      </c>
      <c r="G3672" s="12" t="str">
        <f t="shared" si="288"/>
        <v>OK</v>
      </c>
      <c r="H3672" s="13">
        <f t="shared" si="289"/>
        <v>6</v>
      </c>
      <c r="I3672" s="14">
        <f t="shared" si="285"/>
        <v>1791.23</v>
      </c>
      <c r="K3672" t="str">
        <f>[1]!revcom(C3672)</f>
        <v>TATGCA</v>
      </c>
      <c r="L3672">
        <v>5</v>
      </c>
    </row>
    <row r="3673" spans="1:12" ht="15.6" x14ac:dyDescent="0.3">
      <c r="A3673" s="9">
        <v>3662</v>
      </c>
      <c r="B3673" s="1"/>
      <c r="C3673" s="2" t="s">
        <v>3668</v>
      </c>
      <c r="D3673" s="1"/>
      <c r="E3673" s="11">
        <f t="shared" si="286"/>
        <v>14</v>
      </c>
      <c r="F3673" s="12">
        <f t="shared" si="287"/>
        <v>50</v>
      </c>
      <c r="G3673" s="12" t="str">
        <f t="shared" si="288"/>
        <v>Warning</v>
      </c>
      <c r="H3673" s="13">
        <f t="shared" si="289"/>
        <v>6</v>
      </c>
      <c r="I3673" s="14">
        <f t="shared" si="285"/>
        <v>1767.1999999999998</v>
      </c>
      <c r="K3673" t="str">
        <f>[1]!revcom(C3673)</f>
        <v>GATGCA</v>
      </c>
      <c r="L3673">
        <v>5</v>
      </c>
    </row>
    <row r="3674" spans="1:12" ht="15.6" x14ac:dyDescent="0.3">
      <c r="A3674" s="9">
        <v>3663</v>
      </c>
      <c r="B3674" s="1"/>
      <c r="C3674" s="2" t="s">
        <v>3669</v>
      </c>
      <c r="D3674" s="1"/>
      <c r="E3674" s="11">
        <f t="shared" si="286"/>
        <v>14</v>
      </c>
      <c r="F3674" s="12">
        <f t="shared" si="287"/>
        <v>50</v>
      </c>
      <c r="G3674" s="12" t="str">
        <f t="shared" si="288"/>
        <v>Warning</v>
      </c>
      <c r="H3674" s="13">
        <f t="shared" si="289"/>
        <v>6</v>
      </c>
      <c r="I3674" s="14">
        <f t="shared" si="285"/>
        <v>1807.23</v>
      </c>
      <c r="K3674" t="str">
        <f>[1]!revcom(C3674)</f>
        <v>CATGCA</v>
      </c>
      <c r="L3674">
        <v>5</v>
      </c>
    </row>
    <row r="3675" spans="1:12" ht="15.6" x14ac:dyDescent="0.3">
      <c r="A3675" s="9">
        <v>3664</v>
      </c>
      <c r="B3675" s="1"/>
      <c r="C3675" s="2" t="s">
        <v>3670</v>
      </c>
      <c r="D3675" s="1"/>
      <c r="E3675" s="11">
        <f t="shared" si="286"/>
        <v>8</v>
      </c>
      <c r="F3675" s="12">
        <f t="shared" si="287"/>
        <v>33.333333333333329</v>
      </c>
      <c r="G3675" s="12" t="str">
        <f t="shared" si="288"/>
        <v>OK</v>
      </c>
      <c r="H3675" s="13">
        <f t="shared" si="289"/>
        <v>6</v>
      </c>
      <c r="I3675" s="14">
        <f t="shared" si="285"/>
        <v>1782.21</v>
      </c>
      <c r="K3675" t="str">
        <f>[1]!revcom(C3675)</f>
        <v>AATGCA</v>
      </c>
      <c r="L3675">
        <v>4</v>
      </c>
    </row>
    <row r="3676" spans="1:12" ht="15.6" x14ac:dyDescent="0.3">
      <c r="A3676" s="9">
        <v>3665</v>
      </c>
      <c r="B3676" s="1"/>
      <c r="C3676" s="2" t="s">
        <v>3671</v>
      </c>
      <c r="D3676" s="1"/>
      <c r="E3676" s="11">
        <f t="shared" si="286"/>
        <v>22</v>
      </c>
      <c r="F3676" s="12">
        <f t="shared" si="287"/>
        <v>50</v>
      </c>
      <c r="G3676" s="12" t="str">
        <f t="shared" si="288"/>
        <v>Warning</v>
      </c>
      <c r="H3676" s="13">
        <f t="shared" si="289"/>
        <v>6</v>
      </c>
      <c r="I3676" s="14">
        <f t="shared" si="285"/>
        <v>1776.2199999999998</v>
      </c>
      <c r="K3676" t="str">
        <f>[1]!revcom(C3676)</f>
        <v>TTGGCA</v>
      </c>
      <c r="L3676">
        <v>6</v>
      </c>
    </row>
    <row r="3677" spans="1:12" ht="15.6" x14ac:dyDescent="0.3">
      <c r="A3677" s="9">
        <v>3666</v>
      </c>
      <c r="B3677" s="1"/>
      <c r="C3677" s="2" t="s">
        <v>3672</v>
      </c>
      <c r="D3677" s="1"/>
      <c r="E3677" s="11">
        <f t="shared" si="286"/>
        <v>20</v>
      </c>
      <c r="F3677" s="12">
        <f t="shared" si="287"/>
        <v>66.666666666666657</v>
      </c>
      <c r="G3677" s="12" t="str">
        <f t="shared" si="288"/>
        <v>Warning</v>
      </c>
      <c r="H3677" s="13">
        <f t="shared" si="289"/>
        <v>6</v>
      </c>
      <c r="I3677" s="14">
        <f t="shared" si="285"/>
        <v>1752.19</v>
      </c>
      <c r="K3677" t="str">
        <f>[1]!revcom(C3677)</f>
        <v>GTGGCA</v>
      </c>
      <c r="L3677">
        <v>6</v>
      </c>
    </row>
    <row r="3678" spans="1:12" ht="15.6" x14ac:dyDescent="0.3">
      <c r="A3678" s="9">
        <v>3667</v>
      </c>
      <c r="B3678" s="1"/>
      <c r="C3678" s="2" t="s">
        <v>3673</v>
      </c>
      <c r="D3678" s="1"/>
      <c r="E3678" s="11">
        <f t="shared" si="286"/>
        <v>20</v>
      </c>
      <c r="F3678" s="12">
        <f t="shared" si="287"/>
        <v>66.666666666666657</v>
      </c>
      <c r="G3678" s="12" t="str">
        <f t="shared" si="288"/>
        <v>Warning</v>
      </c>
      <c r="H3678" s="13">
        <f t="shared" si="289"/>
        <v>6</v>
      </c>
      <c r="I3678" s="14">
        <f t="shared" si="285"/>
        <v>1792.2199999999998</v>
      </c>
      <c r="K3678" t="str">
        <f>[1]!revcom(C3678)</f>
        <v>CTGGCA</v>
      </c>
      <c r="L3678">
        <v>6</v>
      </c>
    </row>
    <row r="3679" spans="1:12" ht="15.6" x14ac:dyDescent="0.3">
      <c r="A3679" s="9">
        <v>3668</v>
      </c>
      <c r="B3679" s="1"/>
      <c r="C3679" s="2" t="s">
        <v>3674</v>
      </c>
      <c r="D3679" s="1"/>
      <c r="E3679" s="11">
        <f t="shared" si="286"/>
        <v>14</v>
      </c>
      <c r="F3679" s="12">
        <f t="shared" si="287"/>
        <v>50</v>
      </c>
      <c r="G3679" s="12" t="str">
        <f t="shared" si="288"/>
        <v>Warning</v>
      </c>
      <c r="H3679" s="13">
        <f t="shared" si="289"/>
        <v>6</v>
      </c>
      <c r="I3679" s="14">
        <f t="shared" si="285"/>
        <v>1767.1999999999998</v>
      </c>
      <c r="K3679" t="str">
        <f>[1]!revcom(C3679)</f>
        <v>ATGGCA</v>
      </c>
      <c r="L3679">
        <v>5</v>
      </c>
    </row>
    <row r="3680" spans="1:12" ht="15.6" x14ac:dyDescent="0.3">
      <c r="A3680" s="9">
        <v>3669</v>
      </c>
      <c r="B3680" s="1"/>
      <c r="C3680" s="2" t="s">
        <v>3675</v>
      </c>
      <c r="D3680" s="1"/>
      <c r="E3680" s="11">
        <f t="shared" si="286"/>
        <v>20</v>
      </c>
      <c r="F3680" s="12">
        <f t="shared" si="287"/>
        <v>66.666666666666657</v>
      </c>
      <c r="G3680" s="12" t="str">
        <f t="shared" si="288"/>
        <v>Warning</v>
      </c>
      <c r="H3680" s="13">
        <f t="shared" si="289"/>
        <v>6</v>
      </c>
      <c r="I3680" s="14">
        <f t="shared" si="285"/>
        <v>1752.19</v>
      </c>
      <c r="K3680" t="str">
        <f>[1]!revcom(C3680)</f>
        <v>TGGGCA</v>
      </c>
      <c r="L3680">
        <v>6</v>
      </c>
    </row>
    <row r="3681" spans="1:12" ht="15.6" x14ac:dyDescent="0.3">
      <c r="A3681" s="9">
        <v>3670</v>
      </c>
      <c r="B3681" s="1"/>
      <c r="C3681" s="2" t="s">
        <v>3676</v>
      </c>
      <c r="D3681" s="1"/>
      <c r="E3681" s="11">
        <f t="shared" si="286"/>
        <v>18</v>
      </c>
      <c r="F3681" s="12">
        <f t="shared" si="287"/>
        <v>83.333333333333343</v>
      </c>
      <c r="G3681" s="12" t="str">
        <f t="shared" si="288"/>
        <v>Warning</v>
      </c>
      <c r="H3681" s="13">
        <f t="shared" si="289"/>
        <v>6</v>
      </c>
      <c r="I3681" s="14">
        <f t="shared" si="285"/>
        <v>1728.1599999999999</v>
      </c>
      <c r="K3681" t="str">
        <f>[1]!revcom(C3681)</f>
        <v>GGGGCA</v>
      </c>
      <c r="L3681">
        <v>5</v>
      </c>
    </row>
    <row r="3682" spans="1:12" ht="15.6" x14ac:dyDescent="0.3">
      <c r="A3682" s="9">
        <v>3671</v>
      </c>
      <c r="B3682" s="1"/>
      <c r="C3682" s="2" t="s">
        <v>3677</v>
      </c>
      <c r="D3682" s="1"/>
      <c r="E3682" s="11">
        <f t="shared" si="286"/>
        <v>18</v>
      </c>
      <c r="F3682" s="12">
        <f t="shared" si="287"/>
        <v>83.333333333333343</v>
      </c>
      <c r="G3682" s="12" t="str">
        <f t="shared" si="288"/>
        <v>Warning</v>
      </c>
      <c r="H3682" s="13">
        <f t="shared" si="289"/>
        <v>6</v>
      </c>
      <c r="I3682" s="14">
        <f t="shared" si="285"/>
        <v>1768.19</v>
      </c>
      <c r="K3682" t="str">
        <f>[1]!revcom(C3682)</f>
        <v>CGGGCA</v>
      </c>
      <c r="L3682">
        <v>5</v>
      </c>
    </row>
    <row r="3683" spans="1:12" ht="15.6" x14ac:dyDescent="0.3">
      <c r="A3683" s="9">
        <v>3672</v>
      </c>
      <c r="B3683" s="1"/>
      <c r="C3683" s="2" t="s">
        <v>3678</v>
      </c>
      <c r="D3683" s="1"/>
      <c r="E3683" s="11">
        <f t="shared" si="286"/>
        <v>12</v>
      </c>
      <c r="F3683" s="12">
        <f t="shared" si="287"/>
        <v>66.666666666666657</v>
      </c>
      <c r="G3683" s="12" t="str">
        <f t="shared" si="288"/>
        <v>Warning</v>
      </c>
      <c r="H3683" s="13">
        <f t="shared" si="289"/>
        <v>6</v>
      </c>
      <c r="I3683" s="14">
        <f t="shared" si="285"/>
        <v>1743.17</v>
      </c>
      <c r="K3683" t="str">
        <f>[1]!revcom(C3683)</f>
        <v>AGGGCA</v>
      </c>
      <c r="L3683">
        <v>4</v>
      </c>
    </row>
    <row r="3684" spans="1:12" ht="15.6" x14ac:dyDescent="0.3">
      <c r="A3684" s="9">
        <v>3673</v>
      </c>
      <c r="B3684" s="1"/>
      <c r="C3684" s="2" t="s">
        <v>3679</v>
      </c>
      <c r="D3684" s="1"/>
      <c r="E3684" s="11">
        <f t="shared" si="286"/>
        <v>20</v>
      </c>
      <c r="F3684" s="12">
        <f t="shared" si="287"/>
        <v>66.666666666666657</v>
      </c>
      <c r="G3684" s="12" t="str">
        <f t="shared" si="288"/>
        <v>Warning</v>
      </c>
      <c r="H3684" s="13">
        <f t="shared" si="289"/>
        <v>6</v>
      </c>
      <c r="I3684" s="14">
        <f t="shared" si="285"/>
        <v>1792.2199999999998</v>
      </c>
      <c r="K3684" t="str">
        <f>[1]!revcom(C3684)</f>
        <v>TCGGCA</v>
      </c>
      <c r="L3684">
        <v>6</v>
      </c>
    </row>
    <row r="3685" spans="1:12" ht="15.6" x14ac:dyDescent="0.3">
      <c r="A3685" s="9">
        <v>3674</v>
      </c>
      <c r="B3685" s="1"/>
      <c r="C3685" s="2" t="s">
        <v>3680</v>
      </c>
      <c r="D3685" s="1"/>
      <c r="E3685" s="11">
        <f t="shared" si="286"/>
        <v>18</v>
      </c>
      <c r="F3685" s="12">
        <f t="shared" si="287"/>
        <v>83.333333333333343</v>
      </c>
      <c r="G3685" s="12" t="str">
        <f t="shared" si="288"/>
        <v>Warning</v>
      </c>
      <c r="H3685" s="13">
        <f t="shared" si="289"/>
        <v>6</v>
      </c>
      <c r="I3685" s="14">
        <f t="shared" si="285"/>
        <v>1768.19</v>
      </c>
      <c r="K3685" t="str">
        <f>[1]!revcom(C3685)</f>
        <v>GCGGCA</v>
      </c>
      <c r="L3685">
        <v>5</v>
      </c>
    </row>
    <row r="3686" spans="1:12" ht="15.6" x14ac:dyDescent="0.3">
      <c r="A3686" s="9">
        <v>3675</v>
      </c>
      <c r="B3686" s="1"/>
      <c r="C3686" s="2" t="s">
        <v>3681</v>
      </c>
      <c r="D3686" s="1"/>
      <c r="E3686" s="11">
        <f t="shared" si="286"/>
        <v>18</v>
      </c>
      <c r="F3686" s="12">
        <f t="shared" si="287"/>
        <v>83.333333333333343</v>
      </c>
      <c r="G3686" s="12" t="str">
        <f t="shared" si="288"/>
        <v>Warning</v>
      </c>
      <c r="H3686" s="13">
        <f t="shared" si="289"/>
        <v>6</v>
      </c>
      <c r="I3686" s="14">
        <f t="shared" si="285"/>
        <v>1808.2200000000003</v>
      </c>
      <c r="K3686" t="str">
        <f>[1]!revcom(C3686)</f>
        <v>CCGGCA</v>
      </c>
      <c r="L3686">
        <v>5</v>
      </c>
    </row>
    <row r="3687" spans="1:12" ht="15.6" x14ac:dyDescent="0.3">
      <c r="A3687" s="9">
        <v>3676</v>
      </c>
      <c r="B3687" s="1"/>
      <c r="C3687" s="2" t="s">
        <v>3682</v>
      </c>
      <c r="D3687" s="1"/>
      <c r="E3687" s="11">
        <f t="shared" si="286"/>
        <v>12</v>
      </c>
      <c r="F3687" s="12">
        <f t="shared" si="287"/>
        <v>66.666666666666657</v>
      </c>
      <c r="G3687" s="12" t="str">
        <f t="shared" si="288"/>
        <v>Warning</v>
      </c>
      <c r="H3687" s="13">
        <f t="shared" si="289"/>
        <v>6</v>
      </c>
      <c r="I3687" s="14">
        <f t="shared" si="285"/>
        <v>1783.1999999999998</v>
      </c>
      <c r="K3687" t="str">
        <f>[1]!revcom(C3687)</f>
        <v>ACGGCA</v>
      </c>
      <c r="L3687">
        <v>4</v>
      </c>
    </row>
    <row r="3688" spans="1:12" ht="15.6" x14ac:dyDescent="0.3">
      <c r="A3688" s="9">
        <v>3677</v>
      </c>
      <c r="B3688" s="1"/>
      <c r="C3688" s="2" t="s">
        <v>3683</v>
      </c>
      <c r="D3688" s="1"/>
      <c r="E3688" s="11">
        <f t="shared" si="286"/>
        <v>14</v>
      </c>
      <c r="F3688" s="12">
        <f t="shared" si="287"/>
        <v>50</v>
      </c>
      <c r="G3688" s="12" t="str">
        <f t="shared" si="288"/>
        <v>Warning</v>
      </c>
      <c r="H3688" s="13">
        <f t="shared" si="289"/>
        <v>6</v>
      </c>
      <c r="I3688" s="14">
        <f t="shared" si="285"/>
        <v>1767.1999999999998</v>
      </c>
      <c r="K3688" t="str">
        <f>[1]!revcom(C3688)</f>
        <v>TAGGCA</v>
      </c>
      <c r="L3688">
        <v>5</v>
      </c>
    </row>
    <row r="3689" spans="1:12" ht="15.6" x14ac:dyDescent="0.3">
      <c r="A3689" s="9">
        <v>3678</v>
      </c>
      <c r="B3689" s="1"/>
      <c r="C3689" s="2" t="s">
        <v>3684</v>
      </c>
      <c r="D3689" s="1"/>
      <c r="E3689" s="11">
        <f t="shared" si="286"/>
        <v>12</v>
      </c>
      <c r="F3689" s="12">
        <f t="shared" si="287"/>
        <v>66.666666666666657</v>
      </c>
      <c r="G3689" s="12" t="str">
        <f t="shared" si="288"/>
        <v>Warning</v>
      </c>
      <c r="H3689" s="13">
        <f t="shared" si="289"/>
        <v>6</v>
      </c>
      <c r="I3689" s="14">
        <f t="shared" si="285"/>
        <v>1743.17</v>
      </c>
      <c r="K3689" t="str">
        <f>[1]!revcom(C3689)</f>
        <v>GAGGCA</v>
      </c>
      <c r="L3689">
        <v>4</v>
      </c>
    </row>
    <row r="3690" spans="1:12" ht="15.6" x14ac:dyDescent="0.3">
      <c r="A3690" s="9">
        <v>3679</v>
      </c>
      <c r="B3690" s="1"/>
      <c r="C3690" s="2" t="s">
        <v>3685</v>
      </c>
      <c r="D3690" s="1"/>
      <c r="E3690" s="11">
        <f t="shared" si="286"/>
        <v>12</v>
      </c>
      <c r="F3690" s="12">
        <f t="shared" si="287"/>
        <v>66.666666666666657</v>
      </c>
      <c r="G3690" s="12" t="str">
        <f t="shared" si="288"/>
        <v>Warning</v>
      </c>
      <c r="H3690" s="13">
        <f t="shared" si="289"/>
        <v>6</v>
      </c>
      <c r="I3690" s="14">
        <f t="shared" si="285"/>
        <v>1783.1999999999998</v>
      </c>
      <c r="K3690" t="str">
        <f>[1]!revcom(C3690)</f>
        <v>CAGGCA</v>
      </c>
      <c r="L3690">
        <v>4</v>
      </c>
    </row>
    <row r="3691" spans="1:12" ht="15.6" x14ac:dyDescent="0.3">
      <c r="A3691" s="9">
        <v>3680</v>
      </c>
      <c r="B3691" s="1"/>
      <c r="C3691" s="2" t="s">
        <v>3686</v>
      </c>
      <c r="D3691" s="1"/>
      <c r="E3691" s="11">
        <f t="shared" si="286"/>
        <v>6</v>
      </c>
      <c r="F3691" s="12">
        <f t="shared" si="287"/>
        <v>50</v>
      </c>
      <c r="G3691" s="12" t="str">
        <f t="shared" si="288"/>
        <v>Warning</v>
      </c>
      <c r="H3691" s="13">
        <f t="shared" si="289"/>
        <v>6</v>
      </c>
      <c r="I3691" s="14">
        <f t="shared" si="285"/>
        <v>1758.1799999999998</v>
      </c>
      <c r="K3691" t="str">
        <f>[1]!revcom(C3691)</f>
        <v>AAGGCA</v>
      </c>
      <c r="L3691">
        <v>3</v>
      </c>
    </row>
    <row r="3692" spans="1:12" ht="15.6" x14ac:dyDescent="0.3">
      <c r="A3692" s="9">
        <v>3681</v>
      </c>
      <c r="B3692" s="1"/>
      <c r="C3692" s="2" t="s">
        <v>3687</v>
      </c>
      <c r="D3692" s="1"/>
      <c r="E3692" s="11">
        <f t="shared" si="286"/>
        <v>22</v>
      </c>
      <c r="F3692" s="12">
        <f t="shared" si="287"/>
        <v>50</v>
      </c>
      <c r="G3692" s="12" t="str">
        <f t="shared" si="288"/>
        <v>Warning</v>
      </c>
      <c r="H3692" s="13">
        <f t="shared" si="289"/>
        <v>6</v>
      </c>
      <c r="I3692" s="14">
        <f t="shared" si="285"/>
        <v>1816.25</v>
      </c>
      <c r="K3692" t="str">
        <f>[1]!revcom(C3692)</f>
        <v>TTCGCA</v>
      </c>
      <c r="L3692">
        <v>6</v>
      </c>
    </row>
    <row r="3693" spans="1:12" ht="15.6" x14ac:dyDescent="0.3">
      <c r="A3693" s="9">
        <v>3682</v>
      </c>
      <c r="B3693" s="1"/>
      <c r="C3693" s="2" t="s">
        <v>3688</v>
      </c>
      <c r="D3693" s="1"/>
      <c r="E3693" s="11">
        <f t="shared" si="286"/>
        <v>20</v>
      </c>
      <c r="F3693" s="12">
        <f t="shared" si="287"/>
        <v>66.666666666666657</v>
      </c>
      <c r="G3693" s="12" t="str">
        <f t="shared" si="288"/>
        <v>Warning</v>
      </c>
      <c r="H3693" s="13">
        <f t="shared" si="289"/>
        <v>6</v>
      </c>
      <c r="I3693" s="14">
        <f t="shared" si="285"/>
        <v>1792.2199999999998</v>
      </c>
      <c r="K3693" t="str">
        <f>[1]!revcom(C3693)</f>
        <v>GTCGCA</v>
      </c>
      <c r="L3693">
        <v>6</v>
      </c>
    </row>
    <row r="3694" spans="1:12" ht="15.6" x14ac:dyDescent="0.3">
      <c r="A3694" s="9">
        <v>3683</v>
      </c>
      <c r="B3694" s="1"/>
      <c r="C3694" s="2" t="s">
        <v>3689</v>
      </c>
      <c r="D3694" s="1"/>
      <c r="E3694" s="11">
        <f t="shared" si="286"/>
        <v>20</v>
      </c>
      <c r="F3694" s="12">
        <f t="shared" si="287"/>
        <v>66.666666666666657</v>
      </c>
      <c r="G3694" s="12" t="str">
        <f t="shared" si="288"/>
        <v>Warning</v>
      </c>
      <c r="H3694" s="13">
        <f t="shared" si="289"/>
        <v>6</v>
      </c>
      <c r="I3694" s="14">
        <f t="shared" si="285"/>
        <v>1832.25</v>
      </c>
      <c r="K3694" t="str">
        <f>[1]!revcom(C3694)</f>
        <v>CTCGCA</v>
      </c>
      <c r="L3694">
        <v>6</v>
      </c>
    </row>
    <row r="3695" spans="1:12" ht="15.6" x14ac:dyDescent="0.3">
      <c r="A3695" s="9">
        <v>3684</v>
      </c>
      <c r="B3695" s="1"/>
      <c r="C3695" s="2" t="s">
        <v>3690</v>
      </c>
      <c r="D3695" s="1"/>
      <c r="E3695" s="11">
        <f t="shared" si="286"/>
        <v>14</v>
      </c>
      <c r="F3695" s="12">
        <f t="shared" si="287"/>
        <v>50</v>
      </c>
      <c r="G3695" s="12" t="str">
        <f t="shared" si="288"/>
        <v>Warning</v>
      </c>
      <c r="H3695" s="13">
        <f t="shared" si="289"/>
        <v>6</v>
      </c>
      <c r="I3695" s="14">
        <f t="shared" si="285"/>
        <v>1807.23</v>
      </c>
      <c r="K3695" t="str">
        <f>[1]!revcom(C3695)</f>
        <v>ATCGCA</v>
      </c>
      <c r="L3695">
        <v>5</v>
      </c>
    </row>
    <row r="3696" spans="1:12" ht="15.6" x14ac:dyDescent="0.3">
      <c r="A3696" s="9">
        <v>3685</v>
      </c>
      <c r="B3696" s="1"/>
      <c r="C3696" s="2" t="s">
        <v>3691</v>
      </c>
      <c r="D3696" s="1"/>
      <c r="E3696" s="11">
        <f t="shared" si="286"/>
        <v>20</v>
      </c>
      <c r="F3696" s="12">
        <f t="shared" si="287"/>
        <v>66.666666666666657</v>
      </c>
      <c r="G3696" s="12" t="str">
        <f t="shared" si="288"/>
        <v>Warning</v>
      </c>
      <c r="H3696" s="13">
        <f t="shared" si="289"/>
        <v>6</v>
      </c>
      <c r="I3696" s="14">
        <f t="shared" si="285"/>
        <v>1792.2199999999998</v>
      </c>
      <c r="K3696" t="str">
        <f>[1]!revcom(C3696)</f>
        <v>TGCGCA</v>
      </c>
      <c r="L3696">
        <v>6</v>
      </c>
    </row>
    <row r="3697" spans="1:12" ht="15.6" x14ac:dyDescent="0.3">
      <c r="A3697" s="9">
        <v>3686</v>
      </c>
      <c r="B3697" s="1"/>
      <c r="C3697" s="2" t="s">
        <v>3692</v>
      </c>
      <c r="D3697" s="1"/>
      <c r="E3697" s="11">
        <f t="shared" si="286"/>
        <v>18</v>
      </c>
      <c r="F3697" s="12">
        <f t="shared" si="287"/>
        <v>83.333333333333343</v>
      </c>
      <c r="G3697" s="12" t="str">
        <f t="shared" si="288"/>
        <v>Warning</v>
      </c>
      <c r="H3697" s="13">
        <f t="shared" si="289"/>
        <v>6</v>
      </c>
      <c r="I3697" s="14">
        <f t="shared" si="285"/>
        <v>1768.19</v>
      </c>
      <c r="K3697" t="str">
        <f>[1]!revcom(C3697)</f>
        <v>GGCGCA</v>
      </c>
      <c r="L3697">
        <v>5</v>
      </c>
    </row>
    <row r="3698" spans="1:12" ht="15.6" x14ac:dyDescent="0.3">
      <c r="A3698" s="9">
        <v>3687</v>
      </c>
      <c r="B3698" s="1"/>
      <c r="C3698" s="2" t="s">
        <v>3693</v>
      </c>
      <c r="D3698" s="1"/>
      <c r="E3698" s="11">
        <f t="shared" si="286"/>
        <v>18</v>
      </c>
      <c r="F3698" s="12">
        <f t="shared" si="287"/>
        <v>83.333333333333343</v>
      </c>
      <c r="G3698" s="12" t="str">
        <f t="shared" si="288"/>
        <v>Warning</v>
      </c>
      <c r="H3698" s="13">
        <f t="shared" si="289"/>
        <v>6</v>
      </c>
      <c r="I3698" s="14">
        <f t="shared" si="285"/>
        <v>1808.2200000000003</v>
      </c>
      <c r="K3698" t="str">
        <f>[1]!revcom(C3698)</f>
        <v>CGCGCA</v>
      </c>
      <c r="L3698">
        <v>5</v>
      </c>
    </row>
    <row r="3699" spans="1:12" ht="15.6" x14ac:dyDescent="0.3">
      <c r="A3699" s="9">
        <v>3688</v>
      </c>
      <c r="B3699" s="1"/>
      <c r="C3699" s="2" t="s">
        <v>3694</v>
      </c>
      <c r="D3699" s="1"/>
      <c r="E3699" s="11">
        <f t="shared" si="286"/>
        <v>12</v>
      </c>
      <c r="F3699" s="12">
        <f t="shared" si="287"/>
        <v>66.666666666666657</v>
      </c>
      <c r="G3699" s="12" t="str">
        <f t="shared" si="288"/>
        <v>Warning</v>
      </c>
      <c r="H3699" s="13">
        <f t="shared" si="289"/>
        <v>6</v>
      </c>
      <c r="I3699" s="14">
        <f t="shared" si="285"/>
        <v>1783.1999999999998</v>
      </c>
      <c r="K3699" t="str">
        <f>[1]!revcom(C3699)</f>
        <v>AGCGCA</v>
      </c>
      <c r="L3699">
        <v>4</v>
      </c>
    </row>
    <row r="3700" spans="1:12" ht="15.6" x14ac:dyDescent="0.3">
      <c r="A3700" s="9">
        <v>3689</v>
      </c>
      <c r="B3700" s="1"/>
      <c r="C3700" s="2" t="s">
        <v>3695</v>
      </c>
      <c r="D3700" s="1"/>
      <c r="E3700" s="11">
        <f t="shared" si="286"/>
        <v>20</v>
      </c>
      <c r="F3700" s="12">
        <f t="shared" si="287"/>
        <v>66.666666666666657</v>
      </c>
      <c r="G3700" s="12" t="str">
        <f t="shared" si="288"/>
        <v>Warning</v>
      </c>
      <c r="H3700" s="13">
        <f t="shared" si="289"/>
        <v>6</v>
      </c>
      <c r="I3700" s="14">
        <f t="shared" si="285"/>
        <v>1832.25</v>
      </c>
      <c r="K3700" t="str">
        <f>[1]!revcom(C3700)</f>
        <v>TCCGCA</v>
      </c>
      <c r="L3700">
        <v>6</v>
      </c>
    </row>
    <row r="3701" spans="1:12" ht="15.6" x14ac:dyDescent="0.3">
      <c r="A3701" s="9">
        <v>3690</v>
      </c>
      <c r="B3701" s="1"/>
      <c r="C3701" s="2" t="s">
        <v>3696</v>
      </c>
      <c r="D3701" s="1"/>
      <c r="E3701" s="11">
        <f t="shared" si="286"/>
        <v>18</v>
      </c>
      <c r="F3701" s="12">
        <f t="shared" si="287"/>
        <v>83.333333333333343</v>
      </c>
      <c r="G3701" s="12" t="str">
        <f t="shared" si="288"/>
        <v>Warning</v>
      </c>
      <c r="H3701" s="13">
        <f t="shared" si="289"/>
        <v>6</v>
      </c>
      <c r="I3701" s="14">
        <f t="shared" si="285"/>
        <v>1808.2200000000003</v>
      </c>
      <c r="K3701" t="str">
        <f>[1]!revcom(C3701)</f>
        <v>GCCGCA</v>
      </c>
      <c r="L3701">
        <v>5</v>
      </c>
    </row>
    <row r="3702" spans="1:12" ht="15.6" x14ac:dyDescent="0.3">
      <c r="A3702" s="9">
        <v>3691</v>
      </c>
      <c r="B3702" s="1"/>
      <c r="C3702" s="2" t="s">
        <v>3697</v>
      </c>
      <c r="D3702" s="1"/>
      <c r="E3702" s="11">
        <f t="shared" si="286"/>
        <v>18</v>
      </c>
      <c r="F3702" s="12">
        <f t="shared" si="287"/>
        <v>83.333333333333343</v>
      </c>
      <c r="G3702" s="12" t="str">
        <f t="shared" si="288"/>
        <v>Warning</v>
      </c>
      <c r="H3702" s="13">
        <f t="shared" si="289"/>
        <v>6</v>
      </c>
      <c r="I3702" s="14">
        <f t="shared" si="285"/>
        <v>1848.25</v>
      </c>
      <c r="K3702" t="str">
        <f>[1]!revcom(C3702)</f>
        <v>CCCGCA</v>
      </c>
      <c r="L3702">
        <v>5</v>
      </c>
    </row>
    <row r="3703" spans="1:12" ht="15.6" x14ac:dyDescent="0.3">
      <c r="A3703" s="9">
        <v>3692</v>
      </c>
      <c r="B3703" s="1"/>
      <c r="C3703" s="2" t="s">
        <v>3698</v>
      </c>
      <c r="D3703" s="1"/>
      <c r="E3703" s="11">
        <f t="shared" si="286"/>
        <v>12</v>
      </c>
      <c r="F3703" s="12">
        <f t="shared" si="287"/>
        <v>66.666666666666657</v>
      </c>
      <c r="G3703" s="12" t="str">
        <f t="shared" si="288"/>
        <v>Warning</v>
      </c>
      <c r="H3703" s="13">
        <f t="shared" si="289"/>
        <v>6</v>
      </c>
      <c r="I3703" s="14">
        <f t="shared" si="285"/>
        <v>1823.23</v>
      </c>
      <c r="K3703" t="str">
        <f>[1]!revcom(C3703)</f>
        <v>ACCGCA</v>
      </c>
      <c r="L3703">
        <v>4</v>
      </c>
    </row>
    <row r="3704" spans="1:12" ht="15.6" x14ac:dyDescent="0.3">
      <c r="A3704" s="9">
        <v>3693</v>
      </c>
      <c r="B3704" s="1"/>
      <c r="C3704" s="2" t="s">
        <v>3699</v>
      </c>
      <c r="D3704" s="1"/>
      <c r="E3704" s="11">
        <f t="shared" si="286"/>
        <v>14</v>
      </c>
      <c r="F3704" s="12">
        <f t="shared" si="287"/>
        <v>50</v>
      </c>
      <c r="G3704" s="12" t="str">
        <f t="shared" si="288"/>
        <v>Warning</v>
      </c>
      <c r="H3704" s="13">
        <f t="shared" si="289"/>
        <v>6</v>
      </c>
      <c r="I3704" s="14">
        <f t="shared" si="285"/>
        <v>1807.23</v>
      </c>
      <c r="K3704" t="str">
        <f>[1]!revcom(C3704)</f>
        <v>TACGCA</v>
      </c>
      <c r="L3704">
        <v>5</v>
      </c>
    </row>
    <row r="3705" spans="1:12" ht="15.6" x14ac:dyDescent="0.3">
      <c r="A3705" s="9">
        <v>3694</v>
      </c>
      <c r="B3705" s="1"/>
      <c r="C3705" s="2" t="s">
        <v>3700</v>
      </c>
      <c r="D3705" s="1"/>
      <c r="E3705" s="11">
        <f t="shared" si="286"/>
        <v>12</v>
      </c>
      <c r="F3705" s="12">
        <f t="shared" si="287"/>
        <v>66.666666666666657</v>
      </c>
      <c r="G3705" s="12" t="str">
        <f t="shared" si="288"/>
        <v>Warning</v>
      </c>
      <c r="H3705" s="13">
        <f t="shared" si="289"/>
        <v>6</v>
      </c>
      <c r="I3705" s="14">
        <f t="shared" si="285"/>
        <v>1783.1999999999998</v>
      </c>
      <c r="K3705" t="str">
        <f>[1]!revcom(C3705)</f>
        <v>GACGCA</v>
      </c>
      <c r="L3705">
        <v>4</v>
      </c>
    </row>
    <row r="3706" spans="1:12" ht="15.6" x14ac:dyDescent="0.3">
      <c r="A3706" s="9">
        <v>3695</v>
      </c>
      <c r="B3706" s="1"/>
      <c r="C3706" s="2" t="s">
        <v>3701</v>
      </c>
      <c r="D3706" s="1"/>
      <c r="E3706" s="11">
        <f t="shared" si="286"/>
        <v>12</v>
      </c>
      <c r="F3706" s="12">
        <f t="shared" si="287"/>
        <v>66.666666666666657</v>
      </c>
      <c r="G3706" s="12" t="str">
        <f t="shared" si="288"/>
        <v>Warning</v>
      </c>
      <c r="H3706" s="13">
        <f t="shared" si="289"/>
        <v>6</v>
      </c>
      <c r="I3706" s="14">
        <f t="shared" si="285"/>
        <v>1823.23</v>
      </c>
      <c r="K3706" t="str">
        <f>[1]!revcom(C3706)</f>
        <v>CACGCA</v>
      </c>
      <c r="L3706">
        <v>4</v>
      </c>
    </row>
    <row r="3707" spans="1:12" ht="15.6" x14ac:dyDescent="0.3">
      <c r="A3707" s="9">
        <v>3696</v>
      </c>
      <c r="B3707" s="1"/>
      <c r="C3707" s="2" t="s">
        <v>3702</v>
      </c>
      <c r="D3707" s="1"/>
      <c r="E3707" s="11">
        <f t="shared" si="286"/>
        <v>6</v>
      </c>
      <c r="F3707" s="12">
        <f t="shared" si="287"/>
        <v>50</v>
      </c>
      <c r="G3707" s="12" t="str">
        <f t="shared" si="288"/>
        <v>Warning</v>
      </c>
      <c r="H3707" s="13">
        <f t="shared" si="289"/>
        <v>6</v>
      </c>
      <c r="I3707" s="14">
        <f t="shared" si="285"/>
        <v>1798.21</v>
      </c>
      <c r="K3707" t="str">
        <f>[1]!revcom(C3707)</f>
        <v>AACGCA</v>
      </c>
      <c r="L3707">
        <v>3</v>
      </c>
    </row>
    <row r="3708" spans="1:12" ht="15.6" x14ac:dyDescent="0.3">
      <c r="A3708" s="9">
        <v>3697</v>
      </c>
      <c r="B3708" s="1"/>
      <c r="C3708" s="2" t="s">
        <v>3703</v>
      </c>
      <c r="D3708" s="1"/>
      <c r="E3708" s="11">
        <f t="shared" si="286"/>
        <v>16</v>
      </c>
      <c r="F3708" s="12">
        <f t="shared" si="287"/>
        <v>33.333333333333329</v>
      </c>
      <c r="G3708" s="12" t="str">
        <f t="shared" si="288"/>
        <v>OK</v>
      </c>
      <c r="H3708" s="13">
        <f t="shared" si="289"/>
        <v>6</v>
      </c>
      <c r="I3708" s="14">
        <f t="shared" si="285"/>
        <v>1791.23</v>
      </c>
      <c r="K3708" t="str">
        <f>[1]!revcom(C3708)</f>
        <v>TTAGCA</v>
      </c>
      <c r="L3708">
        <v>5</v>
      </c>
    </row>
    <row r="3709" spans="1:12" ht="15.6" x14ac:dyDescent="0.3">
      <c r="A3709" s="9">
        <v>3698</v>
      </c>
      <c r="B3709" s="1"/>
      <c r="C3709" s="2" t="s">
        <v>3704</v>
      </c>
      <c r="D3709" s="1"/>
      <c r="E3709" s="11">
        <f t="shared" si="286"/>
        <v>14</v>
      </c>
      <c r="F3709" s="12">
        <f t="shared" si="287"/>
        <v>50</v>
      </c>
      <c r="G3709" s="12" t="str">
        <f t="shared" si="288"/>
        <v>Warning</v>
      </c>
      <c r="H3709" s="13">
        <f t="shared" si="289"/>
        <v>6</v>
      </c>
      <c r="I3709" s="14">
        <f t="shared" si="285"/>
        <v>1767.1999999999998</v>
      </c>
      <c r="K3709" t="str">
        <f>[1]!revcom(C3709)</f>
        <v>GTAGCA</v>
      </c>
      <c r="L3709">
        <v>5</v>
      </c>
    </row>
    <row r="3710" spans="1:12" ht="15.6" x14ac:dyDescent="0.3">
      <c r="A3710" s="9">
        <v>3699</v>
      </c>
      <c r="B3710" s="1"/>
      <c r="C3710" s="2" t="s">
        <v>3705</v>
      </c>
      <c r="D3710" s="1"/>
      <c r="E3710" s="11">
        <f t="shared" si="286"/>
        <v>14</v>
      </c>
      <c r="F3710" s="12">
        <f t="shared" si="287"/>
        <v>50</v>
      </c>
      <c r="G3710" s="12" t="str">
        <f t="shared" si="288"/>
        <v>Warning</v>
      </c>
      <c r="H3710" s="13">
        <f t="shared" si="289"/>
        <v>6</v>
      </c>
      <c r="I3710" s="14">
        <f t="shared" si="285"/>
        <v>1807.23</v>
      </c>
      <c r="K3710" t="str">
        <f>[1]!revcom(C3710)</f>
        <v>CTAGCA</v>
      </c>
      <c r="L3710">
        <v>5</v>
      </c>
    </row>
    <row r="3711" spans="1:12" ht="15.6" x14ac:dyDescent="0.3">
      <c r="A3711" s="9">
        <v>3700</v>
      </c>
      <c r="B3711" s="1"/>
      <c r="C3711" s="2" t="s">
        <v>3706</v>
      </c>
      <c r="D3711" s="1"/>
      <c r="E3711" s="11">
        <f t="shared" si="286"/>
        <v>8</v>
      </c>
      <c r="F3711" s="12">
        <f t="shared" si="287"/>
        <v>33.333333333333329</v>
      </c>
      <c r="G3711" s="12" t="str">
        <f t="shared" si="288"/>
        <v>OK</v>
      </c>
      <c r="H3711" s="13">
        <f t="shared" si="289"/>
        <v>6</v>
      </c>
      <c r="I3711" s="14">
        <f t="shared" si="285"/>
        <v>1782.21</v>
      </c>
      <c r="K3711" t="str">
        <f>[1]!revcom(C3711)</f>
        <v>ATAGCA</v>
      </c>
      <c r="L3711">
        <v>4</v>
      </c>
    </row>
    <row r="3712" spans="1:12" ht="15.6" x14ac:dyDescent="0.3">
      <c r="A3712" s="9">
        <v>3701</v>
      </c>
      <c r="B3712" s="1"/>
      <c r="C3712" s="2" t="s">
        <v>3707</v>
      </c>
      <c r="D3712" s="1"/>
      <c r="E3712" s="11">
        <f t="shared" si="286"/>
        <v>14</v>
      </c>
      <c r="F3712" s="12">
        <f t="shared" si="287"/>
        <v>50</v>
      </c>
      <c r="G3712" s="12" t="str">
        <f t="shared" si="288"/>
        <v>Warning</v>
      </c>
      <c r="H3712" s="13">
        <f t="shared" si="289"/>
        <v>6</v>
      </c>
      <c r="I3712" s="14">
        <f t="shared" si="285"/>
        <v>1767.1999999999998</v>
      </c>
      <c r="K3712" t="str">
        <f>[1]!revcom(C3712)</f>
        <v>TGAGCA</v>
      </c>
      <c r="L3712">
        <v>5</v>
      </c>
    </row>
    <row r="3713" spans="1:12" ht="15.6" x14ac:dyDescent="0.3">
      <c r="A3713" s="9">
        <v>3702</v>
      </c>
      <c r="B3713" s="1"/>
      <c r="C3713" s="2" t="s">
        <v>3708</v>
      </c>
      <c r="D3713" s="1"/>
      <c r="E3713" s="11">
        <f t="shared" si="286"/>
        <v>12</v>
      </c>
      <c r="F3713" s="12">
        <f t="shared" si="287"/>
        <v>66.666666666666657</v>
      </c>
      <c r="G3713" s="12" t="str">
        <f t="shared" si="288"/>
        <v>Warning</v>
      </c>
      <c r="H3713" s="13">
        <f t="shared" si="289"/>
        <v>6</v>
      </c>
      <c r="I3713" s="14">
        <f t="shared" si="285"/>
        <v>1743.17</v>
      </c>
      <c r="K3713" t="str">
        <f>[1]!revcom(C3713)</f>
        <v>GGAGCA</v>
      </c>
      <c r="L3713">
        <v>4</v>
      </c>
    </row>
    <row r="3714" spans="1:12" ht="15.6" x14ac:dyDescent="0.3">
      <c r="A3714" s="9">
        <v>3703</v>
      </c>
      <c r="B3714" s="1"/>
      <c r="C3714" s="2" t="s">
        <v>3709</v>
      </c>
      <c r="D3714" s="1"/>
      <c r="E3714" s="11">
        <f t="shared" si="286"/>
        <v>12</v>
      </c>
      <c r="F3714" s="12">
        <f t="shared" si="287"/>
        <v>66.666666666666657</v>
      </c>
      <c r="G3714" s="12" t="str">
        <f t="shared" si="288"/>
        <v>Warning</v>
      </c>
      <c r="H3714" s="13">
        <f t="shared" si="289"/>
        <v>6</v>
      </c>
      <c r="I3714" s="14">
        <f t="shared" si="285"/>
        <v>1783.1999999999998</v>
      </c>
      <c r="K3714" t="str">
        <f>[1]!revcom(C3714)</f>
        <v>CGAGCA</v>
      </c>
      <c r="L3714">
        <v>4</v>
      </c>
    </row>
    <row r="3715" spans="1:12" ht="15.6" x14ac:dyDescent="0.3">
      <c r="A3715" s="9">
        <v>3704</v>
      </c>
      <c r="B3715" s="1"/>
      <c r="C3715" s="2" t="s">
        <v>3710</v>
      </c>
      <c r="D3715" s="1"/>
      <c r="E3715" s="11">
        <f t="shared" si="286"/>
        <v>6</v>
      </c>
      <c r="F3715" s="12">
        <f t="shared" si="287"/>
        <v>50</v>
      </c>
      <c r="G3715" s="12" t="str">
        <f t="shared" si="288"/>
        <v>Warning</v>
      </c>
      <c r="H3715" s="13">
        <f t="shared" si="289"/>
        <v>6</v>
      </c>
      <c r="I3715" s="14">
        <f t="shared" si="285"/>
        <v>1758.1799999999998</v>
      </c>
      <c r="K3715" t="str">
        <f>[1]!revcom(C3715)</f>
        <v>AGAGCA</v>
      </c>
      <c r="L3715">
        <v>3</v>
      </c>
    </row>
    <row r="3716" spans="1:12" ht="15.6" x14ac:dyDescent="0.3">
      <c r="A3716" s="9">
        <v>3705</v>
      </c>
      <c r="B3716" s="1"/>
      <c r="C3716" s="2" t="s">
        <v>3711</v>
      </c>
      <c r="D3716" s="1"/>
      <c r="E3716" s="11">
        <f t="shared" si="286"/>
        <v>14</v>
      </c>
      <c r="F3716" s="12">
        <f t="shared" si="287"/>
        <v>50</v>
      </c>
      <c r="G3716" s="12" t="str">
        <f t="shared" si="288"/>
        <v>Warning</v>
      </c>
      <c r="H3716" s="13">
        <f t="shared" si="289"/>
        <v>6</v>
      </c>
      <c r="I3716" s="14">
        <f t="shared" si="285"/>
        <v>1807.23</v>
      </c>
      <c r="K3716" t="str">
        <f>[1]!revcom(C3716)</f>
        <v>TCAGCA</v>
      </c>
      <c r="L3716">
        <v>5</v>
      </c>
    </row>
    <row r="3717" spans="1:12" ht="15.6" x14ac:dyDescent="0.3">
      <c r="A3717" s="9">
        <v>3706</v>
      </c>
      <c r="B3717" s="1"/>
      <c r="C3717" s="2" t="s">
        <v>3712</v>
      </c>
      <c r="D3717" s="1"/>
      <c r="E3717" s="11">
        <f t="shared" si="286"/>
        <v>12</v>
      </c>
      <c r="F3717" s="12">
        <f t="shared" si="287"/>
        <v>66.666666666666657</v>
      </c>
      <c r="G3717" s="12" t="str">
        <f t="shared" si="288"/>
        <v>Warning</v>
      </c>
      <c r="H3717" s="13">
        <f t="shared" si="289"/>
        <v>6</v>
      </c>
      <c r="I3717" s="14">
        <f t="shared" si="285"/>
        <v>1783.1999999999998</v>
      </c>
      <c r="K3717" t="str">
        <f>[1]!revcom(C3717)</f>
        <v>GCAGCA</v>
      </c>
      <c r="L3717">
        <v>4</v>
      </c>
    </row>
    <row r="3718" spans="1:12" ht="15.6" x14ac:dyDescent="0.3">
      <c r="A3718" s="9">
        <v>3707</v>
      </c>
      <c r="B3718" s="1"/>
      <c r="C3718" s="2" t="s">
        <v>3713</v>
      </c>
      <c r="D3718" s="1"/>
      <c r="E3718" s="11">
        <f t="shared" si="286"/>
        <v>12</v>
      </c>
      <c r="F3718" s="12">
        <f t="shared" si="287"/>
        <v>66.666666666666657</v>
      </c>
      <c r="G3718" s="12" t="str">
        <f t="shared" si="288"/>
        <v>Warning</v>
      </c>
      <c r="H3718" s="13">
        <f t="shared" si="289"/>
        <v>6</v>
      </c>
      <c r="I3718" s="14">
        <f t="shared" si="285"/>
        <v>1823.23</v>
      </c>
      <c r="K3718" t="str">
        <f>[1]!revcom(C3718)</f>
        <v>CCAGCA</v>
      </c>
      <c r="L3718">
        <v>4</v>
      </c>
    </row>
    <row r="3719" spans="1:12" ht="15.6" x14ac:dyDescent="0.3">
      <c r="A3719" s="9">
        <v>3708</v>
      </c>
      <c r="B3719" s="1"/>
      <c r="C3719" s="2" t="s">
        <v>3714</v>
      </c>
      <c r="D3719" s="1"/>
      <c r="E3719" s="11">
        <f t="shared" si="286"/>
        <v>6</v>
      </c>
      <c r="F3719" s="12">
        <f t="shared" si="287"/>
        <v>50</v>
      </c>
      <c r="G3719" s="12" t="str">
        <f t="shared" si="288"/>
        <v>Warning</v>
      </c>
      <c r="H3719" s="13">
        <f t="shared" si="289"/>
        <v>6</v>
      </c>
      <c r="I3719" s="14">
        <f t="shared" si="285"/>
        <v>1798.21</v>
      </c>
      <c r="K3719" t="str">
        <f>[1]!revcom(C3719)</f>
        <v>ACAGCA</v>
      </c>
      <c r="L3719">
        <v>3</v>
      </c>
    </row>
    <row r="3720" spans="1:12" ht="15.6" x14ac:dyDescent="0.3">
      <c r="A3720" s="9">
        <v>3709</v>
      </c>
      <c r="B3720" s="1"/>
      <c r="C3720" s="2" t="s">
        <v>3715</v>
      </c>
      <c r="D3720" s="1"/>
      <c r="E3720" s="11">
        <f t="shared" si="286"/>
        <v>8</v>
      </c>
      <c r="F3720" s="12">
        <f t="shared" si="287"/>
        <v>33.333333333333329</v>
      </c>
      <c r="G3720" s="12" t="str">
        <f t="shared" si="288"/>
        <v>OK</v>
      </c>
      <c r="H3720" s="13">
        <f t="shared" si="289"/>
        <v>6</v>
      </c>
      <c r="I3720" s="14">
        <f t="shared" si="285"/>
        <v>1782.21</v>
      </c>
      <c r="K3720" t="str">
        <f>[1]!revcom(C3720)</f>
        <v>TAAGCA</v>
      </c>
      <c r="L3720">
        <v>4</v>
      </c>
    </row>
    <row r="3721" spans="1:12" ht="15.6" x14ac:dyDescent="0.3">
      <c r="A3721" s="9">
        <v>3710</v>
      </c>
      <c r="B3721" s="1"/>
      <c r="C3721" s="2" t="s">
        <v>3716</v>
      </c>
      <c r="D3721" s="1"/>
      <c r="E3721" s="11">
        <f t="shared" si="286"/>
        <v>6</v>
      </c>
      <c r="F3721" s="12">
        <f t="shared" si="287"/>
        <v>50</v>
      </c>
      <c r="G3721" s="12" t="str">
        <f t="shared" si="288"/>
        <v>Warning</v>
      </c>
      <c r="H3721" s="13">
        <f t="shared" si="289"/>
        <v>6</v>
      </c>
      <c r="I3721" s="14">
        <f t="shared" si="285"/>
        <v>1758.1799999999998</v>
      </c>
      <c r="K3721" t="str">
        <f>[1]!revcom(C3721)</f>
        <v>GAAGCA</v>
      </c>
      <c r="L3721">
        <v>3</v>
      </c>
    </row>
    <row r="3722" spans="1:12" ht="15.6" x14ac:dyDescent="0.3">
      <c r="A3722" s="9">
        <v>3711</v>
      </c>
      <c r="B3722" s="1"/>
      <c r="C3722" s="2" t="s">
        <v>3717</v>
      </c>
      <c r="D3722" s="1"/>
      <c r="E3722" s="11">
        <f t="shared" si="286"/>
        <v>6</v>
      </c>
      <c r="F3722" s="12">
        <f t="shared" si="287"/>
        <v>50</v>
      </c>
      <c r="G3722" s="12" t="str">
        <f t="shared" si="288"/>
        <v>Warning</v>
      </c>
      <c r="H3722" s="13">
        <f t="shared" si="289"/>
        <v>6</v>
      </c>
      <c r="I3722" s="14">
        <f t="shared" si="285"/>
        <v>1798.21</v>
      </c>
      <c r="K3722" t="str">
        <f>[1]!revcom(C3722)</f>
        <v>CAAGCA</v>
      </c>
      <c r="L3722">
        <v>3</v>
      </c>
    </row>
    <row r="3723" spans="1:12" ht="15.6" x14ac:dyDescent="0.3">
      <c r="A3723" s="9">
        <v>3712</v>
      </c>
      <c r="B3723" s="1"/>
      <c r="C3723" s="2" t="s">
        <v>3718</v>
      </c>
      <c r="D3723" s="1"/>
      <c r="E3723" s="11">
        <f t="shared" si="286"/>
        <v>0</v>
      </c>
      <c r="F3723" s="12">
        <f t="shared" si="287"/>
        <v>33.333333333333329</v>
      </c>
      <c r="G3723" s="12" t="str">
        <f t="shared" si="288"/>
        <v>OK</v>
      </c>
      <c r="H3723" s="13">
        <f t="shared" si="289"/>
        <v>6</v>
      </c>
      <c r="I3723" s="14">
        <f t="shared" si="285"/>
        <v>1773.19</v>
      </c>
      <c r="K3723" t="str">
        <f>[1]!revcom(C3723)</f>
        <v>AAAGCA</v>
      </c>
      <c r="L3723">
        <v>2</v>
      </c>
    </row>
    <row r="3724" spans="1:12" ht="15.6" x14ac:dyDescent="0.3">
      <c r="A3724" s="9">
        <v>3713</v>
      </c>
      <c r="B3724" s="1"/>
      <c r="C3724" s="2" t="s">
        <v>3719</v>
      </c>
      <c r="D3724" s="1"/>
      <c r="E3724" s="11">
        <f t="shared" si="286"/>
        <v>24</v>
      </c>
      <c r="F3724" s="12">
        <f t="shared" si="287"/>
        <v>33.333333333333329</v>
      </c>
      <c r="G3724" s="12" t="str">
        <f t="shared" si="288"/>
        <v>OK</v>
      </c>
      <c r="H3724" s="13">
        <f t="shared" si="289"/>
        <v>6</v>
      </c>
      <c r="I3724" s="14">
        <f t="shared" si="285"/>
        <v>1840.2800000000002</v>
      </c>
      <c r="K3724" t="str">
        <f>[1]!revcom(C3724)</f>
        <v>TTTCCA</v>
      </c>
      <c r="L3724">
        <v>6</v>
      </c>
    </row>
    <row r="3725" spans="1:12" ht="15.6" x14ac:dyDescent="0.3">
      <c r="A3725" s="9">
        <v>3714</v>
      </c>
      <c r="B3725" s="1"/>
      <c r="C3725" s="2" t="s">
        <v>3720</v>
      </c>
      <c r="D3725" s="1"/>
      <c r="E3725" s="11">
        <f t="shared" si="286"/>
        <v>22</v>
      </c>
      <c r="F3725" s="12">
        <f t="shared" si="287"/>
        <v>50</v>
      </c>
      <c r="G3725" s="12" t="str">
        <f t="shared" si="288"/>
        <v>Warning</v>
      </c>
      <c r="H3725" s="13">
        <f t="shared" si="289"/>
        <v>6</v>
      </c>
      <c r="I3725" s="14">
        <f t="shared" ref="I3725:I3788" si="290">((LEN(C3725)-(LEN(SUBSTITUTE(C3725,"A",""))))*249.23)+((LEN(C3725)-(LEN(SUBSTITUTE(C3725,"T",""))))*240.21)+((LEN(C3725)-(LEN(SUBSTITUTE(C3725,"C",""))))*225.2)+((LEN(C3725)-(LEN(SUBSTITUTE(C3725,"G",""))))*265.23)+(63.98*(LEN(C3725)-1)+(2.02))</f>
        <v>1816.25</v>
      </c>
      <c r="K3725" t="str">
        <f>[1]!revcom(C3725)</f>
        <v>GTTCCA</v>
      </c>
      <c r="L3725">
        <v>6</v>
      </c>
    </row>
    <row r="3726" spans="1:12" ht="15.6" x14ac:dyDescent="0.3">
      <c r="A3726" s="9">
        <v>3715</v>
      </c>
      <c r="B3726" s="1"/>
      <c r="C3726" s="2" t="s">
        <v>3721</v>
      </c>
      <c r="D3726" s="1"/>
      <c r="E3726" s="11">
        <f t="shared" ref="E3726:E3789" si="291">IF(LEN(C3726)&gt;15,(69.3+((41*((LEN(C3726)-(((LEN(C3726)-(LEN(SUBSTITUTE(C3726,"A",""))))+((LEN(C3726)-(LEN(SUBSTITUTE(C3726,"T","")))))))))/(LEN(C3726)))-(650/(LEN(C3726))))),(2*((LEN(C3726)-(((LEN(C3726)-(LEN(SUBSTITUTE(C3726,"C",""))))+((LEN(C3726)-(LEN(SUBSTITUTE(C3726,"G",""))))))))))+(4*((LEN(C3726)-(((LEN(C3726)-(LEN(SUBSTITUTE(C3726,"T",""))))+((LEN(C3726)-(LEN(SUBSTITUTE(C3726,"T","")))))))))))</f>
        <v>22</v>
      </c>
      <c r="F3726" s="12">
        <f t="shared" ref="F3726:F3789" si="292">((LEN(C3726)- LEN(SUBSTITUTE(C3726,"G","")))+(LEN(C3726)- LEN(SUBSTITUTE(C3726,"C",""))) )/LEN(C3726)*100</f>
        <v>50</v>
      </c>
      <c r="G3726" s="12" t="str">
        <f t="shared" ref="G3726:G3789" si="293">IF((-5+((LEN(SUBSTITUTE(RIGHT(C3726,5),"C","")))+((LEN(SUBSTITUTE(RIGHT(C3726,5),"G",""))))))&gt;=3,"OK","Warning")</f>
        <v>Warning</v>
      </c>
      <c r="H3726" s="13">
        <f t="shared" ref="H3726:H3789" si="294">LEN(C3726)</f>
        <v>6</v>
      </c>
      <c r="I3726" s="14">
        <f t="shared" si="290"/>
        <v>1856.2800000000002</v>
      </c>
      <c r="K3726" t="str">
        <f>[1]!revcom(C3726)</f>
        <v>CTTCCA</v>
      </c>
      <c r="L3726">
        <v>6</v>
      </c>
    </row>
    <row r="3727" spans="1:12" ht="15.6" x14ac:dyDescent="0.3">
      <c r="A3727" s="9">
        <v>3716</v>
      </c>
      <c r="B3727" s="1"/>
      <c r="C3727" s="2" t="s">
        <v>3722</v>
      </c>
      <c r="D3727" s="1"/>
      <c r="E3727" s="11">
        <f t="shared" si="291"/>
        <v>16</v>
      </c>
      <c r="F3727" s="12">
        <f t="shared" si="292"/>
        <v>33.333333333333329</v>
      </c>
      <c r="G3727" s="12" t="str">
        <f t="shared" si="293"/>
        <v>OK</v>
      </c>
      <c r="H3727" s="13">
        <f t="shared" si="294"/>
        <v>6</v>
      </c>
      <c r="I3727" s="14">
        <f t="shared" si="290"/>
        <v>1831.2600000000002</v>
      </c>
      <c r="K3727" t="str">
        <f>[1]!revcom(C3727)</f>
        <v>ATTCCA</v>
      </c>
      <c r="L3727">
        <v>5</v>
      </c>
    </row>
    <row r="3728" spans="1:12" ht="15.6" x14ac:dyDescent="0.3">
      <c r="A3728" s="9">
        <v>3717</v>
      </c>
      <c r="B3728" s="1"/>
      <c r="C3728" s="2" t="s">
        <v>3723</v>
      </c>
      <c r="D3728" s="1"/>
      <c r="E3728" s="11">
        <f t="shared" si="291"/>
        <v>22</v>
      </c>
      <c r="F3728" s="12">
        <f t="shared" si="292"/>
        <v>50</v>
      </c>
      <c r="G3728" s="12" t="str">
        <f t="shared" si="293"/>
        <v>Warning</v>
      </c>
      <c r="H3728" s="13">
        <f t="shared" si="294"/>
        <v>6</v>
      </c>
      <c r="I3728" s="14">
        <f t="shared" si="290"/>
        <v>1816.25</v>
      </c>
      <c r="K3728" t="str">
        <f>[1]!revcom(C3728)</f>
        <v>TGTCCA</v>
      </c>
      <c r="L3728">
        <v>6</v>
      </c>
    </row>
    <row r="3729" spans="1:12" ht="15.6" x14ac:dyDescent="0.3">
      <c r="A3729" s="9">
        <v>3718</v>
      </c>
      <c r="B3729" s="1"/>
      <c r="C3729" s="2" t="s">
        <v>3724</v>
      </c>
      <c r="D3729" s="1"/>
      <c r="E3729" s="11">
        <f t="shared" si="291"/>
        <v>20</v>
      </c>
      <c r="F3729" s="12">
        <f t="shared" si="292"/>
        <v>66.666666666666657</v>
      </c>
      <c r="G3729" s="12" t="str">
        <f t="shared" si="293"/>
        <v>Warning</v>
      </c>
      <c r="H3729" s="13">
        <f t="shared" si="294"/>
        <v>6</v>
      </c>
      <c r="I3729" s="14">
        <f t="shared" si="290"/>
        <v>1792.2199999999998</v>
      </c>
      <c r="K3729" t="str">
        <f>[1]!revcom(C3729)</f>
        <v>GGTCCA</v>
      </c>
      <c r="L3729">
        <v>6</v>
      </c>
    </row>
    <row r="3730" spans="1:12" ht="15.6" x14ac:dyDescent="0.3">
      <c r="A3730" s="9">
        <v>3719</v>
      </c>
      <c r="B3730" s="1"/>
      <c r="C3730" s="2" t="s">
        <v>3725</v>
      </c>
      <c r="D3730" s="1"/>
      <c r="E3730" s="11">
        <f t="shared" si="291"/>
        <v>20</v>
      </c>
      <c r="F3730" s="12">
        <f t="shared" si="292"/>
        <v>66.666666666666657</v>
      </c>
      <c r="G3730" s="12" t="str">
        <f t="shared" si="293"/>
        <v>Warning</v>
      </c>
      <c r="H3730" s="13">
        <f t="shared" si="294"/>
        <v>6</v>
      </c>
      <c r="I3730" s="14">
        <f t="shared" si="290"/>
        <v>1832.25</v>
      </c>
      <c r="K3730" t="str">
        <f>[1]!revcom(C3730)</f>
        <v>CGTCCA</v>
      </c>
      <c r="L3730">
        <v>6</v>
      </c>
    </row>
    <row r="3731" spans="1:12" ht="15.6" x14ac:dyDescent="0.3">
      <c r="A3731" s="9">
        <v>3720</v>
      </c>
      <c r="B3731" s="1"/>
      <c r="C3731" s="2" t="s">
        <v>3726</v>
      </c>
      <c r="D3731" s="1"/>
      <c r="E3731" s="11">
        <f t="shared" si="291"/>
        <v>14</v>
      </c>
      <c r="F3731" s="12">
        <f t="shared" si="292"/>
        <v>50</v>
      </c>
      <c r="G3731" s="12" t="str">
        <f t="shared" si="293"/>
        <v>Warning</v>
      </c>
      <c r="H3731" s="13">
        <f t="shared" si="294"/>
        <v>6</v>
      </c>
      <c r="I3731" s="14">
        <f t="shared" si="290"/>
        <v>1807.23</v>
      </c>
      <c r="K3731" t="str">
        <f>[1]!revcom(C3731)</f>
        <v>AGTCCA</v>
      </c>
      <c r="L3731">
        <v>5</v>
      </c>
    </row>
    <row r="3732" spans="1:12" ht="15.6" x14ac:dyDescent="0.3">
      <c r="A3732" s="9">
        <v>3721</v>
      </c>
      <c r="B3732" s="1"/>
      <c r="C3732" s="2" t="s">
        <v>3727</v>
      </c>
      <c r="D3732" s="1"/>
      <c r="E3732" s="11">
        <f t="shared" si="291"/>
        <v>22</v>
      </c>
      <c r="F3732" s="12">
        <f t="shared" si="292"/>
        <v>50</v>
      </c>
      <c r="G3732" s="12" t="str">
        <f t="shared" si="293"/>
        <v>Warning</v>
      </c>
      <c r="H3732" s="13">
        <f t="shared" si="294"/>
        <v>6</v>
      </c>
      <c r="I3732" s="14">
        <f t="shared" si="290"/>
        <v>1856.2800000000002</v>
      </c>
      <c r="K3732" t="str">
        <f>[1]!revcom(C3732)</f>
        <v>TCTCCA</v>
      </c>
      <c r="L3732">
        <v>6</v>
      </c>
    </row>
    <row r="3733" spans="1:12" ht="15.6" x14ac:dyDescent="0.3">
      <c r="A3733" s="9">
        <v>3722</v>
      </c>
      <c r="B3733" s="1"/>
      <c r="C3733" s="2" t="s">
        <v>3728</v>
      </c>
      <c r="D3733" s="1"/>
      <c r="E3733" s="11">
        <f t="shared" si="291"/>
        <v>20</v>
      </c>
      <c r="F3733" s="12">
        <f t="shared" si="292"/>
        <v>66.666666666666657</v>
      </c>
      <c r="G3733" s="12" t="str">
        <f t="shared" si="293"/>
        <v>Warning</v>
      </c>
      <c r="H3733" s="13">
        <f t="shared" si="294"/>
        <v>6</v>
      </c>
      <c r="I3733" s="14">
        <f t="shared" si="290"/>
        <v>1832.25</v>
      </c>
      <c r="K3733" t="str">
        <f>[1]!revcom(C3733)</f>
        <v>GCTCCA</v>
      </c>
      <c r="L3733">
        <v>6</v>
      </c>
    </row>
    <row r="3734" spans="1:12" ht="15.6" x14ac:dyDescent="0.3">
      <c r="A3734" s="9">
        <v>3723</v>
      </c>
      <c r="B3734" s="1"/>
      <c r="C3734" s="2" t="s">
        <v>3729</v>
      </c>
      <c r="D3734" s="1"/>
      <c r="E3734" s="11">
        <f t="shared" si="291"/>
        <v>20</v>
      </c>
      <c r="F3734" s="12">
        <f t="shared" si="292"/>
        <v>66.666666666666657</v>
      </c>
      <c r="G3734" s="12" t="str">
        <f t="shared" si="293"/>
        <v>Warning</v>
      </c>
      <c r="H3734" s="13">
        <f t="shared" si="294"/>
        <v>6</v>
      </c>
      <c r="I3734" s="14">
        <f t="shared" si="290"/>
        <v>1872.2800000000002</v>
      </c>
      <c r="K3734" t="str">
        <f>[1]!revcom(C3734)</f>
        <v>CCTCCA</v>
      </c>
      <c r="L3734">
        <v>6</v>
      </c>
    </row>
    <row r="3735" spans="1:12" ht="15.6" x14ac:dyDescent="0.3">
      <c r="A3735" s="9">
        <v>3724</v>
      </c>
      <c r="B3735" s="1"/>
      <c r="C3735" s="2" t="s">
        <v>3730</v>
      </c>
      <c r="D3735" s="1"/>
      <c r="E3735" s="11">
        <f t="shared" si="291"/>
        <v>14</v>
      </c>
      <c r="F3735" s="12">
        <f t="shared" si="292"/>
        <v>50</v>
      </c>
      <c r="G3735" s="12" t="str">
        <f t="shared" si="293"/>
        <v>Warning</v>
      </c>
      <c r="H3735" s="13">
        <f t="shared" si="294"/>
        <v>6</v>
      </c>
      <c r="I3735" s="14">
        <f t="shared" si="290"/>
        <v>1847.2600000000002</v>
      </c>
      <c r="K3735" t="str">
        <f>[1]!revcom(C3735)</f>
        <v>ACTCCA</v>
      </c>
      <c r="L3735">
        <v>5</v>
      </c>
    </row>
    <row r="3736" spans="1:12" ht="15.6" x14ac:dyDescent="0.3">
      <c r="A3736" s="9">
        <v>3725</v>
      </c>
      <c r="B3736" s="1"/>
      <c r="C3736" s="2" t="s">
        <v>3731</v>
      </c>
      <c r="D3736" s="1"/>
      <c r="E3736" s="11">
        <f t="shared" si="291"/>
        <v>16</v>
      </c>
      <c r="F3736" s="12">
        <f t="shared" si="292"/>
        <v>33.333333333333329</v>
      </c>
      <c r="G3736" s="12" t="str">
        <f t="shared" si="293"/>
        <v>OK</v>
      </c>
      <c r="H3736" s="13">
        <f t="shared" si="294"/>
        <v>6</v>
      </c>
      <c r="I3736" s="14">
        <f t="shared" si="290"/>
        <v>1831.2600000000002</v>
      </c>
      <c r="K3736" t="str">
        <f>[1]!revcom(C3736)</f>
        <v>TATCCA</v>
      </c>
      <c r="L3736">
        <v>5</v>
      </c>
    </row>
    <row r="3737" spans="1:12" ht="15.6" x14ac:dyDescent="0.3">
      <c r="A3737" s="9">
        <v>3726</v>
      </c>
      <c r="B3737" s="1"/>
      <c r="C3737" s="2" t="s">
        <v>3732</v>
      </c>
      <c r="D3737" s="1"/>
      <c r="E3737" s="11">
        <f t="shared" si="291"/>
        <v>14</v>
      </c>
      <c r="F3737" s="12">
        <f t="shared" si="292"/>
        <v>50</v>
      </c>
      <c r="G3737" s="12" t="str">
        <f t="shared" si="293"/>
        <v>Warning</v>
      </c>
      <c r="H3737" s="13">
        <f t="shared" si="294"/>
        <v>6</v>
      </c>
      <c r="I3737" s="14">
        <f t="shared" si="290"/>
        <v>1807.23</v>
      </c>
      <c r="K3737" t="str">
        <f>[1]!revcom(C3737)</f>
        <v>GATCCA</v>
      </c>
      <c r="L3737">
        <v>5</v>
      </c>
    </row>
    <row r="3738" spans="1:12" ht="15.6" x14ac:dyDescent="0.3">
      <c r="A3738" s="9">
        <v>3727</v>
      </c>
      <c r="B3738" s="1"/>
      <c r="C3738" s="2" t="s">
        <v>3733</v>
      </c>
      <c r="D3738" s="1"/>
      <c r="E3738" s="11">
        <f t="shared" si="291"/>
        <v>14</v>
      </c>
      <c r="F3738" s="12">
        <f t="shared" si="292"/>
        <v>50</v>
      </c>
      <c r="G3738" s="12" t="str">
        <f t="shared" si="293"/>
        <v>Warning</v>
      </c>
      <c r="H3738" s="13">
        <f t="shared" si="294"/>
        <v>6</v>
      </c>
      <c r="I3738" s="14">
        <f t="shared" si="290"/>
        <v>1847.2600000000002</v>
      </c>
      <c r="K3738" t="str">
        <f>[1]!revcom(C3738)</f>
        <v>CATCCA</v>
      </c>
      <c r="L3738">
        <v>5</v>
      </c>
    </row>
    <row r="3739" spans="1:12" ht="15.6" x14ac:dyDescent="0.3">
      <c r="A3739" s="9">
        <v>3728</v>
      </c>
      <c r="B3739" s="1"/>
      <c r="C3739" s="2" t="s">
        <v>3734</v>
      </c>
      <c r="D3739" s="1"/>
      <c r="E3739" s="11">
        <f t="shared" si="291"/>
        <v>8</v>
      </c>
      <c r="F3739" s="12">
        <f t="shared" si="292"/>
        <v>33.333333333333329</v>
      </c>
      <c r="G3739" s="12" t="str">
        <f t="shared" si="293"/>
        <v>OK</v>
      </c>
      <c r="H3739" s="13">
        <f t="shared" si="294"/>
        <v>6</v>
      </c>
      <c r="I3739" s="14">
        <f t="shared" si="290"/>
        <v>1822.2400000000002</v>
      </c>
      <c r="K3739" t="str">
        <f>[1]!revcom(C3739)</f>
        <v>AATCCA</v>
      </c>
      <c r="L3739">
        <v>4</v>
      </c>
    </row>
    <row r="3740" spans="1:12" ht="15.6" x14ac:dyDescent="0.3">
      <c r="A3740" s="9">
        <v>3729</v>
      </c>
      <c r="B3740" s="1"/>
      <c r="C3740" s="2" t="s">
        <v>3735</v>
      </c>
      <c r="D3740" s="1"/>
      <c r="E3740" s="11">
        <f t="shared" si="291"/>
        <v>22</v>
      </c>
      <c r="F3740" s="12">
        <f t="shared" si="292"/>
        <v>50</v>
      </c>
      <c r="G3740" s="12" t="str">
        <f t="shared" si="293"/>
        <v>Warning</v>
      </c>
      <c r="H3740" s="13">
        <f t="shared" si="294"/>
        <v>6</v>
      </c>
      <c r="I3740" s="14">
        <f t="shared" si="290"/>
        <v>1816.25</v>
      </c>
      <c r="K3740" t="str">
        <f>[1]!revcom(C3740)</f>
        <v>TTGCCA</v>
      </c>
      <c r="L3740">
        <v>6</v>
      </c>
    </row>
    <row r="3741" spans="1:12" ht="15.6" x14ac:dyDescent="0.3">
      <c r="A3741" s="9">
        <v>3730</v>
      </c>
      <c r="B3741" s="1"/>
      <c r="C3741" s="2" t="s">
        <v>3736</v>
      </c>
      <c r="D3741" s="1"/>
      <c r="E3741" s="11">
        <f t="shared" si="291"/>
        <v>20</v>
      </c>
      <c r="F3741" s="12">
        <f t="shared" si="292"/>
        <v>66.666666666666657</v>
      </c>
      <c r="G3741" s="12" t="str">
        <f t="shared" si="293"/>
        <v>Warning</v>
      </c>
      <c r="H3741" s="13">
        <f t="shared" si="294"/>
        <v>6</v>
      </c>
      <c r="I3741" s="14">
        <f t="shared" si="290"/>
        <v>1792.2199999999998</v>
      </c>
      <c r="K3741" t="str">
        <f>[1]!revcom(C3741)</f>
        <v>GTGCCA</v>
      </c>
      <c r="L3741">
        <v>6</v>
      </c>
    </row>
    <row r="3742" spans="1:12" ht="15.6" x14ac:dyDescent="0.3">
      <c r="A3742" s="9">
        <v>3731</v>
      </c>
      <c r="B3742" s="1"/>
      <c r="C3742" s="2" t="s">
        <v>3737</v>
      </c>
      <c r="D3742" s="1"/>
      <c r="E3742" s="11">
        <f t="shared" si="291"/>
        <v>20</v>
      </c>
      <c r="F3742" s="12">
        <f t="shared" si="292"/>
        <v>66.666666666666657</v>
      </c>
      <c r="G3742" s="12" t="str">
        <f t="shared" si="293"/>
        <v>Warning</v>
      </c>
      <c r="H3742" s="13">
        <f t="shared" si="294"/>
        <v>6</v>
      </c>
      <c r="I3742" s="14">
        <f t="shared" si="290"/>
        <v>1832.25</v>
      </c>
      <c r="K3742" t="str">
        <f>[1]!revcom(C3742)</f>
        <v>CTGCCA</v>
      </c>
      <c r="L3742">
        <v>6</v>
      </c>
    </row>
    <row r="3743" spans="1:12" ht="15.6" x14ac:dyDescent="0.3">
      <c r="A3743" s="9">
        <v>3732</v>
      </c>
      <c r="B3743" s="1"/>
      <c r="C3743" s="2" t="s">
        <v>3738</v>
      </c>
      <c r="D3743" s="1"/>
      <c r="E3743" s="11">
        <f t="shared" si="291"/>
        <v>14</v>
      </c>
      <c r="F3743" s="12">
        <f t="shared" si="292"/>
        <v>50</v>
      </c>
      <c r="G3743" s="12" t="str">
        <f t="shared" si="293"/>
        <v>Warning</v>
      </c>
      <c r="H3743" s="13">
        <f t="shared" si="294"/>
        <v>6</v>
      </c>
      <c r="I3743" s="14">
        <f t="shared" si="290"/>
        <v>1807.23</v>
      </c>
      <c r="K3743" t="str">
        <f>[1]!revcom(C3743)</f>
        <v>ATGCCA</v>
      </c>
      <c r="L3743">
        <v>5</v>
      </c>
    </row>
    <row r="3744" spans="1:12" ht="15.6" x14ac:dyDescent="0.3">
      <c r="A3744" s="9">
        <v>3733</v>
      </c>
      <c r="B3744" s="1"/>
      <c r="C3744" s="2" t="s">
        <v>3739</v>
      </c>
      <c r="D3744" s="1"/>
      <c r="E3744" s="11">
        <f t="shared" si="291"/>
        <v>20</v>
      </c>
      <c r="F3744" s="12">
        <f t="shared" si="292"/>
        <v>66.666666666666657</v>
      </c>
      <c r="G3744" s="12" t="str">
        <f t="shared" si="293"/>
        <v>Warning</v>
      </c>
      <c r="H3744" s="13">
        <f t="shared" si="294"/>
        <v>6</v>
      </c>
      <c r="I3744" s="14">
        <f t="shared" si="290"/>
        <v>1792.2199999999998</v>
      </c>
      <c r="K3744" t="str">
        <f>[1]!revcom(C3744)</f>
        <v>TGGCCA</v>
      </c>
      <c r="L3744">
        <v>6</v>
      </c>
    </row>
    <row r="3745" spans="1:12" ht="15.6" x14ac:dyDescent="0.3">
      <c r="A3745" s="9">
        <v>3734</v>
      </c>
      <c r="B3745" s="1"/>
      <c r="C3745" s="2" t="s">
        <v>3740</v>
      </c>
      <c r="D3745" s="1"/>
      <c r="E3745" s="11">
        <f t="shared" si="291"/>
        <v>18</v>
      </c>
      <c r="F3745" s="12">
        <f t="shared" si="292"/>
        <v>83.333333333333343</v>
      </c>
      <c r="G3745" s="12" t="str">
        <f t="shared" si="293"/>
        <v>Warning</v>
      </c>
      <c r="H3745" s="13">
        <f t="shared" si="294"/>
        <v>6</v>
      </c>
      <c r="I3745" s="14">
        <f t="shared" si="290"/>
        <v>1768.19</v>
      </c>
      <c r="K3745" t="str">
        <f>[1]!revcom(C3745)</f>
        <v>GGGCCA</v>
      </c>
      <c r="L3745">
        <v>5</v>
      </c>
    </row>
    <row r="3746" spans="1:12" ht="15.6" x14ac:dyDescent="0.3">
      <c r="A3746" s="9">
        <v>3735</v>
      </c>
      <c r="B3746" s="1"/>
      <c r="C3746" s="2" t="s">
        <v>3741</v>
      </c>
      <c r="D3746" s="1"/>
      <c r="E3746" s="11">
        <f t="shared" si="291"/>
        <v>18</v>
      </c>
      <c r="F3746" s="12">
        <f t="shared" si="292"/>
        <v>83.333333333333343</v>
      </c>
      <c r="G3746" s="12" t="str">
        <f t="shared" si="293"/>
        <v>Warning</v>
      </c>
      <c r="H3746" s="13">
        <f t="shared" si="294"/>
        <v>6</v>
      </c>
      <c r="I3746" s="14">
        <f t="shared" si="290"/>
        <v>1808.2200000000003</v>
      </c>
      <c r="K3746" t="str">
        <f>[1]!revcom(C3746)</f>
        <v>CGGCCA</v>
      </c>
      <c r="L3746">
        <v>5</v>
      </c>
    </row>
    <row r="3747" spans="1:12" ht="15.6" x14ac:dyDescent="0.3">
      <c r="A3747" s="9">
        <v>3736</v>
      </c>
      <c r="B3747" s="1"/>
      <c r="C3747" s="2" t="s">
        <v>3742</v>
      </c>
      <c r="D3747" s="1"/>
      <c r="E3747" s="11">
        <f t="shared" si="291"/>
        <v>12</v>
      </c>
      <c r="F3747" s="12">
        <f t="shared" si="292"/>
        <v>66.666666666666657</v>
      </c>
      <c r="G3747" s="12" t="str">
        <f t="shared" si="293"/>
        <v>Warning</v>
      </c>
      <c r="H3747" s="13">
        <f t="shared" si="294"/>
        <v>6</v>
      </c>
      <c r="I3747" s="14">
        <f t="shared" si="290"/>
        <v>1783.1999999999998</v>
      </c>
      <c r="K3747" t="str">
        <f>[1]!revcom(C3747)</f>
        <v>AGGCCA</v>
      </c>
      <c r="L3747">
        <v>4</v>
      </c>
    </row>
    <row r="3748" spans="1:12" ht="15.6" x14ac:dyDescent="0.3">
      <c r="A3748" s="9">
        <v>3737</v>
      </c>
      <c r="B3748" s="1"/>
      <c r="C3748" s="2" t="s">
        <v>3743</v>
      </c>
      <c r="D3748" s="1"/>
      <c r="E3748" s="11">
        <f t="shared" si="291"/>
        <v>20</v>
      </c>
      <c r="F3748" s="12">
        <f t="shared" si="292"/>
        <v>66.666666666666657</v>
      </c>
      <c r="G3748" s="12" t="str">
        <f t="shared" si="293"/>
        <v>Warning</v>
      </c>
      <c r="H3748" s="13">
        <f t="shared" si="294"/>
        <v>6</v>
      </c>
      <c r="I3748" s="14">
        <f t="shared" si="290"/>
        <v>1832.25</v>
      </c>
      <c r="K3748" t="str">
        <f>[1]!revcom(C3748)</f>
        <v>TCGCCA</v>
      </c>
      <c r="L3748">
        <v>6</v>
      </c>
    </row>
    <row r="3749" spans="1:12" ht="15.6" x14ac:dyDescent="0.3">
      <c r="A3749" s="9">
        <v>3738</v>
      </c>
      <c r="B3749" s="1"/>
      <c r="C3749" s="2" t="s">
        <v>3744</v>
      </c>
      <c r="D3749" s="1"/>
      <c r="E3749" s="11">
        <f t="shared" si="291"/>
        <v>18</v>
      </c>
      <c r="F3749" s="12">
        <f t="shared" si="292"/>
        <v>83.333333333333343</v>
      </c>
      <c r="G3749" s="12" t="str">
        <f t="shared" si="293"/>
        <v>Warning</v>
      </c>
      <c r="H3749" s="13">
        <f t="shared" si="294"/>
        <v>6</v>
      </c>
      <c r="I3749" s="14">
        <f t="shared" si="290"/>
        <v>1808.2200000000003</v>
      </c>
      <c r="K3749" t="str">
        <f>[1]!revcom(C3749)</f>
        <v>GCGCCA</v>
      </c>
      <c r="L3749">
        <v>5</v>
      </c>
    </row>
    <row r="3750" spans="1:12" ht="15.6" x14ac:dyDescent="0.3">
      <c r="A3750" s="9">
        <v>3739</v>
      </c>
      <c r="B3750" s="1"/>
      <c r="C3750" s="2" t="s">
        <v>3745</v>
      </c>
      <c r="D3750" s="1"/>
      <c r="E3750" s="11">
        <f t="shared" si="291"/>
        <v>18</v>
      </c>
      <c r="F3750" s="12">
        <f t="shared" si="292"/>
        <v>83.333333333333343</v>
      </c>
      <c r="G3750" s="12" t="str">
        <f t="shared" si="293"/>
        <v>Warning</v>
      </c>
      <c r="H3750" s="13">
        <f t="shared" si="294"/>
        <v>6</v>
      </c>
      <c r="I3750" s="14">
        <f t="shared" si="290"/>
        <v>1848.25</v>
      </c>
      <c r="K3750" t="str">
        <f>[1]!revcom(C3750)</f>
        <v>CCGCCA</v>
      </c>
      <c r="L3750">
        <v>5</v>
      </c>
    </row>
    <row r="3751" spans="1:12" ht="15.6" x14ac:dyDescent="0.3">
      <c r="A3751" s="9">
        <v>3740</v>
      </c>
      <c r="B3751" s="1"/>
      <c r="C3751" s="2" t="s">
        <v>3746</v>
      </c>
      <c r="D3751" s="1"/>
      <c r="E3751" s="11">
        <f t="shared" si="291"/>
        <v>12</v>
      </c>
      <c r="F3751" s="12">
        <f t="shared" si="292"/>
        <v>66.666666666666657</v>
      </c>
      <c r="G3751" s="12" t="str">
        <f t="shared" si="293"/>
        <v>Warning</v>
      </c>
      <c r="H3751" s="13">
        <f t="shared" si="294"/>
        <v>6</v>
      </c>
      <c r="I3751" s="14">
        <f t="shared" si="290"/>
        <v>1823.23</v>
      </c>
      <c r="K3751" t="str">
        <f>[1]!revcom(C3751)</f>
        <v>ACGCCA</v>
      </c>
      <c r="L3751">
        <v>4</v>
      </c>
    </row>
    <row r="3752" spans="1:12" ht="15.6" x14ac:dyDescent="0.3">
      <c r="A3752" s="9">
        <v>3741</v>
      </c>
      <c r="B3752" s="1"/>
      <c r="C3752" s="2" t="s">
        <v>3747</v>
      </c>
      <c r="D3752" s="1"/>
      <c r="E3752" s="11">
        <f t="shared" si="291"/>
        <v>14</v>
      </c>
      <c r="F3752" s="12">
        <f t="shared" si="292"/>
        <v>50</v>
      </c>
      <c r="G3752" s="12" t="str">
        <f t="shared" si="293"/>
        <v>Warning</v>
      </c>
      <c r="H3752" s="13">
        <f t="shared" si="294"/>
        <v>6</v>
      </c>
      <c r="I3752" s="14">
        <f t="shared" si="290"/>
        <v>1807.23</v>
      </c>
      <c r="K3752" t="str">
        <f>[1]!revcom(C3752)</f>
        <v>TAGCCA</v>
      </c>
      <c r="L3752">
        <v>5</v>
      </c>
    </row>
    <row r="3753" spans="1:12" ht="15.6" x14ac:dyDescent="0.3">
      <c r="A3753" s="9">
        <v>3742</v>
      </c>
      <c r="B3753" s="1"/>
      <c r="C3753" s="2" t="s">
        <v>3748</v>
      </c>
      <c r="D3753" s="1"/>
      <c r="E3753" s="11">
        <f t="shared" si="291"/>
        <v>12</v>
      </c>
      <c r="F3753" s="12">
        <f t="shared" si="292"/>
        <v>66.666666666666657</v>
      </c>
      <c r="G3753" s="12" t="str">
        <f t="shared" si="293"/>
        <v>Warning</v>
      </c>
      <c r="H3753" s="13">
        <f t="shared" si="294"/>
        <v>6</v>
      </c>
      <c r="I3753" s="14">
        <f t="shared" si="290"/>
        <v>1783.1999999999998</v>
      </c>
      <c r="K3753" t="str">
        <f>[1]!revcom(C3753)</f>
        <v>GAGCCA</v>
      </c>
      <c r="L3753">
        <v>4</v>
      </c>
    </row>
    <row r="3754" spans="1:12" ht="15.6" x14ac:dyDescent="0.3">
      <c r="A3754" s="9">
        <v>3743</v>
      </c>
      <c r="B3754" s="1"/>
      <c r="C3754" s="2" t="s">
        <v>3749</v>
      </c>
      <c r="D3754" s="1"/>
      <c r="E3754" s="11">
        <f t="shared" si="291"/>
        <v>12</v>
      </c>
      <c r="F3754" s="12">
        <f t="shared" si="292"/>
        <v>66.666666666666657</v>
      </c>
      <c r="G3754" s="12" t="str">
        <f t="shared" si="293"/>
        <v>Warning</v>
      </c>
      <c r="H3754" s="13">
        <f t="shared" si="294"/>
        <v>6</v>
      </c>
      <c r="I3754" s="14">
        <f t="shared" si="290"/>
        <v>1823.23</v>
      </c>
      <c r="K3754" t="str">
        <f>[1]!revcom(C3754)</f>
        <v>CAGCCA</v>
      </c>
      <c r="L3754">
        <v>4</v>
      </c>
    </row>
    <row r="3755" spans="1:12" ht="15.6" x14ac:dyDescent="0.3">
      <c r="A3755" s="9">
        <v>3744</v>
      </c>
      <c r="B3755" s="1"/>
      <c r="C3755" s="2" t="s">
        <v>3750</v>
      </c>
      <c r="D3755" s="1"/>
      <c r="E3755" s="11">
        <f t="shared" si="291"/>
        <v>6</v>
      </c>
      <c r="F3755" s="12">
        <f t="shared" si="292"/>
        <v>50</v>
      </c>
      <c r="G3755" s="12" t="str">
        <f t="shared" si="293"/>
        <v>Warning</v>
      </c>
      <c r="H3755" s="13">
        <f t="shared" si="294"/>
        <v>6</v>
      </c>
      <c r="I3755" s="14">
        <f t="shared" si="290"/>
        <v>1798.21</v>
      </c>
      <c r="K3755" t="str">
        <f>[1]!revcom(C3755)</f>
        <v>AAGCCA</v>
      </c>
      <c r="L3755">
        <v>3</v>
      </c>
    </row>
    <row r="3756" spans="1:12" ht="15.6" x14ac:dyDescent="0.3">
      <c r="A3756" s="9">
        <v>3745</v>
      </c>
      <c r="B3756" s="1"/>
      <c r="C3756" s="2" t="s">
        <v>3751</v>
      </c>
      <c r="D3756" s="1"/>
      <c r="E3756" s="11">
        <f t="shared" si="291"/>
        <v>22</v>
      </c>
      <c r="F3756" s="12">
        <f t="shared" si="292"/>
        <v>50</v>
      </c>
      <c r="G3756" s="12" t="str">
        <f t="shared" si="293"/>
        <v>Warning</v>
      </c>
      <c r="H3756" s="13">
        <f t="shared" si="294"/>
        <v>6</v>
      </c>
      <c r="I3756" s="14">
        <f t="shared" si="290"/>
        <v>1856.2800000000002</v>
      </c>
      <c r="K3756" t="str">
        <f>[1]!revcom(C3756)</f>
        <v>TTCCCA</v>
      </c>
      <c r="L3756">
        <v>6</v>
      </c>
    </row>
    <row r="3757" spans="1:12" ht="15.6" x14ac:dyDescent="0.3">
      <c r="A3757" s="9">
        <v>3746</v>
      </c>
      <c r="B3757" s="1"/>
      <c r="C3757" s="2" t="s">
        <v>3752</v>
      </c>
      <c r="D3757" s="1"/>
      <c r="E3757" s="11">
        <f t="shared" si="291"/>
        <v>20</v>
      </c>
      <c r="F3757" s="12">
        <f t="shared" si="292"/>
        <v>66.666666666666657</v>
      </c>
      <c r="G3757" s="12" t="str">
        <f t="shared" si="293"/>
        <v>Warning</v>
      </c>
      <c r="H3757" s="13">
        <f t="shared" si="294"/>
        <v>6</v>
      </c>
      <c r="I3757" s="14">
        <f t="shared" si="290"/>
        <v>1832.25</v>
      </c>
      <c r="K3757" t="str">
        <f>[1]!revcom(C3757)</f>
        <v>GTCCCA</v>
      </c>
      <c r="L3757">
        <v>6</v>
      </c>
    </row>
    <row r="3758" spans="1:12" ht="15.6" x14ac:dyDescent="0.3">
      <c r="A3758" s="9">
        <v>3747</v>
      </c>
      <c r="B3758" s="1"/>
      <c r="C3758" s="2" t="s">
        <v>3753</v>
      </c>
      <c r="D3758" s="1"/>
      <c r="E3758" s="11">
        <f t="shared" si="291"/>
        <v>20</v>
      </c>
      <c r="F3758" s="12">
        <f t="shared" si="292"/>
        <v>66.666666666666657</v>
      </c>
      <c r="G3758" s="12" t="str">
        <f t="shared" si="293"/>
        <v>Warning</v>
      </c>
      <c r="H3758" s="13">
        <f t="shared" si="294"/>
        <v>6</v>
      </c>
      <c r="I3758" s="14">
        <f t="shared" si="290"/>
        <v>1872.2800000000002</v>
      </c>
      <c r="K3758" t="str">
        <f>[1]!revcom(C3758)</f>
        <v>CTCCCA</v>
      </c>
      <c r="L3758">
        <v>6</v>
      </c>
    </row>
    <row r="3759" spans="1:12" ht="15.6" x14ac:dyDescent="0.3">
      <c r="A3759" s="9">
        <v>3748</v>
      </c>
      <c r="B3759" s="1"/>
      <c r="C3759" s="2" t="s">
        <v>3754</v>
      </c>
      <c r="D3759" s="1"/>
      <c r="E3759" s="11">
        <f t="shared" si="291"/>
        <v>14</v>
      </c>
      <c r="F3759" s="12">
        <f t="shared" si="292"/>
        <v>50</v>
      </c>
      <c r="G3759" s="12" t="str">
        <f t="shared" si="293"/>
        <v>Warning</v>
      </c>
      <c r="H3759" s="13">
        <f t="shared" si="294"/>
        <v>6</v>
      </c>
      <c r="I3759" s="14">
        <f t="shared" si="290"/>
        <v>1847.2600000000002</v>
      </c>
      <c r="K3759" t="str">
        <f>[1]!revcom(C3759)</f>
        <v>ATCCCA</v>
      </c>
      <c r="L3759">
        <v>5</v>
      </c>
    </row>
    <row r="3760" spans="1:12" ht="15.6" x14ac:dyDescent="0.3">
      <c r="A3760" s="9">
        <v>3749</v>
      </c>
      <c r="B3760" s="1"/>
      <c r="C3760" s="2" t="s">
        <v>3755</v>
      </c>
      <c r="D3760" s="1"/>
      <c r="E3760" s="11">
        <f t="shared" si="291"/>
        <v>20</v>
      </c>
      <c r="F3760" s="12">
        <f t="shared" si="292"/>
        <v>66.666666666666657</v>
      </c>
      <c r="G3760" s="12" t="str">
        <f t="shared" si="293"/>
        <v>Warning</v>
      </c>
      <c r="H3760" s="13">
        <f t="shared" si="294"/>
        <v>6</v>
      </c>
      <c r="I3760" s="14">
        <f t="shared" si="290"/>
        <v>1832.25</v>
      </c>
      <c r="K3760" t="str">
        <f>[1]!revcom(C3760)</f>
        <v>TGCCCA</v>
      </c>
      <c r="L3760">
        <v>6</v>
      </c>
    </row>
    <row r="3761" spans="1:12" ht="15.6" x14ac:dyDescent="0.3">
      <c r="A3761" s="9">
        <v>3750</v>
      </c>
      <c r="B3761" s="1"/>
      <c r="C3761" s="2" t="s">
        <v>3756</v>
      </c>
      <c r="D3761" s="1"/>
      <c r="E3761" s="11">
        <f t="shared" si="291"/>
        <v>18</v>
      </c>
      <c r="F3761" s="12">
        <f t="shared" si="292"/>
        <v>83.333333333333343</v>
      </c>
      <c r="G3761" s="12" t="str">
        <f t="shared" si="293"/>
        <v>Warning</v>
      </c>
      <c r="H3761" s="13">
        <f t="shared" si="294"/>
        <v>6</v>
      </c>
      <c r="I3761" s="14">
        <f t="shared" si="290"/>
        <v>1808.2200000000003</v>
      </c>
      <c r="K3761" t="str">
        <f>[1]!revcom(C3761)</f>
        <v>GGCCCA</v>
      </c>
      <c r="L3761">
        <v>5</v>
      </c>
    </row>
    <row r="3762" spans="1:12" ht="15.6" x14ac:dyDescent="0.3">
      <c r="A3762" s="9">
        <v>3751</v>
      </c>
      <c r="B3762" s="1"/>
      <c r="C3762" s="2" t="s">
        <v>3757</v>
      </c>
      <c r="D3762" s="1"/>
      <c r="E3762" s="11">
        <f t="shared" si="291"/>
        <v>18</v>
      </c>
      <c r="F3762" s="12">
        <f t="shared" si="292"/>
        <v>83.333333333333343</v>
      </c>
      <c r="G3762" s="12" t="str">
        <f t="shared" si="293"/>
        <v>Warning</v>
      </c>
      <c r="H3762" s="13">
        <f t="shared" si="294"/>
        <v>6</v>
      </c>
      <c r="I3762" s="14">
        <f t="shared" si="290"/>
        <v>1848.25</v>
      </c>
      <c r="K3762" t="str">
        <f>[1]!revcom(C3762)</f>
        <v>CGCCCA</v>
      </c>
      <c r="L3762">
        <v>5</v>
      </c>
    </row>
    <row r="3763" spans="1:12" ht="15.6" x14ac:dyDescent="0.3">
      <c r="A3763" s="9">
        <v>3752</v>
      </c>
      <c r="B3763" s="1"/>
      <c r="C3763" s="2" t="s">
        <v>3758</v>
      </c>
      <c r="D3763" s="1"/>
      <c r="E3763" s="11">
        <f t="shared" si="291"/>
        <v>12</v>
      </c>
      <c r="F3763" s="12">
        <f t="shared" si="292"/>
        <v>66.666666666666657</v>
      </c>
      <c r="G3763" s="12" t="str">
        <f t="shared" si="293"/>
        <v>Warning</v>
      </c>
      <c r="H3763" s="13">
        <f t="shared" si="294"/>
        <v>6</v>
      </c>
      <c r="I3763" s="14">
        <f t="shared" si="290"/>
        <v>1823.23</v>
      </c>
      <c r="K3763" t="str">
        <f>[1]!revcom(C3763)</f>
        <v>AGCCCA</v>
      </c>
      <c r="L3763">
        <v>4</v>
      </c>
    </row>
    <row r="3764" spans="1:12" ht="15.6" x14ac:dyDescent="0.3">
      <c r="A3764" s="9">
        <v>3753</v>
      </c>
      <c r="B3764" s="1"/>
      <c r="C3764" s="2" t="s">
        <v>3759</v>
      </c>
      <c r="D3764" s="1"/>
      <c r="E3764" s="11">
        <f t="shared" si="291"/>
        <v>20</v>
      </c>
      <c r="F3764" s="12">
        <f t="shared" si="292"/>
        <v>66.666666666666657</v>
      </c>
      <c r="G3764" s="12" t="str">
        <f t="shared" si="293"/>
        <v>Warning</v>
      </c>
      <c r="H3764" s="13">
        <f t="shared" si="294"/>
        <v>6</v>
      </c>
      <c r="I3764" s="14">
        <f t="shared" si="290"/>
        <v>1872.2800000000002</v>
      </c>
      <c r="K3764" t="str">
        <f>[1]!revcom(C3764)</f>
        <v>TCCCCA</v>
      </c>
      <c r="L3764">
        <v>6</v>
      </c>
    </row>
    <row r="3765" spans="1:12" ht="15.6" x14ac:dyDescent="0.3">
      <c r="A3765" s="9">
        <v>3754</v>
      </c>
      <c r="B3765" s="1"/>
      <c r="C3765" s="2" t="s">
        <v>3760</v>
      </c>
      <c r="D3765" s="1"/>
      <c r="E3765" s="11">
        <f t="shared" si="291"/>
        <v>18</v>
      </c>
      <c r="F3765" s="12">
        <f t="shared" si="292"/>
        <v>83.333333333333343</v>
      </c>
      <c r="G3765" s="12" t="str">
        <f t="shared" si="293"/>
        <v>Warning</v>
      </c>
      <c r="H3765" s="13">
        <f t="shared" si="294"/>
        <v>6</v>
      </c>
      <c r="I3765" s="14">
        <f t="shared" si="290"/>
        <v>1848.25</v>
      </c>
      <c r="K3765" t="str">
        <f>[1]!revcom(C3765)</f>
        <v>GCCCCA</v>
      </c>
      <c r="L3765">
        <v>5</v>
      </c>
    </row>
    <row r="3766" spans="1:12" ht="15.6" x14ac:dyDescent="0.3">
      <c r="A3766" s="9">
        <v>3755</v>
      </c>
      <c r="B3766" s="1"/>
      <c r="C3766" s="2" t="s">
        <v>3761</v>
      </c>
      <c r="D3766" s="1"/>
      <c r="E3766" s="11">
        <f t="shared" si="291"/>
        <v>18</v>
      </c>
      <c r="F3766" s="12">
        <f t="shared" si="292"/>
        <v>83.333333333333343</v>
      </c>
      <c r="G3766" s="12" t="str">
        <f t="shared" si="293"/>
        <v>Warning</v>
      </c>
      <c r="H3766" s="13">
        <f t="shared" si="294"/>
        <v>6</v>
      </c>
      <c r="I3766" s="14">
        <f t="shared" si="290"/>
        <v>1888.2800000000002</v>
      </c>
      <c r="K3766" t="str">
        <f>[1]!revcom(C3766)</f>
        <v>CCCCCA</v>
      </c>
      <c r="L3766">
        <v>5</v>
      </c>
    </row>
    <row r="3767" spans="1:12" ht="15.6" x14ac:dyDescent="0.3">
      <c r="A3767" s="9">
        <v>3756</v>
      </c>
      <c r="B3767" s="1"/>
      <c r="C3767" s="2" t="s">
        <v>3762</v>
      </c>
      <c r="D3767" s="1"/>
      <c r="E3767" s="11">
        <f t="shared" si="291"/>
        <v>12</v>
      </c>
      <c r="F3767" s="12">
        <f t="shared" si="292"/>
        <v>66.666666666666657</v>
      </c>
      <c r="G3767" s="12" t="str">
        <f t="shared" si="293"/>
        <v>Warning</v>
      </c>
      <c r="H3767" s="13">
        <f t="shared" si="294"/>
        <v>6</v>
      </c>
      <c r="I3767" s="14">
        <f t="shared" si="290"/>
        <v>1863.2600000000002</v>
      </c>
      <c r="K3767" t="str">
        <f>[1]!revcom(C3767)</f>
        <v>ACCCCA</v>
      </c>
      <c r="L3767">
        <v>4</v>
      </c>
    </row>
    <row r="3768" spans="1:12" ht="15.6" x14ac:dyDescent="0.3">
      <c r="A3768" s="9">
        <v>3757</v>
      </c>
      <c r="B3768" s="1"/>
      <c r="C3768" s="2" t="s">
        <v>3763</v>
      </c>
      <c r="D3768" s="1"/>
      <c r="E3768" s="11">
        <f t="shared" si="291"/>
        <v>14</v>
      </c>
      <c r="F3768" s="12">
        <f t="shared" si="292"/>
        <v>50</v>
      </c>
      <c r="G3768" s="12" t="str">
        <f t="shared" si="293"/>
        <v>Warning</v>
      </c>
      <c r="H3768" s="13">
        <f t="shared" si="294"/>
        <v>6</v>
      </c>
      <c r="I3768" s="14">
        <f t="shared" si="290"/>
        <v>1847.2600000000002</v>
      </c>
      <c r="K3768" t="str">
        <f>[1]!revcom(C3768)</f>
        <v>TACCCA</v>
      </c>
      <c r="L3768">
        <v>5</v>
      </c>
    </row>
    <row r="3769" spans="1:12" ht="15.6" x14ac:dyDescent="0.3">
      <c r="A3769" s="9">
        <v>3758</v>
      </c>
      <c r="B3769" s="1"/>
      <c r="C3769" s="2" t="s">
        <v>3764</v>
      </c>
      <c r="D3769" s="1"/>
      <c r="E3769" s="11">
        <f t="shared" si="291"/>
        <v>12</v>
      </c>
      <c r="F3769" s="12">
        <f t="shared" si="292"/>
        <v>66.666666666666657</v>
      </c>
      <c r="G3769" s="12" t="str">
        <f t="shared" si="293"/>
        <v>Warning</v>
      </c>
      <c r="H3769" s="13">
        <f t="shared" si="294"/>
        <v>6</v>
      </c>
      <c r="I3769" s="14">
        <f t="shared" si="290"/>
        <v>1823.23</v>
      </c>
      <c r="K3769" t="str">
        <f>[1]!revcom(C3769)</f>
        <v>GACCCA</v>
      </c>
      <c r="L3769">
        <v>4</v>
      </c>
    </row>
    <row r="3770" spans="1:12" ht="15.6" x14ac:dyDescent="0.3">
      <c r="A3770" s="9">
        <v>3759</v>
      </c>
      <c r="B3770" s="1"/>
      <c r="C3770" s="2" t="s">
        <v>3765</v>
      </c>
      <c r="D3770" s="1"/>
      <c r="E3770" s="11">
        <f t="shared" si="291"/>
        <v>12</v>
      </c>
      <c r="F3770" s="12">
        <f t="shared" si="292"/>
        <v>66.666666666666657</v>
      </c>
      <c r="G3770" s="12" t="str">
        <f t="shared" si="293"/>
        <v>Warning</v>
      </c>
      <c r="H3770" s="13">
        <f t="shared" si="294"/>
        <v>6</v>
      </c>
      <c r="I3770" s="14">
        <f t="shared" si="290"/>
        <v>1863.2600000000002</v>
      </c>
      <c r="K3770" t="str">
        <f>[1]!revcom(C3770)</f>
        <v>CACCCA</v>
      </c>
      <c r="L3770">
        <v>4</v>
      </c>
    </row>
    <row r="3771" spans="1:12" ht="15.6" x14ac:dyDescent="0.3">
      <c r="A3771" s="9">
        <v>3760</v>
      </c>
      <c r="B3771" s="1"/>
      <c r="C3771" s="2" t="s">
        <v>3766</v>
      </c>
      <c r="D3771" s="1"/>
      <c r="E3771" s="11">
        <f t="shared" si="291"/>
        <v>6</v>
      </c>
      <c r="F3771" s="12">
        <f t="shared" si="292"/>
        <v>50</v>
      </c>
      <c r="G3771" s="12" t="str">
        <f t="shared" si="293"/>
        <v>Warning</v>
      </c>
      <c r="H3771" s="13">
        <f t="shared" si="294"/>
        <v>6</v>
      </c>
      <c r="I3771" s="14">
        <f t="shared" si="290"/>
        <v>1838.2400000000002</v>
      </c>
      <c r="K3771" t="str">
        <f>[1]!revcom(C3771)</f>
        <v>AACCCA</v>
      </c>
      <c r="L3771">
        <v>3</v>
      </c>
    </row>
    <row r="3772" spans="1:12" ht="15.6" x14ac:dyDescent="0.3">
      <c r="A3772" s="9">
        <v>3761</v>
      </c>
      <c r="B3772" s="1"/>
      <c r="C3772" s="2" t="s">
        <v>3767</v>
      </c>
      <c r="D3772" s="1"/>
      <c r="E3772" s="11">
        <f t="shared" si="291"/>
        <v>16</v>
      </c>
      <c r="F3772" s="12">
        <f t="shared" si="292"/>
        <v>33.333333333333329</v>
      </c>
      <c r="G3772" s="12" t="str">
        <f t="shared" si="293"/>
        <v>OK</v>
      </c>
      <c r="H3772" s="13">
        <f t="shared" si="294"/>
        <v>6</v>
      </c>
      <c r="I3772" s="14">
        <f t="shared" si="290"/>
        <v>1831.2600000000002</v>
      </c>
      <c r="K3772" t="str">
        <f>[1]!revcom(C3772)</f>
        <v>TTACCA</v>
      </c>
      <c r="L3772">
        <v>5</v>
      </c>
    </row>
    <row r="3773" spans="1:12" ht="15.6" x14ac:dyDescent="0.3">
      <c r="A3773" s="9">
        <v>3762</v>
      </c>
      <c r="B3773" s="1"/>
      <c r="C3773" s="2" t="s">
        <v>3768</v>
      </c>
      <c r="D3773" s="1"/>
      <c r="E3773" s="11">
        <f t="shared" si="291"/>
        <v>14</v>
      </c>
      <c r="F3773" s="12">
        <f t="shared" si="292"/>
        <v>50</v>
      </c>
      <c r="G3773" s="12" t="str">
        <f t="shared" si="293"/>
        <v>Warning</v>
      </c>
      <c r="H3773" s="13">
        <f t="shared" si="294"/>
        <v>6</v>
      </c>
      <c r="I3773" s="14">
        <f t="shared" si="290"/>
        <v>1807.23</v>
      </c>
      <c r="K3773" t="str">
        <f>[1]!revcom(C3773)</f>
        <v>GTACCA</v>
      </c>
      <c r="L3773">
        <v>5</v>
      </c>
    </row>
    <row r="3774" spans="1:12" ht="15.6" x14ac:dyDescent="0.3">
      <c r="A3774" s="9">
        <v>3763</v>
      </c>
      <c r="B3774" s="1"/>
      <c r="C3774" s="2" t="s">
        <v>3769</v>
      </c>
      <c r="D3774" s="1"/>
      <c r="E3774" s="11">
        <f t="shared" si="291"/>
        <v>14</v>
      </c>
      <c r="F3774" s="12">
        <f t="shared" si="292"/>
        <v>50</v>
      </c>
      <c r="G3774" s="12" t="str">
        <f t="shared" si="293"/>
        <v>Warning</v>
      </c>
      <c r="H3774" s="13">
        <f t="shared" si="294"/>
        <v>6</v>
      </c>
      <c r="I3774" s="14">
        <f t="shared" si="290"/>
        <v>1847.2600000000002</v>
      </c>
      <c r="K3774" t="str">
        <f>[1]!revcom(C3774)</f>
        <v>CTACCA</v>
      </c>
      <c r="L3774">
        <v>5</v>
      </c>
    </row>
    <row r="3775" spans="1:12" ht="15.6" x14ac:dyDescent="0.3">
      <c r="A3775" s="9">
        <v>3764</v>
      </c>
      <c r="B3775" s="1"/>
      <c r="C3775" s="2" t="s">
        <v>3770</v>
      </c>
      <c r="D3775" s="1"/>
      <c r="E3775" s="11">
        <f t="shared" si="291"/>
        <v>8</v>
      </c>
      <c r="F3775" s="12">
        <f t="shared" si="292"/>
        <v>33.333333333333329</v>
      </c>
      <c r="G3775" s="12" t="str">
        <f t="shared" si="293"/>
        <v>OK</v>
      </c>
      <c r="H3775" s="13">
        <f t="shared" si="294"/>
        <v>6</v>
      </c>
      <c r="I3775" s="14">
        <f t="shared" si="290"/>
        <v>1822.2400000000002</v>
      </c>
      <c r="K3775" t="str">
        <f>[1]!revcom(C3775)</f>
        <v>ATACCA</v>
      </c>
      <c r="L3775">
        <v>4</v>
      </c>
    </row>
    <row r="3776" spans="1:12" ht="15.6" x14ac:dyDescent="0.3">
      <c r="A3776" s="9">
        <v>3765</v>
      </c>
      <c r="B3776" s="1"/>
      <c r="C3776" s="2" t="s">
        <v>3771</v>
      </c>
      <c r="D3776" s="1"/>
      <c r="E3776" s="11">
        <f t="shared" si="291"/>
        <v>14</v>
      </c>
      <c r="F3776" s="12">
        <f t="shared" si="292"/>
        <v>50</v>
      </c>
      <c r="G3776" s="12" t="str">
        <f t="shared" si="293"/>
        <v>Warning</v>
      </c>
      <c r="H3776" s="13">
        <f t="shared" si="294"/>
        <v>6</v>
      </c>
      <c r="I3776" s="14">
        <f t="shared" si="290"/>
        <v>1807.23</v>
      </c>
      <c r="K3776" t="str">
        <f>[1]!revcom(C3776)</f>
        <v>TGACCA</v>
      </c>
      <c r="L3776">
        <v>5</v>
      </c>
    </row>
    <row r="3777" spans="1:12" ht="15.6" x14ac:dyDescent="0.3">
      <c r="A3777" s="9">
        <v>3766</v>
      </c>
      <c r="B3777" s="1"/>
      <c r="C3777" s="2" t="s">
        <v>3772</v>
      </c>
      <c r="D3777" s="1"/>
      <c r="E3777" s="11">
        <f t="shared" si="291"/>
        <v>12</v>
      </c>
      <c r="F3777" s="12">
        <f t="shared" si="292"/>
        <v>66.666666666666657</v>
      </c>
      <c r="G3777" s="12" t="str">
        <f t="shared" si="293"/>
        <v>Warning</v>
      </c>
      <c r="H3777" s="13">
        <f t="shared" si="294"/>
        <v>6</v>
      </c>
      <c r="I3777" s="14">
        <f t="shared" si="290"/>
        <v>1783.1999999999998</v>
      </c>
      <c r="K3777" t="str">
        <f>[1]!revcom(C3777)</f>
        <v>GGACCA</v>
      </c>
      <c r="L3777">
        <v>4</v>
      </c>
    </row>
    <row r="3778" spans="1:12" ht="15.6" x14ac:dyDescent="0.3">
      <c r="A3778" s="9">
        <v>3767</v>
      </c>
      <c r="B3778" s="1"/>
      <c r="C3778" s="2" t="s">
        <v>3773</v>
      </c>
      <c r="D3778" s="1"/>
      <c r="E3778" s="11">
        <f t="shared" si="291"/>
        <v>12</v>
      </c>
      <c r="F3778" s="12">
        <f t="shared" si="292"/>
        <v>66.666666666666657</v>
      </c>
      <c r="G3778" s="12" t="str">
        <f t="shared" si="293"/>
        <v>Warning</v>
      </c>
      <c r="H3778" s="13">
        <f t="shared" si="294"/>
        <v>6</v>
      </c>
      <c r="I3778" s="14">
        <f t="shared" si="290"/>
        <v>1823.23</v>
      </c>
      <c r="K3778" t="str">
        <f>[1]!revcom(C3778)</f>
        <v>CGACCA</v>
      </c>
      <c r="L3778">
        <v>4</v>
      </c>
    </row>
    <row r="3779" spans="1:12" ht="15.6" x14ac:dyDescent="0.3">
      <c r="A3779" s="9">
        <v>3768</v>
      </c>
      <c r="B3779" s="1"/>
      <c r="C3779" s="2" t="s">
        <v>3774</v>
      </c>
      <c r="D3779" s="1"/>
      <c r="E3779" s="11">
        <f t="shared" si="291"/>
        <v>6</v>
      </c>
      <c r="F3779" s="12">
        <f t="shared" si="292"/>
        <v>50</v>
      </c>
      <c r="G3779" s="12" t="str">
        <f t="shared" si="293"/>
        <v>Warning</v>
      </c>
      <c r="H3779" s="13">
        <f t="shared" si="294"/>
        <v>6</v>
      </c>
      <c r="I3779" s="14">
        <f t="shared" si="290"/>
        <v>1798.21</v>
      </c>
      <c r="K3779" t="str">
        <f>[1]!revcom(C3779)</f>
        <v>AGACCA</v>
      </c>
      <c r="L3779">
        <v>3</v>
      </c>
    </row>
    <row r="3780" spans="1:12" ht="15.6" x14ac:dyDescent="0.3">
      <c r="A3780" s="9">
        <v>3769</v>
      </c>
      <c r="B3780" s="1"/>
      <c r="C3780" s="2" t="s">
        <v>3775</v>
      </c>
      <c r="D3780" s="1"/>
      <c r="E3780" s="11">
        <f t="shared" si="291"/>
        <v>14</v>
      </c>
      <c r="F3780" s="12">
        <f t="shared" si="292"/>
        <v>50</v>
      </c>
      <c r="G3780" s="12" t="str">
        <f t="shared" si="293"/>
        <v>Warning</v>
      </c>
      <c r="H3780" s="13">
        <f t="shared" si="294"/>
        <v>6</v>
      </c>
      <c r="I3780" s="14">
        <f t="shared" si="290"/>
        <v>1847.2600000000002</v>
      </c>
      <c r="K3780" t="str">
        <f>[1]!revcom(C3780)</f>
        <v>TCACCA</v>
      </c>
      <c r="L3780">
        <v>5</v>
      </c>
    </row>
    <row r="3781" spans="1:12" ht="15.6" x14ac:dyDescent="0.3">
      <c r="A3781" s="9">
        <v>3770</v>
      </c>
      <c r="B3781" s="1"/>
      <c r="C3781" s="2" t="s">
        <v>3776</v>
      </c>
      <c r="D3781" s="1"/>
      <c r="E3781" s="11">
        <f t="shared" si="291"/>
        <v>12</v>
      </c>
      <c r="F3781" s="12">
        <f t="shared" si="292"/>
        <v>66.666666666666657</v>
      </c>
      <c r="G3781" s="12" t="str">
        <f t="shared" si="293"/>
        <v>Warning</v>
      </c>
      <c r="H3781" s="13">
        <f t="shared" si="294"/>
        <v>6</v>
      </c>
      <c r="I3781" s="14">
        <f t="shared" si="290"/>
        <v>1823.23</v>
      </c>
      <c r="K3781" t="str">
        <f>[1]!revcom(C3781)</f>
        <v>GCACCA</v>
      </c>
      <c r="L3781">
        <v>4</v>
      </c>
    </row>
    <row r="3782" spans="1:12" ht="15.6" x14ac:dyDescent="0.3">
      <c r="A3782" s="9">
        <v>3771</v>
      </c>
      <c r="B3782" s="1"/>
      <c r="C3782" s="2" t="s">
        <v>3777</v>
      </c>
      <c r="D3782" s="1"/>
      <c r="E3782" s="11">
        <f t="shared" si="291"/>
        <v>12</v>
      </c>
      <c r="F3782" s="12">
        <f t="shared" si="292"/>
        <v>66.666666666666657</v>
      </c>
      <c r="G3782" s="12" t="str">
        <f t="shared" si="293"/>
        <v>Warning</v>
      </c>
      <c r="H3782" s="13">
        <f t="shared" si="294"/>
        <v>6</v>
      </c>
      <c r="I3782" s="14">
        <f t="shared" si="290"/>
        <v>1863.2600000000002</v>
      </c>
      <c r="K3782" t="str">
        <f>[1]!revcom(C3782)</f>
        <v>CCACCA</v>
      </c>
      <c r="L3782">
        <v>4</v>
      </c>
    </row>
    <row r="3783" spans="1:12" ht="15.6" x14ac:dyDescent="0.3">
      <c r="A3783" s="9">
        <v>3772</v>
      </c>
      <c r="B3783" s="1"/>
      <c r="C3783" s="2" t="s">
        <v>3778</v>
      </c>
      <c r="D3783" s="1"/>
      <c r="E3783" s="11">
        <f t="shared" si="291"/>
        <v>6</v>
      </c>
      <c r="F3783" s="12">
        <f t="shared" si="292"/>
        <v>50</v>
      </c>
      <c r="G3783" s="12" t="str">
        <f t="shared" si="293"/>
        <v>Warning</v>
      </c>
      <c r="H3783" s="13">
        <f t="shared" si="294"/>
        <v>6</v>
      </c>
      <c r="I3783" s="14">
        <f t="shared" si="290"/>
        <v>1838.2400000000002</v>
      </c>
      <c r="K3783" t="str">
        <f>[1]!revcom(C3783)</f>
        <v>ACACCA</v>
      </c>
      <c r="L3783">
        <v>3</v>
      </c>
    </row>
    <row r="3784" spans="1:12" ht="15.6" x14ac:dyDescent="0.3">
      <c r="A3784" s="9">
        <v>3773</v>
      </c>
      <c r="B3784" s="1"/>
      <c r="C3784" s="2" t="s">
        <v>3779</v>
      </c>
      <c r="D3784" s="1"/>
      <c r="E3784" s="11">
        <f t="shared" si="291"/>
        <v>8</v>
      </c>
      <c r="F3784" s="12">
        <f t="shared" si="292"/>
        <v>33.333333333333329</v>
      </c>
      <c r="G3784" s="12" t="str">
        <f t="shared" si="293"/>
        <v>OK</v>
      </c>
      <c r="H3784" s="13">
        <f t="shared" si="294"/>
        <v>6</v>
      </c>
      <c r="I3784" s="14">
        <f t="shared" si="290"/>
        <v>1822.2400000000002</v>
      </c>
      <c r="K3784" t="str">
        <f>[1]!revcom(C3784)</f>
        <v>TAACCA</v>
      </c>
      <c r="L3784">
        <v>4</v>
      </c>
    </row>
    <row r="3785" spans="1:12" ht="15.6" x14ac:dyDescent="0.3">
      <c r="A3785" s="9">
        <v>3774</v>
      </c>
      <c r="B3785" s="1"/>
      <c r="C3785" s="2" t="s">
        <v>3780</v>
      </c>
      <c r="D3785" s="1"/>
      <c r="E3785" s="11">
        <f t="shared" si="291"/>
        <v>6</v>
      </c>
      <c r="F3785" s="12">
        <f t="shared" si="292"/>
        <v>50</v>
      </c>
      <c r="G3785" s="12" t="str">
        <f t="shared" si="293"/>
        <v>Warning</v>
      </c>
      <c r="H3785" s="13">
        <f t="shared" si="294"/>
        <v>6</v>
      </c>
      <c r="I3785" s="14">
        <f t="shared" si="290"/>
        <v>1798.21</v>
      </c>
      <c r="K3785" t="str">
        <f>[1]!revcom(C3785)</f>
        <v>GAACCA</v>
      </c>
      <c r="L3785">
        <v>3</v>
      </c>
    </row>
    <row r="3786" spans="1:12" ht="15.6" x14ac:dyDescent="0.3">
      <c r="A3786" s="9">
        <v>3775</v>
      </c>
      <c r="B3786" s="1"/>
      <c r="C3786" s="2" t="s">
        <v>3781</v>
      </c>
      <c r="D3786" s="1"/>
      <c r="E3786" s="11">
        <f t="shared" si="291"/>
        <v>6</v>
      </c>
      <c r="F3786" s="12">
        <f t="shared" si="292"/>
        <v>50</v>
      </c>
      <c r="G3786" s="12" t="str">
        <f t="shared" si="293"/>
        <v>Warning</v>
      </c>
      <c r="H3786" s="13">
        <f t="shared" si="294"/>
        <v>6</v>
      </c>
      <c r="I3786" s="14">
        <f t="shared" si="290"/>
        <v>1838.2400000000002</v>
      </c>
      <c r="K3786" t="str">
        <f>[1]!revcom(C3786)</f>
        <v>CAACCA</v>
      </c>
      <c r="L3786">
        <v>3</v>
      </c>
    </row>
    <row r="3787" spans="1:12" ht="15.6" x14ac:dyDescent="0.3">
      <c r="A3787" s="9">
        <v>3776</v>
      </c>
      <c r="B3787" s="1"/>
      <c r="C3787" s="2" t="s">
        <v>3782</v>
      </c>
      <c r="D3787" s="1"/>
      <c r="E3787" s="11">
        <f t="shared" si="291"/>
        <v>0</v>
      </c>
      <c r="F3787" s="12">
        <f t="shared" si="292"/>
        <v>33.333333333333329</v>
      </c>
      <c r="G3787" s="12" t="str">
        <f t="shared" si="293"/>
        <v>OK</v>
      </c>
      <c r="H3787" s="13">
        <f t="shared" si="294"/>
        <v>6</v>
      </c>
      <c r="I3787" s="14">
        <f t="shared" si="290"/>
        <v>1813.2200000000003</v>
      </c>
      <c r="K3787" t="str">
        <f>[1]!revcom(C3787)</f>
        <v>AAACCA</v>
      </c>
      <c r="L3787">
        <v>2</v>
      </c>
    </row>
    <row r="3788" spans="1:12" ht="15.6" x14ac:dyDescent="0.3">
      <c r="A3788" s="9">
        <v>3777</v>
      </c>
      <c r="B3788" s="1"/>
      <c r="C3788" s="2" t="s">
        <v>3783</v>
      </c>
      <c r="D3788" s="1"/>
      <c r="E3788" s="11">
        <f t="shared" si="291"/>
        <v>18</v>
      </c>
      <c r="F3788" s="12">
        <f t="shared" si="292"/>
        <v>16.666666666666664</v>
      </c>
      <c r="G3788" s="12" t="str">
        <f t="shared" si="293"/>
        <v>OK</v>
      </c>
      <c r="H3788" s="13">
        <f t="shared" si="294"/>
        <v>6</v>
      </c>
      <c r="I3788" s="14">
        <f t="shared" si="290"/>
        <v>1815.2599999999998</v>
      </c>
      <c r="K3788" t="str">
        <f>[1]!revcom(C3788)</f>
        <v>TTTACA</v>
      </c>
      <c r="L3788">
        <v>5</v>
      </c>
    </row>
    <row r="3789" spans="1:12" ht="15.6" x14ac:dyDescent="0.3">
      <c r="A3789" s="9">
        <v>3778</v>
      </c>
      <c r="B3789" s="1"/>
      <c r="C3789" s="2" t="s">
        <v>3784</v>
      </c>
      <c r="D3789" s="1"/>
      <c r="E3789" s="11">
        <f t="shared" si="291"/>
        <v>16</v>
      </c>
      <c r="F3789" s="12">
        <f t="shared" si="292"/>
        <v>33.333333333333329</v>
      </c>
      <c r="G3789" s="12" t="str">
        <f t="shared" si="293"/>
        <v>OK</v>
      </c>
      <c r="H3789" s="13">
        <f t="shared" si="294"/>
        <v>6</v>
      </c>
      <c r="I3789" s="14">
        <f t="shared" ref="I3789:I3852" si="295">((LEN(C3789)-(LEN(SUBSTITUTE(C3789,"A",""))))*249.23)+((LEN(C3789)-(LEN(SUBSTITUTE(C3789,"T",""))))*240.21)+((LEN(C3789)-(LEN(SUBSTITUTE(C3789,"C",""))))*225.2)+((LEN(C3789)-(LEN(SUBSTITUTE(C3789,"G",""))))*265.23)+(63.98*(LEN(C3789)-1)+(2.02))</f>
        <v>1791.23</v>
      </c>
      <c r="K3789" t="str">
        <f>[1]!revcom(C3789)</f>
        <v>GTTACA</v>
      </c>
      <c r="L3789">
        <v>5</v>
      </c>
    </row>
    <row r="3790" spans="1:12" ht="15.6" x14ac:dyDescent="0.3">
      <c r="A3790" s="9">
        <v>3779</v>
      </c>
      <c r="B3790" s="1"/>
      <c r="C3790" s="2" t="s">
        <v>3785</v>
      </c>
      <c r="D3790" s="1"/>
      <c r="E3790" s="11">
        <f t="shared" ref="E3790:E3853" si="296">IF(LEN(C3790)&gt;15,(69.3+((41*((LEN(C3790)-(((LEN(C3790)-(LEN(SUBSTITUTE(C3790,"A",""))))+((LEN(C3790)-(LEN(SUBSTITUTE(C3790,"T","")))))))))/(LEN(C3790)))-(650/(LEN(C3790))))),(2*((LEN(C3790)-(((LEN(C3790)-(LEN(SUBSTITUTE(C3790,"C",""))))+((LEN(C3790)-(LEN(SUBSTITUTE(C3790,"G",""))))))))))+(4*((LEN(C3790)-(((LEN(C3790)-(LEN(SUBSTITUTE(C3790,"T",""))))+((LEN(C3790)-(LEN(SUBSTITUTE(C3790,"T","")))))))))))</f>
        <v>16</v>
      </c>
      <c r="F3790" s="12">
        <f t="shared" ref="F3790:F3853" si="297">((LEN(C3790)- LEN(SUBSTITUTE(C3790,"G","")))+(LEN(C3790)- LEN(SUBSTITUTE(C3790,"C",""))) )/LEN(C3790)*100</f>
        <v>33.333333333333329</v>
      </c>
      <c r="G3790" s="12" t="str">
        <f t="shared" ref="G3790:G3853" si="298">IF((-5+((LEN(SUBSTITUTE(RIGHT(C3790,5),"C","")))+((LEN(SUBSTITUTE(RIGHT(C3790,5),"G",""))))))&gt;=3,"OK","Warning")</f>
        <v>OK</v>
      </c>
      <c r="H3790" s="13">
        <f t="shared" ref="H3790:H3853" si="299">LEN(C3790)</f>
        <v>6</v>
      </c>
      <c r="I3790" s="14">
        <f t="shared" si="295"/>
        <v>1831.2600000000002</v>
      </c>
      <c r="K3790" t="str">
        <f>[1]!revcom(C3790)</f>
        <v>CTTACA</v>
      </c>
      <c r="L3790">
        <v>5</v>
      </c>
    </row>
    <row r="3791" spans="1:12" ht="15.6" x14ac:dyDescent="0.3">
      <c r="A3791" s="9">
        <v>3780</v>
      </c>
      <c r="B3791" s="1"/>
      <c r="C3791" s="2" t="s">
        <v>3786</v>
      </c>
      <c r="D3791" s="1"/>
      <c r="E3791" s="11">
        <f t="shared" si="296"/>
        <v>10</v>
      </c>
      <c r="F3791" s="12">
        <f t="shared" si="297"/>
        <v>16.666666666666664</v>
      </c>
      <c r="G3791" s="12" t="str">
        <f t="shared" si="298"/>
        <v>OK</v>
      </c>
      <c r="H3791" s="13">
        <f t="shared" si="299"/>
        <v>6</v>
      </c>
      <c r="I3791" s="14">
        <f t="shared" si="295"/>
        <v>1806.2399999999998</v>
      </c>
      <c r="K3791" t="str">
        <f>[1]!revcom(C3791)</f>
        <v>ATTACA</v>
      </c>
      <c r="L3791">
        <v>4</v>
      </c>
    </row>
    <row r="3792" spans="1:12" ht="15.6" x14ac:dyDescent="0.3">
      <c r="A3792" s="9">
        <v>3781</v>
      </c>
      <c r="B3792" s="1"/>
      <c r="C3792" s="2" t="s">
        <v>3787</v>
      </c>
      <c r="D3792" s="1"/>
      <c r="E3792" s="11">
        <f t="shared" si="296"/>
        <v>16</v>
      </c>
      <c r="F3792" s="12">
        <f t="shared" si="297"/>
        <v>33.333333333333329</v>
      </c>
      <c r="G3792" s="12" t="str">
        <f t="shared" si="298"/>
        <v>OK</v>
      </c>
      <c r="H3792" s="13">
        <f t="shared" si="299"/>
        <v>6</v>
      </c>
      <c r="I3792" s="14">
        <f t="shared" si="295"/>
        <v>1791.23</v>
      </c>
      <c r="K3792" t="str">
        <f>[1]!revcom(C3792)</f>
        <v>TGTACA</v>
      </c>
      <c r="L3792">
        <v>5</v>
      </c>
    </row>
    <row r="3793" spans="1:12" ht="15.6" x14ac:dyDescent="0.3">
      <c r="A3793" s="9">
        <v>3782</v>
      </c>
      <c r="B3793" s="1"/>
      <c r="C3793" s="2" t="s">
        <v>3788</v>
      </c>
      <c r="D3793" s="1"/>
      <c r="E3793" s="11">
        <f t="shared" si="296"/>
        <v>14</v>
      </c>
      <c r="F3793" s="12">
        <f t="shared" si="297"/>
        <v>50</v>
      </c>
      <c r="G3793" s="12" t="str">
        <f t="shared" si="298"/>
        <v>Warning</v>
      </c>
      <c r="H3793" s="13">
        <f t="shared" si="299"/>
        <v>6</v>
      </c>
      <c r="I3793" s="14">
        <f t="shared" si="295"/>
        <v>1767.1999999999998</v>
      </c>
      <c r="K3793" t="str">
        <f>[1]!revcom(C3793)</f>
        <v>GGTACA</v>
      </c>
      <c r="L3793">
        <v>5</v>
      </c>
    </row>
    <row r="3794" spans="1:12" ht="15.6" x14ac:dyDescent="0.3">
      <c r="A3794" s="9">
        <v>3783</v>
      </c>
      <c r="B3794" s="1"/>
      <c r="C3794" s="2" t="s">
        <v>3789</v>
      </c>
      <c r="D3794" s="1"/>
      <c r="E3794" s="11">
        <f t="shared" si="296"/>
        <v>14</v>
      </c>
      <c r="F3794" s="12">
        <f t="shared" si="297"/>
        <v>50</v>
      </c>
      <c r="G3794" s="12" t="str">
        <f t="shared" si="298"/>
        <v>Warning</v>
      </c>
      <c r="H3794" s="13">
        <f t="shared" si="299"/>
        <v>6</v>
      </c>
      <c r="I3794" s="14">
        <f t="shared" si="295"/>
        <v>1807.23</v>
      </c>
      <c r="K3794" t="str">
        <f>[1]!revcom(C3794)</f>
        <v>CGTACA</v>
      </c>
      <c r="L3794">
        <v>5</v>
      </c>
    </row>
    <row r="3795" spans="1:12" ht="15.6" x14ac:dyDescent="0.3">
      <c r="A3795" s="9">
        <v>3784</v>
      </c>
      <c r="B3795" s="1"/>
      <c r="C3795" s="2" t="s">
        <v>3790</v>
      </c>
      <c r="D3795" s="1"/>
      <c r="E3795" s="11">
        <f t="shared" si="296"/>
        <v>8</v>
      </c>
      <c r="F3795" s="12">
        <f t="shared" si="297"/>
        <v>33.333333333333329</v>
      </c>
      <c r="G3795" s="12" t="str">
        <f t="shared" si="298"/>
        <v>OK</v>
      </c>
      <c r="H3795" s="13">
        <f t="shared" si="299"/>
        <v>6</v>
      </c>
      <c r="I3795" s="14">
        <f t="shared" si="295"/>
        <v>1782.21</v>
      </c>
      <c r="K3795" t="str">
        <f>[1]!revcom(C3795)</f>
        <v>AGTACA</v>
      </c>
      <c r="L3795">
        <v>4</v>
      </c>
    </row>
    <row r="3796" spans="1:12" ht="15.6" x14ac:dyDescent="0.3">
      <c r="A3796" s="9">
        <v>3785</v>
      </c>
      <c r="B3796" s="1"/>
      <c r="C3796" s="2" t="s">
        <v>3791</v>
      </c>
      <c r="D3796" s="1"/>
      <c r="E3796" s="11">
        <f t="shared" si="296"/>
        <v>16</v>
      </c>
      <c r="F3796" s="12">
        <f t="shared" si="297"/>
        <v>33.333333333333329</v>
      </c>
      <c r="G3796" s="12" t="str">
        <f t="shared" si="298"/>
        <v>OK</v>
      </c>
      <c r="H3796" s="13">
        <f t="shared" si="299"/>
        <v>6</v>
      </c>
      <c r="I3796" s="14">
        <f t="shared" si="295"/>
        <v>1831.2600000000002</v>
      </c>
      <c r="K3796" t="str">
        <f>[1]!revcom(C3796)</f>
        <v>TCTACA</v>
      </c>
      <c r="L3796">
        <v>5</v>
      </c>
    </row>
    <row r="3797" spans="1:12" ht="15.6" x14ac:dyDescent="0.3">
      <c r="A3797" s="9">
        <v>3786</v>
      </c>
      <c r="B3797" s="1"/>
      <c r="C3797" s="2" t="s">
        <v>3792</v>
      </c>
      <c r="D3797" s="1"/>
      <c r="E3797" s="11">
        <f t="shared" si="296"/>
        <v>14</v>
      </c>
      <c r="F3797" s="12">
        <f t="shared" si="297"/>
        <v>50</v>
      </c>
      <c r="G3797" s="12" t="str">
        <f t="shared" si="298"/>
        <v>Warning</v>
      </c>
      <c r="H3797" s="13">
        <f t="shared" si="299"/>
        <v>6</v>
      </c>
      <c r="I3797" s="14">
        <f t="shared" si="295"/>
        <v>1807.23</v>
      </c>
      <c r="K3797" t="str">
        <f>[1]!revcom(C3797)</f>
        <v>GCTACA</v>
      </c>
      <c r="L3797">
        <v>5</v>
      </c>
    </row>
    <row r="3798" spans="1:12" ht="15.6" x14ac:dyDescent="0.3">
      <c r="A3798" s="9">
        <v>3787</v>
      </c>
      <c r="B3798" s="1"/>
      <c r="C3798" s="2" t="s">
        <v>3793</v>
      </c>
      <c r="D3798" s="1"/>
      <c r="E3798" s="11">
        <f t="shared" si="296"/>
        <v>14</v>
      </c>
      <c r="F3798" s="12">
        <f t="shared" si="297"/>
        <v>50</v>
      </c>
      <c r="G3798" s="12" t="str">
        <f t="shared" si="298"/>
        <v>Warning</v>
      </c>
      <c r="H3798" s="13">
        <f t="shared" si="299"/>
        <v>6</v>
      </c>
      <c r="I3798" s="14">
        <f t="shared" si="295"/>
        <v>1847.2600000000002</v>
      </c>
      <c r="K3798" t="str">
        <f>[1]!revcom(C3798)</f>
        <v>CCTACA</v>
      </c>
      <c r="L3798">
        <v>5</v>
      </c>
    </row>
    <row r="3799" spans="1:12" ht="15.6" x14ac:dyDescent="0.3">
      <c r="A3799" s="9">
        <v>3788</v>
      </c>
      <c r="B3799" s="1"/>
      <c r="C3799" s="2" t="s">
        <v>3794</v>
      </c>
      <c r="D3799" s="1"/>
      <c r="E3799" s="11">
        <f t="shared" si="296"/>
        <v>8</v>
      </c>
      <c r="F3799" s="12">
        <f t="shared" si="297"/>
        <v>33.333333333333329</v>
      </c>
      <c r="G3799" s="12" t="str">
        <f t="shared" si="298"/>
        <v>OK</v>
      </c>
      <c r="H3799" s="13">
        <f t="shared" si="299"/>
        <v>6</v>
      </c>
      <c r="I3799" s="14">
        <f t="shared" si="295"/>
        <v>1822.2400000000002</v>
      </c>
      <c r="K3799" t="str">
        <f>[1]!revcom(C3799)</f>
        <v>ACTACA</v>
      </c>
      <c r="L3799">
        <v>4</v>
      </c>
    </row>
    <row r="3800" spans="1:12" ht="15.6" x14ac:dyDescent="0.3">
      <c r="A3800" s="9">
        <v>3789</v>
      </c>
      <c r="B3800" s="1"/>
      <c r="C3800" s="2" t="s">
        <v>3795</v>
      </c>
      <c r="D3800" s="1"/>
      <c r="E3800" s="11">
        <f t="shared" si="296"/>
        <v>10</v>
      </c>
      <c r="F3800" s="12">
        <f t="shared" si="297"/>
        <v>16.666666666666664</v>
      </c>
      <c r="G3800" s="12" t="str">
        <f t="shared" si="298"/>
        <v>OK</v>
      </c>
      <c r="H3800" s="13">
        <f t="shared" si="299"/>
        <v>6</v>
      </c>
      <c r="I3800" s="14">
        <f t="shared" si="295"/>
        <v>1806.2399999999998</v>
      </c>
      <c r="K3800" t="str">
        <f>[1]!revcom(C3800)</f>
        <v>TATACA</v>
      </c>
      <c r="L3800">
        <v>4</v>
      </c>
    </row>
    <row r="3801" spans="1:12" ht="15.6" x14ac:dyDescent="0.3">
      <c r="A3801" s="9">
        <v>3790</v>
      </c>
      <c r="B3801" s="1"/>
      <c r="C3801" s="2" t="s">
        <v>3796</v>
      </c>
      <c r="D3801" s="1"/>
      <c r="E3801" s="11">
        <f t="shared" si="296"/>
        <v>8</v>
      </c>
      <c r="F3801" s="12">
        <f t="shared" si="297"/>
        <v>33.333333333333329</v>
      </c>
      <c r="G3801" s="12" t="str">
        <f t="shared" si="298"/>
        <v>OK</v>
      </c>
      <c r="H3801" s="13">
        <f t="shared" si="299"/>
        <v>6</v>
      </c>
      <c r="I3801" s="14">
        <f t="shared" si="295"/>
        <v>1782.21</v>
      </c>
      <c r="K3801" t="str">
        <f>[1]!revcom(C3801)</f>
        <v>GATACA</v>
      </c>
      <c r="L3801">
        <v>4</v>
      </c>
    </row>
    <row r="3802" spans="1:12" ht="15.6" x14ac:dyDescent="0.3">
      <c r="A3802" s="9">
        <v>3791</v>
      </c>
      <c r="B3802" s="1"/>
      <c r="C3802" s="2" t="s">
        <v>3797</v>
      </c>
      <c r="D3802" s="1"/>
      <c r="E3802" s="11">
        <f t="shared" si="296"/>
        <v>8</v>
      </c>
      <c r="F3802" s="12">
        <f t="shared" si="297"/>
        <v>33.333333333333329</v>
      </c>
      <c r="G3802" s="12" t="str">
        <f t="shared" si="298"/>
        <v>OK</v>
      </c>
      <c r="H3802" s="13">
        <f t="shared" si="299"/>
        <v>6</v>
      </c>
      <c r="I3802" s="14">
        <f t="shared" si="295"/>
        <v>1822.2400000000002</v>
      </c>
      <c r="K3802" t="str">
        <f>[1]!revcom(C3802)</f>
        <v>CATACA</v>
      </c>
      <c r="L3802">
        <v>4</v>
      </c>
    </row>
    <row r="3803" spans="1:12" ht="15.6" x14ac:dyDescent="0.3">
      <c r="A3803" s="9">
        <v>3792</v>
      </c>
      <c r="B3803" s="1"/>
      <c r="C3803" s="2" t="s">
        <v>3798</v>
      </c>
      <c r="D3803" s="1"/>
      <c r="E3803" s="11">
        <f t="shared" si="296"/>
        <v>2</v>
      </c>
      <c r="F3803" s="12">
        <f t="shared" si="297"/>
        <v>16.666666666666664</v>
      </c>
      <c r="G3803" s="12" t="str">
        <f t="shared" si="298"/>
        <v>OK</v>
      </c>
      <c r="H3803" s="13">
        <f t="shared" si="299"/>
        <v>6</v>
      </c>
      <c r="I3803" s="14">
        <f t="shared" si="295"/>
        <v>1797.2199999999998</v>
      </c>
      <c r="K3803" t="str">
        <f>[1]!revcom(C3803)</f>
        <v>AATACA</v>
      </c>
      <c r="L3803">
        <v>3</v>
      </c>
    </row>
    <row r="3804" spans="1:12" ht="15.6" x14ac:dyDescent="0.3">
      <c r="A3804" s="9">
        <v>3793</v>
      </c>
      <c r="B3804" s="1"/>
      <c r="C3804" s="2" t="s">
        <v>3799</v>
      </c>
      <c r="D3804" s="1"/>
      <c r="E3804" s="11">
        <f t="shared" si="296"/>
        <v>16</v>
      </c>
      <c r="F3804" s="12">
        <f t="shared" si="297"/>
        <v>33.333333333333329</v>
      </c>
      <c r="G3804" s="12" t="str">
        <f t="shared" si="298"/>
        <v>OK</v>
      </c>
      <c r="H3804" s="13">
        <f t="shared" si="299"/>
        <v>6</v>
      </c>
      <c r="I3804" s="14">
        <f t="shared" si="295"/>
        <v>1791.23</v>
      </c>
      <c r="K3804" t="str">
        <f>[1]!revcom(C3804)</f>
        <v>TTGACA</v>
      </c>
      <c r="L3804">
        <v>5</v>
      </c>
    </row>
    <row r="3805" spans="1:12" ht="15.6" x14ac:dyDescent="0.3">
      <c r="A3805" s="9">
        <v>3794</v>
      </c>
      <c r="B3805" s="1"/>
      <c r="C3805" s="2" t="s">
        <v>3800</v>
      </c>
      <c r="D3805" s="1"/>
      <c r="E3805" s="11">
        <f t="shared" si="296"/>
        <v>14</v>
      </c>
      <c r="F3805" s="12">
        <f t="shared" si="297"/>
        <v>50</v>
      </c>
      <c r="G3805" s="12" t="str">
        <f t="shared" si="298"/>
        <v>Warning</v>
      </c>
      <c r="H3805" s="13">
        <f t="shared" si="299"/>
        <v>6</v>
      </c>
      <c r="I3805" s="14">
        <f t="shared" si="295"/>
        <v>1767.1999999999998</v>
      </c>
      <c r="K3805" t="str">
        <f>[1]!revcom(C3805)</f>
        <v>GTGACA</v>
      </c>
      <c r="L3805">
        <v>5</v>
      </c>
    </row>
    <row r="3806" spans="1:12" ht="15.6" x14ac:dyDescent="0.3">
      <c r="A3806" s="9">
        <v>3795</v>
      </c>
      <c r="B3806" s="1"/>
      <c r="C3806" s="2" t="s">
        <v>3801</v>
      </c>
      <c r="D3806" s="1"/>
      <c r="E3806" s="11">
        <f t="shared" si="296"/>
        <v>14</v>
      </c>
      <c r="F3806" s="12">
        <f t="shared" si="297"/>
        <v>50</v>
      </c>
      <c r="G3806" s="12" t="str">
        <f t="shared" si="298"/>
        <v>Warning</v>
      </c>
      <c r="H3806" s="13">
        <f t="shared" si="299"/>
        <v>6</v>
      </c>
      <c r="I3806" s="14">
        <f t="shared" si="295"/>
        <v>1807.23</v>
      </c>
      <c r="K3806" t="str">
        <f>[1]!revcom(C3806)</f>
        <v>CTGACA</v>
      </c>
      <c r="L3806">
        <v>5</v>
      </c>
    </row>
    <row r="3807" spans="1:12" ht="15.6" x14ac:dyDescent="0.3">
      <c r="A3807" s="9">
        <v>3796</v>
      </c>
      <c r="B3807" s="1"/>
      <c r="C3807" s="2" t="s">
        <v>3802</v>
      </c>
      <c r="D3807" s="1"/>
      <c r="E3807" s="11">
        <f t="shared" si="296"/>
        <v>8</v>
      </c>
      <c r="F3807" s="12">
        <f t="shared" si="297"/>
        <v>33.333333333333329</v>
      </c>
      <c r="G3807" s="12" t="str">
        <f t="shared" si="298"/>
        <v>OK</v>
      </c>
      <c r="H3807" s="13">
        <f t="shared" si="299"/>
        <v>6</v>
      </c>
      <c r="I3807" s="14">
        <f t="shared" si="295"/>
        <v>1782.21</v>
      </c>
      <c r="K3807" t="str">
        <f>[1]!revcom(C3807)</f>
        <v>ATGACA</v>
      </c>
      <c r="L3807">
        <v>4</v>
      </c>
    </row>
    <row r="3808" spans="1:12" ht="15.6" x14ac:dyDescent="0.3">
      <c r="A3808" s="9">
        <v>3797</v>
      </c>
      <c r="B3808" s="1"/>
      <c r="C3808" s="2" t="s">
        <v>3803</v>
      </c>
      <c r="D3808" s="1"/>
      <c r="E3808" s="11">
        <f t="shared" si="296"/>
        <v>14</v>
      </c>
      <c r="F3808" s="12">
        <f t="shared" si="297"/>
        <v>50</v>
      </c>
      <c r="G3808" s="12" t="str">
        <f t="shared" si="298"/>
        <v>Warning</v>
      </c>
      <c r="H3808" s="13">
        <f t="shared" si="299"/>
        <v>6</v>
      </c>
      <c r="I3808" s="14">
        <f t="shared" si="295"/>
        <v>1767.1999999999998</v>
      </c>
      <c r="K3808" t="str">
        <f>[1]!revcom(C3808)</f>
        <v>TGGACA</v>
      </c>
      <c r="L3808">
        <v>5</v>
      </c>
    </row>
    <row r="3809" spans="1:12" ht="15.6" x14ac:dyDescent="0.3">
      <c r="A3809" s="9">
        <v>3798</v>
      </c>
      <c r="B3809" s="1"/>
      <c r="C3809" s="2" t="s">
        <v>3804</v>
      </c>
      <c r="D3809" s="1"/>
      <c r="E3809" s="11">
        <f t="shared" si="296"/>
        <v>12</v>
      </c>
      <c r="F3809" s="12">
        <f t="shared" si="297"/>
        <v>66.666666666666657</v>
      </c>
      <c r="G3809" s="12" t="str">
        <f t="shared" si="298"/>
        <v>Warning</v>
      </c>
      <c r="H3809" s="13">
        <f t="shared" si="299"/>
        <v>6</v>
      </c>
      <c r="I3809" s="14">
        <f t="shared" si="295"/>
        <v>1743.17</v>
      </c>
      <c r="K3809" t="str">
        <f>[1]!revcom(C3809)</f>
        <v>GGGACA</v>
      </c>
      <c r="L3809">
        <v>4</v>
      </c>
    </row>
    <row r="3810" spans="1:12" ht="15.6" x14ac:dyDescent="0.3">
      <c r="A3810" s="9">
        <v>3799</v>
      </c>
      <c r="B3810" s="1"/>
      <c r="C3810" s="2" t="s">
        <v>3805</v>
      </c>
      <c r="D3810" s="1"/>
      <c r="E3810" s="11">
        <f t="shared" si="296"/>
        <v>12</v>
      </c>
      <c r="F3810" s="12">
        <f t="shared" si="297"/>
        <v>66.666666666666657</v>
      </c>
      <c r="G3810" s="12" t="str">
        <f t="shared" si="298"/>
        <v>Warning</v>
      </c>
      <c r="H3810" s="13">
        <f t="shared" si="299"/>
        <v>6</v>
      </c>
      <c r="I3810" s="14">
        <f t="shared" si="295"/>
        <v>1783.1999999999998</v>
      </c>
      <c r="K3810" t="str">
        <f>[1]!revcom(C3810)</f>
        <v>CGGACA</v>
      </c>
      <c r="L3810">
        <v>4</v>
      </c>
    </row>
    <row r="3811" spans="1:12" ht="15.6" x14ac:dyDescent="0.3">
      <c r="A3811" s="9">
        <v>3800</v>
      </c>
      <c r="B3811" s="1"/>
      <c r="C3811" s="2" t="s">
        <v>3806</v>
      </c>
      <c r="D3811" s="1"/>
      <c r="E3811" s="11">
        <f t="shared" si="296"/>
        <v>6</v>
      </c>
      <c r="F3811" s="12">
        <f t="shared" si="297"/>
        <v>50</v>
      </c>
      <c r="G3811" s="12" t="str">
        <f t="shared" si="298"/>
        <v>Warning</v>
      </c>
      <c r="H3811" s="13">
        <f t="shared" si="299"/>
        <v>6</v>
      </c>
      <c r="I3811" s="14">
        <f t="shared" si="295"/>
        <v>1758.1799999999998</v>
      </c>
      <c r="K3811" t="str">
        <f>[1]!revcom(C3811)</f>
        <v>AGGACA</v>
      </c>
      <c r="L3811">
        <v>3</v>
      </c>
    </row>
    <row r="3812" spans="1:12" ht="15.6" x14ac:dyDescent="0.3">
      <c r="A3812" s="9">
        <v>3801</v>
      </c>
      <c r="B3812" s="1"/>
      <c r="C3812" s="2" t="s">
        <v>3807</v>
      </c>
      <c r="D3812" s="1"/>
      <c r="E3812" s="11">
        <f t="shared" si="296"/>
        <v>14</v>
      </c>
      <c r="F3812" s="12">
        <f t="shared" si="297"/>
        <v>50</v>
      </c>
      <c r="G3812" s="12" t="str">
        <f t="shared" si="298"/>
        <v>Warning</v>
      </c>
      <c r="H3812" s="13">
        <f t="shared" si="299"/>
        <v>6</v>
      </c>
      <c r="I3812" s="14">
        <f t="shared" si="295"/>
        <v>1807.23</v>
      </c>
      <c r="K3812" t="str">
        <f>[1]!revcom(C3812)</f>
        <v>TCGACA</v>
      </c>
      <c r="L3812">
        <v>5</v>
      </c>
    </row>
    <row r="3813" spans="1:12" ht="15.6" x14ac:dyDescent="0.3">
      <c r="A3813" s="9">
        <v>3802</v>
      </c>
      <c r="B3813" s="1"/>
      <c r="C3813" s="2" t="s">
        <v>3808</v>
      </c>
      <c r="D3813" s="1"/>
      <c r="E3813" s="11">
        <f t="shared" si="296"/>
        <v>12</v>
      </c>
      <c r="F3813" s="12">
        <f t="shared" si="297"/>
        <v>66.666666666666657</v>
      </c>
      <c r="G3813" s="12" t="str">
        <f t="shared" si="298"/>
        <v>Warning</v>
      </c>
      <c r="H3813" s="13">
        <f t="shared" si="299"/>
        <v>6</v>
      </c>
      <c r="I3813" s="14">
        <f t="shared" si="295"/>
        <v>1783.1999999999998</v>
      </c>
      <c r="K3813" t="str">
        <f>[1]!revcom(C3813)</f>
        <v>GCGACA</v>
      </c>
      <c r="L3813">
        <v>4</v>
      </c>
    </row>
    <row r="3814" spans="1:12" ht="15.6" x14ac:dyDescent="0.3">
      <c r="A3814" s="9">
        <v>3803</v>
      </c>
      <c r="B3814" s="1"/>
      <c r="C3814" s="2" t="s">
        <v>3809</v>
      </c>
      <c r="D3814" s="1"/>
      <c r="E3814" s="11">
        <f t="shared" si="296"/>
        <v>12</v>
      </c>
      <c r="F3814" s="12">
        <f t="shared" si="297"/>
        <v>66.666666666666657</v>
      </c>
      <c r="G3814" s="12" t="str">
        <f t="shared" si="298"/>
        <v>Warning</v>
      </c>
      <c r="H3814" s="13">
        <f t="shared" si="299"/>
        <v>6</v>
      </c>
      <c r="I3814" s="14">
        <f t="shared" si="295"/>
        <v>1823.23</v>
      </c>
      <c r="K3814" t="str">
        <f>[1]!revcom(C3814)</f>
        <v>CCGACA</v>
      </c>
      <c r="L3814">
        <v>4</v>
      </c>
    </row>
    <row r="3815" spans="1:12" ht="15.6" x14ac:dyDescent="0.3">
      <c r="A3815" s="9">
        <v>3804</v>
      </c>
      <c r="B3815" s="1"/>
      <c r="C3815" s="2" t="s">
        <v>3810</v>
      </c>
      <c r="D3815" s="1"/>
      <c r="E3815" s="11">
        <f t="shared" si="296"/>
        <v>6</v>
      </c>
      <c r="F3815" s="12">
        <f t="shared" si="297"/>
        <v>50</v>
      </c>
      <c r="G3815" s="12" t="str">
        <f t="shared" si="298"/>
        <v>Warning</v>
      </c>
      <c r="H3815" s="13">
        <f t="shared" si="299"/>
        <v>6</v>
      </c>
      <c r="I3815" s="14">
        <f t="shared" si="295"/>
        <v>1798.21</v>
      </c>
      <c r="K3815" t="str">
        <f>[1]!revcom(C3815)</f>
        <v>ACGACA</v>
      </c>
      <c r="L3815">
        <v>3</v>
      </c>
    </row>
    <row r="3816" spans="1:12" ht="15.6" x14ac:dyDescent="0.3">
      <c r="A3816" s="9">
        <v>3805</v>
      </c>
      <c r="B3816" s="1"/>
      <c r="C3816" s="2" t="s">
        <v>3811</v>
      </c>
      <c r="D3816" s="1"/>
      <c r="E3816" s="11">
        <f t="shared" si="296"/>
        <v>8</v>
      </c>
      <c r="F3816" s="12">
        <f t="shared" si="297"/>
        <v>33.333333333333329</v>
      </c>
      <c r="G3816" s="12" t="str">
        <f t="shared" si="298"/>
        <v>OK</v>
      </c>
      <c r="H3816" s="13">
        <f t="shared" si="299"/>
        <v>6</v>
      </c>
      <c r="I3816" s="14">
        <f t="shared" si="295"/>
        <v>1782.21</v>
      </c>
      <c r="K3816" t="str">
        <f>[1]!revcom(C3816)</f>
        <v>TAGACA</v>
      </c>
      <c r="L3816">
        <v>4</v>
      </c>
    </row>
    <row r="3817" spans="1:12" ht="15.6" x14ac:dyDescent="0.3">
      <c r="A3817" s="9">
        <v>3806</v>
      </c>
      <c r="B3817" s="1"/>
      <c r="C3817" s="2" t="s">
        <v>3812</v>
      </c>
      <c r="D3817" s="1"/>
      <c r="E3817" s="11">
        <f t="shared" si="296"/>
        <v>6</v>
      </c>
      <c r="F3817" s="12">
        <f t="shared" si="297"/>
        <v>50</v>
      </c>
      <c r="G3817" s="12" t="str">
        <f t="shared" si="298"/>
        <v>Warning</v>
      </c>
      <c r="H3817" s="13">
        <f t="shared" si="299"/>
        <v>6</v>
      </c>
      <c r="I3817" s="14">
        <f t="shared" si="295"/>
        <v>1758.1799999999998</v>
      </c>
      <c r="K3817" t="str">
        <f>[1]!revcom(C3817)</f>
        <v>GAGACA</v>
      </c>
      <c r="L3817">
        <v>3</v>
      </c>
    </row>
    <row r="3818" spans="1:12" ht="15.6" x14ac:dyDescent="0.3">
      <c r="A3818" s="9">
        <v>3807</v>
      </c>
      <c r="B3818" s="1"/>
      <c r="C3818" s="2" t="s">
        <v>3813</v>
      </c>
      <c r="D3818" s="1"/>
      <c r="E3818" s="11">
        <f t="shared" si="296"/>
        <v>6</v>
      </c>
      <c r="F3818" s="12">
        <f t="shared" si="297"/>
        <v>50</v>
      </c>
      <c r="G3818" s="12" t="str">
        <f t="shared" si="298"/>
        <v>Warning</v>
      </c>
      <c r="H3818" s="13">
        <f t="shared" si="299"/>
        <v>6</v>
      </c>
      <c r="I3818" s="14">
        <f t="shared" si="295"/>
        <v>1798.21</v>
      </c>
      <c r="K3818" t="str">
        <f>[1]!revcom(C3818)</f>
        <v>CAGACA</v>
      </c>
      <c r="L3818">
        <v>3</v>
      </c>
    </row>
    <row r="3819" spans="1:12" ht="15.6" x14ac:dyDescent="0.3">
      <c r="A3819" s="9">
        <v>3808</v>
      </c>
      <c r="B3819" s="1"/>
      <c r="C3819" s="2" t="s">
        <v>3814</v>
      </c>
      <c r="D3819" s="1"/>
      <c r="E3819" s="11">
        <f t="shared" si="296"/>
        <v>0</v>
      </c>
      <c r="F3819" s="12">
        <f t="shared" si="297"/>
        <v>33.333333333333329</v>
      </c>
      <c r="G3819" s="12" t="str">
        <f t="shared" si="298"/>
        <v>OK</v>
      </c>
      <c r="H3819" s="13">
        <f t="shared" si="299"/>
        <v>6</v>
      </c>
      <c r="I3819" s="14">
        <f t="shared" si="295"/>
        <v>1773.19</v>
      </c>
      <c r="K3819" t="str">
        <f>[1]!revcom(C3819)</f>
        <v>AAGACA</v>
      </c>
      <c r="L3819">
        <v>2</v>
      </c>
    </row>
    <row r="3820" spans="1:12" ht="15.6" x14ac:dyDescent="0.3">
      <c r="A3820" s="9">
        <v>3809</v>
      </c>
      <c r="B3820" s="1"/>
      <c r="C3820" s="2" t="s">
        <v>3815</v>
      </c>
      <c r="D3820" s="1"/>
      <c r="E3820" s="11">
        <f t="shared" si="296"/>
        <v>16</v>
      </c>
      <c r="F3820" s="12">
        <f t="shared" si="297"/>
        <v>33.333333333333329</v>
      </c>
      <c r="G3820" s="12" t="str">
        <f t="shared" si="298"/>
        <v>OK</v>
      </c>
      <c r="H3820" s="13">
        <f t="shared" si="299"/>
        <v>6</v>
      </c>
      <c r="I3820" s="14">
        <f t="shared" si="295"/>
        <v>1831.2600000000002</v>
      </c>
      <c r="K3820" t="str">
        <f>[1]!revcom(C3820)</f>
        <v>TTCACA</v>
      </c>
      <c r="L3820">
        <v>5</v>
      </c>
    </row>
    <row r="3821" spans="1:12" ht="15.6" x14ac:dyDescent="0.3">
      <c r="A3821" s="9">
        <v>3810</v>
      </c>
      <c r="B3821" s="1"/>
      <c r="C3821" s="2" t="s">
        <v>3816</v>
      </c>
      <c r="D3821" s="1"/>
      <c r="E3821" s="11">
        <f t="shared" si="296"/>
        <v>14</v>
      </c>
      <c r="F3821" s="12">
        <f t="shared" si="297"/>
        <v>50</v>
      </c>
      <c r="G3821" s="12" t="str">
        <f t="shared" si="298"/>
        <v>Warning</v>
      </c>
      <c r="H3821" s="13">
        <f t="shared" si="299"/>
        <v>6</v>
      </c>
      <c r="I3821" s="14">
        <f t="shared" si="295"/>
        <v>1807.23</v>
      </c>
      <c r="K3821" t="str">
        <f>[1]!revcom(C3821)</f>
        <v>GTCACA</v>
      </c>
      <c r="L3821">
        <v>5</v>
      </c>
    </row>
    <row r="3822" spans="1:12" ht="15.6" x14ac:dyDescent="0.3">
      <c r="A3822" s="9">
        <v>3811</v>
      </c>
      <c r="B3822" s="1"/>
      <c r="C3822" s="2" t="s">
        <v>3817</v>
      </c>
      <c r="D3822" s="1"/>
      <c r="E3822" s="11">
        <f t="shared" si="296"/>
        <v>14</v>
      </c>
      <c r="F3822" s="12">
        <f t="shared" si="297"/>
        <v>50</v>
      </c>
      <c r="G3822" s="12" t="str">
        <f t="shared" si="298"/>
        <v>Warning</v>
      </c>
      <c r="H3822" s="13">
        <f t="shared" si="299"/>
        <v>6</v>
      </c>
      <c r="I3822" s="14">
        <f t="shared" si="295"/>
        <v>1847.2600000000002</v>
      </c>
      <c r="K3822" t="str">
        <f>[1]!revcom(C3822)</f>
        <v>CTCACA</v>
      </c>
      <c r="L3822">
        <v>5</v>
      </c>
    </row>
    <row r="3823" spans="1:12" ht="15.6" x14ac:dyDescent="0.3">
      <c r="A3823" s="9">
        <v>3812</v>
      </c>
      <c r="B3823" s="1"/>
      <c r="C3823" s="2" t="s">
        <v>3818</v>
      </c>
      <c r="D3823" s="1"/>
      <c r="E3823" s="11">
        <f t="shared" si="296"/>
        <v>8</v>
      </c>
      <c r="F3823" s="12">
        <f t="shared" si="297"/>
        <v>33.333333333333329</v>
      </c>
      <c r="G3823" s="12" t="str">
        <f t="shared" si="298"/>
        <v>OK</v>
      </c>
      <c r="H3823" s="13">
        <f t="shared" si="299"/>
        <v>6</v>
      </c>
      <c r="I3823" s="14">
        <f t="shared" si="295"/>
        <v>1822.2400000000002</v>
      </c>
      <c r="K3823" t="str">
        <f>[1]!revcom(C3823)</f>
        <v>ATCACA</v>
      </c>
      <c r="L3823">
        <v>4</v>
      </c>
    </row>
    <row r="3824" spans="1:12" ht="15.6" x14ac:dyDescent="0.3">
      <c r="A3824" s="9">
        <v>3813</v>
      </c>
      <c r="B3824" s="1"/>
      <c r="C3824" s="2" t="s">
        <v>3819</v>
      </c>
      <c r="D3824" s="1"/>
      <c r="E3824" s="11">
        <f t="shared" si="296"/>
        <v>14</v>
      </c>
      <c r="F3824" s="12">
        <f t="shared" si="297"/>
        <v>50</v>
      </c>
      <c r="G3824" s="12" t="str">
        <f t="shared" si="298"/>
        <v>Warning</v>
      </c>
      <c r="H3824" s="13">
        <f t="shared" si="299"/>
        <v>6</v>
      </c>
      <c r="I3824" s="14">
        <f t="shared" si="295"/>
        <v>1807.23</v>
      </c>
      <c r="K3824" t="str">
        <f>[1]!revcom(C3824)</f>
        <v>TGCACA</v>
      </c>
      <c r="L3824">
        <v>5</v>
      </c>
    </row>
    <row r="3825" spans="1:12" ht="15.6" x14ac:dyDescent="0.3">
      <c r="A3825" s="9">
        <v>3814</v>
      </c>
      <c r="B3825" s="1"/>
      <c r="C3825" s="2" t="s">
        <v>3820</v>
      </c>
      <c r="D3825" s="1"/>
      <c r="E3825" s="11">
        <f t="shared" si="296"/>
        <v>12</v>
      </c>
      <c r="F3825" s="12">
        <f t="shared" si="297"/>
        <v>66.666666666666657</v>
      </c>
      <c r="G3825" s="12" t="str">
        <f t="shared" si="298"/>
        <v>Warning</v>
      </c>
      <c r="H3825" s="13">
        <f t="shared" si="299"/>
        <v>6</v>
      </c>
      <c r="I3825" s="14">
        <f t="shared" si="295"/>
        <v>1783.1999999999998</v>
      </c>
      <c r="K3825" t="str">
        <f>[1]!revcom(C3825)</f>
        <v>GGCACA</v>
      </c>
      <c r="L3825">
        <v>4</v>
      </c>
    </row>
    <row r="3826" spans="1:12" ht="15.6" x14ac:dyDescent="0.3">
      <c r="A3826" s="9">
        <v>3815</v>
      </c>
      <c r="B3826" s="1"/>
      <c r="C3826" s="2" t="s">
        <v>3821</v>
      </c>
      <c r="D3826" s="1"/>
      <c r="E3826" s="11">
        <f t="shared" si="296"/>
        <v>12</v>
      </c>
      <c r="F3826" s="12">
        <f t="shared" si="297"/>
        <v>66.666666666666657</v>
      </c>
      <c r="G3826" s="12" t="str">
        <f t="shared" si="298"/>
        <v>Warning</v>
      </c>
      <c r="H3826" s="13">
        <f t="shared" si="299"/>
        <v>6</v>
      </c>
      <c r="I3826" s="14">
        <f t="shared" si="295"/>
        <v>1823.23</v>
      </c>
      <c r="K3826" t="str">
        <f>[1]!revcom(C3826)</f>
        <v>CGCACA</v>
      </c>
      <c r="L3826">
        <v>4</v>
      </c>
    </row>
    <row r="3827" spans="1:12" ht="15.6" x14ac:dyDescent="0.3">
      <c r="A3827" s="9">
        <v>3816</v>
      </c>
      <c r="B3827" s="1"/>
      <c r="C3827" s="2" t="s">
        <v>3822</v>
      </c>
      <c r="D3827" s="1"/>
      <c r="E3827" s="11">
        <f t="shared" si="296"/>
        <v>6</v>
      </c>
      <c r="F3827" s="12">
        <f t="shared" si="297"/>
        <v>50</v>
      </c>
      <c r="G3827" s="12" t="str">
        <f t="shared" si="298"/>
        <v>Warning</v>
      </c>
      <c r="H3827" s="13">
        <f t="shared" si="299"/>
        <v>6</v>
      </c>
      <c r="I3827" s="14">
        <f t="shared" si="295"/>
        <v>1798.21</v>
      </c>
      <c r="K3827" t="str">
        <f>[1]!revcom(C3827)</f>
        <v>AGCACA</v>
      </c>
      <c r="L3827">
        <v>3</v>
      </c>
    </row>
    <row r="3828" spans="1:12" ht="15.6" x14ac:dyDescent="0.3">
      <c r="A3828" s="9">
        <v>3817</v>
      </c>
      <c r="B3828" s="1"/>
      <c r="C3828" s="2" t="s">
        <v>3823</v>
      </c>
      <c r="D3828" s="1"/>
      <c r="E3828" s="11">
        <f t="shared" si="296"/>
        <v>14</v>
      </c>
      <c r="F3828" s="12">
        <f t="shared" si="297"/>
        <v>50</v>
      </c>
      <c r="G3828" s="12" t="str">
        <f t="shared" si="298"/>
        <v>Warning</v>
      </c>
      <c r="H3828" s="13">
        <f t="shared" si="299"/>
        <v>6</v>
      </c>
      <c r="I3828" s="14">
        <f t="shared" si="295"/>
        <v>1847.2600000000002</v>
      </c>
      <c r="K3828" t="str">
        <f>[1]!revcom(C3828)</f>
        <v>TCCACA</v>
      </c>
      <c r="L3828">
        <v>5</v>
      </c>
    </row>
    <row r="3829" spans="1:12" ht="15.6" x14ac:dyDescent="0.3">
      <c r="A3829" s="9">
        <v>3818</v>
      </c>
      <c r="B3829" s="1"/>
      <c r="C3829" s="2" t="s">
        <v>3824</v>
      </c>
      <c r="D3829" s="1"/>
      <c r="E3829" s="11">
        <f t="shared" si="296"/>
        <v>12</v>
      </c>
      <c r="F3829" s="12">
        <f t="shared" si="297"/>
        <v>66.666666666666657</v>
      </c>
      <c r="G3829" s="12" t="str">
        <f t="shared" si="298"/>
        <v>Warning</v>
      </c>
      <c r="H3829" s="13">
        <f t="shared" si="299"/>
        <v>6</v>
      </c>
      <c r="I3829" s="14">
        <f t="shared" si="295"/>
        <v>1823.23</v>
      </c>
      <c r="K3829" t="str">
        <f>[1]!revcom(C3829)</f>
        <v>GCCACA</v>
      </c>
      <c r="L3829">
        <v>4</v>
      </c>
    </row>
    <row r="3830" spans="1:12" ht="15.6" x14ac:dyDescent="0.3">
      <c r="A3830" s="9">
        <v>3819</v>
      </c>
      <c r="B3830" s="1"/>
      <c r="C3830" s="2" t="s">
        <v>3825</v>
      </c>
      <c r="D3830" s="1"/>
      <c r="E3830" s="11">
        <f t="shared" si="296"/>
        <v>12</v>
      </c>
      <c r="F3830" s="12">
        <f t="shared" si="297"/>
        <v>66.666666666666657</v>
      </c>
      <c r="G3830" s="12" t="str">
        <f t="shared" si="298"/>
        <v>Warning</v>
      </c>
      <c r="H3830" s="13">
        <f t="shared" si="299"/>
        <v>6</v>
      </c>
      <c r="I3830" s="14">
        <f t="shared" si="295"/>
        <v>1863.2600000000002</v>
      </c>
      <c r="K3830" t="str">
        <f>[1]!revcom(C3830)</f>
        <v>CCCACA</v>
      </c>
      <c r="L3830">
        <v>4</v>
      </c>
    </row>
    <row r="3831" spans="1:12" ht="15.6" x14ac:dyDescent="0.3">
      <c r="A3831" s="9">
        <v>3820</v>
      </c>
      <c r="B3831" s="1"/>
      <c r="C3831" s="2" t="s">
        <v>3826</v>
      </c>
      <c r="D3831" s="1"/>
      <c r="E3831" s="11">
        <f t="shared" si="296"/>
        <v>6</v>
      </c>
      <c r="F3831" s="12">
        <f t="shared" si="297"/>
        <v>50</v>
      </c>
      <c r="G3831" s="12" t="str">
        <f t="shared" si="298"/>
        <v>Warning</v>
      </c>
      <c r="H3831" s="13">
        <f t="shared" si="299"/>
        <v>6</v>
      </c>
      <c r="I3831" s="14">
        <f t="shared" si="295"/>
        <v>1838.2400000000002</v>
      </c>
      <c r="K3831" t="str">
        <f>[1]!revcom(C3831)</f>
        <v>ACCACA</v>
      </c>
      <c r="L3831">
        <v>3</v>
      </c>
    </row>
    <row r="3832" spans="1:12" ht="15.6" x14ac:dyDescent="0.3">
      <c r="A3832" s="9">
        <v>3821</v>
      </c>
      <c r="B3832" s="1"/>
      <c r="C3832" s="2" t="s">
        <v>3827</v>
      </c>
      <c r="D3832" s="1"/>
      <c r="E3832" s="11">
        <f t="shared" si="296"/>
        <v>8</v>
      </c>
      <c r="F3832" s="12">
        <f t="shared" si="297"/>
        <v>33.333333333333329</v>
      </c>
      <c r="G3832" s="12" t="str">
        <f t="shared" si="298"/>
        <v>OK</v>
      </c>
      <c r="H3832" s="13">
        <f t="shared" si="299"/>
        <v>6</v>
      </c>
      <c r="I3832" s="14">
        <f t="shared" si="295"/>
        <v>1822.2400000000002</v>
      </c>
      <c r="K3832" t="str">
        <f>[1]!revcom(C3832)</f>
        <v>TACACA</v>
      </c>
      <c r="L3832">
        <v>4</v>
      </c>
    </row>
    <row r="3833" spans="1:12" ht="15.6" x14ac:dyDescent="0.3">
      <c r="A3833" s="9">
        <v>3822</v>
      </c>
      <c r="B3833" s="1"/>
      <c r="C3833" s="2" t="s">
        <v>3828</v>
      </c>
      <c r="D3833" s="1"/>
      <c r="E3833" s="11">
        <f t="shared" si="296"/>
        <v>6</v>
      </c>
      <c r="F3833" s="12">
        <f t="shared" si="297"/>
        <v>50</v>
      </c>
      <c r="G3833" s="12" t="str">
        <f t="shared" si="298"/>
        <v>Warning</v>
      </c>
      <c r="H3833" s="13">
        <f t="shared" si="299"/>
        <v>6</v>
      </c>
      <c r="I3833" s="14">
        <f t="shared" si="295"/>
        <v>1798.21</v>
      </c>
      <c r="K3833" t="str">
        <f>[1]!revcom(C3833)</f>
        <v>GACACA</v>
      </c>
      <c r="L3833">
        <v>3</v>
      </c>
    </row>
    <row r="3834" spans="1:12" ht="15.6" x14ac:dyDescent="0.3">
      <c r="A3834" s="9">
        <v>3823</v>
      </c>
      <c r="B3834" s="1"/>
      <c r="C3834" s="2" t="s">
        <v>3829</v>
      </c>
      <c r="D3834" s="1"/>
      <c r="E3834" s="11">
        <f t="shared" si="296"/>
        <v>6</v>
      </c>
      <c r="F3834" s="12">
        <f t="shared" si="297"/>
        <v>50</v>
      </c>
      <c r="G3834" s="12" t="str">
        <f t="shared" si="298"/>
        <v>Warning</v>
      </c>
      <c r="H3834" s="13">
        <f t="shared" si="299"/>
        <v>6</v>
      </c>
      <c r="I3834" s="14">
        <f t="shared" si="295"/>
        <v>1838.2400000000002</v>
      </c>
      <c r="K3834" t="str">
        <f>[1]!revcom(C3834)</f>
        <v>CACACA</v>
      </c>
      <c r="L3834">
        <v>3</v>
      </c>
    </row>
    <row r="3835" spans="1:12" ht="15.6" x14ac:dyDescent="0.3">
      <c r="A3835" s="9">
        <v>3824</v>
      </c>
      <c r="B3835" s="1"/>
      <c r="C3835" s="2" t="s">
        <v>3830</v>
      </c>
      <c r="D3835" s="1"/>
      <c r="E3835" s="11">
        <f t="shared" si="296"/>
        <v>0</v>
      </c>
      <c r="F3835" s="12">
        <f t="shared" si="297"/>
        <v>33.333333333333329</v>
      </c>
      <c r="G3835" s="12" t="str">
        <f t="shared" si="298"/>
        <v>OK</v>
      </c>
      <c r="H3835" s="13">
        <f t="shared" si="299"/>
        <v>6</v>
      </c>
      <c r="I3835" s="14">
        <f t="shared" si="295"/>
        <v>1813.2200000000003</v>
      </c>
      <c r="K3835" t="str">
        <f>[1]!revcom(C3835)</f>
        <v>AACACA</v>
      </c>
      <c r="L3835">
        <v>2</v>
      </c>
    </row>
    <row r="3836" spans="1:12" ht="15.6" x14ac:dyDescent="0.3">
      <c r="A3836" s="9">
        <v>3825</v>
      </c>
      <c r="B3836" s="1"/>
      <c r="C3836" s="2" t="s">
        <v>3831</v>
      </c>
      <c r="D3836" s="1"/>
      <c r="E3836" s="11">
        <f t="shared" si="296"/>
        <v>10</v>
      </c>
      <c r="F3836" s="12">
        <f t="shared" si="297"/>
        <v>16.666666666666664</v>
      </c>
      <c r="G3836" s="12" t="str">
        <f t="shared" si="298"/>
        <v>OK</v>
      </c>
      <c r="H3836" s="13">
        <f t="shared" si="299"/>
        <v>6</v>
      </c>
      <c r="I3836" s="14">
        <f t="shared" si="295"/>
        <v>1806.2399999999998</v>
      </c>
      <c r="K3836" t="str">
        <f>[1]!revcom(C3836)</f>
        <v>TTAACA</v>
      </c>
      <c r="L3836">
        <v>4</v>
      </c>
    </row>
    <row r="3837" spans="1:12" ht="15.6" x14ac:dyDescent="0.3">
      <c r="A3837" s="9">
        <v>3826</v>
      </c>
      <c r="B3837" s="1"/>
      <c r="C3837" s="2" t="s">
        <v>3832</v>
      </c>
      <c r="D3837" s="1"/>
      <c r="E3837" s="11">
        <f t="shared" si="296"/>
        <v>8</v>
      </c>
      <c r="F3837" s="12">
        <f t="shared" si="297"/>
        <v>33.333333333333329</v>
      </c>
      <c r="G3837" s="12" t="str">
        <f t="shared" si="298"/>
        <v>OK</v>
      </c>
      <c r="H3837" s="13">
        <f t="shared" si="299"/>
        <v>6</v>
      </c>
      <c r="I3837" s="14">
        <f t="shared" si="295"/>
        <v>1782.21</v>
      </c>
      <c r="K3837" t="str">
        <f>[1]!revcom(C3837)</f>
        <v>GTAACA</v>
      </c>
      <c r="L3837">
        <v>4</v>
      </c>
    </row>
    <row r="3838" spans="1:12" ht="15.6" x14ac:dyDescent="0.3">
      <c r="A3838" s="9">
        <v>3827</v>
      </c>
      <c r="B3838" s="1"/>
      <c r="C3838" s="2" t="s">
        <v>3833</v>
      </c>
      <c r="D3838" s="1"/>
      <c r="E3838" s="11">
        <f t="shared" si="296"/>
        <v>8</v>
      </c>
      <c r="F3838" s="12">
        <f t="shared" si="297"/>
        <v>33.333333333333329</v>
      </c>
      <c r="G3838" s="12" t="str">
        <f t="shared" si="298"/>
        <v>OK</v>
      </c>
      <c r="H3838" s="13">
        <f t="shared" si="299"/>
        <v>6</v>
      </c>
      <c r="I3838" s="14">
        <f t="shared" si="295"/>
        <v>1822.2400000000002</v>
      </c>
      <c r="K3838" t="str">
        <f>[1]!revcom(C3838)</f>
        <v>CTAACA</v>
      </c>
      <c r="L3838">
        <v>4</v>
      </c>
    </row>
    <row r="3839" spans="1:12" ht="15.6" x14ac:dyDescent="0.3">
      <c r="A3839" s="9">
        <v>3828</v>
      </c>
      <c r="B3839" s="1"/>
      <c r="C3839" s="2" t="s">
        <v>3834</v>
      </c>
      <c r="D3839" s="1"/>
      <c r="E3839" s="11">
        <f t="shared" si="296"/>
        <v>2</v>
      </c>
      <c r="F3839" s="12">
        <f t="shared" si="297"/>
        <v>16.666666666666664</v>
      </c>
      <c r="G3839" s="12" t="str">
        <f t="shared" si="298"/>
        <v>OK</v>
      </c>
      <c r="H3839" s="13">
        <f t="shared" si="299"/>
        <v>6</v>
      </c>
      <c r="I3839" s="14">
        <f t="shared" si="295"/>
        <v>1797.2199999999998</v>
      </c>
      <c r="K3839" t="str">
        <f>[1]!revcom(C3839)</f>
        <v>ATAACA</v>
      </c>
      <c r="L3839">
        <v>3</v>
      </c>
    </row>
    <row r="3840" spans="1:12" ht="15.6" x14ac:dyDescent="0.3">
      <c r="A3840" s="9">
        <v>3829</v>
      </c>
      <c r="B3840" s="1"/>
      <c r="C3840" s="2" t="s">
        <v>3835</v>
      </c>
      <c r="D3840" s="1"/>
      <c r="E3840" s="11">
        <f t="shared" si="296"/>
        <v>8</v>
      </c>
      <c r="F3840" s="12">
        <f t="shared" si="297"/>
        <v>33.333333333333329</v>
      </c>
      <c r="G3840" s="12" t="str">
        <f t="shared" si="298"/>
        <v>OK</v>
      </c>
      <c r="H3840" s="13">
        <f t="shared" si="299"/>
        <v>6</v>
      </c>
      <c r="I3840" s="14">
        <f t="shared" si="295"/>
        <v>1782.21</v>
      </c>
      <c r="K3840" t="str">
        <f>[1]!revcom(C3840)</f>
        <v>TGAACA</v>
      </c>
      <c r="L3840">
        <v>4</v>
      </c>
    </row>
    <row r="3841" spans="1:12" ht="15.6" x14ac:dyDescent="0.3">
      <c r="A3841" s="9">
        <v>3830</v>
      </c>
      <c r="B3841" s="1"/>
      <c r="C3841" s="2" t="s">
        <v>3836</v>
      </c>
      <c r="D3841" s="1"/>
      <c r="E3841" s="11">
        <f t="shared" si="296"/>
        <v>6</v>
      </c>
      <c r="F3841" s="12">
        <f t="shared" si="297"/>
        <v>50</v>
      </c>
      <c r="G3841" s="12" t="str">
        <f t="shared" si="298"/>
        <v>Warning</v>
      </c>
      <c r="H3841" s="13">
        <f t="shared" si="299"/>
        <v>6</v>
      </c>
      <c r="I3841" s="14">
        <f t="shared" si="295"/>
        <v>1758.1799999999998</v>
      </c>
      <c r="K3841" t="str">
        <f>[1]!revcom(C3841)</f>
        <v>GGAACA</v>
      </c>
      <c r="L3841">
        <v>3</v>
      </c>
    </row>
    <row r="3842" spans="1:12" ht="15.6" x14ac:dyDescent="0.3">
      <c r="A3842" s="9">
        <v>3831</v>
      </c>
      <c r="B3842" s="1"/>
      <c r="C3842" s="2" t="s">
        <v>3837</v>
      </c>
      <c r="D3842" s="1"/>
      <c r="E3842" s="11">
        <f t="shared" si="296"/>
        <v>6</v>
      </c>
      <c r="F3842" s="12">
        <f t="shared" si="297"/>
        <v>50</v>
      </c>
      <c r="G3842" s="12" t="str">
        <f t="shared" si="298"/>
        <v>Warning</v>
      </c>
      <c r="H3842" s="13">
        <f t="shared" si="299"/>
        <v>6</v>
      </c>
      <c r="I3842" s="14">
        <f t="shared" si="295"/>
        <v>1798.21</v>
      </c>
      <c r="K3842" t="str">
        <f>[1]!revcom(C3842)</f>
        <v>CGAACA</v>
      </c>
      <c r="L3842">
        <v>3</v>
      </c>
    </row>
    <row r="3843" spans="1:12" ht="15.6" x14ac:dyDescent="0.3">
      <c r="A3843" s="9">
        <v>3832</v>
      </c>
      <c r="B3843" s="1"/>
      <c r="C3843" s="2" t="s">
        <v>3838</v>
      </c>
      <c r="D3843" s="1"/>
      <c r="E3843" s="11">
        <f t="shared" si="296"/>
        <v>0</v>
      </c>
      <c r="F3843" s="12">
        <f t="shared" si="297"/>
        <v>33.333333333333329</v>
      </c>
      <c r="G3843" s="12" t="str">
        <f t="shared" si="298"/>
        <v>OK</v>
      </c>
      <c r="H3843" s="13">
        <f t="shared" si="299"/>
        <v>6</v>
      </c>
      <c r="I3843" s="14">
        <f t="shared" si="295"/>
        <v>1773.19</v>
      </c>
      <c r="K3843" t="str">
        <f>[1]!revcom(C3843)</f>
        <v>AGAACA</v>
      </c>
      <c r="L3843">
        <v>2</v>
      </c>
    </row>
    <row r="3844" spans="1:12" ht="15.6" x14ac:dyDescent="0.3">
      <c r="A3844" s="9">
        <v>3833</v>
      </c>
      <c r="B3844" s="1"/>
      <c r="C3844" s="2" t="s">
        <v>3839</v>
      </c>
      <c r="D3844" s="1"/>
      <c r="E3844" s="11">
        <f t="shared" si="296"/>
        <v>8</v>
      </c>
      <c r="F3844" s="12">
        <f t="shared" si="297"/>
        <v>33.333333333333329</v>
      </c>
      <c r="G3844" s="12" t="str">
        <f t="shared" si="298"/>
        <v>OK</v>
      </c>
      <c r="H3844" s="13">
        <f t="shared" si="299"/>
        <v>6</v>
      </c>
      <c r="I3844" s="14">
        <f t="shared" si="295"/>
        <v>1822.2400000000002</v>
      </c>
      <c r="K3844" t="str">
        <f>[1]!revcom(C3844)</f>
        <v>TCAACA</v>
      </c>
      <c r="L3844">
        <v>4</v>
      </c>
    </row>
    <row r="3845" spans="1:12" ht="15.6" x14ac:dyDescent="0.3">
      <c r="A3845" s="9">
        <v>3834</v>
      </c>
      <c r="B3845" s="1"/>
      <c r="C3845" s="2" t="s">
        <v>3840</v>
      </c>
      <c r="D3845" s="1"/>
      <c r="E3845" s="11">
        <f t="shared" si="296"/>
        <v>6</v>
      </c>
      <c r="F3845" s="12">
        <f t="shared" si="297"/>
        <v>50</v>
      </c>
      <c r="G3845" s="12" t="str">
        <f t="shared" si="298"/>
        <v>Warning</v>
      </c>
      <c r="H3845" s="13">
        <f t="shared" si="299"/>
        <v>6</v>
      </c>
      <c r="I3845" s="14">
        <f t="shared" si="295"/>
        <v>1798.21</v>
      </c>
      <c r="K3845" t="str">
        <f>[1]!revcom(C3845)</f>
        <v>GCAACA</v>
      </c>
      <c r="L3845">
        <v>3</v>
      </c>
    </row>
    <row r="3846" spans="1:12" ht="15.6" x14ac:dyDescent="0.3">
      <c r="A3846" s="9">
        <v>3835</v>
      </c>
      <c r="B3846" s="1"/>
      <c r="C3846" s="2" t="s">
        <v>3841</v>
      </c>
      <c r="D3846" s="1"/>
      <c r="E3846" s="11">
        <f t="shared" si="296"/>
        <v>6</v>
      </c>
      <c r="F3846" s="12">
        <f t="shared" si="297"/>
        <v>50</v>
      </c>
      <c r="G3846" s="12" t="str">
        <f t="shared" si="298"/>
        <v>Warning</v>
      </c>
      <c r="H3846" s="13">
        <f t="shared" si="299"/>
        <v>6</v>
      </c>
      <c r="I3846" s="14">
        <f t="shared" si="295"/>
        <v>1838.2400000000002</v>
      </c>
      <c r="K3846" t="str">
        <f>[1]!revcom(C3846)</f>
        <v>CCAACA</v>
      </c>
      <c r="L3846">
        <v>3</v>
      </c>
    </row>
    <row r="3847" spans="1:12" ht="15.6" x14ac:dyDescent="0.3">
      <c r="A3847" s="9">
        <v>3836</v>
      </c>
      <c r="B3847" s="1"/>
      <c r="C3847" s="2" t="s">
        <v>3842</v>
      </c>
      <c r="D3847" s="1"/>
      <c r="E3847" s="11">
        <f t="shared" si="296"/>
        <v>0</v>
      </c>
      <c r="F3847" s="12">
        <f t="shared" si="297"/>
        <v>33.333333333333329</v>
      </c>
      <c r="G3847" s="12" t="str">
        <f t="shared" si="298"/>
        <v>OK</v>
      </c>
      <c r="H3847" s="13">
        <f t="shared" si="299"/>
        <v>6</v>
      </c>
      <c r="I3847" s="14">
        <f t="shared" si="295"/>
        <v>1813.2200000000003</v>
      </c>
      <c r="K3847" t="str">
        <f>[1]!revcom(C3847)</f>
        <v>ACAACA</v>
      </c>
      <c r="L3847">
        <v>2</v>
      </c>
    </row>
    <row r="3848" spans="1:12" ht="15.6" x14ac:dyDescent="0.3">
      <c r="A3848" s="9">
        <v>3837</v>
      </c>
      <c r="B3848" s="1"/>
      <c r="C3848" s="2" t="s">
        <v>3843</v>
      </c>
      <c r="D3848" s="1"/>
      <c r="E3848" s="11">
        <f t="shared" si="296"/>
        <v>2</v>
      </c>
      <c r="F3848" s="12">
        <f t="shared" si="297"/>
        <v>16.666666666666664</v>
      </c>
      <c r="G3848" s="12" t="str">
        <f t="shared" si="298"/>
        <v>OK</v>
      </c>
      <c r="H3848" s="13">
        <f t="shared" si="299"/>
        <v>6</v>
      </c>
      <c r="I3848" s="14">
        <f t="shared" si="295"/>
        <v>1797.2199999999998</v>
      </c>
      <c r="K3848" t="str">
        <f>[1]!revcom(C3848)</f>
        <v>TAAACA</v>
      </c>
      <c r="L3848">
        <v>3</v>
      </c>
    </row>
    <row r="3849" spans="1:12" ht="15.6" x14ac:dyDescent="0.3">
      <c r="A3849" s="9">
        <v>3838</v>
      </c>
      <c r="B3849" s="1"/>
      <c r="C3849" s="2" t="s">
        <v>3844</v>
      </c>
      <c r="D3849" s="1"/>
      <c r="E3849" s="11">
        <f t="shared" si="296"/>
        <v>0</v>
      </c>
      <c r="F3849" s="12">
        <f t="shared" si="297"/>
        <v>33.333333333333329</v>
      </c>
      <c r="G3849" s="12" t="str">
        <f t="shared" si="298"/>
        <v>OK</v>
      </c>
      <c r="H3849" s="13">
        <f t="shared" si="299"/>
        <v>6</v>
      </c>
      <c r="I3849" s="14">
        <f t="shared" si="295"/>
        <v>1773.19</v>
      </c>
      <c r="K3849" t="str">
        <f>[1]!revcom(C3849)</f>
        <v>GAAACA</v>
      </c>
      <c r="L3849">
        <v>2</v>
      </c>
    </row>
    <row r="3850" spans="1:12" ht="15.6" x14ac:dyDescent="0.3">
      <c r="A3850" s="9">
        <v>3839</v>
      </c>
      <c r="B3850" s="1"/>
      <c r="C3850" s="2" t="s">
        <v>3845</v>
      </c>
      <c r="D3850" s="1"/>
      <c r="E3850" s="11">
        <f t="shared" si="296"/>
        <v>0</v>
      </c>
      <c r="F3850" s="12">
        <f t="shared" si="297"/>
        <v>33.333333333333329</v>
      </c>
      <c r="G3850" s="12" t="str">
        <f t="shared" si="298"/>
        <v>OK</v>
      </c>
      <c r="H3850" s="13">
        <f t="shared" si="299"/>
        <v>6</v>
      </c>
      <c r="I3850" s="14">
        <f t="shared" si="295"/>
        <v>1813.2200000000003</v>
      </c>
      <c r="K3850" t="str">
        <f>[1]!revcom(C3850)</f>
        <v>CAAACA</v>
      </c>
      <c r="L3850">
        <v>2</v>
      </c>
    </row>
    <row r="3851" spans="1:12" ht="15.6" x14ac:dyDescent="0.3">
      <c r="A3851" s="9">
        <v>3840</v>
      </c>
      <c r="B3851" s="1"/>
      <c r="C3851" s="2" t="s">
        <v>3846</v>
      </c>
      <c r="D3851" s="1"/>
      <c r="E3851" s="11">
        <f t="shared" si="296"/>
        <v>-6</v>
      </c>
      <c r="F3851" s="12">
        <f t="shared" si="297"/>
        <v>16.666666666666664</v>
      </c>
      <c r="G3851" s="12" t="str">
        <f t="shared" si="298"/>
        <v>OK</v>
      </c>
      <c r="H3851" s="13">
        <f t="shared" si="299"/>
        <v>6</v>
      </c>
      <c r="I3851" s="14">
        <f t="shared" si="295"/>
        <v>1788.1999999999998</v>
      </c>
      <c r="K3851" t="str">
        <f>[1]!revcom(C3851)</f>
        <v>AAAACA</v>
      </c>
      <c r="L3851">
        <v>1</v>
      </c>
    </row>
    <row r="3852" spans="1:12" ht="15.6" x14ac:dyDescent="0.3">
      <c r="A3852" s="9">
        <v>3841</v>
      </c>
      <c r="B3852" s="1"/>
      <c r="C3852" s="2" t="s">
        <v>3847</v>
      </c>
      <c r="D3852" s="1"/>
      <c r="E3852" s="11">
        <f t="shared" si="296"/>
        <v>20</v>
      </c>
      <c r="F3852" s="12">
        <f t="shared" si="297"/>
        <v>0</v>
      </c>
      <c r="G3852" s="12" t="str">
        <f t="shared" si="298"/>
        <v>OK</v>
      </c>
      <c r="H3852" s="13">
        <f t="shared" si="299"/>
        <v>6</v>
      </c>
      <c r="I3852" s="14">
        <f t="shared" si="295"/>
        <v>1799.2599999999998</v>
      </c>
      <c r="K3852" t="str">
        <f>[1]!revcom(C3852)</f>
        <v>TTTTAA</v>
      </c>
      <c r="L3852">
        <v>6</v>
      </c>
    </row>
    <row r="3853" spans="1:12" ht="15.6" x14ac:dyDescent="0.3">
      <c r="A3853" s="9">
        <v>3842</v>
      </c>
      <c r="B3853" s="1"/>
      <c r="C3853" s="2" t="s">
        <v>3848</v>
      </c>
      <c r="D3853" s="1"/>
      <c r="E3853" s="11">
        <f t="shared" si="296"/>
        <v>18</v>
      </c>
      <c r="F3853" s="12">
        <f t="shared" si="297"/>
        <v>16.666666666666664</v>
      </c>
      <c r="G3853" s="12" t="str">
        <f t="shared" si="298"/>
        <v>OK</v>
      </c>
      <c r="H3853" s="13">
        <f t="shared" si="299"/>
        <v>6</v>
      </c>
      <c r="I3853" s="14">
        <f t="shared" ref="I3853:I3916" si="300">((LEN(C3853)-(LEN(SUBSTITUTE(C3853,"A",""))))*249.23)+((LEN(C3853)-(LEN(SUBSTITUTE(C3853,"T",""))))*240.21)+((LEN(C3853)-(LEN(SUBSTITUTE(C3853,"C",""))))*225.2)+((LEN(C3853)-(LEN(SUBSTITUTE(C3853,"G",""))))*265.23)+(63.98*(LEN(C3853)-1)+(2.02))</f>
        <v>1775.23</v>
      </c>
      <c r="K3853" t="str">
        <f>[1]!revcom(C3853)</f>
        <v>GTTTAA</v>
      </c>
      <c r="L3853">
        <v>5</v>
      </c>
    </row>
    <row r="3854" spans="1:12" ht="15.6" x14ac:dyDescent="0.3">
      <c r="A3854" s="9">
        <v>3843</v>
      </c>
      <c r="B3854" s="1"/>
      <c r="C3854" s="2" t="s">
        <v>3849</v>
      </c>
      <c r="D3854" s="1"/>
      <c r="E3854" s="11">
        <f t="shared" ref="E3854:E3917" si="301">IF(LEN(C3854)&gt;15,(69.3+((41*((LEN(C3854)-(((LEN(C3854)-(LEN(SUBSTITUTE(C3854,"A",""))))+((LEN(C3854)-(LEN(SUBSTITUTE(C3854,"T","")))))))))/(LEN(C3854)))-(650/(LEN(C3854))))),(2*((LEN(C3854)-(((LEN(C3854)-(LEN(SUBSTITUTE(C3854,"C",""))))+((LEN(C3854)-(LEN(SUBSTITUTE(C3854,"G",""))))))))))+(4*((LEN(C3854)-(((LEN(C3854)-(LEN(SUBSTITUTE(C3854,"T",""))))+((LEN(C3854)-(LEN(SUBSTITUTE(C3854,"T","")))))))))))</f>
        <v>18</v>
      </c>
      <c r="F3854" s="12">
        <f t="shared" ref="F3854:F3917" si="302">((LEN(C3854)- LEN(SUBSTITUTE(C3854,"G","")))+(LEN(C3854)- LEN(SUBSTITUTE(C3854,"C",""))) )/LEN(C3854)*100</f>
        <v>16.666666666666664</v>
      </c>
      <c r="G3854" s="12" t="str">
        <f t="shared" ref="G3854:G3917" si="303">IF((-5+((LEN(SUBSTITUTE(RIGHT(C3854,5),"C","")))+((LEN(SUBSTITUTE(RIGHT(C3854,5),"G",""))))))&gt;=3,"OK","Warning")</f>
        <v>OK</v>
      </c>
      <c r="H3854" s="13">
        <f t="shared" ref="H3854:H3917" si="304">LEN(C3854)</f>
        <v>6</v>
      </c>
      <c r="I3854" s="14">
        <f t="shared" si="300"/>
        <v>1815.2599999999998</v>
      </c>
      <c r="K3854" t="str">
        <f>[1]!revcom(C3854)</f>
        <v>CTTTAA</v>
      </c>
      <c r="L3854">
        <v>5</v>
      </c>
    </row>
    <row r="3855" spans="1:12" ht="15.6" x14ac:dyDescent="0.3">
      <c r="A3855" s="9">
        <v>3844</v>
      </c>
      <c r="B3855" s="1"/>
      <c r="C3855" s="2" t="s">
        <v>3850</v>
      </c>
      <c r="D3855" s="1"/>
      <c r="E3855" s="11">
        <f t="shared" si="301"/>
        <v>12</v>
      </c>
      <c r="F3855" s="12">
        <f t="shared" si="302"/>
        <v>0</v>
      </c>
      <c r="G3855" s="12" t="str">
        <f t="shared" si="303"/>
        <v>OK</v>
      </c>
      <c r="H3855" s="13">
        <f t="shared" si="304"/>
        <v>6</v>
      </c>
      <c r="I3855" s="14">
        <f t="shared" si="300"/>
        <v>1790.2399999999998</v>
      </c>
      <c r="K3855" t="str">
        <f>[1]!revcom(C3855)</f>
        <v>ATTTAA</v>
      </c>
      <c r="L3855">
        <v>4</v>
      </c>
    </row>
    <row r="3856" spans="1:12" ht="15.6" x14ac:dyDescent="0.3">
      <c r="A3856" s="9">
        <v>3845</v>
      </c>
      <c r="B3856" s="1"/>
      <c r="C3856" s="2" t="s">
        <v>3851</v>
      </c>
      <c r="D3856" s="1"/>
      <c r="E3856" s="11">
        <f t="shared" si="301"/>
        <v>18</v>
      </c>
      <c r="F3856" s="12">
        <f t="shared" si="302"/>
        <v>16.666666666666664</v>
      </c>
      <c r="G3856" s="12" t="str">
        <f t="shared" si="303"/>
        <v>OK</v>
      </c>
      <c r="H3856" s="13">
        <f t="shared" si="304"/>
        <v>6</v>
      </c>
      <c r="I3856" s="14">
        <f t="shared" si="300"/>
        <v>1775.23</v>
      </c>
      <c r="K3856" t="str">
        <f>[1]!revcom(C3856)</f>
        <v>TGTTAA</v>
      </c>
      <c r="L3856">
        <v>5</v>
      </c>
    </row>
    <row r="3857" spans="1:12" ht="15.6" x14ac:dyDescent="0.3">
      <c r="A3857" s="9">
        <v>3846</v>
      </c>
      <c r="B3857" s="1"/>
      <c r="C3857" s="2" t="s">
        <v>3852</v>
      </c>
      <c r="D3857" s="1"/>
      <c r="E3857" s="11">
        <f t="shared" si="301"/>
        <v>16</v>
      </c>
      <c r="F3857" s="12">
        <f t="shared" si="302"/>
        <v>33.333333333333329</v>
      </c>
      <c r="G3857" s="12" t="str">
        <f t="shared" si="303"/>
        <v>OK</v>
      </c>
      <c r="H3857" s="13">
        <f t="shared" si="304"/>
        <v>6</v>
      </c>
      <c r="I3857" s="14">
        <f t="shared" si="300"/>
        <v>1751.1999999999998</v>
      </c>
      <c r="K3857" t="str">
        <f>[1]!revcom(C3857)</f>
        <v>GGTTAA</v>
      </c>
      <c r="L3857">
        <v>5</v>
      </c>
    </row>
    <row r="3858" spans="1:12" ht="15.6" x14ac:dyDescent="0.3">
      <c r="A3858" s="9">
        <v>3847</v>
      </c>
      <c r="B3858" s="1"/>
      <c r="C3858" s="2" t="s">
        <v>3853</v>
      </c>
      <c r="D3858" s="1"/>
      <c r="E3858" s="11">
        <f t="shared" si="301"/>
        <v>16</v>
      </c>
      <c r="F3858" s="12">
        <f t="shared" si="302"/>
        <v>33.333333333333329</v>
      </c>
      <c r="G3858" s="12" t="str">
        <f t="shared" si="303"/>
        <v>OK</v>
      </c>
      <c r="H3858" s="13">
        <f t="shared" si="304"/>
        <v>6</v>
      </c>
      <c r="I3858" s="14">
        <f t="shared" si="300"/>
        <v>1791.23</v>
      </c>
      <c r="K3858" t="str">
        <f>[1]!revcom(C3858)</f>
        <v>CGTTAA</v>
      </c>
      <c r="L3858">
        <v>5</v>
      </c>
    </row>
    <row r="3859" spans="1:12" ht="15.6" x14ac:dyDescent="0.3">
      <c r="A3859" s="9">
        <v>3848</v>
      </c>
      <c r="B3859" s="1"/>
      <c r="C3859" s="2" t="s">
        <v>3854</v>
      </c>
      <c r="D3859" s="1"/>
      <c r="E3859" s="11">
        <f t="shared" si="301"/>
        <v>10</v>
      </c>
      <c r="F3859" s="12">
        <f t="shared" si="302"/>
        <v>16.666666666666664</v>
      </c>
      <c r="G3859" s="12" t="str">
        <f t="shared" si="303"/>
        <v>OK</v>
      </c>
      <c r="H3859" s="13">
        <f t="shared" si="304"/>
        <v>6</v>
      </c>
      <c r="I3859" s="14">
        <f t="shared" si="300"/>
        <v>1766.21</v>
      </c>
      <c r="K3859" t="str">
        <f>[1]!revcom(C3859)</f>
        <v>AGTTAA</v>
      </c>
      <c r="L3859">
        <v>4</v>
      </c>
    </row>
    <row r="3860" spans="1:12" ht="15.6" x14ac:dyDescent="0.3">
      <c r="A3860" s="9">
        <v>3849</v>
      </c>
      <c r="B3860" s="1"/>
      <c r="C3860" s="2" t="s">
        <v>3855</v>
      </c>
      <c r="D3860" s="1"/>
      <c r="E3860" s="11">
        <f t="shared" si="301"/>
        <v>18</v>
      </c>
      <c r="F3860" s="12">
        <f t="shared" si="302"/>
        <v>16.666666666666664</v>
      </c>
      <c r="G3860" s="12" t="str">
        <f t="shared" si="303"/>
        <v>OK</v>
      </c>
      <c r="H3860" s="13">
        <f t="shared" si="304"/>
        <v>6</v>
      </c>
      <c r="I3860" s="14">
        <f t="shared" si="300"/>
        <v>1815.2599999999998</v>
      </c>
      <c r="K3860" t="str">
        <f>[1]!revcom(C3860)</f>
        <v>TCTTAA</v>
      </c>
      <c r="L3860">
        <v>5</v>
      </c>
    </row>
    <row r="3861" spans="1:12" ht="15.6" x14ac:dyDescent="0.3">
      <c r="A3861" s="9">
        <v>3850</v>
      </c>
      <c r="B3861" s="1"/>
      <c r="C3861" s="2" t="s">
        <v>3856</v>
      </c>
      <c r="D3861" s="1"/>
      <c r="E3861" s="11">
        <f t="shared" si="301"/>
        <v>16</v>
      </c>
      <c r="F3861" s="12">
        <f t="shared" si="302"/>
        <v>33.333333333333329</v>
      </c>
      <c r="G3861" s="12" t="str">
        <f t="shared" si="303"/>
        <v>OK</v>
      </c>
      <c r="H3861" s="13">
        <f t="shared" si="304"/>
        <v>6</v>
      </c>
      <c r="I3861" s="14">
        <f t="shared" si="300"/>
        <v>1791.23</v>
      </c>
      <c r="K3861" t="str">
        <f>[1]!revcom(C3861)</f>
        <v>GCTTAA</v>
      </c>
      <c r="L3861">
        <v>5</v>
      </c>
    </row>
    <row r="3862" spans="1:12" ht="15.6" x14ac:dyDescent="0.3">
      <c r="A3862" s="9">
        <v>3851</v>
      </c>
      <c r="B3862" s="1"/>
      <c r="C3862" s="2" t="s">
        <v>3857</v>
      </c>
      <c r="D3862" s="1"/>
      <c r="E3862" s="11">
        <f t="shared" si="301"/>
        <v>16</v>
      </c>
      <c r="F3862" s="12">
        <f t="shared" si="302"/>
        <v>33.333333333333329</v>
      </c>
      <c r="G3862" s="12" t="str">
        <f t="shared" si="303"/>
        <v>OK</v>
      </c>
      <c r="H3862" s="13">
        <f t="shared" si="304"/>
        <v>6</v>
      </c>
      <c r="I3862" s="14">
        <f t="shared" si="300"/>
        <v>1831.2600000000002</v>
      </c>
      <c r="K3862" t="str">
        <f>[1]!revcom(C3862)</f>
        <v>CCTTAA</v>
      </c>
      <c r="L3862">
        <v>5</v>
      </c>
    </row>
    <row r="3863" spans="1:12" ht="15.6" x14ac:dyDescent="0.3">
      <c r="A3863" s="9">
        <v>3852</v>
      </c>
      <c r="B3863" s="1"/>
      <c r="C3863" s="2" t="s">
        <v>3858</v>
      </c>
      <c r="D3863" s="1"/>
      <c r="E3863" s="11">
        <f t="shared" si="301"/>
        <v>10</v>
      </c>
      <c r="F3863" s="12">
        <f t="shared" si="302"/>
        <v>16.666666666666664</v>
      </c>
      <c r="G3863" s="12" t="str">
        <f t="shared" si="303"/>
        <v>OK</v>
      </c>
      <c r="H3863" s="13">
        <f t="shared" si="304"/>
        <v>6</v>
      </c>
      <c r="I3863" s="14">
        <f t="shared" si="300"/>
        <v>1806.2399999999998</v>
      </c>
      <c r="K3863" t="str">
        <f>[1]!revcom(C3863)</f>
        <v>ACTTAA</v>
      </c>
      <c r="L3863">
        <v>4</v>
      </c>
    </row>
    <row r="3864" spans="1:12" ht="15.6" x14ac:dyDescent="0.3">
      <c r="A3864" s="9">
        <v>3853</v>
      </c>
      <c r="B3864" s="1"/>
      <c r="C3864" s="2" t="s">
        <v>3859</v>
      </c>
      <c r="D3864" s="1"/>
      <c r="E3864" s="11">
        <f t="shared" si="301"/>
        <v>12</v>
      </c>
      <c r="F3864" s="12">
        <f t="shared" si="302"/>
        <v>0</v>
      </c>
      <c r="G3864" s="12" t="str">
        <f t="shared" si="303"/>
        <v>OK</v>
      </c>
      <c r="H3864" s="13">
        <f t="shared" si="304"/>
        <v>6</v>
      </c>
      <c r="I3864" s="14">
        <f t="shared" si="300"/>
        <v>1790.2399999999998</v>
      </c>
      <c r="K3864" t="str">
        <f>[1]!revcom(C3864)</f>
        <v>TATTAA</v>
      </c>
      <c r="L3864">
        <v>4</v>
      </c>
    </row>
    <row r="3865" spans="1:12" ht="15.6" x14ac:dyDescent="0.3">
      <c r="A3865" s="9">
        <v>3854</v>
      </c>
      <c r="B3865" s="1"/>
      <c r="C3865" s="2" t="s">
        <v>3860</v>
      </c>
      <c r="D3865" s="1"/>
      <c r="E3865" s="11">
        <f t="shared" si="301"/>
        <v>10</v>
      </c>
      <c r="F3865" s="12">
        <f t="shared" si="302"/>
        <v>16.666666666666664</v>
      </c>
      <c r="G3865" s="12" t="str">
        <f t="shared" si="303"/>
        <v>OK</v>
      </c>
      <c r="H3865" s="13">
        <f t="shared" si="304"/>
        <v>6</v>
      </c>
      <c r="I3865" s="14">
        <f t="shared" si="300"/>
        <v>1766.21</v>
      </c>
      <c r="K3865" t="str">
        <f>[1]!revcom(C3865)</f>
        <v>GATTAA</v>
      </c>
      <c r="L3865">
        <v>4</v>
      </c>
    </row>
    <row r="3866" spans="1:12" ht="15.6" x14ac:dyDescent="0.3">
      <c r="A3866" s="9">
        <v>3855</v>
      </c>
      <c r="B3866" s="1"/>
      <c r="C3866" s="2" t="s">
        <v>3861</v>
      </c>
      <c r="D3866" s="1"/>
      <c r="E3866" s="11">
        <f t="shared" si="301"/>
        <v>10</v>
      </c>
      <c r="F3866" s="12">
        <f t="shared" si="302"/>
        <v>16.666666666666664</v>
      </c>
      <c r="G3866" s="12" t="str">
        <f t="shared" si="303"/>
        <v>OK</v>
      </c>
      <c r="H3866" s="13">
        <f t="shared" si="304"/>
        <v>6</v>
      </c>
      <c r="I3866" s="14">
        <f t="shared" si="300"/>
        <v>1806.2399999999998</v>
      </c>
      <c r="K3866" t="str">
        <f>[1]!revcom(C3866)</f>
        <v>CATTAA</v>
      </c>
      <c r="L3866">
        <v>4</v>
      </c>
    </row>
    <row r="3867" spans="1:12" ht="15.6" x14ac:dyDescent="0.3">
      <c r="A3867" s="9">
        <v>3856</v>
      </c>
      <c r="B3867" s="1"/>
      <c r="C3867" s="2" t="s">
        <v>3862</v>
      </c>
      <c r="D3867" s="1"/>
      <c r="E3867" s="11">
        <f t="shared" si="301"/>
        <v>4</v>
      </c>
      <c r="F3867" s="12">
        <f t="shared" si="302"/>
        <v>0</v>
      </c>
      <c r="G3867" s="12" t="str">
        <f t="shared" si="303"/>
        <v>OK</v>
      </c>
      <c r="H3867" s="13">
        <f t="shared" si="304"/>
        <v>6</v>
      </c>
      <c r="I3867" s="14">
        <f t="shared" si="300"/>
        <v>1781.2199999999998</v>
      </c>
      <c r="K3867" t="str">
        <f>[1]!revcom(C3867)</f>
        <v>AATTAA</v>
      </c>
      <c r="L3867">
        <v>3</v>
      </c>
    </row>
    <row r="3868" spans="1:12" ht="15.6" x14ac:dyDescent="0.3">
      <c r="A3868" s="9">
        <v>3857</v>
      </c>
      <c r="B3868" s="1"/>
      <c r="C3868" s="2" t="s">
        <v>3863</v>
      </c>
      <c r="D3868" s="1"/>
      <c r="E3868" s="11">
        <f t="shared" si="301"/>
        <v>18</v>
      </c>
      <c r="F3868" s="12">
        <f t="shared" si="302"/>
        <v>16.666666666666664</v>
      </c>
      <c r="G3868" s="12" t="str">
        <f t="shared" si="303"/>
        <v>OK</v>
      </c>
      <c r="H3868" s="13">
        <f t="shared" si="304"/>
        <v>6</v>
      </c>
      <c r="I3868" s="14">
        <f t="shared" si="300"/>
        <v>1775.23</v>
      </c>
      <c r="K3868" t="str">
        <f>[1]!revcom(C3868)</f>
        <v>TTGTAA</v>
      </c>
      <c r="L3868">
        <v>5</v>
      </c>
    </row>
    <row r="3869" spans="1:12" ht="15.6" x14ac:dyDescent="0.3">
      <c r="A3869" s="9">
        <v>3858</v>
      </c>
      <c r="B3869" s="1"/>
      <c r="C3869" s="2" t="s">
        <v>3864</v>
      </c>
      <c r="D3869" s="1"/>
      <c r="E3869" s="11">
        <f t="shared" si="301"/>
        <v>16</v>
      </c>
      <c r="F3869" s="12">
        <f t="shared" si="302"/>
        <v>33.333333333333329</v>
      </c>
      <c r="G3869" s="12" t="str">
        <f t="shared" si="303"/>
        <v>OK</v>
      </c>
      <c r="H3869" s="13">
        <f t="shared" si="304"/>
        <v>6</v>
      </c>
      <c r="I3869" s="14">
        <f t="shared" si="300"/>
        <v>1751.1999999999998</v>
      </c>
      <c r="K3869" t="str">
        <f>[1]!revcom(C3869)</f>
        <v>GTGTAA</v>
      </c>
      <c r="L3869">
        <v>5</v>
      </c>
    </row>
    <row r="3870" spans="1:12" ht="15.6" x14ac:dyDescent="0.3">
      <c r="A3870" s="9">
        <v>3859</v>
      </c>
      <c r="B3870" s="1"/>
      <c r="C3870" s="2" t="s">
        <v>3865</v>
      </c>
      <c r="D3870" s="1"/>
      <c r="E3870" s="11">
        <f t="shared" si="301"/>
        <v>16</v>
      </c>
      <c r="F3870" s="12">
        <f t="shared" si="302"/>
        <v>33.333333333333329</v>
      </c>
      <c r="G3870" s="12" t="str">
        <f t="shared" si="303"/>
        <v>OK</v>
      </c>
      <c r="H3870" s="13">
        <f t="shared" si="304"/>
        <v>6</v>
      </c>
      <c r="I3870" s="14">
        <f t="shared" si="300"/>
        <v>1791.23</v>
      </c>
      <c r="K3870" t="str">
        <f>[1]!revcom(C3870)</f>
        <v>CTGTAA</v>
      </c>
      <c r="L3870">
        <v>5</v>
      </c>
    </row>
    <row r="3871" spans="1:12" ht="15.6" x14ac:dyDescent="0.3">
      <c r="A3871" s="9">
        <v>3860</v>
      </c>
      <c r="B3871" s="1"/>
      <c r="C3871" s="2" t="s">
        <v>3866</v>
      </c>
      <c r="D3871" s="1"/>
      <c r="E3871" s="11">
        <f t="shared" si="301"/>
        <v>10</v>
      </c>
      <c r="F3871" s="12">
        <f t="shared" si="302"/>
        <v>16.666666666666664</v>
      </c>
      <c r="G3871" s="12" t="str">
        <f t="shared" si="303"/>
        <v>OK</v>
      </c>
      <c r="H3871" s="13">
        <f t="shared" si="304"/>
        <v>6</v>
      </c>
      <c r="I3871" s="14">
        <f t="shared" si="300"/>
        <v>1766.21</v>
      </c>
      <c r="K3871" t="str">
        <f>[1]!revcom(C3871)</f>
        <v>ATGTAA</v>
      </c>
      <c r="L3871">
        <v>4</v>
      </c>
    </row>
    <row r="3872" spans="1:12" ht="15.6" x14ac:dyDescent="0.3">
      <c r="A3872" s="9">
        <v>3861</v>
      </c>
      <c r="B3872" s="1"/>
      <c r="C3872" s="2" t="s">
        <v>3867</v>
      </c>
      <c r="D3872" s="1"/>
      <c r="E3872" s="11">
        <f t="shared" si="301"/>
        <v>16</v>
      </c>
      <c r="F3872" s="12">
        <f t="shared" si="302"/>
        <v>33.333333333333329</v>
      </c>
      <c r="G3872" s="12" t="str">
        <f t="shared" si="303"/>
        <v>OK</v>
      </c>
      <c r="H3872" s="13">
        <f t="shared" si="304"/>
        <v>6</v>
      </c>
      <c r="I3872" s="14">
        <f t="shared" si="300"/>
        <v>1751.1999999999998</v>
      </c>
      <c r="K3872" t="str">
        <f>[1]!revcom(C3872)</f>
        <v>TGGTAA</v>
      </c>
      <c r="L3872">
        <v>5</v>
      </c>
    </row>
    <row r="3873" spans="1:12" ht="15.6" x14ac:dyDescent="0.3">
      <c r="A3873" s="9">
        <v>3862</v>
      </c>
      <c r="B3873" s="1"/>
      <c r="C3873" s="2" t="s">
        <v>3868</v>
      </c>
      <c r="D3873" s="1"/>
      <c r="E3873" s="11">
        <f t="shared" si="301"/>
        <v>14</v>
      </c>
      <c r="F3873" s="12">
        <f t="shared" si="302"/>
        <v>50</v>
      </c>
      <c r="G3873" s="12" t="str">
        <f t="shared" si="303"/>
        <v>Warning</v>
      </c>
      <c r="H3873" s="13">
        <f t="shared" si="304"/>
        <v>6</v>
      </c>
      <c r="I3873" s="14">
        <f t="shared" si="300"/>
        <v>1727.17</v>
      </c>
      <c r="K3873" t="str">
        <f>[1]!revcom(C3873)</f>
        <v>GGGTAA</v>
      </c>
      <c r="L3873">
        <v>5</v>
      </c>
    </row>
    <row r="3874" spans="1:12" ht="15.6" x14ac:dyDescent="0.3">
      <c r="A3874" s="9">
        <v>3863</v>
      </c>
      <c r="B3874" s="1"/>
      <c r="C3874" s="2" t="s">
        <v>3869</v>
      </c>
      <c r="D3874" s="1"/>
      <c r="E3874" s="11">
        <f t="shared" si="301"/>
        <v>14</v>
      </c>
      <c r="F3874" s="12">
        <f t="shared" si="302"/>
        <v>50</v>
      </c>
      <c r="G3874" s="12" t="str">
        <f t="shared" si="303"/>
        <v>Warning</v>
      </c>
      <c r="H3874" s="13">
        <f t="shared" si="304"/>
        <v>6</v>
      </c>
      <c r="I3874" s="14">
        <f t="shared" si="300"/>
        <v>1767.1999999999998</v>
      </c>
      <c r="K3874" t="str">
        <f>[1]!revcom(C3874)</f>
        <v>CGGTAA</v>
      </c>
      <c r="L3874">
        <v>5</v>
      </c>
    </row>
    <row r="3875" spans="1:12" ht="15.6" x14ac:dyDescent="0.3">
      <c r="A3875" s="9">
        <v>3864</v>
      </c>
      <c r="B3875" s="1"/>
      <c r="C3875" s="2" t="s">
        <v>3870</v>
      </c>
      <c r="D3875" s="1"/>
      <c r="E3875" s="11">
        <f t="shared" si="301"/>
        <v>8</v>
      </c>
      <c r="F3875" s="12">
        <f t="shared" si="302"/>
        <v>33.333333333333329</v>
      </c>
      <c r="G3875" s="12" t="str">
        <f t="shared" si="303"/>
        <v>OK</v>
      </c>
      <c r="H3875" s="13">
        <f t="shared" si="304"/>
        <v>6</v>
      </c>
      <c r="I3875" s="14">
        <f t="shared" si="300"/>
        <v>1742.1799999999998</v>
      </c>
      <c r="K3875" t="str">
        <f>[1]!revcom(C3875)</f>
        <v>AGGTAA</v>
      </c>
      <c r="L3875">
        <v>4</v>
      </c>
    </row>
    <row r="3876" spans="1:12" ht="15.6" x14ac:dyDescent="0.3">
      <c r="A3876" s="9">
        <v>3865</v>
      </c>
      <c r="B3876" s="1"/>
      <c r="C3876" s="2" t="s">
        <v>3871</v>
      </c>
      <c r="D3876" s="1"/>
      <c r="E3876" s="11">
        <f t="shared" si="301"/>
        <v>16</v>
      </c>
      <c r="F3876" s="12">
        <f t="shared" si="302"/>
        <v>33.333333333333329</v>
      </c>
      <c r="G3876" s="12" t="str">
        <f t="shared" si="303"/>
        <v>OK</v>
      </c>
      <c r="H3876" s="13">
        <f t="shared" si="304"/>
        <v>6</v>
      </c>
      <c r="I3876" s="14">
        <f t="shared" si="300"/>
        <v>1791.23</v>
      </c>
      <c r="K3876" t="str">
        <f>[1]!revcom(C3876)</f>
        <v>TCGTAA</v>
      </c>
      <c r="L3876">
        <v>5</v>
      </c>
    </row>
    <row r="3877" spans="1:12" ht="15.6" x14ac:dyDescent="0.3">
      <c r="A3877" s="9">
        <v>3866</v>
      </c>
      <c r="B3877" s="1"/>
      <c r="C3877" s="2" t="s">
        <v>3872</v>
      </c>
      <c r="D3877" s="1"/>
      <c r="E3877" s="11">
        <f t="shared" si="301"/>
        <v>14</v>
      </c>
      <c r="F3877" s="12">
        <f t="shared" si="302"/>
        <v>50</v>
      </c>
      <c r="G3877" s="12" t="str">
        <f t="shared" si="303"/>
        <v>Warning</v>
      </c>
      <c r="H3877" s="13">
        <f t="shared" si="304"/>
        <v>6</v>
      </c>
      <c r="I3877" s="14">
        <f t="shared" si="300"/>
        <v>1767.1999999999998</v>
      </c>
      <c r="K3877" t="str">
        <f>[1]!revcom(C3877)</f>
        <v>GCGTAA</v>
      </c>
      <c r="L3877">
        <v>5</v>
      </c>
    </row>
    <row r="3878" spans="1:12" ht="15.6" x14ac:dyDescent="0.3">
      <c r="A3878" s="9">
        <v>3867</v>
      </c>
      <c r="B3878" s="1"/>
      <c r="C3878" s="2" t="s">
        <v>3873</v>
      </c>
      <c r="D3878" s="1"/>
      <c r="E3878" s="11">
        <f t="shared" si="301"/>
        <v>14</v>
      </c>
      <c r="F3878" s="12">
        <f t="shared" si="302"/>
        <v>50</v>
      </c>
      <c r="G3878" s="12" t="str">
        <f t="shared" si="303"/>
        <v>Warning</v>
      </c>
      <c r="H3878" s="13">
        <f t="shared" si="304"/>
        <v>6</v>
      </c>
      <c r="I3878" s="14">
        <f t="shared" si="300"/>
        <v>1807.23</v>
      </c>
      <c r="K3878" t="str">
        <f>[1]!revcom(C3878)</f>
        <v>CCGTAA</v>
      </c>
      <c r="L3878">
        <v>5</v>
      </c>
    </row>
    <row r="3879" spans="1:12" ht="15.6" x14ac:dyDescent="0.3">
      <c r="A3879" s="9">
        <v>3868</v>
      </c>
      <c r="B3879" s="1"/>
      <c r="C3879" s="2" t="s">
        <v>3874</v>
      </c>
      <c r="D3879" s="1"/>
      <c r="E3879" s="11">
        <f t="shared" si="301"/>
        <v>8</v>
      </c>
      <c r="F3879" s="12">
        <f t="shared" si="302"/>
        <v>33.333333333333329</v>
      </c>
      <c r="G3879" s="12" t="str">
        <f t="shared" si="303"/>
        <v>OK</v>
      </c>
      <c r="H3879" s="13">
        <f t="shared" si="304"/>
        <v>6</v>
      </c>
      <c r="I3879" s="14">
        <f t="shared" si="300"/>
        <v>1782.21</v>
      </c>
      <c r="K3879" t="str">
        <f>[1]!revcom(C3879)</f>
        <v>ACGTAA</v>
      </c>
      <c r="L3879">
        <v>4</v>
      </c>
    </row>
    <row r="3880" spans="1:12" ht="15.6" x14ac:dyDescent="0.3">
      <c r="A3880" s="9">
        <v>3869</v>
      </c>
      <c r="B3880" s="1"/>
      <c r="C3880" s="2" t="s">
        <v>3875</v>
      </c>
      <c r="D3880" s="1"/>
      <c r="E3880" s="11">
        <f t="shared" si="301"/>
        <v>10</v>
      </c>
      <c r="F3880" s="12">
        <f t="shared" si="302"/>
        <v>16.666666666666664</v>
      </c>
      <c r="G3880" s="12" t="str">
        <f t="shared" si="303"/>
        <v>OK</v>
      </c>
      <c r="H3880" s="13">
        <f t="shared" si="304"/>
        <v>6</v>
      </c>
      <c r="I3880" s="14">
        <f t="shared" si="300"/>
        <v>1766.21</v>
      </c>
      <c r="K3880" t="str">
        <f>[1]!revcom(C3880)</f>
        <v>TAGTAA</v>
      </c>
      <c r="L3880">
        <v>4</v>
      </c>
    </row>
    <row r="3881" spans="1:12" ht="15.6" x14ac:dyDescent="0.3">
      <c r="A3881" s="9">
        <v>3870</v>
      </c>
      <c r="B3881" s="1"/>
      <c r="C3881" s="2" t="s">
        <v>3876</v>
      </c>
      <c r="D3881" s="1"/>
      <c r="E3881" s="11">
        <f t="shared" si="301"/>
        <v>8</v>
      </c>
      <c r="F3881" s="12">
        <f t="shared" si="302"/>
        <v>33.333333333333329</v>
      </c>
      <c r="G3881" s="12" t="str">
        <f t="shared" si="303"/>
        <v>OK</v>
      </c>
      <c r="H3881" s="13">
        <f t="shared" si="304"/>
        <v>6</v>
      </c>
      <c r="I3881" s="14">
        <f t="shared" si="300"/>
        <v>1742.1799999999998</v>
      </c>
      <c r="K3881" t="str">
        <f>[1]!revcom(C3881)</f>
        <v>GAGTAA</v>
      </c>
      <c r="L3881">
        <v>4</v>
      </c>
    </row>
    <row r="3882" spans="1:12" ht="15.6" x14ac:dyDescent="0.3">
      <c r="A3882" s="9">
        <v>3871</v>
      </c>
      <c r="B3882" s="1"/>
      <c r="C3882" s="2" t="s">
        <v>3877</v>
      </c>
      <c r="D3882" s="1"/>
      <c r="E3882" s="11">
        <f t="shared" si="301"/>
        <v>8</v>
      </c>
      <c r="F3882" s="12">
        <f t="shared" si="302"/>
        <v>33.333333333333329</v>
      </c>
      <c r="G3882" s="12" t="str">
        <f t="shared" si="303"/>
        <v>OK</v>
      </c>
      <c r="H3882" s="13">
        <f t="shared" si="304"/>
        <v>6</v>
      </c>
      <c r="I3882" s="14">
        <f t="shared" si="300"/>
        <v>1782.21</v>
      </c>
      <c r="K3882" t="str">
        <f>[1]!revcom(C3882)</f>
        <v>CAGTAA</v>
      </c>
      <c r="L3882">
        <v>4</v>
      </c>
    </row>
    <row r="3883" spans="1:12" ht="15.6" x14ac:dyDescent="0.3">
      <c r="A3883" s="9">
        <v>3872</v>
      </c>
      <c r="B3883" s="1"/>
      <c r="C3883" s="2" t="s">
        <v>3878</v>
      </c>
      <c r="D3883" s="1"/>
      <c r="E3883" s="11">
        <f t="shared" si="301"/>
        <v>2</v>
      </c>
      <c r="F3883" s="12">
        <f t="shared" si="302"/>
        <v>16.666666666666664</v>
      </c>
      <c r="G3883" s="12" t="str">
        <f t="shared" si="303"/>
        <v>OK</v>
      </c>
      <c r="H3883" s="13">
        <f t="shared" si="304"/>
        <v>6</v>
      </c>
      <c r="I3883" s="14">
        <f t="shared" si="300"/>
        <v>1757.19</v>
      </c>
      <c r="K3883" t="str">
        <f>[1]!revcom(C3883)</f>
        <v>AAGTAA</v>
      </c>
      <c r="L3883">
        <v>3</v>
      </c>
    </row>
    <row r="3884" spans="1:12" ht="15.6" x14ac:dyDescent="0.3">
      <c r="A3884" s="9">
        <v>3873</v>
      </c>
      <c r="B3884" s="1"/>
      <c r="C3884" s="2" t="s">
        <v>3879</v>
      </c>
      <c r="D3884" s="1"/>
      <c r="E3884" s="11">
        <f t="shared" si="301"/>
        <v>18</v>
      </c>
      <c r="F3884" s="12">
        <f t="shared" si="302"/>
        <v>16.666666666666664</v>
      </c>
      <c r="G3884" s="12" t="str">
        <f t="shared" si="303"/>
        <v>OK</v>
      </c>
      <c r="H3884" s="13">
        <f t="shared" si="304"/>
        <v>6</v>
      </c>
      <c r="I3884" s="14">
        <f t="shared" si="300"/>
        <v>1815.2599999999998</v>
      </c>
      <c r="K3884" t="str">
        <f>[1]!revcom(C3884)</f>
        <v>TTCTAA</v>
      </c>
      <c r="L3884">
        <v>5</v>
      </c>
    </row>
    <row r="3885" spans="1:12" ht="15.6" x14ac:dyDescent="0.3">
      <c r="A3885" s="9">
        <v>3874</v>
      </c>
      <c r="B3885" s="1"/>
      <c r="C3885" s="2" t="s">
        <v>3880</v>
      </c>
      <c r="D3885" s="1"/>
      <c r="E3885" s="11">
        <f t="shared" si="301"/>
        <v>16</v>
      </c>
      <c r="F3885" s="12">
        <f t="shared" si="302"/>
        <v>33.333333333333329</v>
      </c>
      <c r="G3885" s="12" t="str">
        <f t="shared" si="303"/>
        <v>OK</v>
      </c>
      <c r="H3885" s="13">
        <f t="shared" si="304"/>
        <v>6</v>
      </c>
      <c r="I3885" s="14">
        <f t="shared" si="300"/>
        <v>1791.23</v>
      </c>
      <c r="K3885" t="str">
        <f>[1]!revcom(C3885)</f>
        <v>GTCTAA</v>
      </c>
      <c r="L3885">
        <v>5</v>
      </c>
    </row>
    <row r="3886" spans="1:12" ht="15.6" x14ac:dyDescent="0.3">
      <c r="A3886" s="9">
        <v>3875</v>
      </c>
      <c r="B3886" s="1"/>
      <c r="C3886" s="2" t="s">
        <v>3881</v>
      </c>
      <c r="D3886" s="1"/>
      <c r="E3886" s="11">
        <f t="shared" si="301"/>
        <v>16</v>
      </c>
      <c r="F3886" s="12">
        <f t="shared" si="302"/>
        <v>33.333333333333329</v>
      </c>
      <c r="G3886" s="12" t="str">
        <f t="shared" si="303"/>
        <v>OK</v>
      </c>
      <c r="H3886" s="13">
        <f t="shared" si="304"/>
        <v>6</v>
      </c>
      <c r="I3886" s="14">
        <f t="shared" si="300"/>
        <v>1831.2600000000002</v>
      </c>
      <c r="K3886" t="str">
        <f>[1]!revcom(C3886)</f>
        <v>CTCTAA</v>
      </c>
      <c r="L3886">
        <v>5</v>
      </c>
    </row>
    <row r="3887" spans="1:12" ht="15.6" x14ac:dyDescent="0.3">
      <c r="A3887" s="9">
        <v>3876</v>
      </c>
      <c r="B3887" s="1"/>
      <c r="C3887" s="2" t="s">
        <v>3882</v>
      </c>
      <c r="D3887" s="1"/>
      <c r="E3887" s="11">
        <f t="shared" si="301"/>
        <v>10</v>
      </c>
      <c r="F3887" s="12">
        <f t="shared" si="302"/>
        <v>16.666666666666664</v>
      </c>
      <c r="G3887" s="12" t="str">
        <f t="shared" si="303"/>
        <v>OK</v>
      </c>
      <c r="H3887" s="13">
        <f t="shared" si="304"/>
        <v>6</v>
      </c>
      <c r="I3887" s="14">
        <f t="shared" si="300"/>
        <v>1806.2399999999998</v>
      </c>
      <c r="K3887" t="str">
        <f>[1]!revcom(C3887)</f>
        <v>ATCTAA</v>
      </c>
      <c r="L3887">
        <v>4</v>
      </c>
    </row>
    <row r="3888" spans="1:12" ht="15.6" x14ac:dyDescent="0.3">
      <c r="A3888" s="9">
        <v>3877</v>
      </c>
      <c r="B3888" s="1"/>
      <c r="C3888" s="2" t="s">
        <v>3883</v>
      </c>
      <c r="D3888" s="1"/>
      <c r="E3888" s="11">
        <f t="shared" si="301"/>
        <v>16</v>
      </c>
      <c r="F3888" s="12">
        <f t="shared" si="302"/>
        <v>33.333333333333329</v>
      </c>
      <c r="G3888" s="12" t="str">
        <f t="shared" si="303"/>
        <v>OK</v>
      </c>
      <c r="H3888" s="13">
        <f t="shared" si="304"/>
        <v>6</v>
      </c>
      <c r="I3888" s="14">
        <f t="shared" si="300"/>
        <v>1791.23</v>
      </c>
      <c r="K3888" t="str">
        <f>[1]!revcom(C3888)</f>
        <v>TGCTAA</v>
      </c>
      <c r="L3888">
        <v>5</v>
      </c>
    </row>
    <row r="3889" spans="1:12" ht="15.6" x14ac:dyDescent="0.3">
      <c r="A3889" s="9">
        <v>3878</v>
      </c>
      <c r="B3889" s="1"/>
      <c r="C3889" s="2" t="s">
        <v>3884</v>
      </c>
      <c r="D3889" s="1"/>
      <c r="E3889" s="11">
        <f t="shared" si="301"/>
        <v>14</v>
      </c>
      <c r="F3889" s="12">
        <f t="shared" si="302"/>
        <v>50</v>
      </c>
      <c r="G3889" s="12" t="str">
        <f t="shared" si="303"/>
        <v>Warning</v>
      </c>
      <c r="H3889" s="13">
        <f t="shared" si="304"/>
        <v>6</v>
      </c>
      <c r="I3889" s="14">
        <f t="shared" si="300"/>
        <v>1767.1999999999998</v>
      </c>
      <c r="K3889" t="str">
        <f>[1]!revcom(C3889)</f>
        <v>GGCTAA</v>
      </c>
      <c r="L3889">
        <v>5</v>
      </c>
    </row>
    <row r="3890" spans="1:12" ht="15.6" x14ac:dyDescent="0.3">
      <c r="A3890" s="9">
        <v>3879</v>
      </c>
      <c r="B3890" s="1"/>
      <c r="C3890" s="2" t="s">
        <v>3885</v>
      </c>
      <c r="D3890" s="1"/>
      <c r="E3890" s="11">
        <f t="shared" si="301"/>
        <v>14</v>
      </c>
      <c r="F3890" s="12">
        <f t="shared" si="302"/>
        <v>50</v>
      </c>
      <c r="G3890" s="12" t="str">
        <f t="shared" si="303"/>
        <v>Warning</v>
      </c>
      <c r="H3890" s="13">
        <f t="shared" si="304"/>
        <v>6</v>
      </c>
      <c r="I3890" s="14">
        <f t="shared" si="300"/>
        <v>1807.23</v>
      </c>
      <c r="K3890" t="str">
        <f>[1]!revcom(C3890)</f>
        <v>CGCTAA</v>
      </c>
      <c r="L3890">
        <v>5</v>
      </c>
    </row>
    <row r="3891" spans="1:12" ht="15.6" x14ac:dyDescent="0.3">
      <c r="A3891" s="9">
        <v>3880</v>
      </c>
      <c r="B3891" s="1"/>
      <c r="C3891" s="2" t="s">
        <v>3886</v>
      </c>
      <c r="D3891" s="1"/>
      <c r="E3891" s="11">
        <f t="shared" si="301"/>
        <v>8</v>
      </c>
      <c r="F3891" s="12">
        <f t="shared" si="302"/>
        <v>33.333333333333329</v>
      </c>
      <c r="G3891" s="12" t="str">
        <f t="shared" si="303"/>
        <v>OK</v>
      </c>
      <c r="H3891" s="13">
        <f t="shared" si="304"/>
        <v>6</v>
      </c>
      <c r="I3891" s="14">
        <f t="shared" si="300"/>
        <v>1782.21</v>
      </c>
      <c r="K3891" t="str">
        <f>[1]!revcom(C3891)</f>
        <v>AGCTAA</v>
      </c>
      <c r="L3891">
        <v>4</v>
      </c>
    </row>
    <row r="3892" spans="1:12" ht="15.6" x14ac:dyDescent="0.3">
      <c r="A3892" s="9">
        <v>3881</v>
      </c>
      <c r="B3892" s="1"/>
      <c r="C3892" s="2" t="s">
        <v>3887</v>
      </c>
      <c r="D3892" s="1"/>
      <c r="E3892" s="11">
        <f t="shared" si="301"/>
        <v>16</v>
      </c>
      <c r="F3892" s="12">
        <f t="shared" si="302"/>
        <v>33.333333333333329</v>
      </c>
      <c r="G3892" s="12" t="str">
        <f t="shared" si="303"/>
        <v>OK</v>
      </c>
      <c r="H3892" s="13">
        <f t="shared" si="304"/>
        <v>6</v>
      </c>
      <c r="I3892" s="14">
        <f t="shared" si="300"/>
        <v>1831.2600000000002</v>
      </c>
      <c r="K3892" t="str">
        <f>[1]!revcom(C3892)</f>
        <v>TCCTAA</v>
      </c>
      <c r="L3892">
        <v>5</v>
      </c>
    </row>
    <row r="3893" spans="1:12" ht="15.6" x14ac:dyDescent="0.3">
      <c r="A3893" s="9">
        <v>3882</v>
      </c>
      <c r="B3893" s="1"/>
      <c r="C3893" s="2" t="s">
        <v>3888</v>
      </c>
      <c r="D3893" s="1"/>
      <c r="E3893" s="11">
        <f t="shared" si="301"/>
        <v>14</v>
      </c>
      <c r="F3893" s="12">
        <f t="shared" si="302"/>
        <v>50</v>
      </c>
      <c r="G3893" s="12" t="str">
        <f t="shared" si="303"/>
        <v>Warning</v>
      </c>
      <c r="H3893" s="13">
        <f t="shared" si="304"/>
        <v>6</v>
      </c>
      <c r="I3893" s="14">
        <f t="shared" si="300"/>
        <v>1807.23</v>
      </c>
      <c r="K3893" t="str">
        <f>[1]!revcom(C3893)</f>
        <v>GCCTAA</v>
      </c>
      <c r="L3893">
        <v>5</v>
      </c>
    </row>
    <row r="3894" spans="1:12" ht="15.6" x14ac:dyDescent="0.3">
      <c r="A3894" s="9">
        <v>3883</v>
      </c>
      <c r="B3894" s="1"/>
      <c r="C3894" s="2" t="s">
        <v>3889</v>
      </c>
      <c r="D3894" s="1"/>
      <c r="E3894" s="11">
        <f t="shared" si="301"/>
        <v>14</v>
      </c>
      <c r="F3894" s="12">
        <f t="shared" si="302"/>
        <v>50</v>
      </c>
      <c r="G3894" s="12" t="str">
        <f t="shared" si="303"/>
        <v>Warning</v>
      </c>
      <c r="H3894" s="13">
        <f t="shared" si="304"/>
        <v>6</v>
      </c>
      <c r="I3894" s="14">
        <f t="shared" si="300"/>
        <v>1847.2600000000002</v>
      </c>
      <c r="K3894" t="str">
        <f>[1]!revcom(C3894)</f>
        <v>CCCTAA</v>
      </c>
      <c r="L3894">
        <v>5</v>
      </c>
    </row>
    <row r="3895" spans="1:12" ht="15.6" x14ac:dyDescent="0.3">
      <c r="A3895" s="9">
        <v>3884</v>
      </c>
      <c r="B3895" s="1"/>
      <c r="C3895" s="2" t="s">
        <v>3890</v>
      </c>
      <c r="D3895" s="1"/>
      <c r="E3895" s="11">
        <f t="shared" si="301"/>
        <v>8</v>
      </c>
      <c r="F3895" s="12">
        <f t="shared" si="302"/>
        <v>33.333333333333329</v>
      </c>
      <c r="G3895" s="12" t="str">
        <f t="shared" si="303"/>
        <v>OK</v>
      </c>
      <c r="H3895" s="13">
        <f t="shared" si="304"/>
        <v>6</v>
      </c>
      <c r="I3895" s="14">
        <f t="shared" si="300"/>
        <v>1822.2400000000002</v>
      </c>
      <c r="K3895" t="str">
        <f>[1]!revcom(C3895)</f>
        <v>ACCTAA</v>
      </c>
      <c r="L3895">
        <v>4</v>
      </c>
    </row>
    <row r="3896" spans="1:12" ht="15.6" x14ac:dyDescent="0.3">
      <c r="A3896" s="9">
        <v>3885</v>
      </c>
      <c r="B3896" s="1"/>
      <c r="C3896" s="2" t="s">
        <v>3891</v>
      </c>
      <c r="D3896" s="1"/>
      <c r="E3896" s="11">
        <f t="shared" si="301"/>
        <v>10</v>
      </c>
      <c r="F3896" s="12">
        <f t="shared" si="302"/>
        <v>16.666666666666664</v>
      </c>
      <c r="G3896" s="12" t="str">
        <f t="shared" si="303"/>
        <v>OK</v>
      </c>
      <c r="H3896" s="13">
        <f t="shared" si="304"/>
        <v>6</v>
      </c>
      <c r="I3896" s="14">
        <f t="shared" si="300"/>
        <v>1806.2399999999998</v>
      </c>
      <c r="K3896" t="str">
        <f>[1]!revcom(C3896)</f>
        <v>TACTAA</v>
      </c>
      <c r="L3896">
        <v>4</v>
      </c>
    </row>
    <row r="3897" spans="1:12" ht="15.6" x14ac:dyDescent="0.3">
      <c r="A3897" s="9">
        <v>3886</v>
      </c>
      <c r="B3897" s="1"/>
      <c r="C3897" s="2" t="s">
        <v>3892</v>
      </c>
      <c r="D3897" s="1"/>
      <c r="E3897" s="11">
        <f t="shared" si="301"/>
        <v>8</v>
      </c>
      <c r="F3897" s="12">
        <f t="shared" si="302"/>
        <v>33.333333333333329</v>
      </c>
      <c r="G3897" s="12" t="str">
        <f t="shared" si="303"/>
        <v>OK</v>
      </c>
      <c r="H3897" s="13">
        <f t="shared" si="304"/>
        <v>6</v>
      </c>
      <c r="I3897" s="14">
        <f t="shared" si="300"/>
        <v>1782.21</v>
      </c>
      <c r="K3897" t="str">
        <f>[1]!revcom(C3897)</f>
        <v>GACTAA</v>
      </c>
      <c r="L3897">
        <v>4</v>
      </c>
    </row>
    <row r="3898" spans="1:12" ht="15.6" x14ac:dyDescent="0.3">
      <c r="A3898" s="9">
        <v>3887</v>
      </c>
      <c r="B3898" s="1"/>
      <c r="C3898" s="2" t="s">
        <v>3893</v>
      </c>
      <c r="D3898" s="1"/>
      <c r="E3898" s="11">
        <f t="shared" si="301"/>
        <v>8</v>
      </c>
      <c r="F3898" s="12">
        <f t="shared" si="302"/>
        <v>33.333333333333329</v>
      </c>
      <c r="G3898" s="12" t="str">
        <f t="shared" si="303"/>
        <v>OK</v>
      </c>
      <c r="H3898" s="13">
        <f t="shared" si="304"/>
        <v>6</v>
      </c>
      <c r="I3898" s="14">
        <f t="shared" si="300"/>
        <v>1822.2400000000002</v>
      </c>
      <c r="K3898" t="str">
        <f>[1]!revcom(C3898)</f>
        <v>CACTAA</v>
      </c>
      <c r="L3898">
        <v>4</v>
      </c>
    </row>
    <row r="3899" spans="1:12" ht="15.6" x14ac:dyDescent="0.3">
      <c r="A3899" s="9">
        <v>3888</v>
      </c>
      <c r="B3899" s="1"/>
      <c r="C3899" s="2" t="s">
        <v>3894</v>
      </c>
      <c r="D3899" s="1"/>
      <c r="E3899" s="11">
        <f t="shared" si="301"/>
        <v>2</v>
      </c>
      <c r="F3899" s="12">
        <f t="shared" si="302"/>
        <v>16.666666666666664</v>
      </c>
      <c r="G3899" s="12" t="str">
        <f t="shared" si="303"/>
        <v>OK</v>
      </c>
      <c r="H3899" s="13">
        <f t="shared" si="304"/>
        <v>6</v>
      </c>
      <c r="I3899" s="14">
        <f t="shared" si="300"/>
        <v>1797.2199999999998</v>
      </c>
      <c r="K3899" t="str">
        <f>[1]!revcom(C3899)</f>
        <v>AACTAA</v>
      </c>
      <c r="L3899">
        <v>3</v>
      </c>
    </row>
    <row r="3900" spans="1:12" ht="15.6" x14ac:dyDescent="0.3">
      <c r="A3900" s="9">
        <v>3889</v>
      </c>
      <c r="B3900" s="1"/>
      <c r="C3900" s="2" t="s">
        <v>3895</v>
      </c>
      <c r="D3900" s="1"/>
      <c r="E3900" s="11">
        <f t="shared" si="301"/>
        <v>12</v>
      </c>
      <c r="F3900" s="12">
        <f t="shared" si="302"/>
        <v>0</v>
      </c>
      <c r="G3900" s="12" t="str">
        <f t="shared" si="303"/>
        <v>OK</v>
      </c>
      <c r="H3900" s="13">
        <f t="shared" si="304"/>
        <v>6</v>
      </c>
      <c r="I3900" s="14">
        <f t="shared" si="300"/>
        <v>1790.2399999999998</v>
      </c>
      <c r="K3900" t="str">
        <f>[1]!revcom(C3900)</f>
        <v>TTATAA</v>
      </c>
      <c r="L3900">
        <v>4</v>
      </c>
    </row>
    <row r="3901" spans="1:12" ht="15.6" x14ac:dyDescent="0.3">
      <c r="A3901" s="9">
        <v>3890</v>
      </c>
      <c r="B3901" s="1"/>
      <c r="C3901" s="2" t="s">
        <v>3896</v>
      </c>
      <c r="D3901" s="1"/>
      <c r="E3901" s="11">
        <f t="shared" si="301"/>
        <v>10</v>
      </c>
      <c r="F3901" s="12">
        <f t="shared" si="302"/>
        <v>16.666666666666664</v>
      </c>
      <c r="G3901" s="12" t="str">
        <f t="shared" si="303"/>
        <v>OK</v>
      </c>
      <c r="H3901" s="13">
        <f t="shared" si="304"/>
        <v>6</v>
      </c>
      <c r="I3901" s="14">
        <f t="shared" si="300"/>
        <v>1766.21</v>
      </c>
      <c r="K3901" t="str">
        <f>[1]!revcom(C3901)</f>
        <v>GTATAA</v>
      </c>
      <c r="L3901">
        <v>4</v>
      </c>
    </row>
    <row r="3902" spans="1:12" ht="15.6" x14ac:dyDescent="0.3">
      <c r="A3902" s="9">
        <v>3891</v>
      </c>
      <c r="B3902" s="1"/>
      <c r="C3902" s="2" t="s">
        <v>3897</v>
      </c>
      <c r="D3902" s="1"/>
      <c r="E3902" s="11">
        <f t="shared" si="301"/>
        <v>10</v>
      </c>
      <c r="F3902" s="12">
        <f t="shared" si="302"/>
        <v>16.666666666666664</v>
      </c>
      <c r="G3902" s="12" t="str">
        <f t="shared" si="303"/>
        <v>OK</v>
      </c>
      <c r="H3902" s="13">
        <f t="shared" si="304"/>
        <v>6</v>
      </c>
      <c r="I3902" s="14">
        <f t="shared" si="300"/>
        <v>1806.2399999999998</v>
      </c>
      <c r="K3902" t="str">
        <f>[1]!revcom(C3902)</f>
        <v>CTATAA</v>
      </c>
      <c r="L3902">
        <v>4</v>
      </c>
    </row>
    <row r="3903" spans="1:12" ht="15.6" x14ac:dyDescent="0.3">
      <c r="A3903" s="9">
        <v>3892</v>
      </c>
      <c r="B3903" s="1"/>
      <c r="C3903" s="2" t="s">
        <v>3898</v>
      </c>
      <c r="D3903" s="1"/>
      <c r="E3903" s="11">
        <f t="shared" si="301"/>
        <v>4</v>
      </c>
      <c r="F3903" s="12">
        <f t="shared" si="302"/>
        <v>0</v>
      </c>
      <c r="G3903" s="12" t="str">
        <f t="shared" si="303"/>
        <v>OK</v>
      </c>
      <c r="H3903" s="13">
        <f t="shared" si="304"/>
        <v>6</v>
      </c>
      <c r="I3903" s="14">
        <f t="shared" si="300"/>
        <v>1781.2199999999998</v>
      </c>
      <c r="K3903" t="str">
        <f>[1]!revcom(C3903)</f>
        <v>ATATAA</v>
      </c>
      <c r="L3903">
        <v>3</v>
      </c>
    </row>
    <row r="3904" spans="1:12" ht="15.6" x14ac:dyDescent="0.3">
      <c r="A3904" s="9">
        <v>3893</v>
      </c>
      <c r="B3904" s="1"/>
      <c r="C3904" s="2" t="s">
        <v>3899</v>
      </c>
      <c r="D3904" s="1"/>
      <c r="E3904" s="11">
        <f t="shared" si="301"/>
        <v>10</v>
      </c>
      <c r="F3904" s="12">
        <f t="shared" si="302"/>
        <v>16.666666666666664</v>
      </c>
      <c r="G3904" s="12" t="str">
        <f t="shared" si="303"/>
        <v>OK</v>
      </c>
      <c r="H3904" s="13">
        <f t="shared" si="304"/>
        <v>6</v>
      </c>
      <c r="I3904" s="14">
        <f t="shared" si="300"/>
        <v>1766.21</v>
      </c>
      <c r="K3904" t="str">
        <f>[1]!revcom(C3904)</f>
        <v>TGATAA</v>
      </c>
      <c r="L3904">
        <v>4</v>
      </c>
    </row>
    <row r="3905" spans="1:12" ht="15.6" x14ac:dyDescent="0.3">
      <c r="A3905" s="9">
        <v>3894</v>
      </c>
      <c r="B3905" s="1"/>
      <c r="C3905" s="2" t="s">
        <v>3900</v>
      </c>
      <c r="D3905" s="1"/>
      <c r="E3905" s="11">
        <f t="shared" si="301"/>
        <v>8</v>
      </c>
      <c r="F3905" s="12">
        <f t="shared" si="302"/>
        <v>33.333333333333329</v>
      </c>
      <c r="G3905" s="12" t="str">
        <f t="shared" si="303"/>
        <v>OK</v>
      </c>
      <c r="H3905" s="13">
        <f t="shared" si="304"/>
        <v>6</v>
      </c>
      <c r="I3905" s="14">
        <f t="shared" si="300"/>
        <v>1742.1799999999998</v>
      </c>
      <c r="K3905" t="str">
        <f>[1]!revcom(C3905)</f>
        <v>GGATAA</v>
      </c>
      <c r="L3905">
        <v>4</v>
      </c>
    </row>
    <row r="3906" spans="1:12" ht="15.6" x14ac:dyDescent="0.3">
      <c r="A3906" s="9">
        <v>3895</v>
      </c>
      <c r="B3906" s="1"/>
      <c r="C3906" s="2" t="s">
        <v>3901</v>
      </c>
      <c r="D3906" s="1"/>
      <c r="E3906" s="11">
        <f t="shared" si="301"/>
        <v>8</v>
      </c>
      <c r="F3906" s="12">
        <f t="shared" si="302"/>
        <v>33.333333333333329</v>
      </c>
      <c r="G3906" s="12" t="str">
        <f t="shared" si="303"/>
        <v>OK</v>
      </c>
      <c r="H3906" s="13">
        <f t="shared" si="304"/>
        <v>6</v>
      </c>
      <c r="I3906" s="14">
        <f t="shared" si="300"/>
        <v>1782.21</v>
      </c>
      <c r="K3906" t="str">
        <f>[1]!revcom(C3906)</f>
        <v>CGATAA</v>
      </c>
      <c r="L3906">
        <v>4</v>
      </c>
    </row>
    <row r="3907" spans="1:12" ht="15.6" x14ac:dyDescent="0.3">
      <c r="A3907" s="9">
        <v>3896</v>
      </c>
      <c r="B3907" s="1"/>
      <c r="C3907" s="2" t="s">
        <v>3902</v>
      </c>
      <c r="D3907" s="1"/>
      <c r="E3907" s="11">
        <f t="shared" si="301"/>
        <v>2</v>
      </c>
      <c r="F3907" s="12">
        <f t="shared" si="302"/>
        <v>16.666666666666664</v>
      </c>
      <c r="G3907" s="12" t="str">
        <f t="shared" si="303"/>
        <v>OK</v>
      </c>
      <c r="H3907" s="13">
        <f t="shared" si="304"/>
        <v>6</v>
      </c>
      <c r="I3907" s="14">
        <f t="shared" si="300"/>
        <v>1757.19</v>
      </c>
      <c r="K3907" t="str">
        <f>[1]!revcom(C3907)</f>
        <v>AGATAA</v>
      </c>
      <c r="L3907">
        <v>3</v>
      </c>
    </row>
    <row r="3908" spans="1:12" ht="15.6" x14ac:dyDescent="0.3">
      <c r="A3908" s="9">
        <v>3897</v>
      </c>
      <c r="B3908" s="1"/>
      <c r="C3908" s="2" t="s">
        <v>3903</v>
      </c>
      <c r="D3908" s="1"/>
      <c r="E3908" s="11">
        <f t="shared" si="301"/>
        <v>10</v>
      </c>
      <c r="F3908" s="12">
        <f t="shared" si="302"/>
        <v>16.666666666666664</v>
      </c>
      <c r="G3908" s="12" t="str">
        <f t="shared" si="303"/>
        <v>OK</v>
      </c>
      <c r="H3908" s="13">
        <f t="shared" si="304"/>
        <v>6</v>
      </c>
      <c r="I3908" s="14">
        <f t="shared" si="300"/>
        <v>1806.2399999999998</v>
      </c>
      <c r="K3908" t="str">
        <f>[1]!revcom(C3908)</f>
        <v>TCATAA</v>
      </c>
      <c r="L3908">
        <v>4</v>
      </c>
    </row>
    <row r="3909" spans="1:12" ht="15.6" x14ac:dyDescent="0.3">
      <c r="A3909" s="9">
        <v>3898</v>
      </c>
      <c r="B3909" s="1"/>
      <c r="C3909" s="2" t="s">
        <v>3904</v>
      </c>
      <c r="D3909" s="1"/>
      <c r="E3909" s="11">
        <f t="shared" si="301"/>
        <v>8</v>
      </c>
      <c r="F3909" s="12">
        <f t="shared" si="302"/>
        <v>33.333333333333329</v>
      </c>
      <c r="G3909" s="12" t="str">
        <f t="shared" si="303"/>
        <v>OK</v>
      </c>
      <c r="H3909" s="13">
        <f t="shared" si="304"/>
        <v>6</v>
      </c>
      <c r="I3909" s="14">
        <f t="shared" si="300"/>
        <v>1782.21</v>
      </c>
      <c r="K3909" t="str">
        <f>[1]!revcom(C3909)</f>
        <v>GCATAA</v>
      </c>
      <c r="L3909">
        <v>4</v>
      </c>
    </row>
    <row r="3910" spans="1:12" ht="15.6" x14ac:dyDescent="0.3">
      <c r="A3910" s="9">
        <v>3899</v>
      </c>
      <c r="B3910" s="1"/>
      <c r="C3910" s="2" t="s">
        <v>3905</v>
      </c>
      <c r="D3910" s="1"/>
      <c r="E3910" s="11">
        <f t="shared" si="301"/>
        <v>8</v>
      </c>
      <c r="F3910" s="12">
        <f t="shared" si="302"/>
        <v>33.333333333333329</v>
      </c>
      <c r="G3910" s="12" t="str">
        <f t="shared" si="303"/>
        <v>OK</v>
      </c>
      <c r="H3910" s="13">
        <f t="shared" si="304"/>
        <v>6</v>
      </c>
      <c r="I3910" s="14">
        <f t="shared" si="300"/>
        <v>1822.2400000000002</v>
      </c>
      <c r="K3910" t="str">
        <f>[1]!revcom(C3910)</f>
        <v>CCATAA</v>
      </c>
      <c r="L3910">
        <v>4</v>
      </c>
    </row>
    <row r="3911" spans="1:12" ht="15.6" x14ac:dyDescent="0.3">
      <c r="A3911" s="9">
        <v>3900</v>
      </c>
      <c r="B3911" s="1"/>
      <c r="C3911" s="2" t="s">
        <v>3906</v>
      </c>
      <c r="D3911" s="1"/>
      <c r="E3911" s="11">
        <f t="shared" si="301"/>
        <v>2</v>
      </c>
      <c r="F3911" s="12">
        <f t="shared" si="302"/>
        <v>16.666666666666664</v>
      </c>
      <c r="G3911" s="12" t="str">
        <f t="shared" si="303"/>
        <v>OK</v>
      </c>
      <c r="H3911" s="13">
        <f t="shared" si="304"/>
        <v>6</v>
      </c>
      <c r="I3911" s="14">
        <f t="shared" si="300"/>
        <v>1797.2199999999998</v>
      </c>
      <c r="K3911" t="str">
        <f>[1]!revcom(C3911)</f>
        <v>ACATAA</v>
      </c>
      <c r="L3911">
        <v>3</v>
      </c>
    </row>
    <row r="3912" spans="1:12" ht="15.6" x14ac:dyDescent="0.3">
      <c r="A3912" s="9">
        <v>3901</v>
      </c>
      <c r="B3912" s="1"/>
      <c r="C3912" s="2" t="s">
        <v>3907</v>
      </c>
      <c r="D3912" s="1"/>
      <c r="E3912" s="11">
        <f t="shared" si="301"/>
        <v>4</v>
      </c>
      <c r="F3912" s="12">
        <f t="shared" si="302"/>
        <v>0</v>
      </c>
      <c r="G3912" s="12" t="str">
        <f t="shared" si="303"/>
        <v>OK</v>
      </c>
      <c r="H3912" s="13">
        <f t="shared" si="304"/>
        <v>6</v>
      </c>
      <c r="I3912" s="14">
        <f t="shared" si="300"/>
        <v>1781.2199999999998</v>
      </c>
      <c r="K3912" t="str">
        <f>[1]!revcom(C3912)</f>
        <v>TAATAA</v>
      </c>
      <c r="L3912">
        <v>3</v>
      </c>
    </row>
    <row r="3913" spans="1:12" ht="15.6" x14ac:dyDescent="0.3">
      <c r="A3913" s="9">
        <v>3902</v>
      </c>
      <c r="B3913" s="1"/>
      <c r="C3913" s="2" t="s">
        <v>3908</v>
      </c>
      <c r="D3913" s="1"/>
      <c r="E3913" s="11">
        <f t="shared" si="301"/>
        <v>2</v>
      </c>
      <c r="F3913" s="12">
        <f t="shared" si="302"/>
        <v>16.666666666666664</v>
      </c>
      <c r="G3913" s="12" t="str">
        <f t="shared" si="303"/>
        <v>OK</v>
      </c>
      <c r="H3913" s="13">
        <f t="shared" si="304"/>
        <v>6</v>
      </c>
      <c r="I3913" s="14">
        <f t="shared" si="300"/>
        <v>1757.19</v>
      </c>
      <c r="K3913" t="str">
        <f>[1]!revcom(C3913)</f>
        <v>GAATAA</v>
      </c>
      <c r="L3913">
        <v>3</v>
      </c>
    </row>
    <row r="3914" spans="1:12" ht="15.6" x14ac:dyDescent="0.3">
      <c r="A3914" s="9">
        <v>3903</v>
      </c>
      <c r="B3914" s="1"/>
      <c r="C3914" s="2" t="s">
        <v>3909</v>
      </c>
      <c r="D3914" s="1"/>
      <c r="E3914" s="11">
        <f t="shared" si="301"/>
        <v>2</v>
      </c>
      <c r="F3914" s="12">
        <f t="shared" si="302"/>
        <v>16.666666666666664</v>
      </c>
      <c r="G3914" s="12" t="str">
        <f t="shared" si="303"/>
        <v>OK</v>
      </c>
      <c r="H3914" s="13">
        <f t="shared" si="304"/>
        <v>6</v>
      </c>
      <c r="I3914" s="14">
        <f t="shared" si="300"/>
        <v>1797.2199999999998</v>
      </c>
      <c r="K3914" t="str">
        <f>[1]!revcom(C3914)</f>
        <v>CAATAA</v>
      </c>
      <c r="L3914">
        <v>3</v>
      </c>
    </row>
    <row r="3915" spans="1:12" ht="15.6" x14ac:dyDescent="0.3">
      <c r="A3915" s="9">
        <v>3904</v>
      </c>
      <c r="B3915" s="1"/>
      <c r="C3915" s="2" t="s">
        <v>3910</v>
      </c>
      <c r="D3915" s="1"/>
      <c r="E3915" s="11">
        <f t="shared" si="301"/>
        <v>-4</v>
      </c>
      <c r="F3915" s="12">
        <f t="shared" si="302"/>
        <v>0</v>
      </c>
      <c r="G3915" s="12" t="str">
        <f t="shared" si="303"/>
        <v>OK</v>
      </c>
      <c r="H3915" s="13">
        <f t="shared" si="304"/>
        <v>6</v>
      </c>
      <c r="I3915" s="14">
        <f t="shared" si="300"/>
        <v>1772.1999999999998</v>
      </c>
      <c r="K3915" t="str">
        <f>[1]!revcom(C3915)</f>
        <v>AAATAA</v>
      </c>
      <c r="L3915">
        <v>2</v>
      </c>
    </row>
    <row r="3916" spans="1:12" ht="15.6" x14ac:dyDescent="0.3">
      <c r="A3916" s="9">
        <v>3905</v>
      </c>
      <c r="B3916" s="1"/>
      <c r="C3916" s="2" t="s">
        <v>3911</v>
      </c>
      <c r="D3916" s="1"/>
      <c r="E3916" s="11">
        <f t="shared" si="301"/>
        <v>18</v>
      </c>
      <c r="F3916" s="12">
        <f t="shared" si="302"/>
        <v>16.666666666666664</v>
      </c>
      <c r="G3916" s="12" t="str">
        <f t="shared" si="303"/>
        <v>OK</v>
      </c>
      <c r="H3916" s="13">
        <f t="shared" si="304"/>
        <v>6</v>
      </c>
      <c r="I3916" s="14">
        <f t="shared" si="300"/>
        <v>1775.23</v>
      </c>
      <c r="K3916" t="str">
        <f>[1]!revcom(C3916)</f>
        <v>TTTGAA</v>
      </c>
      <c r="L3916">
        <v>5</v>
      </c>
    </row>
    <row r="3917" spans="1:12" ht="15.6" x14ac:dyDescent="0.3">
      <c r="A3917" s="9">
        <v>3906</v>
      </c>
      <c r="B3917" s="1"/>
      <c r="C3917" s="2" t="s">
        <v>3912</v>
      </c>
      <c r="D3917" s="1"/>
      <c r="E3917" s="11">
        <f t="shared" si="301"/>
        <v>16</v>
      </c>
      <c r="F3917" s="12">
        <f t="shared" si="302"/>
        <v>33.333333333333329</v>
      </c>
      <c r="G3917" s="12" t="str">
        <f t="shared" si="303"/>
        <v>OK</v>
      </c>
      <c r="H3917" s="13">
        <f t="shared" si="304"/>
        <v>6</v>
      </c>
      <c r="I3917" s="14">
        <f t="shared" ref="I3917:I3980" si="305">((LEN(C3917)-(LEN(SUBSTITUTE(C3917,"A",""))))*249.23)+((LEN(C3917)-(LEN(SUBSTITUTE(C3917,"T",""))))*240.21)+((LEN(C3917)-(LEN(SUBSTITUTE(C3917,"C",""))))*225.2)+((LEN(C3917)-(LEN(SUBSTITUTE(C3917,"G",""))))*265.23)+(63.98*(LEN(C3917)-1)+(2.02))</f>
        <v>1751.1999999999998</v>
      </c>
      <c r="K3917" t="str">
        <f>[1]!revcom(C3917)</f>
        <v>GTTGAA</v>
      </c>
      <c r="L3917">
        <v>5</v>
      </c>
    </row>
    <row r="3918" spans="1:12" ht="15.6" x14ac:dyDescent="0.3">
      <c r="A3918" s="9">
        <v>3907</v>
      </c>
      <c r="B3918" s="1"/>
      <c r="C3918" s="2" t="s">
        <v>3913</v>
      </c>
      <c r="D3918" s="1"/>
      <c r="E3918" s="11">
        <f t="shared" ref="E3918:E3981" si="306">IF(LEN(C3918)&gt;15,(69.3+((41*((LEN(C3918)-(((LEN(C3918)-(LEN(SUBSTITUTE(C3918,"A",""))))+((LEN(C3918)-(LEN(SUBSTITUTE(C3918,"T","")))))))))/(LEN(C3918)))-(650/(LEN(C3918))))),(2*((LEN(C3918)-(((LEN(C3918)-(LEN(SUBSTITUTE(C3918,"C",""))))+((LEN(C3918)-(LEN(SUBSTITUTE(C3918,"G",""))))))))))+(4*((LEN(C3918)-(((LEN(C3918)-(LEN(SUBSTITUTE(C3918,"T",""))))+((LEN(C3918)-(LEN(SUBSTITUTE(C3918,"T","")))))))))))</f>
        <v>16</v>
      </c>
      <c r="F3918" s="12">
        <f t="shared" ref="F3918:F3981" si="307">((LEN(C3918)- LEN(SUBSTITUTE(C3918,"G","")))+(LEN(C3918)- LEN(SUBSTITUTE(C3918,"C",""))) )/LEN(C3918)*100</f>
        <v>33.333333333333329</v>
      </c>
      <c r="G3918" s="12" t="str">
        <f t="shared" ref="G3918:G3981" si="308">IF((-5+((LEN(SUBSTITUTE(RIGHT(C3918,5),"C","")))+((LEN(SUBSTITUTE(RIGHT(C3918,5),"G",""))))))&gt;=3,"OK","Warning")</f>
        <v>OK</v>
      </c>
      <c r="H3918" s="13">
        <f t="shared" ref="H3918:H3981" si="309">LEN(C3918)</f>
        <v>6</v>
      </c>
      <c r="I3918" s="14">
        <f t="shared" si="305"/>
        <v>1791.23</v>
      </c>
      <c r="K3918" t="str">
        <f>[1]!revcom(C3918)</f>
        <v>CTTGAA</v>
      </c>
      <c r="L3918">
        <v>5</v>
      </c>
    </row>
    <row r="3919" spans="1:12" ht="15.6" x14ac:dyDescent="0.3">
      <c r="A3919" s="9">
        <v>3908</v>
      </c>
      <c r="B3919" s="1"/>
      <c r="C3919" s="2" t="s">
        <v>3914</v>
      </c>
      <c r="D3919" s="1"/>
      <c r="E3919" s="11">
        <f t="shared" si="306"/>
        <v>10</v>
      </c>
      <c r="F3919" s="12">
        <f t="shared" si="307"/>
        <v>16.666666666666664</v>
      </c>
      <c r="G3919" s="12" t="str">
        <f t="shared" si="308"/>
        <v>OK</v>
      </c>
      <c r="H3919" s="13">
        <f t="shared" si="309"/>
        <v>6</v>
      </c>
      <c r="I3919" s="14">
        <f t="shared" si="305"/>
        <v>1766.21</v>
      </c>
      <c r="K3919" t="str">
        <f>[1]!revcom(C3919)</f>
        <v>ATTGAA</v>
      </c>
      <c r="L3919">
        <v>4</v>
      </c>
    </row>
    <row r="3920" spans="1:12" ht="15.6" x14ac:dyDescent="0.3">
      <c r="A3920" s="9">
        <v>3909</v>
      </c>
      <c r="B3920" s="1"/>
      <c r="C3920" s="2" t="s">
        <v>3915</v>
      </c>
      <c r="D3920" s="1"/>
      <c r="E3920" s="11">
        <f t="shared" si="306"/>
        <v>16</v>
      </c>
      <c r="F3920" s="12">
        <f t="shared" si="307"/>
        <v>33.333333333333329</v>
      </c>
      <c r="G3920" s="12" t="str">
        <f t="shared" si="308"/>
        <v>OK</v>
      </c>
      <c r="H3920" s="13">
        <f t="shared" si="309"/>
        <v>6</v>
      </c>
      <c r="I3920" s="14">
        <f t="shared" si="305"/>
        <v>1751.1999999999998</v>
      </c>
      <c r="K3920" t="str">
        <f>[1]!revcom(C3920)</f>
        <v>TGTGAA</v>
      </c>
      <c r="L3920">
        <v>5</v>
      </c>
    </row>
    <row r="3921" spans="1:12" ht="15.6" x14ac:dyDescent="0.3">
      <c r="A3921" s="9">
        <v>3910</v>
      </c>
      <c r="B3921" s="1"/>
      <c r="C3921" s="2" t="s">
        <v>3916</v>
      </c>
      <c r="D3921" s="1"/>
      <c r="E3921" s="11">
        <f t="shared" si="306"/>
        <v>14</v>
      </c>
      <c r="F3921" s="12">
        <f t="shared" si="307"/>
        <v>50</v>
      </c>
      <c r="G3921" s="12" t="str">
        <f t="shared" si="308"/>
        <v>Warning</v>
      </c>
      <c r="H3921" s="13">
        <f t="shared" si="309"/>
        <v>6</v>
      </c>
      <c r="I3921" s="14">
        <f t="shared" si="305"/>
        <v>1727.17</v>
      </c>
      <c r="K3921" t="str">
        <f>[1]!revcom(C3921)</f>
        <v>GGTGAA</v>
      </c>
      <c r="L3921">
        <v>5</v>
      </c>
    </row>
    <row r="3922" spans="1:12" ht="15.6" x14ac:dyDescent="0.3">
      <c r="A3922" s="9">
        <v>3911</v>
      </c>
      <c r="B3922" s="1"/>
      <c r="C3922" s="2" t="s">
        <v>3917</v>
      </c>
      <c r="D3922" s="1"/>
      <c r="E3922" s="11">
        <f t="shared" si="306"/>
        <v>14</v>
      </c>
      <c r="F3922" s="12">
        <f t="shared" si="307"/>
        <v>50</v>
      </c>
      <c r="G3922" s="12" t="str">
        <f t="shared" si="308"/>
        <v>Warning</v>
      </c>
      <c r="H3922" s="13">
        <f t="shared" si="309"/>
        <v>6</v>
      </c>
      <c r="I3922" s="14">
        <f t="shared" si="305"/>
        <v>1767.1999999999998</v>
      </c>
      <c r="K3922" t="str">
        <f>[1]!revcom(C3922)</f>
        <v>CGTGAA</v>
      </c>
      <c r="L3922">
        <v>5</v>
      </c>
    </row>
    <row r="3923" spans="1:12" ht="15.6" x14ac:dyDescent="0.3">
      <c r="A3923" s="9">
        <v>3912</v>
      </c>
      <c r="B3923" s="1"/>
      <c r="C3923" s="2" t="s">
        <v>3918</v>
      </c>
      <c r="D3923" s="1"/>
      <c r="E3923" s="11">
        <f t="shared" si="306"/>
        <v>8</v>
      </c>
      <c r="F3923" s="12">
        <f t="shared" si="307"/>
        <v>33.333333333333329</v>
      </c>
      <c r="G3923" s="12" t="str">
        <f t="shared" si="308"/>
        <v>OK</v>
      </c>
      <c r="H3923" s="13">
        <f t="shared" si="309"/>
        <v>6</v>
      </c>
      <c r="I3923" s="14">
        <f t="shared" si="305"/>
        <v>1742.1799999999998</v>
      </c>
      <c r="K3923" t="str">
        <f>[1]!revcom(C3923)</f>
        <v>AGTGAA</v>
      </c>
      <c r="L3923">
        <v>4</v>
      </c>
    </row>
    <row r="3924" spans="1:12" ht="15.6" x14ac:dyDescent="0.3">
      <c r="A3924" s="9">
        <v>3913</v>
      </c>
      <c r="B3924" s="1"/>
      <c r="C3924" s="2" t="s">
        <v>3919</v>
      </c>
      <c r="D3924" s="1"/>
      <c r="E3924" s="11">
        <f t="shared" si="306"/>
        <v>16</v>
      </c>
      <c r="F3924" s="12">
        <f t="shared" si="307"/>
        <v>33.333333333333329</v>
      </c>
      <c r="G3924" s="12" t="str">
        <f t="shared" si="308"/>
        <v>OK</v>
      </c>
      <c r="H3924" s="13">
        <f t="shared" si="309"/>
        <v>6</v>
      </c>
      <c r="I3924" s="14">
        <f t="shared" si="305"/>
        <v>1791.23</v>
      </c>
      <c r="K3924" t="str">
        <f>[1]!revcom(C3924)</f>
        <v>TCTGAA</v>
      </c>
      <c r="L3924">
        <v>5</v>
      </c>
    </row>
    <row r="3925" spans="1:12" ht="15.6" x14ac:dyDescent="0.3">
      <c r="A3925" s="9">
        <v>3914</v>
      </c>
      <c r="B3925" s="1"/>
      <c r="C3925" s="2" t="s">
        <v>3920</v>
      </c>
      <c r="D3925" s="1"/>
      <c r="E3925" s="11">
        <f t="shared" si="306"/>
        <v>14</v>
      </c>
      <c r="F3925" s="12">
        <f t="shared" si="307"/>
        <v>50</v>
      </c>
      <c r="G3925" s="12" t="str">
        <f t="shared" si="308"/>
        <v>Warning</v>
      </c>
      <c r="H3925" s="13">
        <f t="shared" si="309"/>
        <v>6</v>
      </c>
      <c r="I3925" s="14">
        <f t="shared" si="305"/>
        <v>1767.1999999999998</v>
      </c>
      <c r="K3925" t="str">
        <f>[1]!revcom(C3925)</f>
        <v>GCTGAA</v>
      </c>
      <c r="L3925">
        <v>5</v>
      </c>
    </row>
    <row r="3926" spans="1:12" ht="15.6" x14ac:dyDescent="0.3">
      <c r="A3926" s="9">
        <v>3915</v>
      </c>
      <c r="B3926" s="1"/>
      <c r="C3926" s="2" t="s">
        <v>3921</v>
      </c>
      <c r="D3926" s="1"/>
      <c r="E3926" s="11">
        <f t="shared" si="306"/>
        <v>14</v>
      </c>
      <c r="F3926" s="12">
        <f t="shared" si="307"/>
        <v>50</v>
      </c>
      <c r="G3926" s="12" t="str">
        <f t="shared" si="308"/>
        <v>Warning</v>
      </c>
      <c r="H3926" s="13">
        <f t="shared" si="309"/>
        <v>6</v>
      </c>
      <c r="I3926" s="14">
        <f t="shared" si="305"/>
        <v>1807.23</v>
      </c>
      <c r="K3926" t="str">
        <f>[1]!revcom(C3926)</f>
        <v>CCTGAA</v>
      </c>
      <c r="L3926">
        <v>5</v>
      </c>
    </row>
    <row r="3927" spans="1:12" ht="15.6" x14ac:dyDescent="0.3">
      <c r="A3927" s="9">
        <v>3916</v>
      </c>
      <c r="B3927" s="1"/>
      <c r="C3927" s="2" t="s">
        <v>3922</v>
      </c>
      <c r="D3927" s="1"/>
      <c r="E3927" s="11">
        <f t="shared" si="306"/>
        <v>8</v>
      </c>
      <c r="F3927" s="12">
        <f t="shared" si="307"/>
        <v>33.333333333333329</v>
      </c>
      <c r="G3927" s="12" t="str">
        <f t="shared" si="308"/>
        <v>OK</v>
      </c>
      <c r="H3927" s="13">
        <f t="shared" si="309"/>
        <v>6</v>
      </c>
      <c r="I3927" s="14">
        <f t="shared" si="305"/>
        <v>1782.21</v>
      </c>
      <c r="K3927" t="str">
        <f>[1]!revcom(C3927)</f>
        <v>ACTGAA</v>
      </c>
      <c r="L3927">
        <v>4</v>
      </c>
    </row>
    <row r="3928" spans="1:12" ht="15.6" x14ac:dyDescent="0.3">
      <c r="A3928" s="9">
        <v>3917</v>
      </c>
      <c r="B3928" s="1"/>
      <c r="C3928" s="2" t="s">
        <v>3923</v>
      </c>
      <c r="D3928" s="1"/>
      <c r="E3928" s="11">
        <f t="shared" si="306"/>
        <v>10</v>
      </c>
      <c r="F3928" s="12">
        <f t="shared" si="307"/>
        <v>16.666666666666664</v>
      </c>
      <c r="G3928" s="12" t="str">
        <f t="shared" si="308"/>
        <v>OK</v>
      </c>
      <c r="H3928" s="13">
        <f t="shared" si="309"/>
        <v>6</v>
      </c>
      <c r="I3928" s="14">
        <f t="shared" si="305"/>
        <v>1766.21</v>
      </c>
      <c r="K3928" t="str">
        <f>[1]!revcom(C3928)</f>
        <v>TATGAA</v>
      </c>
      <c r="L3928">
        <v>4</v>
      </c>
    </row>
    <row r="3929" spans="1:12" ht="15.6" x14ac:dyDescent="0.3">
      <c r="A3929" s="9">
        <v>3918</v>
      </c>
      <c r="B3929" s="1"/>
      <c r="C3929" s="2" t="s">
        <v>3924</v>
      </c>
      <c r="D3929" s="1"/>
      <c r="E3929" s="11">
        <f t="shared" si="306"/>
        <v>8</v>
      </c>
      <c r="F3929" s="12">
        <f t="shared" si="307"/>
        <v>33.333333333333329</v>
      </c>
      <c r="G3929" s="12" t="str">
        <f t="shared" si="308"/>
        <v>OK</v>
      </c>
      <c r="H3929" s="13">
        <f t="shared" si="309"/>
        <v>6</v>
      </c>
      <c r="I3929" s="14">
        <f t="shared" si="305"/>
        <v>1742.1799999999998</v>
      </c>
      <c r="K3929" t="str">
        <f>[1]!revcom(C3929)</f>
        <v>GATGAA</v>
      </c>
      <c r="L3929">
        <v>4</v>
      </c>
    </row>
    <row r="3930" spans="1:12" ht="15.6" x14ac:dyDescent="0.3">
      <c r="A3930" s="9">
        <v>3919</v>
      </c>
      <c r="B3930" s="1"/>
      <c r="C3930" s="2" t="s">
        <v>3925</v>
      </c>
      <c r="D3930" s="1"/>
      <c r="E3930" s="11">
        <f t="shared" si="306"/>
        <v>8</v>
      </c>
      <c r="F3930" s="12">
        <f t="shared" si="307"/>
        <v>33.333333333333329</v>
      </c>
      <c r="G3930" s="12" t="str">
        <f t="shared" si="308"/>
        <v>OK</v>
      </c>
      <c r="H3930" s="13">
        <f t="shared" si="309"/>
        <v>6</v>
      </c>
      <c r="I3930" s="14">
        <f t="shared" si="305"/>
        <v>1782.21</v>
      </c>
      <c r="K3930" t="str">
        <f>[1]!revcom(C3930)</f>
        <v>CATGAA</v>
      </c>
      <c r="L3930">
        <v>4</v>
      </c>
    </row>
    <row r="3931" spans="1:12" ht="15.6" x14ac:dyDescent="0.3">
      <c r="A3931" s="9">
        <v>3920</v>
      </c>
      <c r="B3931" s="1"/>
      <c r="C3931" s="2" t="s">
        <v>3926</v>
      </c>
      <c r="D3931" s="1"/>
      <c r="E3931" s="11">
        <f t="shared" si="306"/>
        <v>2</v>
      </c>
      <c r="F3931" s="12">
        <f t="shared" si="307"/>
        <v>16.666666666666664</v>
      </c>
      <c r="G3931" s="12" t="str">
        <f t="shared" si="308"/>
        <v>OK</v>
      </c>
      <c r="H3931" s="13">
        <f t="shared" si="309"/>
        <v>6</v>
      </c>
      <c r="I3931" s="14">
        <f t="shared" si="305"/>
        <v>1757.19</v>
      </c>
      <c r="K3931" t="str">
        <f>[1]!revcom(C3931)</f>
        <v>AATGAA</v>
      </c>
      <c r="L3931">
        <v>3</v>
      </c>
    </row>
    <row r="3932" spans="1:12" ht="15.6" x14ac:dyDescent="0.3">
      <c r="A3932" s="9">
        <v>3921</v>
      </c>
      <c r="B3932" s="1"/>
      <c r="C3932" s="2" t="s">
        <v>3927</v>
      </c>
      <c r="D3932" s="1"/>
      <c r="E3932" s="11">
        <f t="shared" si="306"/>
        <v>16</v>
      </c>
      <c r="F3932" s="12">
        <f t="shared" si="307"/>
        <v>33.333333333333329</v>
      </c>
      <c r="G3932" s="12" t="str">
        <f t="shared" si="308"/>
        <v>OK</v>
      </c>
      <c r="H3932" s="13">
        <f t="shared" si="309"/>
        <v>6</v>
      </c>
      <c r="I3932" s="14">
        <f t="shared" si="305"/>
        <v>1751.1999999999998</v>
      </c>
      <c r="K3932" t="str">
        <f>[1]!revcom(C3932)</f>
        <v>TTGGAA</v>
      </c>
      <c r="L3932">
        <v>5</v>
      </c>
    </row>
    <row r="3933" spans="1:12" ht="15.6" x14ac:dyDescent="0.3">
      <c r="A3933" s="9">
        <v>3922</v>
      </c>
      <c r="B3933" s="1"/>
      <c r="C3933" s="2" t="s">
        <v>3928</v>
      </c>
      <c r="D3933" s="1"/>
      <c r="E3933" s="11">
        <f t="shared" si="306"/>
        <v>14</v>
      </c>
      <c r="F3933" s="12">
        <f t="shared" si="307"/>
        <v>50</v>
      </c>
      <c r="G3933" s="12" t="str">
        <f t="shared" si="308"/>
        <v>Warning</v>
      </c>
      <c r="H3933" s="13">
        <f t="shared" si="309"/>
        <v>6</v>
      </c>
      <c r="I3933" s="14">
        <f t="shared" si="305"/>
        <v>1727.17</v>
      </c>
      <c r="K3933" t="str">
        <f>[1]!revcom(C3933)</f>
        <v>GTGGAA</v>
      </c>
      <c r="L3933">
        <v>5</v>
      </c>
    </row>
    <row r="3934" spans="1:12" ht="15.6" x14ac:dyDescent="0.3">
      <c r="A3934" s="9">
        <v>3923</v>
      </c>
      <c r="B3934" s="1"/>
      <c r="C3934" s="2" t="s">
        <v>3929</v>
      </c>
      <c r="D3934" s="1"/>
      <c r="E3934" s="11">
        <f t="shared" si="306"/>
        <v>14</v>
      </c>
      <c r="F3934" s="12">
        <f t="shared" si="307"/>
        <v>50</v>
      </c>
      <c r="G3934" s="12" t="str">
        <f t="shared" si="308"/>
        <v>Warning</v>
      </c>
      <c r="H3934" s="13">
        <f t="shared" si="309"/>
        <v>6</v>
      </c>
      <c r="I3934" s="14">
        <f t="shared" si="305"/>
        <v>1767.1999999999998</v>
      </c>
      <c r="K3934" t="str">
        <f>[1]!revcom(C3934)</f>
        <v>CTGGAA</v>
      </c>
      <c r="L3934">
        <v>5</v>
      </c>
    </row>
    <row r="3935" spans="1:12" ht="15.6" x14ac:dyDescent="0.3">
      <c r="A3935" s="9">
        <v>3924</v>
      </c>
      <c r="B3935" s="1"/>
      <c r="C3935" s="2" t="s">
        <v>3930</v>
      </c>
      <c r="D3935" s="1"/>
      <c r="E3935" s="11">
        <f t="shared" si="306"/>
        <v>8</v>
      </c>
      <c r="F3935" s="12">
        <f t="shared" si="307"/>
        <v>33.333333333333329</v>
      </c>
      <c r="G3935" s="12" t="str">
        <f t="shared" si="308"/>
        <v>OK</v>
      </c>
      <c r="H3935" s="13">
        <f t="shared" si="309"/>
        <v>6</v>
      </c>
      <c r="I3935" s="14">
        <f t="shared" si="305"/>
        <v>1742.1799999999998</v>
      </c>
      <c r="K3935" t="str">
        <f>[1]!revcom(C3935)</f>
        <v>ATGGAA</v>
      </c>
      <c r="L3935">
        <v>4</v>
      </c>
    </row>
    <row r="3936" spans="1:12" ht="15.6" x14ac:dyDescent="0.3">
      <c r="A3936" s="9">
        <v>3925</v>
      </c>
      <c r="B3936" s="1"/>
      <c r="C3936" s="2" t="s">
        <v>3931</v>
      </c>
      <c r="D3936" s="1"/>
      <c r="E3936" s="11">
        <f t="shared" si="306"/>
        <v>14</v>
      </c>
      <c r="F3936" s="12">
        <f t="shared" si="307"/>
        <v>50</v>
      </c>
      <c r="G3936" s="12" t="str">
        <f t="shared" si="308"/>
        <v>Warning</v>
      </c>
      <c r="H3936" s="13">
        <f t="shared" si="309"/>
        <v>6</v>
      </c>
      <c r="I3936" s="14">
        <f t="shared" si="305"/>
        <v>1727.17</v>
      </c>
      <c r="K3936" t="str">
        <f>[1]!revcom(C3936)</f>
        <v>TGGGAA</v>
      </c>
      <c r="L3936">
        <v>5</v>
      </c>
    </row>
    <row r="3937" spans="1:12" ht="15.6" x14ac:dyDescent="0.3">
      <c r="A3937" s="9">
        <v>3926</v>
      </c>
      <c r="B3937" s="1"/>
      <c r="C3937" s="2" t="s">
        <v>3932</v>
      </c>
      <c r="D3937" s="1"/>
      <c r="E3937" s="11">
        <f t="shared" si="306"/>
        <v>12</v>
      </c>
      <c r="F3937" s="12">
        <f t="shared" si="307"/>
        <v>66.666666666666657</v>
      </c>
      <c r="G3937" s="12" t="str">
        <f t="shared" si="308"/>
        <v>Warning</v>
      </c>
      <c r="H3937" s="13">
        <f t="shared" si="309"/>
        <v>6</v>
      </c>
      <c r="I3937" s="14">
        <f t="shared" si="305"/>
        <v>1703.1399999999999</v>
      </c>
      <c r="K3937" t="str">
        <f>[1]!revcom(C3937)</f>
        <v>GGGGAA</v>
      </c>
      <c r="L3937">
        <v>4</v>
      </c>
    </row>
    <row r="3938" spans="1:12" ht="15.6" x14ac:dyDescent="0.3">
      <c r="A3938" s="9">
        <v>3927</v>
      </c>
      <c r="B3938" s="1"/>
      <c r="C3938" s="2" t="s">
        <v>3933</v>
      </c>
      <c r="D3938" s="1"/>
      <c r="E3938" s="11">
        <f t="shared" si="306"/>
        <v>12</v>
      </c>
      <c r="F3938" s="12">
        <f t="shared" si="307"/>
        <v>66.666666666666657</v>
      </c>
      <c r="G3938" s="12" t="str">
        <f t="shared" si="308"/>
        <v>Warning</v>
      </c>
      <c r="H3938" s="13">
        <f t="shared" si="309"/>
        <v>6</v>
      </c>
      <c r="I3938" s="14">
        <f t="shared" si="305"/>
        <v>1743.17</v>
      </c>
      <c r="K3938" t="str">
        <f>[1]!revcom(C3938)</f>
        <v>CGGGAA</v>
      </c>
      <c r="L3938">
        <v>4</v>
      </c>
    </row>
    <row r="3939" spans="1:12" ht="15.6" x14ac:dyDescent="0.3">
      <c r="A3939" s="9">
        <v>3928</v>
      </c>
      <c r="B3939" s="1"/>
      <c r="C3939" s="2" t="s">
        <v>3934</v>
      </c>
      <c r="D3939" s="1"/>
      <c r="E3939" s="11">
        <f t="shared" si="306"/>
        <v>6</v>
      </c>
      <c r="F3939" s="12">
        <f t="shared" si="307"/>
        <v>50</v>
      </c>
      <c r="G3939" s="12" t="str">
        <f t="shared" si="308"/>
        <v>Warning</v>
      </c>
      <c r="H3939" s="13">
        <f t="shared" si="309"/>
        <v>6</v>
      </c>
      <c r="I3939" s="14">
        <f t="shared" si="305"/>
        <v>1718.15</v>
      </c>
      <c r="K3939" t="str">
        <f>[1]!revcom(C3939)</f>
        <v>AGGGAA</v>
      </c>
      <c r="L3939">
        <v>3</v>
      </c>
    </row>
    <row r="3940" spans="1:12" ht="15.6" x14ac:dyDescent="0.3">
      <c r="A3940" s="9">
        <v>3929</v>
      </c>
      <c r="B3940" s="1"/>
      <c r="C3940" s="2" t="s">
        <v>3935</v>
      </c>
      <c r="D3940" s="1"/>
      <c r="E3940" s="11">
        <f t="shared" si="306"/>
        <v>14</v>
      </c>
      <c r="F3940" s="12">
        <f t="shared" si="307"/>
        <v>50</v>
      </c>
      <c r="G3940" s="12" t="str">
        <f t="shared" si="308"/>
        <v>Warning</v>
      </c>
      <c r="H3940" s="13">
        <f t="shared" si="309"/>
        <v>6</v>
      </c>
      <c r="I3940" s="14">
        <f t="shared" si="305"/>
        <v>1767.1999999999998</v>
      </c>
      <c r="K3940" t="str">
        <f>[1]!revcom(C3940)</f>
        <v>TCGGAA</v>
      </c>
      <c r="L3940">
        <v>5</v>
      </c>
    </row>
    <row r="3941" spans="1:12" ht="15.6" x14ac:dyDescent="0.3">
      <c r="A3941" s="9">
        <v>3930</v>
      </c>
      <c r="B3941" s="1"/>
      <c r="C3941" s="2" t="s">
        <v>3936</v>
      </c>
      <c r="D3941" s="1"/>
      <c r="E3941" s="11">
        <f t="shared" si="306"/>
        <v>12</v>
      </c>
      <c r="F3941" s="12">
        <f t="shared" si="307"/>
        <v>66.666666666666657</v>
      </c>
      <c r="G3941" s="12" t="str">
        <f t="shared" si="308"/>
        <v>Warning</v>
      </c>
      <c r="H3941" s="13">
        <f t="shared" si="309"/>
        <v>6</v>
      </c>
      <c r="I3941" s="14">
        <f t="shared" si="305"/>
        <v>1743.17</v>
      </c>
      <c r="K3941" t="str">
        <f>[1]!revcom(C3941)</f>
        <v>GCGGAA</v>
      </c>
      <c r="L3941">
        <v>4</v>
      </c>
    </row>
    <row r="3942" spans="1:12" ht="15.6" x14ac:dyDescent="0.3">
      <c r="A3942" s="9">
        <v>3931</v>
      </c>
      <c r="B3942" s="1"/>
      <c r="C3942" s="2" t="s">
        <v>3937</v>
      </c>
      <c r="D3942" s="1"/>
      <c r="E3942" s="11">
        <f t="shared" si="306"/>
        <v>12</v>
      </c>
      <c r="F3942" s="12">
        <f t="shared" si="307"/>
        <v>66.666666666666657</v>
      </c>
      <c r="G3942" s="12" t="str">
        <f t="shared" si="308"/>
        <v>Warning</v>
      </c>
      <c r="H3942" s="13">
        <f t="shared" si="309"/>
        <v>6</v>
      </c>
      <c r="I3942" s="14">
        <f t="shared" si="305"/>
        <v>1783.1999999999998</v>
      </c>
      <c r="K3942" t="str">
        <f>[1]!revcom(C3942)</f>
        <v>CCGGAA</v>
      </c>
      <c r="L3942">
        <v>4</v>
      </c>
    </row>
    <row r="3943" spans="1:12" ht="15.6" x14ac:dyDescent="0.3">
      <c r="A3943" s="9">
        <v>3932</v>
      </c>
      <c r="B3943" s="1"/>
      <c r="C3943" s="2" t="s">
        <v>3938</v>
      </c>
      <c r="D3943" s="1"/>
      <c r="E3943" s="11">
        <f t="shared" si="306"/>
        <v>6</v>
      </c>
      <c r="F3943" s="12">
        <f t="shared" si="307"/>
        <v>50</v>
      </c>
      <c r="G3943" s="12" t="str">
        <f t="shared" si="308"/>
        <v>Warning</v>
      </c>
      <c r="H3943" s="13">
        <f t="shared" si="309"/>
        <v>6</v>
      </c>
      <c r="I3943" s="14">
        <f t="shared" si="305"/>
        <v>1758.1799999999998</v>
      </c>
      <c r="K3943" t="str">
        <f>[1]!revcom(C3943)</f>
        <v>ACGGAA</v>
      </c>
      <c r="L3943">
        <v>3</v>
      </c>
    </row>
    <row r="3944" spans="1:12" ht="15.6" x14ac:dyDescent="0.3">
      <c r="A3944" s="9">
        <v>3933</v>
      </c>
      <c r="B3944" s="1"/>
      <c r="C3944" s="2" t="s">
        <v>3939</v>
      </c>
      <c r="D3944" s="1"/>
      <c r="E3944" s="11">
        <f t="shared" si="306"/>
        <v>8</v>
      </c>
      <c r="F3944" s="12">
        <f t="shared" si="307"/>
        <v>33.333333333333329</v>
      </c>
      <c r="G3944" s="12" t="str">
        <f t="shared" si="308"/>
        <v>OK</v>
      </c>
      <c r="H3944" s="13">
        <f t="shared" si="309"/>
        <v>6</v>
      </c>
      <c r="I3944" s="14">
        <f t="shared" si="305"/>
        <v>1742.1799999999998</v>
      </c>
      <c r="K3944" t="str">
        <f>[1]!revcom(C3944)</f>
        <v>TAGGAA</v>
      </c>
      <c r="L3944">
        <v>4</v>
      </c>
    </row>
    <row r="3945" spans="1:12" ht="15.6" x14ac:dyDescent="0.3">
      <c r="A3945" s="9">
        <v>3934</v>
      </c>
      <c r="B3945" s="1"/>
      <c r="C3945" s="2" t="s">
        <v>3940</v>
      </c>
      <c r="D3945" s="1"/>
      <c r="E3945" s="11">
        <f t="shared" si="306"/>
        <v>6</v>
      </c>
      <c r="F3945" s="12">
        <f t="shared" si="307"/>
        <v>50</v>
      </c>
      <c r="G3945" s="12" t="str">
        <f t="shared" si="308"/>
        <v>Warning</v>
      </c>
      <c r="H3945" s="13">
        <f t="shared" si="309"/>
        <v>6</v>
      </c>
      <c r="I3945" s="14">
        <f t="shared" si="305"/>
        <v>1718.15</v>
      </c>
      <c r="K3945" t="str">
        <f>[1]!revcom(C3945)</f>
        <v>GAGGAA</v>
      </c>
      <c r="L3945">
        <v>3</v>
      </c>
    </row>
    <row r="3946" spans="1:12" ht="15.6" x14ac:dyDescent="0.3">
      <c r="A3946" s="9">
        <v>3935</v>
      </c>
      <c r="B3946" s="1"/>
      <c r="C3946" s="2" t="s">
        <v>3941</v>
      </c>
      <c r="D3946" s="1"/>
      <c r="E3946" s="11">
        <f t="shared" si="306"/>
        <v>6</v>
      </c>
      <c r="F3946" s="12">
        <f t="shared" si="307"/>
        <v>50</v>
      </c>
      <c r="G3946" s="12" t="str">
        <f t="shared" si="308"/>
        <v>Warning</v>
      </c>
      <c r="H3946" s="13">
        <f t="shared" si="309"/>
        <v>6</v>
      </c>
      <c r="I3946" s="14">
        <f t="shared" si="305"/>
        <v>1758.1799999999998</v>
      </c>
      <c r="K3946" t="str">
        <f>[1]!revcom(C3946)</f>
        <v>CAGGAA</v>
      </c>
      <c r="L3946">
        <v>3</v>
      </c>
    </row>
    <row r="3947" spans="1:12" ht="15.6" x14ac:dyDescent="0.3">
      <c r="A3947" s="9">
        <v>3936</v>
      </c>
      <c r="B3947" s="1"/>
      <c r="C3947" s="2" t="s">
        <v>3942</v>
      </c>
      <c r="D3947" s="1"/>
      <c r="E3947" s="11">
        <f t="shared" si="306"/>
        <v>0</v>
      </c>
      <c r="F3947" s="12">
        <f t="shared" si="307"/>
        <v>33.333333333333329</v>
      </c>
      <c r="G3947" s="12" t="str">
        <f t="shared" si="308"/>
        <v>OK</v>
      </c>
      <c r="H3947" s="13">
        <f t="shared" si="309"/>
        <v>6</v>
      </c>
      <c r="I3947" s="14">
        <f t="shared" si="305"/>
        <v>1733.1599999999999</v>
      </c>
      <c r="K3947" t="str">
        <f>[1]!revcom(C3947)</f>
        <v>AAGGAA</v>
      </c>
      <c r="L3947">
        <v>2</v>
      </c>
    </row>
    <row r="3948" spans="1:12" ht="15.6" x14ac:dyDescent="0.3">
      <c r="A3948" s="9">
        <v>3937</v>
      </c>
      <c r="B3948" s="1"/>
      <c r="C3948" s="2" t="s">
        <v>3943</v>
      </c>
      <c r="D3948" s="1"/>
      <c r="E3948" s="11">
        <f t="shared" si="306"/>
        <v>16</v>
      </c>
      <c r="F3948" s="12">
        <f t="shared" si="307"/>
        <v>33.333333333333329</v>
      </c>
      <c r="G3948" s="12" t="str">
        <f t="shared" si="308"/>
        <v>OK</v>
      </c>
      <c r="H3948" s="13">
        <f t="shared" si="309"/>
        <v>6</v>
      </c>
      <c r="I3948" s="14">
        <f t="shared" si="305"/>
        <v>1791.23</v>
      </c>
      <c r="K3948" t="str">
        <f>[1]!revcom(C3948)</f>
        <v>TTCGAA</v>
      </c>
      <c r="L3948">
        <v>5</v>
      </c>
    </row>
    <row r="3949" spans="1:12" ht="15.6" x14ac:dyDescent="0.3">
      <c r="A3949" s="9">
        <v>3938</v>
      </c>
      <c r="B3949" s="1"/>
      <c r="C3949" s="2" t="s">
        <v>3944</v>
      </c>
      <c r="D3949" s="1"/>
      <c r="E3949" s="11">
        <f t="shared" si="306"/>
        <v>14</v>
      </c>
      <c r="F3949" s="12">
        <f t="shared" si="307"/>
        <v>50</v>
      </c>
      <c r="G3949" s="12" t="str">
        <f t="shared" si="308"/>
        <v>Warning</v>
      </c>
      <c r="H3949" s="13">
        <f t="shared" si="309"/>
        <v>6</v>
      </c>
      <c r="I3949" s="14">
        <f t="shared" si="305"/>
        <v>1767.1999999999998</v>
      </c>
      <c r="K3949" t="str">
        <f>[1]!revcom(C3949)</f>
        <v>GTCGAA</v>
      </c>
      <c r="L3949">
        <v>5</v>
      </c>
    </row>
    <row r="3950" spans="1:12" ht="15.6" x14ac:dyDescent="0.3">
      <c r="A3950" s="9">
        <v>3939</v>
      </c>
      <c r="B3950" s="1"/>
      <c r="C3950" s="2" t="s">
        <v>3945</v>
      </c>
      <c r="D3950" s="1"/>
      <c r="E3950" s="11">
        <f t="shared" si="306"/>
        <v>14</v>
      </c>
      <c r="F3950" s="12">
        <f t="shared" si="307"/>
        <v>50</v>
      </c>
      <c r="G3950" s="12" t="str">
        <f t="shared" si="308"/>
        <v>Warning</v>
      </c>
      <c r="H3950" s="13">
        <f t="shared" si="309"/>
        <v>6</v>
      </c>
      <c r="I3950" s="14">
        <f t="shared" si="305"/>
        <v>1807.23</v>
      </c>
      <c r="K3950" t="str">
        <f>[1]!revcom(C3950)</f>
        <v>CTCGAA</v>
      </c>
      <c r="L3950">
        <v>5</v>
      </c>
    </row>
    <row r="3951" spans="1:12" ht="15.6" x14ac:dyDescent="0.3">
      <c r="A3951" s="9">
        <v>3940</v>
      </c>
      <c r="B3951" s="1"/>
      <c r="C3951" s="2" t="s">
        <v>3946</v>
      </c>
      <c r="D3951" s="1"/>
      <c r="E3951" s="11">
        <f t="shared" si="306"/>
        <v>8</v>
      </c>
      <c r="F3951" s="12">
        <f t="shared" si="307"/>
        <v>33.333333333333329</v>
      </c>
      <c r="G3951" s="12" t="str">
        <f t="shared" si="308"/>
        <v>OK</v>
      </c>
      <c r="H3951" s="13">
        <f t="shared" si="309"/>
        <v>6</v>
      </c>
      <c r="I3951" s="14">
        <f t="shared" si="305"/>
        <v>1782.21</v>
      </c>
      <c r="K3951" t="str">
        <f>[1]!revcom(C3951)</f>
        <v>ATCGAA</v>
      </c>
      <c r="L3951">
        <v>4</v>
      </c>
    </row>
    <row r="3952" spans="1:12" ht="15.6" x14ac:dyDescent="0.3">
      <c r="A3952" s="9">
        <v>3941</v>
      </c>
      <c r="B3952" s="1"/>
      <c r="C3952" s="2" t="s">
        <v>3947</v>
      </c>
      <c r="D3952" s="1"/>
      <c r="E3952" s="11">
        <f t="shared" si="306"/>
        <v>14</v>
      </c>
      <c r="F3952" s="12">
        <f t="shared" si="307"/>
        <v>50</v>
      </c>
      <c r="G3952" s="12" t="str">
        <f t="shared" si="308"/>
        <v>Warning</v>
      </c>
      <c r="H3952" s="13">
        <f t="shared" si="309"/>
        <v>6</v>
      </c>
      <c r="I3952" s="14">
        <f t="shared" si="305"/>
        <v>1767.1999999999998</v>
      </c>
      <c r="K3952" t="str">
        <f>[1]!revcom(C3952)</f>
        <v>TGCGAA</v>
      </c>
      <c r="L3952">
        <v>5</v>
      </c>
    </row>
    <row r="3953" spans="1:12" ht="15.6" x14ac:dyDescent="0.3">
      <c r="A3953" s="9">
        <v>3942</v>
      </c>
      <c r="B3953" s="1"/>
      <c r="C3953" s="2" t="s">
        <v>3948</v>
      </c>
      <c r="D3953" s="1"/>
      <c r="E3953" s="11">
        <f t="shared" si="306"/>
        <v>12</v>
      </c>
      <c r="F3953" s="12">
        <f t="shared" si="307"/>
        <v>66.666666666666657</v>
      </c>
      <c r="G3953" s="12" t="str">
        <f t="shared" si="308"/>
        <v>Warning</v>
      </c>
      <c r="H3953" s="13">
        <f t="shared" si="309"/>
        <v>6</v>
      </c>
      <c r="I3953" s="14">
        <f t="shared" si="305"/>
        <v>1743.17</v>
      </c>
      <c r="K3953" t="str">
        <f>[1]!revcom(C3953)</f>
        <v>GGCGAA</v>
      </c>
      <c r="L3953">
        <v>4</v>
      </c>
    </row>
    <row r="3954" spans="1:12" ht="15.6" x14ac:dyDescent="0.3">
      <c r="A3954" s="9">
        <v>3943</v>
      </c>
      <c r="B3954" s="1"/>
      <c r="C3954" s="2" t="s">
        <v>3949</v>
      </c>
      <c r="D3954" s="1"/>
      <c r="E3954" s="11">
        <f t="shared" si="306"/>
        <v>12</v>
      </c>
      <c r="F3954" s="12">
        <f t="shared" si="307"/>
        <v>66.666666666666657</v>
      </c>
      <c r="G3954" s="12" t="str">
        <f t="shared" si="308"/>
        <v>Warning</v>
      </c>
      <c r="H3954" s="13">
        <f t="shared" si="309"/>
        <v>6</v>
      </c>
      <c r="I3954" s="14">
        <f t="shared" si="305"/>
        <v>1783.1999999999998</v>
      </c>
      <c r="K3954" t="str">
        <f>[1]!revcom(C3954)</f>
        <v>CGCGAA</v>
      </c>
      <c r="L3954">
        <v>4</v>
      </c>
    </row>
    <row r="3955" spans="1:12" ht="15.6" x14ac:dyDescent="0.3">
      <c r="A3955" s="9">
        <v>3944</v>
      </c>
      <c r="B3955" s="1"/>
      <c r="C3955" s="2" t="s">
        <v>3950</v>
      </c>
      <c r="D3955" s="1"/>
      <c r="E3955" s="11">
        <f t="shared" si="306"/>
        <v>6</v>
      </c>
      <c r="F3955" s="12">
        <f t="shared" si="307"/>
        <v>50</v>
      </c>
      <c r="G3955" s="12" t="str">
        <f t="shared" si="308"/>
        <v>Warning</v>
      </c>
      <c r="H3955" s="13">
        <f t="shared" si="309"/>
        <v>6</v>
      </c>
      <c r="I3955" s="14">
        <f t="shared" si="305"/>
        <v>1758.1799999999998</v>
      </c>
      <c r="K3955" t="str">
        <f>[1]!revcom(C3955)</f>
        <v>AGCGAA</v>
      </c>
      <c r="L3955">
        <v>3</v>
      </c>
    </row>
    <row r="3956" spans="1:12" ht="15.6" x14ac:dyDescent="0.3">
      <c r="A3956" s="9">
        <v>3945</v>
      </c>
      <c r="B3956" s="1"/>
      <c r="C3956" s="2" t="s">
        <v>3951</v>
      </c>
      <c r="D3956" s="1"/>
      <c r="E3956" s="11">
        <f t="shared" si="306"/>
        <v>14</v>
      </c>
      <c r="F3956" s="12">
        <f t="shared" si="307"/>
        <v>50</v>
      </c>
      <c r="G3956" s="12" t="str">
        <f t="shared" si="308"/>
        <v>Warning</v>
      </c>
      <c r="H3956" s="13">
        <f t="shared" si="309"/>
        <v>6</v>
      </c>
      <c r="I3956" s="14">
        <f t="shared" si="305"/>
        <v>1807.23</v>
      </c>
      <c r="K3956" t="str">
        <f>[1]!revcom(C3956)</f>
        <v>TCCGAA</v>
      </c>
      <c r="L3956">
        <v>5</v>
      </c>
    </row>
    <row r="3957" spans="1:12" ht="15.6" x14ac:dyDescent="0.3">
      <c r="A3957" s="9">
        <v>3946</v>
      </c>
      <c r="B3957" s="1"/>
      <c r="C3957" s="2" t="s">
        <v>3952</v>
      </c>
      <c r="D3957" s="1"/>
      <c r="E3957" s="11">
        <f t="shared" si="306"/>
        <v>12</v>
      </c>
      <c r="F3957" s="12">
        <f t="shared" si="307"/>
        <v>66.666666666666657</v>
      </c>
      <c r="G3957" s="12" t="str">
        <f t="shared" si="308"/>
        <v>Warning</v>
      </c>
      <c r="H3957" s="13">
        <f t="shared" si="309"/>
        <v>6</v>
      </c>
      <c r="I3957" s="14">
        <f t="shared" si="305"/>
        <v>1783.1999999999998</v>
      </c>
      <c r="K3957" t="str">
        <f>[1]!revcom(C3957)</f>
        <v>GCCGAA</v>
      </c>
      <c r="L3957">
        <v>4</v>
      </c>
    </row>
    <row r="3958" spans="1:12" ht="15.6" x14ac:dyDescent="0.3">
      <c r="A3958" s="9">
        <v>3947</v>
      </c>
      <c r="B3958" s="1"/>
      <c r="C3958" s="2" t="s">
        <v>3953</v>
      </c>
      <c r="D3958" s="1"/>
      <c r="E3958" s="11">
        <f t="shared" si="306"/>
        <v>12</v>
      </c>
      <c r="F3958" s="12">
        <f t="shared" si="307"/>
        <v>66.666666666666657</v>
      </c>
      <c r="G3958" s="12" t="str">
        <f t="shared" si="308"/>
        <v>Warning</v>
      </c>
      <c r="H3958" s="13">
        <f t="shared" si="309"/>
        <v>6</v>
      </c>
      <c r="I3958" s="14">
        <f t="shared" si="305"/>
        <v>1823.23</v>
      </c>
      <c r="K3958" t="str">
        <f>[1]!revcom(C3958)</f>
        <v>CCCGAA</v>
      </c>
      <c r="L3958">
        <v>4</v>
      </c>
    </row>
    <row r="3959" spans="1:12" ht="15.6" x14ac:dyDescent="0.3">
      <c r="A3959" s="9">
        <v>3948</v>
      </c>
      <c r="B3959" s="1"/>
      <c r="C3959" s="2" t="s">
        <v>3954</v>
      </c>
      <c r="D3959" s="1"/>
      <c r="E3959" s="11">
        <f t="shared" si="306"/>
        <v>6</v>
      </c>
      <c r="F3959" s="12">
        <f t="shared" si="307"/>
        <v>50</v>
      </c>
      <c r="G3959" s="12" t="str">
        <f t="shared" si="308"/>
        <v>Warning</v>
      </c>
      <c r="H3959" s="13">
        <f t="shared" si="309"/>
        <v>6</v>
      </c>
      <c r="I3959" s="14">
        <f t="shared" si="305"/>
        <v>1798.21</v>
      </c>
      <c r="K3959" t="str">
        <f>[1]!revcom(C3959)</f>
        <v>ACCGAA</v>
      </c>
      <c r="L3959">
        <v>3</v>
      </c>
    </row>
    <row r="3960" spans="1:12" ht="15.6" x14ac:dyDescent="0.3">
      <c r="A3960" s="9">
        <v>3949</v>
      </c>
      <c r="B3960" s="1"/>
      <c r="C3960" s="2" t="s">
        <v>3955</v>
      </c>
      <c r="D3960" s="1"/>
      <c r="E3960" s="11">
        <f t="shared" si="306"/>
        <v>8</v>
      </c>
      <c r="F3960" s="12">
        <f t="shared" si="307"/>
        <v>33.333333333333329</v>
      </c>
      <c r="G3960" s="12" t="str">
        <f t="shared" si="308"/>
        <v>OK</v>
      </c>
      <c r="H3960" s="13">
        <f t="shared" si="309"/>
        <v>6</v>
      </c>
      <c r="I3960" s="14">
        <f t="shared" si="305"/>
        <v>1782.21</v>
      </c>
      <c r="K3960" t="str">
        <f>[1]!revcom(C3960)</f>
        <v>TACGAA</v>
      </c>
      <c r="L3960">
        <v>4</v>
      </c>
    </row>
    <row r="3961" spans="1:12" ht="15.6" x14ac:dyDescent="0.3">
      <c r="A3961" s="9">
        <v>3950</v>
      </c>
      <c r="B3961" s="1"/>
      <c r="C3961" s="2" t="s">
        <v>3956</v>
      </c>
      <c r="D3961" s="1"/>
      <c r="E3961" s="11">
        <f t="shared" si="306"/>
        <v>6</v>
      </c>
      <c r="F3961" s="12">
        <f t="shared" si="307"/>
        <v>50</v>
      </c>
      <c r="G3961" s="12" t="str">
        <f t="shared" si="308"/>
        <v>Warning</v>
      </c>
      <c r="H3961" s="13">
        <f t="shared" si="309"/>
        <v>6</v>
      </c>
      <c r="I3961" s="14">
        <f t="shared" si="305"/>
        <v>1758.1799999999998</v>
      </c>
      <c r="K3961" t="str">
        <f>[1]!revcom(C3961)</f>
        <v>GACGAA</v>
      </c>
      <c r="L3961">
        <v>3</v>
      </c>
    </row>
    <row r="3962" spans="1:12" ht="15.6" x14ac:dyDescent="0.3">
      <c r="A3962" s="9">
        <v>3951</v>
      </c>
      <c r="B3962" s="1"/>
      <c r="C3962" s="2" t="s">
        <v>3957</v>
      </c>
      <c r="D3962" s="1"/>
      <c r="E3962" s="11">
        <f t="shared" si="306"/>
        <v>6</v>
      </c>
      <c r="F3962" s="12">
        <f t="shared" si="307"/>
        <v>50</v>
      </c>
      <c r="G3962" s="12" t="str">
        <f t="shared" si="308"/>
        <v>Warning</v>
      </c>
      <c r="H3962" s="13">
        <f t="shared" si="309"/>
        <v>6</v>
      </c>
      <c r="I3962" s="14">
        <f t="shared" si="305"/>
        <v>1798.21</v>
      </c>
      <c r="K3962" t="str">
        <f>[1]!revcom(C3962)</f>
        <v>CACGAA</v>
      </c>
      <c r="L3962">
        <v>3</v>
      </c>
    </row>
    <row r="3963" spans="1:12" ht="15.6" x14ac:dyDescent="0.3">
      <c r="A3963" s="9">
        <v>3952</v>
      </c>
      <c r="B3963" s="1"/>
      <c r="C3963" s="2" t="s">
        <v>3958</v>
      </c>
      <c r="D3963" s="1"/>
      <c r="E3963" s="11">
        <f t="shared" si="306"/>
        <v>0</v>
      </c>
      <c r="F3963" s="12">
        <f t="shared" si="307"/>
        <v>33.333333333333329</v>
      </c>
      <c r="G3963" s="12" t="str">
        <f t="shared" si="308"/>
        <v>OK</v>
      </c>
      <c r="H3963" s="13">
        <f t="shared" si="309"/>
        <v>6</v>
      </c>
      <c r="I3963" s="14">
        <f t="shared" si="305"/>
        <v>1773.19</v>
      </c>
      <c r="K3963" t="str">
        <f>[1]!revcom(C3963)</f>
        <v>AACGAA</v>
      </c>
      <c r="L3963">
        <v>2</v>
      </c>
    </row>
    <row r="3964" spans="1:12" ht="15.6" x14ac:dyDescent="0.3">
      <c r="A3964" s="9">
        <v>3953</v>
      </c>
      <c r="B3964" s="1"/>
      <c r="C3964" s="2" t="s">
        <v>3959</v>
      </c>
      <c r="D3964" s="1"/>
      <c r="E3964" s="11">
        <f t="shared" si="306"/>
        <v>10</v>
      </c>
      <c r="F3964" s="12">
        <f t="shared" si="307"/>
        <v>16.666666666666664</v>
      </c>
      <c r="G3964" s="12" t="str">
        <f t="shared" si="308"/>
        <v>OK</v>
      </c>
      <c r="H3964" s="13">
        <f t="shared" si="309"/>
        <v>6</v>
      </c>
      <c r="I3964" s="14">
        <f t="shared" si="305"/>
        <v>1766.21</v>
      </c>
      <c r="K3964" t="str">
        <f>[1]!revcom(C3964)</f>
        <v>TTAGAA</v>
      </c>
      <c r="L3964">
        <v>4</v>
      </c>
    </row>
    <row r="3965" spans="1:12" ht="15.6" x14ac:dyDescent="0.3">
      <c r="A3965" s="9">
        <v>3954</v>
      </c>
      <c r="B3965" s="1"/>
      <c r="C3965" s="2" t="s">
        <v>3960</v>
      </c>
      <c r="D3965" s="1"/>
      <c r="E3965" s="11">
        <f t="shared" si="306"/>
        <v>8</v>
      </c>
      <c r="F3965" s="12">
        <f t="shared" si="307"/>
        <v>33.333333333333329</v>
      </c>
      <c r="G3965" s="12" t="str">
        <f t="shared" si="308"/>
        <v>OK</v>
      </c>
      <c r="H3965" s="13">
        <f t="shared" si="309"/>
        <v>6</v>
      </c>
      <c r="I3965" s="14">
        <f t="shared" si="305"/>
        <v>1742.1799999999998</v>
      </c>
      <c r="K3965" t="str">
        <f>[1]!revcom(C3965)</f>
        <v>GTAGAA</v>
      </c>
      <c r="L3965">
        <v>4</v>
      </c>
    </row>
    <row r="3966" spans="1:12" ht="15.6" x14ac:dyDescent="0.3">
      <c r="A3966" s="9">
        <v>3955</v>
      </c>
      <c r="B3966" s="1"/>
      <c r="C3966" s="2" t="s">
        <v>3961</v>
      </c>
      <c r="D3966" s="1"/>
      <c r="E3966" s="11">
        <f t="shared" si="306"/>
        <v>8</v>
      </c>
      <c r="F3966" s="12">
        <f t="shared" si="307"/>
        <v>33.333333333333329</v>
      </c>
      <c r="G3966" s="12" t="str">
        <f t="shared" si="308"/>
        <v>OK</v>
      </c>
      <c r="H3966" s="13">
        <f t="shared" si="309"/>
        <v>6</v>
      </c>
      <c r="I3966" s="14">
        <f t="shared" si="305"/>
        <v>1782.21</v>
      </c>
      <c r="K3966" t="str">
        <f>[1]!revcom(C3966)</f>
        <v>CTAGAA</v>
      </c>
      <c r="L3966">
        <v>4</v>
      </c>
    </row>
    <row r="3967" spans="1:12" ht="15.6" x14ac:dyDescent="0.3">
      <c r="A3967" s="9">
        <v>3956</v>
      </c>
      <c r="B3967" s="1"/>
      <c r="C3967" s="2" t="s">
        <v>3962</v>
      </c>
      <c r="D3967" s="1"/>
      <c r="E3967" s="11">
        <f t="shared" si="306"/>
        <v>2</v>
      </c>
      <c r="F3967" s="12">
        <f t="shared" si="307"/>
        <v>16.666666666666664</v>
      </c>
      <c r="G3967" s="12" t="str">
        <f t="shared" si="308"/>
        <v>OK</v>
      </c>
      <c r="H3967" s="13">
        <f t="shared" si="309"/>
        <v>6</v>
      </c>
      <c r="I3967" s="14">
        <f t="shared" si="305"/>
        <v>1757.19</v>
      </c>
      <c r="K3967" t="str">
        <f>[1]!revcom(C3967)</f>
        <v>ATAGAA</v>
      </c>
      <c r="L3967">
        <v>3</v>
      </c>
    </row>
    <row r="3968" spans="1:12" ht="15.6" x14ac:dyDescent="0.3">
      <c r="A3968" s="9">
        <v>3957</v>
      </c>
      <c r="B3968" s="1"/>
      <c r="C3968" s="2" t="s">
        <v>3963</v>
      </c>
      <c r="D3968" s="1"/>
      <c r="E3968" s="11">
        <f t="shared" si="306"/>
        <v>8</v>
      </c>
      <c r="F3968" s="12">
        <f t="shared" si="307"/>
        <v>33.333333333333329</v>
      </c>
      <c r="G3968" s="12" t="str">
        <f t="shared" si="308"/>
        <v>OK</v>
      </c>
      <c r="H3968" s="13">
        <f t="shared" si="309"/>
        <v>6</v>
      </c>
      <c r="I3968" s="14">
        <f t="shared" si="305"/>
        <v>1742.1799999999998</v>
      </c>
      <c r="K3968" t="str">
        <f>[1]!revcom(C3968)</f>
        <v>TGAGAA</v>
      </c>
      <c r="L3968">
        <v>4</v>
      </c>
    </row>
    <row r="3969" spans="1:12" ht="15.6" x14ac:dyDescent="0.3">
      <c r="A3969" s="9">
        <v>3958</v>
      </c>
      <c r="B3969" s="1"/>
      <c r="C3969" s="2" t="s">
        <v>3964</v>
      </c>
      <c r="D3969" s="1"/>
      <c r="E3969" s="11">
        <f t="shared" si="306"/>
        <v>6</v>
      </c>
      <c r="F3969" s="12">
        <f t="shared" si="307"/>
        <v>50</v>
      </c>
      <c r="G3969" s="12" t="str">
        <f t="shared" si="308"/>
        <v>Warning</v>
      </c>
      <c r="H3969" s="13">
        <f t="shared" si="309"/>
        <v>6</v>
      </c>
      <c r="I3969" s="14">
        <f t="shared" si="305"/>
        <v>1718.15</v>
      </c>
      <c r="K3969" t="str">
        <f>[1]!revcom(C3969)</f>
        <v>GGAGAA</v>
      </c>
      <c r="L3969">
        <v>3</v>
      </c>
    </row>
    <row r="3970" spans="1:12" ht="15.6" x14ac:dyDescent="0.3">
      <c r="A3970" s="9">
        <v>3959</v>
      </c>
      <c r="B3970" s="1"/>
      <c r="C3970" s="2" t="s">
        <v>3965</v>
      </c>
      <c r="D3970" s="1"/>
      <c r="E3970" s="11">
        <f t="shared" si="306"/>
        <v>6</v>
      </c>
      <c r="F3970" s="12">
        <f t="shared" si="307"/>
        <v>50</v>
      </c>
      <c r="G3970" s="12" t="str">
        <f t="shared" si="308"/>
        <v>Warning</v>
      </c>
      <c r="H3970" s="13">
        <f t="shared" si="309"/>
        <v>6</v>
      </c>
      <c r="I3970" s="14">
        <f t="shared" si="305"/>
        <v>1758.1799999999998</v>
      </c>
      <c r="K3970" t="str">
        <f>[1]!revcom(C3970)</f>
        <v>CGAGAA</v>
      </c>
      <c r="L3970">
        <v>3</v>
      </c>
    </row>
    <row r="3971" spans="1:12" ht="15.6" x14ac:dyDescent="0.3">
      <c r="A3971" s="9">
        <v>3960</v>
      </c>
      <c r="B3971" s="1"/>
      <c r="C3971" s="2" t="s">
        <v>3966</v>
      </c>
      <c r="D3971" s="1"/>
      <c r="E3971" s="11">
        <f t="shared" si="306"/>
        <v>0</v>
      </c>
      <c r="F3971" s="12">
        <f t="shared" si="307"/>
        <v>33.333333333333329</v>
      </c>
      <c r="G3971" s="12" t="str">
        <f t="shared" si="308"/>
        <v>OK</v>
      </c>
      <c r="H3971" s="13">
        <f t="shared" si="309"/>
        <v>6</v>
      </c>
      <c r="I3971" s="14">
        <f t="shared" si="305"/>
        <v>1733.1599999999999</v>
      </c>
      <c r="K3971" t="str">
        <f>[1]!revcom(C3971)</f>
        <v>AGAGAA</v>
      </c>
      <c r="L3971">
        <v>2</v>
      </c>
    </row>
    <row r="3972" spans="1:12" ht="15.6" x14ac:dyDescent="0.3">
      <c r="A3972" s="9">
        <v>3961</v>
      </c>
      <c r="B3972" s="1"/>
      <c r="C3972" s="2" t="s">
        <v>3967</v>
      </c>
      <c r="D3972" s="1"/>
      <c r="E3972" s="11">
        <f t="shared" si="306"/>
        <v>8</v>
      </c>
      <c r="F3972" s="12">
        <f t="shared" si="307"/>
        <v>33.333333333333329</v>
      </c>
      <c r="G3972" s="12" t="str">
        <f t="shared" si="308"/>
        <v>OK</v>
      </c>
      <c r="H3972" s="13">
        <f t="shared" si="309"/>
        <v>6</v>
      </c>
      <c r="I3972" s="14">
        <f t="shared" si="305"/>
        <v>1782.21</v>
      </c>
      <c r="K3972" t="str">
        <f>[1]!revcom(C3972)</f>
        <v>TCAGAA</v>
      </c>
      <c r="L3972">
        <v>4</v>
      </c>
    </row>
    <row r="3973" spans="1:12" ht="15.6" x14ac:dyDescent="0.3">
      <c r="A3973" s="9">
        <v>3962</v>
      </c>
      <c r="B3973" s="1"/>
      <c r="C3973" s="2" t="s">
        <v>3968</v>
      </c>
      <c r="D3973" s="1"/>
      <c r="E3973" s="11">
        <f t="shared" si="306"/>
        <v>6</v>
      </c>
      <c r="F3973" s="12">
        <f t="shared" si="307"/>
        <v>50</v>
      </c>
      <c r="G3973" s="12" t="str">
        <f t="shared" si="308"/>
        <v>Warning</v>
      </c>
      <c r="H3973" s="13">
        <f t="shared" si="309"/>
        <v>6</v>
      </c>
      <c r="I3973" s="14">
        <f t="shared" si="305"/>
        <v>1758.1799999999998</v>
      </c>
      <c r="K3973" t="str">
        <f>[1]!revcom(C3973)</f>
        <v>GCAGAA</v>
      </c>
      <c r="L3973">
        <v>3</v>
      </c>
    </row>
    <row r="3974" spans="1:12" ht="15.6" x14ac:dyDescent="0.3">
      <c r="A3974" s="9">
        <v>3963</v>
      </c>
      <c r="B3974" s="1"/>
      <c r="C3974" s="2" t="s">
        <v>3969</v>
      </c>
      <c r="D3974" s="1"/>
      <c r="E3974" s="11">
        <f t="shared" si="306"/>
        <v>6</v>
      </c>
      <c r="F3974" s="12">
        <f t="shared" si="307"/>
        <v>50</v>
      </c>
      <c r="G3974" s="12" t="str">
        <f t="shared" si="308"/>
        <v>Warning</v>
      </c>
      <c r="H3974" s="13">
        <f t="shared" si="309"/>
        <v>6</v>
      </c>
      <c r="I3974" s="14">
        <f t="shared" si="305"/>
        <v>1798.21</v>
      </c>
      <c r="K3974" t="str">
        <f>[1]!revcom(C3974)</f>
        <v>CCAGAA</v>
      </c>
      <c r="L3974">
        <v>3</v>
      </c>
    </row>
    <row r="3975" spans="1:12" ht="15.6" x14ac:dyDescent="0.3">
      <c r="A3975" s="9">
        <v>3964</v>
      </c>
      <c r="B3975" s="1"/>
      <c r="C3975" s="2" t="s">
        <v>3970</v>
      </c>
      <c r="D3975" s="1"/>
      <c r="E3975" s="11">
        <f t="shared" si="306"/>
        <v>0</v>
      </c>
      <c r="F3975" s="12">
        <f t="shared" si="307"/>
        <v>33.333333333333329</v>
      </c>
      <c r="G3975" s="12" t="str">
        <f t="shared" si="308"/>
        <v>OK</v>
      </c>
      <c r="H3975" s="13">
        <f t="shared" si="309"/>
        <v>6</v>
      </c>
      <c r="I3975" s="14">
        <f t="shared" si="305"/>
        <v>1773.19</v>
      </c>
      <c r="K3975" t="str">
        <f>[1]!revcom(C3975)</f>
        <v>ACAGAA</v>
      </c>
      <c r="L3975">
        <v>2</v>
      </c>
    </row>
    <row r="3976" spans="1:12" ht="15.6" x14ac:dyDescent="0.3">
      <c r="A3976" s="9">
        <v>3965</v>
      </c>
      <c r="B3976" s="1"/>
      <c r="C3976" s="2" t="s">
        <v>3971</v>
      </c>
      <c r="D3976" s="1"/>
      <c r="E3976" s="11">
        <f t="shared" si="306"/>
        <v>2</v>
      </c>
      <c r="F3976" s="12">
        <f t="shared" si="307"/>
        <v>16.666666666666664</v>
      </c>
      <c r="G3976" s="12" t="str">
        <f t="shared" si="308"/>
        <v>OK</v>
      </c>
      <c r="H3976" s="13">
        <f t="shared" si="309"/>
        <v>6</v>
      </c>
      <c r="I3976" s="14">
        <f t="shared" si="305"/>
        <v>1757.19</v>
      </c>
      <c r="K3976" t="str">
        <f>[1]!revcom(C3976)</f>
        <v>TAAGAA</v>
      </c>
      <c r="L3976">
        <v>3</v>
      </c>
    </row>
    <row r="3977" spans="1:12" ht="15.6" x14ac:dyDescent="0.3">
      <c r="A3977" s="9">
        <v>3966</v>
      </c>
      <c r="B3977" s="1"/>
      <c r="C3977" s="2" t="s">
        <v>3972</v>
      </c>
      <c r="D3977" s="1"/>
      <c r="E3977" s="11">
        <f t="shared" si="306"/>
        <v>0</v>
      </c>
      <c r="F3977" s="12">
        <f t="shared" si="307"/>
        <v>33.333333333333329</v>
      </c>
      <c r="G3977" s="12" t="str">
        <f t="shared" si="308"/>
        <v>OK</v>
      </c>
      <c r="H3977" s="13">
        <f t="shared" si="309"/>
        <v>6</v>
      </c>
      <c r="I3977" s="14">
        <f t="shared" si="305"/>
        <v>1733.1599999999999</v>
      </c>
      <c r="K3977" t="str">
        <f>[1]!revcom(C3977)</f>
        <v>GAAGAA</v>
      </c>
      <c r="L3977">
        <v>2</v>
      </c>
    </row>
    <row r="3978" spans="1:12" ht="15.6" x14ac:dyDescent="0.3">
      <c r="A3978" s="9">
        <v>3967</v>
      </c>
      <c r="B3978" s="1"/>
      <c r="C3978" s="2" t="s">
        <v>3973</v>
      </c>
      <c r="D3978" s="1"/>
      <c r="E3978" s="11">
        <f t="shared" si="306"/>
        <v>0</v>
      </c>
      <c r="F3978" s="12">
        <f t="shared" si="307"/>
        <v>33.333333333333329</v>
      </c>
      <c r="G3978" s="12" t="str">
        <f t="shared" si="308"/>
        <v>OK</v>
      </c>
      <c r="H3978" s="13">
        <f t="shared" si="309"/>
        <v>6</v>
      </c>
      <c r="I3978" s="14">
        <f t="shared" si="305"/>
        <v>1773.19</v>
      </c>
      <c r="K3978" t="str">
        <f>[1]!revcom(C3978)</f>
        <v>CAAGAA</v>
      </c>
      <c r="L3978">
        <v>2</v>
      </c>
    </row>
    <row r="3979" spans="1:12" ht="15.6" x14ac:dyDescent="0.3">
      <c r="A3979" s="9">
        <v>3968</v>
      </c>
      <c r="B3979" s="1"/>
      <c r="C3979" s="2" t="s">
        <v>3974</v>
      </c>
      <c r="D3979" s="1"/>
      <c r="E3979" s="11">
        <f t="shared" si="306"/>
        <v>-6</v>
      </c>
      <c r="F3979" s="12">
        <f t="shared" si="307"/>
        <v>16.666666666666664</v>
      </c>
      <c r="G3979" s="12" t="str">
        <f t="shared" si="308"/>
        <v>OK</v>
      </c>
      <c r="H3979" s="13">
        <f t="shared" si="309"/>
        <v>6</v>
      </c>
      <c r="I3979" s="14">
        <f t="shared" si="305"/>
        <v>1748.17</v>
      </c>
      <c r="K3979" t="str">
        <f>[1]!revcom(C3979)</f>
        <v>AAAGAA</v>
      </c>
      <c r="L3979">
        <v>1</v>
      </c>
    </row>
    <row r="3980" spans="1:12" ht="15.6" x14ac:dyDescent="0.3">
      <c r="A3980" s="9">
        <v>3969</v>
      </c>
      <c r="B3980" s="1"/>
      <c r="C3980" s="2" t="s">
        <v>3975</v>
      </c>
      <c r="D3980" s="1"/>
      <c r="E3980" s="11">
        <f t="shared" si="306"/>
        <v>18</v>
      </c>
      <c r="F3980" s="12">
        <f t="shared" si="307"/>
        <v>16.666666666666664</v>
      </c>
      <c r="G3980" s="12" t="str">
        <f t="shared" si="308"/>
        <v>OK</v>
      </c>
      <c r="H3980" s="13">
        <f t="shared" si="309"/>
        <v>6</v>
      </c>
      <c r="I3980" s="14">
        <f t="shared" si="305"/>
        <v>1815.2599999999998</v>
      </c>
      <c r="K3980" t="str">
        <f>[1]!revcom(C3980)</f>
        <v>TTTCAA</v>
      </c>
      <c r="L3980">
        <v>5</v>
      </c>
    </row>
    <row r="3981" spans="1:12" ht="15.6" x14ac:dyDescent="0.3">
      <c r="A3981" s="9">
        <v>3970</v>
      </c>
      <c r="B3981" s="1"/>
      <c r="C3981" s="2" t="s">
        <v>3976</v>
      </c>
      <c r="D3981" s="1"/>
      <c r="E3981" s="11">
        <f t="shared" si="306"/>
        <v>16</v>
      </c>
      <c r="F3981" s="12">
        <f t="shared" si="307"/>
        <v>33.333333333333329</v>
      </c>
      <c r="G3981" s="12" t="str">
        <f t="shared" si="308"/>
        <v>OK</v>
      </c>
      <c r="H3981" s="13">
        <f t="shared" si="309"/>
        <v>6</v>
      </c>
      <c r="I3981" s="14">
        <f t="shared" ref="I3981:I4044" si="310">((LEN(C3981)-(LEN(SUBSTITUTE(C3981,"A",""))))*249.23)+((LEN(C3981)-(LEN(SUBSTITUTE(C3981,"T",""))))*240.21)+((LEN(C3981)-(LEN(SUBSTITUTE(C3981,"C",""))))*225.2)+((LEN(C3981)-(LEN(SUBSTITUTE(C3981,"G",""))))*265.23)+(63.98*(LEN(C3981)-1)+(2.02))</f>
        <v>1791.23</v>
      </c>
      <c r="K3981" t="str">
        <f>[1]!revcom(C3981)</f>
        <v>GTTCAA</v>
      </c>
      <c r="L3981">
        <v>5</v>
      </c>
    </row>
    <row r="3982" spans="1:12" ht="15.6" x14ac:dyDescent="0.3">
      <c r="A3982" s="9">
        <v>3971</v>
      </c>
      <c r="B3982" s="1"/>
      <c r="C3982" s="2" t="s">
        <v>3977</v>
      </c>
      <c r="D3982" s="1"/>
      <c r="E3982" s="11">
        <f t="shared" ref="E3982:E4045" si="311">IF(LEN(C3982)&gt;15,(69.3+((41*((LEN(C3982)-(((LEN(C3982)-(LEN(SUBSTITUTE(C3982,"A",""))))+((LEN(C3982)-(LEN(SUBSTITUTE(C3982,"T","")))))))))/(LEN(C3982)))-(650/(LEN(C3982))))),(2*((LEN(C3982)-(((LEN(C3982)-(LEN(SUBSTITUTE(C3982,"C",""))))+((LEN(C3982)-(LEN(SUBSTITUTE(C3982,"G",""))))))))))+(4*((LEN(C3982)-(((LEN(C3982)-(LEN(SUBSTITUTE(C3982,"T",""))))+((LEN(C3982)-(LEN(SUBSTITUTE(C3982,"T","")))))))))))</f>
        <v>16</v>
      </c>
      <c r="F3982" s="12">
        <f t="shared" ref="F3982:F4045" si="312">((LEN(C3982)- LEN(SUBSTITUTE(C3982,"G","")))+(LEN(C3982)- LEN(SUBSTITUTE(C3982,"C",""))) )/LEN(C3982)*100</f>
        <v>33.333333333333329</v>
      </c>
      <c r="G3982" s="12" t="str">
        <f t="shared" ref="G3982:G4045" si="313">IF((-5+((LEN(SUBSTITUTE(RIGHT(C3982,5),"C","")))+((LEN(SUBSTITUTE(RIGHT(C3982,5),"G",""))))))&gt;=3,"OK","Warning")</f>
        <v>OK</v>
      </c>
      <c r="H3982" s="13">
        <f t="shared" ref="H3982:H4045" si="314">LEN(C3982)</f>
        <v>6</v>
      </c>
      <c r="I3982" s="14">
        <f t="shared" si="310"/>
        <v>1831.2600000000002</v>
      </c>
      <c r="K3982" t="str">
        <f>[1]!revcom(C3982)</f>
        <v>CTTCAA</v>
      </c>
      <c r="L3982">
        <v>5</v>
      </c>
    </row>
    <row r="3983" spans="1:12" ht="15.6" x14ac:dyDescent="0.3">
      <c r="A3983" s="9">
        <v>3972</v>
      </c>
      <c r="B3983" s="1"/>
      <c r="C3983" s="2" t="s">
        <v>3978</v>
      </c>
      <c r="D3983" s="1"/>
      <c r="E3983" s="11">
        <f t="shared" si="311"/>
        <v>10</v>
      </c>
      <c r="F3983" s="12">
        <f t="shared" si="312"/>
        <v>16.666666666666664</v>
      </c>
      <c r="G3983" s="12" t="str">
        <f t="shared" si="313"/>
        <v>OK</v>
      </c>
      <c r="H3983" s="13">
        <f t="shared" si="314"/>
        <v>6</v>
      </c>
      <c r="I3983" s="14">
        <f t="shared" si="310"/>
        <v>1806.2399999999998</v>
      </c>
      <c r="K3983" t="str">
        <f>[1]!revcom(C3983)</f>
        <v>ATTCAA</v>
      </c>
      <c r="L3983">
        <v>4</v>
      </c>
    </row>
    <row r="3984" spans="1:12" ht="15.6" x14ac:dyDescent="0.3">
      <c r="A3984" s="9">
        <v>3973</v>
      </c>
      <c r="B3984" s="1"/>
      <c r="C3984" s="2" t="s">
        <v>3979</v>
      </c>
      <c r="D3984" s="1"/>
      <c r="E3984" s="11">
        <f t="shared" si="311"/>
        <v>16</v>
      </c>
      <c r="F3984" s="12">
        <f t="shared" si="312"/>
        <v>33.333333333333329</v>
      </c>
      <c r="G3984" s="12" t="str">
        <f t="shared" si="313"/>
        <v>OK</v>
      </c>
      <c r="H3984" s="13">
        <f t="shared" si="314"/>
        <v>6</v>
      </c>
      <c r="I3984" s="14">
        <f t="shared" si="310"/>
        <v>1791.23</v>
      </c>
      <c r="K3984" t="str">
        <f>[1]!revcom(C3984)</f>
        <v>TGTCAA</v>
      </c>
      <c r="L3984">
        <v>5</v>
      </c>
    </row>
    <row r="3985" spans="1:12" ht="15.6" x14ac:dyDescent="0.3">
      <c r="A3985" s="9">
        <v>3974</v>
      </c>
      <c r="B3985" s="1"/>
      <c r="C3985" s="2" t="s">
        <v>3980</v>
      </c>
      <c r="D3985" s="1"/>
      <c r="E3985" s="11">
        <f t="shared" si="311"/>
        <v>14</v>
      </c>
      <c r="F3985" s="12">
        <f t="shared" si="312"/>
        <v>50</v>
      </c>
      <c r="G3985" s="12" t="str">
        <f t="shared" si="313"/>
        <v>Warning</v>
      </c>
      <c r="H3985" s="13">
        <f t="shared" si="314"/>
        <v>6</v>
      </c>
      <c r="I3985" s="14">
        <f t="shared" si="310"/>
        <v>1767.1999999999998</v>
      </c>
      <c r="K3985" t="str">
        <f>[1]!revcom(C3985)</f>
        <v>GGTCAA</v>
      </c>
      <c r="L3985">
        <v>5</v>
      </c>
    </row>
    <row r="3986" spans="1:12" ht="15.6" x14ac:dyDescent="0.3">
      <c r="A3986" s="9">
        <v>3975</v>
      </c>
      <c r="B3986" s="1"/>
      <c r="C3986" s="2" t="s">
        <v>3981</v>
      </c>
      <c r="D3986" s="1"/>
      <c r="E3986" s="11">
        <f t="shared" si="311"/>
        <v>14</v>
      </c>
      <c r="F3986" s="12">
        <f t="shared" si="312"/>
        <v>50</v>
      </c>
      <c r="G3986" s="12" t="str">
        <f t="shared" si="313"/>
        <v>Warning</v>
      </c>
      <c r="H3986" s="13">
        <f t="shared" si="314"/>
        <v>6</v>
      </c>
      <c r="I3986" s="14">
        <f t="shared" si="310"/>
        <v>1807.23</v>
      </c>
      <c r="K3986" t="str">
        <f>[1]!revcom(C3986)</f>
        <v>CGTCAA</v>
      </c>
      <c r="L3986">
        <v>5</v>
      </c>
    </row>
    <row r="3987" spans="1:12" ht="15.6" x14ac:dyDescent="0.3">
      <c r="A3987" s="9">
        <v>3976</v>
      </c>
      <c r="B3987" s="1"/>
      <c r="C3987" s="2" t="s">
        <v>3982</v>
      </c>
      <c r="D3987" s="1"/>
      <c r="E3987" s="11">
        <f t="shared" si="311"/>
        <v>8</v>
      </c>
      <c r="F3987" s="12">
        <f t="shared" si="312"/>
        <v>33.333333333333329</v>
      </c>
      <c r="G3987" s="12" t="str">
        <f t="shared" si="313"/>
        <v>OK</v>
      </c>
      <c r="H3987" s="13">
        <f t="shared" si="314"/>
        <v>6</v>
      </c>
      <c r="I3987" s="14">
        <f t="shared" si="310"/>
        <v>1782.21</v>
      </c>
      <c r="K3987" t="str">
        <f>[1]!revcom(C3987)</f>
        <v>AGTCAA</v>
      </c>
      <c r="L3987">
        <v>4</v>
      </c>
    </row>
    <row r="3988" spans="1:12" ht="15.6" x14ac:dyDescent="0.3">
      <c r="A3988" s="9">
        <v>3977</v>
      </c>
      <c r="B3988" s="1"/>
      <c r="C3988" s="2" t="s">
        <v>3983</v>
      </c>
      <c r="D3988" s="1"/>
      <c r="E3988" s="11">
        <f t="shared" si="311"/>
        <v>16</v>
      </c>
      <c r="F3988" s="12">
        <f t="shared" si="312"/>
        <v>33.333333333333329</v>
      </c>
      <c r="G3988" s="12" t="str">
        <f t="shared" si="313"/>
        <v>OK</v>
      </c>
      <c r="H3988" s="13">
        <f t="shared" si="314"/>
        <v>6</v>
      </c>
      <c r="I3988" s="14">
        <f t="shared" si="310"/>
        <v>1831.2600000000002</v>
      </c>
      <c r="K3988" t="str">
        <f>[1]!revcom(C3988)</f>
        <v>TCTCAA</v>
      </c>
      <c r="L3988">
        <v>5</v>
      </c>
    </row>
    <row r="3989" spans="1:12" ht="15.6" x14ac:dyDescent="0.3">
      <c r="A3989" s="9">
        <v>3978</v>
      </c>
      <c r="B3989" s="1"/>
      <c r="C3989" s="2" t="s">
        <v>3984</v>
      </c>
      <c r="D3989" s="1"/>
      <c r="E3989" s="11">
        <f t="shared" si="311"/>
        <v>14</v>
      </c>
      <c r="F3989" s="12">
        <f t="shared" si="312"/>
        <v>50</v>
      </c>
      <c r="G3989" s="12" t="str">
        <f t="shared" si="313"/>
        <v>Warning</v>
      </c>
      <c r="H3989" s="13">
        <f t="shared" si="314"/>
        <v>6</v>
      </c>
      <c r="I3989" s="14">
        <f t="shared" si="310"/>
        <v>1807.23</v>
      </c>
      <c r="K3989" t="str">
        <f>[1]!revcom(C3989)</f>
        <v>GCTCAA</v>
      </c>
      <c r="L3989">
        <v>5</v>
      </c>
    </row>
    <row r="3990" spans="1:12" ht="15.6" x14ac:dyDescent="0.3">
      <c r="A3990" s="9">
        <v>3979</v>
      </c>
      <c r="B3990" s="1"/>
      <c r="C3990" s="2" t="s">
        <v>3985</v>
      </c>
      <c r="D3990" s="1"/>
      <c r="E3990" s="11">
        <f t="shared" si="311"/>
        <v>14</v>
      </c>
      <c r="F3990" s="12">
        <f t="shared" si="312"/>
        <v>50</v>
      </c>
      <c r="G3990" s="12" t="str">
        <f t="shared" si="313"/>
        <v>Warning</v>
      </c>
      <c r="H3990" s="13">
        <f t="shared" si="314"/>
        <v>6</v>
      </c>
      <c r="I3990" s="14">
        <f t="shared" si="310"/>
        <v>1847.2600000000002</v>
      </c>
      <c r="K3990" t="str">
        <f>[1]!revcom(C3990)</f>
        <v>CCTCAA</v>
      </c>
      <c r="L3990">
        <v>5</v>
      </c>
    </row>
    <row r="3991" spans="1:12" ht="15.6" x14ac:dyDescent="0.3">
      <c r="A3991" s="9">
        <v>3980</v>
      </c>
      <c r="B3991" s="1"/>
      <c r="C3991" s="2" t="s">
        <v>3986</v>
      </c>
      <c r="D3991" s="1"/>
      <c r="E3991" s="11">
        <f t="shared" si="311"/>
        <v>8</v>
      </c>
      <c r="F3991" s="12">
        <f t="shared" si="312"/>
        <v>33.333333333333329</v>
      </c>
      <c r="G3991" s="12" t="str">
        <f t="shared" si="313"/>
        <v>OK</v>
      </c>
      <c r="H3991" s="13">
        <f t="shared" si="314"/>
        <v>6</v>
      </c>
      <c r="I3991" s="14">
        <f t="shared" si="310"/>
        <v>1822.2400000000002</v>
      </c>
      <c r="K3991" t="str">
        <f>[1]!revcom(C3991)</f>
        <v>ACTCAA</v>
      </c>
      <c r="L3991">
        <v>4</v>
      </c>
    </row>
    <row r="3992" spans="1:12" ht="15.6" x14ac:dyDescent="0.3">
      <c r="A3992" s="9">
        <v>3981</v>
      </c>
      <c r="B3992" s="1"/>
      <c r="C3992" s="2" t="s">
        <v>3987</v>
      </c>
      <c r="D3992" s="1"/>
      <c r="E3992" s="11">
        <f t="shared" si="311"/>
        <v>10</v>
      </c>
      <c r="F3992" s="12">
        <f t="shared" si="312"/>
        <v>16.666666666666664</v>
      </c>
      <c r="G3992" s="12" t="str">
        <f t="shared" si="313"/>
        <v>OK</v>
      </c>
      <c r="H3992" s="13">
        <f t="shared" si="314"/>
        <v>6</v>
      </c>
      <c r="I3992" s="14">
        <f t="shared" si="310"/>
        <v>1806.2399999999998</v>
      </c>
      <c r="K3992" t="str">
        <f>[1]!revcom(C3992)</f>
        <v>TATCAA</v>
      </c>
      <c r="L3992">
        <v>4</v>
      </c>
    </row>
    <row r="3993" spans="1:12" ht="15.6" x14ac:dyDescent="0.3">
      <c r="A3993" s="9">
        <v>3982</v>
      </c>
      <c r="B3993" s="1"/>
      <c r="C3993" s="2" t="s">
        <v>3988</v>
      </c>
      <c r="D3993" s="1"/>
      <c r="E3993" s="11">
        <f t="shared" si="311"/>
        <v>8</v>
      </c>
      <c r="F3993" s="12">
        <f t="shared" si="312"/>
        <v>33.333333333333329</v>
      </c>
      <c r="G3993" s="12" t="str">
        <f t="shared" si="313"/>
        <v>OK</v>
      </c>
      <c r="H3993" s="13">
        <f t="shared" si="314"/>
        <v>6</v>
      </c>
      <c r="I3993" s="14">
        <f t="shared" si="310"/>
        <v>1782.21</v>
      </c>
      <c r="K3993" t="str">
        <f>[1]!revcom(C3993)</f>
        <v>GATCAA</v>
      </c>
      <c r="L3993">
        <v>4</v>
      </c>
    </row>
    <row r="3994" spans="1:12" ht="15.6" x14ac:dyDescent="0.3">
      <c r="A3994" s="9">
        <v>3983</v>
      </c>
      <c r="B3994" s="1"/>
      <c r="C3994" s="2" t="s">
        <v>3989</v>
      </c>
      <c r="D3994" s="1"/>
      <c r="E3994" s="11">
        <f t="shared" si="311"/>
        <v>8</v>
      </c>
      <c r="F3994" s="12">
        <f t="shared" si="312"/>
        <v>33.333333333333329</v>
      </c>
      <c r="G3994" s="12" t="str">
        <f t="shared" si="313"/>
        <v>OK</v>
      </c>
      <c r="H3994" s="13">
        <f t="shared" si="314"/>
        <v>6</v>
      </c>
      <c r="I3994" s="14">
        <f t="shared" si="310"/>
        <v>1822.2400000000002</v>
      </c>
      <c r="K3994" t="str">
        <f>[1]!revcom(C3994)</f>
        <v>CATCAA</v>
      </c>
      <c r="L3994">
        <v>4</v>
      </c>
    </row>
    <row r="3995" spans="1:12" ht="15.6" x14ac:dyDescent="0.3">
      <c r="A3995" s="9">
        <v>3984</v>
      </c>
      <c r="B3995" s="1"/>
      <c r="C3995" s="2" t="s">
        <v>3990</v>
      </c>
      <c r="D3995" s="1"/>
      <c r="E3995" s="11">
        <f t="shared" si="311"/>
        <v>2</v>
      </c>
      <c r="F3995" s="12">
        <f t="shared" si="312"/>
        <v>16.666666666666664</v>
      </c>
      <c r="G3995" s="12" t="str">
        <f t="shared" si="313"/>
        <v>OK</v>
      </c>
      <c r="H3995" s="13">
        <f t="shared" si="314"/>
        <v>6</v>
      </c>
      <c r="I3995" s="14">
        <f t="shared" si="310"/>
        <v>1797.2199999999998</v>
      </c>
      <c r="K3995" t="str">
        <f>[1]!revcom(C3995)</f>
        <v>AATCAA</v>
      </c>
      <c r="L3995">
        <v>3</v>
      </c>
    </row>
    <row r="3996" spans="1:12" ht="15.6" x14ac:dyDescent="0.3">
      <c r="A3996" s="9">
        <v>3985</v>
      </c>
      <c r="B3996" s="1"/>
      <c r="C3996" s="2" t="s">
        <v>3991</v>
      </c>
      <c r="D3996" s="1"/>
      <c r="E3996" s="11">
        <f t="shared" si="311"/>
        <v>16</v>
      </c>
      <c r="F3996" s="12">
        <f t="shared" si="312"/>
        <v>33.333333333333329</v>
      </c>
      <c r="G3996" s="12" t="str">
        <f t="shared" si="313"/>
        <v>OK</v>
      </c>
      <c r="H3996" s="13">
        <f t="shared" si="314"/>
        <v>6</v>
      </c>
      <c r="I3996" s="14">
        <f t="shared" si="310"/>
        <v>1791.23</v>
      </c>
      <c r="K3996" t="str">
        <f>[1]!revcom(C3996)</f>
        <v>TTGCAA</v>
      </c>
      <c r="L3996">
        <v>5</v>
      </c>
    </row>
    <row r="3997" spans="1:12" ht="15.6" x14ac:dyDescent="0.3">
      <c r="A3997" s="9">
        <v>3986</v>
      </c>
      <c r="B3997" s="1"/>
      <c r="C3997" s="2" t="s">
        <v>3992</v>
      </c>
      <c r="D3997" s="1"/>
      <c r="E3997" s="11">
        <f t="shared" si="311"/>
        <v>14</v>
      </c>
      <c r="F3997" s="12">
        <f t="shared" si="312"/>
        <v>50</v>
      </c>
      <c r="G3997" s="12" t="str">
        <f t="shared" si="313"/>
        <v>Warning</v>
      </c>
      <c r="H3997" s="13">
        <f t="shared" si="314"/>
        <v>6</v>
      </c>
      <c r="I3997" s="14">
        <f t="shared" si="310"/>
        <v>1767.1999999999998</v>
      </c>
      <c r="K3997" t="str">
        <f>[1]!revcom(C3997)</f>
        <v>GTGCAA</v>
      </c>
      <c r="L3997">
        <v>5</v>
      </c>
    </row>
    <row r="3998" spans="1:12" ht="15.6" x14ac:dyDescent="0.3">
      <c r="A3998" s="9">
        <v>3987</v>
      </c>
      <c r="B3998" s="1"/>
      <c r="C3998" s="2" t="s">
        <v>3993</v>
      </c>
      <c r="D3998" s="1"/>
      <c r="E3998" s="11">
        <f t="shared" si="311"/>
        <v>14</v>
      </c>
      <c r="F3998" s="12">
        <f t="shared" si="312"/>
        <v>50</v>
      </c>
      <c r="G3998" s="12" t="str">
        <f t="shared" si="313"/>
        <v>Warning</v>
      </c>
      <c r="H3998" s="13">
        <f t="shared" si="314"/>
        <v>6</v>
      </c>
      <c r="I3998" s="14">
        <f t="shared" si="310"/>
        <v>1807.23</v>
      </c>
      <c r="K3998" t="str">
        <f>[1]!revcom(C3998)</f>
        <v>CTGCAA</v>
      </c>
      <c r="L3998">
        <v>5</v>
      </c>
    </row>
    <row r="3999" spans="1:12" ht="15.6" x14ac:dyDescent="0.3">
      <c r="A3999" s="9">
        <v>3988</v>
      </c>
      <c r="B3999" s="1"/>
      <c r="C3999" s="2" t="s">
        <v>3994</v>
      </c>
      <c r="D3999" s="1"/>
      <c r="E3999" s="11">
        <f t="shared" si="311"/>
        <v>8</v>
      </c>
      <c r="F3999" s="12">
        <f t="shared" si="312"/>
        <v>33.333333333333329</v>
      </c>
      <c r="G3999" s="12" t="str">
        <f t="shared" si="313"/>
        <v>OK</v>
      </c>
      <c r="H3999" s="13">
        <f t="shared" si="314"/>
        <v>6</v>
      </c>
      <c r="I3999" s="14">
        <f t="shared" si="310"/>
        <v>1782.21</v>
      </c>
      <c r="K3999" t="str">
        <f>[1]!revcom(C3999)</f>
        <v>ATGCAA</v>
      </c>
      <c r="L3999">
        <v>4</v>
      </c>
    </row>
    <row r="4000" spans="1:12" ht="15.6" x14ac:dyDescent="0.3">
      <c r="A4000" s="9">
        <v>3989</v>
      </c>
      <c r="B4000" s="1"/>
      <c r="C4000" s="2" t="s">
        <v>3995</v>
      </c>
      <c r="D4000" s="1"/>
      <c r="E4000" s="11">
        <f t="shared" si="311"/>
        <v>14</v>
      </c>
      <c r="F4000" s="12">
        <f t="shared" si="312"/>
        <v>50</v>
      </c>
      <c r="G4000" s="12" t="str">
        <f t="shared" si="313"/>
        <v>Warning</v>
      </c>
      <c r="H4000" s="13">
        <f t="shared" si="314"/>
        <v>6</v>
      </c>
      <c r="I4000" s="14">
        <f t="shared" si="310"/>
        <v>1767.1999999999998</v>
      </c>
      <c r="K4000" t="str">
        <f>[1]!revcom(C4000)</f>
        <v>TGGCAA</v>
      </c>
      <c r="L4000">
        <v>5</v>
      </c>
    </row>
    <row r="4001" spans="1:12" ht="15.6" x14ac:dyDescent="0.3">
      <c r="A4001" s="9">
        <v>3990</v>
      </c>
      <c r="B4001" s="1"/>
      <c r="C4001" s="2" t="s">
        <v>3996</v>
      </c>
      <c r="D4001" s="1"/>
      <c r="E4001" s="11">
        <f t="shared" si="311"/>
        <v>12</v>
      </c>
      <c r="F4001" s="12">
        <f t="shared" si="312"/>
        <v>66.666666666666657</v>
      </c>
      <c r="G4001" s="12" t="str">
        <f t="shared" si="313"/>
        <v>Warning</v>
      </c>
      <c r="H4001" s="13">
        <f t="shared" si="314"/>
        <v>6</v>
      </c>
      <c r="I4001" s="14">
        <f t="shared" si="310"/>
        <v>1743.17</v>
      </c>
      <c r="K4001" t="str">
        <f>[1]!revcom(C4001)</f>
        <v>GGGCAA</v>
      </c>
      <c r="L4001">
        <v>4</v>
      </c>
    </row>
    <row r="4002" spans="1:12" ht="15.6" x14ac:dyDescent="0.3">
      <c r="A4002" s="9">
        <v>3991</v>
      </c>
      <c r="B4002" s="1"/>
      <c r="C4002" s="2" t="s">
        <v>3997</v>
      </c>
      <c r="D4002" s="1"/>
      <c r="E4002" s="11">
        <f t="shared" si="311"/>
        <v>12</v>
      </c>
      <c r="F4002" s="12">
        <f t="shared" si="312"/>
        <v>66.666666666666657</v>
      </c>
      <c r="G4002" s="12" t="str">
        <f t="shared" si="313"/>
        <v>Warning</v>
      </c>
      <c r="H4002" s="13">
        <f t="shared" si="314"/>
        <v>6</v>
      </c>
      <c r="I4002" s="14">
        <f t="shared" si="310"/>
        <v>1783.1999999999998</v>
      </c>
      <c r="K4002" t="str">
        <f>[1]!revcom(C4002)</f>
        <v>CGGCAA</v>
      </c>
      <c r="L4002">
        <v>4</v>
      </c>
    </row>
    <row r="4003" spans="1:12" ht="15.6" x14ac:dyDescent="0.3">
      <c r="A4003" s="9">
        <v>3992</v>
      </c>
      <c r="B4003" s="1"/>
      <c r="C4003" s="2" t="s">
        <v>3998</v>
      </c>
      <c r="D4003" s="1"/>
      <c r="E4003" s="11">
        <f t="shared" si="311"/>
        <v>6</v>
      </c>
      <c r="F4003" s="12">
        <f t="shared" si="312"/>
        <v>50</v>
      </c>
      <c r="G4003" s="12" t="str">
        <f t="shared" si="313"/>
        <v>Warning</v>
      </c>
      <c r="H4003" s="13">
        <f t="shared" si="314"/>
        <v>6</v>
      </c>
      <c r="I4003" s="14">
        <f t="shared" si="310"/>
        <v>1758.1799999999998</v>
      </c>
      <c r="K4003" t="str">
        <f>[1]!revcom(C4003)</f>
        <v>AGGCAA</v>
      </c>
      <c r="L4003">
        <v>3</v>
      </c>
    </row>
    <row r="4004" spans="1:12" ht="15.6" x14ac:dyDescent="0.3">
      <c r="A4004" s="9">
        <v>3993</v>
      </c>
      <c r="B4004" s="1"/>
      <c r="C4004" s="2" t="s">
        <v>3999</v>
      </c>
      <c r="D4004" s="1"/>
      <c r="E4004" s="11">
        <f t="shared" si="311"/>
        <v>14</v>
      </c>
      <c r="F4004" s="12">
        <f t="shared" si="312"/>
        <v>50</v>
      </c>
      <c r="G4004" s="12" t="str">
        <f t="shared" si="313"/>
        <v>Warning</v>
      </c>
      <c r="H4004" s="13">
        <f t="shared" si="314"/>
        <v>6</v>
      </c>
      <c r="I4004" s="14">
        <f t="shared" si="310"/>
        <v>1807.23</v>
      </c>
      <c r="K4004" t="str">
        <f>[1]!revcom(C4004)</f>
        <v>TCGCAA</v>
      </c>
      <c r="L4004">
        <v>5</v>
      </c>
    </row>
    <row r="4005" spans="1:12" ht="15.6" x14ac:dyDescent="0.3">
      <c r="A4005" s="9">
        <v>3994</v>
      </c>
      <c r="B4005" s="1"/>
      <c r="C4005" s="2" t="s">
        <v>4000</v>
      </c>
      <c r="D4005" s="1"/>
      <c r="E4005" s="11">
        <f t="shared" si="311"/>
        <v>12</v>
      </c>
      <c r="F4005" s="12">
        <f t="shared" si="312"/>
        <v>66.666666666666657</v>
      </c>
      <c r="G4005" s="12" t="str">
        <f t="shared" si="313"/>
        <v>Warning</v>
      </c>
      <c r="H4005" s="13">
        <f t="shared" si="314"/>
        <v>6</v>
      </c>
      <c r="I4005" s="14">
        <f t="shared" si="310"/>
        <v>1783.1999999999998</v>
      </c>
      <c r="K4005" t="str">
        <f>[1]!revcom(C4005)</f>
        <v>GCGCAA</v>
      </c>
      <c r="L4005">
        <v>4</v>
      </c>
    </row>
    <row r="4006" spans="1:12" ht="15.6" x14ac:dyDescent="0.3">
      <c r="A4006" s="9">
        <v>3995</v>
      </c>
      <c r="B4006" s="1"/>
      <c r="C4006" s="2" t="s">
        <v>4001</v>
      </c>
      <c r="D4006" s="1"/>
      <c r="E4006" s="11">
        <f t="shared" si="311"/>
        <v>12</v>
      </c>
      <c r="F4006" s="12">
        <f t="shared" si="312"/>
        <v>66.666666666666657</v>
      </c>
      <c r="G4006" s="12" t="str">
        <f t="shared" si="313"/>
        <v>Warning</v>
      </c>
      <c r="H4006" s="13">
        <f t="shared" si="314"/>
        <v>6</v>
      </c>
      <c r="I4006" s="14">
        <f t="shared" si="310"/>
        <v>1823.23</v>
      </c>
      <c r="K4006" t="str">
        <f>[1]!revcom(C4006)</f>
        <v>CCGCAA</v>
      </c>
      <c r="L4006">
        <v>4</v>
      </c>
    </row>
    <row r="4007" spans="1:12" ht="15.6" x14ac:dyDescent="0.3">
      <c r="A4007" s="9">
        <v>3996</v>
      </c>
      <c r="B4007" s="1"/>
      <c r="C4007" s="2" t="s">
        <v>4002</v>
      </c>
      <c r="D4007" s="1"/>
      <c r="E4007" s="11">
        <f t="shared" si="311"/>
        <v>6</v>
      </c>
      <c r="F4007" s="12">
        <f t="shared" si="312"/>
        <v>50</v>
      </c>
      <c r="G4007" s="12" t="str">
        <f t="shared" si="313"/>
        <v>Warning</v>
      </c>
      <c r="H4007" s="13">
        <f t="shared" si="314"/>
        <v>6</v>
      </c>
      <c r="I4007" s="14">
        <f t="shared" si="310"/>
        <v>1798.21</v>
      </c>
      <c r="K4007" t="str">
        <f>[1]!revcom(C4007)</f>
        <v>ACGCAA</v>
      </c>
      <c r="L4007">
        <v>3</v>
      </c>
    </row>
    <row r="4008" spans="1:12" ht="15.6" x14ac:dyDescent="0.3">
      <c r="A4008" s="9">
        <v>3997</v>
      </c>
      <c r="B4008" s="1"/>
      <c r="C4008" s="2" t="s">
        <v>4003</v>
      </c>
      <c r="D4008" s="1"/>
      <c r="E4008" s="11">
        <f t="shared" si="311"/>
        <v>8</v>
      </c>
      <c r="F4008" s="12">
        <f t="shared" si="312"/>
        <v>33.333333333333329</v>
      </c>
      <c r="G4008" s="12" t="str">
        <f t="shared" si="313"/>
        <v>OK</v>
      </c>
      <c r="H4008" s="13">
        <f t="shared" si="314"/>
        <v>6</v>
      </c>
      <c r="I4008" s="14">
        <f t="shared" si="310"/>
        <v>1782.21</v>
      </c>
      <c r="K4008" t="str">
        <f>[1]!revcom(C4008)</f>
        <v>TAGCAA</v>
      </c>
      <c r="L4008">
        <v>4</v>
      </c>
    </row>
    <row r="4009" spans="1:12" ht="15.6" x14ac:dyDescent="0.3">
      <c r="A4009" s="9">
        <v>3998</v>
      </c>
      <c r="B4009" s="1"/>
      <c r="C4009" s="2" t="s">
        <v>4004</v>
      </c>
      <c r="D4009" s="1"/>
      <c r="E4009" s="11">
        <f t="shared" si="311"/>
        <v>6</v>
      </c>
      <c r="F4009" s="12">
        <f t="shared" si="312"/>
        <v>50</v>
      </c>
      <c r="G4009" s="12" t="str">
        <f t="shared" si="313"/>
        <v>Warning</v>
      </c>
      <c r="H4009" s="13">
        <f t="shared" si="314"/>
        <v>6</v>
      </c>
      <c r="I4009" s="14">
        <f t="shared" si="310"/>
        <v>1758.1799999999998</v>
      </c>
      <c r="K4009" t="str">
        <f>[1]!revcom(C4009)</f>
        <v>GAGCAA</v>
      </c>
      <c r="L4009">
        <v>3</v>
      </c>
    </row>
    <row r="4010" spans="1:12" ht="15.6" x14ac:dyDescent="0.3">
      <c r="A4010" s="9">
        <v>3999</v>
      </c>
      <c r="B4010" s="1"/>
      <c r="C4010" s="2" t="s">
        <v>4005</v>
      </c>
      <c r="D4010" s="1"/>
      <c r="E4010" s="11">
        <f t="shared" si="311"/>
        <v>6</v>
      </c>
      <c r="F4010" s="12">
        <f t="shared" si="312"/>
        <v>50</v>
      </c>
      <c r="G4010" s="12" t="str">
        <f t="shared" si="313"/>
        <v>Warning</v>
      </c>
      <c r="H4010" s="13">
        <f t="shared" si="314"/>
        <v>6</v>
      </c>
      <c r="I4010" s="14">
        <f t="shared" si="310"/>
        <v>1798.21</v>
      </c>
      <c r="K4010" t="str">
        <f>[1]!revcom(C4010)</f>
        <v>CAGCAA</v>
      </c>
      <c r="L4010">
        <v>3</v>
      </c>
    </row>
    <row r="4011" spans="1:12" ht="15.6" x14ac:dyDescent="0.3">
      <c r="A4011" s="9">
        <v>4000</v>
      </c>
      <c r="B4011" s="1"/>
      <c r="C4011" s="2" t="s">
        <v>4006</v>
      </c>
      <c r="D4011" s="1"/>
      <c r="E4011" s="11">
        <f t="shared" si="311"/>
        <v>0</v>
      </c>
      <c r="F4011" s="12">
        <f t="shared" si="312"/>
        <v>33.333333333333329</v>
      </c>
      <c r="G4011" s="12" t="str">
        <f t="shared" si="313"/>
        <v>OK</v>
      </c>
      <c r="H4011" s="13">
        <f t="shared" si="314"/>
        <v>6</v>
      </c>
      <c r="I4011" s="14">
        <f t="shared" si="310"/>
        <v>1773.19</v>
      </c>
      <c r="K4011" t="str">
        <f>[1]!revcom(C4011)</f>
        <v>AAGCAA</v>
      </c>
      <c r="L4011">
        <v>2</v>
      </c>
    </row>
    <row r="4012" spans="1:12" ht="15.6" x14ac:dyDescent="0.3">
      <c r="A4012" s="9">
        <v>4001</v>
      </c>
      <c r="B4012" s="1"/>
      <c r="C4012" s="2" t="s">
        <v>4007</v>
      </c>
      <c r="D4012" s="1"/>
      <c r="E4012" s="11">
        <f t="shared" si="311"/>
        <v>16</v>
      </c>
      <c r="F4012" s="12">
        <f t="shared" si="312"/>
        <v>33.333333333333329</v>
      </c>
      <c r="G4012" s="12" t="str">
        <f t="shared" si="313"/>
        <v>OK</v>
      </c>
      <c r="H4012" s="13">
        <f t="shared" si="314"/>
        <v>6</v>
      </c>
      <c r="I4012" s="14">
        <f t="shared" si="310"/>
        <v>1831.2600000000002</v>
      </c>
      <c r="K4012" t="str">
        <f>[1]!revcom(C4012)</f>
        <v>TTCCAA</v>
      </c>
      <c r="L4012">
        <v>5</v>
      </c>
    </row>
    <row r="4013" spans="1:12" ht="15.6" x14ac:dyDescent="0.3">
      <c r="A4013" s="9">
        <v>4002</v>
      </c>
      <c r="B4013" s="1"/>
      <c r="C4013" s="2" t="s">
        <v>4008</v>
      </c>
      <c r="D4013" s="1"/>
      <c r="E4013" s="11">
        <f t="shared" si="311"/>
        <v>14</v>
      </c>
      <c r="F4013" s="12">
        <f t="shared" si="312"/>
        <v>50</v>
      </c>
      <c r="G4013" s="12" t="str">
        <f t="shared" si="313"/>
        <v>Warning</v>
      </c>
      <c r="H4013" s="13">
        <f t="shared" si="314"/>
        <v>6</v>
      </c>
      <c r="I4013" s="14">
        <f t="shared" si="310"/>
        <v>1807.23</v>
      </c>
      <c r="K4013" t="str">
        <f>[1]!revcom(C4013)</f>
        <v>GTCCAA</v>
      </c>
      <c r="L4013">
        <v>5</v>
      </c>
    </row>
    <row r="4014" spans="1:12" ht="15.6" x14ac:dyDescent="0.3">
      <c r="A4014" s="9">
        <v>4003</v>
      </c>
      <c r="B4014" s="1"/>
      <c r="C4014" s="2" t="s">
        <v>4009</v>
      </c>
      <c r="D4014" s="1"/>
      <c r="E4014" s="11">
        <f t="shared" si="311"/>
        <v>14</v>
      </c>
      <c r="F4014" s="12">
        <f t="shared" si="312"/>
        <v>50</v>
      </c>
      <c r="G4014" s="12" t="str">
        <f t="shared" si="313"/>
        <v>Warning</v>
      </c>
      <c r="H4014" s="13">
        <f t="shared" si="314"/>
        <v>6</v>
      </c>
      <c r="I4014" s="14">
        <f t="shared" si="310"/>
        <v>1847.2600000000002</v>
      </c>
      <c r="K4014" t="str">
        <f>[1]!revcom(C4014)</f>
        <v>CTCCAA</v>
      </c>
      <c r="L4014">
        <v>5</v>
      </c>
    </row>
    <row r="4015" spans="1:12" ht="15.6" x14ac:dyDescent="0.3">
      <c r="A4015" s="9">
        <v>4004</v>
      </c>
      <c r="B4015" s="1"/>
      <c r="C4015" s="2" t="s">
        <v>4010</v>
      </c>
      <c r="D4015" s="1"/>
      <c r="E4015" s="11">
        <f t="shared" si="311"/>
        <v>8</v>
      </c>
      <c r="F4015" s="12">
        <f t="shared" si="312"/>
        <v>33.333333333333329</v>
      </c>
      <c r="G4015" s="12" t="str">
        <f t="shared" si="313"/>
        <v>OK</v>
      </c>
      <c r="H4015" s="13">
        <f t="shared" si="314"/>
        <v>6</v>
      </c>
      <c r="I4015" s="14">
        <f t="shared" si="310"/>
        <v>1822.2400000000002</v>
      </c>
      <c r="K4015" t="str">
        <f>[1]!revcom(C4015)</f>
        <v>ATCCAA</v>
      </c>
      <c r="L4015">
        <v>4</v>
      </c>
    </row>
    <row r="4016" spans="1:12" ht="15.6" x14ac:dyDescent="0.3">
      <c r="A4016" s="9">
        <v>4005</v>
      </c>
      <c r="B4016" s="1"/>
      <c r="C4016" s="2" t="s">
        <v>4011</v>
      </c>
      <c r="D4016" s="1"/>
      <c r="E4016" s="11">
        <f t="shared" si="311"/>
        <v>14</v>
      </c>
      <c r="F4016" s="12">
        <f t="shared" si="312"/>
        <v>50</v>
      </c>
      <c r="G4016" s="12" t="str">
        <f t="shared" si="313"/>
        <v>Warning</v>
      </c>
      <c r="H4016" s="13">
        <f t="shared" si="314"/>
        <v>6</v>
      </c>
      <c r="I4016" s="14">
        <f t="shared" si="310"/>
        <v>1807.23</v>
      </c>
      <c r="K4016" t="str">
        <f>[1]!revcom(C4016)</f>
        <v>TGCCAA</v>
      </c>
      <c r="L4016">
        <v>5</v>
      </c>
    </row>
    <row r="4017" spans="1:12" ht="15.6" x14ac:dyDescent="0.3">
      <c r="A4017" s="9">
        <v>4006</v>
      </c>
      <c r="B4017" s="1"/>
      <c r="C4017" s="2" t="s">
        <v>4012</v>
      </c>
      <c r="D4017" s="1"/>
      <c r="E4017" s="11">
        <f t="shared" si="311"/>
        <v>12</v>
      </c>
      <c r="F4017" s="12">
        <f t="shared" si="312"/>
        <v>66.666666666666657</v>
      </c>
      <c r="G4017" s="12" t="str">
        <f t="shared" si="313"/>
        <v>Warning</v>
      </c>
      <c r="H4017" s="13">
        <f t="shared" si="314"/>
        <v>6</v>
      </c>
      <c r="I4017" s="14">
        <f t="shared" si="310"/>
        <v>1783.1999999999998</v>
      </c>
      <c r="K4017" t="str">
        <f>[1]!revcom(C4017)</f>
        <v>GGCCAA</v>
      </c>
      <c r="L4017">
        <v>4</v>
      </c>
    </row>
    <row r="4018" spans="1:12" ht="15.6" x14ac:dyDescent="0.3">
      <c r="A4018" s="9">
        <v>4007</v>
      </c>
      <c r="B4018" s="1"/>
      <c r="C4018" s="2" t="s">
        <v>4013</v>
      </c>
      <c r="D4018" s="1"/>
      <c r="E4018" s="11">
        <f t="shared" si="311"/>
        <v>12</v>
      </c>
      <c r="F4018" s="12">
        <f t="shared" si="312"/>
        <v>66.666666666666657</v>
      </c>
      <c r="G4018" s="12" t="str">
        <f t="shared" si="313"/>
        <v>Warning</v>
      </c>
      <c r="H4018" s="13">
        <f t="shared" si="314"/>
        <v>6</v>
      </c>
      <c r="I4018" s="14">
        <f t="shared" si="310"/>
        <v>1823.23</v>
      </c>
      <c r="K4018" t="str">
        <f>[1]!revcom(C4018)</f>
        <v>CGCCAA</v>
      </c>
      <c r="L4018">
        <v>4</v>
      </c>
    </row>
    <row r="4019" spans="1:12" ht="15.6" x14ac:dyDescent="0.3">
      <c r="A4019" s="9">
        <v>4008</v>
      </c>
      <c r="B4019" s="1"/>
      <c r="C4019" s="2" t="s">
        <v>4014</v>
      </c>
      <c r="D4019" s="1"/>
      <c r="E4019" s="11">
        <f t="shared" si="311"/>
        <v>6</v>
      </c>
      <c r="F4019" s="12">
        <f t="shared" si="312"/>
        <v>50</v>
      </c>
      <c r="G4019" s="12" t="str">
        <f t="shared" si="313"/>
        <v>Warning</v>
      </c>
      <c r="H4019" s="13">
        <f t="shared" si="314"/>
        <v>6</v>
      </c>
      <c r="I4019" s="14">
        <f t="shared" si="310"/>
        <v>1798.21</v>
      </c>
      <c r="K4019" t="str">
        <f>[1]!revcom(C4019)</f>
        <v>AGCCAA</v>
      </c>
      <c r="L4019">
        <v>3</v>
      </c>
    </row>
    <row r="4020" spans="1:12" ht="15.6" x14ac:dyDescent="0.3">
      <c r="A4020" s="9">
        <v>4009</v>
      </c>
      <c r="B4020" s="1"/>
      <c r="C4020" s="2" t="s">
        <v>4015</v>
      </c>
      <c r="D4020" s="1"/>
      <c r="E4020" s="11">
        <f t="shared" si="311"/>
        <v>14</v>
      </c>
      <c r="F4020" s="12">
        <f t="shared" si="312"/>
        <v>50</v>
      </c>
      <c r="G4020" s="12" t="str">
        <f t="shared" si="313"/>
        <v>Warning</v>
      </c>
      <c r="H4020" s="13">
        <f t="shared" si="314"/>
        <v>6</v>
      </c>
      <c r="I4020" s="14">
        <f t="shared" si="310"/>
        <v>1847.2600000000002</v>
      </c>
      <c r="K4020" t="str">
        <f>[1]!revcom(C4020)</f>
        <v>TCCCAA</v>
      </c>
      <c r="L4020">
        <v>5</v>
      </c>
    </row>
    <row r="4021" spans="1:12" ht="15.6" x14ac:dyDescent="0.3">
      <c r="A4021" s="9">
        <v>4010</v>
      </c>
      <c r="B4021" s="1"/>
      <c r="C4021" s="2" t="s">
        <v>4016</v>
      </c>
      <c r="D4021" s="1"/>
      <c r="E4021" s="11">
        <f t="shared" si="311"/>
        <v>12</v>
      </c>
      <c r="F4021" s="12">
        <f t="shared" si="312"/>
        <v>66.666666666666657</v>
      </c>
      <c r="G4021" s="12" t="str">
        <f t="shared" si="313"/>
        <v>Warning</v>
      </c>
      <c r="H4021" s="13">
        <f t="shared" si="314"/>
        <v>6</v>
      </c>
      <c r="I4021" s="14">
        <f t="shared" si="310"/>
        <v>1823.23</v>
      </c>
      <c r="K4021" t="str">
        <f>[1]!revcom(C4021)</f>
        <v>GCCCAA</v>
      </c>
      <c r="L4021">
        <v>4</v>
      </c>
    </row>
    <row r="4022" spans="1:12" ht="15.6" x14ac:dyDescent="0.3">
      <c r="A4022" s="9">
        <v>4011</v>
      </c>
      <c r="B4022" s="1"/>
      <c r="C4022" s="2" t="s">
        <v>4017</v>
      </c>
      <c r="D4022" s="1"/>
      <c r="E4022" s="11">
        <f t="shared" si="311"/>
        <v>12</v>
      </c>
      <c r="F4022" s="12">
        <f t="shared" si="312"/>
        <v>66.666666666666657</v>
      </c>
      <c r="G4022" s="12" t="str">
        <f t="shared" si="313"/>
        <v>Warning</v>
      </c>
      <c r="H4022" s="13">
        <f t="shared" si="314"/>
        <v>6</v>
      </c>
      <c r="I4022" s="14">
        <f t="shared" si="310"/>
        <v>1863.2600000000002</v>
      </c>
      <c r="K4022" t="str">
        <f>[1]!revcom(C4022)</f>
        <v>CCCCAA</v>
      </c>
      <c r="L4022">
        <v>4</v>
      </c>
    </row>
    <row r="4023" spans="1:12" ht="15.6" x14ac:dyDescent="0.3">
      <c r="A4023" s="9">
        <v>4012</v>
      </c>
      <c r="B4023" s="1"/>
      <c r="C4023" s="2" t="s">
        <v>4018</v>
      </c>
      <c r="D4023" s="1"/>
      <c r="E4023" s="11">
        <f t="shared" si="311"/>
        <v>6</v>
      </c>
      <c r="F4023" s="12">
        <f t="shared" si="312"/>
        <v>50</v>
      </c>
      <c r="G4023" s="12" t="str">
        <f t="shared" si="313"/>
        <v>Warning</v>
      </c>
      <c r="H4023" s="13">
        <f t="shared" si="314"/>
        <v>6</v>
      </c>
      <c r="I4023" s="14">
        <f t="shared" si="310"/>
        <v>1838.2400000000002</v>
      </c>
      <c r="K4023" t="str">
        <f>[1]!revcom(C4023)</f>
        <v>ACCCAA</v>
      </c>
      <c r="L4023">
        <v>3</v>
      </c>
    </row>
    <row r="4024" spans="1:12" ht="15.6" x14ac:dyDescent="0.3">
      <c r="A4024" s="9">
        <v>4013</v>
      </c>
      <c r="B4024" s="1"/>
      <c r="C4024" s="2" t="s">
        <v>4019</v>
      </c>
      <c r="D4024" s="1"/>
      <c r="E4024" s="11">
        <f t="shared" si="311"/>
        <v>8</v>
      </c>
      <c r="F4024" s="12">
        <f t="shared" si="312"/>
        <v>33.333333333333329</v>
      </c>
      <c r="G4024" s="12" t="str">
        <f t="shared" si="313"/>
        <v>OK</v>
      </c>
      <c r="H4024" s="13">
        <f t="shared" si="314"/>
        <v>6</v>
      </c>
      <c r="I4024" s="14">
        <f t="shared" si="310"/>
        <v>1822.2400000000002</v>
      </c>
      <c r="K4024" t="str">
        <f>[1]!revcom(C4024)</f>
        <v>TACCAA</v>
      </c>
      <c r="L4024">
        <v>4</v>
      </c>
    </row>
    <row r="4025" spans="1:12" ht="15.6" x14ac:dyDescent="0.3">
      <c r="A4025" s="9">
        <v>4014</v>
      </c>
      <c r="B4025" s="1"/>
      <c r="C4025" s="2" t="s">
        <v>4020</v>
      </c>
      <c r="D4025" s="1"/>
      <c r="E4025" s="11">
        <f t="shared" si="311"/>
        <v>6</v>
      </c>
      <c r="F4025" s="12">
        <f t="shared" si="312"/>
        <v>50</v>
      </c>
      <c r="G4025" s="12" t="str">
        <f t="shared" si="313"/>
        <v>Warning</v>
      </c>
      <c r="H4025" s="13">
        <f t="shared" si="314"/>
        <v>6</v>
      </c>
      <c r="I4025" s="14">
        <f t="shared" si="310"/>
        <v>1798.21</v>
      </c>
      <c r="K4025" t="str">
        <f>[1]!revcom(C4025)</f>
        <v>GACCAA</v>
      </c>
      <c r="L4025">
        <v>3</v>
      </c>
    </row>
    <row r="4026" spans="1:12" ht="15.6" x14ac:dyDescent="0.3">
      <c r="A4026" s="9">
        <v>4015</v>
      </c>
      <c r="B4026" s="1"/>
      <c r="C4026" s="2" t="s">
        <v>4021</v>
      </c>
      <c r="D4026" s="1"/>
      <c r="E4026" s="11">
        <f t="shared" si="311"/>
        <v>6</v>
      </c>
      <c r="F4026" s="12">
        <f t="shared" si="312"/>
        <v>50</v>
      </c>
      <c r="G4026" s="12" t="str">
        <f t="shared" si="313"/>
        <v>Warning</v>
      </c>
      <c r="H4026" s="13">
        <f t="shared" si="314"/>
        <v>6</v>
      </c>
      <c r="I4026" s="14">
        <f t="shared" si="310"/>
        <v>1838.2400000000002</v>
      </c>
      <c r="K4026" t="str">
        <f>[1]!revcom(C4026)</f>
        <v>CACCAA</v>
      </c>
      <c r="L4026">
        <v>3</v>
      </c>
    </row>
    <row r="4027" spans="1:12" ht="15.6" x14ac:dyDescent="0.3">
      <c r="A4027" s="9">
        <v>4016</v>
      </c>
      <c r="B4027" s="1"/>
      <c r="C4027" s="2" t="s">
        <v>4022</v>
      </c>
      <c r="D4027" s="1"/>
      <c r="E4027" s="11">
        <f t="shared" si="311"/>
        <v>0</v>
      </c>
      <c r="F4027" s="12">
        <f t="shared" si="312"/>
        <v>33.333333333333329</v>
      </c>
      <c r="G4027" s="12" t="str">
        <f t="shared" si="313"/>
        <v>OK</v>
      </c>
      <c r="H4027" s="13">
        <f t="shared" si="314"/>
        <v>6</v>
      </c>
      <c r="I4027" s="14">
        <f t="shared" si="310"/>
        <v>1813.2200000000003</v>
      </c>
      <c r="K4027" t="str">
        <f>[1]!revcom(C4027)</f>
        <v>AACCAA</v>
      </c>
      <c r="L4027">
        <v>2</v>
      </c>
    </row>
    <row r="4028" spans="1:12" ht="15.6" x14ac:dyDescent="0.3">
      <c r="A4028" s="9">
        <v>4017</v>
      </c>
      <c r="B4028" s="1"/>
      <c r="C4028" s="2" t="s">
        <v>4023</v>
      </c>
      <c r="D4028" s="1"/>
      <c r="E4028" s="11">
        <f t="shared" si="311"/>
        <v>10</v>
      </c>
      <c r="F4028" s="12">
        <f t="shared" si="312"/>
        <v>16.666666666666664</v>
      </c>
      <c r="G4028" s="12" t="str">
        <f t="shared" si="313"/>
        <v>OK</v>
      </c>
      <c r="H4028" s="13">
        <f t="shared" si="314"/>
        <v>6</v>
      </c>
      <c r="I4028" s="14">
        <f t="shared" si="310"/>
        <v>1806.2399999999998</v>
      </c>
      <c r="K4028" t="str">
        <f>[1]!revcom(C4028)</f>
        <v>TTACAA</v>
      </c>
      <c r="L4028">
        <v>4</v>
      </c>
    </row>
    <row r="4029" spans="1:12" ht="15.6" x14ac:dyDescent="0.3">
      <c r="A4029" s="9">
        <v>4018</v>
      </c>
      <c r="B4029" s="1"/>
      <c r="C4029" s="2" t="s">
        <v>4024</v>
      </c>
      <c r="D4029" s="1"/>
      <c r="E4029" s="11">
        <f t="shared" si="311"/>
        <v>8</v>
      </c>
      <c r="F4029" s="12">
        <f t="shared" si="312"/>
        <v>33.333333333333329</v>
      </c>
      <c r="G4029" s="12" t="str">
        <f t="shared" si="313"/>
        <v>OK</v>
      </c>
      <c r="H4029" s="13">
        <f t="shared" si="314"/>
        <v>6</v>
      </c>
      <c r="I4029" s="14">
        <f t="shared" si="310"/>
        <v>1782.21</v>
      </c>
      <c r="K4029" t="str">
        <f>[1]!revcom(C4029)</f>
        <v>GTACAA</v>
      </c>
      <c r="L4029">
        <v>4</v>
      </c>
    </row>
    <row r="4030" spans="1:12" ht="15.6" x14ac:dyDescent="0.3">
      <c r="A4030" s="9">
        <v>4019</v>
      </c>
      <c r="B4030" s="1"/>
      <c r="C4030" s="2" t="s">
        <v>4025</v>
      </c>
      <c r="D4030" s="1"/>
      <c r="E4030" s="11">
        <f t="shared" si="311"/>
        <v>8</v>
      </c>
      <c r="F4030" s="12">
        <f t="shared" si="312"/>
        <v>33.333333333333329</v>
      </c>
      <c r="G4030" s="12" t="str">
        <f t="shared" si="313"/>
        <v>OK</v>
      </c>
      <c r="H4030" s="13">
        <f t="shared" si="314"/>
        <v>6</v>
      </c>
      <c r="I4030" s="14">
        <f t="shared" si="310"/>
        <v>1822.2400000000002</v>
      </c>
      <c r="K4030" t="str">
        <f>[1]!revcom(C4030)</f>
        <v>CTACAA</v>
      </c>
      <c r="L4030">
        <v>4</v>
      </c>
    </row>
    <row r="4031" spans="1:12" ht="15.6" x14ac:dyDescent="0.3">
      <c r="A4031" s="9">
        <v>4020</v>
      </c>
      <c r="B4031" s="1"/>
      <c r="C4031" s="2" t="s">
        <v>4026</v>
      </c>
      <c r="D4031" s="1"/>
      <c r="E4031" s="11">
        <f t="shared" si="311"/>
        <v>2</v>
      </c>
      <c r="F4031" s="12">
        <f t="shared" si="312"/>
        <v>16.666666666666664</v>
      </c>
      <c r="G4031" s="12" t="str">
        <f t="shared" si="313"/>
        <v>OK</v>
      </c>
      <c r="H4031" s="13">
        <f t="shared" si="314"/>
        <v>6</v>
      </c>
      <c r="I4031" s="14">
        <f t="shared" si="310"/>
        <v>1797.2199999999998</v>
      </c>
      <c r="K4031" t="str">
        <f>[1]!revcom(C4031)</f>
        <v>ATACAA</v>
      </c>
      <c r="L4031">
        <v>3</v>
      </c>
    </row>
    <row r="4032" spans="1:12" ht="15.6" x14ac:dyDescent="0.3">
      <c r="A4032" s="9">
        <v>4021</v>
      </c>
      <c r="B4032" s="1"/>
      <c r="C4032" s="2" t="s">
        <v>4027</v>
      </c>
      <c r="D4032" s="1"/>
      <c r="E4032" s="11">
        <f t="shared" si="311"/>
        <v>8</v>
      </c>
      <c r="F4032" s="12">
        <f t="shared" si="312"/>
        <v>33.333333333333329</v>
      </c>
      <c r="G4032" s="12" t="str">
        <f t="shared" si="313"/>
        <v>OK</v>
      </c>
      <c r="H4032" s="13">
        <f t="shared" si="314"/>
        <v>6</v>
      </c>
      <c r="I4032" s="14">
        <f t="shared" si="310"/>
        <v>1782.21</v>
      </c>
      <c r="K4032" t="str">
        <f>[1]!revcom(C4032)</f>
        <v>TGACAA</v>
      </c>
      <c r="L4032">
        <v>4</v>
      </c>
    </row>
    <row r="4033" spans="1:12" ht="15.6" x14ac:dyDescent="0.3">
      <c r="A4033" s="9">
        <v>4022</v>
      </c>
      <c r="B4033" s="1"/>
      <c r="C4033" s="2" t="s">
        <v>4028</v>
      </c>
      <c r="D4033" s="1"/>
      <c r="E4033" s="11">
        <f t="shared" si="311"/>
        <v>6</v>
      </c>
      <c r="F4033" s="12">
        <f t="shared" si="312"/>
        <v>50</v>
      </c>
      <c r="G4033" s="12" t="str">
        <f t="shared" si="313"/>
        <v>Warning</v>
      </c>
      <c r="H4033" s="13">
        <f t="shared" si="314"/>
        <v>6</v>
      </c>
      <c r="I4033" s="14">
        <f t="shared" si="310"/>
        <v>1758.1799999999998</v>
      </c>
      <c r="K4033" t="str">
        <f>[1]!revcom(C4033)</f>
        <v>GGACAA</v>
      </c>
      <c r="L4033">
        <v>3</v>
      </c>
    </row>
    <row r="4034" spans="1:12" ht="15.6" x14ac:dyDescent="0.3">
      <c r="A4034" s="9">
        <v>4023</v>
      </c>
      <c r="B4034" s="1"/>
      <c r="C4034" s="2" t="s">
        <v>4029</v>
      </c>
      <c r="D4034" s="1"/>
      <c r="E4034" s="11">
        <f t="shared" si="311"/>
        <v>6</v>
      </c>
      <c r="F4034" s="12">
        <f t="shared" si="312"/>
        <v>50</v>
      </c>
      <c r="G4034" s="12" t="str">
        <f t="shared" si="313"/>
        <v>Warning</v>
      </c>
      <c r="H4034" s="13">
        <f t="shared" si="314"/>
        <v>6</v>
      </c>
      <c r="I4034" s="14">
        <f t="shared" si="310"/>
        <v>1798.21</v>
      </c>
      <c r="K4034" t="str">
        <f>[1]!revcom(C4034)</f>
        <v>CGACAA</v>
      </c>
      <c r="L4034">
        <v>3</v>
      </c>
    </row>
    <row r="4035" spans="1:12" ht="15.6" x14ac:dyDescent="0.3">
      <c r="A4035" s="9">
        <v>4024</v>
      </c>
      <c r="B4035" s="1"/>
      <c r="C4035" s="2" t="s">
        <v>4030</v>
      </c>
      <c r="D4035" s="1"/>
      <c r="E4035" s="11">
        <f t="shared" si="311"/>
        <v>0</v>
      </c>
      <c r="F4035" s="12">
        <f t="shared" si="312"/>
        <v>33.333333333333329</v>
      </c>
      <c r="G4035" s="12" t="str">
        <f t="shared" si="313"/>
        <v>OK</v>
      </c>
      <c r="H4035" s="13">
        <f t="shared" si="314"/>
        <v>6</v>
      </c>
      <c r="I4035" s="14">
        <f t="shared" si="310"/>
        <v>1773.19</v>
      </c>
      <c r="K4035" t="str">
        <f>[1]!revcom(C4035)</f>
        <v>AGACAA</v>
      </c>
      <c r="L4035">
        <v>2</v>
      </c>
    </row>
    <row r="4036" spans="1:12" ht="15.6" x14ac:dyDescent="0.3">
      <c r="A4036" s="9">
        <v>4025</v>
      </c>
      <c r="B4036" s="1"/>
      <c r="C4036" s="2" t="s">
        <v>4031</v>
      </c>
      <c r="D4036" s="1"/>
      <c r="E4036" s="11">
        <f t="shared" si="311"/>
        <v>8</v>
      </c>
      <c r="F4036" s="12">
        <f t="shared" si="312"/>
        <v>33.333333333333329</v>
      </c>
      <c r="G4036" s="12" t="str">
        <f t="shared" si="313"/>
        <v>OK</v>
      </c>
      <c r="H4036" s="13">
        <f t="shared" si="314"/>
        <v>6</v>
      </c>
      <c r="I4036" s="14">
        <f t="shared" si="310"/>
        <v>1822.2400000000002</v>
      </c>
      <c r="K4036" t="str">
        <f>[1]!revcom(C4036)</f>
        <v>TCACAA</v>
      </c>
      <c r="L4036">
        <v>4</v>
      </c>
    </row>
    <row r="4037" spans="1:12" ht="15.6" x14ac:dyDescent="0.3">
      <c r="A4037" s="9">
        <v>4026</v>
      </c>
      <c r="B4037" s="1"/>
      <c r="C4037" s="2" t="s">
        <v>4032</v>
      </c>
      <c r="D4037" s="1"/>
      <c r="E4037" s="11">
        <f t="shared" si="311"/>
        <v>6</v>
      </c>
      <c r="F4037" s="12">
        <f t="shared" si="312"/>
        <v>50</v>
      </c>
      <c r="G4037" s="12" t="str">
        <f t="shared" si="313"/>
        <v>Warning</v>
      </c>
      <c r="H4037" s="13">
        <f t="shared" si="314"/>
        <v>6</v>
      </c>
      <c r="I4037" s="14">
        <f t="shared" si="310"/>
        <v>1798.21</v>
      </c>
      <c r="K4037" t="str">
        <f>[1]!revcom(C4037)</f>
        <v>GCACAA</v>
      </c>
      <c r="L4037">
        <v>3</v>
      </c>
    </row>
    <row r="4038" spans="1:12" ht="15.6" x14ac:dyDescent="0.3">
      <c r="A4038" s="9">
        <v>4027</v>
      </c>
      <c r="B4038" s="1"/>
      <c r="C4038" s="2" t="s">
        <v>4033</v>
      </c>
      <c r="D4038" s="1"/>
      <c r="E4038" s="11">
        <f t="shared" si="311"/>
        <v>6</v>
      </c>
      <c r="F4038" s="12">
        <f t="shared" si="312"/>
        <v>50</v>
      </c>
      <c r="G4038" s="12" t="str">
        <f t="shared" si="313"/>
        <v>Warning</v>
      </c>
      <c r="H4038" s="13">
        <f t="shared" si="314"/>
        <v>6</v>
      </c>
      <c r="I4038" s="14">
        <f t="shared" si="310"/>
        <v>1838.2400000000002</v>
      </c>
      <c r="K4038" t="str">
        <f>[1]!revcom(C4038)</f>
        <v>CCACAA</v>
      </c>
      <c r="L4038">
        <v>3</v>
      </c>
    </row>
    <row r="4039" spans="1:12" ht="15.6" x14ac:dyDescent="0.3">
      <c r="A4039" s="9">
        <v>4028</v>
      </c>
      <c r="B4039" s="1"/>
      <c r="C4039" s="2" t="s">
        <v>4034</v>
      </c>
      <c r="D4039" s="1"/>
      <c r="E4039" s="11">
        <f t="shared" si="311"/>
        <v>0</v>
      </c>
      <c r="F4039" s="12">
        <f t="shared" si="312"/>
        <v>33.333333333333329</v>
      </c>
      <c r="G4039" s="12" t="str">
        <f t="shared" si="313"/>
        <v>OK</v>
      </c>
      <c r="H4039" s="13">
        <f t="shared" si="314"/>
        <v>6</v>
      </c>
      <c r="I4039" s="14">
        <f t="shared" si="310"/>
        <v>1813.2200000000003</v>
      </c>
      <c r="K4039" t="str">
        <f>[1]!revcom(C4039)</f>
        <v>ACACAA</v>
      </c>
      <c r="L4039">
        <v>2</v>
      </c>
    </row>
    <row r="4040" spans="1:12" ht="15.6" x14ac:dyDescent="0.3">
      <c r="A4040" s="9">
        <v>4029</v>
      </c>
      <c r="B4040" s="1"/>
      <c r="C4040" s="2" t="s">
        <v>4035</v>
      </c>
      <c r="D4040" s="1"/>
      <c r="E4040" s="11">
        <f t="shared" si="311"/>
        <v>2</v>
      </c>
      <c r="F4040" s="12">
        <f t="shared" si="312"/>
        <v>16.666666666666664</v>
      </c>
      <c r="G4040" s="12" t="str">
        <f t="shared" si="313"/>
        <v>OK</v>
      </c>
      <c r="H4040" s="13">
        <f t="shared" si="314"/>
        <v>6</v>
      </c>
      <c r="I4040" s="14">
        <f t="shared" si="310"/>
        <v>1797.2199999999998</v>
      </c>
      <c r="K4040" t="str">
        <f>[1]!revcom(C4040)</f>
        <v>TAACAA</v>
      </c>
      <c r="L4040">
        <v>3</v>
      </c>
    </row>
    <row r="4041" spans="1:12" ht="15.6" x14ac:dyDescent="0.3">
      <c r="A4041" s="9">
        <v>4030</v>
      </c>
      <c r="B4041" s="1"/>
      <c r="C4041" s="2" t="s">
        <v>4036</v>
      </c>
      <c r="D4041" s="1"/>
      <c r="E4041" s="11">
        <f t="shared" si="311"/>
        <v>0</v>
      </c>
      <c r="F4041" s="12">
        <f t="shared" si="312"/>
        <v>33.333333333333329</v>
      </c>
      <c r="G4041" s="12" t="str">
        <f t="shared" si="313"/>
        <v>OK</v>
      </c>
      <c r="H4041" s="13">
        <f t="shared" si="314"/>
        <v>6</v>
      </c>
      <c r="I4041" s="14">
        <f t="shared" si="310"/>
        <v>1773.19</v>
      </c>
      <c r="K4041" t="str">
        <f>[1]!revcom(C4041)</f>
        <v>GAACAA</v>
      </c>
      <c r="L4041">
        <v>2</v>
      </c>
    </row>
    <row r="4042" spans="1:12" ht="15.6" x14ac:dyDescent="0.3">
      <c r="A4042" s="9">
        <v>4031</v>
      </c>
      <c r="B4042" s="1"/>
      <c r="C4042" s="2" t="s">
        <v>4037</v>
      </c>
      <c r="D4042" s="1"/>
      <c r="E4042" s="11">
        <f t="shared" si="311"/>
        <v>0</v>
      </c>
      <c r="F4042" s="12">
        <f t="shared" si="312"/>
        <v>33.333333333333329</v>
      </c>
      <c r="G4042" s="12" t="str">
        <f t="shared" si="313"/>
        <v>OK</v>
      </c>
      <c r="H4042" s="13">
        <f t="shared" si="314"/>
        <v>6</v>
      </c>
      <c r="I4042" s="14">
        <f t="shared" si="310"/>
        <v>1813.2200000000003</v>
      </c>
      <c r="K4042" t="str">
        <f>[1]!revcom(C4042)</f>
        <v>CAACAA</v>
      </c>
      <c r="L4042">
        <v>2</v>
      </c>
    </row>
    <row r="4043" spans="1:12" ht="15.6" x14ac:dyDescent="0.3">
      <c r="A4043" s="9">
        <v>4032</v>
      </c>
      <c r="B4043" s="1"/>
      <c r="C4043" s="2" t="s">
        <v>4038</v>
      </c>
      <c r="D4043" s="1"/>
      <c r="E4043" s="11">
        <f t="shared" si="311"/>
        <v>-6</v>
      </c>
      <c r="F4043" s="12">
        <f t="shared" si="312"/>
        <v>16.666666666666664</v>
      </c>
      <c r="G4043" s="12" t="str">
        <f t="shared" si="313"/>
        <v>OK</v>
      </c>
      <c r="H4043" s="13">
        <f t="shared" si="314"/>
        <v>6</v>
      </c>
      <c r="I4043" s="14">
        <f t="shared" si="310"/>
        <v>1788.1999999999998</v>
      </c>
      <c r="K4043" t="str">
        <f>[1]!revcom(C4043)</f>
        <v>AAACAA</v>
      </c>
      <c r="L4043">
        <v>1</v>
      </c>
    </row>
    <row r="4044" spans="1:12" ht="15.6" x14ac:dyDescent="0.3">
      <c r="A4044" s="9">
        <v>4033</v>
      </c>
      <c r="B4044" s="1"/>
      <c r="C4044" s="2" t="s">
        <v>4039</v>
      </c>
      <c r="D4044" s="1"/>
      <c r="E4044" s="11">
        <f t="shared" si="311"/>
        <v>12</v>
      </c>
      <c r="F4044" s="12">
        <f t="shared" si="312"/>
        <v>0</v>
      </c>
      <c r="G4044" s="12" t="str">
        <f t="shared" si="313"/>
        <v>OK</v>
      </c>
      <c r="H4044" s="13">
        <f t="shared" si="314"/>
        <v>6</v>
      </c>
      <c r="I4044" s="14">
        <f t="shared" si="310"/>
        <v>1790.2399999999998</v>
      </c>
      <c r="K4044" t="str">
        <f>[1]!revcom(C4044)</f>
        <v>TTTAAA</v>
      </c>
      <c r="L4044">
        <v>4</v>
      </c>
    </row>
    <row r="4045" spans="1:12" ht="15.6" x14ac:dyDescent="0.3">
      <c r="A4045" s="9">
        <v>4034</v>
      </c>
      <c r="B4045" s="1"/>
      <c r="C4045" s="2" t="s">
        <v>4040</v>
      </c>
      <c r="D4045" s="1"/>
      <c r="E4045" s="11">
        <f t="shared" si="311"/>
        <v>10</v>
      </c>
      <c r="F4045" s="12">
        <f t="shared" si="312"/>
        <v>16.666666666666664</v>
      </c>
      <c r="G4045" s="12" t="str">
        <f t="shared" si="313"/>
        <v>OK</v>
      </c>
      <c r="H4045" s="13">
        <f t="shared" si="314"/>
        <v>6</v>
      </c>
      <c r="I4045" s="14">
        <f t="shared" ref="I4045:I4107" si="315">((LEN(C4045)-(LEN(SUBSTITUTE(C4045,"A",""))))*249.23)+((LEN(C4045)-(LEN(SUBSTITUTE(C4045,"T",""))))*240.21)+((LEN(C4045)-(LEN(SUBSTITUTE(C4045,"C",""))))*225.2)+((LEN(C4045)-(LEN(SUBSTITUTE(C4045,"G",""))))*265.23)+(63.98*(LEN(C4045)-1)+(2.02))</f>
        <v>1766.21</v>
      </c>
      <c r="K4045" t="str">
        <f>[1]!revcom(C4045)</f>
        <v>GTTAAA</v>
      </c>
      <c r="L4045">
        <v>4</v>
      </c>
    </row>
    <row r="4046" spans="1:12" ht="15.6" x14ac:dyDescent="0.3">
      <c r="A4046" s="9">
        <v>4035</v>
      </c>
      <c r="B4046" s="1"/>
      <c r="C4046" s="2" t="s">
        <v>4041</v>
      </c>
      <c r="D4046" s="1"/>
      <c r="E4046" s="11">
        <f t="shared" ref="E4046:E4107" si="316">IF(LEN(C4046)&gt;15,(69.3+((41*((LEN(C4046)-(((LEN(C4046)-(LEN(SUBSTITUTE(C4046,"A",""))))+((LEN(C4046)-(LEN(SUBSTITUTE(C4046,"T","")))))))))/(LEN(C4046)))-(650/(LEN(C4046))))),(2*((LEN(C4046)-(((LEN(C4046)-(LEN(SUBSTITUTE(C4046,"C",""))))+((LEN(C4046)-(LEN(SUBSTITUTE(C4046,"G",""))))))))))+(4*((LEN(C4046)-(((LEN(C4046)-(LEN(SUBSTITUTE(C4046,"T",""))))+((LEN(C4046)-(LEN(SUBSTITUTE(C4046,"T","")))))))))))</f>
        <v>10</v>
      </c>
      <c r="F4046" s="12">
        <f t="shared" ref="F4046:F4107" si="317">((LEN(C4046)- LEN(SUBSTITUTE(C4046,"G","")))+(LEN(C4046)- LEN(SUBSTITUTE(C4046,"C",""))) )/LEN(C4046)*100</f>
        <v>16.666666666666664</v>
      </c>
      <c r="G4046" s="12" t="str">
        <f t="shared" ref="G4046:G4107" si="318">IF((-5+((LEN(SUBSTITUTE(RIGHT(C4046,5),"C","")))+((LEN(SUBSTITUTE(RIGHT(C4046,5),"G",""))))))&gt;=3,"OK","Warning")</f>
        <v>OK</v>
      </c>
      <c r="H4046" s="13">
        <f t="shared" ref="H4046:H4107" si="319">LEN(C4046)</f>
        <v>6</v>
      </c>
      <c r="I4046" s="14">
        <f t="shared" si="315"/>
        <v>1806.2399999999998</v>
      </c>
      <c r="K4046" t="str">
        <f>[1]!revcom(C4046)</f>
        <v>CTTAAA</v>
      </c>
      <c r="L4046">
        <v>4</v>
      </c>
    </row>
    <row r="4047" spans="1:12" ht="15.6" x14ac:dyDescent="0.3">
      <c r="A4047" s="9">
        <v>4036</v>
      </c>
      <c r="B4047" s="1"/>
      <c r="C4047" s="2" t="s">
        <v>4042</v>
      </c>
      <c r="D4047" s="1"/>
      <c r="E4047" s="11">
        <f t="shared" si="316"/>
        <v>4</v>
      </c>
      <c r="F4047" s="12">
        <f t="shared" si="317"/>
        <v>0</v>
      </c>
      <c r="G4047" s="12" t="str">
        <f t="shared" si="318"/>
        <v>OK</v>
      </c>
      <c r="H4047" s="13">
        <f t="shared" si="319"/>
        <v>6</v>
      </c>
      <c r="I4047" s="14">
        <f t="shared" si="315"/>
        <v>1781.2199999999998</v>
      </c>
      <c r="K4047" t="str">
        <f>[1]!revcom(C4047)</f>
        <v>ATTAAA</v>
      </c>
      <c r="L4047">
        <v>3</v>
      </c>
    </row>
    <row r="4048" spans="1:12" ht="15.6" x14ac:dyDescent="0.3">
      <c r="A4048" s="9">
        <v>4037</v>
      </c>
      <c r="B4048" s="1"/>
      <c r="C4048" s="2" t="s">
        <v>4043</v>
      </c>
      <c r="D4048" s="1"/>
      <c r="E4048" s="11">
        <f t="shared" si="316"/>
        <v>10</v>
      </c>
      <c r="F4048" s="12">
        <f t="shared" si="317"/>
        <v>16.666666666666664</v>
      </c>
      <c r="G4048" s="12" t="str">
        <f t="shared" si="318"/>
        <v>OK</v>
      </c>
      <c r="H4048" s="13">
        <f t="shared" si="319"/>
        <v>6</v>
      </c>
      <c r="I4048" s="14">
        <f t="shared" si="315"/>
        <v>1766.21</v>
      </c>
      <c r="K4048" t="str">
        <f>[1]!revcom(C4048)</f>
        <v>TGTAAA</v>
      </c>
      <c r="L4048">
        <v>4</v>
      </c>
    </row>
    <row r="4049" spans="1:12" ht="15.6" x14ac:dyDescent="0.3">
      <c r="A4049" s="9">
        <v>4038</v>
      </c>
      <c r="B4049" s="1"/>
      <c r="C4049" s="2" t="s">
        <v>4044</v>
      </c>
      <c r="D4049" s="1"/>
      <c r="E4049" s="11">
        <f t="shared" si="316"/>
        <v>8</v>
      </c>
      <c r="F4049" s="12">
        <f t="shared" si="317"/>
        <v>33.333333333333329</v>
      </c>
      <c r="G4049" s="12" t="str">
        <f t="shared" si="318"/>
        <v>OK</v>
      </c>
      <c r="H4049" s="13">
        <f t="shared" si="319"/>
        <v>6</v>
      </c>
      <c r="I4049" s="14">
        <f t="shared" si="315"/>
        <v>1742.1799999999998</v>
      </c>
      <c r="K4049" t="str">
        <f>[1]!revcom(C4049)</f>
        <v>GGTAAA</v>
      </c>
      <c r="L4049">
        <v>4</v>
      </c>
    </row>
    <row r="4050" spans="1:12" ht="15.6" x14ac:dyDescent="0.3">
      <c r="A4050" s="9">
        <v>4039</v>
      </c>
      <c r="B4050" s="1"/>
      <c r="C4050" s="2" t="s">
        <v>4045</v>
      </c>
      <c r="D4050" s="1"/>
      <c r="E4050" s="11">
        <f t="shared" si="316"/>
        <v>8</v>
      </c>
      <c r="F4050" s="12">
        <f t="shared" si="317"/>
        <v>33.333333333333329</v>
      </c>
      <c r="G4050" s="12" t="str">
        <f t="shared" si="318"/>
        <v>OK</v>
      </c>
      <c r="H4050" s="13">
        <f t="shared" si="319"/>
        <v>6</v>
      </c>
      <c r="I4050" s="14">
        <f t="shared" si="315"/>
        <v>1782.21</v>
      </c>
      <c r="K4050" t="str">
        <f>[1]!revcom(C4050)</f>
        <v>CGTAAA</v>
      </c>
      <c r="L4050">
        <v>4</v>
      </c>
    </row>
    <row r="4051" spans="1:12" ht="15.6" x14ac:dyDescent="0.3">
      <c r="A4051" s="9">
        <v>4040</v>
      </c>
      <c r="B4051" s="1"/>
      <c r="C4051" s="2" t="s">
        <v>4046</v>
      </c>
      <c r="D4051" s="1"/>
      <c r="E4051" s="11">
        <f t="shared" si="316"/>
        <v>2</v>
      </c>
      <c r="F4051" s="12">
        <f t="shared" si="317"/>
        <v>16.666666666666664</v>
      </c>
      <c r="G4051" s="12" t="str">
        <f t="shared" si="318"/>
        <v>OK</v>
      </c>
      <c r="H4051" s="13">
        <f t="shared" si="319"/>
        <v>6</v>
      </c>
      <c r="I4051" s="14">
        <f t="shared" si="315"/>
        <v>1757.19</v>
      </c>
      <c r="K4051" t="str">
        <f>[1]!revcom(C4051)</f>
        <v>AGTAAA</v>
      </c>
      <c r="L4051">
        <v>3</v>
      </c>
    </row>
    <row r="4052" spans="1:12" ht="15.6" x14ac:dyDescent="0.3">
      <c r="A4052" s="9">
        <v>4041</v>
      </c>
      <c r="B4052" s="1"/>
      <c r="C4052" s="2" t="s">
        <v>4047</v>
      </c>
      <c r="D4052" s="1"/>
      <c r="E4052" s="11">
        <f t="shared" si="316"/>
        <v>10</v>
      </c>
      <c r="F4052" s="12">
        <f t="shared" si="317"/>
        <v>16.666666666666664</v>
      </c>
      <c r="G4052" s="12" t="str">
        <f t="shared" si="318"/>
        <v>OK</v>
      </c>
      <c r="H4052" s="13">
        <f t="shared" si="319"/>
        <v>6</v>
      </c>
      <c r="I4052" s="14">
        <f t="shared" si="315"/>
        <v>1806.2399999999998</v>
      </c>
      <c r="K4052" t="str">
        <f>[1]!revcom(C4052)</f>
        <v>TCTAAA</v>
      </c>
      <c r="L4052">
        <v>4</v>
      </c>
    </row>
    <row r="4053" spans="1:12" ht="15.6" x14ac:dyDescent="0.3">
      <c r="A4053" s="9">
        <v>4042</v>
      </c>
      <c r="B4053" s="1"/>
      <c r="C4053" s="2" t="s">
        <v>4048</v>
      </c>
      <c r="D4053" s="1"/>
      <c r="E4053" s="11">
        <f t="shared" si="316"/>
        <v>8</v>
      </c>
      <c r="F4053" s="12">
        <f t="shared" si="317"/>
        <v>33.333333333333329</v>
      </c>
      <c r="G4053" s="12" t="str">
        <f t="shared" si="318"/>
        <v>OK</v>
      </c>
      <c r="H4053" s="13">
        <f t="shared" si="319"/>
        <v>6</v>
      </c>
      <c r="I4053" s="14">
        <f t="shared" si="315"/>
        <v>1782.21</v>
      </c>
      <c r="K4053" t="str">
        <f>[1]!revcom(C4053)</f>
        <v>GCTAAA</v>
      </c>
      <c r="L4053">
        <v>4</v>
      </c>
    </row>
    <row r="4054" spans="1:12" ht="15.6" x14ac:dyDescent="0.3">
      <c r="A4054" s="9">
        <v>4043</v>
      </c>
      <c r="B4054" s="1"/>
      <c r="C4054" s="2" t="s">
        <v>4049</v>
      </c>
      <c r="D4054" s="1"/>
      <c r="E4054" s="11">
        <f t="shared" si="316"/>
        <v>8</v>
      </c>
      <c r="F4054" s="12">
        <f t="shared" si="317"/>
        <v>33.333333333333329</v>
      </c>
      <c r="G4054" s="12" t="str">
        <f t="shared" si="318"/>
        <v>OK</v>
      </c>
      <c r="H4054" s="13">
        <f t="shared" si="319"/>
        <v>6</v>
      </c>
      <c r="I4054" s="14">
        <f t="shared" si="315"/>
        <v>1822.2400000000002</v>
      </c>
      <c r="K4054" t="str">
        <f>[1]!revcom(C4054)</f>
        <v>CCTAAA</v>
      </c>
      <c r="L4054">
        <v>4</v>
      </c>
    </row>
    <row r="4055" spans="1:12" ht="15.6" x14ac:dyDescent="0.3">
      <c r="A4055" s="9">
        <v>4044</v>
      </c>
      <c r="B4055" s="1"/>
      <c r="C4055" s="2" t="s">
        <v>4050</v>
      </c>
      <c r="D4055" s="1"/>
      <c r="E4055" s="11">
        <f t="shared" si="316"/>
        <v>2</v>
      </c>
      <c r="F4055" s="12">
        <f t="shared" si="317"/>
        <v>16.666666666666664</v>
      </c>
      <c r="G4055" s="12" t="str">
        <f t="shared" si="318"/>
        <v>OK</v>
      </c>
      <c r="H4055" s="13">
        <f t="shared" si="319"/>
        <v>6</v>
      </c>
      <c r="I4055" s="14">
        <f t="shared" si="315"/>
        <v>1797.2199999999998</v>
      </c>
      <c r="K4055" t="str">
        <f>[1]!revcom(C4055)</f>
        <v>ACTAAA</v>
      </c>
      <c r="L4055">
        <v>3</v>
      </c>
    </row>
    <row r="4056" spans="1:12" ht="15.6" x14ac:dyDescent="0.3">
      <c r="A4056" s="9">
        <v>4045</v>
      </c>
      <c r="B4056" s="1"/>
      <c r="C4056" s="2" t="s">
        <v>4051</v>
      </c>
      <c r="D4056" s="1"/>
      <c r="E4056" s="11">
        <f t="shared" si="316"/>
        <v>4</v>
      </c>
      <c r="F4056" s="12">
        <f t="shared" si="317"/>
        <v>0</v>
      </c>
      <c r="G4056" s="12" t="str">
        <f t="shared" si="318"/>
        <v>OK</v>
      </c>
      <c r="H4056" s="13">
        <f t="shared" si="319"/>
        <v>6</v>
      </c>
      <c r="I4056" s="14">
        <f t="shared" si="315"/>
        <v>1781.2199999999998</v>
      </c>
      <c r="K4056" t="str">
        <f>[1]!revcom(C4056)</f>
        <v>TATAAA</v>
      </c>
      <c r="L4056">
        <v>3</v>
      </c>
    </row>
    <row r="4057" spans="1:12" ht="15.6" x14ac:dyDescent="0.3">
      <c r="A4057" s="9">
        <v>4046</v>
      </c>
      <c r="B4057" s="1"/>
      <c r="C4057" s="2" t="s">
        <v>4052</v>
      </c>
      <c r="D4057" s="1"/>
      <c r="E4057" s="11">
        <f t="shared" si="316"/>
        <v>2</v>
      </c>
      <c r="F4057" s="12">
        <f t="shared" si="317"/>
        <v>16.666666666666664</v>
      </c>
      <c r="G4057" s="12" t="str">
        <f t="shared" si="318"/>
        <v>OK</v>
      </c>
      <c r="H4057" s="13">
        <f t="shared" si="319"/>
        <v>6</v>
      </c>
      <c r="I4057" s="14">
        <f t="shared" si="315"/>
        <v>1757.19</v>
      </c>
      <c r="K4057" t="str">
        <f>[1]!revcom(C4057)</f>
        <v>GATAAA</v>
      </c>
      <c r="L4057">
        <v>3</v>
      </c>
    </row>
    <row r="4058" spans="1:12" ht="15.6" x14ac:dyDescent="0.3">
      <c r="A4058" s="9">
        <v>4047</v>
      </c>
      <c r="B4058" s="1"/>
      <c r="C4058" s="2" t="s">
        <v>4053</v>
      </c>
      <c r="D4058" s="1"/>
      <c r="E4058" s="11">
        <f t="shared" si="316"/>
        <v>2</v>
      </c>
      <c r="F4058" s="12">
        <f t="shared" si="317"/>
        <v>16.666666666666664</v>
      </c>
      <c r="G4058" s="12" t="str">
        <f t="shared" si="318"/>
        <v>OK</v>
      </c>
      <c r="H4058" s="13">
        <f t="shared" si="319"/>
        <v>6</v>
      </c>
      <c r="I4058" s="14">
        <f t="shared" si="315"/>
        <v>1797.2199999999998</v>
      </c>
      <c r="K4058" t="str">
        <f>[1]!revcom(C4058)</f>
        <v>CATAAA</v>
      </c>
      <c r="L4058">
        <v>3</v>
      </c>
    </row>
    <row r="4059" spans="1:12" ht="15.6" x14ac:dyDescent="0.3">
      <c r="A4059" s="9">
        <v>4048</v>
      </c>
      <c r="B4059" s="1"/>
      <c r="C4059" s="2" t="s">
        <v>4054</v>
      </c>
      <c r="D4059" s="1"/>
      <c r="E4059" s="11">
        <f t="shared" si="316"/>
        <v>-4</v>
      </c>
      <c r="F4059" s="12">
        <f t="shared" si="317"/>
        <v>0</v>
      </c>
      <c r="G4059" s="12" t="str">
        <f t="shared" si="318"/>
        <v>OK</v>
      </c>
      <c r="H4059" s="13">
        <f t="shared" si="319"/>
        <v>6</v>
      </c>
      <c r="I4059" s="14">
        <f t="shared" si="315"/>
        <v>1772.1999999999998</v>
      </c>
      <c r="K4059" t="str">
        <f>[1]!revcom(C4059)</f>
        <v>AATAAA</v>
      </c>
      <c r="L4059">
        <v>2</v>
      </c>
    </row>
    <row r="4060" spans="1:12" ht="15.6" x14ac:dyDescent="0.3">
      <c r="A4060" s="9">
        <v>4049</v>
      </c>
      <c r="B4060" s="1"/>
      <c r="C4060" s="2" t="s">
        <v>4055</v>
      </c>
      <c r="D4060" s="1"/>
      <c r="E4060" s="11">
        <f t="shared" si="316"/>
        <v>10</v>
      </c>
      <c r="F4060" s="12">
        <f t="shared" si="317"/>
        <v>16.666666666666664</v>
      </c>
      <c r="G4060" s="12" t="str">
        <f t="shared" si="318"/>
        <v>OK</v>
      </c>
      <c r="H4060" s="13">
        <f t="shared" si="319"/>
        <v>6</v>
      </c>
      <c r="I4060" s="14">
        <f t="shared" si="315"/>
        <v>1766.21</v>
      </c>
      <c r="K4060" t="str">
        <f>[1]!revcom(C4060)</f>
        <v>TTGAAA</v>
      </c>
      <c r="L4060">
        <v>4</v>
      </c>
    </row>
    <row r="4061" spans="1:12" ht="15.6" x14ac:dyDescent="0.3">
      <c r="A4061" s="9">
        <v>4050</v>
      </c>
      <c r="B4061" s="1"/>
      <c r="C4061" s="2" t="s">
        <v>4056</v>
      </c>
      <c r="D4061" s="1"/>
      <c r="E4061" s="11">
        <f t="shared" si="316"/>
        <v>8</v>
      </c>
      <c r="F4061" s="12">
        <f t="shared" si="317"/>
        <v>33.333333333333329</v>
      </c>
      <c r="G4061" s="12" t="str">
        <f t="shared" si="318"/>
        <v>OK</v>
      </c>
      <c r="H4061" s="13">
        <f t="shared" si="319"/>
        <v>6</v>
      </c>
      <c r="I4061" s="14">
        <f t="shared" si="315"/>
        <v>1742.1799999999998</v>
      </c>
      <c r="K4061" t="str">
        <f>[1]!revcom(C4061)</f>
        <v>GTGAAA</v>
      </c>
      <c r="L4061">
        <v>4</v>
      </c>
    </row>
    <row r="4062" spans="1:12" ht="15.6" x14ac:dyDescent="0.3">
      <c r="A4062" s="9">
        <v>4051</v>
      </c>
      <c r="B4062" s="1"/>
      <c r="C4062" s="2" t="s">
        <v>4057</v>
      </c>
      <c r="D4062" s="1"/>
      <c r="E4062" s="11">
        <f t="shared" si="316"/>
        <v>8</v>
      </c>
      <c r="F4062" s="12">
        <f t="shared" si="317"/>
        <v>33.333333333333329</v>
      </c>
      <c r="G4062" s="12" t="str">
        <f t="shared" si="318"/>
        <v>OK</v>
      </c>
      <c r="H4062" s="13">
        <f t="shared" si="319"/>
        <v>6</v>
      </c>
      <c r="I4062" s="14">
        <f t="shared" si="315"/>
        <v>1782.21</v>
      </c>
      <c r="K4062" t="str">
        <f>[1]!revcom(C4062)</f>
        <v>CTGAAA</v>
      </c>
      <c r="L4062">
        <v>4</v>
      </c>
    </row>
    <row r="4063" spans="1:12" ht="15.6" x14ac:dyDescent="0.3">
      <c r="A4063" s="9">
        <v>4052</v>
      </c>
      <c r="B4063" s="1"/>
      <c r="C4063" s="2" t="s">
        <v>4058</v>
      </c>
      <c r="D4063" s="1"/>
      <c r="E4063" s="11">
        <f t="shared" si="316"/>
        <v>2</v>
      </c>
      <c r="F4063" s="12">
        <f t="shared" si="317"/>
        <v>16.666666666666664</v>
      </c>
      <c r="G4063" s="12" t="str">
        <f t="shared" si="318"/>
        <v>OK</v>
      </c>
      <c r="H4063" s="13">
        <f t="shared" si="319"/>
        <v>6</v>
      </c>
      <c r="I4063" s="14">
        <f t="shared" si="315"/>
        <v>1757.19</v>
      </c>
      <c r="K4063" t="str">
        <f>[1]!revcom(C4063)</f>
        <v>ATGAAA</v>
      </c>
      <c r="L4063">
        <v>3</v>
      </c>
    </row>
    <row r="4064" spans="1:12" ht="15.6" x14ac:dyDescent="0.3">
      <c r="A4064" s="9">
        <v>4053</v>
      </c>
      <c r="B4064" s="1"/>
      <c r="C4064" s="2" t="s">
        <v>4059</v>
      </c>
      <c r="D4064" s="1"/>
      <c r="E4064" s="11">
        <f t="shared" si="316"/>
        <v>8</v>
      </c>
      <c r="F4064" s="12">
        <f t="shared" si="317"/>
        <v>33.333333333333329</v>
      </c>
      <c r="G4064" s="12" t="str">
        <f t="shared" si="318"/>
        <v>OK</v>
      </c>
      <c r="H4064" s="13">
        <f t="shared" si="319"/>
        <v>6</v>
      </c>
      <c r="I4064" s="14">
        <f t="shared" si="315"/>
        <v>1742.1799999999998</v>
      </c>
      <c r="K4064" t="str">
        <f>[1]!revcom(C4064)</f>
        <v>TGGAAA</v>
      </c>
      <c r="L4064">
        <v>4</v>
      </c>
    </row>
    <row r="4065" spans="1:12" ht="15.6" x14ac:dyDescent="0.3">
      <c r="A4065" s="9">
        <v>4054</v>
      </c>
      <c r="B4065" s="1"/>
      <c r="C4065" s="2" t="s">
        <v>4060</v>
      </c>
      <c r="D4065" s="1"/>
      <c r="E4065" s="11">
        <f t="shared" si="316"/>
        <v>6</v>
      </c>
      <c r="F4065" s="12">
        <f t="shared" si="317"/>
        <v>50</v>
      </c>
      <c r="G4065" s="12" t="str">
        <f t="shared" si="318"/>
        <v>Warning</v>
      </c>
      <c r="H4065" s="13">
        <f t="shared" si="319"/>
        <v>6</v>
      </c>
      <c r="I4065" s="14">
        <f t="shared" si="315"/>
        <v>1718.15</v>
      </c>
      <c r="K4065" t="str">
        <f>[1]!revcom(C4065)</f>
        <v>GGGAAA</v>
      </c>
      <c r="L4065">
        <v>3</v>
      </c>
    </row>
    <row r="4066" spans="1:12" ht="15.6" x14ac:dyDescent="0.3">
      <c r="A4066" s="9">
        <v>4055</v>
      </c>
      <c r="B4066" s="1"/>
      <c r="C4066" s="2" t="s">
        <v>4061</v>
      </c>
      <c r="D4066" s="1"/>
      <c r="E4066" s="11">
        <f t="shared" si="316"/>
        <v>6</v>
      </c>
      <c r="F4066" s="12">
        <f t="shared" si="317"/>
        <v>50</v>
      </c>
      <c r="G4066" s="12" t="str">
        <f t="shared" si="318"/>
        <v>Warning</v>
      </c>
      <c r="H4066" s="13">
        <f t="shared" si="319"/>
        <v>6</v>
      </c>
      <c r="I4066" s="14">
        <f t="shared" si="315"/>
        <v>1758.1799999999998</v>
      </c>
      <c r="K4066" t="str">
        <f>[1]!revcom(C4066)</f>
        <v>CGGAAA</v>
      </c>
      <c r="L4066">
        <v>3</v>
      </c>
    </row>
    <row r="4067" spans="1:12" ht="15.6" x14ac:dyDescent="0.3">
      <c r="A4067" s="9">
        <v>4056</v>
      </c>
      <c r="B4067" s="1"/>
      <c r="C4067" s="2" t="s">
        <v>4062</v>
      </c>
      <c r="D4067" s="1"/>
      <c r="E4067" s="11">
        <f t="shared" si="316"/>
        <v>0</v>
      </c>
      <c r="F4067" s="12">
        <f t="shared" si="317"/>
        <v>33.333333333333329</v>
      </c>
      <c r="G4067" s="12" t="str">
        <f t="shared" si="318"/>
        <v>OK</v>
      </c>
      <c r="H4067" s="13">
        <f t="shared" si="319"/>
        <v>6</v>
      </c>
      <c r="I4067" s="14">
        <f t="shared" si="315"/>
        <v>1733.1599999999999</v>
      </c>
      <c r="K4067" t="str">
        <f>[1]!revcom(C4067)</f>
        <v>AGGAAA</v>
      </c>
      <c r="L4067">
        <v>2</v>
      </c>
    </row>
    <row r="4068" spans="1:12" ht="15.6" x14ac:dyDescent="0.3">
      <c r="A4068" s="9">
        <v>4057</v>
      </c>
      <c r="B4068" s="1"/>
      <c r="C4068" s="2" t="s">
        <v>4063</v>
      </c>
      <c r="D4068" s="1"/>
      <c r="E4068" s="11">
        <f t="shared" si="316"/>
        <v>8</v>
      </c>
      <c r="F4068" s="12">
        <f t="shared" si="317"/>
        <v>33.333333333333329</v>
      </c>
      <c r="G4068" s="12" t="str">
        <f t="shared" si="318"/>
        <v>OK</v>
      </c>
      <c r="H4068" s="13">
        <f t="shared" si="319"/>
        <v>6</v>
      </c>
      <c r="I4068" s="14">
        <f t="shared" si="315"/>
        <v>1782.21</v>
      </c>
      <c r="K4068" t="str">
        <f>[1]!revcom(C4068)</f>
        <v>TCGAAA</v>
      </c>
      <c r="L4068">
        <v>4</v>
      </c>
    </row>
    <row r="4069" spans="1:12" ht="15.6" x14ac:dyDescent="0.3">
      <c r="A4069" s="9">
        <v>4058</v>
      </c>
      <c r="B4069" s="1"/>
      <c r="C4069" s="2" t="s">
        <v>4064</v>
      </c>
      <c r="D4069" s="1"/>
      <c r="E4069" s="11">
        <f t="shared" si="316"/>
        <v>6</v>
      </c>
      <c r="F4069" s="12">
        <f t="shared" si="317"/>
        <v>50</v>
      </c>
      <c r="G4069" s="12" t="str">
        <f t="shared" si="318"/>
        <v>Warning</v>
      </c>
      <c r="H4069" s="13">
        <f t="shared" si="319"/>
        <v>6</v>
      </c>
      <c r="I4069" s="14">
        <f t="shared" si="315"/>
        <v>1758.1799999999998</v>
      </c>
      <c r="K4069" t="str">
        <f>[1]!revcom(C4069)</f>
        <v>GCGAAA</v>
      </c>
      <c r="L4069">
        <v>3</v>
      </c>
    </row>
    <row r="4070" spans="1:12" ht="15.6" x14ac:dyDescent="0.3">
      <c r="A4070" s="9">
        <v>4059</v>
      </c>
      <c r="B4070" s="1"/>
      <c r="C4070" s="2" t="s">
        <v>4065</v>
      </c>
      <c r="D4070" s="1"/>
      <c r="E4070" s="11">
        <f t="shared" si="316"/>
        <v>6</v>
      </c>
      <c r="F4070" s="12">
        <f t="shared" si="317"/>
        <v>50</v>
      </c>
      <c r="G4070" s="12" t="str">
        <f t="shared" si="318"/>
        <v>Warning</v>
      </c>
      <c r="H4070" s="13">
        <f t="shared" si="319"/>
        <v>6</v>
      </c>
      <c r="I4070" s="14">
        <f t="shared" si="315"/>
        <v>1798.21</v>
      </c>
      <c r="K4070" t="str">
        <f>[1]!revcom(C4070)</f>
        <v>CCGAAA</v>
      </c>
      <c r="L4070">
        <v>3</v>
      </c>
    </row>
    <row r="4071" spans="1:12" ht="15.6" x14ac:dyDescent="0.3">
      <c r="A4071" s="9">
        <v>4060</v>
      </c>
      <c r="B4071" s="1"/>
      <c r="C4071" s="2" t="s">
        <v>4066</v>
      </c>
      <c r="D4071" s="1"/>
      <c r="E4071" s="11">
        <f t="shared" si="316"/>
        <v>0</v>
      </c>
      <c r="F4071" s="12">
        <f t="shared" si="317"/>
        <v>33.333333333333329</v>
      </c>
      <c r="G4071" s="12" t="str">
        <f t="shared" si="318"/>
        <v>OK</v>
      </c>
      <c r="H4071" s="13">
        <f t="shared" si="319"/>
        <v>6</v>
      </c>
      <c r="I4071" s="14">
        <f t="shared" si="315"/>
        <v>1773.19</v>
      </c>
      <c r="K4071" t="str">
        <f>[1]!revcom(C4071)</f>
        <v>ACGAAA</v>
      </c>
      <c r="L4071">
        <v>2</v>
      </c>
    </row>
    <row r="4072" spans="1:12" ht="15.6" x14ac:dyDescent="0.3">
      <c r="A4072" s="9">
        <v>4061</v>
      </c>
      <c r="B4072" s="1"/>
      <c r="C4072" s="2" t="s">
        <v>4067</v>
      </c>
      <c r="D4072" s="1"/>
      <c r="E4072" s="11">
        <f t="shared" si="316"/>
        <v>2</v>
      </c>
      <c r="F4072" s="12">
        <f t="shared" si="317"/>
        <v>16.666666666666664</v>
      </c>
      <c r="G4072" s="12" t="str">
        <f t="shared" si="318"/>
        <v>OK</v>
      </c>
      <c r="H4072" s="13">
        <f t="shared" si="319"/>
        <v>6</v>
      </c>
      <c r="I4072" s="14">
        <f t="shared" si="315"/>
        <v>1757.19</v>
      </c>
      <c r="K4072" t="str">
        <f>[1]!revcom(C4072)</f>
        <v>TAGAAA</v>
      </c>
      <c r="L4072">
        <v>3</v>
      </c>
    </row>
    <row r="4073" spans="1:12" ht="15.6" x14ac:dyDescent="0.3">
      <c r="A4073" s="9">
        <v>4062</v>
      </c>
      <c r="B4073" s="1"/>
      <c r="C4073" s="2" t="s">
        <v>4068</v>
      </c>
      <c r="D4073" s="1"/>
      <c r="E4073" s="11">
        <f t="shared" si="316"/>
        <v>0</v>
      </c>
      <c r="F4073" s="12">
        <f t="shared" si="317"/>
        <v>33.333333333333329</v>
      </c>
      <c r="G4073" s="12" t="str">
        <f t="shared" si="318"/>
        <v>OK</v>
      </c>
      <c r="H4073" s="13">
        <f t="shared" si="319"/>
        <v>6</v>
      </c>
      <c r="I4073" s="14">
        <f t="shared" si="315"/>
        <v>1733.1599999999999</v>
      </c>
      <c r="K4073" t="str">
        <f>[1]!revcom(C4073)</f>
        <v>GAGAAA</v>
      </c>
      <c r="L4073">
        <v>2</v>
      </c>
    </row>
    <row r="4074" spans="1:12" ht="15.6" x14ac:dyDescent="0.3">
      <c r="A4074" s="9">
        <v>4063</v>
      </c>
      <c r="B4074" s="1"/>
      <c r="C4074" s="2" t="s">
        <v>4069</v>
      </c>
      <c r="D4074" s="1"/>
      <c r="E4074" s="11">
        <f t="shared" si="316"/>
        <v>0</v>
      </c>
      <c r="F4074" s="12">
        <f t="shared" si="317"/>
        <v>33.333333333333329</v>
      </c>
      <c r="G4074" s="12" t="str">
        <f t="shared" si="318"/>
        <v>OK</v>
      </c>
      <c r="H4074" s="13">
        <f t="shared" si="319"/>
        <v>6</v>
      </c>
      <c r="I4074" s="14">
        <f t="shared" si="315"/>
        <v>1773.19</v>
      </c>
      <c r="K4074" t="str">
        <f>[1]!revcom(C4074)</f>
        <v>CAGAAA</v>
      </c>
      <c r="L4074">
        <v>2</v>
      </c>
    </row>
    <row r="4075" spans="1:12" ht="15.6" x14ac:dyDescent="0.3">
      <c r="A4075" s="9">
        <v>4064</v>
      </c>
      <c r="B4075" s="1"/>
      <c r="C4075" s="2" t="s">
        <v>4070</v>
      </c>
      <c r="D4075" s="1"/>
      <c r="E4075" s="11">
        <f t="shared" si="316"/>
        <v>-6</v>
      </c>
      <c r="F4075" s="12">
        <f t="shared" si="317"/>
        <v>16.666666666666664</v>
      </c>
      <c r="G4075" s="12" t="str">
        <f t="shared" si="318"/>
        <v>OK</v>
      </c>
      <c r="H4075" s="13">
        <f t="shared" si="319"/>
        <v>6</v>
      </c>
      <c r="I4075" s="14">
        <f t="shared" si="315"/>
        <v>1748.17</v>
      </c>
      <c r="K4075" t="str">
        <f>[1]!revcom(C4075)</f>
        <v>AAGAAA</v>
      </c>
      <c r="L4075">
        <v>1</v>
      </c>
    </row>
    <row r="4076" spans="1:12" ht="15.6" x14ac:dyDescent="0.3">
      <c r="A4076" s="9">
        <v>4065</v>
      </c>
      <c r="B4076" s="1"/>
      <c r="C4076" s="2" t="s">
        <v>4071</v>
      </c>
      <c r="D4076" s="1"/>
      <c r="E4076" s="11">
        <f t="shared" si="316"/>
        <v>10</v>
      </c>
      <c r="F4076" s="12">
        <f t="shared" si="317"/>
        <v>16.666666666666664</v>
      </c>
      <c r="G4076" s="12" t="str">
        <f t="shared" si="318"/>
        <v>OK</v>
      </c>
      <c r="H4076" s="13">
        <f t="shared" si="319"/>
        <v>6</v>
      </c>
      <c r="I4076" s="14">
        <f t="shared" si="315"/>
        <v>1806.2399999999998</v>
      </c>
      <c r="K4076" t="str">
        <f>[1]!revcom(C4076)</f>
        <v>TTCAAA</v>
      </c>
      <c r="L4076">
        <v>4</v>
      </c>
    </row>
    <row r="4077" spans="1:12" ht="15.6" x14ac:dyDescent="0.3">
      <c r="A4077" s="9">
        <v>4066</v>
      </c>
      <c r="B4077" s="1"/>
      <c r="C4077" s="2" t="s">
        <v>4072</v>
      </c>
      <c r="D4077" s="1"/>
      <c r="E4077" s="11">
        <f t="shared" si="316"/>
        <v>8</v>
      </c>
      <c r="F4077" s="12">
        <f t="shared" si="317"/>
        <v>33.333333333333329</v>
      </c>
      <c r="G4077" s="12" t="str">
        <f t="shared" si="318"/>
        <v>OK</v>
      </c>
      <c r="H4077" s="13">
        <f t="shared" si="319"/>
        <v>6</v>
      </c>
      <c r="I4077" s="14">
        <f t="shared" si="315"/>
        <v>1782.21</v>
      </c>
      <c r="K4077" t="str">
        <f>[1]!revcom(C4077)</f>
        <v>GTCAAA</v>
      </c>
      <c r="L4077">
        <v>4</v>
      </c>
    </row>
    <row r="4078" spans="1:12" ht="15.6" x14ac:dyDescent="0.3">
      <c r="A4078" s="9">
        <v>4067</v>
      </c>
      <c r="B4078" s="1"/>
      <c r="C4078" s="2" t="s">
        <v>4073</v>
      </c>
      <c r="D4078" s="1"/>
      <c r="E4078" s="11">
        <f t="shared" si="316"/>
        <v>8</v>
      </c>
      <c r="F4078" s="12">
        <f t="shared" si="317"/>
        <v>33.333333333333329</v>
      </c>
      <c r="G4078" s="12" t="str">
        <f t="shared" si="318"/>
        <v>OK</v>
      </c>
      <c r="H4078" s="13">
        <f t="shared" si="319"/>
        <v>6</v>
      </c>
      <c r="I4078" s="14">
        <f t="shared" si="315"/>
        <v>1822.2400000000002</v>
      </c>
      <c r="K4078" t="str">
        <f>[1]!revcom(C4078)</f>
        <v>CTCAAA</v>
      </c>
      <c r="L4078">
        <v>4</v>
      </c>
    </row>
    <row r="4079" spans="1:12" ht="15.6" x14ac:dyDescent="0.3">
      <c r="A4079" s="9">
        <v>4068</v>
      </c>
      <c r="B4079" s="1"/>
      <c r="C4079" s="2" t="s">
        <v>4074</v>
      </c>
      <c r="D4079" s="1"/>
      <c r="E4079" s="11">
        <f t="shared" si="316"/>
        <v>2</v>
      </c>
      <c r="F4079" s="12">
        <f t="shared" si="317"/>
        <v>16.666666666666664</v>
      </c>
      <c r="G4079" s="12" t="str">
        <f t="shared" si="318"/>
        <v>OK</v>
      </c>
      <c r="H4079" s="13">
        <f t="shared" si="319"/>
        <v>6</v>
      </c>
      <c r="I4079" s="14">
        <f t="shared" si="315"/>
        <v>1797.2199999999998</v>
      </c>
      <c r="K4079" t="str">
        <f>[1]!revcom(C4079)</f>
        <v>ATCAAA</v>
      </c>
      <c r="L4079">
        <v>3</v>
      </c>
    </row>
    <row r="4080" spans="1:12" ht="15.6" x14ac:dyDescent="0.3">
      <c r="A4080" s="9">
        <v>4069</v>
      </c>
      <c r="B4080" s="1"/>
      <c r="C4080" s="2" t="s">
        <v>4075</v>
      </c>
      <c r="D4080" s="1"/>
      <c r="E4080" s="11">
        <f t="shared" si="316"/>
        <v>8</v>
      </c>
      <c r="F4080" s="12">
        <f t="shared" si="317"/>
        <v>33.333333333333329</v>
      </c>
      <c r="G4080" s="12" t="str">
        <f t="shared" si="318"/>
        <v>OK</v>
      </c>
      <c r="H4080" s="13">
        <f t="shared" si="319"/>
        <v>6</v>
      </c>
      <c r="I4080" s="14">
        <f t="shared" si="315"/>
        <v>1782.21</v>
      </c>
      <c r="K4080" t="str">
        <f>[1]!revcom(C4080)</f>
        <v>TGCAAA</v>
      </c>
      <c r="L4080">
        <v>4</v>
      </c>
    </row>
    <row r="4081" spans="1:12" ht="15.6" x14ac:dyDescent="0.3">
      <c r="A4081" s="9">
        <v>4070</v>
      </c>
      <c r="B4081" s="1"/>
      <c r="C4081" s="2" t="s">
        <v>4076</v>
      </c>
      <c r="D4081" s="1"/>
      <c r="E4081" s="11">
        <f t="shared" si="316"/>
        <v>6</v>
      </c>
      <c r="F4081" s="12">
        <f t="shared" si="317"/>
        <v>50</v>
      </c>
      <c r="G4081" s="12" t="str">
        <f t="shared" si="318"/>
        <v>Warning</v>
      </c>
      <c r="H4081" s="13">
        <f t="shared" si="319"/>
        <v>6</v>
      </c>
      <c r="I4081" s="14">
        <f t="shared" si="315"/>
        <v>1758.1799999999998</v>
      </c>
      <c r="K4081" t="str">
        <f>[1]!revcom(C4081)</f>
        <v>GGCAAA</v>
      </c>
      <c r="L4081">
        <v>3</v>
      </c>
    </row>
    <row r="4082" spans="1:12" ht="15.6" x14ac:dyDescent="0.3">
      <c r="A4082" s="9">
        <v>4071</v>
      </c>
      <c r="B4082" s="1"/>
      <c r="C4082" s="2" t="s">
        <v>4077</v>
      </c>
      <c r="D4082" s="1"/>
      <c r="E4082" s="11">
        <f t="shared" si="316"/>
        <v>6</v>
      </c>
      <c r="F4082" s="12">
        <f t="shared" si="317"/>
        <v>50</v>
      </c>
      <c r="G4082" s="12" t="str">
        <f t="shared" si="318"/>
        <v>Warning</v>
      </c>
      <c r="H4082" s="13">
        <f t="shared" si="319"/>
        <v>6</v>
      </c>
      <c r="I4082" s="14">
        <f t="shared" si="315"/>
        <v>1798.21</v>
      </c>
      <c r="K4082" t="str">
        <f>[1]!revcom(C4082)</f>
        <v>CGCAAA</v>
      </c>
      <c r="L4082">
        <v>3</v>
      </c>
    </row>
    <row r="4083" spans="1:12" ht="15.6" x14ac:dyDescent="0.3">
      <c r="A4083" s="9">
        <v>4072</v>
      </c>
      <c r="B4083" s="1"/>
      <c r="C4083" s="2" t="s">
        <v>4078</v>
      </c>
      <c r="D4083" s="1"/>
      <c r="E4083" s="11">
        <f t="shared" si="316"/>
        <v>0</v>
      </c>
      <c r="F4083" s="12">
        <f t="shared" si="317"/>
        <v>33.333333333333329</v>
      </c>
      <c r="G4083" s="12" t="str">
        <f t="shared" si="318"/>
        <v>OK</v>
      </c>
      <c r="H4083" s="13">
        <f t="shared" si="319"/>
        <v>6</v>
      </c>
      <c r="I4083" s="14">
        <f t="shared" si="315"/>
        <v>1773.19</v>
      </c>
      <c r="K4083" t="str">
        <f>[1]!revcom(C4083)</f>
        <v>AGCAAA</v>
      </c>
      <c r="L4083">
        <v>2</v>
      </c>
    </row>
    <row r="4084" spans="1:12" ht="15.6" x14ac:dyDescent="0.3">
      <c r="A4084" s="9">
        <v>4073</v>
      </c>
      <c r="B4084" s="1"/>
      <c r="C4084" s="2" t="s">
        <v>4079</v>
      </c>
      <c r="D4084" s="1"/>
      <c r="E4084" s="11">
        <f t="shared" si="316"/>
        <v>8</v>
      </c>
      <c r="F4084" s="12">
        <f t="shared" si="317"/>
        <v>33.333333333333329</v>
      </c>
      <c r="G4084" s="12" t="str">
        <f t="shared" si="318"/>
        <v>OK</v>
      </c>
      <c r="H4084" s="13">
        <f t="shared" si="319"/>
        <v>6</v>
      </c>
      <c r="I4084" s="14">
        <f t="shared" si="315"/>
        <v>1822.2400000000002</v>
      </c>
      <c r="K4084" t="str">
        <f>[1]!revcom(C4084)</f>
        <v>TCCAAA</v>
      </c>
      <c r="L4084">
        <v>4</v>
      </c>
    </row>
    <row r="4085" spans="1:12" ht="15.6" x14ac:dyDescent="0.3">
      <c r="A4085" s="9">
        <v>4074</v>
      </c>
      <c r="B4085" s="1"/>
      <c r="C4085" s="2" t="s">
        <v>4080</v>
      </c>
      <c r="D4085" s="1"/>
      <c r="E4085" s="11">
        <f t="shared" si="316"/>
        <v>6</v>
      </c>
      <c r="F4085" s="12">
        <f t="shared" si="317"/>
        <v>50</v>
      </c>
      <c r="G4085" s="12" t="str">
        <f t="shared" si="318"/>
        <v>Warning</v>
      </c>
      <c r="H4085" s="13">
        <f t="shared" si="319"/>
        <v>6</v>
      </c>
      <c r="I4085" s="14">
        <f t="shared" si="315"/>
        <v>1798.21</v>
      </c>
      <c r="K4085" t="str">
        <f>[1]!revcom(C4085)</f>
        <v>GCCAAA</v>
      </c>
      <c r="L4085">
        <v>3</v>
      </c>
    </row>
    <row r="4086" spans="1:12" ht="15.6" x14ac:dyDescent="0.3">
      <c r="A4086" s="9">
        <v>4075</v>
      </c>
      <c r="B4086" s="1"/>
      <c r="C4086" s="2" t="s">
        <v>4081</v>
      </c>
      <c r="D4086" s="1"/>
      <c r="E4086" s="11">
        <f t="shared" si="316"/>
        <v>6</v>
      </c>
      <c r="F4086" s="12">
        <f t="shared" si="317"/>
        <v>50</v>
      </c>
      <c r="G4086" s="12" t="str">
        <f t="shared" si="318"/>
        <v>Warning</v>
      </c>
      <c r="H4086" s="13">
        <f t="shared" si="319"/>
        <v>6</v>
      </c>
      <c r="I4086" s="14">
        <f t="shared" si="315"/>
        <v>1838.2400000000002</v>
      </c>
      <c r="K4086" t="str">
        <f>[1]!revcom(C4086)</f>
        <v>CCCAAA</v>
      </c>
      <c r="L4086">
        <v>3</v>
      </c>
    </row>
    <row r="4087" spans="1:12" ht="15.6" x14ac:dyDescent="0.3">
      <c r="A4087" s="9">
        <v>4076</v>
      </c>
      <c r="B4087" s="1"/>
      <c r="C4087" s="2" t="s">
        <v>4082</v>
      </c>
      <c r="D4087" s="1"/>
      <c r="E4087" s="11">
        <f t="shared" si="316"/>
        <v>0</v>
      </c>
      <c r="F4087" s="12">
        <f t="shared" si="317"/>
        <v>33.333333333333329</v>
      </c>
      <c r="G4087" s="12" t="str">
        <f t="shared" si="318"/>
        <v>OK</v>
      </c>
      <c r="H4087" s="13">
        <f t="shared" si="319"/>
        <v>6</v>
      </c>
      <c r="I4087" s="14">
        <f t="shared" si="315"/>
        <v>1813.2200000000003</v>
      </c>
      <c r="K4087" t="str">
        <f>[1]!revcom(C4087)</f>
        <v>ACCAAA</v>
      </c>
      <c r="L4087">
        <v>2</v>
      </c>
    </row>
    <row r="4088" spans="1:12" ht="15.6" x14ac:dyDescent="0.3">
      <c r="A4088" s="9">
        <v>4077</v>
      </c>
      <c r="B4088" s="1"/>
      <c r="C4088" s="2" t="s">
        <v>4083</v>
      </c>
      <c r="D4088" s="1"/>
      <c r="E4088" s="11">
        <f t="shared" si="316"/>
        <v>2</v>
      </c>
      <c r="F4088" s="12">
        <f t="shared" si="317"/>
        <v>16.666666666666664</v>
      </c>
      <c r="G4088" s="12" t="str">
        <f t="shared" si="318"/>
        <v>OK</v>
      </c>
      <c r="H4088" s="13">
        <f t="shared" si="319"/>
        <v>6</v>
      </c>
      <c r="I4088" s="14">
        <f t="shared" si="315"/>
        <v>1797.2199999999998</v>
      </c>
      <c r="K4088" t="str">
        <f>[1]!revcom(C4088)</f>
        <v>TACAAA</v>
      </c>
      <c r="L4088">
        <v>3</v>
      </c>
    </row>
    <row r="4089" spans="1:12" ht="15.6" x14ac:dyDescent="0.3">
      <c r="A4089" s="9">
        <v>4078</v>
      </c>
      <c r="B4089" s="1"/>
      <c r="C4089" s="2" t="s">
        <v>4084</v>
      </c>
      <c r="D4089" s="1"/>
      <c r="E4089" s="11">
        <f t="shared" si="316"/>
        <v>0</v>
      </c>
      <c r="F4089" s="12">
        <f t="shared" si="317"/>
        <v>33.333333333333329</v>
      </c>
      <c r="G4089" s="12" t="str">
        <f t="shared" si="318"/>
        <v>OK</v>
      </c>
      <c r="H4089" s="13">
        <f t="shared" si="319"/>
        <v>6</v>
      </c>
      <c r="I4089" s="14">
        <f t="shared" si="315"/>
        <v>1773.19</v>
      </c>
      <c r="K4089" t="str">
        <f>[1]!revcom(C4089)</f>
        <v>GACAAA</v>
      </c>
      <c r="L4089">
        <v>2</v>
      </c>
    </row>
    <row r="4090" spans="1:12" ht="15.6" x14ac:dyDescent="0.3">
      <c r="A4090" s="9">
        <v>4079</v>
      </c>
      <c r="B4090" s="1"/>
      <c r="C4090" s="2" t="s">
        <v>4085</v>
      </c>
      <c r="D4090" s="1"/>
      <c r="E4090" s="11">
        <f t="shared" si="316"/>
        <v>0</v>
      </c>
      <c r="F4090" s="12">
        <f t="shared" si="317"/>
        <v>33.333333333333329</v>
      </c>
      <c r="G4090" s="12" t="str">
        <f t="shared" si="318"/>
        <v>OK</v>
      </c>
      <c r="H4090" s="13">
        <f t="shared" si="319"/>
        <v>6</v>
      </c>
      <c r="I4090" s="14">
        <f t="shared" si="315"/>
        <v>1813.2200000000003</v>
      </c>
      <c r="K4090" t="str">
        <f>[1]!revcom(C4090)</f>
        <v>CACAAA</v>
      </c>
      <c r="L4090">
        <v>2</v>
      </c>
    </row>
    <row r="4091" spans="1:12" ht="15.6" x14ac:dyDescent="0.3">
      <c r="A4091" s="9">
        <v>4080</v>
      </c>
      <c r="B4091" s="1"/>
      <c r="C4091" s="2" t="s">
        <v>4086</v>
      </c>
      <c r="D4091" s="1"/>
      <c r="E4091" s="11">
        <f t="shared" si="316"/>
        <v>-6</v>
      </c>
      <c r="F4091" s="12">
        <f t="shared" si="317"/>
        <v>16.666666666666664</v>
      </c>
      <c r="G4091" s="12" t="str">
        <f t="shared" si="318"/>
        <v>OK</v>
      </c>
      <c r="H4091" s="13">
        <f t="shared" si="319"/>
        <v>6</v>
      </c>
      <c r="I4091" s="14">
        <f t="shared" si="315"/>
        <v>1788.1999999999998</v>
      </c>
      <c r="K4091" t="str">
        <f>[1]!revcom(C4091)</f>
        <v>AACAAA</v>
      </c>
      <c r="L4091">
        <v>1</v>
      </c>
    </row>
    <row r="4092" spans="1:12" ht="15.6" x14ac:dyDescent="0.3">
      <c r="A4092" s="9">
        <v>4081</v>
      </c>
      <c r="B4092" s="1"/>
      <c r="C4092" s="2" t="s">
        <v>4087</v>
      </c>
      <c r="D4092" s="1"/>
      <c r="E4092" s="11">
        <f t="shared" si="316"/>
        <v>4</v>
      </c>
      <c r="F4092" s="12">
        <f t="shared" si="317"/>
        <v>0</v>
      </c>
      <c r="G4092" s="12" t="str">
        <f t="shared" si="318"/>
        <v>OK</v>
      </c>
      <c r="H4092" s="13">
        <f t="shared" si="319"/>
        <v>6</v>
      </c>
      <c r="I4092" s="14">
        <f t="shared" si="315"/>
        <v>1781.2199999999998</v>
      </c>
      <c r="K4092" t="str">
        <f>[1]!revcom(C4092)</f>
        <v>TTAAAA</v>
      </c>
      <c r="L4092">
        <v>3</v>
      </c>
    </row>
    <row r="4093" spans="1:12" ht="15.6" x14ac:dyDescent="0.3">
      <c r="A4093" s="9">
        <v>4082</v>
      </c>
      <c r="B4093" s="1"/>
      <c r="C4093" s="2" t="s">
        <v>4088</v>
      </c>
      <c r="D4093" s="1"/>
      <c r="E4093" s="11">
        <f t="shared" si="316"/>
        <v>2</v>
      </c>
      <c r="F4093" s="12">
        <f t="shared" si="317"/>
        <v>16.666666666666664</v>
      </c>
      <c r="G4093" s="12" t="str">
        <f t="shared" si="318"/>
        <v>OK</v>
      </c>
      <c r="H4093" s="13">
        <f t="shared" si="319"/>
        <v>6</v>
      </c>
      <c r="I4093" s="14">
        <f t="shared" si="315"/>
        <v>1757.19</v>
      </c>
      <c r="K4093" t="str">
        <f>[1]!revcom(C4093)</f>
        <v>GTAAAA</v>
      </c>
      <c r="L4093">
        <v>3</v>
      </c>
    </row>
    <row r="4094" spans="1:12" ht="15.6" x14ac:dyDescent="0.3">
      <c r="A4094" s="9">
        <v>4083</v>
      </c>
      <c r="B4094" s="1"/>
      <c r="C4094" s="2" t="s">
        <v>4089</v>
      </c>
      <c r="D4094" s="1"/>
      <c r="E4094" s="11">
        <f t="shared" si="316"/>
        <v>2</v>
      </c>
      <c r="F4094" s="12">
        <f t="shared" si="317"/>
        <v>16.666666666666664</v>
      </c>
      <c r="G4094" s="12" t="str">
        <f t="shared" si="318"/>
        <v>OK</v>
      </c>
      <c r="H4094" s="13">
        <f t="shared" si="319"/>
        <v>6</v>
      </c>
      <c r="I4094" s="14">
        <f t="shared" si="315"/>
        <v>1797.2199999999998</v>
      </c>
      <c r="K4094" t="str">
        <f>[1]!revcom(C4094)</f>
        <v>CTAAAA</v>
      </c>
      <c r="L4094">
        <v>3</v>
      </c>
    </row>
    <row r="4095" spans="1:12" ht="15.6" x14ac:dyDescent="0.3">
      <c r="A4095" s="9">
        <v>4084</v>
      </c>
      <c r="B4095" s="1"/>
      <c r="C4095" s="2" t="s">
        <v>4090</v>
      </c>
      <c r="D4095" s="1"/>
      <c r="E4095" s="11">
        <f t="shared" si="316"/>
        <v>-4</v>
      </c>
      <c r="F4095" s="12">
        <f t="shared" si="317"/>
        <v>0</v>
      </c>
      <c r="G4095" s="12" t="str">
        <f t="shared" si="318"/>
        <v>OK</v>
      </c>
      <c r="H4095" s="13">
        <f t="shared" si="319"/>
        <v>6</v>
      </c>
      <c r="I4095" s="14">
        <f t="shared" si="315"/>
        <v>1772.1999999999998</v>
      </c>
      <c r="K4095" t="str">
        <f>[1]!revcom(C4095)</f>
        <v>ATAAAA</v>
      </c>
      <c r="L4095">
        <v>2</v>
      </c>
    </row>
    <row r="4096" spans="1:12" ht="15.6" x14ac:dyDescent="0.3">
      <c r="A4096" s="9">
        <v>4085</v>
      </c>
      <c r="B4096" s="1"/>
      <c r="C4096" s="2" t="s">
        <v>4091</v>
      </c>
      <c r="D4096" s="1"/>
      <c r="E4096" s="11">
        <f t="shared" si="316"/>
        <v>2</v>
      </c>
      <c r="F4096" s="12">
        <f t="shared" si="317"/>
        <v>16.666666666666664</v>
      </c>
      <c r="G4096" s="12" t="str">
        <f t="shared" si="318"/>
        <v>OK</v>
      </c>
      <c r="H4096" s="13">
        <f t="shared" si="319"/>
        <v>6</v>
      </c>
      <c r="I4096" s="14">
        <f t="shared" si="315"/>
        <v>1757.19</v>
      </c>
      <c r="K4096" t="str">
        <f>[1]!revcom(C4096)</f>
        <v>TGAAAA</v>
      </c>
      <c r="L4096">
        <v>3</v>
      </c>
    </row>
    <row r="4097" spans="1:12" ht="15.6" x14ac:dyDescent="0.3">
      <c r="A4097" s="9">
        <v>4086</v>
      </c>
      <c r="B4097" s="1"/>
      <c r="C4097" s="2" t="s">
        <v>4092</v>
      </c>
      <c r="D4097" s="1"/>
      <c r="E4097" s="11">
        <f t="shared" si="316"/>
        <v>0</v>
      </c>
      <c r="F4097" s="12">
        <f t="shared" si="317"/>
        <v>33.333333333333329</v>
      </c>
      <c r="G4097" s="12" t="str">
        <f t="shared" si="318"/>
        <v>OK</v>
      </c>
      <c r="H4097" s="13">
        <f t="shared" si="319"/>
        <v>6</v>
      </c>
      <c r="I4097" s="14">
        <f t="shared" si="315"/>
        <v>1733.1599999999999</v>
      </c>
      <c r="K4097" t="str">
        <f>[1]!revcom(C4097)</f>
        <v>GGAAAA</v>
      </c>
      <c r="L4097">
        <v>2</v>
      </c>
    </row>
    <row r="4098" spans="1:12" ht="15.6" x14ac:dyDescent="0.3">
      <c r="A4098" s="9">
        <v>4087</v>
      </c>
      <c r="B4098" s="1"/>
      <c r="C4098" s="2" t="s">
        <v>4093</v>
      </c>
      <c r="D4098" s="1"/>
      <c r="E4098" s="11">
        <f t="shared" si="316"/>
        <v>0</v>
      </c>
      <c r="F4098" s="12">
        <f t="shared" si="317"/>
        <v>33.333333333333329</v>
      </c>
      <c r="G4098" s="12" t="str">
        <f t="shared" si="318"/>
        <v>OK</v>
      </c>
      <c r="H4098" s="13">
        <f t="shared" si="319"/>
        <v>6</v>
      </c>
      <c r="I4098" s="14">
        <f t="shared" si="315"/>
        <v>1773.19</v>
      </c>
      <c r="K4098" t="str">
        <f>[1]!revcom(C4098)</f>
        <v>CGAAAA</v>
      </c>
      <c r="L4098">
        <v>2</v>
      </c>
    </row>
    <row r="4099" spans="1:12" ht="15.6" x14ac:dyDescent="0.3">
      <c r="A4099" s="9">
        <v>4088</v>
      </c>
      <c r="B4099" s="1"/>
      <c r="C4099" s="2" t="s">
        <v>4094</v>
      </c>
      <c r="D4099" s="1"/>
      <c r="E4099" s="11">
        <f t="shared" si="316"/>
        <v>-6</v>
      </c>
      <c r="F4099" s="12">
        <f t="shared" si="317"/>
        <v>16.666666666666664</v>
      </c>
      <c r="G4099" s="12" t="str">
        <f t="shared" si="318"/>
        <v>OK</v>
      </c>
      <c r="H4099" s="13">
        <f t="shared" si="319"/>
        <v>6</v>
      </c>
      <c r="I4099" s="14">
        <f t="shared" si="315"/>
        <v>1748.17</v>
      </c>
      <c r="K4099" t="str">
        <f>[1]!revcom(C4099)</f>
        <v>AGAAAA</v>
      </c>
      <c r="L4099">
        <v>1</v>
      </c>
    </row>
    <row r="4100" spans="1:12" ht="15.6" x14ac:dyDescent="0.3">
      <c r="A4100" s="9">
        <v>4089</v>
      </c>
      <c r="B4100" s="1"/>
      <c r="C4100" s="2" t="s">
        <v>4095</v>
      </c>
      <c r="D4100" s="1"/>
      <c r="E4100" s="11">
        <f t="shared" si="316"/>
        <v>2</v>
      </c>
      <c r="F4100" s="12">
        <f t="shared" si="317"/>
        <v>16.666666666666664</v>
      </c>
      <c r="G4100" s="12" t="str">
        <f t="shared" si="318"/>
        <v>OK</v>
      </c>
      <c r="H4100" s="13">
        <f t="shared" si="319"/>
        <v>6</v>
      </c>
      <c r="I4100" s="14">
        <f t="shared" si="315"/>
        <v>1797.2199999999998</v>
      </c>
      <c r="K4100" t="str">
        <f>[1]!revcom(C4100)</f>
        <v>TCAAAA</v>
      </c>
      <c r="L4100">
        <v>3</v>
      </c>
    </row>
    <row r="4101" spans="1:12" ht="15.6" x14ac:dyDescent="0.3">
      <c r="A4101" s="9">
        <v>4090</v>
      </c>
      <c r="B4101" s="1"/>
      <c r="C4101" s="2" t="s">
        <v>4096</v>
      </c>
      <c r="D4101" s="1"/>
      <c r="E4101" s="11">
        <f t="shared" si="316"/>
        <v>0</v>
      </c>
      <c r="F4101" s="12">
        <f t="shared" si="317"/>
        <v>33.333333333333329</v>
      </c>
      <c r="G4101" s="12" t="str">
        <f t="shared" si="318"/>
        <v>OK</v>
      </c>
      <c r="H4101" s="13">
        <f t="shared" si="319"/>
        <v>6</v>
      </c>
      <c r="I4101" s="14">
        <f t="shared" si="315"/>
        <v>1773.19</v>
      </c>
      <c r="K4101" t="str">
        <f>[1]!revcom(C4101)</f>
        <v>GCAAAA</v>
      </c>
      <c r="L4101">
        <v>2</v>
      </c>
    </row>
    <row r="4102" spans="1:12" ht="15.6" x14ac:dyDescent="0.3">
      <c r="A4102" s="9">
        <v>4091</v>
      </c>
      <c r="B4102" s="1"/>
      <c r="C4102" s="2" t="s">
        <v>4097</v>
      </c>
      <c r="D4102" s="1"/>
      <c r="E4102" s="11">
        <f t="shared" si="316"/>
        <v>0</v>
      </c>
      <c r="F4102" s="12">
        <f t="shared" si="317"/>
        <v>33.333333333333329</v>
      </c>
      <c r="G4102" s="12" t="str">
        <f t="shared" si="318"/>
        <v>OK</v>
      </c>
      <c r="H4102" s="13">
        <f t="shared" si="319"/>
        <v>6</v>
      </c>
      <c r="I4102" s="14">
        <f t="shared" si="315"/>
        <v>1813.2200000000003</v>
      </c>
      <c r="K4102" t="str">
        <f>[1]!revcom(C4102)</f>
        <v>CCAAAA</v>
      </c>
      <c r="L4102">
        <v>2</v>
      </c>
    </row>
    <row r="4103" spans="1:12" ht="15.6" x14ac:dyDescent="0.3">
      <c r="A4103" s="9">
        <v>4092</v>
      </c>
      <c r="B4103" s="1"/>
      <c r="C4103" s="2" t="s">
        <v>4098</v>
      </c>
      <c r="D4103" s="1"/>
      <c r="E4103" s="11">
        <f t="shared" si="316"/>
        <v>-6</v>
      </c>
      <c r="F4103" s="12">
        <f t="shared" si="317"/>
        <v>16.666666666666664</v>
      </c>
      <c r="G4103" s="12" t="str">
        <f t="shared" si="318"/>
        <v>OK</v>
      </c>
      <c r="H4103" s="13">
        <f t="shared" si="319"/>
        <v>6</v>
      </c>
      <c r="I4103" s="14">
        <f t="shared" si="315"/>
        <v>1788.1999999999998</v>
      </c>
      <c r="K4103" t="str">
        <f>[1]!revcom(C4103)</f>
        <v>ACAAAA</v>
      </c>
      <c r="L4103">
        <v>1</v>
      </c>
    </row>
    <row r="4104" spans="1:12" ht="15.6" x14ac:dyDescent="0.3">
      <c r="A4104" s="9">
        <v>4093</v>
      </c>
      <c r="B4104" s="1"/>
      <c r="C4104" s="2" t="s">
        <v>4099</v>
      </c>
      <c r="D4104" s="1"/>
      <c r="E4104" s="11">
        <f t="shared" si="316"/>
        <v>-4</v>
      </c>
      <c r="F4104" s="12">
        <f t="shared" si="317"/>
        <v>0</v>
      </c>
      <c r="G4104" s="12" t="str">
        <f t="shared" si="318"/>
        <v>OK</v>
      </c>
      <c r="H4104" s="13">
        <f t="shared" si="319"/>
        <v>6</v>
      </c>
      <c r="I4104" s="14">
        <f t="shared" si="315"/>
        <v>1772.1999999999998</v>
      </c>
      <c r="K4104" t="str">
        <f>[1]!revcom(C4104)</f>
        <v>TAAAAA</v>
      </c>
      <c r="L4104">
        <v>2</v>
      </c>
    </row>
    <row r="4105" spans="1:12" ht="15.6" x14ac:dyDescent="0.3">
      <c r="A4105" s="9">
        <v>4094</v>
      </c>
      <c r="B4105" s="1"/>
      <c r="C4105" s="2" t="s">
        <v>4100</v>
      </c>
      <c r="D4105" s="1"/>
      <c r="E4105" s="11">
        <f t="shared" si="316"/>
        <v>-6</v>
      </c>
      <c r="F4105" s="12">
        <f t="shared" si="317"/>
        <v>16.666666666666664</v>
      </c>
      <c r="G4105" s="12" t="str">
        <f t="shared" si="318"/>
        <v>OK</v>
      </c>
      <c r="H4105" s="13">
        <f t="shared" si="319"/>
        <v>6</v>
      </c>
      <c r="I4105" s="14">
        <f t="shared" si="315"/>
        <v>1748.17</v>
      </c>
      <c r="K4105" t="str">
        <f>[1]!revcom(C4105)</f>
        <v>GAAAAA</v>
      </c>
      <c r="L4105">
        <v>1</v>
      </c>
    </row>
    <row r="4106" spans="1:12" ht="15.6" x14ac:dyDescent="0.3">
      <c r="A4106" s="9">
        <v>4095</v>
      </c>
      <c r="B4106" s="1"/>
      <c r="C4106" s="2" t="s">
        <v>4101</v>
      </c>
      <c r="D4106" s="1"/>
      <c r="E4106" s="11">
        <f t="shared" si="316"/>
        <v>-6</v>
      </c>
      <c r="F4106" s="12">
        <f t="shared" si="317"/>
        <v>16.666666666666664</v>
      </c>
      <c r="G4106" s="12" t="str">
        <f t="shared" si="318"/>
        <v>OK</v>
      </c>
      <c r="H4106" s="13">
        <f t="shared" si="319"/>
        <v>6</v>
      </c>
      <c r="I4106" s="14">
        <f t="shared" si="315"/>
        <v>1788.1999999999998</v>
      </c>
      <c r="K4106" t="str">
        <f>[1]!revcom(C4106)</f>
        <v>CAAAAA</v>
      </c>
      <c r="L4106">
        <v>1</v>
      </c>
    </row>
    <row r="4107" spans="1:12" ht="15.6" x14ac:dyDescent="0.3">
      <c r="A4107" s="9">
        <v>4096</v>
      </c>
      <c r="B4107" s="1"/>
      <c r="C4107" s="2" t="s">
        <v>4102</v>
      </c>
      <c r="D4107" s="1"/>
      <c r="E4107" s="11">
        <f t="shared" si="316"/>
        <v>-12</v>
      </c>
      <c r="F4107" s="12">
        <f t="shared" si="317"/>
        <v>0</v>
      </c>
      <c r="G4107" s="12" t="str">
        <f t="shared" si="318"/>
        <v>OK</v>
      </c>
      <c r="H4107" s="13">
        <f t="shared" si="319"/>
        <v>6</v>
      </c>
      <c r="I4107" s="14">
        <f t="shared" si="315"/>
        <v>1763.1799999999998</v>
      </c>
      <c r="K4107" t="str">
        <f>[1]!revcom(C4107)</f>
        <v>AAAAAA</v>
      </c>
      <c r="L4107">
        <v>1</v>
      </c>
    </row>
  </sheetData>
  <pageMargins left="0.7" right="0.7" top="0.75" bottom="0.75" header="0.3" footer="0.3"/>
  <ignoredErrors>
    <ignoredError sqref="A7:H7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F8197"/>
  <sheetViews>
    <sheetView workbookViewId="0">
      <selection activeCell="A24" sqref="A24"/>
    </sheetView>
  </sheetViews>
  <sheetFormatPr defaultRowHeight="14.4" x14ac:dyDescent="0.3"/>
  <sheetData>
    <row r="6" spans="1:6" x14ac:dyDescent="0.3">
      <c r="A6" t="s">
        <v>4103</v>
      </c>
      <c r="F6" t="str">
        <f>LEFT(A6, LEN(A6) - 1)</f>
        <v>&gt;1:AAAAAA:36.00:0.00:OK:6:1817.30</v>
      </c>
    </row>
    <row r="7" spans="1:6" x14ac:dyDescent="0.3">
      <c r="A7" t="s">
        <v>7</v>
      </c>
      <c r="F7" t="str">
        <f>A7</f>
        <v>AAAAAA</v>
      </c>
    </row>
    <row r="8" spans="1:6" x14ac:dyDescent="0.3">
      <c r="A8" t="s">
        <v>4104</v>
      </c>
      <c r="F8" t="str">
        <f t="shared" ref="F8" si="0">LEFT(A8, LEN(A8) - 1)</f>
        <v>&gt;2:AAAAAC:34.00:16.67:OK:6:1793.27</v>
      </c>
    </row>
    <row r="9" spans="1:6" x14ac:dyDescent="0.3">
      <c r="A9" t="s">
        <v>8</v>
      </c>
      <c r="F9" t="str">
        <f t="shared" ref="F9" si="1">A9</f>
        <v>AAAAAC</v>
      </c>
    </row>
    <row r="10" spans="1:6" x14ac:dyDescent="0.3">
      <c r="A10" t="s">
        <v>4105</v>
      </c>
      <c r="F10" t="str">
        <f t="shared" ref="F10" si="2">LEFT(A10, LEN(A10) - 1)</f>
        <v>&gt;3:AAAAAG:34.00:16.67:OK:6:1833.30</v>
      </c>
    </row>
    <row r="11" spans="1:6" x14ac:dyDescent="0.3">
      <c r="A11" t="s">
        <v>9</v>
      </c>
      <c r="F11" t="str">
        <f t="shared" ref="F11" si="3">A11</f>
        <v>AAAAAG</v>
      </c>
    </row>
    <row r="12" spans="1:6" x14ac:dyDescent="0.3">
      <c r="A12" t="s">
        <v>4106</v>
      </c>
      <c r="F12" t="str">
        <f t="shared" ref="F12" si="4">LEFT(A12, LEN(A12) - 1)</f>
        <v>&gt;4:AAAAAT:28.00:0.00:OK:6:1808.28</v>
      </c>
    </row>
    <row r="13" spans="1:6" x14ac:dyDescent="0.3">
      <c r="A13" t="s">
        <v>10</v>
      </c>
      <c r="F13" t="str">
        <f t="shared" ref="F13" si="5">A13</f>
        <v>AAAAAT</v>
      </c>
    </row>
    <row r="14" spans="1:6" x14ac:dyDescent="0.3">
      <c r="A14" t="s">
        <v>4107</v>
      </c>
      <c r="F14" t="str">
        <f t="shared" ref="F14" si="6">LEFT(A14, LEN(A14) - 1)</f>
        <v>&gt;5:AAAACA:34.00:16.67:OK:6:1793.27</v>
      </c>
    </row>
    <row r="15" spans="1:6" x14ac:dyDescent="0.3">
      <c r="A15" t="s">
        <v>11</v>
      </c>
      <c r="F15" t="str">
        <f t="shared" ref="F15" si="7">A15</f>
        <v>AAAACA</v>
      </c>
    </row>
    <row r="16" spans="1:6" x14ac:dyDescent="0.3">
      <c r="A16" t="s">
        <v>4108</v>
      </c>
      <c r="F16" t="str">
        <f t="shared" ref="F16" si="8">LEFT(A16, LEN(A16) - 1)</f>
        <v>&gt;6:AAAACC:32.00:33.33:OK:6:1769.24</v>
      </c>
    </row>
    <row r="17" spans="1:6" x14ac:dyDescent="0.3">
      <c r="A17" t="s">
        <v>12</v>
      </c>
      <c r="F17" t="str">
        <f t="shared" ref="F17" si="9">A17</f>
        <v>AAAACC</v>
      </c>
    </row>
    <row r="18" spans="1:6" x14ac:dyDescent="0.3">
      <c r="A18" t="s">
        <v>4109</v>
      </c>
      <c r="F18" t="str">
        <f t="shared" ref="F18" si="10">LEFT(A18, LEN(A18) - 1)</f>
        <v>&gt;7:AAAACG:32.00:33.33:OK:6:1809.27</v>
      </c>
    </row>
    <row r="19" spans="1:6" x14ac:dyDescent="0.3">
      <c r="A19" t="s">
        <v>13</v>
      </c>
      <c r="F19" t="str">
        <f t="shared" ref="F19" si="11">A19</f>
        <v>AAAACG</v>
      </c>
    </row>
    <row r="20" spans="1:6" x14ac:dyDescent="0.3">
      <c r="A20" t="s">
        <v>4110</v>
      </c>
      <c r="F20" t="str">
        <f t="shared" ref="F20" si="12">LEFT(A20, LEN(A20) - 1)</f>
        <v>&gt;8:AAAACT:26.00:16.67:OK:6:1784.25</v>
      </c>
    </row>
    <row r="21" spans="1:6" x14ac:dyDescent="0.3">
      <c r="A21" t="s">
        <v>14</v>
      </c>
      <c r="F21" t="str">
        <f t="shared" ref="F21" si="13">A21</f>
        <v>AAAACT</v>
      </c>
    </row>
    <row r="22" spans="1:6" x14ac:dyDescent="0.3">
      <c r="A22" t="s">
        <v>4111</v>
      </c>
      <c r="F22" t="str">
        <f t="shared" ref="F22" si="14">LEFT(A22, LEN(A22) - 1)</f>
        <v>&gt;9:AAAAGA:34.00:16.67:OK:6:1833.30</v>
      </c>
    </row>
    <row r="23" spans="1:6" x14ac:dyDescent="0.3">
      <c r="A23" t="s">
        <v>15</v>
      </c>
      <c r="F23" t="str">
        <f t="shared" ref="F23" si="15">A23</f>
        <v>AAAAGA</v>
      </c>
    </row>
    <row r="24" spans="1:6" x14ac:dyDescent="0.3">
      <c r="A24" t="s">
        <v>4112</v>
      </c>
      <c r="F24" t="str">
        <f t="shared" ref="F24" si="16">LEFT(A24, LEN(A24) - 1)</f>
        <v>&gt;10:AAAAGC:32.00:33.33:OK:6:1809.27</v>
      </c>
    </row>
    <row r="25" spans="1:6" x14ac:dyDescent="0.3">
      <c r="A25" t="s">
        <v>16</v>
      </c>
      <c r="F25" t="str">
        <f t="shared" ref="F25" si="17">A25</f>
        <v>AAAAGC</v>
      </c>
    </row>
    <row r="26" spans="1:6" x14ac:dyDescent="0.3">
      <c r="A26" t="s">
        <v>4113</v>
      </c>
      <c r="F26" t="str">
        <f t="shared" ref="F26" si="18">LEFT(A26, LEN(A26) - 1)</f>
        <v>&gt;11:AAAAGG:32.00:33.33:OK:6:1849.30</v>
      </c>
    </row>
    <row r="27" spans="1:6" x14ac:dyDescent="0.3">
      <c r="A27" t="s">
        <v>17</v>
      </c>
      <c r="F27" t="str">
        <f t="shared" ref="F27" si="19">A27</f>
        <v>AAAAGG</v>
      </c>
    </row>
    <row r="28" spans="1:6" x14ac:dyDescent="0.3">
      <c r="A28" t="s">
        <v>4114</v>
      </c>
      <c r="F28" t="str">
        <f t="shared" ref="F28" si="20">LEFT(A28, LEN(A28) - 1)</f>
        <v>&gt;12:AAAAGT:26.00:16.67:OK:6:1824.28</v>
      </c>
    </row>
    <row r="29" spans="1:6" x14ac:dyDescent="0.3">
      <c r="A29" t="s">
        <v>18</v>
      </c>
      <c r="F29" t="str">
        <f t="shared" ref="F29" si="21">A29</f>
        <v>AAAAGT</v>
      </c>
    </row>
    <row r="30" spans="1:6" x14ac:dyDescent="0.3">
      <c r="A30" t="s">
        <v>4115</v>
      </c>
      <c r="F30" t="str">
        <f t="shared" ref="F30" si="22">LEFT(A30, LEN(A30) - 1)</f>
        <v>&gt;13:AAAATA:28.00:0.00:OK:6:1808.28</v>
      </c>
    </row>
    <row r="31" spans="1:6" x14ac:dyDescent="0.3">
      <c r="A31" t="s">
        <v>19</v>
      </c>
      <c r="F31" t="str">
        <f t="shared" ref="F31" si="23">A31</f>
        <v>AAAATA</v>
      </c>
    </row>
    <row r="32" spans="1:6" x14ac:dyDescent="0.3">
      <c r="A32" t="s">
        <v>4116</v>
      </c>
      <c r="F32" t="str">
        <f t="shared" ref="F32" si="24">LEFT(A32, LEN(A32) - 1)</f>
        <v>&gt;14:AAAATC:26.00:16.67:OK:6:1784.25</v>
      </c>
    </row>
    <row r="33" spans="1:6" x14ac:dyDescent="0.3">
      <c r="A33" t="s">
        <v>20</v>
      </c>
      <c r="F33" t="str">
        <f t="shared" ref="F33" si="25">A33</f>
        <v>AAAATC</v>
      </c>
    </row>
    <row r="34" spans="1:6" x14ac:dyDescent="0.3">
      <c r="A34" t="s">
        <v>4117</v>
      </c>
      <c r="F34" t="str">
        <f t="shared" ref="F34" si="26">LEFT(A34, LEN(A34) - 1)</f>
        <v>&gt;15:AAAATG:26.00:16.67:OK:6:1824.28</v>
      </c>
    </row>
    <row r="35" spans="1:6" x14ac:dyDescent="0.3">
      <c r="A35" t="s">
        <v>21</v>
      </c>
      <c r="F35" t="str">
        <f t="shared" ref="F35" si="27">A35</f>
        <v>AAAATG</v>
      </c>
    </row>
    <row r="36" spans="1:6" x14ac:dyDescent="0.3">
      <c r="A36" t="s">
        <v>4118</v>
      </c>
      <c r="F36" t="str">
        <f t="shared" ref="F36" si="28">LEFT(A36, LEN(A36) - 1)</f>
        <v>&gt;16:AAAATT:20.00:0.00:OK:6:1799.26</v>
      </c>
    </row>
    <row r="37" spans="1:6" x14ac:dyDescent="0.3">
      <c r="A37" t="s">
        <v>22</v>
      </c>
      <c r="F37" t="str">
        <f t="shared" ref="F37" si="29">A37</f>
        <v>AAAATT</v>
      </c>
    </row>
    <row r="38" spans="1:6" x14ac:dyDescent="0.3">
      <c r="A38" t="s">
        <v>4119</v>
      </c>
      <c r="F38" t="str">
        <f t="shared" ref="F38" si="30">LEFT(A38, LEN(A38) - 1)</f>
        <v>&gt;17:AAACAA:34.00:16.67:OK:6:1793.27</v>
      </c>
    </row>
    <row r="39" spans="1:6" x14ac:dyDescent="0.3">
      <c r="A39" t="s">
        <v>23</v>
      </c>
      <c r="F39" t="str">
        <f t="shared" ref="F39" si="31">A39</f>
        <v>AAACAA</v>
      </c>
    </row>
    <row r="40" spans="1:6" x14ac:dyDescent="0.3">
      <c r="A40" t="s">
        <v>4120</v>
      </c>
      <c r="F40" t="str">
        <f t="shared" ref="F40" si="32">LEFT(A40, LEN(A40) - 1)</f>
        <v>&gt;18:AAACAC:32.00:33.33:OK:6:1769.24</v>
      </c>
    </row>
    <row r="41" spans="1:6" x14ac:dyDescent="0.3">
      <c r="A41" t="s">
        <v>24</v>
      </c>
      <c r="F41" t="str">
        <f t="shared" ref="F41" si="33">A41</f>
        <v>AAACAC</v>
      </c>
    </row>
    <row r="42" spans="1:6" x14ac:dyDescent="0.3">
      <c r="A42" t="s">
        <v>4121</v>
      </c>
      <c r="F42" t="str">
        <f t="shared" ref="F42" si="34">LEFT(A42, LEN(A42) - 1)</f>
        <v>&gt;19:AAACAG:32.00:33.33:OK:6:1809.27</v>
      </c>
    </row>
    <row r="43" spans="1:6" x14ac:dyDescent="0.3">
      <c r="A43" t="s">
        <v>25</v>
      </c>
      <c r="F43" t="str">
        <f t="shared" ref="F43" si="35">A43</f>
        <v>AAACAG</v>
      </c>
    </row>
    <row r="44" spans="1:6" x14ac:dyDescent="0.3">
      <c r="A44" t="s">
        <v>4122</v>
      </c>
      <c r="F44" t="str">
        <f t="shared" ref="F44" si="36">LEFT(A44, LEN(A44) - 1)</f>
        <v>&gt;20:AAACAT:26.00:16.67:OK:6:1784.25</v>
      </c>
    </row>
    <row r="45" spans="1:6" x14ac:dyDescent="0.3">
      <c r="A45" t="s">
        <v>26</v>
      </c>
      <c r="F45" t="str">
        <f t="shared" ref="F45" si="37">A45</f>
        <v>AAACAT</v>
      </c>
    </row>
    <row r="46" spans="1:6" x14ac:dyDescent="0.3">
      <c r="A46" t="s">
        <v>4123</v>
      </c>
      <c r="F46" t="str">
        <f t="shared" ref="F46" si="38">LEFT(A46, LEN(A46) - 1)</f>
        <v>&gt;21:AAACCA:32.00:33.33:OK:6:1769.24</v>
      </c>
    </row>
    <row r="47" spans="1:6" x14ac:dyDescent="0.3">
      <c r="A47" t="s">
        <v>27</v>
      </c>
      <c r="F47" t="str">
        <f t="shared" ref="F47" si="39">A47</f>
        <v>AAACCA</v>
      </c>
    </row>
    <row r="48" spans="1:6" x14ac:dyDescent="0.3">
      <c r="A48" t="s">
        <v>4124</v>
      </c>
      <c r="F48" t="str">
        <f t="shared" ref="F48" si="40">LEFT(A48, LEN(A48) - 1)</f>
        <v>&gt;22:AAACCC:30.00:50.00:Warning:6:1745.21</v>
      </c>
    </row>
    <row r="49" spans="1:6" x14ac:dyDescent="0.3">
      <c r="A49" t="s">
        <v>28</v>
      </c>
      <c r="F49" t="str">
        <f t="shared" ref="F49" si="41">A49</f>
        <v>AAACCC</v>
      </c>
    </row>
    <row r="50" spans="1:6" x14ac:dyDescent="0.3">
      <c r="A50" t="s">
        <v>4125</v>
      </c>
      <c r="F50" t="str">
        <f t="shared" ref="F50" si="42">LEFT(A50, LEN(A50) - 1)</f>
        <v>&gt;23:AAACCG:30.00:50.00:Warning:6:1785.24</v>
      </c>
    </row>
    <row r="51" spans="1:6" x14ac:dyDescent="0.3">
      <c r="A51" t="s">
        <v>29</v>
      </c>
      <c r="F51" t="str">
        <f t="shared" ref="F51" si="43">A51</f>
        <v>AAACCG</v>
      </c>
    </row>
    <row r="52" spans="1:6" x14ac:dyDescent="0.3">
      <c r="A52" t="s">
        <v>4126</v>
      </c>
      <c r="F52" t="str">
        <f t="shared" ref="F52" si="44">LEFT(A52, LEN(A52) - 1)</f>
        <v>&gt;24:AAACCT:24.00:33.33:OK:6:1760.22</v>
      </c>
    </row>
    <row r="53" spans="1:6" x14ac:dyDescent="0.3">
      <c r="A53" t="s">
        <v>30</v>
      </c>
      <c r="F53" t="str">
        <f t="shared" ref="F53" si="45">A53</f>
        <v>AAACCT</v>
      </c>
    </row>
    <row r="54" spans="1:6" x14ac:dyDescent="0.3">
      <c r="A54" t="s">
        <v>4127</v>
      </c>
      <c r="F54" t="str">
        <f t="shared" ref="F54" si="46">LEFT(A54, LEN(A54) - 1)</f>
        <v>&gt;25:AAACGA:32.00:33.33:OK:6:1809.27</v>
      </c>
    </row>
    <row r="55" spans="1:6" x14ac:dyDescent="0.3">
      <c r="A55" t="s">
        <v>31</v>
      </c>
      <c r="F55" t="str">
        <f t="shared" ref="F55" si="47">A55</f>
        <v>AAACGA</v>
      </c>
    </row>
    <row r="56" spans="1:6" x14ac:dyDescent="0.3">
      <c r="A56" t="s">
        <v>4128</v>
      </c>
      <c r="F56" t="str">
        <f t="shared" ref="F56" si="48">LEFT(A56, LEN(A56) - 1)</f>
        <v>&gt;26:AAACGC:30.00:50.00:Warning:6:1785.24</v>
      </c>
    </row>
    <row r="57" spans="1:6" x14ac:dyDescent="0.3">
      <c r="A57" t="s">
        <v>32</v>
      </c>
      <c r="F57" t="str">
        <f t="shared" ref="F57" si="49">A57</f>
        <v>AAACGC</v>
      </c>
    </row>
    <row r="58" spans="1:6" x14ac:dyDescent="0.3">
      <c r="A58" t="s">
        <v>4129</v>
      </c>
      <c r="F58" t="str">
        <f t="shared" ref="F58" si="50">LEFT(A58, LEN(A58) - 1)</f>
        <v>&gt;27:AAACGG:30.00:50.00:Warning:6:1825.27</v>
      </c>
    </row>
    <row r="59" spans="1:6" x14ac:dyDescent="0.3">
      <c r="A59" t="s">
        <v>33</v>
      </c>
      <c r="F59" t="str">
        <f t="shared" ref="F59" si="51">A59</f>
        <v>AAACGG</v>
      </c>
    </row>
    <row r="60" spans="1:6" x14ac:dyDescent="0.3">
      <c r="A60" t="s">
        <v>4130</v>
      </c>
      <c r="F60" t="str">
        <f t="shared" ref="F60" si="52">LEFT(A60, LEN(A60) - 1)</f>
        <v>&gt;28:AAACGT:24.00:33.33:OK:6:1800.25</v>
      </c>
    </row>
    <row r="61" spans="1:6" x14ac:dyDescent="0.3">
      <c r="A61" t="s">
        <v>34</v>
      </c>
      <c r="F61" t="str">
        <f t="shared" ref="F61" si="53">A61</f>
        <v>AAACGT</v>
      </c>
    </row>
    <row r="62" spans="1:6" x14ac:dyDescent="0.3">
      <c r="A62" t="s">
        <v>4131</v>
      </c>
      <c r="F62" t="str">
        <f t="shared" ref="F62" si="54">LEFT(A62, LEN(A62) - 1)</f>
        <v>&gt;29:AAACTA:26.00:16.67:OK:6:1784.25</v>
      </c>
    </row>
    <row r="63" spans="1:6" x14ac:dyDescent="0.3">
      <c r="A63" t="s">
        <v>35</v>
      </c>
      <c r="F63" t="str">
        <f t="shared" ref="F63" si="55">A63</f>
        <v>AAACTA</v>
      </c>
    </row>
    <row r="64" spans="1:6" x14ac:dyDescent="0.3">
      <c r="A64" t="s">
        <v>4132</v>
      </c>
      <c r="F64" t="str">
        <f t="shared" ref="F64" si="56">LEFT(A64, LEN(A64) - 1)</f>
        <v>&gt;30:AAACTC:24.00:33.33:OK:6:1760.22</v>
      </c>
    </row>
    <row r="65" spans="1:6" x14ac:dyDescent="0.3">
      <c r="A65" t="s">
        <v>36</v>
      </c>
      <c r="F65" t="str">
        <f t="shared" ref="F65" si="57">A65</f>
        <v>AAACTC</v>
      </c>
    </row>
    <row r="66" spans="1:6" x14ac:dyDescent="0.3">
      <c r="A66" t="s">
        <v>4133</v>
      </c>
      <c r="F66" t="str">
        <f t="shared" ref="F66" si="58">LEFT(A66, LEN(A66) - 1)</f>
        <v>&gt;31:AAACTG:24.00:33.33:OK:6:1800.25</v>
      </c>
    </row>
    <row r="67" spans="1:6" x14ac:dyDescent="0.3">
      <c r="A67" t="s">
        <v>37</v>
      </c>
      <c r="F67" t="str">
        <f t="shared" ref="F67" si="59">A67</f>
        <v>AAACTG</v>
      </c>
    </row>
    <row r="68" spans="1:6" x14ac:dyDescent="0.3">
      <c r="A68" t="s">
        <v>4134</v>
      </c>
      <c r="F68" t="str">
        <f t="shared" ref="F68" si="60">LEFT(A68, LEN(A68) - 1)</f>
        <v>&gt;32:AAACTT:18.00:16.67:OK:6:1775.23</v>
      </c>
    </row>
    <row r="69" spans="1:6" x14ac:dyDescent="0.3">
      <c r="A69" t="s">
        <v>38</v>
      </c>
      <c r="F69" t="str">
        <f t="shared" ref="F69" si="61">A69</f>
        <v>AAACTT</v>
      </c>
    </row>
    <row r="70" spans="1:6" x14ac:dyDescent="0.3">
      <c r="A70" t="s">
        <v>4135</v>
      </c>
      <c r="F70" t="str">
        <f t="shared" ref="F70" si="62">LEFT(A70, LEN(A70) - 1)</f>
        <v>&gt;33:AAAGAA:34.00:16.67:OK:6:1833.30</v>
      </c>
    </row>
    <row r="71" spans="1:6" x14ac:dyDescent="0.3">
      <c r="A71" t="s">
        <v>39</v>
      </c>
      <c r="F71" t="str">
        <f t="shared" ref="F71" si="63">A71</f>
        <v>AAAGAA</v>
      </c>
    </row>
    <row r="72" spans="1:6" x14ac:dyDescent="0.3">
      <c r="A72" t="s">
        <v>4136</v>
      </c>
      <c r="F72" t="str">
        <f t="shared" ref="F72" si="64">LEFT(A72, LEN(A72) - 1)</f>
        <v>&gt;34:AAAGAC:32.00:33.33:OK:6:1809.27</v>
      </c>
    </row>
    <row r="73" spans="1:6" x14ac:dyDescent="0.3">
      <c r="A73" t="s">
        <v>40</v>
      </c>
      <c r="F73" t="str">
        <f t="shared" ref="F73" si="65">A73</f>
        <v>AAAGAC</v>
      </c>
    </row>
    <row r="74" spans="1:6" x14ac:dyDescent="0.3">
      <c r="A74" t="s">
        <v>4137</v>
      </c>
      <c r="F74" t="str">
        <f t="shared" ref="F74" si="66">LEFT(A74, LEN(A74) - 1)</f>
        <v>&gt;35:AAAGAG:32.00:33.33:OK:6:1849.30</v>
      </c>
    </row>
    <row r="75" spans="1:6" x14ac:dyDescent="0.3">
      <c r="A75" t="s">
        <v>41</v>
      </c>
      <c r="F75" t="str">
        <f t="shared" ref="F75" si="67">A75</f>
        <v>AAAGAG</v>
      </c>
    </row>
    <row r="76" spans="1:6" x14ac:dyDescent="0.3">
      <c r="A76" t="s">
        <v>4138</v>
      </c>
      <c r="F76" t="str">
        <f t="shared" ref="F76" si="68">LEFT(A76, LEN(A76) - 1)</f>
        <v>&gt;36:AAAGAT:26.00:16.67:OK:6:1824.28</v>
      </c>
    </row>
    <row r="77" spans="1:6" x14ac:dyDescent="0.3">
      <c r="A77" t="s">
        <v>42</v>
      </c>
      <c r="F77" t="str">
        <f t="shared" ref="F77" si="69">A77</f>
        <v>AAAGAT</v>
      </c>
    </row>
    <row r="78" spans="1:6" x14ac:dyDescent="0.3">
      <c r="A78" t="s">
        <v>4139</v>
      </c>
      <c r="F78" t="str">
        <f t="shared" ref="F78" si="70">LEFT(A78, LEN(A78) - 1)</f>
        <v>&gt;37:AAAGCA:32.00:33.33:OK:6:1809.27</v>
      </c>
    </row>
    <row r="79" spans="1:6" x14ac:dyDescent="0.3">
      <c r="A79" t="s">
        <v>43</v>
      </c>
      <c r="F79" t="str">
        <f t="shared" ref="F79" si="71">A79</f>
        <v>AAAGCA</v>
      </c>
    </row>
    <row r="80" spans="1:6" x14ac:dyDescent="0.3">
      <c r="A80" t="s">
        <v>4140</v>
      </c>
      <c r="F80" t="str">
        <f t="shared" ref="F80" si="72">LEFT(A80, LEN(A80) - 1)</f>
        <v>&gt;38:AAAGCC:30.00:50.00:Warning:6:1785.24</v>
      </c>
    </row>
    <row r="81" spans="1:6" x14ac:dyDescent="0.3">
      <c r="A81" t="s">
        <v>44</v>
      </c>
      <c r="F81" t="str">
        <f t="shared" ref="F81" si="73">A81</f>
        <v>AAAGCC</v>
      </c>
    </row>
    <row r="82" spans="1:6" x14ac:dyDescent="0.3">
      <c r="A82" t="s">
        <v>4141</v>
      </c>
      <c r="F82" t="str">
        <f t="shared" ref="F82" si="74">LEFT(A82, LEN(A82) - 1)</f>
        <v>&gt;39:AAAGCG:30.00:50.00:Warning:6:1825.27</v>
      </c>
    </row>
    <row r="83" spans="1:6" x14ac:dyDescent="0.3">
      <c r="A83" t="s">
        <v>45</v>
      </c>
      <c r="F83" t="str">
        <f t="shared" ref="F83" si="75">A83</f>
        <v>AAAGCG</v>
      </c>
    </row>
    <row r="84" spans="1:6" x14ac:dyDescent="0.3">
      <c r="A84" t="s">
        <v>4142</v>
      </c>
      <c r="F84" t="str">
        <f t="shared" ref="F84" si="76">LEFT(A84, LEN(A84) - 1)</f>
        <v>&gt;40:AAAGCT:24.00:33.33:OK:6:1800.25</v>
      </c>
    </row>
    <row r="85" spans="1:6" x14ac:dyDescent="0.3">
      <c r="A85" t="s">
        <v>46</v>
      </c>
      <c r="F85" t="str">
        <f t="shared" ref="F85" si="77">A85</f>
        <v>AAAGCT</v>
      </c>
    </row>
    <row r="86" spans="1:6" x14ac:dyDescent="0.3">
      <c r="A86" t="s">
        <v>4143</v>
      </c>
      <c r="F86" t="str">
        <f t="shared" ref="F86" si="78">LEFT(A86, LEN(A86) - 1)</f>
        <v>&gt;41:AAAGGA:32.00:33.33:OK:6:1849.30</v>
      </c>
    </row>
    <row r="87" spans="1:6" x14ac:dyDescent="0.3">
      <c r="A87" t="s">
        <v>47</v>
      </c>
      <c r="F87" t="str">
        <f t="shared" ref="F87" si="79">A87</f>
        <v>AAAGGA</v>
      </c>
    </row>
    <row r="88" spans="1:6" x14ac:dyDescent="0.3">
      <c r="A88" t="s">
        <v>4144</v>
      </c>
      <c r="F88" t="str">
        <f t="shared" ref="F88" si="80">LEFT(A88, LEN(A88) - 1)</f>
        <v>&gt;42:AAAGGC:30.00:50.00:Warning:6:1825.27</v>
      </c>
    </row>
    <row r="89" spans="1:6" x14ac:dyDescent="0.3">
      <c r="A89" t="s">
        <v>48</v>
      </c>
      <c r="F89" t="str">
        <f t="shared" ref="F89" si="81">A89</f>
        <v>AAAGGC</v>
      </c>
    </row>
    <row r="90" spans="1:6" x14ac:dyDescent="0.3">
      <c r="A90" t="s">
        <v>4145</v>
      </c>
      <c r="F90" t="str">
        <f t="shared" ref="F90" si="82">LEFT(A90, LEN(A90) - 1)</f>
        <v>&gt;43:AAAGGG:30.00:50.00:Warning:6:1865.30</v>
      </c>
    </row>
    <row r="91" spans="1:6" x14ac:dyDescent="0.3">
      <c r="A91" t="s">
        <v>49</v>
      </c>
      <c r="F91" t="str">
        <f t="shared" ref="F91" si="83">A91</f>
        <v>AAAGGG</v>
      </c>
    </row>
    <row r="92" spans="1:6" x14ac:dyDescent="0.3">
      <c r="A92" t="s">
        <v>4146</v>
      </c>
      <c r="F92" t="str">
        <f t="shared" ref="F92" si="84">LEFT(A92, LEN(A92) - 1)</f>
        <v>&gt;44:AAAGGT:24.00:33.33:OK:6:1840.28</v>
      </c>
    </row>
    <row r="93" spans="1:6" x14ac:dyDescent="0.3">
      <c r="A93" t="s">
        <v>50</v>
      </c>
      <c r="F93" t="str">
        <f t="shared" ref="F93" si="85">A93</f>
        <v>AAAGGT</v>
      </c>
    </row>
    <row r="94" spans="1:6" x14ac:dyDescent="0.3">
      <c r="A94" t="s">
        <v>4147</v>
      </c>
      <c r="F94" t="str">
        <f t="shared" ref="F94" si="86">LEFT(A94, LEN(A94) - 1)</f>
        <v>&gt;45:AAAGTA:26.00:16.67:OK:6:1824.28</v>
      </c>
    </row>
    <row r="95" spans="1:6" x14ac:dyDescent="0.3">
      <c r="A95" t="s">
        <v>51</v>
      </c>
      <c r="F95" t="str">
        <f t="shared" ref="F95" si="87">A95</f>
        <v>AAAGTA</v>
      </c>
    </row>
    <row r="96" spans="1:6" x14ac:dyDescent="0.3">
      <c r="A96" t="s">
        <v>4148</v>
      </c>
      <c r="F96" t="str">
        <f t="shared" ref="F96" si="88">LEFT(A96, LEN(A96) - 1)</f>
        <v>&gt;46:AAAGTC:24.00:33.33:OK:6:1800.25</v>
      </c>
    </row>
    <row r="97" spans="1:6" x14ac:dyDescent="0.3">
      <c r="A97" t="s">
        <v>52</v>
      </c>
      <c r="F97" t="str">
        <f t="shared" ref="F97" si="89">A97</f>
        <v>AAAGTC</v>
      </c>
    </row>
    <row r="98" spans="1:6" x14ac:dyDescent="0.3">
      <c r="A98" t="s">
        <v>4149</v>
      </c>
      <c r="F98" t="str">
        <f t="shared" ref="F98" si="90">LEFT(A98, LEN(A98) - 1)</f>
        <v>&gt;47:AAAGTG:24.00:33.33:OK:6:1840.28</v>
      </c>
    </row>
    <row r="99" spans="1:6" x14ac:dyDescent="0.3">
      <c r="A99" t="s">
        <v>53</v>
      </c>
      <c r="F99" t="str">
        <f t="shared" ref="F99" si="91">A99</f>
        <v>AAAGTG</v>
      </c>
    </row>
    <row r="100" spans="1:6" x14ac:dyDescent="0.3">
      <c r="A100" t="s">
        <v>4150</v>
      </c>
      <c r="F100" t="str">
        <f t="shared" ref="F100" si="92">LEFT(A100, LEN(A100) - 1)</f>
        <v>&gt;48:AAAGTT:18.00:16.67:OK:6:1815.26</v>
      </c>
    </row>
    <row r="101" spans="1:6" x14ac:dyDescent="0.3">
      <c r="A101" t="s">
        <v>54</v>
      </c>
      <c r="F101" t="str">
        <f t="shared" ref="F101" si="93">A101</f>
        <v>AAAGTT</v>
      </c>
    </row>
    <row r="102" spans="1:6" x14ac:dyDescent="0.3">
      <c r="A102" t="s">
        <v>4151</v>
      </c>
      <c r="F102" t="str">
        <f t="shared" ref="F102" si="94">LEFT(A102, LEN(A102) - 1)</f>
        <v>&gt;49:AAATAA:28.00:0.00:OK:6:1808.28</v>
      </c>
    </row>
    <row r="103" spans="1:6" x14ac:dyDescent="0.3">
      <c r="A103" t="s">
        <v>55</v>
      </c>
      <c r="F103" t="str">
        <f t="shared" ref="F103" si="95">A103</f>
        <v>AAATAA</v>
      </c>
    </row>
    <row r="104" spans="1:6" x14ac:dyDescent="0.3">
      <c r="A104" t="s">
        <v>4152</v>
      </c>
      <c r="F104" t="str">
        <f t="shared" ref="F104" si="96">LEFT(A104, LEN(A104) - 1)</f>
        <v>&gt;50:AAATAC:26.00:16.67:OK:6:1784.25</v>
      </c>
    </row>
    <row r="105" spans="1:6" x14ac:dyDescent="0.3">
      <c r="A105" t="s">
        <v>56</v>
      </c>
      <c r="F105" t="str">
        <f t="shared" ref="F105" si="97">A105</f>
        <v>AAATAC</v>
      </c>
    </row>
    <row r="106" spans="1:6" x14ac:dyDescent="0.3">
      <c r="A106" t="s">
        <v>4153</v>
      </c>
      <c r="F106" t="str">
        <f t="shared" ref="F106" si="98">LEFT(A106, LEN(A106) - 1)</f>
        <v>&gt;51:AAATAG:26.00:16.67:OK:6:1824.28</v>
      </c>
    </row>
    <row r="107" spans="1:6" x14ac:dyDescent="0.3">
      <c r="A107" t="s">
        <v>57</v>
      </c>
      <c r="F107" t="str">
        <f t="shared" ref="F107" si="99">A107</f>
        <v>AAATAG</v>
      </c>
    </row>
    <row r="108" spans="1:6" x14ac:dyDescent="0.3">
      <c r="A108" t="s">
        <v>4154</v>
      </c>
      <c r="F108" t="str">
        <f t="shared" ref="F108" si="100">LEFT(A108, LEN(A108) - 1)</f>
        <v>&gt;52:AAATAT:20.00:0.00:OK:6:1799.26</v>
      </c>
    </row>
    <row r="109" spans="1:6" x14ac:dyDescent="0.3">
      <c r="A109" t="s">
        <v>58</v>
      </c>
      <c r="F109" t="str">
        <f t="shared" ref="F109" si="101">A109</f>
        <v>AAATAT</v>
      </c>
    </row>
    <row r="110" spans="1:6" x14ac:dyDescent="0.3">
      <c r="A110" t="s">
        <v>4155</v>
      </c>
      <c r="F110" t="str">
        <f t="shared" ref="F110" si="102">LEFT(A110, LEN(A110) - 1)</f>
        <v>&gt;53:AAATCA:26.00:16.67:OK:6:1784.25</v>
      </c>
    </row>
    <row r="111" spans="1:6" x14ac:dyDescent="0.3">
      <c r="A111" t="s">
        <v>59</v>
      </c>
      <c r="F111" t="str">
        <f t="shared" ref="F111" si="103">A111</f>
        <v>AAATCA</v>
      </c>
    </row>
    <row r="112" spans="1:6" x14ac:dyDescent="0.3">
      <c r="A112" t="s">
        <v>4156</v>
      </c>
      <c r="F112" t="str">
        <f t="shared" ref="F112" si="104">LEFT(A112, LEN(A112) - 1)</f>
        <v>&gt;54:AAATCC:24.00:33.33:OK:6:1760.22</v>
      </c>
    </row>
    <row r="113" spans="1:6" x14ac:dyDescent="0.3">
      <c r="A113" t="s">
        <v>60</v>
      </c>
      <c r="F113" t="str">
        <f t="shared" ref="F113" si="105">A113</f>
        <v>AAATCC</v>
      </c>
    </row>
    <row r="114" spans="1:6" x14ac:dyDescent="0.3">
      <c r="A114" t="s">
        <v>4157</v>
      </c>
      <c r="F114" t="str">
        <f t="shared" ref="F114" si="106">LEFT(A114, LEN(A114) - 1)</f>
        <v>&gt;55:AAATCG:24.00:33.33:OK:6:1800.25</v>
      </c>
    </row>
    <row r="115" spans="1:6" x14ac:dyDescent="0.3">
      <c r="A115" t="s">
        <v>61</v>
      </c>
      <c r="F115" t="str">
        <f t="shared" ref="F115" si="107">A115</f>
        <v>AAATCG</v>
      </c>
    </row>
    <row r="116" spans="1:6" x14ac:dyDescent="0.3">
      <c r="A116" t="s">
        <v>4158</v>
      </c>
      <c r="F116" t="str">
        <f t="shared" ref="F116" si="108">LEFT(A116, LEN(A116) - 1)</f>
        <v>&gt;56:AAATCT:18.00:16.67:OK:6:1775.23</v>
      </c>
    </row>
    <row r="117" spans="1:6" x14ac:dyDescent="0.3">
      <c r="A117" t="s">
        <v>62</v>
      </c>
      <c r="F117" t="str">
        <f t="shared" ref="F117" si="109">A117</f>
        <v>AAATCT</v>
      </c>
    </row>
    <row r="118" spans="1:6" x14ac:dyDescent="0.3">
      <c r="A118" t="s">
        <v>4159</v>
      </c>
      <c r="F118" t="str">
        <f t="shared" ref="F118" si="110">LEFT(A118, LEN(A118) - 1)</f>
        <v>&gt;57:AAATGA:26.00:16.67:OK:6:1824.28</v>
      </c>
    </row>
    <row r="119" spans="1:6" x14ac:dyDescent="0.3">
      <c r="A119" t="s">
        <v>63</v>
      </c>
      <c r="F119" t="str">
        <f t="shared" ref="F119" si="111">A119</f>
        <v>AAATGA</v>
      </c>
    </row>
    <row r="120" spans="1:6" x14ac:dyDescent="0.3">
      <c r="A120" t="s">
        <v>4160</v>
      </c>
      <c r="F120" t="str">
        <f t="shared" ref="F120" si="112">LEFT(A120, LEN(A120) - 1)</f>
        <v>&gt;58:AAATGC:24.00:33.33:OK:6:1800.25</v>
      </c>
    </row>
    <row r="121" spans="1:6" x14ac:dyDescent="0.3">
      <c r="A121" t="s">
        <v>64</v>
      </c>
      <c r="F121" t="str">
        <f t="shared" ref="F121" si="113">A121</f>
        <v>AAATGC</v>
      </c>
    </row>
    <row r="122" spans="1:6" x14ac:dyDescent="0.3">
      <c r="A122" t="s">
        <v>4161</v>
      </c>
      <c r="F122" t="str">
        <f t="shared" ref="F122" si="114">LEFT(A122, LEN(A122) - 1)</f>
        <v>&gt;59:AAATGG:24.00:33.33:OK:6:1840.28</v>
      </c>
    </row>
    <row r="123" spans="1:6" x14ac:dyDescent="0.3">
      <c r="A123" t="s">
        <v>65</v>
      </c>
      <c r="F123" t="str">
        <f t="shared" ref="F123" si="115">A123</f>
        <v>AAATGG</v>
      </c>
    </row>
    <row r="124" spans="1:6" x14ac:dyDescent="0.3">
      <c r="A124" t="s">
        <v>4162</v>
      </c>
      <c r="F124" t="str">
        <f t="shared" ref="F124" si="116">LEFT(A124, LEN(A124) - 1)</f>
        <v>&gt;60:AAATGT:18.00:16.67:OK:6:1815.26</v>
      </c>
    </row>
    <row r="125" spans="1:6" x14ac:dyDescent="0.3">
      <c r="A125" t="s">
        <v>66</v>
      </c>
      <c r="F125" t="str">
        <f t="shared" ref="F125" si="117">A125</f>
        <v>AAATGT</v>
      </c>
    </row>
    <row r="126" spans="1:6" x14ac:dyDescent="0.3">
      <c r="A126" t="s">
        <v>4163</v>
      </c>
      <c r="F126" t="str">
        <f t="shared" ref="F126" si="118">LEFT(A126, LEN(A126) - 1)</f>
        <v>&gt;61:AAATTA:20.00:0.00:OK:6:1799.26</v>
      </c>
    </row>
    <row r="127" spans="1:6" x14ac:dyDescent="0.3">
      <c r="A127" t="s">
        <v>67</v>
      </c>
      <c r="F127" t="str">
        <f t="shared" ref="F127" si="119">A127</f>
        <v>AAATTA</v>
      </c>
    </row>
    <row r="128" spans="1:6" x14ac:dyDescent="0.3">
      <c r="A128" t="s">
        <v>4164</v>
      </c>
      <c r="F128" t="str">
        <f t="shared" ref="F128" si="120">LEFT(A128, LEN(A128) - 1)</f>
        <v>&gt;62:AAATTC:18.00:16.67:OK:6:1775.23</v>
      </c>
    </row>
    <row r="129" spans="1:6" x14ac:dyDescent="0.3">
      <c r="A129" t="s">
        <v>68</v>
      </c>
      <c r="F129" t="str">
        <f t="shared" ref="F129" si="121">A129</f>
        <v>AAATTC</v>
      </c>
    </row>
    <row r="130" spans="1:6" x14ac:dyDescent="0.3">
      <c r="A130" t="s">
        <v>4165</v>
      </c>
      <c r="F130" t="str">
        <f t="shared" ref="F130" si="122">LEFT(A130, LEN(A130) - 1)</f>
        <v>&gt;63:AAATTG:18.00:16.67:OK:6:1815.26</v>
      </c>
    </row>
    <row r="131" spans="1:6" x14ac:dyDescent="0.3">
      <c r="A131" t="s">
        <v>69</v>
      </c>
      <c r="F131" t="str">
        <f t="shared" ref="F131" si="123">A131</f>
        <v>AAATTG</v>
      </c>
    </row>
    <row r="132" spans="1:6" x14ac:dyDescent="0.3">
      <c r="A132" t="s">
        <v>4166</v>
      </c>
      <c r="F132" t="str">
        <f t="shared" ref="F132" si="124">LEFT(A132, LEN(A132) - 1)</f>
        <v>&gt;64:AAATTT:12.00:0.00:OK:6:1790.24</v>
      </c>
    </row>
    <row r="133" spans="1:6" x14ac:dyDescent="0.3">
      <c r="A133" t="s">
        <v>70</v>
      </c>
      <c r="F133" t="str">
        <f t="shared" ref="F133" si="125">A133</f>
        <v>AAATTT</v>
      </c>
    </row>
    <row r="134" spans="1:6" x14ac:dyDescent="0.3">
      <c r="A134" t="s">
        <v>4167</v>
      </c>
      <c r="F134" t="str">
        <f t="shared" ref="F134" si="126">LEFT(A134, LEN(A134) - 1)</f>
        <v>&gt;65:AACAAA:34.00:16.67:OK:6:1793.27</v>
      </c>
    </row>
    <row r="135" spans="1:6" x14ac:dyDescent="0.3">
      <c r="A135" t="s">
        <v>71</v>
      </c>
      <c r="F135" t="str">
        <f t="shared" ref="F135" si="127">A135</f>
        <v>AACAAA</v>
      </c>
    </row>
    <row r="136" spans="1:6" x14ac:dyDescent="0.3">
      <c r="A136" t="s">
        <v>4168</v>
      </c>
      <c r="F136" t="str">
        <f t="shared" ref="F136" si="128">LEFT(A136, LEN(A136) - 1)</f>
        <v>&gt;66:AACAAC:32.00:33.33:OK:6:1769.24</v>
      </c>
    </row>
    <row r="137" spans="1:6" x14ac:dyDescent="0.3">
      <c r="A137" t="s">
        <v>72</v>
      </c>
      <c r="F137" t="str">
        <f t="shared" ref="F137" si="129">A137</f>
        <v>AACAAC</v>
      </c>
    </row>
    <row r="138" spans="1:6" x14ac:dyDescent="0.3">
      <c r="A138" t="s">
        <v>4169</v>
      </c>
      <c r="F138" t="str">
        <f t="shared" ref="F138" si="130">LEFT(A138, LEN(A138) - 1)</f>
        <v>&gt;67:AACAAG:32.00:33.33:OK:6:1809.27</v>
      </c>
    </row>
    <row r="139" spans="1:6" x14ac:dyDescent="0.3">
      <c r="A139" t="s">
        <v>73</v>
      </c>
      <c r="F139" t="str">
        <f t="shared" ref="F139" si="131">A139</f>
        <v>AACAAG</v>
      </c>
    </row>
    <row r="140" spans="1:6" x14ac:dyDescent="0.3">
      <c r="A140" t="s">
        <v>4170</v>
      </c>
      <c r="F140" t="str">
        <f t="shared" ref="F140" si="132">LEFT(A140, LEN(A140) - 1)</f>
        <v>&gt;68:AACAAT:26.00:16.67:OK:6:1784.25</v>
      </c>
    </row>
    <row r="141" spans="1:6" x14ac:dyDescent="0.3">
      <c r="A141" t="s">
        <v>74</v>
      </c>
      <c r="F141" t="str">
        <f t="shared" ref="F141" si="133">A141</f>
        <v>AACAAT</v>
      </c>
    </row>
    <row r="142" spans="1:6" x14ac:dyDescent="0.3">
      <c r="A142" t="s">
        <v>4171</v>
      </c>
      <c r="F142" t="str">
        <f t="shared" ref="F142" si="134">LEFT(A142, LEN(A142) - 1)</f>
        <v>&gt;69:AACACA:32.00:33.33:OK:6:1769.24</v>
      </c>
    </row>
    <row r="143" spans="1:6" x14ac:dyDescent="0.3">
      <c r="A143" t="s">
        <v>75</v>
      </c>
      <c r="F143" t="str">
        <f t="shared" ref="F143" si="135">A143</f>
        <v>AACACA</v>
      </c>
    </row>
    <row r="144" spans="1:6" x14ac:dyDescent="0.3">
      <c r="A144" t="s">
        <v>4172</v>
      </c>
      <c r="F144" t="str">
        <f t="shared" ref="F144" si="136">LEFT(A144, LEN(A144) - 1)</f>
        <v>&gt;70:AACACC:30.00:50.00:Warning:6:1745.21</v>
      </c>
    </row>
    <row r="145" spans="1:6" x14ac:dyDescent="0.3">
      <c r="A145" t="s">
        <v>76</v>
      </c>
      <c r="F145" t="str">
        <f t="shared" ref="F145" si="137">A145</f>
        <v>AACACC</v>
      </c>
    </row>
    <row r="146" spans="1:6" x14ac:dyDescent="0.3">
      <c r="A146" t="s">
        <v>4173</v>
      </c>
      <c r="F146" t="str">
        <f t="shared" ref="F146" si="138">LEFT(A146, LEN(A146) - 1)</f>
        <v>&gt;71:AACACG:30.00:50.00:Warning:6:1785.24</v>
      </c>
    </row>
    <row r="147" spans="1:6" x14ac:dyDescent="0.3">
      <c r="A147" t="s">
        <v>77</v>
      </c>
      <c r="F147" t="str">
        <f t="shared" ref="F147" si="139">A147</f>
        <v>AACACG</v>
      </c>
    </row>
    <row r="148" spans="1:6" x14ac:dyDescent="0.3">
      <c r="A148" t="s">
        <v>4174</v>
      </c>
      <c r="F148" t="str">
        <f t="shared" ref="F148" si="140">LEFT(A148, LEN(A148) - 1)</f>
        <v>&gt;72:AACACT:24.00:33.33:OK:6:1760.22</v>
      </c>
    </row>
    <row r="149" spans="1:6" x14ac:dyDescent="0.3">
      <c r="A149" t="s">
        <v>78</v>
      </c>
      <c r="F149" t="str">
        <f t="shared" ref="F149" si="141">A149</f>
        <v>AACACT</v>
      </c>
    </row>
    <row r="150" spans="1:6" x14ac:dyDescent="0.3">
      <c r="A150" t="s">
        <v>4175</v>
      </c>
      <c r="F150" t="str">
        <f t="shared" ref="F150" si="142">LEFT(A150, LEN(A150) - 1)</f>
        <v>&gt;73:AACAGA:32.00:33.33:OK:6:1809.27</v>
      </c>
    </row>
    <row r="151" spans="1:6" x14ac:dyDescent="0.3">
      <c r="A151" t="s">
        <v>79</v>
      </c>
      <c r="F151" t="str">
        <f t="shared" ref="F151" si="143">A151</f>
        <v>AACAGA</v>
      </c>
    </row>
    <row r="152" spans="1:6" x14ac:dyDescent="0.3">
      <c r="A152" t="s">
        <v>4176</v>
      </c>
      <c r="F152" t="str">
        <f t="shared" ref="F152" si="144">LEFT(A152, LEN(A152) - 1)</f>
        <v>&gt;74:AACAGC:30.00:50.00:Warning:6:1785.24</v>
      </c>
    </row>
    <row r="153" spans="1:6" x14ac:dyDescent="0.3">
      <c r="A153" t="s">
        <v>80</v>
      </c>
      <c r="F153" t="str">
        <f t="shared" ref="F153" si="145">A153</f>
        <v>AACAGC</v>
      </c>
    </row>
    <row r="154" spans="1:6" x14ac:dyDescent="0.3">
      <c r="A154" t="s">
        <v>4177</v>
      </c>
      <c r="F154" t="str">
        <f t="shared" ref="F154" si="146">LEFT(A154, LEN(A154) - 1)</f>
        <v>&gt;75:AACAGG:30.00:50.00:Warning:6:1825.27</v>
      </c>
    </row>
    <row r="155" spans="1:6" x14ac:dyDescent="0.3">
      <c r="A155" t="s">
        <v>81</v>
      </c>
      <c r="F155" t="str">
        <f t="shared" ref="F155" si="147">A155</f>
        <v>AACAGG</v>
      </c>
    </row>
    <row r="156" spans="1:6" x14ac:dyDescent="0.3">
      <c r="A156" t="s">
        <v>4178</v>
      </c>
      <c r="F156" t="str">
        <f t="shared" ref="F156" si="148">LEFT(A156, LEN(A156) - 1)</f>
        <v>&gt;76:AACAGT:24.00:33.33:OK:6:1800.25</v>
      </c>
    </row>
    <row r="157" spans="1:6" x14ac:dyDescent="0.3">
      <c r="A157" t="s">
        <v>82</v>
      </c>
      <c r="F157" t="str">
        <f t="shared" ref="F157" si="149">A157</f>
        <v>AACAGT</v>
      </c>
    </row>
    <row r="158" spans="1:6" x14ac:dyDescent="0.3">
      <c r="A158" t="s">
        <v>4179</v>
      </c>
      <c r="F158" t="str">
        <f t="shared" ref="F158" si="150">LEFT(A158, LEN(A158) - 1)</f>
        <v>&gt;77:AACATA:26.00:16.67:OK:6:1784.25</v>
      </c>
    </row>
    <row r="159" spans="1:6" x14ac:dyDescent="0.3">
      <c r="A159" t="s">
        <v>83</v>
      </c>
      <c r="F159" t="str">
        <f t="shared" ref="F159" si="151">A159</f>
        <v>AACATA</v>
      </c>
    </row>
    <row r="160" spans="1:6" x14ac:dyDescent="0.3">
      <c r="A160" t="s">
        <v>4180</v>
      </c>
      <c r="F160" t="str">
        <f t="shared" ref="F160" si="152">LEFT(A160, LEN(A160) - 1)</f>
        <v>&gt;78:AACATC:24.00:33.33:OK:6:1760.22</v>
      </c>
    </row>
    <row r="161" spans="1:6" x14ac:dyDescent="0.3">
      <c r="A161" t="s">
        <v>84</v>
      </c>
      <c r="F161" t="str">
        <f t="shared" ref="F161" si="153">A161</f>
        <v>AACATC</v>
      </c>
    </row>
    <row r="162" spans="1:6" x14ac:dyDescent="0.3">
      <c r="A162" t="s">
        <v>4181</v>
      </c>
      <c r="F162" t="str">
        <f t="shared" ref="F162" si="154">LEFT(A162, LEN(A162) - 1)</f>
        <v>&gt;79:AACATG:24.00:33.33:OK:6:1800.25</v>
      </c>
    </row>
    <row r="163" spans="1:6" x14ac:dyDescent="0.3">
      <c r="A163" t="s">
        <v>85</v>
      </c>
      <c r="F163" t="str">
        <f t="shared" ref="F163" si="155">A163</f>
        <v>AACATG</v>
      </c>
    </row>
    <row r="164" spans="1:6" x14ac:dyDescent="0.3">
      <c r="A164" t="s">
        <v>4182</v>
      </c>
      <c r="F164" t="str">
        <f t="shared" ref="F164" si="156">LEFT(A164, LEN(A164) - 1)</f>
        <v>&gt;80:AACATT:18.00:16.67:OK:6:1775.23</v>
      </c>
    </row>
    <row r="165" spans="1:6" x14ac:dyDescent="0.3">
      <c r="A165" t="s">
        <v>86</v>
      </c>
      <c r="F165" t="str">
        <f t="shared" ref="F165" si="157">A165</f>
        <v>AACATT</v>
      </c>
    </row>
    <row r="166" spans="1:6" x14ac:dyDescent="0.3">
      <c r="A166" t="s">
        <v>4183</v>
      </c>
      <c r="F166" t="str">
        <f t="shared" ref="F166" si="158">LEFT(A166, LEN(A166) - 1)</f>
        <v>&gt;81:AACCAA:32.00:33.33:OK:6:1769.24</v>
      </c>
    </row>
    <row r="167" spans="1:6" x14ac:dyDescent="0.3">
      <c r="A167" t="s">
        <v>87</v>
      </c>
      <c r="F167" t="str">
        <f t="shared" ref="F167" si="159">A167</f>
        <v>AACCAA</v>
      </c>
    </row>
    <row r="168" spans="1:6" x14ac:dyDescent="0.3">
      <c r="A168" t="s">
        <v>4184</v>
      </c>
      <c r="F168" t="str">
        <f t="shared" ref="F168" si="160">LEFT(A168, LEN(A168) - 1)</f>
        <v>&gt;82:AACCAC:30.00:50.00:Warning:6:1745.21</v>
      </c>
    </row>
    <row r="169" spans="1:6" x14ac:dyDescent="0.3">
      <c r="A169" t="s">
        <v>88</v>
      </c>
      <c r="F169" t="str">
        <f t="shared" ref="F169" si="161">A169</f>
        <v>AACCAC</v>
      </c>
    </row>
    <row r="170" spans="1:6" x14ac:dyDescent="0.3">
      <c r="A170" t="s">
        <v>4185</v>
      </c>
      <c r="F170" t="str">
        <f t="shared" ref="F170" si="162">LEFT(A170, LEN(A170) - 1)</f>
        <v>&gt;83:AACCAG:30.00:50.00:Warning:6:1785.24</v>
      </c>
    </row>
    <row r="171" spans="1:6" x14ac:dyDescent="0.3">
      <c r="A171" t="s">
        <v>89</v>
      </c>
      <c r="F171" t="str">
        <f t="shared" ref="F171" si="163">A171</f>
        <v>AACCAG</v>
      </c>
    </row>
    <row r="172" spans="1:6" x14ac:dyDescent="0.3">
      <c r="A172" t="s">
        <v>4186</v>
      </c>
      <c r="F172" t="str">
        <f t="shared" ref="F172" si="164">LEFT(A172, LEN(A172) - 1)</f>
        <v>&gt;84:AACCAT:24.00:33.33:OK:6:1760.22</v>
      </c>
    </row>
    <row r="173" spans="1:6" x14ac:dyDescent="0.3">
      <c r="A173" t="s">
        <v>90</v>
      </c>
      <c r="F173" t="str">
        <f t="shared" ref="F173" si="165">A173</f>
        <v>AACCAT</v>
      </c>
    </row>
    <row r="174" spans="1:6" x14ac:dyDescent="0.3">
      <c r="A174" t="s">
        <v>4187</v>
      </c>
      <c r="F174" t="str">
        <f t="shared" ref="F174" si="166">LEFT(A174, LEN(A174) - 1)</f>
        <v>&gt;85:AACCCA:30.00:50.00:Warning:6:1745.21</v>
      </c>
    </row>
    <row r="175" spans="1:6" x14ac:dyDescent="0.3">
      <c r="A175" t="s">
        <v>91</v>
      </c>
      <c r="F175" t="str">
        <f t="shared" ref="F175" si="167">A175</f>
        <v>AACCCA</v>
      </c>
    </row>
    <row r="176" spans="1:6" x14ac:dyDescent="0.3">
      <c r="A176" t="s">
        <v>4188</v>
      </c>
      <c r="F176" t="str">
        <f t="shared" ref="F176" si="168">LEFT(A176, LEN(A176) - 1)</f>
        <v>&gt;86:AACCCC:28.00:66.67:Warning:6:1721.18</v>
      </c>
    </row>
    <row r="177" spans="1:6" x14ac:dyDescent="0.3">
      <c r="A177" t="s">
        <v>92</v>
      </c>
      <c r="F177" t="str">
        <f t="shared" ref="F177" si="169">A177</f>
        <v>AACCCC</v>
      </c>
    </row>
    <row r="178" spans="1:6" x14ac:dyDescent="0.3">
      <c r="A178" t="s">
        <v>4189</v>
      </c>
      <c r="F178" t="str">
        <f t="shared" ref="F178" si="170">LEFT(A178, LEN(A178) - 1)</f>
        <v>&gt;87:AACCCG:28.00:66.67:Warning:6:1761.21</v>
      </c>
    </row>
    <row r="179" spans="1:6" x14ac:dyDescent="0.3">
      <c r="A179" t="s">
        <v>93</v>
      </c>
      <c r="F179" t="str">
        <f t="shared" ref="F179" si="171">A179</f>
        <v>AACCCG</v>
      </c>
    </row>
    <row r="180" spans="1:6" x14ac:dyDescent="0.3">
      <c r="A180" t="s">
        <v>4190</v>
      </c>
      <c r="F180" t="str">
        <f t="shared" ref="F180" si="172">LEFT(A180, LEN(A180) - 1)</f>
        <v>&gt;88:AACCCT:22.00:50.00:Warning:6:1736.19</v>
      </c>
    </row>
    <row r="181" spans="1:6" x14ac:dyDescent="0.3">
      <c r="A181" t="s">
        <v>94</v>
      </c>
      <c r="F181" t="str">
        <f t="shared" ref="F181" si="173">A181</f>
        <v>AACCCT</v>
      </c>
    </row>
    <row r="182" spans="1:6" x14ac:dyDescent="0.3">
      <c r="A182" t="s">
        <v>4191</v>
      </c>
      <c r="F182" t="str">
        <f t="shared" ref="F182" si="174">LEFT(A182, LEN(A182) - 1)</f>
        <v>&gt;89:AACCGA:30.00:50.00:Warning:6:1785.24</v>
      </c>
    </row>
    <row r="183" spans="1:6" x14ac:dyDescent="0.3">
      <c r="A183" t="s">
        <v>95</v>
      </c>
      <c r="F183" t="str">
        <f t="shared" ref="F183" si="175">A183</f>
        <v>AACCGA</v>
      </c>
    </row>
    <row r="184" spans="1:6" x14ac:dyDescent="0.3">
      <c r="A184" t="s">
        <v>4192</v>
      </c>
      <c r="F184" t="str">
        <f t="shared" ref="F184" si="176">LEFT(A184, LEN(A184) - 1)</f>
        <v>&gt;90:AACCGC:28.00:66.67:Warning:6:1761.21</v>
      </c>
    </row>
    <row r="185" spans="1:6" x14ac:dyDescent="0.3">
      <c r="A185" t="s">
        <v>96</v>
      </c>
      <c r="F185" t="str">
        <f t="shared" ref="F185" si="177">A185</f>
        <v>AACCGC</v>
      </c>
    </row>
    <row r="186" spans="1:6" x14ac:dyDescent="0.3">
      <c r="A186" t="s">
        <v>4193</v>
      </c>
      <c r="F186" t="str">
        <f t="shared" ref="F186" si="178">LEFT(A186, LEN(A186) - 1)</f>
        <v>&gt;91:AACCGG:28.00:66.67:Warning:6:1801.24</v>
      </c>
    </row>
    <row r="187" spans="1:6" x14ac:dyDescent="0.3">
      <c r="A187" t="s">
        <v>97</v>
      </c>
      <c r="F187" t="str">
        <f t="shared" ref="F187" si="179">A187</f>
        <v>AACCGG</v>
      </c>
    </row>
    <row r="188" spans="1:6" x14ac:dyDescent="0.3">
      <c r="A188" t="s">
        <v>4194</v>
      </c>
      <c r="F188" t="str">
        <f t="shared" ref="F188" si="180">LEFT(A188, LEN(A188) - 1)</f>
        <v>&gt;92:AACCGT:22.00:50.00:Warning:6:1776.22</v>
      </c>
    </row>
    <row r="189" spans="1:6" x14ac:dyDescent="0.3">
      <c r="A189" t="s">
        <v>98</v>
      </c>
      <c r="F189" t="str">
        <f t="shared" ref="F189" si="181">A189</f>
        <v>AACCGT</v>
      </c>
    </row>
    <row r="190" spans="1:6" x14ac:dyDescent="0.3">
      <c r="A190" t="s">
        <v>4195</v>
      </c>
      <c r="F190" t="str">
        <f t="shared" ref="F190" si="182">LEFT(A190, LEN(A190) - 1)</f>
        <v>&gt;93:AACCTA:24.00:33.33:OK:6:1760.22</v>
      </c>
    </row>
    <row r="191" spans="1:6" x14ac:dyDescent="0.3">
      <c r="A191" t="s">
        <v>99</v>
      </c>
      <c r="F191" t="str">
        <f t="shared" ref="F191" si="183">A191</f>
        <v>AACCTA</v>
      </c>
    </row>
    <row r="192" spans="1:6" x14ac:dyDescent="0.3">
      <c r="A192" t="s">
        <v>4196</v>
      </c>
      <c r="F192" t="str">
        <f t="shared" ref="F192" si="184">LEFT(A192, LEN(A192) - 1)</f>
        <v>&gt;94:AACCTC:22.00:50.00:Warning:6:1736.19</v>
      </c>
    </row>
    <row r="193" spans="1:6" x14ac:dyDescent="0.3">
      <c r="A193" t="s">
        <v>100</v>
      </c>
      <c r="F193" t="str">
        <f t="shared" ref="F193" si="185">A193</f>
        <v>AACCTC</v>
      </c>
    </row>
    <row r="194" spans="1:6" x14ac:dyDescent="0.3">
      <c r="A194" t="s">
        <v>4197</v>
      </c>
      <c r="F194" t="str">
        <f t="shared" ref="F194" si="186">LEFT(A194, LEN(A194) - 1)</f>
        <v>&gt;95:AACCTG:22.00:50.00:Warning:6:1776.22</v>
      </c>
    </row>
    <row r="195" spans="1:6" x14ac:dyDescent="0.3">
      <c r="A195" t="s">
        <v>101</v>
      </c>
      <c r="F195" t="str">
        <f t="shared" ref="F195" si="187">A195</f>
        <v>AACCTG</v>
      </c>
    </row>
    <row r="196" spans="1:6" x14ac:dyDescent="0.3">
      <c r="A196" t="s">
        <v>4198</v>
      </c>
      <c r="F196" t="str">
        <f t="shared" ref="F196" si="188">LEFT(A196, LEN(A196) - 1)</f>
        <v>&gt;96:AACCTT:16.00:33.33:OK:6:1751.20</v>
      </c>
    </row>
    <row r="197" spans="1:6" x14ac:dyDescent="0.3">
      <c r="A197" t="s">
        <v>102</v>
      </c>
      <c r="F197" t="str">
        <f t="shared" ref="F197" si="189">A197</f>
        <v>AACCTT</v>
      </c>
    </row>
    <row r="198" spans="1:6" x14ac:dyDescent="0.3">
      <c r="A198" t="s">
        <v>4199</v>
      </c>
      <c r="F198" t="str">
        <f t="shared" ref="F198" si="190">LEFT(A198, LEN(A198) - 1)</f>
        <v>&gt;97:AACGAA:32.00:33.33:OK:6:1809.27</v>
      </c>
    </row>
    <row r="199" spans="1:6" x14ac:dyDescent="0.3">
      <c r="A199" t="s">
        <v>103</v>
      </c>
      <c r="F199" t="str">
        <f t="shared" ref="F199" si="191">A199</f>
        <v>AACGAA</v>
      </c>
    </row>
    <row r="200" spans="1:6" x14ac:dyDescent="0.3">
      <c r="A200" t="s">
        <v>4200</v>
      </c>
      <c r="F200" t="str">
        <f t="shared" ref="F200" si="192">LEFT(A200, LEN(A200) - 1)</f>
        <v>&gt;98:AACGAC:30.00:50.00:Warning:6:1785.24</v>
      </c>
    </row>
    <row r="201" spans="1:6" x14ac:dyDescent="0.3">
      <c r="A201" t="s">
        <v>104</v>
      </c>
      <c r="F201" t="str">
        <f t="shared" ref="F201" si="193">A201</f>
        <v>AACGAC</v>
      </c>
    </row>
    <row r="202" spans="1:6" x14ac:dyDescent="0.3">
      <c r="A202" t="s">
        <v>4201</v>
      </c>
      <c r="F202" t="str">
        <f t="shared" ref="F202" si="194">LEFT(A202, LEN(A202) - 1)</f>
        <v>&gt;99:AACGAG:30.00:50.00:Warning:6:1825.27</v>
      </c>
    </row>
    <row r="203" spans="1:6" x14ac:dyDescent="0.3">
      <c r="A203" t="s">
        <v>105</v>
      </c>
      <c r="F203" t="str">
        <f t="shared" ref="F203" si="195">A203</f>
        <v>AACGAG</v>
      </c>
    </row>
    <row r="204" spans="1:6" x14ac:dyDescent="0.3">
      <c r="A204" t="s">
        <v>4202</v>
      </c>
      <c r="F204" t="str">
        <f t="shared" ref="F204" si="196">LEFT(A204, LEN(A204) - 1)</f>
        <v>&gt;100:AACGAT:24.00:33.33:OK:6:1800.25</v>
      </c>
    </row>
    <row r="205" spans="1:6" x14ac:dyDescent="0.3">
      <c r="A205" t="s">
        <v>106</v>
      </c>
      <c r="F205" t="str">
        <f t="shared" ref="F205" si="197">A205</f>
        <v>AACGAT</v>
      </c>
    </row>
    <row r="206" spans="1:6" x14ac:dyDescent="0.3">
      <c r="A206" t="s">
        <v>4203</v>
      </c>
      <c r="F206" t="str">
        <f t="shared" ref="F206" si="198">LEFT(A206, LEN(A206) - 1)</f>
        <v>&gt;101:AACGCA:30.00:50.00:Warning:6:1785.24</v>
      </c>
    </row>
    <row r="207" spans="1:6" x14ac:dyDescent="0.3">
      <c r="A207" t="s">
        <v>107</v>
      </c>
      <c r="F207" t="str">
        <f t="shared" ref="F207" si="199">A207</f>
        <v>AACGCA</v>
      </c>
    </row>
    <row r="208" spans="1:6" x14ac:dyDescent="0.3">
      <c r="A208" t="s">
        <v>4204</v>
      </c>
      <c r="F208" t="str">
        <f t="shared" ref="F208" si="200">LEFT(A208, LEN(A208) - 1)</f>
        <v>&gt;102:AACGCC:28.00:66.67:Warning:6:1761.21</v>
      </c>
    </row>
    <row r="209" spans="1:6" x14ac:dyDescent="0.3">
      <c r="A209" t="s">
        <v>108</v>
      </c>
      <c r="F209" t="str">
        <f t="shared" ref="F209" si="201">A209</f>
        <v>AACGCC</v>
      </c>
    </row>
    <row r="210" spans="1:6" x14ac:dyDescent="0.3">
      <c r="A210" t="s">
        <v>4205</v>
      </c>
      <c r="F210" t="str">
        <f t="shared" ref="F210" si="202">LEFT(A210, LEN(A210) - 1)</f>
        <v>&gt;103:AACGCG:28.00:66.67:Warning:6:1801.24</v>
      </c>
    </row>
    <row r="211" spans="1:6" x14ac:dyDescent="0.3">
      <c r="A211" t="s">
        <v>109</v>
      </c>
      <c r="F211" t="str">
        <f t="shared" ref="F211" si="203">A211</f>
        <v>AACGCG</v>
      </c>
    </row>
    <row r="212" spans="1:6" x14ac:dyDescent="0.3">
      <c r="A212" t="s">
        <v>4206</v>
      </c>
      <c r="F212" t="str">
        <f t="shared" ref="F212" si="204">LEFT(A212, LEN(A212) - 1)</f>
        <v>&gt;104:AACGCT:22.00:50.00:Warning:6:1776.22</v>
      </c>
    </row>
    <row r="213" spans="1:6" x14ac:dyDescent="0.3">
      <c r="A213" t="s">
        <v>110</v>
      </c>
      <c r="F213" t="str">
        <f t="shared" ref="F213" si="205">A213</f>
        <v>AACGCT</v>
      </c>
    </row>
    <row r="214" spans="1:6" x14ac:dyDescent="0.3">
      <c r="A214" t="s">
        <v>4207</v>
      </c>
      <c r="F214" t="str">
        <f t="shared" ref="F214" si="206">LEFT(A214, LEN(A214) - 1)</f>
        <v>&gt;105:AACGGA:30.00:50.00:Warning:6:1825.27</v>
      </c>
    </row>
    <row r="215" spans="1:6" x14ac:dyDescent="0.3">
      <c r="A215" t="s">
        <v>111</v>
      </c>
      <c r="F215" t="str">
        <f t="shared" ref="F215" si="207">A215</f>
        <v>AACGGA</v>
      </c>
    </row>
    <row r="216" spans="1:6" x14ac:dyDescent="0.3">
      <c r="A216" t="s">
        <v>4208</v>
      </c>
      <c r="F216" t="str">
        <f t="shared" ref="F216" si="208">LEFT(A216, LEN(A216) - 1)</f>
        <v>&gt;106:AACGGC:28.00:66.67:Warning:6:1801.24</v>
      </c>
    </row>
    <row r="217" spans="1:6" x14ac:dyDescent="0.3">
      <c r="A217" t="s">
        <v>112</v>
      </c>
      <c r="F217" t="str">
        <f t="shared" ref="F217" si="209">A217</f>
        <v>AACGGC</v>
      </c>
    </row>
    <row r="218" spans="1:6" x14ac:dyDescent="0.3">
      <c r="A218" t="s">
        <v>4209</v>
      </c>
      <c r="F218" t="str">
        <f t="shared" ref="F218" si="210">LEFT(A218, LEN(A218) - 1)</f>
        <v>&gt;107:AACGGG:28.00:66.67:Warning:6:1841.27</v>
      </c>
    </row>
    <row r="219" spans="1:6" x14ac:dyDescent="0.3">
      <c r="A219" t="s">
        <v>113</v>
      </c>
      <c r="F219" t="str">
        <f t="shared" ref="F219" si="211">A219</f>
        <v>AACGGG</v>
      </c>
    </row>
    <row r="220" spans="1:6" x14ac:dyDescent="0.3">
      <c r="A220" t="s">
        <v>4210</v>
      </c>
      <c r="F220" t="str">
        <f t="shared" ref="F220" si="212">LEFT(A220, LEN(A220) - 1)</f>
        <v>&gt;108:AACGGT:22.00:50.00:Warning:6:1816.25</v>
      </c>
    </row>
    <row r="221" spans="1:6" x14ac:dyDescent="0.3">
      <c r="A221" t="s">
        <v>114</v>
      </c>
      <c r="F221" t="str">
        <f t="shared" ref="F221" si="213">A221</f>
        <v>AACGGT</v>
      </c>
    </row>
    <row r="222" spans="1:6" x14ac:dyDescent="0.3">
      <c r="A222" t="s">
        <v>4211</v>
      </c>
      <c r="F222" t="str">
        <f t="shared" ref="F222" si="214">LEFT(A222, LEN(A222) - 1)</f>
        <v>&gt;109:AACGTA:24.00:33.33:OK:6:1800.25</v>
      </c>
    </row>
    <row r="223" spans="1:6" x14ac:dyDescent="0.3">
      <c r="A223" t="s">
        <v>115</v>
      </c>
      <c r="F223" t="str">
        <f t="shared" ref="F223" si="215">A223</f>
        <v>AACGTA</v>
      </c>
    </row>
    <row r="224" spans="1:6" x14ac:dyDescent="0.3">
      <c r="A224" t="s">
        <v>4212</v>
      </c>
      <c r="F224" t="str">
        <f t="shared" ref="F224" si="216">LEFT(A224, LEN(A224) - 1)</f>
        <v>&gt;110:AACGTC:22.00:50.00:Warning:6:1776.22</v>
      </c>
    </row>
    <row r="225" spans="1:6" x14ac:dyDescent="0.3">
      <c r="A225" t="s">
        <v>116</v>
      </c>
      <c r="F225" t="str">
        <f t="shared" ref="F225" si="217">A225</f>
        <v>AACGTC</v>
      </c>
    </row>
    <row r="226" spans="1:6" x14ac:dyDescent="0.3">
      <c r="A226" t="s">
        <v>4213</v>
      </c>
      <c r="F226" t="str">
        <f t="shared" ref="F226" si="218">LEFT(A226, LEN(A226) - 1)</f>
        <v>&gt;111:AACGTG:22.00:50.00:Warning:6:1816.25</v>
      </c>
    </row>
    <row r="227" spans="1:6" x14ac:dyDescent="0.3">
      <c r="A227" t="s">
        <v>117</v>
      </c>
      <c r="F227" t="str">
        <f t="shared" ref="F227" si="219">A227</f>
        <v>AACGTG</v>
      </c>
    </row>
    <row r="228" spans="1:6" x14ac:dyDescent="0.3">
      <c r="A228" t="s">
        <v>4214</v>
      </c>
      <c r="F228" t="str">
        <f t="shared" ref="F228" si="220">LEFT(A228, LEN(A228) - 1)</f>
        <v>&gt;112:AACGTT:16.00:33.33:OK:6:1791.23</v>
      </c>
    </row>
    <row r="229" spans="1:6" x14ac:dyDescent="0.3">
      <c r="A229" t="s">
        <v>118</v>
      </c>
      <c r="F229" t="str">
        <f t="shared" ref="F229" si="221">A229</f>
        <v>AACGTT</v>
      </c>
    </row>
    <row r="230" spans="1:6" x14ac:dyDescent="0.3">
      <c r="A230" t="s">
        <v>4215</v>
      </c>
      <c r="F230" t="str">
        <f t="shared" ref="F230" si="222">LEFT(A230, LEN(A230) - 1)</f>
        <v>&gt;113:AACTAA:26.00:16.67:OK:6:1784.25</v>
      </c>
    </row>
    <row r="231" spans="1:6" x14ac:dyDescent="0.3">
      <c r="A231" t="s">
        <v>119</v>
      </c>
      <c r="F231" t="str">
        <f t="shared" ref="F231" si="223">A231</f>
        <v>AACTAA</v>
      </c>
    </row>
    <row r="232" spans="1:6" x14ac:dyDescent="0.3">
      <c r="A232" t="s">
        <v>4216</v>
      </c>
      <c r="F232" t="str">
        <f t="shared" ref="F232" si="224">LEFT(A232, LEN(A232) - 1)</f>
        <v>&gt;114:AACTAC:24.00:33.33:OK:6:1760.22</v>
      </c>
    </row>
    <row r="233" spans="1:6" x14ac:dyDescent="0.3">
      <c r="A233" t="s">
        <v>120</v>
      </c>
      <c r="F233" t="str">
        <f t="shared" ref="F233" si="225">A233</f>
        <v>AACTAC</v>
      </c>
    </row>
    <row r="234" spans="1:6" x14ac:dyDescent="0.3">
      <c r="A234" t="s">
        <v>4217</v>
      </c>
      <c r="F234" t="str">
        <f t="shared" ref="F234" si="226">LEFT(A234, LEN(A234) - 1)</f>
        <v>&gt;115:AACTAG:24.00:33.33:OK:6:1800.25</v>
      </c>
    </row>
    <row r="235" spans="1:6" x14ac:dyDescent="0.3">
      <c r="A235" t="s">
        <v>121</v>
      </c>
      <c r="F235" t="str">
        <f t="shared" ref="F235" si="227">A235</f>
        <v>AACTAG</v>
      </c>
    </row>
    <row r="236" spans="1:6" x14ac:dyDescent="0.3">
      <c r="A236" t="s">
        <v>4218</v>
      </c>
      <c r="F236" t="str">
        <f t="shared" ref="F236" si="228">LEFT(A236, LEN(A236) - 1)</f>
        <v>&gt;116:AACTAT:18.00:16.67:OK:6:1775.23</v>
      </c>
    </row>
    <row r="237" spans="1:6" x14ac:dyDescent="0.3">
      <c r="A237" t="s">
        <v>122</v>
      </c>
      <c r="F237" t="str">
        <f t="shared" ref="F237" si="229">A237</f>
        <v>AACTAT</v>
      </c>
    </row>
    <row r="238" spans="1:6" x14ac:dyDescent="0.3">
      <c r="A238" t="s">
        <v>4219</v>
      </c>
      <c r="F238" t="str">
        <f t="shared" ref="F238" si="230">LEFT(A238, LEN(A238) - 1)</f>
        <v>&gt;117:AACTCA:24.00:33.33:OK:6:1760.22</v>
      </c>
    </row>
    <row r="239" spans="1:6" x14ac:dyDescent="0.3">
      <c r="A239" t="s">
        <v>123</v>
      </c>
      <c r="F239" t="str">
        <f t="shared" ref="F239" si="231">A239</f>
        <v>AACTCA</v>
      </c>
    </row>
    <row r="240" spans="1:6" x14ac:dyDescent="0.3">
      <c r="A240" t="s">
        <v>4220</v>
      </c>
      <c r="F240" t="str">
        <f t="shared" ref="F240" si="232">LEFT(A240, LEN(A240) - 1)</f>
        <v>&gt;118:AACTCC:22.00:50.00:Warning:6:1736.19</v>
      </c>
    </row>
    <row r="241" spans="1:6" x14ac:dyDescent="0.3">
      <c r="A241" t="s">
        <v>124</v>
      </c>
      <c r="F241" t="str">
        <f t="shared" ref="F241" si="233">A241</f>
        <v>AACTCC</v>
      </c>
    </row>
    <row r="242" spans="1:6" x14ac:dyDescent="0.3">
      <c r="A242" t="s">
        <v>4221</v>
      </c>
      <c r="F242" t="str">
        <f t="shared" ref="F242" si="234">LEFT(A242, LEN(A242) - 1)</f>
        <v>&gt;119:AACTCG:22.00:50.00:Warning:6:1776.22</v>
      </c>
    </row>
    <row r="243" spans="1:6" x14ac:dyDescent="0.3">
      <c r="A243" t="s">
        <v>125</v>
      </c>
      <c r="F243" t="str">
        <f t="shared" ref="F243" si="235">A243</f>
        <v>AACTCG</v>
      </c>
    </row>
    <row r="244" spans="1:6" x14ac:dyDescent="0.3">
      <c r="A244" t="s">
        <v>4222</v>
      </c>
      <c r="F244" t="str">
        <f t="shared" ref="F244" si="236">LEFT(A244, LEN(A244) - 1)</f>
        <v>&gt;120:AACTCT:16.00:33.33:OK:6:1751.20</v>
      </c>
    </row>
    <row r="245" spans="1:6" x14ac:dyDescent="0.3">
      <c r="A245" t="s">
        <v>126</v>
      </c>
      <c r="F245" t="str">
        <f t="shared" ref="F245" si="237">A245</f>
        <v>AACTCT</v>
      </c>
    </row>
    <row r="246" spans="1:6" x14ac:dyDescent="0.3">
      <c r="A246" t="s">
        <v>4223</v>
      </c>
      <c r="F246" t="str">
        <f t="shared" ref="F246" si="238">LEFT(A246, LEN(A246) - 1)</f>
        <v>&gt;121:AACTGA:24.00:33.33:OK:6:1800.25</v>
      </c>
    </row>
    <row r="247" spans="1:6" x14ac:dyDescent="0.3">
      <c r="A247" t="s">
        <v>127</v>
      </c>
      <c r="F247" t="str">
        <f t="shared" ref="F247" si="239">A247</f>
        <v>AACTGA</v>
      </c>
    </row>
    <row r="248" spans="1:6" x14ac:dyDescent="0.3">
      <c r="A248" t="s">
        <v>4224</v>
      </c>
      <c r="F248" t="str">
        <f t="shared" ref="F248" si="240">LEFT(A248, LEN(A248) - 1)</f>
        <v>&gt;122:AACTGC:22.00:50.00:Warning:6:1776.22</v>
      </c>
    </row>
    <row r="249" spans="1:6" x14ac:dyDescent="0.3">
      <c r="A249" t="s">
        <v>128</v>
      </c>
      <c r="F249" t="str">
        <f t="shared" ref="F249" si="241">A249</f>
        <v>AACTGC</v>
      </c>
    </row>
    <row r="250" spans="1:6" x14ac:dyDescent="0.3">
      <c r="A250" t="s">
        <v>4225</v>
      </c>
      <c r="F250" t="str">
        <f t="shared" ref="F250" si="242">LEFT(A250, LEN(A250) - 1)</f>
        <v>&gt;123:AACTGG:22.00:50.00:Warning:6:1816.25</v>
      </c>
    </row>
    <row r="251" spans="1:6" x14ac:dyDescent="0.3">
      <c r="A251" t="s">
        <v>129</v>
      </c>
      <c r="F251" t="str">
        <f t="shared" ref="F251" si="243">A251</f>
        <v>AACTGG</v>
      </c>
    </row>
    <row r="252" spans="1:6" x14ac:dyDescent="0.3">
      <c r="A252" t="s">
        <v>4226</v>
      </c>
      <c r="F252" t="str">
        <f t="shared" ref="F252" si="244">LEFT(A252, LEN(A252) - 1)</f>
        <v>&gt;124:AACTGT:16.00:33.33:OK:6:1791.23</v>
      </c>
    </row>
    <row r="253" spans="1:6" x14ac:dyDescent="0.3">
      <c r="A253" t="s">
        <v>130</v>
      </c>
      <c r="F253" t="str">
        <f t="shared" ref="F253" si="245">A253</f>
        <v>AACTGT</v>
      </c>
    </row>
    <row r="254" spans="1:6" x14ac:dyDescent="0.3">
      <c r="A254" t="s">
        <v>4227</v>
      </c>
      <c r="F254" t="str">
        <f t="shared" ref="F254" si="246">LEFT(A254, LEN(A254) - 1)</f>
        <v>&gt;125:AACTTA:18.00:16.67:OK:6:1775.23</v>
      </c>
    </row>
    <row r="255" spans="1:6" x14ac:dyDescent="0.3">
      <c r="A255" t="s">
        <v>131</v>
      </c>
      <c r="F255" t="str">
        <f t="shared" ref="F255" si="247">A255</f>
        <v>AACTTA</v>
      </c>
    </row>
    <row r="256" spans="1:6" x14ac:dyDescent="0.3">
      <c r="A256" t="s">
        <v>4228</v>
      </c>
      <c r="F256" t="str">
        <f t="shared" ref="F256" si="248">LEFT(A256, LEN(A256) - 1)</f>
        <v>&gt;126:AACTTC:16.00:33.33:OK:6:1751.20</v>
      </c>
    </row>
    <row r="257" spans="1:6" x14ac:dyDescent="0.3">
      <c r="A257" t="s">
        <v>132</v>
      </c>
      <c r="F257" t="str">
        <f t="shared" ref="F257" si="249">A257</f>
        <v>AACTTC</v>
      </c>
    </row>
    <row r="258" spans="1:6" x14ac:dyDescent="0.3">
      <c r="A258" t="s">
        <v>4229</v>
      </c>
      <c r="F258" t="str">
        <f t="shared" ref="F258" si="250">LEFT(A258, LEN(A258) - 1)</f>
        <v>&gt;127:AACTTG:16.00:33.33:OK:6:1791.23</v>
      </c>
    </row>
    <row r="259" spans="1:6" x14ac:dyDescent="0.3">
      <c r="A259" t="s">
        <v>133</v>
      </c>
      <c r="F259" t="str">
        <f t="shared" ref="F259" si="251">A259</f>
        <v>AACTTG</v>
      </c>
    </row>
    <row r="260" spans="1:6" x14ac:dyDescent="0.3">
      <c r="A260" t="s">
        <v>4230</v>
      </c>
      <c r="F260" t="str">
        <f t="shared" ref="F260" si="252">LEFT(A260, LEN(A260) - 1)</f>
        <v>&gt;128:AACTTT:10.00:16.67:OK:6:1766.21</v>
      </c>
    </row>
    <row r="261" spans="1:6" x14ac:dyDescent="0.3">
      <c r="A261" t="s">
        <v>134</v>
      </c>
      <c r="F261" t="str">
        <f t="shared" ref="F261" si="253">A261</f>
        <v>AACTTT</v>
      </c>
    </row>
    <row r="262" spans="1:6" x14ac:dyDescent="0.3">
      <c r="A262" t="s">
        <v>4231</v>
      </c>
      <c r="F262" t="str">
        <f t="shared" ref="F262" si="254">LEFT(A262, LEN(A262) - 1)</f>
        <v>&gt;129:AAGAAA:34.00:16.67:OK:6:1833.30</v>
      </c>
    </row>
    <row r="263" spans="1:6" x14ac:dyDescent="0.3">
      <c r="A263" t="s">
        <v>135</v>
      </c>
      <c r="F263" t="str">
        <f t="shared" ref="F263" si="255">A263</f>
        <v>AAGAAA</v>
      </c>
    </row>
    <row r="264" spans="1:6" x14ac:dyDescent="0.3">
      <c r="A264" t="s">
        <v>4232</v>
      </c>
      <c r="F264" t="str">
        <f t="shared" ref="F264" si="256">LEFT(A264, LEN(A264) - 1)</f>
        <v>&gt;130:AAGAAC:32.00:33.33:OK:6:1809.27</v>
      </c>
    </row>
    <row r="265" spans="1:6" x14ac:dyDescent="0.3">
      <c r="A265" t="s">
        <v>136</v>
      </c>
      <c r="F265" t="str">
        <f t="shared" ref="F265" si="257">A265</f>
        <v>AAGAAC</v>
      </c>
    </row>
    <row r="266" spans="1:6" x14ac:dyDescent="0.3">
      <c r="A266" t="s">
        <v>4233</v>
      </c>
      <c r="F266" t="str">
        <f t="shared" ref="F266" si="258">LEFT(A266, LEN(A266) - 1)</f>
        <v>&gt;131:AAGAAG:32.00:33.33:OK:6:1849.30</v>
      </c>
    </row>
    <row r="267" spans="1:6" x14ac:dyDescent="0.3">
      <c r="A267" t="s">
        <v>137</v>
      </c>
      <c r="F267" t="str">
        <f t="shared" ref="F267" si="259">A267</f>
        <v>AAGAAG</v>
      </c>
    </row>
    <row r="268" spans="1:6" x14ac:dyDescent="0.3">
      <c r="A268" t="s">
        <v>4234</v>
      </c>
      <c r="F268" t="str">
        <f t="shared" ref="F268" si="260">LEFT(A268, LEN(A268) - 1)</f>
        <v>&gt;132:AAGAAT:26.00:16.67:OK:6:1824.28</v>
      </c>
    </row>
    <row r="269" spans="1:6" x14ac:dyDescent="0.3">
      <c r="A269" t="s">
        <v>138</v>
      </c>
      <c r="F269" t="str">
        <f t="shared" ref="F269" si="261">A269</f>
        <v>AAGAAT</v>
      </c>
    </row>
    <row r="270" spans="1:6" x14ac:dyDescent="0.3">
      <c r="A270" t="s">
        <v>4235</v>
      </c>
      <c r="F270" t="str">
        <f t="shared" ref="F270" si="262">LEFT(A270, LEN(A270) - 1)</f>
        <v>&gt;133:AAGACA:32.00:33.33:OK:6:1809.27</v>
      </c>
    </row>
    <row r="271" spans="1:6" x14ac:dyDescent="0.3">
      <c r="A271" t="s">
        <v>139</v>
      </c>
      <c r="F271" t="str">
        <f t="shared" ref="F271" si="263">A271</f>
        <v>AAGACA</v>
      </c>
    </row>
    <row r="272" spans="1:6" x14ac:dyDescent="0.3">
      <c r="A272" t="s">
        <v>4236</v>
      </c>
      <c r="F272" t="str">
        <f t="shared" ref="F272" si="264">LEFT(A272, LEN(A272) - 1)</f>
        <v>&gt;134:AAGACC:30.00:50.00:Warning:6:1785.24</v>
      </c>
    </row>
    <row r="273" spans="1:6" x14ac:dyDescent="0.3">
      <c r="A273" t="s">
        <v>140</v>
      </c>
      <c r="F273" t="str">
        <f t="shared" ref="F273" si="265">A273</f>
        <v>AAGACC</v>
      </c>
    </row>
    <row r="274" spans="1:6" x14ac:dyDescent="0.3">
      <c r="A274" t="s">
        <v>4237</v>
      </c>
      <c r="F274" t="str">
        <f t="shared" ref="F274" si="266">LEFT(A274, LEN(A274) - 1)</f>
        <v>&gt;135:AAGACG:30.00:50.00:Warning:6:1825.27</v>
      </c>
    </row>
    <row r="275" spans="1:6" x14ac:dyDescent="0.3">
      <c r="A275" t="s">
        <v>141</v>
      </c>
      <c r="F275" t="str">
        <f t="shared" ref="F275" si="267">A275</f>
        <v>AAGACG</v>
      </c>
    </row>
    <row r="276" spans="1:6" x14ac:dyDescent="0.3">
      <c r="A276" t="s">
        <v>4238</v>
      </c>
      <c r="F276" t="str">
        <f t="shared" ref="F276" si="268">LEFT(A276, LEN(A276) - 1)</f>
        <v>&gt;136:AAGACT:24.00:33.33:OK:6:1800.25</v>
      </c>
    </row>
    <row r="277" spans="1:6" x14ac:dyDescent="0.3">
      <c r="A277" t="s">
        <v>142</v>
      </c>
      <c r="F277" t="str">
        <f t="shared" ref="F277" si="269">A277</f>
        <v>AAGACT</v>
      </c>
    </row>
    <row r="278" spans="1:6" x14ac:dyDescent="0.3">
      <c r="A278" t="s">
        <v>4239</v>
      </c>
      <c r="F278" t="str">
        <f t="shared" ref="F278" si="270">LEFT(A278, LEN(A278) - 1)</f>
        <v>&gt;137:AAGAGA:32.00:33.33:OK:6:1849.30</v>
      </c>
    </row>
    <row r="279" spans="1:6" x14ac:dyDescent="0.3">
      <c r="A279" t="s">
        <v>143</v>
      </c>
      <c r="F279" t="str">
        <f t="shared" ref="F279" si="271">A279</f>
        <v>AAGAGA</v>
      </c>
    </row>
    <row r="280" spans="1:6" x14ac:dyDescent="0.3">
      <c r="A280" t="s">
        <v>4240</v>
      </c>
      <c r="F280" t="str">
        <f t="shared" ref="F280" si="272">LEFT(A280, LEN(A280) - 1)</f>
        <v>&gt;138:AAGAGC:30.00:50.00:Warning:6:1825.27</v>
      </c>
    </row>
    <row r="281" spans="1:6" x14ac:dyDescent="0.3">
      <c r="A281" t="s">
        <v>144</v>
      </c>
      <c r="F281" t="str">
        <f t="shared" ref="F281" si="273">A281</f>
        <v>AAGAGC</v>
      </c>
    </row>
    <row r="282" spans="1:6" x14ac:dyDescent="0.3">
      <c r="A282" t="s">
        <v>4241</v>
      </c>
      <c r="F282" t="str">
        <f t="shared" ref="F282" si="274">LEFT(A282, LEN(A282) - 1)</f>
        <v>&gt;139:AAGAGG:30.00:50.00:Warning:6:1865.30</v>
      </c>
    </row>
    <row r="283" spans="1:6" x14ac:dyDescent="0.3">
      <c r="A283" t="s">
        <v>145</v>
      </c>
      <c r="F283" t="str">
        <f t="shared" ref="F283" si="275">A283</f>
        <v>AAGAGG</v>
      </c>
    </row>
    <row r="284" spans="1:6" x14ac:dyDescent="0.3">
      <c r="A284" t="s">
        <v>4242</v>
      </c>
      <c r="F284" t="str">
        <f t="shared" ref="F284" si="276">LEFT(A284, LEN(A284) - 1)</f>
        <v>&gt;140:AAGAGT:24.00:33.33:OK:6:1840.28</v>
      </c>
    </row>
    <row r="285" spans="1:6" x14ac:dyDescent="0.3">
      <c r="A285" t="s">
        <v>146</v>
      </c>
      <c r="F285" t="str">
        <f t="shared" ref="F285" si="277">A285</f>
        <v>AAGAGT</v>
      </c>
    </row>
    <row r="286" spans="1:6" x14ac:dyDescent="0.3">
      <c r="A286" t="s">
        <v>4243</v>
      </c>
      <c r="F286" t="str">
        <f t="shared" ref="F286" si="278">LEFT(A286, LEN(A286) - 1)</f>
        <v>&gt;141:AAGATA:26.00:16.67:OK:6:1824.28</v>
      </c>
    </row>
    <row r="287" spans="1:6" x14ac:dyDescent="0.3">
      <c r="A287" t="s">
        <v>147</v>
      </c>
      <c r="F287" t="str">
        <f t="shared" ref="F287" si="279">A287</f>
        <v>AAGATA</v>
      </c>
    </row>
    <row r="288" spans="1:6" x14ac:dyDescent="0.3">
      <c r="A288" t="s">
        <v>4244</v>
      </c>
      <c r="F288" t="str">
        <f t="shared" ref="F288" si="280">LEFT(A288, LEN(A288) - 1)</f>
        <v>&gt;142:AAGATC:24.00:33.33:OK:6:1800.25</v>
      </c>
    </row>
    <row r="289" spans="1:6" x14ac:dyDescent="0.3">
      <c r="A289" t="s">
        <v>148</v>
      </c>
      <c r="F289" t="str">
        <f t="shared" ref="F289" si="281">A289</f>
        <v>AAGATC</v>
      </c>
    </row>
    <row r="290" spans="1:6" x14ac:dyDescent="0.3">
      <c r="A290" t="s">
        <v>4245</v>
      </c>
      <c r="F290" t="str">
        <f t="shared" ref="F290" si="282">LEFT(A290, LEN(A290) - 1)</f>
        <v>&gt;143:AAGATG:24.00:33.33:OK:6:1840.28</v>
      </c>
    </row>
    <row r="291" spans="1:6" x14ac:dyDescent="0.3">
      <c r="A291" t="s">
        <v>149</v>
      </c>
      <c r="F291" t="str">
        <f t="shared" ref="F291" si="283">A291</f>
        <v>AAGATG</v>
      </c>
    </row>
    <row r="292" spans="1:6" x14ac:dyDescent="0.3">
      <c r="A292" t="s">
        <v>4246</v>
      </c>
      <c r="F292" t="str">
        <f t="shared" ref="F292" si="284">LEFT(A292, LEN(A292) - 1)</f>
        <v>&gt;144:AAGATT:18.00:16.67:OK:6:1815.26</v>
      </c>
    </row>
    <row r="293" spans="1:6" x14ac:dyDescent="0.3">
      <c r="A293" t="s">
        <v>150</v>
      </c>
      <c r="F293" t="str">
        <f t="shared" ref="F293" si="285">A293</f>
        <v>AAGATT</v>
      </c>
    </row>
    <row r="294" spans="1:6" x14ac:dyDescent="0.3">
      <c r="A294" t="s">
        <v>4247</v>
      </c>
      <c r="F294" t="str">
        <f t="shared" ref="F294" si="286">LEFT(A294, LEN(A294) - 1)</f>
        <v>&gt;145:AAGCAA:32.00:33.33:OK:6:1809.27</v>
      </c>
    </row>
    <row r="295" spans="1:6" x14ac:dyDescent="0.3">
      <c r="A295" t="s">
        <v>151</v>
      </c>
      <c r="F295" t="str">
        <f t="shared" ref="F295" si="287">A295</f>
        <v>AAGCAA</v>
      </c>
    </row>
    <row r="296" spans="1:6" x14ac:dyDescent="0.3">
      <c r="A296" t="s">
        <v>4248</v>
      </c>
      <c r="F296" t="str">
        <f t="shared" ref="F296" si="288">LEFT(A296, LEN(A296) - 1)</f>
        <v>&gt;146:AAGCAC:30.00:50.00:Warning:6:1785.24</v>
      </c>
    </row>
    <row r="297" spans="1:6" x14ac:dyDescent="0.3">
      <c r="A297" t="s">
        <v>152</v>
      </c>
      <c r="F297" t="str">
        <f t="shared" ref="F297" si="289">A297</f>
        <v>AAGCAC</v>
      </c>
    </row>
    <row r="298" spans="1:6" x14ac:dyDescent="0.3">
      <c r="A298" t="s">
        <v>4249</v>
      </c>
      <c r="F298" t="str">
        <f t="shared" ref="F298" si="290">LEFT(A298, LEN(A298) - 1)</f>
        <v>&gt;147:AAGCAG:30.00:50.00:Warning:6:1825.27</v>
      </c>
    </row>
    <row r="299" spans="1:6" x14ac:dyDescent="0.3">
      <c r="A299" t="s">
        <v>153</v>
      </c>
      <c r="F299" t="str">
        <f t="shared" ref="F299" si="291">A299</f>
        <v>AAGCAG</v>
      </c>
    </row>
    <row r="300" spans="1:6" x14ac:dyDescent="0.3">
      <c r="A300" t="s">
        <v>4250</v>
      </c>
      <c r="F300" t="str">
        <f t="shared" ref="F300" si="292">LEFT(A300, LEN(A300) - 1)</f>
        <v>&gt;148:AAGCAT:24.00:33.33:OK:6:1800.25</v>
      </c>
    </row>
    <row r="301" spans="1:6" x14ac:dyDescent="0.3">
      <c r="A301" t="s">
        <v>154</v>
      </c>
      <c r="F301" t="str">
        <f t="shared" ref="F301" si="293">A301</f>
        <v>AAGCAT</v>
      </c>
    </row>
    <row r="302" spans="1:6" x14ac:dyDescent="0.3">
      <c r="A302" t="s">
        <v>4251</v>
      </c>
      <c r="F302" t="str">
        <f t="shared" ref="F302" si="294">LEFT(A302, LEN(A302) - 1)</f>
        <v>&gt;149:AAGCCA:30.00:50.00:Warning:6:1785.24</v>
      </c>
    </row>
    <row r="303" spans="1:6" x14ac:dyDescent="0.3">
      <c r="A303" t="s">
        <v>155</v>
      </c>
      <c r="F303" t="str">
        <f t="shared" ref="F303" si="295">A303</f>
        <v>AAGCCA</v>
      </c>
    </row>
    <row r="304" spans="1:6" x14ac:dyDescent="0.3">
      <c r="A304" t="s">
        <v>4252</v>
      </c>
      <c r="F304" t="str">
        <f t="shared" ref="F304" si="296">LEFT(A304, LEN(A304) - 1)</f>
        <v>&gt;150:AAGCCC:28.00:66.67:Warning:6:1761.21</v>
      </c>
    </row>
    <row r="305" spans="1:6" x14ac:dyDescent="0.3">
      <c r="A305" t="s">
        <v>156</v>
      </c>
      <c r="F305" t="str">
        <f t="shared" ref="F305" si="297">A305</f>
        <v>AAGCCC</v>
      </c>
    </row>
    <row r="306" spans="1:6" x14ac:dyDescent="0.3">
      <c r="A306" t="s">
        <v>4253</v>
      </c>
      <c r="F306" t="str">
        <f t="shared" ref="F306" si="298">LEFT(A306, LEN(A306) - 1)</f>
        <v>&gt;151:AAGCCG:28.00:66.67:Warning:6:1801.24</v>
      </c>
    </row>
    <row r="307" spans="1:6" x14ac:dyDescent="0.3">
      <c r="A307" t="s">
        <v>157</v>
      </c>
      <c r="F307" t="str">
        <f t="shared" ref="F307" si="299">A307</f>
        <v>AAGCCG</v>
      </c>
    </row>
    <row r="308" spans="1:6" x14ac:dyDescent="0.3">
      <c r="A308" t="s">
        <v>4254</v>
      </c>
      <c r="F308" t="str">
        <f t="shared" ref="F308" si="300">LEFT(A308, LEN(A308) - 1)</f>
        <v>&gt;152:AAGCCT:22.00:50.00:Warning:6:1776.22</v>
      </c>
    </row>
    <row r="309" spans="1:6" x14ac:dyDescent="0.3">
      <c r="A309" t="s">
        <v>158</v>
      </c>
      <c r="F309" t="str">
        <f t="shared" ref="F309" si="301">A309</f>
        <v>AAGCCT</v>
      </c>
    </row>
    <row r="310" spans="1:6" x14ac:dyDescent="0.3">
      <c r="A310" t="s">
        <v>4255</v>
      </c>
      <c r="F310" t="str">
        <f t="shared" ref="F310" si="302">LEFT(A310, LEN(A310) - 1)</f>
        <v>&gt;153:AAGCGA:30.00:50.00:Warning:6:1825.27</v>
      </c>
    </row>
    <row r="311" spans="1:6" x14ac:dyDescent="0.3">
      <c r="A311" t="s">
        <v>159</v>
      </c>
      <c r="F311" t="str">
        <f t="shared" ref="F311" si="303">A311</f>
        <v>AAGCGA</v>
      </c>
    </row>
    <row r="312" spans="1:6" x14ac:dyDescent="0.3">
      <c r="A312" t="s">
        <v>4256</v>
      </c>
      <c r="F312" t="str">
        <f t="shared" ref="F312" si="304">LEFT(A312, LEN(A312) - 1)</f>
        <v>&gt;154:AAGCGC:28.00:66.67:Warning:6:1801.24</v>
      </c>
    </row>
    <row r="313" spans="1:6" x14ac:dyDescent="0.3">
      <c r="A313" t="s">
        <v>160</v>
      </c>
      <c r="F313" t="str">
        <f t="shared" ref="F313" si="305">A313</f>
        <v>AAGCGC</v>
      </c>
    </row>
    <row r="314" spans="1:6" x14ac:dyDescent="0.3">
      <c r="A314" t="s">
        <v>4257</v>
      </c>
      <c r="F314" t="str">
        <f t="shared" ref="F314" si="306">LEFT(A314, LEN(A314) - 1)</f>
        <v>&gt;155:AAGCGG:28.00:66.67:Warning:6:1841.27</v>
      </c>
    </row>
    <row r="315" spans="1:6" x14ac:dyDescent="0.3">
      <c r="A315" t="s">
        <v>161</v>
      </c>
      <c r="F315" t="str">
        <f t="shared" ref="F315" si="307">A315</f>
        <v>AAGCGG</v>
      </c>
    </row>
    <row r="316" spans="1:6" x14ac:dyDescent="0.3">
      <c r="A316" t="s">
        <v>4258</v>
      </c>
      <c r="F316" t="str">
        <f t="shared" ref="F316" si="308">LEFT(A316, LEN(A316) - 1)</f>
        <v>&gt;156:AAGCGT:22.00:50.00:Warning:6:1816.25</v>
      </c>
    </row>
    <row r="317" spans="1:6" x14ac:dyDescent="0.3">
      <c r="A317" t="s">
        <v>162</v>
      </c>
      <c r="F317" t="str">
        <f t="shared" ref="F317" si="309">A317</f>
        <v>AAGCGT</v>
      </c>
    </row>
    <row r="318" spans="1:6" x14ac:dyDescent="0.3">
      <c r="A318" t="s">
        <v>4259</v>
      </c>
      <c r="F318" t="str">
        <f t="shared" ref="F318" si="310">LEFT(A318, LEN(A318) - 1)</f>
        <v>&gt;157:AAGCTA:24.00:33.33:OK:6:1800.25</v>
      </c>
    </row>
    <row r="319" spans="1:6" x14ac:dyDescent="0.3">
      <c r="A319" t="s">
        <v>163</v>
      </c>
      <c r="F319" t="str">
        <f t="shared" ref="F319" si="311">A319</f>
        <v>AAGCTA</v>
      </c>
    </row>
    <row r="320" spans="1:6" x14ac:dyDescent="0.3">
      <c r="A320" t="s">
        <v>4260</v>
      </c>
      <c r="F320" t="str">
        <f t="shared" ref="F320" si="312">LEFT(A320, LEN(A320) - 1)</f>
        <v>&gt;158:AAGCTC:22.00:50.00:Warning:6:1776.22</v>
      </c>
    </row>
    <row r="321" spans="1:6" x14ac:dyDescent="0.3">
      <c r="A321" t="s">
        <v>164</v>
      </c>
      <c r="F321" t="str">
        <f t="shared" ref="F321" si="313">A321</f>
        <v>AAGCTC</v>
      </c>
    </row>
    <row r="322" spans="1:6" x14ac:dyDescent="0.3">
      <c r="A322" t="s">
        <v>4261</v>
      </c>
      <c r="F322" t="str">
        <f t="shared" ref="F322" si="314">LEFT(A322, LEN(A322) - 1)</f>
        <v>&gt;159:AAGCTG:22.00:50.00:Warning:6:1816.25</v>
      </c>
    </row>
    <row r="323" spans="1:6" x14ac:dyDescent="0.3">
      <c r="A323" t="s">
        <v>165</v>
      </c>
      <c r="F323" t="str">
        <f t="shared" ref="F323" si="315">A323</f>
        <v>AAGCTG</v>
      </c>
    </row>
    <row r="324" spans="1:6" x14ac:dyDescent="0.3">
      <c r="A324" t="s">
        <v>4262</v>
      </c>
      <c r="F324" t="str">
        <f t="shared" ref="F324" si="316">LEFT(A324, LEN(A324) - 1)</f>
        <v>&gt;160:AAGCTT:16.00:33.33:OK:6:1791.23</v>
      </c>
    </row>
    <row r="325" spans="1:6" x14ac:dyDescent="0.3">
      <c r="A325" t="s">
        <v>166</v>
      </c>
      <c r="F325" t="str">
        <f t="shared" ref="F325" si="317">A325</f>
        <v>AAGCTT</v>
      </c>
    </row>
    <row r="326" spans="1:6" x14ac:dyDescent="0.3">
      <c r="A326" t="s">
        <v>4263</v>
      </c>
      <c r="F326" t="str">
        <f t="shared" ref="F326" si="318">LEFT(A326, LEN(A326) - 1)</f>
        <v>&gt;161:AAGGAA:32.00:33.33:OK:6:1849.30</v>
      </c>
    </row>
    <row r="327" spans="1:6" x14ac:dyDescent="0.3">
      <c r="A327" t="s">
        <v>167</v>
      </c>
      <c r="F327" t="str">
        <f t="shared" ref="F327" si="319">A327</f>
        <v>AAGGAA</v>
      </c>
    </row>
    <row r="328" spans="1:6" x14ac:dyDescent="0.3">
      <c r="A328" t="s">
        <v>4264</v>
      </c>
      <c r="F328" t="str">
        <f t="shared" ref="F328" si="320">LEFT(A328, LEN(A328) - 1)</f>
        <v>&gt;162:AAGGAC:30.00:50.00:Warning:6:1825.27</v>
      </c>
    </row>
    <row r="329" spans="1:6" x14ac:dyDescent="0.3">
      <c r="A329" t="s">
        <v>168</v>
      </c>
      <c r="F329" t="str">
        <f t="shared" ref="F329" si="321">A329</f>
        <v>AAGGAC</v>
      </c>
    </row>
    <row r="330" spans="1:6" x14ac:dyDescent="0.3">
      <c r="A330" t="s">
        <v>4265</v>
      </c>
      <c r="F330" t="str">
        <f t="shared" ref="F330" si="322">LEFT(A330, LEN(A330) - 1)</f>
        <v>&gt;163:AAGGAG:30.00:50.00:Warning:6:1865.30</v>
      </c>
    </row>
    <row r="331" spans="1:6" x14ac:dyDescent="0.3">
      <c r="A331" t="s">
        <v>169</v>
      </c>
      <c r="F331" t="str">
        <f t="shared" ref="F331" si="323">A331</f>
        <v>AAGGAG</v>
      </c>
    </row>
    <row r="332" spans="1:6" x14ac:dyDescent="0.3">
      <c r="A332" t="s">
        <v>4266</v>
      </c>
      <c r="F332" t="str">
        <f t="shared" ref="F332" si="324">LEFT(A332, LEN(A332) - 1)</f>
        <v>&gt;164:AAGGAT:24.00:33.33:OK:6:1840.28</v>
      </c>
    </row>
    <row r="333" spans="1:6" x14ac:dyDescent="0.3">
      <c r="A333" t="s">
        <v>170</v>
      </c>
      <c r="F333" t="str">
        <f t="shared" ref="F333" si="325">A333</f>
        <v>AAGGAT</v>
      </c>
    </row>
    <row r="334" spans="1:6" x14ac:dyDescent="0.3">
      <c r="A334" t="s">
        <v>4267</v>
      </c>
      <c r="F334" t="str">
        <f t="shared" ref="F334" si="326">LEFT(A334, LEN(A334) - 1)</f>
        <v>&gt;165:AAGGCA:30.00:50.00:Warning:6:1825.27</v>
      </c>
    </row>
    <row r="335" spans="1:6" x14ac:dyDescent="0.3">
      <c r="A335" t="s">
        <v>171</v>
      </c>
      <c r="F335" t="str">
        <f t="shared" ref="F335" si="327">A335</f>
        <v>AAGGCA</v>
      </c>
    </row>
    <row r="336" spans="1:6" x14ac:dyDescent="0.3">
      <c r="A336" t="s">
        <v>4268</v>
      </c>
      <c r="F336" t="str">
        <f t="shared" ref="F336" si="328">LEFT(A336, LEN(A336) - 1)</f>
        <v>&gt;166:AAGGCC:28.00:66.67:Warning:6:1801.24</v>
      </c>
    </row>
    <row r="337" spans="1:6" x14ac:dyDescent="0.3">
      <c r="A337" t="s">
        <v>172</v>
      </c>
      <c r="F337" t="str">
        <f t="shared" ref="F337" si="329">A337</f>
        <v>AAGGCC</v>
      </c>
    </row>
    <row r="338" spans="1:6" x14ac:dyDescent="0.3">
      <c r="A338" t="s">
        <v>4269</v>
      </c>
      <c r="F338" t="str">
        <f t="shared" ref="F338" si="330">LEFT(A338, LEN(A338) - 1)</f>
        <v>&gt;167:AAGGCG:28.00:66.67:Warning:6:1841.27</v>
      </c>
    </row>
    <row r="339" spans="1:6" x14ac:dyDescent="0.3">
      <c r="A339" t="s">
        <v>173</v>
      </c>
      <c r="F339" t="str">
        <f t="shared" ref="F339" si="331">A339</f>
        <v>AAGGCG</v>
      </c>
    </row>
    <row r="340" spans="1:6" x14ac:dyDescent="0.3">
      <c r="A340" t="s">
        <v>4270</v>
      </c>
      <c r="F340" t="str">
        <f t="shared" ref="F340" si="332">LEFT(A340, LEN(A340) - 1)</f>
        <v>&gt;168:AAGGCT:22.00:50.00:Warning:6:1816.25</v>
      </c>
    </row>
    <row r="341" spans="1:6" x14ac:dyDescent="0.3">
      <c r="A341" t="s">
        <v>174</v>
      </c>
      <c r="F341" t="str">
        <f t="shared" ref="F341" si="333">A341</f>
        <v>AAGGCT</v>
      </c>
    </row>
    <row r="342" spans="1:6" x14ac:dyDescent="0.3">
      <c r="A342" t="s">
        <v>4271</v>
      </c>
      <c r="F342" t="str">
        <f t="shared" ref="F342" si="334">LEFT(A342, LEN(A342) - 1)</f>
        <v>&gt;169:AAGGGA:30.00:50.00:Warning:6:1865.30</v>
      </c>
    </row>
    <row r="343" spans="1:6" x14ac:dyDescent="0.3">
      <c r="A343" t="s">
        <v>175</v>
      </c>
      <c r="F343" t="str">
        <f t="shared" ref="F343" si="335">A343</f>
        <v>AAGGGA</v>
      </c>
    </row>
    <row r="344" spans="1:6" x14ac:dyDescent="0.3">
      <c r="A344" t="s">
        <v>4272</v>
      </c>
      <c r="F344" t="str">
        <f t="shared" ref="F344" si="336">LEFT(A344, LEN(A344) - 1)</f>
        <v>&gt;170:AAGGGC:28.00:66.67:Warning:6:1841.27</v>
      </c>
    </row>
    <row r="345" spans="1:6" x14ac:dyDescent="0.3">
      <c r="A345" t="s">
        <v>176</v>
      </c>
      <c r="F345" t="str">
        <f t="shared" ref="F345" si="337">A345</f>
        <v>AAGGGC</v>
      </c>
    </row>
    <row r="346" spans="1:6" x14ac:dyDescent="0.3">
      <c r="A346" t="s">
        <v>4273</v>
      </c>
      <c r="F346" t="str">
        <f t="shared" ref="F346" si="338">LEFT(A346, LEN(A346) - 1)</f>
        <v>&gt;171:AAGGGG:28.00:66.67:Warning:6:1881.30</v>
      </c>
    </row>
    <row r="347" spans="1:6" x14ac:dyDescent="0.3">
      <c r="A347" t="s">
        <v>177</v>
      </c>
      <c r="F347" t="str">
        <f t="shared" ref="F347" si="339">A347</f>
        <v>AAGGGG</v>
      </c>
    </row>
    <row r="348" spans="1:6" x14ac:dyDescent="0.3">
      <c r="A348" t="s">
        <v>4274</v>
      </c>
      <c r="F348" t="str">
        <f t="shared" ref="F348" si="340">LEFT(A348, LEN(A348) - 1)</f>
        <v>&gt;172:AAGGGT:22.00:50.00:Warning:6:1856.28</v>
      </c>
    </row>
    <row r="349" spans="1:6" x14ac:dyDescent="0.3">
      <c r="A349" t="s">
        <v>178</v>
      </c>
      <c r="F349" t="str">
        <f t="shared" ref="F349" si="341">A349</f>
        <v>AAGGGT</v>
      </c>
    </row>
    <row r="350" spans="1:6" x14ac:dyDescent="0.3">
      <c r="A350" t="s">
        <v>4275</v>
      </c>
      <c r="F350" t="str">
        <f t="shared" ref="F350" si="342">LEFT(A350, LEN(A350) - 1)</f>
        <v>&gt;173:AAGGTA:24.00:33.33:OK:6:1840.28</v>
      </c>
    </row>
    <row r="351" spans="1:6" x14ac:dyDescent="0.3">
      <c r="A351" t="s">
        <v>179</v>
      </c>
      <c r="F351" t="str">
        <f t="shared" ref="F351" si="343">A351</f>
        <v>AAGGTA</v>
      </c>
    </row>
    <row r="352" spans="1:6" x14ac:dyDescent="0.3">
      <c r="A352" t="s">
        <v>4276</v>
      </c>
      <c r="F352" t="str">
        <f t="shared" ref="F352" si="344">LEFT(A352, LEN(A352) - 1)</f>
        <v>&gt;174:AAGGTC:22.00:50.00:Warning:6:1816.25</v>
      </c>
    </row>
    <row r="353" spans="1:6" x14ac:dyDescent="0.3">
      <c r="A353" t="s">
        <v>180</v>
      </c>
      <c r="F353" t="str">
        <f t="shared" ref="F353" si="345">A353</f>
        <v>AAGGTC</v>
      </c>
    </row>
    <row r="354" spans="1:6" x14ac:dyDescent="0.3">
      <c r="A354" t="s">
        <v>4277</v>
      </c>
      <c r="F354" t="str">
        <f t="shared" ref="F354" si="346">LEFT(A354, LEN(A354) - 1)</f>
        <v>&gt;175:AAGGTG:22.00:50.00:Warning:6:1856.28</v>
      </c>
    </row>
    <row r="355" spans="1:6" x14ac:dyDescent="0.3">
      <c r="A355" t="s">
        <v>181</v>
      </c>
      <c r="F355" t="str">
        <f t="shared" ref="F355" si="347">A355</f>
        <v>AAGGTG</v>
      </c>
    </row>
    <row r="356" spans="1:6" x14ac:dyDescent="0.3">
      <c r="A356" t="s">
        <v>4278</v>
      </c>
      <c r="F356" t="str">
        <f t="shared" ref="F356" si="348">LEFT(A356, LEN(A356) - 1)</f>
        <v>&gt;176:AAGGTT:16.00:33.33:OK:6:1831.26</v>
      </c>
    </row>
    <row r="357" spans="1:6" x14ac:dyDescent="0.3">
      <c r="A357" t="s">
        <v>182</v>
      </c>
      <c r="F357" t="str">
        <f t="shared" ref="F357" si="349">A357</f>
        <v>AAGGTT</v>
      </c>
    </row>
    <row r="358" spans="1:6" x14ac:dyDescent="0.3">
      <c r="A358" t="s">
        <v>4279</v>
      </c>
      <c r="F358" t="str">
        <f t="shared" ref="F358" si="350">LEFT(A358, LEN(A358) - 1)</f>
        <v>&gt;177:AAGTAA:26.00:16.67:OK:6:1824.28</v>
      </c>
    </row>
    <row r="359" spans="1:6" x14ac:dyDescent="0.3">
      <c r="A359" t="s">
        <v>183</v>
      </c>
      <c r="F359" t="str">
        <f t="shared" ref="F359" si="351">A359</f>
        <v>AAGTAA</v>
      </c>
    </row>
    <row r="360" spans="1:6" x14ac:dyDescent="0.3">
      <c r="A360" t="s">
        <v>4280</v>
      </c>
      <c r="F360" t="str">
        <f t="shared" ref="F360" si="352">LEFT(A360, LEN(A360) - 1)</f>
        <v>&gt;178:AAGTAC:24.00:33.33:OK:6:1800.25</v>
      </c>
    </row>
    <row r="361" spans="1:6" x14ac:dyDescent="0.3">
      <c r="A361" t="s">
        <v>184</v>
      </c>
      <c r="F361" t="str">
        <f t="shared" ref="F361" si="353">A361</f>
        <v>AAGTAC</v>
      </c>
    </row>
    <row r="362" spans="1:6" x14ac:dyDescent="0.3">
      <c r="A362" t="s">
        <v>4281</v>
      </c>
      <c r="F362" t="str">
        <f t="shared" ref="F362" si="354">LEFT(A362, LEN(A362) - 1)</f>
        <v>&gt;179:AAGTAG:24.00:33.33:OK:6:1840.28</v>
      </c>
    </row>
    <row r="363" spans="1:6" x14ac:dyDescent="0.3">
      <c r="A363" t="s">
        <v>185</v>
      </c>
      <c r="F363" t="str">
        <f t="shared" ref="F363" si="355">A363</f>
        <v>AAGTAG</v>
      </c>
    </row>
    <row r="364" spans="1:6" x14ac:dyDescent="0.3">
      <c r="A364" t="s">
        <v>4282</v>
      </c>
      <c r="F364" t="str">
        <f t="shared" ref="F364" si="356">LEFT(A364, LEN(A364) - 1)</f>
        <v>&gt;180:AAGTAT:18.00:16.67:OK:6:1815.26</v>
      </c>
    </row>
    <row r="365" spans="1:6" x14ac:dyDescent="0.3">
      <c r="A365" t="s">
        <v>186</v>
      </c>
      <c r="F365" t="str">
        <f t="shared" ref="F365" si="357">A365</f>
        <v>AAGTAT</v>
      </c>
    </row>
    <row r="366" spans="1:6" x14ac:dyDescent="0.3">
      <c r="A366" t="s">
        <v>4283</v>
      </c>
      <c r="F366" t="str">
        <f t="shared" ref="F366" si="358">LEFT(A366, LEN(A366) - 1)</f>
        <v>&gt;181:AAGTCA:24.00:33.33:OK:6:1800.25</v>
      </c>
    </row>
    <row r="367" spans="1:6" x14ac:dyDescent="0.3">
      <c r="A367" t="s">
        <v>187</v>
      </c>
      <c r="F367" t="str">
        <f t="shared" ref="F367" si="359">A367</f>
        <v>AAGTCA</v>
      </c>
    </row>
    <row r="368" spans="1:6" x14ac:dyDescent="0.3">
      <c r="A368" t="s">
        <v>4284</v>
      </c>
      <c r="F368" t="str">
        <f t="shared" ref="F368" si="360">LEFT(A368, LEN(A368) - 1)</f>
        <v>&gt;182:AAGTCC:22.00:50.00:Warning:6:1776.22</v>
      </c>
    </row>
    <row r="369" spans="1:6" x14ac:dyDescent="0.3">
      <c r="A369" t="s">
        <v>188</v>
      </c>
      <c r="F369" t="str">
        <f t="shared" ref="F369" si="361">A369</f>
        <v>AAGTCC</v>
      </c>
    </row>
    <row r="370" spans="1:6" x14ac:dyDescent="0.3">
      <c r="A370" t="s">
        <v>4285</v>
      </c>
      <c r="F370" t="str">
        <f t="shared" ref="F370" si="362">LEFT(A370, LEN(A370) - 1)</f>
        <v>&gt;183:AAGTCG:22.00:50.00:Warning:6:1816.25</v>
      </c>
    </row>
    <row r="371" spans="1:6" x14ac:dyDescent="0.3">
      <c r="A371" t="s">
        <v>189</v>
      </c>
      <c r="F371" t="str">
        <f t="shared" ref="F371" si="363">A371</f>
        <v>AAGTCG</v>
      </c>
    </row>
    <row r="372" spans="1:6" x14ac:dyDescent="0.3">
      <c r="A372" t="s">
        <v>4286</v>
      </c>
      <c r="F372" t="str">
        <f t="shared" ref="F372" si="364">LEFT(A372, LEN(A372) - 1)</f>
        <v>&gt;184:AAGTCT:16.00:33.33:OK:6:1791.23</v>
      </c>
    </row>
    <row r="373" spans="1:6" x14ac:dyDescent="0.3">
      <c r="A373" t="s">
        <v>190</v>
      </c>
      <c r="F373" t="str">
        <f t="shared" ref="F373" si="365">A373</f>
        <v>AAGTCT</v>
      </c>
    </row>
    <row r="374" spans="1:6" x14ac:dyDescent="0.3">
      <c r="A374" t="s">
        <v>4287</v>
      </c>
      <c r="F374" t="str">
        <f t="shared" ref="F374" si="366">LEFT(A374, LEN(A374) - 1)</f>
        <v>&gt;185:AAGTGA:24.00:33.33:OK:6:1840.28</v>
      </c>
    </row>
    <row r="375" spans="1:6" x14ac:dyDescent="0.3">
      <c r="A375" t="s">
        <v>191</v>
      </c>
      <c r="F375" t="str">
        <f t="shared" ref="F375" si="367">A375</f>
        <v>AAGTGA</v>
      </c>
    </row>
    <row r="376" spans="1:6" x14ac:dyDescent="0.3">
      <c r="A376" t="s">
        <v>4288</v>
      </c>
      <c r="F376" t="str">
        <f t="shared" ref="F376" si="368">LEFT(A376, LEN(A376) - 1)</f>
        <v>&gt;186:AAGTGC:22.00:50.00:Warning:6:1816.25</v>
      </c>
    </row>
    <row r="377" spans="1:6" x14ac:dyDescent="0.3">
      <c r="A377" t="s">
        <v>192</v>
      </c>
      <c r="F377" t="str">
        <f t="shared" ref="F377" si="369">A377</f>
        <v>AAGTGC</v>
      </c>
    </row>
    <row r="378" spans="1:6" x14ac:dyDescent="0.3">
      <c r="A378" t="s">
        <v>4289</v>
      </c>
      <c r="F378" t="str">
        <f t="shared" ref="F378" si="370">LEFT(A378, LEN(A378) - 1)</f>
        <v>&gt;187:AAGTGG:22.00:50.00:Warning:6:1856.28</v>
      </c>
    </row>
    <row r="379" spans="1:6" x14ac:dyDescent="0.3">
      <c r="A379" t="s">
        <v>193</v>
      </c>
      <c r="F379" t="str">
        <f t="shared" ref="F379" si="371">A379</f>
        <v>AAGTGG</v>
      </c>
    </row>
    <row r="380" spans="1:6" x14ac:dyDescent="0.3">
      <c r="A380" t="s">
        <v>4290</v>
      </c>
      <c r="F380" t="str">
        <f t="shared" ref="F380" si="372">LEFT(A380, LEN(A380) - 1)</f>
        <v>&gt;188:AAGTGT:16.00:33.33:OK:6:1831.26</v>
      </c>
    </row>
    <row r="381" spans="1:6" x14ac:dyDescent="0.3">
      <c r="A381" t="s">
        <v>194</v>
      </c>
      <c r="F381" t="str">
        <f t="shared" ref="F381" si="373">A381</f>
        <v>AAGTGT</v>
      </c>
    </row>
    <row r="382" spans="1:6" x14ac:dyDescent="0.3">
      <c r="A382" t="s">
        <v>4291</v>
      </c>
      <c r="F382" t="str">
        <f t="shared" ref="F382" si="374">LEFT(A382, LEN(A382) - 1)</f>
        <v>&gt;189:AAGTTA:18.00:16.67:OK:6:1815.26</v>
      </c>
    </row>
    <row r="383" spans="1:6" x14ac:dyDescent="0.3">
      <c r="A383" t="s">
        <v>195</v>
      </c>
      <c r="F383" t="str">
        <f t="shared" ref="F383" si="375">A383</f>
        <v>AAGTTA</v>
      </c>
    </row>
    <row r="384" spans="1:6" x14ac:dyDescent="0.3">
      <c r="A384" t="s">
        <v>4292</v>
      </c>
      <c r="F384" t="str">
        <f t="shared" ref="F384" si="376">LEFT(A384, LEN(A384) - 1)</f>
        <v>&gt;190:AAGTTC:16.00:33.33:OK:6:1791.23</v>
      </c>
    </row>
    <row r="385" spans="1:6" x14ac:dyDescent="0.3">
      <c r="A385" t="s">
        <v>196</v>
      </c>
      <c r="F385" t="str">
        <f t="shared" ref="F385" si="377">A385</f>
        <v>AAGTTC</v>
      </c>
    </row>
    <row r="386" spans="1:6" x14ac:dyDescent="0.3">
      <c r="A386" t="s">
        <v>4293</v>
      </c>
      <c r="F386" t="str">
        <f t="shared" ref="F386" si="378">LEFT(A386, LEN(A386) - 1)</f>
        <v>&gt;191:AAGTTG:16.00:33.33:OK:6:1831.26</v>
      </c>
    </row>
    <row r="387" spans="1:6" x14ac:dyDescent="0.3">
      <c r="A387" t="s">
        <v>197</v>
      </c>
      <c r="F387" t="str">
        <f t="shared" ref="F387" si="379">A387</f>
        <v>AAGTTG</v>
      </c>
    </row>
    <row r="388" spans="1:6" x14ac:dyDescent="0.3">
      <c r="A388" t="s">
        <v>4294</v>
      </c>
      <c r="F388" t="str">
        <f t="shared" ref="F388" si="380">LEFT(A388, LEN(A388) - 1)</f>
        <v>&gt;192:AAGTTT:10.00:16.67:OK:6:1806.24</v>
      </c>
    </row>
    <row r="389" spans="1:6" x14ac:dyDescent="0.3">
      <c r="A389" t="s">
        <v>198</v>
      </c>
      <c r="F389" t="str">
        <f t="shared" ref="F389" si="381">A389</f>
        <v>AAGTTT</v>
      </c>
    </row>
    <row r="390" spans="1:6" x14ac:dyDescent="0.3">
      <c r="A390" t="s">
        <v>4295</v>
      </c>
      <c r="F390" t="str">
        <f t="shared" ref="F390" si="382">LEFT(A390, LEN(A390) - 1)</f>
        <v>&gt;193:AATAAA:28.00:0.00:OK:6:1808.28</v>
      </c>
    </row>
    <row r="391" spans="1:6" x14ac:dyDescent="0.3">
      <c r="A391" t="s">
        <v>199</v>
      </c>
      <c r="F391" t="str">
        <f t="shared" ref="F391" si="383">A391</f>
        <v>AATAAA</v>
      </c>
    </row>
    <row r="392" spans="1:6" x14ac:dyDescent="0.3">
      <c r="A392" t="s">
        <v>4296</v>
      </c>
      <c r="F392" t="str">
        <f t="shared" ref="F392" si="384">LEFT(A392, LEN(A392) - 1)</f>
        <v>&gt;194:AATAAC:26.00:16.67:OK:6:1784.25</v>
      </c>
    </row>
    <row r="393" spans="1:6" x14ac:dyDescent="0.3">
      <c r="A393" t="s">
        <v>200</v>
      </c>
      <c r="F393" t="str">
        <f t="shared" ref="F393" si="385">A393</f>
        <v>AATAAC</v>
      </c>
    </row>
    <row r="394" spans="1:6" x14ac:dyDescent="0.3">
      <c r="A394" t="s">
        <v>4297</v>
      </c>
      <c r="F394" t="str">
        <f t="shared" ref="F394" si="386">LEFT(A394, LEN(A394) - 1)</f>
        <v>&gt;195:AATAAG:26.00:16.67:OK:6:1824.28</v>
      </c>
    </row>
    <row r="395" spans="1:6" x14ac:dyDescent="0.3">
      <c r="A395" t="s">
        <v>201</v>
      </c>
      <c r="F395" t="str">
        <f t="shared" ref="F395" si="387">A395</f>
        <v>AATAAG</v>
      </c>
    </row>
    <row r="396" spans="1:6" x14ac:dyDescent="0.3">
      <c r="A396" t="s">
        <v>4298</v>
      </c>
      <c r="F396" t="str">
        <f t="shared" ref="F396" si="388">LEFT(A396, LEN(A396) - 1)</f>
        <v>&gt;196:AATAAT:20.00:0.00:OK:6:1799.26</v>
      </c>
    </row>
    <row r="397" spans="1:6" x14ac:dyDescent="0.3">
      <c r="A397" t="s">
        <v>202</v>
      </c>
      <c r="F397" t="str">
        <f t="shared" ref="F397" si="389">A397</f>
        <v>AATAAT</v>
      </c>
    </row>
    <row r="398" spans="1:6" x14ac:dyDescent="0.3">
      <c r="A398" t="s">
        <v>4299</v>
      </c>
      <c r="F398" t="str">
        <f t="shared" ref="F398" si="390">LEFT(A398, LEN(A398) - 1)</f>
        <v>&gt;197:AATACA:26.00:16.67:OK:6:1784.25</v>
      </c>
    </row>
    <row r="399" spans="1:6" x14ac:dyDescent="0.3">
      <c r="A399" t="s">
        <v>203</v>
      </c>
      <c r="F399" t="str">
        <f t="shared" ref="F399" si="391">A399</f>
        <v>AATACA</v>
      </c>
    </row>
    <row r="400" spans="1:6" x14ac:dyDescent="0.3">
      <c r="A400" t="s">
        <v>4300</v>
      </c>
      <c r="F400" t="str">
        <f t="shared" ref="F400" si="392">LEFT(A400, LEN(A400) - 1)</f>
        <v>&gt;198:AATACC:24.00:33.33:OK:6:1760.22</v>
      </c>
    </row>
    <row r="401" spans="1:6" x14ac:dyDescent="0.3">
      <c r="A401" t="s">
        <v>204</v>
      </c>
      <c r="F401" t="str">
        <f t="shared" ref="F401" si="393">A401</f>
        <v>AATACC</v>
      </c>
    </row>
    <row r="402" spans="1:6" x14ac:dyDescent="0.3">
      <c r="A402" t="s">
        <v>4301</v>
      </c>
      <c r="F402" t="str">
        <f t="shared" ref="F402" si="394">LEFT(A402, LEN(A402) - 1)</f>
        <v>&gt;199:AATACG:24.00:33.33:OK:6:1800.25</v>
      </c>
    </row>
    <row r="403" spans="1:6" x14ac:dyDescent="0.3">
      <c r="A403" t="s">
        <v>205</v>
      </c>
      <c r="F403" t="str">
        <f t="shared" ref="F403" si="395">A403</f>
        <v>AATACG</v>
      </c>
    </row>
    <row r="404" spans="1:6" x14ac:dyDescent="0.3">
      <c r="A404" t="s">
        <v>4302</v>
      </c>
      <c r="F404" t="str">
        <f t="shared" ref="F404" si="396">LEFT(A404, LEN(A404) - 1)</f>
        <v>&gt;200:AATACT:18.00:16.67:OK:6:1775.23</v>
      </c>
    </row>
    <row r="405" spans="1:6" x14ac:dyDescent="0.3">
      <c r="A405" t="s">
        <v>206</v>
      </c>
      <c r="F405" t="str">
        <f t="shared" ref="F405" si="397">A405</f>
        <v>AATACT</v>
      </c>
    </row>
    <row r="406" spans="1:6" x14ac:dyDescent="0.3">
      <c r="A406" t="s">
        <v>4303</v>
      </c>
      <c r="F406" t="str">
        <f t="shared" ref="F406" si="398">LEFT(A406, LEN(A406) - 1)</f>
        <v>&gt;201:AATAGA:26.00:16.67:OK:6:1824.28</v>
      </c>
    </row>
    <row r="407" spans="1:6" x14ac:dyDescent="0.3">
      <c r="A407" t="s">
        <v>207</v>
      </c>
      <c r="F407" t="str">
        <f t="shared" ref="F407" si="399">A407</f>
        <v>AATAGA</v>
      </c>
    </row>
    <row r="408" spans="1:6" x14ac:dyDescent="0.3">
      <c r="A408" t="s">
        <v>4304</v>
      </c>
      <c r="F408" t="str">
        <f t="shared" ref="F408" si="400">LEFT(A408, LEN(A408) - 1)</f>
        <v>&gt;202:AATAGC:24.00:33.33:OK:6:1800.25</v>
      </c>
    </row>
    <row r="409" spans="1:6" x14ac:dyDescent="0.3">
      <c r="A409" t="s">
        <v>208</v>
      </c>
      <c r="F409" t="str">
        <f t="shared" ref="F409" si="401">A409</f>
        <v>AATAGC</v>
      </c>
    </row>
    <row r="410" spans="1:6" x14ac:dyDescent="0.3">
      <c r="A410" t="s">
        <v>4305</v>
      </c>
      <c r="F410" t="str">
        <f t="shared" ref="F410" si="402">LEFT(A410, LEN(A410) - 1)</f>
        <v>&gt;203:AATAGG:24.00:33.33:OK:6:1840.28</v>
      </c>
    </row>
    <row r="411" spans="1:6" x14ac:dyDescent="0.3">
      <c r="A411" t="s">
        <v>209</v>
      </c>
      <c r="F411" t="str">
        <f t="shared" ref="F411" si="403">A411</f>
        <v>AATAGG</v>
      </c>
    </row>
    <row r="412" spans="1:6" x14ac:dyDescent="0.3">
      <c r="A412" t="s">
        <v>4306</v>
      </c>
      <c r="F412" t="str">
        <f t="shared" ref="F412" si="404">LEFT(A412, LEN(A412) - 1)</f>
        <v>&gt;204:AATAGT:18.00:16.67:OK:6:1815.26</v>
      </c>
    </row>
    <row r="413" spans="1:6" x14ac:dyDescent="0.3">
      <c r="A413" t="s">
        <v>210</v>
      </c>
      <c r="F413" t="str">
        <f t="shared" ref="F413" si="405">A413</f>
        <v>AATAGT</v>
      </c>
    </row>
    <row r="414" spans="1:6" x14ac:dyDescent="0.3">
      <c r="A414" t="s">
        <v>4307</v>
      </c>
      <c r="F414" t="str">
        <f t="shared" ref="F414" si="406">LEFT(A414, LEN(A414) - 1)</f>
        <v>&gt;205:AATATA:20.00:0.00:OK:6:1799.26</v>
      </c>
    </row>
    <row r="415" spans="1:6" x14ac:dyDescent="0.3">
      <c r="A415" t="s">
        <v>211</v>
      </c>
      <c r="F415" t="str">
        <f t="shared" ref="F415" si="407">A415</f>
        <v>AATATA</v>
      </c>
    </row>
    <row r="416" spans="1:6" x14ac:dyDescent="0.3">
      <c r="A416" t="s">
        <v>4308</v>
      </c>
      <c r="F416" t="str">
        <f t="shared" ref="F416" si="408">LEFT(A416, LEN(A416) - 1)</f>
        <v>&gt;206:AATATC:18.00:16.67:OK:6:1775.23</v>
      </c>
    </row>
    <row r="417" spans="1:6" x14ac:dyDescent="0.3">
      <c r="A417" t="s">
        <v>212</v>
      </c>
      <c r="F417" t="str">
        <f t="shared" ref="F417" si="409">A417</f>
        <v>AATATC</v>
      </c>
    </row>
    <row r="418" spans="1:6" x14ac:dyDescent="0.3">
      <c r="A418" t="s">
        <v>4309</v>
      </c>
      <c r="F418" t="str">
        <f t="shared" ref="F418" si="410">LEFT(A418, LEN(A418) - 1)</f>
        <v>&gt;207:AATATG:18.00:16.67:OK:6:1815.26</v>
      </c>
    </row>
    <row r="419" spans="1:6" x14ac:dyDescent="0.3">
      <c r="A419" t="s">
        <v>213</v>
      </c>
      <c r="F419" t="str">
        <f t="shared" ref="F419" si="411">A419</f>
        <v>AATATG</v>
      </c>
    </row>
    <row r="420" spans="1:6" x14ac:dyDescent="0.3">
      <c r="A420" t="s">
        <v>4310</v>
      </c>
      <c r="F420" t="str">
        <f t="shared" ref="F420" si="412">LEFT(A420, LEN(A420) - 1)</f>
        <v>&gt;208:AATATT:12.00:0.00:OK:6:1790.24</v>
      </c>
    </row>
    <row r="421" spans="1:6" x14ac:dyDescent="0.3">
      <c r="A421" t="s">
        <v>214</v>
      </c>
      <c r="F421" t="str">
        <f t="shared" ref="F421" si="413">A421</f>
        <v>AATATT</v>
      </c>
    </row>
    <row r="422" spans="1:6" x14ac:dyDescent="0.3">
      <c r="A422" t="s">
        <v>4311</v>
      </c>
      <c r="F422" t="str">
        <f t="shared" ref="F422" si="414">LEFT(A422, LEN(A422) - 1)</f>
        <v>&gt;209:AATCAA:26.00:16.67:OK:6:1784.25</v>
      </c>
    </row>
    <row r="423" spans="1:6" x14ac:dyDescent="0.3">
      <c r="A423" t="s">
        <v>215</v>
      </c>
      <c r="F423" t="str">
        <f t="shared" ref="F423" si="415">A423</f>
        <v>AATCAA</v>
      </c>
    </row>
    <row r="424" spans="1:6" x14ac:dyDescent="0.3">
      <c r="A424" t="s">
        <v>4312</v>
      </c>
      <c r="F424" t="str">
        <f t="shared" ref="F424" si="416">LEFT(A424, LEN(A424) - 1)</f>
        <v>&gt;210:AATCAC:24.00:33.33:OK:6:1760.22</v>
      </c>
    </row>
    <row r="425" spans="1:6" x14ac:dyDescent="0.3">
      <c r="A425" t="s">
        <v>216</v>
      </c>
      <c r="F425" t="str">
        <f t="shared" ref="F425" si="417">A425</f>
        <v>AATCAC</v>
      </c>
    </row>
    <row r="426" spans="1:6" x14ac:dyDescent="0.3">
      <c r="A426" t="s">
        <v>4313</v>
      </c>
      <c r="F426" t="str">
        <f t="shared" ref="F426" si="418">LEFT(A426, LEN(A426) - 1)</f>
        <v>&gt;211:AATCAG:24.00:33.33:OK:6:1800.25</v>
      </c>
    </row>
    <row r="427" spans="1:6" x14ac:dyDescent="0.3">
      <c r="A427" t="s">
        <v>217</v>
      </c>
      <c r="F427" t="str">
        <f t="shared" ref="F427" si="419">A427</f>
        <v>AATCAG</v>
      </c>
    </row>
    <row r="428" spans="1:6" x14ac:dyDescent="0.3">
      <c r="A428" t="s">
        <v>4314</v>
      </c>
      <c r="F428" t="str">
        <f t="shared" ref="F428" si="420">LEFT(A428, LEN(A428) - 1)</f>
        <v>&gt;212:AATCAT:18.00:16.67:OK:6:1775.23</v>
      </c>
    </row>
    <row r="429" spans="1:6" x14ac:dyDescent="0.3">
      <c r="A429" t="s">
        <v>218</v>
      </c>
      <c r="F429" t="str">
        <f t="shared" ref="F429" si="421">A429</f>
        <v>AATCAT</v>
      </c>
    </row>
    <row r="430" spans="1:6" x14ac:dyDescent="0.3">
      <c r="A430" t="s">
        <v>4315</v>
      </c>
      <c r="F430" t="str">
        <f t="shared" ref="F430" si="422">LEFT(A430, LEN(A430) - 1)</f>
        <v>&gt;213:AATCCA:24.00:33.33:OK:6:1760.22</v>
      </c>
    </row>
    <row r="431" spans="1:6" x14ac:dyDescent="0.3">
      <c r="A431" t="s">
        <v>219</v>
      </c>
      <c r="F431" t="str">
        <f t="shared" ref="F431" si="423">A431</f>
        <v>AATCCA</v>
      </c>
    </row>
    <row r="432" spans="1:6" x14ac:dyDescent="0.3">
      <c r="A432" t="s">
        <v>4316</v>
      </c>
      <c r="F432" t="str">
        <f t="shared" ref="F432" si="424">LEFT(A432, LEN(A432) - 1)</f>
        <v>&gt;214:AATCCC:22.00:50.00:Warning:6:1736.19</v>
      </c>
    </row>
    <row r="433" spans="1:6" x14ac:dyDescent="0.3">
      <c r="A433" t="s">
        <v>220</v>
      </c>
      <c r="F433" t="str">
        <f t="shared" ref="F433" si="425">A433</f>
        <v>AATCCC</v>
      </c>
    </row>
    <row r="434" spans="1:6" x14ac:dyDescent="0.3">
      <c r="A434" t="s">
        <v>4317</v>
      </c>
      <c r="F434" t="str">
        <f t="shared" ref="F434" si="426">LEFT(A434, LEN(A434) - 1)</f>
        <v>&gt;215:AATCCG:22.00:50.00:Warning:6:1776.22</v>
      </c>
    </row>
    <row r="435" spans="1:6" x14ac:dyDescent="0.3">
      <c r="A435" t="s">
        <v>221</v>
      </c>
      <c r="F435" t="str">
        <f t="shared" ref="F435" si="427">A435</f>
        <v>AATCCG</v>
      </c>
    </row>
    <row r="436" spans="1:6" x14ac:dyDescent="0.3">
      <c r="A436" t="s">
        <v>4318</v>
      </c>
      <c r="F436" t="str">
        <f t="shared" ref="F436" si="428">LEFT(A436, LEN(A436) - 1)</f>
        <v>&gt;216:AATCCT:16.00:33.33:OK:6:1751.20</v>
      </c>
    </row>
    <row r="437" spans="1:6" x14ac:dyDescent="0.3">
      <c r="A437" t="s">
        <v>222</v>
      </c>
      <c r="F437" t="str">
        <f t="shared" ref="F437" si="429">A437</f>
        <v>AATCCT</v>
      </c>
    </row>
    <row r="438" spans="1:6" x14ac:dyDescent="0.3">
      <c r="A438" t="s">
        <v>4319</v>
      </c>
      <c r="F438" t="str">
        <f t="shared" ref="F438" si="430">LEFT(A438, LEN(A438) - 1)</f>
        <v>&gt;217:AATCGA:24.00:33.33:OK:6:1800.25</v>
      </c>
    </row>
    <row r="439" spans="1:6" x14ac:dyDescent="0.3">
      <c r="A439" t="s">
        <v>223</v>
      </c>
      <c r="F439" t="str">
        <f t="shared" ref="F439" si="431">A439</f>
        <v>AATCGA</v>
      </c>
    </row>
    <row r="440" spans="1:6" x14ac:dyDescent="0.3">
      <c r="A440" t="s">
        <v>4320</v>
      </c>
      <c r="F440" t="str">
        <f t="shared" ref="F440" si="432">LEFT(A440, LEN(A440) - 1)</f>
        <v>&gt;218:AATCGC:22.00:50.00:Warning:6:1776.22</v>
      </c>
    </row>
    <row r="441" spans="1:6" x14ac:dyDescent="0.3">
      <c r="A441" t="s">
        <v>224</v>
      </c>
      <c r="F441" t="str">
        <f t="shared" ref="F441" si="433">A441</f>
        <v>AATCGC</v>
      </c>
    </row>
    <row r="442" spans="1:6" x14ac:dyDescent="0.3">
      <c r="A442" t="s">
        <v>4321</v>
      </c>
      <c r="F442" t="str">
        <f t="shared" ref="F442" si="434">LEFT(A442, LEN(A442) - 1)</f>
        <v>&gt;219:AATCGG:22.00:50.00:Warning:6:1816.25</v>
      </c>
    </row>
    <row r="443" spans="1:6" x14ac:dyDescent="0.3">
      <c r="A443" t="s">
        <v>225</v>
      </c>
      <c r="F443" t="str">
        <f t="shared" ref="F443" si="435">A443</f>
        <v>AATCGG</v>
      </c>
    </row>
    <row r="444" spans="1:6" x14ac:dyDescent="0.3">
      <c r="A444" t="s">
        <v>4322</v>
      </c>
      <c r="F444" t="str">
        <f t="shared" ref="F444" si="436">LEFT(A444, LEN(A444) - 1)</f>
        <v>&gt;220:AATCGT:16.00:33.33:OK:6:1791.23</v>
      </c>
    </row>
    <row r="445" spans="1:6" x14ac:dyDescent="0.3">
      <c r="A445" t="s">
        <v>226</v>
      </c>
      <c r="F445" t="str">
        <f t="shared" ref="F445" si="437">A445</f>
        <v>AATCGT</v>
      </c>
    </row>
    <row r="446" spans="1:6" x14ac:dyDescent="0.3">
      <c r="A446" t="s">
        <v>4323</v>
      </c>
      <c r="F446" t="str">
        <f t="shared" ref="F446" si="438">LEFT(A446, LEN(A446) - 1)</f>
        <v>&gt;221:AATCTA:18.00:16.67:OK:6:1775.23</v>
      </c>
    </row>
    <row r="447" spans="1:6" x14ac:dyDescent="0.3">
      <c r="A447" t="s">
        <v>227</v>
      </c>
      <c r="F447" t="str">
        <f t="shared" ref="F447" si="439">A447</f>
        <v>AATCTA</v>
      </c>
    </row>
    <row r="448" spans="1:6" x14ac:dyDescent="0.3">
      <c r="A448" t="s">
        <v>4324</v>
      </c>
      <c r="F448" t="str">
        <f t="shared" ref="F448" si="440">LEFT(A448, LEN(A448) - 1)</f>
        <v>&gt;222:AATCTC:16.00:33.33:OK:6:1751.20</v>
      </c>
    </row>
    <row r="449" spans="1:6" x14ac:dyDescent="0.3">
      <c r="A449" t="s">
        <v>228</v>
      </c>
      <c r="F449" t="str">
        <f t="shared" ref="F449" si="441">A449</f>
        <v>AATCTC</v>
      </c>
    </row>
    <row r="450" spans="1:6" x14ac:dyDescent="0.3">
      <c r="A450" t="s">
        <v>4325</v>
      </c>
      <c r="F450" t="str">
        <f t="shared" ref="F450" si="442">LEFT(A450, LEN(A450) - 1)</f>
        <v>&gt;223:AATCTG:16.00:33.33:OK:6:1791.23</v>
      </c>
    </row>
    <row r="451" spans="1:6" x14ac:dyDescent="0.3">
      <c r="A451" t="s">
        <v>229</v>
      </c>
      <c r="F451" t="str">
        <f t="shared" ref="F451" si="443">A451</f>
        <v>AATCTG</v>
      </c>
    </row>
    <row r="452" spans="1:6" x14ac:dyDescent="0.3">
      <c r="A452" t="s">
        <v>4326</v>
      </c>
      <c r="F452" t="str">
        <f t="shared" ref="F452" si="444">LEFT(A452, LEN(A452) - 1)</f>
        <v>&gt;224:AATCTT:10.00:16.67:OK:6:1766.21</v>
      </c>
    </row>
    <row r="453" spans="1:6" x14ac:dyDescent="0.3">
      <c r="A453" t="s">
        <v>230</v>
      </c>
      <c r="F453" t="str">
        <f t="shared" ref="F453" si="445">A453</f>
        <v>AATCTT</v>
      </c>
    </row>
    <row r="454" spans="1:6" x14ac:dyDescent="0.3">
      <c r="A454" t="s">
        <v>4327</v>
      </c>
      <c r="F454" t="str">
        <f t="shared" ref="F454" si="446">LEFT(A454, LEN(A454) - 1)</f>
        <v>&gt;225:AATGAA:26.00:16.67:OK:6:1824.28</v>
      </c>
    </row>
    <row r="455" spans="1:6" x14ac:dyDescent="0.3">
      <c r="A455" t="s">
        <v>231</v>
      </c>
      <c r="F455" t="str">
        <f t="shared" ref="F455" si="447">A455</f>
        <v>AATGAA</v>
      </c>
    </row>
    <row r="456" spans="1:6" x14ac:dyDescent="0.3">
      <c r="A456" t="s">
        <v>4328</v>
      </c>
      <c r="F456" t="str">
        <f t="shared" ref="F456" si="448">LEFT(A456, LEN(A456) - 1)</f>
        <v>&gt;226:AATGAC:24.00:33.33:OK:6:1800.25</v>
      </c>
    </row>
    <row r="457" spans="1:6" x14ac:dyDescent="0.3">
      <c r="A457" t="s">
        <v>232</v>
      </c>
      <c r="F457" t="str">
        <f t="shared" ref="F457" si="449">A457</f>
        <v>AATGAC</v>
      </c>
    </row>
    <row r="458" spans="1:6" x14ac:dyDescent="0.3">
      <c r="A458" t="s">
        <v>4329</v>
      </c>
      <c r="F458" t="str">
        <f t="shared" ref="F458" si="450">LEFT(A458, LEN(A458) - 1)</f>
        <v>&gt;227:AATGAG:24.00:33.33:OK:6:1840.28</v>
      </c>
    </row>
    <row r="459" spans="1:6" x14ac:dyDescent="0.3">
      <c r="A459" t="s">
        <v>233</v>
      </c>
      <c r="F459" t="str">
        <f t="shared" ref="F459" si="451">A459</f>
        <v>AATGAG</v>
      </c>
    </row>
    <row r="460" spans="1:6" x14ac:dyDescent="0.3">
      <c r="A460" t="s">
        <v>4330</v>
      </c>
      <c r="F460" t="str">
        <f t="shared" ref="F460" si="452">LEFT(A460, LEN(A460) - 1)</f>
        <v>&gt;228:AATGAT:18.00:16.67:OK:6:1815.26</v>
      </c>
    </row>
    <row r="461" spans="1:6" x14ac:dyDescent="0.3">
      <c r="A461" t="s">
        <v>234</v>
      </c>
      <c r="F461" t="str">
        <f t="shared" ref="F461" si="453">A461</f>
        <v>AATGAT</v>
      </c>
    </row>
    <row r="462" spans="1:6" x14ac:dyDescent="0.3">
      <c r="A462" t="s">
        <v>4331</v>
      </c>
      <c r="F462" t="str">
        <f t="shared" ref="F462" si="454">LEFT(A462, LEN(A462) - 1)</f>
        <v>&gt;229:AATGCA:24.00:33.33:OK:6:1800.25</v>
      </c>
    </row>
    <row r="463" spans="1:6" x14ac:dyDescent="0.3">
      <c r="A463" t="s">
        <v>235</v>
      </c>
      <c r="F463" t="str">
        <f t="shared" ref="F463" si="455">A463</f>
        <v>AATGCA</v>
      </c>
    </row>
    <row r="464" spans="1:6" x14ac:dyDescent="0.3">
      <c r="A464" t="s">
        <v>4332</v>
      </c>
      <c r="F464" t="str">
        <f t="shared" ref="F464" si="456">LEFT(A464, LEN(A464) - 1)</f>
        <v>&gt;230:AATGCC:22.00:50.00:Warning:6:1776.22</v>
      </c>
    </row>
    <row r="465" spans="1:6" x14ac:dyDescent="0.3">
      <c r="A465" t="s">
        <v>236</v>
      </c>
      <c r="F465" t="str">
        <f t="shared" ref="F465" si="457">A465</f>
        <v>AATGCC</v>
      </c>
    </row>
    <row r="466" spans="1:6" x14ac:dyDescent="0.3">
      <c r="A466" t="s">
        <v>4333</v>
      </c>
      <c r="F466" t="str">
        <f t="shared" ref="F466" si="458">LEFT(A466, LEN(A466) - 1)</f>
        <v>&gt;231:AATGCG:22.00:50.00:Warning:6:1816.25</v>
      </c>
    </row>
    <row r="467" spans="1:6" x14ac:dyDescent="0.3">
      <c r="A467" t="s">
        <v>237</v>
      </c>
      <c r="F467" t="str">
        <f t="shared" ref="F467" si="459">A467</f>
        <v>AATGCG</v>
      </c>
    </row>
    <row r="468" spans="1:6" x14ac:dyDescent="0.3">
      <c r="A468" t="s">
        <v>4334</v>
      </c>
      <c r="F468" t="str">
        <f t="shared" ref="F468" si="460">LEFT(A468, LEN(A468) - 1)</f>
        <v>&gt;232:AATGCT:16.00:33.33:OK:6:1791.23</v>
      </c>
    </row>
    <row r="469" spans="1:6" x14ac:dyDescent="0.3">
      <c r="A469" t="s">
        <v>238</v>
      </c>
      <c r="F469" t="str">
        <f t="shared" ref="F469" si="461">A469</f>
        <v>AATGCT</v>
      </c>
    </row>
    <row r="470" spans="1:6" x14ac:dyDescent="0.3">
      <c r="A470" t="s">
        <v>4335</v>
      </c>
      <c r="F470" t="str">
        <f t="shared" ref="F470" si="462">LEFT(A470, LEN(A470) - 1)</f>
        <v>&gt;233:AATGGA:24.00:33.33:OK:6:1840.28</v>
      </c>
    </row>
    <row r="471" spans="1:6" x14ac:dyDescent="0.3">
      <c r="A471" t="s">
        <v>239</v>
      </c>
      <c r="F471" t="str">
        <f t="shared" ref="F471" si="463">A471</f>
        <v>AATGGA</v>
      </c>
    </row>
    <row r="472" spans="1:6" x14ac:dyDescent="0.3">
      <c r="A472" t="s">
        <v>4336</v>
      </c>
      <c r="F472" t="str">
        <f t="shared" ref="F472" si="464">LEFT(A472, LEN(A472) - 1)</f>
        <v>&gt;234:AATGGC:22.00:50.00:Warning:6:1816.25</v>
      </c>
    </row>
    <row r="473" spans="1:6" x14ac:dyDescent="0.3">
      <c r="A473" t="s">
        <v>240</v>
      </c>
      <c r="F473" t="str">
        <f t="shared" ref="F473" si="465">A473</f>
        <v>AATGGC</v>
      </c>
    </row>
    <row r="474" spans="1:6" x14ac:dyDescent="0.3">
      <c r="A474" t="s">
        <v>4337</v>
      </c>
      <c r="F474" t="str">
        <f t="shared" ref="F474" si="466">LEFT(A474, LEN(A474) - 1)</f>
        <v>&gt;235:AATGGG:22.00:50.00:Warning:6:1856.28</v>
      </c>
    </row>
    <row r="475" spans="1:6" x14ac:dyDescent="0.3">
      <c r="A475" t="s">
        <v>241</v>
      </c>
      <c r="F475" t="str">
        <f t="shared" ref="F475" si="467">A475</f>
        <v>AATGGG</v>
      </c>
    </row>
    <row r="476" spans="1:6" x14ac:dyDescent="0.3">
      <c r="A476" t="s">
        <v>4338</v>
      </c>
      <c r="F476" t="str">
        <f t="shared" ref="F476" si="468">LEFT(A476, LEN(A476) - 1)</f>
        <v>&gt;236:AATGGT:16.00:33.33:OK:6:1831.26</v>
      </c>
    </row>
    <row r="477" spans="1:6" x14ac:dyDescent="0.3">
      <c r="A477" t="s">
        <v>242</v>
      </c>
      <c r="F477" t="str">
        <f t="shared" ref="F477" si="469">A477</f>
        <v>AATGGT</v>
      </c>
    </row>
    <row r="478" spans="1:6" x14ac:dyDescent="0.3">
      <c r="A478" t="s">
        <v>4339</v>
      </c>
      <c r="F478" t="str">
        <f t="shared" ref="F478" si="470">LEFT(A478, LEN(A478) - 1)</f>
        <v>&gt;237:AATGTA:18.00:16.67:OK:6:1815.26</v>
      </c>
    </row>
    <row r="479" spans="1:6" x14ac:dyDescent="0.3">
      <c r="A479" t="s">
        <v>243</v>
      </c>
      <c r="F479" t="str">
        <f t="shared" ref="F479" si="471">A479</f>
        <v>AATGTA</v>
      </c>
    </row>
    <row r="480" spans="1:6" x14ac:dyDescent="0.3">
      <c r="A480" t="s">
        <v>4340</v>
      </c>
      <c r="F480" t="str">
        <f t="shared" ref="F480" si="472">LEFT(A480, LEN(A480) - 1)</f>
        <v>&gt;238:AATGTC:16.00:33.33:OK:6:1791.23</v>
      </c>
    </row>
    <row r="481" spans="1:6" x14ac:dyDescent="0.3">
      <c r="A481" t="s">
        <v>244</v>
      </c>
      <c r="F481" t="str">
        <f t="shared" ref="F481" si="473">A481</f>
        <v>AATGTC</v>
      </c>
    </row>
    <row r="482" spans="1:6" x14ac:dyDescent="0.3">
      <c r="A482" t="s">
        <v>4341</v>
      </c>
      <c r="F482" t="str">
        <f t="shared" ref="F482" si="474">LEFT(A482, LEN(A482) - 1)</f>
        <v>&gt;239:AATGTG:16.00:33.33:OK:6:1831.26</v>
      </c>
    </row>
    <row r="483" spans="1:6" x14ac:dyDescent="0.3">
      <c r="A483" t="s">
        <v>245</v>
      </c>
      <c r="F483" t="str">
        <f t="shared" ref="F483" si="475">A483</f>
        <v>AATGTG</v>
      </c>
    </row>
    <row r="484" spans="1:6" x14ac:dyDescent="0.3">
      <c r="A484" t="s">
        <v>4342</v>
      </c>
      <c r="F484" t="str">
        <f t="shared" ref="F484" si="476">LEFT(A484, LEN(A484) - 1)</f>
        <v>&gt;240:AATGTT:10.00:16.67:OK:6:1806.24</v>
      </c>
    </row>
    <row r="485" spans="1:6" x14ac:dyDescent="0.3">
      <c r="A485" t="s">
        <v>246</v>
      </c>
      <c r="F485" t="str">
        <f t="shared" ref="F485" si="477">A485</f>
        <v>AATGTT</v>
      </c>
    </row>
    <row r="486" spans="1:6" x14ac:dyDescent="0.3">
      <c r="A486" t="s">
        <v>4343</v>
      </c>
      <c r="F486" t="str">
        <f t="shared" ref="F486" si="478">LEFT(A486, LEN(A486) - 1)</f>
        <v>&gt;241:AATTAA:20.00:0.00:OK:6:1799.26</v>
      </c>
    </row>
    <row r="487" spans="1:6" x14ac:dyDescent="0.3">
      <c r="A487" t="s">
        <v>247</v>
      </c>
      <c r="F487" t="str">
        <f t="shared" ref="F487" si="479">A487</f>
        <v>AATTAA</v>
      </c>
    </row>
    <row r="488" spans="1:6" x14ac:dyDescent="0.3">
      <c r="A488" t="s">
        <v>4344</v>
      </c>
      <c r="F488" t="str">
        <f t="shared" ref="F488" si="480">LEFT(A488, LEN(A488) - 1)</f>
        <v>&gt;242:AATTAC:18.00:16.67:OK:6:1775.23</v>
      </c>
    </row>
    <row r="489" spans="1:6" x14ac:dyDescent="0.3">
      <c r="A489" t="s">
        <v>248</v>
      </c>
      <c r="F489" t="str">
        <f t="shared" ref="F489" si="481">A489</f>
        <v>AATTAC</v>
      </c>
    </row>
    <row r="490" spans="1:6" x14ac:dyDescent="0.3">
      <c r="A490" t="s">
        <v>4345</v>
      </c>
      <c r="F490" t="str">
        <f t="shared" ref="F490" si="482">LEFT(A490, LEN(A490) - 1)</f>
        <v>&gt;243:AATTAG:18.00:16.67:OK:6:1815.26</v>
      </c>
    </row>
    <row r="491" spans="1:6" x14ac:dyDescent="0.3">
      <c r="A491" t="s">
        <v>249</v>
      </c>
      <c r="F491" t="str">
        <f t="shared" ref="F491" si="483">A491</f>
        <v>AATTAG</v>
      </c>
    </row>
    <row r="492" spans="1:6" x14ac:dyDescent="0.3">
      <c r="A492" t="s">
        <v>4346</v>
      </c>
      <c r="F492" t="str">
        <f t="shared" ref="F492" si="484">LEFT(A492, LEN(A492) - 1)</f>
        <v>&gt;244:AATTAT:12.00:0.00:OK:6:1790.24</v>
      </c>
    </row>
    <row r="493" spans="1:6" x14ac:dyDescent="0.3">
      <c r="A493" t="s">
        <v>250</v>
      </c>
      <c r="F493" t="str">
        <f t="shared" ref="F493" si="485">A493</f>
        <v>AATTAT</v>
      </c>
    </row>
    <row r="494" spans="1:6" x14ac:dyDescent="0.3">
      <c r="A494" t="s">
        <v>4347</v>
      </c>
      <c r="F494" t="str">
        <f t="shared" ref="F494" si="486">LEFT(A494, LEN(A494) - 1)</f>
        <v>&gt;245:AATTCA:18.00:16.67:OK:6:1775.23</v>
      </c>
    </row>
    <row r="495" spans="1:6" x14ac:dyDescent="0.3">
      <c r="A495" t="s">
        <v>251</v>
      </c>
      <c r="F495" t="str">
        <f t="shared" ref="F495" si="487">A495</f>
        <v>AATTCA</v>
      </c>
    </row>
    <row r="496" spans="1:6" x14ac:dyDescent="0.3">
      <c r="A496" t="s">
        <v>4348</v>
      </c>
      <c r="F496" t="str">
        <f t="shared" ref="F496" si="488">LEFT(A496, LEN(A496) - 1)</f>
        <v>&gt;246:AATTCC:16.00:33.33:OK:6:1751.20</v>
      </c>
    </row>
    <row r="497" spans="1:6" x14ac:dyDescent="0.3">
      <c r="A497" t="s">
        <v>252</v>
      </c>
      <c r="F497" t="str">
        <f t="shared" ref="F497" si="489">A497</f>
        <v>AATTCC</v>
      </c>
    </row>
    <row r="498" spans="1:6" x14ac:dyDescent="0.3">
      <c r="A498" t="s">
        <v>4349</v>
      </c>
      <c r="F498" t="str">
        <f t="shared" ref="F498" si="490">LEFT(A498, LEN(A498) - 1)</f>
        <v>&gt;247:AATTCG:16.00:33.33:OK:6:1791.23</v>
      </c>
    </row>
    <row r="499" spans="1:6" x14ac:dyDescent="0.3">
      <c r="A499" t="s">
        <v>253</v>
      </c>
      <c r="F499" t="str">
        <f t="shared" ref="F499" si="491">A499</f>
        <v>AATTCG</v>
      </c>
    </row>
    <row r="500" spans="1:6" x14ac:dyDescent="0.3">
      <c r="A500" t="s">
        <v>4350</v>
      </c>
      <c r="F500" t="str">
        <f t="shared" ref="F500" si="492">LEFT(A500, LEN(A500) - 1)</f>
        <v>&gt;248:AATTCT:10.00:16.67:OK:6:1766.21</v>
      </c>
    </row>
    <row r="501" spans="1:6" x14ac:dyDescent="0.3">
      <c r="A501" t="s">
        <v>254</v>
      </c>
      <c r="F501" t="str">
        <f t="shared" ref="F501" si="493">A501</f>
        <v>AATTCT</v>
      </c>
    </row>
    <row r="502" spans="1:6" x14ac:dyDescent="0.3">
      <c r="A502" t="s">
        <v>4351</v>
      </c>
      <c r="F502" t="str">
        <f t="shared" ref="F502" si="494">LEFT(A502, LEN(A502) - 1)</f>
        <v>&gt;249:AATTGA:18.00:16.67:OK:6:1815.26</v>
      </c>
    </row>
    <row r="503" spans="1:6" x14ac:dyDescent="0.3">
      <c r="A503" t="s">
        <v>255</v>
      </c>
      <c r="F503" t="str">
        <f t="shared" ref="F503" si="495">A503</f>
        <v>AATTGA</v>
      </c>
    </row>
    <row r="504" spans="1:6" x14ac:dyDescent="0.3">
      <c r="A504" t="s">
        <v>4352</v>
      </c>
      <c r="F504" t="str">
        <f t="shared" ref="F504" si="496">LEFT(A504, LEN(A504) - 1)</f>
        <v>&gt;250:AATTGC:16.00:33.33:OK:6:1791.23</v>
      </c>
    </row>
    <row r="505" spans="1:6" x14ac:dyDescent="0.3">
      <c r="A505" t="s">
        <v>256</v>
      </c>
      <c r="F505" t="str">
        <f t="shared" ref="F505" si="497">A505</f>
        <v>AATTGC</v>
      </c>
    </row>
    <row r="506" spans="1:6" x14ac:dyDescent="0.3">
      <c r="A506" t="s">
        <v>4353</v>
      </c>
      <c r="F506" t="str">
        <f t="shared" ref="F506" si="498">LEFT(A506, LEN(A506) - 1)</f>
        <v>&gt;251:AATTGG:16.00:33.33:OK:6:1831.26</v>
      </c>
    </row>
    <row r="507" spans="1:6" x14ac:dyDescent="0.3">
      <c r="A507" t="s">
        <v>257</v>
      </c>
      <c r="F507" t="str">
        <f t="shared" ref="F507" si="499">A507</f>
        <v>AATTGG</v>
      </c>
    </row>
    <row r="508" spans="1:6" x14ac:dyDescent="0.3">
      <c r="A508" t="s">
        <v>4354</v>
      </c>
      <c r="F508" t="str">
        <f t="shared" ref="F508" si="500">LEFT(A508, LEN(A508) - 1)</f>
        <v>&gt;252:AATTGT:10.00:16.67:OK:6:1806.24</v>
      </c>
    </row>
    <row r="509" spans="1:6" x14ac:dyDescent="0.3">
      <c r="A509" t="s">
        <v>258</v>
      </c>
      <c r="F509" t="str">
        <f t="shared" ref="F509" si="501">A509</f>
        <v>AATTGT</v>
      </c>
    </row>
    <row r="510" spans="1:6" x14ac:dyDescent="0.3">
      <c r="A510" t="s">
        <v>4355</v>
      </c>
      <c r="F510" t="str">
        <f t="shared" ref="F510" si="502">LEFT(A510, LEN(A510) - 1)</f>
        <v>&gt;253:AATTTA:12.00:0.00:OK:6:1790.24</v>
      </c>
    </row>
    <row r="511" spans="1:6" x14ac:dyDescent="0.3">
      <c r="A511" t="s">
        <v>259</v>
      </c>
      <c r="F511" t="str">
        <f t="shared" ref="F511" si="503">A511</f>
        <v>AATTTA</v>
      </c>
    </row>
    <row r="512" spans="1:6" x14ac:dyDescent="0.3">
      <c r="A512" t="s">
        <v>4356</v>
      </c>
      <c r="F512" t="str">
        <f t="shared" ref="F512" si="504">LEFT(A512, LEN(A512) - 1)</f>
        <v>&gt;254:AATTTC:10.00:16.67:OK:6:1766.21</v>
      </c>
    </row>
    <row r="513" spans="1:6" x14ac:dyDescent="0.3">
      <c r="A513" t="s">
        <v>260</v>
      </c>
      <c r="F513" t="str">
        <f t="shared" ref="F513" si="505">A513</f>
        <v>AATTTC</v>
      </c>
    </row>
    <row r="514" spans="1:6" x14ac:dyDescent="0.3">
      <c r="A514" t="s">
        <v>4357</v>
      </c>
      <c r="F514" t="str">
        <f t="shared" ref="F514" si="506">LEFT(A514, LEN(A514) - 1)</f>
        <v>&gt;255:AATTTG:10.00:16.67:OK:6:1806.24</v>
      </c>
    </row>
    <row r="515" spans="1:6" x14ac:dyDescent="0.3">
      <c r="A515" t="s">
        <v>261</v>
      </c>
      <c r="F515" t="str">
        <f t="shared" ref="F515" si="507">A515</f>
        <v>AATTTG</v>
      </c>
    </row>
    <row r="516" spans="1:6" x14ac:dyDescent="0.3">
      <c r="A516" t="s">
        <v>4358</v>
      </c>
      <c r="F516" t="str">
        <f t="shared" ref="F516" si="508">LEFT(A516, LEN(A516) - 1)</f>
        <v>&gt;256:AATTTT:4.00:0.00:OK:6:1781.22</v>
      </c>
    </row>
    <row r="517" spans="1:6" x14ac:dyDescent="0.3">
      <c r="A517" t="s">
        <v>262</v>
      </c>
      <c r="F517" t="str">
        <f t="shared" ref="F517" si="509">A517</f>
        <v>AATTTT</v>
      </c>
    </row>
    <row r="518" spans="1:6" x14ac:dyDescent="0.3">
      <c r="A518" t="s">
        <v>4359</v>
      </c>
      <c r="F518" t="str">
        <f t="shared" ref="F518" si="510">LEFT(A518, LEN(A518) - 1)</f>
        <v>&gt;257:ACAAAA:34.00:16.67:OK:6:1793.27</v>
      </c>
    </row>
    <row r="519" spans="1:6" x14ac:dyDescent="0.3">
      <c r="A519" t="s">
        <v>263</v>
      </c>
      <c r="F519" t="str">
        <f t="shared" ref="F519" si="511">A519</f>
        <v>ACAAAA</v>
      </c>
    </row>
    <row r="520" spans="1:6" x14ac:dyDescent="0.3">
      <c r="A520" t="s">
        <v>4360</v>
      </c>
      <c r="F520" t="str">
        <f t="shared" ref="F520" si="512">LEFT(A520, LEN(A520) - 1)</f>
        <v>&gt;258:ACAAAC:32.00:33.33:OK:6:1769.24</v>
      </c>
    </row>
    <row r="521" spans="1:6" x14ac:dyDescent="0.3">
      <c r="A521" t="s">
        <v>264</v>
      </c>
      <c r="F521" t="str">
        <f t="shared" ref="F521" si="513">A521</f>
        <v>ACAAAC</v>
      </c>
    </row>
    <row r="522" spans="1:6" x14ac:dyDescent="0.3">
      <c r="A522" t="s">
        <v>4361</v>
      </c>
      <c r="F522" t="str">
        <f t="shared" ref="F522" si="514">LEFT(A522, LEN(A522) - 1)</f>
        <v>&gt;259:ACAAAG:32.00:33.33:OK:6:1809.27</v>
      </c>
    </row>
    <row r="523" spans="1:6" x14ac:dyDescent="0.3">
      <c r="A523" t="s">
        <v>265</v>
      </c>
      <c r="F523" t="str">
        <f t="shared" ref="F523" si="515">A523</f>
        <v>ACAAAG</v>
      </c>
    </row>
    <row r="524" spans="1:6" x14ac:dyDescent="0.3">
      <c r="A524" t="s">
        <v>4362</v>
      </c>
      <c r="F524" t="str">
        <f t="shared" ref="F524" si="516">LEFT(A524, LEN(A524) - 1)</f>
        <v>&gt;260:ACAAAT:26.00:16.67:OK:6:1784.25</v>
      </c>
    </row>
    <row r="525" spans="1:6" x14ac:dyDescent="0.3">
      <c r="A525" t="s">
        <v>266</v>
      </c>
      <c r="F525" t="str">
        <f t="shared" ref="F525" si="517">A525</f>
        <v>ACAAAT</v>
      </c>
    </row>
    <row r="526" spans="1:6" x14ac:dyDescent="0.3">
      <c r="A526" t="s">
        <v>4363</v>
      </c>
      <c r="F526" t="str">
        <f t="shared" ref="F526" si="518">LEFT(A526, LEN(A526) - 1)</f>
        <v>&gt;261:ACAACA:32.00:33.33:OK:6:1769.24</v>
      </c>
    </row>
    <row r="527" spans="1:6" x14ac:dyDescent="0.3">
      <c r="A527" t="s">
        <v>267</v>
      </c>
      <c r="F527" t="str">
        <f t="shared" ref="F527" si="519">A527</f>
        <v>ACAACA</v>
      </c>
    </row>
    <row r="528" spans="1:6" x14ac:dyDescent="0.3">
      <c r="A528" t="s">
        <v>4364</v>
      </c>
      <c r="F528" t="str">
        <f t="shared" ref="F528" si="520">LEFT(A528, LEN(A528) - 1)</f>
        <v>&gt;262:ACAACC:30.00:50.00:Warning:6:1745.21</v>
      </c>
    </row>
    <row r="529" spans="1:6" x14ac:dyDescent="0.3">
      <c r="A529" t="s">
        <v>268</v>
      </c>
      <c r="F529" t="str">
        <f t="shared" ref="F529" si="521">A529</f>
        <v>ACAACC</v>
      </c>
    </row>
    <row r="530" spans="1:6" x14ac:dyDescent="0.3">
      <c r="A530" t="s">
        <v>4365</v>
      </c>
      <c r="F530" t="str">
        <f t="shared" ref="F530" si="522">LEFT(A530, LEN(A530) - 1)</f>
        <v>&gt;263:ACAACG:30.00:50.00:Warning:6:1785.24</v>
      </c>
    </row>
    <row r="531" spans="1:6" x14ac:dyDescent="0.3">
      <c r="A531" t="s">
        <v>269</v>
      </c>
      <c r="F531" t="str">
        <f t="shared" ref="F531" si="523">A531</f>
        <v>ACAACG</v>
      </c>
    </row>
    <row r="532" spans="1:6" x14ac:dyDescent="0.3">
      <c r="A532" t="s">
        <v>4366</v>
      </c>
      <c r="F532" t="str">
        <f t="shared" ref="F532" si="524">LEFT(A532, LEN(A532) - 1)</f>
        <v>&gt;264:ACAACT:24.00:33.33:OK:6:1760.22</v>
      </c>
    </row>
    <row r="533" spans="1:6" x14ac:dyDescent="0.3">
      <c r="A533" t="s">
        <v>270</v>
      </c>
      <c r="F533" t="str">
        <f t="shared" ref="F533" si="525">A533</f>
        <v>ACAACT</v>
      </c>
    </row>
    <row r="534" spans="1:6" x14ac:dyDescent="0.3">
      <c r="A534" t="s">
        <v>4367</v>
      </c>
      <c r="F534" t="str">
        <f t="shared" ref="F534" si="526">LEFT(A534, LEN(A534) - 1)</f>
        <v>&gt;265:ACAAGA:32.00:33.33:OK:6:1809.27</v>
      </c>
    </row>
    <row r="535" spans="1:6" x14ac:dyDescent="0.3">
      <c r="A535" t="s">
        <v>271</v>
      </c>
      <c r="F535" t="str">
        <f t="shared" ref="F535" si="527">A535</f>
        <v>ACAAGA</v>
      </c>
    </row>
    <row r="536" spans="1:6" x14ac:dyDescent="0.3">
      <c r="A536" t="s">
        <v>4368</v>
      </c>
      <c r="F536" t="str">
        <f t="shared" ref="F536" si="528">LEFT(A536, LEN(A536) - 1)</f>
        <v>&gt;266:ACAAGC:30.00:50.00:Warning:6:1785.24</v>
      </c>
    </row>
    <row r="537" spans="1:6" x14ac:dyDescent="0.3">
      <c r="A537" t="s">
        <v>272</v>
      </c>
      <c r="F537" t="str">
        <f t="shared" ref="F537" si="529">A537</f>
        <v>ACAAGC</v>
      </c>
    </row>
    <row r="538" spans="1:6" x14ac:dyDescent="0.3">
      <c r="A538" t="s">
        <v>4369</v>
      </c>
      <c r="F538" t="str">
        <f t="shared" ref="F538" si="530">LEFT(A538, LEN(A538) - 1)</f>
        <v>&gt;267:ACAAGG:30.00:50.00:Warning:6:1825.27</v>
      </c>
    </row>
    <row r="539" spans="1:6" x14ac:dyDescent="0.3">
      <c r="A539" t="s">
        <v>273</v>
      </c>
      <c r="F539" t="str">
        <f t="shared" ref="F539" si="531">A539</f>
        <v>ACAAGG</v>
      </c>
    </row>
    <row r="540" spans="1:6" x14ac:dyDescent="0.3">
      <c r="A540" t="s">
        <v>4370</v>
      </c>
      <c r="F540" t="str">
        <f t="shared" ref="F540" si="532">LEFT(A540, LEN(A540) - 1)</f>
        <v>&gt;268:ACAAGT:24.00:33.33:OK:6:1800.25</v>
      </c>
    </row>
    <row r="541" spans="1:6" x14ac:dyDescent="0.3">
      <c r="A541" t="s">
        <v>274</v>
      </c>
      <c r="F541" t="str">
        <f t="shared" ref="F541" si="533">A541</f>
        <v>ACAAGT</v>
      </c>
    </row>
    <row r="542" spans="1:6" x14ac:dyDescent="0.3">
      <c r="A542" t="s">
        <v>4371</v>
      </c>
      <c r="F542" t="str">
        <f t="shared" ref="F542" si="534">LEFT(A542, LEN(A542) - 1)</f>
        <v>&gt;269:ACAATA:26.00:16.67:OK:6:1784.25</v>
      </c>
    </row>
    <row r="543" spans="1:6" x14ac:dyDescent="0.3">
      <c r="A543" t="s">
        <v>275</v>
      </c>
      <c r="F543" t="str">
        <f t="shared" ref="F543" si="535">A543</f>
        <v>ACAATA</v>
      </c>
    </row>
    <row r="544" spans="1:6" x14ac:dyDescent="0.3">
      <c r="A544" t="s">
        <v>4372</v>
      </c>
      <c r="F544" t="str">
        <f t="shared" ref="F544" si="536">LEFT(A544, LEN(A544) - 1)</f>
        <v>&gt;270:ACAATC:24.00:33.33:OK:6:1760.22</v>
      </c>
    </row>
    <row r="545" spans="1:6" x14ac:dyDescent="0.3">
      <c r="A545" t="s">
        <v>276</v>
      </c>
      <c r="F545" t="str">
        <f t="shared" ref="F545" si="537">A545</f>
        <v>ACAATC</v>
      </c>
    </row>
    <row r="546" spans="1:6" x14ac:dyDescent="0.3">
      <c r="A546" t="s">
        <v>4373</v>
      </c>
      <c r="F546" t="str">
        <f t="shared" ref="F546" si="538">LEFT(A546, LEN(A546) - 1)</f>
        <v>&gt;271:ACAATG:24.00:33.33:OK:6:1800.25</v>
      </c>
    </row>
    <row r="547" spans="1:6" x14ac:dyDescent="0.3">
      <c r="A547" t="s">
        <v>277</v>
      </c>
      <c r="F547" t="str">
        <f t="shared" ref="F547" si="539">A547</f>
        <v>ACAATG</v>
      </c>
    </row>
    <row r="548" spans="1:6" x14ac:dyDescent="0.3">
      <c r="A548" t="s">
        <v>4374</v>
      </c>
      <c r="F548" t="str">
        <f t="shared" ref="F548" si="540">LEFT(A548, LEN(A548) - 1)</f>
        <v>&gt;272:ACAATT:18.00:16.67:OK:6:1775.23</v>
      </c>
    </row>
    <row r="549" spans="1:6" x14ac:dyDescent="0.3">
      <c r="A549" t="s">
        <v>278</v>
      </c>
      <c r="F549" t="str">
        <f t="shared" ref="F549" si="541">A549</f>
        <v>ACAATT</v>
      </c>
    </row>
    <row r="550" spans="1:6" x14ac:dyDescent="0.3">
      <c r="A550" t="s">
        <v>4375</v>
      </c>
      <c r="F550" t="str">
        <f t="shared" ref="F550" si="542">LEFT(A550, LEN(A550) - 1)</f>
        <v>&gt;273:ACACAA:32.00:33.33:OK:6:1769.24</v>
      </c>
    </row>
    <row r="551" spans="1:6" x14ac:dyDescent="0.3">
      <c r="A551" t="s">
        <v>279</v>
      </c>
      <c r="F551" t="str">
        <f t="shared" ref="F551" si="543">A551</f>
        <v>ACACAA</v>
      </c>
    </row>
    <row r="552" spans="1:6" x14ac:dyDescent="0.3">
      <c r="A552" t="s">
        <v>4376</v>
      </c>
      <c r="F552" t="str">
        <f t="shared" ref="F552" si="544">LEFT(A552, LEN(A552) - 1)</f>
        <v>&gt;274:ACACAC:30.00:50.00:Warning:6:1745.21</v>
      </c>
    </row>
    <row r="553" spans="1:6" x14ac:dyDescent="0.3">
      <c r="A553" t="s">
        <v>280</v>
      </c>
      <c r="F553" t="str">
        <f t="shared" ref="F553" si="545">A553</f>
        <v>ACACAC</v>
      </c>
    </row>
    <row r="554" spans="1:6" x14ac:dyDescent="0.3">
      <c r="A554" t="s">
        <v>4377</v>
      </c>
      <c r="F554" t="str">
        <f t="shared" ref="F554" si="546">LEFT(A554, LEN(A554) - 1)</f>
        <v>&gt;275:ACACAG:30.00:50.00:Warning:6:1785.24</v>
      </c>
    </row>
    <row r="555" spans="1:6" x14ac:dyDescent="0.3">
      <c r="A555" t="s">
        <v>281</v>
      </c>
      <c r="F555" t="str">
        <f t="shared" ref="F555" si="547">A555</f>
        <v>ACACAG</v>
      </c>
    </row>
    <row r="556" spans="1:6" x14ac:dyDescent="0.3">
      <c r="A556" t="s">
        <v>4378</v>
      </c>
      <c r="F556" t="str">
        <f t="shared" ref="F556" si="548">LEFT(A556, LEN(A556) - 1)</f>
        <v>&gt;276:ACACAT:24.00:33.33:OK:6:1760.22</v>
      </c>
    </row>
    <row r="557" spans="1:6" x14ac:dyDescent="0.3">
      <c r="A557" t="s">
        <v>282</v>
      </c>
      <c r="F557" t="str">
        <f t="shared" ref="F557" si="549">A557</f>
        <v>ACACAT</v>
      </c>
    </row>
    <row r="558" spans="1:6" x14ac:dyDescent="0.3">
      <c r="A558" t="s">
        <v>4379</v>
      </c>
      <c r="F558" t="str">
        <f t="shared" ref="F558" si="550">LEFT(A558, LEN(A558) - 1)</f>
        <v>&gt;277:ACACCA:30.00:50.00:Warning:6:1745.21</v>
      </c>
    </row>
    <row r="559" spans="1:6" x14ac:dyDescent="0.3">
      <c r="A559" t="s">
        <v>283</v>
      </c>
      <c r="F559" t="str">
        <f t="shared" ref="F559" si="551">A559</f>
        <v>ACACCA</v>
      </c>
    </row>
    <row r="560" spans="1:6" x14ac:dyDescent="0.3">
      <c r="A560" t="s">
        <v>4380</v>
      </c>
      <c r="F560" t="str">
        <f t="shared" ref="F560" si="552">LEFT(A560, LEN(A560) - 1)</f>
        <v>&gt;278:ACACCC:28.00:66.67:Warning:6:1721.18</v>
      </c>
    </row>
    <row r="561" spans="1:6" x14ac:dyDescent="0.3">
      <c r="A561" t="s">
        <v>284</v>
      </c>
      <c r="F561" t="str">
        <f t="shared" ref="F561" si="553">A561</f>
        <v>ACACCC</v>
      </c>
    </row>
    <row r="562" spans="1:6" x14ac:dyDescent="0.3">
      <c r="A562" t="s">
        <v>4381</v>
      </c>
      <c r="F562" t="str">
        <f t="shared" ref="F562" si="554">LEFT(A562, LEN(A562) - 1)</f>
        <v>&gt;279:ACACCG:28.00:66.67:Warning:6:1761.21</v>
      </c>
    </row>
    <row r="563" spans="1:6" x14ac:dyDescent="0.3">
      <c r="A563" t="s">
        <v>285</v>
      </c>
      <c r="F563" t="str">
        <f t="shared" ref="F563" si="555">A563</f>
        <v>ACACCG</v>
      </c>
    </row>
    <row r="564" spans="1:6" x14ac:dyDescent="0.3">
      <c r="A564" t="s">
        <v>4382</v>
      </c>
      <c r="F564" t="str">
        <f t="shared" ref="F564" si="556">LEFT(A564, LEN(A564) - 1)</f>
        <v>&gt;280:ACACCT:22.00:50.00:Warning:6:1736.19</v>
      </c>
    </row>
    <row r="565" spans="1:6" x14ac:dyDescent="0.3">
      <c r="A565" t="s">
        <v>286</v>
      </c>
      <c r="F565" t="str">
        <f t="shared" ref="F565" si="557">A565</f>
        <v>ACACCT</v>
      </c>
    </row>
    <row r="566" spans="1:6" x14ac:dyDescent="0.3">
      <c r="A566" t="s">
        <v>4383</v>
      </c>
      <c r="F566" t="str">
        <f t="shared" ref="F566" si="558">LEFT(A566, LEN(A566) - 1)</f>
        <v>&gt;281:ACACGA:30.00:50.00:Warning:6:1785.24</v>
      </c>
    </row>
    <row r="567" spans="1:6" x14ac:dyDescent="0.3">
      <c r="A567" t="s">
        <v>287</v>
      </c>
      <c r="F567" t="str">
        <f t="shared" ref="F567" si="559">A567</f>
        <v>ACACGA</v>
      </c>
    </row>
    <row r="568" spans="1:6" x14ac:dyDescent="0.3">
      <c r="A568" t="s">
        <v>4384</v>
      </c>
      <c r="F568" t="str">
        <f t="shared" ref="F568" si="560">LEFT(A568, LEN(A568) - 1)</f>
        <v>&gt;282:ACACGC:28.00:66.67:Warning:6:1761.21</v>
      </c>
    </row>
    <row r="569" spans="1:6" x14ac:dyDescent="0.3">
      <c r="A569" t="s">
        <v>288</v>
      </c>
      <c r="F569" t="str">
        <f t="shared" ref="F569" si="561">A569</f>
        <v>ACACGC</v>
      </c>
    </row>
    <row r="570" spans="1:6" x14ac:dyDescent="0.3">
      <c r="A570" t="s">
        <v>4385</v>
      </c>
      <c r="F570" t="str">
        <f t="shared" ref="F570" si="562">LEFT(A570, LEN(A570) - 1)</f>
        <v>&gt;283:ACACGG:28.00:66.67:Warning:6:1801.24</v>
      </c>
    </row>
    <row r="571" spans="1:6" x14ac:dyDescent="0.3">
      <c r="A571" t="s">
        <v>289</v>
      </c>
      <c r="F571" t="str">
        <f t="shared" ref="F571" si="563">A571</f>
        <v>ACACGG</v>
      </c>
    </row>
    <row r="572" spans="1:6" x14ac:dyDescent="0.3">
      <c r="A572" t="s">
        <v>4386</v>
      </c>
      <c r="F572" t="str">
        <f t="shared" ref="F572" si="564">LEFT(A572, LEN(A572) - 1)</f>
        <v>&gt;284:ACACGT:22.00:50.00:Warning:6:1776.22</v>
      </c>
    </row>
    <row r="573" spans="1:6" x14ac:dyDescent="0.3">
      <c r="A573" t="s">
        <v>290</v>
      </c>
      <c r="F573" t="str">
        <f t="shared" ref="F573" si="565">A573</f>
        <v>ACACGT</v>
      </c>
    </row>
    <row r="574" spans="1:6" x14ac:dyDescent="0.3">
      <c r="A574" t="s">
        <v>4387</v>
      </c>
      <c r="F574" t="str">
        <f t="shared" ref="F574" si="566">LEFT(A574, LEN(A574) - 1)</f>
        <v>&gt;285:ACACTA:24.00:33.33:OK:6:1760.22</v>
      </c>
    </row>
    <row r="575" spans="1:6" x14ac:dyDescent="0.3">
      <c r="A575" t="s">
        <v>291</v>
      </c>
      <c r="F575" t="str">
        <f t="shared" ref="F575" si="567">A575</f>
        <v>ACACTA</v>
      </c>
    </row>
    <row r="576" spans="1:6" x14ac:dyDescent="0.3">
      <c r="A576" t="s">
        <v>4388</v>
      </c>
      <c r="F576" t="str">
        <f t="shared" ref="F576" si="568">LEFT(A576, LEN(A576) - 1)</f>
        <v>&gt;286:ACACTC:22.00:50.00:Warning:6:1736.19</v>
      </c>
    </row>
    <row r="577" spans="1:6" x14ac:dyDescent="0.3">
      <c r="A577" t="s">
        <v>292</v>
      </c>
      <c r="F577" t="str">
        <f t="shared" ref="F577" si="569">A577</f>
        <v>ACACTC</v>
      </c>
    </row>
    <row r="578" spans="1:6" x14ac:dyDescent="0.3">
      <c r="A578" t="s">
        <v>4389</v>
      </c>
      <c r="F578" t="str">
        <f t="shared" ref="F578" si="570">LEFT(A578, LEN(A578) - 1)</f>
        <v>&gt;287:ACACTG:22.00:50.00:Warning:6:1776.22</v>
      </c>
    </row>
    <row r="579" spans="1:6" x14ac:dyDescent="0.3">
      <c r="A579" t="s">
        <v>293</v>
      </c>
      <c r="F579" t="str">
        <f t="shared" ref="F579" si="571">A579</f>
        <v>ACACTG</v>
      </c>
    </row>
    <row r="580" spans="1:6" x14ac:dyDescent="0.3">
      <c r="A580" t="s">
        <v>4390</v>
      </c>
      <c r="F580" t="str">
        <f t="shared" ref="F580" si="572">LEFT(A580, LEN(A580) - 1)</f>
        <v>&gt;288:ACACTT:16.00:33.33:OK:6:1751.20</v>
      </c>
    </row>
    <row r="581" spans="1:6" x14ac:dyDescent="0.3">
      <c r="A581" t="s">
        <v>294</v>
      </c>
      <c r="F581" t="str">
        <f t="shared" ref="F581" si="573">A581</f>
        <v>ACACTT</v>
      </c>
    </row>
    <row r="582" spans="1:6" x14ac:dyDescent="0.3">
      <c r="A582" t="s">
        <v>4391</v>
      </c>
      <c r="F582" t="str">
        <f t="shared" ref="F582" si="574">LEFT(A582, LEN(A582) - 1)</f>
        <v>&gt;289:ACAGAA:32.00:33.33:OK:6:1809.27</v>
      </c>
    </row>
    <row r="583" spans="1:6" x14ac:dyDescent="0.3">
      <c r="A583" t="s">
        <v>295</v>
      </c>
      <c r="F583" t="str">
        <f t="shared" ref="F583" si="575">A583</f>
        <v>ACAGAA</v>
      </c>
    </row>
    <row r="584" spans="1:6" x14ac:dyDescent="0.3">
      <c r="A584" t="s">
        <v>4392</v>
      </c>
      <c r="F584" t="str">
        <f t="shared" ref="F584" si="576">LEFT(A584, LEN(A584) - 1)</f>
        <v>&gt;290:ACAGAC:30.00:50.00:Warning:6:1785.24</v>
      </c>
    </row>
    <row r="585" spans="1:6" x14ac:dyDescent="0.3">
      <c r="A585" t="s">
        <v>296</v>
      </c>
      <c r="F585" t="str">
        <f t="shared" ref="F585" si="577">A585</f>
        <v>ACAGAC</v>
      </c>
    </row>
    <row r="586" spans="1:6" x14ac:dyDescent="0.3">
      <c r="A586" t="s">
        <v>4393</v>
      </c>
      <c r="F586" t="str">
        <f t="shared" ref="F586" si="578">LEFT(A586, LEN(A586) - 1)</f>
        <v>&gt;291:ACAGAG:30.00:50.00:Warning:6:1825.27</v>
      </c>
    </row>
    <row r="587" spans="1:6" x14ac:dyDescent="0.3">
      <c r="A587" t="s">
        <v>297</v>
      </c>
      <c r="F587" t="str">
        <f t="shared" ref="F587" si="579">A587</f>
        <v>ACAGAG</v>
      </c>
    </row>
    <row r="588" spans="1:6" x14ac:dyDescent="0.3">
      <c r="A588" t="s">
        <v>4394</v>
      </c>
      <c r="F588" t="str">
        <f t="shared" ref="F588" si="580">LEFT(A588, LEN(A588) - 1)</f>
        <v>&gt;292:ACAGAT:24.00:33.33:OK:6:1800.25</v>
      </c>
    </row>
    <row r="589" spans="1:6" x14ac:dyDescent="0.3">
      <c r="A589" t="s">
        <v>298</v>
      </c>
      <c r="F589" t="str">
        <f t="shared" ref="F589" si="581">A589</f>
        <v>ACAGAT</v>
      </c>
    </row>
    <row r="590" spans="1:6" x14ac:dyDescent="0.3">
      <c r="A590" t="s">
        <v>4395</v>
      </c>
      <c r="F590" t="str">
        <f t="shared" ref="F590" si="582">LEFT(A590, LEN(A590) - 1)</f>
        <v>&gt;293:ACAGCA:30.00:50.00:Warning:6:1785.24</v>
      </c>
    </row>
    <row r="591" spans="1:6" x14ac:dyDescent="0.3">
      <c r="A591" t="s">
        <v>299</v>
      </c>
      <c r="F591" t="str">
        <f t="shared" ref="F591" si="583">A591</f>
        <v>ACAGCA</v>
      </c>
    </row>
    <row r="592" spans="1:6" x14ac:dyDescent="0.3">
      <c r="A592" t="s">
        <v>4396</v>
      </c>
      <c r="F592" t="str">
        <f t="shared" ref="F592" si="584">LEFT(A592, LEN(A592) - 1)</f>
        <v>&gt;294:ACAGCC:28.00:66.67:Warning:6:1761.21</v>
      </c>
    </row>
    <row r="593" spans="1:6" x14ac:dyDescent="0.3">
      <c r="A593" t="s">
        <v>300</v>
      </c>
      <c r="F593" t="str">
        <f t="shared" ref="F593" si="585">A593</f>
        <v>ACAGCC</v>
      </c>
    </row>
    <row r="594" spans="1:6" x14ac:dyDescent="0.3">
      <c r="A594" t="s">
        <v>4397</v>
      </c>
      <c r="F594" t="str">
        <f t="shared" ref="F594" si="586">LEFT(A594, LEN(A594) - 1)</f>
        <v>&gt;295:ACAGCG:28.00:66.67:Warning:6:1801.24</v>
      </c>
    </row>
    <row r="595" spans="1:6" x14ac:dyDescent="0.3">
      <c r="A595" t="s">
        <v>301</v>
      </c>
      <c r="F595" t="str">
        <f t="shared" ref="F595" si="587">A595</f>
        <v>ACAGCG</v>
      </c>
    </row>
    <row r="596" spans="1:6" x14ac:dyDescent="0.3">
      <c r="A596" t="s">
        <v>4398</v>
      </c>
      <c r="F596" t="str">
        <f t="shared" ref="F596" si="588">LEFT(A596, LEN(A596) - 1)</f>
        <v>&gt;296:ACAGCT:22.00:50.00:Warning:6:1776.22</v>
      </c>
    </row>
    <row r="597" spans="1:6" x14ac:dyDescent="0.3">
      <c r="A597" t="s">
        <v>302</v>
      </c>
      <c r="F597" t="str">
        <f t="shared" ref="F597" si="589">A597</f>
        <v>ACAGCT</v>
      </c>
    </row>
    <row r="598" spans="1:6" x14ac:dyDescent="0.3">
      <c r="A598" t="s">
        <v>4399</v>
      </c>
      <c r="F598" t="str">
        <f t="shared" ref="F598" si="590">LEFT(A598, LEN(A598) - 1)</f>
        <v>&gt;297:ACAGGA:30.00:50.00:Warning:6:1825.27</v>
      </c>
    </row>
    <row r="599" spans="1:6" x14ac:dyDescent="0.3">
      <c r="A599" t="s">
        <v>303</v>
      </c>
      <c r="F599" t="str">
        <f t="shared" ref="F599" si="591">A599</f>
        <v>ACAGGA</v>
      </c>
    </row>
    <row r="600" spans="1:6" x14ac:dyDescent="0.3">
      <c r="A600" t="s">
        <v>4400</v>
      </c>
      <c r="F600" t="str">
        <f t="shared" ref="F600" si="592">LEFT(A600, LEN(A600) - 1)</f>
        <v>&gt;298:ACAGGC:28.00:66.67:Warning:6:1801.24</v>
      </c>
    </row>
    <row r="601" spans="1:6" x14ac:dyDescent="0.3">
      <c r="A601" t="s">
        <v>304</v>
      </c>
      <c r="F601" t="str">
        <f t="shared" ref="F601" si="593">A601</f>
        <v>ACAGGC</v>
      </c>
    </row>
    <row r="602" spans="1:6" x14ac:dyDescent="0.3">
      <c r="A602" t="s">
        <v>4401</v>
      </c>
      <c r="F602" t="str">
        <f t="shared" ref="F602" si="594">LEFT(A602, LEN(A602) - 1)</f>
        <v>&gt;299:ACAGGG:28.00:66.67:Warning:6:1841.27</v>
      </c>
    </row>
    <row r="603" spans="1:6" x14ac:dyDescent="0.3">
      <c r="A603" t="s">
        <v>305</v>
      </c>
      <c r="F603" t="str">
        <f t="shared" ref="F603" si="595">A603</f>
        <v>ACAGGG</v>
      </c>
    </row>
    <row r="604" spans="1:6" x14ac:dyDescent="0.3">
      <c r="A604" t="s">
        <v>4402</v>
      </c>
      <c r="F604" t="str">
        <f t="shared" ref="F604" si="596">LEFT(A604, LEN(A604) - 1)</f>
        <v>&gt;300:ACAGGT:22.00:50.00:Warning:6:1816.25</v>
      </c>
    </row>
    <row r="605" spans="1:6" x14ac:dyDescent="0.3">
      <c r="A605" t="s">
        <v>306</v>
      </c>
      <c r="F605" t="str">
        <f t="shared" ref="F605" si="597">A605</f>
        <v>ACAGGT</v>
      </c>
    </row>
    <row r="606" spans="1:6" x14ac:dyDescent="0.3">
      <c r="A606" t="s">
        <v>4403</v>
      </c>
      <c r="F606" t="str">
        <f t="shared" ref="F606" si="598">LEFT(A606, LEN(A606) - 1)</f>
        <v>&gt;301:ACAGTA:24.00:33.33:OK:6:1800.25</v>
      </c>
    </row>
    <row r="607" spans="1:6" x14ac:dyDescent="0.3">
      <c r="A607" t="s">
        <v>307</v>
      </c>
      <c r="F607" t="str">
        <f t="shared" ref="F607" si="599">A607</f>
        <v>ACAGTA</v>
      </c>
    </row>
    <row r="608" spans="1:6" x14ac:dyDescent="0.3">
      <c r="A608" t="s">
        <v>4404</v>
      </c>
      <c r="F608" t="str">
        <f t="shared" ref="F608" si="600">LEFT(A608, LEN(A608) - 1)</f>
        <v>&gt;302:ACAGTC:22.00:50.00:Warning:6:1776.22</v>
      </c>
    </row>
    <row r="609" spans="1:6" x14ac:dyDescent="0.3">
      <c r="A609" t="s">
        <v>308</v>
      </c>
      <c r="F609" t="str">
        <f t="shared" ref="F609" si="601">A609</f>
        <v>ACAGTC</v>
      </c>
    </row>
    <row r="610" spans="1:6" x14ac:dyDescent="0.3">
      <c r="A610" t="s">
        <v>4405</v>
      </c>
      <c r="F610" t="str">
        <f t="shared" ref="F610" si="602">LEFT(A610, LEN(A610) - 1)</f>
        <v>&gt;303:ACAGTG:22.00:50.00:Warning:6:1816.25</v>
      </c>
    </row>
    <row r="611" spans="1:6" x14ac:dyDescent="0.3">
      <c r="A611" t="s">
        <v>309</v>
      </c>
      <c r="F611" t="str">
        <f t="shared" ref="F611" si="603">A611</f>
        <v>ACAGTG</v>
      </c>
    </row>
    <row r="612" spans="1:6" x14ac:dyDescent="0.3">
      <c r="A612" t="s">
        <v>4406</v>
      </c>
      <c r="F612" t="str">
        <f t="shared" ref="F612" si="604">LEFT(A612, LEN(A612) - 1)</f>
        <v>&gt;304:ACAGTT:16.00:33.33:OK:6:1791.23</v>
      </c>
    </row>
    <row r="613" spans="1:6" x14ac:dyDescent="0.3">
      <c r="A613" t="s">
        <v>310</v>
      </c>
      <c r="F613" t="str">
        <f t="shared" ref="F613" si="605">A613</f>
        <v>ACAGTT</v>
      </c>
    </row>
    <row r="614" spans="1:6" x14ac:dyDescent="0.3">
      <c r="A614" t="s">
        <v>4407</v>
      </c>
      <c r="F614" t="str">
        <f t="shared" ref="F614" si="606">LEFT(A614, LEN(A614) - 1)</f>
        <v>&gt;305:ACATAA:26.00:16.67:OK:6:1784.25</v>
      </c>
    </row>
    <row r="615" spans="1:6" x14ac:dyDescent="0.3">
      <c r="A615" t="s">
        <v>311</v>
      </c>
      <c r="F615" t="str">
        <f t="shared" ref="F615" si="607">A615</f>
        <v>ACATAA</v>
      </c>
    </row>
    <row r="616" spans="1:6" x14ac:dyDescent="0.3">
      <c r="A616" t="s">
        <v>4408</v>
      </c>
      <c r="F616" t="str">
        <f t="shared" ref="F616" si="608">LEFT(A616, LEN(A616) - 1)</f>
        <v>&gt;306:ACATAC:24.00:33.33:OK:6:1760.22</v>
      </c>
    </row>
    <row r="617" spans="1:6" x14ac:dyDescent="0.3">
      <c r="A617" t="s">
        <v>312</v>
      </c>
      <c r="F617" t="str">
        <f t="shared" ref="F617" si="609">A617</f>
        <v>ACATAC</v>
      </c>
    </row>
    <row r="618" spans="1:6" x14ac:dyDescent="0.3">
      <c r="A618" t="s">
        <v>4409</v>
      </c>
      <c r="F618" t="str">
        <f t="shared" ref="F618" si="610">LEFT(A618, LEN(A618) - 1)</f>
        <v>&gt;307:ACATAG:24.00:33.33:OK:6:1800.25</v>
      </c>
    </row>
    <row r="619" spans="1:6" x14ac:dyDescent="0.3">
      <c r="A619" t="s">
        <v>313</v>
      </c>
      <c r="F619" t="str">
        <f t="shared" ref="F619" si="611">A619</f>
        <v>ACATAG</v>
      </c>
    </row>
    <row r="620" spans="1:6" x14ac:dyDescent="0.3">
      <c r="A620" t="s">
        <v>4410</v>
      </c>
      <c r="F620" t="str">
        <f t="shared" ref="F620" si="612">LEFT(A620, LEN(A620) - 1)</f>
        <v>&gt;308:ACATAT:18.00:16.67:OK:6:1775.23</v>
      </c>
    </row>
    <row r="621" spans="1:6" x14ac:dyDescent="0.3">
      <c r="A621" t="s">
        <v>314</v>
      </c>
      <c r="F621" t="str">
        <f t="shared" ref="F621" si="613">A621</f>
        <v>ACATAT</v>
      </c>
    </row>
    <row r="622" spans="1:6" x14ac:dyDescent="0.3">
      <c r="A622" t="s">
        <v>4411</v>
      </c>
      <c r="F622" t="str">
        <f t="shared" ref="F622" si="614">LEFT(A622, LEN(A622) - 1)</f>
        <v>&gt;309:ACATCA:24.00:33.33:OK:6:1760.22</v>
      </c>
    </row>
    <row r="623" spans="1:6" x14ac:dyDescent="0.3">
      <c r="A623" t="s">
        <v>315</v>
      </c>
      <c r="F623" t="str">
        <f t="shared" ref="F623" si="615">A623</f>
        <v>ACATCA</v>
      </c>
    </row>
    <row r="624" spans="1:6" x14ac:dyDescent="0.3">
      <c r="A624" t="s">
        <v>4412</v>
      </c>
      <c r="F624" t="str">
        <f t="shared" ref="F624" si="616">LEFT(A624, LEN(A624) - 1)</f>
        <v>&gt;310:ACATCC:22.00:50.00:Warning:6:1736.19</v>
      </c>
    </row>
    <row r="625" spans="1:6" x14ac:dyDescent="0.3">
      <c r="A625" t="s">
        <v>316</v>
      </c>
      <c r="F625" t="str">
        <f t="shared" ref="F625" si="617">A625</f>
        <v>ACATCC</v>
      </c>
    </row>
    <row r="626" spans="1:6" x14ac:dyDescent="0.3">
      <c r="A626" t="s">
        <v>4413</v>
      </c>
      <c r="F626" t="str">
        <f t="shared" ref="F626" si="618">LEFT(A626, LEN(A626) - 1)</f>
        <v>&gt;311:ACATCG:22.00:50.00:Warning:6:1776.22</v>
      </c>
    </row>
    <row r="627" spans="1:6" x14ac:dyDescent="0.3">
      <c r="A627" t="s">
        <v>317</v>
      </c>
      <c r="F627" t="str">
        <f t="shared" ref="F627" si="619">A627</f>
        <v>ACATCG</v>
      </c>
    </row>
    <row r="628" spans="1:6" x14ac:dyDescent="0.3">
      <c r="A628" t="s">
        <v>4414</v>
      </c>
      <c r="F628" t="str">
        <f t="shared" ref="F628" si="620">LEFT(A628, LEN(A628) - 1)</f>
        <v>&gt;312:ACATCT:16.00:33.33:OK:6:1751.20</v>
      </c>
    </row>
    <row r="629" spans="1:6" x14ac:dyDescent="0.3">
      <c r="A629" t="s">
        <v>318</v>
      </c>
      <c r="F629" t="str">
        <f t="shared" ref="F629" si="621">A629</f>
        <v>ACATCT</v>
      </c>
    </row>
    <row r="630" spans="1:6" x14ac:dyDescent="0.3">
      <c r="A630" t="s">
        <v>4415</v>
      </c>
      <c r="F630" t="str">
        <f t="shared" ref="F630" si="622">LEFT(A630, LEN(A630) - 1)</f>
        <v>&gt;313:ACATGA:24.00:33.33:OK:6:1800.25</v>
      </c>
    </row>
    <row r="631" spans="1:6" x14ac:dyDescent="0.3">
      <c r="A631" t="s">
        <v>319</v>
      </c>
      <c r="F631" t="str">
        <f t="shared" ref="F631" si="623">A631</f>
        <v>ACATGA</v>
      </c>
    </row>
    <row r="632" spans="1:6" x14ac:dyDescent="0.3">
      <c r="A632" t="s">
        <v>4416</v>
      </c>
      <c r="F632" t="str">
        <f t="shared" ref="F632" si="624">LEFT(A632, LEN(A632) - 1)</f>
        <v>&gt;314:ACATGC:22.00:50.00:Warning:6:1776.22</v>
      </c>
    </row>
    <row r="633" spans="1:6" x14ac:dyDescent="0.3">
      <c r="A633" t="s">
        <v>320</v>
      </c>
      <c r="F633" t="str">
        <f t="shared" ref="F633" si="625">A633</f>
        <v>ACATGC</v>
      </c>
    </row>
    <row r="634" spans="1:6" x14ac:dyDescent="0.3">
      <c r="A634" t="s">
        <v>4417</v>
      </c>
      <c r="F634" t="str">
        <f t="shared" ref="F634" si="626">LEFT(A634, LEN(A634) - 1)</f>
        <v>&gt;315:ACATGG:22.00:50.00:Warning:6:1816.25</v>
      </c>
    </row>
    <row r="635" spans="1:6" x14ac:dyDescent="0.3">
      <c r="A635" t="s">
        <v>321</v>
      </c>
      <c r="F635" t="str">
        <f t="shared" ref="F635" si="627">A635</f>
        <v>ACATGG</v>
      </c>
    </row>
    <row r="636" spans="1:6" x14ac:dyDescent="0.3">
      <c r="A636" t="s">
        <v>4418</v>
      </c>
      <c r="F636" t="str">
        <f t="shared" ref="F636" si="628">LEFT(A636, LEN(A636) - 1)</f>
        <v>&gt;316:ACATGT:16.00:33.33:OK:6:1791.23</v>
      </c>
    </row>
    <row r="637" spans="1:6" x14ac:dyDescent="0.3">
      <c r="A637" t="s">
        <v>322</v>
      </c>
      <c r="F637" t="str">
        <f t="shared" ref="F637" si="629">A637</f>
        <v>ACATGT</v>
      </c>
    </row>
    <row r="638" spans="1:6" x14ac:dyDescent="0.3">
      <c r="A638" t="s">
        <v>4419</v>
      </c>
      <c r="F638" t="str">
        <f t="shared" ref="F638" si="630">LEFT(A638, LEN(A638) - 1)</f>
        <v>&gt;317:ACATTA:18.00:16.67:OK:6:1775.23</v>
      </c>
    </row>
    <row r="639" spans="1:6" x14ac:dyDescent="0.3">
      <c r="A639" t="s">
        <v>323</v>
      </c>
      <c r="F639" t="str">
        <f t="shared" ref="F639" si="631">A639</f>
        <v>ACATTA</v>
      </c>
    </row>
    <row r="640" spans="1:6" x14ac:dyDescent="0.3">
      <c r="A640" t="s">
        <v>4420</v>
      </c>
      <c r="F640" t="str">
        <f t="shared" ref="F640" si="632">LEFT(A640, LEN(A640) - 1)</f>
        <v>&gt;318:ACATTC:16.00:33.33:OK:6:1751.20</v>
      </c>
    </row>
    <row r="641" spans="1:6" x14ac:dyDescent="0.3">
      <c r="A641" t="s">
        <v>324</v>
      </c>
      <c r="F641" t="str">
        <f t="shared" ref="F641" si="633">A641</f>
        <v>ACATTC</v>
      </c>
    </row>
    <row r="642" spans="1:6" x14ac:dyDescent="0.3">
      <c r="A642" t="s">
        <v>4421</v>
      </c>
      <c r="F642" t="str">
        <f t="shared" ref="F642" si="634">LEFT(A642, LEN(A642) - 1)</f>
        <v>&gt;319:ACATTG:16.00:33.33:OK:6:1791.23</v>
      </c>
    </row>
    <row r="643" spans="1:6" x14ac:dyDescent="0.3">
      <c r="A643" t="s">
        <v>325</v>
      </c>
      <c r="F643" t="str">
        <f t="shared" ref="F643" si="635">A643</f>
        <v>ACATTG</v>
      </c>
    </row>
    <row r="644" spans="1:6" x14ac:dyDescent="0.3">
      <c r="A644" t="s">
        <v>4422</v>
      </c>
      <c r="F644" t="str">
        <f t="shared" ref="F644" si="636">LEFT(A644, LEN(A644) - 1)</f>
        <v>&gt;320:ACATTT:10.00:16.67:OK:6:1766.21</v>
      </c>
    </row>
    <row r="645" spans="1:6" x14ac:dyDescent="0.3">
      <c r="A645" t="s">
        <v>326</v>
      </c>
      <c r="F645" t="str">
        <f t="shared" ref="F645" si="637">A645</f>
        <v>ACATTT</v>
      </c>
    </row>
    <row r="646" spans="1:6" x14ac:dyDescent="0.3">
      <c r="A646" t="s">
        <v>4423</v>
      </c>
      <c r="F646" t="str">
        <f t="shared" ref="F646" si="638">LEFT(A646, LEN(A646) - 1)</f>
        <v>&gt;321:ACCAAA:32.00:33.33:OK:6:1769.24</v>
      </c>
    </row>
    <row r="647" spans="1:6" x14ac:dyDescent="0.3">
      <c r="A647" t="s">
        <v>327</v>
      </c>
      <c r="F647" t="str">
        <f t="shared" ref="F647" si="639">A647</f>
        <v>ACCAAA</v>
      </c>
    </row>
    <row r="648" spans="1:6" x14ac:dyDescent="0.3">
      <c r="A648" t="s">
        <v>4424</v>
      </c>
      <c r="F648" t="str">
        <f t="shared" ref="F648" si="640">LEFT(A648, LEN(A648) - 1)</f>
        <v>&gt;322:ACCAAC:30.00:50.00:Warning:6:1745.21</v>
      </c>
    </row>
    <row r="649" spans="1:6" x14ac:dyDescent="0.3">
      <c r="A649" t="s">
        <v>328</v>
      </c>
      <c r="F649" t="str">
        <f t="shared" ref="F649" si="641">A649</f>
        <v>ACCAAC</v>
      </c>
    </row>
    <row r="650" spans="1:6" x14ac:dyDescent="0.3">
      <c r="A650" t="s">
        <v>4425</v>
      </c>
      <c r="F650" t="str">
        <f t="shared" ref="F650" si="642">LEFT(A650, LEN(A650) - 1)</f>
        <v>&gt;323:ACCAAG:30.00:50.00:Warning:6:1785.24</v>
      </c>
    </row>
    <row r="651" spans="1:6" x14ac:dyDescent="0.3">
      <c r="A651" t="s">
        <v>329</v>
      </c>
      <c r="F651" t="str">
        <f t="shared" ref="F651" si="643">A651</f>
        <v>ACCAAG</v>
      </c>
    </row>
    <row r="652" spans="1:6" x14ac:dyDescent="0.3">
      <c r="A652" t="s">
        <v>4426</v>
      </c>
      <c r="F652" t="str">
        <f t="shared" ref="F652" si="644">LEFT(A652, LEN(A652) - 1)</f>
        <v>&gt;324:ACCAAT:24.00:33.33:OK:6:1760.22</v>
      </c>
    </row>
    <row r="653" spans="1:6" x14ac:dyDescent="0.3">
      <c r="A653" t="s">
        <v>330</v>
      </c>
      <c r="F653" t="str">
        <f t="shared" ref="F653" si="645">A653</f>
        <v>ACCAAT</v>
      </c>
    </row>
    <row r="654" spans="1:6" x14ac:dyDescent="0.3">
      <c r="A654" t="s">
        <v>4427</v>
      </c>
      <c r="F654" t="str">
        <f t="shared" ref="F654" si="646">LEFT(A654, LEN(A654) - 1)</f>
        <v>&gt;325:ACCACA:30.00:50.00:Warning:6:1745.21</v>
      </c>
    </row>
    <row r="655" spans="1:6" x14ac:dyDescent="0.3">
      <c r="A655" t="s">
        <v>331</v>
      </c>
      <c r="F655" t="str">
        <f t="shared" ref="F655" si="647">A655</f>
        <v>ACCACA</v>
      </c>
    </row>
    <row r="656" spans="1:6" x14ac:dyDescent="0.3">
      <c r="A656" t="s">
        <v>4428</v>
      </c>
      <c r="F656" t="str">
        <f t="shared" ref="F656" si="648">LEFT(A656, LEN(A656) - 1)</f>
        <v>&gt;326:ACCACC:28.00:66.67:Warning:6:1721.18</v>
      </c>
    </row>
    <row r="657" spans="1:6" x14ac:dyDescent="0.3">
      <c r="A657" t="s">
        <v>332</v>
      </c>
      <c r="F657" t="str">
        <f t="shared" ref="F657" si="649">A657</f>
        <v>ACCACC</v>
      </c>
    </row>
    <row r="658" spans="1:6" x14ac:dyDescent="0.3">
      <c r="A658" t="s">
        <v>4429</v>
      </c>
      <c r="F658" t="str">
        <f t="shared" ref="F658" si="650">LEFT(A658, LEN(A658) - 1)</f>
        <v>&gt;327:ACCACG:28.00:66.67:Warning:6:1761.21</v>
      </c>
    </row>
    <row r="659" spans="1:6" x14ac:dyDescent="0.3">
      <c r="A659" t="s">
        <v>333</v>
      </c>
      <c r="F659" t="str">
        <f t="shared" ref="F659" si="651">A659</f>
        <v>ACCACG</v>
      </c>
    </row>
    <row r="660" spans="1:6" x14ac:dyDescent="0.3">
      <c r="A660" t="s">
        <v>4430</v>
      </c>
      <c r="F660" t="str">
        <f t="shared" ref="F660" si="652">LEFT(A660, LEN(A660) - 1)</f>
        <v>&gt;328:ACCACT:22.00:50.00:Warning:6:1736.19</v>
      </c>
    </row>
    <row r="661" spans="1:6" x14ac:dyDescent="0.3">
      <c r="A661" t="s">
        <v>334</v>
      </c>
      <c r="F661" t="str">
        <f t="shared" ref="F661" si="653">A661</f>
        <v>ACCACT</v>
      </c>
    </row>
    <row r="662" spans="1:6" x14ac:dyDescent="0.3">
      <c r="A662" t="s">
        <v>4431</v>
      </c>
      <c r="F662" t="str">
        <f t="shared" ref="F662" si="654">LEFT(A662, LEN(A662) - 1)</f>
        <v>&gt;329:ACCAGA:30.00:50.00:Warning:6:1785.24</v>
      </c>
    </row>
    <row r="663" spans="1:6" x14ac:dyDescent="0.3">
      <c r="A663" t="s">
        <v>335</v>
      </c>
      <c r="F663" t="str">
        <f t="shared" ref="F663" si="655">A663</f>
        <v>ACCAGA</v>
      </c>
    </row>
    <row r="664" spans="1:6" x14ac:dyDescent="0.3">
      <c r="A664" t="s">
        <v>4432</v>
      </c>
      <c r="F664" t="str">
        <f t="shared" ref="F664" si="656">LEFT(A664, LEN(A664) - 1)</f>
        <v>&gt;330:ACCAGC:28.00:66.67:Warning:6:1761.21</v>
      </c>
    </row>
    <row r="665" spans="1:6" x14ac:dyDescent="0.3">
      <c r="A665" t="s">
        <v>336</v>
      </c>
      <c r="F665" t="str">
        <f t="shared" ref="F665" si="657">A665</f>
        <v>ACCAGC</v>
      </c>
    </row>
    <row r="666" spans="1:6" x14ac:dyDescent="0.3">
      <c r="A666" t="s">
        <v>4433</v>
      </c>
      <c r="F666" t="str">
        <f t="shared" ref="F666" si="658">LEFT(A666, LEN(A666) - 1)</f>
        <v>&gt;331:ACCAGG:28.00:66.67:Warning:6:1801.24</v>
      </c>
    </row>
    <row r="667" spans="1:6" x14ac:dyDescent="0.3">
      <c r="A667" t="s">
        <v>337</v>
      </c>
      <c r="F667" t="str">
        <f t="shared" ref="F667" si="659">A667</f>
        <v>ACCAGG</v>
      </c>
    </row>
    <row r="668" spans="1:6" x14ac:dyDescent="0.3">
      <c r="A668" t="s">
        <v>4434</v>
      </c>
      <c r="F668" t="str">
        <f t="shared" ref="F668" si="660">LEFT(A668, LEN(A668) - 1)</f>
        <v>&gt;332:ACCAGT:22.00:50.00:Warning:6:1776.22</v>
      </c>
    </row>
    <row r="669" spans="1:6" x14ac:dyDescent="0.3">
      <c r="A669" t="s">
        <v>338</v>
      </c>
      <c r="F669" t="str">
        <f t="shared" ref="F669" si="661">A669</f>
        <v>ACCAGT</v>
      </c>
    </row>
    <row r="670" spans="1:6" x14ac:dyDescent="0.3">
      <c r="A670" t="s">
        <v>4435</v>
      </c>
      <c r="F670" t="str">
        <f t="shared" ref="F670" si="662">LEFT(A670, LEN(A670) - 1)</f>
        <v>&gt;333:ACCATA:24.00:33.33:OK:6:1760.22</v>
      </c>
    </row>
    <row r="671" spans="1:6" x14ac:dyDescent="0.3">
      <c r="A671" t="s">
        <v>339</v>
      </c>
      <c r="F671" t="str">
        <f t="shared" ref="F671" si="663">A671</f>
        <v>ACCATA</v>
      </c>
    </row>
    <row r="672" spans="1:6" x14ac:dyDescent="0.3">
      <c r="A672" t="s">
        <v>4436</v>
      </c>
      <c r="F672" t="str">
        <f t="shared" ref="F672" si="664">LEFT(A672, LEN(A672) - 1)</f>
        <v>&gt;334:ACCATC:22.00:50.00:Warning:6:1736.19</v>
      </c>
    </row>
    <row r="673" spans="1:6" x14ac:dyDescent="0.3">
      <c r="A673" t="s">
        <v>340</v>
      </c>
      <c r="F673" t="str">
        <f t="shared" ref="F673" si="665">A673</f>
        <v>ACCATC</v>
      </c>
    </row>
    <row r="674" spans="1:6" x14ac:dyDescent="0.3">
      <c r="A674" t="s">
        <v>4437</v>
      </c>
      <c r="F674" t="str">
        <f t="shared" ref="F674" si="666">LEFT(A674, LEN(A674) - 1)</f>
        <v>&gt;335:ACCATG:22.00:50.00:Warning:6:1776.22</v>
      </c>
    </row>
    <row r="675" spans="1:6" x14ac:dyDescent="0.3">
      <c r="A675" t="s">
        <v>341</v>
      </c>
      <c r="F675" t="str">
        <f t="shared" ref="F675" si="667">A675</f>
        <v>ACCATG</v>
      </c>
    </row>
    <row r="676" spans="1:6" x14ac:dyDescent="0.3">
      <c r="A676" t="s">
        <v>4438</v>
      </c>
      <c r="F676" t="str">
        <f t="shared" ref="F676" si="668">LEFT(A676, LEN(A676) - 1)</f>
        <v>&gt;336:ACCATT:16.00:33.33:OK:6:1751.20</v>
      </c>
    </row>
    <row r="677" spans="1:6" x14ac:dyDescent="0.3">
      <c r="A677" t="s">
        <v>342</v>
      </c>
      <c r="F677" t="str">
        <f t="shared" ref="F677" si="669">A677</f>
        <v>ACCATT</v>
      </c>
    </row>
    <row r="678" spans="1:6" x14ac:dyDescent="0.3">
      <c r="A678" t="s">
        <v>4439</v>
      </c>
      <c r="F678" t="str">
        <f t="shared" ref="F678" si="670">LEFT(A678, LEN(A678) - 1)</f>
        <v>&gt;337:ACCCAA:30.00:50.00:Warning:6:1745.21</v>
      </c>
    </row>
    <row r="679" spans="1:6" x14ac:dyDescent="0.3">
      <c r="A679" t="s">
        <v>343</v>
      </c>
      <c r="F679" t="str">
        <f t="shared" ref="F679" si="671">A679</f>
        <v>ACCCAA</v>
      </c>
    </row>
    <row r="680" spans="1:6" x14ac:dyDescent="0.3">
      <c r="A680" t="s">
        <v>4440</v>
      </c>
      <c r="F680" t="str">
        <f t="shared" ref="F680" si="672">LEFT(A680, LEN(A680) - 1)</f>
        <v>&gt;338:ACCCAC:28.00:66.67:Warning:6:1721.18</v>
      </c>
    </row>
    <row r="681" spans="1:6" x14ac:dyDescent="0.3">
      <c r="A681" t="s">
        <v>344</v>
      </c>
      <c r="F681" t="str">
        <f t="shared" ref="F681" si="673">A681</f>
        <v>ACCCAC</v>
      </c>
    </row>
    <row r="682" spans="1:6" x14ac:dyDescent="0.3">
      <c r="A682" t="s">
        <v>4441</v>
      </c>
      <c r="F682" t="str">
        <f t="shared" ref="F682" si="674">LEFT(A682, LEN(A682) - 1)</f>
        <v>&gt;339:ACCCAG:28.00:66.67:Warning:6:1761.21</v>
      </c>
    </row>
    <row r="683" spans="1:6" x14ac:dyDescent="0.3">
      <c r="A683" t="s">
        <v>345</v>
      </c>
      <c r="F683" t="str">
        <f t="shared" ref="F683" si="675">A683</f>
        <v>ACCCAG</v>
      </c>
    </row>
    <row r="684" spans="1:6" x14ac:dyDescent="0.3">
      <c r="A684" t="s">
        <v>4442</v>
      </c>
      <c r="F684" t="str">
        <f t="shared" ref="F684" si="676">LEFT(A684, LEN(A684) - 1)</f>
        <v>&gt;340:ACCCAT:22.00:50.00:Warning:6:1736.19</v>
      </c>
    </row>
    <row r="685" spans="1:6" x14ac:dyDescent="0.3">
      <c r="A685" t="s">
        <v>346</v>
      </c>
      <c r="F685" t="str">
        <f t="shared" ref="F685" si="677">A685</f>
        <v>ACCCAT</v>
      </c>
    </row>
    <row r="686" spans="1:6" x14ac:dyDescent="0.3">
      <c r="A686" t="s">
        <v>4443</v>
      </c>
      <c r="F686" t="str">
        <f t="shared" ref="F686" si="678">LEFT(A686, LEN(A686) - 1)</f>
        <v>&gt;341:ACCCCA:28.00:66.67:Warning:6:1721.18</v>
      </c>
    </row>
    <row r="687" spans="1:6" x14ac:dyDescent="0.3">
      <c r="A687" t="s">
        <v>347</v>
      </c>
      <c r="F687" t="str">
        <f t="shared" ref="F687" si="679">A687</f>
        <v>ACCCCA</v>
      </c>
    </row>
    <row r="688" spans="1:6" x14ac:dyDescent="0.3">
      <c r="A688" t="s">
        <v>4444</v>
      </c>
      <c r="F688" t="str">
        <f t="shared" ref="F688" si="680">LEFT(A688, LEN(A688) - 1)</f>
        <v>&gt;342:ACCCCC:26.00:83.33:Warning:6:1697.15</v>
      </c>
    </row>
    <row r="689" spans="1:6" x14ac:dyDescent="0.3">
      <c r="A689" t="s">
        <v>348</v>
      </c>
      <c r="F689" t="str">
        <f t="shared" ref="F689" si="681">A689</f>
        <v>ACCCCC</v>
      </c>
    </row>
    <row r="690" spans="1:6" x14ac:dyDescent="0.3">
      <c r="A690" t="s">
        <v>4445</v>
      </c>
      <c r="F690" t="str">
        <f t="shared" ref="F690" si="682">LEFT(A690, LEN(A690) - 1)</f>
        <v>&gt;343:ACCCCG:26.00:83.33:Warning:6:1737.18</v>
      </c>
    </row>
    <row r="691" spans="1:6" x14ac:dyDescent="0.3">
      <c r="A691" t="s">
        <v>349</v>
      </c>
      <c r="F691" t="str">
        <f t="shared" ref="F691" si="683">A691</f>
        <v>ACCCCG</v>
      </c>
    </row>
    <row r="692" spans="1:6" x14ac:dyDescent="0.3">
      <c r="A692" t="s">
        <v>4446</v>
      </c>
      <c r="F692" t="str">
        <f t="shared" ref="F692" si="684">LEFT(A692, LEN(A692) - 1)</f>
        <v>&gt;344:ACCCCT:20.00:66.67:Warning:6:1712.16</v>
      </c>
    </row>
    <row r="693" spans="1:6" x14ac:dyDescent="0.3">
      <c r="A693" t="s">
        <v>350</v>
      </c>
      <c r="F693" t="str">
        <f t="shared" ref="F693" si="685">A693</f>
        <v>ACCCCT</v>
      </c>
    </row>
    <row r="694" spans="1:6" x14ac:dyDescent="0.3">
      <c r="A694" t="s">
        <v>4447</v>
      </c>
      <c r="F694" t="str">
        <f t="shared" ref="F694" si="686">LEFT(A694, LEN(A694) - 1)</f>
        <v>&gt;345:ACCCGA:28.00:66.67:Warning:6:1761.21</v>
      </c>
    </row>
    <row r="695" spans="1:6" x14ac:dyDescent="0.3">
      <c r="A695" t="s">
        <v>351</v>
      </c>
      <c r="F695" t="str">
        <f t="shared" ref="F695" si="687">A695</f>
        <v>ACCCGA</v>
      </c>
    </row>
    <row r="696" spans="1:6" x14ac:dyDescent="0.3">
      <c r="A696" t="s">
        <v>4448</v>
      </c>
      <c r="F696" t="str">
        <f t="shared" ref="F696" si="688">LEFT(A696, LEN(A696) - 1)</f>
        <v>&gt;346:ACCCGC:26.00:83.33:Warning:6:1737.18</v>
      </c>
    </row>
    <row r="697" spans="1:6" x14ac:dyDescent="0.3">
      <c r="A697" t="s">
        <v>352</v>
      </c>
      <c r="F697" t="str">
        <f t="shared" ref="F697" si="689">A697</f>
        <v>ACCCGC</v>
      </c>
    </row>
    <row r="698" spans="1:6" x14ac:dyDescent="0.3">
      <c r="A698" t="s">
        <v>4449</v>
      </c>
      <c r="F698" t="str">
        <f t="shared" ref="F698" si="690">LEFT(A698, LEN(A698) - 1)</f>
        <v>&gt;347:ACCCGG:26.00:83.33:Warning:6:1777.21</v>
      </c>
    </row>
    <row r="699" spans="1:6" x14ac:dyDescent="0.3">
      <c r="A699" t="s">
        <v>353</v>
      </c>
      <c r="F699" t="str">
        <f t="shared" ref="F699" si="691">A699</f>
        <v>ACCCGG</v>
      </c>
    </row>
    <row r="700" spans="1:6" x14ac:dyDescent="0.3">
      <c r="A700" t="s">
        <v>4450</v>
      </c>
      <c r="F700" t="str">
        <f t="shared" ref="F700" si="692">LEFT(A700, LEN(A700) - 1)</f>
        <v>&gt;348:ACCCGT:20.00:66.67:Warning:6:1752.19</v>
      </c>
    </row>
    <row r="701" spans="1:6" x14ac:dyDescent="0.3">
      <c r="A701" t="s">
        <v>354</v>
      </c>
      <c r="F701" t="str">
        <f t="shared" ref="F701" si="693">A701</f>
        <v>ACCCGT</v>
      </c>
    </row>
    <row r="702" spans="1:6" x14ac:dyDescent="0.3">
      <c r="A702" t="s">
        <v>4451</v>
      </c>
      <c r="F702" t="str">
        <f t="shared" ref="F702" si="694">LEFT(A702, LEN(A702) - 1)</f>
        <v>&gt;349:ACCCTA:22.00:50.00:Warning:6:1736.19</v>
      </c>
    </row>
    <row r="703" spans="1:6" x14ac:dyDescent="0.3">
      <c r="A703" t="s">
        <v>355</v>
      </c>
      <c r="F703" t="str">
        <f t="shared" ref="F703" si="695">A703</f>
        <v>ACCCTA</v>
      </c>
    </row>
    <row r="704" spans="1:6" x14ac:dyDescent="0.3">
      <c r="A704" t="s">
        <v>4452</v>
      </c>
      <c r="F704" t="str">
        <f t="shared" ref="F704" si="696">LEFT(A704, LEN(A704) - 1)</f>
        <v>&gt;350:ACCCTC:20.00:66.67:Warning:6:1712.16</v>
      </c>
    </row>
    <row r="705" spans="1:6" x14ac:dyDescent="0.3">
      <c r="A705" t="s">
        <v>356</v>
      </c>
      <c r="F705" t="str">
        <f t="shared" ref="F705" si="697">A705</f>
        <v>ACCCTC</v>
      </c>
    </row>
    <row r="706" spans="1:6" x14ac:dyDescent="0.3">
      <c r="A706" t="s">
        <v>4453</v>
      </c>
      <c r="F706" t="str">
        <f t="shared" ref="F706" si="698">LEFT(A706, LEN(A706) - 1)</f>
        <v>&gt;351:ACCCTG:20.00:66.67:Warning:6:1752.19</v>
      </c>
    </row>
    <row r="707" spans="1:6" x14ac:dyDescent="0.3">
      <c r="A707" t="s">
        <v>357</v>
      </c>
      <c r="F707" t="str">
        <f t="shared" ref="F707" si="699">A707</f>
        <v>ACCCTG</v>
      </c>
    </row>
    <row r="708" spans="1:6" x14ac:dyDescent="0.3">
      <c r="A708" t="s">
        <v>4454</v>
      </c>
      <c r="F708" t="str">
        <f t="shared" ref="F708" si="700">LEFT(A708, LEN(A708) - 1)</f>
        <v>&gt;352:ACCCTT:14.00:50.00:Warning:6:1727.17</v>
      </c>
    </row>
    <row r="709" spans="1:6" x14ac:dyDescent="0.3">
      <c r="A709" t="s">
        <v>358</v>
      </c>
      <c r="F709" t="str">
        <f t="shared" ref="F709" si="701">A709</f>
        <v>ACCCTT</v>
      </c>
    </row>
    <row r="710" spans="1:6" x14ac:dyDescent="0.3">
      <c r="A710" t="s">
        <v>4455</v>
      </c>
      <c r="F710" t="str">
        <f t="shared" ref="F710" si="702">LEFT(A710, LEN(A710) - 1)</f>
        <v>&gt;353:ACCGAA:30.00:50.00:Warning:6:1785.24</v>
      </c>
    </row>
    <row r="711" spans="1:6" x14ac:dyDescent="0.3">
      <c r="A711" t="s">
        <v>359</v>
      </c>
      <c r="F711" t="str">
        <f t="shared" ref="F711" si="703">A711</f>
        <v>ACCGAA</v>
      </c>
    </row>
    <row r="712" spans="1:6" x14ac:dyDescent="0.3">
      <c r="A712" t="s">
        <v>4456</v>
      </c>
      <c r="F712" t="str">
        <f t="shared" ref="F712" si="704">LEFT(A712, LEN(A712) - 1)</f>
        <v>&gt;354:ACCGAC:28.00:66.67:Warning:6:1761.21</v>
      </c>
    </row>
    <row r="713" spans="1:6" x14ac:dyDescent="0.3">
      <c r="A713" t="s">
        <v>360</v>
      </c>
      <c r="F713" t="str">
        <f t="shared" ref="F713" si="705">A713</f>
        <v>ACCGAC</v>
      </c>
    </row>
    <row r="714" spans="1:6" x14ac:dyDescent="0.3">
      <c r="A714" t="s">
        <v>4457</v>
      </c>
      <c r="F714" t="str">
        <f t="shared" ref="F714" si="706">LEFT(A714, LEN(A714) - 1)</f>
        <v>&gt;355:ACCGAG:28.00:66.67:Warning:6:1801.24</v>
      </c>
    </row>
    <row r="715" spans="1:6" x14ac:dyDescent="0.3">
      <c r="A715" t="s">
        <v>361</v>
      </c>
      <c r="F715" t="str">
        <f t="shared" ref="F715" si="707">A715</f>
        <v>ACCGAG</v>
      </c>
    </row>
    <row r="716" spans="1:6" x14ac:dyDescent="0.3">
      <c r="A716" t="s">
        <v>4458</v>
      </c>
      <c r="F716" t="str">
        <f t="shared" ref="F716" si="708">LEFT(A716, LEN(A716) - 1)</f>
        <v>&gt;356:ACCGAT:22.00:50.00:Warning:6:1776.22</v>
      </c>
    </row>
    <row r="717" spans="1:6" x14ac:dyDescent="0.3">
      <c r="A717" t="s">
        <v>362</v>
      </c>
      <c r="F717" t="str">
        <f t="shared" ref="F717" si="709">A717</f>
        <v>ACCGAT</v>
      </c>
    </row>
    <row r="718" spans="1:6" x14ac:dyDescent="0.3">
      <c r="A718" t="s">
        <v>4459</v>
      </c>
      <c r="F718" t="str">
        <f t="shared" ref="F718" si="710">LEFT(A718, LEN(A718) - 1)</f>
        <v>&gt;357:ACCGCA:28.00:66.67:Warning:6:1761.21</v>
      </c>
    </row>
    <row r="719" spans="1:6" x14ac:dyDescent="0.3">
      <c r="A719" t="s">
        <v>363</v>
      </c>
      <c r="F719" t="str">
        <f t="shared" ref="F719" si="711">A719</f>
        <v>ACCGCA</v>
      </c>
    </row>
    <row r="720" spans="1:6" x14ac:dyDescent="0.3">
      <c r="A720" t="s">
        <v>4460</v>
      </c>
      <c r="F720" t="str">
        <f t="shared" ref="F720" si="712">LEFT(A720, LEN(A720) - 1)</f>
        <v>&gt;358:ACCGCC:26.00:83.33:Warning:6:1737.18</v>
      </c>
    </row>
    <row r="721" spans="1:6" x14ac:dyDescent="0.3">
      <c r="A721" t="s">
        <v>364</v>
      </c>
      <c r="F721" t="str">
        <f t="shared" ref="F721" si="713">A721</f>
        <v>ACCGCC</v>
      </c>
    </row>
    <row r="722" spans="1:6" x14ac:dyDescent="0.3">
      <c r="A722" t="s">
        <v>4461</v>
      </c>
      <c r="F722" t="str">
        <f t="shared" ref="F722" si="714">LEFT(A722, LEN(A722) - 1)</f>
        <v>&gt;359:ACCGCG:26.00:83.33:Warning:6:1777.21</v>
      </c>
    </row>
    <row r="723" spans="1:6" x14ac:dyDescent="0.3">
      <c r="A723" t="s">
        <v>365</v>
      </c>
      <c r="F723" t="str">
        <f t="shared" ref="F723" si="715">A723</f>
        <v>ACCGCG</v>
      </c>
    </row>
    <row r="724" spans="1:6" x14ac:dyDescent="0.3">
      <c r="A724" t="s">
        <v>4462</v>
      </c>
      <c r="F724" t="str">
        <f t="shared" ref="F724" si="716">LEFT(A724, LEN(A724) - 1)</f>
        <v>&gt;360:ACCGCT:20.00:66.67:Warning:6:1752.19</v>
      </c>
    </row>
    <row r="725" spans="1:6" x14ac:dyDescent="0.3">
      <c r="A725" t="s">
        <v>366</v>
      </c>
      <c r="F725" t="str">
        <f t="shared" ref="F725" si="717">A725</f>
        <v>ACCGCT</v>
      </c>
    </row>
    <row r="726" spans="1:6" x14ac:dyDescent="0.3">
      <c r="A726" t="s">
        <v>4463</v>
      </c>
      <c r="F726" t="str">
        <f t="shared" ref="F726" si="718">LEFT(A726, LEN(A726) - 1)</f>
        <v>&gt;361:ACCGGA:28.00:66.67:Warning:6:1801.24</v>
      </c>
    </row>
    <row r="727" spans="1:6" x14ac:dyDescent="0.3">
      <c r="A727" t="s">
        <v>367</v>
      </c>
      <c r="F727" t="str">
        <f t="shared" ref="F727" si="719">A727</f>
        <v>ACCGGA</v>
      </c>
    </row>
    <row r="728" spans="1:6" x14ac:dyDescent="0.3">
      <c r="A728" t="s">
        <v>4464</v>
      </c>
      <c r="F728" t="str">
        <f t="shared" ref="F728" si="720">LEFT(A728, LEN(A728) - 1)</f>
        <v>&gt;362:ACCGGC:26.00:83.33:Warning:6:1777.21</v>
      </c>
    </row>
    <row r="729" spans="1:6" x14ac:dyDescent="0.3">
      <c r="A729" t="s">
        <v>368</v>
      </c>
      <c r="F729" t="str">
        <f t="shared" ref="F729" si="721">A729</f>
        <v>ACCGGC</v>
      </c>
    </row>
    <row r="730" spans="1:6" x14ac:dyDescent="0.3">
      <c r="A730" t="s">
        <v>4465</v>
      </c>
      <c r="F730" t="str">
        <f t="shared" ref="F730" si="722">LEFT(A730, LEN(A730) - 1)</f>
        <v>&gt;363:ACCGGG:26.00:83.33:Warning:6:1817.24</v>
      </c>
    </row>
    <row r="731" spans="1:6" x14ac:dyDescent="0.3">
      <c r="A731" t="s">
        <v>369</v>
      </c>
      <c r="F731" t="str">
        <f t="shared" ref="F731" si="723">A731</f>
        <v>ACCGGG</v>
      </c>
    </row>
    <row r="732" spans="1:6" x14ac:dyDescent="0.3">
      <c r="A732" t="s">
        <v>4466</v>
      </c>
      <c r="F732" t="str">
        <f t="shared" ref="F732" si="724">LEFT(A732, LEN(A732) - 1)</f>
        <v>&gt;364:ACCGGT:20.00:66.67:Warning:6:1792.22</v>
      </c>
    </row>
    <row r="733" spans="1:6" x14ac:dyDescent="0.3">
      <c r="A733" t="s">
        <v>370</v>
      </c>
      <c r="F733" t="str">
        <f t="shared" ref="F733" si="725">A733</f>
        <v>ACCGGT</v>
      </c>
    </row>
    <row r="734" spans="1:6" x14ac:dyDescent="0.3">
      <c r="A734" t="s">
        <v>4467</v>
      </c>
      <c r="F734" t="str">
        <f t="shared" ref="F734" si="726">LEFT(A734, LEN(A734) - 1)</f>
        <v>&gt;365:ACCGTA:22.00:50.00:Warning:6:1776.22</v>
      </c>
    </row>
    <row r="735" spans="1:6" x14ac:dyDescent="0.3">
      <c r="A735" t="s">
        <v>371</v>
      </c>
      <c r="F735" t="str">
        <f t="shared" ref="F735" si="727">A735</f>
        <v>ACCGTA</v>
      </c>
    </row>
    <row r="736" spans="1:6" x14ac:dyDescent="0.3">
      <c r="A736" t="s">
        <v>4468</v>
      </c>
      <c r="F736" t="str">
        <f t="shared" ref="F736" si="728">LEFT(A736, LEN(A736) - 1)</f>
        <v>&gt;366:ACCGTC:20.00:66.67:Warning:6:1752.19</v>
      </c>
    </row>
    <row r="737" spans="1:6" x14ac:dyDescent="0.3">
      <c r="A737" t="s">
        <v>372</v>
      </c>
      <c r="F737" t="str">
        <f t="shared" ref="F737" si="729">A737</f>
        <v>ACCGTC</v>
      </c>
    </row>
    <row r="738" spans="1:6" x14ac:dyDescent="0.3">
      <c r="A738" t="s">
        <v>4469</v>
      </c>
      <c r="F738" t="str">
        <f t="shared" ref="F738" si="730">LEFT(A738, LEN(A738) - 1)</f>
        <v>&gt;367:ACCGTG:20.00:66.67:Warning:6:1792.22</v>
      </c>
    </row>
    <row r="739" spans="1:6" x14ac:dyDescent="0.3">
      <c r="A739" t="s">
        <v>373</v>
      </c>
      <c r="F739" t="str">
        <f t="shared" ref="F739" si="731">A739</f>
        <v>ACCGTG</v>
      </c>
    </row>
    <row r="740" spans="1:6" x14ac:dyDescent="0.3">
      <c r="A740" t="s">
        <v>4470</v>
      </c>
      <c r="F740" t="str">
        <f t="shared" ref="F740" si="732">LEFT(A740, LEN(A740) - 1)</f>
        <v>&gt;368:ACCGTT:14.00:50.00:Warning:6:1767.20</v>
      </c>
    </row>
    <row r="741" spans="1:6" x14ac:dyDescent="0.3">
      <c r="A741" t="s">
        <v>374</v>
      </c>
      <c r="F741" t="str">
        <f t="shared" ref="F741" si="733">A741</f>
        <v>ACCGTT</v>
      </c>
    </row>
    <row r="742" spans="1:6" x14ac:dyDescent="0.3">
      <c r="A742" t="s">
        <v>4471</v>
      </c>
      <c r="F742" t="str">
        <f t="shared" ref="F742" si="734">LEFT(A742, LEN(A742) - 1)</f>
        <v>&gt;369:ACCTAA:24.00:33.33:OK:6:1760.22</v>
      </c>
    </row>
    <row r="743" spans="1:6" x14ac:dyDescent="0.3">
      <c r="A743" t="s">
        <v>375</v>
      </c>
      <c r="F743" t="str">
        <f t="shared" ref="F743" si="735">A743</f>
        <v>ACCTAA</v>
      </c>
    </row>
    <row r="744" spans="1:6" x14ac:dyDescent="0.3">
      <c r="A744" t="s">
        <v>4472</v>
      </c>
      <c r="F744" t="str">
        <f t="shared" ref="F744" si="736">LEFT(A744, LEN(A744) - 1)</f>
        <v>&gt;370:ACCTAC:22.00:50.00:Warning:6:1736.19</v>
      </c>
    </row>
    <row r="745" spans="1:6" x14ac:dyDescent="0.3">
      <c r="A745" t="s">
        <v>376</v>
      </c>
      <c r="F745" t="str">
        <f t="shared" ref="F745" si="737">A745</f>
        <v>ACCTAC</v>
      </c>
    </row>
    <row r="746" spans="1:6" x14ac:dyDescent="0.3">
      <c r="A746" t="s">
        <v>4473</v>
      </c>
      <c r="F746" t="str">
        <f t="shared" ref="F746" si="738">LEFT(A746, LEN(A746) - 1)</f>
        <v>&gt;371:ACCTAG:22.00:50.00:Warning:6:1776.22</v>
      </c>
    </row>
    <row r="747" spans="1:6" x14ac:dyDescent="0.3">
      <c r="A747" t="s">
        <v>377</v>
      </c>
      <c r="F747" t="str">
        <f t="shared" ref="F747" si="739">A747</f>
        <v>ACCTAG</v>
      </c>
    </row>
    <row r="748" spans="1:6" x14ac:dyDescent="0.3">
      <c r="A748" t="s">
        <v>4474</v>
      </c>
      <c r="F748" t="str">
        <f t="shared" ref="F748" si="740">LEFT(A748, LEN(A748) - 1)</f>
        <v>&gt;372:ACCTAT:16.00:33.33:OK:6:1751.20</v>
      </c>
    </row>
    <row r="749" spans="1:6" x14ac:dyDescent="0.3">
      <c r="A749" t="s">
        <v>378</v>
      </c>
      <c r="F749" t="str">
        <f t="shared" ref="F749" si="741">A749</f>
        <v>ACCTAT</v>
      </c>
    </row>
    <row r="750" spans="1:6" x14ac:dyDescent="0.3">
      <c r="A750" t="s">
        <v>4475</v>
      </c>
      <c r="F750" t="str">
        <f t="shared" ref="F750" si="742">LEFT(A750, LEN(A750) - 1)</f>
        <v>&gt;373:ACCTCA:22.00:50.00:Warning:6:1736.19</v>
      </c>
    </row>
    <row r="751" spans="1:6" x14ac:dyDescent="0.3">
      <c r="A751" t="s">
        <v>379</v>
      </c>
      <c r="F751" t="str">
        <f t="shared" ref="F751" si="743">A751</f>
        <v>ACCTCA</v>
      </c>
    </row>
    <row r="752" spans="1:6" x14ac:dyDescent="0.3">
      <c r="A752" t="s">
        <v>4476</v>
      </c>
      <c r="F752" t="str">
        <f t="shared" ref="F752" si="744">LEFT(A752, LEN(A752) - 1)</f>
        <v>&gt;374:ACCTCC:20.00:66.67:Warning:6:1712.16</v>
      </c>
    </row>
    <row r="753" spans="1:6" x14ac:dyDescent="0.3">
      <c r="A753" t="s">
        <v>380</v>
      </c>
      <c r="F753" t="str">
        <f t="shared" ref="F753" si="745">A753</f>
        <v>ACCTCC</v>
      </c>
    </row>
    <row r="754" spans="1:6" x14ac:dyDescent="0.3">
      <c r="A754" t="s">
        <v>4477</v>
      </c>
      <c r="F754" t="str">
        <f t="shared" ref="F754" si="746">LEFT(A754, LEN(A754) - 1)</f>
        <v>&gt;375:ACCTCG:20.00:66.67:Warning:6:1752.19</v>
      </c>
    </row>
    <row r="755" spans="1:6" x14ac:dyDescent="0.3">
      <c r="A755" t="s">
        <v>381</v>
      </c>
      <c r="F755" t="str">
        <f t="shared" ref="F755" si="747">A755</f>
        <v>ACCTCG</v>
      </c>
    </row>
    <row r="756" spans="1:6" x14ac:dyDescent="0.3">
      <c r="A756" t="s">
        <v>4478</v>
      </c>
      <c r="F756" t="str">
        <f t="shared" ref="F756" si="748">LEFT(A756, LEN(A756) - 1)</f>
        <v>&gt;376:ACCTCT:14.00:50.00:Warning:6:1727.17</v>
      </c>
    </row>
    <row r="757" spans="1:6" x14ac:dyDescent="0.3">
      <c r="A757" t="s">
        <v>382</v>
      </c>
      <c r="F757" t="str">
        <f t="shared" ref="F757" si="749">A757</f>
        <v>ACCTCT</v>
      </c>
    </row>
    <row r="758" spans="1:6" x14ac:dyDescent="0.3">
      <c r="A758" t="s">
        <v>4479</v>
      </c>
      <c r="F758" t="str">
        <f t="shared" ref="F758" si="750">LEFT(A758, LEN(A758) - 1)</f>
        <v>&gt;377:ACCTGA:22.00:50.00:Warning:6:1776.22</v>
      </c>
    </row>
    <row r="759" spans="1:6" x14ac:dyDescent="0.3">
      <c r="A759" t="s">
        <v>383</v>
      </c>
      <c r="F759" t="str">
        <f t="shared" ref="F759" si="751">A759</f>
        <v>ACCTGA</v>
      </c>
    </row>
    <row r="760" spans="1:6" x14ac:dyDescent="0.3">
      <c r="A760" t="s">
        <v>4480</v>
      </c>
      <c r="F760" t="str">
        <f t="shared" ref="F760" si="752">LEFT(A760, LEN(A760) - 1)</f>
        <v>&gt;378:ACCTGC:20.00:66.67:Warning:6:1752.19</v>
      </c>
    </row>
    <row r="761" spans="1:6" x14ac:dyDescent="0.3">
      <c r="A761" t="s">
        <v>384</v>
      </c>
      <c r="F761" t="str">
        <f t="shared" ref="F761" si="753">A761</f>
        <v>ACCTGC</v>
      </c>
    </row>
    <row r="762" spans="1:6" x14ac:dyDescent="0.3">
      <c r="A762" t="s">
        <v>4481</v>
      </c>
      <c r="F762" t="str">
        <f t="shared" ref="F762" si="754">LEFT(A762, LEN(A762) - 1)</f>
        <v>&gt;379:ACCTGG:20.00:66.67:Warning:6:1792.22</v>
      </c>
    </row>
    <row r="763" spans="1:6" x14ac:dyDescent="0.3">
      <c r="A763" t="s">
        <v>385</v>
      </c>
      <c r="F763" t="str">
        <f t="shared" ref="F763" si="755">A763</f>
        <v>ACCTGG</v>
      </c>
    </row>
    <row r="764" spans="1:6" x14ac:dyDescent="0.3">
      <c r="A764" t="s">
        <v>4482</v>
      </c>
      <c r="F764" t="str">
        <f t="shared" ref="F764" si="756">LEFT(A764, LEN(A764) - 1)</f>
        <v>&gt;380:ACCTGT:14.00:50.00:Warning:6:1767.20</v>
      </c>
    </row>
    <row r="765" spans="1:6" x14ac:dyDescent="0.3">
      <c r="A765" t="s">
        <v>386</v>
      </c>
      <c r="F765" t="str">
        <f t="shared" ref="F765" si="757">A765</f>
        <v>ACCTGT</v>
      </c>
    </row>
    <row r="766" spans="1:6" x14ac:dyDescent="0.3">
      <c r="A766" t="s">
        <v>4483</v>
      </c>
      <c r="F766" t="str">
        <f t="shared" ref="F766" si="758">LEFT(A766, LEN(A766) - 1)</f>
        <v>&gt;381:ACCTTA:16.00:33.33:OK:6:1751.20</v>
      </c>
    </row>
    <row r="767" spans="1:6" x14ac:dyDescent="0.3">
      <c r="A767" t="s">
        <v>387</v>
      </c>
      <c r="F767" t="str">
        <f t="shared" ref="F767" si="759">A767</f>
        <v>ACCTTA</v>
      </c>
    </row>
    <row r="768" spans="1:6" x14ac:dyDescent="0.3">
      <c r="A768" t="s">
        <v>4484</v>
      </c>
      <c r="F768" t="str">
        <f t="shared" ref="F768" si="760">LEFT(A768, LEN(A768) - 1)</f>
        <v>&gt;382:ACCTTC:14.00:50.00:Warning:6:1727.17</v>
      </c>
    </row>
    <row r="769" spans="1:6" x14ac:dyDescent="0.3">
      <c r="A769" t="s">
        <v>388</v>
      </c>
      <c r="F769" t="str">
        <f t="shared" ref="F769" si="761">A769</f>
        <v>ACCTTC</v>
      </c>
    </row>
    <row r="770" spans="1:6" x14ac:dyDescent="0.3">
      <c r="A770" t="s">
        <v>4485</v>
      </c>
      <c r="F770" t="str">
        <f t="shared" ref="F770" si="762">LEFT(A770, LEN(A770) - 1)</f>
        <v>&gt;383:ACCTTG:14.00:50.00:Warning:6:1767.20</v>
      </c>
    </row>
    <row r="771" spans="1:6" x14ac:dyDescent="0.3">
      <c r="A771" t="s">
        <v>389</v>
      </c>
      <c r="F771" t="str">
        <f t="shared" ref="F771" si="763">A771</f>
        <v>ACCTTG</v>
      </c>
    </row>
    <row r="772" spans="1:6" x14ac:dyDescent="0.3">
      <c r="A772" t="s">
        <v>4486</v>
      </c>
      <c r="F772" t="str">
        <f t="shared" ref="F772" si="764">LEFT(A772, LEN(A772) - 1)</f>
        <v>&gt;384:ACCTTT:8.00:33.33:OK:6:1742.18</v>
      </c>
    </row>
    <row r="773" spans="1:6" x14ac:dyDescent="0.3">
      <c r="A773" t="s">
        <v>390</v>
      </c>
      <c r="F773" t="str">
        <f t="shared" ref="F773" si="765">A773</f>
        <v>ACCTTT</v>
      </c>
    </row>
    <row r="774" spans="1:6" x14ac:dyDescent="0.3">
      <c r="A774" t="s">
        <v>4487</v>
      </c>
      <c r="F774" t="str">
        <f t="shared" ref="F774" si="766">LEFT(A774, LEN(A774) - 1)</f>
        <v>&gt;385:ACGAAA:32.00:33.33:OK:6:1809.27</v>
      </c>
    </row>
    <row r="775" spans="1:6" x14ac:dyDescent="0.3">
      <c r="A775" t="s">
        <v>391</v>
      </c>
      <c r="F775" t="str">
        <f t="shared" ref="F775" si="767">A775</f>
        <v>ACGAAA</v>
      </c>
    </row>
    <row r="776" spans="1:6" x14ac:dyDescent="0.3">
      <c r="A776" t="s">
        <v>4488</v>
      </c>
      <c r="F776" t="str">
        <f t="shared" ref="F776" si="768">LEFT(A776, LEN(A776) - 1)</f>
        <v>&gt;386:ACGAAC:30.00:50.00:Warning:6:1785.24</v>
      </c>
    </row>
    <row r="777" spans="1:6" x14ac:dyDescent="0.3">
      <c r="A777" t="s">
        <v>392</v>
      </c>
      <c r="F777" t="str">
        <f t="shared" ref="F777" si="769">A777</f>
        <v>ACGAAC</v>
      </c>
    </row>
    <row r="778" spans="1:6" x14ac:dyDescent="0.3">
      <c r="A778" t="s">
        <v>4489</v>
      </c>
      <c r="F778" t="str">
        <f t="shared" ref="F778" si="770">LEFT(A778, LEN(A778) - 1)</f>
        <v>&gt;387:ACGAAG:30.00:50.00:Warning:6:1825.27</v>
      </c>
    </row>
    <row r="779" spans="1:6" x14ac:dyDescent="0.3">
      <c r="A779" t="s">
        <v>393</v>
      </c>
      <c r="F779" t="str">
        <f t="shared" ref="F779" si="771">A779</f>
        <v>ACGAAG</v>
      </c>
    </row>
    <row r="780" spans="1:6" x14ac:dyDescent="0.3">
      <c r="A780" t="s">
        <v>4490</v>
      </c>
      <c r="F780" t="str">
        <f t="shared" ref="F780" si="772">LEFT(A780, LEN(A780) - 1)</f>
        <v>&gt;388:ACGAAT:24.00:33.33:OK:6:1800.25</v>
      </c>
    </row>
    <row r="781" spans="1:6" x14ac:dyDescent="0.3">
      <c r="A781" t="s">
        <v>394</v>
      </c>
      <c r="F781" t="str">
        <f t="shared" ref="F781" si="773">A781</f>
        <v>ACGAAT</v>
      </c>
    </row>
    <row r="782" spans="1:6" x14ac:dyDescent="0.3">
      <c r="A782" t="s">
        <v>4491</v>
      </c>
      <c r="F782" t="str">
        <f t="shared" ref="F782" si="774">LEFT(A782, LEN(A782) - 1)</f>
        <v>&gt;389:ACGACA:30.00:50.00:Warning:6:1785.24</v>
      </c>
    </row>
    <row r="783" spans="1:6" x14ac:dyDescent="0.3">
      <c r="A783" t="s">
        <v>395</v>
      </c>
      <c r="F783" t="str">
        <f t="shared" ref="F783" si="775">A783</f>
        <v>ACGACA</v>
      </c>
    </row>
    <row r="784" spans="1:6" x14ac:dyDescent="0.3">
      <c r="A784" t="s">
        <v>4492</v>
      </c>
      <c r="F784" t="str">
        <f t="shared" ref="F784" si="776">LEFT(A784, LEN(A784) - 1)</f>
        <v>&gt;390:ACGACC:28.00:66.67:Warning:6:1761.21</v>
      </c>
    </row>
    <row r="785" spans="1:6" x14ac:dyDescent="0.3">
      <c r="A785" t="s">
        <v>396</v>
      </c>
      <c r="F785" t="str">
        <f t="shared" ref="F785" si="777">A785</f>
        <v>ACGACC</v>
      </c>
    </row>
    <row r="786" spans="1:6" x14ac:dyDescent="0.3">
      <c r="A786" t="s">
        <v>4493</v>
      </c>
      <c r="F786" t="str">
        <f t="shared" ref="F786" si="778">LEFT(A786, LEN(A786) - 1)</f>
        <v>&gt;391:ACGACG:28.00:66.67:Warning:6:1801.24</v>
      </c>
    </row>
    <row r="787" spans="1:6" x14ac:dyDescent="0.3">
      <c r="A787" t="s">
        <v>397</v>
      </c>
      <c r="F787" t="str">
        <f t="shared" ref="F787" si="779">A787</f>
        <v>ACGACG</v>
      </c>
    </row>
    <row r="788" spans="1:6" x14ac:dyDescent="0.3">
      <c r="A788" t="s">
        <v>4494</v>
      </c>
      <c r="F788" t="str">
        <f t="shared" ref="F788" si="780">LEFT(A788, LEN(A788) - 1)</f>
        <v>&gt;392:ACGACT:22.00:50.00:Warning:6:1776.22</v>
      </c>
    </row>
    <row r="789" spans="1:6" x14ac:dyDescent="0.3">
      <c r="A789" t="s">
        <v>398</v>
      </c>
      <c r="F789" t="str">
        <f t="shared" ref="F789" si="781">A789</f>
        <v>ACGACT</v>
      </c>
    </row>
    <row r="790" spans="1:6" x14ac:dyDescent="0.3">
      <c r="A790" t="s">
        <v>4495</v>
      </c>
      <c r="F790" t="str">
        <f t="shared" ref="F790" si="782">LEFT(A790, LEN(A790) - 1)</f>
        <v>&gt;393:ACGAGA:30.00:50.00:Warning:6:1825.27</v>
      </c>
    </row>
    <row r="791" spans="1:6" x14ac:dyDescent="0.3">
      <c r="A791" t="s">
        <v>399</v>
      </c>
      <c r="F791" t="str">
        <f t="shared" ref="F791" si="783">A791</f>
        <v>ACGAGA</v>
      </c>
    </row>
    <row r="792" spans="1:6" x14ac:dyDescent="0.3">
      <c r="A792" t="s">
        <v>4496</v>
      </c>
      <c r="F792" t="str">
        <f t="shared" ref="F792" si="784">LEFT(A792, LEN(A792) - 1)</f>
        <v>&gt;394:ACGAGC:28.00:66.67:Warning:6:1801.24</v>
      </c>
    </row>
    <row r="793" spans="1:6" x14ac:dyDescent="0.3">
      <c r="A793" t="s">
        <v>400</v>
      </c>
      <c r="F793" t="str">
        <f t="shared" ref="F793" si="785">A793</f>
        <v>ACGAGC</v>
      </c>
    </row>
    <row r="794" spans="1:6" x14ac:dyDescent="0.3">
      <c r="A794" t="s">
        <v>4497</v>
      </c>
      <c r="F794" t="str">
        <f t="shared" ref="F794" si="786">LEFT(A794, LEN(A794) - 1)</f>
        <v>&gt;395:ACGAGG:28.00:66.67:Warning:6:1841.27</v>
      </c>
    </row>
    <row r="795" spans="1:6" x14ac:dyDescent="0.3">
      <c r="A795" t="s">
        <v>401</v>
      </c>
      <c r="F795" t="str">
        <f t="shared" ref="F795" si="787">A795</f>
        <v>ACGAGG</v>
      </c>
    </row>
    <row r="796" spans="1:6" x14ac:dyDescent="0.3">
      <c r="A796" t="s">
        <v>4498</v>
      </c>
      <c r="F796" t="str">
        <f t="shared" ref="F796" si="788">LEFT(A796, LEN(A796) - 1)</f>
        <v>&gt;396:ACGAGT:22.00:50.00:Warning:6:1816.25</v>
      </c>
    </row>
    <row r="797" spans="1:6" x14ac:dyDescent="0.3">
      <c r="A797" t="s">
        <v>402</v>
      </c>
      <c r="F797" t="str">
        <f t="shared" ref="F797" si="789">A797</f>
        <v>ACGAGT</v>
      </c>
    </row>
    <row r="798" spans="1:6" x14ac:dyDescent="0.3">
      <c r="A798" t="s">
        <v>4499</v>
      </c>
      <c r="F798" t="str">
        <f t="shared" ref="F798" si="790">LEFT(A798, LEN(A798) - 1)</f>
        <v>&gt;397:ACGATA:24.00:33.33:OK:6:1800.25</v>
      </c>
    </row>
    <row r="799" spans="1:6" x14ac:dyDescent="0.3">
      <c r="A799" t="s">
        <v>403</v>
      </c>
      <c r="F799" t="str">
        <f t="shared" ref="F799" si="791">A799</f>
        <v>ACGATA</v>
      </c>
    </row>
    <row r="800" spans="1:6" x14ac:dyDescent="0.3">
      <c r="A800" t="s">
        <v>4500</v>
      </c>
      <c r="F800" t="str">
        <f t="shared" ref="F800" si="792">LEFT(A800, LEN(A800) - 1)</f>
        <v>&gt;398:ACGATC:22.00:50.00:Warning:6:1776.22</v>
      </c>
    </row>
    <row r="801" spans="1:6" x14ac:dyDescent="0.3">
      <c r="A801" t="s">
        <v>404</v>
      </c>
      <c r="F801" t="str">
        <f t="shared" ref="F801" si="793">A801</f>
        <v>ACGATC</v>
      </c>
    </row>
    <row r="802" spans="1:6" x14ac:dyDescent="0.3">
      <c r="A802" t="s">
        <v>4501</v>
      </c>
      <c r="F802" t="str">
        <f t="shared" ref="F802" si="794">LEFT(A802, LEN(A802) - 1)</f>
        <v>&gt;399:ACGATG:22.00:50.00:Warning:6:1816.25</v>
      </c>
    </row>
    <row r="803" spans="1:6" x14ac:dyDescent="0.3">
      <c r="A803" t="s">
        <v>405</v>
      </c>
      <c r="F803" t="str">
        <f t="shared" ref="F803" si="795">A803</f>
        <v>ACGATG</v>
      </c>
    </row>
    <row r="804" spans="1:6" x14ac:dyDescent="0.3">
      <c r="A804" t="s">
        <v>4502</v>
      </c>
      <c r="F804" t="str">
        <f t="shared" ref="F804" si="796">LEFT(A804, LEN(A804) - 1)</f>
        <v>&gt;400:ACGATT:16.00:33.33:OK:6:1791.23</v>
      </c>
    </row>
    <row r="805" spans="1:6" x14ac:dyDescent="0.3">
      <c r="A805" t="s">
        <v>406</v>
      </c>
      <c r="F805" t="str">
        <f t="shared" ref="F805" si="797">A805</f>
        <v>ACGATT</v>
      </c>
    </row>
    <row r="806" spans="1:6" x14ac:dyDescent="0.3">
      <c r="A806" t="s">
        <v>4503</v>
      </c>
      <c r="F806" t="str">
        <f t="shared" ref="F806" si="798">LEFT(A806, LEN(A806) - 1)</f>
        <v>&gt;401:ACGCAA:30.00:50.00:Warning:6:1785.24</v>
      </c>
    </row>
    <row r="807" spans="1:6" x14ac:dyDescent="0.3">
      <c r="A807" t="s">
        <v>407</v>
      </c>
      <c r="F807" t="str">
        <f t="shared" ref="F807" si="799">A807</f>
        <v>ACGCAA</v>
      </c>
    </row>
    <row r="808" spans="1:6" x14ac:dyDescent="0.3">
      <c r="A808" t="s">
        <v>4504</v>
      </c>
      <c r="F808" t="str">
        <f t="shared" ref="F808" si="800">LEFT(A808, LEN(A808) - 1)</f>
        <v>&gt;402:ACGCAC:28.00:66.67:Warning:6:1761.21</v>
      </c>
    </row>
    <row r="809" spans="1:6" x14ac:dyDescent="0.3">
      <c r="A809" t="s">
        <v>408</v>
      </c>
      <c r="F809" t="str">
        <f t="shared" ref="F809" si="801">A809</f>
        <v>ACGCAC</v>
      </c>
    </row>
    <row r="810" spans="1:6" x14ac:dyDescent="0.3">
      <c r="A810" t="s">
        <v>4505</v>
      </c>
      <c r="F810" t="str">
        <f t="shared" ref="F810" si="802">LEFT(A810, LEN(A810) - 1)</f>
        <v>&gt;403:ACGCAG:28.00:66.67:Warning:6:1801.24</v>
      </c>
    </row>
    <row r="811" spans="1:6" x14ac:dyDescent="0.3">
      <c r="A811" t="s">
        <v>409</v>
      </c>
      <c r="F811" t="str">
        <f t="shared" ref="F811" si="803">A811</f>
        <v>ACGCAG</v>
      </c>
    </row>
    <row r="812" spans="1:6" x14ac:dyDescent="0.3">
      <c r="A812" t="s">
        <v>4506</v>
      </c>
      <c r="F812" t="str">
        <f t="shared" ref="F812" si="804">LEFT(A812, LEN(A812) - 1)</f>
        <v>&gt;404:ACGCAT:22.00:50.00:Warning:6:1776.22</v>
      </c>
    </row>
    <row r="813" spans="1:6" x14ac:dyDescent="0.3">
      <c r="A813" t="s">
        <v>410</v>
      </c>
      <c r="F813" t="str">
        <f t="shared" ref="F813" si="805">A813</f>
        <v>ACGCAT</v>
      </c>
    </row>
    <row r="814" spans="1:6" x14ac:dyDescent="0.3">
      <c r="A814" t="s">
        <v>4507</v>
      </c>
      <c r="F814" t="str">
        <f t="shared" ref="F814" si="806">LEFT(A814, LEN(A814) - 1)</f>
        <v>&gt;405:ACGCCA:28.00:66.67:Warning:6:1761.21</v>
      </c>
    </row>
    <row r="815" spans="1:6" x14ac:dyDescent="0.3">
      <c r="A815" t="s">
        <v>411</v>
      </c>
      <c r="F815" t="str">
        <f t="shared" ref="F815" si="807">A815</f>
        <v>ACGCCA</v>
      </c>
    </row>
    <row r="816" spans="1:6" x14ac:dyDescent="0.3">
      <c r="A816" t="s">
        <v>4508</v>
      </c>
      <c r="F816" t="str">
        <f t="shared" ref="F816" si="808">LEFT(A816, LEN(A816) - 1)</f>
        <v>&gt;406:ACGCCC:26.00:83.33:Warning:6:1737.18</v>
      </c>
    </row>
    <row r="817" spans="1:6" x14ac:dyDescent="0.3">
      <c r="A817" t="s">
        <v>412</v>
      </c>
      <c r="F817" t="str">
        <f t="shared" ref="F817" si="809">A817</f>
        <v>ACGCCC</v>
      </c>
    </row>
    <row r="818" spans="1:6" x14ac:dyDescent="0.3">
      <c r="A818" t="s">
        <v>4509</v>
      </c>
      <c r="F818" t="str">
        <f t="shared" ref="F818" si="810">LEFT(A818, LEN(A818) - 1)</f>
        <v>&gt;407:ACGCCG:26.00:83.33:Warning:6:1777.21</v>
      </c>
    </row>
    <row r="819" spans="1:6" x14ac:dyDescent="0.3">
      <c r="A819" t="s">
        <v>413</v>
      </c>
      <c r="F819" t="str">
        <f t="shared" ref="F819" si="811">A819</f>
        <v>ACGCCG</v>
      </c>
    </row>
    <row r="820" spans="1:6" x14ac:dyDescent="0.3">
      <c r="A820" t="s">
        <v>4510</v>
      </c>
      <c r="F820" t="str">
        <f t="shared" ref="F820" si="812">LEFT(A820, LEN(A820) - 1)</f>
        <v>&gt;408:ACGCCT:20.00:66.67:Warning:6:1752.19</v>
      </c>
    </row>
    <row r="821" spans="1:6" x14ac:dyDescent="0.3">
      <c r="A821" t="s">
        <v>414</v>
      </c>
      <c r="F821" t="str">
        <f t="shared" ref="F821" si="813">A821</f>
        <v>ACGCCT</v>
      </c>
    </row>
    <row r="822" spans="1:6" x14ac:dyDescent="0.3">
      <c r="A822" t="s">
        <v>4511</v>
      </c>
      <c r="F822" t="str">
        <f t="shared" ref="F822" si="814">LEFT(A822, LEN(A822) - 1)</f>
        <v>&gt;409:ACGCGA:28.00:66.67:Warning:6:1801.24</v>
      </c>
    </row>
    <row r="823" spans="1:6" x14ac:dyDescent="0.3">
      <c r="A823" t="s">
        <v>415</v>
      </c>
      <c r="F823" t="str">
        <f t="shared" ref="F823" si="815">A823</f>
        <v>ACGCGA</v>
      </c>
    </row>
    <row r="824" spans="1:6" x14ac:dyDescent="0.3">
      <c r="A824" t="s">
        <v>4512</v>
      </c>
      <c r="F824" t="str">
        <f t="shared" ref="F824" si="816">LEFT(A824, LEN(A824) - 1)</f>
        <v>&gt;410:ACGCGC:26.00:83.33:Warning:6:1777.21</v>
      </c>
    </row>
    <row r="825" spans="1:6" x14ac:dyDescent="0.3">
      <c r="A825" t="s">
        <v>416</v>
      </c>
      <c r="F825" t="str">
        <f t="shared" ref="F825" si="817">A825</f>
        <v>ACGCGC</v>
      </c>
    </row>
    <row r="826" spans="1:6" x14ac:dyDescent="0.3">
      <c r="A826" t="s">
        <v>4513</v>
      </c>
      <c r="F826" t="str">
        <f t="shared" ref="F826" si="818">LEFT(A826, LEN(A826) - 1)</f>
        <v>&gt;411:ACGCGG:26.00:83.33:Warning:6:1817.24</v>
      </c>
    </row>
    <row r="827" spans="1:6" x14ac:dyDescent="0.3">
      <c r="A827" t="s">
        <v>417</v>
      </c>
      <c r="F827" t="str">
        <f t="shared" ref="F827" si="819">A827</f>
        <v>ACGCGG</v>
      </c>
    </row>
    <row r="828" spans="1:6" x14ac:dyDescent="0.3">
      <c r="A828" t="s">
        <v>4514</v>
      </c>
      <c r="F828" t="str">
        <f t="shared" ref="F828" si="820">LEFT(A828, LEN(A828) - 1)</f>
        <v>&gt;412:ACGCGT:20.00:66.67:Warning:6:1792.22</v>
      </c>
    </row>
    <row r="829" spans="1:6" x14ac:dyDescent="0.3">
      <c r="A829" t="s">
        <v>418</v>
      </c>
      <c r="F829" t="str">
        <f t="shared" ref="F829" si="821">A829</f>
        <v>ACGCGT</v>
      </c>
    </row>
    <row r="830" spans="1:6" x14ac:dyDescent="0.3">
      <c r="A830" t="s">
        <v>4515</v>
      </c>
      <c r="F830" t="str">
        <f t="shared" ref="F830" si="822">LEFT(A830, LEN(A830) - 1)</f>
        <v>&gt;413:ACGCTA:22.00:50.00:Warning:6:1776.22</v>
      </c>
    </row>
    <row r="831" spans="1:6" x14ac:dyDescent="0.3">
      <c r="A831" t="s">
        <v>419</v>
      </c>
      <c r="F831" t="str">
        <f t="shared" ref="F831" si="823">A831</f>
        <v>ACGCTA</v>
      </c>
    </row>
    <row r="832" spans="1:6" x14ac:dyDescent="0.3">
      <c r="A832" t="s">
        <v>4516</v>
      </c>
      <c r="F832" t="str">
        <f t="shared" ref="F832" si="824">LEFT(A832, LEN(A832) - 1)</f>
        <v>&gt;414:ACGCTC:20.00:66.67:Warning:6:1752.19</v>
      </c>
    </row>
    <row r="833" spans="1:6" x14ac:dyDescent="0.3">
      <c r="A833" t="s">
        <v>420</v>
      </c>
      <c r="F833" t="str">
        <f t="shared" ref="F833" si="825">A833</f>
        <v>ACGCTC</v>
      </c>
    </row>
    <row r="834" spans="1:6" x14ac:dyDescent="0.3">
      <c r="A834" t="s">
        <v>4517</v>
      </c>
      <c r="F834" t="str">
        <f t="shared" ref="F834" si="826">LEFT(A834, LEN(A834) - 1)</f>
        <v>&gt;415:ACGCTG:20.00:66.67:Warning:6:1792.22</v>
      </c>
    </row>
    <row r="835" spans="1:6" x14ac:dyDescent="0.3">
      <c r="A835" t="s">
        <v>421</v>
      </c>
      <c r="F835" t="str">
        <f t="shared" ref="F835" si="827">A835</f>
        <v>ACGCTG</v>
      </c>
    </row>
    <row r="836" spans="1:6" x14ac:dyDescent="0.3">
      <c r="A836" t="s">
        <v>4518</v>
      </c>
      <c r="F836" t="str">
        <f t="shared" ref="F836" si="828">LEFT(A836, LEN(A836) - 1)</f>
        <v>&gt;416:ACGCTT:14.00:50.00:Warning:6:1767.20</v>
      </c>
    </row>
    <row r="837" spans="1:6" x14ac:dyDescent="0.3">
      <c r="A837" t="s">
        <v>422</v>
      </c>
      <c r="F837" t="str">
        <f t="shared" ref="F837" si="829">A837</f>
        <v>ACGCTT</v>
      </c>
    </row>
    <row r="838" spans="1:6" x14ac:dyDescent="0.3">
      <c r="A838" t="s">
        <v>4519</v>
      </c>
      <c r="F838" t="str">
        <f t="shared" ref="F838" si="830">LEFT(A838, LEN(A838) - 1)</f>
        <v>&gt;417:ACGGAA:30.00:50.00:Warning:6:1825.27</v>
      </c>
    </row>
    <row r="839" spans="1:6" x14ac:dyDescent="0.3">
      <c r="A839" t="s">
        <v>423</v>
      </c>
      <c r="F839" t="str">
        <f t="shared" ref="F839" si="831">A839</f>
        <v>ACGGAA</v>
      </c>
    </row>
    <row r="840" spans="1:6" x14ac:dyDescent="0.3">
      <c r="A840" t="s">
        <v>4520</v>
      </c>
      <c r="F840" t="str">
        <f t="shared" ref="F840" si="832">LEFT(A840, LEN(A840) - 1)</f>
        <v>&gt;418:ACGGAC:28.00:66.67:Warning:6:1801.24</v>
      </c>
    </row>
    <row r="841" spans="1:6" x14ac:dyDescent="0.3">
      <c r="A841" t="s">
        <v>424</v>
      </c>
      <c r="F841" t="str">
        <f t="shared" ref="F841" si="833">A841</f>
        <v>ACGGAC</v>
      </c>
    </row>
    <row r="842" spans="1:6" x14ac:dyDescent="0.3">
      <c r="A842" t="s">
        <v>4521</v>
      </c>
      <c r="F842" t="str">
        <f t="shared" ref="F842" si="834">LEFT(A842, LEN(A842) - 1)</f>
        <v>&gt;419:ACGGAG:28.00:66.67:Warning:6:1841.27</v>
      </c>
    </row>
    <row r="843" spans="1:6" x14ac:dyDescent="0.3">
      <c r="A843" t="s">
        <v>425</v>
      </c>
      <c r="F843" t="str">
        <f t="shared" ref="F843" si="835">A843</f>
        <v>ACGGAG</v>
      </c>
    </row>
    <row r="844" spans="1:6" x14ac:dyDescent="0.3">
      <c r="A844" t="s">
        <v>4522</v>
      </c>
      <c r="F844" t="str">
        <f t="shared" ref="F844" si="836">LEFT(A844, LEN(A844) - 1)</f>
        <v>&gt;420:ACGGAT:22.00:50.00:Warning:6:1816.25</v>
      </c>
    </row>
    <row r="845" spans="1:6" x14ac:dyDescent="0.3">
      <c r="A845" t="s">
        <v>426</v>
      </c>
      <c r="F845" t="str">
        <f t="shared" ref="F845" si="837">A845</f>
        <v>ACGGAT</v>
      </c>
    </row>
    <row r="846" spans="1:6" x14ac:dyDescent="0.3">
      <c r="A846" t="s">
        <v>4523</v>
      </c>
      <c r="F846" t="str">
        <f t="shared" ref="F846" si="838">LEFT(A846, LEN(A846) - 1)</f>
        <v>&gt;421:ACGGCA:28.00:66.67:Warning:6:1801.24</v>
      </c>
    </row>
    <row r="847" spans="1:6" x14ac:dyDescent="0.3">
      <c r="A847" t="s">
        <v>427</v>
      </c>
      <c r="F847" t="str">
        <f t="shared" ref="F847" si="839">A847</f>
        <v>ACGGCA</v>
      </c>
    </row>
    <row r="848" spans="1:6" x14ac:dyDescent="0.3">
      <c r="A848" t="s">
        <v>4524</v>
      </c>
      <c r="F848" t="str">
        <f t="shared" ref="F848" si="840">LEFT(A848, LEN(A848) - 1)</f>
        <v>&gt;422:ACGGCC:26.00:83.33:Warning:6:1777.21</v>
      </c>
    </row>
    <row r="849" spans="1:6" x14ac:dyDescent="0.3">
      <c r="A849" t="s">
        <v>428</v>
      </c>
      <c r="F849" t="str">
        <f t="shared" ref="F849" si="841">A849</f>
        <v>ACGGCC</v>
      </c>
    </row>
    <row r="850" spans="1:6" x14ac:dyDescent="0.3">
      <c r="A850" t="s">
        <v>4525</v>
      </c>
      <c r="F850" t="str">
        <f t="shared" ref="F850" si="842">LEFT(A850, LEN(A850) - 1)</f>
        <v>&gt;423:ACGGCG:26.00:83.33:Warning:6:1817.24</v>
      </c>
    </row>
    <row r="851" spans="1:6" x14ac:dyDescent="0.3">
      <c r="A851" t="s">
        <v>429</v>
      </c>
      <c r="F851" t="str">
        <f t="shared" ref="F851" si="843">A851</f>
        <v>ACGGCG</v>
      </c>
    </row>
    <row r="852" spans="1:6" x14ac:dyDescent="0.3">
      <c r="A852" t="s">
        <v>4526</v>
      </c>
      <c r="F852" t="str">
        <f t="shared" ref="F852" si="844">LEFT(A852, LEN(A852) - 1)</f>
        <v>&gt;424:ACGGCT:20.00:66.67:Warning:6:1792.22</v>
      </c>
    </row>
    <row r="853" spans="1:6" x14ac:dyDescent="0.3">
      <c r="A853" t="s">
        <v>430</v>
      </c>
      <c r="F853" t="str">
        <f t="shared" ref="F853" si="845">A853</f>
        <v>ACGGCT</v>
      </c>
    </row>
    <row r="854" spans="1:6" x14ac:dyDescent="0.3">
      <c r="A854" t="s">
        <v>4527</v>
      </c>
      <c r="F854" t="str">
        <f t="shared" ref="F854" si="846">LEFT(A854, LEN(A854) - 1)</f>
        <v>&gt;425:ACGGGA:28.00:66.67:Warning:6:1841.27</v>
      </c>
    </row>
    <row r="855" spans="1:6" x14ac:dyDescent="0.3">
      <c r="A855" t="s">
        <v>431</v>
      </c>
      <c r="F855" t="str">
        <f t="shared" ref="F855" si="847">A855</f>
        <v>ACGGGA</v>
      </c>
    </row>
    <row r="856" spans="1:6" x14ac:dyDescent="0.3">
      <c r="A856" t="s">
        <v>4528</v>
      </c>
      <c r="F856" t="str">
        <f t="shared" ref="F856" si="848">LEFT(A856, LEN(A856) - 1)</f>
        <v>&gt;426:ACGGGC:26.00:83.33:Warning:6:1817.24</v>
      </c>
    </row>
    <row r="857" spans="1:6" x14ac:dyDescent="0.3">
      <c r="A857" t="s">
        <v>432</v>
      </c>
      <c r="F857" t="str">
        <f t="shared" ref="F857" si="849">A857</f>
        <v>ACGGGC</v>
      </c>
    </row>
    <row r="858" spans="1:6" x14ac:dyDescent="0.3">
      <c r="A858" t="s">
        <v>4529</v>
      </c>
      <c r="F858" t="str">
        <f t="shared" ref="F858" si="850">LEFT(A858, LEN(A858) - 1)</f>
        <v>&gt;427:ACGGGG:26.00:83.33:Warning:6:1857.27</v>
      </c>
    </row>
    <row r="859" spans="1:6" x14ac:dyDescent="0.3">
      <c r="A859" t="s">
        <v>433</v>
      </c>
      <c r="F859" t="str">
        <f t="shared" ref="F859" si="851">A859</f>
        <v>ACGGGG</v>
      </c>
    </row>
    <row r="860" spans="1:6" x14ac:dyDescent="0.3">
      <c r="A860" t="s">
        <v>4530</v>
      </c>
      <c r="F860" t="str">
        <f t="shared" ref="F860" si="852">LEFT(A860, LEN(A860) - 1)</f>
        <v>&gt;428:ACGGGT:20.00:66.67:Warning:6:1832.25</v>
      </c>
    </row>
    <row r="861" spans="1:6" x14ac:dyDescent="0.3">
      <c r="A861" t="s">
        <v>434</v>
      </c>
      <c r="F861" t="str">
        <f t="shared" ref="F861" si="853">A861</f>
        <v>ACGGGT</v>
      </c>
    </row>
    <row r="862" spans="1:6" x14ac:dyDescent="0.3">
      <c r="A862" t="s">
        <v>4531</v>
      </c>
      <c r="F862" t="str">
        <f t="shared" ref="F862" si="854">LEFT(A862, LEN(A862) - 1)</f>
        <v>&gt;429:ACGGTA:22.00:50.00:Warning:6:1816.25</v>
      </c>
    </row>
    <row r="863" spans="1:6" x14ac:dyDescent="0.3">
      <c r="A863" t="s">
        <v>435</v>
      </c>
      <c r="F863" t="str">
        <f t="shared" ref="F863" si="855">A863</f>
        <v>ACGGTA</v>
      </c>
    </row>
    <row r="864" spans="1:6" x14ac:dyDescent="0.3">
      <c r="A864" t="s">
        <v>4532</v>
      </c>
      <c r="F864" t="str">
        <f t="shared" ref="F864" si="856">LEFT(A864, LEN(A864) - 1)</f>
        <v>&gt;430:ACGGTC:20.00:66.67:Warning:6:1792.22</v>
      </c>
    </row>
    <row r="865" spans="1:6" x14ac:dyDescent="0.3">
      <c r="A865" t="s">
        <v>436</v>
      </c>
      <c r="F865" t="str">
        <f t="shared" ref="F865" si="857">A865</f>
        <v>ACGGTC</v>
      </c>
    </row>
    <row r="866" spans="1:6" x14ac:dyDescent="0.3">
      <c r="A866" t="s">
        <v>4533</v>
      </c>
      <c r="F866" t="str">
        <f t="shared" ref="F866" si="858">LEFT(A866, LEN(A866) - 1)</f>
        <v>&gt;431:ACGGTG:20.00:66.67:Warning:6:1832.25</v>
      </c>
    </row>
    <row r="867" spans="1:6" x14ac:dyDescent="0.3">
      <c r="A867" t="s">
        <v>437</v>
      </c>
      <c r="F867" t="str">
        <f t="shared" ref="F867" si="859">A867</f>
        <v>ACGGTG</v>
      </c>
    </row>
    <row r="868" spans="1:6" x14ac:dyDescent="0.3">
      <c r="A868" t="s">
        <v>4534</v>
      </c>
      <c r="F868" t="str">
        <f t="shared" ref="F868" si="860">LEFT(A868, LEN(A868) - 1)</f>
        <v>&gt;432:ACGGTT:14.00:50.00:Warning:6:1807.23</v>
      </c>
    </row>
    <row r="869" spans="1:6" x14ac:dyDescent="0.3">
      <c r="A869" t="s">
        <v>438</v>
      </c>
      <c r="F869" t="str">
        <f t="shared" ref="F869" si="861">A869</f>
        <v>ACGGTT</v>
      </c>
    </row>
    <row r="870" spans="1:6" x14ac:dyDescent="0.3">
      <c r="A870" t="s">
        <v>4535</v>
      </c>
      <c r="F870" t="str">
        <f t="shared" ref="F870" si="862">LEFT(A870, LEN(A870) - 1)</f>
        <v>&gt;433:ACGTAA:24.00:33.33:OK:6:1800.25</v>
      </c>
    </row>
    <row r="871" spans="1:6" x14ac:dyDescent="0.3">
      <c r="A871" t="s">
        <v>439</v>
      </c>
      <c r="F871" t="str">
        <f t="shared" ref="F871" si="863">A871</f>
        <v>ACGTAA</v>
      </c>
    </row>
    <row r="872" spans="1:6" x14ac:dyDescent="0.3">
      <c r="A872" t="s">
        <v>4536</v>
      </c>
      <c r="F872" t="str">
        <f t="shared" ref="F872" si="864">LEFT(A872, LEN(A872) - 1)</f>
        <v>&gt;434:ACGTAC:22.00:50.00:Warning:6:1776.22</v>
      </c>
    </row>
    <row r="873" spans="1:6" x14ac:dyDescent="0.3">
      <c r="A873" t="s">
        <v>440</v>
      </c>
      <c r="F873" t="str">
        <f t="shared" ref="F873" si="865">A873</f>
        <v>ACGTAC</v>
      </c>
    </row>
    <row r="874" spans="1:6" x14ac:dyDescent="0.3">
      <c r="A874" t="s">
        <v>4537</v>
      </c>
      <c r="F874" t="str">
        <f t="shared" ref="F874" si="866">LEFT(A874, LEN(A874) - 1)</f>
        <v>&gt;435:ACGTAG:22.00:50.00:Warning:6:1816.25</v>
      </c>
    </row>
    <row r="875" spans="1:6" x14ac:dyDescent="0.3">
      <c r="A875" t="s">
        <v>441</v>
      </c>
      <c r="F875" t="str">
        <f t="shared" ref="F875" si="867">A875</f>
        <v>ACGTAG</v>
      </c>
    </row>
    <row r="876" spans="1:6" x14ac:dyDescent="0.3">
      <c r="A876" t="s">
        <v>4538</v>
      </c>
      <c r="F876" t="str">
        <f t="shared" ref="F876" si="868">LEFT(A876, LEN(A876) - 1)</f>
        <v>&gt;436:ACGTAT:16.00:33.33:OK:6:1791.23</v>
      </c>
    </row>
    <row r="877" spans="1:6" x14ac:dyDescent="0.3">
      <c r="A877" t="s">
        <v>442</v>
      </c>
      <c r="F877" t="str">
        <f t="shared" ref="F877" si="869">A877</f>
        <v>ACGTAT</v>
      </c>
    </row>
    <row r="878" spans="1:6" x14ac:dyDescent="0.3">
      <c r="A878" t="s">
        <v>4539</v>
      </c>
      <c r="F878" t="str">
        <f t="shared" ref="F878" si="870">LEFT(A878, LEN(A878) - 1)</f>
        <v>&gt;437:ACGTCA:22.00:50.00:Warning:6:1776.22</v>
      </c>
    </row>
    <row r="879" spans="1:6" x14ac:dyDescent="0.3">
      <c r="A879" t="s">
        <v>443</v>
      </c>
      <c r="F879" t="str">
        <f t="shared" ref="F879" si="871">A879</f>
        <v>ACGTCA</v>
      </c>
    </row>
    <row r="880" spans="1:6" x14ac:dyDescent="0.3">
      <c r="A880" t="s">
        <v>4540</v>
      </c>
      <c r="F880" t="str">
        <f t="shared" ref="F880" si="872">LEFT(A880, LEN(A880) - 1)</f>
        <v>&gt;438:ACGTCC:20.00:66.67:Warning:6:1752.19</v>
      </c>
    </row>
    <row r="881" spans="1:6" x14ac:dyDescent="0.3">
      <c r="A881" t="s">
        <v>444</v>
      </c>
      <c r="F881" t="str">
        <f t="shared" ref="F881" si="873">A881</f>
        <v>ACGTCC</v>
      </c>
    </row>
    <row r="882" spans="1:6" x14ac:dyDescent="0.3">
      <c r="A882" t="s">
        <v>4541</v>
      </c>
      <c r="F882" t="str">
        <f t="shared" ref="F882" si="874">LEFT(A882, LEN(A882) - 1)</f>
        <v>&gt;439:ACGTCG:20.00:66.67:Warning:6:1792.22</v>
      </c>
    </row>
    <row r="883" spans="1:6" x14ac:dyDescent="0.3">
      <c r="A883" t="s">
        <v>445</v>
      </c>
      <c r="F883" t="str">
        <f t="shared" ref="F883" si="875">A883</f>
        <v>ACGTCG</v>
      </c>
    </row>
    <row r="884" spans="1:6" x14ac:dyDescent="0.3">
      <c r="A884" t="s">
        <v>4542</v>
      </c>
      <c r="F884" t="str">
        <f t="shared" ref="F884" si="876">LEFT(A884, LEN(A884) - 1)</f>
        <v>&gt;440:ACGTCT:14.00:50.00:Warning:6:1767.20</v>
      </c>
    </row>
    <row r="885" spans="1:6" x14ac:dyDescent="0.3">
      <c r="A885" t="s">
        <v>446</v>
      </c>
      <c r="F885" t="str">
        <f t="shared" ref="F885" si="877">A885</f>
        <v>ACGTCT</v>
      </c>
    </row>
    <row r="886" spans="1:6" x14ac:dyDescent="0.3">
      <c r="A886" t="s">
        <v>4543</v>
      </c>
      <c r="F886" t="str">
        <f t="shared" ref="F886" si="878">LEFT(A886, LEN(A886) - 1)</f>
        <v>&gt;441:ACGTGA:22.00:50.00:Warning:6:1816.25</v>
      </c>
    </row>
    <row r="887" spans="1:6" x14ac:dyDescent="0.3">
      <c r="A887" t="s">
        <v>447</v>
      </c>
      <c r="F887" t="str">
        <f t="shared" ref="F887" si="879">A887</f>
        <v>ACGTGA</v>
      </c>
    </row>
    <row r="888" spans="1:6" x14ac:dyDescent="0.3">
      <c r="A888" t="s">
        <v>4544</v>
      </c>
      <c r="F888" t="str">
        <f t="shared" ref="F888" si="880">LEFT(A888, LEN(A888) - 1)</f>
        <v>&gt;442:ACGTGC:20.00:66.67:Warning:6:1792.22</v>
      </c>
    </row>
    <row r="889" spans="1:6" x14ac:dyDescent="0.3">
      <c r="A889" t="s">
        <v>448</v>
      </c>
      <c r="F889" t="str">
        <f t="shared" ref="F889" si="881">A889</f>
        <v>ACGTGC</v>
      </c>
    </row>
    <row r="890" spans="1:6" x14ac:dyDescent="0.3">
      <c r="A890" t="s">
        <v>4545</v>
      </c>
      <c r="F890" t="str">
        <f t="shared" ref="F890" si="882">LEFT(A890, LEN(A890) - 1)</f>
        <v>&gt;443:ACGTGG:20.00:66.67:Warning:6:1832.25</v>
      </c>
    </row>
    <row r="891" spans="1:6" x14ac:dyDescent="0.3">
      <c r="A891" t="s">
        <v>449</v>
      </c>
      <c r="F891" t="str">
        <f t="shared" ref="F891" si="883">A891</f>
        <v>ACGTGG</v>
      </c>
    </row>
    <row r="892" spans="1:6" x14ac:dyDescent="0.3">
      <c r="A892" t="s">
        <v>4546</v>
      </c>
      <c r="F892" t="str">
        <f t="shared" ref="F892" si="884">LEFT(A892, LEN(A892) - 1)</f>
        <v>&gt;444:ACGTGT:14.00:50.00:Warning:6:1807.23</v>
      </c>
    </row>
    <row r="893" spans="1:6" x14ac:dyDescent="0.3">
      <c r="A893" t="s">
        <v>450</v>
      </c>
      <c r="F893" t="str">
        <f t="shared" ref="F893" si="885">A893</f>
        <v>ACGTGT</v>
      </c>
    </row>
    <row r="894" spans="1:6" x14ac:dyDescent="0.3">
      <c r="A894" t="s">
        <v>4547</v>
      </c>
      <c r="F894" t="str">
        <f t="shared" ref="F894" si="886">LEFT(A894, LEN(A894) - 1)</f>
        <v>&gt;445:ACGTTA:16.00:33.33:OK:6:1791.23</v>
      </c>
    </row>
    <row r="895" spans="1:6" x14ac:dyDescent="0.3">
      <c r="A895" t="s">
        <v>451</v>
      </c>
      <c r="F895" t="str">
        <f t="shared" ref="F895" si="887">A895</f>
        <v>ACGTTA</v>
      </c>
    </row>
    <row r="896" spans="1:6" x14ac:dyDescent="0.3">
      <c r="A896" t="s">
        <v>4548</v>
      </c>
      <c r="F896" t="str">
        <f t="shared" ref="F896" si="888">LEFT(A896, LEN(A896) - 1)</f>
        <v>&gt;446:ACGTTC:14.00:50.00:Warning:6:1767.20</v>
      </c>
    </row>
    <row r="897" spans="1:6" x14ac:dyDescent="0.3">
      <c r="A897" t="s">
        <v>452</v>
      </c>
      <c r="F897" t="str">
        <f t="shared" ref="F897" si="889">A897</f>
        <v>ACGTTC</v>
      </c>
    </row>
    <row r="898" spans="1:6" x14ac:dyDescent="0.3">
      <c r="A898" t="s">
        <v>4549</v>
      </c>
      <c r="F898" t="str">
        <f t="shared" ref="F898" si="890">LEFT(A898, LEN(A898) - 1)</f>
        <v>&gt;447:ACGTTG:14.00:50.00:Warning:6:1807.23</v>
      </c>
    </row>
    <row r="899" spans="1:6" x14ac:dyDescent="0.3">
      <c r="A899" t="s">
        <v>453</v>
      </c>
      <c r="F899" t="str">
        <f t="shared" ref="F899" si="891">A899</f>
        <v>ACGTTG</v>
      </c>
    </row>
    <row r="900" spans="1:6" x14ac:dyDescent="0.3">
      <c r="A900" t="s">
        <v>4550</v>
      </c>
      <c r="F900" t="str">
        <f t="shared" ref="F900" si="892">LEFT(A900, LEN(A900) - 1)</f>
        <v>&gt;448:ACGTTT:8.00:33.33:OK:6:1782.21</v>
      </c>
    </row>
    <row r="901" spans="1:6" x14ac:dyDescent="0.3">
      <c r="A901" t="s">
        <v>454</v>
      </c>
      <c r="F901" t="str">
        <f t="shared" ref="F901" si="893">A901</f>
        <v>ACGTTT</v>
      </c>
    </row>
    <row r="902" spans="1:6" x14ac:dyDescent="0.3">
      <c r="A902" t="s">
        <v>4551</v>
      </c>
      <c r="F902" t="str">
        <f t="shared" ref="F902" si="894">LEFT(A902, LEN(A902) - 1)</f>
        <v>&gt;449:ACTAAA:26.00:16.67:OK:6:1784.25</v>
      </c>
    </row>
    <row r="903" spans="1:6" x14ac:dyDescent="0.3">
      <c r="A903" t="s">
        <v>455</v>
      </c>
      <c r="F903" t="str">
        <f t="shared" ref="F903" si="895">A903</f>
        <v>ACTAAA</v>
      </c>
    </row>
    <row r="904" spans="1:6" x14ac:dyDescent="0.3">
      <c r="A904" t="s">
        <v>4552</v>
      </c>
      <c r="F904" t="str">
        <f t="shared" ref="F904" si="896">LEFT(A904, LEN(A904) - 1)</f>
        <v>&gt;450:ACTAAC:24.00:33.33:OK:6:1760.22</v>
      </c>
    </row>
    <row r="905" spans="1:6" x14ac:dyDescent="0.3">
      <c r="A905" t="s">
        <v>456</v>
      </c>
      <c r="F905" t="str">
        <f t="shared" ref="F905" si="897">A905</f>
        <v>ACTAAC</v>
      </c>
    </row>
    <row r="906" spans="1:6" x14ac:dyDescent="0.3">
      <c r="A906" t="s">
        <v>4553</v>
      </c>
      <c r="F906" t="str">
        <f t="shared" ref="F906" si="898">LEFT(A906, LEN(A906) - 1)</f>
        <v>&gt;451:ACTAAG:24.00:33.33:OK:6:1800.25</v>
      </c>
    </row>
    <row r="907" spans="1:6" x14ac:dyDescent="0.3">
      <c r="A907" t="s">
        <v>457</v>
      </c>
      <c r="F907" t="str">
        <f t="shared" ref="F907" si="899">A907</f>
        <v>ACTAAG</v>
      </c>
    </row>
    <row r="908" spans="1:6" x14ac:dyDescent="0.3">
      <c r="A908" t="s">
        <v>4554</v>
      </c>
      <c r="F908" t="str">
        <f t="shared" ref="F908" si="900">LEFT(A908, LEN(A908) - 1)</f>
        <v>&gt;452:ACTAAT:18.00:16.67:OK:6:1775.23</v>
      </c>
    </row>
    <row r="909" spans="1:6" x14ac:dyDescent="0.3">
      <c r="A909" t="s">
        <v>458</v>
      </c>
      <c r="F909" t="str">
        <f t="shared" ref="F909" si="901">A909</f>
        <v>ACTAAT</v>
      </c>
    </row>
    <row r="910" spans="1:6" x14ac:dyDescent="0.3">
      <c r="A910" t="s">
        <v>4555</v>
      </c>
      <c r="F910" t="str">
        <f t="shared" ref="F910" si="902">LEFT(A910, LEN(A910) - 1)</f>
        <v>&gt;453:ACTACA:24.00:33.33:OK:6:1760.22</v>
      </c>
    </row>
    <row r="911" spans="1:6" x14ac:dyDescent="0.3">
      <c r="A911" t="s">
        <v>459</v>
      </c>
      <c r="F911" t="str">
        <f t="shared" ref="F911" si="903">A911</f>
        <v>ACTACA</v>
      </c>
    </row>
    <row r="912" spans="1:6" x14ac:dyDescent="0.3">
      <c r="A912" t="s">
        <v>4556</v>
      </c>
      <c r="F912" t="str">
        <f t="shared" ref="F912" si="904">LEFT(A912, LEN(A912) - 1)</f>
        <v>&gt;454:ACTACC:22.00:50.00:Warning:6:1736.19</v>
      </c>
    </row>
    <row r="913" spans="1:6" x14ac:dyDescent="0.3">
      <c r="A913" t="s">
        <v>460</v>
      </c>
      <c r="F913" t="str">
        <f t="shared" ref="F913" si="905">A913</f>
        <v>ACTACC</v>
      </c>
    </row>
    <row r="914" spans="1:6" x14ac:dyDescent="0.3">
      <c r="A914" t="s">
        <v>4557</v>
      </c>
      <c r="F914" t="str">
        <f t="shared" ref="F914" si="906">LEFT(A914, LEN(A914) - 1)</f>
        <v>&gt;455:ACTACG:22.00:50.00:Warning:6:1776.22</v>
      </c>
    </row>
    <row r="915" spans="1:6" x14ac:dyDescent="0.3">
      <c r="A915" t="s">
        <v>461</v>
      </c>
      <c r="F915" t="str">
        <f t="shared" ref="F915" si="907">A915</f>
        <v>ACTACG</v>
      </c>
    </row>
    <row r="916" spans="1:6" x14ac:dyDescent="0.3">
      <c r="A916" t="s">
        <v>4558</v>
      </c>
      <c r="F916" t="str">
        <f t="shared" ref="F916" si="908">LEFT(A916, LEN(A916) - 1)</f>
        <v>&gt;456:ACTACT:16.00:33.33:OK:6:1751.20</v>
      </c>
    </row>
    <row r="917" spans="1:6" x14ac:dyDescent="0.3">
      <c r="A917" t="s">
        <v>462</v>
      </c>
      <c r="F917" t="str">
        <f t="shared" ref="F917" si="909">A917</f>
        <v>ACTACT</v>
      </c>
    </row>
    <row r="918" spans="1:6" x14ac:dyDescent="0.3">
      <c r="A918" t="s">
        <v>4559</v>
      </c>
      <c r="F918" t="str">
        <f t="shared" ref="F918" si="910">LEFT(A918, LEN(A918) - 1)</f>
        <v>&gt;457:ACTAGA:24.00:33.33:OK:6:1800.25</v>
      </c>
    </row>
    <row r="919" spans="1:6" x14ac:dyDescent="0.3">
      <c r="A919" t="s">
        <v>463</v>
      </c>
      <c r="F919" t="str">
        <f t="shared" ref="F919" si="911">A919</f>
        <v>ACTAGA</v>
      </c>
    </row>
    <row r="920" spans="1:6" x14ac:dyDescent="0.3">
      <c r="A920" t="s">
        <v>4560</v>
      </c>
      <c r="F920" t="str">
        <f t="shared" ref="F920" si="912">LEFT(A920, LEN(A920) - 1)</f>
        <v>&gt;458:ACTAGC:22.00:50.00:Warning:6:1776.22</v>
      </c>
    </row>
    <row r="921" spans="1:6" x14ac:dyDescent="0.3">
      <c r="A921" t="s">
        <v>464</v>
      </c>
      <c r="F921" t="str">
        <f t="shared" ref="F921" si="913">A921</f>
        <v>ACTAGC</v>
      </c>
    </row>
    <row r="922" spans="1:6" x14ac:dyDescent="0.3">
      <c r="A922" t="s">
        <v>4561</v>
      </c>
      <c r="F922" t="str">
        <f t="shared" ref="F922" si="914">LEFT(A922, LEN(A922) - 1)</f>
        <v>&gt;459:ACTAGG:22.00:50.00:Warning:6:1816.25</v>
      </c>
    </row>
    <row r="923" spans="1:6" x14ac:dyDescent="0.3">
      <c r="A923" t="s">
        <v>465</v>
      </c>
      <c r="F923" t="str">
        <f t="shared" ref="F923" si="915">A923</f>
        <v>ACTAGG</v>
      </c>
    </row>
    <row r="924" spans="1:6" x14ac:dyDescent="0.3">
      <c r="A924" t="s">
        <v>4562</v>
      </c>
      <c r="F924" t="str">
        <f t="shared" ref="F924" si="916">LEFT(A924, LEN(A924) - 1)</f>
        <v>&gt;460:ACTAGT:16.00:33.33:OK:6:1791.23</v>
      </c>
    </row>
    <row r="925" spans="1:6" x14ac:dyDescent="0.3">
      <c r="A925" t="s">
        <v>466</v>
      </c>
      <c r="F925" t="str">
        <f t="shared" ref="F925" si="917">A925</f>
        <v>ACTAGT</v>
      </c>
    </row>
    <row r="926" spans="1:6" x14ac:dyDescent="0.3">
      <c r="A926" t="s">
        <v>4563</v>
      </c>
      <c r="F926" t="str">
        <f t="shared" ref="F926" si="918">LEFT(A926, LEN(A926) - 1)</f>
        <v>&gt;461:ACTATA:18.00:16.67:OK:6:1775.23</v>
      </c>
    </row>
    <row r="927" spans="1:6" x14ac:dyDescent="0.3">
      <c r="A927" t="s">
        <v>467</v>
      </c>
      <c r="F927" t="str">
        <f t="shared" ref="F927" si="919">A927</f>
        <v>ACTATA</v>
      </c>
    </row>
    <row r="928" spans="1:6" x14ac:dyDescent="0.3">
      <c r="A928" t="s">
        <v>4564</v>
      </c>
      <c r="F928" t="str">
        <f t="shared" ref="F928" si="920">LEFT(A928, LEN(A928) - 1)</f>
        <v>&gt;462:ACTATC:16.00:33.33:OK:6:1751.20</v>
      </c>
    </row>
    <row r="929" spans="1:6" x14ac:dyDescent="0.3">
      <c r="A929" t="s">
        <v>468</v>
      </c>
      <c r="F929" t="str">
        <f t="shared" ref="F929" si="921">A929</f>
        <v>ACTATC</v>
      </c>
    </row>
    <row r="930" spans="1:6" x14ac:dyDescent="0.3">
      <c r="A930" t="s">
        <v>4565</v>
      </c>
      <c r="F930" t="str">
        <f t="shared" ref="F930" si="922">LEFT(A930, LEN(A930) - 1)</f>
        <v>&gt;463:ACTATG:16.00:33.33:OK:6:1791.23</v>
      </c>
    </row>
    <row r="931" spans="1:6" x14ac:dyDescent="0.3">
      <c r="A931" t="s">
        <v>469</v>
      </c>
      <c r="F931" t="str">
        <f t="shared" ref="F931" si="923">A931</f>
        <v>ACTATG</v>
      </c>
    </row>
    <row r="932" spans="1:6" x14ac:dyDescent="0.3">
      <c r="A932" t="s">
        <v>4566</v>
      </c>
      <c r="F932" t="str">
        <f t="shared" ref="F932" si="924">LEFT(A932, LEN(A932) - 1)</f>
        <v>&gt;464:ACTATT:10.00:16.67:OK:6:1766.21</v>
      </c>
    </row>
    <row r="933" spans="1:6" x14ac:dyDescent="0.3">
      <c r="A933" t="s">
        <v>470</v>
      </c>
      <c r="F933" t="str">
        <f t="shared" ref="F933" si="925">A933</f>
        <v>ACTATT</v>
      </c>
    </row>
    <row r="934" spans="1:6" x14ac:dyDescent="0.3">
      <c r="A934" t="s">
        <v>4567</v>
      </c>
      <c r="F934" t="str">
        <f t="shared" ref="F934" si="926">LEFT(A934, LEN(A934) - 1)</f>
        <v>&gt;465:ACTCAA:24.00:33.33:OK:6:1760.22</v>
      </c>
    </row>
    <row r="935" spans="1:6" x14ac:dyDescent="0.3">
      <c r="A935" t="s">
        <v>471</v>
      </c>
      <c r="F935" t="str">
        <f t="shared" ref="F935" si="927">A935</f>
        <v>ACTCAA</v>
      </c>
    </row>
    <row r="936" spans="1:6" x14ac:dyDescent="0.3">
      <c r="A936" t="s">
        <v>4568</v>
      </c>
      <c r="F936" t="str">
        <f t="shared" ref="F936" si="928">LEFT(A936, LEN(A936) - 1)</f>
        <v>&gt;466:ACTCAC:22.00:50.00:Warning:6:1736.19</v>
      </c>
    </row>
    <row r="937" spans="1:6" x14ac:dyDescent="0.3">
      <c r="A937" t="s">
        <v>472</v>
      </c>
      <c r="F937" t="str">
        <f t="shared" ref="F937" si="929">A937</f>
        <v>ACTCAC</v>
      </c>
    </row>
    <row r="938" spans="1:6" x14ac:dyDescent="0.3">
      <c r="A938" t="s">
        <v>4569</v>
      </c>
      <c r="F938" t="str">
        <f t="shared" ref="F938" si="930">LEFT(A938, LEN(A938) - 1)</f>
        <v>&gt;467:ACTCAG:22.00:50.00:Warning:6:1776.22</v>
      </c>
    </row>
    <row r="939" spans="1:6" x14ac:dyDescent="0.3">
      <c r="A939" t="s">
        <v>473</v>
      </c>
      <c r="F939" t="str">
        <f t="shared" ref="F939" si="931">A939</f>
        <v>ACTCAG</v>
      </c>
    </row>
    <row r="940" spans="1:6" x14ac:dyDescent="0.3">
      <c r="A940" t="s">
        <v>4570</v>
      </c>
      <c r="F940" t="str">
        <f t="shared" ref="F940" si="932">LEFT(A940, LEN(A940) - 1)</f>
        <v>&gt;468:ACTCAT:16.00:33.33:OK:6:1751.20</v>
      </c>
    </row>
    <row r="941" spans="1:6" x14ac:dyDescent="0.3">
      <c r="A941" t="s">
        <v>474</v>
      </c>
      <c r="F941" t="str">
        <f t="shared" ref="F941" si="933">A941</f>
        <v>ACTCAT</v>
      </c>
    </row>
    <row r="942" spans="1:6" x14ac:dyDescent="0.3">
      <c r="A942" t="s">
        <v>4571</v>
      </c>
      <c r="F942" t="str">
        <f t="shared" ref="F942" si="934">LEFT(A942, LEN(A942) - 1)</f>
        <v>&gt;469:ACTCCA:22.00:50.00:Warning:6:1736.19</v>
      </c>
    </row>
    <row r="943" spans="1:6" x14ac:dyDescent="0.3">
      <c r="A943" t="s">
        <v>475</v>
      </c>
      <c r="F943" t="str">
        <f t="shared" ref="F943" si="935">A943</f>
        <v>ACTCCA</v>
      </c>
    </row>
    <row r="944" spans="1:6" x14ac:dyDescent="0.3">
      <c r="A944" t="s">
        <v>4572</v>
      </c>
      <c r="F944" t="str">
        <f t="shared" ref="F944" si="936">LEFT(A944, LEN(A944) - 1)</f>
        <v>&gt;470:ACTCCC:20.00:66.67:Warning:6:1712.16</v>
      </c>
    </row>
    <row r="945" spans="1:6" x14ac:dyDescent="0.3">
      <c r="A945" t="s">
        <v>476</v>
      </c>
      <c r="F945" t="str">
        <f t="shared" ref="F945" si="937">A945</f>
        <v>ACTCCC</v>
      </c>
    </row>
    <row r="946" spans="1:6" x14ac:dyDescent="0.3">
      <c r="A946" t="s">
        <v>4573</v>
      </c>
      <c r="F946" t="str">
        <f t="shared" ref="F946" si="938">LEFT(A946, LEN(A946) - 1)</f>
        <v>&gt;471:ACTCCG:20.00:66.67:Warning:6:1752.19</v>
      </c>
    </row>
    <row r="947" spans="1:6" x14ac:dyDescent="0.3">
      <c r="A947" t="s">
        <v>477</v>
      </c>
      <c r="F947" t="str">
        <f t="shared" ref="F947" si="939">A947</f>
        <v>ACTCCG</v>
      </c>
    </row>
    <row r="948" spans="1:6" x14ac:dyDescent="0.3">
      <c r="A948" t="s">
        <v>4574</v>
      </c>
      <c r="F948" t="str">
        <f t="shared" ref="F948" si="940">LEFT(A948, LEN(A948) - 1)</f>
        <v>&gt;472:ACTCCT:14.00:50.00:Warning:6:1727.17</v>
      </c>
    </row>
    <row r="949" spans="1:6" x14ac:dyDescent="0.3">
      <c r="A949" t="s">
        <v>478</v>
      </c>
      <c r="F949" t="str">
        <f t="shared" ref="F949" si="941">A949</f>
        <v>ACTCCT</v>
      </c>
    </row>
    <row r="950" spans="1:6" x14ac:dyDescent="0.3">
      <c r="A950" t="s">
        <v>4575</v>
      </c>
      <c r="F950" t="str">
        <f t="shared" ref="F950" si="942">LEFT(A950, LEN(A950) - 1)</f>
        <v>&gt;473:ACTCGA:22.00:50.00:Warning:6:1776.22</v>
      </c>
    </row>
    <row r="951" spans="1:6" x14ac:dyDescent="0.3">
      <c r="A951" t="s">
        <v>479</v>
      </c>
      <c r="F951" t="str">
        <f t="shared" ref="F951" si="943">A951</f>
        <v>ACTCGA</v>
      </c>
    </row>
    <row r="952" spans="1:6" x14ac:dyDescent="0.3">
      <c r="A952" t="s">
        <v>4576</v>
      </c>
      <c r="F952" t="str">
        <f t="shared" ref="F952" si="944">LEFT(A952, LEN(A952) - 1)</f>
        <v>&gt;474:ACTCGC:20.00:66.67:Warning:6:1752.19</v>
      </c>
    </row>
    <row r="953" spans="1:6" x14ac:dyDescent="0.3">
      <c r="A953" t="s">
        <v>480</v>
      </c>
      <c r="F953" t="str">
        <f t="shared" ref="F953" si="945">A953</f>
        <v>ACTCGC</v>
      </c>
    </row>
    <row r="954" spans="1:6" x14ac:dyDescent="0.3">
      <c r="A954" t="s">
        <v>4577</v>
      </c>
      <c r="F954" t="str">
        <f t="shared" ref="F954" si="946">LEFT(A954, LEN(A954) - 1)</f>
        <v>&gt;475:ACTCGG:20.00:66.67:Warning:6:1792.22</v>
      </c>
    </row>
    <row r="955" spans="1:6" x14ac:dyDescent="0.3">
      <c r="A955" t="s">
        <v>481</v>
      </c>
      <c r="F955" t="str">
        <f t="shared" ref="F955" si="947">A955</f>
        <v>ACTCGG</v>
      </c>
    </row>
    <row r="956" spans="1:6" x14ac:dyDescent="0.3">
      <c r="A956" t="s">
        <v>4578</v>
      </c>
      <c r="F956" t="str">
        <f t="shared" ref="F956" si="948">LEFT(A956, LEN(A956) - 1)</f>
        <v>&gt;476:ACTCGT:14.00:50.00:Warning:6:1767.20</v>
      </c>
    </row>
    <row r="957" spans="1:6" x14ac:dyDescent="0.3">
      <c r="A957" t="s">
        <v>482</v>
      </c>
      <c r="F957" t="str">
        <f t="shared" ref="F957" si="949">A957</f>
        <v>ACTCGT</v>
      </c>
    </row>
    <row r="958" spans="1:6" x14ac:dyDescent="0.3">
      <c r="A958" t="s">
        <v>4579</v>
      </c>
      <c r="F958" t="str">
        <f t="shared" ref="F958" si="950">LEFT(A958, LEN(A958) - 1)</f>
        <v>&gt;477:ACTCTA:16.00:33.33:OK:6:1751.20</v>
      </c>
    </row>
    <row r="959" spans="1:6" x14ac:dyDescent="0.3">
      <c r="A959" t="s">
        <v>483</v>
      </c>
      <c r="F959" t="str">
        <f t="shared" ref="F959" si="951">A959</f>
        <v>ACTCTA</v>
      </c>
    </row>
    <row r="960" spans="1:6" x14ac:dyDescent="0.3">
      <c r="A960" t="s">
        <v>4580</v>
      </c>
      <c r="F960" t="str">
        <f t="shared" ref="F960" si="952">LEFT(A960, LEN(A960) - 1)</f>
        <v>&gt;478:ACTCTC:14.00:50.00:Warning:6:1727.17</v>
      </c>
    </row>
    <row r="961" spans="1:6" x14ac:dyDescent="0.3">
      <c r="A961" t="s">
        <v>484</v>
      </c>
      <c r="F961" t="str">
        <f t="shared" ref="F961" si="953">A961</f>
        <v>ACTCTC</v>
      </c>
    </row>
    <row r="962" spans="1:6" x14ac:dyDescent="0.3">
      <c r="A962" t="s">
        <v>4581</v>
      </c>
      <c r="F962" t="str">
        <f t="shared" ref="F962" si="954">LEFT(A962, LEN(A962) - 1)</f>
        <v>&gt;479:ACTCTG:14.00:50.00:Warning:6:1767.20</v>
      </c>
    </row>
    <row r="963" spans="1:6" x14ac:dyDescent="0.3">
      <c r="A963" t="s">
        <v>485</v>
      </c>
      <c r="F963" t="str">
        <f t="shared" ref="F963" si="955">A963</f>
        <v>ACTCTG</v>
      </c>
    </row>
    <row r="964" spans="1:6" x14ac:dyDescent="0.3">
      <c r="A964" t="s">
        <v>4582</v>
      </c>
      <c r="F964" t="str">
        <f t="shared" ref="F964" si="956">LEFT(A964, LEN(A964) - 1)</f>
        <v>&gt;480:ACTCTT:8.00:33.33:OK:6:1742.18</v>
      </c>
    </row>
    <row r="965" spans="1:6" x14ac:dyDescent="0.3">
      <c r="A965" t="s">
        <v>486</v>
      </c>
      <c r="F965" t="str">
        <f t="shared" ref="F965" si="957">A965</f>
        <v>ACTCTT</v>
      </c>
    </row>
    <row r="966" spans="1:6" x14ac:dyDescent="0.3">
      <c r="A966" t="s">
        <v>4583</v>
      </c>
      <c r="F966" t="str">
        <f t="shared" ref="F966" si="958">LEFT(A966, LEN(A966) - 1)</f>
        <v>&gt;481:ACTGAA:24.00:33.33:OK:6:1800.25</v>
      </c>
    </row>
    <row r="967" spans="1:6" x14ac:dyDescent="0.3">
      <c r="A967" t="s">
        <v>487</v>
      </c>
      <c r="F967" t="str">
        <f t="shared" ref="F967" si="959">A967</f>
        <v>ACTGAA</v>
      </c>
    </row>
    <row r="968" spans="1:6" x14ac:dyDescent="0.3">
      <c r="A968" t="s">
        <v>4584</v>
      </c>
      <c r="F968" t="str">
        <f t="shared" ref="F968" si="960">LEFT(A968, LEN(A968) - 1)</f>
        <v>&gt;482:ACTGAC:22.00:50.00:Warning:6:1776.22</v>
      </c>
    </row>
    <row r="969" spans="1:6" x14ac:dyDescent="0.3">
      <c r="A969" t="s">
        <v>488</v>
      </c>
      <c r="F969" t="str">
        <f t="shared" ref="F969" si="961">A969</f>
        <v>ACTGAC</v>
      </c>
    </row>
    <row r="970" spans="1:6" x14ac:dyDescent="0.3">
      <c r="A970" t="s">
        <v>4585</v>
      </c>
      <c r="F970" t="str">
        <f t="shared" ref="F970" si="962">LEFT(A970, LEN(A970) - 1)</f>
        <v>&gt;483:ACTGAG:22.00:50.00:Warning:6:1816.25</v>
      </c>
    </row>
    <row r="971" spans="1:6" x14ac:dyDescent="0.3">
      <c r="A971" t="s">
        <v>489</v>
      </c>
      <c r="F971" t="str">
        <f t="shared" ref="F971" si="963">A971</f>
        <v>ACTGAG</v>
      </c>
    </row>
    <row r="972" spans="1:6" x14ac:dyDescent="0.3">
      <c r="A972" t="s">
        <v>4586</v>
      </c>
      <c r="F972" t="str">
        <f t="shared" ref="F972" si="964">LEFT(A972, LEN(A972) - 1)</f>
        <v>&gt;484:ACTGAT:16.00:33.33:OK:6:1791.23</v>
      </c>
    </row>
    <row r="973" spans="1:6" x14ac:dyDescent="0.3">
      <c r="A973" t="s">
        <v>490</v>
      </c>
      <c r="F973" t="str">
        <f t="shared" ref="F973" si="965">A973</f>
        <v>ACTGAT</v>
      </c>
    </row>
    <row r="974" spans="1:6" x14ac:dyDescent="0.3">
      <c r="A974" t="s">
        <v>4587</v>
      </c>
      <c r="F974" t="str">
        <f t="shared" ref="F974" si="966">LEFT(A974, LEN(A974) - 1)</f>
        <v>&gt;485:ACTGCA:22.00:50.00:Warning:6:1776.22</v>
      </c>
    </row>
    <row r="975" spans="1:6" x14ac:dyDescent="0.3">
      <c r="A975" t="s">
        <v>491</v>
      </c>
      <c r="F975" t="str">
        <f t="shared" ref="F975" si="967">A975</f>
        <v>ACTGCA</v>
      </c>
    </row>
    <row r="976" spans="1:6" x14ac:dyDescent="0.3">
      <c r="A976" t="s">
        <v>4588</v>
      </c>
      <c r="F976" t="str">
        <f t="shared" ref="F976" si="968">LEFT(A976, LEN(A976) - 1)</f>
        <v>&gt;486:ACTGCC:20.00:66.67:Warning:6:1752.19</v>
      </c>
    </row>
    <row r="977" spans="1:6" x14ac:dyDescent="0.3">
      <c r="A977" t="s">
        <v>492</v>
      </c>
      <c r="F977" t="str">
        <f t="shared" ref="F977" si="969">A977</f>
        <v>ACTGCC</v>
      </c>
    </row>
    <row r="978" spans="1:6" x14ac:dyDescent="0.3">
      <c r="A978" t="s">
        <v>4589</v>
      </c>
      <c r="F978" t="str">
        <f t="shared" ref="F978" si="970">LEFT(A978, LEN(A978) - 1)</f>
        <v>&gt;487:ACTGCG:20.00:66.67:Warning:6:1792.22</v>
      </c>
    </row>
    <row r="979" spans="1:6" x14ac:dyDescent="0.3">
      <c r="A979" t="s">
        <v>493</v>
      </c>
      <c r="F979" t="str">
        <f t="shared" ref="F979" si="971">A979</f>
        <v>ACTGCG</v>
      </c>
    </row>
    <row r="980" spans="1:6" x14ac:dyDescent="0.3">
      <c r="A980" t="s">
        <v>4590</v>
      </c>
      <c r="F980" t="str">
        <f t="shared" ref="F980" si="972">LEFT(A980, LEN(A980) - 1)</f>
        <v>&gt;488:ACTGCT:14.00:50.00:Warning:6:1767.20</v>
      </c>
    </row>
    <row r="981" spans="1:6" x14ac:dyDescent="0.3">
      <c r="A981" t="s">
        <v>494</v>
      </c>
      <c r="F981" t="str">
        <f t="shared" ref="F981" si="973">A981</f>
        <v>ACTGCT</v>
      </c>
    </row>
    <row r="982" spans="1:6" x14ac:dyDescent="0.3">
      <c r="A982" t="s">
        <v>4591</v>
      </c>
      <c r="F982" t="str">
        <f t="shared" ref="F982" si="974">LEFT(A982, LEN(A982) - 1)</f>
        <v>&gt;489:ACTGGA:22.00:50.00:Warning:6:1816.25</v>
      </c>
    </row>
    <row r="983" spans="1:6" x14ac:dyDescent="0.3">
      <c r="A983" t="s">
        <v>495</v>
      </c>
      <c r="F983" t="str">
        <f t="shared" ref="F983" si="975">A983</f>
        <v>ACTGGA</v>
      </c>
    </row>
    <row r="984" spans="1:6" x14ac:dyDescent="0.3">
      <c r="A984" t="s">
        <v>4592</v>
      </c>
      <c r="F984" t="str">
        <f t="shared" ref="F984" si="976">LEFT(A984, LEN(A984) - 1)</f>
        <v>&gt;490:ACTGGC:20.00:66.67:Warning:6:1792.22</v>
      </c>
    </row>
    <row r="985" spans="1:6" x14ac:dyDescent="0.3">
      <c r="A985" t="s">
        <v>496</v>
      </c>
      <c r="F985" t="str">
        <f t="shared" ref="F985" si="977">A985</f>
        <v>ACTGGC</v>
      </c>
    </row>
    <row r="986" spans="1:6" x14ac:dyDescent="0.3">
      <c r="A986" t="s">
        <v>4593</v>
      </c>
      <c r="F986" t="str">
        <f t="shared" ref="F986" si="978">LEFT(A986, LEN(A986) - 1)</f>
        <v>&gt;491:ACTGGG:20.00:66.67:Warning:6:1832.25</v>
      </c>
    </row>
    <row r="987" spans="1:6" x14ac:dyDescent="0.3">
      <c r="A987" t="s">
        <v>497</v>
      </c>
      <c r="F987" t="str">
        <f t="shared" ref="F987" si="979">A987</f>
        <v>ACTGGG</v>
      </c>
    </row>
    <row r="988" spans="1:6" x14ac:dyDescent="0.3">
      <c r="A988" t="s">
        <v>4594</v>
      </c>
      <c r="F988" t="str">
        <f t="shared" ref="F988" si="980">LEFT(A988, LEN(A988) - 1)</f>
        <v>&gt;492:ACTGGT:14.00:50.00:Warning:6:1807.23</v>
      </c>
    </row>
    <row r="989" spans="1:6" x14ac:dyDescent="0.3">
      <c r="A989" t="s">
        <v>498</v>
      </c>
      <c r="F989" t="str">
        <f t="shared" ref="F989" si="981">A989</f>
        <v>ACTGGT</v>
      </c>
    </row>
    <row r="990" spans="1:6" x14ac:dyDescent="0.3">
      <c r="A990" t="s">
        <v>4595</v>
      </c>
      <c r="F990" t="str">
        <f t="shared" ref="F990" si="982">LEFT(A990, LEN(A990) - 1)</f>
        <v>&gt;493:ACTGTA:16.00:33.33:OK:6:1791.23</v>
      </c>
    </row>
    <row r="991" spans="1:6" x14ac:dyDescent="0.3">
      <c r="A991" t="s">
        <v>499</v>
      </c>
      <c r="F991" t="str">
        <f t="shared" ref="F991" si="983">A991</f>
        <v>ACTGTA</v>
      </c>
    </row>
    <row r="992" spans="1:6" x14ac:dyDescent="0.3">
      <c r="A992" t="s">
        <v>4596</v>
      </c>
      <c r="F992" t="str">
        <f t="shared" ref="F992" si="984">LEFT(A992, LEN(A992) - 1)</f>
        <v>&gt;494:ACTGTC:14.00:50.00:Warning:6:1767.20</v>
      </c>
    </row>
    <row r="993" spans="1:6" x14ac:dyDescent="0.3">
      <c r="A993" t="s">
        <v>500</v>
      </c>
      <c r="F993" t="str">
        <f t="shared" ref="F993" si="985">A993</f>
        <v>ACTGTC</v>
      </c>
    </row>
    <row r="994" spans="1:6" x14ac:dyDescent="0.3">
      <c r="A994" t="s">
        <v>4597</v>
      </c>
      <c r="F994" t="str">
        <f t="shared" ref="F994" si="986">LEFT(A994, LEN(A994) - 1)</f>
        <v>&gt;495:ACTGTG:14.00:50.00:Warning:6:1807.23</v>
      </c>
    </row>
    <row r="995" spans="1:6" x14ac:dyDescent="0.3">
      <c r="A995" t="s">
        <v>501</v>
      </c>
      <c r="F995" t="str">
        <f t="shared" ref="F995" si="987">A995</f>
        <v>ACTGTG</v>
      </c>
    </row>
    <row r="996" spans="1:6" x14ac:dyDescent="0.3">
      <c r="A996" t="s">
        <v>4598</v>
      </c>
      <c r="F996" t="str">
        <f t="shared" ref="F996" si="988">LEFT(A996, LEN(A996) - 1)</f>
        <v>&gt;496:ACTGTT:8.00:33.33:OK:6:1782.21</v>
      </c>
    </row>
    <row r="997" spans="1:6" x14ac:dyDescent="0.3">
      <c r="A997" t="s">
        <v>502</v>
      </c>
      <c r="F997" t="str">
        <f t="shared" ref="F997" si="989">A997</f>
        <v>ACTGTT</v>
      </c>
    </row>
    <row r="998" spans="1:6" x14ac:dyDescent="0.3">
      <c r="A998" t="s">
        <v>4599</v>
      </c>
      <c r="F998" t="str">
        <f t="shared" ref="F998" si="990">LEFT(A998, LEN(A998) - 1)</f>
        <v>&gt;497:ACTTAA:18.00:16.67:OK:6:1775.23</v>
      </c>
    </row>
    <row r="999" spans="1:6" x14ac:dyDescent="0.3">
      <c r="A999" t="s">
        <v>503</v>
      </c>
      <c r="F999" t="str">
        <f t="shared" ref="F999" si="991">A999</f>
        <v>ACTTAA</v>
      </c>
    </row>
    <row r="1000" spans="1:6" x14ac:dyDescent="0.3">
      <c r="A1000" t="s">
        <v>4600</v>
      </c>
      <c r="F1000" t="str">
        <f t="shared" ref="F1000" si="992">LEFT(A1000, LEN(A1000) - 1)</f>
        <v>&gt;498:ACTTAC:16.00:33.33:OK:6:1751.20</v>
      </c>
    </row>
    <row r="1001" spans="1:6" x14ac:dyDescent="0.3">
      <c r="A1001" t="s">
        <v>504</v>
      </c>
      <c r="F1001" t="str">
        <f t="shared" ref="F1001" si="993">A1001</f>
        <v>ACTTAC</v>
      </c>
    </row>
    <row r="1002" spans="1:6" x14ac:dyDescent="0.3">
      <c r="A1002" t="s">
        <v>4601</v>
      </c>
      <c r="F1002" t="str">
        <f t="shared" ref="F1002" si="994">LEFT(A1002, LEN(A1002) - 1)</f>
        <v>&gt;499:ACTTAG:16.00:33.33:OK:6:1791.23</v>
      </c>
    </row>
    <row r="1003" spans="1:6" x14ac:dyDescent="0.3">
      <c r="A1003" t="s">
        <v>505</v>
      </c>
      <c r="F1003" t="str">
        <f t="shared" ref="F1003" si="995">A1003</f>
        <v>ACTTAG</v>
      </c>
    </row>
    <row r="1004" spans="1:6" x14ac:dyDescent="0.3">
      <c r="A1004" t="s">
        <v>4602</v>
      </c>
      <c r="F1004" t="str">
        <f t="shared" ref="F1004" si="996">LEFT(A1004, LEN(A1004) - 1)</f>
        <v>&gt;500:ACTTAT:10.00:16.67:OK:6:1766.21</v>
      </c>
    </row>
    <row r="1005" spans="1:6" x14ac:dyDescent="0.3">
      <c r="A1005" t="s">
        <v>506</v>
      </c>
      <c r="F1005" t="str">
        <f t="shared" ref="F1005" si="997">A1005</f>
        <v>ACTTAT</v>
      </c>
    </row>
    <row r="1006" spans="1:6" x14ac:dyDescent="0.3">
      <c r="A1006" t="s">
        <v>4603</v>
      </c>
      <c r="F1006" t="str">
        <f t="shared" ref="F1006" si="998">LEFT(A1006, LEN(A1006) - 1)</f>
        <v>&gt;501:ACTTCA:16.00:33.33:OK:6:1751.20</v>
      </c>
    </row>
    <row r="1007" spans="1:6" x14ac:dyDescent="0.3">
      <c r="A1007" t="s">
        <v>507</v>
      </c>
      <c r="F1007" t="str">
        <f t="shared" ref="F1007" si="999">A1007</f>
        <v>ACTTCA</v>
      </c>
    </row>
    <row r="1008" spans="1:6" x14ac:dyDescent="0.3">
      <c r="A1008" t="s">
        <v>4604</v>
      </c>
      <c r="F1008" t="str">
        <f t="shared" ref="F1008" si="1000">LEFT(A1008, LEN(A1008) - 1)</f>
        <v>&gt;502:ACTTCC:14.00:50.00:Warning:6:1727.17</v>
      </c>
    </row>
    <row r="1009" spans="1:6" x14ac:dyDescent="0.3">
      <c r="A1009" t="s">
        <v>508</v>
      </c>
      <c r="F1009" t="str">
        <f t="shared" ref="F1009" si="1001">A1009</f>
        <v>ACTTCC</v>
      </c>
    </row>
    <row r="1010" spans="1:6" x14ac:dyDescent="0.3">
      <c r="A1010" t="s">
        <v>4605</v>
      </c>
      <c r="F1010" t="str">
        <f t="shared" ref="F1010" si="1002">LEFT(A1010, LEN(A1010) - 1)</f>
        <v>&gt;503:ACTTCG:14.00:50.00:Warning:6:1767.20</v>
      </c>
    </row>
    <row r="1011" spans="1:6" x14ac:dyDescent="0.3">
      <c r="A1011" t="s">
        <v>509</v>
      </c>
      <c r="F1011" t="str">
        <f t="shared" ref="F1011" si="1003">A1011</f>
        <v>ACTTCG</v>
      </c>
    </row>
    <row r="1012" spans="1:6" x14ac:dyDescent="0.3">
      <c r="A1012" t="s">
        <v>4606</v>
      </c>
      <c r="F1012" t="str">
        <f t="shared" ref="F1012" si="1004">LEFT(A1012, LEN(A1012) - 1)</f>
        <v>&gt;504:ACTTCT:8.00:33.33:OK:6:1742.18</v>
      </c>
    </row>
    <row r="1013" spans="1:6" x14ac:dyDescent="0.3">
      <c r="A1013" t="s">
        <v>510</v>
      </c>
      <c r="F1013" t="str">
        <f t="shared" ref="F1013" si="1005">A1013</f>
        <v>ACTTCT</v>
      </c>
    </row>
    <row r="1014" spans="1:6" x14ac:dyDescent="0.3">
      <c r="A1014" t="s">
        <v>4607</v>
      </c>
      <c r="F1014" t="str">
        <f t="shared" ref="F1014" si="1006">LEFT(A1014, LEN(A1014) - 1)</f>
        <v>&gt;505:ACTTGA:16.00:33.33:OK:6:1791.23</v>
      </c>
    </row>
    <row r="1015" spans="1:6" x14ac:dyDescent="0.3">
      <c r="A1015" t="s">
        <v>511</v>
      </c>
      <c r="F1015" t="str">
        <f t="shared" ref="F1015" si="1007">A1015</f>
        <v>ACTTGA</v>
      </c>
    </row>
    <row r="1016" spans="1:6" x14ac:dyDescent="0.3">
      <c r="A1016" t="s">
        <v>4608</v>
      </c>
      <c r="F1016" t="str">
        <f t="shared" ref="F1016" si="1008">LEFT(A1016, LEN(A1016) - 1)</f>
        <v>&gt;506:ACTTGC:14.00:50.00:Warning:6:1767.20</v>
      </c>
    </row>
    <row r="1017" spans="1:6" x14ac:dyDescent="0.3">
      <c r="A1017" t="s">
        <v>512</v>
      </c>
      <c r="F1017" t="str">
        <f t="shared" ref="F1017" si="1009">A1017</f>
        <v>ACTTGC</v>
      </c>
    </row>
    <row r="1018" spans="1:6" x14ac:dyDescent="0.3">
      <c r="A1018" t="s">
        <v>4609</v>
      </c>
      <c r="F1018" t="str">
        <f t="shared" ref="F1018" si="1010">LEFT(A1018, LEN(A1018) - 1)</f>
        <v>&gt;507:ACTTGG:14.00:50.00:Warning:6:1807.23</v>
      </c>
    </row>
    <row r="1019" spans="1:6" x14ac:dyDescent="0.3">
      <c r="A1019" t="s">
        <v>513</v>
      </c>
      <c r="F1019" t="str">
        <f t="shared" ref="F1019" si="1011">A1019</f>
        <v>ACTTGG</v>
      </c>
    </row>
    <row r="1020" spans="1:6" x14ac:dyDescent="0.3">
      <c r="A1020" t="s">
        <v>4610</v>
      </c>
      <c r="F1020" t="str">
        <f t="shared" ref="F1020" si="1012">LEFT(A1020, LEN(A1020) - 1)</f>
        <v>&gt;508:ACTTGT:8.00:33.33:OK:6:1782.21</v>
      </c>
    </row>
    <row r="1021" spans="1:6" x14ac:dyDescent="0.3">
      <c r="A1021" t="s">
        <v>514</v>
      </c>
      <c r="F1021" t="str">
        <f t="shared" ref="F1021" si="1013">A1021</f>
        <v>ACTTGT</v>
      </c>
    </row>
    <row r="1022" spans="1:6" x14ac:dyDescent="0.3">
      <c r="A1022" t="s">
        <v>4611</v>
      </c>
      <c r="F1022" t="str">
        <f t="shared" ref="F1022" si="1014">LEFT(A1022, LEN(A1022) - 1)</f>
        <v>&gt;509:ACTTTA:10.00:16.67:OK:6:1766.21</v>
      </c>
    </row>
    <row r="1023" spans="1:6" x14ac:dyDescent="0.3">
      <c r="A1023" t="s">
        <v>515</v>
      </c>
      <c r="F1023" t="str">
        <f t="shared" ref="F1023" si="1015">A1023</f>
        <v>ACTTTA</v>
      </c>
    </row>
    <row r="1024" spans="1:6" x14ac:dyDescent="0.3">
      <c r="A1024" t="s">
        <v>4612</v>
      </c>
      <c r="F1024" t="str">
        <f t="shared" ref="F1024" si="1016">LEFT(A1024, LEN(A1024) - 1)</f>
        <v>&gt;510:ACTTTC:8.00:33.33:OK:6:1742.18</v>
      </c>
    </row>
    <row r="1025" spans="1:6" x14ac:dyDescent="0.3">
      <c r="A1025" t="s">
        <v>516</v>
      </c>
      <c r="F1025" t="str">
        <f t="shared" ref="F1025" si="1017">A1025</f>
        <v>ACTTTC</v>
      </c>
    </row>
    <row r="1026" spans="1:6" x14ac:dyDescent="0.3">
      <c r="A1026" t="s">
        <v>4613</v>
      </c>
      <c r="F1026" t="str">
        <f t="shared" ref="F1026" si="1018">LEFT(A1026, LEN(A1026) - 1)</f>
        <v>&gt;511:ACTTTG:8.00:33.33:OK:6:1782.21</v>
      </c>
    </row>
    <row r="1027" spans="1:6" x14ac:dyDescent="0.3">
      <c r="A1027" t="s">
        <v>517</v>
      </c>
      <c r="F1027" t="str">
        <f t="shared" ref="F1027" si="1019">A1027</f>
        <v>ACTTTG</v>
      </c>
    </row>
    <row r="1028" spans="1:6" x14ac:dyDescent="0.3">
      <c r="A1028" t="s">
        <v>4614</v>
      </c>
      <c r="F1028" t="str">
        <f t="shared" ref="F1028" si="1020">LEFT(A1028, LEN(A1028) - 1)</f>
        <v>&gt;512:ACTTTT:2.00:16.67:OK:6:1757.19</v>
      </c>
    </row>
    <row r="1029" spans="1:6" x14ac:dyDescent="0.3">
      <c r="A1029" t="s">
        <v>518</v>
      </c>
      <c r="F1029" t="str">
        <f t="shared" ref="F1029" si="1021">A1029</f>
        <v>ACTTTT</v>
      </c>
    </row>
    <row r="1030" spans="1:6" x14ac:dyDescent="0.3">
      <c r="A1030" t="s">
        <v>4615</v>
      </c>
      <c r="F1030" t="str">
        <f t="shared" ref="F1030" si="1022">LEFT(A1030, LEN(A1030) - 1)</f>
        <v>&gt;513:AGAAAA:34.00:16.67:OK:6:1833.30</v>
      </c>
    </row>
    <row r="1031" spans="1:6" x14ac:dyDescent="0.3">
      <c r="A1031" t="s">
        <v>519</v>
      </c>
      <c r="F1031" t="str">
        <f t="shared" ref="F1031" si="1023">A1031</f>
        <v>AGAAAA</v>
      </c>
    </row>
    <row r="1032" spans="1:6" x14ac:dyDescent="0.3">
      <c r="A1032" t="s">
        <v>4616</v>
      </c>
      <c r="F1032" t="str">
        <f t="shared" ref="F1032" si="1024">LEFT(A1032, LEN(A1032) - 1)</f>
        <v>&gt;514:AGAAAC:32.00:33.33:OK:6:1809.27</v>
      </c>
    </row>
    <row r="1033" spans="1:6" x14ac:dyDescent="0.3">
      <c r="A1033" t="s">
        <v>520</v>
      </c>
      <c r="F1033" t="str">
        <f t="shared" ref="F1033" si="1025">A1033</f>
        <v>AGAAAC</v>
      </c>
    </row>
    <row r="1034" spans="1:6" x14ac:dyDescent="0.3">
      <c r="A1034" t="s">
        <v>4617</v>
      </c>
      <c r="F1034" t="str">
        <f t="shared" ref="F1034" si="1026">LEFT(A1034, LEN(A1034) - 1)</f>
        <v>&gt;515:AGAAAG:32.00:33.33:OK:6:1849.30</v>
      </c>
    </row>
    <row r="1035" spans="1:6" x14ac:dyDescent="0.3">
      <c r="A1035" t="s">
        <v>521</v>
      </c>
      <c r="F1035" t="str">
        <f t="shared" ref="F1035" si="1027">A1035</f>
        <v>AGAAAG</v>
      </c>
    </row>
    <row r="1036" spans="1:6" x14ac:dyDescent="0.3">
      <c r="A1036" t="s">
        <v>4618</v>
      </c>
      <c r="F1036" t="str">
        <f t="shared" ref="F1036" si="1028">LEFT(A1036, LEN(A1036) - 1)</f>
        <v>&gt;516:AGAAAT:26.00:16.67:OK:6:1824.28</v>
      </c>
    </row>
    <row r="1037" spans="1:6" x14ac:dyDescent="0.3">
      <c r="A1037" t="s">
        <v>522</v>
      </c>
      <c r="F1037" t="str">
        <f t="shared" ref="F1037" si="1029">A1037</f>
        <v>AGAAAT</v>
      </c>
    </row>
    <row r="1038" spans="1:6" x14ac:dyDescent="0.3">
      <c r="A1038" t="s">
        <v>4619</v>
      </c>
      <c r="F1038" t="str">
        <f t="shared" ref="F1038" si="1030">LEFT(A1038, LEN(A1038) - 1)</f>
        <v>&gt;517:AGAACA:32.00:33.33:OK:6:1809.27</v>
      </c>
    </row>
    <row r="1039" spans="1:6" x14ac:dyDescent="0.3">
      <c r="A1039" t="s">
        <v>523</v>
      </c>
      <c r="F1039" t="str">
        <f t="shared" ref="F1039" si="1031">A1039</f>
        <v>AGAACA</v>
      </c>
    </row>
    <row r="1040" spans="1:6" x14ac:dyDescent="0.3">
      <c r="A1040" t="s">
        <v>4620</v>
      </c>
      <c r="F1040" t="str">
        <f t="shared" ref="F1040" si="1032">LEFT(A1040, LEN(A1040) - 1)</f>
        <v>&gt;518:AGAACC:30.00:50.00:Warning:6:1785.24</v>
      </c>
    </row>
    <row r="1041" spans="1:6" x14ac:dyDescent="0.3">
      <c r="A1041" t="s">
        <v>524</v>
      </c>
      <c r="F1041" t="str">
        <f t="shared" ref="F1041" si="1033">A1041</f>
        <v>AGAACC</v>
      </c>
    </row>
    <row r="1042" spans="1:6" x14ac:dyDescent="0.3">
      <c r="A1042" t="s">
        <v>4621</v>
      </c>
      <c r="F1042" t="str">
        <f t="shared" ref="F1042" si="1034">LEFT(A1042, LEN(A1042) - 1)</f>
        <v>&gt;519:AGAACG:30.00:50.00:Warning:6:1825.27</v>
      </c>
    </row>
    <row r="1043" spans="1:6" x14ac:dyDescent="0.3">
      <c r="A1043" t="s">
        <v>525</v>
      </c>
      <c r="F1043" t="str">
        <f t="shared" ref="F1043" si="1035">A1043</f>
        <v>AGAACG</v>
      </c>
    </row>
    <row r="1044" spans="1:6" x14ac:dyDescent="0.3">
      <c r="A1044" t="s">
        <v>4622</v>
      </c>
      <c r="F1044" t="str">
        <f t="shared" ref="F1044" si="1036">LEFT(A1044, LEN(A1044) - 1)</f>
        <v>&gt;520:AGAACT:24.00:33.33:OK:6:1800.25</v>
      </c>
    </row>
    <row r="1045" spans="1:6" x14ac:dyDescent="0.3">
      <c r="A1045" t="s">
        <v>526</v>
      </c>
      <c r="F1045" t="str">
        <f t="shared" ref="F1045" si="1037">A1045</f>
        <v>AGAACT</v>
      </c>
    </row>
    <row r="1046" spans="1:6" x14ac:dyDescent="0.3">
      <c r="A1046" t="s">
        <v>4623</v>
      </c>
      <c r="F1046" t="str">
        <f t="shared" ref="F1046" si="1038">LEFT(A1046, LEN(A1046) - 1)</f>
        <v>&gt;521:AGAAGA:32.00:33.33:OK:6:1849.30</v>
      </c>
    </row>
    <row r="1047" spans="1:6" x14ac:dyDescent="0.3">
      <c r="A1047" t="s">
        <v>527</v>
      </c>
      <c r="F1047" t="str">
        <f t="shared" ref="F1047" si="1039">A1047</f>
        <v>AGAAGA</v>
      </c>
    </row>
    <row r="1048" spans="1:6" x14ac:dyDescent="0.3">
      <c r="A1048" t="s">
        <v>4624</v>
      </c>
      <c r="F1048" t="str">
        <f t="shared" ref="F1048" si="1040">LEFT(A1048, LEN(A1048) - 1)</f>
        <v>&gt;522:AGAAGC:30.00:50.00:Warning:6:1825.27</v>
      </c>
    </row>
    <row r="1049" spans="1:6" x14ac:dyDescent="0.3">
      <c r="A1049" t="s">
        <v>528</v>
      </c>
      <c r="F1049" t="str">
        <f t="shared" ref="F1049" si="1041">A1049</f>
        <v>AGAAGC</v>
      </c>
    </row>
    <row r="1050" spans="1:6" x14ac:dyDescent="0.3">
      <c r="A1050" t="s">
        <v>4625</v>
      </c>
      <c r="F1050" t="str">
        <f t="shared" ref="F1050" si="1042">LEFT(A1050, LEN(A1050) - 1)</f>
        <v>&gt;523:AGAAGG:30.00:50.00:Warning:6:1865.30</v>
      </c>
    </row>
    <row r="1051" spans="1:6" x14ac:dyDescent="0.3">
      <c r="A1051" t="s">
        <v>529</v>
      </c>
      <c r="F1051" t="str">
        <f t="shared" ref="F1051" si="1043">A1051</f>
        <v>AGAAGG</v>
      </c>
    </row>
    <row r="1052" spans="1:6" x14ac:dyDescent="0.3">
      <c r="A1052" t="s">
        <v>4626</v>
      </c>
      <c r="F1052" t="str">
        <f t="shared" ref="F1052" si="1044">LEFT(A1052, LEN(A1052) - 1)</f>
        <v>&gt;524:AGAAGT:24.00:33.33:OK:6:1840.28</v>
      </c>
    </row>
    <row r="1053" spans="1:6" x14ac:dyDescent="0.3">
      <c r="A1053" t="s">
        <v>530</v>
      </c>
      <c r="F1053" t="str">
        <f t="shared" ref="F1053" si="1045">A1053</f>
        <v>AGAAGT</v>
      </c>
    </row>
    <row r="1054" spans="1:6" x14ac:dyDescent="0.3">
      <c r="A1054" t="s">
        <v>4627</v>
      </c>
      <c r="F1054" t="str">
        <f t="shared" ref="F1054" si="1046">LEFT(A1054, LEN(A1054) - 1)</f>
        <v>&gt;525:AGAATA:26.00:16.67:OK:6:1824.28</v>
      </c>
    </row>
    <row r="1055" spans="1:6" x14ac:dyDescent="0.3">
      <c r="A1055" t="s">
        <v>531</v>
      </c>
      <c r="F1055" t="str">
        <f t="shared" ref="F1055" si="1047">A1055</f>
        <v>AGAATA</v>
      </c>
    </row>
    <row r="1056" spans="1:6" x14ac:dyDescent="0.3">
      <c r="A1056" t="s">
        <v>4628</v>
      </c>
      <c r="F1056" t="str">
        <f t="shared" ref="F1056" si="1048">LEFT(A1056, LEN(A1056) - 1)</f>
        <v>&gt;526:AGAATC:24.00:33.33:OK:6:1800.25</v>
      </c>
    </row>
    <row r="1057" spans="1:6" x14ac:dyDescent="0.3">
      <c r="A1057" t="s">
        <v>532</v>
      </c>
      <c r="F1057" t="str">
        <f t="shared" ref="F1057" si="1049">A1057</f>
        <v>AGAATC</v>
      </c>
    </row>
    <row r="1058" spans="1:6" x14ac:dyDescent="0.3">
      <c r="A1058" t="s">
        <v>4629</v>
      </c>
      <c r="F1058" t="str">
        <f t="shared" ref="F1058" si="1050">LEFT(A1058, LEN(A1058) - 1)</f>
        <v>&gt;527:AGAATG:24.00:33.33:OK:6:1840.28</v>
      </c>
    </row>
    <row r="1059" spans="1:6" x14ac:dyDescent="0.3">
      <c r="A1059" t="s">
        <v>533</v>
      </c>
      <c r="F1059" t="str">
        <f t="shared" ref="F1059" si="1051">A1059</f>
        <v>AGAATG</v>
      </c>
    </row>
    <row r="1060" spans="1:6" x14ac:dyDescent="0.3">
      <c r="A1060" t="s">
        <v>4630</v>
      </c>
      <c r="F1060" t="str">
        <f t="shared" ref="F1060" si="1052">LEFT(A1060, LEN(A1060) - 1)</f>
        <v>&gt;528:AGAATT:18.00:16.67:OK:6:1815.26</v>
      </c>
    </row>
    <row r="1061" spans="1:6" x14ac:dyDescent="0.3">
      <c r="A1061" t="s">
        <v>534</v>
      </c>
      <c r="F1061" t="str">
        <f t="shared" ref="F1061" si="1053">A1061</f>
        <v>AGAATT</v>
      </c>
    </row>
    <row r="1062" spans="1:6" x14ac:dyDescent="0.3">
      <c r="A1062" t="s">
        <v>4631</v>
      </c>
      <c r="F1062" t="str">
        <f t="shared" ref="F1062" si="1054">LEFT(A1062, LEN(A1062) - 1)</f>
        <v>&gt;529:AGACAA:32.00:33.33:OK:6:1809.27</v>
      </c>
    </row>
    <row r="1063" spans="1:6" x14ac:dyDescent="0.3">
      <c r="A1063" t="s">
        <v>535</v>
      </c>
      <c r="F1063" t="str">
        <f t="shared" ref="F1063" si="1055">A1063</f>
        <v>AGACAA</v>
      </c>
    </row>
    <row r="1064" spans="1:6" x14ac:dyDescent="0.3">
      <c r="A1064" t="s">
        <v>4632</v>
      </c>
      <c r="F1064" t="str">
        <f t="shared" ref="F1064" si="1056">LEFT(A1064, LEN(A1064) - 1)</f>
        <v>&gt;530:AGACAC:30.00:50.00:Warning:6:1785.24</v>
      </c>
    </row>
    <row r="1065" spans="1:6" x14ac:dyDescent="0.3">
      <c r="A1065" t="s">
        <v>536</v>
      </c>
      <c r="F1065" t="str">
        <f t="shared" ref="F1065" si="1057">A1065</f>
        <v>AGACAC</v>
      </c>
    </row>
    <row r="1066" spans="1:6" x14ac:dyDescent="0.3">
      <c r="A1066" t="s">
        <v>4633</v>
      </c>
      <c r="F1066" t="str">
        <f t="shared" ref="F1066" si="1058">LEFT(A1066, LEN(A1066) - 1)</f>
        <v>&gt;531:AGACAG:30.00:50.00:Warning:6:1825.27</v>
      </c>
    </row>
    <row r="1067" spans="1:6" x14ac:dyDescent="0.3">
      <c r="A1067" t="s">
        <v>537</v>
      </c>
      <c r="F1067" t="str">
        <f t="shared" ref="F1067" si="1059">A1067</f>
        <v>AGACAG</v>
      </c>
    </row>
    <row r="1068" spans="1:6" x14ac:dyDescent="0.3">
      <c r="A1068" t="s">
        <v>4634</v>
      </c>
      <c r="F1068" t="str">
        <f t="shared" ref="F1068" si="1060">LEFT(A1068, LEN(A1068) - 1)</f>
        <v>&gt;532:AGACAT:24.00:33.33:OK:6:1800.25</v>
      </c>
    </row>
    <row r="1069" spans="1:6" x14ac:dyDescent="0.3">
      <c r="A1069" t="s">
        <v>538</v>
      </c>
      <c r="F1069" t="str">
        <f t="shared" ref="F1069" si="1061">A1069</f>
        <v>AGACAT</v>
      </c>
    </row>
    <row r="1070" spans="1:6" x14ac:dyDescent="0.3">
      <c r="A1070" t="s">
        <v>4635</v>
      </c>
      <c r="F1070" t="str">
        <f t="shared" ref="F1070" si="1062">LEFT(A1070, LEN(A1070) - 1)</f>
        <v>&gt;533:AGACCA:30.00:50.00:Warning:6:1785.24</v>
      </c>
    </row>
    <row r="1071" spans="1:6" x14ac:dyDescent="0.3">
      <c r="A1071" t="s">
        <v>539</v>
      </c>
      <c r="F1071" t="str">
        <f t="shared" ref="F1071" si="1063">A1071</f>
        <v>AGACCA</v>
      </c>
    </row>
    <row r="1072" spans="1:6" x14ac:dyDescent="0.3">
      <c r="A1072" t="s">
        <v>4636</v>
      </c>
      <c r="F1072" t="str">
        <f t="shared" ref="F1072" si="1064">LEFT(A1072, LEN(A1072) - 1)</f>
        <v>&gt;534:AGACCC:28.00:66.67:Warning:6:1761.21</v>
      </c>
    </row>
    <row r="1073" spans="1:6" x14ac:dyDescent="0.3">
      <c r="A1073" t="s">
        <v>540</v>
      </c>
      <c r="F1073" t="str">
        <f t="shared" ref="F1073" si="1065">A1073</f>
        <v>AGACCC</v>
      </c>
    </row>
    <row r="1074" spans="1:6" x14ac:dyDescent="0.3">
      <c r="A1074" t="s">
        <v>4637</v>
      </c>
      <c r="F1074" t="str">
        <f t="shared" ref="F1074" si="1066">LEFT(A1074, LEN(A1074) - 1)</f>
        <v>&gt;535:AGACCG:28.00:66.67:Warning:6:1801.24</v>
      </c>
    </row>
    <row r="1075" spans="1:6" x14ac:dyDescent="0.3">
      <c r="A1075" t="s">
        <v>541</v>
      </c>
      <c r="F1075" t="str">
        <f t="shared" ref="F1075" si="1067">A1075</f>
        <v>AGACCG</v>
      </c>
    </row>
    <row r="1076" spans="1:6" x14ac:dyDescent="0.3">
      <c r="A1076" t="s">
        <v>4638</v>
      </c>
      <c r="F1076" t="str">
        <f t="shared" ref="F1076" si="1068">LEFT(A1076, LEN(A1076) - 1)</f>
        <v>&gt;536:AGACCT:22.00:50.00:Warning:6:1776.22</v>
      </c>
    </row>
    <row r="1077" spans="1:6" x14ac:dyDescent="0.3">
      <c r="A1077" t="s">
        <v>542</v>
      </c>
      <c r="F1077" t="str">
        <f t="shared" ref="F1077" si="1069">A1077</f>
        <v>AGACCT</v>
      </c>
    </row>
    <row r="1078" spans="1:6" x14ac:dyDescent="0.3">
      <c r="A1078" t="s">
        <v>4639</v>
      </c>
      <c r="F1078" t="str">
        <f t="shared" ref="F1078" si="1070">LEFT(A1078, LEN(A1078) - 1)</f>
        <v>&gt;537:AGACGA:30.00:50.00:Warning:6:1825.27</v>
      </c>
    </row>
    <row r="1079" spans="1:6" x14ac:dyDescent="0.3">
      <c r="A1079" t="s">
        <v>543</v>
      </c>
      <c r="F1079" t="str">
        <f t="shared" ref="F1079" si="1071">A1079</f>
        <v>AGACGA</v>
      </c>
    </row>
    <row r="1080" spans="1:6" x14ac:dyDescent="0.3">
      <c r="A1080" t="s">
        <v>4640</v>
      </c>
      <c r="F1080" t="str">
        <f t="shared" ref="F1080" si="1072">LEFT(A1080, LEN(A1080) - 1)</f>
        <v>&gt;538:AGACGC:28.00:66.67:Warning:6:1801.24</v>
      </c>
    </row>
    <row r="1081" spans="1:6" x14ac:dyDescent="0.3">
      <c r="A1081" t="s">
        <v>544</v>
      </c>
      <c r="F1081" t="str">
        <f t="shared" ref="F1081" si="1073">A1081</f>
        <v>AGACGC</v>
      </c>
    </row>
    <row r="1082" spans="1:6" x14ac:dyDescent="0.3">
      <c r="A1082" t="s">
        <v>4641</v>
      </c>
      <c r="F1082" t="str">
        <f t="shared" ref="F1082" si="1074">LEFT(A1082, LEN(A1082) - 1)</f>
        <v>&gt;539:AGACGG:28.00:66.67:Warning:6:1841.27</v>
      </c>
    </row>
    <row r="1083" spans="1:6" x14ac:dyDescent="0.3">
      <c r="A1083" t="s">
        <v>545</v>
      </c>
      <c r="F1083" t="str">
        <f t="shared" ref="F1083" si="1075">A1083</f>
        <v>AGACGG</v>
      </c>
    </row>
    <row r="1084" spans="1:6" x14ac:dyDescent="0.3">
      <c r="A1084" t="s">
        <v>4642</v>
      </c>
      <c r="F1084" t="str">
        <f t="shared" ref="F1084" si="1076">LEFT(A1084, LEN(A1084) - 1)</f>
        <v>&gt;540:AGACGT:22.00:50.00:Warning:6:1816.25</v>
      </c>
    </row>
    <row r="1085" spans="1:6" x14ac:dyDescent="0.3">
      <c r="A1085" t="s">
        <v>546</v>
      </c>
      <c r="F1085" t="str">
        <f t="shared" ref="F1085" si="1077">A1085</f>
        <v>AGACGT</v>
      </c>
    </row>
    <row r="1086" spans="1:6" x14ac:dyDescent="0.3">
      <c r="A1086" t="s">
        <v>4643</v>
      </c>
      <c r="F1086" t="str">
        <f t="shared" ref="F1086" si="1078">LEFT(A1086, LEN(A1086) - 1)</f>
        <v>&gt;541:AGACTA:24.00:33.33:OK:6:1800.25</v>
      </c>
    </row>
    <row r="1087" spans="1:6" x14ac:dyDescent="0.3">
      <c r="A1087" t="s">
        <v>547</v>
      </c>
      <c r="F1087" t="str">
        <f t="shared" ref="F1087" si="1079">A1087</f>
        <v>AGACTA</v>
      </c>
    </row>
    <row r="1088" spans="1:6" x14ac:dyDescent="0.3">
      <c r="A1088" t="s">
        <v>4644</v>
      </c>
      <c r="F1088" t="str">
        <f t="shared" ref="F1088" si="1080">LEFT(A1088, LEN(A1088) - 1)</f>
        <v>&gt;542:AGACTC:22.00:50.00:Warning:6:1776.22</v>
      </c>
    </row>
    <row r="1089" spans="1:6" x14ac:dyDescent="0.3">
      <c r="A1089" t="s">
        <v>548</v>
      </c>
      <c r="F1089" t="str">
        <f t="shared" ref="F1089" si="1081">A1089</f>
        <v>AGACTC</v>
      </c>
    </row>
    <row r="1090" spans="1:6" x14ac:dyDescent="0.3">
      <c r="A1090" t="s">
        <v>4645</v>
      </c>
      <c r="F1090" t="str">
        <f t="shared" ref="F1090" si="1082">LEFT(A1090, LEN(A1090) - 1)</f>
        <v>&gt;543:AGACTG:22.00:50.00:Warning:6:1816.25</v>
      </c>
    </row>
    <row r="1091" spans="1:6" x14ac:dyDescent="0.3">
      <c r="A1091" t="s">
        <v>549</v>
      </c>
      <c r="F1091" t="str">
        <f t="shared" ref="F1091" si="1083">A1091</f>
        <v>AGACTG</v>
      </c>
    </row>
    <row r="1092" spans="1:6" x14ac:dyDescent="0.3">
      <c r="A1092" t="s">
        <v>4646</v>
      </c>
      <c r="F1092" t="str">
        <f t="shared" ref="F1092" si="1084">LEFT(A1092, LEN(A1092) - 1)</f>
        <v>&gt;544:AGACTT:16.00:33.33:OK:6:1791.23</v>
      </c>
    </row>
    <row r="1093" spans="1:6" x14ac:dyDescent="0.3">
      <c r="A1093" t="s">
        <v>550</v>
      </c>
      <c r="F1093" t="str">
        <f t="shared" ref="F1093" si="1085">A1093</f>
        <v>AGACTT</v>
      </c>
    </row>
    <row r="1094" spans="1:6" x14ac:dyDescent="0.3">
      <c r="A1094" t="s">
        <v>4647</v>
      </c>
      <c r="F1094" t="str">
        <f t="shared" ref="F1094" si="1086">LEFT(A1094, LEN(A1094) - 1)</f>
        <v>&gt;545:AGAGAA:32.00:33.33:OK:6:1849.30</v>
      </c>
    </row>
    <row r="1095" spans="1:6" x14ac:dyDescent="0.3">
      <c r="A1095" t="s">
        <v>551</v>
      </c>
      <c r="F1095" t="str">
        <f t="shared" ref="F1095" si="1087">A1095</f>
        <v>AGAGAA</v>
      </c>
    </row>
    <row r="1096" spans="1:6" x14ac:dyDescent="0.3">
      <c r="A1096" t="s">
        <v>4648</v>
      </c>
      <c r="F1096" t="str">
        <f t="shared" ref="F1096" si="1088">LEFT(A1096, LEN(A1096) - 1)</f>
        <v>&gt;546:AGAGAC:30.00:50.00:Warning:6:1825.27</v>
      </c>
    </row>
    <row r="1097" spans="1:6" x14ac:dyDescent="0.3">
      <c r="A1097" t="s">
        <v>552</v>
      </c>
      <c r="F1097" t="str">
        <f t="shared" ref="F1097" si="1089">A1097</f>
        <v>AGAGAC</v>
      </c>
    </row>
    <row r="1098" spans="1:6" x14ac:dyDescent="0.3">
      <c r="A1098" t="s">
        <v>4649</v>
      </c>
      <c r="F1098" t="str">
        <f t="shared" ref="F1098" si="1090">LEFT(A1098, LEN(A1098) - 1)</f>
        <v>&gt;547:AGAGAG:30.00:50.00:Warning:6:1865.30</v>
      </c>
    </row>
    <row r="1099" spans="1:6" x14ac:dyDescent="0.3">
      <c r="A1099" t="s">
        <v>553</v>
      </c>
      <c r="F1099" t="str">
        <f t="shared" ref="F1099" si="1091">A1099</f>
        <v>AGAGAG</v>
      </c>
    </row>
    <row r="1100" spans="1:6" x14ac:dyDescent="0.3">
      <c r="A1100" t="s">
        <v>4650</v>
      </c>
      <c r="F1100" t="str">
        <f t="shared" ref="F1100" si="1092">LEFT(A1100, LEN(A1100) - 1)</f>
        <v>&gt;548:AGAGAT:24.00:33.33:OK:6:1840.28</v>
      </c>
    </row>
    <row r="1101" spans="1:6" x14ac:dyDescent="0.3">
      <c r="A1101" t="s">
        <v>554</v>
      </c>
      <c r="F1101" t="str">
        <f t="shared" ref="F1101" si="1093">A1101</f>
        <v>AGAGAT</v>
      </c>
    </row>
    <row r="1102" spans="1:6" x14ac:dyDescent="0.3">
      <c r="A1102" t="s">
        <v>4651</v>
      </c>
      <c r="F1102" t="str">
        <f t="shared" ref="F1102" si="1094">LEFT(A1102, LEN(A1102) - 1)</f>
        <v>&gt;549:AGAGCA:30.00:50.00:Warning:6:1825.27</v>
      </c>
    </row>
    <row r="1103" spans="1:6" x14ac:dyDescent="0.3">
      <c r="A1103" t="s">
        <v>555</v>
      </c>
      <c r="F1103" t="str">
        <f t="shared" ref="F1103" si="1095">A1103</f>
        <v>AGAGCA</v>
      </c>
    </row>
    <row r="1104" spans="1:6" x14ac:dyDescent="0.3">
      <c r="A1104" t="s">
        <v>4652</v>
      </c>
      <c r="F1104" t="str">
        <f t="shared" ref="F1104" si="1096">LEFT(A1104, LEN(A1104) - 1)</f>
        <v>&gt;550:AGAGCC:28.00:66.67:Warning:6:1801.24</v>
      </c>
    </row>
    <row r="1105" spans="1:6" x14ac:dyDescent="0.3">
      <c r="A1105" t="s">
        <v>556</v>
      </c>
      <c r="F1105" t="str">
        <f t="shared" ref="F1105" si="1097">A1105</f>
        <v>AGAGCC</v>
      </c>
    </row>
    <row r="1106" spans="1:6" x14ac:dyDescent="0.3">
      <c r="A1106" t="s">
        <v>4653</v>
      </c>
      <c r="F1106" t="str">
        <f t="shared" ref="F1106" si="1098">LEFT(A1106, LEN(A1106) - 1)</f>
        <v>&gt;551:AGAGCG:28.00:66.67:Warning:6:1841.27</v>
      </c>
    </row>
    <row r="1107" spans="1:6" x14ac:dyDescent="0.3">
      <c r="A1107" t="s">
        <v>557</v>
      </c>
      <c r="F1107" t="str">
        <f t="shared" ref="F1107" si="1099">A1107</f>
        <v>AGAGCG</v>
      </c>
    </row>
    <row r="1108" spans="1:6" x14ac:dyDescent="0.3">
      <c r="A1108" t="s">
        <v>4654</v>
      </c>
      <c r="F1108" t="str">
        <f t="shared" ref="F1108" si="1100">LEFT(A1108, LEN(A1108) - 1)</f>
        <v>&gt;552:AGAGCT:22.00:50.00:Warning:6:1816.25</v>
      </c>
    </row>
    <row r="1109" spans="1:6" x14ac:dyDescent="0.3">
      <c r="A1109" t="s">
        <v>558</v>
      </c>
      <c r="F1109" t="str">
        <f t="shared" ref="F1109" si="1101">A1109</f>
        <v>AGAGCT</v>
      </c>
    </row>
    <row r="1110" spans="1:6" x14ac:dyDescent="0.3">
      <c r="A1110" t="s">
        <v>4655</v>
      </c>
      <c r="F1110" t="str">
        <f t="shared" ref="F1110" si="1102">LEFT(A1110, LEN(A1110) - 1)</f>
        <v>&gt;553:AGAGGA:30.00:50.00:Warning:6:1865.30</v>
      </c>
    </row>
    <row r="1111" spans="1:6" x14ac:dyDescent="0.3">
      <c r="A1111" t="s">
        <v>559</v>
      </c>
      <c r="F1111" t="str">
        <f t="shared" ref="F1111" si="1103">A1111</f>
        <v>AGAGGA</v>
      </c>
    </row>
    <row r="1112" spans="1:6" x14ac:dyDescent="0.3">
      <c r="A1112" t="s">
        <v>4656</v>
      </c>
      <c r="F1112" t="str">
        <f t="shared" ref="F1112" si="1104">LEFT(A1112, LEN(A1112) - 1)</f>
        <v>&gt;554:AGAGGC:28.00:66.67:Warning:6:1841.27</v>
      </c>
    </row>
    <row r="1113" spans="1:6" x14ac:dyDescent="0.3">
      <c r="A1113" t="s">
        <v>560</v>
      </c>
      <c r="F1113" t="str">
        <f t="shared" ref="F1113" si="1105">A1113</f>
        <v>AGAGGC</v>
      </c>
    </row>
    <row r="1114" spans="1:6" x14ac:dyDescent="0.3">
      <c r="A1114" t="s">
        <v>4657</v>
      </c>
      <c r="F1114" t="str">
        <f t="shared" ref="F1114" si="1106">LEFT(A1114, LEN(A1114) - 1)</f>
        <v>&gt;555:AGAGGG:28.00:66.67:Warning:6:1881.30</v>
      </c>
    </row>
    <row r="1115" spans="1:6" x14ac:dyDescent="0.3">
      <c r="A1115" t="s">
        <v>561</v>
      </c>
      <c r="F1115" t="str">
        <f t="shared" ref="F1115" si="1107">A1115</f>
        <v>AGAGGG</v>
      </c>
    </row>
    <row r="1116" spans="1:6" x14ac:dyDescent="0.3">
      <c r="A1116" t="s">
        <v>4658</v>
      </c>
      <c r="F1116" t="str">
        <f t="shared" ref="F1116" si="1108">LEFT(A1116, LEN(A1116) - 1)</f>
        <v>&gt;556:AGAGGT:22.00:50.00:Warning:6:1856.28</v>
      </c>
    </row>
    <row r="1117" spans="1:6" x14ac:dyDescent="0.3">
      <c r="A1117" t="s">
        <v>562</v>
      </c>
      <c r="F1117" t="str">
        <f t="shared" ref="F1117" si="1109">A1117</f>
        <v>AGAGGT</v>
      </c>
    </row>
    <row r="1118" spans="1:6" x14ac:dyDescent="0.3">
      <c r="A1118" t="s">
        <v>4659</v>
      </c>
      <c r="F1118" t="str">
        <f t="shared" ref="F1118" si="1110">LEFT(A1118, LEN(A1118) - 1)</f>
        <v>&gt;557:AGAGTA:24.00:33.33:OK:6:1840.28</v>
      </c>
    </row>
    <row r="1119" spans="1:6" x14ac:dyDescent="0.3">
      <c r="A1119" t="s">
        <v>563</v>
      </c>
      <c r="F1119" t="str">
        <f t="shared" ref="F1119" si="1111">A1119</f>
        <v>AGAGTA</v>
      </c>
    </row>
    <row r="1120" spans="1:6" x14ac:dyDescent="0.3">
      <c r="A1120" t="s">
        <v>4660</v>
      </c>
      <c r="F1120" t="str">
        <f t="shared" ref="F1120" si="1112">LEFT(A1120, LEN(A1120) - 1)</f>
        <v>&gt;558:AGAGTC:22.00:50.00:Warning:6:1816.25</v>
      </c>
    </row>
    <row r="1121" spans="1:6" x14ac:dyDescent="0.3">
      <c r="A1121" t="s">
        <v>564</v>
      </c>
      <c r="F1121" t="str">
        <f t="shared" ref="F1121" si="1113">A1121</f>
        <v>AGAGTC</v>
      </c>
    </row>
    <row r="1122" spans="1:6" x14ac:dyDescent="0.3">
      <c r="A1122" t="s">
        <v>4661</v>
      </c>
      <c r="F1122" t="str">
        <f t="shared" ref="F1122" si="1114">LEFT(A1122, LEN(A1122) - 1)</f>
        <v>&gt;559:AGAGTG:22.00:50.00:Warning:6:1856.28</v>
      </c>
    </row>
    <row r="1123" spans="1:6" x14ac:dyDescent="0.3">
      <c r="A1123" t="s">
        <v>565</v>
      </c>
      <c r="F1123" t="str">
        <f t="shared" ref="F1123" si="1115">A1123</f>
        <v>AGAGTG</v>
      </c>
    </row>
    <row r="1124" spans="1:6" x14ac:dyDescent="0.3">
      <c r="A1124" t="s">
        <v>4662</v>
      </c>
      <c r="F1124" t="str">
        <f t="shared" ref="F1124" si="1116">LEFT(A1124, LEN(A1124) - 1)</f>
        <v>&gt;560:AGAGTT:16.00:33.33:OK:6:1831.26</v>
      </c>
    </row>
    <row r="1125" spans="1:6" x14ac:dyDescent="0.3">
      <c r="A1125" t="s">
        <v>566</v>
      </c>
      <c r="F1125" t="str">
        <f t="shared" ref="F1125" si="1117">A1125</f>
        <v>AGAGTT</v>
      </c>
    </row>
    <row r="1126" spans="1:6" x14ac:dyDescent="0.3">
      <c r="A1126" t="s">
        <v>4663</v>
      </c>
      <c r="F1126" t="str">
        <f t="shared" ref="F1126" si="1118">LEFT(A1126, LEN(A1126) - 1)</f>
        <v>&gt;561:AGATAA:26.00:16.67:OK:6:1824.28</v>
      </c>
    </row>
    <row r="1127" spans="1:6" x14ac:dyDescent="0.3">
      <c r="A1127" t="s">
        <v>567</v>
      </c>
      <c r="F1127" t="str">
        <f t="shared" ref="F1127" si="1119">A1127</f>
        <v>AGATAA</v>
      </c>
    </row>
    <row r="1128" spans="1:6" x14ac:dyDescent="0.3">
      <c r="A1128" t="s">
        <v>4664</v>
      </c>
      <c r="F1128" t="str">
        <f t="shared" ref="F1128" si="1120">LEFT(A1128, LEN(A1128) - 1)</f>
        <v>&gt;562:AGATAC:24.00:33.33:OK:6:1800.25</v>
      </c>
    </row>
    <row r="1129" spans="1:6" x14ac:dyDescent="0.3">
      <c r="A1129" t="s">
        <v>568</v>
      </c>
      <c r="F1129" t="str">
        <f t="shared" ref="F1129" si="1121">A1129</f>
        <v>AGATAC</v>
      </c>
    </row>
    <row r="1130" spans="1:6" x14ac:dyDescent="0.3">
      <c r="A1130" t="s">
        <v>4665</v>
      </c>
      <c r="F1130" t="str">
        <f t="shared" ref="F1130" si="1122">LEFT(A1130, LEN(A1130) - 1)</f>
        <v>&gt;563:AGATAG:24.00:33.33:OK:6:1840.28</v>
      </c>
    </row>
    <row r="1131" spans="1:6" x14ac:dyDescent="0.3">
      <c r="A1131" t="s">
        <v>569</v>
      </c>
      <c r="F1131" t="str">
        <f t="shared" ref="F1131" si="1123">A1131</f>
        <v>AGATAG</v>
      </c>
    </row>
    <row r="1132" spans="1:6" x14ac:dyDescent="0.3">
      <c r="A1132" t="s">
        <v>4666</v>
      </c>
      <c r="F1132" t="str">
        <f t="shared" ref="F1132" si="1124">LEFT(A1132, LEN(A1132) - 1)</f>
        <v>&gt;564:AGATAT:18.00:16.67:OK:6:1815.26</v>
      </c>
    </row>
    <row r="1133" spans="1:6" x14ac:dyDescent="0.3">
      <c r="A1133" t="s">
        <v>570</v>
      </c>
      <c r="F1133" t="str">
        <f t="shared" ref="F1133" si="1125">A1133</f>
        <v>AGATAT</v>
      </c>
    </row>
    <row r="1134" spans="1:6" x14ac:dyDescent="0.3">
      <c r="A1134" t="s">
        <v>4667</v>
      </c>
      <c r="F1134" t="str">
        <f t="shared" ref="F1134" si="1126">LEFT(A1134, LEN(A1134) - 1)</f>
        <v>&gt;565:AGATCA:24.00:33.33:OK:6:1800.25</v>
      </c>
    </row>
    <row r="1135" spans="1:6" x14ac:dyDescent="0.3">
      <c r="A1135" t="s">
        <v>571</v>
      </c>
      <c r="F1135" t="str">
        <f t="shared" ref="F1135" si="1127">A1135</f>
        <v>AGATCA</v>
      </c>
    </row>
    <row r="1136" spans="1:6" x14ac:dyDescent="0.3">
      <c r="A1136" t="s">
        <v>4668</v>
      </c>
      <c r="F1136" t="str">
        <f t="shared" ref="F1136" si="1128">LEFT(A1136, LEN(A1136) - 1)</f>
        <v>&gt;566:AGATCC:22.00:50.00:Warning:6:1776.22</v>
      </c>
    </row>
    <row r="1137" spans="1:6" x14ac:dyDescent="0.3">
      <c r="A1137" t="s">
        <v>572</v>
      </c>
      <c r="F1137" t="str">
        <f t="shared" ref="F1137" si="1129">A1137</f>
        <v>AGATCC</v>
      </c>
    </row>
    <row r="1138" spans="1:6" x14ac:dyDescent="0.3">
      <c r="A1138" t="s">
        <v>4669</v>
      </c>
      <c r="F1138" t="str">
        <f t="shared" ref="F1138" si="1130">LEFT(A1138, LEN(A1138) - 1)</f>
        <v>&gt;567:AGATCG:22.00:50.00:Warning:6:1816.25</v>
      </c>
    </row>
    <row r="1139" spans="1:6" x14ac:dyDescent="0.3">
      <c r="A1139" t="s">
        <v>573</v>
      </c>
      <c r="F1139" t="str">
        <f t="shared" ref="F1139" si="1131">A1139</f>
        <v>AGATCG</v>
      </c>
    </row>
    <row r="1140" spans="1:6" x14ac:dyDescent="0.3">
      <c r="A1140" t="s">
        <v>4670</v>
      </c>
      <c r="F1140" t="str">
        <f t="shared" ref="F1140" si="1132">LEFT(A1140, LEN(A1140) - 1)</f>
        <v>&gt;568:AGATCT:16.00:33.33:OK:6:1791.23</v>
      </c>
    </row>
    <row r="1141" spans="1:6" x14ac:dyDescent="0.3">
      <c r="A1141" t="s">
        <v>574</v>
      </c>
      <c r="F1141" t="str">
        <f t="shared" ref="F1141" si="1133">A1141</f>
        <v>AGATCT</v>
      </c>
    </row>
    <row r="1142" spans="1:6" x14ac:dyDescent="0.3">
      <c r="A1142" t="s">
        <v>4671</v>
      </c>
      <c r="F1142" t="str">
        <f t="shared" ref="F1142" si="1134">LEFT(A1142, LEN(A1142) - 1)</f>
        <v>&gt;569:AGATGA:24.00:33.33:OK:6:1840.28</v>
      </c>
    </row>
    <row r="1143" spans="1:6" x14ac:dyDescent="0.3">
      <c r="A1143" t="s">
        <v>575</v>
      </c>
      <c r="F1143" t="str">
        <f t="shared" ref="F1143" si="1135">A1143</f>
        <v>AGATGA</v>
      </c>
    </row>
    <row r="1144" spans="1:6" x14ac:dyDescent="0.3">
      <c r="A1144" t="s">
        <v>4672</v>
      </c>
      <c r="F1144" t="str">
        <f t="shared" ref="F1144" si="1136">LEFT(A1144, LEN(A1144) - 1)</f>
        <v>&gt;570:AGATGC:22.00:50.00:Warning:6:1816.25</v>
      </c>
    </row>
    <row r="1145" spans="1:6" x14ac:dyDescent="0.3">
      <c r="A1145" t="s">
        <v>576</v>
      </c>
      <c r="F1145" t="str">
        <f t="shared" ref="F1145" si="1137">A1145</f>
        <v>AGATGC</v>
      </c>
    </row>
    <row r="1146" spans="1:6" x14ac:dyDescent="0.3">
      <c r="A1146" t="s">
        <v>4673</v>
      </c>
      <c r="F1146" t="str">
        <f t="shared" ref="F1146" si="1138">LEFT(A1146, LEN(A1146) - 1)</f>
        <v>&gt;571:AGATGG:22.00:50.00:Warning:6:1856.28</v>
      </c>
    </row>
    <row r="1147" spans="1:6" x14ac:dyDescent="0.3">
      <c r="A1147" t="s">
        <v>577</v>
      </c>
      <c r="F1147" t="str">
        <f t="shared" ref="F1147" si="1139">A1147</f>
        <v>AGATGG</v>
      </c>
    </row>
    <row r="1148" spans="1:6" x14ac:dyDescent="0.3">
      <c r="A1148" t="s">
        <v>4674</v>
      </c>
      <c r="F1148" t="str">
        <f t="shared" ref="F1148" si="1140">LEFT(A1148, LEN(A1148) - 1)</f>
        <v>&gt;572:AGATGT:16.00:33.33:OK:6:1831.26</v>
      </c>
    </row>
    <row r="1149" spans="1:6" x14ac:dyDescent="0.3">
      <c r="A1149" t="s">
        <v>578</v>
      </c>
      <c r="F1149" t="str">
        <f t="shared" ref="F1149" si="1141">A1149</f>
        <v>AGATGT</v>
      </c>
    </row>
    <row r="1150" spans="1:6" x14ac:dyDescent="0.3">
      <c r="A1150" t="s">
        <v>4675</v>
      </c>
      <c r="F1150" t="str">
        <f t="shared" ref="F1150" si="1142">LEFT(A1150, LEN(A1150) - 1)</f>
        <v>&gt;573:AGATTA:18.00:16.67:OK:6:1815.26</v>
      </c>
    </row>
    <row r="1151" spans="1:6" x14ac:dyDescent="0.3">
      <c r="A1151" t="s">
        <v>579</v>
      </c>
      <c r="F1151" t="str">
        <f t="shared" ref="F1151" si="1143">A1151</f>
        <v>AGATTA</v>
      </c>
    </row>
    <row r="1152" spans="1:6" x14ac:dyDescent="0.3">
      <c r="A1152" t="s">
        <v>4676</v>
      </c>
      <c r="F1152" t="str">
        <f t="shared" ref="F1152" si="1144">LEFT(A1152, LEN(A1152) - 1)</f>
        <v>&gt;574:AGATTC:16.00:33.33:OK:6:1791.23</v>
      </c>
    </row>
    <row r="1153" spans="1:6" x14ac:dyDescent="0.3">
      <c r="A1153" t="s">
        <v>580</v>
      </c>
      <c r="F1153" t="str">
        <f t="shared" ref="F1153" si="1145">A1153</f>
        <v>AGATTC</v>
      </c>
    </row>
    <row r="1154" spans="1:6" x14ac:dyDescent="0.3">
      <c r="A1154" t="s">
        <v>4677</v>
      </c>
      <c r="F1154" t="str">
        <f t="shared" ref="F1154" si="1146">LEFT(A1154, LEN(A1154) - 1)</f>
        <v>&gt;575:AGATTG:16.00:33.33:OK:6:1831.26</v>
      </c>
    </row>
    <row r="1155" spans="1:6" x14ac:dyDescent="0.3">
      <c r="A1155" t="s">
        <v>581</v>
      </c>
      <c r="F1155" t="str">
        <f t="shared" ref="F1155" si="1147">A1155</f>
        <v>AGATTG</v>
      </c>
    </row>
    <row r="1156" spans="1:6" x14ac:dyDescent="0.3">
      <c r="A1156" t="s">
        <v>4678</v>
      </c>
      <c r="F1156" t="str">
        <f t="shared" ref="F1156" si="1148">LEFT(A1156, LEN(A1156) - 1)</f>
        <v>&gt;576:AGATTT:10.00:16.67:OK:6:1806.24</v>
      </c>
    </row>
    <row r="1157" spans="1:6" x14ac:dyDescent="0.3">
      <c r="A1157" t="s">
        <v>582</v>
      </c>
      <c r="F1157" t="str">
        <f t="shared" ref="F1157" si="1149">A1157</f>
        <v>AGATTT</v>
      </c>
    </row>
    <row r="1158" spans="1:6" x14ac:dyDescent="0.3">
      <c r="A1158" t="s">
        <v>4679</v>
      </c>
      <c r="F1158" t="str">
        <f t="shared" ref="F1158" si="1150">LEFT(A1158, LEN(A1158) - 1)</f>
        <v>&gt;577:AGCAAA:32.00:33.33:OK:6:1809.27</v>
      </c>
    </row>
    <row r="1159" spans="1:6" x14ac:dyDescent="0.3">
      <c r="A1159" t="s">
        <v>583</v>
      </c>
      <c r="F1159" t="str">
        <f t="shared" ref="F1159" si="1151">A1159</f>
        <v>AGCAAA</v>
      </c>
    </row>
    <row r="1160" spans="1:6" x14ac:dyDescent="0.3">
      <c r="A1160" t="s">
        <v>4680</v>
      </c>
      <c r="F1160" t="str">
        <f t="shared" ref="F1160" si="1152">LEFT(A1160, LEN(A1160) - 1)</f>
        <v>&gt;578:AGCAAC:30.00:50.00:Warning:6:1785.24</v>
      </c>
    </row>
    <row r="1161" spans="1:6" x14ac:dyDescent="0.3">
      <c r="A1161" t="s">
        <v>584</v>
      </c>
      <c r="F1161" t="str">
        <f t="shared" ref="F1161" si="1153">A1161</f>
        <v>AGCAAC</v>
      </c>
    </row>
    <row r="1162" spans="1:6" x14ac:dyDescent="0.3">
      <c r="A1162" t="s">
        <v>4681</v>
      </c>
      <c r="F1162" t="str">
        <f t="shared" ref="F1162" si="1154">LEFT(A1162, LEN(A1162) - 1)</f>
        <v>&gt;579:AGCAAG:30.00:50.00:Warning:6:1825.27</v>
      </c>
    </row>
    <row r="1163" spans="1:6" x14ac:dyDescent="0.3">
      <c r="A1163" t="s">
        <v>585</v>
      </c>
      <c r="F1163" t="str">
        <f t="shared" ref="F1163" si="1155">A1163</f>
        <v>AGCAAG</v>
      </c>
    </row>
    <row r="1164" spans="1:6" x14ac:dyDescent="0.3">
      <c r="A1164" t="s">
        <v>4682</v>
      </c>
      <c r="F1164" t="str">
        <f t="shared" ref="F1164" si="1156">LEFT(A1164, LEN(A1164) - 1)</f>
        <v>&gt;580:AGCAAT:24.00:33.33:OK:6:1800.25</v>
      </c>
    </row>
    <row r="1165" spans="1:6" x14ac:dyDescent="0.3">
      <c r="A1165" t="s">
        <v>586</v>
      </c>
      <c r="F1165" t="str">
        <f t="shared" ref="F1165" si="1157">A1165</f>
        <v>AGCAAT</v>
      </c>
    </row>
    <row r="1166" spans="1:6" x14ac:dyDescent="0.3">
      <c r="A1166" t="s">
        <v>4683</v>
      </c>
      <c r="F1166" t="str">
        <f t="shared" ref="F1166" si="1158">LEFT(A1166, LEN(A1166) - 1)</f>
        <v>&gt;581:AGCACA:30.00:50.00:Warning:6:1785.24</v>
      </c>
    </row>
    <row r="1167" spans="1:6" x14ac:dyDescent="0.3">
      <c r="A1167" t="s">
        <v>587</v>
      </c>
      <c r="F1167" t="str">
        <f t="shared" ref="F1167" si="1159">A1167</f>
        <v>AGCACA</v>
      </c>
    </row>
    <row r="1168" spans="1:6" x14ac:dyDescent="0.3">
      <c r="A1168" t="s">
        <v>4684</v>
      </c>
      <c r="F1168" t="str">
        <f t="shared" ref="F1168" si="1160">LEFT(A1168, LEN(A1168) - 1)</f>
        <v>&gt;582:AGCACC:28.00:66.67:Warning:6:1761.21</v>
      </c>
    </row>
    <row r="1169" spans="1:6" x14ac:dyDescent="0.3">
      <c r="A1169" t="s">
        <v>588</v>
      </c>
      <c r="F1169" t="str">
        <f t="shared" ref="F1169" si="1161">A1169</f>
        <v>AGCACC</v>
      </c>
    </row>
    <row r="1170" spans="1:6" x14ac:dyDescent="0.3">
      <c r="A1170" t="s">
        <v>4685</v>
      </c>
      <c r="F1170" t="str">
        <f t="shared" ref="F1170" si="1162">LEFT(A1170, LEN(A1170) - 1)</f>
        <v>&gt;583:AGCACG:28.00:66.67:Warning:6:1801.24</v>
      </c>
    </row>
    <row r="1171" spans="1:6" x14ac:dyDescent="0.3">
      <c r="A1171" t="s">
        <v>589</v>
      </c>
      <c r="F1171" t="str">
        <f t="shared" ref="F1171" si="1163">A1171</f>
        <v>AGCACG</v>
      </c>
    </row>
    <row r="1172" spans="1:6" x14ac:dyDescent="0.3">
      <c r="A1172" t="s">
        <v>4686</v>
      </c>
      <c r="F1172" t="str">
        <f t="shared" ref="F1172" si="1164">LEFT(A1172, LEN(A1172) - 1)</f>
        <v>&gt;584:AGCACT:22.00:50.00:Warning:6:1776.22</v>
      </c>
    </row>
    <row r="1173" spans="1:6" x14ac:dyDescent="0.3">
      <c r="A1173" t="s">
        <v>590</v>
      </c>
      <c r="F1173" t="str">
        <f t="shared" ref="F1173" si="1165">A1173</f>
        <v>AGCACT</v>
      </c>
    </row>
    <row r="1174" spans="1:6" x14ac:dyDescent="0.3">
      <c r="A1174" t="s">
        <v>4687</v>
      </c>
      <c r="F1174" t="str">
        <f t="shared" ref="F1174" si="1166">LEFT(A1174, LEN(A1174) - 1)</f>
        <v>&gt;585:AGCAGA:30.00:50.00:Warning:6:1825.27</v>
      </c>
    </row>
    <row r="1175" spans="1:6" x14ac:dyDescent="0.3">
      <c r="A1175" t="s">
        <v>591</v>
      </c>
      <c r="F1175" t="str">
        <f t="shared" ref="F1175" si="1167">A1175</f>
        <v>AGCAGA</v>
      </c>
    </row>
    <row r="1176" spans="1:6" x14ac:dyDescent="0.3">
      <c r="A1176" t="s">
        <v>4688</v>
      </c>
      <c r="F1176" t="str">
        <f t="shared" ref="F1176" si="1168">LEFT(A1176, LEN(A1176) - 1)</f>
        <v>&gt;586:AGCAGC:28.00:66.67:Warning:6:1801.24</v>
      </c>
    </row>
    <row r="1177" spans="1:6" x14ac:dyDescent="0.3">
      <c r="A1177" t="s">
        <v>592</v>
      </c>
      <c r="F1177" t="str">
        <f t="shared" ref="F1177" si="1169">A1177</f>
        <v>AGCAGC</v>
      </c>
    </row>
    <row r="1178" spans="1:6" x14ac:dyDescent="0.3">
      <c r="A1178" t="s">
        <v>4689</v>
      </c>
      <c r="F1178" t="str">
        <f t="shared" ref="F1178" si="1170">LEFT(A1178, LEN(A1178) - 1)</f>
        <v>&gt;587:AGCAGG:28.00:66.67:Warning:6:1841.27</v>
      </c>
    </row>
    <row r="1179" spans="1:6" x14ac:dyDescent="0.3">
      <c r="A1179" t="s">
        <v>593</v>
      </c>
      <c r="F1179" t="str">
        <f t="shared" ref="F1179" si="1171">A1179</f>
        <v>AGCAGG</v>
      </c>
    </row>
    <row r="1180" spans="1:6" x14ac:dyDescent="0.3">
      <c r="A1180" t="s">
        <v>4690</v>
      </c>
      <c r="F1180" t="str">
        <f t="shared" ref="F1180" si="1172">LEFT(A1180, LEN(A1180) - 1)</f>
        <v>&gt;588:AGCAGT:22.00:50.00:Warning:6:1816.25</v>
      </c>
    </row>
    <row r="1181" spans="1:6" x14ac:dyDescent="0.3">
      <c r="A1181" t="s">
        <v>594</v>
      </c>
      <c r="F1181" t="str">
        <f t="shared" ref="F1181" si="1173">A1181</f>
        <v>AGCAGT</v>
      </c>
    </row>
    <row r="1182" spans="1:6" x14ac:dyDescent="0.3">
      <c r="A1182" t="s">
        <v>4691</v>
      </c>
      <c r="F1182" t="str">
        <f t="shared" ref="F1182" si="1174">LEFT(A1182, LEN(A1182) - 1)</f>
        <v>&gt;589:AGCATA:24.00:33.33:OK:6:1800.25</v>
      </c>
    </row>
    <row r="1183" spans="1:6" x14ac:dyDescent="0.3">
      <c r="A1183" t="s">
        <v>595</v>
      </c>
      <c r="F1183" t="str">
        <f t="shared" ref="F1183" si="1175">A1183</f>
        <v>AGCATA</v>
      </c>
    </row>
    <row r="1184" spans="1:6" x14ac:dyDescent="0.3">
      <c r="A1184" t="s">
        <v>4692</v>
      </c>
      <c r="F1184" t="str">
        <f t="shared" ref="F1184" si="1176">LEFT(A1184, LEN(A1184) - 1)</f>
        <v>&gt;590:AGCATC:22.00:50.00:Warning:6:1776.22</v>
      </c>
    </row>
    <row r="1185" spans="1:6" x14ac:dyDescent="0.3">
      <c r="A1185" t="s">
        <v>596</v>
      </c>
      <c r="F1185" t="str">
        <f t="shared" ref="F1185" si="1177">A1185</f>
        <v>AGCATC</v>
      </c>
    </row>
    <row r="1186" spans="1:6" x14ac:dyDescent="0.3">
      <c r="A1186" t="s">
        <v>4693</v>
      </c>
      <c r="F1186" t="str">
        <f t="shared" ref="F1186" si="1178">LEFT(A1186, LEN(A1186) - 1)</f>
        <v>&gt;591:AGCATG:22.00:50.00:Warning:6:1816.25</v>
      </c>
    </row>
    <row r="1187" spans="1:6" x14ac:dyDescent="0.3">
      <c r="A1187" t="s">
        <v>597</v>
      </c>
      <c r="F1187" t="str">
        <f t="shared" ref="F1187" si="1179">A1187</f>
        <v>AGCATG</v>
      </c>
    </row>
    <row r="1188" spans="1:6" x14ac:dyDescent="0.3">
      <c r="A1188" t="s">
        <v>4694</v>
      </c>
      <c r="F1188" t="str">
        <f t="shared" ref="F1188" si="1180">LEFT(A1188, LEN(A1188) - 1)</f>
        <v>&gt;592:AGCATT:16.00:33.33:OK:6:1791.23</v>
      </c>
    </row>
    <row r="1189" spans="1:6" x14ac:dyDescent="0.3">
      <c r="A1189" t="s">
        <v>598</v>
      </c>
      <c r="F1189" t="str">
        <f t="shared" ref="F1189" si="1181">A1189</f>
        <v>AGCATT</v>
      </c>
    </row>
    <row r="1190" spans="1:6" x14ac:dyDescent="0.3">
      <c r="A1190" t="s">
        <v>4695</v>
      </c>
      <c r="F1190" t="str">
        <f t="shared" ref="F1190" si="1182">LEFT(A1190, LEN(A1190) - 1)</f>
        <v>&gt;593:AGCCAA:30.00:50.00:Warning:6:1785.24</v>
      </c>
    </row>
    <row r="1191" spans="1:6" x14ac:dyDescent="0.3">
      <c r="A1191" t="s">
        <v>599</v>
      </c>
      <c r="F1191" t="str">
        <f t="shared" ref="F1191" si="1183">A1191</f>
        <v>AGCCAA</v>
      </c>
    </row>
    <row r="1192" spans="1:6" x14ac:dyDescent="0.3">
      <c r="A1192" t="s">
        <v>4696</v>
      </c>
      <c r="F1192" t="str">
        <f t="shared" ref="F1192" si="1184">LEFT(A1192, LEN(A1192) - 1)</f>
        <v>&gt;594:AGCCAC:28.00:66.67:Warning:6:1761.21</v>
      </c>
    </row>
    <row r="1193" spans="1:6" x14ac:dyDescent="0.3">
      <c r="A1193" t="s">
        <v>600</v>
      </c>
      <c r="F1193" t="str">
        <f t="shared" ref="F1193" si="1185">A1193</f>
        <v>AGCCAC</v>
      </c>
    </row>
    <row r="1194" spans="1:6" x14ac:dyDescent="0.3">
      <c r="A1194" t="s">
        <v>4697</v>
      </c>
      <c r="F1194" t="str">
        <f t="shared" ref="F1194" si="1186">LEFT(A1194, LEN(A1194) - 1)</f>
        <v>&gt;595:AGCCAG:28.00:66.67:Warning:6:1801.24</v>
      </c>
    </row>
    <row r="1195" spans="1:6" x14ac:dyDescent="0.3">
      <c r="A1195" t="s">
        <v>601</v>
      </c>
      <c r="F1195" t="str">
        <f t="shared" ref="F1195" si="1187">A1195</f>
        <v>AGCCAG</v>
      </c>
    </row>
    <row r="1196" spans="1:6" x14ac:dyDescent="0.3">
      <c r="A1196" t="s">
        <v>4698</v>
      </c>
      <c r="F1196" t="str">
        <f t="shared" ref="F1196" si="1188">LEFT(A1196, LEN(A1196) - 1)</f>
        <v>&gt;596:AGCCAT:22.00:50.00:Warning:6:1776.22</v>
      </c>
    </row>
    <row r="1197" spans="1:6" x14ac:dyDescent="0.3">
      <c r="A1197" t="s">
        <v>602</v>
      </c>
      <c r="F1197" t="str">
        <f t="shared" ref="F1197" si="1189">A1197</f>
        <v>AGCCAT</v>
      </c>
    </row>
    <row r="1198" spans="1:6" x14ac:dyDescent="0.3">
      <c r="A1198" t="s">
        <v>4699</v>
      </c>
      <c r="F1198" t="str">
        <f t="shared" ref="F1198" si="1190">LEFT(A1198, LEN(A1198) - 1)</f>
        <v>&gt;597:AGCCCA:28.00:66.67:Warning:6:1761.21</v>
      </c>
    </row>
    <row r="1199" spans="1:6" x14ac:dyDescent="0.3">
      <c r="A1199" t="s">
        <v>603</v>
      </c>
      <c r="F1199" t="str">
        <f t="shared" ref="F1199" si="1191">A1199</f>
        <v>AGCCCA</v>
      </c>
    </row>
    <row r="1200" spans="1:6" x14ac:dyDescent="0.3">
      <c r="A1200" t="s">
        <v>4700</v>
      </c>
      <c r="F1200" t="str">
        <f t="shared" ref="F1200" si="1192">LEFT(A1200, LEN(A1200) - 1)</f>
        <v>&gt;598:AGCCCC:26.00:83.33:Warning:6:1737.18</v>
      </c>
    </row>
    <row r="1201" spans="1:6" x14ac:dyDescent="0.3">
      <c r="A1201" t="s">
        <v>604</v>
      </c>
      <c r="F1201" t="str">
        <f t="shared" ref="F1201" si="1193">A1201</f>
        <v>AGCCCC</v>
      </c>
    </row>
    <row r="1202" spans="1:6" x14ac:dyDescent="0.3">
      <c r="A1202" t="s">
        <v>4701</v>
      </c>
      <c r="F1202" t="str">
        <f t="shared" ref="F1202" si="1194">LEFT(A1202, LEN(A1202) - 1)</f>
        <v>&gt;599:AGCCCG:26.00:83.33:Warning:6:1777.21</v>
      </c>
    </row>
    <row r="1203" spans="1:6" x14ac:dyDescent="0.3">
      <c r="A1203" t="s">
        <v>605</v>
      </c>
      <c r="F1203" t="str">
        <f t="shared" ref="F1203" si="1195">A1203</f>
        <v>AGCCCG</v>
      </c>
    </row>
    <row r="1204" spans="1:6" x14ac:dyDescent="0.3">
      <c r="A1204" t="s">
        <v>4702</v>
      </c>
      <c r="F1204" t="str">
        <f t="shared" ref="F1204" si="1196">LEFT(A1204, LEN(A1204) - 1)</f>
        <v>&gt;600:AGCCCT:20.00:66.67:Warning:6:1752.19</v>
      </c>
    </row>
    <row r="1205" spans="1:6" x14ac:dyDescent="0.3">
      <c r="A1205" t="s">
        <v>606</v>
      </c>
      <c r="F1205" t="str">
        <f t="shared" ref="F1205" si="1197">A1205</f>
        <v>AGCCCT</v>
      </c>
    </row>
    <row r="1206" spans="1:6" x14ac:dyDescent="0.3">
      <c r="A1206" t="s">
        <v>4703</v>
      </c>
      <c r="F1206" t="str">
        <f t="shared" ref="F1206" si="1198">LEFT(A1206, LEN(A1206) - 1)</f>
        <v>&gt;601:AGCCGA:28.00:66.67:Warning:6:1801.24</v>
      </c>
    </row>
    <row r="1207" spans="1:6" x14ac:dyDescent="0.3">
      <c r="A1207" t="s">
        <v>607</v>
      </c>
      <c r="F1207" t="str">
        <f t="shared" ref="F1207" si="1199">A1207</f>
        <v>AGCCGA</v>
      </c>
    </row>
    <row r="1208" spans="1:6" x14ac:dyDescent="0.3">
      <c r="A1208" t="s">
        <v>4704</v>
      </c>
      <c r="F1208" t="str">
        <f t="shared" ref="F1208" si="1200">LEFT(A1208, LEN(A1208) - 1)</f>
        <v>&gt;602:AGCCGC:26.00:83.33:Warning:6:1777.21</v>
      </c>
    </row>
    <row r="1209" spans="1:6" x14ac:dyDescent="0.3">
      <c r="A1209" t="s">
        <v>608</v>
      </c>
      <c r="F1209" t="str">
        <f t="shared" ref="F1209" si="1201">A1209</f>
        <v>AGCCGC</v>
      </c>
    </row>
    <row r="1210" spans="1:6" x14ac:dyDescent="0.3">
      <c r="A1210" t="s">
        <v>4705</v>
      </c>
      <c r="F1210" t="str">
        <f t="shared" ref="F1210" si="1202">LEFT(A1210, LEN(A1210) - 1)</f>
        <v>&gt;603:AGCCGG:26.00:83.33:Warning:6:1817.24</v>
      </c>
    </row>
    <row r="1211" spans="1:6" x14ac:dyDescent="0.3">
      <c r="A1211" t="s">
        <v>609</v>
      </c>
      <c r="F1211" t="str">
        <f t="shared" ref="F1211" si="1203">A1211</f>
        <v>AGCCGG</v>
      </c>
    </row>
    <row r="1212" spans="1:6" x14ac:dyDescent="0.3">
      <c r="A1212" t="s">
        <v>4706</v>
      </c>
      <c r="F1212" t="str">
        <f t="shared" ref="F1212" si="1204">LEFT(A1212, LEN(A1212) - 1)</f>
        <v>&gt;604:AGCCGT:20.00:66.67:Warning:6:1792.22</v>
      </c>
    </row>
    <row r="1213" spans="1:6" x14ac:dyDescent="0.3">
      <c r="A1213" t="s">
        <v>610</v>
      </c>
      <c r="F1213" t="str">
        <f t="shared" ref="F1213" si="1205">A1213</f>
        <v>AGCCGT</v>
      </c>
    </row>
    <row r="1214" spans="1:6" x14ac:dyDescent="0.3">
      <c r="A1214" t="s">
        <v>4707</v>
      </c>
      <c r="F1214" t="str">
        <f t="shared" ref="F1214" si="1206">LEFT(A1214, LEN(A1214) - 1)</f>
        <v>&gt;605:AGCCTA:22.00:50.00:Warning:6:1776.22</v>
      </c>
    </row>
    <row r="1215" spans="1:6" x14ac:dyDescent="0.3">
      <c r="A1215" t="s">
        <v>611</v>
      </c>
      <c r="F1215" t="str">
        <f t="shared" ref="F1215" si="1207">A1215</f>
        <v>AGCCTA</v>
      </c>
    </row>
    <row r="1216" spans="1:6" x14ac:dyDescent="0.3">
      <c r="A1216" t="s">
        <v>4708</v>
      </c>
      <c r="F1216" t="str">
        <f t="shared" ref="F1216" si="1208">LEFT(A1216, LEN(A1216) - 1)</f>
        <v>&gt;606:AGCCTC:20.00:66.67:Warning:6:1752.19</v>
      </c>
    </row>
    <row r="1217" spans="1:6" x14ac:dyDescent="0.3">
      <c r="A1217" t="s">
        <v>612</v>
      </c>
      <c r="F1217" t="str">
        <f t="shared" ref="F1217" si="1209">A1217</f>
        <v>AGCCTC</v>
      </c>
    </row>
    <row r="1218" spans="1:6" x14ac:dyDescent="0.3">
      <c r="A1218" t="s">
        <v>4709</v>
      </c>
      <c r="F1218" t="str">
        <f t="shared" ref="F1218" si="1210">LEFT(A1218, LEN(A1218) - 1)</f>
        <v>&gt;607:AGCCTG:20.00:66.67:Warning:6:1792.22</v>
      </c>
    </row>
    <row r="1219" spans="1:6" x14ac:dyDescent="0.3">
      <c r="A1219" t="s">
        <v>613</v>
      </c>
      <c r="F1219" t="str">
        <f t="shared" ref="F1219" si="1211">A1219</f>
        <v>AGCCTG</v>
      </c>
    </row>
    <row r="1220" spans="1:6" x14ac:dyDescent="0.3">
      <c r="A1220" t="s">
        <v>4710</v>
      </c>
      <c r="F1220" t="str">
        <f t="shared" ref="F1220" si="1212">LEFT(A1220, LEN(A1220) - 1)</f>
        <v>&gt;608:AGCCTT:14.00:50.00:Warning:6:1767.20</v>
      </c>
    </row>
    <row r="1221" spans="1:6" x14ac:dyDescent="0.3">
      <c r="A1221" t="s">
        <v>614</v>
      </c>
      <c r="F1221" t="str">
        <f t="shared" ref="F1221" si="1213">A1221</f>
        <v>AGCCTT</v>
      </c>
    </row>
    <row r="1222" spans="1:6" x14ac:dyDescent="0.3">
      <c r="A1222" t="s">
        <v>4711</v>
      </c>
      <c r="F1222" t="str">
        <f t="shared" ref="F1222" si="1214">LEFT(A1222, LEN(A1222) - 1)</f>
        <v>&gt;609:AGCGAA:30.00:50.00:Warning:6:1825.27</v>
      </c>
    </row>
    <row r="1223" spans="1:6" x14ac:dyDescent="0.3">
      <c r="A1223" t="s">
        <v>615</v>
      </c>
      <c r="F1223" t="str">
        <f t="shared" ref="F1223" si="1215">A1223</f>
        <v>AGCGAA</v>
      </c>
    </row>
    <row r="1224" spans="1:6" x14ac:dyDescent="0.3">
      <c r="A1224" t="s">
        <v>4712</v>
      </c>
      <c r="F1224" t="str">
        <f t="shared" ref="F1224" si="1216">LEFT(A1224, LEN(A1224) - 1)</f>
        <v>&gt;610:AGCGAC:28.00:66.67:Warning:6:1801.24</v>
      </c>
    </row>
    <row r="1225" spans="1:6" x14ac:dyDescent="0.3">
      <c r="A1225" t="s">
        <v>616</v>
      </c>
      <c r="F1225" t="str">
        <f t="shared" ref="F1225" si="1217">A1225</f>
        <v>AGCGAC</v>
      </c>
    </row>
    <row r="1226" spans="1:6" x14ac:dyDescent="0.3">
      <c r="A1226" t="s">
        <v>4713</v>
      </c>
      <c r="F1226" t="str">
        <f t="shared" ref="F1226" si="1218">LEFT(A1226, LEN(A1226) - 1)</f>
        <v>&gt;611:AGCGAG:28.00:66.67:Warning:6:1841.27</v>
      </c>
    </row>
    <row r="1227" spans="1:6" x14ac:dyDescent="0.3">
      <c r="A1227" t="s">
        <v>617</v>
      </c>
      <c r="F1227" t="str">
        <f t="shared" ref="F1227" si="1219">A1227</f>
        <v>AGCGAG</v>
      </c>
    </row>
    <row r="1228" spans="1:6" x14ac:dyDescent="0.3">
      <c r="A1228" t="s">
        <v>4714</v>
      </c>
      <c r="F1228" t="str">
        <f t="shared" ref="F1228" si="1220">LEFT(A1228, LEN(A1228) - 1)</f>
        <v>&gt;612:AGCGAT:22.00:50.00:Warning:6:1816.25</v>
      </c>
    </row>
    <row r="1229" spans="1:6" x14ac:dyDescent="0.3">
      <c r="A1229" t="s">
        <v>618</v>
      </c>
      <c r="F1229" t="str">
        <f t="shared" ref="F1229" si="1221">A1229</f>
        <v>AGCGAT</v>
      </c>
    </row>
    <row r="1230" spans="1:6" x14ac:dyDescent="0.3">
      <c r="A1230" t="s">
        <v>4715</v>
      </c>
      <c r="F1230" t="str">
        <f t="shared" ref="F1230" si="1222">LEFT(A1230, LEN(A1230) - 1)</f>
        <v>&gt;613:AGCGCA:28.00:66.67:Warning:6:1801.24</v>
      </c>
    </row>
    <row r="1231" spans="1:6" x14ac:dyDescent="0.3">
      <c r="A1231" t="s">
        <v>619</v>
      </c>
      <c r="F1231" t="str">
        <f t="shared" ref="F1231" si="1223">A1231</f>
        <v>AGCGCA</v>
      </c>
    </row>
    <row r="1232" spans="1:6" x14ac:dyDescent="0.3">
      <c r="A1232" t="s">
        <v>4716</v>
      </c>
      <c r="F1232" t="str">
        <f t="shared" ref="F1232" si="1224">LEFT(A1232, LEN(A1232) - 1)</f>
        <v>&gt;614:AGCGCC:26.00:83.33:Warning:6:1777.21</v>
      </c>
    </row>
    <row r="1233" spans="1:6" x14ac:dyDescent="0.3">
      <c r="A1233" t="s">
        <v>620</v>
      </c>
      <c r="F1233" t="str">
        <f t="shared" ref="F1233" si="1225">A1233</f>
        <v>AGCGCC</v>
      </c>
    </row>
    <row r="1234" spans="1:6" x14ac:dyDescent="0.3">
      <c r="A1234" t="s">
        <v>4717</v>
      </c>
      <c r="F1234" t="str">
        <f t="shared" ref="F1234" si="1226">LEFT(A1234, LEN(A1234) - 1)</f>
        <v>&gt;615:AGCGCG:26.00:83.33:Warning:6:1817.24</v>
      </c>
    </row>
    <row r="1235" spans="1:6" x14ac:dyDescent="0.3">
      <c r="A1235" t="s">
        <v>621</v>
      </c>
      <c r="F1235" t="str">
        <f t="shared" ref="F1235" si="1227">A1235</f>
        <v>AGCGCG</v>
      </c>
    </row>
    <row r="1236" spans="1:6" x14ac:dyDescent="0.3">
      <c r="A1236" t="s">
        <v>4718</v>
      </c>
      <c r="F1236" t="str">
        <f t="shared" ref="F1236" si="1228">LEFT(A1236, LEN(A1236) - 1)</f>
        <v>&gt;616:AGCGCT:20.00:66.67:Warning:6:1792.22</v>
      </c>
    </row>
    <row r="1237" spans="1:6" x14ac:dyDescent="0.3">
      <c r="A1237" t="s">
        <v>622</v>
      </c>
      <c r="F1237" t="str">
        <f t="shared" ref="F1237" si="1229">A1237</f>
        <v>AGCGCT</v>
      </c>
    </row>
    <row r="1238" spans="1:6" x14ac:dyDescent="0.3">
      <c r="A1238" t="s">
        <v>4719</v>
      </c>
      <c r="F1238" t="str">
        <f t="shared" ref="F1238" si="1230">LEFT(A1238, LEN(A1238) - 1)</f>
        <v>&gt;617:AGCGGA:28.00:66.67:Warning:6:1841.27</v>
      </c>
    </row>
    <row r="1239" spans="1:6" x14ac:dyDescent="0.3">
      <c r="A1239" t="s">
        <v>623</v>
      </c>
      <c r="F1239" t="str">
        <f t="shared" ref="F1239" si="1231">A1239</f>
        <v>AGCGGA</v>
      </c>
    </row>
    <row r="1240" spans="1:6" x14ac:dyDescent="0.3">
      <c r="A1240" t="s">
        <v>4720</v>
      </c>
      <c r="F1240" t="str">
        <f t="shared" ref="F1240" si="1232">LEFT(A1240, LEN(A1240) - 1)</f>
        <v>&gt;618:AGCGGC:26.00:83.33:Warning:6:1817.24</v>
      </c>
    </row>
    <row r="1241" spans="1:6" x14ac:dyDescent="0.3">
      <c r="A1241" t="s">
        <v>624</v>
      </c>
      <c r="F1241" t="str">
        <f t="shared" ref="F1241" si="1233">A1241</f>
        <v>AGCGGC</v>
      </c>
    </row>
    <row r="1242" spans="1:6" x14ac:dyDescent="0.3">
      <c r="A1242" t="s">
        <v>4721</v>
      </c>
      <c r="F1242" t="str">
        <f t="shared" ref="F1242" si="1234">LEFT(A1242, LEN(A1242) - 1)</f>
        <v>&gt;619:AGCGGG:26.00:83.33:Warning:6:1857.27</v>
      </c>
    </row>
    <row r="1243" spans="1:6" x14ac:dyDescent="0.3">
      <c r="A1243" t="s">
        <v>625</v>
      </c>
      <c r="F1243" t="str">
        <f t="shared" ref="F1243" si="1235">A1243</f>
        <v>AGCGGG</v>
      </c>
    </row>
    <row r="1244" spans="1:6" x14ac:dyDescent="0.3">
      <c r="A1244" t="s">
        <v>4722</v>
      </c>
      <c r="F1244" t="str">
        <f t="shared" ref="F1244" si="1236">LEFT(A1244, LEN(A1244) - 1)</f>
        <v>&gt;620:AGCGGT:20.00:66.67:Warning:6:1832.25</v>
      </c>
    </row>
    <row r="1245" spans="1:6" x14ac:dyDescent="0.3">
      <c r="A1245" t="s">
        <v>626</v>
      </c>
      <c r="F1245" t="str">
        <f t="shared" ref="F1245" si="1237">A1245</f>
        <v>AGCGGT</v>
      </c>
    </row>
    <row r="1246" spans="1:6" x14ac:dyDescent="0.3">
      <c r="A1246" t="s">
        <v>4723</v>
      </c>
      <c r="F1246" t="str">
        <f t="shared" ref="F1246" si="1238">LEFT(A1246, LEN(A1246) - 1)</f>
        <v>&gt;621:AGCGTA:22.00:50.00:Warning:6:1816.25</v>
      </c>
    </row>
    <row r="1247" spans="1:6" x14ac:dyDescent="0.3">
      <c r="A1247" t="s">
        <v>627</v>
      </c>
      <c r="F1247" t="str">
        <f t="shared" ref="F1247" si="1239">A1247</f>
        <v>AGCGTA</v>
      </c>
    </row>
    <row r="1248" spans="1:6" x14ac:dyDescent="0.3">
      <c r="A1248" t="s">
        <v>4724</v>
      </c>
      <c r="F1248" t="str">
        <f t="shared" ref="F1248" si="1240">LEFT(A1248, LEN(A1248) - 1)</f>
        <v>&gt;622:AGCGTC:20.00:66.67:Warning:6:1792.22</v>
      </c>
    </row>
    <row r="1249" spans="1:6" x14ac:dyDescent="0.3">
      <c r="A1249" t="s">
        <v>628</v>
      </c>
      <c r="F1249" t="str">
        <f t="shared" ref="F1249" si="1241">A1249</f>
        <v>AGCGTC</v>
      </c>
    </row>
    <row r="1250" spans="1:6" x14ac:dyDescent="0.3">
      <c r="A1250" t="s">
        <v>4725</v>
      </c>
      <c r="F1250" t="str">
        <f t="shared" ref="F1250" si="1242">LEFT(A1250, LEN(A1250) - 1)</f>
        <v>&gt;623:AGCGTG:20.00:66.67:Warning:6:1832.25</v>
      </c>
    </row>
    <row r="1251" spans="1:6" x14ac:dyDescent="0.3">
      <c r="A1251" t="s">
        <v>629</v>
      </c>
      <c r="F1251" t="str">
        <f t="shared" ref="F1251" si="1243">A1251</f>
        <v>AGCGTG</v>
      </c>
    </row>
    <row r="1252" spans="1:6" x14ac:dyDescent="0.3">
      <c r="A1252" t="s">
        <v>4726</v>
      </c>
      <c r="F1252" t="str">
        <f t="shared" ref="F1252" si="1244">LEFT(A1252, LEN(A1252) - 1)</f>
        <v>&gt;624:AGCGTT:14.00:50.00:Warning:6:1807.23</v>
      </c>
    </row>
    <row r="1253" spans="1:6" x14ac:dyDescent="0.3">
      <c r="A1253" t="s">
        <v>630</v>
      </c>
      <c r="F1253" t="str">
        <f t="shared" ref="F1253" si="1245">A1253</f>
        <v>AGCGTT</v>
      </c>
    </row>
    <row r="1254" spans="1:6" x14ac:dyDescent="0.3">
      <c r="A1254" t="s">
        <v>4727</v>
      </c>
      <c r="F1254" t="str">
        <f t="shared" ref="F1254" si="1246">LEFT(A1254, LEN(A1254) - 1)</f>
        <v>&gt;625:AGCTAA:24.00:33.33:OK:6:1800.25</v>
      </c>
    </row>
    <row r="1255" spans="1:6" x14ac:dyDescent="0.3">
      <c r="A1255" t="s">
        <v>631</v>
      </c>
      <c r="F1255" t="str">
        <f t="shared" ref="F1255" si="1247">A1255</f>
        <v>AGCTAA</v>
      </c>
    </row>
    <row r="1256" spans="1:6" x14ac:dyDescent="0.3">
      <c r="A1256" t="s">
        <v>4728</v>
      </c>
      <c r="F1256" t="str">
        <f t="shared" ref="F1256" si="1248">LEFT(A1256, LEN(A1256) - 1)</f>
        <v>&gt;626:AGCTAC:22.00:50.00:Warning:6:1776.22</v>
      </c>
    </row>
    <row r="1257" spans="1:6" x14ac:dyDescent="0.3">
      <c r="A1257" t="s">
        <v>632</v>
      </c>
      <c r="F1257" t="str">
        <f t="shared" ref="F1257" si="1249">A1257</f>
        <v>AGCTAC</v>
      </c>
    </row>
    <row r="1258" spans="1:6" x14ac:dyDescent="0.3">
      <c r="A1258" t="s">
        <v>4729</v>
      </c>
      <c r="F1258" t="str">
        <f t="shared" ref="F1258" si="1250">LEFT(A1258, LEN(A1258) - 1)</f>
        <v>&gt;627:AGCTAG:22.00:50.00:Warning:6:1816.25</v>
      </c>
    </row>
    <row r="1259" spans="1:6" x14ac:dyDescent="0.3">
      <c r="A1259" t="s">
        <v>633</v>
      </c>
      <c r="F1259" t="str">
        <f t="shared" ref="F1259" si="1251">A1259</f>
        <v>AGCTAG</v>
      </c>
    </row>
    <row r="1260" spans="1:6" x14ac:dyDescent="0.3">
      <c r="A1260" t="s">
        <v>4730</v>
      </c>
      <c r="F1260" t="str">
        <f t="shared" ref="F1260" si="1252">LEFT(A1260, LEN(A1260) - 1)</f>
        <v>&gt;628:AGCTAT:16.00:33.33:OK:6:1791.23</v>
      </c>
    </row>
    <row r="1261" spans="1:6" x14ac:dyDescent="0.3">
      <c r="A1261" t="s">
        <v>634</v>
      </c>
      <c r="F1261" t="str">
        <f t="shared" ref="F1261" si="1253">A1261</f>
        <v>AGCTAT</v>
      </c>
    </row>
    <row r="1262" spans="1:6" x14ac:dyDescent="0.3">
      <c r="A1262" t="s">
        <v>4731</v>
      </c>
      <c r="F1262" t="str">
        <f t="shared" ref="F1262" si="1254">LEFT(A1262, LEN(A1262) - 1)</f>
        <v>&gt;629:AGCTCA:22.00:50.00:Warning:6:1776.22</v>
      </c>
    </row>
    <row r="1263" spans="1:6" x14ac:dyDescent="0.3">
      <c r="A1263" t="s">
        <v>635</v>
      </c>
      <c r="F1263" t="str">
        <f t="shared" ref="F1263" si="1255">A1263</f>
        <v>AGCTCA</v>
      </c>
    </row>
    <row r="1264" spans="1:6" x14ac:dyDescent="0.3">
      <c r="A1264" t="s">
        <v>4732</v>
      </c>
      <c r="F1264" t="str">
        <f t="shared" ref="F1264" si="1256">LEFT(A1264, LEN(A1264) - 1)</f>
        <v>&gt;630:AGCTCC:20.00:66.67:Warning:6:1752.19</v>
      </c>
    </row>
    <row r="1265" spans="1:6" x14ac:dyDescent="0.3">
      <c r="A1265" t="s">
        <v>636</v>
      </c>
      <c r="F1265" t="str">
        <f t="shared" ref="F1265" si="1257">A1265</f>
        <v>AGCTCC</v>
      </c>
    </row>
    <row r="1266" spans="1:6" x14ac:dyDescent="0.3">
      <c r="A1266" t="s">
        <v>4733</v>
      </c>
      <c r="F1266" t="str">
        <f t="shared" ref="F1266" si="1258">LEFT(A1266, LEN(A1266) - 1)</f>
        <v>&gt;631:AGCTCG:20.00:66.67:Warning:6:1792.22</v>
      </c>
    </row>
    <row r="1267" spans="1:6" x14ac:dyDescent="0.3">
      <c r="A1267" t="s">
        <v>637</v>
      </c>
      <c r="F1267" t="str">
        <f t="shared" ref="F1267" si="1259">A1267</f>
        <v>AGCTCG</v>
      </c>
    </row>
    <row r="1268" spans="1:6" x14ac:dyDescent="0.3">
      <c r="A1268" t="s">
        <v>4734</v>
      </c>
      <c r="F1268" t="str">
        <f t="shared" ref="F1268" si="1260">LEFT(A1268, LEN(A1268) - 1)</f>
        <v>&gt;632:AGCTCT:14.00:50.00:Warning:6:1767.20</v>
      </c>
    </row>
    <row r="1269" spans="1:6" x14ac:dyDescent="0.3">
      <c r="A1269" t="s">
        <v>638</v>
      </c>
      <c r="F1269" t="str">
        <f t="shared" ref="F1269" si="1261">A1269</f>
        <v>AGCTCT</v>
      </c>
    </row>
    <row r="1270" spans="1:6" x14ac:dyDescent="0.3">
      <c r="A1270" t="s">
        <v>4735</v>
      </c>
      <c r="F1270" t="str">
        <f t="shared" ref="F1270" si="1262">LEFT(A1270, LEN(A1270) - 1)</f>
        <v>&gt;633:AGCTGA:22.00:50.00:Warning:6:1816.25</v>
      </c>
    </row>
    <row r="1271" spans="1:6" x14ac:dyDescent="0.3">
      <c r="A1271" t="s">
        <v>639</v>
      </c>
      <c r="F1271" t="str">
        <f t="shared" ref="F1271" si="1263">A1271</f>
        <v>AGCTGA</v>
      </c>
    </row>
    <row r="1272" spans="1:6" x14ac:dyDescent="0.3">
      <c r="A1272" t="s">
        <v>4736</v>
      </c>
      <c r="F1272" t="str">
        <f t="shared" ref="F1272" si="1264">LEFT(A1272, LEN(A1272) - 1)</f>
        <v>&gt;634:AGCTGC:20.00:66.67:Warning:6:1792.22</v>
      </c>
    </row>
    <row r="1273" spans="1:6" x14ac:dyDescent="0.3">
      <c r="A1273" t="s">
        <v>640</v>
      </c>
      <c r="F1273" t="str">
        <f t="shared" ref="F1273" si="1265">A1273</f>
        <v>AGCTGC</v>
      </c>
    </row>
    <row r="1274" spans="1:6" x14ac:dyDescent="0.3">
      <c r="A1274" t="s">
        <v>4737</v>
      </c>
      <c r="F1274" t="str">
        <f t="shared" ref="F1274" si="1266">LEFT(A1274, LEN(A1274) - 1)</f>
        <v>&gt;635:AGCTGG:20.00:66.67:Warning:6:1832.25</v>
      </c>
    </row>
    <row r="1275" spans="1:6" x14ac:dyDescent="0.3">
      <c r="A1275" t="s">
        <v>641</v>
      </c>
      <c r="F1275" t="str">
        <f t="shared" ref="F1275" si="1267">A1275</f>
        <v>AGCTGG</v>
      </c>
    </row>
    <row r="1276" spans="1:6" x14ac:dyDescent="0.3">
      <c r="A1276" t="s">
        <v>4738</v>
      </c>
      <c r="F1276" t="str">
        <f t="shared" ref="F1276" si="1268">LEFT(A1276, LEN(A1276) - 1)</f>
        <v>&gt;636:AGCTGT:14.00:50.00:Warning:6:1807.23</v>
      </c>
    </row>
    <row r="1277" spans="1:6" x14ac:dyDescent="0.3">
      <c r="A1277" t="s">
        <v>642</v>
      </c>
      <c r="F1277" t="str">
        <f t="shared" ref="F1277" si="1269">A1277</f>
        <v>AGCTGT</v>
      </c>
    </row>
    <row r="1278" spans="1:6" x14ac:dyDescent="0.3">
      <c r="A1278" t="s">
        <v>4739</v>
      </c>
      <c r="F1278" t="str">
        <f t="shared" ref="F1278" si="1270">LEFT(A1278, LEN(A1278) - 1)</f>
        <v>&gt;637:AGCTTA:16.00:33.33:OK:6:1791.23</v>
      </c>
    </row>
    <row r="1279" spans="1:6" x14ac:dyDescent="0.3">
      <c r="A1279" t="s">
        <v>643</v>
      </c>
      <c r="F1279" t="str">
        <f t="shared" ref="F1279" si="1271">A1279</f>
        <v>AGCTTA</v>
      </c>
    </row>
    <row r="1280" spans="1:6" x14ac:dyDescent="0.3">
      <c r="A1280" t="s">
        <v>4740</v>
      </c>
      <c r="F1280" t="str">
        <f t="shared" ref="F1280" si="1272">LEFT(A1280, LEN(A1280) - 1)</f>
        <v>&gt;638:AGCTTC:14.00:50.00:Warning:6:1767.20</v>
      </c>
    </row>
    <row r="1281" spans="1:6" x14ac:dyDescent="0.3">
      <c r="A1281" t="s">
        <v>644</v>
      </c>
      <c r="F1281" t="str">
        <f t="shared" ref="F1281" si="1273">A1281</f>
        <v>AGCTTC</v>
      </c>
    </row>
    <row r="1282" spans="1:6" x14ac:dyDescent="0.3">
      <c r="A1282" t="s">
        <v>4741</v>
      </c>
      <c r="F1282" t="str">
        <f t="shared" ref="F1282" si="1274">LEFT(A1282, LEN(A1282) - 1)</f>
        <v>&gt;639:AGCTTG:14.00:50.00:Warning:6:1807.23</v>
      </c>
    </row>
    <row r="1283" spans="1:6" x14ac:dyDescent="0.3">
      <c r="A1283" t="s">
        <v>645</v>
      </c>
      <c r="F1283" t="str">
        <f t="shared" ref="F1283" si="1275">A1283</f>
        <v>AGCTTG</v>
      </c>
    </row>
    <row r="1284" spans="1:6" x14ac:dyDescent="0.3">
      <c r="A1284" t="s">
        <v>4742</v>
      </c>
      <c r="F1284" t="str">
        <f t="shared" ref="F1284" si="1276">LEFT(A1284, LEN(A1284) - 1)</f>
        <v>&gt;640:AGCTTT:8.00:33.33:OK:6:1782.21</v>
      </c>
    </row>
    <row r="1285" spans="1:6" x14ac:dyDescent="0.3">
      <c r="A1285" t="s">
        <v>646</v>
      </c>
      <c r="F1285" t="str">
        <f t="shared" ref="F1285" si="1277">A1285</f>
        <v>AGCTTT</v>
      </c>
    </row>
    <row r="1286" spans="1:6" x14ac:dyDescent="0.3">
      <c r="A1286" t="s">
        <v>4743</v>
      </c>
      <c r="F1286" t="str">
        <f t="shared" ref="F1286" si="1278">LEFT(A1286, LEN(A1286) - 1)</f>
        <v>&gt;641:AGGAAA:32.00:33.33:OK:6:1849.30</v>
      </c>
    </row>
    <row r="1287" spans="1:6" x14ac:dyDescent="0.3">
      <c r="A1287" t="s">
        <v>647</v>
      </c>
      <c r="F1287" t="str">
        <f t="shared" ref="F1287" si="1279">A1287</f>
        <v>AGGAAA</v>
      </c>
    </row>
    <row r="1288" spans="1:6" x14ac:dyDescent="0.3">
      <c r="A1288" t="s">
        <v>4744</v>
      </c>
      <c r="F1288" t="str">
        <f t="shared" ref="F1288" si="1280">LEFT(A1288, LEN(A1288) - 1)</f>
        <v>&gt;642:AGGAAC:30.00:50.00:Warning:6:1825.27</v>
      </c>
    </row>
    <row r="1289" spans="1:6" x14ac:dyDescent="0.3">
      <c r="A1289" t="s">
        <v>648</v>
      </c>
      <c r="F1289" t="str">
        <f t="shared" ref="F1289" si="1281">A1289</f>
        <v>AGGAAC</v>
      </c>
    </row>
    <row r="1290" spans="1:6" x14ac:dyDescent="0.3">
      <c r="A1290" t="s">
        <v>4745</v>
      </c>
      <c r="F1290" t="str">
        <f t="shared" ref="F1290" si="1282">LEFT(A1290, LEN(A1290) - 1)</f>
        <v>&gt;643:AGGAAG:30.00:50.00:Warning:6:1865.30</v>
      </c>
    </row>
    <row r="1291" spans="1:6" x14ac:dyDescent="0.3">
      <c r="A1291" t="s">
        <v>649</v>
      </c>
      <c r="F1291" t="str">
        <f t="shared" ref="F1291" si="1283">A1291</f>
        <v>AGGAAG</v>
      </c>
    </row>
    <row r="1292" spans="1:6" x14ac:dyDescent="0.3">
      <c r="A1292" t="s">
        <v>4746</v>
      </c>
      <c r="F1292" t="str">
        <f t="shared" ref="F1292" si="1284">LEFT(A1292, LEN(A1292) - 1)</f>
        <v>&gt;644:AGGAAT:24.00:33.33:OK:6:1840.28</v>
      </c>
    </row>
    <row r="1293" spans="1:6" x14ac:dyDescent="0.3">
      <c r="A1293" t="s">
        <v>650</v>
      </c>
      <c r="F1293" t="str">
        <f t="shared" ref="F1293" si="1285">A1293</f>
        <v>AGGAAT</v>
      </c>
    </row>
    <row r="1294" spans="1:6" x14ac:dyDescent="0.3">
      <c r="A1294" t="s">
        <v>4747</v>
      </c>
      <c r="F1294" t="str">
        <f t="shared" ref="F1294" si="1286">LEFT(A1294, LEN(A1294) - 1)</f>
        <v>&gt;645:AGGACA:30.00:50.00:Warning:6:1825.27</v>
      </c>
    </row>
    <row r="1295" spans="1:6" x14ac:dyDescent="0.3">
      <c r="A1295" t="s">
        <v>651</v>
      </c>
      <c r="F1295" t="str">
        <f t="shared" ref="F1295" si="1287">A1295</f>
        <v>AGGACA</v>
      </c>
    </row>
    <row r="1296" spans="1:6" x14ac:dyDescent="0.3">
      <c r="A1296" t="s">
        <v>4748</v>
      </c>
      <c r="F1296" t="str">
        <f t="shared" ref="F1296" si="1288">LEFT(A1296, LEN(A1296) - 1)</f>
        <v>&gt;646:AGGACC:28.00:66.67:Warning:6:1801.24</v>
      </c>
    </row>
    <row r="1297" spans="1:6" x14ac:dyDescent="0.3">
      <c r="A1297" t="s">
        <v>652</v>
      </c>
      <c r="F1297" t="str">
        <f t="shared" ref="F1297" si="1289">A1297</f>
        <v>AGGACC</v>
      </c>
    </row>
    <row r="1298" spans="1:6" x14ac:dyDescent="0.3">
      <c r="A1298" t="s">
        <v>4749</v>
      </c>
      <c r="F1298" t="str">
        <f t="shared" ref="F1298" si="1290">LEFT(A1298, LEN(A1298) - 1)</f>
        <v>&gt;647:AGGACG:28.00:66.67:Warning:6:1841.27</v>
      </c>
    </row>
    <row r="1299" spans="1:6" x14ac:dyDescent="0.3">
      <c r="A1299" t="s">
        <v>653</v>
      </c>
      <c r="F1299" t="str">
        <f t="shared" ref="F1299" si="1291">A1299</f>
        <v>AGGACG</v>
      </c>
    </row>
    <row r="1300" spans="1:6" x14ac:dyDescent="0.3">
      <c r="A1300" t="s">
        <v>4750</v>
      </c>
      <c r="F1300" t="str">
        <f t="shared" ref="F1300" si="1292">LEFT(A1300, LEN(A1300) - 1)</f>
        <v>&gt;648:AGGACT:22.00:50.00:Warning:6:1816.25</v>
      </c>
    </row>
    <row r="1301" spans="1:6" x14ac:dyDescent="0.3">
      <c r="A1301" t="s">
        <v>654</v>
      </c>
      <c r="F1301" t="str">
        <f t="shared" ref="F1301" si="1293">A1301</f>
        <v>AGGACT</v>
      </c>
    </row>
    <row r="1302" spans="1:6" x14ac:dyDescent="0.3">
      <c r="A1302" t="s">
        <v>4751</v>
      </c>
      <c r="F1302" t="str">
        <f t="shared" ref="F1302" si="1294">LEFT(A1302, LEN(A1302) - 1)</f>
        <v>&gt;649:AGGAGA:30.00:50.00:Warning:6:1865.30</v>
      </c>
    </row>
    <row r="1303" spans="1:6" x14ac:dyDescent="0.3">
      <c r="A1303" t="s">
        <v>655</v>
      </c>
      <c r="F1303" t="str">
        <f t="shared" ref="F1303" si="1295">A1303</f>
        <v>AGGAGA</v>
      </c>
    </row>
    <row r="1304" spans="1:6" x14ac:dyDescent="0.3">
      <c r="A1304" t="s">
        <v>4752</v>
      </c>
      <c r="F1304" t="str">
        <f t="shared" ref="F1304" si="1296">LEFT(A1304, LEN(A1304) - 1)</f>
        <v>&gt;650:AGGAGC:28.00:66.67:Warning:6:1841.27</v>
      </c>
    </row>
    <row r="1305" spans="1:6" x14ac:dyDescent="0.3">
      <c r="A1305" t="s">
        <v>656</v>
      </c>
      <c r="F1305" t="str">
        <f t="shared" ref="F1305" si="1297">A1305</f>
        <v>AGGAGC</v>
      </c>
    </row>
    <row r="1306" spans="1:6" x14ac:dyDescent="0.3">
      <c r="A1306" t="s">
        <v>4753</v>
      </c>
      <c r="F1306" t="str">
        <f t="shared" ref="F1306" si="1298">LEFT(A1306, LEN(A1306) - 1)</f>
        <v>&gt;651:AGGAGG:28.00:66.67:Warning:6:1881.30</v>
      </c>
    </row>
    <row r="1307" spans="1:6" x14ac:dyDescent="0.3">
      <c r="A1307" t="s">
        <v>657</v>
      </c>
      <c r="F1307" t="str">
        <f t="shared" ref="F1307" si="1299">A1307</f>
        <v>AGGAGG</v>
      </c>
    </row>
    <row r="1308" spans="1:6" x14ac:dyDescent="0.3">
      <c r="A1308" t="s">
        <v>4754</v>
      </c>
      <c r="F1308" t="str">
        <f t="shared" ref="F1308" si="1300">LEFT(A1308, LEN(A1308) - 1)</f>
        <v>&gt;652:AGGAGT:22.00:50.00:Warning:6:1856.28</v>
      </c>
    </row>
    <row r="1309" spans="1:6" x14ac:dyDescent="0.3">
      <c r="A1309" t="s">
        <v>658</v>
      </c>
      <c r="F1309" t="str">
        <f t="shared" ref="F1309" si="1301">A1309</f>
        <v>AGGAGT</v>
      </c>
    </row>
    <row r="1310" spans="1:6" x14ac:dyDescent="0.3">
      <c r="A1310" t="s">
        <v>4755</v>
      </c>
      <c r="F1310" t="str">
        <f t="shared" ref="F1310" si="1302">LEFT(A1310, LEN(A1310) - 1)</f>
        <v>&gt;653:AGGATA:24.00:33.33:OK:6:1840.28</v>
      </c>
    </row>
    <row r="1311" spans="1:6" x14ac:dyDescent="0.3">
      <c r="A1311" t="s">
        <v>659</v>
      </c>
      <c r="F1311" t="str">
        <f t="shared" ref="F1311" si="1303">A1311</f>
        <v>AGGATA</v>
      </c>
    </row>
    <row r="1312" spans="1:6" x14ac:dyDescent="0.3">
      <c r="A1312" t="s">
        <v>4756</v>
      </c>
      <c r="F1312" t="str">
        <f t="shared" ref="F1312" si="1304">LEFT(A1312, LEN(A1312) - 1)</f>
        <v>&gt;654:AGGATC:22.00:50.00:Warning:6:1816.25</v>
      </c>
    </row>
    <row r="1313" spans="1:6" x14ac:dyDescent="0.3">
      <c r="A1313" t="s">
        <v>660</v>
      </c>
      <c r="F1313" t="str">
        <f t="shared" ref="F1313" si="1305">A1313</f>
        <v>AGGATC</v>
      </c>
    </row>
    <row r="1314" spans="1:6" x14ac:dyDescent="0.3">
      <c r="A1314" t="s">
        <v>4757</v>
      </c>
      <c r="F1314" t="str">
        <f t="shared" ref="F1314" si="1306">LEFT(A1314, LEN(A1314) - 1)</f>
        <v>&gt;655:AGGATG:22.00:50.00:Warning:6:1856.28</v>
      </c>
    </row>
    <row r="1315" spans="1:6" x14ac:dyDescent="0.3">
      <c r="A1315" t="s">
        <v>661</v>
      </c>
      <c r="F1315" t="str">
        <f t="shared" ref="F1315" si="1307">A1315</f>
        <v>AGGATG</v>
      </c>
    </row>
    <row r="1316" spans="1:6" x14ac:dyDescent="0.3">
      <c r="A1316" t="s">
        <v>4758</v>
      </c>
      <c r="F1316" t="str">
        <f t="shared" ref="F1316" si="1308">LEFT(A1316, LEN(A1316) - 1)</f>
        <v>&gt;656:AGGATT:16.00:33.33:OK:6:1831.26</v>
      </c>
    </row>
    <row r="1317" spans="1:6" x14ac:dyDescent="0.3">
      <c r="A1317" t="s">
        <v>662</v>
      </c>
      <c r="F1317" t="str">
        <f t="shared" ref="F1317" si="1309">A1317</f>
        <v>AGGATT</v>
      </c>
    </row>
    <row r="1318" spans="1:6" x14ac:dyDescent="0.3">
      <c r="A1318" t="s">
        <v>4759</v>
      </c>
      <c r="F1318" t="str">
        <f t="shared" ref="F1318" si="1310">LEFT(A1318, LEN(A1318) - 1)</f>
        <v>&gt;657:AGGCAA:30.00:50.00:Warning:6:1825.27</v>
      </c>
    </row>
    <row r="1319" spans="1:6" x14ac:dyDescent="0.3">
      <c r="A1319" t="s">
        <v>663</v>
      </c>
      <c r="F1319" t="str">
        <f t="shared" ref="F1319" si="1311">A1319</f>
        <v>AGGCAA</v>
      </c>
    </row>
    <row r="1320" spans="1:6" x14ac:dyDescent="0.3">
      <c r="A1320" t="s">
        <v>4760</v>
      </c>
      <c r="F1320" t="str">
        <f t="shared" ref="F1320" si="1312">LEFT(A1320, LEN(A1320) - 1)</f>
        <v>&gt;658:AGGCAC:28.00:66.67:Warning:6:1801.24</v>
      </c>
    </row>
    <row r="1321" spans="1:6" x14ac:dyDescent="0.3">
      <c r="A1321" t="s">
        <v>664</v>
      </c>
      <c r="F1321" t="str">
        <f t="shared" ref="F1321" si="1313">A1321</f>
        <v>AGGCAC</v>
      </c>
    </row>
    <row r="1322" spans="1:6" x14ac:dyDescent="0.3">
      <c r="A1322" t="s">
        <v>4761</v>
      </c>
      <c r="F1322" t="str">
        <f t="shared" ref="F1322" si="1314">LEFT(A1322, LEN(A1322) - 1)</f>
        <v>&gt;659:AGGCAG:28.00:66.67:Warning:6:1841.27</v>
      </c>
    </row>
    <row r="1323" spans="1:6" x14ac:dyDescent="0.3">
      <c r="A1323" t="s">
        <v>665</v>
      </c>
      <c r="F1323" t="str">
        <f t="shared" ref="F1323" si="1315">A1323</f>
        <v>AGGCAG</v>
      </c>
    </row>
    <row r="1324" spans="1:6" x14ac:dyDescent="0.3">
      <c r="A1324" t="s">
        <v>4762</v>
      </c>
      <c r="F1324" t="str">
        <f t="shared" ref="F1324" si="1316">LEFT(A1324, LEN(A1324) - 1)</f>
        <v>&gt;660:AGGCAT:22.00:50.00:Warning:6:1816.25</v>
      </c>
    </row>
    <row r="1325" spans="1:6" x14ac:dyDescent="0.3">
      <c r="A1325" t="s">
        <v>666</v>
      </c>
      <c r="F1325" t="str">
        <f t="shared" ref="F1325" si="1317">A1325</f>
        <v>AGGCAT</v>
      </c>
    </row>
    <row r="1326" spans="1:6" x14ac:dyDescent="0.3">
      <c r="A1326" t="s">
        <v>4763</v>
      </c>
      <c r="F1326" t="str">
        <f t="shared" ref="F1326" si="1318">LEFT(A1326, LEN(A1326) - 1)</f>
        <v>&gt;661:AGGCCA:28.00:66.67:Warning:6:1801.24</v>
      </c>
    </row>
    <row r="1327" spans="1:6" x14ac:dyDescent="0.3">
      <c r="A1327" t="s">
        <v>667</v>
      </c>
      <c r="F1327" t="str">
        <f t="shared" ref="F1327" si="1319">A1327</f>
        <v>AGGCCA</v>
      </c>
    </row>
    <row r="1328" spans="1:6" x14ac:dyDescent="0.3">
      <c r="A1328" t="s">
        <v>4764</v>
      </c>
      <c r="F1328" t="str">
        <f t="shared" ref="F1328" si="1320">LEFT(A1328, LEN(A1328) - 1)</f>
        <v>&gt;662:AGGCCC:26.00:83.33:Warning:6:1777.21</v>
      </c>
    </row>
    <row r="1329" spans="1:6" x14ac:dyDescent="0.3">
      <c r="A1329" t="s">
        <v>668</v>
      </c>
      <c r="F1329" t="str">
        <f t="shared" ref="F1329" si="1321">A1329</f>
        <v>AGGCCC</v>
      </c>
    </row>
    <row r="1330" spans="1:6" x14ac:dyDescent="0.3">
      <c r="A1330" t="s">
        <v>4765</v>
      </c>
      <c r="F1330" t="str">
        <f t="shared" ref="F1330" si="1322">LEFT(A1330, LEN(A1330) - 1)</f>
        <v>&gt;663:AGGCCG:26.00:83.33:Warning:6:1817.24</v>
      </c>
    </row>
    <row r="1331" spans="1:6" x14ac:dyDescent="0.3">
      <c r="A1331" t="s">
        <v>669</v>
      </c>
      <c r="F1331" t="str">
        <f t="shared" ref="F1331" si="1323">A1331</f>
        <v>AGGCCG</v>
      </c>
    </row>
    <row r="1332" spans="1:6" x14ac:dyDescent="0.3">
      <c r="A1332" t="s">
        <v>4766</v>
      </c>
      <c r="F1332" t="str">
        <f t="shared" ref="F1332" si="1324">LEFT(A1332, LEN(A1332) - 1)</f>
        <v>&gt;664:AGGCCT:20.00:66.67:Warning:6:1792.22</v>
      </c>
    </row>
    <row r="1333" spans="1:6" x14ac:dyDescent="0.3">
      <c r="A1333" t="s">
        <v>670</v>
      </c>
      <c r="F1333" t="str">
        <f t="shared" ref="F1333" si="1325">A1333</f>
        <v>AGGCCT</v>
      </c>
    </row>
    <row r="1334" spans="1:6" x14ac:dyDescent="0.3">
      <c r="A1334" t="s">
        <v>4767</v>
      </c>
      <c r="F1334" t="str">
        <f t="shared" ref="F1334" si="1326">LEFT(A1334, LEN(A1334) - 1)</f>
        <v>&gt;665:AGGCGA:28.00:66.67:Warning:6:1841.27</v>
      </c>
    </row>
    <row r="1335" spans="1:6" x14ac:dyDescent="0.3">
      <c r="A1335" t="s">
        <v>671</v>
      </c>
      <c r="F1335" t="str">
        <f t="shared" ref="F1335" si="1327">A1335</f>
        <v>AGGCGA</v>
      </c>
    </row>
    <row r="1336" spans="1:6" x14ac:dyDescent="0.3">
      <c r="A1336" t="s">
        <v>4768</v>
      </c>
      <c r="F1336" t="str">
        <f t="shared" ref="F1336" si="1328">LEFT(A1336, LEN(A1336) - 1)</f>
        <v>&gt;666:AGGCGC:26.00:83.33:Warning:6:1817.24</v>
      </c>
    </row>
    <row r="1337" spans="1:6" x14ac:dyDescent="0.3">
      <c r="A1337" t="s">
        <v>672</v>
      </c>
      <c r="F1337" t="str">
        <f t="shared" ref="F1337" si="1329">A1337</f>
        <v>AGGCGC</v>
      </c>
    </row>
    <row r="1338" spans="1:6" x14ac:dyDescent="0.3">
      <c r="A1338" t="s">
        <v>4769</v>
      </c>
      <c r="F1338" t="str">
        <f t="shared" ref="F1338" si="1330">LEFT(A1338, LEN(A1338) - 1)</f>
        <v>&gt;667:AGGCGG:26.00:83.33:Warning:6:1857.27</v>
      </c>
    </row>
    <row r="1339" spans="1:6" x14ac:dyDescent="0.3">
      <c r="A1339" t="s">
        <v>673</v>
      </c>
      <c r="F1339" t="str">
        <f t="shared" ref="F1339" si="1331">A1339</f>
        <v>AGGCGG</v>
      </c>
    </row>
    <row r="1340" spans="1:6" x14ac:dyDescent="0.3">
      <c r="A1340" t="s">
        <v>4770</v>
      </c>
      <c r="F1340" t="str">
        <f t="shared" ref="F1340" si="1332">LEFT(A1340, LEN(A1340) - 1)</f>
        <v>&gt;668:AGGCGT:20.00:66.67:Warning:6:1832.25</v>
      </c>
    </row>
    <row r="1341" spans="1:6" x14ac:dyDescent="0.3">
      <c r="A1341" t="s">
        <v>674</v>
      </c>
      <c r="F1341" t="str">
        <f t="shared" ref="F1341" si="1333">A1341</f>
        <v>AGGCGT</v>
      </c>
    </row>
    <row r="1342" spans="1:6" x14ac:dyDescent="0.3">
      <c r="A1342" t="s">
        <v>4771</v>
      </c>
      <c r="F1342" t="str">
        <f t="shared" ref="F1342" si="1334">LEFT(A1342, LEN(A1342) - 1)</f>
        <v>&gt;669:AGGCTA:22.00:50.00:Warning:6:1816.25</v>
      </c>
    </row>
    <row r="1343" spans="1:6" x14ac:dyDescent="0.3">
      <c r="A1343" t="s">
        <v>675</v>
      </c>
      <c r="F1343" t="str">
        <f t="shared" ref="F1343" si="1335">A1343</f>
        <v>AGGCTA</v>
      </c>
    </row>
    <row r="1344" spans="1:6" x14ac:dyDescent="0.3">
      <c r="A1344" t="s">
        <v>4772</v>
      </c>
      <c r="F1344" t="str">
        <f t="shared" ref="F1344" si="1336">LEFT(A1344, LEN(A1344) - 1)</f>
        <v>&gt;670:AGGCTC:20.00:66.67:Warning:6:1792.22</v>
      </c>
    </row>
    <row r="1345" spans="1:6" x14ac:dyDescent="0.3">
      <c r="A1345" t="s">
        <v>676</v>
      </c>
      <c r="F1345" t="str">
        <f t="shared" ref="F1345" si="1337">A1345</f>
        <v>AGGCTC</v>
      </c>
    </row>
    <row r="1346" spans="1:6" x14ac:dyDescent="0.3">
      <c r="A1346" t="s">
        <v>4773</v>
      </c>
      <c r="F1346" t="str">
        <f t="shared" ref="F1346" si="1338">LEFT(A1346, LEN(A1346) - 1)</f>
        <v>&gt;671:AGGCTG:20.00:66.67:Warning:6:1832.25</v>
      </c>
    </row>
    <row r="1347" spans="1:6" x14ac:dyDescent="0.3">
      <c r="A1347" t="s">
        <v>677</v>
      </c>
      <c r="F1347" t="str">
        <f t="shared" ref="F1347" si="1339">A1347</f>
        <v>AGGCTG</v>
      </c>
    </row>
    <row r="1348" spans="1:6" x14ac:dyDescent="0.3">
      <c r="A1348" t="s">
        <v>4774</v>
      </c>
      <c r="F1348" t="str">
        <f t="shared" ref="F1348" si="1340">LEFT(A1348, LEN(A1348) - 1)</f>
        <v>&gt;672:AGGCTT:14.00:50.00:Warning:6:1807.23</v>
      </c>
    </row>
    <row r="1349" spans="1:6" x14ac:dyDescent="0.3">
      <c r="A1349" t="s">
        <v>678</v>
      </c>
      <c r="F1349" t="str">
        <f t="shared" ref="F1349" si="1341">A1349</f>
        <v>AGGCTT</v>
      </c>
    </row>
    <row r="1350" spans="1:6" x14ac:dyDescent="0.3">
      <c r="A1350" t="s">
        <v>4775</v>
      </c>
      <c r="F1350" t="str">
        <f t="shared" ref="F1350" si="1342">LEFT(A1350, LEN(A1350) - 1)</f>
        <v>&gt;673:AGGGAA:30.00:50.00:Warning:6:1865.30</v>
      </c>
    </row>
    <row r="1351" spans="1:6" x14ac:dyDescent="0.3">
      <c r="A1351" t="s">
        <v>679</v>
      </c>
      <c r="F1351" t="str">
        <f t="shared" ref="F1351" si="1343">A1351</f>
        <v>AGGGAA</v>
      </c>
    </row>
    <row r="1352" spans="1:6" x14ac:dyDescent="0.3">
      <c r="A1352" t="s">
        <v>4776</v>
      </c>
      <c r="F1352" t="str">
        <f t="shared" ref="F1352" si="1344">LEFT(A1352, LEN(A1352) - 1)</f>
        <v>&gt;674:AGGGAC:28.00:66.67:Warning:6:1841.27</v>
      </c>
    </row>
    <row r="1353" spans="1:6" x14ac:dyDescent="0.3">
      <c r="A1353" t="s">
        <v>680</v>
      </c>
      <c r="F1353" t="str">
        <f t="shared" ref="F1353" si="1345">A1353</f>
        <v>AGGGAC</v>
      </c>
    </row>
    <row r="1354" spans="1:6" x14ac:dyDescent="0.3">
      <c r="A1354" t="s">
        <v>4777</v>
      </c>
      <c r="F1354" t="str">
        <f t="shared" ref="F1354" si="1346">LEFT(A1354, LEN(A1354) - 1)</f>
        <v>&gt;675:AGGGAG:28.00:66.67:Warning:6:1881.30</v>
      </c>
    </row>
    <row r="1355" spans="1:6" x14ac:dyDescent="0.3">
      <c r="A1355" t="s">
        <v>681</v>
      </c>
      <c r="F1355" t="str">
        <f t="shared" ref="F1355" si="1347">A1355</f>
        <v>AGGGAG</v>
      </c>
    </row>
    <row r="1356" spans="1:6" x14ac:dyDescent="0.3">
      <c r="A1356" t="s">
        <v>4778</v>
      </c>
      <c r="F1356" t="str">
        <f t="shared" ref="F1356" si="1348">LEFT(A1356, LEN(A1356) - 1)</f>
        <v>&gt;676:AGGGAT:22.00:50.00:Warning:6:1856.28</v>
      </c>
    </row>
    <row r="1357" spans="1:6" x14ac:dyDescent="0.3">
      <c r="A1357" t="s">
        <v>682</v>
      </c>
      <c r="F1357" t="str">
        <f t="shared" ref="F1357" si="1349">A1357</f>
        <v>AGGGAT</v>
      </c>
    </row>
    <row r="1358" spans="1:6" x14ac:dyDescent="0.3">
      <c r="A1358" t="s">
        <v>4779</v>
      </c>
      <c r="F1358" t="str">
        <f t="shared" ref="F1358" si="1350">LEFT(A1358, LEN(A1358) - 1)</f>
        <v>&gt;677:AGGGCA:28.00:66.67:Warning:6:1841.27</v>
      </c>
    </row>
    <row r="1359" spans="1:6" x14ac:dyDescent="0.3">
      <c r="A1359" t="s">
        <v>683</v>
      </c>
      <c r="F1359" t="str">
        <f t="shared" ref="F1359" si="1351">A1359</f>
        <v>AGGGCA</v>
      </c>
    </row>
    <row r="1360" spans="1:6" x14ac:dyDescent="0.3">
      <c r="A1360" t="s">
        <v>4780</v>
      </c>
      <c r="F1360" t="str">
        <f t="shared" ref="F1360" si="1352">LEFT(A1360, LEN(A1360) - 1)</f>
        <v>&gt;678:AGGGCC:26.00:83.33:Warning:6:1817.24</v>
      </c>
    </row>
    <row r="1361" spans="1:6" x14ac:dyDescent="0.3">
      <c r="A1361" t="s">
        <v>684</v>
      </c>
      <c r="F1361" t="str">
        <f t="shared" ref="F1361" si="1353">A1361</f>
        <v>AGGGCC</v>
      </c>
    </row>
    <row r="1362" spans="1:6" x14ac:dyDescent="0.3">
      <c r="A1362" t="s">
        <v>4781</v>
      </c>
      <c r="F1362" t="str">
        <f t="shared" ref="F1362" si="1354">LEFT(A1362, LEN(A1362) - 1)</f>
        <v>&gt;679:AGGGCG:26.00:83.33:Warning:6:1857.27</v>
      </c>
    </row>
    <row r="1363" spans="1:6" x14ac:dyDescent="0.3">
      <c r="A1363" t="s">
        <v>685</v>
      </c>
      <c r="F1363" t="str">
        <f t="shared" ref="F1363" si="1355">A1363</f>
        <v>AGGGCG</v>
      </c>
    </row>
    <row r="1364" spans="1:6" x14ac:dyDescent="0.3">
      <c r="A1364" t="s">
        <v>4782</v>
      </c>
      <c r="F1364" t="str">
        <f t="shared" ref="F1364" si="1356">LEFT(A1364, LEN(A1364) - 1)</f>
        <v>&gt;680:AGGGCT:20.00:66.67:Warning:6:1832.25</v>
      </c>
    </row>
    <row r="1365" spans="1:6" x14ac:dyDescent="0.3">
      <c r="A1365" t="s">
        <v>686</v>
      </c>
      <c r="F1365" t="str">
        <f t="shared" ref="F1365" si="1357">A1365</f>
        <v>AGGGCT</v>
      </c>
    </row>
    <row r="1366" spans="1:6" x14ac:dyDescent="0.3">
      <c r="A1366" t="s">
        <v>4783</v>
      </c>
      <c r="F1366" t="str">
        <f t="shared" ref="F1366" si="1358">LEFT(A1366, LEN(A1366) - 1)</f>
        <v>&gt;681:AGGGGA:28.00:66.67:Warning:6:1881.30</v>
      </c>
    </row>
    <row r="1367" spans="1:6" x14ac:dyDescent="0.3">
      <c r="A1367" t="s">
        <v>687</v>
      </c>
      <c r="F1367" t="str">
        <f t="shared" ref="F1367" si="1359">A1367</f>
        <v>AGGGGA</v>
      </c>
    </row>
    <row r="1368" spans="1:6" x14ac:dyDescent="0.3">
      <c r="A1368" t="s">
        <v>4784</v>
      </c>
      <c r="F1368" t="str">
        <f t="shared" ref="F1368" si="1360">LEFT(A1368, LEN(A1368) - 1)</f>
        <v>&gt;682:AGGGGC:26.00:83.33:Warning:6:1857.27</v>
      </c>
    </row>
    <row r="1369" spans="1:6" x14ac:dyDescent="0.3">
      <c r="A1369" t="s">
        <v>688</v>
      </c>
      <c r="F1369" t="str">
        <f t="shared" ref="F1369" si="1361">A1369</f>
        <v>AGGGGC</v>
      </c>
    </row>
    <row r="1370" spans="1:6" x14ac:dyDescent="0.3">
      <c r="A1370" t="s">
        <v>4785</v>
      </c>
      <c r="F1370" t="str">
        <f t="shared" ref="F1370" si="1362">LEFT(A1370, LEN(A1370) - 1)</f>
        <v>&gt;683:AGGGGG:26.00:83.33:Warning:6:1897.30</v>
      </c>
    </row>
    <row r="1371" spans="1:6" x14ac:dyDescent="0.3">
      <c r="A1371" t="s">
        <v>689</v>
      </c>
      <c r="F1371" t="str">
        <f t="shared" ref="F1371" si="1363">A1371</f>
        <v>AGGGGG</v>
      </c>
    </row>
    <row r="1372" spans="1:6" x14ac:dyDescent="0.3">
      <c r="A1372" t="s">
        <v>4786</v>
      </c>
      <c r="F1372" t="str">
        <f t="shared" ref="F1372" si="1364">LEFT(A1372, LEN(A1372) - 1)</f>
        <v>&gt;684:AGGGGT:20.00:66.67:Warning:6:1872.28</v>
      </c>
    </row>
    <row r="1373" spans="1:6" x14ac:dyDescent="0.3">
      <c r="A1373" t="s">
        <v>690</v>
      </c>
      <c r="F1373" t="str">
        <f t="shared" ref="F1373" si="1365">A1373</f>
        <v>AGGGGT</v>
      </c>
    </row>
    <row r="1374" spans="1:6" x14ac:dyDescent="0.3">
      <c r="A1374" t="s">
        <v>4787</v>
      </c>
      <c r="F1374" t="str">
        <f t="shared" ref="F1374" si="1366">LEFT(A1374, LEN(A1374) - 1)</f>
        <v>&gt;685:AGGGTA:22.00:50.00:Warning:6:1856.28</v>
      </c>
    </row>
    <row r="1375" spans="1:6" x14ac:dyDescent="0.3">
      <c r="A1375" t="s">
        <v>691</v>
      </c>
      <c r="F1375" t="str">
        <f t="shared" ref="F1375" si="1367">A1375</f>
        <v>AGGGTA</v>
      </c>
    </row>
    <row r="1376" spans="1:6" x14ac:dyDescent="0.3">
      <c r="A1376" t="s">
        <v>4788</v>
      </c>
      <c r="F1376" t="str">
        <f t="shared" ref="F1376" si="1368">LEFT(A1376, LEN(A1376) - 1)</f>
        <v>&gt;686:AGGGTC:20.00:66.67:Warning:6:1832.25</v>
      </c>
    </row>
    <row r="1377" spans="1:6" x14ac:dyDescent="0.3">
      <c r="A1377" t="s">
        <v>692</v>
      </c>
      <c r="F1377" t="str">
        <f t="shared" ref="F1377" si="1369">A1377</f>
        <v>AGGGTC</v>
      </c>
    </row>
    <row r="1378" spans="1:6" x14ac:dyDescent="0.3">
      <c r="A1378" t="s">
        <v>4789</v>
      </c>
      <c r="F1378" t="str">
        <f t="shared" ref="F1378" si="1370">LEFT(A1378, LEN(A1378) - 1)</f>
        <v>&gt;687:AGGGTG:20.00:66.67:Warning:6:1872.28</v>
      </c>
    </row>
    <row r="1379" spans="1:6" x14ac:dyDescent="0.3">
      <c r="A1379" t="s">
        <v>693</v>
      </c>
      <c r="F1379" t="str">
        <f t="shared" ref="F1379" si="1371">A1379</f>
        <v>AGGGTG</v>
      </c>
    </row>
    <row r="1380" spans="1:6" x14ac:dyDescent="0.3">
      <c r="A1380" t="s">
        <v>4790</v>
      </c>
      <c r="F1380" t="str">
        <f t="shared" ref="F1380" si="1372">LEFT(A1380, LEN(A1380) - 1)</f>
        <v>&gt;688:AGGGTT:14.00:50.00:Warning:6:1847.26</v>
      </c>
    </row>
    <row r="1381" spans="1:6" x14ac:dyDescent="0.3">
      <c r="A1381" t="s">
        <v>694</v>
      </c>
      <c r="F1381" t="str">
        <f t="shared" ref="F1381" si="1373">A1381</f>
        <v>AGGGTT</v>
      </c>
    </row>
    <row r="1382" spans="1:6" x14ac:dyDescent="0.3">
      <c r="A1382" t="s">
        <v>4791</v>
      </c>
      <c r="F1382" t="str">
        <f t="shared" ref="F1382" si="1374">LEFT(A1382, LEN(A1382) - 1)</f>
        <v>&gt;689:AGGTAA:24.00:33.33:OK:6:1840.28</v>
      </c>
    </row>
    <row r="1383" spans="1:6" x14ac:dyDescent="0.3">
      <c r="A1383" t="s">
        <v>695</v>
      </c>
      <c r="F1383" t="str">
        <f t="shared" ref="F1383" si="1375">A1383</f>
        <v>AGGTAA</v>
      </c>
    </row>
    <row r="1384" spans="1:6" x14ac:dyDescent="0.3">
      <c r="A1384" t="s">
        <v>4792</v>
      </c>
      <c r="F1384" t="str">
        <f t="shared" ref="F1384" si="1376">LEFT(A1384, LEN(A1384) - 1)</f>
        <v>&gt;690:AGGTAC:22.00:50.00:Warning:6:1816.25</v>
      </c>
    </row>
    <row r="1385" spans="1:6" x14ac:dyDescent="0.3">
      <c r="A1385" t="s">
        <v>696</v>
      </c>
      <c r="F1385" t="str">
        <f t="shared" ref="F1385" si="1377">A1385</f>
        <v>AGGTAC</v>
      </c>
    </row>
    <row r="1386" spans="1:6" x14ac:dyDescent="0.3">
      <c r="A1386" t="s">
        <v>4793</v>
      </c>
      <c r="F1386" t="str">
        <f t="shared" ref="F1386" si="1378">LEFT(A1386, LEN(A1386) - 1)</f>
        <v>&gt;691:AGGTAG:22.00:50.00:Warning:6:1856.28</v>
      </c>
    </row>
    <row r="1387" spans="1:6" x14ac:dyDescent="0.3">
      <c r="A1387" t="s">
        <v>697</v>
      </c>
      <c r="F1387" t="str">
        <f t="shared" ref="F1387" si="1379">A1387</f>
        <v>AGGTAG</v>
      </c>
    </row>
    <row r="1388" spans="1:6" x14ac:dyDescent="0.3">
      <c r="A1388" t="s">
        <v>4794</v>
      </c>
      <c r="F1388" t="str">
        <f t="shared" ref="F1388" si="1380">LEFT(A1388, LEN(A1388) - 1)</f>
        <v>&gt;692:AGGTAT:16.00:33.33:OK:6:1831.26</v>
      </c>
    </row>
    <row r="1389" spans="1:6" x14ac:dyDescent="0.3">
      <c r="A1389" t="s">
        <v>698</v>
      </c>
      <c r="F1389" t="str">
        <f t="shared" ref="F1389" si="1381">A1389</f>
        <v>AGGTAT</v>
      </c>
    </row>
    <row r="1390" spans="1:6" x14ac:dyDescent="0.3">
      <c r="A1390" t="s">
        <v>4795</v>
      </c>
      <c r="F1390" t="str">
        <f t="shared" ref="F1390" si="1382">LEFT(A1390, LEN(A1390) - 1)</f>
        <v>&gt;693:AGGTCA:22.00:50.00:Warning:6:1816.25</v>
      </c>
    </row>
    <row r="1391" spans="1:6" x14ac:dyDescent="0.3">
      <c r="A1391" t="s">
        <v>699</v>
      </c>
      <c r="F1391" t="str">
        <f t="shared" ref="F1391" si="1383">A1391</f>
        <v>AGGTCA</v>
      </c>
    </row>
    <row r="1392" spans="1:6" x14ac:dyDescent="0.3">
      <c r="A1392" t="s">
        <v>4796</v>
      </c>
      <c r="F1392" t="str">
        <f t="shared" ref="F1392" si="1384">LEFT(A1392, LEN(A1392) - 1)</f>
        <v>&gt;694:AGGTCC:20.00:66.67:Warning:6:1792.22</v>
      </c>
    </row>
    <row r="1393" spans="1:6" x14ac:dyDescent="0.3">
      <c r="A1393" t="s">
        <v>700</v>
      </c>
      <c r="F1393" t="str">
        <f t="shared" ref="F1393" si="1385">A1393</f>
        <v>AGGTCC</v>
      </c>
    </row>
    <row r="1394" spans="1:6" x14ac:dyDescent="0.3">
      <c r="A1394" t="s">
        <v>4797</v>
      </c>
      <c r="F1394" t="str">
        <f t="shared" ref="F1394" si="1386">LEFT(A1394, LEN(A1394) - 1)</f>
        <v>&gt;695:AGGTCG:20.00:66.67:Warning:6:1832.25</v>
      </c>
    </row>
    <row r="1395" spans="1:6" x14ac:dyDescent="0.3">
      <c r="A1395" t="s">
        <v>701</v>
      </c>
      <c r="F1395" t="str">
        <f t="shared" ref="F1395" si="1387">A1395</f>
        <v>AGGTCG</v>
      </c>
    </row>
    <row r="1396" spans="1:6" x14ac:dyDescent="0.3">
      <c r="A1396" t="s">
        <v>4798</v>
      </c>
      <c r="F1396" t="str">
        <f t="shared" ref="F1396" si="1388">LEFT(A1396, LEN(A1396) - 1)</f>
        <v>&gt;696:AGGTCT:14.00:50.00:Warning:6:1807.23</v>
      </c>
    </row>
    <row r="1397" spans="1:6" x14ac:dyDescent="0.3">
      <c r="A1397" t="s">
        <v>702</v>
      </c>
      <c r="F1397" t="str">
        <f t="shared" ref="F1397" si="1389">A1397</f>
        <v>AGGTCT</v>
      </c>
    </row>
    <row r="1398" spans="1:6" x14ac:dyDescent="0.3">
      <c r="A1398" t="s">
        <v>4799</v>
      </c>
      <c r="F1398" t="str">
        <f t="shared" ref="F1398" si="1390">LEFT(A1398, LEN(A1398) - 1)</f>
        <v>&gt;697:AGGTGA:22.00:50.00:Warning:6:1856.28</v>
      </c>
    </row>
    <row r="1399" spans="1:6" x14ac:dyDescent="0.3">
      <c r="A1399" t="s">
        <v>703</v>
      </c>
      <c r="F1399" t="str">
        <f t="shared" ref="F1399" si="1391">A1399</f>
        <v>AGGTGA</v>
      </c>
    </row>
    <row r="1400" spans="1:6" x14ac:dyDescent="0.3">
      <c r="A1400" t="s">
        <v>4800</v>
      </c>
      <c r="F1400" t="str">
        <f t="shared" ref="F1400" si="1392">LEFT(A1400, LEN(A1400) - 1)</f>
        <v>&gt;698:AGGTGC:20.00:66.67:Warning:6:1832.25</v>
      </c>
    </row>
    <row r="1401" spans="1:6" x14ac:dyDescent="0.3">
      <c r="A1401" t="s">
        <v>704</v>
      </c>
      <c r="F1401" t="str">
        <f t="shared" ref="F1401" si="1393">A1401</f>
        <v>AGGTGC</v>
      </c>
    </row>
    <row r="1402" spans="1:6" x14ac:dyDescent="0.3">
      <c r="A1402" t="s">
        <v>4801</v>
      </c>
      <c r="F1402" t="str">
        <f t="shared" ref="F1402" si="1394">LEFT(A1402, LEN(A1402) - 1)</f>
        <v>&gt;699:AGGTGG:20.00:66.67:Warning:6:1872.28</v>
      </c>
    </row>
    <row r="1403" spans="1:6" x14ac:dyDescent="0.3">
      <c r="A1403" t="s">
        <v>705</v>
      </c>
      <c r="F1403" t="str">
        <f t="shared" ref="F1403" si="1395">A1403</f>
        <v>AGGTGG</v>
      </c>
    </row>
    <row r="1404" spans="1:6" x14ac:dyDescent="0.3">
      <c r="A1404" t="s">
        <v>4802</v>
      </c>
      <c r="F1404" t="str">
        <f t="shared" ref="F1404" si="1396">LEFT(A1404, LEN(A1404) - 1)</f>
        <v>&gt;700:AGGTGT:14.00:50.00:Warning:6:1847.26</v>
      </c>
    </row>
    <row r="1405" spans="1:6" x14ac:dyDescent="0.3">
      <c r="A1405" t="s">
        <v>706</v>
      </c>
      <c r="F1405" t="str">
        <f t="shared" ref="F1405" si="1397">A1405</f>
        <v>AGGTGT</v>
      </c>
    </row>
    <row r="1406" spans="1:6" x14ac:dyDescent="0.3">
      <c r="A1406" t="s">
        <v>4803</v>
      </c>
      <c r="F1406" t="str">
        <f t="shared" ref="F1406" si="1398">LEFT(A1406, LEN(A1406) - 1)</f>
        <v>&gt;701:AGGTTA:16.00:33.33:OK:6:1831.26</v>
      </c>
    </row>
    <row r="1407" spans="1:6" x14ac:dyDescent="0.3">
      <c r="A1407" t="s">
        <v>707</v>
      </c>
      <c r="F1407" t="str">
        <f t="shared" ref="F1407" si="1399">A1407</f>
        <v>AGGTTA</v>
      </c>
    </row>
    <row r="1408" spans="1:6" x14ac:dyDescent="0.3">
      <c r="A1408" t="s">
        <v>4804</v>
      </c>
      <c r="F1408" t="str">
        <f t="shared" ref="F1408" si="1400">LEFT(A1408, LEN(A1408) - 1)</f>
        <v>&gt;702:AGGTTC:14.00:50.00:Warning:6:1807.23</v>
      </c>
    </row>
    <row r="1409" spans="1:6" x14ac:dyDescent="0.3">
      <c r="A1409" t="s">
        <v>708</v>
      </c>
      <c r="F1409" t="str">
        <f t="shared" ref="F1409" si="1401">A1409</f>
        <v>AGGTTC</v>
      </c>
    </row>
    <row r="1410" spans="1:6" x14ac:dyDescent="0.3">
      <c r="A1410" t="s">
        <v>4805</v>
      </c>
      <c r="F1410" t="str">
        <f t="shared" ref="F1410" si="1402">LEFT(A1410, LEN(A1410) - 1)</f>
        <v>&gt;703:AGGTTG:14.00:50.00:Warning:6:1847.26</v>
      </c>
    </row>
    <row r="1411" spans="1:6" x14ac:dyDescent="0.3">
      <c r="A1411" t="s">
        <v>709</v>
      </c>
      <c r="F1411" t="str">
        <f t="shared" ref="F1411" si="1403">A1411</f>
        <v>AGGTTG</v>
      </c>
    </row>
    <row r="1412" spans="1:6" x14ac:dyDescent="0.3">
      <c r="A1412" t="s">
        <v>4806</v>
      </c>
      <c r="F1412" t="str">
        <f t="shared" ref="F1412" si="1404">LEFT(A1412, LEN(A1412) - 1)</f>
        <v>&gt;704:AGGTTT:8.00:33.33:OK:6:1822.24</v>
      </c>
    </row>
    <row r="1413" spans="1:6" x14ac:dyDescent="0.3">
      <c r="A1413" t="s">
        <v>710</v>
      </c>
      <c r="F1413" t="str">
        <f t="shared" ref="F1413" si="1405">A1413</f>
        <v>AGGTTT</v>
      </c>
    </row>
    <row r="1414" spans="1:6" x14ac:dyDescent="0.3">
      <c r="A1414" t="s">
        <v>4807</v>
      </c>
      <c r="F1414" t="str">
        <f t="shared" ref="F1414" si="1406">LEFT(A1414, LEN(A1414) - 1)</f>
        <v>&gt;705:AGTAAA:26.00:16.67:OK:6:1824.28</v>
      </c>
    </row>
    <row r="1415" spans="1:6" x14ac:dyDescent="0.3">
      <c r="A1415" t="s">
        <v>711</v>
      </c>
      <c r="F1415" t="str">
        <f t="shared" ref="F1415" si="1407">A1415</f>
        <v>AGTAAA</v>
      </c>
    </row>
    <row r="1416" spans="1:6" x14ac:dyDescent="0.3">
      <c r="A1416" t="s">
        <v>4808</v>
      </c>
      <c r="F1416" t="str">
        <f t="shared" ref="F1416" si="1408">LEFT(A1416, LEN(A1416) - 1)</f>
        <v>&gt;706:AGTAAC:24.00:33.33:OK:6:1800.25</v>
      </c>
    </row>
    <row r="1417" spans="1:6" x14ac:dyDescent="0.3">
      <c r="A1417" t="s">
        <v>712</v>
      </c>
      <c r="F1417" t="str">
        <f t="shared" ref="F1417" si="1409">A1417</f>
        <v>AGTAAC</v>
      </c>
    </row>
    <row r="1418" spans="1:6" x14ac:dyDescent="0.3">
      <c r="A1418" t="s">
        <v>4809</v>
      </c>
      <c r="F1418" t="str">
        <f t="shared" ref="F1418" si="1410">LEFT(A1418, LEN(A1418) - 1)</f>
        <v>&gt;707:AGTAAG:24.00:33.33:OK:6:1840.28</v>
      </c>
    </row>
    <row r="1419" spans="1:6" x14ac:dyDescent="0.3">
      <c r="A1419" t="s">
        <v>713</v>
      </c>
      <c r="F1419" t="str">
        <f t="shared" ref="F1419" si="1411">A1419</f>
        <v>AGTAAG</v>
      </c>
    </row>
    <row r="1420" spans="1:6" x14ac:dyDescent="0.3">
      <c r="A1420" t="s">
        <v>4810</v>
      </c>
      <c r="F1420" t="str">
        <f t="shared" ref="F1420" si="1412">LEFT(A1420, LEN(A1420) - 1)</f>
        <v>&gt;708:AGTAAT:18.00:16.67:OK:6:1815.26</v>
      </c>
    </row>
    <row r="1421" spans="1:6" x14ac:dyDescent="0.3">
      <c r="A1421" t="s">
        <v>714</v>
      </c>
      <c r="F1421" t="str">
        <f t="shared" ref="F1421" si="1413">A1421</f>
        <v>AGTAAT</v>
      </c>
    </row>
    <row r="1422" spans="1:6" x14ac:dyDescent="0.3">
      <c r="A1422" t="s">
        <v>4811</v>
      </c>
      <c r="F1422" t="str">
        <f t="shared" ref="F1422" si="1414">LEFT(A1422, LEN(A1422) - 1)</f>
        <v>&gt;709:AGTACA:24.00:33.33:OK:6:1800.25</v>
      </c>
    </row>
    <row r="1423" spans="1:6" x14ac:dyDescent="0.3">
      <c r="A1423" t="s">
        <v>715</v>
      </c>
      <c r="F1423" t="str">
        <f t="shared" ref="F1423" si="1415">A1423</f>
        <v>AGTACA</v>
      </c>
    </row>
    <row r="1424" spans="1:6" x14ac:dyDescent="0.3">
      <c r="A1424" t="s">
        <v>4812</v>
      </c>
      <c r="F1424" t="str">
        <f t="shared" ref="F1424" si="1416">LEFT(A1424, LEN(A1424) - 1)</f>
        <v>&gt;710:AGTACC:22.00:50.00:Warning:6:1776.22</v>
      </c>
    </row>
    <row r="1425" spans="1:6" x14ac:dyDescent="0.3">
      <c r="A1425" t="s">
        <v>716</v>
      </c>
      <c r="F1425" t="str">
        <f t="shared" ref="F1425" si="1417">A1425</f>
        <v>AGTACC</v>
      </c>
    </row>
    <row r="1426" spans="1:6" x14ac:dyDescent="0.3">
      <c r="A1426" t="s">
        <v>4813</v>
      </c>
      <c r="F1426" t="str">
        <f t="shared" ref="F1426" si="1418">LEFT(A1426, LEN(A1426) - 1)</f>
        <v>&gt;711:AGTACG:22.00:50.00:Warning:6:1816.25</v>
      </c>
    </row>
    <row r="1427" spans="1:6" x14ac:dyDescent="0.3">
      <c r="A1427" t="s">
        <v>717</v>
      </c>
      <c r="F1427" t="str">
        <f t="shared" ref="F1427" si="1419">A1427</f>
        <v>AGTACG</v>
      </c>
    </row>
    <row r="1428" spans="1:6" x14ac:dyDescent="0.3">
      <c r="A1428" t="s">
        <v>4814</v>
      </c>
      <c r="F1428" t="str">
        <f t="shared" ref="F1428" si="1420">LEFT(A1428, LEN(A1428) - 1)</f>
        <v>&gt;712:AGTACT:16.00:33.33:OK:6:1791.23</v>
      </c>
    </row>
    <row r="1429" spans="1:6" x14ac:dyDescent="0.3">
      <c r="A1429" t="s">
        <v>718</v>
      </c>
      <c r="F1429" t="str">
        <f t="shared" ref="F1429" si="1421">A1429</f>
        <v>AGTACT</v>
      </c>
    </row>
    <row r="1430" spans="1:6" x14ac:dyDescent="0.3">
      <c r="A1430" t="s">
        <v>4815</v>
      </c>
      <c r="F1430" t="str">
        <f t="shared" ref="F1430" si="1422">LEFT(A1430, LEN(A1430) - 1)</f>
        <v>&gt;713:AGTAGA:24.00:33.33:OK:6:1840.28</v>
      </c>
    </row>
    <row r="1431" spans="1:6" x14ac:dyDescent="0.3">
      <c r="A1431" t="s">
        <v>719</v>
      </c>
      <c r="F1431" t="str">
        <f t="shared" ref="F1431" si="1423">A1431</f>
        <v>AGTAGA</v>
      </c>
    </row>
    <row r="1432" spans="1:6" x14ac:dyDescent="0.3">
      <c r="A1432" t="s">
        <v>4816</v>
      </c>
      <c r="F1432" t="str">
        <f t="shared" ref="F1432" si="1424">LEFT(A1432, LEN(A1432) - 1)</f>
        <v>&gt;714:AGTAGC:22.00:50.00:Warning:6:1816.25</v>
      </c>
    </row>
    <row r="1433" spans="1:6" x14ac:dyDescent="0.3">
      <c r="A1433" t="s">
        <v>720</v>
      </c>
      <c r="F1433" t="str">
        <f t="shared" ref="F1433" si="1425">A1433</f>
        <v>AGTAGC</v>
      </c>
    </row>
    <row r="1434" spans="1:6" x14ac:dyDescent="0.3">
      <c r="A1434" t="s">
        <v>4817</v>
      </c>
      <c r="F1434" t="str">
        <f t="shared" ref="F1434" si="1426">LEFT(A1434, LEN(A1434) - 1)</f>
        <v>&gt;715:AGTAGG:22.00:50.00:Warning:6:1856.28</v>
      </c>
    </row>
    <row r="1435" spans="1:6" x14ac:dyDescent="0.3">
      <c r="A1435" t="s">
        <v>721</v>
      </c>
      <c r="F1435" t="str">
        <f t="shared" ref="F1435" si="1427">A1435</f>
        <v>AGTAGG</v>
      </c>
    </row>
    <row r="1436" spans="1:6" x14ac:dyDescent="0.3">
      <c r="A1436" t="s">
        <v>4818</v>
      </c>
      <c r="F1436" t="str">
        <f t="shared" ref="F1436" si="1428">LEFT(A1436, LEN(A1436) - 1)</f>
        <v>&gt;716:AGTAGT:16.00:33.33:OK:6:1831.26</v>
      </c>
    </row>
    <row r="1437" spans="1:6" x14ac:dyDescent="0.3">
      <c r="A1437" t="s">
        <v>722</v>
      </c>
      <c r="F1437" t="str">
        <f t="shared" ref="F1437" si="1429">A1437</f>
        <v>AGTAGT</v>
      </c>
    </row>
    <row r="1438" spans="1:6" x14ac:dyDescent="0.3">
      <c r="A1438" t="s">
        <v>4819</v>
      </c>
      <c r="F1438" t="str">
        <f t="shared" ref="F1438" si="1430">LEFT(A1438, LEN(A1438) - 1)</f>
        <v>&gt;717:AGTATA:18.00:16.67:OK:6:1815.26</v>
      </c>
    </row>
    <row r="1439" spans="1:6" x14ac:dyDescent="0.3">
      <c r="A1439" t="s">
        <v>723</v>
      </c>
      <c r="F1439" t="str">
        <f t="shared" ref="F1439" si="1431">A1439</f>
        <v>AGTATA</v>
      </c>
    </row>
    <row r="1440" spans="1:6" x14ac:dyDescent="0.3">
      <c r="A1440" t="s">
        <v>4820</v>
      </c>
      <c r="F1440" t="str">
        <f t="shared" ref="F1440" si="1432">LEFT(A1440, LEN(A1440) - 1)</f>
        <v>&gt;718:AGTATC:16.00:33.33:OK:6:1791.23</v>
      </c>
    </row>
    <row r="1441" spans="1:6" x14ac:dyDescent="0.3">
      <c r="A1441" t="s">
        <v>724</v>
      </c>
      <c r="F1441" t="str">
        <f t="shared" ref="F1441" si="1433">A1441</f>
        <v>AGTATC</v>
      </c>
    </row>
    <row r="1442" spans="1:6" x14ac:dyDescent="0.3">
      <c r="A1442" t="s">
        <v>4821</v>
      </c>
      <c r="F1442" t="str">
        <f t="shared" ref="F1442" si="1434">LEFT(A1442, LEN(A1442) - 1)</f>
        <v>&gt;719:AGTATG:16.00:33.33:OK:6:1831.26</v>
      </c>
    </row>
    <row r="1443" spans="1:6" x14ac:dyDescent="0.3">
      <c r="A1443" t="s">
        <v>725</v>
      </c>
      <c r="F1443" t="str">
        <f t="shared" ref="F1443" si="1435">A1443</f>
        <v>AGTATG</v>
      </c>
    </row>
    <row r="1444" spans="1:6" x14ac:dyDescent="0.3">
      <c r="A1444" t="s">
        <v>4822</v>
      </c>
      <c r="F1444" t="str">
        <f t="shared" ref="F1444" si="1436">LEFT(A1444, LEN(A1444) - 1)</f>
        <v>&gt;720:AGTATT:10.00:16.67:OK:6:1806.24</v>
      </c>
    </row>
    <row r="1445" spans="1:6" x14ac:dyDescent="0.3">
      <c r="A1445" t="s">
        <v>726</v>
      </c>
      <c r="F1445" t="str">
        <f t="shared" ref="F1445" si="1437">A1445</f>
        <v>AGTATT</v>
      </c>
    </row>
    <row r="1446" spans="1:6" x14ac:dyDescent="0.3">
      <c r="A1446" t="s">
        <v>4823</v>
      </c>
      <c r="F1446" t="str">
        <f t="shared" ref="F1446" si="1438">LEFT(A1446, LEN(A1446) - 1)</f>
        <v>&gt;721:AGTCAA:24.00:33.33:OK:6:1800.25</v>
      </c>
    </row>
    <row r="1447" spans="1:6" x14ac:dyDescent="0.3">
      <c r="A1447" t="s">
        <v>727</v>
      </c>
      <c r="F1447" t="str">
        <f t="shared" ref="F1447" si="1439">A1447</f>
        <v>AGTCAA</v>
      </c>
    </row>
    <row r="1448" spans="1:6" x14ac:dyDescent="0.3">
      <c r="A1448" t="s">
        <v>4824</v>
      </c>
      <c r="F1448" t="str">
        <f t="shared" ref="F1448" si="1440">LEFT(A1448, LEN(A1448) - 1)</f>
        <v>&gt;722:AGTCAC:22.00:50.00:Warning:6:1776.22</v>
      </c>
    </row>
    <row r="1449" spans="1:6" x14ac:dyDescent="0.3">
      <c r="A1449" t="s">
        <v>728</v>
      </c>
      <c r="F1449" t="str">
        <f t="shared" ref="F1449" si="1441">A1449</f>
        <v>AGTCAC</v>
      </c>
    </row>
    <row r="1450" spans="1:6" x14ac:dyDescent="0.3">
      <c r="A1450" t="s">
        <v>4825</v>
      </c>
      <c r="F1450" t="str">
        <f t="shared" ref="F1450" si="1442">LEFT(A1450, LEN(A1450) - 1)</f>
        <v>&gt;723:AGTCAG:22.00:50.00:Warning:6:1816.25</v>
      </c>
    </row>
    <row r="1451" spans="1:6" x14ac:dyDescent="0.3">
      <c r="A1451" t="s">
        <v>729</v>
      </c>
      <c r="F1451" t="str">
        <f t="shared" ref="F1451" si="1443">A1451</f>
        <v>AGTCAG</v>
      </c>
    </row>
    <row r="1452" spans="1:6" x14ac:dyDescent="0.3">
      <c r="A1452" t="s">
        <v>4826</v>
      </c>
      <c r="F1452" t="str">
        <f t="shared" ref="F1452" si="1444">LEFT(A1452, LEN(A1452) - 1)</f>
        <v>&gt;724:AGTCAT:16.00:33.33:OK:6:1791.23</v>
      </c>
    </row>
    <row r="1453" spans="1:6" x14ac:dyDescent="0.3">
      <c r="A1453" t="s">
        <v>730</v>
      </c>
      <c r="F1453" t="str">
        <f t="shared" ref="F1453" si="1445">A1453</f>
        <v>AGTCAT</v>
      </c>
    </row>
    <row r="1454" spans="1:6" x14ac:dyDescent="0.3">
      <c r="A1454" t="s">
        <v>4827</v>
      </c>
      <c r="F1454" t="str">
        <f t="shared" ref="F1454" si="1446">LEFT(A1454, LEN(A1454) - 1)</f>
        <v>&gt;725:AGTCCA:22.00:50.00:Warning:6:1776.22</v>
      </c>
    </row>
    <row r="1455" spans="1:6" x14ac:dyDescent="0.3">
      <c r="A1455" t="s">
        <v>731</v>
      </c>
      <c r="F1455" t="str">
        <f t="shared" ref="F1455" si="1447">A1455</f>
        <v>AGTCCA</v>
      </c>
    </row>
    <row r="1456" spans="1:6" x14ac:dyDescent="0.3">
      <c r="A1456" t="s">
        <v>4828</v>
      </c>
      <c r="F1456" t="str">
        <f t="shared" ref="F1456" si="1448">LEFT(A1456, LEN(A1456) - 1)</f>
        <v>&gt;726:AGTCCC:20.00:66.67:Warning:6:1752.19</v>
      </c>
    </row>
    <row r="1457" spans="1:6" x14ac:dyDescent="0.3">
      <c r="A1457" t="s">
        <v>732</v>
      </c>
      <c r="F1457" t="str">
        <f t="shared" ref="F1457" si="1449">A1457</f>
        <v>AGTCCC</v>
      </c>
    </row>
    <row r="1458" spans="1:6" x14ac:dyDescent="0.3">
      <c r="A1458" t="s">
        <v>4829</v>
      </c>
      <c r="F1458" t="str">
        <f t="shared" ref="F1458" si="1450">LEFT(A1458, LEN(A1458) - 1)</f>
        <v>&gt;727:AGTCCG:20.00:66.67:Warning:6:1792.22</v>
      </c>
    </row>
    <row r="1459" spans="1:6" x14ac:dyDescent="0.3">
      <c r="A1459" t="s">
        <v>733</v>
      </c>
      <c r="F1459" t="str">
        <f t="shared" ref="F1459" si="1451">A1459</f>
        <v>AGTCCG</v>
      </c>
    </row>
    <row r="1460" spans="1:6" x14ac:dyDescent="0.3">
      <c r="A1460" t="s">
        <v>4830</v>
      </c>
      <c r="F1460" t="str">
        <f t="shared" ref="F1460" si="1452">LEFT(A1460, LEN(A1460) - 1)</f>
        <v>&gt;728:AGTCCT:14.00:50.00:Warning:6:1767.20</v>
      </c>
    </row>
    <row r="1461" spans="1:6" x14ac:dyDescent="0.3">
      <c r="A1461" t="s">
        <v>734</v>
      </c>
      <c r="F1461" t="str">
        <f t="shared" ref="F1461" si="1453">A1461</f>
        <v>AGTCCT</v>
      </c>
    </row>
    <row r="1462" spans="1:6" x14ac:dyDescent="0.3">
      <c r="A1462" t="s">
        <v>4831</v>
      </c>
      <c r="F1462" t="str">
        <f t="shared" ref="F1462" si="1454">LEFT(A1462, LEN(A1462) - 1)</f>
        <v>&gt;729:AGTCGA:22.00:50.00:Warning:6:1816.25</v>
      </c>
    </row>
    <row r="1463" spans="1:6" x14ac:dyDescent="0.3">
      <c r="A1463" t="s">
        <v>735</v>
      </c>
      <c r="F1463" t="str">
        <f t="shared" ref="F1463" si="1455">A1463</f>
        <v>AGTCGA</v>
      </c>
    </row>
    <row r="1464" spans="1:6" x14ac:dyDescent="0.3">
      <c r="A1464" t="s">
        <v>4832</v>
      </c>
      <c r="F1464" t="str">
        <f t="shared" ref="F1464" si="1456">LEFT(A1464, LEN(A1464) - 1)</f>
        <v>&gt;730:AGTCGC:20.00:66.67:Warning:6:1792.22</v>
      </c>
    </row>
    <row r="1465" spans="1:6" x14ac:dyDescent="0.3">
      <c r="A1465" t="s">
        <v>736</v>
      </c>
      <c r="F1465" t="str">
        <f t="shared" ref="F1465" si="1457">A1465</f>
        <v>AGTCGC</v>
      </c>
    </row>
    <row r="1466" spans="1:6" x14ac:dyDescent="0.3">
      <c r="A1466" t="s">
        <v>4833</v>
      </c>
      <c r="F1466" t="str">
        <f t="shared" ref="F1466" si="1458">LEFT(A1466, LEN(A1466) - 1)</f>
        <v>&gt;731:AGTCGG:20.00:66.67:Warning:6:1832.25</v>
      </c>
    </row>
    <row r="1467" spans="1:6" x14ac:dyDescent="0.3">
      <c r="A1467" t="s">
        <v>737</v>
      </c>
      <c r="F1467" t="str">
        <f t="shared" ref="F1467" si="1459">A1467</f>
        <v>AGTCGG</v>
      </c>
    </row>
    <row r="1468" spans="1:6" x14ac:dyDescent="0.3">
      <c r="A1468" t="s">
        <v>4834</v>
      </c>
      <c r="F1468" t="str">
        <f t="shared" ref="F1468" si="1460">LEFT(A1468, LEN(A1468) - 1)</f>
        <v>&gt;732:AGTCGT:14.00:50.00:Warning:6:1807.23</v>
      </c>
    </row>
    <row r="1469" spans="1:6" x14ac:dyDescent="0.3">
      <c r="A1469" t="s">
        <v>738</v>
      </c>
      <c r="F1469" t="str">
        <f t="shared" ref="F1469" si="1461">A1469</f>
        <v>AGTCGT</v>
      </c>
    </row>
    <row r="1470" spans="1:6" x14ac:dyDescent="0.3">
      <c r="A1470" t="s">
        <v>4835</v>
      </c>
      <c r="F1470" t="str">
        <f t="shared" ref="F1470" si="1462">LEFT(A1470, LEN(A1470) - 1)</f>
        <v>&gt;733:AGTCTA:16.00:33.33:OK:6:1791.23</v>
      </c>
    </row>
    <row r="1471" spans="1:6" x14ac:dyDescent="0.3">
      <c r="A1471" t="s">
        <v>739</v>
      </c>
      <c r="F1471" t="str">
        <f t="shared" ref="F1471" si="1463">A1471</f>
        <v>AGTCTA</v>
      </c>
    </row>
    <row r="1472" spans="1:6" x14ac:dyDescent="0.3">
      <c r="A1472" t="s">
        <v>4836</v>
      </c>
      <c r="F1472" t="str">
        <f t="shared" ref="F1472" si="1464">LEFT(A1472, LEN(A1472) - 1)</f>
        <v>&gt;734:AGTCTC:14.00:50.00:Warning:6:1767.20</v>
      </c>
    </row>
    <row r="1473" spans="1:6" x14ac:dyDescent="0.3">
      <c r="A1473" t="s">
        <v>740</v>
      </c>
      <c r="F1473" t="str">
        <f t="shared" ref="F1473" si="1465">A1473</f>
        <v>AGTCTC</v>
      </c>
    </row>
    <row r="1474" spans="1:6" x14ac:dyDescent="0.3">
      <c r="A1474" t="s">
        <v>4837</v>
      </c>
      <c r="F1474" t="str">
        <f t="shared" ref="F1474" si="1466">LEFT(A1474, LEN(A1474) - 1)</f>
        <v>&gt;735:AGTCTG:14.00:50.00:Warning:6:1807.23</v>
      </c>
    </row>
    <row r="1475" spans="1:6" x14ac:dyDescent="0.3">
      <c r="A1475" t="s">
        <v>741</v>
      </c>
      <c r="F1475" t="str">
        <f t="shared" ref="F1475" si="1467">A1475</f>
        <v>AGTCTG</v>
      </c>
    </row>
    <row r="1476" spans="1:6" x14ac:dyDescent="0.3">
      <c r="A1476" t="s">
        <v>4838</v>
      </c>
      <c r="F1476" t="str">
        <f t="shared" ref="F1476" si="1468">LEFT(A1476, LEN(A1476) - 1)</f>
        <v>&gt;736:AGTCTT:8.00:33.33:OK:6:1782.21</v>
      </c>
    </row>
    <row r="1477" spans="1:6" x14ac:dyDescent="0.3">
      <c r="A1477" t="s">
        <v>742</v>
      </c>
      <c r="F1477" t="str">
        <f t="shared" ref="F1477" si="1469">A1477</f>
        <v>AGTCTT</v>
      </c>
    </row>
    <row r="1478" spans="1:6" x14ac:dyDescent="0.3">
      <c r="A1478" t="s">
        <v>4839</v>
      </c>
      <c r="F1478" t="str">
        <f t="shared" ref="F1478" si="1470">LEFT(A1478, LEN(A1478) - 1)</f>
        <v>&gt;737:AGTGAA:24.00:33.33:OK:6:1840.28</v>
      </c>
    </row>
    <row r="1479" spans="1:6" x14ac:dyDescent="0.3">
      <c r="A1479" t="s">
        <v>743</v>
      </c>
      <c r="F1479" t="str">
        <f t="shared" ref="F1479" si="1471">A1479</f>
        <v>AGTGAA</v>
      </c>
    </row>
    <row r="1480" spans="1:6" x14ac:dyDescent="0.3">
      <c r="A1480" t="s">
        <v>4840</v>
      </c>
      <c r="F1480" t="str">
        <f t="shared" ref="F1480" si="1472">LEFT(A1480, LEN(A1480) - 1)</f>
        <v>&gt;738:AGTGAC:22.00:50.00:Warning:6:1816.25</v>
      </c>
    </row>
    <row r="1481" spans="1:6" x14ac:dyDescent="0.3">
      <c r="A1481" t="s">
        <v>744</v>
      </c>
      <c r="F1481" t="str">
        <f t="shared" ref="F1481" si="1473">A1481</f>
        <v>AGTGAC</v>
      </c>
    </row>
    <row r="1482" spans="1:6" x14ac:dyDescent="0.3">
      <c r="A1482" t="s">
        <v>4841</v>
      </c>
      <c r="F1482" t="str">
        <f t="shared" ref="F1482" si="1474">LEFT(A1482, LEN(A1482) - 1)</f>
        <v>&gt;739:AGTGAG:22.00:50.00:Warning:6:1856.28</v>
      </c>
    </row>
    <row r="1483" spans="1:6" x14ac:dyDescent="0.3">
      <c r="A1483" t="s">
        <v>745</v>
      </c>
      <c r="F1483" t="str">
        <f t="shared" ref="F1483" si="1475">A1483</f>
        <v>AGTGAG</v>
      </c>
    </row>
    <row r="1484" spans="1:6" x14ac:dyDescent="0.3">
      <c r="A1484" t="s">
        <v>4842</v>
      </c>
      <c r="F1484" t="str">
        <f t="shared" ref="F1484" si="1476">LEFT(A1484, LEN(A1484) - 1)</f>
        <v>&gt;740:AGTGAT:16.00:33.33:OK:6:1831.26</v>
      </c>
    </row>
    <row r="1485" spans="1:6" x14ac:dyDescent="0.3">
      <c r="A1485" t="s">
        <v>746</v>
      </c>
      <c r="F1485" t="str">
        <f t="shared" ref="F1485" si="1477">A1485</f>
        <v>AGTGAT</v>
      </c>
    </row>
    <row r="1486" spans="1:6" x14ac:dyDescent="0.3">
      <c r="A1486" t="s">
        <v>4843</v>
      </c>
      <c r="F1486" t="str">
        <f t="shared" ref="F1486" si="1478">LEFT(A1486, LEN(A1486) - 1)</f>
        <v>&gt;741:AGTGCA:22.00:50.00:Warning:6:1816.25</v>
      </c>
    </row>
    <row r="1487" spans="1:6" x14ac:dyDescent="0.3">
      <c r="A1487" t="s">
        <v>747</v>
      </c>
      <c r="F1487" t="str">
        <f t="shared" ref="F1487" si="1479">A1487</f>
        <v>AGTGCA</v>
      </c>
    </row>
    <row r="1488" spans="1:6" x14ac:dyDescent="0.3">
      <c r="A1488" t="s">
        <v>4844</v>
      </c>
      <c r="F1488" t="str">
        <f t="shared" ref="F1488" si="1480">LEFT(A1488, LEN(A1488) - 1)</f>
        <v>&gt;742:AGTGCC:20.00:66.67:Warning:6:1792.22</v>
      </c>
    </row>
    <row r="1489" spans="1:6" x14ac:dyDescent="0.3">
      <c r="A1489" t="s">
        <v>748</v>
      </c>
      <c r="F1489" t="str">
        <f t="shared" ref="F1489" si="1481">A1489</f>
        <v>AGTGCC</v>
      </c>
    </row>
    <row r="1490" spans="1:6" x14ac:dyDescent="0.3">
      <c r="A1490" t="s">
        <v>4845</v>
      </c>
      <c r="F1490" t="str">
        <f t="shared" ref="F1490" si="1482">LEFT(A1490, LEN(A1490) - 1)</f>
        <v>&gt;743:AGTGCG:20.00:66.67:Warning:6:1832.25</v>
      </c>
    </row>
    <row r="1491" spans="1:6" x14ac:dyDescent="0.3">
      <c r="A1491" t="s">
        <v>749</v>
      </c>
      <c r="F1491" t="str">
        <f t="shared" ref="F1491" si="1483">A1491</f>
        <v>AGTGCG</v>
      </c>
    </row>
    <row r="1492" spans="1:6" x14ac:dyDescent="0.3">
      <c r="A1492" t="s">
        <v>4846</v>
      </c>
      <c r="F1492" t="str">
        <f t="shared" ref="F1492" si="1484">LEFT(A1492, LEN(A1492) - 1)</f>
        <v>&gt;744:AGTGCT:14.00:50.00:Warning:6:1807.23</v>
      </c>
    </row>
    <row r="1493" spans="1:6" x14ac:dyDescent="0.3">
      <c r="A1493" t="s">
        <v>750</v>
      </c>
      <c r="F1493" t="str">
        <f t="shared" ref="F1493" si="1485">A1493</f>
        <v>AGTGCT</v>
      </c>
    </row>
    <row r="1494" spans="1:6" x14ac:dyDescent="0.3">
      <c r="A1494" t="s">
        <v>4847</v>
      </c>
      <c r="F1494" t="str">
        <f t="shared" ref="F1494" si="1486">LEFT(A1494, LEN(A1494) - 1)</f>
        <v>&gt;745:AGTGGA:22.00:50.00:Warning:6:1856.28</v>
      </c>
    </row>
    <row r="1495" spans="1:6" x14ac:dyDescent="0.3">
      <c r="A1495" t="s">
        <v>751</v>
      </c>
      <c r="F1495" t="str">
        <f t="shared" ref="F1495" si="1487">A1495</f>
        <v>AGTGGA</v>
      </c>
    </row>
    <row r="1496" spans="1:6" x14ac:dyDescent="0.3">
      <c r="A1496" t="s">
        <v>4848</v>
      </c>
      <c r="F1496" t="str">
        <f t="shared" ref="F1496" si="1488">LEFT(A1496, LEN(A1496) - 1)</f>
        <v>&gt;746:AGTGGC:20.00:66.67:Warning:6:1832.25</v>
      </c>
    </row>
    <row r="1497" spans="1:6" x14ac:dyDescent="0.3">
      <c r="A1497" t="s">
        <v>752</v>
      </c>
      <c r="F1497" t="str">
        <f t="shared" ref="F1497" si="1489">A1497</f>
        <v>AGTGGC</v>
      </c>
    </row>
    <row r="1498" spans="1:6" x14ac:dyDescent="0.3">
      <c r="A1498" t="s">
        <v>4849</v>
      </c>
      <c r="F1498" t="str">
        <f t="shared" ref="F1498" si="1490">LEFT(A1498, LEN(A1498) - 1)</f>
        <v>&gt;747:AGTGGG:20.00:66.67:Warning:6:1872.28</v>
      </c>
    </row>
    <row r="1499" spans="1:6" x14ac:dyDescent="0.3">
      <c r="A1499" t="s">
        <v>753</v>
      </c>
      <c r="F1499" t="str">
        <f t="shared" ref="F1499" si="1491">A1499</f>
        <v>AGTGGG</v>
      </c>
    </row>
    <row r="1500" spans="1:6" x14ac:dyDescent="0.3">
      <c r="A1500" t="s">
        <v>4850</v>
      </c>
      <c r="F1500" t="str">
        <f t="shared" ref="F1500" si="1492">LEFT(A1500, LEN(A1500) - 1)</f>
        <v>&gt;748:AGTGGT:14.00:50.00:Warning:6:1847.26</v>
      </c>
    </row>
    <row r="1501" spans="1:6" x14ac:dyDescent="0.3">
      <c r="A1501" t="s">
        <v>754</v>
      </c>
      <c r="F1501" t="str">
        <f t="shared" ref="F1501" si="1493">A1501</f>
        <v>AGTGGT</v>
      </c>
    </row>
    <row r="1502" spans="1:6" x14ac:dyDescent="0.3">
      <c r="A1502" t="s">
        <v>4851</v>
      </c>
      <c r="F1502" t="str">
        <f t="shared" ref="F1502" si="1494">LEFT(A1502, LEN(A1502) - 1)</f>
        <v>&gt;749:AGTGTA:16.00:33.33:OK:6:1831.26</v>
      </c>
    </row>
    <row r="1503" spans="1:6" x14ac:dyDescent="0.3">
      <c r="A1503" t="s">
        <v>755</v>
      </c>
      <c r="F1503" t="str">
        <f t="shared" ref="F1503" si="1495">A1503</f>
        <v>AGTGTA</v>
      </c>
    </row>
    <row r="1504" spans="1:6" x14ac:dyDescent="0.3">
      <c r="A1504" t="s">
        <v>4852</v>
      </c>
      <c r="F1504" t="str">
        <f t="shared" ref="F1504" si="1496">LEFT(A1504, LEN(A1504) - 1)</f>
        <v>&gt;750:AGTGTC:14.00:50.00:Warning:6:1807.23</v>
      </c>
    </row>
    <row r="1505" spans="1:6" x14ac:dyDescent="0.3">
      <c r="A1505" t="s">
        <v>756</v>
      </c>
      <c r="F1505" t="str">
        <f t="shared" ref="F1505" si="1497">A1505</f>
        <v>AGTGTC</v>
      </c>
    </row>
    <row r="1506" spans="1:6" x14ac:dyDescent="0.3">
      <c r="A1506" t="s">
        <v>4853</v>
      </c>
      <c r="F1506" t="str">
        <f t="shared" ref="F1506" si="1498">LEFT(A1506, LEN(A1506) - 1)</f>
        <v>&gt;751:AGTGTG:14.00:50.00:Warning:6:1847.26</v>
      </c>
    </row>
    <row r="1507" spans="1:6" x14ac:dyDescent="0.3">
      <c r="A1507" t="s">
        <v>757</v>
      </c>
      <c r="F1507" t="str">
        <f t="shared" ref="F1507" si="1499">A1507</f>
        <v>AGTGTG</v>
      </c>
    </row>
    <row r="1508" spans="1:6" x14ac:dyDescent="0.3">
      <c r="A1508" t="s">
        <v>4854</v>
      </c>
      <c r="F1508" t="str">
        <f t="shared" ref="F1508" si="1500">LEFT(A1508, LEN(A1508) - 1)</f>
        <v>&gt;752:AGTGTT:8.00:33.33:OK:6:1822.24</v>
      </c>
    </row>
    <row r="1509" spans="1:6" x14ac:dyDescent="0.3">
      <c r="A1509" t="s">
        <v>758</v>
      </c>
      <c r="F1509" t="str">
        <f t="shared" ref="F1509" si="1501">A1509</f>
        <v>AGTGTT</v>
      </c>
    </row>
    <row r="1510" spans="1:6" x14ac:dyDescent="0.3">
      <c r="A1510" t="s">
        <v>4855</v>
      </c>
      <c r="F1510" t="str">
        <f t="shared" ref="F1510" si="1502">LEFT(A1510, LEN(A1510) - 1)</f>
        <v>&gt;753:AGTTAA:18.00:16.67:OK:6:1815.26</v>
      </c>
    </row>
    <row r="1511" spans="1:6" x14ac:dyDescent="0.3">
      <c r="A1511" t="s">
        <v>759</v>
      </c>
      <c r="F1511" t="str">
        <f t="shared" ref="F1511" si="1503">A1511</f>
        <v>AGTTAA</v>
      </c>
    </row>
    <row r="1512" spans="1:6" x14ac:dyDescent="0.3">
      <c r="A1512" t="s">
        <v>4856</v>
      </c>
      <c r="F1512" t="str">
        <f t="shared" ref="F1512" si="1504">LEFT(A1512, LEN(A1512) - 1)</f>
        <v>&gt;754:AGTTAC:16.00:33.33:OK:6:1791.23</v>
      </c>
    </row>
    <row r="1513" spans="1:6" x14ac:dyDescent="0.3">
      <c r="A1513" t="s">
        <v>760</v>
      </c>
      <c r="F1513" t="str">
        <f t="shared" ref="F1513" si="1505">A1513</f>
        <v>AGTTAC</v>
      </c>
    </row>
    <row r="1514" spans="1:6" x14ac:dyDescent="0.3">
      <c r="A1514" t="s">
        <v>4857</v>
      </c>
      <c r="F1514" t="str">
        <f t="shared" ref="F1514" si="1506">LEFT(A1514, LEN(A1514) - 1)</f>
        <v>&gt;755:AGTTAG:16.00:33.33:OK:6:1831.26</v>
      </c>
    </row>
    <row r="1515" spans="1:6" x14ac:dyDescent="0.3">
      <c r="A1515" t="s">
        <v>761</v>
      </c>
      <c r="F1515" t="str">
        <f t="shared" ref="F1515" si="1507">A1515</f>
        <v>AGTTAG</v>
      </c>
    </row>
    <row r="1516" spans="1:6" x14ac:dyDescent="0.3">
      <c r="A1516" t="s">
        <v>4858</v>
      </c>
      <c r="F1516" t="str">
        <f t="shared" ref="F1516" si="1508">LEFT(A1516, LEN(A1516) - 1)</f>
        <v>&gt;756:AGTTAT:10.00:16.67:OK:6:1806.24</v>
      </c>
    </row>
    <row r="1517" spans="1:6" x14ac:dyDescent="0.3">
      <c r="A1517" t="s">
        <v>762</v>
      </c>
      <c r="F1517" t="str">
        <f t="shared" ref="F1517" si="1509">A1517</f>
        <v>AGTTAT</v>
      </c>
    </row>
    <row r="1518" spans="1:6" x14ac:dyDescent="0.3">
      <c r="A1518" t="s">
        <v>4859</v>
      </c>
      <c r="F1518" t="str">
        <f t="shared" ref="F1518" si="1510">LEFT(A1518, LEN(A1518) - 1)</f>
        <v>&gt;757:AGTTCA:16.00:33.33:OK:6:1791.23</v>
      </c>
    </row>
    <row r="1519" spans="1:6" x14ac:dyDescent="0.3">
      <c r="A1519" t="s">
        <v>763</v>
      </c>
      <c r="F1519" t="str">
        <f t="shared" ref="F1519" si="1511">A1519</f>
        <v>AGTTCA</v>
      </c>
    </row>
    <row r="1520" spans="1:6" x14ac:dyDescent="0.3">
      <c r="A1520" t="s">
        <v>4860</v>
      </c>
      <c r="F1520" t="str">
        <f t="shared" ref="F1520" si="1512">LEFT(A1520, LEN(A1520) - 1)</f>
        <v>&gt;758:AGTTCC:14.00:50.00:Warning:6:1767.20</v>
      </c>
    </row>
    <row r="1521" spans="1:6" x14ac:dyDescent="0.3">
      <c r="A1521" t="s">
        <v>764</v>
      </c>
      <c r="F1521" t="str">
        <f t="shared" ref="F1521" si="1513">A1521</f>
        <v>AGTTCC</v>
      </c>
    </row>
    <row r="1522" spans="1:6" x14ac:dyDescent="0.3">
      <c r="A1522" t="s">
        <v>4861</v>
      </c>
      <c r="F1522" t="str">
        <f t="shared" ref="F1522" si="1514">LEFT(A1522, LEN(A1522) - 1)</f>
        <v>&gt;759:AGTTCG:14.00:50.00:Warning:6:1807.23</v>
      </c>
    </row>
    <row r="1523" spans="1:6" x14ac:dyDescent="0.3">
      <c r="A1523" t="s">
        <v>765</v>
      </c>
      <c r="F1523" t="str">
        <f t="shared" ref="F1523" si="1515">A1523</f>
        <v>AGTTCG</v>
      </c>
    </row>
    <row r="1524" spans="1:6" x14ac:dyDescent="0.3">
      <c r="A1524" t="s">
        <v>4862</v>
      </c>
      <c r="F1524" t="str">
        <f t="shared" ref="F1524" si="1516">LEFT(A1524, LEN(A1524) - 1)</f>
        <v>&gt;760:AGTTCT:8.00:33.33:OK:6:1782.21</v>
      </c>
    </row>
    <row r="1525" spans="1:6" x14ac:dyDescent="0.3">
      <c r="A1525" t="s">
        <v>766</v>
      </c>
      <c r="F1525" t="str">
        <f t="shared" ref="F1525" si="1517">A1525</f>
        <v>AGTTCT</v>
      </c>
    </row>
    <row r="1526" spans="1:6" x14ac:dyDescent="0.3">
      <c r="A1526" t="s">
        <v>4863</v>
      </c>
      <c r="F1526" t="str">
        <f t="shared" ref="F1526" si="1518">LEFT(A1526, LEN(A1526) - 1)</f>
        <v>&gt;761:AGTTGA:16.00:33.33:OK:6:1831.26</v>
      </c>
    </row>
    <row r="1527" spans="1:6" x14ac:dyDescent="0.3">
      <c r="A1527" t="s">
        <v>767</v>
      </c>
      <c r="F1527" t="str">
        <f t="shared" ref="F1527" si="1519">A1527</f>
        <v>AGTTGA</v>
      </c>
    </row>
    <row r="1528" spans="1:6" x14ac:dyDescent="0.3">
      <c r="A1528" t="s">
        <v>4864</v>
      </c>
      <c r="F1528" t="str">
        <f t="shared" ref="F1528" si="1520">LEFT(A1528, LEN(A1528) - 1)</f>
        <v>&gt;762:AGTTGC:14.00:50.00:Warning:6:1807.23</v>
      </c>
    </row>
    <row r="1529" spans="1:6" x14ac:dyDescent="0.3">
      <c r="A1529" t="s">
        <v>768</v>
      </c>
      <c r="F1529" t="str">
        <f t="shared" ref="F1529" si="1521">A1529</f>
        <v>AGTTGC</v>
      </c>
    </row>
    <row r="1530" spans="1:6" x14ac:dyDescent="0.3">
      <c r="A1530" t="s">
        <v>4865</v>
      </c>
      <c r="F1530" t="str">
        <f t="shared" ref="F1530" si="1522">LEFT(A1530, LEN(A1530) - 1)</f>
        <v>&gt;763:AGTTGG:14.00:50.00:Warning:6:1847.26</v>
      </c>
    </row>
    <row r="1531" spans="1:6" x14ac:dyDescent="0.3">
      <c r="A1531" t="s">
        <v>769</v>
      </c>
      <c r="F1531" t="str">
        <f t="shared" ref="F1531" si="1523">A1531</f>
        <v>AGTTGG</v>
      </c>
    </row>
    <row r="1532" spans="1:6" x14ac:dyDescent="0.3">
      <c r="A1532" t="s">
        <v>4866</v>
      </c>
      <c r="F1532" t="str">
        <f t="shared" ref="F1532" si="1524">LEFT(A1532, LEN(A1532) - 1)</f>
        <v>&gt;764:AGTTGT:8.00:33.33:OK:6:1822.24</v>
      </c>
    </row>
    <row r="1533" spans="1:6" x14ac:dyDescent="0.3">
      <c r="A1533" t="s">
        <v>770</v>
      </c>
      <c r="F1533" t="str">
        <f t="shared" ref="F1533" si="1525">A1533</f>
        <v>AGTTGT</v>
      </c>
    </row>
    <row r="1534" spans="1:6" x14ac:dyDescent="0.3">
      <c r="A1534" t="s">
        <v>4867</v>
      </c>
      <c r="F1534" t="str">
        <f t="shared" ref="F1534" si="1526">LEFT(A1534, LEN(A1534) - 1)</f>
        <v>&gt;765:AGTTTA:10.00:16.67:OK:6:1806.24</v>
      </c>
    </row>
    <row r="1535" spans="1:6" x14ac:dyDescent="0.3">
      <c r="A1535" t="s">
        <v>771</v>
      </c>
      <c r="F1535" t="str">
        <f t="shared" ref="F1535" si="1527">A1535</f>
        <v>AGTTTA</v>
      </c>
    </row>
    <row r="1536" spans="1:6" x14ac:dyDescent="0.3">
      <c r="A1536" t="s">
        <v>4868</v>
      </c>
      <c r="F1536" t="str">
        <f t="shared" ref="F1536" si="1528">LEFT(A1536, LEN(A1536) - 1)</f>
        <v>&gt;766:AGTTTC:8.00:33.33:OK:6:1782.21</v>
      </c>
    </row>
    <row r="1537" spans="1:6" x14ac:dyDescent="0.3">
      <c r="A1537" t="s">
        <v>772</v>
      </c>
      <c r="F1537" t="str">
        <f t="shared" ref="F1537" si="1529">A1537</f>
        <v>AGTTTC</v>
      </c>
    </row>
    <row r="1538" spans="1:6" x14ac:dyDescent="0.3">
      <c r="A1538" t="s">
        <v>4869</v>
      </c>
      <c r="F1538" t="str">
        <f t="shared" ref="F1538" si="1530">LEFT(A1538, LEN(A1538) - 1)</f>
        <v>&gt;767:AGTTTG:8.00:33.33:OK:6:1822.24</v>
      </c>
    </row>
    <row r="1539" spans="1:6" x14ac:dyDescent="0.3">
      <c r="A1539" t="s">
        <v>773</v>
      </c>
      <c r="F1539" t="str">
        <f t="shared" ref="F1539" si="1531">A1539</f>
        <v>AGTTTG</v>
      </c>
    </row>
    <row r="1540" spans="1:6" x14ac:dyDescent="0.3">
      <c r="A1540" t="s">
        <v>4870</v>
      </c>
      <c r="F1540" t="str">
        <f t="shared" ref="F1540" si="1532">LEFT(A1540, LEN(A1540) - 1)</f>
        <v>&gt;768:AGTTTT:2.00:16.67:OK:6:1797.22</v>
      </c>
    </row>
    <row r="1541" spans="1:6" x14ac:dyDescent="0.3">
      <c r="A1541" t="s">
        <v>774</v>
      </c>
      <c r="F1541" t="str">
        <f t="shared" ref="F1541" si="1533">A1541</f>
        <v>AGTTTT</v>
      </c>
    </row>
    <row r="1542" spans="1:6" x14ac:dyDescent="0.3">
      <c r="A1542" t="s">
        <v>4871</v>
      </c>
      <c r="F1542" t="str">
        <f t="shared" ref="F1542" si="1534">LEFT(A1542, LEN(A1542) - 1)</f>
        <v>&gt;769:ATAAAA:28.00:0.00:OK:6:1808.28</v>
      </c>
    </row>
    <row r="1543" spans="1:6" x14ac:dyDescent="0.3">
      <c r="A1543" t="s">
        <v>775</v>
      </c>
      <c r="F1543" t="str">
        <f t="shared" ref="F1543" si="1535">A1543</f>
        <v>ATAAAA</v>
      </c>
    </row>
    <row r="1544" spans="1:6" x14ac:dyDescent="0.3">
      <c r="A1544" t="s">
        <v>4872</v>
      </c>
      <c r="F1544" t="str">
        <f t="shared" ref="F1544" si="1536">LEFT(A1544, LEN(A1544) - 1)</f>
        <v>&gt;770:ATAAAC:26.00:16.67:OK:6:1784.25</v>
      </c>
    </row>
    <row r="1545" spans="1:6" x14ac:dyDescent="0.3">
      <c r="A1545" t="s">
        <v>776</v>
      </c>
      <c r="F1545" t="str">
        <f t="shared" ref="F1545" si="1537">A1545</f>
        <v>ATAAAC</v>
      </c>
    </row>
    <row r="1546" spans="1:6" x14ac:dyDescent="0.3">
      <c r="A1546" t="s">
        <v>4873</v>
      </c>
      <c r="F1546" t="str">
        <f t="shared" ref="F1546" si="1538">LEFT(A1546, LEN(A1546) - 1)</f>
        <v>&gt;771:ATAAAG:26.00:16.67:OK:6:1824.28</v>
      </c>
    </row>
    <row r="1547" spans="1:6" x14ac:dyDescent="0.3">
      <c r="A1547" t="s">
        <v>777</v>
      </c>
      <c r="F1547" t="str">
        <f t="shared" ref="F1547" si="1539">A1547</f>
        <v>ATAAAG</v>
      </c>
    </row>
    <row r="1548" spans="1:6" x14ac:dyDescent="0.3">
      <c r="A1548" t="s">
        <v>4874</v>
      </c>
      <c r="F1548" t="str">
        <f t="shared" ref="F1548" si="1540">LEFT(A1548, LEN(A1548) - 1)</f>
        <v>&gt;772:ATAAAT:20.00:0.00:OK:6:1799.26</v>
      </c>
    </row>
    <row r="1549" spans="1:6" x14ac:dyDescent="0.3">
      <c r="A1549" t="s">
        <v>778</v>
      </c>
      <c r="F1549" t="str">
        <f t="shared" ref="F1549" si="1541">A1549</f>
        <v>ATAAAT</v>
      </c>
    </row>
    <row r="1550" spans="1:6" x14ac:dyDescent="0.3">
      <c r="A1550" t="s">
        <v>4875</v>
      </c>
      <c r="F1550" t="str">
        <f t="shared" ref="F1550" si="1542">LEFT(A1550, LEN(A1550) - 1)</f>
        <v>&gt;773:ATAACA:26.00:16.67:OK:6:1784.25</v>
      </c>
    </row>
    <row r="1551" spans="1:6" x14ac:dyDescent="0.3">
      <c r="A1551" t="s">
        <v>779</v>
      </c>
      <c r="F1551" t="str">
        <f t="shared" ref="F1551" si="1543">A1551</f>
        <v>ATAACA</v>
      </c>
    </row>
    <row r="1552" spans="1:6" x14ac:dyDescent="0.3">
      <c r="A1552" t="s">
        <v>4876</v>
      </c>
      <c r="F1552" t="str">
        <f t="shared" ref="F1552" si="1544">LEFT(A1552, LEN(A1552) - 1)</f>
        <v>&gt;774:ATAACC:24.00:33.33:OK:6:1760.22</v>
      </c>
    </row>
    <row r="1553" spans="1:6" x14ac:dyDescent="0.3">
      <c r="A1553" t="s">
        <v>780</v>
      </c>
      <c r="F1553" t="str">
        <f t="shared" ref="F1553" si="1545">A1553</f>
        <v>ATAACC</v>
      </c>
    </row>
    <row r="1554" spans="1:6" x14ac:dyDescent="0.3">
      <c r="A1554" t="s">
        <v>4877</v>
      </c>
      <c r="F1554" t="str">
        <f t="shared" ref="F1554" si="1546">LEFT(A1554, LEN(A1554) - 1)</f>
        <v>&gt;775:ATAACG:24.00:33.33:OK:6:1800.25</v>
      </c>
    </row>
    <row r="1555" spans="1:6" x14ac:dyDescent="0.3">
      <c r="A1555" t="s">
        <v>781</v>
      </c>
      <c r="F1555" t="str">
        <f t="shared" ref="F1555" si="1547">A1555</f>
        <v>ATAACG</v>
      </c>
    </row>
    <row r="1556" spans="1:6" x14ac:dyDescent="0.3">
      <c r="A1556" t="s">
        <v>4878</v>
      </c>
      <c r="F1556" t="str">
        <f t="shared" ref="F1556" si="1548">LEFT(A1556, LEN(A1556) - 1)</f>
        <v>&gt;776:ATAACT:18.00:16.67:OK:6:1775.23</v>
      </c>
    </row>
    <row r="1557" spans="1:6" x14ac:dyDescent="0.3">
      <c r="A1557" t="s">
        <v>782</v>
      </c>
      <c r="F1557" t="str">
        <f t="shared" ref="F1557" si="1549">A1557</f>
        <v>ATAACT</v>
      </c>
    </row>
    <row r="1558" spans="1:6" x14ac:dyDescent="0.3">
      <c r="A1558" t="s">
        <v>4879</v>
      </c>
      <c r="F1558" t="str">
        <f t="shared" ref="F1558" si="1550">LEFT(A1558, LEN(A1558) - 1)</f>
        <v>&gt;777:ATAAGA:26.00:16.67:OK:6:1824.28</v>
      </c>
    </row>
    <row r="1559" spans="1:6" x14ac:dyDescent="0.3">
      <c r="A1559" t="s">
        <v>783</v>
      </c>
      <c r="F1559" t="str">
        <f t="shared" ref="F1559" si="1551">A1559</f>
        <v>ATAAGA</v>
      </c>
    </row>
    <row r="1560" spans="1:6" x14ac:dyDescent="0.3">
      <c r="A1560" t="s">
        <v>4880</v>
      </c>
      <c r="F1560" t="str">
        <f t="shared" ref="F1560" si="1552">LEFT(A1560, LEN(A1560) - 1)</f>
        <v>&gt;778:ATAAGC:24.00:33.33:OK:6:1800.25</v>
      </c>
    </row>
    <row r="1561" spans="1:6" x14ac:dyDescent="0.3">
      <c r="A1561" t="s">
        <v>784</v>
      </c>
      <c r="F1561" t="str">
        <f t="shared" ref="F1561" si="1553">A1561</f>
        <v>ATAAGC</v>
      </c>
    </row>
    <row r="1562" spans="1:6" x14ac:dyDescent="0.3">
      <c r="A1562" t="s">
        <v>4881</v>
      </c>
      <c r="F1562" t="str">
        <f t="shared" ref="F1562" si="1554">LEFT(A1562, LEN(A1562) - 1)</f>
        <v>&gt;779:ATAAGG:24.00:33.33:OK:6:1840.28</v>
      </c>
    </row>
    <row r="1563" spans="1:6" x14ac:dyDescent="0.3">
      <c r="A1563" t="s">
        <v>785</v>
      </c>
      <c r="F1563" t="str">
        <f t="shared" ref="F1563" si="1555">A1563</f>
        <v>ATAAGG</v>
      </c>
    </row>
    <row r="1564" spans="1:6" x14ac:dyDescent="0.3">
      <c r="A1564" t="s">
        <v>4882</v>
      </c>
      <c r="F1564" t="str">
        <f t="shared" ref="F1564" si="1556">LEFT(A1564, LEN(A1564) - 1)</f>
        <v>&gt;780:ATAAGT:18.00:16.67:OK:6:1815.26</v>
      </c>
    </row>
    <row r="1565" spans="1:6" x14ac:dyDescent="0.3">
      <c r="A1565" t="s">
        <v>786</v>
      </c>
      <c r="F1565" t="str">
        <f t="shared" ref="F1565" si="1557">A1565</f>
        <v>ATAAGT</v>
      </c>
    </row>
    <row r="1566" spans="1:6" x14ac:dyDescent="0.3">
      <c r="A1566" t="s">
        <v>4883</v>
      </c>
      <c r="F1566" t="str">
        <f t="shared" ref="F1566" si="1558">LEFT(A1566, LEN(A1566) - 1)</f>
        <v>&gt;781:ATAATA:20.00:0.00:OK:6:1799.26</v>
      </c>
    </row>
    <row r="1567" spans="1:6" x14ac:dyDescent="0.3">
      <c r="A1567" t="s">
        <v>787</v>
      </c>
      <c r="F1567" t="str">
        <f t="shared" ref="F1567" si="1559">A1567</f>
        <v>ATAATA</v>
      </c>
    </row>
    <row r="1568" spans="1:6" x14ac:dyDescent="0.3">
      <c r="A1568" t="s">
        <v>4884</v>
      </c>
      <c r="F1568" t="str">
        <f t="shared" ref="F1568" si="1560">LEFT(A1568, LEN(A1568) - 1)</f>
        <v>&gt;782:ATAATC:18.00:16.67:OK:6:1775.23</v>
      </c>
    </row>
    <row r="1569" spans="1:6" x14ac:dyDescent="0.3">
      <c r="A1569" t="s">
        <v>788</v>
      </c>
      <c r="F1569" t="str">
        <f t="shared" ref="F1569" si="1561">A1569</f>
        <v>ATAATC</v>
      </c>
    </row>
    <row r="1570" spans="1:6" x14ac:dyDescent="0.3">
      <c r="A1570" t="s">
        <v>4885</v>
      </c>
      <c r="F1570" t="str">
        <f t="shared" ref="F1570" si="1562">LEFT(A1570, LEN(A1570) - 1)</f>
        <v>&gt;783:ATAATG:18.00:16.67:OK:6:1815.26</v>
      </c>
    </row>
    <row r="1571" spans="1:6" x14ac:dyDescent="0.3">
      <c r="A1571" t="s">
        <v>789</v>
      </c>
      <c r="F1571" t="str">
        <f t="shared" ref="F1571" si="1563">A1571</f>
        <v>ATAATG</v>
      </c>
    </row>
    <row r="1572" spans="1:6" x14ac:dyDescent="0.3">
      <c r="A1572" t="s">
        <v>4886</v>
      </c>
      <c r="F1572" t="str">
        <f t="shared" ref="F1572" si="1564">LEFT(A1572, LEN(A1572) - 1)</f>
        <v>&gt;784:ATAATT:12.00:0.00:OK:6:1790.24</v>
      </c>
    </row>
    <row r="1573" spans="1:6" x14ac:dyDescent="0.3">
      <c r="A1573" t="s">
        <v>790</v>
      </c>
      <c r="F1573" t="str">
        <f t="shared" ref="F1573" si="1565">A1573</f>
        <v>ATAATT</v>
      </c>
    </row>
    <row r="1574" spans="1:6" x14ac:dyDescent="0.3">
      <c r="A1574" t="s">
        <v>4887</v>
      </c>
      <c r="F1574" t="str">
        <f t="shared" ref="F1574" si="1566">LEFT(A1574, LEN(A1574) - 1)</f>
        <v>&gt;785:ATACAA:26.00:16.67:OK:6:1784.25</v>
      </c>
    </row>
    <row r="1575" spans="1:6" x14ac:dyDescent="0.3">
      <c r="A1575" t="s">
        <v>791</v>
      </c>
      <c r="F1575" t="str">
        <f t="shared" ref="F1575" si="1567">A1575</f>
        <v>ATACAA</v>
      </c>
    </row>
    <row r="1576" spans="1:6" x14ac:dyDescent="0.3">
      <c r="A1576" t="s">
        <v>4888</v>
      </c>
      <c r="F1576" t="str">
        <f t="shared" ref="F1576" si="1568">LEFT(A1576, LEN(A1576) - 1)</f>
        <v>&gt;786:ATACAC:24.00:33.33:OK:6:1760.22</v>
      </c>
    </row>
    <row r="1577" spans="1:6" x14ac:dyDescent="0.3">
      <c r="A1577" t="s">
        <v>792</v>
      </c>
      <c r="F1577" t="str">
        <f t="shared" ref="F1577" si="1569">A1577</f>
        <v>ATACAC</v>
      </c>
    </row>
    <row r="1578" spans="1:6" x14ac:dyDescent="0.3">
      <c r="A1578" t="s">
        <v>4889</v>
      </c>
      <c r="F1578" t="str">
        <f t="shared" ref="F1578" si="1570">LEFT(A1578, LEN(A1578) - 1)</f>
        <v>&gt;787:ATACAG:24.00:33.33:OK:6:1800.25</v>
      </c>
    </row>
    <row r="1579" spans="1:6" x14ac:dyDescent="0.3">
      <c r="A1579" t="s">
        <v>793</v>
      </c>
      <c r="F1579" t="str">
        <f t="shared" ref="F1579" si="1571">A1579</f>
        <v>ATACAG</v>
      </c>
    </row>
    <row r="1580" spans="1:6" x14ac:dyDescent="0.3">
      <c r="A1580" t="s">
        <v>4890</v>
      </c>
      <c r="F1580" t="str">
        <f t="shared" ref="F1580" si="1572">LEFT(A1580, LEN(A1580) - 1)</f>
        <v>&gt;788:ATACAT:18.00:16.67:OK:6:1775.23</v>
      </c>
    </row>
    <row r="1581" spans="1:6" x14ac:dyDescent="0.3">
      <c r="A1581" t="s">
        <v>794</v>
      </c>
      <c r="F1581" t="str">
        <f t="shared" ref="F1581" si="1573">A1581</f>
        <v>ATACAT</v>
      </c>
    </row>
    <row r="1582" spans="1:6" x14ac:dyDescent="0.3">
      <c r="A1582" t="s">
        <v>4891</v>
      </c>
      <c r="F1582" t="str">
        <f t="shared" ref="F1582" si="1574">LEFT(A1582, LEN(A1582) - 1)</f>
        <v>&gt;789:ATACCA:24.00:33.33:OK:6:1760.22</v>
      </c>
    </row>
    <row r="1583" spans="1:6" x14ac:dyDescent="0.3">
      <c r="A1583" t="s">
        <v>795</v>
      </c>
      <c r="F1583" t="str">
        <f t="shared" ref="F1583" si="1575">A1583</f>
        <v>ATACCA</v>
      </c>
    </row>
    <row r="1584" spans="1:6" x14ac:dyDescent="0.3">
      <c r="A1584" t="s">
        <v>4892</v>
      </c>
      <c r="F1584" t="str">
        <f t="shared" ref="F1584" si="1576">LEFT(A1584, LEN(A1584) - 1)</f>
        <v>&gt;790:ATACCC:22.00:50.00:Warning:6:1736.19</v>
      </c>
    </row>
    <row r="1585" spans="1:6" x14ac:dyDescent="0.3">
      <c r="A1585" t="s">
        <v>796</v>
      </c>
      <c r="F1585" t="str">
        <f t="shared" ref="F1585" si="1577">A1585</f>
        <v>ATACCC</v>
      </c>
    </row>
    <row r="1586" spans="1:6" x14ac:dyDescent="0.3">
      <c r="A1586" t="s">
        <v>4893</v>
      </c>
      <c r="F1586" t="str">
        <f t="shared" ref="F1586" si="1578">LEFT(A1586, LEN(A1586) - 1)</f>
        <v>&gt;791:ATACCG:22.00:50.00:Warning:6:1776.22</v>
      </c>
    </row>
    <row r="1587" spans="1:6" x14ac:dyDescent="0.3">
      <c r="A1587" t="s">
        <v>797</v>
      </c>
      <c r="F1587" t="str">
        <f t="shared" ref="F1587" si="1579">A1587</f>
        <v>ATACCG</v>
      </c>
    </row>
    <row r="1588" spans="1:6" x14ac:dyDescent="0.3">
      <c r="A1588" t="s">
        <v>4894</v>
      </c>
      <c r="F1588" t="str">
        <f t="shared" ref="F1588" si="1580">LEFT(A1588, LEN(A1588) - 1)</f>
        <v>&gt;792:ATACCT:16.00:33.33:OK:6:1751.20</v>
      </c>
    </row>
    <row r="1589" spans="1:6" x14ac:dyDescent="0.3">
      <c r="A1589" t="s">
        <v>798</v>
      </c>
      <c r="F1589" t="str">
        <f t="shared" ref="F1589" si="1581">A1589</f>
        <v>ATACCT</v>
      </c>
    </row>
    <row r="1590" spans="1:6" x14ac:dyDescent="0.3">
      <c r="A1590" t="s">
        <v>4895</v>
      </c>
      <c r="F1590" t="str">
        <f t="shared" ref="F1590" si="1582">LEFT(A1590, LEN(A1590) - 1)</f>
        <v>&gt;793:ATACGA:24.00:33.33:OK:6:1800.25</v>
      </c>
    </row>
    <row r="1591" spans="1:6" x14ac:dyDescent="0.3">
      <c r="A1591" t="s">
        <v>799</v>
      </c>
      <c r="F1591" t="str">
        <f t="shared" ref="F1591" si="1583">A1591</f>
        <v>ATACGA</v>
      </c>
    </row>
    <row r="1592" spans="1:6" x14ac:dyDescent="0.3">
      <c r="A1592" t="s">
        <v>4896</v>
      </c>
      <c r="F1592" t="str">
        <f t="shared" ref="F1592" si="1584">LEFT(A1592, LEN(A1592) - 1)</f>
        <v>&gt;794:ATACGC:22.00:50.00:Warning:6:1776.22</v>
      </c>
    </row>
    <row r="1593" spans="1:6" x14ac:dyDescent="0.3">
      <c r="A1593" t="s">
        <v>800</v>
      </c>
      <c r="F1593" t="str">
        <f t="shared" ref="F1593" si="1585">A1593</f>
        <v>ATACGC</v>
      </c>
    </row>
    <row r="1594" spans="1:6" x14ac:dyDescent="0.3">
      <c r="A1594" t="s">
        <v>4897</v>
      </c>
      <c r="F1594" t="str">
        <f t="shared" ref="F1594" si="1586">LEFT(A1594, LEN(A1594) - 1)</f>
        <v>&gt;795:ATACGG:22.00:50.00:Warning:6:1816.25</v>
      </c>
    </row>
    <row r="1595" spans="1:6" x14ac:dyDescent="0.3">
      <c r="A1595" t="s">
        <v>801</v>
      </c>
      <c r="F1595" t="str">
        <f t="shared" ref="F1595" si="1587">A1595</f>
        <v>ATACGG</v>
      </c>
    </row>
    <row r="1596" spans="1:6" x14ac:dyDescent="0.3">
      <c r="A1596" t="s">
        <v>4898</v>
      </c>
      <c r="F1596" t="str">
        <f t="shared" ref="F1596" si="1588">LEFT(A1596, LEN(A1596) - 1)</f>
        <v>&gt;796:ATACGT:16.00:33.33:OK:6:1791.23</v>
      </c>
    </row>
    <row r="1597" spans="1:6" x14ac:dyDescent="0.3">
      <c r="A1597" t="s">
        <v>802</v>
      </c>
      <c r="F1597" t="str">
        <f t="shared" ref="F1597" si="1589">A1597</f>
        <v>ATACGT</v>
      </c>
    </row>
    <row r="1598" spans="1:6" x14ac:dyDescent="0.3">
      <c r="A1598" t="s">
        <v>4899</v>
      </c>
      <c r="F1598" t="str">
        <f t="shared" ref="F1598" si="1590">LEFT(A1598, LEN(A1598) - 1)</f>
        <v>&gt;797:ATACTA:18.00:16.67:OK:6:1775.23</v>
      </c>
    </row>
    <row r="1599" spans="1:6" x14ac:dyDescent="0.3">
      <c r="A1599" t="s">
        <v>803</v>
      </c>
      <c r="F1599" t="str">
        <f t="shared" ref="F1599" si="1591">A1599</f>
        <v>ATACTA</v>
      </c>
    </row>
    <row r="1600" spans="1:6" x14ac:dyDescent="0.3">
      <c r="A1600" t="s">
        <v>4900</v>
      </c>
      <c r="F1600" t="str">
        <f t="shared" ref="F1600" si="1592">LEFT(A1600, LEN(A1600) - 1)</f>
        <v>&gt;798:ATACTC:16.00:33.33:OK:6:1751.20</v>
      </c>
    </row>
    <row r="1601" spans="1:6" x14ac:dyDescent="0.3">
      <c r="A1601" t="s">
        <v>804</v>
      </c>
      <c r="F1601" t="str">
        <f t="shared" ref="F1601" si="1593">A1601</f>
        <v>ATACTC</v>
      </c>
    </row>
    <row r="1602" spans="1:6" x14ac:dyDescent="0.3">
      <c r="A1602" t="s">
        <v>4901</v>
      </c>
      <c r="F1602" t="str">
        <f t="shared" ref="F1602" si="1594">LEFT(A1602, LEN(A1602) - 1)</f>
        <v>&gt;799:ATACTG:16.00:33.33:OK:6:1791.23</v>
      </c>
    </row>
    <row r="1603" spans="1:6" x14ac:dyDescent="0.3">
      <c r="A1603" t="s">
        <v>805</v>
      </c>
      <c r="F1603" t="str">
        <f t="shared" ref="F1603" si="1595">A1603</f>
        <v>ATACTG</v>
      </c>
    </row>
    <row r="1604" spans="1:6" x14ac:dyDescent="0.3">
      <c r="A1604" t="s">
        <v>4902</v>
      </c>
      <c r="F1604" t="str">
        <f t="shared" ref="F1604" si="1596">LEFT(A1604, LEN(A1604) - 1)</f>
        <v>&gt;800:ATACTT:10.00:16.67:OK:6:1766.21</v>
      </c>
    </row>
    <row r="1605" spans="1:6" x14ac:dyDescent="0.3">
      <c r="A1605" t="s">
        <v>806</v>
      </c>
      <c r="F1605" t="str">
        <f t="shared" ref="F1605" si="1597">A1605</f>
        <v>ATACTT</v>
      </c>
    </row>
    <row r="1606" spans="1:6" x14ac:dyDescent="0.3">
      <c r="A1606" t="s">
        <v>4903</v>
      </c>
      <c r="F1606" t="str">
        <f t="shared" ref="F1606" si="1598">LEFT(A1606, LEN(A1606) - 1)</f>
        <v>&gt;801:ATAGAA:26.00:16.67:OK:6:1824.28</v>
      </c>
    </row>
    <row r="1607" spans="1:6" x14ac:dyDescent="0.3">
      <c r="A1607" t="s">
        <v>807</v>
      </c>
      <c r="F1607" t="str">
        <f t="shared" ref="F1607" si="1599">A1607</f>
        <v>ATAGAA</v>
      </c>
    </row>
    <row r="1608" spans="1:6" x14ac:dyDescent="0.3">
      <c r="A1608" t="s">
        <v>4904</v>
      </c>
      <c r="F1608" t="str">
        <f t="shared" ref="F1608" si="1600">LEFT(A1608, LEN(A1608) - 1)</f>
        <v>&gt;802:ATAGAC:24.00:33.33:OK:6:1800.25</v>
      </c>
    </row>
    <row r="1609" spans="1:6" x14ac:dyDescent="0.3">
      <c r="A1609" t="s">
        <v>808</v>
      </c>
      <c r="F1609" t="str">
        <f t="shared" ref="F1609" si="1601">A1609</f>
        <v>ATAGAC</v>
      </c>
    </row>
    <row r="1610" spans="1:6" x14ac:dyDescent="0.3">
      <c r="A1610" t="s">
        <v>4905</v>
      </c>
      <c r="F1610" t="str">
        <f t="shared" ref="F1610" si="1602">LEFT(A1610, LEN(A1610) - 1)</f>
        <v>&gt;803:ATAGAG:24.00:33.33:OK:6:1840.28</v>
      </c>
    </row>
    <row r="1611" spans="1:6" x14ac:dyDescent="0.3">
      <c r="A1611" t="s">
        <v>809</v>
      </c>
      <c r="F1611" t="str">
        <f t="shared" ref="F1611" si="1603">A1611</f>
        <v>ATAGAG</v>
      </c>
    </row>
    <row r="1612" spans="1:6" x14ac:dyDescent="0.3">
      <c r="A1612" t="s">
        <v>4906</v>
      </c>
      <c r="F1612" t="str">
        <f t="shared" ref="F1612" si="1604">LEFT(A1612, LEN(A1612) - 1)</f>
        <v>&gt;804:ATAGAT:18.00:16.67:OK:6:1815.26</v>
      </c>
    </row>
    <row r="1613" spans="1:6" x14ac:dyDescent="0.3">
      <c r="A1613" t="s">
        <v>810</v>
      </c>
      <c r="F1613" t="str">
        <f t="shared" ref="F1613" si="1605">A1613</f>
        <v>ATAGAT</v>
      </c>
    </row>
    <row r="1614" spans="1:6" x14ac:dyDescent="0.3">
      <c r="A1614" t="s">
        <v>4907</v>
      </c>
      <c r="F1614" t="str">
        <f t="shared" ref="F1614" si="1606">LEFT(A1614, LEN(A1614) - 1)</f>
        <v>&gt;805:ATAGCA:24.00:33.33:OK:6:1800.25</v>
      </c>
    </row>
    <row r="1615" spans="1:6" x14ac:dyDescent="0.3">
      <c r="A1615" t="s">
        <v>811</v>
      </c>
      <c r="F1615" t="str">
        <f t="shared" ref="F1615" si="1607">A1615</f>
        <v>ATAGCA</v>
      </c>
    </row>
    <row r="1616" spans="1:6" x14ac:dyDescent="0.3">
      <c r="A1616" t="s">
        <v>4908</v>
      </c>
      <c r="F1616" t="str">
        <f t="shared" ref="F1616" si="1608">LEFT(A1616, LEN(A1616) - 1)</f>
        <v>&gt;806:ATAGCC:22.00:50.00:Warning:6:1776.22</v>
      </c>
    </row>
    <row r="1617" spans="1:6" x14ac:dyDescent="0.3">
      <c r="A1617" t="s">
        <v>812</v>
      </c>
      <c r="F1617" t="str">
        <f t="shared" ref="F1617" si="1609">A1617</f>
        <v>ATAGCC</v>
      </c>
    </row>
    <row r="1618" spans="1:6" x14ac:dyDescent="0.3">
      <c r="A1618" t="s">
        <v>4909</v>
      </c>
      <c r="F1618" t="str">
        <f t="shared" ref="F1618" si="1610">LEFT(A1618, LEN(A1618) - 1)</f>
        <v>&gt;807:ATAGCG:22.00:50.00:Warning:6:1816.25</v>
      </c>
    </row>
    <row r="1619" spans="1:6" x14ac:dyDescent="0.3">
      <c r="A1619" t="s">
        <v>813</v>
      </c>
      <c r="F1619" t="str">
        <f t="shared" ref="F1619" si="1611">A1619</f>
        <v>ATAGCG</v>
      </c>
    </row>
    <row r="1620" spans="1:6" x14ac:dyDescent="0.3">
      <c r="A1620" t="s">
        <v>4910</v>
      </c>
      <c r="F1620" t="str">
        <f t="shared" ref="F1620" si="1612">LEFT(A1620, LEN(A1620) - 1)</f>
        <v>&gt;808:ATAGCT:16.00:33.33:OK:6:1791.23</v>
      </c>
    </row>
    <row r="1621" spans="1:6" x14ac:dyDescent="0.3">
      <c r="A1621" t="s">
        <v>814</v>
      </c>
      <c r="F1621" t="str">
        <f t="shared" ref="F1621" si="1613">A1621</f>
        <v>ATAGCT</v>
      </c>
    </row>
    <row r="1622" spans="1:6" x14ac:dyDescent="0.3">
      <c r="A1622" t="s">
        <v>4911</v>
      </c>
      <c r="F1622" t="str">
        <f t="shared" ref="F1622" si="1614">LEFT(A1622, LEN(A1622) - 1)</f>
        <v>&gt;809:ATAGGA:24.00:33.33:OK:6:1840.28</v>
      </c>
    </row>
    <row r="1623" spans="1:6" x14ac:dyDescent="0.3">
      <c r="A1623" t="s">
        <v>815</v>
      </c>
      <c r="F1623" t="str">
        <f t="shared" ref="F1623" si="1615">A1623</f>
        <v>ATAGGA</v>
      </c>
    </row>
    <row r="1624" spans="1:6" x14ac:dyDescent="0.3">
      <c r="A1624" t="s">
        <v>4912</v>
      </c>
      <c r="F1624" t="str">
        <f t="shared" ref="F1624" si="1616">LEFT(A1624, LEN(A1624) - 1)</f>
        <v>&gt;810:ATAGGC:22.00:50.00:Warning:6:1816.25</v>
      </c>
    </row>
    <row r="1625" spans="1:6" x14ac:dyDescent="0.3">
      <c r="A1625" t="s">
        <v>816</v>
      </c>
      <c r="F1625" t="str">
        <f t="shared" ref="F1625" si="1617">A1625</f>
        <v>ATAGGC</v>
      </c>
    </row>
    <row r="1626" spans="1:6" x14ac:dyDescent="0.3">
      <c r="A1626" t="s">
        <v>4913</v>
      </c>
      <c r="F1626" t="str">
        <f t="shared" ref="F1626" si="1618">LEFT(A1626, LEN(A1626) - 1)</f>
        <v>&gt;811:ATAGGG:22.00:50.00:Warning:6:1856.28</v>
      </c>
    </row>
    <row r="1627" spans="1:6" x14ac:dyDescent="0.3">
      <c r="A1627" t="s">
        <v>817</v>
      </c>
      <c r="F1627" t="str">
        <f t="shared" ref="F1627" si="1619">A1627</f>
        <v>ATAGGG</v>
      </c>
    </row>
    <row r="1628" spans="1:6" x14ac:dyDescent="0.3">
      <c r="A1628" t="s">
        <v>4914</v>
      </c>
      <c r="F1628" t="str">
        <f t="shared" ref="F1628" si="1620">LEFT(A1628, LEN(A1628) - 1)</f>
        <v>&gt;812:ATAGGT:16.00:33.33:OK:6:1831.26</v>
      </c>
    </row>
    <row r="1629" spans="1:6" x14ac:dyDescent="0.3">
      <c r="A1629" t="s">
        <v>818</v>
      </c>
      <c r="F1629" t="str">
        <f t="shared" ref="F1629" si="1621">A1629</f>
        <v>ATAGGT</v>
      </c>
    </row>
    <row r="1630" spans="1:6" x14ac:dyDescent="0.3">
      <c r="A1630" t="s">
        <v>4915</v>
      </c>
      <c r="F1630" t="str">
        <f t="shared" ref="F1630" si="1622">LEFT(A1630, LEN(A1630) - 1)</f>
        <v>&gt;813:ATAGTA:18.00:16.67:OK:6:1815.26</v>
      </c>
    </row>
    <row r="1631" spans="1:6" x14ac:dyDescent="0.3">
      <c r="A1631" t="s">
        <v>819</v>
      </c>
      <c r="F1631" t="str">
        <f t="shared" ref="F1631" si="1623">A1631</f>
        <v>ATAGTA</v>
      </c>
    </row>
    <row r="1632" spans="1:6" x14ac:dyDescent="0.3">
      <c r="A1632" t="s">
        <v>4916</v>
      </c>
      <c r="F1632" t="str">
        <f t="shared" ref="F1632" si="1624">LEFT(A1632, LEN(A1632) - 1)</f>
        <v>&gt;814:ATAGTC:16.00:33.33:OK:6:1791.23</v>
      </c>
    </row>
    <row r="1633" spans="1:6" x14ac:dyDescent="0.3">
      <c r="A1633" t="s">
        <v>820</v>
      </c>
      <c r="F1633" t="str">
        <f t="shared" ref="F1633" si="1625">A1633</f>
        <v>ATAGTC</v>
      </c>
    </row>
    <row r="1634" spans="1:6" x14ac:dyDescent="0.3">
      <c r="A1634" t="s">
        <v>4917</v>
      </c>
      <c r="F1634" t="str">
        <f t="shared" ref="F1634" si="1626">LEFT(A1634, LEN(A1634) - 1)</f>
        <v>&gt;815:ATAGTG:16.00:33.33:OK:6:1831.26</v>
      </c>
    </row>
    <row r="1635" spans="1:6" x14ac:dyDescent="0.3">
      <c r="A1635" t="s">
        <v>821</v>
      </c>
      <c r="F1635" t="str">
        <f t="shared" ref="F1635" si="1627">A1635</f>
        <v>ATAGTG</v>
      </c>
    </row>
    <row r="1636" spans="1:6" x14ac:dyDescent="0.3">
      <c r="A1636" t="s">
        <v>4918</v>
      </c>
      <c r="F1636" t="str">
        <f t="shared" ref="F1636" si="1628">LEFT(A1636, LEN(A1636) - 1)</f>
        <v>&gt;816:ATAGTT:10.00:16.67:OK:6:1806.24</v>
      </c>
    </row>
    <row r="1637" spans="1:6" x14ac:dyDescent="0.3">
      <c r="A1637" t="s">
        <v>822</v>
      </c>
      <c r="F1637" t="str">
        <f t="shared" ref="F1637" si="1629">A1637</f>
        <v>ATAGTT</v>
      </c>
    </row>
    <row r="1638" spans="1:6" x14ac:dyDescent="0.3">
      <c r="A1638" t="s">
        <v>4919</v>
      </c>
      <c r="F1638" t="str">
        <f t="shared" ref="F1638" si="1630">LEFT(A1638, LEN(A1638) - 1)</f>
        <v>&gt;817:ATATAA:20.00:0.00:OK:6:1799.26</v>
      </c>
    </row>
    <row r="1639" spans="1:6" x14ac:dyDescent="0.3">
      <c r="A1639" t="s">
        <v>823</v>
      </c>
      <c r="F1639" t="str">
        <f t="shared" ref="F1639" si="1631">A1639</f>
        <v>ATATAA</v>
      </c>
    </row>
    <row r="1640" spans="1:6" x14ac:dyDescent="0.3">
      <c r="A1640" t="s">
        <v>4920</v>
      </c>
      <c r="F1640" t="str">
        <f t="shared" ref="F1640" si="1632">LEFT(A1640, LEN(A1640) - 1)</f>
        <v>&gt;818:ATATAC:18.00:16.67:OK:6:1775.23</v>
      </c>
    </row>
    <row r="1641" spans="1:6" x14ac:dyDescent="0.3">
      <c r="A1641" t="s">
        <v>824</v>
      </c>
      <c r="F1641" t="str">
        <f t="shared" ref="F1641" si="1633">A1641</f>
        <v>ATATAC</v>
      </c>
    </row>
    <row r="1642" spans="1:6" x14ac:dyDescent="0.3">
      <c r="A1642" t="s">
        <v>4921</v>
      </c>
      <c r="F1642" t="str">
        <f t="shared" ref="F1642" si="1634">LEFT(A1642, LEN(A1642) - 1)</f>
        <v>&gt;819:ATATAG:18.00:16.67:OK:6:1815.26</v>
      </c>
    </row>
    <row r="1643" spans="1:6" x14ac:dyDescent="0.3">
      <c r="A1643" t="s">
        <v>825</v>
      </c>
      <c r="F1643" t="str">
        <f t="shared" ref="F1643" si="1635">A1643</f>
        <v>ATATAG</v>
      </c>
    </row>
    <row r="1644" spans="1:6" x14ac:dyDescent="0.3">
      <c r="A1644" t="s">
        <v>4922</v>
      </c>
      <c r="F1644" t="str">
        <f t="shared" ref="F1644" si="1636">LEFT(A1644, LEN(A1644) - 1)</f>
        <v>&gt;820:ATATAT:12.00:0.00:OK:6:1790.24</v>
      </c>
    </row>
    <row r="1645" spans="1:6" x14ac:dyDescent="0.3">
      <c r="A1645" t="s">
        <v>826</v>
      </c>
      <c r="F1645" t="str">
        <f t="shared" ref="F1645" si="1637">A1645</f>
        <v>ATATAT</v>
      </c>
    </row>
    <row r="1646" spans="1:6" x14ac:dyDescent="0.3">
      <c r="A1646" t="s">
        <v>4923</v>
      </c>
      <c r="F1646" t="str">
        <f t="shared" ref="F1646" si="1638">LEFT(A1646, LEN(A1646) - 1)</f>
        <v>&gt;821:ATATCA:18.00:16.67:OK:6:1775.23</v>
      </c>
    </row>
    <row r="1647" spans="1:6" x14ac:dyDescent="0.3">
      <c r="A1647" t="s">
        <v>827</v>
      </c>
      <c r="F1647" t="str">
        <f t="shared" ref="F1647" si="1639">A1647</f>
        <v>ATATCA</v>
      </c>
    </row>
    <row r="1648" spans="1:6" x14ac:dyDescent="0.3">
      <c r="A1648" t="s">
        <v>4924</v>
      </c>
      <c r="F1648" t="str">
        <f t="shared" ref="F1648" si="1640">LEFT(A1648, LEN(A1648) - 1)</f>
        <v>&gt;822:ATATCC:16.00:33.33:OK:6:1751.20</v>
      </c>
    </row>
    <row r="1649" spans="1:6" x14ac:dyDescent="0.3">
      <c r="A1649" t="s">
        <v>828</v>
      </c>
      <c r="F1649" t="str">
        <f t="shared" ref="F1649" si="1641">A1649</f>
        <v>ATATCC</v>
      </c>
    </row>
    <row r="1650" spans="1:6" x14ac:dyDescent="0.3">
      <c r="A1650" t="s">
        <v>4925</v>
      </c>
      <c r="F1650" t="str">
        <f t="shared" ref="F1650" si="1642">LEFT(A1650, LEN(A1650) - 1)</f>
        <v>&gt;823:ATATCG:16.00:33.33:OK:6:1791.23</v>
      </c>
    </row>
    <row r="1651" spans="1:6" x14ac:dyDescent="0.3">
      <c r="A1651" t="s">
        <v>829</v>
      </c>
      <c r="F1651" t="str">
        <f t="shared" ref="F1651" si="1643">A1651</f>
        <v>ATATCG</v>
      </c>
    </row>
    <row r="1652" spans="1:6" x14ac:dyDescent="0.3">
      <c r="A1652" t="s">
        <v>4926</v>
      </c>
      <c r="F1652" t="str">
        <f t="shared" ref="F1652" si="1644">LEFT(A1652, LEN(A1652) - 1)</f>
        <v>&gt;824:ATATCT:10.00:16.67:OK:6:1766.21</v>
      </c>
    </row>
    <row r="1653" spans="1:6" x14ac:dyDescent="0.3">
      <c r="A1653" t="s">
        <v>830</v>
      </c>
      <c r="F1653" t="str">
        <f t="shared" ref="F1653" si="1645">A1653</f>
        <v>ATATCT</v>
      </c>
    </row>
    <row r="1654" spans="1:6" x14ac:dyDescent="0.3">
      <c r="A1654" t="s">
        <v>4927</v>
      </c>
      <c r="F1654" t="str">
        <f t="shared" ref="F1654" si="1646">LEFT(A1654, LEN(A1654) - 1)</f>
        <v>&gt;825:ATATGA:18.00:16.67:OK:6:1815.26</v>
      </c>
    </row>
    <row r="1655" spans="1:6" x14ac:dyDescent="0.3">
      <c r="A1655" t="s">
        <v>831</v>
      </c>
      <c r="F1655" t="str">
        <f t="shared" ref="F1655" si="1647">A1655</f>
        <v>ATATGA</v>
      </c>
    </row>
    <row r="1656" spans="1:6" x14ac:dyDescent="0.3">
      <c r="A1656" t="s">
        <v>4928</v>
      </c>
      <c r="F1656" t="str">
        <f t="shared" ref="F1656" si="1648">LEFT(A1656, LEN(A1656) - 1)</f>
        <v>&gt;826:ATATGC:16.00:33.33:OK:6:1791.23</v>
      </c>
    </row>
    <row r="1657" spans="1:6" x14ac:dyDescent="0.3">
      <c r="A1657" t="s">
        <v>832</v>
      </c>
      <c r="F1657" t="str">
        <f t="shared" ref="F1657" si="1649">A1657</f>
        <v>ATATGC</v>
      </c>
    </row>
    <row r="1658" spans="1:6" x14ac:dyDescent="0.3">
      <c r="A1658" t="s">
        <v>4929</v>
      </c>
      <c r="F1658" t="str">
        <f t="shared" ref="F1658" si="1650">LEFT(A1658, LEN(A1658) - 1)</f>
        <v>&gt;827:ATATGG:16.00:33.33:OK:6:1831.26</v>
      </c>
    </row>
    <row r="1659" spans="1:6" x14ac:dyDescent="0.3">
      <c r="A1659" t="s">
        <v>833</v>
      </c>
      <c r="F1659" t="str">
        <f t="shared" ref="F1659" si="1651">A1659</f>
        <v>ATATGG</v>
      </c>
    </row>
    <row r="1660" spans="1:6" x14ac:dyDescent="0.3">
      <c r="A1660" t="s">
        <v>4930</v>
      </c>
      <c r="F1660" t="str">
        <f t="shared" ref="F1660" si="1652">LEFT(A1660, LEN(A1660) - 1)</f>
        <v>&gt;828:ATATGT:10.00:16.67:OK:6:1806.24</v>
      </c>
    </row>
    <row r="1661" spans="1:6" x14ac:dyDescent="0.3">
      <c r="A1661" t="s">
        <v>834</v>
      </c>
      <c r="F1661" t="str">
        <f t="shared" ref="F1661" si="1653">A1661</f>
        <v>ATATGT</v>
      </c>
    </row>
    <row r="1662" spans="1:6" x14ac:dyDescent="0.3">
      <c r="A1662" t="s">
        <v>4931</v>
      </c>
      <c r="F1662" t="str">
        <f t="shared" ref="F1662" si="1654">LEFT(A1662, LEN(A1662) - 1)</f>
        <v>&gt;829:ATATTA:12.00:0.00:OK:6:1790.24</v>
      </c>
    </row>
    <row r="1663" spans="1:6" x14ac:dyDescent="0.3">
      <c r="A1663" t="s">
        <v>835</v>
      </c>
      <c r="F1663" t="str">
        <f t="shared" ref="F1663" si="1655">A1663</f>
        <v>ATATTA</v>
      </c>
    </row>
    <row r="1664" spans="1:6" x14ac:dyDescent="0.3">
      <c r="A1664" t="s">
        <v>4932</v>
      </c>
      <c r="F1664" t="str">
        <f t="shared" ref="F1664" si="1656">LEFT(A1664, LEN(A1664) - 1)</f>
        <v>&gt;830:ATATTC:10.00:16.67:OK:6:1766.21</v>
      </c>
    </row>
    <row r="1665" spans="1:6" x14ac:dyDescent="0.3">
      <c r="A1665" t="s">
        <v>836</v>
      </c>
      <c r="F1665" t="str">
        <f t="shared" ref="F1665" si="1657">A1665</f>
        <v>ATATTC</v>
      </c>
    </row>
    <row r="1666" spans="1:6" x14ac:dyDescent="0.3">
      <c r="A1666" t="s">
        <v>4933</v>
      </c>
      <c r="F1666" t="str">
        <f t="shared" ref="F1666" si="1658">LEFT(A1666, LEN(A1666) - 1)</f>
        <v>&gt;831:ATATTG:10.00:16.67:OK:6:1806.24</v>
      </c>
    </row>
    <row r="1667" spans="1:6" x14ac:dyDescent="0.3">
      <c r="A1667" t="s">
        <v>837</v>
      </c>
      <c r="F1667" t="str">
        <f t="shared" ref="F1667" si="1659">A1667</f>
        <v>ATATTG</v>
      </c>
    </row>
    <row r="1668" spans="1:6" x14ac:dyDescent="0.3">
      <c r="A1668" t="s">
        <v>4934</v>
      </c>
      <c r="F1668" t="str">
        <f t="shared" ref="F1668" si="1660">LEFT(A1668, LEN(A1668) - 1)</f>
        <v>&gt;832:ATATTT:4.00:0.00:OK:6:1781.22</v>
      </c>
    </row>
    <row r="1669" spans="1:6" x14ac:dyDescent="0.3">
      <c r="A1669" t="s">
        <v>838</v>
      </c>
      <c r="F1669" t="str">
        <f t="shared" ref="F1669" si="1661">A1669</f>
        <v>ATATTT</v>
      </c>
    </row>
    <row r="1670" spans="1:6" x14ac:dyDescent="0.3">
      <c r="A1670" t="s">
        <v>4935</v>
      </c>
      <c r="F1670" t="str">
        <f t="shared" ref="F1670" si="1662">LEFT(A1670, LEN(A1670) - 1)</f>
        <v>&gt;833:ATCAAA:26.00:16.67:OK:6:1784.25</v>
      </c>
    </row>
    <row r="1671" spans="1:6" x14ac:dyDescent="0.3">
      <c r="A1671" t="s">
        <v>839</v>
      </c>
      <c r="F1671" t="str">
        <f t="shared" ref="F1671" si="1663">A1671</f>
        <v>ATCAAA</v>
      </c>
    </row>
    <row r="1672" spans="1:6" x14ac:dyDescent="0.3">
      <c r="A1672" t="s">
        <v>4936</v>
      </c>
      <c r="F1672" t="str">
        <f t="shared" ref="F1672" si="1664">LEFT(A1672, LEN(A1672) - 1)</f>
        <v>&gt;834:ATCAAC:24.00:33.33:OK:6:1760.22</v>
      </c>
    </row>
    <row r="1673" spans="1:6" x14ac:dyDescent="0.3">
      <c r="A1673" t="s">
        <v>840</v>
      </c>
      <c r="F1673" t="str">
        <f t="shared" ref="F1673" si="1665">A1673</f>
        <v>ATCAAC</v>
      </c>
    </row>
    <row r="1674" spans="1:6" x14ac:dyDescent="0.3">
      <c r="A1674" t="s">
        <v>4937</v>
      </c>
      <c r="F1674" t="str">
        <f t="shared" ref="F1674" si="1666">LEFT(A1674, LEN(A1674) - 1)</f>
        <v>&gt;835:ATCAAG:24.00:33.33:OK:6:1800.25</v>
      </c>
    </row>
    <row r="1675" spans="1:6" x14ac:dyDescent="0.3">
      <c r="A1675" t="s">
        <v>841</v>
      </c>
      <c r="F1675" t="str">
        <f t="shared" ref="F1675" si="1667">A1675</f>
        <v>ATCAAG</v>
      </c>
    </row>
    <row r="1676" spans="1:6" x14ac:dyDescent="0.3">
      <c r="A1676" t="s">
        <v>4938</v>
      </c>
      <c r="F1676" t="str">
        <f t="shared" ref="F1676" si="1668">LEFT(A1676, LEN(A1676) - 1)</f>
        <v>&gt;836:ATCAAT:18.00:16.67:OK:6:1775.23</v>
      </c>
    </row>
    <row r="1677" spans="1:6" x14ac:dyDescent="0.3">
      <c r="A1677" t="s">
        <v>842</v>
      </c>
      <c r="F1677" t="str">
        <f t="shared" ref="F1677" si="1669">A1677</f>
        <v>ATCAAT</v>
      </c>
    </row>
    <row r="1678" spans="1:6" x14ac:dyDescent="0.3">
      <c r="A1678" t="s">
        <v>4939</v>
      </c>
      <c r="F1678" t="str">
        <f t="shared" ref="F1678" si="1670">LEFT(A1678, LEN(A1678) - 1)</f>
        <v>&gt;837:ATCACA:24.00:33.33:OK:6:1760.22</v>
      </c>
    </row>
    <row r="1679" spans="1:6" x14ac:dyDescent="0.3">
      <c r="A1679" t="s">
        <v>843</v>
      </c>
      <c r="F1679" t="str">
        <f t="shared" ref="F1679" si="1671">A1679</f>
        <v>ATCACA</v>
      </c>
    </row>
    <row r="1680" spans="1:6" x14ac:dyDescent="0.3">
      <c r="A1680" t="s">
        <v>4940</v>
      </c>
      <c r="F1680" t="str">
        <f t="shared" ref="F1680" si="1672">LEFT(A1680, LEN(A1680) - 1)</f>
        <v>&gt;838:ATCACC:22.00:50.00:Warning:6:1736.19</v>
      </c>
    </row>
    <row r="1681" spans="1:6" x14ac:dyDescent="0.3">
      <c r="A1681" t="s">
        <v>844</v>
      </c>
      <c r="F1681" t="str">
        <f t="shared" ref="F1681" si="1673">A1681</f>
        <v>ATCACC</v>
      </c>
    </row>
    <row r="1682" spans="1:6" x14ac:dyDescent="0.3">
      <c r="A1682" t="s">
        <v>4941</v>
      </c>
      <c r="F1682" t="str">
        <f t="shared" ref="F1682" si="1674">LEFT(A1682, LEN(A1682) - 1)</f>
        <v>&gt;839:ATCACG:22.00:50.00:Warning:6:1776.22</v>
      </c>
    </row>
    <row r="1683" spans="1:6" x14ac:dyDescent="0.3">
      <c r="A1683" t="s">
        <v>845</v>
      </c>
      <c r="F1683" t="str">
        <f t="shared" ref="F1683" si="1675">A1683</f>
        <v>ATCACG</v>
      </c>
    </row>
    <row r="1684" spans="1:6" x14ac:dyDescent="0.3">
      <c r="A1684" t="s">
        <v>4942</v>
      </c>
      <c r="F1684" t="str">
        <f t="shared" ref="F1684" si="1676">LEFT(A1684, LEN(A1684) - 1)</f>
        <v>&gt;840:ATCACT:16.00:33.33:OK:6:1751.20</v>
      </c>
    </row>
    <row r="1685" spans="1:6" x14ac:dyDescent="0.3">
      <c r="A1685" t="s">
        <v>846</v>
      </c>
      <c r="F1685" t="str">
        <f t="shared" ref="F1685" si="1677">A1685</f>
        <v>ATCACT</v>
      </c>
    </row>
    <row r="1686" spans="1:6" x14ac:dyDescent="0.3">
      <c r="A1686" t="s">
        <v>4943</v>
      </c>
      <c r="F1686" t="str">
        <f t="shared" ref="F1686" si="1678">LEFT(A1686, LEN(A1686) - 1)</f>
        <v>&gt;841:ATCAGA:24.00:33.33:OK:6:1800.25</v>
      </c>
    </row>
    <row r="1687" spans="1:6" x14ac:dyDescent="0.3">
      <c r="A1687" t="s">
        <v>847</v>
      </c>
      <c r="F1687" t="str">
        <f t="shared" ref="F1687" si="1679">A1687</f>
        <v>ATCAGA</v>
      </c>
    </row>
    <row r="1688" spans="1:6" x14ac:dyDescent="0.3">
      <c r="A1688" t="s">
        <v>4944</v>
      </c>
      <c r="F1688" t="str">
        <f t="shared" ref="F1688" si="1680">LEFT(A1688, LEN(A1688) - 1)</f>
        <v>&gt;842:ATCAGC:22.00:50.00:Warning:6:1776.22</v>
      </c>
    </row>
    <row r="1689" spans="1:6" x14ac:dyDescent="0.3">
      <c r="A1689" t="s">
        <v>848</v>
      </c>
      <c r="F1689" t="str">
        <f t="shared" ref="F1689" si="1681">A1689</f>
        <v>ATCAGC</v>
      </c>
    </row>
    <row r="1690" spans="1:6" x14ac:dyDescent="0.3">
      <c r="A1690" t="s">
        <v>4945</v>
      </c>
      <c r="F1690" t="str">
        <f t="shared" ref="F1690" si="1682">LEFT(A1690, LEN(A1690) - 1)</f>
        <v>&gt;843:ATCAGG:22.00:50.00:Warning:6:1816.25</v>
      </c>
    </row>
    <row r="1691" spans="1:6" x14ac:dyDescent="0.3">
      <c r="A1691" t="s">
        <v>849</v>
      </c>
      <c r="F1691" t="str">
        <f t="shared" ref="F1691" si="1683">A1691</f>
        <v>ATCAGG</v>
      </c>
    </row>
    <row r="1692" spans="1:6" x14ac:dyDescent="0.3">
      <c r="A1692" t="s">
        <v>4946</v>
      </c>
      <c r="F1692" t="str">
        <f t="shared" ref="F1692" si="1684">LEFT(A1692, LEN(A1692) - 1)</f>
        <v>&gt;844:ATCAGT:16.00:33.33:OK:6:1791.23</v>
      </c>
    </row>
    <row r="1693" spans="1:6" x14ac:dyDescent="0.3">
      <c r="A1693" t="s">
        <v>850</v>
      </c>
      <c r="F1693" t="str">
        <f t="shared" ref="F1693" si="1685">A1693</f>
        <v>ATCAGT</v>
      </c>
    </row>
    <row r="1694" spans="1:6" x14ac:dyDescent="0.3">
      <c r="A1694" t="s">
        <v>4947</v>
      </c>
      <c r="F1694" t="str">
        <f t="shared" ref="F1694" si="1686">LEFT(A1694, LEN(A1694) - 1)</f>
        <v>&gt;845:ATCATA:18.00:16.67:OK:6:1775.23</v>
      </c>
    </row>
    <row r="1695" spans="1:6" x14ac:dyDescent="0.3">
      <c r="A1695" t="s">
        <v>851</v>
      </c>
      <c r="F1695" t="str">
        <f t="shared" ref="F1695" si="1687">A1695</f>
        <v>ATCATA</v>
      </c>
    </row>
    <row r="1696" spans="1:6" x14ac:dyDescent="0.3">
      <c r="A1696" t="s">
        <v>4948</v>
      </c>
      <c r="F1696" t="str">
        <f t="shared" ref="F1696" si="1688">LEFT(A1696, LEN(A1696) - 1)</f>
        <v>&gt;846:ATCATC:16.00:33.33:OK:6:1751.20</v>
      </c>
    </row>
    <row r="1697" spans="1:6" x14ac:dyDescent="0.3">
      <c r="A1697" t="s">
        <v>852</v>
      </c>
      <c r="F1697" t="str">
        <f t="shared" ref="F1697" si="1689">A1697</f>
        <v>ATCATC</v>
      </c>
    </row>
    <row r="1698" spans="1:6" x14ac:dyDescent="0.3">
      <c r="A1698" t="s">
        <v>4949</v>
      </c>
      <c r="F1698" t="str">
        <f t="shared" ref="F1698" si="1690">LEFT(A1698, LEN(A1698) - 1)</f>
        <v>&gt;847:ATCATG:16.00:33.33:OK:6:1791.23</v>
      </c>
    </row>
    <row r="1699" spans="1:6" x14ac:dyDescent="0.3">
      <c r="A1699" t="s">
        <v>853</v>
      </c>
      <c r="F1699" t="str">
        <f t="shared" ref="F1699" si="1691">A1699</f>
        <v>ATCATG</v>
      </c>
    </row>
    <row r="1700" spans="1:6" x14ac:dyDescent="0.3">
      <c r="A1700" t="s">
        <v>4950</v>
      </c>
      <c r="F1700" t="str">
        <f t="shared" ref="F1700" si="1692">LEFT(A1700, LEN(A1700) - 1)</f>
        <v>&gt;848:ATCATT:10.00:16.67:OK:6:1766.21</v>
      </c>
    </row>
    <row r="1701" spans="1:6" x14ac:dyDescent="0.3">
      <c r="A1701" t="s">
        <v>854</v>
      </c>
      <c r="F1701" t="str">
        <f t="shared" ref="F1701" si="1693">A1701</f>
        <v>ATCATT</v>
      </c>
    </row>
    <row r="1702" spans="1:6" x14ac:dyDescent="0.3">
      <c r="A1702" t="s">
        <v>4951</v>
      </c>
      <c r="F1702" t="str">
        <f t="shared" ref="F1702" si="1694">LEFT(A1702, LEN(A1702) - 1)</f>
        <v>&gt;849:ATCCAA:24.00:33.33:OK:6:1760.22</v>
      </c>
    </row>
    <row r="1703" spans="1:6" x14ac:dyDescent="0.3">
      <c r="A1703" t="s">
        <v>855</v>
      </c>
      <c r="F1703" t="str">
        <f t="shared" ref="F1703" si="1695">A1703</f>
        <v>ATCCAA</v>
      </c>
    </row>
    <row r="1704" spans="1:6" x14ac:dyDescent="0.3">
      <c r="A1704" t="s">
        <v>4952</v>
      </c>
      <c r="F1704" t="str">
        <f t="shared" ref="F1704" si="1696">LEFT(A1704, LEN(A1704) - 1)</f>
        <v>&gt;850:ATCCAC:22.00:50.00:Warning:6:1736.19</v>
      </c>
    </row>
    <row r="1705" spans="1:6" x14ac:dyDescent="0.3">
      <c r="A1705" t="s">
        <v>856</v>
      </c>
      <c r="F1705" t="str">
        <f t="shared" ref="F1705" si="1697">A1705</f>
        <v>ATCCAC</v>
      </c>
    </row>
    <row r="1706" spans="1:6" x14ac:dyDescent="0.3">
      <c r="A1706" t="s">
        <v>4953</v>
      </c>
      <c r="F1706" t="str">
        <f t="shared" ref="F1706" si="1698">LEFT(A1706, LEN(A1706) - 1)</f>
        <v>&gt;851:ATCCAG:22.00:50.00:Warning:6:1776.22</v>
      </c>
    </row>
    <row r="1707" spans="1:6" x14ac:dyDescent="0.3">
      <c r="A1707" t="s">
        <v>857</v>
      </c>
      <c r="F1707" t="str">
        <f t="shared" ref="F1707" si="1699">A1707</f>
        <v>ATCCAG</v>
      </c>
    </row>
    <row r="1708" spans="1:6" x14ac:dyDescent="0.3">
      <c r="A1708" t="s">
        <v>4954</v>
      </c>
      <c r="F1708" t="str">
        <f t="shared" ref="F1708" si="1700">LEFT(A1708, LEN(A1708) - 1)</f>
        <v>&gt;852:ATCCAT:16.00:33.33:OK:6:1751.20</v>
      </c>
    </row>
    <row r="1709" spans="1:6" x14ac:dyDescent="0.3">
      <c r="A1709" t="s">
        <v>858</v>
      </c>
      <c r="F1709" t="str">
        <f t="shared" ref="F1709" si="1701">A1709</f>
        <v>ATCCAT</v>
      </c>
    </row>
    <row r="1710" spans="1:6" x14ac:dyDescent="0.3">
      <c r="A1710" t="s">
        <v>4955</v>
      </c>
      <c r="F1710" t="str">
        <f t="shared" ref="F1710" si="1702">LEFT(A1710, LEN(A1710) - 1)</f>
        <v>&gt;853:ATCCCA:22.00:50.00:Warning:6:1736.19</v>
      </c>
    </row>
    <row r="1711" spans="1:6" x14ac:dyDescent="0.3">
      <c r="A1711" t="s">
        <v>859</v>
      </c>
      <c r="F1711" t="str">
        <f t="shared" ref="F1711" si="1703">A1711</f>
        <v>ATCCCA</v>
      </c>
    </row>
    <row r="1712" spans="1:6" x14ac:dyDescent="0.3">
      <c r="A1712" t="s">
        <v>4956</v>
      </c>
      <c r="F1712" t="str">
        <f t="shared" ref="F1712" si="1704">LEFT(A1712, LEN(A1712) - 1)</f>
        <v>&gt;854:ATCCCC:20.00:66.67:Warning:6:1712.16</v>
      </c>
    </row>
    <row r="1713" spans="1:6" x14ac:dyDescent="0.3">
      <c r="A1713" t="s">
        <v>860</v>
      </c>
      <c r="F1713" t="str">
        <f t="shared" ref="F1713" si="1705">A1713</f>
        <v>ATCCCC</v>
      </c>
    </row>
    <row r="1714" spans="1:6" x14ac:dyDescent="0.3">
      <c r="A1714" t="s">
        <v>4957</v>
      </c>
      <c r="F1714" t="str">
        <f t="shared" ref="F1714" si="1706">LEFT(A1714, LEN(A1714) - 1)</f>
        <v>&gt;855:ATCCCG:20.00:66.67:Warning:6:1752.19</v>
      </c>
    </row>
    <row r="1715" spans="1:6" x14ac:dyDescent="0.3">
      <c r="A1715" t="s">
        <v>861</v>
      </c>
      <c r="F1715" t="str">
        <f t="shared" ref="F1715" si="1707">A1715</f>
        <v>ATCCCG</v>
      </c>
    </row>
    <row r="1716" spans="1:6" x14ac:dyDescent="0.3">
      <c r="A1716" t="s">
        <v>4958</v>
      </c>
      <c r="F1716" t="str">
        <f t="shared" ref="F1716" si="1708">LEFT(A1716, LEN(A1716) - 1)</f>
        <v>&gt;856:ATCCCT:14.00:50.00:Warning:6:1727.17</v>
      </c>
    </row>
    <row r="1717" spans="1:6" x14ac:dyDescent="0.3">
      <c r="A1717" t="s">
        <v>862</v>
      </c>
      <c r="F1717" t="str">
        <f t="shared" ref="F1717" si="1709">A1717</f>
        <v>ATCCCT</v>
      </c>
    </row>
    <row r="1718" spans="1:6" x14ac:dyDescent="0.3">
      <c r="A1718" t="s">
        <v>4959</v>
      </c>
      <c r="F1718" t="str">
        <f t="shared" ref="F1718" si="1710">LEFT(A1718, LEN(A1718) - 1)</f>
        <v>&gt;857:ATCCGA:22.00:50.00:Warning:6:1776.22</v>
      </c>
    </row>
    <row r="1719" spans="1:6" x14ac:dyDescent="0.3">
      <c r="A1719" t="s">
        <v>863</v>
      </c>
      <c r="F1719" t="str">
        <f t="shared" ref="F1719" si="1711">A1719</f>
        <v>ATCCGA</v>
      </c>
    </row>
    <row r="1720" spans="1:6" x14ac:dyDescent="0.3">
      <c r="A1720" t="s">
        <v>4960</v>
      </c>
      <c r="F1720" t="str">
        <f t="shared" ref="F1720" si="1712">LEFT(A1720, LEN(A1720) - 1)</f>
        <v>&gt;858:ATCCGC:20.00:66.67:Warning:6:1752.19</v>
      </c>
    </row>
    <row r="1721" spans="1:6" x14ac:dyDescent="0.3">
      <c r="A1721" t="s">
        <v>864</v>
      </c>
      <c r="F1721" t="str">
        <f t="shared" ref="F1721" si="1713">A1721</f>
        <v>ATCCGC</v>
      </c>
    </row>
    <row r="1722" spans="1:6" x14ac:dyDescent="0.3">
      <c r="A1722" t="s">
        <v>4961</v>
      </c>
      <c r="F1722" t="str">
        <f t="shared" ref="F1722" si="1714">LEFT(A1722, LEN(A1722) - 1)</f>
        <v>&gt;859:ATCCGG:20.00:66.67:Warning:6:1792.22</v>
      </c>
    </row>
    <row r="1723" spans="1:6" x14ac:dyDescent="0.3">
      <c r="A1723" t="s">
        <v>865</v>
      </c>
      <c r="F1723" t="str">
        <f t="shared" ref="F1723" si="1715">A1723</f>
        <v>ATCCGG</v>
      </c>
    </row>
    <row r="1724" spans="1:6" x14ac:dyDescent="0.3">
      <c r="A1724" t="s">
        <v>4962</v>
      </c>
      <c r="F1724" t="str">
        <f t="shared" ref="F1724" si="1716">LEFT(A1724, LEN(A1724) - 1)</f>
        <v>&gt;860:ATCCGT:14.00:50.00:Warning:6:1767.20</v>
      </c>
    </row>
    <row r="1725" spans="1:6" x14ac:dyDescent="0.3">
      <c r="A1725" t="s">
        <v>866</v>
      </c>
      <c r="F1725" t="str">
        <f t="shared" ref="F1725" si="1717">A1725</f>
        <v>ATCCGT</v>
      </c>
    </row>
    <row r="1726" spans="1:6" x14ac:dyDescent="0.3">
      <c r="A1726" t="s">
        <v>4963</v>
      </c>
      <c r="F1726" t="str">
        <f t="shared" ref="F1726" si="1718">LEFT(A1726, LEN(A1726) - 1)</f>
        <v>&gt;861:ATCCTA:16.00:33.33:OK:6:1751.20</v>
      </c>
    </row>
    <row r="1727" spans="1:6" x14ac:dyDescent="0.3">
      <c r="A1727" t="s">
        <v>867</v>
      </c>
      <c r="F1727" t="str">
        <f t="shared" ref="F1727" si="1719">A1727</f>
        <v>ATCCTA</v>
      </c>
    </row>
    <row r="1728" spans="1:6" x14ac:dyDescent="0.3">
      <c r="A1728" t="s">
        <v>4964</v>
      </c>
      <c r="F1728" t="str">
        <f t="shared" ref="F1728" si="1720">LEFT(A1728, LEN(A1728) - 1)</f>
        <v>&gt;862:ATCCTC:14.00:50.00:Warning:6:1727.17</v>
      </c>
    </row>
    <row r="1729" spans="1:6" x14ac:dyDescent="0.3">
      <c r="A1729" t="s">
        <v>868</v>
      </c>
      <c r="F1729" t="str">
        <f t="shared" ref="F1729" si="1721">A1729</f>
        <v>ATCCTC</v>
      </c>
    </row>
    <row r="1730" spans="1:6" x14ac:dyDescent="0.3">
      <c r="A1730" t="s">
        <v>4965</v>
      </c>
      <c r="F1730" t="str">
        <f t="shared" ref="F1730" si="1722">LEFT(A1730, LEN(A1730) - 1)</f>
        <v>&gt;863:ATCCTG:14.00:50.00:Warning:6:1767.20</v>
      </c>
    </row>
    <row r="1731" spans="1:6" x14ac:dyDescent="0.3">
      <c r="A1731" t="s">
        <v>869</v>
      </c>
      <c r="F1731" t="str">
        <f t="shared" ref="F1731" si="1723">A1731</f>
        <v>ATCCTG</v>
      </c>
    </row>
    <row r="1732" spans="1:6" x14ac:dyDescent="0.3">
      <c r="A1732" t="s">
        <v>4966</v>
      </c>
      <c r="F1732" t="str">
        <f t="shared" ref="F1732" si="1724">LEFT(A1732, LEN(A1732) - 1)</f>
        <v>&gt;864:ATCCTT:8.00:33.33:OK:6:1742.18</v>
      </c>
    </row>
    <row r="1733" spans="1:6" x14ac:dyDescent="0.3">
      <c r="A1733" t="s">
        <v>870</v>
      </c>
      <c r="F1733" t="str">
        <f t="shared" ref="F1733" si="1725">A1733</f>
        <v>ATCCTT</v>
      </c>
    </row>
    <row r="1734" spans="1:6" x14ac:dyDescent="0.3">
      <c r="A1734" t="s">
        <v>4967</v>
      </c>
      <c r="F1734" t="str">
        <f t="shared" ref="F1734" si="1726">LEFT(A1734, LEN(A1734) - 1)</f>
        <v>&gt;865:ATCGAA:24.00:33.33:OK:6:1800.25</v>
      </c>
    </row>
    <row r="1735" spans="1:6" x14ac:dyDescent="0.3">
      <c r="A1735" t="s">
        <v>871</v>
      </c>
      <c r="F1735" t="str">
        <f t="shared" ref="F1735" si="1727">A1735</f>
        <v>ATCGAA</v>
      </c>
    </row>
    <row r="1736" spans="1:6" x14ac:dyDescent="0.3">
      <c r="A1736" t="s">
        <v>4968</v>
      </c>
      <c r="F1736" t="str">
        <f t="shared" ref="F1736" si="1728">LEFT(A1736, LEN(A1736) - 1)</f>
        <v>&gt;866:ATCGAC:22.00:50.00:Warning:6:1776.22</v>
      </c>
    </row>
    <row r="1737" spans="1:6" x14ac:dyDescent="0.3">
      <c r="A1737" t="s">
        <v>872</v>
      </c>
      <c r="F1737" t="str">
        <f t="shared" ref="F1737" si="1729">A1737</f>
        <v>ATCGAC</v>
      </c>
    </row>
    <row r="1738" spans="1:6" x14ac:dyDescent="0.3">
      <c r="A1738" t="s">
        <v>4969</v>
      </c>
      <c r="F1738" t="str">
        <f t="shared" ref="F1738" si="1730">LEFT(A1738, LEN(A1738) - 1)</f>
        <v>&gt;867:ATCGAG:22.00:50.00:Warning:6:1816.25</v>
      </c>
    </row>
    <row r="1739" spans="1:6" x14ac:dyDescent="0.3">
      <c r="A1739" t="s">
        <v>873</v>
      </c>
      <c r="F1739" t="str">
        <f t="shared" ref="F1739" si="1731">A1739</f>
        <v>ATCGAG</v>
      </c>
    </row>
    <row r="1740" spans="1:6" x14ac:dyDescent="0.3">
      <c r="A1740" t="s">
        <v>4970</v>
      </c>
      <c r="F1740" t="str">
        <f t="shared" ref="F1740" si="1732">LEFT(A1740, LEN(A1740) - 1)</f>
        <v>&gt;868:ATCGAT:16.00:33.33:OK:6:1791.23</v>
      </c>
    </row>
    <row r="1741" spans="1:6" x14ac:dyDescent="0.3">
      <c r="A1741" t="s">
        <v>874</v>
      </c>
      <c r="F1741" t="str">
        <f t="shared" ref="F1741" si="1733">A1741</f>
        <v>ATCGAT</v>
      </c>
    </row>
    <row r="1742" spans="1:6" x14ac:dyDescent="0.3">
      <c r="A1742" t="s">
        <v>4971</v>
      </c>
      <c r="F1742" t="str">
        <f t="shared" ref="F1742" si="1734">LEFT(A1742, LEN(A1742) - 1)</f>
        <v>&gt;869:ATCGCA:22.00:50.00:Warning:6:1776.22</v>
      </c>
    </row>
    <row r="1743" spans="1:6" x14ac:dyDescent="0.3">
      <c r="A1743" t="s">
        <v>875</v>
      </c>
      <c r="F1743" t="str">
        <f t="shared" ref="F1743" si="1735">A1743</f>
        <v>ATCGCA</v>
      </c>
    </row>
    <row r="1744" spans="1:6" x14ac:dyDescent="0.3">
      <c r="A1744" t="s">
        <v>4972</v>
      </c>
      <c r="F1744" t="str">
        <f t="shared" ref="F1744" si="1736">LEFT(A1744, LEN(A1744) - 1)</f>
        <v>&gt;870:ATCGCC:20.00:66.67:Warning:6:1752.19</v>
      </c>
    </row>
    <row r="1745" spans="1:6" x14ac:dyDescent="0.3">
      <c r="A1745" t="s">
        <v>876</v>
      </c>
      <c r="F1745" t="str">
        <f t="shared" ref="F1745" si="1737">A1745</f>
        <v>ATCGCC</v>
      </c>
    </row>
    <row r="1746" spans="1:6" x14ac:dyDescent="0.3">
      <c r="A1746" t="s">
        <v>4973</v>
      </c>
      <c r="F1746" t="str">
        <f t="shared" ref="F1746" si="1738">LEFT(A1746, LEN(A1746) - 1)</f>
        <v>&gt;871:ATCGCG:20.00:66.67:Warning:6:1792.22</v>
      </c>
    </row>
    <row r="1747" spans="1:6" x14ac:dyDescent="0.3">
      <c r="A1747" t="s">
        <v>877</v>
      </c>
      <c r="F1747" t="str">
        <f t="shared" ref="F1747" si="1739">A1747</f>
        <v>ATCGCG</v>
      </c>
    </row>
    <row r="1748" spans="1:6" x14ac:dyDescent="0.3">
      <c r="A1748" t="s">
        <v>4974</v>
      </c>
      <c r="F1748" t="str">
        <f t="shared" ref="F1748" si="1740">LEFT(A1748, LEN(A1748) - 1)</f>
        <v>&gt;872:ATCGCT:14.00:50.00:Warning:6:1767.20</v>
      </c>
    </row>
    <row r="1749" spans="1:6" x14ac:dyDescent="0.3">
      <c r="A1749" t="s">
        <v>878</v>
      </c>
      <c r="F1749" t="str">
        <f t="shared" ref="F1749" si="1741">A1749</f>
        <v>ATCGCT</v>
      </c>
    </row>
    <row r="1750" spans="1:6" x14ac:dyDescent="0.3">
      <c r="A1750" t="s">
        <v>4975</v>
      </c>
      <c r="F1750" t="str">
        <f t="shared" ref="F1750" si="1742">LEFT(A1750, LEN(A1750) - 1)</f>
        <v>&gt;873:ATCGGA:22.00:50.00:Warning:6:1816.25</v>
      </c>
    </row>
    <row r="1751" spans="1:6" x14ac:dyDescent="0.3">
      <c r="A1751" t="s">
        <v>879</v>
      </c>
      <c r="F1751" t="str">
        <f t="shared" ref="F1751" si="1743">A1751</f>
        <v>ATCGGA</v>
      </c>
    </row>
    <row r="1752" spans="1:6" x14ac:dyDescent="0.3">
      <c r="A1752" t="s">
        <v>4976</v>
      </c>
      <c r="F1752" t="str">
        <f t="shared" ref="F1752" si="1744">LEFT(A1752, LEN(A1752) - 1)</f>
        <v>&gt;874:ATCGGC:20.00:66.67:Warning:6:1792.22</v>
      </c>
    </row>
    <row r="1753" spans="1:6" x14ac:dyDescent="0.3">
      <c r="A1753" t="s">
        <v>880</v>
      </c>
      <c r="F1753" t="str">
        <f t="shared" ref="F1753" si="1745">A1753</f>
        <v>ATCGGC</v>
      </c>
    </row>
    <row r="1754" spans="1:6" x14ac:dyDescent="0.3">
      <c r="A1754" t="s">
        <v>4977</v>
      </c>
      <c r="F1754" t="str">
        <f t="shared" ref="F1754" si="1746">LEFT(A1754, LEN(A1754) - 1)</f>
        <v>&gt;875:ATCGGG:20.00:66.67:Warning:6:1832.25</v>
      </c>
    </row>
    <row r="1755" spans="1:6" x14ac:dyDescent="0.3">
      <c r="A1755" t="s">
        <v>881</v>
      </c>
      <c r="F1755" t="str">
        <f t="shared" ref="F1755" si="1747">A1755</f>
        <v>ATCGGG</v>
      </c>
    </row>
    <row r="1756" spans="1:6" x14ac:dyDescent="0.3">
      <c r="A1756" t="s">
        <v>4978</v>
      </c>
      <c r="F1756" t="str">
        <f t="shared" ref="F1756" si="1748">LEFT(A1756, LEN(A1756) - 1)</f>
        <v>&gt;876:ATCGGT:14.00:50.00:Warning:6:1807.23</v>
      </c>
    </row>
    <row r="1757" spans="1:6" x14ac:dyDescent="0.3">
      <c r="A1757" t="s">
        <v>882</v>
      </c>
      <c r="F1757" t="str">
        <f t="shared" ref="F1757" si="1749">A1757</f>
        <v>ATCGGT</v>
      </c>
    </row>
    <row r="1758" spans="1:6" x14ac:dyDescent="0.3">
      <c r="A1758" t="s">
        <v>4979</v>
      </c>
      <c r="F1758" t="str">
        <f t="shared" ref="F1758" si="1750">LEFT(A1758, LEN(A1758) - 1)</f>
        <v>&gt;877:ATCGTA:16.00:33.33:OK:6:1791.23</v>
      </c>
    </row>
    <row r="1759" spans="1:6" x14ac:dyDescent="0.3">
      <c r="A1759" t="s">
        <v>883</v>
      </c>
      <c r="F1759" t="str">
        <f t="shared" ref="F1759" si="1751">A1759</f>
        <v>ATCGTA</v>
      </c>
    </row>
    <row r="1760" spans="1:6" x14ac:dyDescent="0.3">
      <c r="A1760" t="s">
        <v>4980</v>
      </c>
      <c r="F1760" t="str">
        <f t="shared" ref="F1760" si="1752">LEFT(A1760, LEN(A1760) - 1)</f>
        <v>&gt;878:ATCGTC:14.00:50.00:Warning:6:1767.20</v>
      </c>
    </row>
    <row r="1761" spans="1:6" x14ac:dyDescent="0.3">
      <c r="A1761" t="s">
        <v>884</v>
      </c>
      <c r="F1761" t="str">
        <f t="shared" ref="F1761" si="1753">A1761</f>
        <v>ATCGTC</v>
      </c>
    </row>
    <row r="1762" spans="1:6" x14ac:dyDescent="0.3">
      <c r="A1762" t="s">
        <v>4981</v>
      </c>
      <c r="F1762" t="str">
        <f t="shared" ref="F1762" si="1754">LEFT(A1762, LEN(A1762) - 1)</f>
        <v>&gt;879:ATCGTG:14.00:50.00:Warning:6:1807.23</v>
      </c>
    </row>
    <row r="1763" spans="1:6" x14ac:dyDescent="0.3">
      <c r="A1763" t="s">
        <v>885</v>
      </c>
      <c r="F1763" t="str">
        <f t="shared" ref="F1763" si="1755">A1763</f>
        <v>ATCGTG</v>
      </c>
    </row>
    <row r="1764" spans="1:6" x14ac:dyDescent="0.3">
      <c r="A1764" t="s">
        <v>4982</v>
      </c>
      <c r="F1764" t="str">
        <f t="shared" ref="F1764" si="1756">LEFT(A1764, LEN(A1764) - 1)</f>
        <v>&gt;880:ATCGTT:8.00:33.33:OK:6:1782.21</v>
      </c>
    </row>
    <row r="1765" spans="1:6" x14ac:dyDescent="0.3">
      <c r="A1765" t="s">
        <v>886</v>
      </c>
      <c r="F1765" t="str">
        <f t="shared" ref="F1765" si="1757">A1765</f>
        <v>ATCGTT</v>
      </c>
    </row>
    <row r="1766" spans="1:6" x14ac:dyDescent="0.3">
      <c r="A1766" t="s">
        <v>4983</v>
      </c>
      <c r="F1766" t="str">
        <f t="shared" ref="F1766" si="1758">LEFT(A1766, LEN(A1766) - 1)</f>
        <v>&gt;881:ATCTAA:18.00:16.67:OK:6:1775.23</v>
      </c>
    </row>
    <row r="1767" spans="1:6" x14ac:dyDescent="0.3">
      <c r="A1767" t="s">
        <v>887</v>
      </c>
      <c r="F1767" t="str">
        <f t="shared" ref="F1767" si="1759">A1767</f>
        <v>ATCTAA</v>
      </c>
    </row>
    <row r="1768" spans="1:6" x14ac:dyDescent="0.3">
      <c r="A1768" t="s">
        <v>4984</v>
      </c>
      <c r="F1768" t="str">
        <f t="shared" ref="F1768" si="1760">LEFT(A1768, LEN(A1768) - 1)</f>
        <v>&gt;882:ATCTAC:16.00:33.33:OK:6:1751.20</v>
      </c>
    </row>
    <row r="1769" spans="1:6" x14ac:dyDescent="0.3">
      <c r="A1769" t="s">
        <v>888</v>
      </c>
      <c r="F1769" t="str">
        <f t="shared" ref="F1769" si="1761">A1769</f>
        <v>ATCTAC</v>
      </c>
    </row>
    <row r="1770" spans="1:6" x14ac:dyDescent="0.3">
      <c r="A1770" t="s">
        <v>4985</v>
      </c>
      <c r="F1770" t="str">
        <f t="shared" ref="F1770" si="1762">LEFT(A1770, LEN(A1770) - 1)</f>
        <v>&gt;883:ATCTAG:16.00:33.33:OK:6:1791.23</v>
      </c>
    </row>
    <row r="1771" spans="1:6" x14ac:dyDescent="0.3">
      <c r="A1771" t="s">
        <v>889</v>
      </c>
      <c r="F1771" t="str">
        <f t="shared" ref="F1771" si="1763">A1771</f>
        <v>ATCTAG</v>
      </c>
    </row>
    <row r="1772" spans="1:6" x14ac:dyDescent="0.3">
      <c r="A1772" t="s">
        <v>4986</v>
      </c>
      <c r="F1772" t="str">
        <f t="shared" ref="F1772" si="1764">LEFT(A1772, LEN(A1772) - 1)</f>
        <v>&gt;884:ATCTAT:10.00:16.67:OK:6:1766.21</v>
      </c>
    </row>
    <row r="1773" spans="1:6" x14ac:dyDescent="0.3">
      <c r="A1773" t="s">
        <v>890</v>
      </c>
      <c r="F1773" t="str">
        <f t="shared" ref="F1773" si="1765">A1773</f>
        <v>ATCTAT</v>
      </c>
    </row>
    <row r="1774" spans="1:6" x14ac:dyDescent="0.3">
      <c r="A1774" t="s">
        <v>4987</v>
      </c>
      <c r="F1774" t="str">
        <f t="shared" ref="F1774" si="1766">LEFT(A1774, LEN(A1774) - 1)</f>
        <v>&gt;885:ATCTCA:16.00:33.33:OK:6:1751.20</v>
      </c>
    </row>
    <row r="1775" spans="1:6" x14ac:dyDescent="0.3">
      <c r="A1775" t="s">
        <v>891</v>
      </c>
      <c r="F1775" t="str">
        <f t="shared" ref="F1775" si="1767">A1775</f>
        <v>ATCTCA</v>
      </c>
    </row>
    <row r="1776" spans="1:6" x14ac:dyDescent="0.3">
      <c r="A1776" t="s">
        <v>4988</v>
      </c>
      <c r="F1776" t="str">
        <f t="shared" ref="F1776" si="1768">LEFT(A1776, LEN(A1776) - 1)</f>
        <v>&gt;886:ATCTCC:14.00:50.00:Warning:6:1727.17</v>
      </c>
    </row>
    <row r="1777" spans="1:6" x14ac:dyDescent="0.3">
      <c r="A1777" t="s">
        <v>892</v>
      </c>
      <c r="F1777" t="str">
        <f t="shared" ref="F1777" si="1769">A1777</f>
        <v>ATCTCC</v>
      </c>
    </row>
    <row r="1778" spans="1:6" x14ac:dyDescent="0.3">
      <c r="A1778" t="s">
        <v>4989</v>
      </c>
      <c r="F1778" t="str">
        <f t="shared" ref="F1778" si="1770">LEFT(A1778, LEN(A1778) - 1)</f>
        <v>&gt;887:ATCTCG:14.00:50.00:Warning:6:1767.20</v>
      </c>
    </row>
    <row r="1779" spans="1:6" x14ac:dyDescent="0.3">
      <c r="A1779" t="s">
        <v>893</v>
      </c>
      <c r="F1779" t="str">
        <f t="shared" ref="F1779" si="1771">A1779</f>
        <v>ATCTCG</v>
      </c>
    </row>
    <row r="1780" spans="1:6" x14ac:dyDescent="0.3">
      <c r="A1780" t="s">
        <v>4990</v>
      </c>
      <c r="F1780" t="str">
        <f t="shared" ref="F1780" si="1772">LEFT(A1780, LEN(A1780) - 1)</f>
        <v>&gt;888:ATCTCT:8.00:33.33:OK:6:1742.18</v>
      </c>
    </row>
    <row r="1781" spans="1:6" x14ac:dyDescent="0.3">
      <c r="A1781" t="s">
        <v>894</v>
      </c>
      <c r="F1781" t="str">
        <f t="shared" ref="F1781" si="1773">A1781</f>
        <v>ATCTCT</v>
      </c>
    </row>
    <row r="1782" spans="1:6" x14ac:dyDescent="0.3">
      <c r="A1782" t="s">
        <v>4991</v>
      </c>
      <c r="F1782" t="str">
        <f t="shared" ref="F1782" si="1774">LEFT(A1782, LEN(A1782) - 1)</f>
        <v>&gt;889:ATCTGA:16.00:33.33:OK:6:1791.23</v>
      </c>
    </row>
    <row r="1783" spans="1:6" x14ac:dyDescent="0.3">
      <c r="A1783" t="s">
        <v>895</v>
      </c>
      <c r="F1783" t="str">
        <f t="shared" ref="F1783" si="1775">A1783</f>
        <v>ATCTGA</v>
      </c>
    </row>
    <row r="1784" spans="1:6" x14ac:dyDescent="0.3">
      <c r="A1784" t="s">
        <v>4992</v>
      </c>
      <c r="F1784" t="str">
        <f t="shared" ref="F1784" si="1776">LEFT(A1784, LEN(A1784) - 1)</f>
        <v>&gt;890:ATCTGC:14.00:50.00:Warning:6:1767.20</v>
      </c>
    </row>
    <row r="1785" spans="1:6" x14ac:dyDescent="0.3">
      <c r="A1785" t="s">
        <v>896</v>
      </c>
      <c r="F1785" t="str">
        <f t="shared" ref="F1785" si="1777">A1785</f>
        <v>ATCTGC</v>
      </c>
    </row>
    <row r="1786" spans="1:6" x14ac:dyDescent="0.3">
      <c r="A1786" t="s">
        <v>4993</v>
      </c>
      <c r="F1786" t="str">
        <f t="shared" ref="F1786" si="1778">LEFT(A1786, LEN(A1786) - 1)</f>
        <v>&gt;891:ATCTGG:14.00:50.00:Warning:6:1807.23</v>
      </c>
    </row>
    <row r="1787" spans="1:6" x14ac:dyDescent="0.3">
      <c r="A1787" t="s">
        <v>897</v>
      </c>
      <c r="F1787" t="str">
        <f t="shared" ref="F1787" si="1779">A1787</f>
        <v>ATCTGG</v>
      </c>
    </row>
    <row r="1788" spans="1:6" x14ac:dyDescent="0.3">
      <c r="A1788" t="s">
        <v>4994</v>
      </c>
      <c r="F1788" t="str">
        <f t="shared" ref="F1788" si="1780">LEFT(A1788, LEN(A1788) - 1)</f>
        <v>&gt;892:ATCTGT:8.00:33.33:OK:6:1782.21</v>
      </c>
    </row>
    <row r="1789" spans="1:6" x14ac:dyDescent="0.3">
      <c r="A1789" t="s">
        <v>898</v>
      </c>
      <c r="F1789" t="str">
        <f t="shared" ref="F1789" si="1781">A1789</f>
        <v>ATCTGT</v>
      </c>
    </row>
    <row r="1790" spans="1:6" x14ac:dyDescent="0.3">
      <c r="A1790" t="s">
        <v>4995</v>
      </c>
      <c r="F1790" t="str">
        <f t="shared" ref="F1790" si="1782">LEFT(A1790, LEN(A1790) - 1)</f>
        <v>&gt;893:ATCTTA:10.00:16.67:OK:6:1766.21</v>
      </c>
    </row>
    <row r="1791" spans="1:6" x14ac:dyDescent="0.3">
      <c r="A1791" t="s">
        <v>899</v>
      </c>
      <c r="F1791" t="str">
        <f t="shared" ref="F1791" si="1783">A1791</f>
        <v>ATCTTA</v>
      </c>
    </row>
    <row r="1792" spans="1:6" x14ac:dyDescent="0.3">
      <c r="A1792" t="s">
        <v>4996</v>
      </c>
      <c r="F1792" t="str">
        <f t="shared" ref="F1792" si="1784">LEFT(A1792, LEN(A1792) - 1)</f>
        <v>&gt;894:ATCTTC:8.00:33.33:OK:6:1742.18</v>
      </c>
    </row>
    <row r="1793" spans="1:6" x14ac:dyDescent="0.3">
      <c r="A1793" t="s">
        <v>900</v>
      </c>
      <c r="F1793" t="str">
        <f t="shared" ref="F1793" si="1785">A1793</f>
        <v>ATCTTC</v>
      </c>
    </row>
    <row r="1794" spans="1:6" x14ac:dyDescent="0.3">
      <c r="A1794" t="s">
        <v>4997</v>
      </c>
      <c r="F1794" t="str">
        <f t="shared" ref="F1794" si="1786">LEFT(A1794, LEN(A1794) - 1)</f>
        <v>&gt;895:ATCTTG:8.00:33.33:OK:6:1782.21</v>
      </c>
    </row>
    <row r="1795" spans="1:6" x14ac:dyDescent="0.3">
      <c r="A1795" t="s">
        <v>901</v>
      </c>
      <c r="F1795" t="str">
        <f t="shared" ref="F1795" si="1787">A1795</f>
        <v>ATCTTG</v>
      </c>
    </row>
    <row r="1796" spans="1:6" x14ac:dyDescent="0.3">
      <c r="A1796" t="s">
        <v>4998</v>
      </c>
      <c r="F1796" t="str">
        <f t="shared" ref="F1796" si="1788">LEFT(A1796, LEN(A1796) - 1)</f>
        <v>&gt;896:ATCTTT:2.00:16.67:OK:6:1757.19</v>
      </c>
    </row>
    <row r="1797" spans="1:6" x14ac:dyDescent="0.3">
      <c r="A1797" t="s">
        <v>902</v>
      </c>
      <c r="F1797" t="str">
        <f t="shared" ref="F1797" si="1789">A1797</f>
        <v>ATCTTT</v>
      </c>
    </row>
    <row r="1798" spans="1:6" x14ac:dyDescent="0.3">
      <c r="A1798" t="s">
        <v>4999</v>
      </c>
      <c r="F1798" t="str">
        <f t="shared" ref="F1798" si="1790">LEFT(A1798, LEN(A1798) - 1)</f>
        <v>&gt;897:ATGAAA:26.00:16.67:OK:6:1824.28</v>
      </c>
    </row>
    <row r="1799" spans="1:6" x14ac:dyDescent="0.3">
      <c r="A1799" t="s">
        <v>903</v>
      </c>
      <c r="F1799" t="str">
        <f t="shared" ref="F1799" si="1791">A1799</f>
        <v>ATGAAA</v>
      </c>
    </row>
    <row r="1800" spans="1:6" x14ac:dyDescent="0.3">
      <c r="A1800" t="s">
        <v>5000</v>
      </c>
      <c r="F1800" t="str">
        <f t="shared" ref="F1800" si="1792">LEFT(A1800, LEN(A1800) - 1)</f>
        <v>&gt;898:ATGAAC:24.00:33.33:OK:6:1800.25</v>
      </c>
    </row>
    <row r="1801" spans="1:6" x14ac:dyDescent="0.3">
      <c r="A1801" t="s">
        <v>904</v>
      </c>
      <c r="F1801" t="str">
        <f t="shared" ref="F1801" si="1793">A1801</f>
        <v>ATGAAC</v>
      </c>
    </row>
    <row r="1802" spans="1:6" x14ac:dyDescent="0.3">
      <c r="A1802" t="s">
        <v>5001</v>
      </c>
      <c r="F1802" t="str">
        <f t="shared" ref="F1802" si="1794">LEFT(A1802, LEN(A1802) - 1)</f>
        <v>&gt;899:ATGAAG:24.00:33.33:OK:6:1840.28</v>
      </c>
    </row>
    <row r="1803" spans="1:6" x14ac:dyDescent="0.3">
      <c r="A1803" t="s">
        <v>905</v>
      </c>
      <c r="F1803" t="str">
        <f t="shared" ref="F1803" si="1795">A1803</f>
        <v>ATGAAG</v>
      </c>
    </row>
    <row r="1804" spans="1:6" x14ac:dyDescent="0.3">
      <c r="A1804" t="s">
        <v>5002</v>
      </c>
      <c r="F1804" t="str">
        <f t="shared" ref="F1804" si="1796">LEFT(A1804, LEN(A1804) - 1)</f>
        <v>&gt;900:ATGAAT:18.00:16.67:OK:6:1815.26</v>
      </c>
    </row>
    <row r="1805" spans="1:6" x14ac:dyDescent="0.3">
      <c r="A1805" t="s">
        <v>906</v>
      </c>
      <c r="F1805" t="str">
        <f t="shared" ref="F1805" si="1797">A1805</f>
        <v>ATGAAT</v>
      </c>
    </row>
    <row r="1806" spans="1:6" x14ac:dyDescent="0.3">
      <c r="A1806" t="s">
        <v>5003</v>
      </c>
      <c r="F1806" t="str">
        <f t="shared" ref="F1806" si="1798">LEFT(A1806, LEN(A1806) - 1)</f>
        <v>&gt;901:ATGACA:24.00:33.33:OK:6:1800.25</v>
      </c>
    </row>
    <row r="1807" spans="1:6" x14ac:dyDescent="0.3">
      <c r="A1807" t="s">
        <v>907</v>
      </c>
      <c r="F1807" t="str">
        <f t="shared" ref="F1807" si="1799">A1807</f>
        <v>ATGACA</v>
      </c>
    </row>
    <row r="1808" spans="1:6" x14ac:dyDescent="0.3">
      <c r="A1808" t="s">
        <v>5004</v>
      </c>
      <c r="F1808" t="str">
        <f t="shared" ref="F1808" si="1800">LEFT(A1808, LEN(A1808) - 1)</f>
        <v>&gt;902:ATGACC:22.00:50.00:Warning:6:1776.22</v>
      </c>
    </row>
    <row r="1809" spans="1:6" x14ac:dyDescent="0.3">
      <c r="A1809" t="s">
        <v>908</v>
      </c>
      <c r="F1809" t="str">
        <f t="shared" ref="F1809" si="1801">A1809</f>
        <v>ATGACC</v>
      </c>
    </row>
    <row r="1810" spans="1:6" x14ac:dyDescent="0.3">
      <c r="A1810" t="s">
        <v>5005</v>
      </c>
      <c r="F1810" t="str">
        <f t="shared" ref="F1810" si="1802">LEFT(A1810, LEN(A1810) - 1)</f>
        <v>&gt;903:ATGACG:22.00:50.00:Warning:6:1816.25</v>
      </c>
    </row>
    <row r="1811" spans="1:6" x14ac:dyDescent="0.3">
      <c r="A1811" t="s">
        <v>909</v>
      </c>
      <c r="F1811" t="str">
        <f t="shared" ref="F1811" si="1803">A1811</f>
        <v>ATGACG</v>
      </c>
    </row>
    <row r="1812" spans="1:6" x14ac:dyDescent="0.3">
      <c r="A1812" t="s">
        <v>5006</v>
      </c>
      <c r="F1812" t="str">
        <f t="shared" ref="F1812" si="1804">LEFT(A1812, LEN(A1812) - 1)</f>
        <v>&gt;904:ATGACT:16.00:33.33:OK:6:1791.23</v>
      </c>
    </row>
    <row r="1813" spans="1:6" x14ac:dyDescent="0.3">
      <c r="A1813" t="s">
        <v>910</v>
      </c>
      <c r="F1813" t="str">
        <f t="shared" ref="F1813" si="1805">A1813</f>
        <v>ATGACT</v>
      </c>
    </row>
    <row r="1814" spans="1:6" x14ac:dyDescent="0.3">
      <c r="A1814" t="s">
        <v>5007</v>
      </c>
      <c r="F1814" t="str">
        <f t="shared" ref="F1814" si="1806">LEFT(A1814, LEN(A1814) - 1)</f>
        <v>&gt;905:ATGAGA:24.00:33.33:OK:6:1840.28</v>
      </c>
    </row>
    <row r="1815" spans="1:6" x14ac:dyDescent="0.3">
      <c r="A1815" t="s">
        <v>911</v>
      </c>
      <c r="F1815" t="str">
        <f t="shared" ref="F1815" si="1807">A1815</f>
        <v>ATGAGA</v>
      </c>
    </row>
    <row r="1816" spans="1:6" x14ac:dyDescent="0.3">
      <c r="A1816" t="s">
        <v>5008</v>
      </c>
      <c r="F1816" t="str">
        <f t="shared" ref="F1816" si="1808">LEFT(A1816, LEN(A1816) - 1)</f>
        <v>&gt;906:ATGAGC:22.00:50.00:Warning:6:1816.25</v>
      </c>
    </row>
    <row r="1817" spans="1:6" x14ac:dyDescent="0.3">
      <c r="A1817" t="s">
        <v>912</v>
      </c>
      <c r="F1817" t="str">
        <f t="shared" ref="F1817" si="1809">A1817</f>
        <v>ATGAGC</v>
      </c>
    </row>
    <row r="1818" spans="1:6" x14ac:dyDescent="0.3">
      <c r="A1818" t="s">
        <v>5009</v>
      </c>
      <c r="F1818" t="str">
        <f t="shared" ref="F1818" si="1810">LEFT(A1818, LEN(A1818) - 1)</f>
        <v>&gt;907:ATGAGG:22.00:50.00:Warning:6:1856.28</v>
      </c>
    </row>
    <row r="1819" spans="1:6" x14ac:dyDescent="0.3">
      <c r="A1819" t="s">
        <v>913</v>
      </c>
      <c r="F1819" t="str">
        <f t="shared" ref="F1819" si="1811">A1819</f>
        <v>ATGAGG</v>
      </c>
    </row>
    <row r="1820" spans="1:6" x14ac:dyDescent="0.3">
      <c r="A1820" t="s">
        <v>5010</v>
      </c>
      <c r="F1820" t="str">
        <f t="shared" ref="F1820" si="1812">LEFT(A1820, LEN(A1820) - 1)</f>
        <v>&gt;908:ATGAGT:16.00:33.33:OK:6:1831.26</v>
      </c>
    </row>
    <row r="1821" spans="1:6" x14ac:dyDescent="0.3">
      <c r="A1821" t="s">
        <v>914</v>
      </c>
      <c r="F1821" t="str">
        <f t="shared" ref="F1821" si="1813">A1821</f>
        <v>ATGAGT</v>
      </c>
    </row>
    <row r="1822" spans="1:6" x14ac:dyDescent="0.3">
      <c r="A1822" t="s">
        <v>5011</v>
      </c>
      <c r="F1822" t="str">
        <f t="shared" ref="F1822" si="1814">LEFT(A1822, LEN(A1822) - 1)</f>
        <v>&gt;909:ATGATA:18.00:16.67:OK:6:1815.26</v>
      </c>
    </row>
    <row r="1823" spans="1:6" x14ac:dyDescent="0.3">
      <c r="A1823" t="s">
        <v>915</v>
      </c>
      <c r="F1823" t="str">
        <f t="shared" ref="F1823" si="1815">A1823</f>
        <v>ATGATA</v>
      </c>
    </row>
    <row r="1824" spans="1:6" x14ac:dyDescent="0.3">
      <c r="A1824" t="s">
        <v>5012</v>
      </c>
      <c r="F1824" t="str">
        <f t="shared" ref="F1824" si="1816">LEFT(A1824, LEN(A1824) - 1)</f>
        <v>&gt;910:ATGATC:16.00:33.33:OK:6:1791.23</v>
      </c>
    </row>
    <row r="1825" spans="1:6" x14ac:dyDescent="0.3">
      <c r="A1825" t="s">
        <v>916</v>
      </c>
      <c r="F1825" t="str">
        <f t="shared" ref="F1825" si="1817">A1825</f>
        <v>ATGATC</v>
      </c>
    </row>
    <row r="1826" spans="1:6" x14ac:dyDescent="0.3">
      <c r="A1826" t="s">
        <v>5013</v>
      </c>
      <c r="F1826" t="str">
        <f t="shared" ref="F1826" si="1818">LEFT(A1826, LEN(A1826) - 1)</f>
        <v>&gt;911:ATGATG:16.00:33.33:OK:6:1831.26</v>
      </c>
    </row>
    <row r="1827" spans="1:6" x14ac:dyDescent="0.3">
      <c r="A1827" t="s">
        <v>917</v>
      </c>
      <c r="F1827" t="str">
        <f t="shared" ref="F1827" si="1819">A1827</f>
        <v>ATGATG</v>
      </c>
    </row>
    <row r="1828" spans="1:6" x14ac:dyDescent="0.3">
      <c r="A1828" t="s">
        <v>5014</v>
      </c>
      <c r="F1828" t="str">
        <f t="shared" ref="F1828" si="1820">LEFT(A1828, LEN(A1828) - 1)</f>
        <v>&gt;912:ATGATT:10.00:16.67:OK:6:1806.24</v>
      </c>
    </row>
    <row r="1829" spans="1:6" x14ac:dyDescent="0.3">
      <c r="A1829" t="s">
        <v>918</v>
      </c>
      <c r="F1829" t="str">
        <f t="shared" ref="F1829" si="1821">A1829</f>
        <v>ATGATT</v>
      </c>
    </row>
    <row r="1830" spans="1:6" x14ac:dyDescent="0.3">
      <c r="A1830" t="s">
        <v>5015</v>
      </c>
      <c r="F1830" t="str">
        <f t="shared" ref="F1830" si="1822">LEFT(A1830, LEN(A1830) - 1)</f>
        <v>&gt;913:ATGCAA:24.00:33.33:OK:6:1800.25</v>
      </c>
    </row>
    <row r="1831" spans="1:6" x14ac:dyDescent="0.3">
      <c r="A1831" t="s">
        <v>919</v>
      </c>
      <c r="F1831" t="str">
        <f t="shared" ref="F1831" si="1823">A1831</f>
        <v>ATGCAA</v>
      </c>
    </row>
    <row r="1832" spans="1:6" x14ac:dyDescent="0.3">
      <c r="A1832" t="s">
        <v>5016</v>
      </c>
      <c r="F1832" t="str">
        <f t="shared" ref="F1832" si="1824">LEFT(A1832, LEN(A1832) - 1)</f>
        <v>&gt;914:ATGCAC:22.00:50.00:Warning:6:1776.22</v>
      </c>
    </row>
    <row r="1833" spans="1:6" x14ac:dyDescent="0.3">
      <c r="A1833" t="s">
        <v>920</v>
      </c>
      <c r="F1833" t="str">
        <f t="shared" ref="F1833" si="1825">A1833</f>
        <v>ATGCAC</v>
      </c>
    </row>
    <row r="1834" spans="1:6" x14ac:dyDescent="0.3">
      <c r="A1834" t="s">
        <v>5017</v>
      </c>
      <c r="F1834" t="str">
        <f t="shared" ref="F1834" si="1826">LEFT(A1834, LEN(A1834) - 1)</f>
        <v>&gt;915:ATGCAG:22.00:50.00:Warning:6:1816.25</v>
      </c>
    </row>
    <row r="1835" spans="1:6" x14ac:dyDescent="0.3">
      <c r="A1835" t="s">
        <v>921</v>
      </c>
      <c r="F1835" t="str">
        <f t="shared" ref="F1835" si="1827">A1835</f>
        <v>ATGCAG</v>
      </c>
    </row>
    <row r="1836" spans="1:6" x14ac:dyDescent="0.3">
      <c r="A1836" t="s">
        <v>5018</v>
      </c>
      <c r="F1836" t="str">
        <f t="shared" ref="F1836" si="1828">LEFT(A1836, LEN(A1836) - 1)</f>
        <v>&gt;916:ATGCAT:16.00:33.33:OK:6:1791.23</v>
      </c>
    </row>
    <row r="1837" spans="1:6" x14ac:dyDescent="0.3">
      <c r="A1837" t="s">
        <v>922</v>
      </c>
      <c r="F1837" t="str">
        <f t="shared" ref="F1837" si="1829">A1837</f>
        <v>ATGCAT</v>
      </c>
    </row>
    <row r="1838" spans="1:6" x14ac:dyDescent="0.3">
      <c r="A1838" t="s">
        <v>5019</v>
      </c>
      <c r="F1838" t="str">
        <f t="shared" ref="F1838" si="1830">LEFT(A1838, LEN(A1838) - 1)</f>
        <v>&gt;917:ATGCCA:22.00:50.00:Warning:6:1776.22</v>
      </c>
    </row>
    <row r="1839" spans="1:6" x14ac:dyDescent="0.3">
      <c r="A1839" t="s">
        <v>923</v>
      </c>
      <c r="F1839" t="str">
        <f t="shared" ref="F1839" si="1831">A1839</f>
        <v>ATGCCA</v>
      </c>
    </row>
    <row r="1840" spans="1:6" x14ac:dyDescent="0.3">
      <c r="A1840" t="s">
        <v>5020</v>
      </c>
      <c r="F1840" t="str">
        <f t="shared" ref="F1840" si="1832">LEFT(A1840, LEN(A1840) - 1)</f>
        <v>&gt;918:ATGCCC:20.00:66.67:Warning:6:1752.19</v>
      </c>
    </row>
    <row r="1841" spans="1:6" x14ac:dyDescent="0.3">
      <c r="A1841" t="s">
        <v>924</v>
      </c>
      <c r="F1841" t="str">
        <f t="shared" ref="F1841" si="1833">A1841</f>
        <v>ATGCCC</v>
      </c>
    </row>
    <row r="1842" spans="1:6" x14ac:dyDescent="0.3">
      <c r="A1842" t="s">
        <v>5021</v>
      </c>
      <c r="F1842" t="str">
        <f t="shared" ref="F1842" si="1834">LEFT(A1842, LEN(A1842) - 1)</f>
        <v>&gt;919:ATGCCG:20.00:66.67:Warning:6:1792.22</v>
      </c>
    </row>
    <row r="1843" spans="1:6" x14ac:dyDescent="0.3">
      <c r="A1843" t="s">
        <v>925</v>
      </c>
      <c r="F1843" t="str">
        <f t="shared" ref="F1843" si="1835">A1843</f>
        <v>ATGCCG</v>
      </c>
    </row>
    <row r="1844" spans="1:6" x14ac:dyDescent="0.3">
      <c r="A1844" t="s">
        <v>5022</v>
      </c>
      <c r="F1844" t="str">
        <f t="shared" ref="F1844" si="1836">LEFT(A1844, LEN(A1844) - 1)</f>
        <v>&gt;920:ATGCCT:14.00:50.00:Warning:6:1767.20</v>
      </c>
    </row>
    <row r="1845" spans="1:6" x14ac:dyDescent="0.3">
      <c r="A1845" t="s">
        <v>926</v>
      </c>
      <c r="F1845" t="str">
        <f t="shared" ref="F1845" si="1837">A1845</f>
        <v>ATGCCT</v>
      </c>
    </row>
    <row r="1846" spans="1:6" x14ac:dyDescent="0.3">
      <c r="A1846" t="s">
        <v>5023</v>
      </c>
      <c r="F1846" t="str">
        <f t="shared" ref="F1846" si="1838">LEFT(A1846, LEN(A1846) - 1)</f>
        <v>&gt;921:ATGCGA:22.00:50.00:Warning:6:1816.25</v>
      </c>
    </row>
    <row r="1847" spans="1:6" x14ac:dyDescent="0.3">
      <c r="A1847" t="s">
        <v>927</v>
      </c>
      <c r="F1847" t="str">
        <f t="shared" ref="F1847" si="1839">A1847</f>
        <v>ATGCGA</v>
      </c>
    </row>
    <row r="1848" spans="1:6" x14ac:dyDescent="0.3">
      <c r="A1848" t="s">
        <v>5024</v>
      </c>
      <c r="F1848" t="str">
        <f t="shared" ref="F1848" si="1840">LEFT(A1848, LEN(A1848) - 1)</f>
        <v>&gt;922:ATGCGC:20.00:66.67:Warning:6:1792.22</v>
      </c>
    </row>
    <row r="1849" spans="1:6" x14ac:dyDescent="0.3">
      <c r="A1849" t="s">
        <v>928</v>
      </c>
      <c r="F1849" t="str">
        <f t="shared" ref="F1849" si="1841">A1849</f>
        <v>ATGCGC</v>
      </c>
    </row>
    <row r="1850" spans="1:6" x14ac:dyDescent="0.3">
      <c r="A1850" t="s">
        <v>5025</v>
      </c>
      <c r="F1850" t="str">
        <f t="shared" ref="F1850" si="1842">LEFT(A1850, LEN(A1850) - 1)</f>
        <v>&gt;923:ATGCGG:20.00:66.67:Warning:6:1832.25</v>
      </c>
    </row>
    <row r="1851" spans="1:6" x14ac:dyDescent="0.3">
      <c r="A1851" t="s">
        <v>929</v>
      </c>
      <c r="F1851" t="str">
        <f t="shared" ref="F1851" si="1843">A1851</f>
        <v>ATGCGG</v>
      </c>
    </row>
    <row r="1852" spans="1:6" x14ac:dyDescent="0.3">
      <c r="A1852" t="s">
        <v>5026</v>
      </c>
      <c r="F1852" t="str">
        <f t="shared" ref="F1852" si="1844">LEFT(A1852, LEN(A1852) - 1)</f>
        <v>&gt;924:ATGCGT:14.00:50.00:Warning:6:1807.23</v>
      </c>
    </row>
    <row r="1853" spans="1:6" x14ac:dyDescent="0.3">
      <c r="A1853" t="s">
        <v>930</v>
      </c>
      <c r="F1853" t="str">
        <f t="shared" ref="F1853" si="1845">A1853</f>
        <v>ATGCGT</v>
      </c>
    </row>
    <row r="1854" spans="1:6" x14ac:dyDescent="0.3">
      <c r="A1854" t="s">
        <v>5027</v>
      </c>
      <c r="F1854" t="str">
        <f t="shared" ref="F1854" si="1846">LEFT(A1854, LEN(A1854) - 1)</f>
        <v>&gt;925:ATGCTA:16.00:33.33:OK:6:1791.23</v>
      </c>
    </row>
    <row r="1855" spans="1:6" x14ac:dyDescent="0.3">
      <c r="A1855" t="s">
        <v>931</v>
      </c>
      <c r="F1855" t="str">
        <f t="shared" ref="F1855" si="1847">A1855</f>
        <v>ATGCTA</v>
      </c>
    </row>
    <row r="1856" spans="1:6" x14ac:dyDescent="0.3">
      <c r="A1856" t="s">
        <v>5028</v>
      </c>
      <c r="F1856" t="str">
        <f t="shared" ref="F1856" si="1848">LEFT(A1856, LEN(A1856) - 1)</f>
        <v>&gt;926:ATGCTC:14.00:50.00:Warning:6:1767.20</v>
      </c>
    </row>
    <row r="1857" spans="1:6" x14ac:dyDescent="0.3">
      <c r="A1857" t="s">
        <v>932</v>
      </c>
      <c r="F1857" t="str">
        <f t="shared" ref="F1857" si="1849">A1857</f>
        <v>ATGCTC</v>
      </c>
    </row>
    <row r="1858" spans="1:6" x14ac:dyDescent="0.3">
      <c r="A1858" t="s">
        <v>5029</v>
      </c>
      <c r="F1858" t="str">
        <f t="shared" ref="F1858" si="1850">LEFT(A1858, LEN(A1858) - 1)</f>
        <v>&gt;927:ATGCTG:14.00:50.00:Warning:6:1807.23</v>
      </c>
    </row>
    <row r="1859" spans="1:6" x14ac:dyDescent="0.3">
      <c r="A1859" t="s">
        <v>933</v>
      </c>
      <c r="F1859" t="str">
        <f t="shared" ref="F1859" si="1851">A1859</f>
        <v>ATGCTG</v>
      </c>
    </row>
    <row r="1860" spans="1:6" x14ac:dyDescent="0.3">
      <c r="A1860" t="s">
        <v>5030</v>
      </c>
      <c r="F1860" t="str">
        <f t="shared" ref="F1860" si="1852">LEFT(A1860, LEN(A1860) - 1)</f>
        <v>&gt;928:ATGCTT:8.00:33.33:OK:6:1782.21</v>
      </c>
    </row>
    <row r="1861" spans="1:6" x14ac:dyDescent="0.3">
      <c r="A1861" t="s">
        <v>934</v>
      </c>
      <c r="F1861" t="str">
        <f t="shared" ref="F1861" si="1853">A1861</f>
        <v>ATGCTT</v>
      </c>
    </row>
    <row r="1862" spans="1:6" x14ac:dyDescent="0.3">
      <c r="A1862" t="s">
        <v>5031</v>
      </c>
      <c r="F1862" t="str">
        <f t="shared" ref="F1862" si="1854">LEFT(A1862, LEN(A1862) - 1)</f>
        <v>&gt;929:ATGGAA:24.00:33.33:OK:6:1840.28</v>
      </c>
    </row>
    <row r="1863" spans="1:6" x14ac:dyDescent="0.3">
      <c r="A1863" t="s">
        <v>935</v>
      </c>
      <c r="F1863" t="str">
        <f t="shared" ref="F1863" si="1855">A1863</f>
        <v>ATGGAA</v>
      </c>
    </row>
    <row r="1864" spans="1:6" x14ac:dyDescent="0.3">
      <c r="A1864" t="s">
        <v>5032</v>
      </c>
      <c r="F1864" t="str">
        <f t="shared" ref="F1864" si="1856">LEFT(A1864, LEN(A1864) - 1)</f>
        <v>&gt;930:ATGGAC:22.00:50.00:Warning:6:1816.25</v>
      </c>
    </row>
    <row r="1865" spans="1:6" x14ac:dyDescent="0.3">
      <c r="A1865" t="s">
        <v>936</v>
      </c>
      <c r="F1865" t="str">
        <f t="shared" ref="F1865" si="1857">A1865</f>
        <v>ATGGAC</v>
      </c>
    </row>
    <row r="1866" spans="1:6" x14ac:dyDescent="0.3">
      <c r="A1866" t="s">
        <v>5033</v>
      </c>
      <c r="F1866" t="str">
        <f t="shared" ref="F1866" si="1858">LEFT(A1866, LEN(A1866) - 1)</f>
        <v>&gt;931:ATGGAG:22.00:50.00:Warning:6:1856.28</v>
      </c>
    </row>
    <row r="1867" spans="1:6" x14ac:dyDescent="0.3">
      <c r="A1867" t="s">
        <v>937</v>
      </c>
      <c r="F1867" t="str">
        <f t="shared" ref="F1867" si="1859">A1867</f>
        <v>ATGGAG</v>
      </c>
    </row>
    <row r="1868" spans="1:6" x14ac:dyDescent="0.3">
      <c r="A1868" t="s">
        <v>5034</v>
      </c>
      <c r="F1868" t="str">
        <f t="shared" ref="F1868" si="1860">LEFT(A1868, LEN(A1868) - 1)</f>
        <v>&gt;932:ATGGAT:16.00:33.33:OK:6:1831.26</v>
      </c>
    </row>
    <row r="1869" spans="1:6" x14ac:dyDescent="0.3">
      <c r="A1869" t="s">
        <v>938</v>
      </c>
      <c r="F1869" t="str">
        <f t="shared" ref="F1869" si="1861">A1869</f>
        <v>ATGGAT</v>
      </c>
    </row>
    <row r="1870" spans="1:6" x14ac:dyDescent="0.3">
      <c r="A1870" t="s">
        <v>5035</v>
      </c>
      <c r="F1870" t="str">
        <f t="shared" ref="F1870" si="1862">LEFT(A1870, LEN(A1870) - 1)</f>
        <v>&gt;933:ATGGCA:22.00:50.00:Warning:6:1816.25</v>
      </c>
    </row>
    <row r="1871" spans="1:6" x14ac:dyDescent="0.3">
      <c r="A1871" t="s">
        <v>939</v>
      </c>
      <c r="F1871" t="str">
        <f t="shared" ref="F1871" si="1863">A1871</f>
        <v>ATGGCA</v>
      </c>
    </row>
    <row r="1872" spans="1:6" x14ac:dyDescent="0.3">
      <c r="A1872" t="s">
        <v>5036</v>
      </c>
      <c r="F1872" t="str">
        <f t="shared" ref="F1872" si="1864">LEFT(A1872, LEN(A1872) - 1)</f>
        <v>&gt;934:ATGGCC:20.00:66.67:Warning:6:1792.22</v>
      </c>
    </row>
    <row r="1873" spans="1:6" x14ac:dyDescent="0.3">
      <c r="A1873" t="s">
        <v>940</v>
      </c>
      <c r="F1873" t="str">
        <f t="shared" ref="F1873" si="1865">A1873</f>
        <v>ATGGCC</v>
      </c>
    </row>
    <row r="1874" spans="1:6" x14ac:dyDescent="0.3">
      <c r="A1874" t="s">
        <v>5037</v>
      </c>
      <c r="F1874" t="str">
        <f t="shared" ref="F1874" si="1866">LEFT(A1874, LEN(A1874) - 1)</f>
        <v>&gt;935:ATGGCG:20.00:66.67:Warning:6:1832.25</v>
      </c>
    </row>
    <row r="1875" spans="1:6" x14ac:dyDescent="0.3">
      <c r="A1875" t="s">
        <v>941</v>
      </c>
      <c r="F1875" t="str">
        <f t="shared" ref="F1875" si="1867">A1875</f>
        <v>ATGGCG</v>
      </c>
    </row>
    <row r="1876" spans="1:6" x14ac:dyDescent="0.3">
      <c r="A1876" t="s">
        <v>5038</v>
      </c>
      <c r="F1876" t="str">
        <f t="shared" ref="F1876" si="1868">LEFT(A1876, LEN(A1876) - 1)</f>
        <v>&gt;936:ATGGCT:14.00:50.00:Warning:6:1807.23</v>
      </c>
    </row>
    <row r="1877" spans="1:6" x14ac:dyDescent="0.3">
      <c r="A1877" t="s">
        <v>942</v>
      </c>
      <c r="F1877" t="str">
        <f t="shared" ref="F1877" si="1869">A1877</f>
        <v>ATGGCT</v>
      </c>
    </row>
    <row r="1878" spans="1:6" x14ac:dyDescent="0.3">
      <c r="A1878" t="s">
        <v>5039</v>
      </c>
      <c r="F1878" t="str">
        <f t="shared" ref="F1878" si="1870">LEFT(A1878, LEN(A1878) - 1)</f>
        <v>&gt;937:ATGGGA:22.00:50.00:Warning:6:1856.28</v>
      </c>
    </row>
    <row r="1879" spans="1:6" x14ac:dyDescent="0.3">
      <c r="A1879" t="s">
        <v>943</v>
      </c>
      <c r="F1879" t="str">
        <f t="shared" ref="F1879" si="1871">A1879</f>
        <v>ATGGGA</v>
      </c>
    </row>
    <row r="1880" spans="1:6" x14ac:dyDescent="0.3">
      <c r="A1880" t="s">
        <v>5040</v>
      </c>
      <c r="F1880" t="str">
        <f t="shared" ref="F1880" si="1872">LEFT(A1880, LEN(A1880) - 1)</f>
        <v>&gt;938:ATGGGC:20.00:66.67:Warning:6:1832.25</v>
      </c>
    </row>
    <row r="1881" spans="1:6" x14ac:dyDescent="0.3">
      <c r="A1881" t="s">
        <v>944</v>
      </c>
      <c r="F1881" t="str">
        <f t="shared" ref="F1881" si="1873">A1881</f>
        <v>ATGGGC</v>
      </c>
    </row>
    <row r="1882" spans="1:6" x14ac:dyDescent="0.3">
      <c r="A1882" t="s">
        <v>5041</v>
      </c>
      <c r="F1882" t="str">
        <f t="shared" ref="F1882" si="1874">LEFT(A1882, LEN(A1882) - 1)</f>
        <v>&gt;939:ATGGGG:20.00:66.67:Warning:6:1872.28</v>
      </c>
    </row>
    <row r="1883" spans="1:6" x14ac:dyDescent="0.3">
      <c r="A1883" t="s">
        <v>945</v>
      </c>
      <c r="F1883" t="str">
        <f t="shared" ref="F1883" si="1875">A1883</f>
        <v>ATGGGG</v>
      </c>
    </row>
    <row r="1884" spans="1:6" x14ac:dyDescent="0.3">
      <c r="A1884" t="s">
        <v>5042</v>
      </c>
      <c r="F1884" t="str">
        <f t="shared" ref="F1884" si="1876">LEFT(A1884, LEN(A1884) - 1)</f>
        <v>&gt;940:ATGGGT:14.00:50.00:Warning:6:1847.26</v>
      </c>
    </row>
    <row r="1885" spans="1:6" x14ac:dyDescent="0.3">
      <c r="A1885" t="s">
        <v>946</v>
      </c>
      <c r="F1885" t="str">
        <f t="shared" ref="F1885" si="1877">A1885</f>
        <v>ATGGGT</v>
      </c>
    </row>
    <row r="1886" spans="1:6" x14ac:dyDescent="0.3">
      <c r="A1886" t="s">
        <v>5043</v>
      </c>
      <c r="F1886" t="str">
        <f t="shared" ref="F1886" si="1878">LEFT(A1886, LEN(A1886) - 1)</f>
        <v>&gt;941:ATGGTA:16.00:33.33:OK:6:1831.26</v>
      </c>
    </row>
    <row r="1887" spans="1:6" x14ac:dyDescent="0.3">
      <c r="A1887" t="s">
        <v>947</v>
      </c>
      <c r="F1887" t="str">
        <f t="shared" ref="F1887" si="1879">A1887</f>
        <v>ATGGTA</v>
      </c>
    </row>
    <row r="1888" spans="1:6" x14ac:dyDescent="0.3">
      <c r="A1888" t="s">
        <v>5044</v>
      </c>
      <c r="F1888" t="str">
        <f t="shared" ref="F1888" si="1880">LEFT(A1888, LEN(A1888) - 1)</f>
        <v>&gt;942:ATGGTC:14.00:50.00:Warning:6:1807.23</v>
      </c>
    </row>
    <row r="1889" spans="1:6" x14ac:dyDescent="0.3">
      <c r="A1889" t="s">
        <v>948</v>
      </c>
      <c r="F1889" t="str">
        <f t="shared" ref="F1889" si="1881">A1889</f>
        <v>ATGGTC</v>
      </c>
    </row>
    <row r="1890" spans="1:6" x14ac:dyDescent="0.3">
      <c r="A1890" t="s">
        <v>5045</v>
      </c>
      <c r="F1890" t="str">
        <f t="shared" ref="F1890" si="1882">LEFT(A1890, LEN(A1890) - 1)</f>
        <v>&gt;943:ATGGTG:14.00:50.00:Warning:6:1847.26</v>
      </c>
    </row>
    <row r="1891" spans="1:6" x14ac:dyDescent="0.3">
      <c r="A1891" t="s">
        <v>949</v>
      </c>
      <c r="F1891" t="str">
        <f t="shared" ref="F1891" si="1883">A1891</f>
        <v>ATGGTG</v>
      </c>
    </row>
    <row r="1892" spans="1:6" x14ac:dyDescent="0.3">
      <c r="A1892" t="s">
        <v>5046</v>
      </c>
      <c r="F1892" t="str">
        <f t="shared" ref="F1892" si="1884">LEFT(A1892, LEN(A1892) - 1)</f>
        <v>&gt;944:ATGGTT:8.00:33.33:OK:6:1822.24</v>
      </c>
    </row>
    <row r="1893" spans="1:6" x14ac:dyDescent="0.3">
      <c r="A1893" t="s">
        <v>950</v>
      </c>
      <c r="F1893" t="str">
        <f t="shared" ref="F1893" si="1885">A1893</f>
        <v>ATGGTT</v>
      </c>
    </row>
    <row r="1894" spans="1:6" x14ac:dyDescent="0.3">
      <c r="A1894" t="s">
        <v>5047</v>
      </c>
      <c r="F1894" t="str">
        <f t="shared" ref="F1894" si="1886">LEFT(A1894, LEN(A1894) - 1)</f>
        <v>&gt;945:ATGTAA:18.00:16.67:OK:6:1815.26</v>
      </c>
    </row>
    <row r="1895" spans="1:6" x14ac:dyDescent="0.3">
      <c r="A1895" t="s">
        <v>951</v>
      </c>
      <c r="F1895" t="str">
        <f t="shared" ref="F1895" si="1887">A1895</f>
        <v>ATGTAA</v>
      </c>
    </row>
    <row r="1896" spans="1:6" x14ac:dyDescent="0.3">
      <c r="A1896" t="s">
        <v>5048</v>
      </c>
      <c r="F1896" t="str">
        <f t="shared" ref="F1896" si="1888">LEFT(A1896, LEN(A1896) - 1)</f>
        <v>&gt;946:ATGTAC:16.00:33.33:OK:6:1791.23</v>
      </c>
    </row>
    <row r="1897" spans="1:6" x14ac:dyDescent="0.3">
      <c r="A1897" t="s">
        <v>952</v>
      </c>
      <c r="F1897" t="str">
        <f t="shared" ref="F1897" si="1889">A1897</f>
        <v>ATGTAC</v>
      </c>
    </row>
    <row r="1898" spans="1:6" x14ac:dyDescent="0.3">
      <c r="A1898" t="s">
        <v>5049</v>
      </c>
      <c r="F1898" t="str">
        <f t="shared" ref="F1898" si="1890">LEFT(A1898, LEN(A1898) - 1)</f>
        <v>&gt;947:ATGTAG:16.00:33.33:OK:6:1831.26</v>
      </c>
    </row>
    <row r="1899" spans="1:6" x14ac:dyDescent="0.3">
      <c r="A1899" t="s">
        <v>953</v>
      </c>
      <c r="F1899" t="str">
        <f t="shared" ref="F1899" si="1891">A1899</f>
        <v>ATGTAG</v>
      </c>
    </row>
    <row r="1900" spans="1:6" x14ac:dyDescent="0.3">
      <c r="A1900" t="s">
        <v>5050</v>
      </c>
      <c r="F1900" t="str">
        <f t="shared" ref="F1900" si="1892">LEFT(A1900, LEN(A1900) - 1)</f>
        <v>&gt;948:ATGTAT:10.00:16.67:OK:6:1806.24</v>
      </c>
    </row>
    <row r="1901" spans="1:6" x14ac:dyDescent="0.3">
      <c r="A1901" t="s">
        <v>954</v>
      </c>
      <c r="F1901" t="str">
        <f t="shared" ref="F1901" si="1893">A1901</f>
        <v>ATGTAT</v>
      </c>
    </row>
    <row r="1902" spans="1:6" x14ac:dyDescent="0.3">
      <c r="A1902" t="s">
        <v>5051</v>
      </c>
      <c r="F1902" t="str">
        <f t="shared" ref="F1902" si="1894">LEFT(A1902, LEN(A1902) - 1)</f>
        <v>&gt;949:ATGTCA:16.00:33.33:OK:6:1791.23</v>
      </c>
    </row>
    <row r="1903" spans="1:6" x14ac:dyDescent="0.3">
      <c r="A1903" t="s">
        <v>955</v>
      </c>
      <c r="F1903" t="str">
        <f t="shared" ref="F1903" si="1895">A1903</f>
        <v>ATGTCA</v>
      </c>
    </row>
    <row r="1904" spans="1:6" x14ac:dyDescent="0.3">
      <c r="A1904" t="s">
        <v>5052</v>
      </c>
      <c r="F1904" t="str">
        <f t="shared" ref="F1904" si="1896">LEFT(A1904, LEN(A1904) - 1)</f>
        <v>&gt;950:ATGTCC:14.00:50.00:Warning:6:1767.20</v>
      </c>
    </row>
    <row r="1905" spans="1:6" x14ac:dyDescent="0.3">
      <c r="A1905" t="s">
        <v>956</v>
      </c>
      <c r="F1905" t="str">
        <f t="shared" ref="F1905" si="1897">A1905</f>
        <v>ATGTCC</v>
      </c>
    </row>
    <row r="1906" spans="1:6" x14ac:dyDescent="0.3">
      <c r="A1906" t="s">
        <v>5053</v>
      </c>
      <c r="F1906" t="str">
        <f t="shared" ref="F1906" si="1898">LEFT(A1906, LEN(A1906) - 1)</f>
        <v>&gt;951:ATGTCG:14.00:50.00:Warning:6:1807.23</v>
      </c>
    </row>
    <row r="1907" spans="1:6" x14ac:dyDescent="0.3">
      <c r="A1907" t="s">
        <v>957</v>
      </c>
      <c r="F1907" t="str">
        <f t="shared" ref="F1907" si="1899">A1907</f>
        <v>ATGTCG</v>
      </c>
    </row>
    <row r="1908" spans="1:6" x14ac:dyDescent="0.3">
      <c r="A1908" t="s">
        <v>5054</v>
      </c>
      <c r="F1908" t="str">
        <f t="shared" ref="F1908" si="1900">LEFT(A1908, LEN(A1908) - 1)</f>
        <v>&gt;952:ATGTCT:8.00:33.33:OK:6:1782.21</v>
      </c>
    </row>
    <row r="1909" spans="1:6" x14ac:dyDescent="0.3">
      <c r="A1909" t="s">
        <v>958</v>
      </c>
      <c r="F1909" t="str">
        <f t="shared" ref="F1909" si="1901">A1909</f>
        <v>ATGTCT</v>
      </c>
    </row>
    <row r="1910" spans="1:6" x14ac:dyDescent="0.3">
      <c r="A1910" t="s">
        <v>5055</v>
      </c>
      <c r="F1910" t="str">
        <f t="shared" ref="F1910" si="1902">LEFT(A1910, LEN(A1910) - 1)</f>
        <v>&gt;953:ATGTGA:16.00:33.33:OK:6:1831.26</v>
      </c>
    </row>
    <row r="1911" spans="1:6" x14ac:dyDescent="0.3">
      <c r="A1911" t="s">
        <v>959</v>
      </c>
      <c r="F1911" t="str">
        <f t="shared" ref="F1911" si="1903">A1911</f>
        <v>ATGTGA</v>
      </c>
    </row>
    <row r="1912" spans="1:6" x14ac:dyDescent="0.3">
      <c r="A1912" t="s">
        <v>5056</v>
      </c>
      <c r="F1912" t="str">
        <f t="shared" ref="F1912" si="1904">LEFT(A1912, LEN(A1912) - 1)</f>
        <v>&gt;954:ATGTGC:14.00:50.00:Warning:6:1807.23</v>
      </c>
    </row>
    <row r="1913" spans="1:6" x14ac:dyDescent="0.3">
      <c r="A1913" t="s">
        <v>960</v>
      </c>
      <c r="F1913" t="str">
        <f t="shared" ref="F1913" si="1905">A1913</f>
        <v>ATGTGC</v>
      </c>
    </row>
    <row r="1914" spans="1:6" x14ac:dyDescent="0.3">
      <c r="A1914" t="s">
        <v>5057</v>
      </c>
      <c r="F1914" t="str">
        <f t="shared" ref="F1914" si="1906">LEFT(A1914, LEN(A1914) - 1)</f>
        <v>&gt;955:ATGTGG:14.00:50.00:Warning:6:1847.26</v>
      </c>
    </row>
    <row r="1915" spans="1:6" x14ac:dyDescent="0.3">
      <c r="A1915" t="s">
        <v>961</v>
      </c>
      <c r="F1915" t="str">
        <f t="shared" ref="F1915" si="1907">A1915</f>
        <v>ATGTGG</v>
      </c>
    </row>
    <row r="1916" spans="1:6" x14ac:dyDescent="0.3">
      <c r="A1916" t="s">
        <v>5058</v>
      </c>
      <c r="F1916" t="str">
        <f t="shared" ref="F1916" si="1908">LEFT(A1916, LEN(A1916) - 1)</f>
        <v>&gt;956:ATGTGT:8.00:33.33:OK:6:1822.24</v>
      </c>
    </row>
    <row r="1917" spans="1:6" x14ac:dyDescent="0.3">
      <c r="A1917" t="s">
        <v>962</v>
      </c>
      <c r="F1917" t="str">
        <f t="shared" ref="F1917" si="1909">A1917</f>
        <v>ATGTGT</v>
      </c>
    </row>
    <row r="1918" spans="1:6" x14ac:dyDescent="0.3">
      <c r="A1918" t="s">
        <v>5059</v>
      </c>
      <c r="F1918" t="str">
        <f t="shared" ref="F1918" si="1910">LEFT(A1918, LEN(A1918) - 1)</f>
        <v>&gt;957:ATGTTA:10.00:16.67:OK:6:1806.24</v>
      </c>
    </row>
    <row r="1919" spans="1:6" x14ac:dyDescent="0.3">
      <c r="A1919" t="s">
        <v>963</v>
      </c>
      <c r="F1919" t="str">
        <f t="shared" ref="F1919" si="1911">A1919</f>
        <v>ATGTTA</v>
      </c>
    </row>
    <row r="1920" spans="1:6" x14ac:dyDescent="0.3">
      <c r="A1920" t="s">
        <v>5060</v>
      </c>
      <c r="F1920" t="str">
        <f t="shared" ref="F1920" si="1912">LEFT(A1920, LEN(A1920) - 1)</f>
        <v>&gt;958:ATGTTC:8.00:33.33:OK:6:1782.21</v>
      </c>
    </row>
    <row r="1921" spans="1:6" x14ac:dyDescent="0.3">
      <c r="A1921" t="s">
        <v>964</v>
      </c>
      <c r="F1921" t="str">
        <f t="shared" ref="F1921" si="1913">A1921</f>
        <v>ATGTTC</v>
      </c>
    </row>
    <row r="1922" spans="1:6" x14ac:dyDescent="0.3">
      <c r="A1922" t="s">
        <v>5061</v>
      </c>
      <c r="F1922" t="str">
        <f t="shared" ref="F1922" si="1914">LEFT(A1922, LEN(A1922) - 1)</f>
        <v>&gt;959:ATGTTG:8.00:33.33:OK:6:1822.24</v>
      </c>
    </row>
    <row r="1923" spans="1:6" x14ac:dyDescent="0.3">
      <c r="A1923" t="s">
        <v>965</v>
      </c>
      <c r="F1923" t="str">
        <f t="shared" ref="F1923" si="1915">A1923</f>
        <v>ATGTTG</v>
      </c>
    </row>
    <row r="1924" spans="1:6" x14ac:dyDescent="0.3">
      <c r="A1924" t="s">
        <v>5062</v>
      </c>
      <c r="F1924" t="str">
        <f t="shared" ref="F1924" si="1916">LEFT(A1924, LEN(A1924) - 1)</f>
        <v>&gt;960:ATGTTT:2.00:16.67:OK:6:1797.22</v>
      </c>
    </row>
    <row r="1925" spans="1:6" x14ac:dyDescent="0.3">
      <c r="A1925" t="s">
        <v>966</v>
      </c>
      <c r="F1925" t="str">
        <f t="shared" ref="F1925" si="1917">A1925</f>
        <v>ATGTTT</v>
      </c>
    </row>
    <row r="1926" spans="1:6" x14ac:dyDescent="0.3">
      <c r="A1926" t="s">
        <v>5063</v>
      </c>
      <c r="F1926" t="str">
        <f t="shared" ref="F1926" si="1918">LEFT(A1926, LEN(A1926) - 1)</f>
        <v>&gt;961:ATTAAA:20.00:0.00:OK:6:1799.26</v>
      </c>
    </row>
    <row r="1927" spans="1:6" x14ac:dyDescent="0.3">
      <c r="A1927" t="s">
        <v>967</v>
      </c>
      <c r="F1927" t="str">
        <f t="shared" ref="F1927" si="1919">A1927</f>
        <v>ATTAAA</v>
      </c>
    </row>
    <row r="1928" spans="1:6" x14ac:dyDescent="0.3">
      <c r="A1928" t="s">
        <v>5064</v>
      </c>
      <c r="F1928" t="str">
        <f t="shared" ref="F1928" si="1920">LEFT(A1928, LEN(A1928) - 1)</f>
        <v>&gt;962:ATTAAC:18.00:16.67:OK:6:1775.23</v>
      </c>
    </row>
    <row r="1929" spans="1:6" x14ac:dyDescent="0.3">
      <c r="A1929" t="s">
        <v>968</v>
      </c>
      <c r="F1929" t="str">
        <f t="shared" ref="F1929" si="1921">A1929</f>
        <v>ATTAAC</v>
      </c>
    </row>
    <row r="1930" spans="1:6" x14ac:dyDescent="0.3">
      <c r="A1930" t="s">
        <v>5065</v>
      </c>
      <c r="F1930" t="str">
        <f t="shared" ref="F1930" si="1922">LEFT(A1930, LEN(A1930) - 1)</f>
        <v>&gt;963:ATTAAG:18.00:16.67:OK:6:1815.26</v>
      </c>
    </row>
    <row r="1931" spans="1:6" x14ac:dyDescent="0.3">
      <c r="A1931" t="s">
        <v>969</v>
      </c>
      <c r="F1931" t="str">
        <f t="shared" ref="F1931" si="1923">A1931</f>
        <v>ATTAAG</v>
      </c>
    </row>
    <row r="1932" spans="1:6" x14ac:dyDescent="0.3">
      <c r="A1932" t="s">
        <v>5066</v>
      </c>
      <c r="F1932" t="str">
        <f t="shared" ref="F1932" si="1924">LEFT(A1932, LEN(A1932) - 1)</f>
        <v>&gt;964:ATTAAT:12.00:0.00:OK:6:1790.24</v>
      </c>
    </row>
    <row r="1933" spans="1:6" x14ac:dyDescent="0.3">
      <c r="A1933" t="s">
        <v>970</v>
      </c>
      <c r="F1933" t="str">
        <f t="shared" ref="F1933" si="1925">A1933</f>
        <v>ATTAAT</v>
      </c>
    </row>
    <row r="1934" spans="1:6" x14ac:dyDescent="0.3">
      <c r="A1934" t="s">
        <v>5067</v>
      </c>
      <c r="F1934" t="str">
        <f t="shared" ref="F1934" si="1926">LEFT(A1934, LEN(A1934) - 1)</f>
        <v>&gt;965:ATTACA:18.00:16.67:OK:6:1775.23</v>
      </c>
    </row>
    <row r="1935" spans="1:6" x14ac:dyDescent="0.3">
      <c r="A1935" t="s">
        <v>971</v>
      </c>
      <c r="F1935" t="str">
        <f t="shared" ref="F1935" si="1927">A1935</f>
        <v>ATTACA</v>
      </c>
    </row>
    <row r="1936" spans="1:6" x14ac:dyDescent="0.3">
      <c r="A1936" t="s">
        <v>5068</v>
      </c>
      <c r="F1936" t="str">
        <f t="shared" ref="F1936" si="1928">LEFT(A1936, LEN(A1936) - 1)</f>
        <v>&gt;966:ATTACC:16.00:33.33:OK:6:1751.20</v>
      </c>
    </row>
    <row r="1937" spans="1:6" x14ac:dyDescent="0.3">
      <c r="A1937" t="s">
        <v>972</v>
      </c>
      <c r="F1937" t="str">
        <f t="shared" ref="F1937" si="1929">A1937</f>
        <v>ATTACC</v>
      </c>
    </row>
    <row r="1938" spans="1:6" x14ac:dyDescent="0.3">
      <c r="A1938" t="s">
        <v>5069</v>
      </c>
      <c r="F1938" t="str">
        <f t="shared" ref="F1938" si="1930">LEFT(A1938, LEN(A1938) - 1)</f>
        <v>&gt;967:ATTACG:16.00:33.33:OK:6:1791.23</v>
      </c>
    </row>
    <row r="1939" spans="1:6" x14ac:dyDescent="0.3">
      <c r="A1939" t="s">
        <v>973</v>
      </c>
      <c r="F1939" t="str">
        <f t="shared" ref="F1939" si="1931">A1939</f>
        <v>ATTACG</v>
      </c>
    </row>
    <row r="1940" spans="1:6" x14ac:dyDescent="0.3">
      <c r="A1940" t="s">
        <v>5070</v>
      </c>
      <c r="F1940" t="str">
        <f t="shared" ref="F1940" si="1932">LEFT(A1940, LEN(A1940) - 1)</f>
        <v>&gt;968:ATTACT:10.00:16.67:OK:6:1766.21</v>
      </c>
    </row>
    <row r="1941" spans="1:6" x14ac:dyDescent="0.3">
      <c r="A1941" t="s">
        <v>974</v>
      </c>
      <c r="F1941" t="str">
        <f t="shared" ref="F1941" si="1933">A1941</f>
        <v>ATTACT</v>
      </c>
    </row>
    <row r="1942" spans="1:6" x14ac:dyDescent="0.3">
      <c r="A1942" t="s">
        <v>5071</v>
      </c>
      <c r="F1942" t="str">
        <f t="shared" ref="F1942" si="1934">LEFT(A1942, LEN(A1942) - 1)</f>
        <v>&gt;969:ATTAGA:18.00:16.67:OK:6:1815.26</v>
      </c>
    </row>
    <row r="1943" spans="1:6" x14ac:dyDescent="0.3">
      <c r="A1943" t="s">
        <v>975</v>
      </c>
      <c r="F1943" t="str">
        <f t="shared" ref="F1943" si="1935">A1943</f>
        <v>ATTAGA</v>
      </c>
    </row>
    <row r="1944" spans="1:6" x14ac:dyDescent="0.3">
      <c r="A1944" t="s">
        <v>5072</v>
      </c>
      <c r="F1944" t="str">
        <f t="shared" ref="F1944" si="1936">LEFT(A1944, LEN(A1944) - 1)</f>
        <v>&gt;970:ATTAGC:16.00:33.33:OK:6:1791.23</v>
      </c>
    </row>
    <row r="1945" spans="1:6" x14ac:dyDescent="0.3">
      <c r="A1945" t="s">
        <v>976</v>
      </c>
      <c r="F1945" t="str">
        <f t="shared" ref="F1945" si="1937">A1945</f>
        <v>ATTAGC</v>
      </c>
    </row>
    <row r="1946" spans="1:6" x14ac:dyDescent="0.3">
      <c r="A1946" t="s">
        <v>5073</v>
      </c>
      <c r="F1946" t="str">
        <f t="shared" ref="F1946" si="1938">LEFT(A1946, LEN(A1946) - 1)</f>
        <v>&gt;971:ATTAGG:16.00:33.33:OK:6:1831.26</v>
      </c>
    </row>
    <row r="1947" spans="1:6" x14ac:dyDescent="0.3">
      <c r="A1947" t="s">
        <v>977</v>
      </c>
      <c r="F1947" t="str">
        <f t="shared" ref="F1947" si="1939">A1947</f>
        <v>ATTAGG</v>
      </c>
    </row>
    <row r="1948" spans="1:6" x14ac:dyDescent="0.3">
      <c r="A1948" t="s">
        <v>5074</v>
      </c>
      <c r="F1948" t="str">
        <f t="shared" ref="F1948" si="1940">LEFT(A1948, LEN(A1948) - 1)</f>
        <v>&gt;972:ATTAGT:10.00:16.67:OK:6:1806.24</v>
      </c>
    </row>
    <row r="1949" spans="1:6" x14ac:dyDescent="0.3">
      <c r="A1949" t="s">
        <v>978</v>
      </c>
      <c r="F1949" t="str">
        <f t="shared" ref="F1949" si="1941">A1949</f>
        <v>ATTAGT</v>
      </c>
    </row>
    <row r="1950" spans="1:6" x14ac:dyDescent="0.3">
      <c r="A1950" t="s">
        <v>5075</v>
      </c>
      <c r="F1950" t="str">
        <f t="shared" ref="F1950" si="1942">LEFT(A1950, LEN(A1950) - 1)</f>
        <v>&gt;973:ATTATA:12.00:0.00:OK:6:1790.24</v>
      </c>
    </row>
    <row r="1951" spans="1:6" x14ac:dyDescent="0.3">
      <c r="A1951" t="s">
        <v>979</v>
      </c>
      <c r="F1951" t="str">
        <f t="shared" ref="F1951" si="1943">A1951</f>
        <v>ATTATA</v>
      </c>
    </row>
    <row r="1952" spans="1:6" x14ac:dyDescent="0.3">
      <c r="A1952" t="s">
        <v>5076</v>
      </c>
      <c r="F1952" t="str">
        <f t="shared" ref="F1952" si="1944">LEFT(A1952, LEN(A1952) - 1)</f>
        <v>&gt;974:ATTATC:10.00:16.67:OK:6:1766.21</v>
      </c>
    </row>
    <row r="1953" spans="1:6" x14ac:dyDescent="0.3">
      <c r="A1953" t="s">
        <v>980</v>
      </c>
      <c r="F1953" t="str">
        <f t="shared" ref="F1953" si="1945">A1953</f>
        <v>ATTATC</v>
      </c>
    </row>
    <row r="1954" spans="1:6" x14ac:dyDescent="0.3">
      <c r="A1954" t="s">
        <v>5077</v>
      </c>
      <c r="F1954" t="str">
        <f t="shared" ref="F1954" si="1946">LEFT(A1954, LEN(A1954) - 1)</f>
        <v>&gt;975:ATTATG:10.00:16.67:OK:6:1806.24</v>
      </c>
    </row>
    <row r="1955" spans="1:6" x14ac:dyDescent="0.3">
      <c r="A1955" t="s">
        <v>981</v>
      </c>
      <c r="F1955" t="str">
        <f t="shared" ref="F1955" si="1947">A1955</f>
        <v>ATTATG</v>
      </c>
    </row>
    <row r="1956" spans="1:6" x14ac:dyDescent="0.3">
      <c r="A1956" t="s">
        <v>5078</v>
      </c>
      <c r="F1956" t="str">
        <f t="shared" ref="F1956" si="1948">LEFT(A1956, LEN(A1956) - 1)</f>
        <v>&gt;976:ATTATT:4.00:0.00:OK:6:1781.22</v>
      </c>
    </row>
    <row r="1957" spans="1:6" x14ac:dyDescent="0.3">
      <c r="A1957" t="s">
        <v>982</v>
      </c>
      <c r="F1957" t="str">
        <f t="shared" ref="F1957" si="1949">A1957</f>
        <v>ATTATT</v>
      </c>
    </row>
    <row r="1958" spans="1:6" x14ac:dyDescent="0.3">
      <c r="A1958" t="s">
        <v>5079</v>
      </c>
      <c r="F1958" t="str">
        <f t="shared" ref="F1958" si="1950">LEFT(A1958, LEN(A1958) - 1)</f>
        <v>&gt;977:ATTCAA:18.00:16.67:OK:6:1775.23</v>
      </c>
    </row>
    <row r="1959" spans="1:6" x14ac:dyDescent="0.3">
      <c r="A1959" t="s">
        <v>983</v>
      </c>
      <c r="F1959" t="str">
        <f t="shared" ref="F1959" si="1951">A1959</f>
        <v>ATTCAA</v>
      </c>
    </row>
    <row r="1960" spans="1:6" x14ac:dyDescent="0.3">
      <c r="A1960" t="s">
        <v>5080</v>
      </c>
      <c r="F1960" t="str">
        <f t="shared" ref="F1960" si="1952">LEFT(A1960, LEN(A1960) - 1)</f>
        <v>&gt;978:ATTCAC:16.00:33.33:OK:6:1751.20</v>
      </c>
    </row>
    <row r="1961" spans="1:6" x14ac:dyDescent="0.3">
      <c r="A1961" t="s">
        <v>984</v>
      </c>
      <c r="F1961" t="str">
        <f t="shared" ref="F1961" si="1953">A1961</f>
        <v>ATTCAC</v>
      </c>
    </row>
    <row r="1962" spans="1:6" x14ac:dyDescent="0.3">
      <c r="A1962" t="s">
        <v>5081</v>
      </c>
      <c r="F1962" t="str">
        <f t="shared" ref="F1962" si="1954">LEFT(A1962, LEN(A1962) - 1)</f>
        <v>&gt;979:ATTCAG:16.00:33.33:OK:6:1791.23</v>
      </c>
    </row>
    <row r="1963" spans="1:6" x14ac:dyDescent="0.3">
      <c r="A1963" t="s">
        <v>985</v>
      </c>
      <c r="F1963" t="str">
        <f t="shared" ref="F1963" si="1955">A1963</f>
        <v>ATTCAG</v>
      </c>
    </row>
    <row r="1964" spans="1:6" x14ac:dyDescent="0.3">
      <c r="A1964" t="s">
        <v>5082</v>
      </c>
      <c r="F1964" t="str">
        <f t="shared" ref="F1964" si="1956">LEFT(A1964, LEN(A1964) - 1)</f>
        <v>&gt;980:ATTCAT:10.00:16.67:OK:6:1766.21</v>
      </c>
    </row>
    <row r="1965" spans="1:6" x14ac:dyDescent="0.3">
      <c r="A1965" t="s">
        <v>986</v>
      </c>
      <c r="F1965" t="str">
        <f t="shared" ref="F1965" si="1957">A1965</f>
        <v>ATTCAT</v>
      </c>
    </row>
    <row r="1966" spans="1:6" x14ac:dyDescent="0.3">
      <c r="A1966" t="s">
        <v>5083</v>
      </c>
      <c r="F1966" t="str">
        <f t="shared" ref="F1966" si="1958">LEFT(A1966, LEN(A1966) - 1)</f>
        <v>&gt;981:ATTCCA:16.00:33.33:OK:6:1751.20</v>
      </c>
    </row>
    <row r="1967" spans="1:6" x14ac:dyDescent="0.3">
      <c r="A1967" t="s">
        <v>987</v>
      </c>
      <c r="F1967" t="str">
        <f t="shared" ref="F1967" si="1959">A1967</f>
        <v>ATTCCA</v>
      </c>
    </row>
    <row r="1968" spans="1:6" x14ac:dyDescent="0.3">
      <c r="A1968" t="s">
        <v>5084</v>
      </c>
      <c r="F1968" t="str">
        <f t="shared" ref="F1968" si="1960">LEFT(A1968, LEN(A1968) - 1)</f>
        <v>&gt;982:ATTCCC:14.00:50.00:Warning:6:1727.17</v>
      </c>
    </row>
    <row r="1969" spans="1:6" x14ac:dyDescent="0.3">
      <c r="A1969" t="s">
        <v>988</v>
      </c>
      <c r="F1969" t="str">
        <f t="shared" ref="F1969" si="1961">A1969</f>
        <v>ATTCCC</v>
      </c>
    </row>
    <row r="1970" spans="1:6" x14ac:dyDescent="0.3">
      <c r="A1970" t="s">
        <v>5085</v>
      </c>
      <c r="F1970" t="str">
        <f t="shared" ref="F1970" si="1962">LEFT(A1970, LEN(A1970) - 1)</f>
        <v>&gt;983:ATTCCG:14.00:50.00:Warning:6:1767.20</v>
      </c>
    </row>
    <row r="1971" spans="1:6" x14ac:dyDescent="0.3">
      <c r="A1971" t="s">
        <v>989</v>
      </c>
      <c r="F1971" t="str">
        <f t="shared" ref="F1971" si="1963">A1971</f>
        <v>ATTCCG</v>
      </c>
    </row>
    <row r="1972" spans="1:6" x14ac:dyDescent="0.3">
      <c r="A1972" t="s">
        <v>5086</v>
      </c>
      <c r="F1972" t="str">
        <f t="shared" ref="F1972" si="1964">LEFT(A1972, LEN(A1972) - 1)</f>
        <v>&gt;984:ATTCCT:8.00:33.33:OK:6:1742.18</v>
      </c>
    </row>
    <row r="1973" spans="1:6" x14ac:dyDescent="0.3">
      <c r="A1973" t="s">
        <v>990</v>
      </c>
      <c r="F1973" t="str">
        <f t="shared" ref="F1973" si="1965">A1973</f>
        <v>ATTCCT</v>
      </c>
    </row>
    <row r="1974" spans="1:6" x14ac:dyDescent="0.3">
      <c r="A1974" t="s">
        <v>5087</v>
      </c>
      <c r="F1974" t="str">
        <f t="shared" ref="F1974" si="1966">LEFT(A1974, LEN(A1974) - 1)</f>
        <v>&gt;985:ATTCGA:16.00:33.33:OK:6:1791.23</v>
      </c>
    </row>
    <row r="1975" spans="1:6" x14ac:dyDescent="0.3">
      <c r="A1975" t="s">
        <v>991</v>
      </c>
      <c r="F1975" t="str">
        <f t="shared" ref="F1975" si="1967">A1975</f>
        <v>ATTCGA</v>
      </c>
    </row>
    <row r="1976" spans="1:6" x14ac:dyDescent="0.3">
      <c r="A1976" t="s">
        <v>5088</v>
      </c>
      <c r="F1976" t="str">
        <f t="shared" ref="F1976" si="1968">LEFT(A1976, LEN(A1976) - 1)</f>
        <v>&gt;986:ATTCGC:14.00:50.00:Warning:6:1767.20</v>
      </c>
    </row>
    <row r="1977" spans="1:6" x14ac:dyDescent="0.3">
      <c r="A1977" t="s">
        <v>992</v>
      </c>
      <c r="F1977" t="str">
        <f t="shared" ref="F1977" si="1969">A1977</f>
        <v>ATTCGC</v>
      </c>
    </row>
    <row r="1978" spans="1:6" x14ac:dyDescent="0.3">
      <c r="A1978" t="s">
        <v>5089</v>
      </c>
      <c r="F1978" t="str">
        <f t="shared" ref="F1978" si="1970">LEFT(A1978, LEN(A1978) - 1)</f>
        <v>&gt;987:ATTCGG:14.00:50.00:Warning:6:1807.23</v>
      </c>
    </row>
    <row r="1979" spans="1:6" x14ac:dyDescent="0.3">
      <c r="A1979" t="s">
        <v>993</v>
      </c>
      <c r="F1979" t="str">
        <f t="shared" ref="F1979" si="1971">A1979</f>
        <v>ATTCGG</v>
      </c>
    </row>
    <row r="1980" spans="1:6" x14ac:dyDescent="0.3">
      <c r="A1980" t="s">
        <v>5090</v>
      </c>
      <c r="F1980" t="str">
        <f t="shared" ref="F1980" si="1972">LEFT(A1980, LEN(A1980) - 1)</f>
        <v>&gt;988:ATTCGT:8.00:33.33:OK:6:1782.21</v>
      </c>
    </row>
    <row r="1981" spans="1:6" x14ac:dyDescent="0.3">
      <c r="A1981" t="s">
        <v>994</v>
      </c>
      <c r="F1981" t="str">
        <f t="shared" ref="F1981" si="1973">A1981</f>
        <v>ATTCGT</v>
      </c>
    </row>
    <row r="1982" spans="1:6" x14ac:dyDescent="0.3">
      <c r="A1982" t="s">
        <v>5091</v>
      </c>
      <c r="F1982" t="str">
        <f t="shared" ref="F1982" si="1974">LEFT(A1982, LEN(A1982) - 1)</f>
        <v>&gt;989:ATTCTA:10.00:16.67:OK:6:1766.21</v>
      </c>
    </row>
    <row r="1983" spans="1:6" x14ac:dyDescent="0.3">
      <c r="A1983" t="s">
        <v>995</v>
      </c>
      <c r="F1983" t="str">
        <f t="shared" ref="F1983" si="1975">A1983</f>
        <v>ATTCTA</v>
      </c>
    </row>
    <row r="1984" spans="1:6" x14ac:dyDescent="0.3">
      <c r="A1984" t="s">
        <v>5092</v>
      </c>
      <c r="F1984" t="str">
        <f t="shared" ref="F1984" si="1976">LEFT(A1984, LEN(A1984) - 1)</f>
        <v>&gt;990:ATTCTC:8.00:33.33:OK:6:1742.18</v>
      </c>
    </row>
    <row r="1985" spans="1:6" x14ac:dyDescent="0.3">
      <c r="A1985" t="s">
        <v>996</v>
      </c>
      <c r="F1985" t="str">
        <f t="shared" ref="F1985" si="1977">A1985</f>
        <v>ATTCTC</v>
      </c>
    </row>
    <row r="1986" spans="1:6" x14ac:dyDescent="0.3">
      <c r="A1986" t="s">
        <v>5093</v>
      </c>
      <c r="F1986" t="str">
        <f t="shared" ref="F1986" si="1978">LEFT(A1986, LEN(A1986) - 1)</f>
        <v>&gt;991:ATTCTG:8.00:33.33:OK:6:1782.21</v>
      </c>
    </row>
    <row r="1987" spans="1:6" x14ac:dyDescent="0.3">
      <c r="A1987" t="s">
        <v>997</v>
      </c>
      <c r="F1987" t="str">
        <f t="shared" ref="F1987" si="1979">A1987</f>
        <v>ATTCTG</v>
      </c>
    </row>
    <row r="1988" spans="1:6" x14ac:dyDescent="0.3">
      <c r="A1988" t="s">
        <v>5094</v>
      </c>
      <c r="F1988" t="str">
        <f t="shared" ref="F1988" si="1980">LEFT(A1988, LEN(A1988) - 1)</f>
        <v>&gt;992:ATTCTT:2.00:16.67:OK:6:1757.19</v>
      </c>
    </row>
    <row r="1989" spans="1:6" x14ac:dyDescent="0.3">
      <c r="A1989" t="s">
        <v>998</v>
      </c>
      <c r="F1989" t="str">
        <f t="shared" ref="F1989" si="1981">A1989</f>
        <v>ATTCTT</v>
      </c>
    </row>
    <row r="1990" spans="1:6" x14ac:dyDescent="0.3">
      <c r="A1990" t="s">
        <v>5095</v>
      </c>
      <c r="F1990" t="str">
        <f t="shared" ref="F1990" si="1982">LEFT(A1990, LEN(A1990) - 1)</f>
        <v>&gt;993:ATTGAA:18.00:16.67:OK:6:1815.26</v>
      </c>
    </row>
    <row r="1991" spans="1:6" x14ac:dyDescent="0.3">
      <c r="A1991" t="s">
        <v>999</v>
      </c>
      <c r="F1991" t="str">
        <f t="shared" ref="F1991" si="1983">A1991</f>
        <v>ATTGAA</v>
      </c>
    </row>
    <row r="1992" spans="1:6" x14ac:dyDescent="0.3">
      <c r="A1992" t="s">
        <v>5096</v>
      </c>
      <c r="F1992" t="str">
        <f t="shared" ref="F1992" si="1984">LEFT(A1992, LEN(A1992) - 1)</f>
        <v>&gt;994:ATTGAC:16.00:33.33:OK:6:1791.23</v>
      </c>
    </row>
    <row r="1993" spans="1:6" x14ac:dyDescent="0.3">
      <c r="A1993" t="s">
        <v>1000</v>
      </c>
      <c r="F1993" t="str">
        <f t="shared" ref="F1993" si="1985">A1993</f>
        <v>ATTGAC</v>
      </c>
    </row>
    <row r="1994" spans="1:6" x14ac:dyDescent="0.3">
      <c r="A1994" t="s">
        <v>5097</v>
      </c>
      <c r="F1994" t="str">
        <f t="shared" ref="F1994" si="1986">LEFT(A1994, LEN(A1994) - 1)</f>
        <v>&gt;995:ATTGAG:16.00:33.33:OK:6:1831.26</v>
      </c>
    </row>
    <row r="1995" spans="1:6" x14ac:dyDescent="0.3">
      <c r="A1995" t="s">
        <v>1001</v>
      </c>
      <c r="F1995" t="str">
        <f t="shared" ref="F1995" si="1987">A1995</f>
        <v>ATTGAG</v>
      </c>
    </row>
    <row r="1996" spans="1:6" x14ac:dyDescent="0.3">
      <c r="A1996" t="s">
        <v>5098</v>
      </c>
      <c r="F1996" t="str">
        <f t="shared" ref="F1996" si="1988">LEFT(A1996, LEN(A1996) - 1)</f>
        <v>&gt;996:ATTGAT:10.00:16.67:OK:6:1806.24</v>
      </c>
    </row>
    <row r="1997" spans="1:6" x14ac:dyDescent="0.3">
      <c r="A1997" t="s">
        <v>1002</v>
      </c>
      <c r="F1997" t="str">
        <f t="shared" ref="F1997" si="1989">A1997</f>
        <v>ATTGAT</v>
      </c>
    </row>
    <row r="1998" spans="1:6" x14ac:dyDescent="0.3">
      <c r="A1998" t="s">
        <v>5099</v>
      </c>
      <c r="F1998" t="str">
        <f t="shared" ref="F1998" si="1990">LEFT(A1998, LEN(A1998) - 1)</f>
        <v>&gt;997:ATTGCA:16.00:33.33:OK:6:1791.23</v>
      </c>
    </row>
    <row r="1999" spans="1:6" x14ac:dyDescent="0.3">
      <c r="A1999" t="s">
        <v>1003</v>
      </c>
      <c r="F1999" t="str">
        <f t="shared" ref="F1999" si="1991">A1999</f>
        <v>ATTGCA</v>
      </c>
    </row>
    <row r="2000" spans="1:6" x14ac:dyDescent="0.3">
      <c r="A2000" t="s">
        <v>5100</v>
      </c>
      <c r="F2000" t="str">
        <f t="shared" ref="F2000" si="1992">LEFT(A2000, LEN(A2000) - 1)</f>
        <v>&gt;998:ATTGCC:14.00:50.00:Warning:6:1767.20</v>
      </c>
    </row>
    <row r="2001" spans="1:6" x14ac:dyDescent="0.3">
      <c r="A2001" t="s">
        <v>1004</v>
      </c>
      <c r="F2001" t="str">
        <f t="shared" ref="F2001" si="1993">A2001</f>
        <v>ATTGCC</v>
      </c>
    </row>
    <row r="2002" spans="1:6" x14ac:dyDescent="0.3">
      <c r="A2002" t="s">
        <v>5101</v>
      </c>
      <c r="F2002" t="str">
        <f t="shared" ref="F2002" si="1994">LEFT(A2002, LEN(A2002) - 1)</f>
        <v>&gt;999:ATTGCG:14.00:50.00:Warning:6:1807.23</v>
      </c>
    </row>
    <row r="2003" spans="1:6" x14ac:dyDescent="0.3">
      <c r="A2003" t="s">
        <v>1005</v>
      </c>
      <c r="F2003" t="str">
        <f t="shared" ref="F2003" si="1995">A2003</f>
        <v>ATTGCG</v>
      </c>
    </row>
    <row r="2004" spans="1:6" x14ac:dyDescent="0.3">
      <c r="A2004" t="s">
        <v>5102</v>
      </c>
      <c r="F2004" t="str">
        <f t="shared" ref="F2004" si="1996">LEFT(A2004, LEN(A2004) - 1)</f>
        <v>&gt;1000:ATTGCT:8.00:33.33:OK:6:1782.21</v>
      </c>
    </row>
    <row r="2005" spans="1:6" x14ac:dyDescent="0.3">
      <c r="A2005" t="s">
        <v>1006</v>
      </c>
      <c r="F2005" t="str">
        <f t="shared" ref="F2005" si="1997">A2005</f>
        <v>ATTGCT</v>
      </c>
    </row>
    <row r="2006" spans="1:6" x14ac:dyDescent="0.3">
      <c r="A2006" t="s">
        <v>5103</v>
      </c>
      <c r="F2006" t="str">
        <f t="shared" ref="F2006" si="1998">LEFT(A2006, LEN(A2006) - 1)</f>
        <v>&gt;1001:ATTGGA:16.00:33.33:OK:6:1831.26</v>
      </c>
    </row>
    <row r="2007" spans="1:6" x14ac:dyDescent="0.3">
      <c r="A2007" t="s">
        <v>1007</v>
      </c>
      <c r="F2007" t="str">
        <f t="shared" ref="F2007" si="1999">A2007</f>
        <v>ATTGGA</v>
      </c>
    </row>
    <row r="2008" spans="1:6" x14ac:dyDescent="0.3">
      <c r="A2008" t="s">
        <v>5104</v>
      </c>
      <c r="F2008" t="str">
        <f t="shared" ref="F2008" si="2000">LEFT(A2008, LEN(A2008) - 1)</f>
        <v>&gt;1002:ATTGGC:14.00:50.00:Warning:6:1807.23</v>
      </c>
    </row>
    <row r="2009" spans="1:6" x14ac:dyDescent="0.3">
      <c r="A2009" t="s">
        <v>1008</v>
      </c>
      <c r="F2009" t="str">
        <f t="shared" ref="F2009" si="2001">A2009</f>
        <v>ATTGGC</v>
      </c>
    </row>
    <row r="2010" spans="1:6" x14ac:dyDescent="0.3">
      <c r="A2010" t="s">
        <v>5105</v>
      </c>
      <c r="F2010" t="str">
        <f t="shared" ref="F2010" si="2002">LEFT(A2010, LEN(A2010) - 1)</f>
        <v>&gt;1003:ATTGGG:14.00:50.00:Warning:6:1847.26</v>
      </c>
    </row>
    <row r="2011" spans="1:6" x14ac:dyDescent="0.3">
      <c r="A2011" t="s">
        <v>1009</v>
      </c>
      <c r="F2011" t="str">
        <f t="shared" ref="F2011" si="2003">A2011</f>
        <v>ATTGGG</v>
      </c>
    </row>
    <row r="2012" spans="1:6" x14ac:dyDescent="0.3">
      <c r="A2012" t="s">
        <v>5106</v>
      </c>
      <c r="F2012" t="str">
        <f t="shared" ref="F2012" si="2004">LEFT(A2012, LEN(A2012) - 1)</f>
        <v>&gt;1004:ATTGGT:8.00:33.33:OK:6:1822.24</v>
      </c>
    </row>
    <row r="2013" spans="1:6" x14ac:dyDescent="0.3">
      <c r="A2013" t="s">
        <v>1010</v>
      </c>
      <c r="F2013" t="str">
        <f t="shared" ref="F2013" si="2005">A2013</f>
        <v>ATTGGT</v>
      </c>
    </row>
    <row r="2014" spans="1:6" x14ac:dyDescent="0.3">
      <c r="A2014" t="s">
        <v>5107</v>
      </c>
      <c r="F2014" t="str">
        <f t="shared" ref="F2014" si="2006">LEFT(A2014, LEN(A2014) - 1)</f>
        <v>&gt;1005:ATTGTA:10.00:16.67:OK:6:1806.24</v>
      </c>
    </row>
    <row r="2015" spans="1:6" x14ac:dyDescent="0.3">
      <c r="A2015" t="s">
        <v>1011</v>
      </c>
      <c r="F2015" t="str">
        <f t="shared" ref="F2015" si="2007">A2015</f>
        <v>ATTGTA</v>
      </c>
    </row>
    <row r="2016" spans="1:6" x14ac:dyDescent="0.3">
      <c r="A2016" t="s">
        <v>5108</v>
      </c>
      <c r="F2016" t="str">
        <f t="shared" ref="F2016" si="2008">LEFT(A2016, LEN(A2016) - 1)</f>
        <v>&gt;1006:ATTGTC:8.00:33.33:OK:6:1782.21</v>
      </c>
    </row>
    <row r="2017" spans="1:6" x14ac:dyDescent="0.3">
      <c r="A2017" t="s">
        <v>1012</v>
      </c>
      <c r="F2017" t="str">
        <f t="shared" ref="F2017" si="2009">A2017</f>
        <v>ATTGTC</v>
      </c>
    </row>
    <row r="2018" spans="1:6" x14ac:dyDescent="0.3">
      <c r="A2018" t="s">
        <v>5109</v>
      </c>
      <c r="F2018" t="str">
        <f t="shared" ref="F2018" si="2010">LEFT(A2018, LEN(A2018) - 1)</f>
        <v>&gt;1007:ATTGTG:8.00:33.33:OK:6:1822.24</v>
      </c>
    </row>
    <row r="2019" spans="1:6" x14ac:dyDescent="0.3">
      <c r="A2019" t="s">
        <v>1013</v>
      </c>
      <c r="F2019" t="str">
        <f t="shared" ref="F2019" si="2011">A2019</f>
        <v>ATTGTG</v>
      </c>
    </row>
    <row r="2020" spans="1:6" x14ac:dyDescent="0.3">
      <c r="A2020" t="s">
        <v>5110</v>
      </c>
      <c r="F2020" t="str">
        <f t="shared" ref="F2020" si="2012">LEFT(A2020, LEN(A2020) - 1)</f>
        <v>&gt;1008:ATTGTT:2.00:16.67:OK:6:1797.22</v>
      </c>
    </row>
    <row r="2021" spans="1:6" x14ac:dyDescent="0.3">
      <c r="A2021" t="s">
        <v>1014</v>
      </c>
      <c r="F2021" t="str">
        <f t="shared" ref="F2021" si="2013">A2021</f>
        <v>ATTGTT</v>
      </c>
    </row>
    <row r="2022" spans="1:6" x14ac:dyDescent="0.3">
      <c r="A2022" t="s">
        <v>5111</v>
      </c>
      <c r="F2022" t="str">
        <f t="shared" ref="F2022" si="2014">LEFT(A2022, LEN(A2022) - 1)</f>
        <v>&gt;1009:ATTTAA:12.00:0.00:OK:6:1790.24</v>
      </c>
    </row>
    <row r="2023" spans="1:6" x14ac:dyDescent="0.3">
      <c r="A2023" t="s">
        <v>1015</v>
      </c>
      <c r="F2023" t="str">
        <f t="shared" ref="F2023" si="2015">A2023</f>
        <v>ATTTAA</v>
      </c>
    </row>
    <row r="2024" spans="1:6" x14ac:dyDescent="0.3">
      <c r="A2024" t="s">
        <v>5112</v>
      </c>
      <c r="F2024" t="str">
        <f t="shared" ref="F2024" si="2016">LEFT(A2024, LEN(A2024) - 1)</f>
        <v>&gt;1010:ATTTAC:10.00:16.67:OK:6:1766.21</v>
      </c>
    </row>
    <row r="2025" spans="1:6" x14ac:dyDescent="0.3">
      <c r="A2025" t="s">
        <v>1016</v>
      </c>
      <c r="F2025" t="str">
        <f t="shared" ref="F2025" si="2017">A2025</f>
        <v>ATTTAC</v>
      </c>
    </row>
    <row r="2026" spans="1:6" x14ac:dyDescent="0.3">
      <c r="A2026" t="s">
        <v>5113</v>
      </c>
      <c r="F2026" t="str">
        <f t="shared" ref="F2026" si="2018">LEFT(A2026, LEN(A2026) - 1)</f>
        <v>&gt;1011:ATTTAG:10.00:16.67:OK:6:1806.24</v>
      </c>
    </row>
    <row r="2027" spans="1:6" x14ac:dyDescent="0.3">
      <c r="A2027" t="s">
        <v>1017</v>
      </c>
      <c r="F2027" t="str">
        <f t="shared" ref="F2027" si="2019">A2027</f>
        <v>ATTTAG</v>
      </c>
    </row>
    <row r="2028" spans="1:6" x14ac:dyDescent="0.3">
      <c r="A2028" t="s">
        <v>5114</v>
      </c>
      <c r="F2028" t="str">
        <f t="shared" ref="F2028" si="2020">LEFT(A2028, LEN(A2028) - 1)</f>
        <v>&gt;1012:ATTTAT:4.00:0.00:OK:6:1781.22</v>
      </c>
    </row>
    <row r="2029" spans="1:6" x14ac:dyDescent="0.3">
      <c r="A2029" t="s">
        <v>1018</v>
      </c>
      <c r="F2029" t="str">
        <f t="shared" ref="F2029" si="2021">A2029</f>
        <v>ATTTAT</v>
      </c>
    </row>
    <row r="2030" spans="1:6" x14ac:dyDescent="0.3">
      <c r="A2030" t="s">
        <v>5115</v>
      </c>
      <c r="F2030" t="str">
        <f t="shared" ref="F2030" si="2022">LEFT(A2030, LEN(A2030) - 1)</f>
        <v>&gt;1013:ATTTCA:10.00:16.67:OK:6:1766.21</v>
      </c>
    </row>
    <row r="2031" spans="1:6" x14ac:dyDescent="0.3">
      <c r="A2031" t="s">
        <v>1019</v>
      </c>
      <c r="F2031" t="str">
        <f t="shared" ref="F2031" si="2023">A2031</f>
        <v>ATTTCA</v>
      </c>
    </row>
    <row r="2032" spans="1:6" x14ac:dyDescent="0.3">
      <c r="A2032" t="s">
        <v>5116</v>
      </c>
      <c r="F2032" t="str">
        <f t="shared" ref="F2032" si="2024">LEFT(A2032, LEN(A2032) - 1)</f>
        <v>&gt;1014:ATTTCC:8.00:33.33:OK:6:1742.18</v>
      </c>
    </row>
    <row r="2033" spans="1:6" x14ac:dyDescent="0.3">
      <c r="A2033" t="s">
        <v>1020</v>
      </c>
      <c r="F2033" t="str">
        <f t="shared" ref="F2033" si="2025">A2033</f>
        <v>ATTTCC</v>
      </c>
    </row>
    <row r="2034" spans="1:6" x14ac:dyDescent="0.3">
      <c r="A2034" t="s">
        <v>5117</v>
      </c>
      <c r="F2034" t="str">
        <f t="shared" ref="F2034" si="2026">LEFT(A2034, LEN(A2034) - 1)</f>
        <v>&gt;1015:ATTTCG:8.00:33.33:OK:6:1782.21</v>
      </c>
    </row>
    <row r="2035" spans="1:6" x14ac:dyDescent="0.3">
      <c r="A2035" t="s">
        <v>1021</v>
      </c>
      <c r="F2035" t="str">
        <f t="shared" ref="F2035" si="2027">A2035</f>
        <v>ATTTCG</v>
      </c>
    </row>
    <row r="2036" spans="1:6" x14ac:dyDescent="0.3">
      <c r="A2036" t="s">
        <v>5118</v>
      </c>
      <c r="F2036" t="str">
        <f t="shared" ref="F2036" si="2028">LEFT(A2036, LEN(A2036) - 1)</f>
        <v>&gt;1016:ATTTCT:2.00:16.67:OK:6:1757.19</v>
      </c>
    </row>
    <row r="2037" spans="1:6" x14ac:dyDescent="0.3">
      <c r="A2037" t="s">
        <v>1022</v>
      </c>
      <c r="F2037" t="str">
        <f t="shared" ref="F2037" si="2029">A2037</f>
        <v>ATTTCT</v>
      </c>
    </row>
    <row r="2038" spans="1:6" x14ac:dyDescent="0.3">
      <c r="A2038" t="s">
        <v>5119</v>
      </c>
      <c r="F2038" t="str">
        <f t="shared" ref="F2038" si="2030">LEFT(A2038, LEN(A2038) - 1)</f>
        <v>&gt;1017:ATTTGA:10.00:16.67:OK:6:1806.24</v>
      </c>
    </row>
    <row r="2039" spans="1:6" x14ac:dyDescent="0.3">
      <c r="A2039" t="s">
        <v>1023</v>
      </c>
      <c r="F2039" t="str">
        <f t="shared" ref="F2039" si="2031">A2039</f>
        <v>ATTTGA</v>
      </c>
    </row>
    <row r="2040" spans="1:6" x14ac:dyDescent="0.3">
      <c r="A2040" t="s">
        <v>5120</v>
      </c>
      <c r="F2040" t="str">
        <f t="shared" ref="F2040" si="2032">LEFT(A2040, LEN(A2040) - 1)</f>
        <v>&gt;1018:ATTTGC:8.00:33.33:OK:6:1782.21</v>
      </c>
    </row>
    <row r="2041" spans="1:6" x14ac:dyDescent="0.3">
      <c r="A2041" t="s">
        <v>1024</v>
      </c>
      <c r="F2041" t="str">
        <f t="shared" ref="F2041" si="2033">A2041</f>
        <v>ATTTGC</v>
      </c>
    </row>
    <row r="2042" spans="1:6" x14ac:dyDescent="0.3">
      <c r="A2042" t="s">
        <v>5121</v>
      </c>
      <c r="F2042" t="str">
        <f t="shared" ref="F2042" si="2034">LEFT(A2042, LEN(A2042) - 1)</f>
        <v>&gt;1019:ATTTGG:8.00:33.33:OK:6:1822.24</v>
      </c>
    </row>
    <row r="2043" spans="1:6" x14ac:dyDescent="0.3">
      <c r="A2043" t="s">
        <v>1025</v>
      </c>
      <c r="F2043" t="str">
        <f t="shared" ref="F2043" si="2035">A2043</f>
        <v>ATTTGG</v>
      </c>
    </row>
    <row r="2044" spans="1:6" x14ac:dyDescent="0.3">
      <c r="A2044" t="s">
        <v>5122</v>
      </c>
      <c r="F2044" t="str">
        <f t="shared" ref="F2044" si="2036">LEFT(A2044, LEN(A2044) - 1)</f>
        <v>&gt;1020:ATTTGT:2.00:16.67:OK:6:1797.22</v>
      </c>
    </row>
    <row r="2045" spans="1:6" x14ac:dyDescent="0.3">
      <c r="A2045" t="s">
        <v>1026</v>
      </c>
      <c r="F2045" t="str">
        <f t="shared" ref="F2045" si="2037">A2045</f>
        <v>ATTTGT</v>
      </c>
    </row>
    <row r="2046" spans="1:6" x14ac:dyDescent="0.3">
      <c r="A2046" t="s">
        <v>5123</v>
      </c>
      <c r="F2046" t="str">
        <f t="shared" ref="F2046" si="2038">LEFT(A2046, LEN(A2046) - 1)</f>
        <v>&gt;1021:ATTTTA:4.00:0.00:OK:6:1781.22</v>
      </c>
    </row>
    <row r="2047" spans="1:6" x14ac:dyDescent="0.3">
      <c r="A2047" t="s">
        <v>1027</v>
      </c>
      <c r="F2047" t="str">
        <f t="shared" ref="F2047" si="2039">A2047</f>
        <v>ATTTTA</v>
      </c>
    </row>
    <row r="2048" spans="1:6" x14ac:dyDescent="0.3">
      <c r="A2048" t="s">
        <v>5124</v>
      </c>
      <c r="F2048" t="str">
        <f t="shared" ref="F2048" si="2040">LEFT(A2048, LEN(A2048) - 1)</f>
        <v>&gt;1022:ATTTTC:2.00:16.67:OK:6:1757.19</v>
      </c>
    </row>
    <row r="2049" spans="1:6" x14ac:dyDescent="0.3">
      <c r="A2049" t="s">
        <v>1028</v>
      </c>
      <c r="F2049" t="str">
        <f t="shared" ref="F2049" si="2041">A2049</f>
        <v>ATTTTC</v>
      </c>
    </row>
    <row r="2050" spans="1:6" x14ac:dyDescent="0.3">
      <c r="A2050" t="s">
        <v>5125</v>
      </c>
      <c r="F2050" t="str">
        <f t="shared" ref="F2050" si="2042">LEFT(A2050, LEN(A2050) - 1)</f>
        <v>&gt;1023:ATTTTG:2.00:16.67:OK:6:1797.22</v>
      </c>
    </row>
    <row r="2051" spans="1:6" x14ac:dyDescent="0.3">
      <c r="A2051" t="s">
        <v>1029</v>
      </c>
      <c r="F2051" t="str">
        <f t="shared" ref="F2051" si="2043">A2051</f>
        <v>ATTTTG</v>
      </c>
    </row>
    <row r="2052" spans="1:6" x14ac:dyDescent="0.3">
      <c r="A2052" t="s">
        <v>5126</v>
      </c>
      <c r="F2052" t="str">
        <f t="shared" ref="F2052" si="2044">LEFT(A2052, LEN(A2052) - 1)</f>
        <v>&gt;1024:ATTTTT:-4.00:0.00:OK:6:1772.20</v>
      </c>
    </row>
    <row r="2053" spans="1:6" x14ac:dyDescent="0.3">
      <c r="A2053" t="s">
        <v>1030</v>
      </c>
      <c r="F2053" t="str">
        <f t="shared" ref="F2053" si="2045">A2053</f>
        <v>ATTTTT</v>
      </c>
    </row>
    <row r="2054" spans="1:6" x14ac:dyDescent="0.3">
      <c r="A2054" t="s">
        <v>5127</v>
      </c>
      <c r="F2054" t="str">
        <f t="shared" ref="F2054" si="2046">LEFT(A2054, LEN(A2054) - 1)</f>
        <v>&gt;1025:CAAAAA:34.00:16.67:OK:6:1793.27</v>
      </c>
    </row>
    <row r="2055" spans="1:6" x14ac:dyDescent="0.3">
      <c r="A2055" t="s">
        <v>1031</v>
      </c>
      <c r="F2055" t="str">
        <f t="shared" ref="F2055" si="2047">A2055</f>
        <v>CAAAAA</v>
      </c>
    </row>
    <row r="2056" spans="1:6" x14ac:dyDescent="0.3">
      <c r="A2056" t="s">
        <v>5128</v>
      </c>
      <c r="F2056" t="str">
        <f t="shared" ref="F2056" si="2048">LEFT(A2056, LEN(A2056) - 1)</f>
        <v>&gt;1026:CAAAAC:32.00:33.33:OK:6:1769.24</v>
      </c>
    </row>
    <row r="2057" spans="1:6" x14ac:dyDescent="0.3">
      <c r="A2057" t="s">
        <v>1032</v>
      </c>
      <c r="F2057" t="str">
        <f t="shared" ref="F2057" si="2049">A2057</f>
        <v>CAAAAC</v>
      </c>
    </row>
    <row r="2058" spans="1:6" x14ac:dyDescent="0.3">
      <c r="A2058" t="s">
        <v>5129</v>
      </c>
      <c r="F2058" t="str">
        <f t="shared" ref="F2058" si="2050">LEFT(A2058, LEN(A2058) - 1)</f>
        <v>&gt;1027:CAAAAG:32.00:33.33:OK:6:1809.27</v>
      </c>
    </row>
    <row r="2059" spans="1:6" x14ac:dyDescent="0.3">
      <c r="A2059" t="s">
        <v>1033</v>
      </c>
      <c r="F2059" t="str">
        <f t="shared" ref="F2059" si="2051">A2059</f>
        <v>CAAAAG</v>
      </c>
    </row>
    <row r="2060" spans="1:6" x14ac:dyDescent="0.3">
      <c r="A2060" t="s">
        <v>5130</v>
      </c>
      <c r="F2060" t="str">
        <f t="shared" ref="F2060" si="2052">LEFT(A2060, LEN(A2060) - 1)</f>
        <v>&gt;1028:CAAAAT:26.00:16.67:OK:6:1784.25</v>
      </c>
    </row>
    <row r="2061" spans="1:6" x14ac:dyDescent="0.3">
      <c r="A2061" t="s">
        <v>1034</v>
      </c>
      <c r="F2061" t="str">
        <f t="shared" ref="F2061" si="2053">A2061</f>
        <v>CAAAAT</v>
      </c>
    </row>
    <row r="2062" spans="1:6" x14ac:dyDescent="0.3">
      <c r="A2062" t="s">
        <v>5131</v>
      </c>
      <c r="F2062" t="str">
        <f t="shared" ref="F2062" si="2054">LEFT(A2062, LEN(A2062) - 1)</f>
        <v>&gt;1029:CAAACA:32.00:33.33:OK:6:1769.24</v>
      </c>
    </row>
    <row r="2063" spans="1:6" x14ac:dyDescent="0.3">
      <c r="A2063" t="s">
        <v>1035</v>
      </c>
      <c r="F2063" t="str">
        <f t="shared" ref="F2063" si="2055">A2063</f>
        <v>CAAACA</v>
      </c>
    </row>
    <row r="2064" spans="1:6" x14ac:dyDescent="0.3">
      <c r="A2064" t="s">
        <v>5132</v>
      </c>
      <c r="F2064" t="str">
        <f t="shared" ref="F2064" si="2056">LEFT(A2064, LEN(A2064) - 1)</f>
        <v>&gt;1030:CAAACC:30.00:50.00:OK:6:1745.21</v>
      </c>
    </row>
    <row r="2065" spans="1:6" x14ac:dyDescent="0.3">
      <c r="A2065" t="s">
        <v>1036</v>
      </c>
      <c r="F2065" t="str">
        <f t="shared" ref="F2065" si="2057">A2065</f>
        <v>CAAACC</v>
      </c>
    </row>
    <row r="2066" spans="1:6" x14ac:dyDescent="0.3">
      <c r="A2066" t="s">
        <v>5133</v>
      </c>
      <c r="F2066" t="str">
        <f t="shared" ref="F2066" si="2058">LEFT(A2066, LEN(A2066) - 1)</f>
        <v>&gt;1031:CAAACG:30.00:50.00:OK:6:1785.24</v>
      </c>
    </row>
    <row r="2067" spans="1:6" x14ac:dyDescent="0.3">
      <c r="A2067" t="s">
        <v>1037</v>
      </c>
      <c r="F2067" t="str">
        <f t="shared" ref="F2067" si="2059">A2067</f>
        <v>CAAACG</v>
      </c>
    </row>
    <row r="2068" spans="1:6" x14ac:dyDescent="0.3">
      <c r="A2068" t="s">
        <v>5134</v>
      </c>
      <c r="F2068" t="str">
        <f t="shared" ref="F2068" si="2060">LEFT(A2068, LEN(A2068) - 1)</f>
        <v>&gt;1032:CAAACT:24.00:33.33:OK:6:1760.22</v>
      </c>
    </row>
    <row r="2069" spans="1:6" x14ac:dyDescent="0.3">
      <c r="A2069" t="s">
        <v>1038</v>
      </c>
      <c r="F2069" t="str">
        <f t="shared" ref="F2069" si="2061">A2069</f>
        <v>CAAACT</v>
      </c>
    </row>
    <row r="2070" spans="1:6" x14ac:dyDescent="0.3">
      <c r="A2070" t="s">
        <v>5135</v>
      </c>
      <c r="F2070" t="str">
        <f t="shared" ref="F2070" si="2062">LEFT(A2070, LEN(A2070) - 1)</f>
        <v>&gt;1033:CAAAGA:32.00:33.33:OK:6:1809.27</v>
      </c>
    </row>
    <row r="2071" spans="1:6" x14ac:dyDescent="0.3">
      <c r="A2071" t="s">
        <v>1039</v>
      </c>
      <c r="F2071" t="str">
        <f t="shared" ref="F2071" si="2063">A2071</f>
        <v>CAAAGA</v>
      </c>
    </row>
    <row r="2072" spans="1:6" x14ac:dyDescent="0.3">
      <c r="A2072" t="s">
        <v>5136</v>
      </c>
      <c r="F2072" t="str">
        <f t="shared" ref="F2072" si="2064">LEFT(A2072, LEN(A2072) - 1)</f>
        <v>&gt;1034:CAAAGC:30.00:50.00:OK:6:1785.24</v>
      </c>
    </row>
    <row r="2073" spans="1:6" x14ac:dyDescent="0.3">
      <c r="A2073" t="s">
        <v>1040</v>
      </c>
      <c r="F2073" t="str">
        <f t="shared" ref="F2073" si="2065">A2073</f>
        <v>CAAAGC</v>
      </c>
    </row>
    <row r="2074" spans="1:6" x14ac:dyDescent="0.3">
      <c r="A2074" t="s">
        <v>5137</v>
      </c>
      <c r="F2074" t="str">
        <f t="shared" ref="F2074" si="2066">LEFT(A2074, LEN(A2074) - 1)</f>
        <v>&gt;1035:CAAAGG:30.00:50.00:OK:6:1825.27</v>
      </c>
    </row>
    <row r="2075" spans="1:6" x14ac:dyDescent="0.3">
      <c r="A2075" t="s">
        <v>1041</v>
      </c>
      <c r="F2075" t="str">
        <f t="shared" ref="F2075" si="2067">A2075</f>
        <v>CAAAGG</v>
      </c>
    </row>
    <row r="2076" spans="1:6" x14ac:dyDescent="0.3">
      <c r="A2076" t="s">
        <v>5138</v>
      </c>
      <c r="F2076" t="str">
        <f t="shared" ref="F2076" si="2068">LEFT(A2076, LEN(A2076) - 1)</f>
        <v>&gt;1036:CAAAGT:24.00:33.33:OK:6:1800.25</v>
      </c>
    </row>
    <row r="2077" spans="1:6" x14ac:dyDescent="0.3">
      <c r="A2077" t="s">
        <v>1042</v>
      </c>
      <c r="F2077" t="str">
        <f t="shared" ref="F2077" si="2069">A2077</f>
        <v>CAAAGT</v>
      </c>
    </row>
    <row r="2078" spans="1:6" x14ac:dyDescent="0.3">
      <c r="A2078" t="s">
        <v>5139</v>
      </c>
      <c r="F2078" t="str">
        <f t="shared" ref="F2078" si="2070">LEFT(A2078, LEN(A2078) - 1)</f>
        <v>&gt;1037:CAAATA:26.00:16.67:OK:6:1784.25</v>
      </c>
    </row>
    <row r="2079" spans="1:6" x14ac:dyDescent="0.3">
      <c r="A2079" t="s">
        <v>1043</v>
      </c>
      <c r="F2079" t="str">
        <f t="shared" ref="F2079" si="2071">A2079</f>
        <v>CAAATA</v>
      </c>
    </row>
    <row r="2080" spans="1:6" x14ac:dyDescent="0.3">
      <c r="A2080" t="s">
        <v>5140</v>
      </c>
      <c r="F2080" t="str">
        <f t="shared" ref="F2080" si="2072">LEFT(A2080, LEN(A2080) - 1)</f>
        <v>&gt;1038:CAAATC:24.00:33.33:OK:6:1760.22</v>
      </c>
    </row>
    <row r="2081" spans="1:6" x14ac:dyDescent="0.3">
      <c r="A2081" t="s">
        <v>1044</v>
      </c>
      <c r="F2081" t="str">
        <f t="shared" ref="F2081" si="2073">A2081</f>
        <v>CAAATC</v>
      </c>
    </row>
    <row r="2082" spans="1:6" x14ac:dyDescent="0.3">
      <c r="A2082" t="s">
        <v>5141</v>
      </c>
      <c r="F2082" t="str">
        <f t="shared" ref="F2082" si="2074">LEFT(A2082, LEN(A2082) - 1)</f>
        <v>&gt;1039:CAAATG:24.00:33.33:OK:6:1800.25</v>
      </c>
    </row>
    <row r="2083" spans="1:6" x14ac:dyDescent="0.3">
      <c r="A2083" t="s">
        <v>1045</v>
      </c>
      <c r="F2083" t="str">
        <f t="shared" ref="F2083" si="2075">A2083</f>
        <v>CAAATG</v>
      </c>
    </row>
    <row r="2084" spans="1:6" x14ac:dyDescent="0.3">
      <c r="A2084" t="s">
        <v>5142</v>
      </c>
      <c r="F2084" t="str">
        <f t="shared" ref="F2084" si="2076">LEFT(A2084, LEN(A2084) - 1)</f>
        <v>&gt;1040:CAAATT:18.00:16.67:OK:6:1775.23</v>
      </c>
    </row>
    <row r="2085" spans="1:6" x14ac:dyDescent="0.3">
      <c r="A2085" t="s">
        <v>1046</v>
      </c>
      <c r="F2085" t="str">
        <f t="shared" ref="F2085" si="2077">A2085</f>
        <v>CAAATT</v>
      </c>
    </row>
    <row r="2086" spans="1:6" x14ac:dyDescent="0.3">
      <c r="A2086" t="s">
        <v>5143</v>
      </c>
      <c r="F2086" t="str">
        <f t="shared" ref="F2086" si="2078">LEFT(A2086, LEN(A2086) - 1)</f>
        <v>&gt;1041:CAACAA:32.00:33.33:OK:6:1769.24</v>
      </c>
    </row>
    <row r="2087" spans="1:6" x14ac:dyDescent="0.3">
      <c r="A2087" t="s">
        <v>1047</v>
      </c>
      <c r="F2087" t="str">
        <f t="shared" ref="F2087" si="2079">A2087</f>
        <v>CAACAA</v>
      </c>
    </row>
    <row r="2088" spans="1:6" x14ac:dyDescent="0.3">
      <c r="A2088" t="s">
        <v>5144</v>
      </c>
      <c r="F2088" t="str">
        <f t="shared" ref="F2088" si="2080">LEFT(A2088, LEN(A2088) - 1)</f>
        <v>&gt;1042:CAACAC:30.00:50.00:OK:6:1745.21</v>
      </c>
    </row>
    <row r="2089" spans="1:6" x14ac:dyDescent="0.3">
      <c r="A2089" t="s">
        <v>1048</v>
      </c>
      <c r="F2089" t="str">
        <f t="shared" ref="F2089" si="2081">A2089</f>
        <v>CAACAC</v>
      </c>
    </row>
    <row r="2090" spans="1:6" x14ac:dyDescent="0.3">
      <c r="A2090" t="s">
        <v>5145</v>
      </c>
      <c r="F2090" t="str">
        <f t="shared" ref="F2090" si="2082">LEFT(A2090, LEN(A2090) - 1)</f>
        <v>&gt;1043:CAACAG:30.00:50.00:OK:6:1785.24</v>
      </c>
    </row>
    <row r="2091" spans="1:6" x14ac:dyDescent="0.3">
      <c r="A2091" t="s">
        <v>1049</v>
      </c>
      <c r="F2091" t="str">
        <f t="shared" ref="F2091" si="2083">A2091</f>
        <v>CAACAG</v>
      </c>
    </row>
    <row r="2092" spans="1:6" x14ac:dyDescent="0.3">
      <c r="A2092" t="s">
        <v>5146</v>
      </c>
      <c r="F2092" t="str">
        <f t="shared" ref="F2092" si="2084">LEFT(A2092, LEN(A2092) - 1)</f>
        <v>&gt;1044:CAACAT:24.00:33.33:OK:6:1760.22</v>
      </c>
    </row>
    <row r="2093" spans="1:6" x14ac:dyDescent="0.3">
      <c r="A2093" t="s">
        <v>1050</v>
      </c>
      <c r="F2093" t="str">
        <f t="shared" ref="F2093" si="2085">A2093</f>
        <v>CAACAT</v>
      </c>
    </row>
    <row r="2094" spans="1:6" x14ac:dyDescent="0.3">
      <c r="A2094" t="s">
        <v>5147</v>
      </c>
      <c r="F2094" t="str">
        <f t="shared" ref="F2094" si="2086">LEFT(A2094, LEN(A2094) - 1)</f>
        <v>&gt;1045:CAACCA:30.00:50.00:OK:6:1745.21</v>
      </c>
    </row>
    <row r="2095" spans="1:6" x14ac:dyDescent="0.3">
      <c r="A2095" t="s">
        <v>1051</v>
      </c>
      <c r="F2095" t="str">
        <f t="shared" ref="F2095" si="2087">A2095</f>
        <v>CAACCA</v>
      </c>
    </row>
    <row r="2096" spans="1:6" x14ac:dyDescent="0.3">
      <c r="A2096" t="s">
        <v>5148</v>
      </c>
      <c r="F2096" t="str">
        <f t="shared" ref="F2096" si="2088">LEFT(A2096, LEN(A2096) - 1)</f>
        <v>&gt;1046:CAACCC:28.00:66.67:Warning:6:1721.18</v>
      </c>
    </row>
    <row r="2097" spans="1:6" x14ac:dyDescent="0.3">
      <c r="A2097" t="s">
        <v>1052</v>
      </c>
      <c r="F2097" t="str">
        <f t="shared" ref="F2097" si="2089">A2097</f>
        <v>CAACCC</v>
      </c>
    </row>
    <row r="2098" spans="1:6" x14ac:dyDescent="0.3">
      <c r="A2098" t="s">
        <v>5149</v>
      </c>
      <c r="F2098" t="str">
        <f t="shared" ref="F2098" si="2090">LEFT(A2098, LEN(A2098) - 1)</f>
        <v>&gt;1047:CAACCG:28.00:66.67:Warning:6:1761.21</v>
      </c>
    </row>
    <row r="2099" spans="1:6" x14ac:dyDescent="0.3">
      <c r="A2099" t="s">
        <v>1053</v>
      </c>
      <c r="F2099" t="str">
        <f t="shared" ref="F2099" si="2091">A2099</f>
        <v>CAACCG</v>
      </c>
    </row>
    <row r="2100" spans="1:6" x14ac:dyDescent="0.3">
      <c r="A2100" t="s">
        <v>5150</v>
      </c>
      <c r="F2100" t="str">
        <f t="shared" ref="F2100" si="2092">LEFT(A2100, LEN(A2100) - 1)</f>
        <v>&gt;1048:CAACCT:22.00:50.00:OK:6:1736.19</v>
      </c>
    </row>
    <row r="2101" spans="1:6" x14ac:dyDescent="0.3">
      <c r="A2101" t="s">
        <v>1054</v>
      </c>
      <c r="F2101" t="str">
        <f t="shared" ref="F2101" si="2093">A2101</f>
        <v>CAACCT</v>
      </c>
    </row>
    <row r="2102" spans="1:6" x14ac:dyDescent="0.3">
      <c r="A2102" t="s">
        <v>5151</v>
      </c>
      <c r="F2102" t="str">
        <f t="shared" ref="F2102" si="2094">LEFT(A2102, LEN(A2102) - 1)</f>
        <v>&gt;1049:CAACGA:30.00:50.00:OK:6:1785.24</v>
      </c>
    </row>
    <row r="2103" spans="1:6" x14ac:dyDescent="0.3">
      <c r="A2103" t="s">
        <v>1055</v>
      </c>
      <c r="F2103" t="str">
        <f t="shared" ref="F2103" si="2095">A2103</f>
        <v>CAACGA</v>
      </c>
    </row>
    <row r="2104" spans="1:6" x14ac:dyDescent="0.3">
      <c r="A2104" t="s">
        <v>5152</v>
      </c>
      <c r="F2104" t="str">
        <f t="shared" ref="F2104" si="2096">LEFT(A2104, LEN(A2104) - 1)</f>
        <v>&gt;1050:CAACGC:28.00:66.67:Warning:6:1761.21</v>
      </c>
    </row>
    <row r="2105" spans="1:6" x14ac:dyDescent="0.3">
      <c r="A2105" t="s">
        <v>1056</v>
      </c>
      <c r="F2105" t="str">
        <f t="shared" ref="F2105" si="2097">A2105</f>
        <v>CAACGC</v>
      </c>
    </row>
    <row r="2106" spans="1:6" x14ac:dyDescent="0.3">
      <c r="A2106" t="s">
        <v>5153</v>
      </c>
      <c r="F2106" t="str">
        <f t="shared" ref="F2106" si="2098">LEFT(A2106, LEN(A2106) - 1)</f>
        <v>&gt;1051:CAACGG:28.00:66.67:Warning:6:1801.24</v>
      </c>
    </row>
    <row r="2107" spans="1:6" x14ac:dyDescent="0.3">
      <c r="A2107" t="s">
        <v>1057</v>
      </c>
      <c r="F2107" t="str">
        <f t="shared" ref="F2107" si="2099">A2107</f>
        <v>CAACGG</v>
      </c>
    </row>
    <row r="2108" spans="1:6" x14ac:dyDescent="0.3">
      <c r="A2108" t="s">
        <v>5154</v>
      </c>
      <c r="F2108" t="str">
        <f t="shared" ref="F2108" si="2100">LEFT(A2108, LEN(A2108) - 1)</f>
        <v>&gt;1052:CAACGT:22.00:50.00:OK:6:1776.22</v>
      </c>
    </row>
    <row r="2109" spans="1:6" x14ac:dyDescent="0.3">
      <c r="A2109" t="s">
        <v>1058</v>
      </c>
      <c r="F2109" t="str">
        <f t="shared" ref="F2109" si="2101">A2109</f>
        <v>CAACGT</v>
      </c>
    </row>
    <row r="2110" spans="1:6" x14ac:dyDescent="0.3">
      <c r="A2110" t="s">
        <v>5155</v>
      </c>
      <c r="F2110" t="str">
        <f t="shared" ref="F2110" si="2102">LEFT(A2110, LEN(A2110) - 1)</f>
        <v>&gt;1053:CAACTA:24.00:33.33:OK:6:1760.22</v>
      </c>
    </row>
    <row r="2111" spans="1:6" x14ac:dyDescent="0.3">
      <c r="A2111" t="s">
        <v>1059</v>
      </c>
      <c r="F2111" t="str">
        <f t="shared" ref="F2111" si="2103">A2111</f>
        <v>CAACTA</v>
      </c>
    </row>
    <row r="2112" spans="1:6" x14ac:dyDescent="0.3">
      <c r="A2112" t="s">
        <v>5156</v>
      </c>
      <c r="F2112" t="str">
        <f t="shared" ref="F2112" si="2104">LEFT(A2112, LEN(A2112) - 1)</f>
        <v>&gt;1054:CAACTC:22.00:50.00:OK:6:1736.19</v>
      </c>
    </row>
    <row r="2113" spans="1:6" x14ac:dyDescent="0.3">
      <c r="A2113" t="s">
        <v>1060</v>
      </c>
      <c r="F2113" t="str">
        <f t="shared" ref="F2113" si="2105">A2113</f>
        <v>CAACTC</v>
      </c>
    </row>
    <row r="2114" spans="1:6" x14ac:dyDescent="0.3">
      <c r="A2114" t="s">
        <v>5157</v>
      </c>
      <c r="F2114" t="str">
        <f t="shared" ref="F2114" si="2106">LEFT(A2114, LEN(A2114) - 1)</f>
        <v>&gt;1055:CAACTG:22.00:50.00:OK:6:1776.22</v>
      </c>
    </row>
    <row r="2115" spans="1:6" x14ac:dyDescent="0.3">
      <c r="A2115" t="s">
        <v>1061</v>
      </c>
      <c r="F2115" t="str">
        <f t="shared" ref="F2115" si="2107">A2115</f>
        <v>CAACTG</v>
      </c>
    </row>
    <row r="2116" spans="1:6" x14ac:dyDescent="0.3">
      <c r="A2116" t="s">
        <v>5158</v>
      </c>
      <c r="F2116" t="str">
        <f t="shared" ref="F2116" si="2108">LEFT(A2116, LEN(A2116) - 1)</f>
        <v>&gt;1056:CAACTT:16.00:33.33:OK:6:1751.20</v>
      </c>
    </row>
    <row r="2117" spans="1:6" x14ac:dyDescent="0.3">
      <c r="A2117" t="s">
        <v>1062</v>
      </c>
      <c r="F2117" t="str">
        <f t="shared" ref="F2117" si="2109">A2117</f>
        <v>CAACTT</v>
      </c>
    </row>
    <row r="2118" spans="1:6" x14ac:dyDescent="0.3">
      <c r="A2118" t="s">
        <v>5159</v>
      </c>
      <c r="F2118" t="str">
        <f t="shared" ref="F2118" si="2110">LEFT(A2118, LEN(A2118) - 1)</f>
        <v>&gt;1057:CAAGAA:32.00:33.33:OK:6:1809.27</v>
      </c>
    </row>
    <row r="2119" spans="1:6" x14ac:dyDescent="0.3">
      <c r="A2119" t="s">
        <v>1063</v>
      </c>
      <c r="F2119" t="str">
        <f t="shared" ref="F2119" si="2111">A2119</f>
        <v>CAAGAA</v>
      </c>
    </row>
    <row r="2120" spans="1:6" x14ac:dyDescent="0.3">
      <c r="A2120" t="s">
        <v>5160</v>
      </c>
      <c r="F2120" t="str">
        <f t="shared" ref="F2120" si="2112">LEFT(A2120, LEN(A2120) - 1)</f>
        <v>&gt;1058:CAAGAC:30.00:50.00:OK:6:1785.24</v>
      </c>
    </row>
    <row r="2121" spans="1:6" x14ac:dyDescent="0.3">
      <c r="A2121" t="s">
        <v>1064</v>
      </c>
      <c r="F2121" t="str">
        <f t="shared" ref="F2121" si="2113">A2121</f>
        <v>CAAGAC</v>
      </c>
    </row>
    <row r="2122" spans="1:6" x14ac:dyDescent="0.3">
      <c r="A2122" t="s">
        <v>5161</v>
      </c>
      <c r="F2122" t="str">
        <f t="shared" ref="F2122" si="2114">LEFT(A2122, LEN(A2122) - 1)</f>
        <v>&gt;1059:CAAGAG:30.00:50.00:OK:6:1825.27</v>
      </c>
    </row>
    <row r="2123" spans="1:6" x14ac:dyDescent="0.3">
      <c r="A2123" t="s">
        <v>1065</v>
      </c>
      <c r="F2123" t="str">
        <f t="shared" ref="F2123" si="2115">A2123</f>
        <v>CAAGAG</v>
      </c>
    </row>
    <row r="2124" spans="1:6" x14ac:dyDescent="0.3">
      <c r="A2124" t="s">
        <v>5162</v>
      </c>
      <c r="F2124" t="str">
        <f t="shared" ref="F2124" si="2116">LEFT(A2124, LEN(A2124) - 1)</f>
        <v>&gt;1060:CAAGAT:24.00:33.33:OK:6:1800.25</v>
      </c>
    </row>
    <row r="2125" spans="1:6" x14ac:dyDescent="0.3">
      <c r="A2125" t="s">
        <v>1066</v>
      </c>
      <c r="F2125" t="str">
        <f t="shared" ref="F2125" si="2117">A2125</f>
        <v>CAAGAT</v>
      </c>
    </row>
    <row r="2126" spans="1:6" x14ac:dyDescent="0.3">
      <c r="A2126" t="s">
        <v>5163</v>
      </c>
      <c r="F2126" t="str">
        <f t="shared" ref="F2126" si="2118">LEFT(A2126, LEN(A2126) - 1)</f>
        <v>&gt;1061:CAAGCA:30.00:50.00:OK:6:1785.24</v>
      </c>
    </row>
    <row r="2127" spans="1:6" x14ac:dyDescent="0.3">
      <c r="A2127" t="s">
        <v>1067</v>
      </c>
      <c r="F2127" t="str">
        <f t="shared" ref="F2127" si="2119">A2127</f>
        <v>CAAGCA</v>
      </c>
    </row>
    <row r="2128" spans="1:6" x14ac:dyDescent="0.3">
      <c r="A2128" t="s">
        <v>5164</v>
      </c>
      <c r="F2128" t="str">
        <f t="shared" ref="F2128" si="2120">LEFT(A2128, LEN(A2128) - 1)</f>
        <v>&gt;1062:CAAGCC:28.00:66.67:Warning:6:1761.21</v>
      </c>
    </row>
    <row r="2129" spans="1:6" x14ac:dyDescent="0.3">
      <c r="A2129" t="s">
        <v>1068</v>
      </c>
      <c r="F2129" t="str">
        <f t="shared" ref="F2129" si="2121">A2129</f>
        <v>CAAGCC</v>
      </c>
    </row>
    <row r="2130" spans="1:6" x14ac:dyDescent="0.3">
      <c r="A2130" t="s">
        <v>5165</v>
      </c>
      <c r="F2130" t="str">
        <f t="shared" ref="F2130" si="2122">LEFT(A2130, LEN(A2130) - 1)</f>
        <v>&gt;1063:CAAGCG:28.00:66.67:Warning:6:1801.24</v>
      </c>
    </row>
    <row r="2131" spans="1:6" x14ac:dyDescent="0.3">
      <c r="A2131" t="s">
        <v>1069</v>
      </c>
      <c r="F2131" t="str">
        <f t="shared" ref="F2131" si="2123">A2131</f>
        <v>CAAGCG</v>
      </c>
    </row>
    <row r="2132" spans="1:6" x14ac:dyDescent="0.3">
      <c r="A2132" t="s">
        <v>5166</v>
      </c>
      <c r="F2132" t="str">
        <f t="shared" ref="F2132" si="2124">LEFT(A2132, LEN(A2132) - 1)</f>
        <v>&gt;1064:CAAGCT:22.00:50.00:OK:6:1776.22</v>
      </c>
    </row>
    <row r="2133" spans="1:6" x14ac:dyDescent="0.3">
      <c r="A2133" t="s">
        <v>1070</v>
      </c>
      <c r="F2133" t="str">
        <f t="shared" ref="F2133" si="2125">A2133</f>
        <v>CAAGCT</v>
      </c>
    </row>
    <row r="2134" spans="1:6" x14ac:dyDescent="0.3">
      <c r="A2134" t="s">
        <v>5167</v>
      </c>
      <c r="F2134" t="str">
        <f t="shared" ref="F2134" si="2126">LEFT(A2134, LEN(A2134) - 1)</f>
        <v>&gt;1065:CAAGGA:30.00:50.00:OK:6:1825.27</v>
      </c>
    </row>
    <row r="2135" spans="1:6" x14ac:dyDescent="0.3">
      <c r="A2135" t="s">
        <v>1071</v>
      </c>
      <c r="F2135" t="str">
        <f t="shared" ref="F2135" si="2127">A2135</f>
        <v>CAAGGA</v>
      </c>
    </row>
    <row r="2136" spans="1:6" x14ac:dyDescent="0.3">
      <c r="A2136" t="s">
        <v>5168</v>
      </c>
      <c r="F2136" t="str">
        <f t="shared" ref="F2136" si="2128">LEFT(A2136, LEN(A2136) - 1)</f>
        <v>&gt;1066:CAAGGC:28.00:66.67:Warning:6:1801.24</v>
      </c>
    </row>
    <row r="2137" spans="1:6" x14ac:dyDescent="0.3">
      <c r="A2137" t="s">
        <v>1072</v>
      </c>
      <c r="F2137" t="str">
        <f t="shared" ref="F2137" si="2129">A2137</f>
        <v>CAAGGC</v>
      </c>
    </row>
    <row r="2138" spans="1:6" x14ac:dyDescent="0.3">
      <c r="A2138" t="s">
        <v>5169</v>
      </c>
      <c r="F2138" t="str">
        <f t="shared" ref="F2138" si="2130">LEFT(A2138, LEN(A2138) - 1)</f>
        <v>&gt;1067:CAAGGG:28.00:66.67:Warning:6:1841.27</v>
      </c>
    </row>
    <row r="2139" spans="1:6" x14ac:dyDescent="0.3">
      <c r="A2139" t="s">
        <v>1073</v>
      </c>
      <c r="F2139" t="str">
        <f t="shared" ref="F2139" si="2131">A2139</f>
        <v>CAAGGG</v>
      </c>
    </row>
    <row r="2140" spans="1:6" x14ac:dyDescent="0.3">
      <c r="A2140" t="s">
        <v>5170</v>
      </c>
      <c r="F2140" t="str">
        <f t="shared" ref="F2140" si="2132">LEFT(A2140, LEN(A2140) - 1)</f>
        <v>&gt;1068:CAAGGT:22.00:50.00:OK:6:1816.25</v>
      </c>
    </row>
    <row r="2141" spans="1:6" x14ac:dyDescent="0.3">
      <c r="A2141" t="s">
        <v>1074</v>
      </c>
      <c r="F2141" t="str">
        <f t="shared" ref="F2141" si="2133">A2141</f>
        <v>CAAGGT</v>
      </c>
    </row>
    <row r="2142" spans="1:6" x14ac:dyDescent="0.3">
      <c r="A2142" t="s">
        <v>5171</v>
      </c>
      <c r="F2142" t="str">
        <f t="shared" ref="F2142" si="2134">LEFT(A2142, LEN(A2142) - 1)</f>
        <v>&gt;1069:CAAGTA:24.00:33.33:OK:6:1800.25</v>
      </c>
    </row>
    <row r="2143" spans="1:6" x14ac:dyDescent="0.3">
      <c r="A2143" t="s">
        <v>1075</v>
      </c>
      <c r="F2143" t="str">
        <f t="shared" ref="F2143" si="2135">A2143</f>
        <v>CAAGTA</v>
      </c>
    </row>
    <row r="2144" spans="1:6" x14ac:dyDescent="0.3">
      <c r="A2144" t="s">
        <v>5172</v>
      </c>
      <c r="F2144" t="str">
        <f t="shared" ref="F2144" si="2136">LEFT(A2144, LEN(A2144) - 1)</f>
        <v>&gt;1070:CAAGTC:22.00:50.00:OK:6:1776.22</v>
      </c>
    </row>
    <row r="2145" spans="1:6" x14ac:dyDescent="0.3">
      <c r="A2145" t="s">
        <v>1076</v>
      </c>
      <c r="F2145" t="str">
        <f t="shared" ref="F2145" si="2137">A2145</f>
        <v>CAAGTC</v>
      </c>
    </row>
    <row r="2146" spans="1:6" x14ac:dyDescent="0.3">
      <c r="A2146" t="s">
        <v>5173</v>
      </c>
      <c r="F2146" t="str">
        <f t="shared" ref="F2146" si="2138">LEFT(A2146, LEN(A2146) - 1)</f>
        <v>&gt;1071:CAAGTG:22.00:50.00:OK:6:1816.25</v>
      </c>
    </row>
    <row r="2147" spans="1:6" x14ac:dyDescent="0.3">
      <c r="A2147" t="s">
        <v>1077</v>
      </c>
      <c r="F2147" t="str">
        <f t="shared" ref="F2147" si="2139">A2147</f>
        <v>CAAGTG</v>
      </c>
    </row>
    <row r="2148" spans="1:6" x14ac:dyDescent="0.3">
      <c r="A2148" t="s">
        <v>5174</v>
      </c>
      <c r="F2148" t="str">
        <f t="shared" ref="F2148" si="2140">LEFT(A2148, LEN(A2148) - 1)</f>
        <v>&gt;1072:CAAGTT:16.00:33.33:OK:6:1791.23</v>
      </c>
    </row>
    <row r="2149" spans="1:6" x14ac:dyDescent="0.3">
      <c r="A2149" t="s">
        <v>1078</v>
      </c>
      <c r="F2149" t="str">
        <f t="shared" ref="F2149" si="2141">A2149</f>
        <v>CAAGTT</v>
      </c>
    </row>
    <row r="2150" spans="1:6" x14ac:dyDescent="0.3">
      <c r="A2150" t="s">
        <v>5175</v>
      </c>
      <c r="F2150" t="str">
        <f t="shared" ref="F2150" si="2142">LEFT(A2150, LEN(A2150) - 1)</f>
        <v>&gt;1073:CAATAA:26.00:16.67:OK:6:1784.25</v>
      </c>
    </row>
    <row r="2151" spans="1:6" x14ac:dyDescent="0.3">
      <c r="A2151" t="s">
        <v>1079</v>
      </c>
      <c r="F2151" t="str">
        <f t="shared" ref="F2151" si="2143">A2151</f>
        <v>CAATAA</v>
      </c>
    </row>
    <row r="2152" spans="1:6" x14ac:dyDescent="0.3">
      <c r="A2152" t="s">
        <v>5176</v>
      </c>
      <c r="F2152" t="str">
        <f t="shared" ref="F2152" si="2144">LEFT(A2152, LEN(A2152) - 1)</f>
        <v>&gt;1074:CAATAC:24.00:33.33:OK:6:1760.22</v>
      </c>
    </row>
    <row r="2153" spans="1:6" x14ac:dyDescent="0.3">
      <c r="A2153" t="s">
        <v>1080</v>
      </c>
      <c r="F2153" t="str">
        <f t="shared" ref="F2153" si="2145">A2153</f>
        <v>CAATAC</v>
      </c>
    </row>
    <row r="2154" spans="1:6" x14ac:dyDescent="0.3">
      <c r="A2154" t="s">
        <v>5177</v>
      </c>
      <c r="F2154" t="str">
        <f t="shared" ref="F2154" si="2146">LEFT(A2154, LEN(A2154) - 1)</f>
        <v>&gt;1075:CAATAG:24.00:33.33:OK:6:1800.25</v>
      </c>
    </row>
    <row r="2155" spans="1:6" x14ac:dyDescent="0.3">
      <c r="A2155" t="s">
        <v>1081</v>
      </c>
      <c r="F2155" t="str">
        <f t="shared" ref="F2155" si="2147">A2155</f>
        <v>CAATAG</v>
      </c>
    </row>
    <row r="2156" spans="1:6" x14ac:dyDescent="0.3">
      <c r="A2156" t="s">
        <v>5178</v>
      </c>
      <c r="F2156" t="str">
        <f t="shared" ref="F2156" si="2148">LEFT(A2156, LEN(A2156) - 1)</f>
        <v>&gt;1076:CAATAT:18.00:16.67:OK:6:1775.23</v>
      </c>
    </row>
    <row r="2157" spans="1:6" x14ac:dyDescent="0.3">
      <c r="A2157" t="s">
        <v>1082</v>
      </c>
      <c r="F2157" t="str">
        <f t="shared" ref="F2157" si="2149">A2157</f>
        <v>CAATAT</v>
      </c>
    </row>
    <row r="2158" spans="1:6" x14ac:dyDescent="0.3">
      <c r="A2158" t="s">
        <v>5179</v>
      </c>
      <c r="F2158" t="str">
        <f t="shared" ref="F2158" si="2150">LEFT(A2158, LEN(A2158) - 1)</f>
        <v>&gt;1077:CAATCA:24.00:33.33:OK:6:1760.22</v>
      </c>
    </row>
    <row r="2159" spans="1:6" x14ac:dyDescent="0.3">
      <c r="A2159" t="s">
        <v>1083</v>
      </c>
      <c r="F2159" t="str">
        <f t="shared" ref="F2159" si="2151">A2159</f>
        <v>CAATCA</v>
      </c>
    </row>
    <row r="2160" spans="1:6" x14ac:dyDescent="0.3">
      <c r="A2160" t="s">
        <v>5180</v>
      </c>
      <c r="F2160" t="str">
        <f t="shared" ref="F2160" si="2152">LEFT(A2160, LEN(A2160) - 1)</f>
        <v>&gt;1078:CAATCC:22.00:50.00:OK:6:1736.19</v>
      </c>
    </row>
    <row r="2161" spans="1:6" x14ac:dyDescent="0.3">
      <c r="A2161" t="s">
        <v>1084</v>
      </c>
      <c r="F2161" t="str">
        <f t="shared" ref="F2161" si="2153">A2161</f>
        <v>CAATCC</v>
      </c>
    </row>
    <row r="2162" spans="1:6" x14ac:dyDescent="0.3">
      <c r="A2162" t="s">
        <v>5181</v>
      </c>
      <c r="F2162" t="str">
        <f t="shared" ref="F2162" si="2154">LEFT(A2162, LEN(A2162) - 1)</f>
        <v>&gt;1079:CAATCG:22.00:50.00:OK:6:1776.22</v>
      </c>
    </row>
    <row r="2163" spans="1:6" x14ac:dyDescent="0.3">
      <c r="A2163" t="s">
        <v>1085</v>
      </c>
      <c r="F2163" t="str">
        <f t="shared" ref="F2163" si="2155">A2163</f>
        <v>CAATCG</v>
      </c>
    </row>
    <row r="2164" spans="1:6" x14ac:dyDescent="0.3">
      <c r="A2164" t="s">
        <v>5182</v>
      </c>
      <c r="F2164" t="str">
        <f t="shared" ref="F2164" si="2156">LEFT(A2164, LEN(A2164) - 1)</f>
        <v>&gt;1080:CAATCT:16.00:33.33:OK:6:1751.20</v>
      </c>
    </row>
    <row r="2165" spans="1:6" x14ac:dyDescent="0.3">
      <c r="A2165" t="s">
        <v>1086</v>
      </c>
      <c r="F2165" t="str">
        <f t="shared" ref="F2165" si="2157">A2165</f>
        <v>CAATCT</v>
      </c>
    </row>
    <row r="2166" spans="1:6" x14ac:dyDescent="0.3">
      <c r="A2166" t="s">
        <v>5183</v>
      </c>
      <c r="F2166" t="str">
        <f t="shared" ref="F2166" si="2158">LEFT(A2166, LEN(A2166) - 1)</f>
        <v>&gt;1081:CAATGA:24.00:33.33:OK:6:1800.25</v>
      </c>
    </row>
    <row r="2167" spans="1:6" x14ac:dyDescent="0.3">
      <c r="A2167" t="s">
        <v>1087</v>
      </c>
      <c r="F2167" t="str">
        <f t="shared" ref="F2167" si="2159">A2167</f>
        <v>CAATGA</v>
      </c>
    </row>
    <row r="2168" spans="1:6" x14ac:dyDescent="0.3">
      <c r="A2168" t="s">
        <v>5184</v>
      </c>
      <c r="F2168" t="str">
        <f t="shared" ref="F2168" si="2160">LEFT(A2168, LEN(A2168) - 1)</f>
        <v>&gt;1082:CAATGC:22.00:50.00:OK:6:1776.22</v>
      </c>
    </row>
    <row r="2169" spans="1:6" x14ac:dyDescent="0.3">
      <c r="A2169" t="s">
        <v>1088</v>
      </c>
      <c r="F2169" t="str">
        <f t="shared" ref="F2169" si="2161">A2169</f>
        <v>CAATGC</v>
      </c>
    </row>
    <row r="2170" spans="1:6" x14ac:dyDescent="0.3">
      <c r="A2170" t="s">
        <v>5185</v>
      </c>
      <c r="F2170" t="str">
        <f t="shared" ref="F2170" si="2162">LEFT(A2170, LEN(A2170) - 1)</f>
        <v>&gt;1083:CAATGG:22.00:50.00:OK:6:1816.25</v>
      </c>
    </row>
    <row r="2171" spans="1:6" x14ac:dyDescent="0.3">
      <c r="A2171" t="s">
        <v>1089</v>
      </c>
      <c r="F2171" t="str">
        <f t="shared" ref="F2171" si="2163">A2171</f>
        <v>CAATGG</v>
      </c>
    </row>
    <row r="2172" spans="1:6" x14ac:dyDescent="0.3">
      <c r="A2172" t="s">
        <v>5186</v>
      </c>
      <c r="F2172" t="str">
        <f t="shared" ref="F2172" si="2164">LEFT(A2172, LEN(A2172) - 1)</f>
        <v>&gt;1084:CAATGT:16.00:33.33:OK:6:1791.23</v>
      </c>
    </row>
    <row r="2173" spans="1:6" x14ac:dyDescent="0.3">
      <c r="A2173" t="s">
        <v>1090</v>
      </c>
      <c r="F2173" t="str">
        <f t="shared" ref="F2173" si="2165">A2173</f>
        <v>CAATGT</v>
      </c>
    </row>
    <row r="2174" spans="1:6" x14ac:dyDescent="0.3">
      <c r="A2174" t="s">
        <v>5187</v>
      </c>
      <c r="F2174" t="str">
        <f t="shared" ref="F2174" si="2166">LEFT(A2174, LEN(A2174) - 1)</f>
        <v>&gt;1085:CAATTA:18.00:16.67:OK:6:1775.23</v>
      </c>
    </row>
    <row r="2175" spans="1:6" x14ac:dyDescent="0.3">
      <c r="A2175" t="s">
        <v>1091</v>
      </c>
      <c r="F2175" t="str">
        <f t="shared" ref="F2175" si="2167">A2175</f>
        <v>CAATTA</v>
      </c>
    </row>
    <row r="2176" spans="1:6" x14ac:dyDescent="0.3">
      <c r="A2176" t="s">
        <v>5188</v>
      </c>
      <c r="F2176" t="str">
        <f t="shared" ref="F2176" si="2168">LEFT(A2176, LEN(A2176) - 1)</f>
        <v>&gt;1086:CAATTC:16.00:33.33:OK:6:1751.20</v>
      </c>
    </row>
    <row r="2177" spans="1:6" x14ac:dyDescent="0.3">
      <c r="A2177" t="s">
        <v>1092</v>
      </c>
      <c r="F2177" t="str">
        <f t="shared" ref="F2177" si="2169">A2177</f>
        <v>CAATTC</v>
      </c>
    </row>
    <row r="2178" spans="1:6" x14ac:dyDescent="0.3">
      <c r="A2178" t="s">
        <v>5189</v>
      </c>
      <c r="F2178" t="str">
        <f t="shared" ref="F2178" si="2170">LEFT(A2178, LEN(A2178) - 1)</f>
        <v>&gt;1087:CAATTG:16.00:33.33:OK:6:1791.23</v>
      </c>
    </row>
    <row r="2179" spans="1:6" x14ac:dyDescent="0.3">
      <c r="A2179" t="s">
        <v>1093</v>
      </c>
      <c r="F2179" t="str">
        <f t="shared" ref="F2179" si="2171">A2179</f>
        <v>CAATTG</v>
      </c>
    </row>
    <row r="2180" spans="1:6" x14ac:dyDescent="0.3">
      <c r="A2180" t="s">
        <v>5190</v>
      </c>
      <c r="F2180" t="str">
        <f t="shared" ref="F2180" si="2172">LEFT(A2180, LEN(A2180) - 1)</f>
        <v>&gt;1088:CAATTT:10.00:16.67:OK:6:1766.21</v>
      </c>
    </row>
    <row r="2181" spans="1:6" x14ac:dyDescent="0.3">
      <c r="A2181" t="s">
        <v>1094</v>
      </c>
      <c r="F2181" t="str">
        <f t="shared" ref="F2181" si="2173">A2181</f>
        <v>CAATTT</v>
      </c>
    </row>
    <row r="2182" spans="1:6" x14ac:dyDescent="0.3">
      <c r="A2182" t="s">
        <v>5191</v>
      </c>
      <c r="F2182" t="str">
        <f t="shared" ref="F2182" si="2174">LEFT(A2182, LEN(A2182) - 1)</f>
        <v>&gt;1089:CACAAA:32.00:33.33:OK:6:1769.24</v>
      </c>
    </row>
    <row r="2183" spans="1:6" x14ac:dyDescent="0.3">
      <c r="A2183" t="s">
        <v>1095</v>
      </c>
      <c r="F2183" t="str">
        <f t="shared" ref="F2183" si="2175">A2183</f>
        <v>CACAAA</v>
      </c>
    </row>
    <row r="2184" spans="1:6" x14ac:dyDescent="0.3">
      <c r="A2184" t="s">
        <v>5192</v>
      </c>
      <c r="F2184" t="str">
        <f t="shared" ref="F2184" si="2176">LEFT(A2184, LEN(A2184) - 1)</f>
        <v>&gt;1090:CACAAC:30.00:50.00:OK:6:1745.21</v>
      </c>
    </row>
    <row r="2185" spans="1:6" x14ac:dyDescent="0.3">
      <c r="A2185" t="s">
        <v>1096</v>
      </c>
      <c r="F2185" t="str">
        <f t="shared" ref="F2185" si="2177">A2185</f>
        <v>CACAAC</v>
      </c>
    </row>
    <row r="2186" spans="1:6" x14ac:dyDescent="0.3">
      <c r="A2186" t="s">
        <v>5193</v>
      </c>
      <c r="F2186" t="str">
        <f t="shared" ref="F2186" si="2178">LEFT(A2186, LEN(A2186) - 1)</f>
        <v>&gt;1091:CACAAG:30.00:50.00:OK:6:1785.24</v>
      </c>
    </row>
    <row r="2187" spans="1:6" x14ac:dyDescent="0.3">
      <c r="A2187" t="s">
        <v>1097</v>
      </c>
      <c r="F2187" t="str">
        <f t="shared" ref="F2187" si="2179">A2187</f>
        <v>CACAAG</v>
      </c>
    </row>
    <row r="2188" spans="1:6" x14ac:dyDescent="0.3">
      <c r="A2188" t="s">
        <v>5194</v>
      </c>
      <c r="F2188" t="str">
        <f t="shared" ref="F2188" si="2180">LEFT(A2188, LEN(A2188) - 1)</f>
        <v>&gt;1092:CACAAT:24.00:33.33:OK:6:1760.22</v>
      </c>
    </row>
    <row r="2189" spans="1:6" x14ac:dyDescent="0.3">
      <c r="A2189" t="s">
        <v>1098</v>
      </c>
      <c r="F2189" t="str">
        <f t="shared" ref="F2189" si="2181">A2189</f>
        <v>CACAAT</v>
      </c>
    </row>
    <row r="2190" spans="1:6" x14ac:dyDescent="0.3">
      <c r="A2190" t="s">
        <v>5195</v>
      </c>
      <c r="F2190" t="str">
        <f t="shared" ref="F2190" si="2182">LEFT(A2190, LEN(A2190) - 1)</f>
        <v>&gt;1093:CACACA:30.00:50.00:OK:6:1745.21</v>
      </c>
    </row>
    <row r="2191" spans="1:6" x14ac:dyDescent="0.3">
      <c r="A2191" t="s">
        <v>1099</v>
      </c>
      <c r="F2191" t="str">
        <f t="shared" ref="F2191" si="2183">A2191</f>
        <v>CACACA</v>
      </c>
    </row>
    <row r="2192" spans="1:6" x14ac:dyDescent="0.3">
      <c r="A2192" t="s">
        <v>5196</v>
      </c>
      <c r="F2192" t="str">
        <f t="shared" ref="F2192" si="2184">LEFT(A2192, LEN(A2192) - 1)</f>
        <v>&gt;1094:CACACC:28.00:66.67:Warning:6:1721.18</v>
      </c>
    </row>
    <row r="2193" spans="1:6" x14ac:dyDescent="0.3">
      <c r="A2193" t="s">
        <v>1100</v>
      </c>
      <c r="F2193" t="str">
        <f t="shared" ref="F2193" si="2185">A2193</f>
        <v>CACACC</v>
      </c>
    </row>
    <row r="2194" spans="1:6" x14ac:dyDescent="0.3">
      <c r="A2194" t="s">
        <v>5197</v>
      </c>
      <c r="F2194" t="str">
        <f t="shared" ref="F2194" si="2186">LEFT(A2194, LEN(A2194) - 1)</f>
        <v>&gt;1095:CACACG:28.00:66.67:Warning:6:1761.21</v>
      </c>
    </row>
    <row r="2195" spans="1:6" x14ac:dyDescent="0.3">
      <c r="A2195" t="s">
        <v>1101</v>
      </c>
      <c r="F2195" t="str">
        <f t="shared" ref="F2195" si="2187">A2195</f>
        <v>CACACG</v>
      </c>
    </row>
    <row r="2196" spans="1:6" x14ac:dyDescent="0.3">
      <c r="A2196" t="s">
        <v>5198</v>
      </c>
      <c r="F2196" t="str">
        <f t="shared" ref="F2196" si="2188">LEFT(A2196, LEN(A2196) - 1)</f>
        <v>&gt;1096:CACACT:22.00:50.00:OK:6:1736.19</v>
      </c>
    </row>
    <row r="2197" spans="1:6" x14ac:dyDescent="0.3">
      <c r="A2197" t="s">
        <v>1102</v>
      </c>
      <c r="F2197" t="str">
        <f t="shared" ref="F2197" si="2189">A2197</f>
        <v>CACACT</v>
      </c>
    </row>
    <row r="2198" spans="1:6" x14ac:dyDescent="0.3">
      <c r="A2198" t="s">
        <v>5199</v>
      </c>
      <c r="F2198" t="str">
        <f t="shared" ref="F2198" si="2190">LEFT(A2198, LEN(A2198) - 1)</f>
        <v>&gt;1097:CACAGA:30.00:50.00:OK:6:1785.24</v>
      </c>
    </row>
    <row r="2199" spans="1:6" x14ac:dyDescent="0.3">
      <c r="A2199" t="s">
        <v>1103</v>
      </c>
      <c r="F2199" t="str">
        <f t="shared" ref="F2199" si="2191">A2199</f>
        <v>CACAGA</v>
      </c>
    </row>
    <row r="2200" spans="1:6" x14ac:dyDescent="0.3">
      <c r="A2200" t="s">
        <v>5200</v>
      </c>
      <c r="F2200" t="str">
        <f t="shared" ref="F2200" si="2192">LEFT(A2200, LEN(A2200) - 1)</f>
        <v>&gt;1098:CACAGC:28.00:66.67:Warning:6:1761.21</v>
      </c>
    </row>
    <row r="2201" spans="1:6" x14ac:dyDescent="0.3">
      <c r="A2201" t="s">
        <v>1104</v>
      </c>
      <c r="F2201" t="str">
        <f t="shared" ref="F2201" si="2193">A2201</f>
        <v>CACAGC</v>
      </c>
    </row>
    <row r="2202" spans="1:6" x14ac:dyDescent="0.3">
      <c r="A2202" t="s">
        <v>5201</v>
      </c>
      <c r="F2202" t="str">
        <f t="shared" ref="F2202" si="2194">LEFT(A2202, LEN(A2202) - 1)</f>
        <v>&gt;1099:CACAGG:28.00:66.67:Warning:6:1801.24</v>
      </c>
    </row>
    <row r="2203" spans="1:6" x14ac:dyDescent="0.3">
      <c r="A2203" t="s">
        <v>1105</v>
      </c>
      <c r="F2203" t="str">
        <f t="shared" ref="F2203" si="2195">A2203</f>
        <v>CACAGG</v>
      </c>
    </row>
    <row r="2204" spans="1:6" x14ac:dyDescent="0.3">
      <c r="A2204" t="s">
        <v>5202</v>
      </c>
      <c r="F2204" t="str">
        <f t="shared" ref="F2204" si="2196">LEFT(A2204, LEN(A2204) - 1)</f>
        <v>&gt;1100:CACAGT:22.00:50.00:OK:6:1776.22</v>
      </c>
    </row>
    <row r="2205" spans="1:6" x14ac:dyDescent="0.3">
      <c r="A2205" t="s">
        <v>1106</v>
      </c>
      <c r="F2205" t="str">
        <f t="shared" ref="F2205" si="2197">A2205</f>
        <v>CACAGT</v>
      </c>
    </row>
    <row r="2206" spans="1:6" x14ac:dyDescent="0.3">
      <c r="A2206" t="s">
        <v>5203</v>
      </c>
      <c r="F2206" t="str">
        <f t="shared" ref="F2206" si="2198">LEFT(A2206, LEN(A2206) - 1)</f>
        <v>&gt;1101:CACATA:24.00:33.33:OK:6:1760.22</v>
      </c>
    </row>
    <row r="2207" spans="1:6" x14ac:dyDescent="0.3">
      <c r="A2207" t="s">
        <v>1107</v>
      </c>
      <c r="F2207" t="str">
        <f t="shared" ref="F2207" si="2199">A2207</f>
        <v>CACATA</v>
      </c>
    </row>
    <row r="2208" spans="1:6" x14ac:dyDescent="0.3">
      <c r="A2208" t="s">
        <v>5204</v>
      </c>
      <c r="F2208" t="str">
        <f t="shared" ref="F2208" si="2200">LEFT(A2208, LEN(A2208) - 1)</f>
        <v>&gt;1102:CACATC:22.00:50.00:OK:6:1736.19</v>
      </c>
    </row>
    <row r="2209" spans="1:6" x14ac:dyDescent="0.3">
      <c r="A2209" t="s">
        <v>1108</v>
      </c>
      <c r="F2209" t="str">
        <f t="shared" ref="F2209" si="2201">A2209</f>
        <v>CACATC</v>
      </c>
    </row>
    <row r="2210" spans="1:6" x14ac:dyDescent="0.3">
      <c r="A2210" t="s">
        <v>5205</v>
      </c>
      <c r="F2210" t="str">
        <f t="shared" ref="F2210" si="2202">LEFT(A2210, LEN(A2210) - 1)</f>
        <v>&gt;1103:CACATG:22.00:50.00:OK:6:1776.22</v>
      </c>
    </row>
    <row r="2211" spans="1:6" x14ac:dyDescent="0.3">
      <c r="A2211" t="s">
        <v>1109</v>
      </c>
      <c r="F2211" t="str">
        <f t="shared" ref="F2211" si="2203">A2211</f>
        <v>CACATG</v>
      </c>
    </row>
    <row r="2212" spans="1:6" x14ac:dyDescent="0.3">
      <c r="A2212" t="s">
        <v>5206</v>
      </c>
      <c r="F2212" t="str">
        <f t="shared" ref="F2212" si="2204">LEFT(A2212, LEN(A2212) - 1)</f>
        <v>&gt;1104:CACATT:16.00:33.33:OK:6:1751.20</v>
      </c>
    </row>
    <row r="2213" spans="1:6" x14ac:dyDescent="0.3">
      <c r="A2213" t="s">
        <v>1110</v>
      </c>
      <c r="F2213" t="str">
        <f t="shared" ref="F2213" si="2205">A2213</f>
        <v>CACATT</v>
      </c>
    </row>
    <row r="2214" spans="1:6" x14ac:dyDescent="0.3">
      <c r="A2214" t="s">
        <v>5207</v>
      </c>
      <c r="F2214" t="str">
        <f t="shared" ref="F2214" si="2206">LEFT(A2214, LEN(A2214) - 1)</f>
        <v>&gt;1105:CACCAA:30.00:50.00:OK:6:1745.21</v>
      </c>
    </row>
    <row r="2215" spans="1:6" x14ac:dyDescent="0.3">
      <c r="A2215" t="s">
        <v>1111</v>
      </c>
      <c r="F2215" t="str">
        <f t="shared" ref="F2215" si="2207">A2215</f>
        <v>CACCAA</v>
      </c>
    </row>
    <row r="2216" spans="1:6" x14ac:dyDescent="0.3">
      <c r="A2216" t="s">
        <v>5208</v>
      </c>
      <c r="F2216" t="str">
        <f t="shared" ref="F2216" si="2208">LEFT(A2216, LEN(A2216) - 1)</f>
        <v>&gt;1106:CACCAC:28.00:66.67:Warning:6:1721.18</v>
      </c>
    </row>
    <row r="2217" spans="1:6" x14ac:dyDescent="0.3">
      <c r="A2217" t="s">
        <v>1112</v>
      </c>
      <c r="F2217" t="str">
        <f t="shared" ref="F2217" si="2209">A2217</f>
        <v>CACCAC</v>
      </c>
    </row>
    <row r="2218" spans="1:6" x14ac:dyDescent="0.3">
      <c r="A2218" t="s">
        <v>5209</v>
      </c>
      <c r="F2218" t="str">
        <f t="shared" ref="F2218" si="2210">LEFT(A2218, LEN(A2218) - 1)</f>
        <v>&gt;1107:CACCAG:28.00:66.67:Warning:6:1761.21</v>
      </c>
    </row>
    <row r="2219" spans="1:6" x14ac:dyDescent="0.3">
      <c r="A2219" t="s">
        <v>1113</v>
      </c>
      <c r="F2219" t="str">
        <f t="shared" ref="F2219" si="2211">A2219</f>
        <v>CACCAG</v>
      </c>
    </row>
    <row r="2220" spans="1:6" x14ac:dyDescent="0.3">
      <c r="A2220" t="s">
        <v>5210</v>
      </c>
      <c r="F2220" t="str">
        <f t="shared" ref="F2220" si="2212">LEFT(A2220, LEN(A2220) - 1)</f>
        <v>&gt;1108:CACCAT:22.00:50.00:OK:6:1736.19</v>
      </c>
    </row>
    <row r="2221" spans="1:6" x14ac:dyDescent="0.3">
      <c r="A2221" t="s">
        <v>1114</v>
      </c>
      <c r="F2221" t="str">
        <f t="shared" ref="F2221" si="2213">A2221</f>
        <v>CACCAT</v>
      </c>
    </row>
    <row r="2222" spans="1:6" x14ac:dyDescent="0.3">
      <c r="A2222" t="s">
        <v>5211</v>
      </c>
      <c r="F2222" t="str">
        <f t="shared" ref="F2222" si="2214">LEFT(A2222, LEN(A2222) - 1)</f>
        <v>&gt;1109:CACCCA:28.00:66.67:Warning:6:1721.18</v>
      </c>
    </row>
    <row r="2223" spans="1:6" x14ac:dyDescent="0.3">
      <c r="A2223" t="s">
        <v>1115</v>
      </c>
      <c r="F2223" t="str">
        <f t="shared" ref="F2223" si="2215">A2223</f>
        <v>CACCCA</v>
      </c>
    </row>
    <row r="2224" spans="1:6" x14ac:dyDescent="0.3">
      <c r="A2224" t="s">
        <v>5212</v>
      </c>
      <c r="F2224" t="str">
        <f t="shared" ref="F2224" si="2216">LEFT(A2224, LEN(A2224) - 1)</f>
        <v>&gt;1110:CACCCC:26.00:83.33:Warning:6:1697.15</v>
      </c>
    </row>
    <row r="2225" spans="1:6" x14ac:dyDescent="0.3">
      <c r="A2225" t="s">
        <v>1116</v>
      </c>
      <c r="F2225" t="str">
        <f t="shared" ref="F2225" si="2217">A2225</f>
        <v>CACCCC</v>
      </c>
    </row>
    <row r="2226" spans="1:6" x14ac:dyDescent="0.3">
      <c r="A2226" t="s">
        <v>5213</v>
      </c>
      <c r="F2226" t="str">
        <f t="shared" ref="F2226" si="2218">LEFT(A2226, LEN(A2226) - 1)</f>
        <v>&gt;1111:CACCCG:26.00:83.33:Warning:6:1737.18</v>
      </c>
    </row>
    <row r="2227" spans="1:6" x14ac:dyDescent="0.3">
      <c r="A2227" t="s">
        <v>1117</v>
      </c>
      <c r="F2227" t="str">
        <f t="shared" ref="F2227" si="2219">A2227</f>
        <v>CACCCG</v>
      </c>
    </row>
    <row r="2228" spans="1:6" x14ac:dyDescent="0.3">
      <c r="A2228" t="s">
        <v>5214</v>
      </c>
      <c r="F2228" t="str">
        <f t="shared" ref="F2228" si="2220">LEFT(A2228, LEN(A2228) - 1)</f>
        <v>&gt;1112:CACCCT:20.00:66.67:Warning:6:1712.16</v>
      </c>
    </row>
    <row r="2229" spans="1:6" x14ac:dyDescent="0.3">
      <c r="A2229" t="s">
        <v>1118</v>
      </c>
      <c r="F2229" t="str">
        <f t="shared" ref="F2229" si="2221">A2229</f>
        <v>CACCCT</v>
      </c>
    </row>
    <row r="2230" spans="1:6" x14ac:dyDescent="0.3">
      <c r="A2230" t="s">
        <v>5215</v>
      </c>
      <c r="F2230" t="str">
        <f t="shared" ref="F2230" si="2222">LEFT(A2230, LEN(A2230) - 1)</f>
        <v>&gt;1113:CACCGA:28.00:66.67:Warning:6:1761.21</v>
      </c>
    </row>
    <row r="2231" spans="1:6" x14ac:dyDescent="0.3">
      <c r="A2231" t="s">
        <v>1119</v>
      </c>
      <c r="F2231" t="str">
        <f t="shared" ref="F2231" si="2223">A2231</f>
        <v>CACCGA</v>
      </c>
    </row>
    <row r="2232" spans="1:6" x14ac:dyDescent="0.3">
      <c r="A2232" t="s">
        <v>5216</v>
      </c>
      <c r="F2232" t="str">
        <f t="shared" ref="F2232" si="2224">LEFT(A2232, LEN(A2232) - 1)</f>
        <v>&gt;1114:CACCGC:26.00:83.33:Warning:6:1737.18</v>
      </c>
    </row>
    <row r="2233" spans="1:6" x14ac:dyDescent="0.3">
      <c r="A2233" t="s">
        <v>1120</v>
      </c>
      <c r="F2233" t="str">
        <f t="shared" ref="F2233" si="2225">A2233</f>
        <v>CACCGC</v>
      </c>
    </row>
    <row r="2234" spans="1:6" x14ac:dyDescent="0.3">
      <c r="A2234" t="s">
        <v>5217</v>
      </c>
      <c r="F2234" t="str">
        <f t="shared" ref="F2234" si="2226">LEFT(A2234, LEN(A2234) - 1)</f>
        <v>&gt;1115:CACCGG:26.00:83.33:Warning:6:1777.21</v>
      </c>
    </row>
    <row r="2235" spans="1:6" x14ac:dyDescent="0.3">
      <c r="A2235" t="s">
        <v>1121</v>
      </c>
      <c r="F2235" t="str">
        <f t="shared" ref="F2235" si="2227">A2235</f>
        <v>CACCGG</v>
      </c>
    </row>
    <row r="2236" spans="1:6" x14ac:dyDescent="0.3">
      <c r="A2236" t="s">
        <v>5218</v>
      </c>
      <c r="F2236" t="str">
        <f t="shared" ref="F2236" si="2228">LEFT(A2236, LEN(A2236) - 1)</f>
        <v>&gt;1116:CACCGT:20.00:66.67:Warning:6:1752.19</v>
      </c>
    </row>
    <row r="2237" spans="1:6" x14ac:dyDescent="0.3">
      <c r="A2237" t="s">
        <v>1122</v>
      </c>
      <c r="F2237" t="str">
        <f t="shared" ref="F2237" si="2229">A2237</f>
        <v>CACCGT</v>
      </c>
    </row>
    <row r="2238" spans="1:6" x14ac:dyDescent="0.3">
      <c r="A2238" t="s">
        <v>5219</v>
      </c>
      <c r="F2238" t="str">
        <f t="shared" ref="F2238" si="2230">LEFT(A2238, LEN(A2238) - 1)</f>
        <v>&gt;1117:CACCTA:22.00:50.00:OK:6:1736.19</v>
      </c>
    </row>
    <row r="2239" spans="1:6" x14ac:dyDescent="0.3">
      <c r="A2239" t="s">
        <v>1123</v>
      </c>
      <c r="F2239" t="str">
        <f t="shared" ref="F2239" si="2231">A2239</f>
        <v>CACCTA</v>
      </c>
    </row>
    <row r="2240" spans="1:6" x14ac:dyDescent="0.3">
      <c r="A2240" t="s">
        <v>5220</v>
      </c>
      <c r="F2240" t="str">
        <f t="shared" ref="F2240" si="2232">LEFT(A2240, LEN(A2240) - 1)</f>
        <v>&gt;1118:CACCTC:20.00:66.67:Warning:6:1712.16</v>
      </c>
    </row>
    <row r="2241" spans="1:6" x14ac:dyDescent="0.3">
      <c r="A2241" t="s">
        <v>1124</v>
      </c>
      <c r="F2241" t="str">
        <f t="shared" ref="F2241" si="2233">A2241</f>
        <v>CACCTC</v>
      </c>
    </row>
    <row r="2242" spans="1:6" x14ac:dyDescent="0.3">
      <c r="A2242" t="s">
        <v>5221</v>
      </c>
      <c r="F2242" t="str">
        <f t="shared" ref="F2242" si="2234">LEFT(A2242, LEN(A2242) - 1)</f>
        <v>&gt;1119:CACCTG:20.00:66.67:Warning:6:1752.19</v>
      </c>
    </row>
    <row r="2243" spans="1:6" x14ac:dyDescent="0.3">
      <c r="A2243" t="s">
        <v>1125</v>
      </c>
      <c r="F2243" t="str">
        <f t="shared" ref="F2243" si="2235">A2243</f>
        <v>CACCTG</v>
      </c>
    </row>
    <row r="2244" spans="1:6" x14ac:dyDescent="0.3">
      <c r="A2244" t="s">
        <v>5222</v>
      </c>
      <c r="F2244" t="str">
        <f t="shared" ref="F2244" si="2236">LEFT(A2244, LEN(A2244) - 1)</f>
        <v>&gt;1120:CACCTT:14.00:50.00:OK:6:1727.17</v>
      </c>
    </row>
    <row r="2245" spans="1:6" x14ac:dyDescent="0.3">
      <c r="A2245" t="s">
        <v>1126</v>
      </c>
      <c r="F2245" t="str">
        <f t="shared" ref="F2245" si="2237">A2245</f>
        <v>CACCTT</v>
      </c>
    </row>
    <row r="2246" spans="1:6" x14ac:dyDescent="0.3">
      <c r="A2246" t="s">
        <v>5223</v>
      </c>
      <c r="F2246" t="str">
        <f t="shared" ref="F2246" si="2238">LEFT(A2246, LEN(A2246) - 1)</f>
        <v>&gt;1121:CACGAA:30.00:50.00:OK:6:1785.24</v>
      </c>
    </row>
    <row r="2247" spans="1:6" x14ac:dyDescent="0.3">
      <c r="A2247" t="s">
        <v>1127</v>
      </c>
      <c r="F2247" t="str">
        <f t="shared" ref="F2247" si="2239">A2247</f>
        <v>CACGAA</v>
      </c>
    </row>
    <row r="2248" spans="1:6" x14ac:dyDescent="0.3">
      <c r="A2248" t="s">
        <v>5224</v>
      </c>
      <c r="F2248" t="str">
        <f t="shared" ref="F2248" si="2240">LEFT(A2248, LEN(A2248) - 1)</f>
        <v>&gt;1122:CACGAC:28.00:66.67:Warning:6:1761.21</v>
      </c>
    </row>
    <row r="2249" spans="1:6" x14ac:dyDescent="0.3">
      <c r="A2249" t="s">
        <v>1128</v>
      </c>
      <c r="F2249" t="str">
        <f t="shared" ref="F2249" si="2241">A2249</f>
        <v>CACGAC</v>
      </c>
    </row>
    <row r="2250" spans="1:6" x14ac:dyDescent="0.3">
      <c r="A2250" t="s">
        <v>5225</v>
      </c>
      <c r="F2250" t="str">
        <f t="shared" ref="F2250" si="2242">LEFT(A2250, LEN(A2250) - 1)</f>
        <v>&gt;1123:CACGAG:28.00:66.67:Warning:6:1801.24</v>
      </c>
    </row>
    <row r="2251" spans="1:6" x14ac:dyDescent="0.3">
      <c r="A2251" t="s">
        <v>1129</v>
      </c>
      <c r="F2251" t="str">
        <f t="shared" ref="F2251" si="2243">A2251</f>
        <v>CACGAG</v>
      </c>
    </row>
    <row r="2252" spans="1:6" x14ac:dyDescent="0.3">
      <c r="A2252" t="s">
        <v>5226</v>
      </c>
      <c r="F2252" t="str">
        <f t="shared" ref="F2252" si="2244">LEFT(A2252, LEN(A2252) - 1)</f>
        <v>&gt;1124:CACGAT:22.00:50.00:OK:6:1776.22</v>
      </c>
    </row>
    <row r="2253" spans="1:6" x14ac:dyDescent="0.3">
      <c r="A2253" t="s">
        <v>1130</v>
      </c>
      <c r="F2253" t="str">
        <f t="shared" ref="F2253" si="2245">A2253</f>
        <v>CACGAT</v>
      </c>
    </row>
    <row r="2254" spans="1:6" x14ac:dyDescent="0.3">
      <c r="A2254" t="s">
        <v>5227</v>
      </c>
      <c r="F2254" t="str">
        <f t="shared" ref="F2254" si="2246">LEFT(A2254, LEN(A2254) - 1)</f>
        <v>&gt;1125:CACGCA:28.00:66.67:Warning:6:1761.21</v>
      </c>
    </row>
    <row r="2255" spans="1:6" x14ac:dyDescent="0.3">
      <c r="A2255" t="s">
        <v>1131</v>
      </c>
      <c r="F2255" t="str">
        <f t="shared" ref="F2255" si="2247">A2255</f>
        <v>CACGCA</v>
      </c>
    </row>
    <row r="2256" spans="1:6" x14ac:dyDescent="0.3">
      <c r="A2256" t="s">
        <v>5228</v>
      </c>
      <c r="F2256" t="str">
        <f t="shared" ref="F2256" si="2248">LEFT(A2256, LEN(A2256) - 1)</f>
        <v>&gt;1126:CACGCC:26.00:83.33:Warning:6:1737.18</v>
      </c>
    </row>
    <row r="2257" spans="1:6" x14ac:dyDescent="0.3">
      <c r="A2257" t="s">
        <v>1132</v>
      </c>
      <c r="F2257" t="str">
        <f t="shared" ref="F2257" si="2249">A2257</f>
        <v>CACGCC</v>
      </c>
    </row>
    <row r="2258" spans="1:6" x14ac:dyDescent="0.3">
      <c r="A2258" t="s">
        <v>5229</v>
      </c>
      <c r="F2258" t="str">
        <f t="shared" ref="F2258" si="2250">LEFT(A2258, LEN(A2258) - 1)</f>
        <v>&gt;1127:CACGCG:26.00:83.33:Warning:6:1777.21</v>
      </c>
    </row>
    <row r="2259" spans="1:6" x14ac:dyDescent="0.3">
      <c r="A2259" t="s">
        <v>1133</v>
      </c>
      <c r="F2259" t="str">
        <f t="shared" ref="F2259" si="2251">A2259</f>
        <v>CACGCG</v>
      </c>
    </row>
    <row r="2260" spans="1:6" x14ac:dyDescent="0.3">
      <c r="A2260" t="s">
        <v>5230</v>
      </c>
      <c r="F2260" t="str">
        <f t="shared" ref="F2260" si="2252">LEFT(A2260, LEN(A2260) - 1)</f>
        <v>&gt;1128:CACGCT:20.00:66.67:Warning:6:1752.19</v>
      </c>
    </row>
    <row r="2261" spans="1:6" x14ac:dyDescent="0.3">
      <c r="A2261" t="s">
        <v>1134</v>
      </c>
      <c r="F2261" t="str">
        <f t="shared" ref="F2261" si="2253">A2261</f>
        <v>CACGCT</v>
      </c>
    </row>
    <row r="2262" spans="1:6" x14ac:dyDescent="0.3">
      <c r="A2262" t="s">
        <v>5231</v>
      </c>
      <c r="F2262" t="str">
        <f t="shared" ref="F2262" si="2254">LEFT(A2262, LEN(A2262) - 1)</f>
        <v>&gt;1129:CACGGA:28.00:66.67:Warning:6:1801.24</v>
      </c>
    </row>
    <row r="2263" spans="1:6" x14ac:dyDescent="0.3">
      <c r="A2263" t="s">
        <v>1135</v>
      </c>
      <c r="F2263" t="str">
        <f t="shared" ref="F2263" si="2255">A2263</f>
        <v>CACGGA</v>
      </c>
    </row>
    <row r="2264" spans="1:6" x14ac:dyDescent="0.3">
      <c r="A2264" t="s">
        <v>5232</v>
      </c>
      <c r="F2264" t="str">
        <f t="shared" ref="F2264" si="2256">LEFT(A2264, LEN(A2264) - 1)</f>
        <v>&gt;1130:CACGGC:26.00:83.33:Warning:6:1777.21</v>
      </c>
    </row>
    <row r="2265" spans="1:6" x14ac:dyDescent="0.3">
      <c r="A2265" t="s">
        <v>1136</v>
      </c>
      <c r="F2265" t="str">
        <f t="shared" ref="F2265" si="2257">A2265</f>
        <v>CACGGC</v>
      </c>
    </row>
    <row r="2266" spans="1:6" x14ac:dyDescent="0.3">
      <c r="A2266" t="s">
        <v>5233</v>
      </c>
      <c r="F2266" t="str">
        <f t="shared" ref="F2266" si="2258">LEFT(A2266, LEN(A2266) - 1)</f>
        <v>&gt;1131:CACGGG:26.00:83.33:Warning:6:1817.24</v>
      </c>
    </row>
    <row r="2267" spans="1:6" x14ac:dyDescent="0.3">
      <c r="A2267" t="s">
        <v>1137</v>
      </c>
      <c r="F2267" t="str">
        <f t="shared" ref="F2267" si="2259">A2267</f>
        <v>CACGGG</v>
      </c>
    </row>
    <row r="2268" spans="1:6" x14ac:dyDescent="0.3">
      <c r="A2268" t="s">
        <v>5234</v>
      </c>
      <c r="F2268" t="str">
        <f t="shared" ref="F2268" si="2260">LEFT(A2268, LEN(A2268) - 1)</f>
        <v>&gt;1132:CACGGT:20.00:66.67:Warning:6:1792.22</v>
      </c>
    </row>
    <row r="2269" spans="1:6" x14ac:dyDescent="0.3">
      <c r="A2269" t="s">
        <v>1138</v>
      </c>
      <c r="F2269" t="str">
        <f t="shared" ref="F2269" si="2261">A2269</f>
        <v>CACGGT</v>
      </c>
    </row>
    <row r="2270" spans="1:6" x14ac:dyDescent="0.3">
      <c r="A2270" t="s">
        <v>5235</v>
      </c>
      <c r="F2270" t="str">
        <f t="shared" ref="F2270" si="2262">LEFT(A2270, LEN(A2270) - 1)</f>
        <v>&gt;1133:CACGTA:22.00:50.00:OK:6:1776.22</v>
      </c>
    </row>
    <row r="2271" spans="1:6" x14ac:dyDescent="0.3">
      <c r="A2271" t="s">
        <v>1139</v>
      </c>
      <c r="F2271" t="str">
        <f t="shared" ref="F2271" si="2263">A2271</f>
        <v>CACGTA</v>
      </c>
    </row>
    <row r="2272" spans="1:6" x14ac:dyDescent="0.3">
      <c r="A2272" t="s">
        <v>5236</v>
      </c>
      <c r="F2272" t="str">
        <f t="shared" ref="F2272" si="2264">LEFT(A2272, LEN(A2272) - 1)</f>
        <v>&gt;1134:CACGTC:20.00:66.67:Warning:6:1752.19</v>
      </c>
    </row>
    <row r="2273" spans="1:6" x14ac:dyDescent="0.3">
      <c r="A2273" t="s">
        <v>1140</v>
      </c>
      <c r="F2273" t="str">
        <f t="shared" ref="F2273" si="2265">A2273</f>
        <v>CACGTC</v>
      </c>
    </row>
    <row r="2274" spans="1:6" x14ac:dyDescent="0.3">
      <c r="A2274" t="s">
        <v>5237</v>
      </c>
      <c r="F2274" t="str">
        <f t="shared" ref="F2274" si="2266">LEFT(A2274, LEN(A2274) - 1)</f>
        <v>&gt;1135:CACGTG:20.00:66.67:Warning:6:1792.22</v>
      </c>
    </row>
    <row r="2275" spans="1:6" x14ac:dyDescent="0.3">
      <c r="A2275" t="s">
        <v>1141</v>
      </c>
      <c r="F2275" t="str">
        <f t="shared" ref="F2275" si="2267">A2275</f>
        <v>CACGTG</v>
      </c>
    </row>
    <row r="2276" spans="1:6" x14ac:dyDescent="0.3">
      <c r="A2276" t="s">
        <v>5238</v>
      </c>
      <c r="F2276" t="str">
        <f t="shared" ref="F2276" si="2268">LEFT(A2276, LEN(A2276) - 1)</f>
        <v>&gt;1136:CACGTT:14.00:50.00:OK:6:1767.20</v>
      </c>
    </row>
    <row r="2277" spans="1:6" x14ac:dyDescent="0.3">
      <c r="A2277" t="s">
        <v>1142</v>
      </c>
      <c r="F2277" t="str">
        <f t="shared" ref="F2277" si="2269">A2277</f>
        <v>CACGTT</v>
      </c>
    </row>
    <row r="2278" spans="1:6" x14ac:dyDescent="0.3">
      <c r="A2278" t="s">
        <v>5239</v>
      </c>
      <c r="F2278" t="str">
        <f t="shared" ref="F2278" si="2270">LEFT(A2278, LEN(A2278) - 1)</f>
        <v>&gt;1137:CACTAA:24.00:33.33:OK:6:1760.22</v>
      </c>
    </row>
    <row r="2279" spans="1:6" x14ac:dyDescent="0.3">
      <c r="A2279" t="s">
        <v>1143</v>
      </c>
      <c r="F2279" t="str">
        <f t="shared" ref="F2279" si="2271">A2279</f>
        <v>CACTAA</v>
      </c>
    </row>
    <row r="2280" spans="1:6" x14ac:dyDescent="0.3">
      <c r="A2280" t="s">
        <v>5240</v>
      </c>
      <c r="F2280" t="str">
        <f t="shared" ref="F2280" si="2272">LEFT(A2280, LEN(A2280) - 1)</f>
        <v>&gt;1138:CACTAC:22.00:50.00:OK:6:1736.19</v>
      </c>
    </row>
    <row r="2281" spans="1:6" x14ac:dyDescent="0.3">
      <c r="A2281" t="s">
        <v>1144</v>
      </c>
      <c r="F2281" t="str">
        <f t="shared" ref="F2281" si="2273">A2281</f>
        <v>CACTAC</v>
      </c>
    </row>
    <row r="2282" spans="1:6" x14ac:dyDescent="0.3">
      <c r="A2282" t="s">
        <v>5241</v>
      </c>
      <c r="F2282" t="str">
        <f t="shared" ref="F2282" si="2274">LEFT(A2282, LEN(A2282) - 1)</f>
        <v>&gt;1139:CACTAG:22.00:50.00:OK:6:1776.22</v>
      </c>
    </row>
    <row r="2283" spans="1:6" x14ac:dyDescent="0.3">
      <c r="A2283" t="s">
        <v>1145</v>
      </c>
      <c r="F2283" t="str">
        <f t="shared" ref="F2283" si="2275">A2283</f>
        <v>CACTAG</v>
      </c>
    </row>
    <row r="2284" spans="1:6" x14ac:dyDescent="0.3">
      <c r="A2284" t="s">
        <v>5242</v>
      </c>
      <c r="F2284" t="str">
        <f t="shared" ref="F2284" si="2276">LEFT(A2284, LEN(A2284) - 1)</f>
        <v>&gt;1140:CACTAT:16.00:33.33:OK:6:1751.20</v>
      </c>
    </row>
    <row r="2285" spans="1:6" x14ac:dyDescent="0.3">
      <c r="A2285" t="s">
        <v>1146</v>
      </c>
      <c r="F2285" t="str">
        <f t="shared" ref="F2285" si="2277">A2285</f>
        <v>CACTAT</v>
      </c>
    </row>
    <row r="2286" spans="1:6" x14ac:dyDescent="0.3">
      <c r="A2286" t="s">
        <v>5243</v>
      </c>
      <c r="F2286" t="str">
        <f t="shared" ref="F2286" si="2278">LEFT(A2286, LEN(A2286) - 1)</f>
        <v>&gt;1141:CACTCA:22.00:50.00:OK:6:1736.19</v>
      </c>
    </row>
    <row r="2287" spans="1:6" x14ac:dyDescent="0.3">
      <c r="A2287" t="s">
        <v>1147</v>
      </c>
      <c r="F2287" t="str">
        <f t="shared" ref="F2287" si="2279">A2287</f>
        <v>CACTCA</v>
      </c>
    </row>
    <row r="2288" spans="1:6" x14ac:dyDescent="0.3">
      <c r="A2288" t="s">
        <v>5244</v>
      </c>
      <c r="F2288" t="str">
        <f t="shared" ref="F2288" si="2280">LEFT(A2288, LEN(A2288) - 1)</f>
        <v>&gt;1142:CACTCC:20.00:66.67:Warning:6:1712.16</v>
      </c>
    </row>
    <row r="2289" spans="1:6" x14ac:dyDescent="0.3">
      <c r="A2289" t="s">
        <v>1148</v>
      </c>
      <c r="F2289" t="str">
        <f t="shared" ref="F2289" si="2281">A2289</f>
        <v>CACTCC</v>
      </c>
    </row>
    <row r="2290" spans="1:6" x14ac:dyDescent="0.3">
      <c r="A2290" t="s">
        <v>5245</v>
      </c>
      <c r="F2290" t="str">
        <f t="shared" ref="F2290" si="2282">LEFT(A2290, LEN(A2290) - 1)</f>
        <v>&gt;1143:CACTCG:20.00:66.67:Warning:6:1752.19</v>
      </c>
    </row>
    <row r="2291" spans="1:6" x14ac:dyDescent="0.3">
      <c r="A2291" t="s">
        <v>1149</v>
      </c>
      <c r="F2291" t="str">
        <f t="shared" ref="F2291" si="2283">A2291</f>
        <v>CACTCG</v>
      </c>
    </row>
    <row r="2292" spans="1:6" x14ac:dyDescent="0.3">
      <c r="A2292" t="s">
        <v>5246</v>
      </c>
      <c r="F2292" t="str">
        <f t="shared" ref="F2292" si="2284">LEFT(A2292, LEN(A2292) - 1)</f>
        <v>&gt;1144:CACTCT:14.00:50.00:OK:6:1727.17</v>
      </c>
    </row>
    <row r="2293" spans="1:6" x14ac:dyDescent="0.3">
      <c r="A2293" t="s">
        <v>1150</v>
      </c>
      <c r="F2293" t="str">
        <f t="shared" ref="F2293" si="2285">A2293</f>
        <v>CACTCT</v>
      </c>
    </row>
    <row r="2294" spans="1:6" x14ac:dyDescent="0.3">
      <c r="A2294" t="s">
        <v>5247</v>
      </c>
      <c r="F2294" t="str">
        <f t="shared" ref="F2294" si="2286">LEFT(A2294, LEN(A2294) - 1)</f>
        <v>&gt;1145:CACTGA:22.00:50.00:OK:6:1776.22</v>
      </c>
    </row>
    <row r="2295" spans="1:6" x14ac:dyDescent="0.3">
      <c r="A2295" t="s">
        <v>1151</v>
      </c>
      <c r="F2295" t="str">
        <f t="shared" ref="F2295" si="2287">A2295</f>
        <v>CACTGA</v>
      </c>
    </row>
    <row r="2296" spans="1:6" x14ac:dyDescent="0.3">
      <c r="A2296" t="s">
        <v>5248</v>
      </c>
      <c r="F2296" t="str">
        <f t="shared" ref="F2296" si="2288">LEFT(A2296, LEN(A2296) - 1)</f>
        <v>&gt;1146:CACTGC:20.00:66.67:Warning:6:1752.19</v>
      </c>
    </row>
    <row r="2297" spans="1:6" x14ac:dyDescent="0.3">
      <c r="A2297" t="s">
        <v>1152</v>
      </c>
      <c r="F2297" t="str">
        <f t="shared" ref="F2297" si="2289">A2297</f>
        <v>CACTGC</v>
      </c>
    </row>
    <row r="2298" spans="1:6" x14ac:dyDescent="0.3">
      <c r="A2298" t="s">
        <v>5249</v>
      </c>
      <c r="F2298" t="str">
        <f t="shared" ref="F2298" si="2290">LEFT(A2298, LEN(A2298) - 1)</f>
        <v>&gt;1147:CACTGG:20.00:66.67:Warning:6:1792.22</v>
      </c>
    </row>
    <row r="2299" spans="1:6" x14ac:dyDescent="0.3">
      <c r="A2299" t="s">
        <v>1153</v>
      </c>
      <c r="F2299" t="str">
        <f t="shared" ref="F2299" si="2291">A2299</f>
        <v>CACTGG</v>
      </c>
    </row>
    <row r="2300" spans="1:6" x14ac:dyDescent="0.3">
      <c r="A2300" t="s">
        <v>5250</v>
      </c>
      <c r="F2300" t="str">
        <f t="shared" ref="F2300" si="2292">LEFT(A2300, LEN(A2300) - 1)</f>
        <v>&gt;1148:CACTGT:14.00:50.00:OK:6:1767.20</v>
      </c>
    </row>
    <row r="2301" spans="1:6" x14ac:dyDescent="0.3">
      <c r="A2301" t="s">
        <v>1154</v>
      </c>
      <c r="F2301" t="str">
        <f t="shared" ref="F2301" si="2293">A2301</f>
        <v>CACTGT</v>
      </c>
    </row>
    <row r="2302" spans="1:6" x14ac:dyDescent="0.3">
      <c r="A2302" t="s">
        <v>5251</v>
      </c>
      <c r="F2302" t="str">
        <f t="shared" ref="F2302" si="2294">LEFT(A2302, LEN(A2302) - 1)</f>
        <v>&gt;1149:CACTTA:16.00:33.33:OK:6:1751.20</v>
      </c>
    </row>
    <row r="2303" spans="1:6" x14ac:dyDescent="0.3">
      <c r="A2303" t="s">
        <v>1155</v>
      </c>
      <c r="F2303" t="str">
        <f t="shared" ref="F2303" si="2295">A2303</f>
        <v>CACTTA</v>
      </c>
    </row>
    <row r="2304" spans="1:6" x14ac:dyDescent="0.3">
      <c r="A2304" t="s">
        <v>5252</v>
      </c>
      <c r="F2304" t="str">
        <f t="shared" ref="F2304" si="2296">LEFT(A2304, LEN(A2304) - 1)</f>
        <v>&gt;1150:CACTTC:14.00:50.00:OK:6:1727.17</v>
      </c>
    </row>
    <row r="2305" spans="1:6" x14ac:dyDescent="0.3">
      <c r="A2305" t="s">
        <v>1156</v>
      </c>
      <c r="F2305" t="str">
        <f t="shared" ref="F2305" si="2297">A2305</f>
        <v>CACTTC</v>
      </c>
    </row>
    <row r="2306" spans="1:6" x14ac:dyDescent="0.3">
      <c r="A2306" t="s">
        <v>5253</v>
      </c>
      <c r="F2306" t="str">
        <f t="shared" ref="F2306" si="2298">LEFT(A2306, LEN(A2306) - 1)</f>
        <v>&gt;1151:CACTTG:14.00:50.00:OK:6:1767.20</v>
      </c>
    </row>
    <row r="2307" spans="1:6" x14ac:dyDescent="0.3">
      <c r="A2307" t="s">
        <v>1157</v>
      </c>
      <c r="F2307" t="str">
        <f t="shared" ref="F2307" si="2299">A2307</f>
        <v>CACTTG</v>
      </c>
    </row>
    <row r="2308" spans="1:6" x14ac:dyDescent="0.3">
      <c r="A2308" t="s">
        <v>5254</v>
      </c>
      <c r="F2308" t="str">
        <f t="shared" ref="F2308" si="2300">LEFT(A2308, LEN(A2308) - 1)</f>
        <v>&gt;1152:CACTTT:8.00:33.33:OK:6:1742.18</v>
      </c>
    </row>
    <row r="2309" spans="1:6" x14ac:dyDescent="0.3">
      <c r="A2309" t="s">
        <v>1158</v>
      </c>
      <c r="F2309" t="str">
        <f t="shared" ref="F2309" si="2301">A2309</f>
        <v>CACTTT</v>
      </c>
    </row>
    <row r="2310" spans="1:6" x14ac:dyDescent="0.3">
      <c r="A2310" t="s">
        <v>5255</v>
      </c>
      <c r="F2310" t="str">
        <f t="shared" ref="F2310" si="2302">LEFT(A2310, LEN(A2310) - 1)</f>
        <v>&gt;1153:CAGAAA:32.00:33.33:OK:6:1809.27</v>
      </c>
    </row>
    <row r="2311" spans="1:6" x14ac:dyDescent="0.3">
      <c r="A2311" t="s">
        <v>1159</v>
      </c>
      <c r="F2311" t="str">
        <f t="shared" ref="F2311" si="2303">A2311</f>
        <v>CAGAAA</v>
      </c>
    </row>
    <row r="2312" spans="1:6" x14ac:dyDescent="0.3">
      <c r="A2312" t="s">
        <v>5256</v>
      </c>
      <c r="F2312" t="str">
        <f t="shared" ref="F2312" si="2304">LEFT(A2312, LEN(A2312) - 1)</f>
        <v>&gt;1154:CAGAAC:30.00:50.00:OK:6:1785.24</v>
      </c>
    </row>
    <row r="2313" spans="1:6" x14ac:dyDescent="0.3">
      <c r="A2313" t="s">
        <v>1160</v>
      </c>
      <c r="F2313" t="str">
        <f t="shared" ref="F2313" si="2305">A2313</f>
        <v>CAGAAC</v>
      </c>
    </row>
    <row r="2314" spans="1:6" x14ac:dyDescent="0.3">
      <c r="A2314" t="s">
        <v>5257</v>
      </c>
      <c r="F2314" t="str">
        <f t="shared" ref="F2314" si="2306">LEFT(A2314, LEN(A2314) - 1)</f>
        <v>&gt;1155:CAGAAG:30.00:50.00:OK:6:1825.27</v>
      </c>
    </row>
    <row r="2315" spans="1:6" x14ac:dyDescent="0.3">
      <c r="A2315" t="s">
        <v>1161</v>
      </c>
      <c r="F2315" t="str">
        <f t="shared" ref="F2315" si="2307">A2315</f>
        <v>CAGAAG</v>
      </c>
    </row>
    <row r="2316" spans="1:6" x14ac:dyDescent="0.3">
      <c r="A2316" t="s">
        <v>5258</v>
      </c>
      <c r="F2316" t="str">
        <f t="shared" ref="F2316" si="2308">LEFT(A2316, LEN(A2316) - 1)</f>
        <v>&gt;1156:CAGAAT:24.00:33.33:OK:6:1800.25</v>
      </c>
    </row>
    <row r="2317" spans="1:6" x14ac:dyDescent="0.3">
      <c r="A2317" t="s">
        <v>1162</v>
      </c>
      <c r="F2317" t="str">
        <f t="shared" ref="F2317" si="2309">A2317</f>
        <v>CAGAAT</v>
      </c>
    </row>
    <row r="2318" spans="1:6" x14ac:dyDescent="0.3">
      <c r="A2318" t="s">
        <v>5259</v>
      </c>
      <c r="F2318" t="str">
        <f t="shared" ref="F2318" si="2310">LEFT(A2318, LEN(A2318) - 1)</f>
        <v>&gt;1157:CAGACA:30.00:50.00:OK:6:1785.24</v>
      </c>
    </row>
    <row r="2319" spans="1:6" x14ac:dyDescent="0.3">
      <c r="A2319" t="s">
        <v>1163</v>
      </c>
      <c r="F2319" t="str">
        <f t="shared" ref="F2319" si="2311">A2319</f>
        <v>CAGACA</v>
      </c>
    </row>
    <row r="2320" spans="1:6" x14ac:dyDescent="0.3">
      <c r="A2320" t="s">
        <v>5260</v>
      </c>
      <c r="F2320" t="str">
        <f t="shared" ref="F2320" si="2312">LEFT(A2320, LEN(A2320) - 1)</f>
        <v>&gt;1158:CAGACC:28.00:66.67:Warning:6:1761.21</v>
      </c>
    </row>
    <row r="2321" spans="1:6" x14ac:dyDescent="0.3">
      <c r="A2321" t="s">
        <v>1164</v>
      </c>
      <c r="F2321" t="str">
        <f t="shared" ref="F2321" si="2313">A2321</f>
        <v>CAGACC</v>
      </c>
    </row>
    <row r="2322" spans="1:6" x14ac:dyDescent="0.3">
      <c r="A2322" t="s">
        <v>5261</v>
      </c>
      <c r="F2322" t="str">
        <f t="shared" ref="F2322" si="2314">LEFT(A2322, LEN(A2322) - 1)</f>
        <v>&gt;1159:CAGACG:28.00:66.67:Warning:6:1801.24</v>
      </c>
    </row>
    <row r="2323" spans="1:6" x14ac:dyDescent="0.3">
      <c r="A2323" t="s">
        <v>1165</v>
      </c>
      <c r="F2323" t="str">
        <f t="shared" ref="F2323" si="2315">A2323</f>
        <v>CAGACG</v>
      </c>
    </row>
    <row r="2324" spans="1:6" x14ac:dyDescent="0.3">
      <c r="A2324" t="s">
        <v>5262</v>
      </c>
      <c r="F2324" t="str">
        <f t="shared" ref="F2324" si="2316">LEFT(A2324, LEN(A2324) - 1)</f>
        <v>&gt;1160:CAGACT:22.00:50.00:OK:6:1776.22</v>
      </c>
    </row>
    <row r="2325" spans="1:6" x14ac:dyDescent="0.3">
      <c r="A2325" t="s">
        <v>1166</v>
      </c>
      <c r="F2325" t="str">
        <f t="shared" ref="F2325" si="2317">A2325</f>
        <v>CAGACT</v>
      </c>
    </row>
    <row r="2326" spans="1:6" x14ac:dyDescent="0.3">
      <c r="A2326" t="s">
        <v>5263</v>
      </c>
      <c r="F2326" t="str">
        <f t="shared" ref="F2326" si="2318">LEFT(A2326, LEN(A2326) - 1)</f>
        <v>&gt;1161:CAGAGA:30.00:50.00:OK:6:1825.27</v>
      </c>
    </row>
    <row r="2327" spans="1:6" x14ac:dyDescent="0.3">
      <c r="A2327" t="s">
        <v>1167</v>
      </c>
      <c r="F2327" t="str">
        <f t="shared" ref="F2327" si="2319">A2327</f>
        <v>CAGAGA</v>
      </c>
    </row>
    <row r="2328" spans="1:6" x14ac:dyDescent="0.3">
      <c r="A2328" t="s">
        <v>5264</v>
      </c>
      <c r="F2328" t="str">
        <f t="shared" ref="F2328" si="2320">LEFT(A2328, LEN(A2328) - 1)</f>
        <v>&gt;1162:CAGAGC:28.00:66.67:Warning:6:1801.24</v>
      </c>
    </row>
    <row r="2329" spans="1:6" x14ac:dyDescent="0.3">
      <c r="A2329" t="s">
        <v>1168</v>
      </c>
      <c r="F2329" t="str">
        <f t="shared" ref="F2329" si="2321">A2329</f>
        <v>CAGAGC</v>
      </c>
    </row>
    <row r="2330" spans="1:6" x14ac:dyDescent="0.3">
      <c r="A2330" t="s">
        <v>5265</v>
      </c>
      <c r="F2330" t="str">
        <f t="shared" ref="F2330" si="2322">LEFT(A2330, LEN(A2330) - 1)</f>
        <v>&gt;1163:CAGAGG:28.00:66.67:Warning:6:1841.27</v>
      </c>
    </row>
    <row r="2331" spans="1:6" x14ac:dyDescent="0.3">
      <c r="A2331" t="s">
        <v>1169</v>
      </c>
      <c r="F2331" t="str">
        <f t="shared" ref="F2331" si="2323">A2331</f>
        <v>CAGAGG</v>
      </c>
    </row>
    <row r="2332" spans="1:6" x14ac:dyDescent="0.3">
      <c r="A2332" t="s">
        <v>5266</v>
      </c>
      <c r="F2332" t="str">
        <f t="shared" ref="F2332" si="2324">LEFT(A2332, LEN(A2332) - 1)</f>
        <v>&gt;1164:CAGAGT:22.00:50.00:OK:6:1816.25</v>
      </c>
    </row>
    <row r="2333" spans="1:6" x14ac:dyDescent="0.3">
      <c r="A2333" t="s">
        <v>1170</v>
      </c>
      <c r="F2333" t="str">
        <f t="shared" ref="F2333" si="2325">A2333</f>
        <v>CAGAGT</v>
      </c>
    </row>
    <row r="2334" spans="1:6" x14ac:dyDescent="0.3">
      <c r="A2334" t="s">
        <v>5267</v>
      </c>
      <c r="F2334" t="str">
        <f t="shared" ref="F2334" si="2326">LEFT(A2334, LEN(A2334) - 1)</f>
        <v>&gt;1165:CAGATA:24.00:33.33:OK:6:1800.25</v>
      </c>
    </row>
    <row r="2335" spans="1:6" x14ac:dyDescent="0.3">
      <c r="A2335" t="s">
        <v>1171</v>
      </c>
      <c r="F2335" t="str">
        <f t="shared" ref="F2335" si="2327">A2335</f>
        <v>CAGATA</v>
      </c>
    </row>
    <row r="2336" spans="1:6" x14ac:dyDescent="0.3">
      <c r="A2336" t="s">
        <v>5268</v>
      </c>
      <c r="F2336" t="str">
        <f t="shared" ref="F2336" si="2328">LEFT(A2336, LEN(A2336) - 1)</f>
        <v>&gt;1166:CAGATC:22.00:50.00:OK:6:1776.22</v>
      </c>
    </row>
    <row r="2337" spans="1:6" x14ac:dyDescent="0.3">
      <c r="A2337" t="s">
        <v>1172</v>
      </c>
      <c r="F2337" t="str">
        <f t="shared" ref="F2337" si="2329">A2337</f>
        <v>CAGATC</v>
      </c>
    </row>
    <row r="2338" spans="1:6" x14ac:dyDescent="0.3">
      <c r="A2338" t="s">
        <v>5269</v>
      </c>
      <c r="F2338" t="str">
        <f t="shared" ref="F2338" si="2330">LEFT(A2338, LEN(A2338) - 1)</f>
        <v>&gt;1167:CAGATG:22.00:50.00:OK:6:1816.25</v>
      </c>
    </row>
    <row r="2339" spans="1:6" x14ac:dyDescent="0.3">
      <c r="A2339" t="s">
        <v>1173</v>
      </c>
      <c r="F2339" t="str">
        <f t="shared" ref="F2339" si="2331">A2339</f>
        <v>CAGATG</v>
      </c>
    </row>
    <row r="2340" spans="1:6" x14ac:dyDescent="0.3">
      <c r="A2340" t="s">
        <v>5270</v>
      </c>
      <c r="F2340" t="str">
        <f t="shared" ref="F2340" si="2332">LEFT(A2340, LEN(A2340) - 1)</f>
        <v>&gt;1168:CAGATT:16.00:33.33:OK:6:1791.23</v>
      </c>
    </row>
    <row r="2341" spans="1:6" x14ac:dyDescent="0.3">
      <c r="A2341" t="s">
        <v>1174</v>
      </c>
      <c r="F2341" t="str">
        <f t="shared" ref="F2341" si="2333">A2341</f>
        <v>CAGATT</v>
      </c>
    </row>
    <row r="2342" spans="1:6" x14ac:dyDescent="0.3">
      <c r="A2342" t="s">
        <v>5271</v>
      </c>
      <c r="F2342" t="str">
        <f t="shared" ref="F2342" si="2334">LEFT(A2342, LEN(A2342) - 1)</f>
        <v>&gt;1169:CAGCAA:30.00:50.00:OK:6:1785.24</v>
      </c>
    </row>
    <row r="2343" spans="1:6" x14ac:dyDescent="0.3">
      <c r="A2343" t="s">
        <v>1175</v>
      </c>
      <c r="F2343" t="str">
        <f t="shared" ref="F2343" si="2335">A2343</f>
        <v>CAGCAA</v>
      </c>
    </row>
    <row r="2344" spans="1:6" x14ac:dyDescent="0.3">
      <c r="A2344" t="s">
        <v>5272</v>
      </c>
      <c r="F2344" t="str">
        <f t="shared" ref="F2344" si="2336">LEFT(A2344, LEN(A2344) - 1)</f>
        <v>&gt;1170:CAGCAC:28.00:66.67:Warning:6:1761.21</v>
      </c>
    </row>
    <row r="2345" spans="1:6" x14ac:dyDescent="0.3">
      <c r="A2345" t="s">
        <v>1176</v>
      </c>
      <c r="F2345" t="str">
        <f t="shared" ref="F2345" si="2337">A2345</f>
        <v>CAGCAC</v>
      </c>
    </row>
    <row r="2346" spans="1:6" x14ac:dyDescent="0.3">
      <c r="A2346" t="s">
        <v>5273</v>
      </c>
      <c r="F2346" t="str">
        <f t="shared" ref="F2346" si="2338">LEFT(A2346, LEN(A2346) - 1)</f>
        <v>&gt;1171:CAGCAG:28.00:66.67:Warning:6:1801.24</v>
      </c>
    </row>
    <row r="2347" spans="1:6" x14ac:dyDescent="0.3">
      <c r="A2347" t="s">
        <v>1177</v>
      </c>
      <c r="F2347" t="str">
        <f t="shared" ref="F2347" si="2339">A2347</f>
        <v>CAGCAG</v>
      </c>
    </row>
    <row r="2348" spans="1:6" x14ac:dyDescent="0.3">
      <c r="A2348" t="s">
        <v>5274</v>
      </c>
      <c r="F2348" t="str">
        <f t="shared" ref="F2348" si="2340">LEFT(A2348, LEN(A2348) - 1)</f>
        <v>&gt;1172:CAGCAT:22.00:50.00:OK:6:1776.22</v>
      </c>
    </row>
    <row r="2349" spans="1:6" x14ac:dyDescent="0.3">
      <c r="A2349" t="s">
        <v>1178</v>
      </c>
      <c r="F2349" t="str">
        <f t="shared" ref="F2349" si="2341">A2349</f>
        <v>CAGCAT</v>
      </c>
    </row>
    <row r="2350" spans="1:6" x14ac:dyDescent="0.3">
      <c r="A2350" t="s">
        <v>5275</v>
      </c>
      <c r="F2350" t="str">
        <f t="shared" ref="F2350" si="2342">LEFT(A2350, LEN(A2350) - 1)</f>
        <v>&gt;1173:CAGCCA:28.00:66.67:Warning:6:1761.21</v>
      </c>
    </row>
    <row r="2351" spans="1:6" x14ac:dyDescent="0.3">
      <c r="A2351" t="s">
        <v>1179</v>
      </c>
      <c r="F2351" t="str">
        <f t="shared" ref="F2351" si="2343">A2351</f>
        <v>CAGCCA</v>
      </c>
    </row>
    <row r="2352" spans="1:6" x14ac:dyDescent="0.3">
      <c r="A2352" t="s">
        <v>5276</v>
      </c>
      <c r="F2352" t="str">
        <f t="shared" ref="F2352" si="2344">LEFT(A2352, LEN(A2352) - 1)</f>
        <v>&gt;1174:CAGCCC:26.00:83.33:Warning:6:1737.18</v>
      </c>
    </row>
    <row r="2353" spans="1:6" x14ac:dyDescent="0.3">
      <c r="A2353" t="s">
        <v>1180</v>
      </c>
      <c r="F2353" t="str">
        <f t="shared" ref="F2353" si="2345">A2353</f>
        <v>CAGCCC</v>
      </c>
    </row>
    <row r="2354" spans="1:6" x14ac:dyDescent="0.3">
      <c r="A2354" t="s">
        <v>5277</v>
      </c>
      <c r="F2354" t="str">
        <f t="shared" ref="F2354" si="2346">LEFT(A2354, LEN(A2354) - 1)</f>
        <v>&gt;1175:CAGCCG:26.00:83.33:Warning:6:1777.21</v>
      </c>
    </row>
    <row r="2355" spans="1:6" x14ac:dyDescent="0.3">
      <c r="A2355" t="s">
        <v>1181</v>
      </c>
      <c r="F2355" t="str">
        <f t="shared" ref="F2355" si="2347">A2355</f>
        <v>CAGCCG</v>
      </c>
    </row>
    <row r="2356" spans="1:6" x14ac:dyDescent="0.3">
      <c r="A2356" t="s">
        <v>5278</v>
      </c>
      <c r="F2356" t="str">
        <f t="shared" ref="F2356" si="2348">LEFT(A2356, LEN(A2356) - 1)</f>
        <v>&gt;1176:CAGCCT:20.00:66.67:Warning:6:1752.19</v>
      </c>
    </row>
    <row r="2357" spans="1:6" x14ac:dyDescent="0.3">
      <c r="A2357" t="s">
        <v>1182</v>
      </c>
      <c r="F2357" t="str">
        <f t="shared" ref="F2357" si="2349">A2357</f>
        <v>CAGCCT</v>
      </c>
    </row>
    <row r="2358" spans="1:6" x14ac:dyDescent="0.3">
      <c r="A2358" t="s">
        <v>5279</v>
      </c>
      <c r="F2358" t="str">
        <f t="shared" ref="F2358" si="2350">LEFT(A2358, LEN(A2358) - 1)</f>
        <v>&gt;1177:CAGCGA:28.00:66.67:Warning:6:1801.24</v>
      </c>
    </row>
    <row r="2359" spans="1:6" x14ac:dyDescent="0.3">
      <c r="A2359" t="s">
        <v>1183</v>
      </c>
      <c r="F2359" t="str">
        <f t="shared" ref="F2359" si="2351">A2359</f>
        <v>CAGCGA</v>
      </c>
    </row>
    <row r="2360" spans="1:6" x14ac:dyDescent="0.3">
      <c r="A2360" t="s">
        <v>5280</v>
      </c>
      <c r="F2360" t="str">
        <f t="shared" ref="F2360" si="2352">LEFT(A2360, LEN(A2360) - 1)</f>
        <v>&gt;1178:CAGCGC:26.00:83.33:Warning:6:1777.21</v>
      </c>
    </row>
    <row r="2361" spans="1:6" x14ac:dyDescent="0.3">
      <c r="A2361" t="s">
        <v>1184</v>
      </c>
      <c r="F2361" t="str">
        <f t="shared" ref="F2361" si="2353">A2361</f>
        <v>CAGCGC</v>
      </c>
    </row>
    <row r="2362" spans="1:6" x14ac:dyDescent="0.3">
      <c r="A2362" t="s">
        <v>5281</v>
      </c>
      <c r="F2362" t="str">
        <f t="shared" ref="F2362" si="2354">LEFT(A2362, LEN(A2362) - 1)</f>
        <v>&gt;1179:CAGCGG:26.00:83.33:Warning:6:1817.24</v>
      </c>
    </row>
    <row r="2363" spans="1:6" x14ac:dyDescent="0.3">
      <c r="A2363" t="s">
        <v>1185</v>
      </c>
      <c r="F2363" t="str">
        <f t="shared" ref="F2363" si="2355">A2363</f>
        <v>CAGCGG</v>
      </c>
    </row>
    <row r="2364" spans="1:6" x14ac:dyDescent="0.3">
      <c r="A2364" t="s">
        <v>5282</v>
      </c>
      <c r="F2364" t="str">
        <f t="shared" ref="F2364" si="2356">LEFT(A2364, LEN(A2364) - 1)</f>
        <v>&gt;1180:CAGCGT:20.00:66.67:Warning:6:1792.22</v>
      </c>
    </row>
    <row r="2365" spans="1:6" x14ac:dyDescent="0.3">
      <c r="A2365" t="s">
        <v>1186</v>
      </c>
      <c r="F2365" t="str">
        <f t="shared" ref="F2365" si="2357">A2365</f>
        <v>CAGCGT</v>
      </c>
    </row>
    <row r="2366" spans="1:6" x14ac:dyDescent="0.3">
      <c r="A2366" t="s">
        <v>5283</v>
      </c>
      <c r="F2366" t="str">
        <f t="shared" ref="F2366" si="2358">LEFT(A2366, LEN(A2366) - 1)</f>
        <v>&gt;1181:CAGCTA:22.00:50.00:OK:6:1776.22</v>
      </c>
    </row>
    <row r="2367" spans="1:6" x14ac:dyDescent="0.3">
      <c r="A2367" t="s">
        <v>1187</v>
      </c>
      <c r="F2367" t="str">
        <f t="shared" ref="F2367" si="2359">A2367</f>
        <v>CAGCTA</v>
      </c>
    </row>
    <row r="2368" spans="1:6" x14ac:dyDescent="0.3">
      <c r="A2368" t="s">
        <v>5284</v>
      </c>
      <c r="F2368" t="str">
        <f t="shared" ref="F2368" si="2360">LEFT(A2368, LEN(A2368) - 1)</f>
        <v>&gt;1182:CAGCTC:20.00:66.67:Warning:6:1752.19</v>
      </c>
    </row>
    <row r="2369" spans="1:6" x14ac:dyDescent="0.3">
      <c r="A2369" t="s">
        <v>1188</v>
      </c>
      <c r="F2369" t="str">
        <f t="shared" ref="F2369" si="2361">A2369</f>
        <v>CAGCTC</v>
      </c>
    </row>
    <row r="2370" spans="1:6" x14ac:dyDescent="0.3">
      <c r="A2370" t="s">
        <v>5285</v>
      </c>
      <c r="F2370" t="str">
        <f t="shared" ref="F2370" si="2362">LEFT(A2370, LEN(A2370) - 1)</f>
        <v>&gt;1183:CAGCTG:20.00:66.67:Warning:6:1792.22</v>
      </c>
    </row>
    <row r="2371" spans="1:6" x14ac:dyDescent="0.3">
      <c r="A2371" t="s">
        <v>1189</v>
      </c>
      <c r="F2371" t="str">
        <f t="shared" ref="F2371" si="2363">A2371</f>
        <v>CAGCTG</v>
      </c>
    </row>
    <row r="2372" spans="1:6" x14ac:dyDescent="0.3">
      <c r="A2372" t="s">
        <v>5286</v>
      </c>
      <c r="F2372" t="str">
        <f t="shared" ref="F2372" si="2364">LEFT(A2372, LEN(A2372) - 1)</f>
        <v>&gt;1184:CAGCTT:14.00:50.00:OK:6:1767.20</v>
      </c>
    </row>
    <row r="2373" spans="1:6" x14ac:dyDescent="0.3">
      <c r="A2373" t="s">
        <v>1190</v>
      </c>
      <c r="F2373" t="str">
        <f t="shared" ref="F2373" si="2365">A2373</f>
        <v>CAGCTT</v>
      </c>
    </row>
    <row r="2374" spans="1:6" x14ac:dyDescent="0.3">
      <c r="A2374" t="s">
        <v>5287</v>
      </c>
      <c r="F2374" t="str">
        <f t="shared" ref="F2374" si="2366">LEFT(A2374, LEN(A2374) - 1)</f>
        <v>&gt;1185:CAGGAA:30.00:50.00:OK:6:1825.27</v>
      </c>
    </row>
    <row r="2375" spans="1:6" x14ac:dyDescent="0.3">
      <c r="A2375" t="s">
        <v>1191</v>
      </c>
      <c r="F2375" t="str">
        <f t="shared" ref="F2375" si="2367">A2375</f>
        <v>CAGGAA</v>
      </c>
    </row>
    <row r="2376" spans="1:6" x14ac:dyDescent="0.3">
      <c r="A2376" t="s">
        <v>5288</v>
      </c>
      <c r="F2376" t="str">
        <f t="shared" ref="F2376" si="2368">LEFT(A2376, LEN(A2376) - 1)</f>
        <v>&gt;1186:CAGGAC:28.00:66.67:Warning:6:1801.24</v>
      </c>
    </row>
    <row r="2377" spans="1:6" x14ac:dyDescent="0.3">
      <c r="A2377" t="s">
        <v>1192</v>
      </c>
      <c r="F2377" t="str">
        <f t="shared" ref="F2377" si="2369">A2377</f>
        <v>CAGGAC</v>
      </c>
    </row>
    <row r="2378" spans="1:6" x14ac:dyDescent="0.3">
      <c r="A2378" t="s">
        <v>5289</v>
      </c>
      <c r="F2378" t="str">
        <f t="shared" ref="F2378" si="2370">LEFT(A2378, LEN(A2378) - 1)</f>
        <v>&gt;1187:CAGGAG:28.00:66.67:Warning:6:1841.27</v>
      </c>
    </row>
    <row r="2379" spans="1:6" x14ac:dyDescent="0.3">
      <c r="A2379" t="s">
        <v>1193</v>
      </c>
      <c r="F2379" t="str">
        <f t="shared" ref="F2379" si="2371">A2379</f>
        <v>CAGGAG</v>
      </c>
    </row>
    <row r="2380" spans="1:6" x14ac:dyDescent="0.3">
      <c r="A2380" t="s">
        <v>5290</v>
      </c>
      <c r="F2380" t="str">
        <f t="shared" ref="F2380" si="2372">LEFT(A2380, LEN(A2380) - 1)</f>
        <v>&gt;1188:CAGGAT:22.00:50.00:OK:6:1816.25</v>
      </c>
    </row>
    <row r="2381" spans="1:6" x14ac:dyDescent="0.3">
      <c r="A2381" t="s">
        <v>1194</v>
      </c>
      <c r="F2381" t="str">
        <f t="shared" ref="F2381" si="2373">A2381</f>
        <v>CAGGAT</v>
      </c>
    </row>
    <row r="2382" spans="1:6" x14ac:dyDescent="0.3">
      <c r="A2382" t="s">
        <v>5291</v>
      </c>
      <c r="F2382" t="str">
        <f t="shared" ref="F2382" si="2374">LEFT(A2382, LEN(A2382) - 1)</f>
        <v>&gt;1189:CAGGCA:28.00:66.67:Warning:6:1801.24</v>
      </c>
    </row>
    <row r="2383" spans="1:6" x14ac:dyDescent="0.3">
      <c r="A2383" t="s">
        <v>1195</v>
      </c>
      <c r="F2383" t="str">
        <f t="shared" ref="F2383" si="2375">A2383</f>
        <v>CAGGCA</v>
      </c>
    </row>
    <row r="2384" spans="1:6" x14ac:dyDescent="0.3">
      <c r="A2384" t="s">
        <v>5292</v>
      </c>
      <c r="F2384" t="str">
        <f t="shared" ref="F2384" si="2376">LEFT(A2384, LEN(A2384) - 1)</f>
        <v>&gt;1190:CAGGCC:26.00:83.33:Warning:6:1777.21</v>
      </c>
    </row>
    <row r="2385" spans="1:6" x14ac:dyDescent="0.3">
      <c r="A2385" t="s">
        <v>1196</v>
      </c>
      <c r="F2385" t="str">
        <f t="shared" ref="F2385" si="2377">A2385</f>
        <v>CAGGCC</v>
      </c>
    </row>
    <row r="2386" spans="1:6" x14ac:dyDescent="0.3">
      <c r="A2386" t="s">
        <v>5293</v>
      </c>
      <c r="F2386" t="str">
        <f t="shared" ref="F2386" si="2378">LEFT(A2386, LEN(A2386) - 1)</f>
        <v>&gt;1191:CAGGCG:26.00:83.33:Warning:6:1817.24</v>
      </c>
    </row>
    <row r="2387" spans="1:6" x14ac:dyDescent="0.3">
      <c r="A2387" t="s">
        <v>1197</v>
      </c>
      <c r="F2387" t="str">
        <f t="shared" ref="F2387" si="2379">A2387</f>
        <v>CAGGCG</v>
      </c>
    </row>
    <row r="2388" spans="1:6" x14ac:dyDescent="0.3">
      <c r="A2388" t="s">
        <v>5294</v>
      </c>
      <c r="F2388" t="str">
        <f t="shared" ref="F2388" si="2380">LEFT(A2388, LEN(A2388) - 1)</f>
        <v>&gt;1192:CAGGCT:20.00:66.67:Warning:6:1792.22</v>
      </c>
    </row>
    <row r="2389" spans="1:6" x14ac:dyDescent="0.3">
      <c r="A2389" t="s">
        <v>1198</v>
      </c>
      <c r="F2389" t="str">
        <f t="shared" ref="F2389" si="2381">A2389</f>
        <v>CAGGCT</v>
      </c>
    </row>
    <row r="2390" spans="1:6" x14ac:dyDescent="0.3">
      <c r="A2390" t="s">
        <v>5295</v>
      </c>
      <c r="F2390" t="str">
        <f t="shared" ref="F2390" si="2382">LEFT(A2390, LEN(A2390) - 1)</f>
        <v>&gt;1193:CAGGGA:28.00:66.67:Warning:6:1841.27</v>
      </c>
    </row>
    <row r="2391" spans="1:6" x14ac:dyDescent="0.3">
      <c r="A2391" t="s">
        <v>1199</v>
      </c>
      <c r="F2391" t="str">
        <f t="shared" ref="F2391" si="2383">A2391</f>
        <v>CAGGGA</v>
      </c>
    </row>
    <row r="2392" spans="1:6" x14ac:dyDescent="0.3">
      <c r="A2392" t="s">
        <v>5296</v>
      </c>
      <c r="F2392" t="str">
        <f t="shared" ref="F2392" si="2384">LEFT(A2392, LEN(A2392) - 1)</f>
        <v>&gt;1194:CAGGGC:26.00:83.33:Warning:6:1817.24</v>
      </c>
    </row>
    <row r="2393" spans="1:6" x14ac:dyDescent="0.3">
      <c r="A2393" t="s">
        <v>1200</v>
      </c>
      <c r="F2393" t="str">
        <f t="shared" ref="F2393" si="2385">A2393</f>
        <v>CAGGGC</v>
      </c>
    </row>
    <row r="2394" spans="1:6" x14ac:dyDescent="0.3">
      <c r="A2394" t="s">
        <v>5297</v>
      </c>
      <c r="F2394" t="str">
        <f t="shared" ref="F2394" si="2386">LEFT(A2394, LEN(A2394) - 1)</f>
        <v>&gt;1195:CAGGGG:26.00:83.33:Warning:6:1857.27</v>
      </c>
    </row>
    <row r="2395" spans="1:6" x14ac:dyDescent="0.3">
      <c r="A2395" t="s">
        <v>1201</v>
      </c>
      <c r="F2395" t="str">
        <f t="shared" ref="F2395" si="2387">A2395</f>
        <v>CAGGGG</v>
      </c>
    </row>
    <row r="2396" spans="1:6" x14ac:dyDescent="0.3">
      <c r="A2396" t="s">
        <v>5298</v>
      </c>
      <c r="F2396" t="str">
        <f t="shared" ref="F2396" si="2388">LEFT(A2396, LEN(A2396) - 1)</f>
        <v>&gt;1196:CAGGGT:20.00:66.67:Warning:6:1832.25</v>
      </c>
    </row>
    <row r="2397" spans="1:6" x14ac:dyDescent="0.3">
      <c r="A2397" t="s">
        <v>1202</v>
      </c>
      <c r="F2397" t="str">
        <f t="shared" ref="F2397" si="2389">A2397</f>
        <v>CAGGGT</v>
      </c>
    </row>
    <row r="2398" spans="1:6" x14ac:dyDescent="0.3">
      <c r="A2398" t="s">
        <v>5299</v>
      </c>
      <c r="F2398" t="str">
        <f t="shared" ref="F2398" si="2390">LEFT(A2398, LEN(A2398) - 1)</f>
        <v>&gt;1197:CAGGTA:22.00:50.00:OK:6:1816.25</v>
      </c>
    </row>
    <row r="2399" spans="1:6" x14ac:dyDescent="0.3">
      <c r="A2399" t="s">
        <v>1203</v>
      </c>
      <c r="F2399" t="str">
        <f t="shared" ref="F2399" si="2391">A2399</f>
        <v>CAGGTA</v>
      </c>
    </row>
    <row r="2400" spans="1:6" x14ac:dyDescent="0.3">
      <c r="A2400" t="s">
        <v>5300</v>
      </c>
      <c r="F2400" t="str">
        <f t="shared" ref="F2400" si="2392">LEFT(A2400, LEN(A2400) - 1)</f>
        <v>&gt;1198:CAGGTC:20.00:66.67:Warning:6:1792.22</v>
      </c>
    </row>
    <row r="2401" spans="1:6" x14ac:dyDescent="0.3">
      <c r="A2401" t="s">
        <v>1204</v>
      </c>
      <c r="F2401" t="str">
        <f t="shared" ref="F2401" si="2393">A2401</f>
        <v>CAGGTC</v>
      </c>
    </row>
    <row r="2402" spans="1:6" x14ac:dyDescent="0.3">
      <c r="A2402" t="s">
        <v>5301</v>
      </c>
      <c r="F2402" t="str">
        <f t="shared" ref="F2402" si="2394">LEFT(A2402, LEN(A2402) - 1)</f>
        <v>&gt;1199:CAGGTG:20.00:66.67:Warning:6:1832.25</v>
      </c>
    </row>
    <row r="2403" spans="1:6" x14ac:dyDescent="0.3">
      <c r="A2403" t="s">
        <v>1205</v>
      </c>
      <c r="F2403" t="str">
        <f t="shared" ref="F2403" si="2395">A2403</f>
        <v>CAGGTG</v>
      </c>
    </row>
    <row r="2404" spans="1:6" x14ac:dyDescent="0.3">
      <c r="A2404" t="s">
        <v>5302</v>
      </c>
      <c r="F2404" t="str">
        <f t="shared" ref="F2404" si="2396">LEFT(A2404, LEN(A2404) - 1)</f>
        <v>&gt;1200:CAGGTT:14.00:50.00:OK:6:1807.23</v>
      </c>
    </row>
    <row r="2405" spans="1:6" x14ac:dyDescent="0.3">
      <c r="A2405" t="s">
        <v>1206</v>
      </c>
      <c r="F2405" t="str">
        <f t="shared" ref="F2405" si="2397">A2405</f>
        <v>CAGGTT</v>
      </c>
    </row>
    <row r="2406" spans="1:6" x14ac:dyDescent="0.3">
      <c r="A2406" t="s">
        <v>5303</v>
      </c>
      <c r="F2406" t="str">
        <f t="shared" ref="F2406" si="2398">LEFT(A2406, LEN(A2406) - 1)</f>
        <v>&gt;1201:CAGTAA:24.00:33.33:OK:6:1800.25</v>
      </c>
    </row>
    <row r="2407" spans="1:6" x14ac:dyDescent="0.3">
      <c r="A2407" t="s">
        <v>1207</v>
      </c>
      <c r="F2407" t="str">
        <f t="shared" ref="F2407" si="2399">A2407</f>
        <v>CAGTAA</v>
      </c>
    </row>
    <row r="2408" spans="1:6" x14ac:dyDescent="0.3">
      <c r="A2408" t="s">
        <v>5304</v>
      </c>
      <c r="F2408" t="str">
        <f t="shared" ref="F2408" si="2400">LEFT(A2408, LEN(A2408) - 1)</f>
        <v>&gt;1202:CAGTAC:22.00:50.00:OK:6:1776.22</v>
      </c>
    </row>
    <row r="2409" spans="1:6" x14ac:dyDescent="0.3">
      <c r="A2409" t="s">
        <v>1208</v>
      </c>
      <c r="F2409" t="str">
        <f t="shared" ref="F2409" si="2401">A2409</f>
        <v>CAGTAC</v>
      </c>
    </row>
    <row r="2410" spans="1:6" x14ac:dyDescent="0.3">
      <c r="A2410" t="s">
        <v>5305</v>
      </c>
      <c r="F2410" t="str">
        <f t="shared" ref="F2410" si="2402">LEFT(A2410, LEN(A2410) - 1)</f>
        <v>&gt;1203:CAGTAG:22.00:50.00:OK:6:1816.25</v>
      </c>
    </row>
    <row r="2411" spans="1:6" x14ac:dyDescent="0.3">
      <c r="A2411" t="s">
        <v>1209</v>
      </c>
      <c r="F2411" t="str">
        <f t="shared" ref="F2411" si="2403">A2411</f>
        <v>CAGTAG</v>
      </c>
    </row>
    <row r="2412" spans="1:6" x14ac:dyDescent="0.3">
      <c r="A2412" t="s">
        <v>5306</v>
      </c>
      <c r="F2412" t="str">
        <f t="shared" ref="F2412" si="2404">LEFT(A2412, LEN(A2412) - 1)</f>
        <v>&gt;1204:CAGTAT:16.00:33.33:OK:6:1791.23</v>
      </c>
    </row>
    <row r="2413" spans="1:6" x14ac:dyDescent="0.3">
      <c r="A2413" t="s">
        <v>1210</v>
      </c>
      <c r="F2413" t="str">
        <f t="shared" ref="F2413" si="2405">A2413</f>
        <v>CAGTAT</v>
      </c>
    </row>
    <row r="2414" spans="1:6" x14ac:dyDescent="0.3">
      <c r="A2414" t="s">
        <v>5307</v>
      </c>
      <c r="F2414" t="str">
        <f t="shared" ref="F2414" si="2406">LEFT(A2414, LEN(A2414) - 1)</f>
        <v>&gt;1205:CAGTCA:22.00:50.00:OK:6:1776.22</v>
      </c>
    </row>
    <row r="2415" spans="1:6" x14ac:dyDescent="0.3">
      <c r="A2415" t="s">
        <v>1211</v>
      </c>
      <c r="F2415" t="str">
        <f t="shared" ref="F2415" si="2407">A2415</f>
        <v>CAGTCA</v>
      </c>
    </row>
    <row r="2416" spans="1:6" x14ac:dyDescent="0.3">
      <c r="A2416" t="s">
        <v>5308</v>
      </c>
      <c r="F2416" t="str">
        <f t="shared" ref="F2416" si="2408">LEFT(A2416, LEN(A2416) - 1)</f>
        <v>&gt;1206:CAGTCC:20.00:66.67:Warning:6:1752.19</v>
      </c>
    </row>
    <row r="2417" spans="1:6" x14ac:dyDescent="0.3">
      <c r="A2417" t="s">
        <v>1212</v>
      </c>
      <c r="F2417" t="str">
        <f t="shared" ref="F2417" si="2409">A2417</f>
        <v>CAGTCC</v>
      </c>
    </row>
    <row r="2418" spans="1:6" x14ac:dyDescent="0.3">
      <c r="A2418" t="s">
        <v>5309</v>
      </c>
      <c r="F2418" t="str">
        <f t="shared" ref="F2418" si="2410">LEFT(A2418, LEN(A2418) - 1)</f>
        <v>&gt;1207:CAGTCG:20.00:66.67:Warning:6:1792.22</v>
      </c>
    </row>
    <row r="2419" spans="1:6" x14ac:dyDescent="0.3">
      <c r="A2419" t="s">
        <v>1213</v>
      </c>
      <c r="F2419" t="str">
        <f t="shared" ref="F2419" si="2411">A2419</f>
        <v>CAGTCG</v>
      </c>
    </row>
    <row r="2420" spans="1:6" x14ac:dyDescent="0.3">
      <c r="A2420" t="s">
        <v>5310</v>
      </c>
      <c r="F2420" t="str">
        <f t="shared" ref="F2420" si="2412">LEFT(A2420, LEN(A2420) - 1)</f>
        <v>&gt;1208:CAGTCT:14.00:50.00:OK:6:1767.20</v>
      </c>
    </row>
    <row r="2421" spans="1:6" x14ac:dyDescent="0.3">
      <c r="A2421" t="s">
        <v>1214</v>
      </c>
      <c r="F2421" t="str">
        <f t="shared" ref="F2421" si="2413">A2421</f>
        <v>CAGTCT</v>
      </c>
    </row>
    <row r="2422" spans="1:6" x14ac:dyDescent="0.3">
      <c r="A2422" t="s">
        <v>5311</v>
      </c>
      <c r="F2422" t="str">
        <f t="shared" ref="F2422" si="2414">LEFT(A2422, LEN(A2422) - 1)</f>
        <v>&gt;1209:CAGTGA:22.00:50.00:OK:6:1816.25</v>
      </c>
    </row>
    <row r="2423" spans="1:6" x14ac:dyDescent="0.3">
      <c r="A2423" t="s">
        <v>1215</v>
      </c>
      <c r="F2423" t="str">
        <f t="shared" ref="F2423" si="2415">A2423</f>
        <v>CAGTGA</v>
      </c>
    </row>
    <row r="2424" spans="1:6" x14ac:dyDescent="0.3">
      <c r="A2424" t="s">
        <v>5312</v>
      </c>
      <c r="F2424" t="str">
        <f t="shared" ref="F2424" si="2416">LEFT(A2424, LEN(A2424) - 1)</f>
        <v>&gt;1210:CAGTGC:20.00:66.67:Warning:6:1792.22</v>
      </c>
    </row>
    <row r="2425" spans="1:6" x14ac:dyDescent="0.3">
      <c r="A2425" t="s">
        <v>1216</v>
      </c>
      <c r="F2425" t="str">
        <f t="shared" ref="F2425" si="2417">A2425</f>
        <v>CAGTGC</v>
      </c>
    </row>
    <row r="2426" spans="1:6" x14ac:dyDescent="0.3">
      <c r="A2426" t="s">
        <v>5313</v>
      </c>
      <c r="F2426" t="str">
        <f t="shared" ref="F2426" si="2418">LEFT(A2426, LEN(A2426) - 1)</f>
        <v>&gt;1211:CAGTGG:20.00:66.67:Warning:6:1832.25</v>
      </c>
    </row>
    <row r="2427" spans="1:6" x14ac:dyDescent="0.3">
      <c r="A2427" t="s">
        <v>1217</v>
      </c>
      <c r="F2427" t="str">
        <f t="shared" ref="F2427" si="2419">A2427</f>
        <v>CAGTGG</v>
      </c>
    </row>
    <row r="2428" spans="1:6" x14ac:dyDescent="0.3">
      <c r="A2428" t="s">
        <v>5314</v>
      </c>
      <c r="F2428" t="str">
        <f t="shared" ref="F2428" si="2420">LEFT(A2428, LEN(A2428) - 1)</f>
        <v>&gt;1212:CAGTGT:14.00:50.00:OK:6:1807.23</v>
      </c>
    </row>
    <row r="2429" spans="1:6" x14ac:dyDescent="0.3">
      <c r="A2429" t="s">
        <v>1218</v>
      </c>
      <c r="F2429" t="str">
        <f t="shared" ref="F2429" si="2421">A2429</f>
        <v>CAGTGT</v>
      </c>
    </row>
    <row r="2430" spans="1:6" x14ac:dyDescent="0.3">
      <c r="A2430" t="s">
        <v>5315</v>
      </c>
      <c r="F2430" t="str">
        <f t="shared" ref="F2430" si="2422">LEFT(A2430, LEN(A2430) - 1)</f>
        <v>&gt;1213:CAGTTA:16.00:33.33:OK:6:1791.23</v>
      </c>
    </row>
    <row r="2431" spans="1:6" x14ac:dyDescent="0.3">
      <c r="A2431" t="s">
        <v>1219</v>
      </c>
      <c r="F2431" t="str">
        <f t="shared" ref="F2431" si="2423">A2431</f>
        <v>CAGTTA</v>
      </c>
    </row>
    <row r="2432" spans="1:6" x14ac:dyDescent="0.3">
      <c r="A2432" t="s">
        <v>5316</v>
      </c>
      <c r="F2432" t="str">
        <f t="shared" ref="F2432" si="2424">LEFT(A2432, LEN(A2432) - 1)</f>
        <v>&gt;1214:CAGTTC:14.00:50.00:OK:6:1767.20</v>
      </c>
    </row>
    <row r="2433" spans="1:6" x14ac:dyDescent="0.3">
      <c r="A2433" t="s">
        <v>1220</v>
      </c>
      <c r="F2433" t="str">
        <f t="shared" ref="F2433" si="2425">A2433</f>
        <v>CAGTTC</v>
      </c>
    </row>
    <row r="2434" spans="1:6" x14ac:dyDescent="0.3">
      <c r="A2434" t="s">
        <v>5317</v>
      </c>
      <c r="F2434" t="str">
        <f t="shared" ref="F2434" si="2426">LEFT(A2434, LEN(A2434) - 1)</f>
        <v>&gt;1215:CAGTTG:14.00:50.00:OK:6:1807.23</v>
      </c>
    </row>
    <row r="2435" spans="1:6" x14ac:dyDescent="0.3">
      <c r="A2435" t="s">
        <v>1221</v>
      </c>
      <c r="F2435" t="str">
        <f t="shared" ref="F2435" si="2427">A2435</f>
        <v>CAGTTG</v>
      </c>
    </row>
    <row r="2436" spans="1:6" x14ac:dyDescent="0.3">
      <c r="A2436" t="s">
        <v>5318</v>
      </c>
      <c r="F2436" t="str">
        <f t="shared" ref="F2436" si="2428">LEFT(A2436, LEN(A2436) - 1)</f>
        <v>&gt;1216:CAGTTT:8.00:33.33:OK:6:1782.21</v>
      </c>
    </row>
    <row r="2437" spans="1:6" x14ac:dyDescent="0.3">
      <c r="A2437" t="s">
        <v>1222</v>
      </c>
      <c r="F2437" t="str">
        <f t="shared" ref="F2437" si="2429">A2437</f>
        <v>CAGTTT</v>
      </c>
    </row>
    <row r="2438" spans="1:6" x14ac:dyDescent="0.3">
      <c r="A2438" t="s">
        <v>5319</v>
      </c>
      <c r="F2438" t="str">
        <f t="shared" ref="F2438" si="2430">LEFT(A2438, LEN(A2438) - 1)</f>
        <v>&gt;1217:CATAAA:26.00:16.67:OK:6:1784.25</v>
      </c>
    </row>
    <row r="2439" spans="1:6" x14ac:dyDescent="0.3">
      <c r="A2439" t="s">
        <v>1223</v>
      </c>
      <c r="F2439" t="str">
        <f t="shared" ref="F2439" si="2431">A2439</f>
        <v>CATAAA</v>
      </c>
    </row>
    <row r="2440" spans="1:6" x14ac:dyDescent="0.3">
      <c r="A2440" t="s">
        <v>5320</v>
      </c>
      <c r="F2440" t="str">
        <f t="shared" ref="F2440" si="2432">LEFT(A2440, LEN(A2440) - 1)</f>
        <v>&gt;1218:CATAAC:24.00:33.33:OK:6:1760.22</v>
      </c>
    </row>
    <row r="2441" spans="1:6" x14ac:dyDescent="0.3">
      <c r="A2441" t="s">
        <v>1224</v>
      </c>
      <c r="F2441" t="str">
        <f t="shared" ref="F2441" si="2433">A2441</f>
        <v>CATAAC</v>
      </c>
    </row>
    <row r="2442" spans="1:6" x14ac:dyDescent="0.3">
      <c r="A2442" t="s">
        <v>5321</v>
      </c>
      <c r="F2442" t="str">
        <f t="shared" ref="F2442" si="2434">LEFT(A2442, LEN(A2442) - 1)</f>
        <v>&gt;1219:CATAAG:24.00:33.33:OK:6:1800.25</v>
      </c>
    </row>
    <row r="2443" spans="1:6" x14ac:dyDescent="0.3">
      <c r="A2443" t="s">
        <v>1225</v>
      </c>
      <c r="F2443" t="str">
        <f t="shared" ref="F2443" si="2435">A2443</f>
        <v>CATAAG</v>
      </c>
    </row>
    <row r="2444" spans="1:6" x14ac:dyDescent="0.3">
      <c r="A2444" t="s">
        <v>5322</v>
      </c>
      <c r="F2444" t="str">
        <f t="shared" ref="F2444" si="2436">LEFT(A2444, LEN(A2444) - 1)</f>
        <v>&gt;1220:CATAAT:18.00:16.67:OK:6:1775.23</v>
      </c>
    </row>
    <row r="2445" spans="1:6" x14ac:dyDescent="0.3">
      <c r="A2445" t="s">
        <v>1226</v>
      </c>
      <c r="F2445" t="str">
        <f t="shared" ref="F2445" si="2437">A2445</f>
        <v>CATAAT</v>
      </c>
    </row>
    <row r="2446" spans="1:6" x14ac:dyDescent="0.3">
      <c r="A2446" t="s">
        <v>5323</v>
      </c>
      <c r="F2446" t="str">
        <f t="shared" ref="F2446" si="2438">LEFT(A2446, LEN(A2446) - 1)</f>
        <v>&gt;1221:CATACA:24.00:33.33:OK:6:1760.22</v>
      </c>
    </row>
    <row r="2447" spans="1:6" x14ac:dyDescent="0.3">
      <c r="A2447" t="s">
        <v>1227</v>
      </c>
      <c r="F2447" t="str">
        <f t="shared" ref="F2447" si="2439">A2447</f>
        <v>CATACA</v>
      </c>
    </row>
    <row r="2448" spans="1:6" x14ac:dyDescent="0.3">
      <c r="A2448" t="s">
        <v>5324</v>
      </c>
      <c r="F2448" t="str">
        <f t="shared" ref="F2448" si="2440">LEFT(A2448, LEN(A2448) - 1)</f>
        <v>&gt;1222:CATACC:22.00:50.00:OK:6:1736.19</v>
      </c>
    </row>
    <row r="2449" spans="1:6" x14ac:dyDescent="0.3">
      <c r="A2449" t="s">
        <v>1228</v>
      </c>
      <c r="F2449" t="str">
        <f t="shared" ref="F2449" si="2441">A2449</f>
        <v>CATACC</v>
      </c>
    </row>
    <row r="2450" spans="1:6" x14ac:dyDescent="0.3">
      <c r="A2450" t="s">
        <v>5325</v>
      </c>
      <c r="F2450" t="str">
        <f t="shared" ref="F2450" si="2442">LEFT(A2450, LEN(A2450) - 1)</f>
        <v>&gt;1223:CATACG:22.00:50.00:OK:6:1776.22</v>
      </c>
    </row>
    <row r="2451" spans="1:6" x14ac:dyDescent="0.3">
      <c r="A2451" t="s">
        <v>1229</v>
      </c>
      <c r="F2451" t="str">
        <f t="shared" ref="F2451" si="2443">A2451</f>
        <v>CATACG</v>
      </c>
    </row>
    <row r="2452" spans="1:6" x14ac:dyDescent="0.3">
      <c r="A2452" t="s">
        <v>5326</v>
      </c>
      <c r="F2452" t="str">
        <f t="shared" ref="F2452" si="2444">LEFT(A2452, LEN(A2452) - 1)</f>
        <v>&gt;1224:CATACT:16.00:33.33:OK:6:1751.20</v>
      </c>
    </row>
    <row r="2453" spans="1:6" x14ac:dyDescent="0.3">
      <c r="A2453" t="s">
        <v>1230</v>
      </c>
      <c r="F2453" t="str">
        <f t="shared" ref="F2453" si="2445">A2453</f>
        <v>CATACT</v>
      </c>
    </row>
    <row r="2454" spans="1:6" x14ac:dyDescent="0.3">
      <c r="A2454" t="s">
        <v>5327</v>
      </c>
      <c r="F2454" t="str">
        <f t="shared" ref="F2454" si="2446">LEFT(A2454, LEN(A2454) - 1)</f>
        <v>&gt;1225:CATAGA:24.00:33.33:OK:6:1800.25</v>
      </c>
    </row>
    <row r="2455" spans="1:6" x14ac:dyDescent="0.3">
      <c r="A2455" t="s">
        <v>1231</v>
      </c>
      <c r="F2455" t="str">
        <f t="shared" ref="F2455" si="2447">A2455</f>
        <v>CATAGA</v>
      </c>
    </row>
    <row r="2456" spans="1:6" x14ac:dyDescent="0.3">
      <c r="A2456" t="s">
        <v>5328</v>
      </c>
      <c r="F2456" t="str">
        <f t="shared" ref="F2456" si="2448">LEFT(A2456, LEN(A2456) - 1)</f>
        <v>&gt;1226:CATAGC:22.00:50.00:OK:6:1776.22</v>
      </c>
    </row>
    <row r="2457" spans="1:6" x14ac:dyDescent="0.3">
      <c r="A2457" t="s">
        <v>1232</v>
      </c>
      <c r="F2457" t="str">
        <f t="shared" ref="F2457" si="2449">A2457</f>
        <v>CATAGC</v>
      </c>
    </row>
    <row r="2458" spans="1:6" x14ac:dyDescent="0.3">
      <c r="A2458" t="s">
        <v>5329</v>
      </c>
      <c r="F2458" t="str">
        <f t="shared" ref="F2458" si="2450">LEFT(A2458, LEN(A2458) - 1)</f>
        <v>&gt;1227:CATAGG:22.00:50.00:OK:6:1816.25</v>
      </c>
    </row>
    <row r="2459" spans="1:6" x14ac:dyDescent="0.3">
      <c r="A2459" t="s">
        <v>1233</v>
      </c>
      <c r="F2459" t="str">
        <f t="shared" ref="F2459" si="2451">A2459</f>
        <v>CATAGG</v>
      </c>
    </row>
    <row r="2460" spans="1:6" x14ac:dyDescent="0.3">
      <c r="A2460" t="s">
        <v>5330</v>
      </c>
      <c r="F2460" t="str">
        <f t="shared" ref="F2460" si="2452">LEFT(A2460, LEN(A2460) - 1)</f>
        <v>&gt;1228:CATAGT:16.00:33.33:OK:6:1791.23</v>
      </c>
    </row>
    <row r="2461" spans="1:6" x14ac:dyDescent="0.3">
      <c r="A2461" t="s">
        <v>1234</v>
      </c>
      <c r="F2461" t="str">
        <f t="shared" ref="F2461" si="2453">A2461</f>
        <v>CATAGT</v>
      </c>
    </row>
    <row r="2462" spans="1:6" x14ac:dyDescent="0.3">
      <c r="A2462" t="s">
        <v>5331</v>
      </c>
      <c r="F2462" t="str">
        <f t="shared" ref="F2462" si="2454">LEFT(A2462, LEN(A2462) - 1)</f>
        <v>&gt;1229:CATATA:18.00:16.67:OK:6:1775.23</v>
      </c>
    </row>
    <row r="2463" spans="1:6" x14ac:dyDescent="0.3">
      <c r="A2463" t="s">
        <v>1235</v>
      </c>
      <c r="F2463" t="str">
        <f t="shared" ref="F2463" si="2455">A2463</f>
        <v>CATATA</v>
      </c>
    </row>
    <row r="2464" spans="1:6" x14ac:dyDescent="0.3">
      <c r="A2464" t="s">
        <v>5332</v>
      </c>
      <c r="F2464" t="str">
        <f t="shared" ref="F2464" si="2456">LEFT(A2464, LEN(A2464) - 1)</f>
        <v>&gt;1230:CATATC:16.00:33.33:OK:6:1751.20</v>
      </c>
    </row>
    <row r="2465" spans="1:6" x14ac:dyDescent="0.3">
      <c r="A2465" t="s">
        <v>1236</v>
      </c>
      <c r="F2465" t="str">
        <f t="shared" ref="F2465" si="2457">A2465</f>
        <v>CATATC</v>
      </c>
    </row>
    <row r="2466" spans="1:6" x14ac:dyDescent="0.3">
      <c r="A2466" t="s">
        <v>5333</v>
      </c>
      <c r="F2466" t="str">
        <f t="shared" ref="F2466" si="2458">LEFT(A2466, LEN(A2466) - 1)</f>
        <v>&gt;1231:CATATG:16.00:33.33:OK:6:1791.23</v>
      </c>
    </row>
    <row r="2467" spans="1:6" x14ac:dyDescent="0.3">
      <c r="A2467" t="s">
        <v>1237</v>
      </c>
      <c r="F2467" t="str">
        <f t="shared" ref="F2467" si="2459">A2467</f>
        <v>CATATG</v>
      </c>
    </row>
    <row r="2468" spans="1:6" x14ac:dyDescent="0.3">
      <c r="A2468" t="s">
        <v>5334</v>
      </c>
      <c r="F2468" t="str">
        <f t="shared" ref="F2468" si="2460">LEFT(A2468, LEN(A2468) - 1)</f>
        <v>&gt;1232:CATATT:10.00:16.67:OK:6:1766.21</v>
      </c>
    </row>
    <row r="2469" spans="1:6" x14ac:dyDescent="0.3">
      <c r="A2469" t="s">
        <v>1238</v>
      </c>
      <c r="F2469" t="str">
        <f t="shared" ref="F2469" si="2461">A2469</f>
        <v>CATATT</v>
      </c>
    </row>
    <row r="2470" spans="1:6" x14ac:dyDescent="0.3">
      <c r="A2470" t="s">
        <v>5335</v>
      </c>
      <c r="F2470" t="str">
        <f t="shared" ref="F2470" si="2462">LEFT(A2470, LEN(A2470) - 1)</f>
        <v>&gt;1233:CATCAA:24.00:33.33:OK:6:1760.22</v>
      </c>
    </row>
    <row r="2471" spans="1:6" x14ac:dyDescent="0.3">
      <c r="A2471" t="s">
        <v>1239</v>
      </c>
      <c r="F2471" t="str">
        <f t="shared" ref="F2471" si="2463">A2471</f>
        <v>CATCAA</v>
      </c>
    </row>
    <row r="2472" spans="1:6" x14ac:dyDescent="0.3">
      <c r="A2472" t="s">
        <v>5336</v>
      </c>
      <c r="F2472" t="str">
        <f t="shared" ref="F2472" si="2464">LEFT(A2472, LEN(A2472) - 1)</f>
        <v>&gt;1234:CATCAC:22.00:50.00:OK:6:1736.19</v>
      </c>
    </row>
    <row r="2473" spans="1:6" x14ac:dyDescent="0.3">
      <c r="A2473" t="s">
        <v>1240</v>
      </c>
      <c r="F2473" t="str">
        <f t="shared" ref="F2473" si="2465">A2473</f>
        <v>CATCAC</v>
      </c>
    </row>
    <row r="2474" spans="1:6" x14ac:dyDescent="0.3">
      <c r="A2474" t="s">
        <v>5337</v>
      </c>
      <c r="F2474" t="str">
        <f t="shared" ref="F2474" si="2466">LEFT(A2474, LEN(A2474) - 1)</f>
        <v>&gt;1235:CATCAG:22.00:50.00:OK:6:1776.22</v>
      </c>
    </row>
    <row r="2475" spans="1:6" x14ac:dyDescent="0.3">
      <c r="A2475" t="s">
        <v>1241</v>
      </c>
      <c r="F2475" t="str">
        <f t="shared" ref="F2475" si="2467">A2475</f>
        <v>CATCAG</v>
      </c>
    </row>
    <row r="2476" spans="1:6" x14ac:dyDescent="0.3">
      <c r="A2476" t="s">
        <v>5338</v>
      </c>
      <c r="F2476" t="str">
        <f t="shared" ref="F2476" si="2468">LEFT(A2476, LEN(A2476) - 1)</f>
        <v>&gt;1236:CATCAT:16.00:33.33:OK:6:1751.20</v>
      </c>
    </row>
    <row r="2477" spans="1:6" x14ac:dyDescent="0.3">
      <c r="A2477" t="s">
        <v>1242</v>
      </c>
      <c r="F2477" t="str">
        <f t="shared" ref="F2477" si="2469">A2477</f>
        <v>CATCAT</v>
      </c>
    </row>
    <row r="2478" spans="1:6" x14ac:dyDescent="0.3">
      <c r="A2478" t="s">
        <v>5339</v>
      </c>
      <c r="F2478" t="str">
        <f t="shared" ref="F2478" si="2470">LEFT(A2478, LEN(A2478) - 1)</f>
        <v>&gt;1237:CATCCA:22.00:50.00:OK:6:1736.19</v>
      </c>
    </row>
    <row r="2479" spans="1:6" x14ac:dyDescent="0.3">
      <c r="A2479" t="s">
        <v>1243</v>
      </c>
      <c r="F2479" t="str">
        <f t="shared" ref="F2479" si="2471">A2479</f>
        <v>CATCCA</v>
      </c>
    </row>
    <row r="2480" spans="1:6" x14ac:dyDescent="0.3">
      <c r="A2480" t="s">
        <v>5340</v>
      </c>
      <c r="F2480" t="str">
        <f t="shared" ref="F2480" si="2472">LEFT(A2480, LEN(A2480) - 1)</f>
        <v>&gt;1238:CATCCC:20.00:66.67:Warning:6:1712.16</v>
      </c>
    </row>
    <row r="2481" spans="1:6" x14ac:dyDescent="0.3">
      <c r="A2481" t="s">
        <v>1244</v>
      </c>
      <c r="F2481" t="str">
        <f t="shared" ref="F2481" si="2473">A2481</f>
        <v>CATCCC</v>
      </c>
    </row>
    <row r="2482" spans="1:6" x14ac:dyDescent="0.3">
      <c r="A2482" t="s">
        <v>5341</v>
      </c>
      <c r="F2482" t="str">
        <f t="shared" ref="F2482" si="2474">LEFT(A2482, LEN(A2482) - 1)</f>
        <v>&gt;1239:CATCCG:20.00:66.67:Warning:6:1752.19</v>
      </c>
    </row>
    <row r="2483" spans="1:6" x14ac:dyDescent="0.3">
      <c r="A2483" t="s">
        <v>1245</v>
      </c>
      <c r="F2483" t="str">
        <f t="shared" ref="F2483" si="2475">A2483</f>
        <v>CATCCG</v>
      </c>
    </row>
    <row r="2484" spans="1:6" x14ac:dyDescent="0.3">
      <c r="A2484" t="s">
        <v>5342</v>
      </c>
      <c r="F2484" t="str">
        <f t="shared" ref="F2484" si="2476">LEFT(A2484, LEN(A2484) - 1)</f>
        <v>&gt;1240:CATCCT:14.00:50.00:OK:6:1727.17</v>
      </c>
    </row>
    <row r="2485" spans="1:6" x14ac:dyDescent="0.3">
      <c r="A2485" t="s">
        <v>1246</v>
      </c>
      <c r="F2485" t="str">
        <f t="shared" ref="F2485" si="2477">A2485</f>
        <v>CATCCT</v>
      </c>
    </row>
    <row r="2486" spans="1:6" x14ac:dyDescent="0.3">
      <c r="A2486" t="s">
        <v>5343</v>
      </c>
      <c r="F2486" t="str">
        <f t="shared" ref="F2486" si="2478">LEFT(A2486, LEN(A2486) - 1)</f>
        <v>&gt;1241:CATCGA:22.00:50.00:OK:6:1776.22</v>
      </c>
    </row>
    <row r="2487" spans="1:6" x14ac:dyDescent="0.3">
      <c r="A2487" t="s">
        <v>1247</v>
      </c>
      <c r="F2487" t="str">
        <f t="shared" ref="F2487" si="2479">A2487</f>
        <v>CATCGA</v>
      </c>
    </row>
    <row r="2488" spans="1:6" x14ac:dyDescent="0.3">
      <c r="A2488" t="s">
        <v>5344</v>
      </c>
      <c r="F2488" t="str">
        <f t="shared" ref="F2488" si="2480">LEFT(A2488, LEN(A2488) - 1)</f>
        <v>&gt;1242:CATCGC:20.00:66.67:Warning:6:1752.19</v>
      </c>
    </row>
    <row r="2489" spans="1:6" x14ac:dyDescent="0.3">
      <c r="A2489" t="s">
        <v>1248</v>
      </c>
      <c r="F2489" t="str">
        <f t="shared" ref="F2489" si="2481">A2489</f>
        <v>CATCGC</v>
      </c>
    </row>
    <row r="2490" spans="1:6" x14ac:dyDescent="0.3">
      <c r="A2490" t="s">
        <v>5345</v>
      </c>
      <c r="F2490" t="str">
        <f t="shared" ref="F2490" si="2482">LEFT(A2490, LEN(A2490) - 1)</f>
        <v>&gt;1243:CATCGG:20.00:66.67:Warning:6:1792.22</v>
      </c>
    </row>
    <row r="2491" spans="1:6" x14ac:dyDescent="0.3">
      <c r="A2491" t="s">
        <v>1249</v>
      </c>
      <c r="F2491" t="str">
        <f t="shared" ref="F2491" si="2483">A2491</f>
        <v>CATCGG</v>
      </c>
    </row>
    <row r="2492" spans="1:6" x14ac:dyDescent="0.3">
      <c r="A2492" t="s">
        <v>5346</v>
      </c>
      <c r="F2492" t="str">
        <f t="shared" ref="F2492" si="2484">LEFT(A2492, LEN(A2492) - 1)</f>
        <v>&gt;1244:CATCGT:14.00:50.00:OK:6:1767.20</v>
      </c>
    </row>
    <row r="2493" spans="1:6" x14ac:dyDescent="0.3">
      <c r="A2493" t="s">
        <v>1250</v>
      </c>
      <c r="F2493" t="str">
        <f t="shared" ref="F2493" si="2485">A2493</f>
        <v>CATCGT</v>
      </c>
    </row>
    <row r="2494" spans="1:6" x14ac:dyDescent="0.3">
      <c r="A2494" t="s">
        <v>5347</v>
      </c>
      <c r="F2494" t="str">
        <f t="shared" ref="F2494" si="2486">LEFT(A2494, LEN(A2494) - 1)</f>
        <v>&gt;1245:CATCTA:16.00:33.33:OK:6:1751.20</v>
      </c>
    </row>
    <row r="2495" spans="1:6" x14ac:dyDescent="0.3">
      <c r="A2495" t="s">
        <v>1251</v>
      </c>
      <c r="F2495" t="str">
        <f t="shared" ref="F2495" si="2487">A2495</f>
        <v>CATCTA</v>
      </c>
    </row>
    <row r="2496" spans="1:6" x14ac:dyDescent="0.3">
      <c r="A2496" t="s">
        <v>5348</v>
      </c>
      <c r="F2496" t="str">
        <f t="shared" ref="F2496" si="2488">LEFT(A2496, LEN(A2496) - 1)</f>
        <v>&gt;1246:CATCTC:14.00:50.00:OK:6:1727.17</v>
      </c>
    </row>
    <row r="2497" spans="1:6" x14ac:dyDescent="0.3">
      <c r="A2497" t="s">
        <v>1252</v>
      </c>
      <c r="F2497" t="str">
        <f t="shared" ref="F2497" si="2489">A2497</f>
        <v>CATCTC</v>
      </c>
    </row>
    <row r="2498" spans="1:6" x14ac:dyDescent="0.3">
      <c r="A2498" t="s">
        <v>5349</v>
      </c>
      <c r="F2498" t="str">
        <f t="shared" ref="F2498" si="2490">LEFT(A2498, LEN(A2498) - 1)</f>
        <v>&gt;1247:CATCTG:14.00:50.00:OK:6:1767.20</v>
      </c>
    </row>
    <row r="2499" spans="1:6" x14ac:dyDescent="0.3">
      <c r="A2499" t="s">
        <v>1253</v>
      </c>
      <c r="F2499" t="str">
        <f t="shared" ref="F2499" si="2491">A2499</f>
        <v>CATCTG</v>
      </c>
    </row>
    <row r="2500" spans="1:6" x14ac:dyDescent="0.3">
      <c r="A2500" t="s">
        <v>5350</v>
      </c>
      <c r="F2500" t="str">
        <f t="shared" ref="F2500" si="2492">LEFT(A2500, LEN(A2500) - 1)</f>
        <v>&gt;1248:CATCTT:8.00:33.33:OK:6:1742.18</v>
      </c>
    </row>
    <row r="2501" spans="1:6" x14ac:dyDescent="0.3">
      <c r="A2501" t="s">
        <v>1254</v>
      </c>
      <c r="F2501" t="str">
        <f t="shared" ref="F2501" si="2493">A2501</f>
        <v>CATCTT</v>
      </c>
    </row>
    <row r="2502" spans="1:6" x14ac:dyDescent="0.3">
      <c r="A2502" t="s">
        <v>5351</v>
      </c>
      <c r="F2502" t="str">
        <f t="shared" ref="F2502" si="2494">LEFT(A2502, LEN(A2502) - 1)</f>
        <v>&gt;1249:CATGAA:24.00:33.33:OK:6:1800.25</v>
      </c>
    </row>
    <row r="2503" spans="1:6" x14ac:dyDescent="0.3">
      <c r="A2503" t="s">
        <v>1255</v>
      </c>
      <c r="F2503" t="str">
        <f t="shared" ref="F2503" si="2495">A2503</f>
        <v>CATGAA</v>
      </c>
    </row>
    <row r="2504" spans="1:6" x14ac:dyDescent="0.3">
      <c r="A2504" t="s">
        <v>5352</v>
      </c>
      <c r="F2504" t="str">
        <f t="shared" ref="F2504" si="2496">LEFT(A2504, LEN(A2504) - 1)</f>
        <v>&gt;1250:CATGAC:22.00:50.00:OK:6:1776.22</v>
      </c>
    </row>
    <row r="2505" spans="1:6" x14ac:dyDescent="0.3">
      <c r="A2505" t="s">
        <v>1256</v>
      </c>
      <c r="F2505" t="str">
        <f t="shared" ref="F2505" si="2497">A2505</f>
        <v>CATGAC</v>
      </c>
    </row>
    <row r="2506" spans="1:6" x14ac:dyDescent="0.3">
      <c r="A2506" t="s">
        <v>5353</v>
      </c>
      <c r="F2506" t="str">
        <f t="shared" ref="F2506" si="2498">LEFT(A2506, LEN(A2506) - 1)</f>
        <v>&gt;1251:CATGAG:22.00:50.00:OK:6:1816.25</v>
      </c>
    </row>
    <row r="2507" spans="1:6" x14ac:dyDescent="0.3">
      <c r="A2507" t="s">
        <v>1257</v>
      </c>
      <c r="F2507" t="str">
        <f t="shared" ref="F2507" si="2499">A2507</f>
        <v>CATGAG</v>
      </c>
    </row>
    <row r="2508" spans="1:6" x14ac:dyDescent="0.3">
      <c r="A2508" t="s">
        <v>5354</v>
      </c>
      <c r="F2508" t="str">
        <f t="shared" ref="F2508" si="2500">LEFT(A2508, LEN(A2508) - 1)</f>
        <v>&gt;1252:CATGAT:16.00:33.33:OK:6:1791.23</v>
      </c>
    </row>
    <row r="2509" spans="1:6" x14ac:dyDescent="0.3">
      <c r="A2509" t="s">
        <v>1258</v>
      </c>
      <c r="F2509" t="str">
        <f t="shared" ref="F2509" si="2501">A2509</f>
        <v>CATGAT</v>
      </c>
    </row>
    <row r="2510" spans="1:6" x14ac:dyDescent="0.3">
      <c r="A2510" t="s">
        <v>5355</v>
      </c>
      <c r="F2510" t="str">
        <f t="shared" ref="F2510" si="2502">LEFT(A2510, LEN(A2510) - 1)</f>
        <v>&gt;1253:CATGCA:22.00:50.00:OK:6:1776.22</v>
      </c>
    </row>
    <row r="2511" spans="1:6" x14ac:dyDescent="0.3">
      <c r="A2511" t="s">
        <v>1259</v>
      </c>
      <c r="F2511" t="str">
        <f t="shared" ref="F2511" si="2503">A2511</f>
        <v>CATGCA</v>
      </c>
    </row>
    <row r="2512" spans="1:6" x14ac:dyDescent="0.3">
      <c r="A2512" t="s">
        <v>5356</v>
      </c>
      <c r="F2512" t="str">
        <f t="shared" ref="F2512" si="2504">LEFT(A2512, LEN(A2512) - 1)</f>
        <v>&gt;1254:CATGCC:20.00:66.67:Warning:6:1752.19</v>
      </c>
    </row>
    <row r="2513" spans="1:6" x14ac:dyDescent="0.3">
      <c r="A2513" t="s">
        <v>1260</v>
      </c>
      <c r="F2513" t="str">
        <f t="shared" ref="F2513" si="2505">A2513</f>
        <v>CATGCC</v>
      </c>
    </row>
    <row r="2514" spans="1:6" x14ac:dyDescent="0.3">
      <c r="A2514" t="s">
        <v>5357</v>
      </c>
      <c r="F2514" t="str">
        <f t="shared" ref="F2514" si="2506">LEFT(A2514, LEN(A2514) - 1)</f>
        <v>&gt;1255:CATGCG:20.00:66.67:Warning:6:1792.22</v>
      </c>
    </row>
    <row r="2515" spans="1:6" x14ac:dyDescent="0.3">
      <c r="A2515" t="s">
        <v>1261</v>
      </c>
      <c r="F2515" t="str">
        <f t="shared" ref="F2515" si="2507">A2515</f>
        <v>CATGCG</v>
      </c>
    </row>
    <row r="2516" spans="1:6" x14ac:dyDescent="0.3">
      <c r="A2516" t="s">
        <v>5358</v>
      </c>
      <c r="F2516" t="str">
        <f t="shared" ref="F2516" si="2508">LEFT(A2516, LEN(A2516) - 1)</f>
        <v>&gt;1256:CATGCT:14.00:50.00:OK:6:1767.20</v>
      </c>
    </row>
    <row r="2517" spans="1:6" x14ac:dyDescent="0.3">
      <c r="A2517" t="s">
        <v>1262</v>
      </c>
      <c r="F2517" t="str">
        <f t="shared" ref="F2517" si="2509">A2517</f>
        <v>CATGCT</v>
      </c>
    </row>
    <row r="2518" spans="1:6" x14ac:dyDescent="0.3">
      <c r="A2518" t="s">
        <v>5359</v>
      </c>
      <c r="F2518" t="str">
        <f t="shared" ref="F2518" si="2510">LEFT(A2518, LEN(A2518) - 1)</f>
        <v>&gt;1257:CATGGA:22.00:50.00:OK:6:1816.25</v>
      </c>
    </row>
    <row r="2519" spans="1:6" x14ac:dyDescent="0.3">
      <c r="A2519" t="s">
        <v>1263</v>
      </c>
      <c r="F2519" t="str">
        <f t="shared" ref="F2519" si="2511">A2519</f>
        <v>CATGGA</v>
      </c>
    </row>
    <row r="2520" spans="1:6" x14ac:dyDescent="0.3">
      <c r="A2520" t="s">
        <v>5360</v>
      </c>
      <c r="F2520" t="str">
        <f t="shared" ref="F2520" si="2512">LEFT(A2520, LEN(A2520) - 1)</f>
        <v>&gt;1258:CATGGC:20.00:66.67:Warning:6:1792.22</v>
      </c>
    </row>
    <row r="2521" spans="1:6" x14ac:dyDescent="0.3">
      <c r="A2521" t="s">
        <v>1264</v>
      </c>
      <c r="F2521" t="str">
        <f t="shared" ref="F2521" si="2513">A2521</f>
        <v>CATGGC</v>
      </c>
    </row>
    <row r="2522" spans="1:6" x14ac:dyDescent="0.3">
      <c r="A2522" t="s">
        <v>5361</v>
      </c>
      <c r="F2522" t="str">
        <f t="shared" ref="F2522" si="2514">LEFT(A2522, LEN(A2522) - 1)</f>
        <v>&gt;1259:CATGGG:20.00:66.67:Warning:6:1832.25</v>
      </c>
    </row>
    <row r="2523" spans="1:6" x14ac:dyDescent="0.3">
      <c r="A2523" t="s">
        <v>1265</v>
      </c>
      <c r="F2523" t="str">
        <f t="shared" ref="F2523" si="2515">A2523</f>
        <v>CATGGG</v>
      </c>
    </row>
    <row r="2524" spans="1:6" x14ac:dyDescent="0.3">
      <c r="A2524" t="s">
        <v>5362</v>
      </c>
      <c r="F2524" t="str">
        <f t="shared" ref="F2524" si="2516">LEFT(A2524, LEN(A2524) - 1)</f>
        <v>&gt;1260:CATGGT:14.00:50.00:OK:6:1807.23</v>
      </c>
    </row>
    <row r="2525" spans="1:6" x14ac:dyDescent="0.3">
      <c r="A2525" t="s">
        <v>1266</v>
      </c>
      <c r="F2525" t="str">
        <f t="shared" ref="F2525" si="2517">A2525</f>
        <v>CATGGT</v>
      </c>
    </row>
    <row r="2526" spans="1:6" x14ac:dyDescent="0.3">
      <c r="A2526" t="s">
        <v>5363</v>
      </c>
      <c r="F2526" t="str">
        <f t="shared" ref="F2526" si="2518">LEFT(A2526, LEN(A2526) - 1)</f>
        <v>&gt;1261:CATGTA:16.00:33.33:OK:6:1791.23</v>
      </c>
    </row>
    <row r="2527" spans="1:6" x14ac:dyDescent="0.3">
      <c r="A2527" t="s">
        <v>1267</v>
      </c>
      <c r="F2527" t="str">
        <f t="shared" ref="F2527" si="2519">A2527</f>
        <v>CATGTA</v>
      </c>
    </row>
    <row r="2528" spans="1:6" x14ac:dyDescent="0.3">
      <c r="A2528" t="s">
        <v>5364</v>
      </c>
      <c r="F2528" t="str">
        <f t="shared" ref="F2528" si="2520">LEFT(A2528, LEN(A2528) - 1)</f>
        <v>&gt;1262:CATGTC:14.00:50.00:OK:6:1767.20</v>
      </c>
    </row>
    <row r="2529" spans="1:6" x14ac:dyDescent="0.3">
      <c r="A2529" t="s">
        <v>1268</v>
      </c>
      <c r="F2529" t="str">
        <f t="shared" ref="F2529" si="2521">A2529</f>
        <v>CATGTC</v>
      </c>
    </row>
    <row r="2530" spans="1:6" x14ac:dyDescent="0.3">
      <c r="A2530" t="s">
        <v>5365</v>
      </c>
      <c r="F2530" t="str">
        <f t="shared" ref="F2530" si="2522">LEFT(A2530, LEN(A2530) - 1)</f>
        <v>&gt;1263:CATGTG:14.00:50.00:OK:6:1807.23</v>
      </c>
    </row>
    <row r="2531" spans="1:6" x14ac:dyDescent="0.3">
      <c r="A2531" t="s">
        <v>1269</v>
      </c>
      <c r="F2531" t="str">
        <f t="shared" ref="F2531" si="2523">A2531</f>
        <v>CATGTG</v>
      </c>
    </row>
    <row r="2532" spans="1:6" x14ac:dyDescent="0.3">
      <c r="A2532" t="s">
        <v>5366</v>
      </c>
      <c r="F2532" t="str">
        <f t="shared" ref="F2532" si="2524">LEFT(A2532, LEN(A2532) - 1)</f>
        <v>&gt;1264:CATGTT:8.00:33.33:OK:6:1782.21</v>
      </c>
    </row>
    <row r="2533" spans="1:6" x14ac:dyDescent="0.3">
      <c r="A2533" t="s">
        <v>1270</v>
      </c>
      <c r="F2533" t="str">
        <f t="shared" ref="F2533" si="2525">A2533</f>
        <v>CATGTT</v>
      </c>
    </row>
    <row r="2534" spans="1:6" x14ac:dyDescent="0.3">
      <c r="A2534" t="s">
        <v>5367</v>
      </c>
      <c r="F2534" t="str">
        <f t="shared" ref="F2534" si="2526">LEFT(A2534, LEN(A2534) - 1)</f>
        <v>&gt;1265:CATTAA:18.00:16.67:OK:6:1775.23</v>
      </c>
    </row>
    <row r="2535" spans="1:6" x14ac:dyDescent="0.3">
      <c r="A2535" t="s">
        <v>1271</v>
      </c>
      <c r="F2535" t="str">
        <f t="shared" ref="F2535" si="2527">A2535</f>
        <v>CATTAA</v>
      </c>
    </row>
    <row r="2536" spans="1:6" x14ac:dyDescent="0.3">
      <c r="A2536" t="s">
        <v>5368</v>
      </c>
      <c r="F2536" t="str">
        <f t="shared" ref="F2536" si="2528">LEFT(A2536, LEN(A2536) - 1)</f>
        <v>&gt;1266:CATTAC:16.00:33.33:OK:6:1751.20</v>
      </c>
    </row>
    <row r="2537" spans="1:6" x14ac:dyDescent="0.3">
      <c r="A2537" t="s">
        <v>1272</v>
      </c>
      <c r="F2537" t="str">
        <f t="shared" ref="F2537" si="2529">A2537</f>
        <v>CATTAC</v>
      </c>
    </row>
    <row r="2538" spans="1:6" x14ac:dyDescent="0.3">
      <c r="A2538" t="s">
        <v>5369</v>
      </c>
      <c r="F2538" t="str">
        <f t="shared" ref="F2538" si="2530">LEFT(A2538, LEN(A2538) - 1)</f>
        <v>&gt;1267:CATTAG:16.00:33.33:OK:6:1791.23</v>
      </c>
    </row>
    <row r="2539" spans="1:6" x14ac:dyDescent="0.3">
      <c r="A2539" t="s">
        <v>1273</v>
      </c>
      <c r="F2539" t="str">
        <f t="shared" ref="F2539" si="2531">A2539</f>
        <v>CATTAG</v>
      </c>
    </row>
    <row r="2540" spans="1:6" x14ac:dyDescent="0.3">
      <c r="A2540" t="s">
        <v>5370</v>
      </c>
      <c r="F2540" t="str">
        <f t="shared" ref="F2540" si="2532">LEFT(A2540, LEN(A2540) - 1)</f>
        <v>&gt;1268:CATTAT:10.00:16.67:OK:6:1766.21</v>
      </c>
    </row>
    <row r="2541" spans="1:6" x14ac:dyDescent="0.3">
      <c r="A2541" t="s">
        <v>1274</v>
      </c>
      <c r="F2541" t="str">
        <f t="shared" ref="F2541" si="2533">A2541</f>
        <v>CATTAT</v>
      </c>
    </row>
    <row r="2542" spans="1:6" x14ac:dyDescent="0.3">
      <c r="A2542" t="s">
        <v>5371</v>
      </c>
      <c r="F2542" t="str">
        <f t="shared" ref="F2542" si="2534">LEFT(A2542, LEN(A2542) - 1)</f>
        <v>&gt;1269:CATTCA:16.00:33.33:OK:6:1751.20</v>
      </c>
    </row>
    <row r="2543" spans="1:6" x14ac:dyDescent="0.3">
      <c r="A2543" t="s">
        <v>1275</v>
      </c>
      <c r="F2543" t="str">
        <f t="shared" ref="F2543" si="2535">A2543</f>
        <v>CATTCA</v>
      </c>
    </row>
    <row r="2544" spans="1:6" x14ac:dyDescent="0.3">
      <c r="A2544" t="s">
        <v>5372</v>
      </c>
      <c r="F2544" t="str">
        <f t="shared" ref="F2544" si="2536">LEFT(A2544, LEN(A2544) - 1)</f>
        <v>&gt;1270:CATTCC:14.00:50.00:OK:6:1727.17</v>
      </c>
    </row>
    <row r="2545" spans="1:6" x14ac:dyDescent="0.3">
      <c r="A2545" t="s">
        <v>1276</v>
      </c>
      <c r="F2545" t="str">
        <f t="shared" ref="F2545" si="2537">A2545</f>
        <v>CATTCC</v>
      </c>
    </row>
    <row r="2546" spans="1:6" x14ac:dyDescent="0.3">
      <c r="A2546" t="s">
        <v>5373</v>
      </c>
      <c r="F2546" t="str">
        <f t="shared" ref="F2546" si="2538">LEFT(A2546, LEN(A2546) - 1)</f>
        <v>&gt;1271:CATTCG:14.00:50.00:OK:6:1767.20</v>
      </c>
    </row>
    <row r="2547" spans="1:6" x14ac:dyDescent="0.3">
      <c r="A2547" t="s">
        <v>1277</v>
      </c>
      <c r="F2547" t="str">
        <f t="shared" ref="F2547" si="2539">A2547</f>
        <v>CATTCG</v>
      </c>
    </row>
    <row r="2548" spans="1:6" x14ac:dyDescent="0.3">
      <c r="A2548" t="s">
        <v>5374</v>
      </c>
      <c r="F2548" t="str">
        <f t="shared" ref="F2548" si="2540">LEFT(A2548, LEN(A2548) - 1)</f>
        <v>&gt;1272:CATTCT:8.00:33.33:OK:6:1742.18</v>
      </c>
    </row>
    <row r="2549" spans="1:6" x14ac:dyDescent="0.3">
      <c r="A2549" t="s">
        <v>1278</v>
      </c>
      <c r="F2549" t="str">
        <f t="shared" ref="F2549" si="2541">A2549</f>
        <v>CATTCT</v>
      </c>
    </row>
    <row r="2550" spans="1:6" x14ac:dyDescent="0.3">
      <c r="A2550" t="s">
        <v>5375</v>
      </c>
      <c r="F2550" t="str">
        <f t="shared" ref="F2550" si="2542">LEFT(A2550, LEN(A2550) - 1)</f>
        <v>&gt;1273:CATTGA:16.00:33.33:OK:6:1791.23</v>
      </c>
    </row>
    <row r="2551" spans="1:6" x14ac:dyDescent="0.3">
      <c r="A2551" t="s">
        <v>1279</v>
      </c>
      <c r="F2551" t="str">
        <f t="shared" ref="F2551" si="2543">A2551</f>
        <v>CATTGA</v>
      </c>
    </row>
    <row r="2552" spans="1:6" x14ac:dyDescent="0.3">
      <c r="A2552" t="s">
        <v>5376</v>
      </c>
      <c r="F2552" t="str">
        <f t="shared" ref="F2552" si="2544">LEFT(A2552, LEN(A2552) - 1)</f>
        <v>&gt;1274:CATTGC:14.00:50.00:OK:6:1767.20</v>
      </c>
    </row>
    <row r="2553" spans="1:6" x14ac:dyDescent="0.3">
      <c r="A2553" t="s">
        <v>1280</v>
      </c>
      <c r="F2553" t="str">
        <f t="shared" ref="F2553" si="2545">A2553</f>
        <v>CATTGC</v>
      </c>
    </row>
    <row r="2554" spans="1:6" x14ac:dyDescent="0.3">
      <c r="A2554" t="s">
        <v>5377</v>
      </c>
      <c r="F2554" t="str">
        <f t="shared" ref="F2554" si="2546">LEFT(A2554, LEN(A2554) - 1)</f>
        <v>&gt;1275:CATTGG:14.00:50.00:OK:6:1807.23</v>
      </c>
    </row>
    <row r="2555" spans="1:6" x14ac:dyDescent="0.3">
      <c r="A2555" t="s">
        <v>1281</v>
      </c>
      <c r="F2555" t="str">
        <f t="shared" ref="F2555" si="2547">A2555</f>
        <v>CATTGG</v>
      </c>
    </row>
    <row r="2556" spans="1:6" x14ac:dyDescent="0.3">
      <c r="A2556" t="s">
        <v>5378</v>
      </c>
      <c r="F2556" t="str">
        <f t="shared" ref="F2556" si="2548">LEFT(A2556, LEN(A2556) - 1)</f>
        <v>&gt;1276:CATTGT:8.00:33.33:OK:6:1782.21</v>
      </c>
    </row>
    <row r="2557" spans="1:6" x14ac:dyDescent="0.3">
      <c r="A2557" t="s">
        <v>1282</v>
      </c>
      <c r="F2557" t="str">
        <f t="shared" ref="F2557" si="2549">A2557</f>
        <v>CATTGT</v>
      </c>
    </row>
    <row r="2558" spans="1:6" x14ac:dyDescent="0.3">
      <c r="A2558" t="s">
        <v>5379</v>
      </c>
      <c r="F2558" t="str">
        <f t="shared" ref="F2558" si="2550">LEFT(A2558, LEN(A2558) - 1)</f>
        <v>&gt;1277:CATTTA:10.00:16.67:OK:6:1766.21</v>
      </c>
    </row>
    <row r="2559" spans="1:6" x14ac:dyDescent="0.3">
      <c r="A2559" t="s">
        <v>1283</v>
      </c>
      <c r="F2559" t="str">
        <f t="shared" ref="F2559" si="2551">A2559</f>
        <v>CATTTA</v>
      </c>
    </row>
    <row r="2560" spans="1:6" x14ac:dyDescent="0.3">
      <c r="A2560" t="s">
        <v>5380</v>
      </c>
      <c r="F2560" t="str">
        <f t="shared" ref="F2560" si="2552">LEFT(A2560, LEN(A2560) - 1)</f>
        <v>&gt;1278:CATTTC:8.00:33.33:OK:6:1742.18</v>
      </c>
    </row>
    <row r="2561" spans="1:6" x14ac:dyDescent="0.3">
      <c r="A2561" t="s">
        <v>1284</v>
      </c>
      <c r="F2561" t="str">
        <f t="shared" ref="F2561" si="2553">A2561</f>
        <v>CATTTC</v>
      </c>
    </row>
    <row r="2562" spans="1:6" x14ac:dyDescent="0.3">
      <c r="A2562" t="s">
        <v>5381</v>
      </c>
      <c r="F2562" t="str">
        <f t="shared" ref="F2562" si="2554">LEFT(A2562, LEN(A2562) - 1)</f>
        <v>&gt;1279:CATTTG:8.00:33.33:OK:6:1782.21</v>
      </c>
    </row>
    <row r="2563" spans="1:6" x14ac:dyDescent="0.3">
      <c r="A2563" t="s">
        <v>1285</v>
      </c>
      <c r="F2563" t="str">
        <f t="shared" ref="F2563" si="2555">A2563</f>
        <v>CATTTG</v>
      </c>
    </row>
    <row r="2564" spans="1:6" x14ac:dyDescent="0.3">
      <c r="A2564" t="s">
        <v>5382</v>
      </c>
      <c r="F2564" t="str">
        <f t="shared" ref="F2564" si="2556">LEFT(A2564, LEN(A2564) - 1)</f>
        <v>&gt;1280:CATTTT:2.00:16.67:OK:6:1757.19</v>
      </c>
    </row>
    <row r="2565" spans="1:6" x14ac:dyDescent="0.3">
      <c r="A2565" t="s">
        <v>1286</v>
      </c>
      <c r="F2565" t="str">
        <f t="shared" ref="F2565" si="2557">A2565</f>
        <v>CATTTT</v>
      </c>
    </row>
    <row r="2566" spans="1:6" x14ac:dyDescent="0.3">
      <c r="A2566" t="s">
        <v>5383</v>
      </c>
      <c r="F2566" t="str">
        <f t="shared" ref="F2566" si="2558">LEFT(A2566, LEN(A2566) - 1)</f>
        <v>&gt;1281:CCAAAA:32.00:33.33:OK:6:1769.24</v>
      </c>
    </row>
    <row r="2567" spans="1:6" x14ac:dyDescent="0.3">
      <c r="A2567" t="s">
        <v>1287</v>
      </c>
      <c r="F2567" t="str">
        <f t="shared" ref="F2567" si="2559">A2567</f>
        <v>CCAAAA</v>
      </c>
    </row>
    <row r="2568" spans="1:6" x14ac:dyDescent="0.3">
      <c r="A2568" t="s">
        <v>5384</v>
      </c>
      <c r="F2568" t="str">
        <f t="shared" ref="F2568" si="2560">LEFT(A2568, LEN(A2568) - 1)</f>
        <v>&gt;1282:CCAAAC:30.00:50.00:OK:6:1745.21</v>
      </c>
    </row>
    <row r="2569" spans="1:6" x14ac:dyDescent="0.3">
      <c r="A2569" t="s">
        <v>1288</v>
      </c>
      <c r="F2569" t="str">
        <f t="shared" ref="F2569" si="2561">A2569</f>
        <v>CCAAAC</v>
      </c>
    </row>
    <row r="2570" spans="1:6" x14ac:dyDescent="0.3">
      <c r="A2570" t="s">
        <v>5385</v>
      </c>
      <c r="F2570" t="str">
        <f t="shared" ref="F2570" si="2562">LEFT(A2570, LEN(A2570) - 1)</f>
        <v>&gt;1283:CCAAAG:30.00:50.00:OK:6:1785.24</v>
      </c>
    </row>
    <row r="2571" spans="1:6" x14ac:dyDescent="0.3">
      <c r="A2571" t="s">
        <v>1289</v>
      </c>
      <c r="F2571" t="str">
        <f t="shared" ref="F2571" si="2563">A2571</f>
        <v>CCAAAG</v>
      </c>
    </row>
    <row r="2572" spans="1:6" x14ac:dyDescent="0.3">
      <c r="A2572" t="s">
        <v>5386</v>
      </c>
      <c r="F2572" t="str">
        <f t="shared" ref="F2572" si="2564">LEFT(A2572, LEN(A2572) - 1)</f>
        <v>&gt;1284:CCAAAT:24.00:33.33:OK:6:1760.22</v>
      </c>
    </row>
    <row r="2573" spans="1:6" x14ac:dyDescent="0.3">
      <c r="A2573" t="s">
        <v>1290</v>
      </c>
      <c r="F2573" t="str">
        <f t="shared" ref="F2573" si="2565">A2573</f>
        <v>CCAAAT</v>
      </c>
    </row>
    <row r="2574" spans="1:6" x14ac:dyDescent="0.3">
      <c r="A2574" t="s">
        <v>5387</v>
      </c>
      <c r="F2574" t="str">
        <f t="shared" ref="F2574" si="2566">LEFT(A2574, LEN(A2574) - 1)</f>
        <v>&gt;1285:CCAACA:30.00:50.00:OK:6:1745.21</v>
      </c>
    </row>
    <row r="2575" spans="1:6" x14ac:dyDescent="0.3">
      <c r="A2575" t="s">
        <v>1291</v>
      </c>
      <c r="F2575" t="str">
        <f t="shared" ref="F2575" si="2567">A2575</f>
        <v>CCAACA</v>
      </c>
    </row>
    <row r="2576" spans="1:6" x14ac:dyDescent="0.3">
      <c r="A2576" t="s">
        <v>5388</v>
      </c>
      <c r="F2576" t="str">
        <f t="shared" ref="F2576" si="2568">LEFT(A2576, LEN(A2576) - 1)</f>
        <v>&gt;1286:CCAACC:28.00:66.67:Warning:6:1721.18</v>
      </c>
    </row>
    <row r="2577" spans="1:6" x14ac:dyDescent="0.3">
      <c r="A2577" t="s">
        <v>1292</v>
      </c>
      <c r="F2577" t="str">
        <f t="shared" ref="F2577" si="2569">A2577</f>
        <v>CCAACC</v>
      </c>
    </row>
    <row r="2578" spans="1:6" x14ac:dyDescent="0.3">
      <c r="A2578" t="s">
        <v>5389</v>
      </c>
      <c r="F2578" t="str">
        <f t="shared" ref="F2578" si="2570">LEFT(A2578, LEN(A2578) - 1)</f>
        <v>&gt;1287:CCAACG:28.00:66.67:Warning:6:1761.21</v>
      </c>
    </row>
    <row r="2579" spans="1:6" x14ac:dyDescent="0.3">
      <c r="A2579" t="s">
        <v>1293</v>
      </c>
      <c r="F2579" t="str">
        <f t="shared" ref="F2579" si="2571">A2579</f>
        <v>CCAACG</v>
      </c>
    </row>
    <row r="2580" spans="1:6" x14ac:dyDescent="0.3">
      <c r="A2580" t="s">
        <v>5390</v>
      </c>
      <c r="F2580" t="str">
        <f t="shared" ref="F2580" si="2572">LEFT(A2580, LEN(A2580) - 1)</f>
        <v>&gt;1288:CCAACT:22.00:50.00:OK:6:1736.19</v>
      </c>
    </row>
    <row r="2581" spans="1:6" x14ac:dyDescent="0.3">
      <c r="A2581" t="s">
        <v>1294</v>
      </c>
      <c r="F2581" t="str">
        <f t="shared" ref="F2581" si="2573">A2581</f>
        <v>CCAACT</v>
      </c>
    </row>
    <row r="2582" spans="1:6" x14ac:dyDescent="0.3">
      <c r="A2582" t="s">
        <v>5391</v>
      </c>
      <c r="F2582" t="str">
        <f t="shared" ref="F2582" si="2574">LEFT(A2582, LEN(A2582) - 1)</f>
        <v>&gt;1289:CCAAGA:30.00:50.00:OK:6:1785.24</v>
      </c>
    </row>
    <row r="2583" spans="1:6" x14ac:dyDescent="0.3">
      <c r="A2583" t="s">
        <v>1295</v>
      </c>
      <c r="F2583" t="str">
        <f t="shared" ref="F2583" si="2575">A2583</f>
        <v>CCAAGA</v>
      </c>
    </row>
    <row r="2584" spans="1:6" x14ac:dyDescent="0.3">
      <c r="A2584" t="s">
        <v>5392</v>
      </c>
      <c r="F2584" t="str">
        <f t="shared" ref="F2584" si="2576">LEFT(A2584, LEN(A2584) - 1)</f>
        <v>&gt;1290:CCAAGC:28.00:66.67:Warning:6:1761.21</v>
      </c>
    </row>
    <row r="2585" spans="1:6" x14ac:dyDescent="0.3">
      <c r="A2585" t="s">
        <v>1296</v>
      </c>
      <c r="F2585" t="str">
        <f t="shared" ref="F2585" si="2577">A2585</f>
        <v>CCAAGC</v>
      </c>
    </row>
    <row r="2586" spans="1:6" x14ac:dyDescent="0.3">
      <c r="A2586" t="s">
        <v>5393</v>
      </c>
      <c r="F2586" t="str">
        <f t="shared" ref="F2586" si="2578">LEFT(A2586, LEN(A2586) - 1)</f>
        <v>&gt;1291:CCAAGG:28.00:66.67:Warning:6:1801.24</v>
      </c>
    </row>
    <row r="2587" spans="1:6" x14ac:dyDescent="0.3">
      <c r="A2587" t="s">
        <v>1297</v>
      </c>
      <c r="F2587" t="str">
        <f t="shared" ref="F2587" si="2579">A2587</f>
        <v>CCAAGG</v>
      </c>
    </row>
    <row r="2588" spans="1:6" x14ac:dyDescent="0.3">
      <c r="A2588" t="s">
        <v>5394</v>
      </c>
      <c r="F2588" t="str">
        <f t="shared" ref="F2588" si="2580">LEFT(A2588, LEN(A2588) - 1)</f>
        <v>&gt;1292:CCAAGT:22.00:50.00:OK:6:1776.22</v>
      </c>
    </row>
    <row r="2589" spans="1:6" x14ac:dyDescent="0.3">
      <c r="A2589" t="s">
        <v>1298</v>
      </c>
      <c r="F2589" t="str">
        <f t="shared" ref="F2589" si="2581">A2589</f>
        <v>CCAAGT</v>
      </c>
    </row>
    <row r="2590" spans="1:6" x14ac:dyDescent="0.3">
      <c r="A2590" t="s">
        <v>5395</v>
      </c>
      <c r="F2590" t="str">
        <f t="shared" ref="F2590" si="2582">LEFT(A2590, LEN(A2590) - 1)</f>
        <v>&gt;1293:CCAATA:24.00:33.33:OK:6:1760.22</v>
      </c>
    </row>
    <row r="2591" spans="1:6" x14ac:dyDescent="0.3">
      <c r="A2591" t="s">
        <v>1299</v>
      </c>
      <c r="F2591" t="str">
        <f t="shared" ref="F2591" si="2583">A2591</f>
        <v>CCAATA</v>
      </c>
    </row>
    <row r="2592" spans="1:6" x14ac:dyDescent="0.3">
      <c r="A2592" t="s">
        <v>5396</v>
      </c>
      <c r="F2592" t="str">
        <f t="shared" ref="F2592" si="2584">LEFT(A2592, LEN(A2592) - 1)</f>
        <v>&gt;1294:CCAATC:22.00:50.00:OK:6:1736.19</v>
      </c>
    </row>
    <row r="2593" spans="1:6" x14ac:dyDescent="0.3">
      <c r="A2593" t="s">
        <v>1300</v>
      </c>
      <c r="F2593" t="str">
        <f t="shared" ref="F2593" si="2585">A2593</f>
        <v>CCAATC</v>
      </c>
    </row>
    <row r="2594" spans="1:6" x14ac:dyDescent="0.3">
      <c r="A2594" t="s">
        <v>5397</v>
      </c>
      <c r="F2594" t="str">
        <f t="shared" ref="F2594" si="2586">LEFT(A2594, LEN(A2594) - 1)</f>
        <v>&gt;1295:CCAATG:22.00:50.00:OK:6:1776.22</v>
      </c>
    </row>
    <row r="2595" spans="1:6" x14ac:dyDescent="0.3">
      <c r="A2595" t="s">
        <v>1301</v>
      </c>
      <c r="F2595" t="str">
        <f t="shared" ref="F2595" si="2587">A2595</f>
        <v>CCAATG</v>
      </c>
    </row>
    <row r="2596" spans="1:6" x14ac:dyDescent="0.3">
      <c r="A2596" t="s">
        <v>5398</v>
      </c>
      <c r="F2596" t="str">
        <f t="shared" ref="F2596" si="2588">LEFT(A2596, LEN(A2596) - 1)</f>
        <v>&gt;1296:CCAATT:16.00:33.33:OK:6:1751.20</v>
      </c>
    </row>
    <row r="2597" spans="1:6" x14ac:dyDescent="0.3">
      <c r="A2597" t="s">
        <v>1302</v>
      </c>
      <c r="F2597" t="str">
        <f t="shared" ref="F2597" si="2589">A2597</f>
        <v>CCAATT</v>
      </c>
    </row>
    <row r="2598" spans="1:6" x14ac:dyDescent="0.3">
      <c r="A2598" t="s">
        <v>5399</v>
      </c>
      <c r="F2598" t="str">
        <f t="shared" ref="F2598" si="2590">LEFT(A2598, LEN(A2598) - 1)</f>
        <v>&gt;1297:CCACAA:30.00:50.00:OK:6:1745.21</v>
      </c>
    </row>
    <row r="2599" spans="1:6" x14ac:dyDescent="0.3">
      <c r="A2599" t="s">
        <v>1303</v>
      </c>
      <c r="F2599" t="str">
        <f t="shared" ref="F2599" si="2591">A2599</f>
        <v>CCACAA</v>
      </c>
    </row>
    <row r="2600" spans="1:6" x14ac:dyDescent="0.3">
      <c r="A2600" t="s">
        <v>5400</v>
      </c>
      <c r="F2600" t="str">
        <f t="shared" ref="F2600" si="2592">LEFT(A2600, LEN(A2600) - 1)</f>
        <v>&gt;1298:CCACAC:28.00:66.67:Warning:6:1721.18</v>
      </c>
    </row>
    <row r="2601" spans="1:6" x14ac:dyDescent="0.3">
      <c r="A2601" t="s">
        <v>1304</v>
      </c>
      <c r="F2601" t="str">
        <f t="shared" ref="F2601" si="2593">A2601</f>
        <v>CCACAC</v>
      </c>
    </row>
    <row r="2602" spans="1:6" x14ac:dyDescent="0.3">
      <c r="A2602" t="s">
        <v>5401</v>
      </c>
      <c r="F2602" t="str">
        <f t="shared" ref="F2602" si="2594">LEFT(A2602, LEN(A2602) - 1)</f>
        <v>&gt;1299:CCACAG:28.00:66.67:Warning:6:1761.21</v>
      </c>
    </row>
    <row r="2603" spans="1:6" x14ac:dyDescent="0.3">
      <c r="A2603" t="s">
        <v>1305</v>
      </c>
      <c r="F2603" t="str">
        <f t="shared" ref="F2603" si="2595">A2603</f>
        <v>CCACAG</v>
      </c>
    </row>
    <row r="2604" spans="1:6" x14ac:dyDescent="0.3">
      <c r="A2604" t="s">
        <v>5402</v>
      </c>
      <c r="F2604" t="str">
        <f t="shared" ref="F2604" si="2596">LEFT(A2604, LEN(A2604) - 1)</f>
        <v>&gt;1300:CCACAT:22.00:50.00:OK:6:1736.19</v>
      </c>
    </row>
    <row r="2605" spans="1:6" x14ac:dyDescent="0.3">
      <c r="A2605" t="s">
        <v>1306</v>
      </c>
      <c r="F2605" t="str">
        <f t="shared" ref="F2605" si="2597">A2605</f>
        <v>CCACAT</v>
      </c>
    </row>
    <row r="2606" spans="1:6" x14ac:dyDescent="0.3">
      <c r="A2606" t="s">
        <v>5403</v>
      </c>
      <c r="F2606" t="str">
        <f t="shared" ref="F2606" si="2598">LEFT(A2606, LEN(A2606) - 1)</f>
        <v>&gt;1301:CCACCA:28.00:66.67:Warning:6:1721.18</v>
      </c>
    </row>
    <row r="2607" spans="1:6" x14ac:dyDescent="0.3">
      <c r="A2607" t="s">
        <v>1307</v>
      </c>
      <c r="F2607" t="str">
        <f t="shared" ref="F2607" si="2599">A2607</f>
        <v>CCACCA</v>
      </c>
    </row>
    <row r="2608" spans="1:6" x14ac:dyDescent="0.3">
      <c r="A2608" t="s">
        <v>5404</v>
      </c>
      <c r="F2608" t="str">
        <f t="shared" ref="F2608" si="2600">LEFT(A2608, LEN(A2608) - 1)</f>
        <v>&gt;1302:CCACCC:26.00:83.33:Warning:6:1697.15</v>
      </c>
    </row>
    <row r="2609" spans="1:6" x14ac:dyDescent="0.3">
      <c r="A2609" t="s">
        <v>1308</v>
      </c>
      <c r="F2609" t="str">
        <f t="shared" ref="F2609" si="2601">A2609</f>
        <v>CCACCC</v>
      </c>
    </row>
    <row r="2610" spans="1:6" x14ac:dyDescent="0.3">
      <c r="A2610" t="s">
        <v>5405</v>
      </c>
      <c r="F2610" t="str">
        <f t="shared" ref="F2610" si="2602">LEFT(A2610, LEN(A2610) - 1)</f>
        <v>&gt;1303:CCACCG:26.00:83.33:Warning:6:1737.18</v>
      </c>
    </row>
    <row r="2611" spans="1:6" x14ac:dyDescent="0.3">
      <c r="A2611" t="s">
        <v>1309</v>
      </c>
      <c r="F2611" t="str">
        <f t="shared" ref="F2611" si="2603">A2611</f>
        <v>CCACCG</v>
      </c>
    </row>
    <row r="2612" spans="1:6" x14ac:dyDescent="0.3">
      <c r="A2612" t="s">
        <v>5406</v>
      </c>
      <c r="F2612" t="str">
        <f t="shared" ref="F2612" si="2604">LEFT(A2612, LEN(A2612) - 1)</f>
        <v>&gt;1304:CCACCT:20.00:66.67:Warning:6:1712.16</v>
      </c>
    </row>
    <row r="2613" spans="1:6" x14ac:dyDescent="0.3">
      <c r="A2613" t="s">
        <v>1310</v>
      </c>
      <c r="F2613" t="str">
        <f t="shared" ref="F2613" si="2605">A2613</f>
        <v>CCACCT</v>
      </c>
    </row>
    <row r="2614" spans="1:6" x14ac:dyDescent="0.3">
      <c r="A2614" t="s">
        <v>5407</v>
      </c>
      <c r="F2614" t="str">
        <f t="shared" ref="F2614" si="2606">LEFT(A2614, LEN(A2614) - 1)</f>
        <v>&gt;1305:CCACGA:28.00:66.67:Warning:6:1761.21</v>
      </c>
    </row>
    <row r="2615" spans="1:6" x14ac:dyDescent="0.3">
      <c r="A2615" t="s">
        <v>1311</v>
      </c>
      <c r="F2615" t="str">
        <f t="shared" ref="F2615" si="2607">A2615</f>
        <v>CCACGA</v>
      </c>
    </row>
    <row r="2616" spans="1:6" x14ac:dyDescent="0.3">
      <c r="A2616" t="s">
        <v>5408</v>
      </c>
      <c r="F2616" t="str">
        <f t="shared" ref="F2616" si="2608">LEFT(A2616, LEN(A2616) - 1)</f>
        <v>&gt;1306:CCACGC:26.00:83.33:Warning:6:1737.18</v>
      </c>
    </row>
    <row r="2617" spans="1:6" x14ac:dyDescent="0.3">
      <c r="A2617" t="s">
        <v>1312</v>
      </c>
      <c r="F2617" t="str">
        <f t="shared" ref="F2617" si="2609">A2617</f>
        <v>CCACGC</v>
      </c>
    </row>
    <row r="2618" spans="1:6" x14ac:dyDescent="0.3">
      <c r="A2618" t="s">
        <v>5409</v>
      </c>
      <c r="F2618" t="str">
        <f t="shared" ref="F2618" si="2610">LEFT(A2618, LEN(A2618) - 1)</f>
        <v>&gt;1307:CCACGG:26.00:83.33:Warning:6:1777.21</v>
      </c>
    </row>
    <row r="2619" spans="1:6" x14ac:dyDescent="0.3">
      <c r="A2619" t="s">
        <v>1313</v>
      </c>
      <c r="F2619" t="str">
        <f t="shared" ref="F2619" si="2611">A2619</f>
        <v>CCACGG</v>
      </c>
    </row>
    <row r="2620" spans="1:6" x14ac:dyDescent="0.3">
      <c r="A2620" t="s">
        <v>5410</v>
      </c>
      <c r="F2620" t="str">
        <f t="shared" ref="F2620" si="2612">LEFT(A2620, LEN(A2620) - 1)</f>
        <v>&gt;1308:CCACGT:20.00:66.67:Warning:6:1752.19</v>
      </c>
    </row>
    <row r="2621" spans="1:6" x14ac:dyDescent="0.3">
      <c r="A2621" t="s">
        <v>1314</v>
      </c>
      <c r="F2621" t="str">
        <f t="shared" ref="F2621" si="2613">A2621</f>
        <v>CCACGT</v>
      </c>
    </row>
    <row r="2622" spans="1:6" x14ac:dyDescent="0.3">
      <c r="A2622" t="s">
        <v>5411</v>
      </c>
      <c r="F2622" t="str">
        <f t="shared" ref="F2622" si="2614">LEFT(A2622, LEN(A2622) - 1)</f>
        <v>&gt;1309:CCACTA:22.00:50.00:OK:6:1736.19</v>
      </c>
    </row>
    <row r="2623" spans="1:6" x14ac:dyDescent="0.3">
      <c r="A2623" t="s">
        <v>1315</v>
      </c>
      <c r="F2623" t="str">
        <f t="shared" ref="F2623" si="2615">A2623</f>
        <v>CCACTA</v>
      </c>
    </row>
    <row r="2624" spans="1:6" x14ac:dyDescent="0.3">
      <c r="A2624" t="s">
        <v>5412</v>
      </c>
      <c r="F2624" t="str">
        <f t="shared" ref="F2624" si="2616">LEFT(A2624, LEN(A2624) - 1)</f>
        <v>&gt;1310:CCACTC:20.00:66.67:Warning:6:1712.16</v>
      </c>
    </row>
    <row r="2625" spans="1:6" x14ac:dyDescent="0.3">
      <c r="A2625" t="s">
        <v>1316</v>
      </c>
      <c r="F2625" t="str">
        <f t="shared" ref="F2625" si="2617">A2625</f>
        <v>CCACTC</v>
      </c>
    </row>
    <row r="2626" spans="1:6" x14ac:dyDescent="0.3">
      <c r="A2626" t="s">
        <v>5413</v>
      </c>
      <c r="F2626" t="str">
        <f t="shared" ref="F2626" si="2618">LEFT(A2626, LEN(A2626) - 1)</f>
        <v>&gt;1311:CCACTG:20.00:66.67:Warning:6:1752.19</v>
      </c>
    </row>
    <row r="2627" spans="1:6" x14ac:dyDescent="0.3">
      <c r="A2627" t="s">
        <v>1317</v>
      </c>
      <c r="F2627" t="str">
        <f t="shared" ref="F2627" si="2619">A2627</f>
        <v>CCACTG</v>
      </c>
    </row>
    <row r="2628" spans="1:6" x14ac:dyDescent="0.3">
      <c r="A2628" t="s">
        <v>5414</v>
      </c>
      <c r="F2628" t="str">
        <f t="shared" ref="F2628" si="2620">LEFT(A2628, LEN(A2628) - 1)</f>
        <v>&gt;1312:CCACTT:14.00:50.00:OK:6:1727.17</v>
      </c>
    </row>
    <row r="2629" spans="1:6" x14ac:dyDescent="0.3">
      <c r="A2629" t="s">
        <v>1318</v>
      </c>
      <c r="F2629" t="str">
        <f t="shared" ref="F2629" si="2621">A2629</f>
        <v>CCACTT</v>
      </c>
    </row>
    <row r="2630" spans="1:6" x14ac:dyDescent="0.3">
      <c r="A2630" t="s">
        <v>5415</v>
      </c>
      <c r="F2630" t="str">
        <f t="shared" ref="F2630" si="2622">LEFT(A2630, LEN(A2630) - 1)</f>
        <v>&gt;1313:CCAGAA:30.00:50.00:OK:6:1785.24</v>
      </c>
    </row>
    <row r="2631" spans="1:6" x14ac:dyDescent="0.3">
      <c r="A2631" t="s">
        <v>1319</v>
      </c>
      <c r="F2631" t="str">
        <f t="shared" ref="F2631" si="2623">A2631</f>
        <v>CCAGAA</v>
      </c>
    </row>
    <row r="2632" spans="1:6" x14ac:dyDescent="0.3">
      <c r="A2632" t="s">
        <v>5416</v>
      </c>
      <c r="F2632" t="str">
        <f t="shared" ref="F2632" si="2624">LEFT(A2632, LEN(A2632) - 1)</f>
        <v>&gt;1314:CCAGAC:28.00:66.67:Warning:6:1761.21</v>
      </c>
    </row>
    <row r="2633" spans="1:6" x14ac:dyDescent="0.3">
      <c r="A2633" t="s">
        <v>1320</v>
      </c>
      <c r="F2633" t="str">
        <f t="shared" ref="F2633" si="2625">A2633</f>
        <v>CCAGAC</v>
      </c>
    </row>
    <row r="2634" spans="1:6" x14ac:dyDescent="0.3">
      <c r="A2634" t="s">
        <v>5417</v>
      </c>
      <c r="F2634" t="str">
        <f t="shared" ref="F2634" si="2626">LEFT(A2634, LEN(A2634) - 1)</f>
        <v>&gt;1315:CCAGAG:28.00:66.67:Warning:6:1801.24</v>
      </c>
    </row>
    <row r="2635" spans="1:6" x14ac:dyDescent="0.3">
      <c r="A2635" t="s">
        <v>1321</v>
      </c>
      <c r="F2635" t="str">
        <f t="shared" ref="F2635" si="2627">A2635</f>
        <v>CCAGAG</v>
      </c>
    </row>
    <row r="2636" spans="1:6" x14ac:dyDescent="0.3">
      <c r="A2636" t="s">
        <v>5418</v>
      </c>
      <c r="F2636" t="str">
        <f t="shared" ref="F2636" si="2628">LEFT(A2636, LEN(A2636) - 1)</f>
        <v>&gt;1316:CCAGAT:22.00:50.00:OK:6:1776.22</v>
      </c>
    </row>
    <row r="2637" spans="1:6" x14ac:dyDescent="0.3">
      <c r="A2637" t="s">
        <v>1322</v>
      </c>
      <c r="F2637" t="str">
        <f t="shared" ref="F2637" si="2629">A2637</f>
        <v>CCAGAT</v>
      </c>
    </row>
    <row r="2638" spans="1:6" x14ac:dyDescent="0.3">
      <c r="A2638" t="s">
        <v>5419</v>
      </c>
      <c r="F2638" t="str">
        <f t="shared" ref="F2638" si="2630">LEFT(A2638, LEN(A2638) - 1)</f>
        <v>&gt;1317:CCAGCA:28.00:66.67:Warning:6:1761.21</v>
      </c>
    </row>
    <row r="2639" spans="1:6" x14ac:dyDescent="0.3">
      <c r="A2639" t="s">
        <v>1323</v>
      </c>
      <c r="F2639" t="str">
        <f t="shared" ref="F2639" si="2631">A2639</f>
        <v>CCAGCA</v>
      </c>
    </row>
    <row r="2640" spans="1:6" x14ac:dyDescent="0.3">
      <c r="A2640" t="s">
        <v>5420</v>
      </c>
      <c r="F2640" t="str">
        <f t="shared" ref="F2640" si="2632">LEFT(A2640, LEN(A2640) - 1)</f>
        <v>&gt;1318:CCAGCC:26.00:83.33:Warning:6:1737.18</v>
      </c>
    </row>
    <row r="2641" spans="1:6" x14ac:dyDescent="0.3">
      <c r="A2641" t="s">
        <v>1324</v>
      </c>
      <c r="F2641" t="str">
        <f t="shared" ref="F2641" si="2633">A2641</f>
        <v>CCAGCC</v>
      </c>
    </row>
    <row r="2642" spans="1:6" x14ac:dyDescent="0.3">
      <c r="A2642" t="s">
        <v>5421</v>
      </c>
      <c r="F2642" t="str">
        <f t="shared" ref="F2642" si="2634">LEFT(A2642, LEN(A2642) - 1)</f>
        <v>&gt;1319:CCAGCG:26.00:83.33:Warning:6:1777.21</v>
      </c>
    </row>
    <row r="2643" spans="1:6" x14ac:dyDescent="0.3">
      <c r="A2643" t="s">
        <v>1325</v>
      </c>
      <c r="F2643" t="str">
        <f t="shared" ref="F2643" si="2635">A2643</f>
        <v>CCAGCG</v>
      </c>
    </row>
    <row r="2644" spans="1:6" x14ac:dyDescent="0.3">
      <c r="A2644" t="s">
        <v>5422</v>
      </c>
      <c r="F2644" t="str">
        <f t="shared" ref="F2644" si="2636">LEFT(A2644, LEN(A2644) - 1)</f>
        <v>&gt;1320:CCAGCT:20.00:66.67:Warning:6:1752.19</v>
      </c>
    </row>
    <row r="2645" spans="1:6" x14ac:dyDescent="0.3">
      <c r="A2645" t="s">
        <v>1326</v>
      </c>
      <c r="F2645" t="str">
        <f t="shared" ref="F2645" si="2637">A2645</f>
        <v>CCAGCT</v>
      </c>
    </row>
    <row r="2646" spans="1:6" x14ac:dyDescent="0.3">
      <c r="A2646" t="s">
        <v>5423</v>
      </c>
      <c r="F2646" t="str">
        <f t="shared" ref="F2646" si="2638">LEFT(A2646, LEN(A2646) - 1)</f>
        <v>&gt;1321:CCAGGA:28.00:66.67:Warning:6:1801.24</v>
      </c>
    </row>
    <row r="2647" spans="1:6" x14ac:dyDescent="0.3">
      <c r="A2647" t="s">
        <v>1327</v>
      </c>
      <c r="F2647" t="str">
        <f t="shared" ref="F2647" si="2639">A2647</f>
        <v>CCAGGA</v>
      </c>
    </row>
    <row r="2648" spans="1:6" x14ac:dyDescent="0.3">
      <c r="A2648" t="s">
        <v>5424</v>
      </c>
      <c r="F2648" t="str">
        <f t="shared" ref="F2648" si="2640">LEFT(A2648, LEN(A2648) - 1)</f>
        <v>&gt;1322:CCAGGC:26.00:83.33:Warning:6:1777.21</v>
      </c>
    </row>
    <row r="2649" spans="1:6" x14ac:dyDescent="0.3">
      <c r="A2649" t="s">
        <v>1328</v>
      </c>
      <c r="F2649" t="str">
        <f t="shared" ref="F2649" si="2641">A2649</f>
        <v>CCAGGC</v>
      </c>
    </row>
    <row r="2650" spans="1:6" x14ac:dyDescent="0.3">
      <c r="A2650" t="s">
        <v>5425</v>
      </c>
      <c r="F2650" t="str">
        <f t="shared" ref="F2650" si="2642">LEFT(A2650, LEN(A2650) - 1)</f>
        <v>&gt;1323:CCAGGG:26.00:83.33:Warning:6:1817.24</v>
      </c>
    </row>
    <row r="2651" spans="1:6" x14ac:dyDescent="0.3">
      <c r="A2651" t="s">
        <v>1329</v>
      </c>
      <c r="F2651" t="str">
        <f t="shared" ref="F2651" si="2643">A2651</f>
        <v>CCAGGG</v>
      </c>
    </row>
    <row r="2652" spans="1:6" x14ac:dyDescent="0.3">
      <c r="A2652" t="s">
        <v>5426</v>
      </c>
      <c r="F2652" t="str">
        <f t="shared" ref="F2652" si="2644">LEFT(A2652, LEN(A2652) - 1)</f>
        <v>&gt;1324:CCAGGT:20.00:66.67:Warning:6:1792.22</v>
      </c>
    </row>
    <row r="2653" spans="1:6" x14ac:dyDescent="0.3">
      <c r="A2653" t="s">
        <v>1330</v>
      </c>
      <c r="F2653" t="str">
        <f t="shared" ref="F2653" si="2645">A2653</f>
        <v>CCAGGT</v>
      </c>
    </row>
    <row r="2654" spans="1:6" x14ac:dyDescent="0.3">
      <c r="A2654" t="s">
        <v>5427</v>
      </c>
      <c r="F2654" t="str">
        <f t="shared" ref="F2654" si="2646">LEFT(A2654, LEN(A2654) - 1)</f>
        <v>&gt;1325:CCAGTA:22.00:50.00:OK:6:1776.22</v>
      </c>
    </row>
    <row r="2655" spans="1:6" x14ac:dyDescent="0.3">
      <c r="A2655" t="s">
        <v>1331</v>
      </c>
      <c r="F2655" t="str">
        <f t="shared" ref="F2655" si="2647">A2655</f>
        <v>CCAGTA</v>
      </c>
    </row>
    <row r="2656" spans="1:6" x14ac:dyDescent="0.3">
      <c r="A2656" t="s">
        <v>5428</v>
      </c>
      <c r="F2656" t="str">
        <f t="shared" ref="F2656" si="2648">LEFT(A2656, LEN(A2656) - 1)</f>
        <v>&gt;1326:CCAGTC:20.00:66.67:Warning:6:1752.19</v>
      </c>
    </row>
    <row r="2657" spans="1:6" x14ac:dyDescent="0.3">
      <c r="A2657" t="s">
        <v>1332</v>
      </c>
      <c r="F2657" t="str">
        <f t="shared" ref="F2657" si="2649">A2657</f>
        <v>CCAGTC</v>
      </c>
    </row>
    <row r="2658" spans="1:6" x14ac:dyDescent="0.3">
      <c r="A2658" t="s">
        <v>5429</v>
      </c>
      <c r="F2658" t="str">
        <f t="shared" ref="F2658" si="2650">LEFT(A2658, LEN(A2658) - 1)</f>
        <v>&gt;1327:CCAGTG:20.00:66.67:Warning:6:1792.22</v>
      </c>
    </row>
    <row r="2659" spans="1:6" x14ac:dyDescent="0.3">
      <c r="A2659" t="s">
        <v>1333</v>
      </c>
      <c r="F2659" t="str">
        <f t="shared" ref="F2659" si="2651">A2659</f>
        <v>CCAGTG</v>
      </c>
    </row>
    <row r="2660" spans="1:6" x14ac:dyDescent="0.3">
      <c r="A2660" t="s">
        <v>5430</v>
      </c>
      <c r="F2660" t="str">
        <f t="shared" ref="F2660" si="2652">LEFT(A2660, LEN(A2660) - 1)</f>
        <v>&gt;1328:CCAGTT:14.00:50.00:OK:6:1767.20</v>
      </c>
    </row>
    <row r="2661" spans="1:6" x14ac:dyDescent="0.3">
      <c r="A2661" t="s">
        <v>1334</v>
      </c>
      <c r="F2661" t="str">
        <f t="shared" ref="F2661" si="2653">A2661</f>
        <v>CCAGTT</v>
      </c>
    </row>
    <row r="2662" spans="1:6" x14ac:dyDescent="0.3">
      <c r="A2662" t="s">
        <v>5431</v>
      </c>
      <c r="F2662" t="str">
        <f t="shared" ref="F2662" si="2654">LEFT(A2662, LEN(A2662) - 1)</f>
        <v>&gt;1329:CCATAA:24.00:33.33:OK:6:1760.22</v>
      </c>
    </row>
    <row r="2663" spans="1:6" x14ac:dyDescent="0.3">
      <c r="A2663" t="s">
        <v>1335</v>
      </c>
      <c r="F2663" t="str">
        <f t="shared" ref="F2663" si="2655">A2663</f>
        <v>CCATAA</v>
      </c>
    </row>
    <row r="2664" spans="1:6" x14ac:dyDescent="0.3">
      <c r="A2664" t="s">
        <v>5432</v>
      </c>
      <c r="F2664" t="str">
        <f t="shared" ref="F2664" si="2656">LEFT(A2664, LEN(A2664) - 1)</f>
        <v>&gt;1330:CCATAC:22.00:50.00:OK:6:1736.19</v>
      </c>
    </row>
    <row r="2665" spans="1:6" x14ac:dyDescent="0.3">
      <c r="A2665" t="s">
        <v>1336</v>
      </c>
      <c r="F2665" t="str">
        <f t="shared" ref="F2665" si="2657">A2665</f>
        <v>CCATAC</v>
      </c>
    </row>
    <row r="2666" spans="1:6" x14ac:dyDescent="0.3">
      <c r="A2666" t="s">
        <v>5433</v>
      </c>
      <c r="F2666" t="str">
        <f t="shared" ref="F2666" si="2658">LEFT(A2666, LEN(A2666) - 1)</f>
        <v>&gt;1331:CCATAG:22.00:50.00:OK:6:1776.22</v>
      </c>
    </row>
    <row r="2667" spans="1:6" x14ac:dyDescent="0.3">
      <c r="A2667" t="s">
        <v>1337</v>
      </c>
      <c r="F2667" t="str">
        <f t="shared" ref="F2667" si="2659">A2667</f>
        <v>CCATAG</v>
      </c>
    </row>
    <row r="2668" spans="1:6" x14ac:dyDescent="0.3">
      <c r="A2668" t="s">
        <v>5434</v>
      </c>
      <c r="F2668" t="str">
        <f t="shared" ref="F2668" si="2660">LEFT(A2668, LEN(A2668) - 1)</f>
        <v>&gt;1332:CCATAT:16.00:33.33:OK:6:1751.20</v>
      </c>
    </row>
    <row r="2669" spans="1:6" x14ac:dyDescent="0.3">
      <c r="A2669" t="s">
        <v>1338</v>
      </c>
      <c r="F2669" t="str">
        <f t="shared" ref="F2669" si="2661">A2669</f>
        <v>CCATAT</v>
      </c>
    </row>
    <row r="2670" spans="1:6" x14ac:dyDescent="0.3">
      <c r="A2670" t="s">
        <v>5435</v>
      </c>
      <c r="F2670" t="str">
        <f t="shared" ref="F2670" si="2662">LEFT(A2670, LEN(A2670) - 1)</f>
        <v>&gt;1333:CCATCA:22.00:50.00:OK:6:1736.19</v>
      </c>
    </row>
    <row r="2671" spans="1:6" x14ac:dyDescent="0.3">
      <c r="A2671" t="s">
        <v>1339</v>
      </c>
      <c r="F2671" t="str">
        <f t="shared" ref="F2671" si="2663">A2671</f>
        <v>CCATCA</v>
      </c>
    </row>
    <row r="2672" spans="1:6" x14ac:dyDescent="0.3">
      <c r="A2672" t="s">
        <v>5436</v>
      </c>
      <c r="F2672" t="str">
        <f t="shared" ref="F2672" si="2664">LEFT(A2672, LEN(A2672) - 1)</f>
        <v>&gt;1334:CCATCC:20.00:66.67:Warning:6:1712.16</v>
      </c>
    </row>
    <row r="2673" spans="1:6" x14ac:dyDescent="0.3">
      <c r="A2673" t="s">
        <v>1340</v>
      </c>
      <c r="F2673" t="str">
        <f t="shared" ref="F2673" si="2665">A2673</f>
        <v>CCATCC</v>
      </c>
    </row>
    <row r="2674" spans="1:6" x14ac:dyDescent="0.3">
      <c r="A2674" t="s">
        <v>5437</v>
      </c>
      <c r="F2674" t="str">
        <f t="shared" ref="F2674" si="2666">LEFT(A2674, LEN(A2674) - 1)</f>
        <v>&gt;1335:CCATCG:20.00:66.67:Warning:6:1752.19</v>
      </c>
    </row>
    <row r="2675" spans="1:6" x14ac:dyDescent="0.3">
      <c r="A2675" t="s">
        <v>1341</v>
      </c>
      <c r="F2675" t="str">
        <f t="shared" ref="F2675" si="2667">A2675</f>
        <v>CCATCG</v>
      </c>
    </row>
    <row r="2676" spans="1:6" x14ac:dyDescent="0.3">
      <c r="A2676" t="s">
        <v>5438</v>
      </c>
      <c r="F2676" t="str">
        <f t="shared" ref="F2676" si="2668">LEFT(A2676, LEN(A2676) - 1)</f>
        <v>&gt;1336:CCATCT:14.00:50.00:OK:6:1727.17</v>
      </c>
    </row>
    <row r="2677" spans="1:6" x14ac:dyDescent="0.3">
      <c r="A2677" t="s">
        <v>1342</v>
      </c>
      <c r="F2677" t="str">
        <f t="shared" ref="F2677" si="2669">A2677</f>
        <v>CCATCT</v>
      </c>
    </row>
    <row r="2678" spans="1:6" x14ac:dyDescent="0.3">
      <c r="A2678" t="s">
        <v>5439</v>
      </c>
      <c r="F2678" t="str">
        <f t="shared" ref="F2678" si="2670">LEFT(A2678, LEN(A2678) - 1)</f>
        <v>&gt;1337:CCATGA:22.00:50.00:OK:6:1776.22</v>
      </c>
    </row>
    <row r="2679" spans="1:6" x14ac:dyDescent="0.3">
      <c r="A2679" t="s">
        <v>1343</v>
      </c>
      <c r="F2679" t="str">
        <f t="shared" ref="F2679" si="2671">A2679</f>
        <v>CCATGA</v>
      </c>
    </row>
    <row r="2680" spans="1:6" x14ac:dyDescent="0.3">
      <c r="A2680" t="s">
        <v>5440</v>
      </c>
      <c r="F2680" t="str">
        <f t="shared" ref="F2680" si="2672">LEFT(A2680, LEN(A2680) - 1)</f>
        <v>&gt;1338:CCATGC:20.00:66.67:Warning:6:1752.19</v>
      </c>
    </row>
    <row r="2681" spans="1:6" x14ac:dyDescent="0.3">
      <c r="A2681" t="s">
        <v>1344</v>
      </c>
      <c r="F2681" t="str">
        <f t="shared" ref="F2681" si="2673">A2681</f>
        <v>CCATGC</v>
      </c>
    </row>
    <row r="2682" spans="1:6" x14ac:dyDescent="0.3">
      <c r="A2682" t="s">
        <v>5441</v>
      </c>
      <c r="F2682" t="str">
        <f t="shared" ref="F2682" si="2674">LEFT(A2682, LEN(A2682) - 1)</f>
        <v>&gt;1339:CCATGG:20.00:66.67:Warning:6:1792.22</v>
      </c>
    </row>
    <row r="2683" spans="1:6" x14ac:dyDescent="0.3">
      <c r="A2683" t="s">
        <v>1345</v>
      </c>
      <c r="F2683" t="str">
        <f t="shared" ref="F2683" si="2675">A2683</f>
        <v>CCATGG</v>
      </c>
    </row>
    <row r="2684" spans="1:6" x14ac:dyDescent="0.3">
      <c r="A2684" t="s">
        <v>5442</v>
      </c>
      <c r="F2684" t="str">
        <f t="shared" ref="F2684" si="2676">LEFT(A2684, LEN(A2684) - 1)</f>
        <v>&gt;1340:CCATGT:14.00:50.00:OK:6:1767.20</v>
      </c>
    </row>
    <row r="2685" spans="1:6" x14ac:dyDescent="0.3">
      <c r="A2685" t="s">
        <v>1346</v>
      </c>
      <c r="F2685" t="str">
        <f t="shared" ref="F2685" si="2677">A2685</f>
        <v>CCATGT</v>
      </c>
    </row>
    <row r="2686" spans="1:6" x14ac:dyDescent="0.3">
      <c r="A2686" t="s">
        <v>5443</v>
      </c>
      <c r="F2686" t="str">
        <f t="shared" ref="F2686" si="2678">LEFT(A2686, LEN(A2686) - 1)</f>
        <v>&gt;1341:CCATTA:16.00:33.33:OK:6:1751.20</v>
      </c>
    </row>
    <row r="2687" spans="1:6" x14ac:dyDescent="0.3">
      <c r="A2687" t="s">
        <v>1347</v>
      </c>
      <c r="F2687" t="str">
        <f t="shared" ref="F2687" si="2679">A2687</f>
        <v>CCATTA</v>
      </c>
    </row>
    <row r="2688" spans="1:6" x14ac:dyDescent="0.3">
      <c r="A2688" t="s">
        <v>5444</v>
      </c>
      <c r="F2688" t="str">
        <f t="shared" ref="F2688" si="2680">LEFT(A2688, LEN(A2688) - 1)</f>
        <v>&gt;1342:CCATTC:14.00:50.00:OK:6:1727.17</v>
      </c>
    </row>
    <row r="2689" spans="1:6" x14ac:dyDescent="0.3">
      <c r="A2689" t="s">
        <v>1348</v>
      </c>
      <c r="F2689" t="str">
        <f t="shared" ref="F2689" si="2681">A2689</f>
        <v>CCATTC</v>
      </c>
    </row>
    <row r="2690" spans="1:6" x14ac:dyDescent="0.3">
      <c r="A2690" t="s">
        <v>5445</v>
      </c>
      <c r="F2690" t="str">
        <f t="shared" ref="F2690" si="2682">LEFT(A2690, LEN(A2690) - 1)</f>
        <v>&gt;1343:CCATTG:14.00:50.00:OK:6:1767.20</v>
      </c>
    </row>
    <row r="2691" spans="1:6" x14ac:dyDescent="0.3">
      <c r="A2691" t="s">
        <v>1349</v>
      </c>
      <c r="F2691" t="str">
        <f t="shared" ref="F2691" si="2683">A2691</f>
        <v>CCATTG</v>
      </c>
    </row>
    <row r="2692" spans="1:6" x14ac:dyDescent="0.3">
      <c r="A2692" t="s">
        <v>5446</v>
      </c>
      <c r="F2692" t="str">
        <f t="shared" ref="F2692" si="2684">LEFT(A2692, LEN(A2692) - 1)</f>
        <v>&gt;1344:CCATTT:8.00:33.33:OK:6:1742.18</v>
      </c>
    </row>
    <row r="2693" spans="1:6" x14ac:dyDescent="0.3">
      <c r="A2693" t="s">
        <v>1350</v>
      </c>
      <c r="F2693" t="str">
        <f t="shared" ref="F2693" si="2685">A2693</f>
        <v>CCATTT</v>
      </c>
    </row>
    <row r="2694" spans="1:6" x14ac:dyDescent="0.3">
      <c r="A2694" t="s">
        <v>5447</v>
      </c>
      <c r="F2694" t="str">
        <f t="shared" ref="F2694" si="2686">LEFT(A2694, LEN(A2694) - 1)</f>
        <v>&gt;1345:CCCAAA:30.00:50.00:OK:6:1745.21</v>
      </c>
    </row>
    <row r="2695" spans="1:6" x14ac:dyDescent="0.3">
      <c r="A2695" t="s">
        <v>1351</v>
      </c>
      <c r="F2695" t="str">
        <f t="shared" ref="F2695" si="2687">A2695</f>
        <v>CCCAAA</v>
      </c>
    </row>
    <row r="2696" spans="1:6" x14ac:dyDescent="0.3">
      <c r="A2696" t="s">
        <v>5448</v>
      </c>
      <c r="F2696" t="str">
        <f t="shared" ref="F2696" si="2688">LEFT(A2696, LEN(A2696) - 1)</f>
        <v>&gt;1346:CCCAAC:28.00:66.67:Warning:6:1721.18</v>
      </c>
    </row>
    <row r="2697" spans="1:6" x14ac:dyDescent="0.3">
      <c r="A2697" t="s">
        <v>1352</v>
      </c>
      <c r="F2697" t="str">
        <f t="shared" ref="F2697" si="2689">A2697</f>
        <v>CCCAAC</v>
      </c>
    </row>
    <row r="2698" spans="1:6" x14ac:dyDescent="0.3">
      <c r="A2698" t="s">
        <v>5449</v>
      </c>
      <c r="F2698" t="str">
        <f t="shared" ref="F2698" si="2690">LEFT(A2698, LEN(A2698) - 1)</f>
        <v>&gt;1347:CCCAAG:28.00:66.67:Warning:6:1761.21</v>
      </c>
    </row>
    <row r="2699" spans="1:6" x14ac:dyDescent="0.3">
      <c r="A2699" t="s">
        <v>1353</v>
      </c>
      <c r="F2699" t="str">
        <f t="shared" ref="F2699" si="2691">A2699</f>
        <v>CCCAAG</v>
      </c>
    </row>
    <row r="2700" spans="1:6" x14ac:dyDescent="0.3">
      <c r="A2700" t="s">
        <v>5450</v>
      </c>
      <c r="F2700" t="str">
        <f t="shared" ref="F2700" si="2692">LEFT(A2700, LEN(A2700) - 1)</f>
        <v>&gt;1348:CCCAAT:22.00:50.00:OK:6:1736.19</v>
      </c>
    </row>
    <row r="2701" spans="1:6" x14ac:dyDescent="0.3">
      <c r="A2701" t="s">
        <v>1354</v>
      </c>
      <c r="F2701" t="str">
        <f t="shared" ref="F2701" si="2693">A2701</f>
        <v>CCCAAT</v>
      </c>
    </row>
    <row r="2702" spans="1:6" x14ac:dyDescent="0.3">
      <c r="A2702" t="s">
        <v>5451</v>
      </c>
      <c r="F2702" t="str">
        <f t="shared" ref="F2702" si="2694">LEFT(A2702, LEN(A2702) - 1)</f>
        <v>&gt;1349:CCCACA:28.00:66.67:Warning:6:1721.18</v>
      </c>
    </row>
    <row r="2703" spans="1:6" x14ac:dyDescent="0.3">
      <c r="A2703" t="s">
        <v>1355</v>
      </c>
      <c r="F2703" t="str">
        <f t="shared" ref="F2703" si="2695">A2703</f>
        <v>CCCACA</v>
      </c>
    </row>
    <row r="2704" spans="1:6" x14ac:dyDescent="0.3">
      <c r="A2704" t="s">
        <v>5452</v>
      </c>
      <c r="F2704" t="str">
        <f t="shared" ref="F2704" si="2696">LEFT(A2704, LEN(A2704) - 1)</f>
        <v>&gt;1350:CCCACC:26.00:83.33:Warning:6:1697.15</v>
      </c>
    </row>
    <row r="2705" spans="1:6" x14ac:dyDescent="0.3">
      <c r="A2705" t="s">
        <v>1356</v>
      </c>
      <c r="F2705" t="str">
        <f t="shared" ref="F2705" si="2697">A2705</f>
        <v>CCCACC</v>
      </c>
    </row>
    <row r="2706" spans="1:6" x14ac:dyDescent="0.3">
      <c r="A2706" t="s">
        <v>5453</v>
      </c>
      <c r="F2706" t="str">
        <f t="shared" ref="F2706" si="2698">LEFT(A2706, LEN(A2706) - 1)</f>
        <v>&gt;1351:CCCACG:26.00:83.33:Warning:6:1737.18</v>
      </c>
    </row>
    <row r="2707" spans="1:6" x14ac:dyDescent="0.3">
      <c r="A2707" t="s">
        <v>1357</v>
      </c>
      <c r="F2707" t="str">
        <f t="shared" ref="F2707" si="2699">A2707</f>
        <v>CCCACG</v>
      </c>
    </row>
    <row r="2708" spans="1:6" x14ac:dyDescent="0.3">
      <c r="A2708" t="s">
        <v>5454</v>
      </c>
      <c r="F2708" t="str">
        <f t="shared" ref="F2708" si="2700">LEFT(A2708, LEN(A2708) - 1)</f>
        <v>&gt;1352:CCCACT:20.00:66.67:Warning:6:1712.16</v>
      </c>
    </row>
    <row r="2709" spans="1:6" x14ac:dyDescent="0.3">
      <c r="A2709" t="s">
        <v>1358</v>
      </c>
      <c r="F2709" t="str">
        <f t="shared" ref="F2709" si="2701">A2709</f>
        <v>CCCACT</v>
      </c>
    </row>
    <row r="2710" spans="1:6" x14ac:dyDescent="0.3">
      <c r="A2710" t="s">
        <v>5455</v>
      </c>
      <c r="F2710" t="str">
        <f t="shared" ref="F2710" si="2702">LEFT(A2710, LEN(A2710) - 1)</f>
        <v>&gt;1353:CCCAGA:28.00:66.67:Warning:6:1761.21</v>
      </c>
    </row>
    <row r="2711" spans="1:6" x14ac:dyDescent="0.3">
      <c r="A2711" t="s">
        <v>1359</v>
      </c>
      <c r="F2711" t="str">
        <f t="shared" ref="F2711" si="2703">A2711</f>
        <v>CCCAGA</v>
      </c>
    </row>
    <row r="2712" spans="1:6" x14ac:dyDescent="0.3">
      <c r="A2712" t="s">
        <v>5456</v>
      </c>
      <c r="F2712" t="str">
        <f t="shared" ref="F2712" si="2704">LEFT(A2712, LEN(A2712) - 1)</f>
        <v>&gt;1354:CCCAGC:26.00:83.33:Warning:6:1737.18</v>
      </c>
    </row>
    <row r="2713" spans="1:6" x14ac:dyDescent="0.3">
      <c r="A2713" t="s">
        <v>1360</v>
      </c>
      <c r="F2713" t="str">
        <f t="shared" ref="F2713" si="2705">A2713</f>
        <v>CCCAGC</v>
      </c>
    </row>
    <row r="2714" spans="1:6" x14ac:dyDescent="0.3">
      <c r="A2714" t="s">
        <v>5457</v>
      </c>
      <c r="F2714" t="str">
        <f t="shared" ref="F2714" si="2706">LEFT(A2714, LEN(A2714) - 1)</f>
        <v>&gt;1355:CCCAGG:26.00:83.33:Warning:6:1777.21</v>
      </c>
    </row>
    <row r="2715" spans="1:6" x14ac:dyDescent="0.3">
      <c r="A2715" t="s">
        <v>1361</v>
      </c>
      <c r="F2715" t="str">
        <f t="shared" ref="F2715" si="2707">A2715</f>
        <v>CCCAGG</v>
      </c>
    </row>
    <row r="2716" spans="1:6" x14ac:dyDescent="0.3">
      <c r="A2716" t="s">
        <v>5458</v>
      </c>
      <c r="F2716" t="str">
        <f t="shared" ref="F2716" si="2708">LEFT(A2716, LEN(A2716) - 1)</f>
        <v>&gt;1356:CCCAGT:20.00:66.67:Warning:6:1752.19</v>
      </c>
    </row>
    <row r="2717" spans="1:6" x14ac:dyDescent="0.3">
      <c r="A2717" t="s">
        <v>1362</v>
      </c>
      <c r="F2717" t="str">
        <f t="shared" ref="F2717" si="2709">A2717</f>
        <v>CCCAGT</v>
      </c>
    </row>
    <row r="2718" spans="1:6" x14ac:dyDescent="0.3">
      <c r="A2718" t="s">
        <v>5459</v>
      </c>
      <c r="F2718" t="str">
        <f t="shared" ref="F2718" si="2710">LEFT(A2718, LEN(A2718) - 1)</f>
        <v>&gt;1357:CCCATA:22.00:50.00:OK:6:1736.19</v>
      </c>
    </row>
    <row r="2719" spans="1:6" x14ac:dyDescent="0.3">
      <c r="A2719" t="s">
        <v>1363</v>
      </c>
      <c r="F2719" t="str">
        <f t="shared" ref="F2719" si="2711">A2719</f>
        <v>CCCATA</v>
      </c>
    </row>
    <row r="2720" spans="1:6" x14ac:dyDescent="0.3">
      <c r="A2720" t="s">
        <v>5460</v>
      </c>
      <c r="F2720" t="str">
        <f t="shared" ref="F2720" si="2712">LEFT(A2720, LEN(A2720) - 1)</f>
        <v>&gt;1358:CCCATC:20.00:66.67:Warning:6:1712.16</v>
      </c>
    </row>
    <row r="2721" spans="1:6" x14ac:dyDescent="0.3">
      <c r="A2721" t="s">
        <v>1364</v>
      </c>
      <c r="F2721" t="str">
        <f t="shared" ref="F2721" si="2713">A2721</f>
        <v>CCCATC</v>
      </c>
    </row>
    <row r="2722" spans="1:6" x14ac:dyDescent="0.3">
      <c r="A2722" t="s">
        <v>5461</v>
      </c>
      <c r="F2722" t="str">
        <f t="shared" ref="F2722" si="2714">LEFT(A2722, LEN(A2722) - 1)</f>
        <v>&gt;1359:CCCATG:20.00:66.67:Warning:6:1752.19</v>
      </c>
    </row>
    <row r="2723" spans="1:6" x14ac:dyDescent="0.3">
      <c r="A2723" t="s">
        <v>1365</v>
      </c>
      <c r="F2723" t="str">
        <f t="shared" ref="F2723" si="2715">A2723</f>
        <v>CCCATG</v>
      </c>
    </row>
    <row r="2724" spans="1:6" x14ac:dyDescent="0.3">
      <c r="A2724" t="s">
        <v>5462</v>
      </c>
      <c r="F2724" t="str">
        <f t="shared" ref="F2724" si="2716">LEFT(A2724, LEN(A2724) - 1)</f>
        <v>&gt;1360:CCCATT:14.00:50.00:OK:6:1727.17</v>
      </c>
    </row>
    <row r="2725" spans="1:6" x14ac:dyDescent="0.3">
      <c r="A2725" t="s">
        <v>1366</v>
      </c>
      <c r="F2725" t="str">
        <f t="shared" ref="F2725" si="2717">A2725</f>
        <v>CCCATT</v>
      </c>
    </row>
    <row r="2726" spans="1:6" x14ac:dyDescent="0.3">
      <c r="A2726" t="s">
        <v>5463</v>
      </c>
      <c r="F2726" t="str">
        <f t="shared" ref="F2726" si="2718">LEFT(A2726, LEN(A2726) - 1)</f>
        <v>&gt;1361:CCCCAA:28.00:66.67:Warning:6:1721.18</v>
      </c>
    </row>
    <row r="2727" spans="1:6" x14ac:dyDescent="0.3">
      <c r="A2727" t="s">
        <v>1367</v>
      </c>
      <c r="F2727" t="str">
        <f t="shared" ref="F2727" si="2719">A2727</f>
        <v>CCCCAA</v>
      </c>
    </row>
    <row r="2728" spans="1:6" x14ac:dyDescent="0.3">
      <c r="A2728" t="s">
        <v>5464</v>
      </c>
      <c r="F2728" t="str">
        <f t="shared" ref="F2728" si="2720">LEFT(A2728, LEN(A2728) - 1)</f>
        <v>&gt;1362:CCCCAC:26.00:83.33:Warning:6:1697.15</v>
      </c>
    </row>
    <row r="2729" spans="1:6" x14ac:dyDescent="0.3">
      <c r="A2729" t="s">
        <v>1368</v>
      </c>
      <c r="F2729" t="str">
        <f t="shared" ref="F2729" si="2721">A2729</f>
        <v>CCCCAC</v>
      </c>
    </row>
    <row r="2730" spans="1:6" x14ac:dyDescent="0.3">
      <c r="A2730" t="s">
        <v>5465</v>
      </c>
      <c r="F2730" t="str">
        <f t="shared" ref="F2730" si="2722">LEFT(A2730, LEN(A2730) - 1)</f>
        <v>&gt;1363:CCCCAG:26.00:83.33:Warning:6:1737.18</v>
      </c>
    </row>
    <row r="2731" spans="1:6" x14ac:dyDescent="0.3">
      <c r="A2731" t="s">
        <v>1369</v>
      </c>
      <c r="F2731" t="str">
        <f t="shared" ref="F2731" si="2723">A2731</f>
        <v>CCCCAG</v>
      </c>
    </row>
    <row r="2732" spans="1:6" x14ac:dyDescent="0.3">
      <c r="A2732" t="s">
        <v>5466</v>
      </c>
      <c r="F2732" t="str">
        <f t="shared" ref="F2732" si="2724">LEFT(A2732, LEN(A2732) - 1)</f>
        <v>&gt;1364:CCCCAT:20.00:66.67:Warning:6:1712.16</v>
      </c>
    </row>
    <row r="2733" spans="1:6" x14ac:dyDescent="0.3">
      <c r="A2733" t="s">
        <v>1370</v>
      </c>
      <c r="F2733" t="str">
        <f t="shared" ref="F2733" si="2725">A2733</f>
        <v>CCCCAT</v>
      </c>
    </row>
    <row r="2734" spans="1:6" x14ac:dyDescent="0.3">
      <c r="A2734" t="s">
        <v>5467</v>
      </c>
      <c r="F2734" t="str">
        <f t="shared" ref="F2734" si="2726">LEFT(A2734, LEN(A2734) - 1)</f>
        <v>&gt;1365:CCCCCA:26.00:83.33:Warning:6:1697.15</v>
      </c>
    </row>
    <row r="2735" spans="1:6" x14ac:dyDescent="0.3">
      <c r="A2735" t="s">
        <v>1371</v>
      </c>
      <c r="F2735" t="str">
        <f t="shared" ref="F2735" si="2727">A2735</f>
        <v>CCCCCA</v>
      </c>
    </row>
    <row r="2736" spans="1:6" x14ac:dyDescent="0.3">
      <c r="A2736" t="s">
        <v>5468</v>
      </c>
      <c r="F2736" t="str">
        <f t="shared" ref="F2736" si="2728">LEFT(A2736, LEN(A2736) - 1)</f>
        <v>&gt;1366:CCCCCC:24.00:100.00:Warning:6:1673.12</v>
      </c>
    </row>
    <row r="2737" spans="1:6" x14ac:dyDescent="0.3">
      <c r="A2737" t="s">
        <v>1372</v>
      </c>
      <c r="F2737" t="str">
        <f t="shared" ref="F2737" si="2729">A2737</f>
        <v>CCCCCC</v>
      </c>
    </row>
    <row r="2738" spans="1:6" x14ac:dyDescent="0.3">
      <c r="A2738" t="s">
        <v>5469</v>
      </c>
      <c r="F2738" t="str">
        <f t="shared" ref="F2738" si="2730">LEFT(A2738, LEN(A2738) - 1)</f>
        <v>&gt;1367:CCCCCG:24.00:100.00:Warning:6:1713.15</v>
      </c>
    </row>
    <row r="2739" spans="1:6" x14ac:dyDescent="0.3">
      <c r="A2739" t="s">
        <v>1373</v>
      </c>
      <c r="F2739" t="str">
        <f t="shared" ref="F2739" si="2731">A2739</f>
        <v>CCCCCG</v>
      </c>
    </row>
    <row r="2740" spans="1:6" x14ac:dyDescent="0.3">
      <c r="A2740" t="s">
        <v>5470</v>
      </c>
      <c r="F2740" t="str">
        <f t="shared" ref="F2740" si="2732">LEFT(A2740, LEN(A2740) - 1)</f>
        <v>&gt;1368:CCCCCT:18.00:83.33:Warning:6:1688.13</v>
      </c>
    </row>
    <row r="2741" spans="1:6" x14ac:dyDescent="0.3">
      <c r="A2741" t="s">
        <v>1374</v>
      </c>
      <c r="F2741" t="str">
        <f t="shared" ref="F2741" si="2733">A2741</f>
        <v>CCCCCT</v>
      </c>
    </row>
    <row r="2742" spans="1:6" x14ac:dyDescent="0.3">
      <c r="A2742" t="s">
        <v>5471</v>
      </c>
      <c r="F2742" t="str">
        <f t="shared" ref="F2742" si="2734">LEFT(A2742, LEN(A2742) - 1)</f>
        <v>&gt;1369:CCCCGA:26.00:83.33:Warning:6:1737.18</v>
      </c>
    </row>
    <row r="2743" spans="1:6" x14ac:dyDescent="0.3">
      <c r="A2743" t="s">
        <v>1375</v>
      </c>
      <c r="F2743" t="str">
        <f t="shared" ref="F2743" si="2735">A2743</f>
        <v>CCCCGA</v>
      </c>
    </row>
    <row r="2744" spans="1:6" x14ac:dyDescent="0.3">
      <c r="A2744" t="s">
        <v>5472</v>
      </c>
      <c r="F2744" t="str">
        <f t="shared" ref="F2744" si="2736">LEFT(A2744, LEN(A2744) - 1)</f>
        <v>&gt;1370:CCCCGC:24.00:100.00:Warning:6:1713.15</v>
      </c>
    </row>
    <row r="2745" spans="1:6" x14ac:dyDescent="0.3">
      <c r="A2745" t="s">
        <v>1376</v>
      </c>
      <c r="F2745" t="str">
        <f t="shared" ref="F2745" si="2737">A2745</f>
        <v>CCCCGC</v>
      </c>
    </row>
    <row r="2746" spans="1:6" x14ac:dyDescent="0.3">
      <c r="A2746" t="s">
        <v>5473</v>
      </c>
      <c r="F2746" t="str">
        <f t="shared" ref="F2746" si="2738">LEFT(A2746, LEN(A2746) - 1)</f>
        <v>&gt;1371:CCCCGG:24.00:100.00:Warning:6:1753.18</v>
      </c>
    </row>
    <row r="2747" spans="1:6" x14ac:dyDescent="0.3">
      <c r="A2747" t="s">
        <v>1377</v>
      </c>
      <c r="F2747" t="str">
        <f t="shared" ref="F2747" si="2739">A2747</f>
        <v>CCCCGG</v>
      </c>
    </row>
    <row r="2748" spans="1:6" x14ac:dyDescent="0.3">
      <c r="A2748" t="s">
        <v>5474</v>
      </c>
      <c r="F2748" t="str">
        <f t="shared" ref="F2748" si="2740">LEFT(A2748, LEN(A2748) - 1)</f>
        <v>&gt;1372:CCCCGT:18.00:83.33:Warning:6:1728.16</v>
      </c>
    </row>
    <row r="2749" spans="1:6" x14ac:dyDescent="0.3">
      <c r="A2749" t="s">
        <v>1378</v>
      </c>
      <c r="F2749" t="str">
        <f t="shared" ref="F2749" si="2741">A2749</f>
        <v>CCCCGT</v>
      </c>
    </row>
    <row r="2750" spans="1:6" x14ac:dyDescent="0.3">
      <c r="A2750" t="s">
        <v>5475</v>
      </c>
      <c r="F2750" t="str">
        <f t="shared" ref="F2750" si="2742">LEFT(A2750, LEN(A2750) - 1)</f>
        <v>&gt;1373:CCCCTA:20.00:66.67:Warning:6:1712.16</v>
      </c>
    </row>
    <row r="2751" spans="1:6" x14ac:dyDescent="0.3">
      <c r="A2751" t="s">
        <v>1379</v>
      </c>
      <c r="F2751" t="str">
        <f t="shared" ref="F2751" si="2743">A2751</f>
        <v>CCCCTA</v>
      </c>
    </row>
    <row r="2752" spans="1:6" x14ac:dyDescent="0.3">
      <c r="A2752" t="s">
        <v>5476</v>
      </c>
      <c r="F2752" t="str">
        <f t="shared" ref="F2752" si="2744">LEFT(A2752, LEN(A2752) - 1)</f>
        <v>&gt;1374:CCCCTC:18.00:83.33:Warning:6:1688.13</v>
      </c>
    </row>
    <row r="2753" spans="1:6" x14ac:dyDescent="0.3">
      <c r="A2753" t="s">
        <v>1380</v>
      </c>
      <c r="F2753" t="str">
        <f t="shared" ref="F2753" si="2745">A2753</f>
        <v>CCCCTC</v>
      </c>
    </row>
    <row r="2754" spans="1:6" x14ac:dyDescent="0.3">
      <c r="A2754" t="s">
        <v>5477</v>
      </c>
      <c r="F2754" t="str">
        <f t="shared" ref="F2754" si="2746">LEFT(A2754, LEN(A2754) - 1)</f>
        <v>&gt;1375:CCCCTG:18.00:83.33:Warning:6:1728.16</v>
      </c>
    </row>
    <row r="2755" spans="1:6" x14ac:dyDescent="0.3">
      <c r="A2755" t="s">
        <v>1381</v>
      </c>
      <c r="F2755" t="str">
        <f t="shared" ref="F2755" si="2747">A2755</f>
        <v>CCCCTG</v>
      </c>
    </row>
    <row r="2756" spans="1:6" x14ac:dyDescent="0.3">
      <c r="A2756" t="s">
        <v>5478</v>
      </c>
      <c r="F2756" t="str">
        <f t="shared" ref="F2756" si="2748">LEFT(A2756, LEN(A2756) - 1)</f>
        <v>&gt;1376:CCCCTT:12.00:66.67:Warning:6:1703.14</v>
      </c>
    </row>
    <row r="2757" spans="1:6" x14ac:dyDescent="0.3">
      <c r="A2757" t="s">
        <v>1382</v>
      </c>
      <c r="F2757" t="str">
        <f t="shared" ref="F2757" si="2749">A2757</f>
        <v>CCCCTT</v>
      </c>
    </row>
    <row r="2758" spans="1:6" x14ac:dyDescent="0.3">
      <c r="A2758" t="s">
        <v>5479</v>
      </c>
      <c r="F2758" t="str">
        <f t="shared" ref="F2758" si="2750">LEFT(A2758, LEN(A2758) - 1)</f>
        <v>&gt;1377:CCCGAA:28.00:66.67:Warning:6:1761.21</v>
      </c>
    </row>
    <row r="2759" spans="1:6" x14ac:dyDescent="0.3">
      <c r="A2759" t="s">
        <v>1383</v>
      </c>
      <c r="F2759" t="str">
        <f t="shared" ref="F2759" si="2751">A2759</f>
        <v>CCCGAA</v>
      </c>
    </row>
    <row r="2760" spans="1:6" x14ac:dyDescent="0.3">
      <c r="A2760" t="s">
        <v>5480</v>
      </c>
      <c r="F2760" t="str">
        <f t="shared" ref="F2760" si="2752">LEFT(A2760, LEN(A2760) - 1)</f>
        <v>&gt;1378:CCCGAC:26.00:83.33:Warning:6:1737.18</v>
      </c>
    </row>
    <row r="2761" spans="1:6" x14ac:dyDescent="0.3">
      <c r="A2761" t="s">
        <v>1384</v>
      </c>
      <c r="F2761" t="str">
        <f t="shared" ref="F2761" si="2753">A2761</f>
        <v>CCCGAC</v>
      </c>
    </row>
    <row r="2762" spans="1:6" x14ac:dyDescent="0.3">
      <c r="A2762" t="s">
        <v>5481</v>
      </c>
      <c r="F2762" t="str">
        <f t="shared" ref="F2762" si="2754">LEFT(A2762, LEN(A2762) - 1)</f>
        <v>&gt;1379:CCCGAG:26.00:83.33:Warning:6:1777.21</v>
      </c>
    </row>
    <row r="2763" spans="1:6" x14ac:dyDescent="0.3">
      <c r="A2763" t="s">
        <v>1385</v>
      </c>
      <c r="F2763" t="str">
        <f t="shared" ref="F2763" si="2755">A2763</f>
        <v>CCCGAG</v>
      </c>
    </row>
    <row r="2764" spans="1:6" x14ac:dyDescent="0.3">
      <c r="A2764" t="s">
        <v>5482</v>
      </c>
      <c r="F2764" t="str">
        <f t="shared" ref="F2764" si="2756">LEFT(A2764, LEN(A2764) - 1)</f>
        <v>&gt;1380:CCCGAT:20.00:66.67:Warning:6:1752.19</v>
      </c>
    </row>
    <row r="2765" spans="1:6" x14ac:dyDescent="0.3">
      <c r="A2765" t="s">
        <v>1386</v>
      </c>
      <c r="F2765" t="str">
        <f t="shared" ref="F2765" si="2757">A2765</f>
        <v>CCCGAT</v>
      </c>
    </row>
    <row r="2766" spans="1:6" x14ac:dyDescent="0.3">
      <c r="A2766" t="s">
        <v>5483</v>
      </c>
      <c r="F2766" t="str">
        <f t="shared" ref="F2766" si="2758">LEFT(A2766, LEN(A2766) - 1)</f>
        <v>&gt;1381:CCCGCA:26.00:83.33:Warning:6:1737.18</v>
      </c>
    </row>
    <row r="2767" spans="1:6" x14ac:dyDescent="0.3">
      <c r="A2767" t="s">
        <v>1387</v>
      </c>
      <c r="F2767" t="str">
        <f t="shared" ref="F2767" si="2759">A2767</f>
        <v>CCCGCA</v>
      </c>
    </row>
    <row r="2768" spans="1:6" x14ac:dyDescent="0.3">
      <c r="A2768" t="s">
        <v>5484</v>
      </c>
      <c r="F2768" t="str">
        <f t="shared" ref="F2768" si="2760">LEFT(A2768, LEN(A2768) - 1)</f>
        <v>&gt;1382:CCCGCC:24.00:100.00:Warning:6:1713.15</v>
      </c>
    </row>
    <row r="2769" spans="1:6" x14ac:dyDescent="0.3">
      <c r="A2769" t="s">
        <v>1388</v>
      </c>
      <c r="F2769" t="str">
        <f t="shared" ref="F2769" si="2761">A2769</f>
        <v>CCCGCC</v>
      </c>
    </row>
    <row r="2770" spans="1:6" x14ac:dyDescent="0.3">
      <c r="A2770" t="s">
        <v>5485</v>
      </c>
      <c r="F2770" t="str">
        <f t="shared" ref="F2770" si="2762">LEFT(A2770, LEN(A2770) - 1)</f>
        <v>&gt;1383:CCCGCG:24.00:100.00:Warning:6:1753.18</v>
      </c>
    </row>
    <row r="2771" spans="1:6" x14ac:dyDescent="0.3">
      <c r="A2771" t="s">
        <v>1389</v>
      </c>
      <c r="F2771" t="str">
        <f t="shared" ref="F2771" si="2763">A2771</f>
        <v>CCCGCG</v>
      </c>
    </row>
    <row r="2772" spans="1:6" x14ac:dyDescent="0.3">
      <c r="A2772" t="s">
        <v>5486</v>
      </c>
      <c r="F2772" t="str">
        <f t="shared" ref="F2772" si="2764">LEFT(A2772, LEN(A2772) - 1)</f>
        <v>&gt;1384:CCCGCT:18.00:83.33:Warning:6:1728.16</v>
      </c>
    </row>
    <row r="2773" spans="1:6" x14ac:dyDescent="0.3">
      <c r="A2773" t="s">
        <v>1390</v>
      </c>
      <c r="F2773" t="str">
        <f t="shared" ref="F2773" si="2765">A2773</f>
        <v>CCCGCT</v>
      </c>
    </row>
    <row r="2774" spans="1:6" x14ac:dyDescent="0.3">
      <c r="A2774" t="s">
        <v>5487</v>
      </c>
      <c r="F2774" t="str">
        <f t="shared" ref="F2774" si="2766">LEFT(A2774, LEN(A2774) - 1)</f>
        <v>&gt;1385:CCCGGA:26.00:83.33:Warning:6:1777.21</v>
      </c>
    </row>
    <row r="2775" spans="1:6" x14ac:dyDescent="0.3">
      <c r="A2775" t="s">
        <v>1391</v>
      </c>
      <c r="F2775" t="str">
        <f t="shared" ref="F2775" si="2767">A2775</f>
        <v>CCCGGA</v>
      </c>
    </row>
    <row r="2776" spans="1:6" x14ac:dyDescent="0.3">
      <c r="A2776" t="s">
        <v>5488</v>
      </c>
      <c r="F2776" t="str">
        <f t="shared" ref="F2776" si="2768">LEFT(A2776, LEN(A2776) - 1)</f>
        <v>&gt;1386:CCCGGC:24.00:100.00:Warning:6:1753.18</v>
      </c>
    </row>
    <row r="2777" spans="1:6" x14ac:dyDescent="0.3">
      <c r="A2777" t="s">
        <v>1392</v>
      </c>
      <c r="F2777" t="str">
        <f t="shared" ref="F2777" si="2769">A2777</f>
        <v>CCCGGC</v>
      </c>
    </row>
    <row r="2778" spans="1:6" x14ac:dyDescent="0.3">
      <c r="A2778" t="s">
        <v>5489</v>
      </c>
      <c r="F2778" t="str">
        <f t="shared" ref="F2778" si="2770">LEFT(A2778, LEN(A2778) - 1)</f>
        <v>&gt;1387:CCCGGG:24.00:100.00:Warning:6:1793.21</v>
      </c>
    </row>
    <row r="2779" spans="1:6" x14ac:dyDescent="0.3">
      <c r="A2779" t="s">
        <v>1393</v>
      </c>
      <c r="F2779" t="str">
        <f t="shared" ref="F2779" si="2771">A2779</f>
        <v>CCCGGG</v>
      </c>
    </row>
    <row r="2780" spans="1:6" x14ac:dyDescent="0.3">
      <c r="A2780" t="s">
        <v>5490</v>
      </c>
      <c r="F2780" t="str">
        <f t="shared" ref="F2780" si="2772">LEFT(A2780, LEN(A2780) - 1)</f>
        <v>&gt;1388:CCCGGT:18.00:83.33:Warning:6:1768.19</v>
      </c>
    </row>
    <row r="2781" spans="1:6" x14ac:dyDescent="0.3">
      <c r="A2781" t="s">
        <v>1394</v>
      </c>
      <c r="F2781" t="str">
        <f t="shared" ref="F2781" si="2773">A2781</f>
        <v>CCCGGT</v>
      </c>
    </row>
    <row r="2782" spans="1:6" x14ac:dyDescent="0.3">
      <c r="A2782" t="s">
        <v>5491</v>
      </c>
      <c r="F2782" t="str">
        <f t="shared" ref="F2782" si="2774">LEFT(A2782, LEN(A2782) - 1)</f>
        <v>&gt;1389:CCCGTA:20.00:66.67:Warning:6:1752.19</v>
      </c>
    </row>
    <row r="2783" spans="1:6" x14ac:dyDescent="0.3">
      <c r="A2783" t="s">
        <v>1395</v>
      </c>
      <c r="F2783" t="str">
        <f t="shared" ref="F2783" si="2775">A2783</f>
        <v>CCCGTA</v>
      </c>
    </row>
    <row r="2784" spans="1:6" x14ac:dyDescent="0.3">
      <c r="A2784" t="s">
        <v>5492</v>
      </c>
      <c r="F2784" t="str">
        <f t="shared" ref="F2784" si="2776">LEFT(A2784, LEN(A2784) - 1)</f>
        <v>&gt;1390:CCCGTC:18.00:83.33:Warning:6:1728.16</v>
      </c>
    </row>
    <row r="2785" spans="1:6" x14ac:dyDescent="0.3">
      <c r="A2785" t="s">
        <v>1396</v>
      </c>
      <c r="F2785" t="str">
        <f t="shared" ref="F2785" si="2777">A2785</f>
        <v>CCCGTC</v>
      </c>
    </row>
    <row r="2786" spans="1:6" x14ac:dyDescent="0.3">
      <c r="A2786" t="s">
        <v>5493</v>
      </c>
      <c r="F2786" t="str">
        <f t="shared" ref="F2786" si="2778">LEFT(A2786, LEN(A2786) - 1)</f>
        <v>&gt;1391:CCCGTG:18.00:83.33:Warning:6:1768.19</v>
      </c>
    </row>
    <row r="2787" spans="1:6" x14ac:dyDescent="0.3">
      <c r="A2787" t="s">
        <v>1397</v>
      </c>
      <c r="F2787" t="str">
        <f t="shared" ref="F2787" si="2779">A2787</f>
        <v>CCCGTG</v>
      </c>
    </row>
    <row r="2788" spans="1:6" x14ac:dyDescent="0.3">
      <c r="A2788" t="s">
        <v>5494</v>
      </c>
      <c r="F2788" t="str">
        <f t="shared" ref="F2788" si="2780">LEFT(A2788, LEN(A2788) - 1)</f>
        <v>&gt;1392:CCCGTT:12.00:66.67:Warning:6:1743.17</v>
      </c>
    </row>
    <row r="2789" spans="1:6" x14ac:dyDescent="0.3">
      <c r="A2789" t="s">
        <v>1398</v>
      </c>
      <c r="F2789" t="str">
        <f t="shared" ref="F2789" si="2781">A2789</f>
        <v>CCCGTT</v>
      </c>
    </row>
    <row r="2790" spans="1:6" x14ac:dyDescent="0.3">
      <c r="A2790" t="s">
        <v>5495</v>
      </c>
      <c r="F2790" t="str">
        <f t="shared" ref="F2790" si="2782">LEFT(A2790, LEN(A2790) - 1)</f>
        <v>&gt;1393:CCCTAA:22.00:50.00:OK:6:1736.19</v>
      </c>
    </row>
    <row r="2791" spans="1:6" x14ac:dyDescent="0.3">
      <c r="A2791" t="s">
        <v>1399</v>
      </c>
      <c r="F2791" t="str">
        <f t="shared" ref="F2791" si="2783">A2791</f>
        <v>CCCTAA</v>
      </c>
    </row>
    <row r="2792" spans="1:6" x14ac:dyDescent="0.3">
      <c r="A2792" t="s">
        <v>5496</v>
      </c>
      <c r="F2792" t="str">
        <f t="shared" ref="F2792" si="2784">LEFT(A2792, LEN(A2792) - 1)</f>
        <v>&gt;1394:CCCTAC:20.00:66.67:Warning:6:1712.16</v>
      </c>
    </row>
    <row r="2793" spans="1:6" x14ac:dyDescent="0.3">
      <c r="A2793" t="s">
        <v>1400</v>
      </c>
      <c r="F2793" t="str">
        <f t="shared" ref="F2793" si="2785">A2793</f>
        <v>CCCTAC</v>
      </c>
    </row>
    <row r="2794" spans="1:6" x14ac:dyDescent="0.3">
      <c r="A2794" t="s">
        <v>5497</v>
      </c>
      <c r="F2794" t="str">
        <f t="shared" ref="F2794" si="2786">LEFT(A2794, LEN(A2794) - 1)</f>
        <v>&gt;1395:CCCTAG:20.00:66.67:Warning:6:1752.19</v>
      </c>
    </row>
    <row r="2795" spans="1:6" x14ac:dyDescent="0.3">
      <c r="A2795" t="s">
        <v>1401</v>
      </c>
      <c r="F2795" t="str">
        <f t="shared" ref="F2795" si="2787">A2795</f>
        <v>CCCTAG</v>
      </c>
    </row>
    <row r="2796" spans="1:6" x14ac:dyDescent="0.3">
      <c r="A2796" t="s">
        <v>5498</v>
      </c>
      <c r="F2796" t="str">
        <f t="shared" ref="F2796" si="2788">LEFT(A2796, LEN(A2796) - 1)</f>
        <v>&gt;1396:CCCTAT:14.00:50.00:OK:6:1727.17</v>
      </c>
    </row>
    <row r="2797" spans="1:6" x14ac:dyDescent="0.3">
      <c r="A2797" t="s">
        <v>1402</v>
      </c>
      <c r="F2797" t="str">
        <f t="shared" ref="F2797" si="2789">A2797</f>
        <v>CCCTAT</v>
      </c>
    </row>
    <row r="2798" spans="1:6" x14ac:dyDescent="0.3">
      <c r="A2798" t="s">
        <v>5499</v>
      </c>
      <c r="F2798" t="str">
        <f t="shared" ref="F2798" si="2790">LEFT(A2798, LEN(A2798) - 1)</f>
        <v>&gt;1397:CCCTCA:20.00:66.67:Warning:6:1712.16</v>
      </c>
    </row>
    <row r="2799" spans="1:6" x14ac:dyDescent="0.3">
      <c r="A2799" t="s">
        <v>1403</v>
      </c>
      <c r="F2799" t="str">
        <f t="shared" ref="F2799" si="2791">A2799</f>
        <v>CCCTCA</v>
      </c>
    </row>
    <row r="2800" spans="1:6" x14ac:dyDescent="0.3">
      <c r="A2800" t="s">
        <v>5500</v>
      </c>
      <c r="F2800" t="str">
        <f t="shared" ref="F2800" si="2792">LEFT(A2800, LEN(A2800) - 1)</f>
        <v>&gt;1398:CCCTCC:18.00:83.33:Warning:6:1688.13</v>
      </c>
    </row>
    <row r="2801" spans="1:6" x14ac:dyDescent="0.3">
      <c r="A2801" t="s">
        <v>1404</v>
      </c>
      <c r="F2801" t="str">
        <f t="shared" ref="F2801" si="2793">A2801</f>
        <v>CCCTCC</v>
      </c>
    </row>
    <row r="2802" spans="1:6" x14ac:dyDescent="0.3">
      <c r="A2802" t="s">
        <v>5501</v>
      </c>
      <c r="F2802" t="str">
        <f t="shared" ref="F2802" si="2794">LEFT(A2802, LEN(A2802) - 1)</f>
        <v>&gt;1399:CCCTCG:18.00:83.33:Warning:6:1728.16</v>
      </c>
    </row>
    <row r="2803" spans="1:6" x14ac:dyDescent="0.3">
      <c r="A2803" t="s">
        <v>1405</v>
      </c>
      <c r="F2803" t="str">
        <f t="shared" ref="F2803" si="2795">A2803</f>
        <v>CCCTCG</v>
      </c>
    </row>
    <row r="2804" spans="1:6" x14ac:dyDescent="0.3">
      <c r="A2804" t="s">
        <v>5502</v>
      </c>
      <c r="F2804" t="str">
        <f t="shared" ref="F2804" si="2796">LEFT(A2804, LEN(A2804) - 1)</f>
        <v>&gt;1400:CCCTCT:12.00:66.67:Warning:6:1703.14</v>
      </c>
    </row>
    <row r="2805" spans="1:6" x14ac:dyDescent="0.3">
      <c r="A2805" t="s">
        <v>1406</v>
      </c>
      <c r="F2805" t="str">
        <f t="shared" ref="F2805" si="2797">A2805</f>
        <v>CCCTCT</v>
      </c>
    </row>
    <row r="2806" spans="1:6" x14ac:dyDescent="0.3">
      <c r="A2806" t="s">
        <v>5503</v>
      </c>
      <c r="F2806" t="str">
        <f t="shared" ref="F2806" si="2798">LEFT(A2806, LEN(A2806) - 1)</f>
        <v>&gt;1401:CCCTGA:20.00:66.67:Warning:6:1752.19</v>
      </c>
    </row>
    <row r="2807" spans="1:6" x14ac:dyDescent="0.3">
      <c r="A2807" t="s">
        <v>1407</v>
      </c>
      <c r="F2807" t="str">
        <f t="shared" ref="F2807" si="2799">A2807</f>
        <v>CCCTGA</v>
      </c>
    </row>
    <row r="2808" spans="1:6" x14ac:dyDescent="0.3">
      <c r="A2808" t="s">
        <v>5504</v>
      </c>
      <c r="F2808" t="str">
        <f t="shared" ref="F2808" si="2800">LEFT(A2808, LEN(A2808) - 1)</f>
        <v>&gt;1402:CCCTGC:18.00:83.33:Warning:6:1728.16</v>
      </c>
    </row>
    <row r="2809" spans="1:6" x14ac:dyDescent="0.3">
      <c r="A2809" t="s">
        <v>1408</v>
      </c>
      <c r="F2809" t="str">
        <f t="shared" ref="F2809" si="2801">A2809</f>
        <v>CCCTGC</v>
      </c>
    </row>
    <row r="2810" spans="1:6" x14ac:dyDescent="0.3">
      <c r="A2810" t="s">
        <v>5505</v>
      </c>
      <c r="F2810" t="str">
        <f t="shared" ref="F2810" si="2802">LEFT(A2810, LEN(A2810) - 1)</f>
        <v>&gt;1403:CCCTGG:18.00:83.33:Warning:6:1768.19</v>
      </c>
    </row>
    <row r="2811" spans="1:6" x14ac:dyDescent="0.3">
      <c r="A2811" t="s">
        <v>1409</v>
      </c>
      <c r="F2811" t="str">
        <f t="shared" ref="F2811" si="2803">A2811</f>
        <v>CCCTGG</v>
      </c>
    </row>
    <row r="2812" spans="1:6" x14ac:dyDescent="0.3">
      <c r="A2812" t="s">
        <v>5506</v>
      </c>
      <c r="F2812" t="str">
        <f t="shared" ref="F2812" si="2804">LEFT(A2812, LEN(A2812) - 1)</f>
        <v>&gt;1404:CCCTGT:12.00:66.67:Warning:6:1743.17</v>
      </c>
    </row>
    <row r="2813" spans="1:6" x14ac:dyDescent="0.3">
      <c r="A2813" t="s">
        <v>1410</v>
      </c>
      <c r="F2813" t="str">
        <f t="shared" ref="F2813" si="2805">A2813</f>
        <v>CCCTGT</v>
      </c>
    </row>
    <row r="2814" spans="1:6" x14ac:dyDescent="0.3">
      <c r="A2814" t="s">
        <v>5507</v>
      </c>
      <c r="F2814" t="str">
        <f t="shared" ref="F2814" si="2806">LEFT(A2814, LEN(A2814) - 1)</f>
        <v>&gt;1405:CCCTTA:14.00:50.00:OK:6:1727.17</v>
      </c>
    </row>
    <row r="2815" spans="1:6" x14ac:dyDescent="0.3">
      <c r="A2815" t="s">
        <v>1411</v>
      </c>
      <c r="F2815" t="str">
        <f t="shared" ref="F2815" si="2807">A2815</f>
        <v>CCCTTA</v>
      </c>
    </row>
    <row r="2816" spans="1:6" x14ac:dyDescent="0.3">
      <c r="A2816" t="s">
        <v>5508</v>
      </c>
      <c r="F2816" t="str">
        <f t="shared" ref="F2816" si="2808">LEFT(A2816, LEN(A2816) - 1)</f>
        <v>&gt;1406:CCCTTC:12.00:66.67:Warning:6:1703.14</v>
      </c>
    </row>
    <row r="2817" spans="1:6" x14ac:dyDescent="0.3">
      <c r="A2817" t="s">
        <v>1412</v>
      </c>
      <c r="F2817" t="str">
        <f t="shared" ref="F2817" si="2809">A2817</f>
        <v>CCCTTC</v>
      </c>
    </row>
    <row r="2818" spans="1:6" x14ac:dyDescent="0.3">
      <c r="A2818" t="s">
        <v>5509</v>
      </c>
      <c r="F2818" t="str">
        <f t="shared" ref="F2818" si="2810">LEFT(A2818, LEN(A2818) - 1)</f>
        <v>&gt;1407:CCCTTG:12.00:66.67:Warning:6:1743.17</v>
      </c>
    </row>
    <row r="2819" spans="1:6" x14ac:dyDescent="0.3">
      <c r="A2819" t="s">
        <v>1413</v>
      </c>
      <c r="F2819" t="str">
        <f t="shared" ref="F2819" si="2811">A2819</f>
        <v>CCCTTG</v>
      </c>
    </row>
    <row r="2820" spans="1:6" x14ac:dyDescent="0.3">
      <c r="A2820" t="s">
        <v>5510</v>
      </c>
      <c r="F2820" t="str">
        <f t="shared" ref="F2820" si="2812">LEFT(A2820, LEN(A2820) - 1)</f>
        <v>&gt;1408:CCCTTT:6.00:50.00:OK:6:1718.15</v>
      </c>
    </row>
    <row r="2821" spans="1:6" x14ac:dyDescent="0.3">
      <c r="A2821" t="s">
        <v>1414</v>
      </c>
      <c r="F2821" t="str">
        <f t="shared" ref="F2821" si="2813">A2821</f>
        <v>CCCTTT</v>
      </c>
    </row>
    <row r="2822" spans="1:6" x14ac:dyDescent="0.3">
      <c r="A2822" t="s">
        <v>5511</v>
      </c>
      <c r="F2822" t="str">
        <f t="shared" ref="F2822" si="2814">LEFT(A2822, LEN(A2822) - 1)</f>
        <v>&gt;1409:CCGAAA:30.00:50.00:OK:6:1785.24</v>
      </c>
    </row>
    <row r="2823" spans="1:6" x14ac:dyDescent="0.3">
      <c r="A2823" t="s">
        <v>1415</v>
      </c>
      <c r="F2823" t="str">
        <f t="shared" ref="F2823" si="2815">A2823</f>
        <v>CCGAAA</v>
      </c>
    </row>
    <row r="2824" spans="1:6" x14ac:dyDescent="0.3">
      <c r="A2824" t="s">
        <v>5512</v>
      </c>
      <c r="F2824" t="str">
        <f t="shared" ref="F2824" si="2816">LEFT(A2824, LEN(A2824) - 1)</f>
        <v>&gt;1410:CCGAAC:28.00:66.67:Warning:6:1761.21</v>
      </c>
    </row>
    <row r="2825" spans="1:6" x14ac:dyDescent="0.3">
      <c r="A2825" t="s">
        <v>1416</v>
      </c>
      <c r="F2825" t="str">
        <f t="shared" ref="F2825" si="2817">A2825</f>
        <v>CCGAAC</v>
      </c>
    </row>
    <row r="2826" spans="1:6" x14ac:dyDescent="0.3">
      <c r="A2826" t="s">
        <v>5513</v>
      </c>
      <c r="F2826" t="str">
        <f t="shared" ref="F2826" si="2818">LEFT(A2826, LEN(A2826) - 1)</f>
        <v>&gt;1411:CCGAAG:28.00:66.67:Warning:6:1801.24</v>
      </c>
    </row>
    <row r="2827" spans="1:6" x14ac:dyDescent="0.3">
      <c r="A2827" t="s">
        <v>1417</v>
      </c>
      <c r="F2827" t="str">
        <f t="shared" ref="F2827" si="2819">A2827</f>
        <v>CCGAAG</v>
      </c>
    </row>
    <row r="2828" spans="1:6" x14ac:dyDescent="0.3">
      <c r="A2828" t="s">
        <v>5514</v>
      </c>
      <c r="F2828" t="str">
        <f t="shared" ref="F2828" si="2820">LEFT(A2828, LEN(A2828) - 1)</f>
        <v>&gt;1412:CCGAAT:22.00:50.00:OK:6:1776.22</v>
      </c>
    </row>
    <row r="2829" spans="1:6" x14ac:dyDescent="0.3">
      <c r="A2829" t="s">
        <v>1418</v>
      </c>
      <c r="F2829" t="str">
        <f t="shared" ref="F2829" si="2821">A2829</f>
        <v>CCGAAT</v>
      </c>
    </row>
    <row r="2830" spans="1:6" x14ac:dyDescent="0.3">
      <c r="A2830" t="s">
        <v>5515</v>
      </c>
      <c r="F2830" t="str">
        <f t="shared" ref="F2830" si="2822">LEFT(A2830, LEN(A2830) - 1)</f>
        <v>&gt;1413:CCGACA:28.00:66.67:Warning:6:1761.21</v>
      </c>
    </row>
    <row r="2831" spans="1:6" x14ac:dyDescent="0.3">
      <c r="A2831" t="s">
        <v>1419</v>
      </c>
      <c r="F2831" t="str">
        <f t="shared" ref="F2831" si="2823">A2831</f>
        <v>CCGACA</v>
      </c>
    </row>
    <row r="2832" spans="1:6" x14ac:dyDescent="0.3">
      <c r="A2832" t="s">
        <v>5516</v>
      </c>
      <c r="F2832" t="str">
        <f t="shared" ref="F2832" si="2824">LEFT(A2832, LEN(A2832) - 1)</f>
        <v>&gt;1414:CCGACC:26.00:83.33:Warning:6:1737.18</v>
      </c>
    </row>
    <row r="2833" spans="1:6" x14ac:dyDescent="0.3">
      <c r="A2833" t="s">
        <v>1420</v>
      </c>
      <c r="F2833" t="str">
        <f t="shared" ref="F2833" si="2825">A2833</f>
        <v>CCGACC</v>
      </c>
    </row>
    <row r="2834" spans="1:6" x14ac:dyDescent="0.3">
      <c r="A2834" t="s">
        <v>5517</v>
      </c>
      <c r="F2834" t="str">
        <f t="shared" ref="F2834" si="2826">LEFT(A2834, LEN(A2834) - 1)</f>
        <v>&gt;1415:CCGACG:26.00:83.33:Warning:6:1777.21</v>
      </c>
    </row>
    <row r="2835" spans="1:6" x14ac:dyDescent="0.3">
      <c r="A2835" t="s">
        <v>1421</v>
      </c>
      <c r="F2835" t="str">
        <f t="shared" ref="F2835" si="2827">A2835</f>
        <v>CCGACG</v>
      </c>
    </row>
    <row r="2836" spans="1:6" x14ac:dyDescent="0.3">
      <c r="A2836" t="s">
        <v>5518</v>
      </c>
      <c r="F2836" t="str">
        <f t="shared" ref="F2836" si="2828">LEFT(A2836, LEN(A2836) - 1)</f>
        <v>&gt;1416:CCGACT:20.00:66.67:Warning:6:1752.19</v>
      </c>
    </row>
    <row r="2837" spans="1:6" x14ac:dyDescent="0.3">
      <c r="A2837" t="s">
        <v>1422</v>
      </c>
      <c r="F2837" t="str">
        <f t="shared" ref="F2837" si="2829">A2837</f>
        <v>CCGACT</v>
      </c>
    </row>
    <row r="2838" spans="1:6" x14ac:dyDescent="0.3">
      <c r="A2838" t="s">
        <v>5519</v>
      </c>
      <c r="F2838" t="str">
        <f t="shared" ref="F2838" si="2830">LEFT(A2838, LEN(A2838) - 1)</f>
        <v>&gt;1417:CCGAGA:28.00:66.67:Warning:6:1801.24</v>
      </c>
    </row>
    <row r="2839" spans="1:6" x14ac:dyDescent="0.3">
      <c r="A2839" t="s">
        <v>1423</v>
      </c>
      <c r="F2839" t="str">
        <f t="shared" ref="F2839" si="2831">A2839</f>
        <v>CCGAGA</v>
      </c>
    </row>
    <row r="2840" spans="1:6" x14ac:dyDescent="0.3">
      <c r="A2840" t="s">
        <v>5520</v>
      </c>
      <c r="F2840" t="str">
        <f t="shared" ref="F2840" si="2832">LEFT(A2840, LEN(A2840) - 1)</f>
        <v>&gt;1418:CCGAGC:26.00:83.33:Warning:6:1777.21</v>
      </c>
    </row>
    <row r="2841" spans="1:6" x14ac:dyDescent="0.3">
      <c r="A2841" t="s">
        <v>1424</v>
      </c>
      <c r="F2841" t="str">
        <f t="shared" ref="F2841" si="2833">A2841</f>
        <v>CCGAGC</v>
      </c>
    </row>
    <row r="2842" spans="1:6" x14ac:dyDescent="0.3">
      <c r="A2842" t="s">
        <v>5521</v>
      </c>
      <c r="F2842" t="str">
        <f t="shared" ref="F2842" si="2834">LEFT(A2842, LEN(A2842) - 1)</f>
        <v>&gt;1419:CCGAGG:26.00:83.33:Warning:6:1817.24</v>
      </c>
    </row>
    <row r="2843" spans="1:6" x14ac:dyDescent="0.3">
      <c r="A2843" t="s">
        <v>1425</v>
      </c>
      <c r="F2843" t="str">
        <f t="shared" ref="F2843" si="2835">A2843</f>
        <v>CCGAGG</v>
      </c>
    </row>
    <row r="2844" spans="1:6" x14ac:dyDescent="0.3">
      <c r="A2844" t="s">
        <v>5522</v>
      </c>
      <c r="F2844" t="str">
        <f t="shared" ref="F2844" si="2836">LEFT(A2844, LEN(A2844) - 1)</f>
        <v>&gt;1420:CCGAGT:20.00:66.67:Warning:6:1792.22</v>
      </c>
    </row>
    <row r="2845" spans="1:6" x14ac:dyDescent="0.3">
      <c r="A2845" t="s">
        <v>1426</v>
      </c>
      <c r="F2845" t="str">
        <f t="shared" ref="F2845" si="2837">A2845</f>
        <v>CCGAGT</v>
      </c>
    </row>
    <row r="2846" spans="1:6" x14ac:dyDescent="0.3">
      <c r="A2846" t="s">
        <v>5523</v>
      </c>
      <c r="F2846" t="str">
        <f t="shared" ref="F2846" si="2838">LEFT(A2846, LEN(A2846) - 1)</f>
        <v>&gt;1421:CCGATA:22.00:50.00:OK:6:1776.22</v>
      </c>
    </row>
    <row r="2847" spans="1:6" x14ac:dyDescent="0.3">
      <c r="A2847" t="s">
        <v>1427</v>
      </c>
      <c r="F2847" t="str">
        <f t="shared" ref="F2847" si="2839">A2847</f>
        <v>CCGATA</v>
      </c>
    </row>
    <row r="2848" spans="1:6" x14ac:dyDescent="0.3">
      <c r="A2848" t="s">
        <v>5524</v>
      </c>
      <c r="F2848" t="str">
        <f t="shared" ref="F2848" si="2840">LEFT(A2848, LEN(A2848) - 1)</f>
        <v>&gt;1422:CCGATC:20.00:66.67:Warning:6:1752.19</v>
      </c>
    </row>
    <row r="2849" spans="1:6" x14ac:dyDescent="0.3">
      <c r="A2849" t="s">
        <v>1428</v>
      </c>
      <c r="F2849" t="str">
        <f t="shared" ref="F2849" si="2841">A2849</f>
        <v>CCGATC</v>
      </c>
    </row>
    <row r="2850" spans="1:6" x14ac:dyDescent="0.3">
      <c r="A2850" t="s">
        <v>5525</v>
      </c>
      <c r="F2850" t="str">
        <f t="shared" ref="F2850" si="2842">LEFT(A2850, LEN(A2850) - 1)</f>
        <v>&gt;1423:CCGATG:20.00:66.67:Warning:6:1792.22</v>
      </c>
    </row>
    <row r="2851" spans="1:6" x14ac:dyDescent="0.3">
      <c r="A2851" t="s">
        <v>1429</v>
      </c>
      <c r="F2851" t="str">
        <f t="shared" ref="F2851" si="2843">A2851</f>
        <v>CCGATG</v>
      </c>
    </row>
    <row r="2852" spans="1:6" x14ac:dyDescent="0.3">
      <c r="A2852" t="s">
        <v>5526</v>
      </c>
      <c r="F2852" t="str">
        <f t="shared" ref="F2852" si="2844">LEFT(A2852, LEN(A2852) - 1)</f>
        <v>&gt;1424:CCGATT:14.00:50.00:OK:6:1767.20</v>
      </c>
    </row>
    <row r="2853" spans="1:6" x14ac:dyDescent="0.3">
      <c r="A2853" t="s">
        <v>1430</v>
      </c>
      <c r="F2853" t="str">
        <f t="shared" ref="F2853" si="2845">A2853</f>
        <v>CCGATT</v>
      </c>
    </row>
    <row r="2854" spans="1:6" x14ac:dyDescent="0.3">
      <c r="A2854" t="s">
        <v>5527</v>
      </c>
      <c r="F2854" t="str">
        <f t="shared" ref="F2854" si="2846">LEFT(A2854, LEN(A2854) - 1)</f>
        <v>&gt;1425:CCGCAA:28.00:66.67:Warning:6:1761.21</v>
      </c>
    </row>
    <row r="2855" spans="1:6" x14ac:dyDescent="0.3">
      <c r="A2855" t="s">
        <v>1431</v>
      </c>
      <c r="F2855" t="str">
        <f t="shared" ref="F2855" si="2847">A2855</f>
        <v>CCGCAA</v>
      </c>
    </row>
    <row r="2856" spans="1:6" x14ac:dyDescent="0.3">
      <c r="A2856" t="s">
        <v>5528</v>
      </c>
      <c r="F2856" t="str">
        <f t="shared" ref="F2856" si="2848">LEFT(A2856, LEN(A2856) - 1)</f>
        <v>&gt;1426:CCGCAC:26.00:83.33:Warning:6:1737.18</v>
      </c>
    </row>
    <row r="2857" spans="1:6" x14ac:dyDescent="0.3">
      <c r="A2857" t="s">
        <v>1432</v>
      </c>
      <c r="F2857" t="str">
        <f t="shared" ref="F2857" si="2849">A2857</f>
        <v>CCGCAC</v>
      </c>
    </row>
    <row r="2858" spans="1:6" x14ac:dyDescent="0.3">
      <c r="A2858" t="s">
        <v>5529</v>
      </c>
      <c r="F2858" t="str">
        <f t="shared" ref="F2858" si="2850">LEFT(A2858, LEN(A2858) - 1)</f>
        <v>&gt;1427:CCGCAG:26.00:83.33:Warning:6:1777.21</v>
      </c>
    </row>
    <row r="2859" spans="1:6" x14ac:dyDescent="0.3">
      <c r="A2859" t="s">
        <v>1433</v>
      </c>
      <c r="F2859" t="str">
        <f t="shared" ref="F2859" si="2851">A2859</f>
        <v>CCGCAG</v>
      </c>
    </row>
    <row r="2860" spans="1:6" x14ac:dyDescent="0.3">
      <c r="A2860" t="s">
        <v>5530</v>
      </c>
      <c r="F2860" t="str">
        <f t="shared" ref="F2860" si="2852">LEFT(A2860, LEN(A2860) - 1)</f>
        <v>&gt;1428:CCGCAT:20.00:66.67:Warning:6:1752.19</v>
      </c>
    </row>
    <row r="2861" spans="1:6" x14ac:dyDescent="0.3">
      <c r="A2861" t="s">
        <v>1434</v>
      </c>
      <c r="F2861" t="str">
        <f t="shared" ref="F2861" si="2853">A2861</f>
        <v>CCGCAT</v>
      </c>
    </row>
    <row r="2862" spans="1:6" x14ac:dyDescent="0.3">
      <c r="A2862" t="s">
        <v>5531</v>
      </c>
      <c r="F2862" t="str">
        <f t="shared" ref="F2862" si="2854">LEFT(A2862, LEN(A2862) - 1)</f>
        <v>&gt;1429:CCGCCA:26.00:83.33:Warning:6:1737.18</v>
      </c>
    </row>
    <row r="2863" spans="1:6" x14ac:dyDescent="0.3">
      <c r="A2863" t="s">
        <v>1435</v>
      </c>
      <c r="F2863" t="str">
        <f t="shared" ref="F2863" si="2855">A2863</f>
        <v>CCGCCA</v>
      </c>
    </row>
    <row r="2864" spans="1:6" x14ac:dyDescent="0.3">
      <c r="A2864" t="s">
        <v>5532</v>
      </c>
      <c r="F2864" t="str">
        <f t="shared" ref="F2864" si="2856">LEFT(A2864, LEN(A2864) - 1)</f>
        <v>&gt;1430:CCGCCC:24.00:100.00:Warning:6:1713.15</v>
      </c>
    </row>
    <row r="2865" spans="1:6" x14ac:dyDescent="0.3">
      <c r="A2865" t="s">
        <v>1436</v>
      </c>
      <c r="F2865" t="str">
        <f t="shared" ref="F2865" si="2857">A2865</f>
        <v>CCGCCC</v>
      </c>
    </row>
    <row r="2866" spans="1:6" x14ac:dyDescent="0.3">
      <c r="A2866" t="s">
        <v>5533</v>
      </c>
      <c r="F2866" t="str">
        <f t="shared" ref="F2866" si="2858">LEFT(A2866, LEN(A2866) - 1)</f>
        <v>&gt;1431:CCGCCG:24.00:100.00:Warning:6:1753.18</v>
      </c>
    </row>
    <row r="2867" spans="1:6" x14ac:dyDescent="0.3">
      <c r="A2867" t="s">
        <v>1437</v>
      </c>
      <c r="F2867" t="str">
        <f t="shared" ref="F2867" si="2859">A2867</f>
        <v>CCGCCG</v>
      </c>
    </row>
    <row r="2868" spans="1:6" x14ac:dyDescent="0.3">
      <c r="A2868" t="s">
        <v>5534</v>
      </c>
      <c r="F2868" t="str">
        <f t="shared" ref="F2868" si="2860">LEFT(A2868, LEN(A2868) - 1)</f>
        <v>&gt;1432:CCGCCT:18.00:83.33:Warning:6:1728.16</v>
      </c>
    </row>
    <row r="2869" spans="1:6" x14ac:dyDescent="0.3">
      <c r="A2869" t="s">
        <v>1438</v>
      </c>
      <c r="F2869" t="str">
        <f t="shared" ref="F2869" si="2861">A2869</f>
        <v>CCGCCT</v>
      </c>
    </row>
    <row r="2870" spans="1:6" x14ac:dyDescent="0.3">
      <c r="A2870" t="s">
        <v>5535</v>
      </c>
      <c r="F2870" t="str">
        <f t="shared" ref="F2870" si="2862">LEFT(A2870, LEN(A2870) - 1)</f>
        <v>&gt;1433:CCGCGA:26.00:83.33:Warning:6:1777.21</v>
      </c>
    </row>
    <row r="2871" spans="1:6" x14ac:dyDescent="0.3">
      <c r="A2871" t="s">
        <v>1439</v>
      </c>
      <c r="F2871" t="str">
        <f t="shared" ref="F2871" si="2863">A2871</f>
        <v>CCGCGA</v>
      </c>
    </row>
    <row r="2872" spans="1:6" x14ac:dyDescent="0.3">
      <c r="A2872" t="s">
        <v>5536</v>
      </c>
      <c r="F2872" t="str">
        <f t="shared" ref="F2872" si="2864">LEFT(A2872, LEN(A2872) - 1)</f>
        <v>&gt;1434:CCGCGC:24.00:100.00:Warning:6:1753.18</v>
      </c>
    </row>
    <row r="2873" spans="1:6" x14ac:dyDescent="0.3">
      <c r="A2873" t="s">
        <v>1440</v>
      </c>
      <c r="F2873" t="str">
        <f t="shared" ref="F2873" si="2865">A2873</f>
        <v>CCGCGC</v>
      </c>
    </row>
    <row r="2874" spans="1:6" x14ac:dyDescent="0.3">
      <c r="A2874" t="s">
        <v>5537</v>
      </c>
      <c r="F2874" t="str">
        <f t="shared" ref="F2874" si="2866">LEFT(A2874, LEN(A2874) - 1)</f>
        <v>&gt;1435:CCGCGG:24.00:100.00:Warning:6:1793.21</v>
      </c>
    </row>
    <row r="2875" spans="1:6" x14ac:dyDescent="0.3">
      <c r="A2875" t="s">
        <v>1441</v>
      </c>
      <c r="F2875" t="str">
        <f t="shared" ref="F2875" si="2867">A2875</f>
        <v>CCGCGG</v>
      </c>
    </row>
    <row r="2876" spans="1:6" x14ac:dyDescent="0.3">
      <c r="A2876" t="s">
        <v>5538</v>
      </c>
      <c r="F2876" t="str">
        <f t="shared" ref="F2876" si="2868">LEFT(A2876, LEN(A2876) - 1)</f>
        <v>&gt;1436:CCGCGT:18.00:83.33:Warning:6:1768.19</v>
      </c>
    </row>
    <row r="2877" spans="1:6" x14ac:dyDescent="0.3">
      <c r="A2877" t="s">
        <v>1442</v>
      </c>
      <c r="F2877" t="str">
        <f t="shared" ref="F2877" si="2869">A2877</f>
        <v>CCGCGT</v>
      </c>
    </row>
    <row r="2878" spans="1:6" x14ac:dyDescent="0.3">
      <c r="A2878" t="s">
        <v>5539</v>
      </c>
      <c r="F2878" t="str">
        <f t="shared" ref="F2878" si="2870">LEFT(A2878, LEN(A2878) - 1)</f>
        <v>&gt;1437:CCGCTA:20.00:66.67:Warning:6:1752.19</v>
      </c>
    </row>
    <row r="2879" spans="1:6" x14ac:dyDescent="0.3">
      <c r="A2879" t="s">
        <v>1443</v>
      </c>
      <c r="F2879" t="str">
        <f t="shared" ref="F2879" si="2871">A2879</f>
        <v>CCGCTA</v>
      </c>
    </row>
    <row r="2880" spans="1:6" x14ac:dyDescent="0.3">
      <c r="A2880" t="s">
        <v>5540</v>
      </c>
      <c r="F2880" t="str">
        <f t="shared" ref="F2880" si="2872">LEFT(A2880, LEN(A2880) - 1)</f>
        <v>&gt;1438:CCGCTC:18.00:83.33:Warning:6:1728.16</v>
      </c>
    </row>
    <row r="2881" spans="1:6" x14ac:dyDescent="0.3">
      <c r="A2881" t="s">
        <v>1444</v>
      </c>
      <c r="F2881" t="str">
        <f t="shared" ref="F2881" si="2873">A2881</f>
        <v>CCGCTC</v>
      </c>
    </row>
    <row r="2882" spans="1:6" x14ac:dyDescent="0.3">
      <c r="A2882" t="s">
        <v>5541</v>
      </c>
      <c r="F2882" t="str">
        <f t="shared" ref="F2882" si="2874">LEFT(A2882, LEN(A2882) - 1)</f>
        <v>&gt;1439:CCGCTG:18.00:83.33:Warning:6:1768.19</v>
      </c>
    </row>
    <row r="2883" spans="1:6" x14ac:dyDescent="0.3">
      <c r="A2883" t="s">
        <v>1445</v>
      </c>
      <c r="F2883" t="str">
        <f t="shared" ref="F2883" si="2875">A2883</f>
        <v>CCGCTG</v>
      </c>
    </row>
    <row r="2884" spans="1:6" x14ac:dyDescent="0.3">
      <c r="A2884" t="s">
        <v>5542</v>
      </c>
      <c r="F2884" t="str">
        <f t="shared" ref="F2884" si="2876">LEFT(A2884, LEN(A2884) - 1)</f>
        <v>&gt;1440:CCGCTT:12.00:66.67:Warning:6:1743.17</v>
      </c>
    </row>
    <row r="2885" spans="1:6" x14ac:dyDescent="0.3">
      <c r="A2885" t="s">
        <v>1446</v>
      </c>
      <c r="F2885" t="str">
        <f t="shared" ref="F2885" si="2877">A2885</f>
        <v>CCGCTT</v>
      </c>
    </row>
    <row r="2886" spans="1:6" x14ac:dyDescent="0.3">
      <c r="A2886" t="s">
        <v>5543</v>
      </c>
      <c r="F2886" t="str">
        <f t="shared" ref="F2886" si="2878">LEFT(A2886, LEN(A2886) - 1)</f>
        <v>&gt;1441:CCGGAA:28.00:66.67:Warning:6:1801.24</v>
      </c>
    </row>
    <row r="2887" spans="1:6" x14ac:dyDescent="0.3">
      <c r="A2887" t="s">
        <v>1447</v>
      </c>
      <c r="F2887" t="str">
        <f t="shared" ref="F2887" si="2879">A2887</f>
        <v>CCGGAA</v>
      </c>
    </row>
    <row r="2888" spans="1:6" x14ac:dyDescent="0.3">
      <c r="A2888" t="s">
        <v>5544</v>
      </c>
      <c r="F2888" t="str">
        <f t="shared" ref="F2888" si="2880">LEFT(A2888, LEN(A2888) - 1)</f>
        <v>&gt;1442:CCGGAC:26.00:83.33:Warning:6:1777.21</v>
      </c>
    </row>
    <row r="2889" spans="1:6" x14ac:dyDescent="0.3">
      <c r="A2889" t="s">
        <v>1448</v>
      </c>
      <c r="F2889" t="str">
        <f t="shared" ref="F2889" si="2881">A2889</f>
        <v>CCGGAC</v>
      </c>
    </row>
    <row r="2890" spans="1:6" x14ac:dyDescent="0.3">
      <c r="A2890" t="s">
        <v>5545</v>
      </c>
      <c r="F2890" t="str">
        <f t="shared" ref="F2890" si="2882">LEFT(A2890, LEN(A2890) - 1)</f>
        <v>&gt;1443:CCGGAG:26.00:83.33:Warning:6:1817.24</v>
      </c>
    </row>
    <row r="2891" spans="1:6" x14ac:dyDescent="0.3">
      <c r="A2891" t="s">
        <v>1449</v>
      </c>
      <c r="F2891" t="str">
        <f t="shared" ref="F2891" si="2883">A2891</f>
        <v>CCGGAG</v>
      </c>
    </row>
    <row r="2892" spans="1:6" x14ac:dyDescent="0.3">
      <c r="A2892" t="s">
        <v>5546</v>
      </c>
      <c r="F2892" t="str">
        <f t="shared" ref="F2892" si="2884">LEFT(A2892, LEN(A2892) - 1)</f>
        <v>&gt;1444:CCGGAT:20.00:66.67:Warning:6:1792.22</v>
      </c>
    </row>
    <row r="2893" spans="1:6" x14ac:dyDescent="0.3">
      <c r="A2893" t="s">
        <v>1450</v>
      </c>
      <c r="F2893" t="str">
        <f t="shared" ref="F2893" si="2885">A2893</f>
        <v>CCGGAT</v>
      </c>
    </row>
    <row r="2894" spans="1:6" x14ac:dyDescent="0.3">
      <c r="A2894" t="s">
        <v>5547</v>
      </c>
      <c r="F2894" t="str">
        <f t="shared" ref="F2894" si="2886">LEFT(A2894, LEN(A2894) - 1)</f>
        <v>&gt;1445:CCGGCA:26.00:83.33:Warning:6:1777.21</v>
      </c>
    </row>
    <row r="2895" spans="1:6" x14ac:dyDescent="0.3">
      <c r="A2895" t="s">
        <v>1451</v>
      </c>
      <c r="F2895" t="str">
        <f t="shared" ref="F2895" si="2887">A2895</f>
        <v>CCGGCA</v>
      </c>
    </row>
    <row r="2896" spans="1:6" x14ac:dyDescent="0.3">
      <c r="A2896" t="s">
        <v>5548</v>
      </c>
      <c r="F2896" t="str">
        <f t="shared" ref="F2896" si="2888">LEFT(A2896, LEN(A2896) - 1)</f>
        <v>&gt;1446:CCGGCC:24.00:100.00:Warning:6:1753.18</v>
      </c>
    </row>
    <row r="2897" spans="1:6" x14ac:dyDescent="0.3">
      <c r="A2897" t="s">
        <v>1452</v>
      </c>
      <c r="F2897" t="str">
        <f t="shared" ref="F2897" si="2889">A2897</f>
        <v>CCGGCC</v>
      </c>
    </row>
    <row r="2898" spans="1:6" x14ac:dyDescent="0.3">
      <c r="A2898" t="s">
        <v>5549</v>
      </c>
      <c r="F2898" t="str">
        <f t="shared" ref="F2898" si="2890">LEFT(A2898, LEN(A2898) - 1)</f>
        <v>&gt;1447:CCGGCG:24.00:100.00:Warning:6:1793.21</v>
      </c>
    </row>
    <row r="2899" spans="1:6" x14ac:dyDescent="0.3">
      <c r="A2899" t="s">
        <v>1453</v>
      </c>
      <c r="F2899" t="str">
        <f t="shared" ref="F2899" si="2891">A2899</f>
        <v>CCGGCG</v>
      </c>
    </row>
    <row r="2900" spans="1:6" x14ac:dyDescent="0.3">
      <c r="A2900" t="s">
        <v>5550</v>
      </c>
      <c r="F2900" t="str">
        <f t="shared" ref="F2900" si="2892">LEFT(A2900, LEN(A2900) - 1)</f>
        <v>&gt;1448:CCGGCT:18.00:83.33:Warning:6:1768.19</v>
      </c>
    </row>
    <row r="2901" spans="1:6" x14ac:dyDescent="0.3">
      <c r="A2901" t="s">
        <v>1454</v>
      </c>
      <c r="F2901" t="str">
        <f t="shared" ref="F2901" si="2893">A2901</f>
        <v>CCGGCT</v>
      </c>
    </row>
    <row r="2902" spans="1:6" x14ac:dyDescent="0.3">
      <c r="A2902" t="s">
        <v>5551</v>
      </c>
      <c r="F2902" t="str">
        <f t="shared" ref="F2902" si="2894">LEFT(A2902, LEN(A2902) - 1)</f>
        <v>&gt;1449:CCGGGA:26.00:83.33:Warning:6:1817.24</v>
      </c>
    </row>
    <row r="2903" spans="1:6" x14ac:dyDescent="0.3">
      <c r="A2903" t="s">
        <v>1455</v>
      </c>
      <c r="F2903" t="str">
        <f t="shared" ref="F2903" si="2895">A2903</f>
        <v>CCGGGA</v>
      </c>
    </row>
    <row r="2904" spans="1:6" x14ac:dyDescent="0.3">
      <c r="A2904" t="s">
        <v>5552</v>
      </c>
      <c r="F2904" t="str">
        <f t="shared" ref="F2904" si="2896">LEFT(A2904, LEN(A2904) - 1)</f>
        <v>&gt;1450:CCGGGC:24.00:100.00:Warning:6:1793.21</v>
      </c>
    </row>
    <row r="2905" spans="1:6" x14ac:dyDescent="0.3">
      <c r="A2905" t="s">
        <v>1456</v>
      </c>
      <c r="F2905" t="str">
        <f t="shared" ref="F2905" si="2897">A2905</f>
        <v>CCGGGC</v>
      </c>
    </row>
    <row r="2906" spans="1:6" x14ac:dyDescent="0.3">
      <c r="A2906" t="s">
        <v>5553</v>
      </c>
      <c r="F2906" t="str">
        <f t="shared" ref="F2906" si="2898">LEFT(A2906, LEN(A2906) - 1)</f>
        <v>&gt;1451:CCGGGG:24.00:100.00:Warning:6:1833.24</v>
      </c>
    </row>
    <row r="2907" spans="1:6" x14ac:dyDescent="0.3">
      <c r="A2907" t="s">
        <v>1457</v>
      </c>
      <c r="F2907" t="str">
        <f t="shared" ref="F2907" si="2899">A2907</f>
        <v>CCGGGG</v>
      </c>
    </row>
    <row r="2908" spans="1:6" x14ac:dyDescent="0.3">
      <c r="A2908" t="s">
        <v>5554</v>
      </c>
      <c r="F2908" t="str">
        <f t="shared" ref="F2908" si="2900">LEFT(A2908, LEN(A2908) - 1)</f>
        <v>&gt;1452:CCGGGT:18.00:83.33:Warning:6:1808.22</v>
      </c>
    </row>
    <row r="2909" spans="1:6" x14ac:dyDescent="0.3">
      <c r="A2909" t="s">
        <v>1458</v>
      </c>
      <c r="F2909" t="str">
        <f t="shared" ref="F2909" si="2901">A2909</f>
        <v>CCGGGT</v>
      </c>
    </row>
    <row r="2910" spans="1:6" x14ac:dyDescent="0.3">
      <c r="A2910" t="s">
        <v>5555</v>
      </c>
      <c r="F2910" t="str">
        <f t="shared" ref="F2910" si="2902">LEFT(A2910, LEN(A2910) - 1)</f>
        <v>&gt;1453:CCGGTA:20.00:66.67:Warning:6:1792.22</v>
      </c>
    </row>
    <row r="2911" spans="1:6" x14ac:dyDescent="0.3">
      <c r="A2911" t="s">
        <v>1459</v>
      </c>
      <c r="F2911" t="str">
        <f t="shared" ref="F2911" si="2903">A2911</f>
        <v>CCGGTA</v>
      </c>
    </row>
    <row r="2912" spans="1:6" x14ac:dyDescent="0.3">
      <c r="A2912" t="s">
        <v>5556</v>
      </c>
      <c r="F2912" t="str">
        <f t="shared" ref="F2912" si="2904">LEFT(A2912, LEN(A2912) - 1)</f>
        <v>&gt;1454:CCGGTC:18.00:83.33:Warning:6:1768.19</v>
      </c>
    </row>
    <row r="2913" spans="1:6" x14ac:dyDescent="0.3">
      <c r="A2913" t="s">
        <v>1460</v>
      </c>
      <c r="F2913" t="str">
        <f t="shared" ref="F2913" si="2905">A2913</f>
        <v>CCGGTC</v>
      </c>
    </row>
    <row r="2914" spans="1:6" x14ac:dyDescent="0.3">
      <c r="A2914" t="s">
        <v>5557</v>
      </c>
      <c r="F2914" t="str">
        <f t="shared" ref="F2914" si="2906">LEFT(A2914, LEN(A2914) - 1)</f>
        <v>&gt;1455:CCGGTG:18.00:83.33:Warning:6:1808.22</v>
      </c>
    </row>
    <row r="2915" spans="1:6" x14ac:dyDescent="0.3">
      <c r="A2915" t="s">
        <v>1461</v>
      </c>
      <c r="F2915" t="str">
        <f t="shared" ref="F2915" si="2907">A2915</f>
        <v>CCGGTG</v>
      </c>
    </row>
    <row r="2916" spans="1:6" x14ac:dyDescent="0.3">
      <c r="A2916" t="s">
        <v>5558</v>
      </c>
      <c r="F2916" t="str">
        <f t="shared" ref="F2916" si="2908">LEFT(A2916, LEN(A2916) - 1)</f>
        <v>&gt;1456:CCGGTT:12.00:66.67:Warning:6:1783.20</v>
      </c>
    </row>
    <row r="2917" spans="1:6" x14ac:dyDescent="0.3">
      <c r="A2917" t="s">
        <v>1462</v>
      </c>
      <c r="F2917" t="str">
        <f t="shared" ref="F2917" si="2909">A2917</f>
        <v>CCGGTT</v>
      </c>
    </row>
    <row r="2918" spans="1:6" x14ac:dyDescent="0.3">
      <c r="A2918" t="s">
        <v>5559</v>
      </c>
      <c r="F2918" t="str">
        <f t="shared" ref="F2918" si="2910">LEFT(A2918, LEN(A2918) - 1)</f>
        <v>&gt;1457:CCGTAA:22.00:50.00:OK:6:1776.22</v>
      </c>
    </row>
    <row r="2919" spans="1:6" x14ac:dyDescent="0.3">
      <c r="A2919" t="s">
        <v>1463</v>
      </c>
      <c r="F2919" t="str">
        <f t="shared" ref="F2919" si="2911">A2919</f>
        <v>CCGTAA</v>
      </c>
    </row>
    <row r="2920" spans="1:6" x14ac:dyDescent="0.3">
      <c r="A2920" t="s">
        <v>5560</v>
      </c>
      <c r="F2920" t="str">
        <f t="shared" ref="F2920" si="2912">LEFT(A2920, LEN(A2920) - 1)</f>
        <v>&gt;1458:CCGTAC:20.00:66.67:Warning:6:1752.19</v>
      </c>
    </row>
    <row r="2921" spans="1:6" x14ac:dyDescent="0.3">
      <c r="A2921" t="s">
        <v>1464</v>
      </c>
      <c r="F2921" t="str">
        <f t="shared" ref="F2921" si="2913">A2921</f>
        <v>CCGTAC</v>
      </c>
    </row>
    <row r="2922" spans="1:6" x14ac:dyDescent="0.3">
      <c r="A2922" t="s">
        <v>5561</v>
      </c>
      <c r="F2922" t="str">
        <f t="shared" ref="F2922" si="2914">LEFT(A2922, LEN(A2922) - 1)</f>
        <v>&gt;1459:CCGTAG:20.00:66.67:Warning:6:1792.22</v>
      </c>
    </row>
    <row r="2923" spans="1:6" x14ac:dyDescent="0.3">
      <c r="A2923" t="s">
        <v>1465</v>
      </c>
      <c r="F2923" t="str">
        <f t="shared" ref="F2923" si="2915">A2923</f>
        <v>CCGTAG</v>
      </c>
    </row>
    <row r="2924" spans="1:6" x14ac:dyDescent="0.3">
      <c r="A2924" t="s">
        <v>5562</v>
      </c>
      <c r="F2924" t="str">
        <f t="shared" ref="F2924" si="2916">LEFT(A2924, LEN(A2924) - 1)</f>
        <v>&gt;1460:CCGTAT:14.00:50.00:OK:6:1767.20</v>
      </c>
    </row>
    <row r="2925" spans="1:6" x14ac:dyDescent="0.3">
      <c r="A2925" t="s">
        <v>1466</v>
      </c>
      <c r="F2925" t="str">
        <f t="shared" ref="F2925" si="2917">A2925</f>
        <v>CCGTAT</v>
      </c>
    </row>
    <row r="2926" spans="1:6" x14ac:dyDescent="0.3">
      <c r="A2926" t="s">
        <v>5563</v>
      </c>
      <c r="F2926" t="str">
        <f t="shared" ref="F2926" si="2918">LEFT(A2926, LEN(A2926) - 1)</f>
        <v>&gt;1461:CCGTCA:20.00:66.67:Warning:6:1752.19</v>
      </c>
    </row>
    <row r="2927" spans="1:6" x14ac:dyDescent="0.3">
      <c r="A2927" t="s">
        <v>1467</v>
      </c>
      <c r="F2927" t="str">
        <f t="shared" ref="F2927" si="2919">A2927</f>
        <v>CCGTCA</v>
      </c>
    </row>
    <row r="2928" spans="1:6" x14ac:dyDescent="0.3">
      <c r="A2928" t="s">
        <v>5564</v>
      </c>
      <c r="F2928" t="str">
        <f t="shared" ref="F2928" si="2920">LEFT(A2928, LEN(A2928) - 1)</f>
        <v>&gt;1462:CCGTCC:18.00:83.33:Warning:6:1728.16</v>
      </c>
    </row>
    <row r="2929" spans="1:6" x14ac:dyDescent="0.3">
      <c r="A2929" t="s">
        <v>1468</v>
      </c>
      <c r="F2929" t="str">
        <f t="shared" ref="F2929" si="2921">A2929</f>
        <v>CCGTCC</v>
      </c>
    </row>
    <row r="2930" spans="1:6" x14ac:dyDescent="0.3">
      <c r="A2930" t="s">
        <v>5565</v>
      </c>
      <c r="F2930" t="str">
        <f t="shared" ref="F2930" si="2922">LEFT(A2930, LEN(A2930) - 1)</f>
        <v>&gt;1463:CCGTCG:18.00:83.33:Warning:6:1768.19</v>
      </c>
    </row>
    <row r="2931" spans="1:6" x14ac:dyDescent="0.3">
      <c r="A2931" t="s">
        <v>1469</v>
      </c>
      <c r="F2931" t="str">
        <f t="shared" ref="F2931" si="2923">A2931</f>
        <v>CCGTCG</v>
      </c>
    </row>
    <row r="2932" spans="1:6" x14ac:dyDescent="0.3">
      <c r="A2932" t="s">
        <v>5566</v>
      </c>
      <c r="F2932" t="str">
        <f t="shared" ref="F2932" si="2924">LEFT(A2932, LEN(A2932) - 1)</f>
        <v>&gt;1464:CCGTCT:12.00:66.67:Warning:6:1743.17</v>
      </c>
    </row>
    <row r="2933" spans="1:6" x14ac:dyDescent="0.3">
      <c r="A2933" t="s">
        <v>1470</v>
      </c>
      <c r="F2933" t="str">
        <f t="shared" ref="F2933" si="2925">A2933</f>
        <v>CCGTCT</v>
      </c>
    </row>
    <row r="2934" spans="1:6" x14ac:dyDescent="0.3">
      <c r="A2934" t="s">
        <v>5567</v>
      </c>
      <c r="F2934" t="str">
        <f t="shared" ref="F2934" si="2926">LEFT(A2934, LEN(A2934) - 1)</f>
        <v>&gt;1465:CCGTGA:20.00:66.67:Warning:6:1792.22</v>
      </c>
    </row>
    <row r="2935" spans="1:6" x14ac:dyDescent="0.3">
      <c r="A2935" t="s">
        <v>1471</v>
      </c>
      <c r="F2935" t="str">
        <f t="shared" ref="F2935" si="2927">A2935</f>
        <v>CCGTGA</v>
      </c>
    </row>
    <row r="2936" spans="1:6" x14ac:dyDescent="0.3">
      <c r="A2936" t="s">
        <v>5568</v>
      </c>
      <c r="F2936" t="str">
        <f t="shared" ref="F2936" si="2928">LEFT(A2936, LEN(A2936) - 1)</f>
        <v>&gt;1466:CCGTGC:18.00:83.33:Warning:6:1768.19</v>
      </c>
    </row>
    <row r="2937" spans="1:6" x14ac:dyDescent="0.3">
      <c r="A2937" t="s">
        <v>1472</v>
      </c>
      <c r="F2937" t="str">
        <f t="shared" ref="F2937" si="2929">A2937</f>
        <v>CCGTGC</v>
      </c>
    </row>
    <row r="2938" spans="1:6" x14ac:dyDescent="0.3">
      <c r="A2938" t="s">
        <v>5569</v>
      </c>
      <c r="F2938" t="str">
        <f t="shared" ref="F2938" si="2930">LEFT(A2938, LEN(A2938) - 1)</f>
        <v>&gt;1467:CCGTGG:18.00:83.33:Warning:6:1808.22</v>
      </c>
    </row>
    <row r="2939" spans="1:6" x14ac:dyDescent="0.3">
      <c r="A2939" t="s">
        <v>1473</v>
      </c>
      <c r="F2939" t="str">
        <f t="shared" ref="F2939" si="2931">A2939</f>
        <v>CCGTGG</v>
      </c>
    </row>
    <row r="2940" spans="1:6" x14ac:dyDescent="0.3">
      <c r="A2940" t="s">
        <v>5570</v>
      </c>
      <c r="F2940" t="str">
        <f t="shared" ref="F2940" si="2932">LEFT(A2940, LEN(A2940) - 1)</f>
        <v>&gt;1468:CCGTGT:12.00:66.67:Warning:6:1783.20</v>
      </c>
    </row>
    <row r="2941" spans="1:6" x14ac:dyDescent="0.3">
      <c r="A2941" t="s">
        <v>1474</v>
      </c>
      <c r="F2941" t="str">
        <f t="shared" ref="F2941" si="2933">A2941</f>
        <v>CCGTGT</v>
      </c>
    </row>
    <row r="2942" spans="1:6" x14ac:dyDescent="0.3">
      <c r="A2942" t="s">
        <v>5571</v>
      </c>
      <c r="F2942" t="str">
        <f t="shared" ref="F2942" si="2934">LEFT(A2942, LEN(A2942) - 1)</f>
        <v>&gt;1469:CCGTTA:14.00:50.00:OK:6:1767.20</v>
      </c>
    </row>
    <row r="2943" spans="1:6" x14ac:dyDescent="0.3">
      <c r="A2943" t="s">
        <v>1475</v>
      </c>
      <c r="F2943" t="str">
        <f t="shared" ref="F2943" si="2935">A2943</f>
        <v>CCGTTA</v>
      </c>
    </row>
    <row r="2944" spans="1:6" x14ac:dyDescent="0.3">
      <c r="A2944" t="s">
        <v>5572</v>
      </c>
      <c r="F2944" t="str">
        <f t="shared" ref="F2944" si="2936">LEFT(A2944, LEN(A2944) - 1)</f>
        <v>&gt;1470:CCGTTC:12.00:66.67:Warning:6:1743.17</v>
      </c>
    </row>
    <row r="2945" spans="1:6" x14ac:dyDescent="0.3">
      <c r="A2945" t="s">
        <v>1476</v>
      </c>
      <c r="F2945" t="str">
        <f t="shared" ref="F2945" si="2937">A2945</f>
        <v>CCGTTC</v>
      </c>
    </row>
    <row r="2946" spans="1:6" x14ac:dyDescent="0.3">
      <c r="A2946" t="s">
        <v>5573</v>
      </c>
      <c r="F2946" t="str">
        <f t="shared" ref="F2946" si="2938">LEFT(A2946, LEN(A2946) - 1)</f>
        <v>&gt;1471:CCGTTG:12.00:66.67:Warning:6:1783.20</v>
      </c>
    </row>
    <row r="2947" spans="1:6" x14ac:dyDescent="0.3">
      <c r="A2947" t="s">
        <v>1477</v>
      </c>
      <c r="F2947" t="str">
        <f t="shared" ref="F2947" si="2939">A2947</f>
        <v>CCGTTG</v>
      </c>
    </row>
    <row r="2948" spans="1:6" x14ac:dyDescent="0.3">
      <c r="A2948" t="s">
        <v>5574</v>
      </c>
      <c r="F2948" t="str">
        <f t="shared" ref="F2948" si="2940">LEFT(A2948, LEN(A2948) - 1)</f>
        <v>&gt;1472:CCGTTT:6.00:50.00:OK:6:1758.18</v>
      </c>
    </row>
    <row r="2949" spans="1:6" x14ac:dyDescent="0.3">
      <c r="A2949" t="s">
        <v>1478</v>
      </c>
      <c r="F2949" t="str">
        <f t="shared" ref="F2949" si="2941">A2949</f>
        <v>CCGTTT</v>
      </c>
    </row>
    <row r="2950" spans="1:6" x14ac:dyDescent="0.3">
      <c r="A2950" t="s">
        <v>5575</v>
      </c>
      <c r="F2950" t="str">
        <f t="shared" ref="F2950" si="2942">LEFT(A2950, LEN(A2950) - 1)</f>
        <v>&gt;1473:CCTAAA:24.00:33.33:OK:6:1760.22</v>
      </c>
    </row>
    <row r="2951" spans="1:6" x14ac:dyDescent="0.3">
      <c r="A2951" t="s">
        <v>1479</v>
      </c>
      <c r="F2951" t="str">
        <f t="shared" ref="F2951" si="2943">A2951</f>
        <v>CCTAAA</v>
      </c>
    </row>
    <row r="2952" spans="1:6" x14ac:dyDescent="0.3">
      <c r="A2952" t="s">
        <v>5576</v>
      </c>
      <c r="F2952" t="str">
        <f t="shared" ref="F2952" si="2944">LEFT(A2952, LEN(A2952) - 1)</f>
        <v>&gt;1474:CCTAAC:22.00:50.00:OK:6:1736.19</v>
      </c>
    </row>
    <row r="2953" spans="1:6" x14ac:dyDescent="0.3">
      <c r="A2953" t="s">
        <v>1480</v>
      </c>
      <c r="F2953" t="str">
        <f t="shared" ref="F2953" si="2945">A2953</f>
        <v>CCTAAC</v>
      </c>
    </row>
    <row r="2954" spans="1:6" x14ac:dyDescent="0.3">
      <c r="A2954" t="s">
        <v>5577</v>
      </c>
      <c r="F2954" t="str">
        <f t="shared" ref="F2954" si="2946">LEFT(A2954, LEN(A2954) - 1)</f>
        <v>&gt;1475:CCTAAG:22.00:50.00:OK:6:1776.22</v>
      </c>
    </row>
    <row r="2955" spans="1:6" x14ac:dyDescent="0.3">
      <c r="A2955" t="s">
        <v>1481</v>
      </c>
      <c r="F2955" t="str">
        <f t="shared" ref="F2955" si="2947">A2955</f>
        <v>CCTAAG</v>
      </c>
    </row>
    <row r="2956" spans="1:6" x14ac:dyDescent="0.3">
      <c r="A2956" t="s">
        <v>5578</v>
      </c>
      <c r="F2956" t="str">
        <f t="shared" ref="F2956" si="2948">LEFT(A2956, LEN(A2956) - 1)</f>
        <v>&gt;1476:CCTAAT:16.00:33.33:OK:6:1751.20</v>
      </c>
    </row>
    <row r="2957" spans="1:6" x14ac:dyDescent="0.3">
      <c r="A2957" t="s">
        <v>1482</v>
      </c>
      <c r="F2957" t="str">
        <f t="shared" ref="F2957" si="2949">A2957</f>
        <v>CCTAAT</v>
      </c>
    </row>
    <row r="2958" spans="1:6" x14ac:dyDescent="0.3">
      <c r="A2958" t="s">
        <v>5579</v>
      </c>
      <c r="F2958" t="str">
        <f t="shared" ref="F2958" si="2950">LEFT(A2958, LEN(A2958) - 1)</f>
        <v>&gt;1477:CCTACA:22.00:50.00:OK:6:1736.19</v>
      </c>
    </row>
    <row r="2959" spans="1:6" x14ac:dyDescent="0.3">
      <c r="A2959" t="s">
        <v>1483</v>
      </c>
      <c r="F2959" t="str">
        <f t="shared" ref="F2959" si="2951">A2959</f>
        <v>CCTACA</v>
      </c>
    </row>
    <row r="2960" spans="1:6" x14ac:dyDescent="0.3">
      <c r="A2960" t="s">
        <v>5580</v>
      </c>
      <c r="F2960" t="str">
        <f t="shared" ref="F2960" si="2952">LEFT(A2960, LEN(A2960) - 1)</f>
        <v>&gt;1478:CCTACC:20.00:66.67:Warning:6:1712.16</v>
      </c>
    </row>
    <row r="2961" spans="1:6" x14ac:dyDescent="0.3">
      <c r="A2961" t="s">
        <v>1484</v>
      </c>
      <c r="F2961" t="str">
        <f t="shared" ref="F2961" si="2953">A2961</f>
        <v>CCTACC</v>
      </c>
    </row>
    <row r="2962" spans="1:6" x14ac:dyDescent="0.3">
      <c r="A2962" t="s">
        <v>5581</v>
      </c>
      <c r="F2962" t="str">
        <f t="shared" ref="F2962" si="2954">LEFT(A2962, LEN(A2962) - 1)</f>
        <v>&gt;1479:CCTACG:20.00:66.67:Warning:6:1752.19</v>
      </c>
    </row>
    <row r="2963" spans="1:6" x14ac:dyDescent="0.3">
      <c r="A2963" t="s">
        <v>1485</v>
      </c>
      <c r="F2963" t="str">
        <f t="shared" ref="F2963" si="2955">A2963</f>
        <v>CCTACG</v>
      </c>
    </row>
    <row r="2964" spans="1:6" x14ac:dyDescent="0.3">
      <c r="A2964" t="s">
        <v>5582</v>
      </c>
      <c r="F2964" t="str">
        <f t="shared" ref="F2964" si="2956">LEFT(A2964, LEN(A2964) - 1)</f>
        <v>&gt;1480:CCTACT:14.00:50.00:OK:6:1727.17</v>
      </c>
    </row>
    <row r="2965" spans="1:6" x14ac:dyDescent="0.3">
      <c r="A2965" t="s">
        <v>1486</v>
      </c>
      <c r="F2965" t="str">
        <f t="shared" ref="F2965" si="2957">A2965</f>
        <v>CCTACT</v>
      </c>
    </row>
    <row r="2966" spans="1:6" x14ac:dyDescent="0.3">
      <c r="A2966" t="s">
        <v>5583</v>
      </c>
      <c r="F2966" t="str">
        <f t="shared" ref="F2966" si="2958">LEFT(A2966, LEN(A2966) - 1)</f>
        <v>&gt;1481:CCTAGA:22.00:50.00:OK:6:1776.22</v>
      </c>
    </row>
    <row r="2967" spans="1:6" x14ac:dyDescent="0.3">
      <c r="A2967" t="s">
        <v>1487</v>
      </c>
      <c r="F2967" t="str">
        <f t="shared" ref="F2967" si="2959">A2967</f>
        <v>CCTAGA</v>
      </c>
    </row>
    <row r="2968" spans="1:6" x14ac:dyDescent="0.3">
      <c r="A2968" t="s">
        <v>5584</v>
      </c>
      <c r="F2968" t="str">
        <f t="shared" ref="F2968" si="2960">LEFT(A2968, LEN(A2968) - 1)</f>
        <v>&gt;1482:CCTAGC:20.00:66.67:Warning:6:1752.19</v>
      </c>
    </row>
    <row r="2969" spans="1:6" x14ac:dyDescent="0.3">
      <c r="A2969" t="s">
        <v>1488</v>
      </c>
      <c r="F2969" t="str">
        <f t="shared" ref="F2969" si="2961">A2969</f>
        <v>CCTAGC</v>
      </c>
    </row>
    <row r="2970" spans="1:6" x14ac:dyDescent="0.3">
      <c r="A2970" t="s">
        <v>5585</v>
      </c>
      <c r="F2970" t="str">
        <f t="shared" ref="F2970" si="2962">LEFT(A2970, LEN(A2970) - 1)</f>
        <v>&gt;1483:CCTAGG:20.00:66.67:Warning:6:1792.22</v>
      </c>
    </row>
    <row r="2971" spans="1:6" x14ac:dyDescent="0.3">
      <c r="A2971" t="s">
        <v>1489</v>
      </c>
      <c r="F2971" t="str">
        <f t="shared" ref="F2971" si="2963">A2971</f>
        <v>CCTAGG</v>
      </c>
    </row>
    <row r="2972" spans="1:6" x14ac:dyDescent="0.3">
      <c r="A2972" t="s">
        <v>5586</v>
      </c>
      <c r="F2972" t="str">
        <f t="shared" ref="F2972" si="2964">LEFT(A2972, LEN(A2972) - 1)</f>
        <v>&gt;1484:CCTAGT:14.00:50.00:OK:6:1767.20</v>
      </c>
    </row>
    <row r="2973" spans="1:6" x14ac:dyDescent="0.3">
      <c r="A2973" t="s">
        <v>1490</v>
      </c>
      <c r="F2973" t="str">
        <f t="shared" ref="F2973" si="2965">A2973</f>
        <v>CCTAGT</v>
      </c>
    </row>
    <row r="2974" spans="1:6" x14ac:dyDescent="0.3">
      <c r="A2974" t="s">
        <v>5587</v>
      </c>
      <c r="F2974" t="str">
        <f t="shared" ref="F2974" si="2966">LEFT(A2974, LEN(A2974) - 1)</f>
        <v>&gt;1485:CCTATA:16.00:33.33:OK:6:1751.20</v>
      </c>
    </row>
    <row r="2975" spans="1:6" x14ac:dyDescent="0.3">
      <c r="A2975" t="s">
        <v>1491</v>
      </c>
      <c r="F2975" t="str">
        <f t="shared" ref="F2975" si="2967">A2975</f>
        <v>CCTATA</v>
      </c>
    </row>
    <row r="2976" spans="1:6" x14ac:dyDescent="0.3">
      <c r="A2976" t="s">
        <v>5588</v>
      </c>
      <c r="F2976" t="str">
        <f t="shared" ref="F2976" si="2968">LEFT(A2976, LEN(A2976) - 1)</f>
        <v>&gt;1486:CCTATC:14.00:50.00:OK:6:1727.17</v>
      </c>
    </row>
    <row r="2977" spans="1:6" x14ac:dyDescent="0.3">
      <c r="A2977" t="s">
        <v>1492</v>
      </c>
      <c r="F2977" t="str">
        <f t="shared" ref="F2977" si="2969">A2977</f>
        <v>CCTATC</v>
      </c>
    </row>
    <row r="2978" spans="1:6" x14ac:dyDescent="0.3">
      <c r="A2978" t="s">
        <v>5589</v>
      </c>
      <c r="F2978" t="str">
        <f t="shared" ref="F2978" si="2970">LEFT(A2978, LEN(A2978) - 1)</f>
        <v>&gt;1487:CCTATG:14.00:50.00:OK:6:1767.20</v>
      </c>
    </row>
    <row r="2979" spans="1:6" x14ac:dyDescent="0.3">
      <c r="A2979" t="s">
        <v>1493</v>
      </c>
      <c r="F2979" t="str">
        <f t="shared" ref="F2979" si="2971">A2979</f>
        <v>CCTATG</v>
      </c>
    </row>
    <row r="2980" spans="1:6" x14ac:dyDescent="0.3">
      <c r="A2980" t="s">
        <v>5590</v>
      </c>
      <c r="F2980" t="str">
        <f t="shared" ref="F2980" si="2972">LEFT(A2980, LEN(A2980) - 1)</f>
        <v>&gt;1488:CCTATT:8.00:33.33:OK:6:1742.18</v>
      </c>
    </row>
    <row r="2981" spans="1:6" x14ac:dyDescent="0.3">
      <c r="A2981" t="s">
        <v>1494</v>
      </c>
      <c r="F2981" t="str">
        <f t="shared" ref="F2981" si="2973">A2981</f>
        <v>CCTATT</v>
      </c>
    </row>
    <row r="2982" spans="1:6" x14ac:dyDescent="0.3">
      <c r="A2982" t="s">
        <v>5591</v>
      </c>
      <c r="F2982" t="str">
        <f t="shared" ref="F2982" si="2974">LEFT(A2982, LEN(A2982) - 1)</f>
        <v>&gt;1489:CCTCAA:22.00:50.00:OK:6:1736.19</v>
      </c>
    </row>
    <row r="2983" spans="1:6" x14ac:dyDescent="0.3">
      <c r="A2983" t="s">
        <v>1495</v>
      </c>
      <c r="F2983" t="str">
        <f t="shared" ref="F2983" si="2975">A2983</f>
        <v>CCTCAA</v>
      </c>
    </row>
    <row r="2984" spans="1:6" x14ac:dyDescent="0.3">
      <c r="A2984" t="s">
        <v>5592</v>
      </c>
      <c r="F2984" t="str">
        <f t="shared" ref="F2984" si="2976">LEFT(A2984, LEN(A2984) - 1)</f>
        <v>&gt;1490:CCTCAC:20.00:66.67:Warning:6:1712.16</v>
      </c>
    </row>
    <row r="2985" spans="1:6" x14ac:dyDescent="0.3">
      <c r="A2985" t="s">
        <v>1496</v>
      </c>
      <c r="F2985" t="str">
        <f t="shared" ref="F2985" si="2977">A2985</f>
        <v>CCTCAC</v>
      </c>
    </row>
    <row r="2986" spans="1:6" x14ac:dyDescent="0.3">
      <c r="A2986" t="s">
        <v>5593</v>
      </c>
      <c r="F2986" t="str">
        <f t="shared" ref="F2986" si="2978">LEFT(A2986, LEN(A2986) - 1)</f>
        <v>&gt;1491:CCTCAG:20.00:66.67:Warning:6:1752.19</v>
      </c>
    </row>
    <row r="2987" spans="1:6" x14ac:dyDescent="0.3">
      <c r="A2987" t="s">
        <v>1497</v>
      </c>
      <c r="F2987" t="str">
        <f t="shared" ref="F2987" si="2979">A2987</f>
        <v>CCTCAG</v>
      </c>
    </row>
    <row r="2988" spans="1:6" x14ac:dyDescent="0.3">
      <c r="A2988" t="s">
        <v>5594</v>
      </c>
      <c r="F2988" t="str">
        <f t="shared" ref="F2988" si="2980">LEFT(A2988, LEN(A2988) - 1)</f>
        <v>&gt;1492:CCTCAT:14.00:50.00:OK:6:1727.17</v>
      </c>
    </row>
    <row r="2989" spans="1:6" x14ac:dyDescent="0.3">
      <c r="A2989" t="s">
        <v>1498</v>
      </c>
      <c r="F2989" t="str">
        <f t="shared" ref="F2989" si="2981">A2989</f>
        <v>CCTCAT</v>
      </c>
    </row>
    <row r="2990" spans="1:6" x14ac:dyDescent="0.3">
      <c r="A2990" t="s">
        <v>5595</v>
      </c>
      <c r="F2990" t="str">
        <f t="shared" ref="F2990" si="2982">LEFT(A2990, LEN(A2990) - 1)</f>
        <v>&gt;1493:CCTCCA:20.00:66.67:Warning:6:1712.16</v>
      </c>
    </row>
    <row r="2991" spans="1:6" x14ac:dyDescent="0.3">
      <c r="A2991" t="s">
        <v>1499</v>
      </c>
      <c r="F2991" t="str">
        <f t="shared" ref="F2991" si="2983">A2991</f>
        <v>CCTCCA</v>
      </c>
    </row>
    <row r="2992" spans="1:6" x14ac:dyDescent="0.3">
      <c r="A2992" t="s">
        <v>5596</v>
      </c>
      <c r="F2992" t="str">
        <f t="shared" ref="F2992" si="2984">LEFT(A2992, LEN(A2992) - 1)</f>
        <v>&gt;1494:CCTCCC:18.00:83.33:Warning:6:1688.13</v>
      </c>
    </row>
    <row r="2993" spans="1:6" x14ac:dyDescent="0.3">
      <c r="A2993" t="s">
        <v>1500</v>
      </c>
      <c r="F2993" t="str">
        <f t="shared" ref="F2993" si="2985">A2993</f>
        <v>CCTCCC</v>
      </c>
    </row>
    <row r="2994" spans="1:6" x14ac:dyDescent="0.3">
      <c r="A2994" t="s">
        <v>5597</v>
      </c>
      <c r="F2994" t="str">
        <f t="shared" ref="F2994" si="2986">LEFT(A2994, LEN(A2994) - 1)</f>
        <v>&gt;1495:CCTCCG:18.00:83.33:Warning:6:1728.16</v>
      </c>
    </row>
    <row r="2995" spans="1:6" x14ac:dyDescent="0.3">
      <c r="A2995" t="s">
        <v>1501</v>
      </c>
      <c r="F2995" t="str">
        <f t="shared" ref="F2995" si="2987">A2995</f>
        <v>CCTCCG</v>
      </c>
    </row>
    <row r="2996" spans="1:6" x14ac:dyDescent="0.3">
      <c r="A2996" t="s">
        <v>5598</v>
      </c>
      <c r="F2996" t="str">
        <f t="shared" ref="F2996" si="2988">LEFT(A2996, LEN(A2996) - 1)</f>
        <v>&gt;1496:CCTCCT:12.00:66.67:Warning:6:1703.14</v>
      </c>
    </row>
    <row r="2997" spans="1:6" x14ac:dyDescent="0.3">
      <c r="A2997" t="s">
        <v>1502</v>
      </c>
      <c r="F2997" t="str">
        <f t="shared" ref="F2997" si="2989">A2997</f>
        <v>CCTCCT</v>
      </c>
    </row>
    <row r="2998" spans="1:6" x14ac:dyDescent="0.3">
      <c r="A2998" t="s">
        <v>5599</v>
      </c>
      <c r="F2998" t="str">
        <f t="shared" ref="F2998" si="2990">LEFT(A2998, LEN(A2998) - 1)</f>
        <v>&gt;1497:CCTCGA:20.00:66.67:Warning:6:1752.19</v>
      </c>
    </row>
    <row r="2999" spans="1:6" x14ac:dyDescent="0.3">
      <c r="A2999" t="s">
        <v>1503</v>
      </c>
      <c r="F2999" t="str">
        <f t="shared" ref="F2999" si="2991">A2999</f>
        <v>CCTCGA</v>
      </c>
    </row>
    <row r="3000" spans="1:6" x14ac:dyDescent="0.3">
      <c r="A3000" t="s">
        <v>5600</v>
      </c>
      <c r="F3000" t="str">
        <f t="shared" ref="F3000" si="2992">LEFT(A3000, LEN(A3000) - 1)</f>
        <v>&gt;1498:CCTCGC:18.00:83.33:Warning:6:1728.16</v>
      </c>
    </row>
    <row r="3001" spans="1:6" x14ac:dyDescent="0.3">
      <c r="A3001" t="s">
        <v>1504</v>
      </c>
      <c r="F3001" t="str">
        <f t="shared" ref="F3001" si="2993">A3001</f>
        <v>CCTCGC</v>
      </c>
    </row>
    <row r="3002" spans="1:6" x14ac:dyDescent="0.3">
      <c r="A3002" t="s">
        <v>5601</v>
      </c>
      <c r="F3002" t="str">
        <f t="shared" ref="F3002" si="2994">LEFT(A3002, LEN(A3002) - 1)</f>
        <v>&gt;1499:CCTCGG:18.00:83.33:Warning:6:1768.19</v>
      </c>
    </row>
    <row r="3003" spans="1:6" x14ac:dyDescent="0.3">
      <c r="A3003" t="s">
        <v>1505</v>
      </c>
      <c r="F3003" t="str">
        <f t="shared" ref="F3003" si="2995">A3003</f>
        <v>CCTCGG</v>
      </c>
    </row>
    <row r="3004" spans="1:6" x14ac:dyDescent="0.3">
      <c r="A3004" t="s">
        <v>5602</v>
      </c>
      <c r="F3004" t="str">
        <f t="shared" ref="F3004" si="2996">LEFT(A3004, LEN(A3004) - 1)</f>
        <v>&gt;1500:CCTCGT:12.00:66.67:Warning:6:1743.17</v>
      </c>
    </row>
    <row r="3005" spans="1:6" x14ac:dyDescent="0.3">
      <c r="A3005" t="s">
        <v>1506</v>
      </c>
      <c r="F3005" t="str">
        <f t="shared" ref="F3005" si="2997">A3005</f>
        <v>CCTCGT</v>
      </c>
    </row>
    <row r="3006" spans="1:6" x14ac:dyDescent="0.3">
      <c r="A3006" t="s">
        <v>5603</v>
      </c>
      <c r="F3006" t="str">
        <f t="shared" ref="F3006" si="2998">LEFT(A3006, LEN(A3006) - 1)</f>
        <v>&gt;1501:CCTCTA:14.00:50.00:OK:6:1727.17</v>
      </c>
    </row>
    <row r="3007" spans="1:6" x14ac:dyDescent="0.3">
      <c r="A3007" t="s">
        <v>1507</v>
      </c>
      <c r="F3007" t="str">
        <f t="shared" ref="F3007" si="2999">A3007</f>
        <v>CCTCTA</v>
      </c>
    </row>
    <row r="3008" spans="1:6" x14ac:dyDescent="0.3">
      <c r="A3008" t="s">
        <v>5604</v>
      </c>
      <c r="F3008" t="str">
        <f t="shared" ref="F3008" si="3000">LEFT(A3008, LEN(A3008) - 1)</f>
        <v>&gt;1502:CCTCTC:12.00:66.67:Warning:6:1703.14</v>
      </c>
    </row>
    <row r="3009" spans="1:6" x14ac:dyDescent="0.3">
      <c r="A3009" t="s">
        <v>1508</v>
      </c>
      <c r="F3009" t="str">
        <f t="shared" ref="F3009" si="3001">A3009</f>
        <v>CCTCTC</v>
      </c>
    </row>
    <row r="3010" spans="1:6" x14ac:dyDescent="0.3">
      <c r="A3010" t="s">
        <v>5605</v>
      </c>
      <c r="F3010" t="str">
        <f t="shared" ref="F3010" si="3002">LEFT(A3010, LEN(A3010) - 1)</f>
        <v>&gt;1503:CCTCTG:12.00:66.67:Warning:6:1743.17</v>
      </c>
    </row>
    <row r="3011" spans="1:6" x14ac:dyDescent="0.3">
      <c r="A3011" t="s">
        <v>1509</v>
      </c>
      <c r="F3011" t="str">
        <f t="shared" ref="F3011" si="3003">A3011</f>
        <v>CCTCTG</v>
      </c>
    </row>
    <row r="3012" spans="1:6" x14ac:dyDescent="0.3">
      <c r="A3012" t="s">
        <v>5606</v>
      </c>
      <c r="F3012" t="str">
        <f t="shared" ref="F3012" si="3004">LEFT(A3012, LEN(A3012) - 1)</f>
        <v>&gt;1504:CCTCTT:6.00:50.00:OK:6:1718.15</v>
      </c>
    </row>
    <row r="3013" spans="1:6" x14ac:dyDescent="0.3">
      <c r="A3013" t="s">
        <v>1510</v>
      </c>
      <c r="F3013" t="str">
        <f t="shared" ref="F3013" si="3005">A3013</f>
        <v>CCTCTT</v>
      </c>
    </row>
    <row r="3014" spans="1:6" x14ac:dyDescent="0.3">
      <c r="A3014" t="s">
        <v>5607</v>
      </c>
      <c r="F3014" t="str">
        <f t="shared" ref="F3014" si="3006">LEFT(A3014, LEN(A3014) - 1)</f>
        <v>&gt;1505:CCTGAA:22.00:50.00:OK:6:1776.22</v>
      </c>
    </row>
    <row r="3015" spans="1:6" x14ac:dyDescent="0.3">
      <c r="A3015" t="s">
        <v>1511</v>
      </c>
      <c r="F3015" t="str">
        <f t="shared" ref="F3015" si="3007">A3015</f>
        <v>CCTGAA</v>
      </c>
    </row>
    <row r="3016" spans="1:6" x14ac:dyDescent="0.3">
      <c r="A3016" t="s">
        <v>5608</v>
      </c>
      <c r="F3016" t="str">
        <f t="shared" ref="F3016" si="3008">LEFT(A3016, LEN(A3016) - 1)</f>
        <v>&gt;1506:CCTGAC:20.00:66.67:Warning:6:1752.19</v>
      </c>
    </row>
    <row r="3017" spans="1:6" x14ac:dyDescent="0.3">
      <c r="A3017" t="s">
        <v>1512</v>
      </c>
      <c r="F3017" t="str">
        <f t="shared" ref="F3017" si="3009">A3017</f>
        <v>CCTGAC</v>
      </c>
    </row>
    <row r="3018" spans="1:6" x14ac:dyDescent="0.3">
      <c r="A3018" t="s">
        <v>5609</v>
      </c>
      <c r="F3018" t="str">
        <f t="shared" ref="F3018" si="3010">LEFT(A3018, LEN(A3018) - 1)</f>
        <v>&gt;1507:CCTGAG:20.00:66.67:Warning:6:1792.22</v>
      </c>
    </row>
    <row r="3019" spans="1:6" x14ac:dyDescent="0.3">
      <c r="A3019" t="s">
        <v>1513</v>
      </c>
      <c r="F3019" t="str">
        <f t="shared" ref="F3019" si="3011">A3019</f>
        <v>CCTGAG</v>
      </c>
    </row>
    <row r="3020" spans="1:6" x14ac:dyDescent="0.3">
      <c r="A3020" t="s">
        <v>5610</v>
      </c>
      <c r="F3020" t="str">
        <f t="shared" ref="F3020" si="3012">LEFT(A3020, LEN(A3020) - 1)</f>
        <v>&gt;1508:CCTGAT:14.00:50.00:OK:6:1767.20</v>
      </c>
    </row>
    <row r="3021" spans="1:6" x14ac:dyDescent="0.3">
      <c r="A3021" t="s">
        <v>1514</v>
      </c>
      <c r="F3021" t="str">
        <f t="shared" ref="F3021" si="3013">A3021</f>
        <v>CCTGAT</v>
      </c>
    </row>
    <row r="3022" spans="1:6" x14ac:dyDescent="0.3">
      <c r="A3022" t="s">
        <v>5611</v>
      </c>
      <c r="F3022" t="str">
        <f t="shared" ref="F3022" si="3014">LEFT(A3022, LEN(A3022) - 1)</f>
        <v>&gt;1509:CCTGCA:20.00:66.67:Warning:6:1752.19</v>
      </c>
    </row>
    <row r="3023" spans="1:6" x14ac:dyDescent="0.3">
      <c r="A3023" t="s">
        <v>1515</v>
      </c>
      <c r="F3023" t="str">
        <f t="shared" ref="F3023" si="3015">A3023</f>
        <v>CCTGCA</v>
      </c>
    </row>
    <row r="3024" spans="1:6" x14ac:dyDescent="0.3">
      <c r="A3024" t="s">
        <v>5612</v>
      </c>
      <c r="F3024" t="str">
        <f t="shared" ref="F3024" si="3016">LEFT(A3024, LEN(A3024) - 1)</f>
        <v>&gt;1510:CCTGCC:18.00:83.33:Warning:6:1728.16</v>
      </c>
    </row>
    <row r="3025" spans="1:6" x14ac:dyDescent="0.3">
      <c r="A3025" t="s">
        <v>1516</v>
      </c>
      <c r="F3025" t="str">
        <f t="shared" ref="F3025" si="3017">A3025</f>
        <v>CCTGCC</v>
      </c>
    </row>
    <row r="3026" spans="1:6" x14ac:dyDescent="0.3">
      <c r="A3026" t="s">
        <v>5613</v>
      </c>
      <c r="F3026" t="str">
        <f t="shared" ref="F3026" si="3018">LEFT(A3026, LEN(A3026) - 1)</f>
        <v>&gt;1511:CCTGCG:18.00:83.33:Warning:6:1768.19</v>
      </c>
    </row>
    <row r="3027" spans="1:6" x14ac:dyDescent="0.3">
      <c r="A3027" t="s">
        <v>1517</v>
      </c>
      <c r="F3027" t="str">
        <f t="shared" ref="F3027" si="3019">A3027</f>
        <v>CCTGCG</v>
      </c>
    </row>
    <row r="3028" spans="1:6" x14ac:dyDescent="0.3">
      <c r="A3028" t="s">
        <v>5614</v>
      </c>
      <c r="F3028" t="str">
        <f t="shared" ref="F3028" si="3020">LEFT(A3028, LEN(A3028) - 1)</f>
        <v>&gt;1512:CCTGCT:12.00:66.67:Warning:6:1743.17</v>
      </c>
    </row>
    <row r="3029" spans="1:6" x14ac:dyDescent="0.3">
      <c r="A3029" t="s">
        <v>1518</v>
      </c>
      <c r="F3029" t="str">
        <f t="shared" ref="F3029" si="3021">A3029</f>
        <v>CCTGCT</v>
      </c>
    </row>
    <row r="3030" spans="1:6" x14ac:dyDescent="0.3">
      <c r="A3030" t="s">
        <v>5615</v>
      </c>
      <c r="F3030" t="str">
        <f t="shared" ref="F3030" si="3022">LEFT(A3030, LEN(A3030) - 1)</f>
        <v>&gt;1513:CCTGGA:20.00:66.67:Warning:6:1792.22</v>
      </c>
    </row>
    <row r="3031" spans="1:6" x14ac:dyDescent="0.3">
      <c r="A3031" t="s">
        <v>1519</v>
      </c>
      <c r="F3031" t="str">
        <f t="shared" ref="F3031" si="3023">A3031</f>
        <v>CCTGGA</v>
      </c>
    </row>
    <row r="3032" spans="1:6" x14ac:dyDescent="0.3">
      <c r="A3032" t="s">
        <v>5616</v>
      </c>
      <c r="F3032" t="str">
        <f t="shared" ref="F3032" si="3024">LEFT(A3032, LEN(A3032) - 1)</f>
        <v>&gt;1514:CCTGGC:18.00:83.33:Warning:6:1768.19</v>
      </c>
    </row>
    <row r="3033" spans="1:6" x14ac:dyDescent="0.3">
      <c r="A3033" t="s">
        <v>1520</v>
      </c>
      <c r="F3033" t="str">
        <f t="shared" ref="F3033" si="3025">A3033</f>
        <v>CCTGGC</v>
      </c>
    </row>
    <row r="3034" spans="1:6" x14ac:dyDescent="0.3">
      <c r="A3034" t="s">
        <v>5617</v>
      </c>
      <c r="F3034" t="str">
        <f t="shared" ref="F3034" si="3026">LEFT(A3034, LEN(A3034) - 1)</f>
        <v>&gt;1515:CCTGGG:18.00:83.33:Warning:6:1808.22</v>
      </c>
    </row>
    <row r="3035" spans="1:6" x14ac:dyDescent="0.3">
      <c r="A3035" t="s">
        <v>1521</v>
      </c>
      <c r="F3035" t="str">
        <f t="shared" ref="F3035" si="3027">A3035</f>
        <v>CCTGGG</v>
      </c>
    </row>
    <row r="3036" spans="1:6" x14ac:dyDescent="0.3">
      <c r="A3036" t="s">
        <v>5618</v>
      </c>
      <c r="F3036" t="str">
        <f t="shared" ref="F3036" si="3028">LEFT(A3036, LEN(A3036) - 1)</f>
        <v>&gt;1516:CCTGGT:12.00:66.67:Warning:6:1783.20</v>
      </c>
    </row>
    <row r="3037" spans="1:6" x14ac:dyDescent="0.3">
      <c r="A3037" t="s">
        <v>1522</v>
      </c>
      <c r="F3037" t="str">
        <f t="shared" ref="F3037" si="3029">A3037</f>
        <v>CCTGGT</v>
      </c>
    </row>
    <row r="3038" spans="1:6" x14ac:dyDescent="0.3">
      <c r="A3038" t="s">
        <v>5619</v>
      </c>
      <c r="F3038" t="str">
        <f t="shared" ref="F3038" si="3030">LEFT(A3038, LEN(A3038) - 1)</f>
        <v>&gt;1517:CCTGTA:14.00:50.00:OK:6:1767.20</v>
      </c>
    </row>
    <row r="3039" spans="1:6" x14ac:dyDescent="0.3">
      <c r="A3039" t="s">
        <v>1523</v>
      </c>
      <c r="F3039" t="str">
        <f t="shared" ref="F3039" si="3031">A3039</f>
        <v>CCTGTA</v>
      </c>
    </row>
    <row r="3040" spans="1:6" x14ac:dyDescent="0.3">
      <c r="A3040" t="s">
        <v>5620</v>
      </c>
      <c r="F3040" t="str">
        <f t="shared" ref="F3040" si="3032">LEFT(A3040, LEN(A3040) - 1)</f>
        <v>&gt;1518:CCTGTC:12.00:66.67:Warning:6:1743.17</v>
      </c>
    </row>
    <row r="3041" spans="1:6" x14ac:dyDescent="0.3">
      <c r="A3041" t="s">
        <v>1524</v>
      </c>
      <c r="F3041" t="str">
        <f t="shared" ref="F3041" si="3033">A3041</f>
        <v>CCTGTC</v>
      </c>
    </row>
    <row r="3042" spans="1:6" x14ac:dyDescent="0.3">
      <c r="A3042" t="s">
        <v>5621</v>
      </c>
      <c r="F3042" t="str">
        <f t="shared" ref="F3042" si="3034">LEFT(A3042, LEN(A3042) - 1)</f>
        <v>&gt;1519:CCTGTG:12.00:66.67:Warning:6:1783.20</v>
      </c>
    </row>
    <row r="3043" spans="1:6" x14ac:dyDescent="0.3">
      <c r="A3043" t="s">
        <v>1525</v>
      </c>
      <c r="F3043" t="str">
        <f t="shared" ref="F3043" si="3035">A3043</f>
        <v>CCTGTG</v>
      </c>
    </row>
    <row r="3044" spans="1:6" x14ac:dyDescent="0.3">
      <c r="A3044" t="s">
        <v>5622</v>
      </c>
      <c r="F3044" t="str">
        <f t="shared" ref="F3044" si="3036">LEFT(A3044, LEN(A3044) - 1)</f>
        <v>&gt;1520:CCTGTT:6.00:50.00:OK:6:1758.18</v>
      </c>
    </row>
    <row r="3045" spans="1:6" x14ac:dyDescent="0.3">
      <c r="A3045" t="s">
        <v>1526</v>
      </c>
      <c r="F3045" t="str">
        <f t="shared" ref="F3045" si="3037">A3045</f>
        <v>CCTGTT</v>
      </c>
    </row>
    <row r="3046" spans="1:6" x14ac:dyDescent="0.3">
      <c r="A3046" t="s">
        <v>5623</v>
      </c>
      <c r="F3046" t="str">
        <f t="shared" ref="F3046" si="3038">LEFT(A3046, LEN(A3046) - 1)</f>
        <v>&gt;1521:CCTTAA:16.00:33.33:OK:6:1751.20</v>
      </c>
    </row>
    <row r="3047" spans="1:6" x14ac:dyDescent="0.3">
      <c r="A3047" t="s">
        <v>1527</v>
      </c>
      <c r="F3047" t="str">
        <f t="shared" ref="F3047" si="3039">A3047</f>
        <v>CCTTAA</v>
      </c>
    </row>
    <row r="3048" spans="1:6" x14ac:dyDescent="0.3">
      <c r="A3048" t="s">
        <v>5624</v>
      </c>
      <c r="F3048" t="str">
        <f t="shared" ref="F3048" si="3040">LEFT(A3048, LEN(A3048) - 1)</f>
        <v>&gt;1522:CCTTAC:14.00:50.00:OK:6:1727.17</v>
      </c>
    </row>
    <row r="3049" spans="1:6" x14ac:dyDescent="0.3">
      <c r="A3049" t="s">
        <v>1528</v>
      </c>
      <c r="F3049" t="str">
        <f t="shared" ref="F3049" si="3041">A3049</f>
        <v>CCTTAC</v>
      </c>
    </row>
    <row r="3050" spans="1:6" x14ac:dyDescent="0.3">
      <c r="A3050" t="s">
        <v>5625</v>
      </c>
      <c r="F3050" t="str">
        <f t="shared" ref="F3050" si="3042">LEFT(A3050, LEN(A3050) - 1)</f>
        <v>&gt;1523:CCTTAG:14.00:50.00:OK:6:1767.20</v>
      </c>
    </row>
    <row r="3051" spans="1:6" x14ac:dyDescent="0.3">
      <c r="A3051" t="s">
        <v>1529</v>
      </c>
      <c r="F3051" t="str">
        <f t="shared" ref="F3051" si="3043">A3051</f>
        <v>CCTTAG</v>
      </c>
    </row>
    <row r="3052" spans="1:6" x14ac:dyDescent="0.3">
      <c r="A3052" t="s">
        <v>5626</v>
      </c>
      <c r="F3052" t="str">
        <f t="shared" ref="F3052" si="3044">LEFT(A3052, LEN(A3052) - 1)</f>
        <v>&gt;1524:CCTTAT:8.00:33.33:OK:6:1742.18</v>
      </c>
    </row>
    <row r="3053" spans="1:6" x14ac:dyDescent="0.3">
      <c r="A3053" t="s">
        <v>1530</v>
      </c>
      <c r="F3053" t="str">
        <f t="shared" ref="F3053" si="3045">A3053</f>
        <v>CCTTAT</v>
      </c>
    </row>
    <row r="3054" spans="1:6" x14ac:dyDescent="0.3">
      <c r="A3054" t="s">
        <v>5627</v>
      </c>
      <c r="F3054" t="str">
        <f t="shared" ref="F3054" si="3046">LEFT(A3054, LEN(A3054) - 1)</f>
        <v>&gt;1525:CCTTCA:14.00:50.00:OK:6:1727.17</v>
      </c>
    </row>
    <row r="3055" spans="1:6" x14ac:dyDescent="0.3">
      <c r="A3055" t="s">
        <v>1531</v>
      </c>
      <c r="F3055" t="str">
        <f t="shared" ref="F3055" si="3047">A3055</f>
        <v>CCTTCA</v>
      </c>
    </row>
    <row r="3056" spans="1:6" x14ac:dyDescent="0.3">
      <c r="A3056" t="s">
        <v>5628</v>
      </c>
      <c r="F3056" t="str">
        <f t="shared" ref="F3056" si="3048">LEFT(A3056, LEN(A3056) - 1)</f>
        <v>&gt;1526:CCTTCC:12.00:66.67:Warning:6:1703.14</v>
      </c>
    </row>
    <row r="3057" spans="1:6" x14ac:dyDescent="0.3">
      <c r="A3057" t="s">
        <v>1532</v>
      </c>
      <c r="F3057" t="str">
        <f t="shared" ref="F3057" si="3049">A3057</f>
        <v>CCTTCC</v>
      </c>
    </row>
    <row r="3058" spans="1:6" x14ac:dyDescent="0.3">
      <c r="A3058" t="s">
        <v>5629</v>
      </c>
      <c r="F3058" t="str">
        <f t="shared" ref="F3058" si="3050">LEFT(A3058, LEN(A3058) - 1)</f>
        <v>&gt;1527:CCTTCG:12.00:66.67:Warning:6:1743.17</v>
      </c>
    </row>
    <row r="3059" spans="1:6" x14ac:dyDescent="0.3">
      <c r="A3059" t="s">
        <v>1533</v>
      </c>
      <c r="F3059" t="str">
        <f t="shared" ref="F3059" si="3051">A3059</f>
        <v>CCTTCG</v>
      </c>
    </row>
    <row r="3060" spans="1:6" x14ac:dyDescent="0.3">
      <c r="A3060" t="s">
        <v>5630</v>
      </c>
      <c r="F3060" t="str">
        <f t="shared" ref="F3060" si="3052">LEFT(A3060, LEN(A3060) - 1)</f>
        <v>&gt;1528:CCTTCT:6.00:50.00:OK:6:1718.15</v>
      </c>
    </row>
    <row r="3061" spans="1:6" x14ac:dyDescent="0.3">
      <c r="A3061" t="s">
        <v>1534</v>
      </c>
      <c r="F3061" t="str">
        <f t="shared" ref="F3061" si="3053">A3061</f>
        <v>CCTTCT</v>
      </c>
    </row>
    <row r="3062" spans="1:6" x14ac:dyDescent="0.3">
      <c r="A3062" t="s">
        <v>5631</v>
      </c>
      <c r="F3062" t="str">
        <f t="shared" ref="F3062" si="3054">LEFT(A3062, LEN(A3062) - 1)</f>
        <v>&gt;1529:CCTTGA:14.00:50.00:OK:6:1767.20</v>
      </c>
    </row>
    <row r="3063" spans="1:6" x14ac:dyDescent="0.3">
      <c r="A3063" t="s">
        <v>1535</v>
      </c>
      <c r="F3063" t="str">
        <f t="shared" ref="F3063" si="3055">A3063</f>
        <v>CCTTGA</v>
      </c>
    </row>
    <row r="3064" spans="1:6" x14ac:dyDescent="0.3">
      <c r="A3064" t="s">
        <v>5632</v>
      </c>
      <c r="F3064" t="str">
        <f t="shared" ref="F3064" si="3056">LEFT(A3064, LEN(A3064) - 1)</f>
        <v>&gt;1530:CCTTGC:12.00:66.67:Warning:6:1743.17</v>
      </c>
    </row>
    <row r="3065" spans="1:6" x14ac:dyDescent="0.3">
      <c r="A3065" t="s">
        <v>1536</v>
      </c>
      <c r="F3065" t="str">
        <f t="shared" ref="F3065" si="3057">A3065</f>
        <v>CCTTGC</v>
      </c>
    </row>
    <row r="3066" spans="1:6" x14ac:dyDescent="0.3">
      <c r="A3066" t="s">
        <v>5633</v>
      </c>
      <c r="F3066" t="str">
        <f t="shared" ref="F3066" si="3058">LEFT(A3066, LEN(A3066) - 1)</f>
        <v>&gt;1531:CCTTGG:12.00:66.67:Warning:6:1783.20</v>
      </c>
    </row>
    <row r="3067" spans="1:6" x14ac:dyDescent="0.3">
      <c r="A3067" t="s">
        <v>1537</v>
      </c>
      <c r="F3067" t="str">
        <f t="shared" ref="F3067" si="3059">A3067</f>
        <v>CCTTGG</v>
      </c>
    </row>
    <row r="3068" spans="1:6" x14ac:dyDescent="0.3">
      <c r="A3068" t="s">
        <v>5634</v>
      </c>
      <c r="F3068" t="str">
        <f t="shared" ref="F3068" si="3060">LEFT(A3068, LEN(A3068) - 1)</f>
        <v>&gt;1532:CCTTGT:6.00:50.00:OK:6:1758.18</v>
      </c>
    </row>
    <row r="3069" spans="1:6" x14ac:dyDescent="0.3">
      <c r="A3069" t="s">
        <v>1538</v>
      </c>
      <c r="F3069" t="str">
        <f t="shared" ref="F3069" si="3061">A3069</f>
        <v>CCTTGT</v>
      </c>
    </row>
    <row r="3070" spans="1:6" x14ac:dyDescent="0.3">
      <c r="A3070" t="s">
        <v>5635</v>
      </c>
      <c r="F3070" t="str">
        <f t="shared" ref="F3070" si="3062">LEFT(A3070, LEN(A3070) - 1)</f>
        <v>&gt;1533:CCTTTA:8.00:33.33:OK:6:1742.18</v>
      </c>
    </row>
    <row r="3071" spans="1:6" x14ac:dyDescent="0.3">
      <c r="A3071" t="s">
        <v>1539</v>
      </c>
      <c r="F3071" t="str">
        <f t="shared" ref="F3071" si="3063">A3071</f>
        <v>CCTTTA</v>
      </c>
    </row>
    <row r="3072" spans="1:6" x14ac:dyDescent="0.3">
      <c r="A3072" t="s">
        <v>5636</v>
      </c>
      <c r="F3072" t="str">
        <f t="shared" ref="F3072" si="3064">LEFT(A3072, LEN(A3072) - 1)</f>
        <v>&gt;1534:CCTTTC:6.00:50.00:OK:6:1718.15</v>
      </c>
    </row>
    <row r="3073" spans="1:6" x14ac:dyDescent="0.3">
      <c r="A3073" t="s">
        <v>1540</v>
      </c>
      <c r="F3073" t="str">
        <f t="shared" ref="F3073" si="3065">A3073</f>
        <v>CCTTTC</v>
      </c>
    </row>
    <row r="3074" spans="1:6" x14ac:dyDescent="0.3">
      <c r="A3074" t="s">
        <v>5637</v>
      </c>
      <c r="F3074" t="str">
        <f t="shared" ref="F3074" si="3066">LEFT(A3074, LEN(A3074) - 1)</f>
        <v>&gt;1535:CCTTTG:6.00:50.00:OK:6:1758.18</v>
      </c>
    </row>
    <row r="3075" spans="1:6" x14ac:dyDescent="0.3">
      <c r="A3075" t="s">
        <v>1541</v>
      </c>
      <c r="F3075" t="str">
        <f t="shared" ref="F3075" si="3067">A3075</f>
        <v>CCTTTG</v>
      </c>
    </row>
    <row r="3076" spans="1:6" x14ac:dyDescent="0.3">
      <c r="A3076" t="s">
        <v>5638</v>
      </c>
      <c r="F3076" t="str">
        <f t="shared" ref="F3076" si="3068">LEFT(A3076, LEN(A3076) - 1)</f>
        <v>&gt;1536:CCTTTT:0.00:33.33:OK:6:1733.16</v>
      </c>
    </row>
    <row r="3077" spans="1:6" x14ac:dyDescent="0.3">
      <c r="A3077" t="s">
        <v>1542</v>
      </c>
      <c r="F3077" t="str">
        <f t="shared" ref="F3077" si="3069">A3077</f>
        <v>CCTTTT</v>
      </c>
    </row>
    <row r="3078" spans="1:6" x14ac:dyDescent="0.3">
      <c r="A3078" t="s">
        <v>5639</v>
      </c>
      <c r="F3078" t="str">
        <f t="shared" ref="F3078" si="3070">LEFT(A3078, LEN(A3078) - 1)</f>
        <v>&gt;1537:CGAAAA:32.00:33.33:OK:6:1809.27</v>
      </c>
    </row>
    <row r="3079" spans="1:6" x14ac:dyDescent="0.3">
      <c r="A3079" t="s">
        <v>1543</v>
      </c>
      <c r="F3079" t="str">
        <f t="shared" ref="F3079" si="3071">A3079</f>
        <v>CGAAAA</v>
      </c>
    </row>
    <row r="3080" spans="1:6" x14ac:dyDescent="0.3">
      <c r="A3080" t="s">
        <v>5640</v>
      </c>
      <c r="F3080" t="str">
        <f t="shared" ref="F3080" si="3072">LEFT(A3080, LEN(A3080) - 1)</f>
        <v>&gt;1538:CGAAAC:30.00:50.00:OK:6:1785.24</v>
      </c>
    </row>
    <row r="3081" spans="1:6" x14ac:dyDescent="0.3">
      <c r="A3081" t="s">
        <v>1544</v>
      </c>
      <c r="F3081" t="str">
        <f t="shared" ref="F3081" si="3073">A3081</f>
        <v>CGAAAC</v>
      </c>
    </row>
    <row r="3082" spans="1:6" x14ac:dyDescent="0.3">
      <c r="A3082" t="s">
        <v>5641</v>
      </c>
      <c r="F3082" t="str">
        <f t="shared" ref="F3082" si="3074">LEFT(A3082, LEN(A3082) - 1)</f>
        <v>&gt;1539:CGAAAG:30.00:50.00:OK:6:1825.27</v>
      </c>
    </row>
    <row r="3083" spans="1:6" x14ac:dyDescent="0.3">
      <c r="A3083" t="s">
        <v>1545</v>
      </c>
      <c r="F3083" t="str">
        <f t="shared" ref="F3083" si="3075">A3083</f>
        <v>CGAAAG</v>
      </c>
    </row>
    <row r="3084" spans="1:6" x14ac:dyDescent="0.3">
      <c r="A3084" t="s">
        <v>5642</v>
      </c>
      <c r="F3084" t="str">
        <f t="shared" ref="F3084" si="3076">LEFT(A3084, LEN(A3084) - 1)</f>
        <v>&gt;1540:CGAAAT:24.00:33.33:OK:6:1800.25</v>
      </c>
    </row>
    <row r="3085" spans="1:6" x14ac:dyDescent="0.3">
      <c r="A3085" t="s">
        <v>1546</v>
      </c>
      <c r="F3085" t="str">
        <f t="shared" ref="F3085" si="3077">A3085</f>
        <v>CGAAAT</v>
      </c>
    </row>
    <row r="3086" spans="1:6" x14ac:dyDescent="0.3">
      <c r="A3086" t="s">
        <v>5643</v>
      </c>
      <c r="F3086" t="str">
        <f t="shared" ref="F3086" si="3078">LEFT(A3086, LEN(A3086) - 1)</f>
        <v>&gt;1541:CGAACA:30.00:50.00:OK:6:1785.24</v>
      </c>
    </row>
    <row r="3087" spans="1:6" x14ac:dyDescent="0.3">
      <c r="A3087" t="s">
        <v>1547</v>
      </c>
      <c r="F3087" t="str">
        <f t="shared" ref="F3087" si="3079">A3087</f>
        <v>CGAACA</v>
      </c>
    </row>
    <row r="3088" spans="1:6" x14ac:dyDescent="0.3">
      <c r="A3088" t="s">
        <v>5644</v>
      </c>
      <c r="F3088" t="str">
        <f t="shared" ref="F3088" si="3080">LEFT(A3088, LEN(A3088) - 1)</f>
        <v>&gt;1542:CGAACC:28.00:66.67:Warning:6:1761.21</v>
      </c>
    </row>
    <row r="3089" spans="1:6" x14ac:dyDescent="0.3">
      <c r="A3089" t="s">
        <v>1548</v>
      </c>
      <c r="F3089" t="str">
        <f t="shared" ref="F3089" si="3081">A3089</f>
        <v>CGAACC</v>
      </c>
    </row>
    <row r="3090" spans="1:6" x14ac:dyDescent="0.3">
      <c r="A3090" t="s">
        <v>5645</v>
      </c>
      <c r="F3090" t="str">
        <f t="shared" ref="F3090" si="3082">LEFT(A3090, LEN(A3090) - 1)</f>
        <v>&gt;1543:CGAACG:28.00:66.67:Warning:6:1801.24</v>
      </c>
    </row>
    <row r="3091" spans="1:6" x14ac:dyDescent="0.3">
      <c r="A3091" t="s">
        <v>1549</v>
      </c>
      <c r="F3091" t="str">
        <f t="shared" ref="F3091" si="3083">A3091</f>
        <v>CGAACG</v>
      </c>
    </row>
    <row r="3092" spans="1:6" x14ac:dyDescent="0.3">
      <c r="A3092" t="s">
        <v>5646</v>
      </c>
      <c r="F3092" t="str">
        <f t="shared" ref="F3092" si="3084">LEFT(A3092, LEN(A3092) - 1)</f>
        <v>&gt;1544:CGAACT:22.00:50.00:OK:6:1776.22</v>
      </c>
    </row>
    <row r="3093" spans="1:6" x14ac:dyDescent="0.3">
      <c r="A3093" t="s">
        <v>1550</v>
      </c>
      <c r="F3093" t="str">
        <f t="shared" ref="F3093" si="3085">A3093</f>
        <v>CGAACT</v>
      </c>
    </row>
    <row r="3094" spans="1:6" x14ac:dyDescent="0.3">
      <c r="A3094" t="s">
        <v>5647</v>
      </c>
      <c r="F3094" t="str">
        <f t="shared" ref="F3094" si="3086">LEFT(A3094, LEN(A3094) - 1)</f>
        <v>&gt;1545:CGAAGA:30.00:50.00:OK:6:1825.27</v>
      </c>
    </row>
    <row r="3095" spans="1:6" x14ac:dyDescent="0.3">
      <c r="A3095" t="s">
        <v>1551</v>
      </c>
      <c r="F3095" t="str">
        <f t="shared" ref="F3095" si="3087">A3095</f>
        <v>CGAAGA</v>
      </c>
    </row>
    <row r="3096" spans="1:6" x14ac:dyDescent="0.3">
      <c r="A3096" t="s">
        <v>5648</v>
      </c>
      <c r="F3096" t="str">
        <f t="shared" ref="F3096" si="3088">LEFT(A3096, LEN(A3096) - 1)</f>
        <v>&gt;1546:CGAAGC:28.00:66.67:Warning:6:1801.24</v>
      </c>
    </row>
    <row r="3097" spans="1:6" x14ac:dyDescent="0.3">
      <c r="A3097" t="s">
        <v>1552</v>
      </c>
      <c r="F3097" t="str">
        <f t="shared" ref="F3097" si="3089">A3097</f>
        <v>CGAAGC</v>
      </c>
    </row>
    <row r="3098" spans="1:6" x14ac:dyDescent="0.3">
      <c r="A3098" t="s">
        <v>5649</v>
      </c>
      <c r="F3098" t="str">
        <f t="shared" ref="F3098" si="3090">LEFT(A3098, LEN(A3098) - 1)</f>
        <v>&gt;1547:CGAAGG:28.00:66.67:Warning:6:1841.27</v>
      </c>
    </row>
    <row r="3099" spans="1:6" x14ac:dyDescent="0.3">
      <c r="A3099" t="s">
        <v>1553</v>
      </c>
      <c r="F3099" t="str">
        <f t="shared" ref="F3099" si="3091">A3099</f>
        <v>CGAAGG</v>
      </c>
    </row>
    <row r="3100" spans="1:6" x14ac:dyDescent="0.3">
      <c r="A3100" t="s">
        <v>5650</v>
      </c>
      <c r="F3100" t="str">
        <f t="shared" ref="F3100" si="3092">LEFT(A3100, LEN(A3100) - 1)</f>
        <v>&gt;1548:CGAAGT:22.00:50.00:OK:6:1816.25</v>
      </c>
    </row>
    <row r="3101" spans="1:6" x14ac:dyDescent="0.3">
      <c r="A3101" t="s">
        <v>1554</v>
      </c>
      <c r="F3101" t="str">
        <f t="shared" ref="F3101" si="3093">A3101</f>
        <v>CGAAGT</v>
      </c>
    </row>
    <row r="3102" spans="1:6" x14ac:dyDescent="0.3">
      <c r="A3102" t="s">
        <v>5651</v>
      </c>
      <c r="F3102" t="str">
        <f t="shared" ref="F3102" si="3094">LEFT(A3102, LEN(A3102) - 1)</f>
        <v>&gt;1549:CGAATA:24.00:33.33:OK:6:1800.25</v>
      </c>
    </row>
    <row r="3103" spans="1:6" x14ac:dyDescent="0.3">
      <c r="A3103" t="s">
        <v>1555</v>
      </c>
      <c r="F3103" t="str">
        <f t="shared" ref="F3103" si="3095">A3103</f>
        <v>CGAATA</v>
      </c>
    </row>
    <row r="3104" spans="1:6" x14ac:dyDescent="0.3">
      <c r="A3104" t="s">
        <v>5652</v>
      </c>
      <c r="F3104" t="str">
        <f t="shared" ref="F3104" si="3096">LEFT(A3104, LEN(A3104) - 1)</f>
        <v>&gt;1550:CGAATC:22.00:50.00:OK:6:1776.22</v>
      </c>
    </row>
    <row r="3105" spans="1:6" x14ac:dyDescent="0.3">
      <c r="A3105" t="s">
        <v>1556</v>
      </c>
      <c r="F3105" t="str">
        <f t="shared" ref="F3105" si="3097">A3105</f>
        <v>CGAATC</v>
      </c>
    </row>
    <row r="3106" spans="1:6" x14ac:dyDescent="0.3">
      <c r="A3106" t="s">
        <v>5653</v>
      </c>
      <c r="F3106" t="str">
        <f t="shared" ref="F3106" si="3098">LEFT(A3106, LEN(A3106) - 1)</f>
        <v>&gt;1551:CGAATG:22.00:50.00:OK:6:1816.25</v>
      </c>
    </row>
    <row r="3107" spans="1:6" x14ac:dyDescent="0.3">
      <c r="A3107" t="s">
        <v>1557</v>
      </c>
      <c r="F3107" t="str">
        <f t="shared" ref="F3107" si="3099">A3107</f>
        <v>CGAATG</v>
      </c>
    </row>
    <row r="3108" spans="1:6" x14ac:dyDescent="0.3">
      <c r="A3108" t="s">
        <v>5654</v>
      </c>
      <c r="F3108" t="str">
        <f t="shared" ref="F3108" si="3100">LEFT(A3108, LEN(A3108) - 1)</f>
        <v>&gt;1552:CGAATT:16.00:33.33:OK:6:1791.23</v>
      </c>
    </row>
    <row r="3109" spans="1:6" x14ac:dyDescent="0.3">
      <c r="A3109" t="s">
        <v>1558</v>
      </c>
      <c r="F3109" t="str">
        <f t="shared" ref="F3109" si="3101">A3109</f>
        <v>CGAATT</v>
      </c>
    </row>
    <row r="3110" spans="1:6" x14ac:dyDescent="0.3">
      <c r="A3110" t="s">
        <v>5655</v>
      </c>
      <c r="F3110" t="str">
        <f t="shared" ref="F3110" si="3102">LEFT(A3110, LEN(A3110) - 1)</f>
        <v>&gt;1553:CGACAA:30.00:50.00:OK:6:1785.24</v>
      </c>
    </row>
    <row r="3111" spans="1:6" x14ac:dyDescent="0.3">
      <c r="A3111" t="s">
        <v>1559</v>
      </c>
      <c r="F3111" t="str">
        <f t="shared" ref="F3111" si="3103">A3111</f>
        <v>CGACAA</v>
      </c>
    </row>
    <row r="3112" spans="1:6" x14ac:dyDescent="0.3">
      <c r="A3112" t="s">
        <v>5656</v>
      </c>
      <c r="F3112" t="str">
        <f t="shared" ref="F3112" si="3104">LEFT(A3112, LEN(A3112) - 1)</f>
        <v>&gt;1554:CGACAC:28.00:66.67:Warning:6:1761.21</v>
      </c>
    </row>
    <row r="3113" spans="1:6" x14ac:dyDescent="0.3">
      <c r="A3113" t="s">
        <v>1560</v>
      </c>
      <c r="F3113" t="str">
        <f t="shared" ref="F3113" si="3105">A3113</f>
        <v>CGACAC</v>
      </c>
    </row>
    <row r="3114" spans="1:6" x14ac:dyDescent="0.3">
      <c r="A3114" t="s">
        <v>5657</v>
      </c>
      <c r="F3114" t="str">
        <f t="shared" ref="F3114" si="3106">LEFT(A3114, LEN(A3114) - 1)</f>
        <v>&gt;1555:CGACAG:28.00:66.67:Warning:6:1801.24</v>
      </c>
    </row>
    <row r="3115" spans="1:6" x14ac:dyDescent="0.3">
      <c r="A3115" t="s">
        <v>1561</v>
      </c>
      <c r="F3115" t="str">
        <f t="shared" ref="F3115" si="3107">A3115</f>
        <v>CGACAG</v>
      </c>
    </row>
    <row r="3116" spans="1:6" x14ac:dyDescent="0.3">
      <c r="A3116" t="s">
        <v>5658</v>
      </c>
      <c r="F3116" t="str">
        <f t="shared" ref="F3116" si="3108">LEFT(A3116, LEN(A3116) - 1)</f>
        <v>&gt;1556:CGACAT:22.00:50.00:OK:6:1776.22</v>
      </c>
    </row>
    <row r="3117" spans="1:6" x14ac:dyDescent="0.3">
      <c r="A3117" t="s">
        <v>1562</v>
      </c>
      <c r="F3117" t="str">
        <f t="shared" ref="F3117" si="3109">A3117</f>
        <v>CGACAT</v>
      </c>
    </row>
    <row r="3118" spans="1:6" x14ac:dyDescent="0.3">
      <c r="A3118" t="s">
        <v>5659</v>
      </c>
      <c r="F3118" t="str">
        <f t="shared" ref="F3118" si="3110">LEFT(A3118, LEN(A3118) - 1)</f>
        <v>&gt;1557:CGACCA:28.00:66.67:Warning:6:1761.21</v>
      </c>
    </row>
    <row r="3119" spans="1:6" x14ac:dyDescent="0.3">
      <c r="A3119" t="s">
        <v>1563</v>
      </c>
      <c r="F3119" t="str">
        <f t="shared" ref="F3119" si="3111">A3119</f>
        <v>CGACCA</v>
      </c>
    </row>
    <row r="3120" spans="1:6" x14ac:dyDescent="0.3">
      <c r="A3120" t="s">
        <v>5660</v>
      </c>
      <c r="F3120" t="str">
        <f t="shared" ref="F3120" si="3112">LEFT(A3120, LEN(A3120) - 1)</f>
        <v>&gt;1558:CGACCC:26.00:83.33:Warning:6:1737.18</v>
      </c>
    </row>
    <row r="3121" spans="1:6" x14ac:dyDescent="0.3">
      <c r="A3121" t="s">
        <v>1564</v>
      </c>
      <c r="F3121" t="str">
        <f t="shared" ref="F3121" si="3113">A3121</f>
        <v>CGACCC</v>
      </c>
    </row>
    <row r="3122" spans="1:6" x14ac:dyDescent="0.3">
      <c r="A3122" t="s">
        <v>5661</v>
      </c>
      <c r="F3122" t="str">
        <f t="shared" ref="F3122" si="3114">LEFT(A3122, LEN(A3122) - 1)</f>
        <v>&gt;1559:CGACCG:26.00:83.33:Warning:6:1777.21</v>
      </c>
    </row>
    <row r="3123" spans="1:6" x14ac:dyDescent="0.3">
      <c r="A3123" t="s">
        <v>1565</v>
      </c>
      <c r="F3123" t="str">
        <f t="shared" ref="F3123" si="3115">A3123</f>
        <v>CGACCG</v>
      </c>
    </row>
    <row r="3124" spans="1:6" x14ac:dyDescent="0.3">
      <c r="A3124" t="s">
        <v>5662</v>
      </c>
      <c r="F3124" t="str">
        <f t="shared" ref="F3124" si="3116">LEFT(A3124, LEN(A3124) - 1)</f>
        <v>&gt;1560:CGACCT:20.00:66.67:Warning:6:1752.19</v>
      </c>
    </row>
    <row r="3125" spans="1:6" x14ac:dyDescent="0.3">
      <c r="A3125" t="s">
        <v>1566</v>
      </c>
      <c r="F3125" t="str">
        <f t="shared" ref="F3125" si="3117">A3125</f>
        <v>CGACCT</v>
      </c>
    </row>
    <row r="3126" spans="1:6" x14ac:dyDescent="0.3">
      <c r="A3126" t="s">
        <v>5663</v>
      </c>
      <c r="F3126" t="str">
        <f t="shared" ref="F3126" si="3118">LEFT(A3126, LEN(A3126) - 1)</f>
        <v>&gt;1561:CGACGA:28.00:66.67:Warning:6:1801.24</v>
      </c>
    </row>
    <row r="3127" spans="1:6" x14ac:dyDescent="0.3">
      <c r="A3127" t="s">
        <v>1567</v>
      </c>
      <c r="F3127" t="str">
        <f t="shared" ref="F3127" si="3119">A3127</f>
        <v>CGACGA</v>
      </c>
    </row>
    <row r="3128" spans="1:6" x14ac:dyDescent="0.3">
      <c r="A3128" t="s">
        <v>5664</v>
      </c>
      <c r="F3128" t="str">
        <f t="shared" ref="F3128" si="3120">LEFT(A3128, LEN(A3128) - 1)</f>
        <v>&gt;1562:CGACGC:26.00:83.33:Warning:6:1777.21</v>
      </c>
    </row>
    <row r="3129" spans="1:6" x14ac:dyDescent="0.3">
      <c r="A3129" t="s">
        <v>1568</v>
      </c>
      <c r="F3129" t="str">
        <f t="shared" ref="F3129" si="3121">A3129</f>
        <v>CGACGC</v>
      </c>
    </row>
    <row r="3130" spans="1:6" x14ac:dyDescent="0.3">
      <c r="A3130" t="s">
        <v>5665</v>
      </c>
      <c r="F3130" t="str">
        <f t="shared" ref="F3130" si="3122">LEFT(A3130, LEN(A3130) - 1)</f>
        <v>&gt;1563:CGACGG:26.00:83.33:Warning:6:1817.24</v>
      </c>
    </row>
    <row r="3131" spans="1:6" x14ac:dyDescent="0.3">
      <c r="A3131" t="s">
        <v>1569</v>
      </c>
      <c r="F3131" t="str">
        <f t="shared" ref="F3131" si="3123">A3131</f>
        <v>CGACGG</v>
      </c>
    </row>
    <row r="3132" spans="1:6" x14ac:dyDescent="0.3">
      <c r="A3132" t="s">
        <v>5666</v>
      </c>
      <c r="F3132" t="str">
        <f t="shared" ref="F3132" si="3124">LEFT(A3132, LEN(A3132) - 1)</f>
        <v>&gt;1564:CGACGT:20.00:66.67:Warning:6:1792.22</v>
      </c>
    </row>
    <row r="3133" spans="1:6" x14ac:dyDescent="0.3">
      <c r="A3133" t="s">
        <v>1570</v>
      </c>
      <c r="F3133" t="str">
        <f t="shared" ref="F3133" si="3125">A3133</f>
        <v>CGACGT</v>
      </c>
    </row>
    <row r="3134" spans="1:6" x14ac:dyDescent="0.3">
      <c r="A3134" t="s">
        <v>5667</v>
      </c>
      <c r="F3134" t="str">
        <f t="shared" ref="F3134" si="3126">LEFT(A3134, LEN(A3134) - 1)</f>
        <v>&gt;1565:CGACTA:22.00:50.00:OK:6:1776.22</v>
      </c>
    </row>
    <row r="3135" spans="1:6" x14ac:dyDescent="0.3">
      <c r="A3135" t="s">
        <v>1571</v>
      </c>
      <c r="F3135" t="str">
        <f t="shared" ref="F3135" si="3127">A3135</f>
        <v>CGACTA</v>
      </c>
    </row>
    <row r="3136" spans="1:6" x14ac:dyDescent="0.3">
      <c r="A3136" t="s">
        <v>5668</v>
      </c>
      <c r="F3136" t="str">
        <f t="shared" ref="F3136" si="3128">LEFT(A3136, LEN(A3136) - 1)</f>
        <v>&gt;1566:CGACTC:20.00:66.67:Warning:6:1752.19</v>
      </c>
    </row>
    <row r="3137" spans="1:6" x14ac:dyDescent="0.3">
      <c r="A3137" t="s">
        <v>1572</v>
      </c>
      <c r="F3137" t="str">
        <f t="shared" ref="F3137" si="3129">A3137</f>
        <v>CGACTC</v>
      </c>
    </row>
    <row r="3138" spans="1:6" x14ac:dyDescent="0.3">
      <c r="A3138" t="s">
        <v>5669</v>
      </c>
      <c r="F3138" t="str">
        <f t="shared" ref="F3138" si="3130">LEFT(A3138, LEN(A3138) - 1)</f>
        <v>&gt;1567:CGACTG:20.00:66.67:Warning:6:1792.22</v>
      </c>
    </row>
    <row r="3139" spans="1:6" x14ac:dyDescent="0.3">
      <c r="A3139" t="s">
        <v>1573</v>
      </c>
      <c r="F3139" t="str">
        <f t="shared" ref="F3139" si="3131">A3139</f>
        <v>CGACTG</v>
      </c>
    </row>
    <row r="3140" spans="1:6" x14ac:dyDescent="0.3">
      <c r="A3140" t="s">
        <v>5670</v>
      </c>
      <c r="F3140" t="str">
        <f t="shared" ref="F3140" si="3132">LEFT(A3140, LEN(A3140) - 1)</f>
        <v>&gt;1568:CGACTT:14.00:50.00:OK:6:1767.20</v>
      </c>
    </row>
    <row r="3141" spans="1:6" x14ac:dyDescent="0.3">
      <c r="A3141" t="s">
        <v>1574</v>
      </c>
      <c r="F3141" t="str">
        <f t="shared" ref="F3141" si="3133">A3141</f>
        <v>CGACTT</v>
      </c>
    </row>
    <row r="3142" spans="1:6" x14ac:dyDescent="0.3">
      <c r="A3142" t="s">
        <v>5671</v>
      </c>
      <c r="F3142" t="str">
        <f t="shared" ref="F3142" si="3134">LEFT(A3142, LEN(A3142) - 1)</f>
        <v>&gt;1569:CGAGAA:30.00:50.00:OK:6:1825.27</v>
      </c>
    </row>
    <row r="3143" spans="1:6" x14ac:dyDescent="0.3">
      <c r="A3143" t="s">
        <v>1575</v>
      </c>
      <c r="F3143" t="str">
        <f t="shared" ref="F3143" si="3135">A3143</f>
        <v>CGAGAA</v>
      </c>
    </row>
    <row r="3144" spans="1:6" x14ac:dyDescent="0.3">
      <c r="A3144" t="s">
        <v>5672</v>
      </c>
      <c r="F3144" t="str">
        <f t="shared" ref="F3144" si="3136">LEFT(A3144, LEN(A3144) - 1)</f>
        <v>&gt;1570:CGAGAC:28.00:66.67:Warning:6:1801.24</v>
      </c>
    </row>
    <row r="3145" spans="1:6" x14ac:dyDescent="0.3">
      <c r="A3145" t="s">
        <v>1576</v>
      </c>
      <c r="F3145" t="str">
        <f t="shared" ref="F3145" si="3137">A3145</f>
        <v>CGAGAC</v>
      </c>
    </row>
    <row r="3146" spans="1:6" x14ac:dyDescent="0.3">
      <c r="A3146" t="s">
        <v>5673</v>
      </c>
      <c r="F3146" t="str">
        <f t="shared" ref="F3146" si="3138">LEFT(A3146, LEN(A3146) - 1)</f>
        <v>&gt;1571:CGAGAG:28.00:66.67:Warning:6:1841.27</v>
      </c>
    </row>
    <row r="3147" spans="1:6" x14ac:dyDescent="0.3">
      <c r="A3147" t="s">
        <v>1577</v>
      </c>
      <c r="F3147" t="str">
        <f t="shared" ref="F3147" si="3139">A3147</f>
        <v>CGAGAG</v>
      </c>
    </row>
    <row r="3148" spans="1:6" x14ac:dyDescent="0.3">
      <c r="A3148" t="s">
        <v>5674</v>
      </c>
      <c r="F3148" t="str">
        <f t="shared" ref="F3148" si="3140">LEFT(A3148, LEN(A3148) - 1)</f>
        <v>&gt;1572:CGAGAT:22.00:50.00:OK:6:1816.25</v>
      </c>
    </row>
    <row r="3149" spans="1:6" x14ac:dyDescent="0.3">
      <c r="A3149" t="s">
        <v>1578</v>
      </c>
      <c r="F3149" t="str">
        <f t="shared" ref="F3149" si="3141">A3149</f>
        <v>CGAGAT</v>
      </c>
    </row>
    <row r="3150" spans="1:6" x14ac:dyDescent="0.3">
      <c r="A3150" t="s">
        <v>5675</v>
      </c>
      <c r="F3150" t="str">
        <f t="shared" ref="F3150" si="3142">LEFT(A3150, LEN(A3150) - 1)</f>
        <v>&gt;1573:CGAGCA:28.00:66.67:Warning:6:1801.24</v>
      </c>
    </row>
    <row r="3151" spans="1:6" x14ac:dyDescent="0.3">
      <c r="A3151" t="s">
        <v>1579</v>
      </c>
      <c r="F3151" t="str">
        <f t="shared" ref="F3151" si="3143">A3151</f>
        <v>CGAGCA</v>
      </c>
    </row>
    <row r="3152" spans="1:6" x14ac:dyDescent="0.3">
      <c r="A3152" t="s">
        <v>5676</v>
      </c>
      <c r="F3152" t="str">
        <f t="shared" ref="F3152" si="3144">LEFT(A3152, LEN(A3152) - 1)</f>
        <v>&gt;1574:CGAGCC:26.00:83.33:Warning:6:1777.21</v>
      </c>
    </row>
    <row r="3153" spans="1:6" x14ac:dyDescent="0.3">
      <c r="A3153" t="s">
        <v>1580</v>
      </c>
      <c r="F3153" t="str">
        <f t="shared" ref="F3153" si="3145">A3153</f>
        <v>CGAGCC</v>
      </c>
    </row>
    <row r="3154" spans="1:6" x14ac:dyDescent="0.3">
      <c r="A3154" t="s">
        <v>5677</v>
      </c>
      <c r="F3154" t="str">
        <f t="shared" ref="F3154" si="3146">LEFT(A3154, LEN(A3154) - 1)</f>
        <v>&gt;1575:CGAGCG:26.00:83.33:Warning:6:1817.24</v>
      </c>
    </row>
    <row r="3155" spans="1:6" x14ac:dyDescent="0.3">
      <c r="A3155" t="s">
        <v>1581</v>
      </c>
      <c r="F3155" t="str">
        <f t="shared" ref="F3155" si="3147">A3155</f>
        <v>CGAGCG</v>
      </c>
    </row>
    <row r="3156" spans="1:6" x14ac:dyDescent="0.3">
      <c r="A3156" t="s">
        <v>5678</v>
      </c>
      <c r="F3156" t="str">
        <f t="shared" ref="F3156" si="3148">LEFT(A3156, LEN(A3156) - 1)</f>
        <v>&gt;1576:CGAGCT:20.00:66.67:Warning:6:1792.22</v>
      </c>
    </row>
    <row r="3157" spans="1:6" x14ac:dyDescent="0.3">
      <c r="A3157" t="s">
        <v>1582</v>
      </c>
      <c r="F3157" t="str">
        <f t="shared" ref="F3157" si="3149">A3157</f>
        <v>CGAGCT</v>
      </c>
    </row>
    <row r="3158" spans="1:6" x14ac:dyDescent="0.3">
      <c r="A3158" t="s">
        <v>5679</v>
      </c>
      <c r="F3158" t="str">
        <f t="shared" ref="F3158" si="3150">LEFT(A3158, LEN(A3158) - 1)</f>
        <v>&gt;1577:CGAGGA:28.00:66.67:Warning:6:1841.27</v>
      </c>
    </row>
    <row r="3159" spans="1:6" x14ac:dyDescent="0.3">
      <c r="A3159" t="s">
        <v>1583</v>
      </c>
      <c r="F3159" t="str">
        <f t="shared" ref="F3159" si="3151">A3159</f>
        <v>CGAGGA</v>
      </c>
    </row>
    <row r="3160" spans="1:6" x14ac:dyDescent="0.3">
      <c r="A3160" t="s">
        <v>5680</v>
      </c>
      <c r="F3160" t="str">
        <f t="shared" ref="F3160" si="3152">LEFT(A3160, LEN(A3160) - 1)</f>
        <v>&gt;1578:CGAGGC:26.00:83.33:Warning:6:1817.24</v>
      </c>
    </row>
    <row r="3161" spans="1:6" x14ac:dyDescent="0.3">
      <c r="A3161" t="s">
        <v>1584</v>
      </c>
      <c r="F3161" t="str">
        <f t="shared" ref="F3161" si="3153">A3161</f>
        <v>CGAGGC</v>
      </c>
    </row>
    <row r="3162" spans="1:6" x14ac:dyDescent="0.3">
      <c r="A3162" t="s">
        <v>5681</v>
      </c>
      <c r="F3162" t="str">
        <f t="shared" ref="F3162" si="3154">LEFT(A3162, LEN(A3162) - 1)</f>
        <v>&gt;1579:CGAGGG:26.00:83.33:Warning:6:1857.27</v>
      </c>
    </row>
    <row r="3163" spans="1:6" x14ac:dyDescent="0.3">
      <c r="A3163" t="s">
        <v>1585</v>
      </c>
      <c r="F3163" t="str">
        <f t="shared" ref="F3163" si="3155">A3163</f>
        <v>CGAGGG</v>
      </c>
    </row>
    <row r="3164" spans="1:6" x14ac:dyDescent="0.3">
      <c r="A3164" t="s">
        <v>5682</v>
      </c>
      <c r="F3164" t="str">
        <f t="shared" ref="F3164" si="3156">LEFT(A3164, LEN(A3164) - 1)</f>
        <v>&gt;1580:CGAGGT:20.00:66.67:Warning:6:1832.25</v>
      </c>
    </row>
    <row r="3165" spans="1:6" x14ac:dyDescent="0.3">
      <c r="A3165" t="s">
        <v>1586</v>
      </c>
      <c r="F3165" t="str">
        <f t="shared" ref="F3165" si="3157">A3165</f>
        <v>CGAGGT</v>
      </c>
    </row>
    <row r="3166" spans="1:6" x14ac:dyDescent="0.3">
      <c r="A3166" t="s">
        <v>5683</v>
      </c>
      <c r="F3166" t="str">
        <f t="shared" ref="F3166" si="3158">LEFT(A3166, LEN(A3166) - 1)</f>
        <v>&gt;1581:CGAGTA:22.00:50.00:OK:6:1816.25</v>
      </c>
    </row>
    <row r="3167" spans="1:6" x14ac:dyDescent="0.3">
      <c r="A3167" t="s">
        <v>1587</v>
      </c>
      <c r="F3167" t="str">
        <f t="shared" ref="F3167" si="3159">A3167</f>
        <v>CGAGTA</v>
      </c>
    </row>
    <row r="3168" spans="1:6" x14ac:dyDescent="0.3">
      <c r="A3168" t="s">
        <v>5684</v>
      </c>
      <c r="F3168" t="str">
        <f t="shared" ref="F3168" si="3160">LEFT(A3168, LEN(A3168) - 1)</f>
        <v>&gt;1582:CGAGTC:20.00:66.67:Warning:6:1792.22</v>
      </c>
    </row>
    <row r="3169" spans="1:6" x14ac:dyDescent="0.3">
      <c r="A3169" t="s">
        <v>1588</v>
      </c>
      <c r="F3169" t="str">
        <f t="shared" ref="F3169" si="3161">A3169</f>
        <v>CGAGTC</v>
      </c>
    </row>
    <row r="3170" spans="1:6" x14ac:dyDescent="0.3">
      <c r="A3170" t="s">
        <v>5685</v>
      </c>
      <c r="F3170" t="str">
        <f t="shared" ref="F3170" si="3162">LEFT(A3170, LEN(A3170) - 1)</f>
        <v>&gt;1583:CGAGTG:20.00:66.67:Warning:6:1832.25</v>
      </c>
    </row>
    <row r="3171" spans="1:6" x14ac:dyDescent="0.3">
      <c r="A3171" t="s">
        <v>1589</v>
      </c>
      <c r="F3171" t="str">
        <f t="shared" ref="F3171" si="3163">A3171</f>
        <v>CGAGTG</v>
      </c>
    </row>
    <row r="3172" spans="1:6" x14ac:dyDescent="0.3">
      <c r="A3172" t="s">
        <v>5686</v>
      </c>
      <c r="F3172" t="str">
        <f t="shared" ref="F3172" si="3164">LEFT(A3172, LEN(A3172) - 1)</f>
        <v>&gt;1584:CGAGTT:14.00:50.00:OK:6:1807.23</v>
      </c>
    </row>
    <row r="3173" spans="1:6" x14ac:dyDescent="0.3">
      <c r="A3173" t="s">
        <v>1590</v>
      </c>
      <c r="F3173" t="str">
        <f t="shared" ref="F3173" si="3165">A3173</f>
        <v>CGAGTT</v>
      </c>
    </row>
    <row r="3174" spans="1:6" x14ac:dyDescent="0.3">
      <c r="A3174" t="s">
        <v>5687</v>
      </c>
      <c r="F3174" t="str">
        <f t="shared" ref="F3174" si="3166">LEFT(A3174, LEN(A3174) - 1)</f>
        <v>&gt;1585:CGATAA:24.00:33.33:OK:6:1800.25</v>
      </c>
    </row>
    <row r="3175" spans="1:6" x14ac:dyDescent="0.3">
      <c r="A3175" t="s">
        <v>1591</v>
      </c>
      <c r="F3175" t="str">
        <f t="shared" ref="F3175" si="3167">A3175</f>
        <v>CGATAA</v>
      </c>
    </row>
    <row r="3176" spans="1:6" x14ac:dyDescent="0.3">
      <c r="A3176" t="s">
        <v>5688</v>
      </c>
      <c r="F3176" t="str">
        <f t="shared" ref="F3176" si="3168">LEFT(A3176, LEN(A3176) - 1)</f>
        <v>&gt;1586:CGATAC:22.00:50.00:OK:6:1776.22</v>
      </c>
    </row>
    <row r="3177" spans="1:6" x14ac:dyDescent="0.3">
      <c r="A3177" t="s">
        <v>1592</v>
      </c>
      <c r="F3177" t="str">
        <f t="shared" ref="F3177" si="3169">A3177</f>
        <v>CGATAC</v>
      </c>
    </row>
    <row r="3178" spans="1:6" x14ac:dyDescent="0.3">
      <c r="A3178" t="s">
        <v>5689</v>
      </c>
      <c r="F3178" t="str">
        <f t="shared" ref="F3178" si="3170">LEFT(A3178, LEN(A3178) - 1)</f>
        <v>&gt;1587:CGATAG:22.00:50.00:OK:6:1816.25</v>
      </c>
    </row>
    <row r="3179" spans="1:6" x14ac:dyDescent="0.3">
      <c r="A3179" t="s">
        <v>1593</v>
      </c>
      <c r="F3179" t="str">
        <f t="shared" ref="F3179" si="3171">A3179</f>
        <v>CGATAG</v>
      </c>
    </row>
    <row r="3180" spans="1:6" x14ac:dyDescent="0.3">
      <c r="A3180" t="s">
        <v>5690</v>
      </c>
      <c r="F3180" t="str">
        <f t="shared" ref="F3180" si="3172">LEFT(A3180, LEN(A3180) - 1)</f>
        <v>&gt;1588:CGATAT:16.00:33.33:OK:6:1791.23</v>
      </c>
    </row>
    <row r="3181" spans="1:6" x14ac:dyDescent="0.3">
      <c r="A3181" t="s">
        <v>1594</v>
      </c>
      <c r="F3181" t="str">
        <f t="shared" ref="F3181" si="3173">A3181</f>
        <v>CGATAT</v>
      </c>
    </row>
    <row r="3182" spans="1:6" x14ac:dyDescent="0.3">
      <c r="A3182" t="s">
        <v>5691</v>
      </c>
      <c r="F3182" t="str">
        <f t="shared" ref="F3182" si="3174">LEFT(A3182, LEN(A3182) - 1)</f>
        <v>&gt;1589:CGATCA:22.00:50.00:OK:6:1776.22</v>
      </c>
    </row>
    <row r="3183" spans="1:6" x14ac:dyDescent="0.3">
      <c r="A3183" t="s">
        <v>1595</v>
      </c>
      <c r="F3183" t="str">
        <f t="shared" ref="F3183" si="3175">A3183</f>
        <v>CGATCA</v>
      </c>
    </row>
    <row r="3184" spans="1:6" x14ac:dyDescent="0.3">
      <c r="A3184" t="s">
        <v>5692</v>
      </c>
      <c r="F3184" t="str">
        <f t="shared" ref="F3184" si="3176">LEFT(A3184, LEN(A3184) - 1)</f>
        <v>&gt;1590:CGATCC:20.00:66.67:Warning:6:1752.19</v>
      </c>
    </row>
    <row r="3185" spans="1:6" x14ac:dyDescent="0.3">
      <c r="A3185" t="s">
        <v>1596</v>
      </c>
      <c r="F3185" t="str">
        <f t="shared" ref="F3185" si="3177">A3185</f>
        <v>CGATCC</v>
      </c>
    </row>
    <row r="3186" spans="1:6" x14ac:dyDescent="0.3">
      <c r="A3186" t="s">
        <v>5693</v>
      </c>
      <c r="F3186" t="str">
        <f t="shared" ref="F3186" si="3178">LEFT(A3186, LEN(A3186) - 1)</f>
        <v>&gt;1591:CGATCG:20.00:66.67:Warning:6:1792.22</v>
      </c>
    </row>
    <row r="3187" spans="1:6" x14ac:dyDescent="0.3">
      <c r="A3187" t="s">
        <v>1597</v>
      </c>
      <c r="F3187" t="str">
        <f t="shared" ref="F3187" si="3179">A3187</f>
        <v>CGATCG</v>
      </c>
    </row>
    <row r="3188" spans="1:6" x14ac:dyDescent="0.3">
      <c r="A3188" t="s">
        <v>5694</v>
      </c>
      <c r="F3188" t="str">
        <f t="shared" ref="F3188" si="3180">LEFT(A3188, LEN(A3188) - 1)</f>
        <v>&gt;1592:CGATCT:14.00:50.00:OK:6:1767.20</v>
      </c>
    </row>
    <row r="3189" spans="1:6" x14ac:dyDescent="0.3">
      <c r="A3189" t="s">
        <v>1598</v>
      </c>
      <c r="F3189" t="str">
        <f t="shared" ref="F3189" si="3181">A3189</f>
        <v>CGATCT</v>
      </c>
    </row>
    <row r="3190" spans="1:6" x14ac:dyDescent="0.3">
      <c r="A3190" t="s">
        <v>5695</v>
      </c>
      <c r="F3190" t="str">
        <f t="shared" ref="F3190" si="3182">LEFT(A3190, LEN(A3190) - 1)</f>
        <v>&gt;1593:CGATGA:22.00:50.00:OK:6:1816.25</v>
      </c>
    </row>
    <row r="3191" spans="1:6" x14ac:dyDescent="0.3">
      <c r="A3191" t="s">
        <v>1599</v>
      </c>
      <c r="F3191" t="str">
        <f t="shared" ref="F3191" si="3183">A3191</f>
        <v>CGATGA</v>
      </c>
    </row>
    <row r="3192" spans="1:6" x14ac:dyDescent="0.3">
      <c r="A3192" t="s">
        <v>5696</v>
      </c>
      <c r="F3192" t="str">
        <f t="shared" ref="F3192" si="3184">LEFT(A3192, LEN(A3192) - 1)</f>
        <v>&gt;1594:CGATGC:20.00:66.67:Warning:6:1792.22</v>
      </c>
    </row>
    <row r="3193" spans="1:6" x14ac:dyDescent="0.3">
      <c r="A3193" t="s">
        <v>1600</v>
      </c>
      <c r="F3193" t="str">
        <f t="shared" ref="F3193" si="3185">A3193</f>
        <v>CGATGC</v>
      </c>
    </row>
    <row r="3194" spans="1:6" x14ac:dyDescent="0.3">
      <c r="A3194" t="s">
        <v>5697</v>
      </c>
      <c r="F3194" t="str">
        <f t="shared" ref="F3194" si="3186">LEFT(A3194, LEN(A3194) - 1)</f>
        <v>&gt;1595:CGATGG:20.00:66.67:Warning:6:1832.25</v>
      </c>
    </row>
    <row r="3195" spans="1:6" x14ac:dyDescent="0.3">
      <c r="A3195" t="s">
        <v>1601</v>
      </c>
      <c r="F3195" t="str">
        <f t="shared" ref="F3195" si="3187">A3195</f>
        <v>CGATGG</v>
      </c>
    </row>
    <row r="3196" spans="1:6" x14ac:dyDescent="0.3">
      <c r="A3196" t="s">
        <v>5698</v>
      </c>
      <c r="F3196" t="str">
        <f t="shared" ref="F3196" si="3188">LEFT(A3196, LEN(A3196) - 1)</f>
        <v>&gt;1596:CGATGT:14.00:50.00:OK:6:1807.23</v>
      </c>
    </row>
    <row r="3197" spans="1:6" x14ac:dyDescent="0.3">
      <c r="A3197" t="s">
        <v>1602</v>
      </c>
      <c r="F3197" t="str">
        <f t="shared" ref="F3197" si="3189">A3197</f>
        <v>CGATGT</v>
      </c>
    </row>
    <row r="3198" spans="1:6" x14ac:dyDescent="0.3">
      <c r="A3198" t="s">
        <v>5699</v>
      </c>
      <c r="F3198" t="str">
        <f t="shared" ref="F3198" si="3190">LEFT(A3198, LEN(A3198) - 1)</f>
        <v>&gt;1597:CGATTA:16.00:33.33:OK:6:1791.23</v>
      </c>
    </row>
    <row r="3199" spans="1:6" x14ac:dyDescent="0.3">
      <c r="A3199" t="s">
        <v>1603</v>
      </c>
      <c r="F3199" t="str">
        <f t="shared" ref="F3199" si="3191">A3199</f>
        <v>CGATTA</v>
      </c>
    </row>
    <row r="3200" spans="1:6" x14ac:dyDescent="0.3">
      <c r="A3200" t="s">
        <v>5700</v>
      </c>
      <c r="F3200" t="str">
        <f t="shared" ref="F3200" si="3192">LEFT(A3200, LEN(A3200) - 1)</f>
        <v>&gt;1598:CGATTC:14.00:50.00:OK:6:1767.20</v>
      </c>
    </row>
    <row r="3201" spans="1:6" x14ac:dyDescent="0.3">
      <c r="A3201" t="s">
        <v>1604</v>
      </c>
      <c r="F3201" t="str">
        <f t="shared" ref="F3201" si="3193">A3201</f>
        <v>CGATTC</v>
      </c>
    </row>
    <row r="3202" spans="1:6" x14ac:dyDescent="0.3">
      <c r="A3202" t="s">
        <v>5701</v>
      </c>
      <c r="F3202" t="str">
        <f t="shared" ref="F3202" si="3194">LEFT(A3202, LEN(A3202) - 1)</f>
        <v>&gt;1599:CGATTG:14.00:50.00:OK:6:1807.23</v>
      </c>
    </row>
    <row r="3203" spans="1:6" x14ac:dyDescent="0.3">
      <c r="A3203" t="s">
        <v>1605</v>
      </c>
      <c r="F3203" t="str">
        <f t="shared" ref="F3203" si="3195">A3203</f>
        <v>CGATTG</v>
      </c>
    </row>
    <row r="3204" spans="1:6" x14ac:dyDescent="0.3">
      <c r="A3204" t="s">
        <v>5702</v>
      </c>
      <c r="F3204" t="str">
        <f t="shared" ref="F3204" si="3196">LEFT(A3204, LEN(A3204) - 1)</f>
        <v>&gt;1600:CGATTT:8.00:33.33:OK:6:1782.21</v>
      </c>
    </row>
    <row r="3205" spans="1:6" x14ac:dyDescent="0.3">
      <c r="A3205" t="s">
        <v>1606</v>
      </c>
      <c r="F3205" t="str">
        <f t="shared" ref="F3205" si="3197">A3205</f>
        <v>CGATTT</v>
      </c>
    </row>
    <row r="3206" spans="1:6" x14ac:dyDescent="0.3">
      <c r="A3206" t="s">
        <v>5703</v>
      </c>
      <c r="F3206" t="str">
        <f t="shared" ref="F3206" si="3198">LEFT(A3206, LEN(A3206) - 1)</f>
        <v>&gt;1601:CGCAAA:30.00:50.00:OK:6:1785.24</v>
      </c>
    </row>
    <row r="3207" spans="1:6" x14ac:dyDescent="0.3">
      <c r="A3207" t="s">
        <v>1607</v>
      </c>
      <c r="F3207" t="str">
        <f t="shared" ref="F3207" si="3199">A3207</f>
        <v>CGCAAA</v>
      </c>
    </row>
    <row r="3208" spans="1:6" x14ac:dyDescent="0.3">
      <c r="A3208" t="s">
        <v>5704</v>
      </c>
      <c r="F3208" t="str">
        <f t="shared" ref="F3208" si="3200">LEFT(A3208, LEN(A3208) - 1)</f>
        <v>&gt;1602:CGCAAC:28.00:66.67:Warning:6:1761.21</v>
      </c>
    </row>
    <row r="3209" spans="1:6" x14ac:dyDescent="0.3">
      <c r="A3209" t="s">
        <v>1608</v>
      </c>
      <c r="F3209" t="str">
        <f t="shared" ref="F3209" si="3201">A3209</f>
        <v>CGCAAC</v>
      </c>
    </row>
    <row r="3210" spans="1:6" x14ac:dyDescent="0.3">
      <c r="A3210" t="s">
        <v>5705</v>
      </c>
      <c r="F3210" t="str">
        <f t="shared" ref="F3210" si="3202">LEFT(A3210, LEN(A3210) - 1)</f>
        <v>&gt;1603:CGCAAG:28.00:66.67:Warning:6:1801.24</v>
      </c>
    </row>
    <row r="3211" spans="1:6" x14ac:dyDescent="0.3">
      <c r="A3211" t="s">
        <v>1609</v>
      </c>
      <c r="F3211" t="str">
        <f t="shared" ref="F3211" si="3203">A3211</f>
        <v>CGCAAG</v>
      </c>
    </row>
    <row r="3212" spans="1:6" x14ac:dyDescent="0.3">
      <c r="A3212" t="s">
        <v>5706</v>
      </c>
      <c r="F3212" t="str">
        <f t="shared" ref="F3212" si="3204">LEFT(A3212, LEN(A3212) - 1)</f>
        <v>&gt;1604:CGCAAT:22.00:50.00:OK:6:1776.22</v>
      </c>
    </row>
    <row r="3213" spans="1:6" x14ac:dyDescent="0.3">
      <c r="A3213" t="s">
        <v>1610</v>
      </c>
      <c r="F3213" t="str">
        <f t="shared" ref="F3213" si="3205">A3213</f>
        <v>CGCAAT</v>
      </c>
    </row>
    <row r="3214" spans="1:6" x14ac:dyDescent="0.3">
      <c r="A3214" t="s">
        <v>5707</v>
      </c>
      <c r="F3214" t="str">
        <f t="shared" ref="F3214" si="3206">LEFT(A3214, LEN(A3214) - 1)</f>
        <v>&gt;1605:CGCACA:28.00:66.67:Warning:6:1761.21</v>
      </c>
    </row>
    <row r="3215" spans="1:6" x14ac:dyDescent="0.3">
      <c r="A3215" t="s">
        <v>1611</v>
      </c>
      <c r="F3215" t="str">
        <f t="shared" ref="F3215" si="3207">A3215</f>
        <v>CGCACA</v>
      </c>
    </row>
    <row r="3216" spans="1:6" x14ac:dyDescent="0.3">
      <c r="A3216" t="s">
        <v>5708</v>
      </c>
      <c r="F3216" t="str">
        <f t="shared" ref="F3216" si="3208">LEFT(A3216, LEN(A3216) - 1)</f>
        <v>&gt;1606:CGCACC:26.00:83.33:Warning:6:1737.18</v>
      </c>
    </row>
    <row r="3217" spans="1:6" x14ac:dyDescent="0.3">
      <c r="A3217" t="s">
        <v>1612</v>
      </c>
      <c r="F3217" t="str">
        <f t="shared" ref="F3217" si="3209">A3217</f>
        <v>CGCACC</v>
      </c>
    </row>
    <row r="3218" spans="1:6" x14ac:dyDescent="0.3">
      <c r="A3218" t="s">
        <v>5709</v>
      </c>
      <c r="F3218" t="str">
        <f t="shared" ref="F3218" si="3210">LEFT(A3218, LEN(A3218) - 1)</f>
        <v>&gt;1607:CGCACG:26.00:83.33:Warning:6:1777.21</v>
      </c>
    </row>
    <row r="3219" spans="1:6" x14ac:dyDescent="0.3">
      <c r="A3219" t="s">
        <v>1613</v>
      </c>
      <c r="F3219" t="str">
        <f t="shared" ref="F3219" si="3211">A3219</f>
        <v>CGCACG</v>
      </c>
    </row>
    <row r="3220" spans="1:6" x14ac:dyDescent="0.3">
      <c r="A3220" t="s">
        <v>5710</v>
      </c>
      <c r="F3220" t="str">
        <f t="shared" ref="F3220" si="3212">LEFT(A3220, LEN(A3220) - 1)</f>
        <v>&gt;1608:CGCACT:20.00:66.67:Warning:6:1752.19</v>
      </c>
    </row>
    <row r="3221" spans="1:6" x14ac:dyDescent="0.3">
      <c r="A3221" t="s">
        <v>1614</v>
      </c>
      <c r="F3221" t="str">
        <f t="shared" ref="F3221" si="3213">A3221</f>
        <v>CGCACT</v>
      </c>
    </row>
    <row r="3222" spans="1:6" x14ac:dyDescent="0.3">
      <c r="A3222" t="s">
        <v>5711</v>
      </c>
      <c r="F3222" t="str">
        <f t="shared" ref="F3222" si="3214">LEFT(A3222, LEN(A3222) - 1)</f>
        <v>&gt;1609:CGCAGA:28.00:66.67:Warning:6:1801.24</v>
      </c>
    </row>
    <row r="3223" spans="1:6" x14ac:dyDescent="0.3">
      <c r="A3223" t="s">
        <v>1615</v>
      </c>
      <c r="F3223" t="str">
        <f t="shared" ref="F3223" si="3215">A3223</f>
        <v>CGCAGA</v>
      </c>
    </row>
    <row r="3224" spans="1:6" x14ac:dyDescent="0.3">
      <c r="A3224" t="s">
        <v>5712</v>
      </c>
      <c r="F3224" t="str">
        <f t="shared" ref="F3224" si="3216">LEFT(A3224, LEN(A3224) - 1)</f>
        <v>&gt;1610:CGCAGC:26.00:83.33:Warning:6:1777.21</v>
      </c>
    </row>
    <row r="3225" spans="1:6" x14ac:dyDescent="0.3">
      <c r="A3225" t="s">
        <v>1616</v>
      </c>
      <c r="F3225" t="str">
        <f t="shared" ref="F3225" si="3217">A3225</f>
        <v>CGCAGC</v>
      </c>
    </row>
    <row r="3226" spans="1:6" x14ac:dyDescent="0.3">
      <c r="A3226" t="s">
        <v>5713</v>
      </c>
      <c r="F3226" t="str">
        <f t="shared" ref="F3226" si="3218">LEFT(A3226, LEN(A3226) - 1)</f>
        <v>&gt;1611:CGCAGG:26.00:83.33:Warning:6:1817.24</v>
      </c>
    </row>
    <row r="3227" spans="1:6" x14ac:dyDescent="0.3">
      <c r="A3227" t="s">
        <v>1617</v>
      </c>
      <c r="F3227" t="str">
        <f t="shared" ref="F3227" si="3219">A3227</f>
        <v>CGCAGG</v>
      </c>
    </row>
    <row r="3228" spans="1:6" x14ac:dyDescent="0.3">
      <c r="A3228" t="s">
        <v>5714</v>
      </c>
      <c r="F3228" t="str">
        <f t="shared" ref="F3228" si="3220">LEFT(A3228, LEN(A3228) - 1)</f>
        <v>&gt;1612:CGCAGT:20.00:66.67:Warning:6:1792.22</v>
      </c>
    </row>
    <row r="3229" spans="1:6" x14ac:dyDescent="0.3">
      <c r="A3229" t="s">
        <v>1618</v>
      </c>
      <c r="F3229" t="str">
        <f t="shared" ref="F3229" si="3221">A3229</f>
        <v>CGCAGT</v>
      </c>
    </row>
    <row r="3230" spans="1:6" x14ac:dyDescent="0.3">
      <c r="A3230" t="s">
        <v>5715</v>
      </c>
      <c r="F3230" t="str">
        <f t="shared" ref="F3230" si="3222">LEFT(A3230, LEN(A3230) - 1)</f>
        <v>&gt;1613:CGCATA:22.00:50.00:OK:6:1776.22</v>
      </c>
    </row>
    <row r="3231" spans="1:6" x14ac:dyDescent="0.3">
      <c r="A3231" t="s">
        <v>1619</v>
      </c>
      <c r="F3231" t="str">
        <f t="shared" ref="F3231" si="3223">A3231</f>
        <v>CGCATA</v>
      </c>
    </row>
    <row r="3232" spans="1:6" x14ac:dyDescent="0.3">
      <c r="A3232" t="s">
        <v>5716</v>
      </c>
      <c r="F3232" t="str">
        <f t="shared" ref="F3232" si="3224">LEFT(A3232, LEN(A3232) - 1)</f>
        <v>&gt;1614:CGCATC:20.00:66.67:Warning:6:1752.19</v>
      </c>
    </row>
    <row r="3233" spans="1:6" x14ac:dyDescent="0.3">
      <c r="A3233" t="s">
        <v>1620</v>
      </c>
      <c r="F3233" t="str">
        <f t="shared" ref="F3233" si="3225">A3233</f>
        <v>CGCATC</v>
      </c>
    </row>
    <row r="3234" spans="1:6" x14ac:dyDescent="0.3">
      <c r="A3234" t="s">
        <v>5717</v>
      </c>
      <c r="F3234" t="str">
        <f t="shared" ref="F3234" si="3226">LEFT(A3234, LEN(A3234) - 1)</f>
        <v>&gt;1615:CGCATG:20.00:66.67:Warning:6:1792.22</v>
      </c>
    </row>
    <row r="3235" spans="1:6" x14ac:dyDescent="0.3">
      <c r="A3235" t="s">
        <v>1621</v>
      </c>
      <c r="F3235" t="str">
        <f t="shared" ref="F3235" si="3227">A3235</f>
        <v>CGCATG</v>
      </c>
    </row>
    <row r="3236" spans="1:6" x14ac:dyDescent="0.3">
      <c r="A3236" t="s">
        <v>5718</v>
      </c>
      <c r="F3236" t="str">
        <f t="shared" ref="F3236" si="3228">LEFT(A3236, LEN(A3236) - 1)</f>
        <v>&gt;1616:CGCATT:14.00:50.00:OK:6:1767.20</v>
      </c>
    </row>
    <row r="3237" spans="1:6" x14ac:dyDescent="0.3">
      <c r="A3237" t="s">
        <v>1622</v>
      </c>
      <c r="F3237" t="str">
        <f t="shared" ref="F3237" si="3229">A3237</f>
        <v>CGCATT</v>
      </c>
    </row>
    <row r="3238" spans="1:6" x14ac:dyDescent="0.3">
      <c r="A3238" t="s">
        <v>5719</v>
      </c>
      <c r="F3238" t="str">
        <f t="shared" ref="F3238" si="3230">LEFT(A3238, LEN(A3238) - 1)</f>
        <v>&gt;1617:CGCCAA:28.00:66.67:Warning:6:1761.21</v>
      </c>
    </row>
    <row r="3239" spans="1:6" x14ac:dyDescent="0.3">
      <c r="A3239" t="s">
        <v>1623</v>
      </c>
      <c r="F3239" t="str">
        <f t="shared" ref="F3239" si="3231">A3239</f>
        <v>CGCCAA</v>
      </c>
    </row>
    <row r="3240" spans="1:6" x14ac:dyDescent="0.3">
      <c r="A3240" t="s">
        <v>5720</v>
      </c>
      <c r="F3240" t="str">
        <f t="shared" ref="F3240" si="3232">LEFT(A3240, LEN(A3240) - 1)</f>
        <v>&gt;1618:CGCCAC:26.00:83.33:Warning:6:1737.18</v>
      </c>
    </row>
    <row r="3241" spans="1:6" x14ac:dyDescent="0.3">
      <c r="A3241" t="s">
        <v>1624</v>
      </c>
      <c r="F3241" t="str">
        <f t="shared" ref="F3241" si="3233">A3241</f>
        <v>CGCCAC</v>
      </c>
    </row>
    <row r="3242" spans="1:6" x14ac:dyDescent="0.3">
      <c r="A3242" t="s">
        <v>5721</v>
      </c>
      <c r="F3242" t="str">
        <f t="shared" ref="F3242" si="3234">LEFT(A3242, LEN(A3242) - 1)</f>
        <v>&gt;1619:CGCCAG:26.00:83.33:Warning:6:1777.21</v>
      </c>
    </row>
    <row r="3243" spans="1:6" x14ac:dyDescent="0.3">
      <c r="A3243" t="s">
        <v>1625</v>
      </c>
      <c r="F3243" t="str">
        <f t="shared" ref="F3243" si="3235">A3243</f>
        <v>CGCCAG</v>
      </c>
    </row>
    <row r="3244" spans="1:6" x14ac:dyDescent="0.3">
      <c r="A3244" t="s">
        <v>5722</v>
      </c>
      <c r="F3244" t="str">
        <f t="shared" ref="F3244" si="3236">LEFT(A3244, LEN(A3244) - 1)</f>
        <v>&gt;1620:CGCCAT:20.00:66.67:Warning:6:1752.19</v>
      </c>
    </row>
    <row r="3245" spans="1:6" x14ac:dyDescent="0.3">
      <c r="A3245" t="s">
        <v>1626</v>
      </c>
      <c r="F3245" t="str">
        <f t="shared" ref="F3245" si="3237">A3245</f>
        <v>CGCCAT</v>
      </c>
    </row>
    <row r="3246" spans="1:6" x14ac:dyDescent="0.3">
      <c r="A3246" t="s">
        <v>5723</v>
      </c>
      <c r="F3246" t="str">
        <f t="shared" ref="F3246" si="3238">LEFT(A3246, LEN(A3246) - 1)</f>
        <v>&gt;1621:CGCCCA:26.00:83.33:Warning:6:1737.18</v>
      </c>
    </row>
    <row r="3247" spans="1:6" x14ac:dyDescent="0.3">
      <c r="A3247" t="s">
        <v>1627</v>
      </c>
      <c r="F3247" t="str">
        <f t="shared" ref="F3247" si="3239">A3247</f>
        <v>CGCCCA</v>
      </c>
    </row>
    <row r="3248" spans="1:6" x14ac:dyDescent="0.3">
      <c r="A3248" t="s">
        <v>5724</v>
      </c>
      <c r="F3248" t="str">
        <f t="shared" ref="F3248" si="3240">LEFT(A3248, LEN(A3248) - 1)</f>
        <v>&gt;1622:CGCCCC:24.00:100.00:Warning:6:1713.15</v>
      </c>
    </row>
    <row r="3249" spans="1:6" x14ac:dyDescent="0.3">
      <c r="A3249" t="s">
        <v>1628</v>
      </c>
      <c r="F3249" t="str">
        <f t="shared" ref="F3249" si="3241">A3249</f>
        <v>CGCCCC</v>
      </c>
    </row>
    <row r="3250" spans="1:6" x14ac:dyDescent="0.3">
      <c r="A3250" t="s">
        <v>5725</v>
      </c>
      <c r="F3250" t="str">
        <f t="shared" ref="F3250" si="3242">LEFT(A3250, LEN(A3250) - 1)</f>
        <v>&gt;1623:CGCCCG:24.00:100.00:Warning:6:1753.18</v>
      </c>
    </row>
    <row r="3251" spans="1:6" x14ac:dyDescent="0.3">
      <c r="A3251" t="s">
        <v>1629</v>
      </c>
      <c r="F3251" t="str">
        <f t="shared" ref="F3251" si="3243">A3251</f>
        <v>CGCCCG</v>
      </c>
    </row>
    <row r="3252" spans="1:6" x14ac:dyDescent="0.3">
      <c r="A3252" t="s">
        <v>5726</v>
      </c>
      <c r="F3252" t="str">
        <f t="shared" ref="F3252" si="3244">LEFT(A3252, LEN(A3252) - 1)</f>
        <v>&gt;1624:CGCCCT:18.00:83.33:Warning:6:1728.16</v>
      </c>
    </row>
    <row r="3253" spans="1:6" x14ac:dyDescent="0.3">
      <c r="A3253" t="s">
        <v>1630</v>
      </c>
      <c r="F3253" t="str">
        <f t="shared" ref="F3253" si="3245">A3253</f>
        <v>CGCCCT</v>
      </c>
    </row>
    <row r="3254" spans="1:6" x14ac:dyDescent="0.3">
      <c r="A3254" t="s">
        <v>5727</v>
      </c>
      <c r="F3254" t="str">
        <f t="shared" ref="F3254" si="3246">LEFT(A3254, LEN(A3254) - 1)</f>
        <v>&gt;1625:CGCCGA:26.00:83.33:Warning:6:1777.21</v>
      </c>
    </row>
    <row r="3255" spans="1:6" x14ac:dyDescent="0.3">
      <c r="A3255" t="s">
        <v>1631</v>
      </c>
      <c r="F3255" t="str">
        <f t="shared" ref="F3255" si="3247">A3255</f>
        <v>CGCCGA</v>
      </c>
    </row>
    <row r="3256" spans="1:6" x14ac:dyDescent="0.3">
      <c r="A3256" t="s">
        <v>5728</v>
      </c>
      <c r="F3256" t="str">
        <f t="shared" ref="F3256" si="3248">LEFT(A3256, LEN(A3256) - 1)</f>
        <v>&gt;1626:CGCCGC:24.00:100.00:Warning:6:1753.18</v>
      </c>
    </row>
    <row r="3257" spans="1:6" x14ac:dyDescent="0.3">
      <c r="A3257" t="s">
        <v>1632</v>
      </c>
      <c r="F3257" t="str">
        <f t="shared" ref="F3257" si="3249">A3257</f>
        <v>CGCCGC</v>
      </c>
    </row>
    <row r="3258" spans="1:6" x14ac:dyDescent="0.3">
      <c r="A3258" t="s">
        <v>5729</v>
      </c>
      <c r="F3258" t="str">
        <f t="shared" ref="F3258" si="3250">LEFT(A3258, LEN(A3258) - 1)</f>
        <v>&gt;1627:CGCCGG:24.00:100.00:Warning:6:1793.21</v>
      </c>
    </row>
    <row r="3259" spans="1:6" x14ac:dyDescent="0.3">
      <c r="A3259" t="s">
        <v>1633</v>
      </c>
      <c r="F3259" t="str">
        <f t="shared" ref="F3259" si="3251">A3259</f>
        <v>CGCCGG</v>
      </c>
    </row>
    <row r="3260" spans="1:6" x14ac:dyDescent="0.3">
      <c r="A3260" t="s">
        <v>5730</v>
      </c>
      <c r="F3260" t="str">
        <f t="shared" ref="F3260" si="3252">LEFT(A3260, LEN(A3260) - 1)</f>
        <v>&gt;1628:CGCCGT:18.00:83.33:Warning:6:1768.19</v>
      </c>
    </row>
    <row r="3261" spans="1:6" x14ac:dyDescent="0.3">
      <c r="A3261" t="s">
        <v>1634</v>
      </c>
      <c r="F3261" t="str">
        <f t="shared" ref="F3261" si="3253">A3261</f>
        <v>CGCCGT</v>
      </c>
    </row>
    <row r="3262" spans="1:6" x14ac:dyDescent="0.3">
      <c r="A3262" t="s">
        <v>5731</v>
      </c>
      <c r="F3262" t="str">
        <f t="shared" ref="F3262" si="3254">LEFT(A3262, LEN(A3262) - 1)</f>
        <v>&gt;1629:CGCCTA:20.00:66.67:Warning:6:1752.19</v>
      </c>
    </row>
    <row r="3263" spans="1:6" x14ac:dyDescent="0.3">
      <c r="A3263" t="s">
        <v>1635</v>
      </c>
      <c r="F3263" t="str">
        <f t="shared" ref="F3263" si="3255">A3263</f>
        <v>CGCCTA</v>
      </c>
    </row>
    <row r="3264" spans="1:6" x14ac:dyDescent="0.3">
      <c r="A3264" t="s">
        <v>5732</v>
      </c>
      <c r="F3264" t="str">
        <f t="shared" ref="F3264" si="3256">LEFT(A3264, LEN(A3264) - 1)</f>
        <v>&gt;1630:CGCCTC:18.00:83.33:Warning:6:1728.16</v>
      </c>
    </row>
    <row r="3265" spans="1:6" x14ac:dyDescent="0.3">
      <c r="A3265" t="s">
        <v>1636</v>
      </c>
      <c r="F3265" t="str">
        <f t="shared" ref="F3265" si="3257">A3265</f>
        <v>CGCCTC</v>
      </c>
    </row>
    <row r="3266" spans="1:6" x14ac:dyDescent="0.3">
      <c r="A3266" t="s">
        <v>5733</v>
      </c>
      <c r="F3266" t="str">
        <f t="shared" ref="F3266" si="3258">LEFT(A3266, LEN(A3266) - 1)</f>
        <v>&gt;1631:CGCCTG:18.00:83.33:Warning:6:1768.19</v>
      </c>
    </row>
    <row r="3267" spans="1:6" x14ac:dyDescent="0.3">
      <c r="A3267" t="s">
        <v>1637</v>
      </c>
      <c r="F3267" t="str">
        <f t="shared" ref="F3267" si="3259">A3267</f>
        <v>CGCCTG</v>
      </c>
    </row>
    <row r="3268" spans="1:6" x14ac:dyDescent="0.3">
      <c r="A3268" t="s">
        <v>5734</v>
      </c>
      <c r="F3268" t="str">
        <f t="shared" ref="F3268" si="3260">LEFT(A3268, LEN(A3268) - 1)</f>
        <v>&gt;1632:CGCCTT:12.00:66.67:Warning:6:1743.17</v>
      </c>
    </row>
    <row r="3269" spans="1:6" x14ac:dyDescent="0.3">
      <c r="A3269" t="s">
        <v>1638</v>
      </c>
      <c r="F3269" t="str">
        <f t="shared" ref="F3269" si="3261">A3269</f>
        <v>CGCCTT</v>
      </c>
    </row>
    <row r="3270" spans="1:6" x14ac:dyDescent="0.3">
      <c r="A3270" t="s">
        <v>5735</v>
      </c>
      <c r="F3270" t="str">
        <f t="shared" ref="F3270" si="3262">LEFT(A3270, LEN(A3270) - 1)</f>
        <v>&gt;1633:CGCGAA:28.00:66.67:Warning:6:1801.24</v>
      </c>
    </row>
    <row r="3271" spans="1:6" x14ac:dyDescent="0.3">
      <c r="A3271" t="s">
        <v>1639</v>
      </c>
      <c r="F3271" t="str">
        <f t="shared" ref="F3271" si="3263">A3271</f>
        <v>CGCGAA</v>
      </c>
    </row>
    <row r="3272" spans="1:6" x14ac:dyDescent="0.3">
      <c r="A3272" t="s">
        <v>5736</v>
      </c>
      <c r="F3272" t="str">
        <f t="shared" ref="F3272" si="3264">LEFT(A3272, LEN(A3272) - 1)</f>
        <v>&gt;1634:CGCGAC:26.00:83.33:Warning:6:1777.21</v>
      </c>
    </row>
    <row r="3273" spans="1:6" x14ac:dyDescent="0.3">
      <c r="A3273" t="s">
        <v>1640</v>
      </c>
      <c r="F3273" t="str">
        <f t="shared" ref="F3273" si="3265">A3273</f>
        <v>CGCGAC</v>
      </c>
    </row>
    <row r="3274" spans="1:6" x14ac:dyDescent="0.3">
      <c r="A3274" t="s">
        <v>5737</v>
      </c>
      <c r="F3274" t="str">
        <f t="shared" ref="F3274" si="3266">LEFT(A3274, LEN(A3274) - 1)</f>
        <v>&gt;1635:CGCGAG:26.00:83.33:Warning:6:1817.24</v>
      </c>
    </row>
    <row r="3275" spans="1:6" x14ac:dyDescent="0.3">
      <c r="A3275" t="s">
        <v>1641</v>
      </c>
      <c r="F3275" t="str">
        <f t="shared" ref="F3275" si="3267">A3275</f>
        <v>CGCGAG</v>
      </c>
    </row>
    <row r="3276" spans="1:6" x14ac:dyDescent="0.3">
      <c r="A3276" t="s">
        <v>5738</v>
      </c>
      <c r="F3276" t="str">
        <f t="shared" ref="F3276" si="3268">LEFT(A3276, LEN(A3276) - 1)</f>
        <v>&gt;1636:CGCGAT:20.00:66.67:Warning:6:1792.22</v>
      </c>
    </row>
    <row r="3277" spans="1:6" x14ac:dyDescent="0.3">
      <c r="A3277" t="s">
        <v>1642</v>
      </c>
      <c r="F3277" t="str">
        <f t="shared" ref="F3277" si="3269">A3277</f>
        <v>CGCGAT</v>
      </c>
    </row>
    <row r="3278" spans="1:6" x14ac:dyDescent="0.3">
      <c r="A3278" t="s">
        <v>5739</v>
      </c>
      <c r="F3278" t="str">
        <f t="shared" ref="F3278" si="3270">LEFT(A3278, LEN(A3278) - 1)</f>
        <v>&gt;1637:CGCGCA:26.00:83.33:Warning:6:1777.21</v>
      </c>
    </row>
    <row r="3279" spans="1:6" x14ac:dyDescent="0.3">
      <c r="A3279" t="s">
        <v>1643</v>
      </c>
      <c r="F3279" t="str">
        <f t="shared" ref="F3279" si="3271">A3279</f>
        <v>CGCGCA</v>
      </c>
    </row>
    <row r="3280" spans="1:6" x14ac:dyDescent="0.3">
      <c r="A3280" t="s">
        <v>5740</v>
      </c>
      <c r="F3280" t="str">
        <f t="shared" ref="F3280" si="3272">LEFT(A3280, LEN(A3280) - 1)</f>
        <v>&gt;1638:CGCGCC:24.00:100.00:Warning:6:1753.18</v>
      </c>
    </row>
    <row r="3281" spans="1:6" x14ac:dyDescent="0.3">
      <c r="A3281" t="s">
        <v>1644</v>
      </c>
      <c r="F3281" t="str">
        <f t="shared" ref="F3281" si="3273">A3281</f>
        <v>CGCGCC</v>
      </c>
    </row>
    <row r="3282" spans="1:6" x14ac:dyDescent="0.3">
      <c r="A3282" t="s">
        <v>5741</v>
      </c>
      <c r="F3282" t="str">
        <f t="shared" ref="F3282" si="3274">LEFT(A3282, LEN(A3282) - 1)</f>
        <v>&gt;1639:CGCGCG:24.00:100.00:Warning:6:1793.21</v>
      </c>
    </row>
    <row r="3283" spans="1:6" x14ac:dyDescent="0.3">
      <c r="A3283" t="s">
        <v>1645</v>
      </c>
      <c r="F3283" t="str">
        <f t="shared" ref="F3283" si="3275">A3283</f>
        <v>CGCGCG</v>
      </c>
    </row>
    <row r="3284" spans="1:6" x14ac:dyDescent="0.3">
      <c r="A3284" t="s">
        <v>5742</v>
      </c>
      <c r="F3284" t="str">
        <f t="shared" ref="F3284" si="3276">LEFT(A3284, LEN(A3284) - 1)</f>
        <v>&gt;1640:CGCGCT:18.00:83.33:Warning:6:1768.19</v>
      </c>
    </row>
    <row r="3285" spans="1:6" x14ac:dyDescent="0.3">
      <c r="A3285" t="s">
        <v>1646</v>
      </c>
      <c r="F3285" t="str">
        <f t="shared" ref="F3285" si="3277">A3285</f>
        <v>CGCGCT</v>
      </c>
    </row>
    <row r="3286" spans="1:6" x14ac:dyDescent="0.3">
      <c r="A3286" t="s">
        <v>5743</v>
      </c>
      <c r="F3286" t="str">
        <f t="shared" ref="F3286" si="3278">LEFT(A3286, LEN(A3286) - 1)</f>
        <v>&gt;1641:CGCGGA:26.00:83.33:Warning:6:1817.24</v>
      </c>
    </row>
    <row r="3287" spans="1:6" x14ac:dyDescent="0.3">
      <c r="A3287" t="s">
        <v>1647</v>
      </c>
      <c r="F3287" t="str">
        <f t="shared" ref="F3287" si="3279">A3287</f>
        <v>CGCGGA</v>
      </c>
    </row>
    <row r="3288" spans="1:6" x14ac:dyDescent="0.3">
      <c r="A3288" t="s">
        <v>5744</v>
      </c>
      <c r="F3288" t="str">
        <f t="shared" ref="F3288" si="3280">LEFT(A3288, LEN(A3288) - 1)</f>
        <v>&gt;1642:CGCGGC:24.00:100.00:Warning:6:1793.21</v>
      </c>
    </row>
    <row r="3289" spans="1:6" x14ac:dyDescent="0.3">
      <c r="A3289" t="s">
        <v>1648</v>
      </c>
      <c r="F3289" t="str">
        <f t="shared" ref="F3289" si="3281">A3289</f>
        <v>CGCGGC</v>
      </c>
    </row>
    <row r="3290" spans="1:6" x14ac:dyDescent="0.3">
      <c r="A3290" t="s">
        <v>5745</v>
      </c>
      <c r="F3290" t="str">
        <f t="shared" ref="F3290" si="3282">LEFT(A3290, LEN(A3290) - 1)</f>
        <v>&gt;1643:CGCGGG:24.00:100.00:Warning:6:1833.24</v>
      </c>
    </row>
    <row r="3291" spans="1:6" x14ac:dyDescent="0.3">
      <c r="A3291" t="s">
        <v>1649</v>
      </c>
      <c r="F3291" t="str">
        <f t="shared" ref="F3291" si="3283">A3291</f>
        <v>CGCGGG</v>
      </c>
    </row>
    <row r="3292" spans="1:6" x14ac:dyDescent="0.3">
      <c r="A3292" t="s">
        <v>5746</v>
      </c>
      <c r="F3292" t="str">
        <f t="shared" ref="F3292" si="3284">LEFT(A3292, LEN(A3292) - 1)</f>
        <v>&gt;1644:CGCGGT:18.00:83.33:Warning:6:1808.22</v>
      </c>
    </row>
    <row r="3293" spans="1:6" x14ac:dyDescent="0.3">
      <c r="A3293" t="s">
        <v>1650</v>
      </c>
      <c r="F3293" t="str">
        <f t="shared" ref="F3293" si="3285">A3293</f>
        <v>CGCGGT</v>
      </c>
    </row>
    <row r="3294" spans="1:6" x14ac:dyDescent="0.3">
      <c r="A3294" t="s">
        <v>5747</v>
      </c>
      <c r="F3294" t="str">
        <f t="shared" ref="F3294" si="3286">LEFT(A3294, LEN(A3294) - 1)</f>
        <v>&gt;1645:CGCGTA:20.00:66.67:Warning:6:1792.22</v>
      </c>
    </row>
    <row r="3295" spans="1:6" x14ac:dyDescent="0.3">
      <c r="A3295" t="s">
        <v>1651</v>
      </c>
      <c r="F3295" t="str">
        <f t="shared" ref="F3295" si="3287">A3295</f>
        <v>CGCGTA</v>
      </c>
    </row>
    <row r="3296" spans="1:6" x14ac:dyDescent="0.3">
      <c r="A3296" t="s">
        <v>5748</v>
      </c>
      <c r="F3296" t="str">
        <f t="shared" ref="F3296" si="3288">LEFT(A3296, LEN(A3296) - 1)</f>
        <v>&gt;1646:CGCGTC:18.00:83.33:Warning:6:1768.19</v>
      </c>
    </row>
    <row r="3297" spans="1:6" x14ac:dyDescent="0.3">
      <c r="A3297" t="s">
        <v>1652</v>
      </c>
      <c r="F3297" t="str">
        <f t="shared" ref="F3297" si="3289">A3297</f>
        <v>CGCGTC</v>
      </c>
    </row>
    <row r="3298" spans="1:6" x14ac:dyDescent="0.3">
      <c r="A3298" t="s">
        <v>5749</v>
      </c>
      <c r="F3298" t="str">
        <f t="shared" ref="F3298" si="3290">LEFT(A3298, LEN(A3298) - 1)</f>
        <v>&gt;1647:CGCGTG:18.00:83.33:Warning:6:1808.22</v>
      </c>
    </row>
    <row r="3299" spans="1:6" x14ac:dyDescent="0.3">
      <c r="A3299" t="s">
        <v>1653</v>
      </c>
      <c r="F3299" t="str">
        <f t="shared" ref="F3299" si="3291">A3299</f>
        <v>CGCGTG</v>
      </c>
    </row>
    <row r="3300" spans="1:6" x14ac:dyDescent="0.3">
      <c r="A3300" t="s">
        <v>5750</v>
      </c>
      <c r="F3300" t="str">
        <f t="shared" ref="F3300" si="3292">LEFT(A3300, LEN(A3300) - 1)</f>
        <v>&gt;1648:CGCGTT:12.00:66.67:Warning:6:1783.20</v>
      </c>
    </row>
    <row r="3301" spans="1:6" x14ac:dyDescent="0.3">
      <c r="A3301" t="s">
        <v>1654</v>
      </c>
      <c r="F3301" t="str">
        <f t="shared" ref="F3301" si="3293">A3301</f>
        <v>CGCGTT</v>
      </c>
    </row>
    <row r="3302" spans="1:6" x14ac:dyDescent="0.3">
      <c r="A3302" t="s">
        <v>5751</v>
      </c>
      <c r="F3302" t="str">
        <f t="shared" ref="F3302" si="3294">LEFT(A3302, LEN(A3302) - 1)</f>
        <v>&gt;1649:CGCTAA:22.00:50.00:OK:6:1776.22</v>
      </c>
    </row>
    <row r="3303" spans="1:6" x14ac:dyDescent="0.3">
      <c r="A3303" t="s">
        <v>1655</v>
      </c>
      <c r="F3303" t="str">
        <f t="shared" ref="F3303" si="3295">A3303</f>
        <v>CGCTAA</v>
      </c>
    </row>
    <row r="3304" spans="1:6" x14ac:dyDescent="0.3">
      <c r="A3304" t="s">
        <v>5752</v>
      </c>
      <c r="F3304" t="str">
        <f t="shared" ref="F3304" si="3296">LEFT(A3304, LEN(A3304) - 1)</f>
        <v>&gt;1650:CGCTAC:20.00:66.67:Warning:6:1752.19</v>
      </c>
    </row>
    <row r="3305" spans="1:6" x14ac:dyDescent="0.3">
      <c r="A3305" t="s">
        <v>1656</v>
      </c>
      <c r="F3305" t="str">
        <f t="shared" ref="F3305" si="3297">A3305</f>
        <v>CGCTAC</v>
      </c>
    </row>
    <row r="3306" spans="1:6" x14ac:dyDescent="0.3">
      <c r="A3306" t="s">
        <v>5753</v>
      </c>
      <c r="F3306" t="str">
        <f t="shared" ref="F3306" si="3298">LEFT(A3306, LEN(A3306) - 1)</f>
        <v>&gt;1651:CGCTAG:20.00:66.67:Warning:6:1792.22</v>
      </c>
    </row>
    <row r="3307" spans="1:6" x14ac:dyDescent="0.3">
      <c r="A3307" t="s">
        <v>1657</v>
      </c>
      <c r="F3307" t="str">
        <f t="shared" ref="F3307" si="3299">A3307</f>
        <v>CGCTAG</v>
      </c>
    </row>
    <row r="3308" spans="1:6" x14ac:dyDescent="0.3">
      <c r="A3308" t="s">
        <v>5754</v>
      </c>
      <c r="F3308" t="str">
        <f t="shared" ref="F3308" si="3300">LEFT(A3308, LEN(A3308) - 1)</f>
        <v>&gt;1652:CGCTAT:14.00:50.00:OK:6:1767.20</v>
      </c>
    </row>
    <row r="3309" spans="1:6" x14ac:dyDescent="0.3">
      <c r="A3309" t="s">
        <v>1658</v>
      </c>
      <c r="F3309" t="str">
        <f t="shared" ref="F3309" si="3301">A3309</f>
        <v>CGCTAT</v>
      </c>
    </row>
    <row r="3310" spans="1:6" x14ac:dyDescent="0.3">
      <c r="A3310" t="s">
        <v>5755</v>
      </c>
      <c r="F3310" t="str">
        <f t="shared" ref="F3310" si="3302">LEFT(A3310, LEN(A3310) - 1)</f>
        <v>&gt;1653:CGCTCA:20.00:66.67:Warning:6:1752.19</v>
      </c>
    </row>
    <row r="3311" spans="1:6" x14ac:dyDescent="0.3">
      <c r="A3311" t="s">
        <v>1659</v>
      </c>
      <c r="F3311" t="str">
        <f t="shared" ref="F3311" si="3303">A3311</f>
        <v>CGCTCA</v>
      </c>
    </row>
    <row r="3312" spans="1:6" x14ac:dyDescent="0.3">
      <c r="A3312" t="s">
        <v>5756</v>
      </c>
      <c r="F3312" t="str">
        <f t="shared" ref="F3312" si="3304">LEFT(A3312, LEN(A3312) - 1)</f>
        <v>&gt;1654:CGCTCC:18.00:83.33:Warning:6:1728.16</v>
      </c>
    </row>
    <row r="3313" spans="1:6" x14ac:dyDescent="0.3">
      <c r="A3313" t="s">
        <v>1660</v>
      </c>
      <c r="F3313" t="str">
        <f t="shared" ref="F3313" si="3305">A3313</f>
        <v>CGCTCC</v>
      </c>
    </row>
    <row r="3314" spans="1:6" x14ac:dyDescent="0.3">
      <c r="A3314" t="s">
        <v>5757</v>
      </c>
      <c r="F3314" t="str">
        <f t="shared" ref="F3314" si="3306">LEFT(A3314, LEN(A3314) - 1)</f>
        <v>&gt;1655:CGCTCG:18.00:83.33:Warning:6:1768.19</v>
      </c>
    </row>
    <row r="3315" spans="1:6" x14ac:dyDescent="0.3">
      <c r="A3315" t="s">
        <v>1661</v>
      </c>
      <c r="F3315" t="str">
        <f t="shared" ref="F3315" si="3307">A3315</f>
        <v>CGCTCG</v>
      </c>
    </row>
    <row r="3316" spans="1:6" x14ac:dyDescent="0.3">
      <c r="A3316" t="s">
        <v>5758</v>
      </c>
      <c r="F3316" t="str">
        <f t="shared" ref="F3316" si="3308">LEFT(A3316, LEN(A3316) - 1)</f>
        <v>&gt;1656:CGCTCT:12.00:66.67:Warning:6:1743.17</v>
      </c>
    </row>
    <row r="3317" spans="1:6" x14ac:dyDescent="0.3">
      <c r="A3317" t="s">
        <v>1662</v>
      </c>
      <c r="F3317" t="str">
        <f t="shared" ref="F3317" si="3309">A3317</f>
        <v>CGCTCT</v>
      </c>
    </row>
    <row r="3318" spans="1:6" x14ac:dyDescent="0.3">
      <c r="A3318" t="s">
        <v>5759</v>
      </c>
      <c r="F3318" t="str">
        <f t="shared" ref="F3318" si="3310">LEFT(A3318, LEN(A3318) - 1)</f>
        <v>&gt;1657:CGCTGA:20.00:66.67:Warning:6:1792.22</v>
      </c>
    </row>
    <row r="3319" spans="1:6" x14ac:dyDescent="0.3">
      <c r="A3319" t="s">
        <v>1663</v>
      </c>
      <c r="F3319" t="str">
        <f t="shared" ref="F3319" si="3311">A3319</f>
        <v>CGCTGA</v>
      </c>
    </row>
    <row r="3320" spans="1:6" x14ac:dyDescent="0.3">
      <c r="A3320" t="s">
        <v>5760</v>
      </c>
      <c r="F3320" t="str">
        <f t="shared" ref="F3320" si="3312">LEFT(A3320, LEN(A3320) - 1)</f>
        <v>&gt;1658:CGCTGC:18.00:83.33:Warning:6:1768.19</v>
      </c>
    </row>
    <row r="3321" spans="1:6" x14ac:dyDescent="0.3">
      <c r="A3321" t="s">
        <v>1664</v>
      </c>
      <c r="F3321" t="str">
        <f t="shared" ref="F3321" si="3313">A3321</f>
        <v>CGCTGC</v>
      </c>
    </row>
    <row r="3322" spans="1:6" x14ac:dyDescent="0.3">
      <c r="A3322" t="s">
        <v>5761</v>
      </c>
      <c r="F3322" t="str">
        <f t="shared" ref="F3322" si="3314">LEFT(A3322, LEN(A3322) - 1)</f>
        <v>&gt;1659:CGCTGG:18.00:83.33:Warning:6:1808.22</v>
      </c>
    </row>
    <row r="3323" spans="1:6" x14ac:dyDescent="0.3">
      <c r="A3323" t="s">
        <v>1665</v>
      </c>
      <c r="F3323" t="str">
        <f t="shared" ref="F3323" si="3315">A3323</f>
        <v>CGCTGG</v>
      </c>
    </row>
    <row r="3324" spans="1:6" x14ac:dyDescent="0.3">
      <c r="A3324" t="s">
        <v>5762</v>
      </c>
      <c r="F3324" t="str">
        <f t="shared" ref="F3324" si="3316">LEFT(A3324, LEN(A3324) - 1)</f>
        <v>&gt;1660:CGCTGT:12.00:66.67:Warning:6:1783.20</v>
      </c>
    </row>
    <row r="3325" spans="1:6" x14ac:dyDescent="0.3">
      <c r="A3325" t="s">
        <v>1666</v>
      </c>
      <c r="F3325" t="str">
        <f t="shared" ref="F3325" si="3317">A3325</f>
        <v>CGCTGT</v>
      </c>
    </row>
    <row r="3326" spans="1:6" x14ac:dyDescent="0.3">
      <c r="A3326" t="s">
        <v>5763</v>
      </c>
      <c r="F3326" t="str">
        <f t="shared" ref="F3326" si="3318">LEFT(A3326, LEN(A3326) - 1)</f>
        <v>&gt;1661:CGCTTA:14.00:50.00:OK:6:1767.20</v>
      </c>
    </row>
    <row r="3327" spans="1:6" x14ac:dyDescent="0.3">
      <c r="A3327" t="s">
        <v>1667</v>
      </c>
      <c r="F3327" t="str">
        <f t="shared" ref="F3327" si="3319">A3327</f>
        <v>CGCTTA</v>
      </c>
    </row>
    <row r="3328" spans="1:6" x14ac:dyDescent="0.3">
      <c r="A3328" t="s">
        <v>5764</v>
      </c>
      <c r="F3328" t="str">
        <f t="shared" ref="F3328" si="3320">LEFT(A3328, LEN(A3328) - 1)</f>
        <v>&gt;1662:CGCTTC:12.00:66.67:Warning:6:1743.17</v>
      </c>
    </row>
    <row r="3329" spans="1:6" x14ac:dyDescent="0.3">
      <c r="A3329" t="s">
        <v>1668</v>
      </c>
      <c r="F3329" t="str">
        <f t="shared" ref="F3329" si="3321">A3329</f>
        <v>CGCTTC</v>
      </c>
    </row>
    <row r="3330" spans="1:6" x14ac:dyDescent="0.3">
      <c r="A3330" t="s">
        <v>5765</v>
      </c>
      <c r="F3330" t="str">
        <f t="shared" ref="F3330" si="3322">LEFT(A3330, LEN(A3330) - 1)</f>
        <v>&gt;1663:CGCTTG:12.00:66.67:Warning:6:1783.20</v>
      </c>
    </row>
    <row r="3331" spans="1:6" x14ac:dyDescent="0.3">
      <c r="A3331" t="s">
        <v>1669</v>
      </c>
      <c r="F3331" t="str">
        <f t="shared" ref="F3331" si="3323">A3331</f>
        <v>CGCTTG</v>
      </c>
    </row>
    <row r="3332" spans="1:6" x14ac:dyDescent="0.3">
      <c r="A3332" t="s">
        <v>5766</v>
      </c>
      <c r="F3332" t="str">
        <f t="shared" ref="F3332" si="3324">LEFT(A3332, LEN(A3332) - 1)</f>
        <v>&gt;1664:CGCTTT:6.00:50.00:OK:6:1758.18</v>
      </c>
    </row>
    <row r="3333" spans="1:6" x14ac:dyDescent="0.3">
      <c r="A3333" t="s">
        <v>1670</v>
      </c>
      <c r="F3333" t="str">
        <f t="shared" ref="F3333" si="3325">A3333</f>
        <v>CGCTTT</v>
      </c>
    </row>
    <row r="3334" spans="1:6" x14ac:dyDescent="0.3">
      <c r="A3334" t="s">
        <v>5767</v>
      </c>
      <c r="F3334" t="str">
        <f t="shared" ref="F3334" si="3326">LEFT(A3334, LEN(A3334) - 1)</f>
        <v>&gt;1665:CGGAAA:30.00:50.00:OK:6:1825.27</v>
      </c>
    </row>
    <row r="3335" spans="1:6" x14ac:dyDescent="0.3">
      <c r="A3335" t="s">
        <v>1671</v>
      </c>
      <c r="F3335" t="str">
        <f t="shared" ref="F3335" si="3327">A3335</f>
        <v>CGGAAA</v>
      </c>
    </row>
    <row r="3336" spans="1:6" x14ac:dyDescent="0.3">
      <c r="A3336" t="s">
        <v>5768</v>
      </c>
      <c r="F3336" t="str">
        <f t="shared" ref="F3336" si="3328">LEFT(A3336, LEN(A3336) - 1)</f>
        <v>&gt;1666:CGGAAC:28.00:66.67:Warning:6:1801.24</v>
      </c>
    </row>
    <row r="3337" spans="1:6" x14ac:dyDescent="0.3">
      <c r="A3337" t="s">
        <v>1672</v>
      </c>
      <c r="F3337" t="str">
        <f t="shared" ref="F3337" si="3329">A3337</f>
        <v>CGGAAC</v>
      </c>
    </row>
    <row r="3338" spans="1:6" x14ac:dyDescent="0.3">
      <c r="A3338" t="s">
        <v>5769</v>
      </c>
      <c r="F3338" t="str">
        <f t="shared" ref="F3338" si="3330">LEFT(A3338, LEN(A3338) - 1)</f>
        <v>&gt;1667:CGGAAG:28.00:66.67:Warning:6:1841.27</v>
      </c>
    </row>
    <row r="3339" spans="1:6" x14ac:dyDescent="0.3">
      <c r="A3339" t="s">
        <v>1673</v>
      </c>
      <c r="F3339" t="str">
        <f t="shared" ref="F3339" si="3331">A3339</f>
        <v>CGGAAG</v>
      </c>
    </row>
    <row r="3340" spans="1:6" x14ac:dyDescent="0.3">
      <c r="A3340" t="s">
        <v>5770</v>
      </c>
      <c r="F3340" t="str">
        <f t="shared" ref="F3340" si="3332">LEFT(A3340, LEN(A3340) - 1)</f>
        <v>&gt;1668:CGGAAT:22.00:50.00:OK:6:1816.25</v>
      </c>
    </row>
    <row r="3341" spans="1:6" x14ac:dyDescent="0.3">
      <c r="A3341" t="s">
        <v>1674</v>
      </c>
      <c r="F3341" t="str">
        <f t="shared" ref="F3341" si="3333">A3341</f>
        <v>CGGAAT</v>
      </c>
    </row>
    <row r="3342" spans="1:6" x14ac:dyDescent="0.3">
      <c r="A3342" t="s">
        <v>5771</v>
      </c>
      <c r="F3342" t="str">
        <f t="shared" ref="F3342" si="3334">LEFT(A3342, LEN(A3342) - 1)</f>
        <v>&gt;1669:CGGACA:28.00:66.67:Warning:6:1801.24</v>
      </c>
    </row>
    <row r="3343" spans="1:6" x14ac:dyDescent="0.3">
      <c r="A3343" t="s">
        <v>1675</v>
      </c>
      <c r="F3343" t="str">
        <f t="shared" ref="F3343" si="3335">A3343</f>
        <v>CGGACA</v>
      </c>
    </row>
    <row r="3344" spans="1:6" x14ac:dyDescent="0.3">
      <c r="A3344" t="s">
        <v>5772</v>
      </c>
      <c r="F3344" t="str">
        <f t="shared" ref="F3344" si="3336">LEFT(A3344, LEN(A3344) - 1)</f>
        <v>&gt;1670:CGGACC:26.00:83.33:Warning:6:1777.21</v>
      </c>
    </row>
    <row r="3345" spans="1:6" x14ac:dyDescent="0.3">
      <c r="A3345" t="s">
        <v>1676</v>
      </c>
      <c r="F3345" t="str">
        <f t="shared" ref="F3345" si="3337">A3345</f>
        <v>CGGACC</v>
      </c>
    </row>
    <row r="3346" spans="1:6" x14ac:dyDescent="0.3">
      <c r="A3346" t="s">
        <v>5773</v>
      </c>
      <c r="F3346" t="str">
        <f t="shared" ref="F3346" si="3338">LEFT(A3346, LEN(A3346) - 1)</f>
        <v>&gt;1671:CGGACG:26.00:83.33:Warning:6:1817.24</v>
      </c>
    </row>
    <row r="3347" spans="1:6" x14ac:dyDescent="0.3">
      <c r="A3347" t="s">
        <v>1677</v>
      </c>
      <c r="F3347" t="str">
        <f t="shared" ref="F3347" si="3339">A3347</f>
        <v>CGGACG</v>
      </c>
    </row>
    <row r="3348" spans="1:6" x14ac:dyDescent="0.3">
      <c r="A3348" t="s">
        <v>5774</v>
      </c>
      <c r="F3348" t="str">
        <f t="shared" ref="F3348" si="3340">LEFT(A3348, LEN(A3348) - 1)</f>
        <v>&gt;1672:CGGACT:20.00:66.67:Warning:6:1792.22</v>
      </c>
    </row>
    <row r="3349" spans="1:6" x14ac:dyDescent="0.3">
      <c r="A3349" t="s">
        <v>1678</v>
      </c>
      <c r="F3349" t="str">
        <f t="shared" ref="F3349" si="3341">A3349</f>
        <v>CGGACT</v>
      </c>
    </row>
    <row r="3350" spans="1:6" x14ac:dyDescent="0.3">
      <c r="A3350" t="s">
        <v>5775</v>
      </c>
      <c r="F3350" t="str">
        <f t="shared" ref="F3350" si="3342">LEFT(A3350, LEN(A3350) - 1)</f>
        <v>&gt;1673:CGGAGA:28.00:66.67:Warning:6:1841.27</v>
      </c>
    </row>
    <row r="3351" spans="1:6" x14ac:dyDescent="0.3">
      <c r="A3351" t="s">
        <v>1679</v>
      </c>
      <c r="F3351" t="str">
        <f t="shared" ref="F3351" si="3343">A3351</f>
        <v>CGGAGA</v>
      </c>
    </row>
    <row r="3352" spans="1:6" x14ac:dyDescent="0.3">
      <c r="A3352" t="s">
        <v>5776</v>
      </c>
      <c r="F3352" t="str">
        <f t="shared" ref="F3352" si="3344">LEFT(A3352, LEN(A3352) - 1)</f>
        <v>&gt;1674:CGGAGC:26.00:83.33:Warning:6:1817.24</v>
      </c>
    </row>
    <row r="3353" spans="1:6" x14ac:dyDescent="0.3">
      <c r="A3353" t="s">
        <v>1680</v>
      </c>
      <c r="F3353" t="str">
        <f t="shared" ref="F3353" si="3345">A3353</f>
        <v>CGGAGC</v>
      </c>
    </row>
    <row r="3354" spans="1:6" x14ac:dyDescent="0.3">
      <c r="A3354" t="s">
        <v>5777</v>
      </c>
      <c r="F3354" t="str">
        <f t="shared" ref="F3354" si="3346">LEFT(A3354, LEN(A3354) - 1)</f>
        <v>&gt;1675:CGGAGG:26.00:83.33:Warning:6:1857.27</v>
      </c>
    </row>
    <row r="3355" spans="1:6" x14ac:dyDescent="0.3">
      <c r="A3355" t="s">
        <v>1681</v>
      </c>
      <c r="F3355" t="str">
        <f t="shared" ref="F3355" si="3347">A3355</f>
        <v>CGGAGG</v>
      </c>
    </row>
    <row r="3356" spans="1:6" x14ac:dyDescent="0.3">
      <c r="A3356" t="s">
        <v>5778</v>
      </c>
      <c r="F3356" t="str">
        <f t="shared" ref="F3356" si="3348">LEFT(A3356, LEN(A3356) - 1)</f>
        <v>&gt;1676:CGGAGT:20.00:66.67:Warning:6:1832.25</v>
      </c>
    </row>
    <row r="3357" spans="1:6" x14ac:dyDescent="0.3">
      <c r="A3357" t="s">
        <v>1682</v>
      </c>
      <c r="F3357" t="str">
        <f t="shared" ref="F3357" si="3349">A3357</f>
        <v>CGGAGT</v>
      </c>
    </row>
    <row r="3358" spans="1:6" x14ac:dyDescent="0.3">
      <c r="A3358" t="s">
        <v>5779</v>
      </c>
      <c r="F3358" t="str">
        <f t="shared" ref="F3358" si="3350">LEFT(A3358, LEN(A3358) - 1)</f>
        <v>&gt;1677:CGGATA:22.00:50.00:OK:6:1816.25</v>
      </c>
    </row>
    <row r="3359" spans="1:6" x14ac:dyDescent="0.3">
      <c r="A3359" t="s">
        <v>1683</v>
      </c>
      <c r="F3359" t="str">
        <f t="shared" ref="F3359" si="3351">A3359</f>
        <v>CGGATA</v>
      </c>
    </row>
    <row r="3360" spans="1:6" x14ac:dyDescent="0.3">
      <c r="A3360" t="s">
        <v>5780</v>
      </c>
      <c r="F3360" t="str">
        <f t="shared" ref="F3360" si="3352">LEFT(A3360, LEN(A3360) - 1)</f>
        <v>&gt;1678:CGGATC:20.00:66.67:Warning:6:1792.22</v>
      </c>
    </row>
    <row r="3361" spans="1:6" x14ac:dyDescent="0.3">
      <c r="A3361" t="s">
        <v>1684</v>
      </c>
      <c r="F3361" t="str">
        <f t="shared" ref="F3361" si="3353">A3361</f>
        <v>CGGATC</v>
      </c>
    </row>
    <row r="3362" spans="1:6" x14ac:dyDescent="0.3">
      <c r="A3362" t="s">
        <v>5781</v>
      </c>
      <c r="F3362" t="str">
        <f t="shared" ref="F3362" si="3354">LEFT(A3362, LEN(A3362) - 1)</f>
        <v>&gt;1679:CGGATG:20.00:66.67:Warning:6:1832.25</v>
      </c>
    </row>
    <row r="3363" spans="1:6" x14ac:dyDescent="0.3">
      <c r="A3363" t="s">
        <v>1685</v>
      </c>
      <c r="F3363" t="str">
        <f t="shared" ref="F3363" si="3355">A3363</f>
        <v>CGGATG</v>
      </c>
    </row>
    <row r="3364" spans="1:6" x14ac:dyDescent="0.3">
      <c r="A3364" t="s">
        <v>5782</v>
      </c>
      <c r="F3364" t="str">
        <f t="shared" ref="F3364" si="3356">LEFT(A3364, LEN(A3364) - 1)</f>
        <v>&gt;1680:CGGATT:14.00:50.00:OK:6:1807.23</v>
      </c>
    </row>
    <row r="3365" spans="1:6" x14ac:dyDescent="0.3">
      <c r="A3365" t="s">
        <v>1686</v>
      </c>
      <c r="F3365" t="str">
        <f t="shared" ref="F3365" si="3357">A3365</f>
        <v>CGGATT</v>
      </c>
    </row>
    <row r="3366" spans="1:6" x14ac:dyDescent="0.3">
      <c r="A3366" t="s">
        <v>5783</v>
      </c>
      <c r="F3366" t="str">
        <f t="shared" ref="F3366" si="3358">LEFT(A3366, LEN(A3366) - 1)</f>
        <v>&gt;1681:CGGCAA:28.00:66.67:Warning:6:1801.24</v>
      </c>
    </row>
    <row r="3367" spans="1:6" x14ac:dyDescent="0.3">
      <c r="A3367" t="s">
        <v>1687</v>
      </c>
      <c r="F3367" t="str">
        <f t="shared" ref="F3367" si="3359">A3367</f>
        <v>CGGCAA</v>
      </c>
    </row>
    <row r="3368" spans="1:6" x14ac:dyDescent="0.3">
      <c r="A3368" t="s">
        <v>5784</v>
      </c>
      <c r="F3368" t="str">
        <f t="shared" ref="F3368" si="3360">LEFT(A3368, LEN(A3368) - 1)</f>
        <v>&gt;1682:CGGCAC:26.00:83.33:Warning:6:1777.21</v>
      </c>
    </row>
    <row r="3369" spans="1:6" x14ac:dyDescent="0.3">
      <c r="A3369" t="s">
        <v>1688</v>
      </c>
      <c r="F3369" t="str">
        <f t="shared" ref="F3369" si="3361">A3369</f>
        <v>CGGCAC</v>
      </c>
    </row>
    <row r="3370" spans="1:6" x14ac:dyDescent="0.3">
      <c r="A3370" t="s">
        <v>5785</v>
      </c>
      <c r="F3370" t="str">
        <f t="shared" ref="F3370" si="3362">LEFT(A3370, LEN(A3370) - 1)</f>
        <v>&gt;1683:CGGCAG:26.00:83.33:Warning:6:1817.24</v>
      </c>
    </row>
    <row r="3371" spans="1:6" x14ac:dyDescent="0.3">
      <c r="A3371" t="s">
        <v>1689</v>
      </c>
      <c r="F3371" t="str">
        <f t="shared" ref="F3371" si="3363">A3371</f>
        <v>CGGCAG</v>
      </c>
    </row>
    <row r="3372" spans="1:6" x14ac:dyDescent="0.3">
      <c r="A3372" t="s">
        <v>5786</v>
      </c>
      <c r="F3372" t="str">
        <f t="shared" ref="F3372" si="3364">LEFT(A3372, LEN(A3372) - 1)</f>
        <v>&gt;1684:CGGCAT:20.00:66.67:Warning:6:1792.22</v>
      </c>
    </row>
    <row r="3373" spans="1:6" x14ac:dyDescent="0.3">
      <c r="A3373" t="s">
        <v>1690</v>
      </c>
      <c r="F3373" t="str">
        <f t="shared" ref="F3373" si="3365">A3373</f>
        <v>CGGCAT</v>
      </c>
    </row>
    <row r="3374" spans="1:6" x14ac:dyDescent="0.3">
      <c r="A3374" t="s">
        <v>5787</v>
      </c>
      <c r="F3374" t="str">
        <f t="shared" ref="F3374" si="3366">LEFT(A3374, LEN(A3374) - 1)</f>
        <v>&gt;1685:CGGCCA:26.00:83.33:Warning:6:1777.21</v>
      </c>
    </row>
    <row r="3375" spans="1:6" x14ac:dyDescent="0.3">
      <c r="A3375" t="s">
        <v>1691</v>
      </c>
      <c r="F3375" t="str">
        <f t="shared" ref="F3375" si="3367">A3375</f>
        <v>CGGCCA</v>
      </c>
    </row>
    <row r="3376" spans="1:6" x14ac:dyDescent="0.3">
      <c r="A3376" t="s">
        <v>5788</v>
      </c>
      <c r="F3376" t="str">
        <f t="shared" ref="F3376" si="3368">LEFT(A3376, LEN(A3376) - 1)</f>
        <v>&gt;1686:CGGCCC:24.00:100.00:Warning:6:1753.18</v>
      </c>
    </row>
    <row r="3377" spans="1:6" x14ac:dyDescent="0.3">
      <c r="A3377" t="s">
        <v>1692</v>
      </c>
      <c r="F3377" t="str">
        <f t="shared" ref="F3377" si="3369">A3377</f>
        <v>CGGCCC</v>
      </c>
    </row>
    <row r="3378" spans="1:6" x14ac:dyDescent="0.3">
      <c r="A3378" t="s">
        <v>5789</v>
      </c>
      <c r="F3378" t="str">
        <f t="shared" ref="F3378" si="3370">LEFT(A3378, LEN(A3378) - 1)</f>
        <v>&gt;1687:CGGCCG:24.00:100.00:Warning:6:1793.21</v>
      </c>
    </row>
    <row r="3379" spans="1:6" x14ac:dyDescent="0.3">
      <c r="A3379" t="s">
        <v>1693</v>
      </c>
      <c r="F3379" t="str">
        <f t="shared" ref="F3379" si="3371">A3379</f>
        <v>CGGCCG</v>
      </c>
    </row>
    <row r="3380" spans="1:6" x14ac:dyDescent="0.3">
      <c r="A3380" t="s">
        <v>5790</v>
      </c>
      <c r="F3380" t="str">
        <f t="shared" ref="F3380" si="3372">LEFT(A3380, LEN(A3380) - 1)</f>
        <v>&gt;1688:CGGCCT:18.00:83.33:Warning:6:1768.19</v>
      </c>
    </row>
    <row r="3381" spans="1:6" x14ac:dyDescent="0.3">
      <c r="A3381" t="s">
        <v>1694</v>
      </c>
      <c r="F3381" t="str">
        <f t="shared" ref="F3381" si="3373">A3381</f>
        <v>CGGCCT</v>
      </c>
    </row>
    <row r="3382" spans="1:6" x14ac:dyDescent="0.3">
      <c r="A3382" t="s">
        <v>5791</v>
      </c>
      <c r="F3382" t="str">
        <f t="shared" ref="F3382" si="3374">LEFT(A3382, LEN(A3382) - 1)</f>
        <v>&gt;1689:CGGCGA:26.00:83.33:Warning:6:1817.24</v>
      </c>
    </row>
    <row r="3383" spans="1:6" x14ac:dyDescent="0.3">
      <c r="A3383" t="s">
        <v>1695</v>
      </c>
      <c r="F3383" t="str">
        <f t="shared" ref="F3383" si="3375">A3383</f>
        <v>CGGCGA</v>
      </c>
    </row>
    <row r="3384" spans="1:6" x14ac:dyDescent="0.3">
      <c r="A3384" t="s">
        <v>5792</v>
      </c>
      <c r="F3384" t="str">
        <f t="shared" ref="F3384" si="3376">LEFT(A3384, LEN(A3384) - 1)</f>
        <v>&gt;1690:CGGCGC:24.00:100.00:Warning:6:1793.21</v>
      </c>
    </row>
    <row r="3385" spans="1:6" x14ac:dyDescent="0.3">
      <c r="A3385" t="s">
        <v>1696</v>
      </c>
      <c r="F3385" t="str">
        <f t="shared" ref="F3385" si="3377">A3385</f>
        <v>CGGCGC</v>
      </c>
    </row>
    <row r="3386" spans="1:6" x14ac:dyDescent="0.3">
      <c r="A3386" t="s">
        <v>5793</v>
      </c>
      <c r="F3386" t="str">
        <f t="shared" ref="F3386" si="3378">LEFT(A3386, LEN(A3386) - 1)</f>
        <v>&gt;1691:CGGCGG:24.00:100.00:Warning:6:1833.24</v>
      </c>
    </row>
    <row r="3387" spans="1:6" x14ac:dyDescent="0.3">
      <c r="A3387" t="s">
        <v>1697</v>
      </c>
      <c r="F3387" t="str">
        <f t="shared" ref="F3387" si="3379">A3387</f>
        <v>CGGCGG</v>
      </c>
    </row>
    <row r="3388" spans="1:6" x14ac:dyDescent="0.3">
      <c r="A3388" t="s">
        <v>5794</v>
      </c>
      <c r="F3388" t="str">
        <f t="shared" ref="F3388" si="3380">LEFT(A3388, LEN(A3388) - 1)</f>
        <v>&gt;1692:CGGCGT:18.00:83.33:Warning:6:1808.22</v>
      </c>
    </row>
    <row r="3389" spans="1:6" x14ac:dyDescent="0.3">
      <c r="A3389" t="s">
        <v>1698</v>
      </c>
      <c r="F3389" t="str">
        <f t="shared" ref="F3389" si="3381">A3389</f>
        <v>CGGCGT</v>
      </c>
    </row>
    <row r="3390" spans="1:6" x14ac:dyDescent="0.3">
      <c r="A3390" t="s">
        <v>5795</v>
      </c>
      <c r="F3390" t="str">
        <f t="shared" ref="F3390" si="3382">LEFT(A3390, LEN(A3390) - 1)</f>
        <v>&gt;1693:CGGCTA:20.00:66.67:Warning:6:1792.22</v>
      </c>
    </row>
    <row r="3391" spans="1:6" x14ac:dyDescent="0.3">
      <c r="A3391" t="s">
        <v>1699</v>
      </c>
      <c r="F3391" t="str">
        <f t="shared" ref="F3391" si="3383">A3391</f>
        <v>CGGCTA</v>
      </c>
    </row>
    <row r="3392" spans="1:6" x14ac:dyDescent="0.3">
      <c r="A3392" t="s">
        <v>5796</v>
      </c>
      <c r="F3392" t="str">
        <f t="shared" ref="F3392" si="3384">LEFT(A3392, LEN(A3392) - 1)</f>
        <v>&gt;1694:CGGCTC:18.00:83.33:Warning:6:1768.19</v>
      </c>
    </row>
    <row r="3393" spans="1:6" x14ac:dyDescent="0.3">
      <c r="A3393" t="s">
        <v>1700</v>
      </c>
      <c r="F3393" t="str">
        <f t="shared" ref="F3393" si="3385">A3393</f>
        <v>CGGCTC</v>
      </c>
    </row>
    <row r="3394" spans="1:6" x14ac:dyDescent="0.3">
      <c r="A3394" t="s">
        <v>5797</v>
      </c>
      <c r="F3394" t="str">
        <f t="shared" ref="F3394" si="3386">LEFT(A3394, LEN(A3394) - 1)</f>
        <v>&gt;1695:CGGCTG:18.00:83.33:Warning:6:1808.22</v>
      </c>
    </row>
    <row r="3395" spans="1:6" x14ac:dyDescent="0.3">
      <c r="A3395" t="s">
        <v>1701</v>
      </c>
      <c r="F3395" t="str">
        <f t="shared" ref="F3395" si="3387">A3395</f>
        <v>CGGCTG</v>
      </c>
    </row>
    <row r="3396" spans="1:6" x14ac:dyDescent="0.3">
      <c r="A3396" t="s">
        <v>5798</v>
      </c>
      <c r="F3396" t="str">
        <f t="shared" ref="F3396" si="3388">LEFT(A3396, LEN(A3396) - 1)</f>
        <v>&gt;1696:CGGCTT:12.00:66.67:Warning:6:1783.20</v>
      </c>
    </row>
    <row r="3397" spans="1:6" x14ac:dyDescent="0.3">
      <c r="A3397" t="s">
        <v>1702</v>
      </c>
      <c r="F3397" t="str">
        <f t="shared" ref="F3397" si="3389">A3397</f>
        <v>CGGCTT</v>
      </c>
    </row>
    <row r="3398" spans="1:6" x14ac:dyDescent="0.3">
      <c r="A3398" t="s">
        <v>5799</v>
      </c>
      <c r="F3398" t="str">
        <f t="shared" ref="F3398" si="3390">LEFT(A3398, LEN(A3398) - 1)</f>
        <v>&gt;1697:CGGGAA:28.00:66.67:Warning:6:1841.27</v>
      </c>
    </row>
    <row r="3399" spans="1:6" x14ac:dyDescent="0.3">
      <c r="A3399" t="s">
        <v>1703</v>
      </c>
      <c r="F3399" t="str">
        <f t="shared" ref="F3399" si="3391">A3399</f>
        <v>CGGGAA</v>
      </c>
    </row>
    <row r="3400" spans="1:6" x14ac:dyDescent="0.3">
      <c r="A3400" t="s">
        <v>5800</v>
      </c>
      <c r="F3400" t="str">
        <f t="shared" ref="F3400" si="3392">LEFT(A3400, LEN(A3400) - 1)</f>
        <v>&gt;1698:CGGGAC:26.00:83.33:Warning:6:1817.24</v>
      </c>
    </row>
    <row r="3401" spans="1:6" x14ac:dyDescent="0.3">
      <c r="A3401" t="s">
        <v>1704</v>
      </c>
      <c r="F3401" t="str">
        <f t="shared" ref="F3401" si="3393">A3401</f>
        <v>CGGGAC</v>
      </c>
    </row>
    <row r="3402" spans="1:6" x14ac:dyDescent="0.3">
      <c r="A3402" t="s">
        <v>5801</v>
      </c>
      <c r="F3402" t="str">
        <f t="shared" ref="F3402" si="3394">LEFT(A3402, LEN(A3402) - 1)</f>
        <v>&gt;1699:CGGGAG:26.00:83.33:Warning:6:1857.27</v>
      </c>
    </row>
    <row r="3403" spans="1:6" x14ac:dyDescent="0.3">
      <c r="A3403" t="s">
        <v>1705</v>
      </c>
      <c r="F3403" t="str">
        <f t="shared" ref="F3403" si="3395">A3403</f>
        <v>CGGGAG</v>
      </c>
    </row>
    <row r="3404" spans="1:6" x14ac:dyDescent="0.3">
      <c r="A3404" t="s">
        <v>5802</v>
      </c>
      <c r="F3404" t="str">
        <f t="shared" ref="F3404" si="3396">LEFT(A3404, LEN(A3404) - 1)</f>
        <v>&gt;1700:CGGGAT:20.00:66.67:Warning:6:1832.25</v>
      </c>
    </row>
    <row r="3405" spans="1:6" x14ac:dyDescent="0.3">
      <c r="A3405" t="s">
        <v>1706</v>
      </c>
      <c r="F3405" t="str">
        <f t="shared" ref="F3405" si="3397">A3405</f>
        <v>CGGGAT</v>
      </c>
    </row>
    <row r="3406" spans="1:6" x14ac:dyDescent="0.3">
      <c r="A3406" t="s">
        <v>5803</v>
      </c>
      <c r="F3406" t="str">
        <f t="shared" ref="F3406" si="3398">LEFT(A3406, LEN(A3406) - 1)</f>
        <v>&gt;1701:CGGGCA:26.00:83.33:Warning:6:1817.24</v>
      </c>
    </row>
    <row r="3407" spans="1:6" x14ac:dyDescent="0.3">
      <c r="A3407" t="s">
        <v>1707</v>
      </c>
      <c r="F3407" t="str">
        <f t="shared" ref="F3407" si="3399">A3407</f>
        <v>CGGGCA</v>
      </c>
    </row>
    <row r="3408" spans="1:6" x14ac:dyDescent="0.3">
      <c r="A3408" t="s">
        <v>5804</v>
      </c>
      <c r="F3408" t="str">
        <f t="shared" ref="F3408" si="3400">LEFT(A3408, LEN(A3408) - 1)</f>
        <v>&gt;1702:CGGGCC:24.00:100.00:Warning:6:1793.21</v>
      </c>
    </row>
    <row r="3409" spans="1:6" x14ac:dyDescent="0.3">
      <c r="A3409" t="s">
        <v>1708</v>
      </c>
      <c r="F3409" t="str">
        <f t="shared" ref="F3409" si="3401">A3409</f>
        <v>CGGGCC</v>
      </c>
    </row>
    <row r="3410" spans="1:6" x14ac:dyDescent="0.3">
      <c r="A3410" t="s">
        <v>5805</v>
      </c>
      <c r="F3410" t="str">
        <f t="shared" ref="F3410" si="3402">LEFT(A3410, LEN(A3410) - 1)</f>
        <v>&gt;1703:CGGGCG:24.00:100.00:Warning:6:1833.24</v>
      </c>
    </row>
    <row r="3411" spans="1:6" x14ac:dyDescent="0.3">
      <c r="A3411" t="s">
        <v>1709</v>
      </c>
      <c r="F3411" t="str">
        <f t="shared" ref="F3411" si="3403">A3411</f>
        <v>CGGGCG</v>
      </c>
    </row>
    <row r="3412" spans="1:6" x14ac:dyDescent="0.3">
      <c r="A3412" t="s">
        <v>5806</v>
      </c>
      <c r="F3412" t="str">
        <f t="shared" ref="F3412" si="3404">LEFT(A3412, LEN(A3412) - 1)</f>
        <v>&gt;1704:CGGGCT:18.00:83.33:Warning:6:1808.22</v>
      </c>
    </row>
    <row r="3413" spans="1:6" x14ac:dyDescent="0.3">
      <c r="A3413" t="s">
        <v>1710</v>
      </c>
      <c r="F3413" t="str">
        <f t="shared" ref="F3413" si="3405">A3413</f>
        <v>CGGGCT</v>
      </c>
    </row>
    <row r="3414" spans="1:6" x14ac:dyDescent="0.3">
      <c r="A3414" t="s">
        <v>5807</v>
      </c>
      <c r="F3414" t="str">
        <f t="shared" ref="F3414" si="3406">LEFT(A3414, LEN(A3414) - 1)</f>
        <v>&gt;1705:CGGGGA:26.00:83.33:Warning:6:1857.27</v>
      </c>
    </row>
    <row r="3415" spans="1:6" x14ac:dyDescent="0.3">
      <c r="A3415" t="s">
        <v>1711</v>
      </c>
      <c r="F3415" t="str">
        <f t="shared" ref="F3415" si="3407">A3415</f>
        <v>CGGGGA</v>
      </c>
    </row>
    <row r="3416" spans="1:6" x14ac:dyDescent="0.3">
      <c r="A3416" t="s">
        <v>5808</v>
      </c>
      <c r="F3416" t="str">
        <f t="shared" ref="F3416" si="3408">LEFT(A3416, LEN(A3416) - 1)</f>
        <v>&gt;1706:CGGGGC:24.00:100.00:Warning:6:1833.24</v>
      </c>
    </row>
    <row r="3417" spans="1:6" x14ac:dyDescent="0.3">
      <c r="A3417" t="s">
        <v>1712</v>
      </c>
      <c r="F3417" t="str">
        <f t="shared" ref="F3417" si="3409">A3417</f>
        <v>CGGGGC</v>
      </c>
    </row>
    <row r="3418" spans="1:6" x14ac:dyDescent="0.3">
      <c r="A3418" t="s">
        <v>5809</v>
      </c>
      <c r="F3418" t="str">
        <f t="shared" ref="F3418" si="3410">LEFT(A3418, LEN(A3418) - 1)</f>
        <v>&gt;1707:CGGGGG:24.00:100.00:Warning:6:1873.27</v>
      </c>
    </row>
    <row r="3419" spans="1:6" x14ac:dyDescent="0.3">
      <c r="A3419" t="s">
        <v>1713</v>
      </c>
      <c r="F3419" t="str">
        <f t="shared" ref="F3419" si="3411">A3419</f>
        <v>CGGGGG</v>
      </c>
    </row>
    <row r="3420" spans="1:6" x14ac:dyDescent="0.3">
      <c r="A3420" t="s">
        <v>5810</v>
      </c>
      <c r="F3420" t="str">
        <f t="shared" ref="F3420" si="3412">LEFT(A3420, LEN(A3420) - 1)</f>
        <v>&gt;1708:CGGGGT:18.00:83.33:Warning:6:1848.25</v>
      </c>
    </row>
    <row r="3421" spans="1:6" x14ac:dyDescent="0.3">
      <c r="A3421" t="s">
        <v>1714</v>
      </c>
      <c r="F3421" t="str">
        <f t="shared" ref="F3421" si="3413">A3421</f>
        <v>CGGGGT</v>
      </c>
    </row>
    <row r="3422" spans="1:6" x14ac:dyDescent="0.3">
      <c r="A3422" t="s">
        <v>5811</v>
      </c>
      <c r="F3422" t="str">
        <f t="shared" ref="F3422" si="3414">LEFT(A3422, LEN(A3422) - 1)</f>
        <v>&gt;1709:CGGGTA:20.00:66.67:Warning:6:1832.25</v>
      </c>
    </row>
    <row r="3423" spans="1:6" x14ac:dyDescent="0.3">
      <c r="A3423" t="s">
        <v>1715</v>
      </c>
      <c r="F3423" t="str">
        <f t="shared" ref="F3423" si="3415">A3423</f>
        <v>CGGGTA</v>
      </c>
    </row>
    <row r="3424" spans="1:6" x14ac:dyDescent="0.3">
      <c r="A3424" t="s">
        <v>5812</v>
      </c>
      <c r="F3424" t="str">
        <f t="shared" ref="F3424" si="3416">LEFT(A3424, LEN(A3424) - 1)</f>
        <v>&gt;1710:CGGGTC:18.00:83.33:Warning:6:1808.22</v>
      </c>
    </row>
    <row r="3425" spans="1:6" x14ac:dyDescent="0.3">
      <c r="A3425" t="s">
        <v>1716</v>
      </c>
      <c r="F3425" t="str">
        <f t="shared" ref="F3425" si="3417">A3425</f>
        <v>CGGGTC</v>
      </c>
    </row>
    <row r="3426" spans="1:6" x14ac:dyDescent="0.3">
      <c r="A3426" t="s">
        <v>5813</v>
      </c>
      <c r="F3426" t="str">
        <f t="shared" ref="F3426" si="3418">LEFT(A3426, LEN(A3426) - 1)</f>
        <v>&gt;1711:CGGGTG:18.00:83.33:Warning:6:1848.25</v>
      </c>
    </row>
    <row r="3427" spans="1:6" x14ac:dyDescent="0.3">
      <c r="A3427" t="s">
        <v>1717</v>
      </c>
      <c r="F3427" t="str">
        <f t="shared" ref="F3427" si="3419">A3427</f>
        <v>CGGGTG</v>
      </c>
    </row>
    <row r="3428" spans="1:6" x14ac:dyDescent="0.3">
      <c r="A3428" t="s">
        <v>5814</v>
      </c>
      <c r="F3428" t="str">
        <f t="shared" ref="F3428" si="3420">LEFT(A3428, LEN(A3428) - 1)</f>
        <v>&gt;1712:CGGGTT:12.00:66.67:Warning:6:1823.23</v>
      </c>
    </row>
    <row r="3429" spans="1:6" x14ac:dyDescent="0.3">
      <c r="A3429" t="s">
        <v>1718</v>
      </c>
      <c r="F3429" t="str">
        <f t="shared" ref="F3429" si="3421">A3429</f>
        <v>CGGGTT</v>
      </c>
    </row>
    <row r="3430" spans="1:6" x14ac:dyDescent="0.3">
      <c r="A3430" t="s">
        <v>5815</v>
      </c>
      <c r="F3430" t="str">
        <f t="shared" ref="F3430" si="3422">LEFT(A3430, LEN(A3430) - 1)</f>
        <v>&gt;1713:CGGTAA:22.00:50.00:OK:6:1816.25</v>
      </c>
    </row>
    <row r="3431" spans="1:6" x14ac:dyDescent="0.3">
      <c r="A3431" t="s">
        <v>1719</v>
      </c>
      <c r="F3431" t="str">
        <f t="shared" ref="F3431" si="3423">A3431</f>
        <v>CGGTAA</v>
      </c>
    </row>
    <row r="3432" spans="1:6" x14ac:dyDescent="0.3">
      <c r="A3432" t="s">
        <v>5816</v>
      </c>
      <c r="F3432" t="str">
        <f t="shared" ref="F3432" si="3424">LEFT(A3432, LEN(A3432) - 1)</f>
        <v>&gt;1714:CGGTAC:20.00:66.67:Warning:6:1792.22</v>
      </c>
    </row>
    <row r="3433" spans="1:6" x14ac:dyDescent="0.3">
      <c r="A3433" t="s">
        <v>1720</v>
      </c>
      <c r="F3433" t="str">
        <f t="shared" ref="F3433" si="3425">A3433</f>
        <v>CGGTAC</v>
      </c>
    </row>
    <row r="3434" spans="1:6" x14ac:dyDescent="0.3">
      <c r="A3434" t="s">
        <v>5817</v>
      </c>
      <c r="F3434" t="str">
        <f t="shared" ref="F3434" si="3426">LEFT(A3434, LEN(A3434) - 1)</f>
        <v>&gt;1715:CGGTAG:20.00:66.67:Warning:6:1832.25</v>
      </c>
    </row>
    <row r="3435" spans="1:6" x14ac:dyDescent="0.3">
      <c r="A3435" t="s">
        <v>1721</v>
      </c>
      <c r="F3435" t="str">
        <f t="shared" ref="F3435" si="3427">A3435</f>
        <v>CGGTAG</v>
      </c>
    </row>
    <row r="3436" spans="1:6" x14ac:dyDescent="0.3">
      <c r="A3436" t="s">
        <v>5818</v>
      </c>
      <c r="F3436" t="str">
        <f t="shared" ref="F3436" si="3428">LEFT(A3436, LEN(A3436) - 1)</f>
        <v>&gt;1716:CGGTAT:14.00:50.00:OK:6:1807.23</v>
      </c>
    </row>
    <row r="3437" spans="1:6" x14ac:dyDescent="0.3">
      <c r="A3437" t="s">
        <v>1722</v>
      </c>
      <c r="F3437" t="str">
        <f t="shared" ref="F3437" si="3429">A3437</f>
        <v>CGGTAT</v>
      </c>
    </row>
    <row r="3438" spans="1:6" x14ac:dyDescent="0.3">
      <c r="A3438" t="s">
        <v>5819</v>
      </c>
      <c r="F3438" t="str">
        <f t="shared" ref="F3438" si="3430">LEFT(A3438, LEN(A3438) - 1)</f>
        <v>&gt;1717:CGGTCA:20.00:66.67:Warning:6:1792.22</v>
      </c>
    </row>
    <row r="3439" spans="1:6" x14ac:dyDescent="0.3">
      <c r="A3439" t="s">
        <v>1723</v>
      </c>
      <c r="F3439" t="str">
        <f t="shared" ref="F3439" si="3431">A3439</f>
        <v>CGGTCA</v>
      </c>
    </row>
    <row r="3440" spans="1:6" x14ac:dyDescent="0.3">
      <c r="A3440" t="s">
        <v>5820</v>
      </c>
      <c r="F3440" t="str">
        <f t="shared" ref="F3440" si="3432">LEFT(A3440, LEN(A3440) - 1)</f>
        <v>&gt;1718:CGGTCC:18.00:83.33:Warning:6:1768.19</v>
      </c>
    </row>
    <row r="3441" spans="1:6" x14ac:dyDescent="0.3">
      <c r="A3441" t="s">
        <v>1724</v>
      </c>
      <c r="F3441" t="str">
        <f t="shared" ref="F3441" si="3433">A3441</f>
        <v>CGGTCC</v>
      </c>
    </row>
    <row r="3442" spans="1:6" x14ac:dyDescent="0.3">
      <c r="A3442" t="s">
        <v>5821</v>
      </c>
      <c r="F3442" t="str">
        <f t="shared" ref="F3442" si="3434">LEFT(A3442, LEN(A3442) - 1)</f>
        <v>&gt;1719:CGGTCG:18.00:83.33:Warning:6:1808.22</v>
      </c>
    </row>
    <row r="3443" spans="1:6" x14ac:dyDescent="0.3">
      <c r="A3443" t="s">
        <v>1725</v>
      </c>
      <c r="F3443" t="str">
        <f t="shared" ref="F3443" si="3435">A3443</f>
        <v>CGGTCG</v>
      </c>
    </row>
    <row r="3444" spans="1:6" x14ac:dyDescent="0.3">
      <c r="A3444" t="s">
        <v>5822</v>
      </c>
      <c r="F3444" t="str">
        <f t="shared" ref="F3444" si="3436">LEFT(A3444, LEN(A3444) - 1)</f>
        <v>&gt;1720:CGGTCT:12.00:66.67:Warning:6:1783.20</v>
      </c>
    </row>
    <row r="3445" spans="1:6" x14ac:dyDescent="0.3">
      <c r="A3445" t="s">
        <v>1726</v>
      </c>
      <c r="F3445" t="str">
        <f t="shared" ref="F3445" si="3437">A3445</f>
        <v>CGGTCT</v>
      </c>
    </row>
    <row r="3446" spans="1:6" x14ac:dyDescent="0.3">
      <c r="A3446" t="s">
        <v>5823</v>
      </c>
      <c r="F3446" t="str">
        <f t="shared" ref="F3446" si="3438">LEFT(A3446, LEN(A3446) - 1)</f>
        <v>&gt;1721:CGGTGA:20.00:66.67:Warning:6:1832.25</v>
      </c>
    </row>
    <row r="3447" spans="1:6" x14ac:dyDescent="0.3">
      <c r="A3447" t="s">
        <v>1727</v>
      </c>
      <c r="F3447" t="str">
        <f t="shared" ref="F3447" si="3439">A3447</f>
        <v>CGGTGA</v>
      </c>
    </row>
    <row r="3448" spans="1:6" x14ac:dyDescent="0.3">
      <c r="A3448" t="s">
        <v>5824</v>
      </c>
      <c r="F3448" t="str">
        <f t="shared" ref="F3448" si="3440">LEFT(A3448, LEN(A3448) - 1)</f>
        <v>&gt;1722:CGGTGC:18.00:83.33:Warning:6:1808.22</v>
      </c>
    </row>
    <row r="3449" spans="1:6" x14ac:dyDescent="0.3">
      <c r="A3449" t="s">
        <v>1728</v>
      </c>
      <c r="F3449" t="str">
        <f t="shared" ref="F3449" si="3441">A3449</f>
        <v>CGGTGC</v>
      </c>
    </row>
    <row r="3450" spans="1:6" x14ac:dyDescent="0.3">
      <c r="A3450" t="s">
        <v>5825</v>
      </c>
      <c r="F3450" t="str">
        <f t="shared" ref="F3450" si="3442">LEFT(A3450, LEN(A3450) - 1)</f>
        <v>&gt;1723:CGGTGG:18.00:83.33:Warning:6:1848.25</v>
      </c>
    </row>
    <row r="3451" spans="1:6" x14ac:dyDescent="0.3">
      <c r="A3451" t="s">
        <v>1729</v>
      </c>
      <c r="F3451" t="str">
        <f t="shared" ref="F3451" si="3443">A3451</f>
        <v>CGGTGG</v>
      </c>
    </row>
    <row r="3452" spans="1:6" x14ac:dyDescent="0.3">
      <c r="A3452" t="s">
        <v>5826</v>
      </c>
      <c r="F3452" t="str">
        <f t="shared" ref="F3452" si="3444">LEFT(A3452, LEN(A3452) - 1)</f>
        <v>&gt;1724:CGGTGT:12.00:66.67:Warning:6:1823.23</v>
      </c>
    </row>
    <row r="3453" spans="1:6" x14ac:dyDescent="0.3">
      <c r="A3453" t="s">
        <v>1730</v>
      </c>
      <c r="F3453" t="str">
        <f t="shared" ref="F3453" si="3445">A3453</f>
        <v>CGGTGT</v>
      </c>
    </row>
    <row r="3454" spans="1:6" x14ac:dyDescent="0.3">
      <c r="A3454" t="s">
        <v>5827</v>
      </c>
      <c r="F3454" t="str">
        <f t="shared" ref="F3454" si="3446">LEFT(A3454, LEN(A3454) - 1)</f>
        <v>&gt;1725:CGGTTA:14.00:50.00:OK:6:1807.23</v>
      </c>
    </row>
    <row r="3455" spans="1:6" x14ac:dyDescent="0.3">
      <c r="A3455" t="s">
        <v>1731</v>
      </c>
      <c r="F3455" t="str">
        <f t="shared" ref="F3455" si="3447">A3455</f>
        <v>CGGTTA</v>
      </c>
    </row>
    <row r="3456" spans="1:6" x14ac:dyDescent="0.3">
      <c r="A3456" t="s">
        <v>5828</v>
      </c>
      <c r="F3456" t="str">
        <f t="shared" ref="F3456" si="3448">LEFT(A3456, LEN(A3456) - 1)</f>
        <v>&gt;1726:CGGTTC:12.00:66.67:Warning:6:1783.20</v>
      </c>
    </row>
    <row r="3457" spans="1:6" x14ac:dyDescent="0.3">
      <c r="A3457" t="s">
        <v>1732</v>
      </c>
      <c r="F3457" t="str">
        <f t="shared" ref="F3457" si="3449">A3457</f>
        <v>CGGTTC</v>
      </c>
    </row>
    <row r="3458" spans="1:6" x14ac:dyDescent="0.3">
      <c r="A3458" t="s">
        <v>5829</v>
      </c>
      <c r="F3458" t="str">
        <f t="shared" ref="F3458" si="3450">LEFT(A3458, LEN(A3458) - 1)</f>
        <v>&gt;1727:CGGTTG:12.00:66.67:Warning:6:1823.23</v>
      </c>
    </row>
    <row r="3459" spans="1:6" x14ac:dyDescent="0.3">
      <c r="A3459" t="s">
        <v>1733</v>
      </c>
      <c r="F3459" t="str">
        <f t="shared" ref="F3459" si="3451">A3459</f>
        <v>CGGTTG</v>
      </c>
    </row>
    <row r="3460" spans="1:6" x14ac:dyDescent="0.3">
      <c r="A3460" t="s">
        <v>5830</v>
      </c>
      <c r="F3460" t="str">
        <f t="shared" ref="F3460" si="3452">LEFT(A3460, LEN(A3460) - 1)</f>
        <v>&gt;1728:CGGTTT:6.00:50.00:OK:6:1798.21</v>
      </c>
    </row>
    <row r="3461" spans="1:6" x14ac:dyDescent="0.3">
      <c r="A3461" t="s">
        <v>1734</v>
      </c>
      <c r="F3461" t="str">
        <f t="shared" ref="F3461" si="3453">A3461</f>
        <v>CGGTTT</v>
      </c>
    </row>
    <row r="3462" spans="1:6" x14ac:dyDescent="0.3">
      <c r="A3462" t="s">
        <v>5831</v>
      </c>
      <c r="F3462" t="str">
        <f t="shared" ref="F3462" si="3454">LEFT(A3462, LEN(A3462) - 1)</f>
        <v>&gt;1729:CGTAAA:24.00:33.33:OK:6:1800.25</v>
      </c>
    </row>
    <row r="3463" spans="1:6" x14ac:dyDescent="0.3">
      <c r="A3463" t="s">
        <v>1735</v>
      </c>
      <c r="F3463" t="str">
        <f t="shared" ref="F3463" si="3455">A3463</f>
        <v>CGTAAA</v>
      </c>
    </row>
    <row r="3464" spans="1:6" x14ac:dyDescent="0.3">
      <c r="A3464" t="s">
        <v>5832</v>
      </c>
      <c r="F3464" t="str">
        <f t="shared" ref="F3464" si="3456">LEFT(A3464, LEN(A3464) - 1)</f>
        <v>&gt;1730:CGTAAC:22.00:50.00:OK:6:1776.22</v>
      </c>
    </row>
    <row r="3465" spans="1:6" x14ac:dyDescent="0.3">
      <c r="A3465" t="s">
        <v>1736</v>
      </c>
      <c r="F3465" t="str">
        <f t="shared" ref="F3465" si="3457">A3465</f>
        <v>CGTAAC</v>
      </c>
    </row>
    <row r="3466" spans="1:6" x14ac:dyDescent="0.3">
      <c r="A3466" t="s">
        <v>5833</v>
      </c>
      <c r="F3466" t="str">
        <f t="shared" ref="F3466" si="3458">LEFT(A3466, LEN(A3466) - 1)</f>
        <v>&gt;1731:CGTAAG:22.00:50.00:OK:6:1816.25</v>
      </c>
    </row>
    <row r="3467" spans="1:6" x14ac:dyDescent="0.3">
      <c r="A3467" t="s">
        <v>1737</v>
      </c>
      <c r="F3467" t="str">
        <f t="shared" ref="F3467" si="3459">A3467</f>
        <v>CGTAAG</v>
      </c>
    </row>
    <row r="3468" spans="1:6" x14ac:dyDescent="0.3">
      <c r="A3468" t="s">
        <v>5834</v>
      </c>
      <c r="F3468" t="str">
        <f t="shared" ref="F3468" si="3460">LEFT(A3468, LEN(A3468) - 1)</f>
        <v>&gt;1732:CGTAAT:16.00:33.33:OK:6:1791.23</v>
      </c>
    </row>
    <row r="3469" spans="1:6" x14ac:dyDescent="0.3">
      <c r="A3469" t="s">
        <v>1738</v>
      </c>
      <c r="F3469" t="str">
        <f t="shared" ref="F3469" si="3461">A3469</f>
        <v>CGTAAT</v>
      </c>
    </row>
    <row r="3470" spans="1:6" x14ac:dyDescent="0.3">
      <c r="A3470" t="s">
        <v>5835</v>
      </c>
      <c r="F3470" t="str">
        <f t="shared" ref="F3470" si="3462">LEFT(A3470, LEN(A3470) - 1)</f>
        <v>&gt;1733:CGTACA:22.00:50.00:OK:6:1776.22</v>
      </c>
    </row>
    <row r="3471" spans="1:6" x14ac:dyDescent="0.3">
      <c r="A3471" t="s">
        <v>1739</v>
      </c>
      <c r="F3471" t="str">
        <f t="shared" ref="F3471" si="3463">A3471</f>
        <v>CGTACA</v>
      </c>
    </row>
    <row r="3472" spans="1:6" x14ac:dyDescent="0.3">
      <c r="A3472" t="s">
        <v>5836</v>
      </c>
      <c r="F3472" t="str">
        <f t="shared" ref="F3472" si="3464">LEFT(A3472, LEN(A3472) - 1)</f>
        <v>&gt;1734:CGTACC:20.00:66.67:Warning:6:1752.19</v>
      </c>
    </row>
    <row r="3473" spans="1:6" x14ac:dyDescent="0.3">
      <c r="A3473" t="s">
        <v>1740</v>
      </c>
      <c r="F3473" t="str">
        <f t="shared" ref="F3473" si="3465">A3473</f>
        <v>CGTACC</v>
      </c>
    </row>
    <row r="3474" spans="1:6" x14ac:dyDescent="0.3">
      <c r="A3474" t="s">
        <v>5837</v>
      </c>
      <c r="F3474" t="str">
        <f t="shared" ref="F3474" si="3466">LEFT(A3474, LEN(A3474) - 1)</f>
        <v>&gt;1735:CGTACG:20.00:66.67:Warning:6:1792.22</v>
      </c>
    </row>
    <row r="3475" spans="1:6" x14ac:dyDescent="0.3">
      <c r="A3475" t="s">
        <v>1741</v>
      </c>
      <c r="F3475" t="str">
        <f t="shared" ref="F3475" si="3467">A3475</f>
        <v>CGTACG</v>
      </c>
    </row>
    <row r="3476" spans="1:6" x14ac:dyDescent="0.3">
      <c r="A3476" t="s">
        <v>5838</v>
      </c>
      <c r="F3476" t="str">
        <f t="shared" ref="F3476" si="3468">LEFT(A3476, LEN(A3476) - 1)</f>
        <v>&gt;1736:CGTACT:14.00:50.00:OK:6:1767.20</v>
      </c>
    </row>
    <row r="3477" spans="1:6" x14ac:dyDescent="0.3">
      <c r="A3477" t="s">
        <v>1742</v>
      </c>
      <c r="F3477" t="str">
        <f t="shared" ref="F3477" si="3469">A3477</f>
        <v>CGTACT</v>
      </c>
    </row>
    <row r="3478" spans="1:6" x14ac:dyDescent="0.3">
      <c r="A3478" t="s">
        <v>5839</v>
      </c>
      <c r="F3478" t="str">
        <f t="shared" ref="F3478" si="3470">LEFT(A3478, LEN(A3478) - 1)</f>
        <v>&gt;1737:CGTAGA:22.00:50.00:OK:6:1816.25</v>
      </c>
    </row>
    <row r="3479" spans="1:6" x14ac:dyDescent="0.3">
      <c r="A3479" t="s">
        <v>1743</v>
      </c>
      <c r="F3479" t="str">
        <f t="shared" ref="F3479" si="3471">A3479</f>
        <v>CGTAGA</v>
      </c>
    </row>
    <row r="3480" spans="1:6" x14ac:dyDescent="0.3">
      <c r="A3480" t="s">
        <v>5840</v>
      </c>
      <c r="F3480" t="str">
        <f t="shared" ref="F3480" si="3472">LEFT(A3480, LEN(A3480) - 1)</f>
        <v>&gt;1738:CGTAGC:20.00:66.67:Warning:6:1792.22</v>
      </c>
    </row>
    <row r="3481" spans="1:6" x14ac:dyDescent="0.3">
      <c r="A3481" t="s">
        <v>1744</v>
      </c>
      <c r="F3481" t="str">
        <f t="shared" ref="F3481" si="3473">A3481</f>
        <v>CGTAGC</v>
      </c>
    </row>
    <row r="3482" spans="1:6" x14ac:dyDescent="0.3">
      <c r="A3482" t="s">
        <v>5841</v>
      </c>
      <c r="F3482" t="str">
        <f t="shared" ref="F3482" si="3474">LEFT(A3482, LEN(A3482) - 1)</f>
        <v>&gt;1739:CGTAGG:20.00:66.67:Warning:6:1832.25</v>
      </c>
    </row>
    <row r="3483" spans="1:6" x14ac:dyDescent="0.3">
      <c r="A3483" t="s">
        <v>1745</v>
      </c>
      <c r="F3483" t="str">
        <f t="shared" ref="F3483" si="3475">A3483</f>
        <v>CGTAGG</v>
      </c>
    </row>
    <row r="3484" spans="1:6" x14ac:dyDescent="0.3">
      <c r="A3484" t="s">
        <v>5842</v>
      </c>
      <c r="F3484" t="str">
        <f t="shared" ref="F3484" si="3476">LEFT(A3484, LEN(A3484) - 1)</f>
        <v>&gt;1740:CGTAGT:14.00:50.00:OK:6:1807.23</v>
      </c>
    </row>
    <row r="3485" spans="1:6" x14ac:dyDescent="0.3">
      <c r="A3485" t="s">
        <v>1746</v>
      </c>
      <c r="F3485" t="str">
        <f t="shared" ref="F3485" si="3477">A3485</f>
        <v>CGTAGT</v>
      </c>
    </row>
    <row r="3486" spans="1:6" x14ac:dyDescent="0.3">
      <c r="A3486" t="s">
        <v>5843</v>
      </c>
      <c r="F3486" t="str">
        <f t="shared" ref="F3486" si="3478">LEFT(A3486, LEN(A3486) - 1)</f>
        <v>&gt;1741:CGTATA:16.00:33.33:OK:6:1791.23</v>
      </c>
    </row>
    <row r="3487" spans="1:6" x14ac:dyDescent="0.3">
      <c r="A3487" t="s">
        <v>1747</v>
      </c>
      <c r="F3487" t="str">
        <f t="shared" ref="F3487" si="3479">A3487</f>
        <v>CGTATA</v>
      </c>
    </row>
    <row r="3488" spans="1:6" x14ac:dyDescent="0.3">
      <c r="A3488" t="s">
        <v>5844</v>
      </c>
      <c r="F3488" t="str">
        <f t="shared" ref="F3488" si="3480">LEFT(A3488, LEN(A3488) - 1)</f>
        <v>&gt;1742:CGTATC:14.00:50.00:OK:6:1767.20</v>
      </c>
    </row>
    <row r="3489" spans="1:6" x14ac:dyDescent="0.3">
      <c r="A3489" t="s">
        <v>1748</v>
      </c>
      <c r="F3489" t="str">
        <f t="shared" ref="F3489" si="3481">A3489</f>
        <v>CGTATC</v>
      </c>
    </row>
    <row r="3490" spans="1:6" x14ac:dyDescent="0.3">
      <c r="A3490" t="s">
        <v>5845</v>
      </c>
      <c r="F3490" t="str">
        <f t="shared" ref="F3490" si="3482">LEFT(A3490, LEN(A3490) - 1)</f>
        <v>&gt;1743:CGTATG:14.00:50.00:OK:6:1807.23</v>
      </c>
    </row>
    <row r="3491" spans="1:6" x14ac:dyDescent="0.3">
      <c r="A3491" t="s">
        <v>1749</v>
      </c>
      <c r="F3491" t="str">
        <f t="shared" ref="F3491" si="3483">A3491</f>
        <v>CGTATG</v>
      </c>
    </row>
    <row r="3492" spans="1:6" x14ac:dyDescent="0.3">
      <c r="A3492" t="s">
        <v>5846</v>
      </c>
      <c r="F3492" t="str">
        <f t="shared" ref="F3492" si="3484">LEFT(A3492, LEN(A3492) - 1)</f>
        <v>&gt;1744:CGTATT:8.00:33.33:OK:6:1782.21</v>
      </c>
    </row>
    <row r="3493" spans="1:6" x14ac:dyDescent="0.3">
      <c r="A3493" t="s">
        <v>1750</v>
      </c>
      <c r="F3493" t="str">
        <f t="shared" ref="F3493" si="3485">A3493</f>
        <v>CGTATT</v>
      </c>
    </row>
    <row r="3494" spans="1:6" x14ac:dyDescent="0.3">
      <c r="A3494" t="s">
        <v>5847</v>
      </c>
      <c r="F3494" t="str">
        <f t="shared" ref="F3494" si="3486">LEFT(A3494, LEN(A3494) - 1)</f>
        <v>&gt;1745:CGTCAA:22.00:50.00:OK:6:1776.22</v>
      </c>
    </row>
    <row r="3495" spans="1:6" x14ac:dyDescent="0.3">
      <c r="A3495" t="s">
        <v>1751</v>
      </c>
      <c r="F3495" t="str">
        <f t="shared" ref="F3495" si="3487">A3495</f>
        <v>CGTCAA</v>
      </c>
    </row>
    <row r="3496" spans="1:6" x14ac:dyDescent="0.3">
      <c r="A3496" t="s">
        <v>5848</v>
      </c>
      <c r="F3496" t="str">
        <f t="shared" ref="F3496" si="3488">LEFT(A3496, LEN(A3496) - 1)</f>
        <v>&gt;1746:CGTCAC:20.00:66.67:Warning:6:1752.19</v>
      </c>
    </row>
    <row r="3497" spans="1:6" x14ac:dyDescent="0.3">
      <c r="A3497" t="s">
        <v>1752</v>
      </c>
      <c r="F3497" t="str">
        <f t="shared" ref="F3497" si="3489">A3497</f>
        <v>CGTCAC</v>
      </c>
    </row>
    <row r="3498" spans="1:6" x14ac:dyDescent="0.3">
      <c r="A3498" t="s">
        <v>5849</v>
      </c>
      <c r="F3498" t="str">
        <f t="shared" ref="F3498" si="3490">LEFT(A3498, LEN(A3498) - 1)</f>
        <v>&gt;1747:CGTCAG:20.00:66.67:Warning:6:1792.22</v>
      </c>
    </row>
    <row r="3499" spans="1:6" x14ac:dyDescent="0.3">
      <c r="A3499" t="s">
        <v>1753</v>
      </c>
      <c r="F3499" t="str">
        <f t="shared" ref="F3499" si="3491">A3499</f>
        <v>CGTCAG</v>
      </c>
    </row>
    <row r="3500" spans="1:6" x14ac:dyDescent="0.3">
      <c r="A3500" t="s">
        <v>5850</v>
      </c>
      <c r="F3500" t="str">
        <f t="shared" ref="F3500" si="3492">LEFT(A3500, LEN(A3500) - 1)</f>
        <v>&gt;1748:CGTCAT:14.00:50.00:OK:6:1767.20</v>
      </c>
    </row>
    <row r="3501" spans="1:6" x14ac:dyDescent="0.3">
      <c r="A3501" t="s">
        <v>1754</v>
      </c>
      <c r="F3501" t="str">
        <f t="shared" ref="F3501" si="3493">A3501</f>
        <v>CGTCAT</v>
      </c>
    </row>
    <row r="3502" spans="1:6" x14ac:dyDescent="0.3">
      <c r="A3502" t="s">
        <v>5851</v>
      </c>
      <c r="F3502" t="str">
        <f t="shared" ref="F3502" si="3494">LEFT(A3502, LEN(A3502) - 1)</f>
        <v>&gt;1749:CGTCCA:20.00:66.67:Warning:6:1752.19</v>
      </c>
    </row>
    <row r="3503" spans="1:6" x14ac:dyDescent="0.3">
      <c r="A3503" t="s">
        <v>1755</v>
      </c>
      <c r="F3503" t="str">
        <f t="shared" ref="F3503" si="3495">A3503</f>
        <v>CGTCCA</v>
      </c>
    </row>
    <row r="3504" spans="1:6" x14ac:dyDescent="0.3">
      <c r="A3504" t="s">
        <v>5852</v>
      </c>
      <c r="F3504" t="str">
        <f t="shared" ref="F3504" si="3496">LEFT(A3504, LEN(A3504) - 1)</f>
        <v>&gt;1750:CGTCCC:18.00:83.33:Warning:6:1728.16</v>
      </c>
    </row>
    <row r="3505" spans="1:6" x14ac:dyDescent="0.3">
      <c r="A3505" t="s">
        <v>1756</v>
      </c>
      <c r="F3505" t="str">
        <f t="shared" ref="F3505" si="3497">A3505</f>
        <v>CGTCCC</v>
      </c>
    </row>
    <row r="3506" spans="1:6" x14ac:dyDescent="0.3">
      <c r="A3506" t="s">
        <v>5853</v>
      </c>
      <c r="F3506" t="str">
        <f t="shared" ref="F3506" si="3498">LEFT(A3506, LEN(A3506) - 1)</f>
        <v>&gt;1751:CGTCCG:18.00:83.33:Warning:6:1768.19</v>
      </c>
    </row>
    <row r="3507" spans="1:6" x14ac:dyDescent="0.3">
      <c r="A3507" t="s">
        <v>1757</v>
      </c>
      <c r="F3507" t="str">
        <f t="shared" ref="F3507" si="3499">A3507</f>
        <v>CGTCCG</v>
      </c>
    </row>
    <row r="3508" spans="1:6" x14ac:dyDescent="0.3">
      <c r="A3508" t="s">
        <v>5854</v>
      </c>
      <c r="F3508" t="str">
        <f t="shared" ref="F3508" si="3500">LEFT(A3508, LEN(A3508) - 1)</f>
        <v>&gt;1752:CGTCCT:12.00:66.67:Warning:6:1743.17</v>
      </c>
    </row>
    <row r="3509" spans="1:6" x14ac:dyDescent="0.3">
      <c r="A3509" t="s">
        <v>1758</v>
      </c>
      <c r="F3509" t="str">
        <f t="shared" ref="F3509" si="3501">A3509</f>
        <v>CGTCCT</v>
      </c>
    </row>
    <row r="3510" spans="1:6" x14ac:dyDescent="0.3">
      <c r="A3510" t="s">
        <v>5855</v>
      </c>
      <c r="F3510" t="str">
        <f t="shared" ref="F3510" si="3502">LEFT(A3510, LEN(A3510) - 1)</f>
        <v>&gt;1753:CGTCGA:20.00:66.67:Warning:6:1792.22</v>
      </c>
    </row>
    <row r="3511" spans="1:6" x14ac:dyDescent="0.3">
      <c r="A3511" t="s">
        <v>1759</v>
      </c>
      <c r="F3511" t="str">
        <f t="shared" ref="F3511" si="3503">A3511</f>
        <v>CGTCGA</v>
      </c>
    </row>
    <row r="3512" spans="1:6" x14ac:dyDescent="0.3">
      <c r="A3512" t="s">
        <v>5856</v>
      </c>
      <c r="F3512" t="str">
        <f t="shared" ref="F3512" si="3504">LEFT(A3512, LEN(A3512) - 1)</f>
        <v>&gt;1754:CGTCGC:18.00:83.33:Warning:6:1768.19</v>
      </c>
    </row>
    <row r="3513" spans="1:6" x14ac:dyDescent="0.3">
      <c r="A3513" t="s">
        <v>1760</v>
      </c>
      <c r="F3513" t="str">
        <f t="shared" ref="F3513" si="3505">A3513</f>
        <v>CGTCGC</v>
      </c>
    </row>
    <row r="3514" spans="1:6" x14ac:dyDescent="0.3">
      <c r="A3514" t="s">
        <v>5857</v>
      </c>
      <c r="F3514" t="str">
        <f t="shared" ref="F3514" si="3506">LEFT(A3514, LEN(A3514) - 1)</f>
        <v>&gt;1755:CGTCGG:18.00:83.33:Warning:6:1808.22</v>
      </c>
    </row>
    <row r="3515" spans="1:6" x14ac:dyDescent="0.3">
      <c r="A3515" t="s">
        <v>1761</v>
      </c>
      <c r="F3515" t="str">
        <f t="shared" ref="F3515" si="3507">A3515</f>
        <v>CGTCGG</v>
      </c>
    </row>
    <row r="3516" spans="1:6" x14ac:dyDescent="0.3">
      <c r="A3516" t="s">
        <v>5858</v>
      </c>
      <c r="F3516" t="str">
        <f t="shared" ref="F3516" si="3508">LEFT(A3516, LEN(A3516) - 1)</f>
        <v>&gt;1756:CGTCGT:12.00:66.67:Warning:6:1783.20</v>
      </c>
    </row>
    <row r="3517" spans="1:6" x14ac:dyDescent="0.3">
      <c r="A3517" t="s">
        <v>1762</v>
      </c>
      <c r="F3517" t="str">
        <f t="shared" ref="F3517" si="3509">A3517</f>
        <v>CGTCGT</v>
      </c>
    </row>
    <row r="3518" spans="1:6" x14ac:dyDescent="0.3">
      <c r="A3518" t="s">
        <v>5859</v>
      </c>
      <c r="F3518" t="str">
        <f t="shared" ref="F3518" si="3510">LEFT(A3518, LEN(A3518) - 1)</f>
        <v>&gt;1757:CGTCTA:14.00:50.00:OK:6:1767.20</v>
      </c>
    </row>
    <row r="3519" spans="1:6" x14ac:dyDescent="0.3">
      <c r="A3519" t="s">
        <v>1763</v>
      </c>
      <c r="F3519" t="str">
        <f t="shared" ref="F3519" si="3511">A3519</f>
        <v>CGTCTA</v>
      </c>
    </row>
    <row r="3520" spans="1:6" x14ac:dyDescent="0.3">
      <c r="A3520" t="s">
        <v>5860</v>
      </c>
      <c r="F3520" t="str">
        <f t="shared" ref="F3520" si="3512">LEFT(A3520, LEN(A3520) - 1)</f>
        <v>&gt;1758:CGTCTC:12.00:66.67:Warning:6:1743.17</v>
      </c>
    </row>
    <row r="3521" spans="1:6" x14ac:dyDescent="0.3">
      <c r="A3521" t="s">
        <v>1764</v>
      </c>
      <c r="F3521" t="str">
        <f t="shared" ref="F3521" si="3513">A3521</f>
        <v>CGTCTC</v>
      </c>
    </row>
    <row r="3522" spans="1:6" x14ac:dyDescent="0.3">
      <c r="A3522" t="s">
        <v>5861</v>
      </c>
      <c r="F3522" t="str">
        <f t="shared" ref="F3522" si="3514">LEFT(A3522, LEN(A3522) - 1)</f>
        <v>&gt;1759:CGTCTG:12.00:66.67:Warning:6:1783.20</v>
      </c>
    </row>
    <row r="3523" spans="1:6" x14ac:dyDescent="0.3">
      <c r="A3523" t="s">
        <v>1765</v>
      </c>
      <c r="F3523" t="str">
        <f t="shared" ref="F3523" si="3515">A3523</f>
        <v>CGTCTG</v>
      </c>
    </row>
    <row r="3524" spans="1:6" x14ac:dyDescent="0.3">
      <c r="A3524" t="s">
        <v>5862</v>
      </c>
      <c r="F3524" t="str">
        <f t="shared" ref="F3524" si="3516">LEFT(A3524, LEN(A3524) - 1)</f>
        <v>&gt;1760:CGTCTT:6.00:50.00:OK:6:1758.18</v>
      </c>
    </row>
    <row r="3525" spans="1:6" x14ac:dyDescent="0.3">
      <c r="A3525" t="s">
        <v>1766</v>
      </c>
      <c r="F3525" t="str">
        <f t="shared" ref="F3525" si="3517">A3525</f>
        <v>CGTCTT</v>
      </c>
    </row>
    <row r="3526" spans="1:6" x14ac:dyDescent="0.3">
      <c r="A3526" t="s">
        <v>5863</v>
      </c>
      <c r="F3526" t="str">
        <f t="shared" ref="F3526" si="3518">LEFT(A3526, LEN(A3526) - 1)</f>
        <v>&gt;1761:CGTGAA:22.00:50.00:OK:6:1816.25</v>
      </c>
    </row>
    <row r="3527" spans="1:6" x14ac:dyDescent="0.3">
      <c r="A3527" t="s">
        <v>1767</v>
      </c>
      <c r="F3527" t="str">
        <f t="shared" ref="F3527" si="3519">A3527</f>
        <v>CGTGAA</v>
      </c>
    </row>
    <row r="3528" spans="1:6" x14ac:dyDescent="0.3">
      <c r="A3528" t="s">
        <v>5864</v>
      </c>
      <c r="F3528" t="str">
        <f t="shared" ref="F3528" si="3520">LEFT(A3528, LEN(A3528) - 1)</f>
        <v>&gt;1762:CGTGAC:20.00:66.67:Warning:6:1792.22</v>
      </c>
    </row>
    <row r="3529" spans="1:6" x14ac:dyDescent="0.3">
      <c r="A3529" t="s">
        <v>1768</v>
      </c>
      <c r="F3529" t="str">
        <f t="shared" ref="F3529" si="3521">A3529</f>
        <v>CGTGAC</v>
      </c>
    </row>
    <row r="3530" spans="1:6" x14ac:dyDescent="0.3">
      <c r="A3530" t="s">
        <v>5865</v>
      </c>
      <c r="F3530" t="str">
        <f t="shared" ref="F3530" si="3522">LEFT(A3530, LEN(A3530) - 1)</f>
        <v>&gt;1763:CGTGAG:20.00:66.67:Warning:6:1832.25</v>
      </c>
    </row>
    <row r="3531" spans="1:6" x14ac:dyDescent="0.3">
      <c r="A3531" t="s">
        <v>1769</v>
      </c>
      <c r="F3531" t="str">
        <f t="shared" ref="F3531" si="3523">A3531</f>
        <v>CGTGAG</v>
      </c>
    </row>
    <row r="3532" spans="1:6" x14ac:dyDescent="0.3">
      <c r="A3532" t="s">
        <v>5866</v>
      </c>
      <c r="F3532" t="str">
        <f t="shared" ref="F3532" si="3524">LEFT(A3532, LEN(A3532) - 1)</f>
        <v>&gt;1764:CGTGAT:14.00:50.00:OK:6:1807.23</v>
      </c>
    </row>
    <row r="3533" spans="1:6" x14ac:dyDescent="0.3">
      <c r="A3533" t="s">
        <v>1770</v>
      </c>
      <c r="F3533" t="str">
        <f t="shared" ref="F3533" si="3525">A3533</f>
        <v>CGTGAT</v>
      </c>
    </row>
    <row r="3534" spans="1:6" x14ac:dyDescent="0.3">
      <c r="A3534" t="s">
        <v>5867</v>
      </c>
      <c r="F3534" t="str">
        <f t="shared" ref="F3534" si="3526">LEFT(A3534, LEN(A3534) - 1)</f>
        <v>&gt;1765:CGTGCA:20.00:66.67:Warning:6:1792.22</v>
      </c>
    </row>
    <row r="3535" spans="1:6" x14ac:dyDescent="0.3">
      <c r="A3535" t="s">
        <v>1771</v>
      </c>
      <c r="F3535" t="str">
        <f t="shared" ref="F3535" si="3527">A3535</f>
        <v>CGTGCA</v>
      </c>
    </row>
    <row r="3536" spans="1:6" x14ac:dyDescent="0.3">
      <c r="A3536" t="s">
        <v>5868</v>
      </c>
      <c r="F3536" t="str">
        <f t="shared" ref="F3536" si="3528">LEFT(A3536, LEN(A3536) - 1)</f>
        <v>&gt;1766:CGTGCC:18.00:83.33:Warning:6:1768.19</v>
      </c>
    </row>
    <row r="3537" spans="1:6" x14ac:dyDescent="0.3">
      <c r="A3537" t="s">
        <v>1772</v>
      </c>
      <c r="F3537" t="str">
        <f t="shared" ref="F3537" si="3529">A3537</f>
        <v>CGTGCC</v>
      </c>
    </row>
    <row r="3538" spans="1:6" x14ac:dyDescent="0.3">
      <c r="A3538" t="s">
        <v>5869</v>
      </c>
      <c r="F3538" t="str">
        <f t="shared" ref="F3538" si="3530">LEFT(A3538, LEN(A3538) - 1)</f>
        <v>&gt;1767:CGTGCG:18.00:83.33:Warning:6:1808.22</v>
      </c>
    </row>
    <row r="3539" spans="1:6" x14ac:dyDescent="0.3">
      <c r="A3539" t="s">
        <v>1773</v>
      </c>
      <c r="F3539" t="str">
        <f t="shared" ref="F3539" si="3531">A3539</f>
        <v>CGTGCG</v>
      </c>
    </row>
    <row r="3540" spans="1:6" x14ac:dyDescent="0.3">
      <c r="A3540" t="s">
        <v>5870</v>
      </c>
      <c r="F3540" t="str">
        <f t="shared" ref="F3540" si="3532">LEFT(A3540, LEN(A3540) - 1)</f>
        <v>&gt;1768:CGTGCT:12.00:66.67:Warning:6:1783.20</v>
      </c>
    </row>
    <row r="3541" spans="1:6" x14ac:dyDescent="0.3">
      <c r="A3541" t="s">
        <v>1774</v>
      </c>
      <c r="F3541" t="str">
        <f t="shared" ref="F3541" si="3533">A3541</f>
        <v>CGTGCT</v>
      </c>
    </row>
    <row r="3542" spans="1:6" x14ac:dyDescent="0.3">
      <c r="A3542" t="s">
        <v>5871</v>
      </c>
      <c r="F3542" t="str">
        <f t="shared" ref="F3542" si="3534">LEFT(A3542, LEN(A3542) - 1)</f>
        <v>&gt;1769:CGTGGA:20.00:66.67:Warning:6:1832.25</v>
      </c>
    </row>
    <row r="3543" spans="1:6" x14ac:dyDescent="0.3">
      <c r="A3543" t="s">
        <v>1775</v>
      </c>
      <c r="F3543" t="str">
        <f t="shared" ref="F3543" si="3535">A3543</f>
        <v>CGTGGA</v>
      </c>
    </row>
    <row r="3544" spans="1:6" x14ac:dyDescent="0.3">
      <c r="A3544" t="s">
        <v>5872</v>
      </c>
      <c r="F3544" t="str">
        <f t="shared" ref="F3544" si="3536">LEFT(A3544, LEN(A3544) - 1)</f>
        <v>&gt;1770:CGTGGC:18.00:83.33:Warning:6:1808.22</v>
      </c>
    </row>
    <row r="3545" spans="1:6" x14ac:dyDescent="0.3">
      <c r="A3545" t="s">
        <v>1776</v>
      </c>
      <c r="F3545" t="str">
        <f t="shared" ref="F3545" si="3537">A3545</f>
        <v>CGTGGC</v>
      </c>
    </row>
    <row r="3546" spans="1:6" x14ac:dyDescent="0.3">
      <c r="A3546" t="s">
        <v>5873</v>
      </c>
      <c r="F3546" t="str">
        <f t="shared" ref="F3546" si="3538">LEFT(A3546, LEN(A3546) - 1)</f>
        <v>&gt;1771:CGTGGG:18.00:83.33:Warning:6:1848.25</v>
      </c>
    </row>
    <row r="3547" spans="1:6" x14ac:dyDescent="0.3">
      <c r="A3547" t="s">
        <v>1777</v>
      </c>
      <c r="F3547" t="str">
        <f t="shared" ref="F3547" si="3539">A3547</f>
        <v>CGTGGG</v>
      </c>
    </row>
    <row r="3548" spans="1:6" x14ac:dyDescent="0.3">
      <c r="A3548" t="s">
        <v>5874</v>
      </c>
      <c r="F3548" t="str">
        <f t="shared" ref="F3548" si="3540">LEFT(A3548, LEN(A3548) - 1)</f>
        <v>&gt;1772:CGTGGT:12.00:66.67:Warning:6:1823.23</v>
      </c>
    </row>
    <row r="3549" spans="1:6" x14ac:dyDescent="0.3">
      <c r="A3549" t="s">
        <v>1778</v>
      </c>
      <c r="F3549" t="str">
        <f t="shared" ref="F3549" si="3541">A3549</f>
        <v>CGTGGT</v>
      </c>
    </row>
    <row r="3550" spans="1:6" x14ac:dyDescent="0.3">
      <c r="A3550" t="s">
        <v>5875</v>
      </c>
      <c r="F3550" t="str">
        <f t="shared" ref="F3550" si="3542">LEFT(A3550, LEN(A3550) - 1)</f>
        <v>&gt;1773:CGTGTA:14.00:50.00:OK:6:1807.23</v>
      </c>
    </row>
    <row r="3551" spans="1:6" x14ac:dyDescent="0.3">
      <c r="A3551" t="s">
        <v>1779</v>
      </c>
      <c r="F3551" t="str">
        <f t="shared" ref="F3551" si="3543">A3551</f>
        <v>CGTGTA</v>
      </c>
    </row>
    <row r="3552" spans="1:6" x14ac:dyDescent="0.3">
      <c r="A3552" t="s">
        <v>5876</v>
      </c>
      <c r="F3552" t="str">
        <f t="shared" ref="F3552" si="3544">LEFT(A3552, LEN(A3552) - 1)</f>
        <v>&gt;1774:CGTGTC:12.00:66.67:Warning:6:1783.20</v>
      </c>
    </row>
    <row r="3553" spans="1:6" x14ac:dyDescent="0.3">
      <c r="A3553" t="s">
        <v>1780</v>
      </c>
      <c r="F3553" t="str">
        <f t="shared" ref="F3553" si="3545">A3553</f>
        <v>CGTGTC</v>
      </c>
    </row>
    <row r="3554" spans="1:6" x14ac:dyDescent="0.3">
      <c r="A3554" t="s">
        <v>5877</v>
      </c>
      <c r="F3554" t="str">
        <f t="shared" ref="F3554" si="3546">LEFT(A3554, LEN(A3554) - 1)</f>
        <v>&gt;1775:CGTGTG:12.00:66.67:Warning:6:1823.23</v>
      </c>
    </row>
    <row r="3555" spans="1:6" x14ac:dyDescent="0.3">
      <c r="A3555" t="s">
        <v>1781</v>
      </c>
      <c r="F3555" t="str">
        <f t="shared" ref="F3555" si="3547">A3555</f>
        <v>CGTGTG</v>
      </c>
    </row>
    <row r="3556" spans="1:6" x14ac:dyDescent="0.3">
      <c r="A3556" t="s">
        <v>5878</v>
      </c>
      <c r="F3556" t="str">
        <f t="shared" ref="F3556" si="3548">LEFT(A3556, LEN(A3556) - 1)</f>
        <v>&gt;1776:CGTGTT:6.00:50.00:OK:6:1798.21</v>
      </c>
    </row>
    <row r="3557" spans="1:6" x14ac:dyDescent="0.3">
      <c r="A3557" t="s">
        <v>1782</v>
      </c>
      <c r="F3557" t="str">
        <f t="shared" ref="F3557" si="3549">A3557</f>
        <v>CGTGTT</v>
      </c>
    </row>
    <row r="3558" spans="1:6" x14ac:dyDescent="0.3">
      <c r="A3558" t="s">
        <v>5879</v>
      </c>
      <c r="F3558" t="str">
        <f t="shared" ref="F3558" si="3550">LEFT(A3558, LEN(A3558) - 1)</f>
        <v>&gt;1777:CGTTAA:16.00:33.33:OK:6:1791.23</v>
      </c>
    </row>
    <row r="3559" spans="1:6" x14ac:dyDescent="0.3">
      <c r="A3559" t="s">
        <v>1783</v>
      </c>
      <c r="F3559" t="str">
        <f t="shared" ref="F3559" si="3551">A3559</f>
        <v>CGTTAA</v>
      </c>
    </row>
    <row r="3560" spans="1:6" x14ac:dyDescent="0.3">
      <c r="A3560" t="s">
        <v>5880</v>
      </c>
      <c r="F3560" t="str">
        <f t="shared" ref="F3560" si="3552">LEFT(A3560, LEN(A3560) - 1)</f>
        <v>&gt;1778:CGTTAC:14.00:50.00:OK:6:1767.20</v>
      </c>
    </row>
    <row r="3561" spans="1:6" x14ac:dyDescent="0.3">
      <c r="A3561" t="s">
        <v>1784</v>
      </c>
      <c r="F3561" t="str">
        <f t="shared" ref="F3561" si="3553">A3561</f>
        <v>CGTTAC</v>
      </c>
    </row>
    <row r="3562" spans="1:6" x14ac:dyDescent="0.3">
      <c r="A3562" t="s">
        <v>5881</v>
      </c>
      <c r="F3562" t="str">
        <f t="shared" ref="F3562" si="3554">LEFT(A3562, LEN(A3562) - 1)</f>
        <v>&gt;1779:CGTTAG:14.00:50.00:OK:6:1807.23</v>
      </c>
    </row>
    <row r="3563" spans="1:6" x14ac:dyDescent="0.3">
      <c r="A3563" t="s">
        <v>1785</v>
      </c>
      <c r="F3563" t="str">
        <f t="shared" ref="F3563" si="3555">A3563</f>
        <v>CGTTAG</v>
      </c>
    </row>
    <row r="3564" spans="1:6" x14ac:dyDescent="0.3">
      <c r="A3564" t="s">
        <v>5882</v>
      </c>
      <c r="F3564" t="str">
        <f t="shared" ref="F3564" si="3556">LEFT(A3564, LEN(A3564) - 1)</f>
        <v>&gt;1780:CGTTAT:8.00:33.33:OK:6:1782.21</v>
      </c>
    </row>
    <row r="3565" spans="1:6" x14ac:dyDescent="0.3">
      <c r="A3565" t="s">
        <v>1786</v>
      </c>
      <c r="F3565" t="str">
        <f t="shared" ref="F3565" si="3557">A3565</f>
        <v>CGTTAT</v>
      </c>
    </row>
    <row r="3566" spans="1:6" x14ac:dyDescent="0.3">
      <c r="A3566" t="s">
        <v>5883</v>
      </c>
      <c r="F3566" t="str">
        <f t="shared" ref="F3566" si="3558">LEFT(A3566, LEN(A3566) - 1)</f>
        <v>&gt;1781:CGTTCA:14.00:50.00:OK:6:1767.20</v>
      </c>
    </row>
    <row r="3567" spans="1:6" x14ac:dyDescent="0.3">
      <c r="A3567" t="s">
        <v>1787</v>
      </c>
      <c r="F3567" t="str">
        <f t="shared" ref="F3567" si="3559">A3567</f>
        <v>CGTTCA</v>
      </c>
    </row>
    <row r="3568" spans="1:6" x14ac:dyDescent="0.3">
      <c r="A3568" t="s">
        <v>5884</v>
      </c>
      <c r="F3568" t="str">
        <f t="shared" ref="F3568" si="3560">LEFT(A3568, LEN(A3568) - 1)</f>
        <v>&gt;1782:CGTTCC:12.00:66.67:Warning:6:1743.17</v>
      </c>
    </row>
    <row r="3569" spans="1:6" x14ac:dyDescent="0.3">
      <c r="A3569" t="s">
        <v>1788</v>
      </c>
      <c r="F3569" t="str">
        <f t="shared" ref="F3569" si="3561">A3569</f>
        <v>CGTTCC</v>
      </c>
    </row>
    <row r="3570" spans="1:6" x14ac:dyDescent="0.3">
      <c r="A3570" t="s">
        <v>5885</v>
      </c>
      <c r="F3570" t="str">
        <f t="shared" ref="F3570" si="3562">LEFT(A3570, LEN(A3570) - 1)</f>
        <v>&gt;1783:CGTTCG:12.00:66.67:Warning:6:1783.20</v>
      </c>
    </row>
    <row r="3571" spans="1:6" x14ac:dyDescent="0.3">
      <c r="A3571" t="s">
        <v>1789</v>
      </c>
      <c r="F3571" t="str">
        <f t="shared" ref="F3571" si="3563">A3571</f>
        <v>CGTTCG</v>
      </c>
    </row>
    <row r="3572" spans="1:6" x14ac:dyDescent="0.3">
      <c r="A3572" t="s">
        <v>5886</v>
      </c>
      <c r="F3572" t="str">
        <f t="shared" ref="F3572" si="3564">LEFT(A3572, LEN(A3572) - 1)</f>
        <v>&gt;1784:CGTTCT:6.00:50.00:OK:6:1758.18</v>
      </c>
    </row>
    <row r="3573" spans="1:6" x14ac:dyDescent="0.3">
      <c r="A3573" t="s">
        <v>1790</v>
      </c>
      <c r="F3573" t="str">
        <f t="shared" ref="F3573" si="3565">A3573</f>
        <v>CGTTCT</v>
      </c>
    </row>
    <row r="3574" spans="1:6" x14ac:dyDescent="0.3">
      <c r="A3574" t="s">
        <v>5887</v>
      </c>
      <c r="F3574" t="str">
        <f t="shared" ref="F3574" si="3566">LEFT(A3574, LEN(A3574) - 1)</f>
        <v>&gt;1785:CGTTGA:14.00:50.00:OK:6:1807.23</v>
      </c>
    </row>
    <row r="3575" spans="1:6" x14ac:dyDescent="0.3">
      <c r="A3575" t="s">
        <v>1791</v>
      </c>
      <c r="F3575" t="str">
        <f t="shared" ref="F3575" si="3567">A3575</f>
        <v>CGTTGA</v>
      </c>
    </row>
    <row r="3576" spans="1:6" x14ac:dyDescent="0.3">
      <c r="A3576" t="s">
        <v>5888</v>
      </c>
      <c r="F3576" t="str">
        <f t="shared" ref="F3576" si="3568">LEFT(A3576, LEN(A3576) - 1)</f>
        <v>&gt;1786:CGTTGC:12.00:66.67:Warning:6:1783.20</v>
      </c>
    </row>
    <row r="3577" spans="1:6" x14ac:dyDescent="0.3">
      <c r="A3577" t="s">
        <v>1792</v>
      </c>
      <c r="F3577" t="str">
        <f t="shared" ref="F3577" si="3569">A3577</f>
        <v>CGTTGC</v>
      </c>
    </row>
    <row r="3578" spans="1:6" x14ac:dyDescent="0.3">
      <c r="A3578" t="s">
        <v>5889</v>
      </c>
      <c r="F3578" t="str">
        <f t="shared" ref="F3578" si="3570">LEFT(A3578, LEN(A3578) - 1)</f>
        <v>&gt;1787:CGTTGG:12.00:66.67:Warning:6:1823.23</v>
      </c>
    </row>
    <row r="3579" spans="1:6" x14ac:dyDescent="0.3">
      <c r="A3579" t="s">
        <v>1793</v>
      </c>
      <c r="F3579" t="str">
        <f t="shared" ref="F3579" si="3571">A3579</f>
        <v>CGTTGG</v>
      </c>
    </row>
    <row r="3580" spans="1:6" x14ac:dyDescent="0.3">
      <c r="A3580" t="s">
        <v>5890</v>
      </c>
      <c r="F3580" t="str">
        <f t="shared" ref="F3580" si="3572">LEFT(A3580, LEN(A3580) - 1)</f>
        <v>&gt;1788:CGTTGT:6.00:50.00:OK:6:1798.21</v>
      </c>
    </row>
    <row r="3581" spans="1:6" x14ac:dyDescent="0.3">
      <c r="A3581" t="s">
        <v>1794</v>
      </c>
      <c r="F3581" t="str">
        <f t="shared" ref="F3581" si="3573">A3581</f>
        <v>CGTTGT</v>
      </c>
    </row>
    <row r="3582" spans="1:6" x14ac:dyDescent="0.3">
      <c r="A3582" t="s">
        <v>5891</v>
      </c>
      <c r="F3582" t="str">
        <f t="shared" ref="F3582" si="3574">LEFT(A3582, LEN(A3582) - 1)</f>
        <v>&gt;1789:CGTTTA:8.00:33.33:OK:6:1782.21</v>
      </c>
    </row>
    <row r="3583" spans="1:6" x14ac:dyDescent="0.3">
      <c r="A3583" t="s">
        <v>1795</v>
      </c>
      <c r="F3583" t="str">
        <f t="shared" ref="F3583" si="3575">A3583</f>
        <v>CGTTTA</v>
      </c>
    </row>
    <row r="3584" spans="1:6" x14ac:dyDescent="0.3">
      <c r="A3584" t="s">
        <v>5892</v>
      </c>
      <c r="F3584" t="str">
        <f t="shared" ref="F3584" si="3576">LEFT(A3584, LEN(A3584) - 1)</f>
        <v>&gt;1790:CGTTTC:6.00:50.00:OK:6:1758.18</v>
      </c>
    </row>
    <row r="3585" spans="1:6" x14ac:dyDescent="0.3">
      <c r="A3585" t="s">
        <v>1796</v>
      </c>
      <c r="F3585" t="str">
        <f t="shared" ref="F3585" si="3577">A3585</f>
        <v>CGTTTC</v>
      </c>
    </row>
    <row r="3586" spans="1:6" x14ac:dyDescent="0.3">
      <c r="A3586" t="s">
        <v>5893</v>
      </c>
      <c r="F3586" t="str">
        <f t="shared" ref="F3586" si="3578">LEFT(A3586, LEN(A3586) - 1)</f>
        <v>&gt;1791:CGTTTG:6.00:50.00:OK:6:1798.21</v>
      </c>
    </row>
    <row r="3587" spans="1:6" x14ac:dyDescent="0.3">
      <c r="A3587" t="s">
        <v>1797</v>
      </c>
      <c r="F3587" t="str">
        <f t="shared" ref="F3587" si="3579">A3587</f>
        <v>CGTTTG</v>
      </c>
    </row>
    <row r="3588" spans="1:6" x14ac:dyDescent="0.3">
      <c r="A3588" t="s">
        <v>5894</v>
      </c>
      <c r="F3588" t="str">
        <f t="shared" ref="F3588" si="3580">LEFT(A3588, LEN(A3588) - 1)</f>
        <v>&gt;1792:CGTTTT:0.00:33.33:OK:6:1773.19</v>
      </c>
    </row>
    <row r="3589" spans="1:6" x14ac:dyDescent="0.3">
      <c r="A3589" t="s">
        <v>1798</v>
      </c>
      <c r="F3589" t="str">
        <f t="shared" ref="F3589" si="3581">A3589</f>
        <v>CGTTTT</v>
      </c>
    </row>
    <row r="3590" spans="1:6" x14ac:dyDescent="0.3">
      <c r="A3590" t="s">
        <v>5895</v>
      </c>
      <c r="F3590" t="str">
        <f t="shared" ref="F3590" si="3582">LEFT(A3590, LEN(A3590) - 1)</f>
        <v>&gt;1793:CTAAAA:26.00:16.67:OK:6:1784.25</v>
      </c>
    </row>
    <row r="3591" spans="1:6" x14ac:dyDescent="0.3">
      <c r="A3591" t="s">
        <v>1799</v>
      </c>
      <c r="F3591" t="str">
        <f t="shared" ref="F3591" si="3583">A3591</f>
        <v>CTAAAA</v>
      </c>
    </row>
    <row r="3592" spans="1:6" x14ac:dyDescent="0.3">
      <c r="A3592" t="s">
        <v>5896</v>
      </c>
      <c r="F3592" t="str">
        <f t="shared" ref="F3592" si="3584">LEFT(A3592, LEN(A3592) - 1)</f>
        <v>&gt;1794:CTAAAC:24.00:33.33:OK:6:1760.22</v>
      </c>
    </row>
    <row r="3593" spans="1:6" x14ac:dyDescent="0.3">
      <c r="A3593" t="s">
        <v>1800</v>
      </c>
      <c r="F3593" t="str">
        <f t="shared" ref="F3593" si="3585">A3593</f>
        <v>CTAAAC</v>
      </c>
    </row>
    <row r="3594" spans="1:6" x14ac:dyDescent="0.3">
      <c r="A3594" t="s">
        <v>5897</v>
      </c>
      <c r="F3594" t="str">
        <f t="shared" ref="F3594" si="3586">LEFT(A3594, LEN(A3594) - 1)</f>
        <v>&gt;1795:CTAAAG:24.00:33.33:OK:6:1800.25</v>
      </c>
    </row>
    <row r="3595" spans="1:6" x14ac:dyDescent="0.3">
      <c r="A3595" t="s">
        <v>1801</v>
      </c>
      <c r="F3595" t="str">
        <f t="shared" ref="F3595" si="3587">A3595</f>
        <v>CTAAAG</v>
      </c>
    </row>
    <row r="3596" spans="1:6" x14ac:dyDescent="0.3">
      <c r="A3596" t="s">
        <v>5898</v>
      </c>
      <c r="F3596" t="str">
        <f t="shared" ref="F3596" si="3588">LEFT(A3596, LEN(A3596) - 1)</f>
        <v>&gt;1796:CTAAAT:18.00:16.67:OK:6:1775.23</v>
      </c>
    </row>
    <row r="3597" spans="1:6" x14ac:dyDescent="0.3">
      <c r="A3597" t="s">
        <v>1802</v>
      </c>
      <c r="F3597" t="str">
        <f t="shared" ref="F3597" si="3589">A3597</f>
        <v>CTAAAT</v>
      </c>
    </row>
    <row r="3598" spans="1:6" x14ac:dyDescent="0.3">
      <c r="A3598" t="s">
        <v>5899</v>
      </c>
      <c r="F3598" t="str">
        <f t="shared" ref="F3598" si="3590">LEFT(A3598, LEN(A3598) - 1)</f>
        <v>&gt;1797:CTAACA:24.00:33.33:OK:6:1760.22</v>
      </c>
    </row>
    <row r="3599" spans="1:6" x14ac:dyDescent="0.3">
      <c r="A3599" t="s">
        <v>1803</v>
      </c>
      <c r="F3599" t="str">
        <f t="shared" ref="F3599" si="3591">A3599</f>
        <v>CTAACA</v>
      </c>
    </row>
    <row r="3600" spans="1:6" x14ac:dyDescent="0.3">
      <c r="A3600" t="s">
        <v>5900</v>
      </c>
      <c r="F3600" t="str">
        <f t="shared" ref="F3600" si="3592">LEFT(A3600, LEN(A3600) - 1)</f>
        <v>&gt;1798:CTAACC:22.00:50.00:OK:6:1736.19</v>
      </c>
    </row>
    <row r="3601" spans="1:6" x14ac:dyDescent="0.3">
      <c r="A3601" t="s">
        <v>1804</v>
      </c>
      <c r="F3601" t="str">
        <f t="shared" ref="F3601" si="3593">A3601</f>
        <v>CTAACC</v>
      </c>
    </row>
    <row r="3602" spans="1:6" x14ac:dyDescent="0.3">
      <c r="A3602" t="s">
        <v>5901</v>
      </c>
      <c r="F3602" t="str">
        <f t="shared" ref="F3602" si="3594">LEFT(A3602, LEN(A3602) - 1)</f>
        <v>&gt;1799:CTAACG:22.00:50.00:OK:6:1776.22</v>
      </c>
    </row>
    <row r="3603" spans="1:6" x14ac:dyDescent="0.3">
      <c r="A3603" t="s">
        <v>1805</v>
      </c>
      <c r="F3603" t="str">
        <f t="shared" ref="F3603" si="3595">A3603</f>
        <v>CTAACG</v>
      </c>
    </row>
    <row r="3604" spans="1:6" x14ac:dyDescent="0.3">
      <c r="A3604" t="s">
        <v>5902</v>
      </c>
      <c r="F3604" t="str">
        <f t="shared" ref="F3604" si="3596">LEFT(A3604, LEN(A3604) - 1)</f>
        <v>&gt;1800:CTAACT:16.00:33.33:OK:6:1751.20</v>
      </c>
    </row>
    <row r="3605" spans="1:6" x14ac:dyDescent="0.3">
      <c r="A3605" t="s">
        <v>1806</v>
      </c>
      <c r="F3605" t="str">
        <f t="shared" ref="F3605" si="3597">A3605</f>
        <v>CTAACT</v>
      </c>
    </row>
    <row r="3606" spans="1:6" x14ac:dyDescent="0.3">
      <c r="A3606" t="s">
        <v>5903</v>
      </c>
      <c r="F3606" t="str">
        <f t="shared" ref="F3606" si="3598">LEFT(A3606, LEN(A3606) - 1)</f>
        <v>&gt;1801:CTAAGA:24.00:33.33:OK:6:1800.25</v>
      </c>
    </row>
    <row r="3607" spans="1:6" x14ac:dyDescent="0.3">
      <c r="A3607" t="s">
        <v>1807</v>
      </c>
      <c r="F3607" t="str">
        <f t="shared" ref="F3607" si="3599">A3607</f>
        <v>CTAAGA</v>
      </c>
    </row>
    <row r="3608" spans="1:6" x14ac:dyDescent="0.3">
      <c r="A3608" t="s">
        <v>5904</v>
      </c>
      <c r="F3608" t="str">
        <f t="shared" ref="F3608" si="3600">LEFT(A3608, LEN(A3608) - 1)</f>
        <v>&gt;1802:CTAAGC:22.00:50.00:OK:6:1776.22</v>
      </c>
    </row>
    <row r="3609" spans="1:6" x14ac:dyDescent="0.3">
      <c r="A3609" t="s">
        <v>1808</v>
      </c>
      <c r="F3609" t="str">
        <f t="shared" ref="F3609" si="3601">A3609</f>
        <v>CTAAGC</v>
      </c>
    </row>
    <row r="3610" spans="1:6" x14ac:dyDescent="0.3">
      <c r="A3610" t="s">
        <v>5905</v>
      </c>
      <c r="F3610" t="str">
        <f t="shared" ref="F3610" si="3602">LEFT(A3610, LEN(A3610) - 1)</f>
        <v>&gt;1803:CTAAGG:22.00:50.00:OK:6:1816.25</v>
      </c>
    </row>
    <row r="3611" spans="1:6" x14ac:dyDescent="0.3">
      <c r="A3611" t="s">
        <v>1809</v>
      </c>
      <c r="F3611" t="str">
        <f t="shared" ref="F3611" si="3603">A3611</f>
        <v>CTAAGG</v>
      </c>
    </row>
    <row r="3612" spans="1:6" x14ac:dyDescent="0.3">
      <c r="A3612" t="s">
        <v>5906</v>
      </c>
      <c r="F3612" t="str">
        <f t="shared" ref="F3612" si="3604">LEFT(A3612, LEN(A3612) - 1)</f>
        <v>&gt;1804:CTAAGT:16.00:33.33:OK:6:1791.23</v>
      </c>
    </row>
    <row r="3613" spans="1:6" x14ac:dyDescent="0.3">
      <c r="A3613" t="s">
        <v>1810</v>
      </c>
      <c r="F3613" t="str">
        <f t="shared" ref="F3613" si="3605">A3613</f>
        <v>CTAAGT</v>
      </c>
    </row>
    <row r="3614" spans="1:6" x14ac:dyDescent="0.3">
      <c r="A3614" t="s">
        <v>5907</v>
      </c>
      <c r="F3614" t="str">
        <f t="shared" ref="F3614" si="3606">LEFT(A3614, LEN(A3614) - 1)</f>
        <v>&gt;1805:CTAATA:18.00:16.67:OK:6:1775.23</v>
      </c>
    </row>
    <row r="3615" spans="1:6" x14ac:dyDescent="0.3">
      <c r="A3615" t="s">
        <v>1811</v>
      </c>
      <c r="F3615" t="str">
        <f t="shared" ref="F3615" si="3607">A3615</f>
        <v>CTAATA</v>
      </c>
    </row>
    <row r="3616" spans="1:6" x14ac:dyDescent="0.3">
      <c r="A3616" t="s">
        <v>5908</v>
      </c>
      <c r="F3616" t="str">
        <f t="shared" ref="F3616" si="3608">LEFT(A3616, LEN(A3616) - 1)</f>
        <v>&gt;1806:CTAATC:16.00:33.33:OK:6:1751.20</v>
      </c>
    </row>
    <row r="3617" spans="1:6" x14ac:dyDescent="0.3">
      <c r="A3617" t="s">
        <v>1812</v>
      </c>
      <c r="F3617" t="str">
        <f t="shared" ref="F3617" si="3609">A3617</f>
        <v>CTAATC</v>
      </c>
    </row>
    <row r="3618" spans="1:6" x14ac:dyDescent="0.3">
      <c r="A3618" t="s">
        <v>5909</v>
      </c>
      <c r="F3618" t="str">
        <f t="shared" ref="F3618" si="3610">LEFT(A3618, LEN(A3618) - 1)</f>
        <v>&gt;1807:CTAATG:16.00:33.33:OK:6:1791.23</v>
      </c>
    </row>
    <row r="3619" spans="1:6" x14ac:dyDescent="0.3">
      <c r="A3619" t="s">
        <v>1813</v>
      </c>
      <c r="F3619" t="str">
        <f t="shared" ref="F3619" si="3611">A3619</f>
        <v>CTAATG</v>
      </c>
    </row>
    <row r="3620" spans="1:6" x14ac:dyDescent="0.3">
      <c r="A3620" t="s">
        <v>5910</v>
      </c>
      <c r="F3620" t="str">
        <f t="shared" ref="F3620" si="3612">LEFT(A3620, LEN(A3620) - 1)</f>
        <v>&gt;1808:CTAATT:10.00:16.67:OK:6:1766.21</v>
      </c>
    </row>
    <row r="3621" spans="1:6" x14ac:dyDescent="0.3">
      <c r="A3621" t="s">
        <v>1814</v>
      </c>
      <c r="F3621" t="str">
        <f t="shared" ref="F3621" si="3613">A3621</f>
        <v>CTAATT</v>
      </c>
    </row>
    <row r="3622" spans="1:6" x14ac:dyDescent="0.3">
      <c r="A3622" t="s">
        <v>5911</v>
      </c>
      <c r="F3622" t="str">
        <f t="shared" ref="F3622" si="3614">LEFT(A3622, LEN(A3622) - 1)</f>
        <v>&gt;1809:CTACAA:24.00:33.33:OK:6:1760.22</v>
      </c>
    </row>
    <row r="3623" spans="1:6" x14ac:dyDescent="0.3">
      <c r="A3623" t="s">
        <v>1815</v>
      </c>
      <c r="F3623" t="str">
        <f t="shared" ref="F3623" si="3615">A3623</f>
        <v>CTACAA</v>
      </c>
    </row>
    <row r="3624" spans="1:6" x14ac:dyDescent="0.3">
      <c r="A3624" t="s">
        <v>5912</v>
      </c>
      <c r="F3624" t="str">
        <f t="shared" ref="F3624" si="3616">LEFT(A3624, LEN(A3624) - 1)</f>
        <v>&gt;1810:CTACAC:22.00:50.00:OK:6:1736.19</v>
      </c>
    </row>
    <row r="3625" spans="1:6" x14ac:dyDescent="0.3">
      <c r="A3625" t="s">
        <v>1816</v>
      </c>
      <c r="F3625" t="str">
        <f t="shared" ref="F3625" si="3617">A3625</f>
        <v>CTACAC</v>
      </c>
    </row>
    <row r="3626" spans="1:6" x14ac:dyDescent="0.3">
      <c r="A3626" t="s">
        <v>5913</v>
      </c>
      <c r="F3626" t="str">
        <f t="shared" ref="F3626" si="3618">LEFT(A3626, LEN(A3626) - 1)</f>
        <v>&gt;1811:CTACAG:22.00:50.00:OK:6:1776.22</v>
      </c>
    </row>
    <row r="3627" spans="1:6" x14ac:dyDescent="0.3">
      <c r="A3627" t="s">
        <v>1817</v>
      </c>
      <c r="F3627" t="str">
        <f t="shared" ref="F3627" si="3619">A3627</f>
        <v>CTACAG</v>
      </c>
    </row>
    <row r="3628" spans="1:6" x14ac:dyDescent="0.3">
      <c r="A3628" t="s">
        <v>5914</v>
      </c>
      <c r="F3628" t="str">
        <f t="shared" ref="F3628" si="3620">LEFT(A3628, LEN(A3628) - 1)</f>
        <v>&gt;1812:CTACAT:16.00:33.33:OK:6:1751.20</v>
      </c>
    </row>
    <row r="3629" spans="1:6" x14ac:dyDescent="0.3">
      <c r="A3629" t="s">
        <v>1818</v>
      </c>
      <c r="F3629" t="str">
        <f t="shared" ref="F3629" si="3621">A3629</f>
        <v>CTACAT</v>
      </c>
    </row>
    <row r="3630" spans="1:6" x14ac:dyDescent="0.3">
      <c r="A3630" t="s">
        <v>5915</v>
      </c>
      <c r="F3630" t="str">
        <f t="shared" ref="F3630" si="3622">LEFT(A3630, LEN(A3630) - 1)</f>
        <v>&gt;1813:CTACCA:22.00:50.00:OK:6:1736.19</v>
      </c>
    </row>
    <row r="3631" spans="1:6" x14ac:dyDescent="0.3">
      <c r="A3631" t="s">
        <v>1819</v>
      </c>
      <c r="F3631" t="str">
        <f t="shared" ref="F3631" si="3623">A3631</f>
        <v>CTACCA</v>
      </c>
    </row>
    <row r="3632" spans="1:6" x14ac:dyDescent="0.3">
      <c r="A3632" t="s">
        <v>5916</v>
      </c>
      <c r="F3632" t="str">
        <f t="shared" ref="F3632" si="3624">LEFT(A3632, LEN(A3632) - 1)</f>
        <v>&gt;1814:CTACCC:20.00:66.67:Warning:6:1712.16</v>
      </c>
    </row>
    <row r="3633" spans="1:6" x14ac:dyDescent="0.3">
      <c r="A3633" t="s">
        <v>1820</v>
      </c>
      <c r="F3633" t="str">
        <f t="shared" ref="F3633" si="3625">A3633</f>
        <v>CTACCC</v>
      </c>
    </row>
    <row r="3634" spans="1:6" x14ac:dyDescent="0.3">
      <c r="A3634" t="s">
        <v>5917</v>
      </c>
      <c r="F3634" t="str">
        <f t="shared" ref="F3634" si="3626">LEFT(A3634, LEN(A3634) - 1)</f>
        <v>&gt;1815:CTACCG:20.00:66.67:Warning:6:1752.19</v>
      </c>
    </row>
    <row r="3635" spans="1:6" x14ac:dyDescent="0.3">
      <c r="A3635" t="s">
        <v>1821</v>
      </c>
      <c r="F3635" t="str">
        <f t="shared" ref="F3635" si="3627">A3635</f>
        <v>CTACCG</v>
      </c>
    </row>
    <row r="3636" spans="1:6" x14ac:dyDescent="0.3">
      <c r="A3636" t="s">
        <v>5918</v>
      </c>
      <c r="F3636" t="str">
        <f t="shared" ref="F3636" si="3628">LEFT(A3636, LEN(A3636) - 1)</f>
        <v>&gt;1816:CTACCT:14.00:50.00:OK:6:1727.17</v>
      </c>
    </row>
    <row r="3637" spans="1:6" x14ac:dyDescent="0.3">
      <c r="A3637" t="s">
        <v>1822</v>
      </c>
      <c r="F3637" t="str">
        <f t="shared" ref="F3637" si="3629">A3637</f>
        <v>CTACCT</v>
      </c>
    </row>
    <row r="3638" spans="1:6" x14ac:dyDescent="0.3">
      <c r="A3638" t="s">
        <v>5919</v>
      </c>
      <c r="F3638" t="str">
        <f t="shared" ref="F3638" si="3630">LEFT(A3638, LEN(A3638) - 1)</f>
        <v>&gt;1817:CTACGA:22.00:50.00:OK:6:1776.22</v>
      </c>
    </row>
    <row r="3639" spans="1:6" x14ac:dyDescent="0.3">
      <c r="A3639" t="s">
        <v>1823</v>
      </c>
      <c r="F3639" t="str">
        <f t="shared" ref="F3639" si="3631">A3639</f>
        <v>CTACGA</v>
      </c>
    </row>
    <row r="3640" spans="1:6" x14ac:dyDescent="0.3">
      <c r="A3640" t="s">
        <v>5920</v>
      </c>
      <c r="F3640" t="str">
        <f t="shared" ref="F3640" si="3632">LEFT(A3640, LEN(A3640) - 1)</f>
        <v>&gt;1818:CTACGC:20.00:66.67:Warning:6:1752.19</v>
      </c>
    </row>
    <row r="3641" spans="1:6" x14ac:dyDescent="0.3">
      <c r="A3641" t="s">
        <v>1824</v>
      </c>
      <c r="F3641" t="str">
        <f t="shared" ref="F3641" si="3633">A3641</f>
        <v>CTACGC</v>
      </c>
    </row>
    <row r="3642" spans="1:6" x14ac:dyDescent="0.3">
      <c r="A3642" t="s">
        <v>5921</v>
      </c>
      <c r="F3642" t="str">
        <f t="shared" ref="F3642" si="3634">LEFT(A3642, LEN(A3642) - 1)</f>
        <v>&gt;1819:CTACGG:20.00:66.67:Warning:6:1792.22</v>
      </c>
    </row>
    <row r="3643" spans="1:6" x14ac:dyDescent="0.3">
      <c r="A3643" t="s">
        <v>1825</v>
      </c>
      <c r="F3643" t="str">
        <f t="shared" ref="F3643" si="3635">A3643</f>
        <v>CTACGG</v>
      </c>
    </row>
    <row r="3644" spans="1:6" x14ac:dyDescent="0.3">
      <c r="A3644" t="s">
        <v>5922</v>
      </c>
      <c r="F3644" t="str">
        <f t="shared" ref="F3644" si="3636">LEFT(A3644, LEN(A3644) - 1)</f>
        <v>&gt;1820:CTACGT:14.00:50.00:OK:6:1767.20</v>
      </c>
    </row>
    <row r="3645" spans="1:6" x14ac:dyDescent="0.3">
      <c r="A3645" t="s">
        <v>1826</v>
      </c>
      <c r="F3645" t="str">
        <f t="shared" ref="F3645" si="3637">A3645</f>
        <v>CTACGT</v>
      </c>
    </row>
    <row r="3646" spans="1:6" x14ac:dyDescent="0.3">
      <c r="A3646" t="s">
        <v>5923</v>
      </c>
      <c r="F3646" t="str">
        <f t="shared" ref="F3646" si="3638">LEFT(A3646, LEN(A3646) - 1)</f>
        <v>&gt;1821:CTACTA:16.00:33.33:OK:6:1751.20</v>
      </c>
    </row>
    <row r="3647" spans="1:6" x14ac:dyDescent="0.3">
      <c r="A3647" t="s">
        <v>1827</v>
      </c>
      <c r="F3647" t="str">
        <f t="shared" ref="F3647" si="3639">A3647</f>
        <v>CTACTA</v>
      </c>
    </row>
    <row r="3648" spans="1:6" x14ac:dyDescent="0.3">
      <c r="A3648" t="s">
        <v>5924</v>
      </c>
      <c r="F3648" t="str">
        <f t="shared" ref="F3648" si="3640">LEFT(A3648, LEN(A3648) - 1)</f>
        <v>&gt;1822:CTACTC:14.00:50.00:OK:6:1727.17</v>
      </c>
    </row>
    <row r="3649" spans="1:6" x14ac:dyDescent="0.3">
      <c r="A3649" t="s">
        <v>1828</v>
      </c>
      <c r="F3649" t="str">
        <f t="shared" ref="F3649" si="3641">A3649</f>
        <v>CTACTC</v>
      </c>
    </row>
    <row r="3650" spans="1:6" x14ac:dyDescent="0.3">
      <c r="A3650" t="s">
        <v>5925</v>
      </c>
      <c r="F3650" t="str">
        <f t="shared" ref="F3650" si="3642">LEFT(A3650, LEN(A3650) - 1)</f>
        <v>&gt;1823:CTACTG:14.00:50.00:OK:6:1767.20</v>
      </c>
    </row>
    <row r="3651" spans="1:6" x14ac:dyDescent="0.3">
      <c r="A3651" t="s">
        <v>1829</v>
      </c>
      <c r="F3651" t="str">
        <f t="shared" ref="F3651" si="3643">A3651</f>
        <v>CTACTG</v>
      </c>
    </row>
    <row r="3652" spans="1:6" x14ac:dyDescent="0.3">
      <c r="A3652" t="s">
        <v>5926</v>
      </c>
      <c r="F3652" t="str">
        <f t="shared" ref="F3652" si="3644">LEFT(A3652, LEN(A3652) - 1)</f>
        <v>&gt;1824:CTACTT:8.00:33.33:OK:6:1742.18</v>
      </c>
    </row>
    <row r="3653" spans="1:6" x14ac:dyDescent="0.3">
      <c r="A3653" t="s">
        <v>1830</v>
      </c>
      <c r="F3653" t="str">
        <f t="shared" ref="F3653" si="3645">A3653</f>
        <v>CTACTT</v>
      </c>
    </row>
    <row r="3654" spans="1:6" x14ac:dyDescent="0.3">
      <c r="A3654" t="s">
        <v>5927</v>
      </c>
      <c r="F3654" t="str">
        <f t="shared" ref="F3654" si="3646">LEFT(A3654, LEN(A3654) - 1)</f>
        <v>&gt;1825:CTAGAA:24.00:33.33:OK:6:1800.25</v>
      </c>
    </row>
    <row r="3655" spans="1:6" x14ac:dyDescent="0.3">
      <c r="A3655" t="s">
        <v>1831</v>
      </c>
      <c r="F3655" t="str">
        <f t="shared" ref="F3655" si="3647">A3655</f>
        <v>CTAGAA</v>
      </c>
    </row>
    <row r="3656" spans="1:6" x14ac:dyDescent="0.3">
      <c r="A3656" t="s">
        <v>5928</v>
      </c>
      <c r="F3656" t="str">
        <f t="shared" ref="F3656" si="3648">LEFT(A3656, LEN(A3656) - 1)</f>
        <v>&gt;1826:CTAGAC:22.00:50.00:OK:6:1776.22</v>
      </c>
    </row>
    <row r="3657" spans="1:6" x14ac:dyDescent="0.3">
      <c r="A3657" t="s">
        <v>1832</v>
      </c>
      <c r="F3657" t="str">
        <f t="shared" ref="F3657" si="3649">A3657</f>
        <v>CTAGAC</v>
      </c>
    </row>
    <row r="3658" spans="1:6" x14ac:dyDescent="0.3">
      <c r="A3658" t="s">
        <v>5929</v>
      </c>
      <c r="F3658" t="str">
        <f t="shared" ref="F3658" si="3650">LEFT(A3658, LEN(A3658) - 1)</f>
        <v>&gt;1827:CTAGAG:22.00:50.00:OK:6:1816.25</v>
      </c>
    </row>
    <row r="3659" spans="1:6" x14ac:dyDescent="0.3">
      <c r="A3659" t="s">
        <v>1833</v>
      </c>
      <c r="F3659" t="str">
        <f t="shared" ref="F3659" si="3651">A3659</f>
        <v>CTAGAG</v>
      </c>
    </row>
    <row r="3660" spans="1:6" x14ac:dyDescent="0.3">
      <c r="A3660" t="s">
        <v>5930</v>
      </c>
      <c r="F3660" t="str">
        <f t="shared" ref="F3660" si="3652">LEFT(A3660, LEN(A3660) - 1)</f>
        <v>&gt;1828:CTAGAT:16.00:33.33:OK:6:1791.23</v>
      </c>
    </row>
    <row r="3661" spans="1:6" x14ac:dyDescent="0.3">
      <c r="A3661" t="s">
        <v>1834</v>
      </c>
      <c r="F3661" t="str">
        <f t="shared" ref="F3661" si="3653">A3661</f>
        <v>CTAGAT</v>
      </c>
    </row>
    <row r="3662" spans="1:6" x14ac:dyDescent="0.3">
      <c r="A3662" t="s">
        <v>5931</v>
      </c>
      <c r="F3662" t="str">
        <f t="shared" ref="F3662" si="3654">LEFT(A3662, LEN(A3662) - 1)</f>
        <v>&gt;1829:CTAGCA:22.00:50.00:OK:6:1776.22</v>
      </c>
    </row>
    <row r="3663" spans="1:6" x14ac:dyDescent="0.3">
      <c r="A3663" t="s">
        <v>1835</v>
      </c>
      <c r="F3663" t="str">
        <f t="shared" ref="F3663" si="3655">A3663</f>
        <v>CTAGCA</v>
      </c>
    </row>
    <row r="3664" spans="1:6" x14ac:dyDescent="0.3">
      <c r="A3664" t="s">
        <v>5932</v>
      </c>
      <c r="F3664" t="str">
        <f t="shared" ref="F3664" si="3656">LEFT(A3664, LEN(A3664) - 1)</f>
        <v>&gt;1830:CTAGCC:20.00:66.67:Warning:6:1752.19</v>
      </c>
    </row>
    <row r="3665" spans="1:6" x14ac:dyDescent="0.3">
      <c r="A3665" t="s">
        <v>1836</v>
      </c>
      <c r="F3665" t="str">
        <f t="shared" ref="F3665" si="3657">A3665</f>
        <v>CTAGCC</v>
      </c>
    </row>
    <row r="3666" spans="1:6" x14ac:dyDescent="0.3">
      <c r="A3666" t="s">
        <v>5933</v>
      </c>
      <c r="F3666" t="str">
        <f t="shared" ref="F3666" si="3658">LEFT(A3666, LEN(A3666) - 1)</f>
        <v>&gt;1831:CTAGCG:20.00:66.67:Warning:6:1792.22</v>
      </c>
    </row>
    <row r="3667" spans="1:6" x14ac:dyDescent="0.3">
      <c r="A3667" t="s">
        <v>1837</v>
      </c>
      <c r="F3667" t="str">
        <f t="shared" ref="F3667" si="3659">A3667</f>
        <v>CTAGCG</v>
      </c>
    </row>
    <row r="3668" spans="1:6" x14ac:dyDescent="0.3">
      <c r="A3668" t="s">
        <v>5934</v>
      </c>
      <c r="F3668" t="str">
        <f t="shared" ref="F3668" si="3660">LEFT(A3668, LEN(A3668) - 1)</f>
        <v>&gt;1832:CTAGCT:14.00:50.00:OK:6:1767.20</v>
      </c>
    </row>
    <row r="3669" spans="1:6" x14ac:dyDescent="0.3">
      <c r="A3669" t="s">
        <v>1838</v>
      </c>
      <c r="F3669" t="str">
        <f t="shared" ref="F3669" si="3661">A3669</f>
        <v>CTAGCT</v>
      </c>
    </row>
    <row r="3670" spans="1:6" x14ac:dyDescent="0.3">
      <c r="A3670" t="s">
        <v>5935</v>
      </c>
      <c r="F3670" t="str">
        <f t="shared" ref="F3670" si="3662">LEFT(A3670, LEN(A3670) - 1)</f>
        <v>&gt;1833:CTAGGA:22.00:50.00:OK:6:1816.25</v>
      </c>
    </row>
    <row r="3671" spans="1:6" x14ac:dyDescent="0.3">
      <c r="A3671" t="s">
        <v>1839</v>
      </c>
      <c r="F3671" t="str">
        <f t="shared" ref="F3671" si="3663">A3671</f>
        <v>CTAGGA</v>
      </c>
    </row>
    <row r="3672" spans="1:6" x14ac:dyDescent="0.3">
      <c r="A3672" t="s">
        <v>5936</v>
      </c>
      <c r="F3672" t="str">
        <f t="shared" ref="F3672" si="3664">LEFT(A3672, LEN(A3672) - 1)</f>
        <v>&gt;1834:CTAGGC:20.00:66.67:Warning:6:1792.22</v>
      </c>
    </row>
    <row r="3673" spans="1:6" x14ac:dyDescent="0.3">
      <c r="A3673" t="s">
        <v>1840</v>
      </c>
      <c r="F3673" t="str">
        <f t="shared" ref="F3673" si="3665">A3673</f>
        <v>CTAGGC</v>
      </c>
    </row>
    <row r="3674" spans="1:6" x14ac:dyDescent="0.3">
      <c r="A3674" t="s">
        <v>5937</v>
      </c>
      <c r="F3674" t="str">
        <f t="shared" ref="F3674" si="3666">LEFT(A3674, LEN(A3674) - 1)</f>
        <v>&gt;1835:CTAGGG:20.00:66.67:Warning:6:1832.25</v>
      </c>
    </row>
    <row r="3675" spans="1:6" x14ac:dyDescent="0.3">
      <c r="A3675" t="s">
        <v>1841</v>
      </c>
      <c r="F3675" t="str">
        <f t="shared" ref="F3675" si="3667">A3675</f>
        <v>CTAGGG</v>
      </c>
    </row>
    <row r="3676" spans="1:6" x14ac:dyDescent="0.3">
      <c r="A3676" t="s">
        <v>5938</v>
      </c>
      <c r="F3676" t="str">
        <f t="shared" ref="F3676" si="3668">LEFT(A3676, LEN(A3676) - 1)</f>
        <v>&gt;1836:CTAGGT:14.00:50.00:OK:6:1807.23</v>
      </c>
    </row>
    <row r="3677" spans="1:6" x14ac:dyDescent="0.3">
      <c r="A3677" t="s">
        <v>1842</v>
      </c>
      <c r="F3677" t="str">
        <f t="shared" ref="F3677" si="3669">A3677</f>
        <v>CTAGGT</v>
      </c>
    </row>
    <row r="3678" spans="1:6" x14ac:dyDescent="0.3">
      <c r="A3678" t="s">
        <v>5939</v>
      </c>
      <c r="F3678" t="str">
        <f t="shared" ref="F3678" si="3670">LEFT(A3678, LEN(A3678) - 1)</f>
        <v>&gt;1837:CTAGTA:16.00:33.33:OK:6:1791.23</v>
      </c>
    </row>
    <row r="3679" spans="1:6" x14ac:dyDescent="0.3">
      <c r="A3679" t="s">
        <v>1843</v>
      </c>
      <c r="F3679" t="str">
        <f t="shared" ref="F3679" si="3671">A3679</f>
        <v>CTAGTA</v>
      </c>
    </row>
    <row r="3680" spans="1:6" x14ac:dyDescent="0.3">
      <c r="A3680" t="s">
        <v>5940</v>
      </c>
      <c r="F3680" t="str">
        <f t="shared" ref="F3680" si="3672">LEFT(A3680, LEN(A3680) - 1)</f>
        <v>&gt;1838:CTAGTC:14.00:50.00:OK:6:1767.20</v>
      </c>
    </row>
    <row r="3681" spans="1:6" x14ac:dyDescent="0.3">
      <c r="A3681" t="s">
        <v>1844</v>
      </c>
      <c r="F3681" t="str">
        <f t="shared" ref="F3681" si="3673">A3681</f>
        <v>CTAGTC</v>
      </c>
    </row>
    <row r="3682" spans="1:6" x14ac:dyDescent="0.3">
      <c r="A3682" t="s">
        <v>5941</v>
      </c>
      <c r="F3682" t="str">
        <f t="shared" ref="F3682" si="3674">LEFT(A3682, LEN(A3682) - 1)</f>
        <v>&gt;1839:CTAGTG:14.00:50.00:OK:6:1807.23</v>
      </c>
    </row>
    <row r="3683" spans="1:6" x14ac:dyDescent="0.3">
      <c r="A3683" t="s">
        <v>1845</v>
      </c>
      <c r="F3683" t="str">
        <f t="shared" ref="F3683" si="3675">A3683</f>
        <v>CTAGTG</v>
      </c>
    </row>
    <row r="3684" spans="1:6" x14ac:dyDescent="0.3">
      <c r="A3684" t="s">
        <v>5942</v>
      </c>
      <c r="F3684" t="str">
        <f t="shared" ref="F3684" si="3676">LEFT(A3684, LEN(A3684) - 1)</f>
        <v>&gt;1840:CTAGTT:8.00:33.33:OK:6:1782.21</v>
      </c>
    </row>
    <row r="3685" spans="1:6" x14ac:dyDescent="0.3">
      <c r="A3685" t="s">
        <v>1846</v>
      </c>
      <c r="F3685" t="str">
        <f t="shared" ref="F3685" si="3677">A3685</f>
        <v>CTAGTT</v>
      </c>
    </row>
    <row r="3686" spans="1:6" x14ac:dyDescent="0.3">
      <c r="A3686" t="s">
        <v>5943</v>
      </c>
      <c r="F3686" t="str">
        <f t="shared" ref="F3686" si="3678">LEFT(A3686, LEN(A3686) - 1)</f>
        <v>&gt;1841:CTATAA:18.00:16.67:OK:6:1775.23</v>
      </c>
    </row>
    <row r="3687" spans="1:6" x14ac:dyDescent="0.3">
      <c r="A3687" t="s">
        <v>1847</v>
      </c>
      <c r="F3687" t="str">
        <f t="shared" ref="F3687" si="3679">A3687</f>
        <v>CTATAA</v>
      </c>
    </row>
    <row r="3688" spans="1:6" x14ac:dyDescent="0.3">
      <c r="A3688" t="s">
        <v>5944</v>
      </c>
      <c r="F3688" t="str">
        <f t="shared" ref="F3688" si="3680">LEFT(A3688, LEN(A3688) - 1)</f>
        <v>&gt;1842:CTATAC:16.00:33.33:OK:6:1751.20</v>
      </c>
    </row>
    <row r="3689" spans="1:6" x14ac:dyDescent="0.3">
      <c r="A3689" t="s">
        <v>1848</v>
      </c>
      <c r="F3689" t="str">
        <f t="shared" ref="F3689" si="3681">A3689</f>
        <v>CTATAC</v>
      </c>
    </row>
    <row r="3690" spans="1:6" x14ac:dyDescent="0.3">
      <c r="A3690" t="s">
        <v>5945</v>
      </c>
      <c r="F3690" t="str">
        <f t="shared" ref="F3690" si="3682">LEFT(A3690, LEN(A3690) - 1)</f>
        <v>&gt;1843:CTATAG:16.00:33.33:OK:6:1791.23</v>
      </c>
    </row>
    <row r="3691" spans="1:6" x14ac:dyDescent="0.3">
      <c r="A3691" t="s">
        <v>1849</v>
      </c>
      <c r="F3691" t="str">
        <f t="shared" ref="F3691" si="3683">A3691</f>
        <v>CTATAG</v>
      </c>
    </row>
    <row r="3692" spans="1:6" x14ac:dyDescent="0.3">
      <c r="A3692" t="s">
        <v>5946</v>
      </c>
      <c r="F3692" t="str">
        <f t="shared" ref="F3692" si="3684">LEFT(A3692, LEN(A3692) - 1)</f>
        <v>&gt;1844:CTATAT:10.00:16.67:OK:6:1766.21</v>
      </c>
    </row>
    <row r="3693" spans="1:6" x14ac:dyDescent="0.3">
      <c r="A3693" t="s">
        <v>1850</v>
      </c>
      <c r="F3693" t="str">
        <f t="shared" ref="F3693" si="3685">A3693</f>
        <v>CTATAT</v>
      </c>
    </row>
    <row r="3694" spans="1:6" x14ac:dyDescent="0.3">
      <c r="A3694" t="s">
        <v>5947</v>
      </c>
      <c r="F3694" t="str">
        <f t="shared" ref="F3694" si="3686">LEFT(A3694, LEN(A3694) - 1)</f>
        <v>&gt;1845:CTATCA:16.00:33.33:OK:6:1751.20</v>
      </c>
    </row>
    <row r="3695" spans="1:6" x14ac:dyDescent="0.3">
      <c r="A3695" t="s">
        <v>1851</v>
      </c>
      <c r="F3695" t="str">
        <f t="shared" ref="F3695" si="3687">A3695</f>
        <v>CTATCA</v>
      </c>
    </row>
    <row r="3696" spans="1:6" x14ac:dyDescent="0.3">
      <c r="A3696" t="s">
        <v>5948</v>
      </c>
      <c r="F3696" t="str">
        <f t="shared" ref="F3696" si="3688">LEFT(A3696, LEN(A3696) - 1)</f>
        <v>&gt;1846:CTATCC:14.00:50.00:OK:6:1727.17</v>
      </c>
    </row>
    <row r="3697" spans="1:6" x14ac:dyDescent="0.3">
      <c r="A3697" t="s">
        <v>1852</v>
      </c>
      <c r="F3697" t="str">
        <f t="shared" ref="F3697" si="3689">A3697</f>
        <v>CTATCC</v>
      </c>
    </row>
    <row r="3698" spans="1:6" x14ac:dyDescent="0.3">
      <c r="A3698" t="s">
        <v>5949</v>
      </c>
      <c r="F3698" t="str">
        <f t="shared" ref="F3698" si="3690">LEFT(A3698, LEN(A3698) - 1)</f>
        <v>&gt;1847:CTATCG:14.00:50.00:OK:6:1767.20</v>
      </c>
    </row>
    <row r="3699" spans="1:6" x14ac:dyDescent="0.3">
      <c r="A3699" t="s">
        <v>1853</v>
      </c>
      <c r="F3699" t="str">
        <f t="shared" ref="F3699" si="3691">A3699</f>
        <v>CTATCG</v>
      </c>
    </row>
    <row r="3700" spans="1:6" x14ac:dyDescent="0.3">
      <c r="A3700" t="s">
        <v>5950</v>
      </c>
      <c r="F3700" t="str">
        <f t="shared" ref="F3700" si="3692">LEFT(A3700, LEN(A3700) - 1)</f>
        <v>&gt;1848:CTATCT:8.00:33.33:OK:6:1742.18</v>
      </c>
    </row>
    <row r="3701" spans="1:6" x14ac:dyDescent="0.3">
      <c r="A3701" t="s">
        <v>1854</v>
      </c>
      <c r="F3701" t="str">
        <f t="shared" ref="F3701" si="3693">A3701</f>
        <v>CTATCT</v>
      </c>
    </row>
    <row r="3702" spans="1:6" x14ac:dyDescent="0.3">
      <c r="A3702" t="s">
        <v>5951</v>
      </c>
      <c r="F3702" t="str">
        <f t="shared" ref="F3702" si="3694">LEFT(A3702, LEN(A3702) - 1)</f>
        <v>&gt;1849:CTATGA:16.00:33.33:OK:6:1791.23</v>
      </c>
    </row>
    <row r="3703" spans="1:6" x14ac:dyDescent="0.3">
      <c r="A3703" t="s">
        <v>1855</v>
      </c>
      <c r="F3703" t="str">
        <f t="shared" ref="F3703" si="3695">A3703</f>
        <v>CTATGA</v>
      </c>
    </row>
    <row r="3704" spans="1:6" x14ac:dyDescent="0.3">
      <c r="A3704" t="s">
        <v>5952</v>
      </c>
      <c r="F3704" t="str">
        <f t="shared" ref="F3704" si="3696">LEFT(A3704, LEN(A3704) - 1)</f>
        <v>&gt;1850:CTATGC:14.00:50.00:OK:6:1767.20</v>
      </c>
    </row>
    <row r="3705" spans="1:6" x14ac:dyDescent="0.3">
      <c r="A3705" t="s">
        <v>1856</v>
      </c>
      <c r="F3705" t="str">
        <f t="shared" ref="F3705" si="3697">A3705</f>
        <v>CTATGC</v>
      </c>
    </row>
    <row r="3706" spans="1:6" x14ac:dyDescent="0.3">
      <c r="A3706" t="s">
        <v>5953</v>
      </c>
      <c r="F3706" t="str">
        <f t="shared" ref="F3706" si="3698">LEFT(A3706, LEN(A3706) - 1)</f>
        <v>&gt;1851:CTATGG:14.00:50.00:OK:6:1807.23</v>
      </c>
    </row>
    <row r="3707" spans="1:6" x14ac:dyDescent="0.3">
      <c r="A3707" t="s">
        <v>1857</v>
      </c>
      <c r="F3707" t="str">
        <f t="shared" ref="F3707" si="3699">A3707</f>
        <v>CTATGG</v>
      </c>
    </row>
    <row r="3708" spans="1:6" x14ac:dyDescent="0.3">
      <c r="A3708" t="s">
        <v>5954</v>
      </c>
      <c r="F3708" t="str">
        <f t="shared" ref="F3708" si="3700">LEFT(A3708, LEN(A3708) - 1)</f>
        <v>&gt;1852:CTATGT:8.00:33.33:OK:6:1782.21</v>
      </c>
    </row>
    <row r="3709" spans="1:6" x14ac:dyDescent="0.3">
      <c r="A3709" t="s">
        <v>1858</v>
      </c>
      <c r="F3709" t="str">
        <f t="shared" ref="F3709" si="3701">A3709</f>
        <v>CTATGT</v>
      </c>
    </row>
    <row r="3710" spans="1:6" x14ac:dyDescent="0.3">
      <c r="A3710" t="s">
        <v>5955</v>
      </c>
      <c r="F3710" t="str">
        <f t="shared" ref="F3710" si="3702">LEFT(A3710, LEN(A3710) - 1)</f>
        <v>&gt;1853:CTATTA:10.00:16.67:OK:6:1766.21</v>
      </c>
    </row>
    <row r="3711" spans="1:6" x14ac:dyDescent="0.3">
      <c r="A3711" t="s">
        <v>1859</v>
      </c>
      <c r="F3711" t="str">
        <f t="shared" ref="F3711" si="3703">A3711</f>
        <v>CTATTA</v>
      </c>
    </row>
    <row r="3712" spans="1:6" x14ac:dyDescent="0.3">
      <c r="A3712" t="s">
        <v>5956</v>
      </c>
      <c r="F3712" t="str">
        <f t="shared" ref="F3712" si="3704">LEFT(A3712, LEN(A3712) - 1)</f>
        <v>&gt;1854:CTATTC:8.00:33.33:OK:6:1742.18</v>
      </c>
    </row>
    <row r="3713" spans="1:6" x14ac:dyDescent="0.3">
      <c r="A3713" t="s">
        <v>1860</v>
      </c>
      <c r="F3713" t="str">
        <f t="shared" ref="F3713" si="3705">A3713</f>
        <v>CTATTC</v>
      </c>
    </row>
    <row r="3714" spans="1:6" x14ac:dyDescent="0.3">
      <c r="A3714" t="s">
        <v>5957</v>
      </c>
      <c r="F3714" t="str">
        <f t="shared" ref="F3714" si="3706">LEFT(A3714, LEN(A3714) - 1)</f>
        <v>&gt;1855:CTATTG:8.00:33.33:OK:6:1782.21</v>
      </c>
    </row>
    <row r="3715" spans="1:6" x14ac:dyDescent="0.3">
      <c r="A3715" t="s">
        <v>1861</v>
      </c>
      <c r="F3715" t="str">
        <f t="shared" ref="F3715" si="3707">A3715</f>
        <v>CTATTG</v>
      </c>
    </row>
    <row r="3716" spans="1:6" x14ac:dyDescent="0.3">
      <c r="A3716" t="s">
        <v>5958</v>
      </c>
      <c r="F3716" t="str">
        <f t="shared" ref="F3716" si="3708">LEFT(A3716, LEN(A3716) - 1)</f>
        <v>&gt;1856:CTATTT:2.00:16.67:OK:6:1757.19</v>
      </c>
    </row>
    <row r="3717" spans="1:6" x14ac:dyDescent="0.3">
      <c r="A3717" t="s">
        <v>1862</v>
      </c>
      <c r="F3717" t="str">
        <f t="shared" ref="F3717" si="3709">A3717</f>
        <v>CTATTT</v>
      </c>
    </row>
    <row r="3718" spans="1:6" x14ac:dyDescent="0.3">
      <c r="A3718" t="s">
        <v>5959</v>
      </c>
      <c r="F3718" t="str">
        <f t="shared" ref="F3718" si="3710">LEFT(A3718, LEN(A3718) - 1)</f>
        <v>&gt;1857:CTCAAA:24.00:33.33:OK:6:1760.22</v>
      </c>
    </row>
    <row r="3719" spans="1:6" x14ac:dyDescent="0.3">
      <c r="A3719" t="s">
        <v>1863</v>
      </c>
      <c r="F3719" t="str">
        <f t="shared" ref="F3719" si="3711">A3719</f>
        <v>CTCAAA</v>
      </c>
    </row>
    <row r="3720" spans="1:6" x14ac:dyDescent="0.3">
      <c r="A3720" t="s">
        <v>5960</v>
      </c>
      <c r="F3720" t="str">
        <f t="shared" ref="F3720" si="3712">LEFT(A3720, LEN(A3720) - 1)</f>
        <v>&gt;1858:CTCAAC:22.00:50.00:OK:6:1736.19</v>
      </c>
    </row>
    <row r="3721" spans="1:6" x14ac:dyDescent="0.3">
      <c r="A3721" t="s">
        <v>1864</v>
      </c>
      <c r="F3721" t="str">
        <f t="shared" ref="F3721" si="3713">A3721</f>
        <v>CTCAAC</v>
      </c>
    </row>
    <row r="3722" spans="1:6" x14ac:dyDescent="0.3">
      <c r="A3722" t="s">
        <v>5961</v>
      </c>
      <c r="F3722" t="str">
        <f t="shared" ref="F3722" si="3714">LEFT(A3722, LEN(A3722) - 1)</f>
        <v>&gt;1859:CTCAAG:22.00:50.00:OK:6:1776.22</v>
      </c>
    </row>
    <row r="3723" spans="1:6" x14ac:dyDescent="0.3">
      <c r="A3723" t="s">
        <v>1865</v>
      </c>
      <c r="F3723" t="str">
        <f t="shared" ref="F3723" si="3715">A3723</f>
        <v>CTCAAG</v>
      </c>
    </row>
    <row r="3724" spans="1:6" x14ac:dyDescent="0.3">
      <c r="A3724" t="s">
        <v>5962</v>
      </c>
      <c r="F3724" t="str">
        <f t="shared" ref="F3724" si="3716">LEFT(A3724, LEN(A3724) - 1)</f>
        <v>&gt;1860:CTCAAT:16.00:33.33:OK:6:1751.20</v>
      </c>
    </row>
    <row r="3725" spans="1:6" x14ac:dyDescent="0.3">
      <c r="A3725" t="s">
        <v>1866</v>
      </c>
      <c r="F3725" t="str">
        <f t="shared" ref="F3725" si="3717">A3725</f>
        <v>CTCAAT</v>
      </c>
    </row>
    <row r="3726" spans="1:6" x14ac:dyDescent="0.3">
      <c r="A3726" t="s">
        <v>5963</v>
      </c>
      <c r="F3726" t="str">
        <f t="shared" ref="F3726" si="3718">LEFT(A3726, LEN(A3726) - 1)</f>
        <v>&gt;1861:CTCACA:22.00:50.00:OK:6:1736.19</v>
      </c>
    </row>
    <row r="3727" spans="1:6" x14ac:dyDescent="0.3">
      <c r="A3727" t="s">
        <v>1867</v>
      </c>
      <c r="F3727" t="str">
        <f t="shared" ref="F3727" si="3719">A3727</f>
        <v>CTCACA</v>
      </c>
    </row>
    <row r="3728" spans="1:6" x14ac:dyDescent="0.3">
      <c r="A3728" t="s">
        <v>5964</v>
      </c>
      <c r="F3728" t="str">
        <f t="shared" ref="F3728" si="3720">LEFT(A3728, LEN(A3728) - 1)</f>
        <v>&gt;1862:CTCACC:20.00:66.67:Warning:6:1712.16</v>
      </c>
    </row>
    <row r="3729" spans="1:6" x14ac:dyDescent="0.3">
      <c r="A3729" t="s">
        <v>1868</v>
      </c>
      <c r="F3729" t="str">
        <f t="shared" ref="F3729" si="3721">A3729</f>
        <v>CTCACC</v>
      </c>
    </row>
    <row r="3730" spans="1:6" x14ac:dyDescent="0.3">
      <c r="A3730" t="s">
        <v>5965</v>
      </c>
      <c r="F3730" t="str">
        <f t="shared" ref="F3730" si="3722">LEFT(A3730, LEN(A3730) - 1)</f>
        <v>&gt;1863:CTCACG:20.00:66.67:Warning:6:1752.19</v>
      </c>
    </row>
    <row r="3731" spans="1:6" x14ac:dyDescent="0.3">
      <c r="A3731" t="s">
        <v>1869</v>
      </c>
      <c r="F3731" t="str">
        <f t="shared" ref="F3731" si="3723">A3731</f>
        <v>CTCACG</v>
      </c>
    </row>
    <row r="3732" spans="1:6" x14ac:dyDescent="0.3">
      <c r="A3732" t="s">
        <v>5966</v>
      </c>
      <c r="F3732" t="str">
        <f t="shared" ref="F3732" si="3724">LEFT(A3732, LEN(A3732) - 1)</f>
        <v>&gt;1864:CTCACT:14.00:50.00:OK:6:1727.17</v>
      </c>
    </row>
    <row r="3733" spans="1:6" x14ac:dyDescent="0.3">
      <c r="A3733" t="s">
        <v>1870</v>
      </c>
      <c r="F3733" t="str">
        <f t="shared" ref="F3733" si="3725">A3733</f>
        <v>CTCACT</v>
      </c>
    </row>
    <row r="3734" spans="1:6" x14ac:dyDescent="0.3">
      <c r="A3734" t="s">
        <v>5967</v>
      </c>
      <c r="F3734" t="str">
        <f t="shared" ref="F3734" si="3726">LEFT(A3734, LEN(A3734) - 1)</f>
        <v>&gt;1865:CTCAGA:22.00:50.00:OK:6:1776.22</v>
      </c>
    </row>
    <row r="3735" spans="1:6" x14ac:dyDescent="0.3">
      <c r="A3735" t="s">
        <v>1871</v>
      </c>
      <c r="F3735" t="str">
        <f t="shared" ref="F3735" si="3727">A3735</f>
        <v>CTCAGA</v>
      </c>
    </row>
    <row r="3736" spans="1:6" x14ac:dyDescent="0.3">
      <c r="A3736" t="s">
        <v>5968</v>
      </c>
      <c r="F3736" t="str">
        <f t="shared" ref="F3736" si="3728">LEFT(A3736, LEN(A3736) - 1)</f>
        <v>&gt;1866:CTCAGC:20.00:66.67:Warning:6:1752.19</v>
      </c>
    </row>
    <row r="3737" spans="1:6" x14ac:dyDescent="0.3">
      <c r="A3737" t="s">
        <v>1872</v>
      </c>
      <c r="F3737" t="str">
        <f t="shared" ref="F3737" si="3729">A3737</f>
        <v>CTCAGC</v>
      </c>
    </row>
    <row r="3738" spans="1:6" x14ac:dyDescent="0.3">
      <c r="A3738" t="s">
        <v>5969</v>
      </c>
      <c r="F3738" t="str">
        <f t="shared" ref="F3738" si="3730">LEFT(A3738, LEN(A3738) - 1)</f>
        <v>&gt;1867:CTCAGG:20.00:66.67:Warning:6:1792.22</v>
      </c>
    </row>
    <row r="3739" spans="1:6" x14ac:dyDescent="0.3">
      <c r="A3739" t="s">
        <v>1873</v>
      </c>
      <c r="F3739" t="str">
        <f t="shared" ref="F3739" si="3731">A3739</f>
        <v>CTCAGG</v>
      </c>
    </row>
    <row r="3740" spans="1:6" x14ac:dyDescent="0.3">
      <c r="A3740" t="s">
        <v>5970</v>
      </c>
      <c r="F3740" t="str">
        <f t="shared" ref="F3740" si="3732">LEFT(A3740, LEN(A3740) - 1)</f>
        <v>&gt;1868:CTCAGT:14.00:50.00:OK:6:1767.20</v>
      </c>
    </row>
    <row r="3741" spans="1:6" x14ac:dyDescent="0.3">
      <c r="A3741" t="s">
        <v>1874</v>
      </c>
      <c r="F3741" t="str">
        <f t="shared" ref="F3741" si="3733">A3741</f>
        <v>CTCAGT</v>
      </c>
    </row>
    <row r="3742" spans="1:6" x14ac:dyDescent="0.3">
      <c r="A3742" t="s">
        <v>5971</v>
      </c>
      <c r="F3742" t="str">
        <f t="shared" ref="F3742" si="3734">LEFT(A3742, LEN(A3742) - 1)</f>
        <v>&gt;1869:CTCATA:16.00:33.33:OK:6:1751.20</v>
      </c>
    </row>
    <row r="3743" spans="1:6" x14ac:dyDescent="0.3">
      <c r="A3743" t="s">
        <v>1875</v>
      </c>
      <c r="F3743" t="str">
        <f t="shared" ref="F3743" si="3735">A3743</f>
        <v>CTCATA</v>
      </c>
    </row>
    <row r="3744" spans="1:6" x14ac:dyDescent="0.3">
      <c r="A3744" t="s">
        <v>5972</v>
      </c>
      <c r="F3744" t="str">
        <f t="shared" ref="F3744" si="3736">LEFT(A3744, LEN(A3744) - 1)</f>
        <v>&gt;1870:CTCATC:14.00:50.00:OK:6:1727.17</v>
      </c>
    </row>
    <row r="3745" spans="1:6" x14ac:dyDescent="0.3">
      <c r="A3745" t="s">
        <v>1876</v>
      </c>
      <c r="F3745" t="str">
        <f t="shared" ref="F3745" si="3737">A3745</f>
        <v>CTCATC</v>
      </c>
    </row>
    <row r="3746" spans="1:6" x14ac:dyDescent="0.3">
      <c r="A3746" t="s">
        <v>5973</v>
      </c>
      <c r="F3746" t="str">
        <f t="shared" ref="F3746" si="3738">LEFT(A3746, LEN(A3746) - 1)</f>
        <v>&gt;1871:CTCATG:14.00:50.00:OK:6:1767.20</v>
      </c>
    </row>
    <row r="3747" spans="1:6" x14ac:dyDescent="0.3">
      <c r="A3747" t="s">
        <v>1877</v>
      </c>
      <c r="F3747" t="str">
        <f t="shared" ref="F3747" si="3739">A3747</f>
        <v>CTCATG</v>
      </c>
    </row>
    <row r="3748" spans="1:6" x14ac:dyDescent="0.3">
      <c r="A3748" t="s">
        <v>5974</v>
      </c>
      <c r="F3748" t="str">
        <f t="shared" ref="F3748" si="3740">LEFT(A3748, LEN(A3748) - 1)</f>
        <v>&gt;1872:CTCATT:8.00:33.33:OK:6:1742.18</v>
      </c>
    </row>
    <row r="3749" spans="1:6" x14ac:dyDescent="0.3">
      <c r="A3749" t="s">
        <v>1878</v>
      </c>
      <c r="F3749" t="str">
        <f t="shared" ref="F3749" si="3741">A3749</f>
        <v>CTCATT</v>
      </c>
    </row>
    <row r="3750" spans="1:6" x14ac:dyDescent="0.3">
      <c r="A3750" t="s">
        <v>5975</v>
      </c>
      <c r="F3750" t="str">
        <f t="shared" ref="F3750" si="3742">LEFT(A3750, LEN(A3750) - 1)</f>
        <v>&gt;1873:CTCCAA:22.00:50.00:OK:6:1736.19</v>
      </c>
    </row>
    <row r="3751" spans="1:6" x14ac:dyDescent="0.3">
      <c r="A3751" t="s">
        <v>1879</v>
      </c>
      <c r="F3751" t="str">
        <f t="shared" ref="F3751" si="3743">A3751</f>
        <v>CTCCAA</v>
      </c>
    </row>
    <row r="3752" spans="1:6" x14ac:dyDescent="0.3">
      <c r="A3752" t="s">
        <v>5976</v>
      </c>
      <c r="F3752" t="str">
        <f t="shared" ref="F3752" si="3744">LEFT(A3752, LEN(A3752) - 1)</f>
        <v>&gt;1874:CTCCAC:20.00:66.67:Warning:6:1712.16</v>
      </c>
    </row>
    <row r="3753" spans="1:6" x14ac:dyDescent="0.3">
      <c r="A3753" t="s">
        <v>1880</v>
      </c>
      <c r="F3753" t="str">
        <f t="shared" ref="F3753" si="3745">A3753</f>
        <v>CTCCAC</v>
      </c>
    </row>
    <row r="3754" spans="1:6" x14ac:dyDescent="0.3">
      <c r="A3754" t="s">
        <v>5977</v>
      </c>
      <c r="F3754" t="str">
        <f t="shared" ref="F3754" si="3746">LEFT(A3754, LEN(A3754) - 1)</f>
        <v>&gt;1875:CTCCAG:20.00:66.67:Warning:6:1752.19</v>
      </c>
    </row>
    <row r="3755" spans="1:6" x14ac:dyDescent="0.3">
      <c r="A3755" t="s">
        <v>1881</v>
      </c>
      <c r="F3755" t="str">
        <f t="shared" ref="F3755" si="3747">A3755</f>
        <v>CTCCAG</v>
      </c>
    </row>
    <row r="3756" spans="1:6" x14ac:dyDescent="0.3">
      <c r="A3756" t="s">
        <v>5978</v>
      </c>
      <c r="F3756" t="str">
        <f t="shared" ref="F3756" si="3748">LEFT(A3756, LEN(A3756) - 1)</f>
        <v>&gt;1876:CTCCAT:14.00:50.00:OK:6:1727.17</v>
      </c>
    </row>
    <row r="3757" spans="1:6" x14ac:dyDescent="0.3">
      <c r="A3757" t="s">
        <v>1882</v>
      </c>
      <c r="F3757" t="str">
        <f t="shared" ref="F3757" si="3749">A3757</f>
        <v>CTCCAT</v>
      </c>
    </row>
    <row r="3758" spans="1:6" x14ac:dyDescent="0.3">
      <c r="A3758" t="s">
        <v>5979</v>
      </c>
      <c r="F3758" t="str">
        <f t="shared" ref="F3758" si="3750">LEFT(A3758, LEN(A3758) - 1)</f>
        <v>&gt;1877:CTCCCA:20.00:66.67:Warning:6:1712.16</v>
      </c>
    </row>
    <row r="3759" spans="1:6" x14ac:dyDescent="0.3">
      <c r="A3759" t="s">
        <v>1883</v>
      </c>
      <c r="F3759" t="str">
        <f t="shared" ref="F3759" si="3751">A3759</f>
        <v>CTCCCA</v>
      </c>
    </row>
    <row r="3760" spans="1:6" x14ac:dyDescent="0.3">
      <c r="A3760" t="s">
        <v>5980</v>
      </c>
      <c r="F3760" t="str">
        <f t="shared" ref="F3760" si="3752">LEFT(A3760, LEN(A3760) - 1)</f>
        <v>&gt;1878:CTCCCC:18.00:83.33:Warning:6:1688.13</v>
      </c>
    </row>
    <row r="3761" spans="1:6" x14ac:dyDescent="0.3">
      <c r="A3761" t="s">
        <v>1884</v>
      </c>
      <c r="F3761" t="str">
        <f t="shared" ref="F3761" si="3753">A3761</f>
        <v>CTCCCC</v>
      </c>
    </row>
    <row r="3762" spans="1:6" x14ac:dyDescent="0.3">
      <c r="A3762" t="s">
        <v>5981</v>
      </c>
      <c r="F3762" t="str">
        <f t="shared" ref="F3762" si="3754">LEFT(A3762, LEN(A3762) - 1)</f>
        <v>&gt;1879:CTCCCG:18.00:83.33:Warning:6:1728.16</v>
      </c>
    </row>
    <row r="3763" spans="1:6" x14ac:dyDescent="0.3">
      <c r="A3763" t="s">
        <v>1885</v>
      </c>
      <c r="F3763" t="str">
        <f t="shared" ref="F3763" si="3755">A3763</f>
        <v>CTCCCG</v>
      </c>
    </row>
    <row r="3764" spans="1:6" x14ac:dyDescent="0.3">
      <c r="A3764" t="s">
        <v>5982</v>
      </c>
      <c r="F3764" t="str">
        <f t="shared" ref="F3764" si="3756">LEFT(A3764, LEN(A3764) - 1)</f>
        <v>&gt;1880:CTCCCT:12.00:66.67:Warning:6:1703.14</v>
      </c>
    </row>
    <row r="3765" spans="1:6" x14ac:dyDescent="0.3">
      <c r="A3765" t="s">
        <v>1886</v>
      </c>
      <c r="F3765" t="str">
        <f t="shared" ref="F3765" si="3757">A3765</f>
        <v>CTCCCT</v>
      </c>
    </row>
    <row r="3766" spans="1:6" x14ac:dyDescent="0.3">
      <c r="A3766" t="s">
        <v>5983</v>
      </c>
      <c r="F3766" t="str">
        <f t="shared" ref="F3766" si="3758">LEFT(A3766, LEN(A3766) - 1)</f>
        <v>&gt;1881:CTCCGA:20.00:66.67:Warning:6:1752.19</v>
      </c>
    </row>
    <row r="3767" spans="1:6" x14ac:dyDescent="0.3">
      <c r="A3767" t="s">
        <v>1887</v>
      </c>
      <c r="F3767" t="str">
        <f t="shared" ref="F3767" si="3759">A3767</f>
        <v>CTCCGA</v>
      </c>
    </row>
    <row r="3768" spans="1:6" x14ac:dyDescent="0.3">
      <c r="A3768" t="s">
        <v>5984</v>
      </c>
      <c r="F3768" t="str">
        <f t="shared" ref="F3768" si="3760">LEFT(A3768, LEN(A3768) - 1)</f>
        <v>&gt;1882:CTCCGC:18.00:83.33:Warning:6:1728.16</v>
      </c>
    </row>
    <row r="3769" spans="1:6" x14ac:dyDescent="0.3">
      <c r="A3769" t="s">
        <v>1888</v>
      </c>
      <c r="F3769" t="str">
        <f t="shared" ref="F3769" si="3761">A3769</f>
        <v>CTCCGC</v>
      </c>
    </row>
    <row r="3770" spans="1:6" x14ac:dyDescent="0.3">
      <c r="A3770" t="s">
        <v>5985</v>
      </c>
      <c r="F3770" t="str">
        <f t="shared" ref="F3770" si="3762">LEFT(A3770, LEN(A3770) - 1)</f>
        <v>&gt;1883:CTCCGG:18.00:83.33:Warning:6:1768.19</v>
      </c>
    </row>
    <row r="3771" spans="1:6" x14ac:dyDescent="0.3">
      <c r="A3771" t="s">
        <v>1889</v>
      </c>
      <c r="F3771" t="str">
        <f t="shared" ref="F3771" si="3763">A3771</f>
        <v>CTCCGG</v>
      </c>
    </row>
    <row r="3772" spans="1:6" x14ac:dyDescent="0.3">
      <c r="A3772" t="s">
        <v>5986</v>
      </c>
      <c r="F3772" t="str">
        <f t="shared" ref="F3772" si="3764">LEFT(A3772, LEN(A3772) - 1)</f>
        <v>&gt;1884:CTCCGT:12.00:66.67:Warning:6:1743.17</v>
      </c>
    </row>
    <row r="3773" spans="1:6" x14ac:dyDescent="0.3">
      <c r="A3773" t="s">
        <v>1890</v>
      </c>
      <c r="F3773" t="str">
        <f t="shared" ref="F3773" si="3765">A3773</f>
        <v>CTCCGT</v>
      </c>
    </row>
    <row r="3774" spans="1:6" x14ac:dyDescent="0.3">
      <c r="A3774" t="s">
        <v>5987</v>
      </c>
      <c r="F3774" t="str">
        <f t="shared" ref="F3774" si="3766">LEFT(A3774, LEN(A3774) - 1)</f>
        <v>&gt;1885:CTCCTA:14.00:50.00:OK:6:1727.17</v>
      </c>
    </row>
    <row r="3775" spans="1:6" x14ac:dyDescent="0.3">
      <c r="A3775" t="s">
        <v>1891</v>
      </c>
      <c r="F3775" t="str">
        <f t="shared" ref="F3775" si="3767">A3775</f>
        <v>CTCCTA</v>
      </c>
    </row>
    <row r="3776" spans="1:6" x14ac:dyDescent="0.3">
      <c r="A3776" t="s">
        <v>5988</v>
      </c>
      <c r="F3776" t="str">
        <f t="shared" ref="F3776" si="3768">LEFT(A3776, LEN(A3776) - 1)</f>
        <v>&gt;1886:CTCCTC:12.00:66.67:Warning:6:1703.14</v>
      </c>
    </row>
    <row r="3777" spans="1:6" x14ac:dyDescent="0.3">
      <c r="A3777" t="s">
        <v>1892</v>
      </c>
      <c r="F3777" t="str">
        <f t="shared" ref="F3777" si="3769">A3777</f>
        <v>CTCCTC</v>
      </c>
    </row>
    <row r="3778" spans="1:6" x14ac:dyDescent="0.3">
      <c r="A3778" t="s">
        <v>5989</v>
      </c>
      <c r="F3778" t="str">
        <f t="shared" ref="F3778" si="3770">LEFT(A3778, LEN(A3778) - 1)</f>
        <v>&gt;1887:CTCCTG:12.00:66.67:Warning:6:1743.17</v>
      </c>
    </row>
    <row r="3779" spans="1:6" x14ac:dyDescent="0.3">
      <c r="A3779" t="s">
        <v>1893</v>
      </c>
      <c r="F3779" t="str">
        <f t="shared" ref="F3779" si="3771">A3779</f>
        <v>CTCCTG</v>
      </c>
    </row>
    <row r="3780" spans="1:6" x14ac:dyDescent="0.3">
      <c r="A3780" t="s">
        <v>5990</v>
      </c>
      <c r="F3780" t="str">
        <f t="shared" ref="F3780" si="3772">LEFT(A3780, LEN(A3780) - 1)</f>
        <v>&gt;1888:CTCCTT:6.00:50.00:OK:6:1718.15</v>
      </c>
    </row>
    <row r="3781" spans="1:6" x14ac:dyDescent="0.3">
      <c r="A3781" t="s">
        <v>1894</v>
      </c>
      <c r="F3781" t="str">
        <f t="shared" ref="F3781" si="3773">A3781</f>
        <v>CTCCTT</v>
      </c>
    </row>
    <row r="3782" spans="1:6" x14ac:dyDescent="0.3">
      <c r="A3782" t="s">
        <v>5991</v>
      </c>
      <c r="F3782" t="str">
        <f t="shared" ref="F3782" si="3774">LEFT(A3782, LEN(A3782) - 1)</f>
        <v>&gt;1889:CTCGAA:22.00:50.00:OK:6:1776.22</v>
      </c>
    </row>
    <row r="3783" spans="1:6" x14ac:dyDescent="0.3">
      <c r="A3783" t="s">
        <v>1895</v>
      </c>
      <c r="F3783" t="str">
        <f t="shared" ref="F3783" si="3775">A3783</f>
        <v>CTCGAA</v>
      </c>
    </row>
    <row r="3784" spans="1:6" x14ac:dyDescent="0.3">
      <c r="A3784" t="s">
        <v>5992</v>
      </c>
      <c r="F3784" t="str">
        <f t="shared" ref="F3784" si="3776">LEFT(A3784, LEN(A3784) - 1)</f>
        <v>&gt;1890:CTCGAC:20.00:66.67:Warning:6:1752.19</v>
      </c>
    </row>
    <row r="3785" spans="1:6" x14ac:dyDescent="0.3">
      <c r="A3785" t="s">
        <v>1896</v>
      </c>
      <c r="F3785" t="str">
        <f t="shared" ref="F3785" si="3777">A3785</f>
        <v>CTCGAC</v>
      </c>
    </row>
    <row r="3786" spans="1:6" x14ac:dyDescent="0.3">
      <c r="A3786" t="s">
        <v>5993</v>
      </c>
      <c r="F3786" t="str">
        <f t="shared" ref="F3786" si="3778">LEFT(A3786, LEN(A3786) - 1)</f>
        <v>&gt;1891:CTCGAG:20.00:66.67:Warning:6:1792.22</v>
      </c>
    </row>
    <row r="3787" spans="1:6" x14ac:dyDescent="0.3">
      <c r="A3787" t="s">
        <v>1897</v>
      </c>
      <c r="F3787" t="str">
        <f t="shared" ref="F3787" si="3779">A3787</f>
        <v>CTCGAG</v>
      </c>
    </row>
    <row r="3788" spans="1:6" x14ac:dyDescent="0.3">
      <c r="A3788" t="s">
        <v>5994</v>
      </c>
      <c r="F3788" t="str">
        <f t="shared" ref="F3788" si="3780">LEFT(A3788, LEN(A3788) - 1)</f>
        <v>&gt;1892:CTCGAT:14.00:50.00:OK:6:1767.20</v>
      </c>
    </row>
    <row r="3789" spans="1:6" x14ac:dyDescent="0.3">
      <c r="A3789" t="s">
        <v>1898</v>
      </c>
      <c r="F3789" t="str">
        <f t="shared" ref="F3789" si="3781">A3789</f>
        <v>CTCGAT</v>
      </c>
    </row>
    <row r="3790" spans="1:6" x14ac:dyDescent="0.3">
      <c r="A3790" t="s">
        <v>5995</v>
      </c>
      <c r="F3790" t="str">
        <f t="shared" ref="F3790" si="3782">LEFT(A3790, LEN(A3790) - 1)</f>
        <v>&gt;1893:CTCGCA:20.00:66.67:Warning:6:1752.19</v>
      </c>
    </row>
    <row r="3791" spans="1:6" x14ac:dyDescent="0.3">
      <c r="A3791" t="s">
        <v>1899</v>
      </c>
      <c r="F3791" t="str">
        <f t="shared" ref="F3791" si="3783">A3791</f>
        <v>CTCGCA</v>
      </c>
    </row>
    <row r="3792" spans="1:6" x14ac:dyDescent="0.3">
      <c r="A3792" t="s">
        <v>5996</v>
      </c>
      <c r="F3792" t="str">
        <f t="shared" ref="F3792" si="3784">LEFT(A3792, LEN(A3792) - 1)</f>
        <v>&gt;1894:CTCGCC:18.00:83.33:Warning:6:1728.16</v>
      </c>
    </row>
    <row r="3793" spans="1:6" x14ac:dyDescent="0.3">
      <c r="A3793" t="s">
        <v>1900</v>
      </c>
      <c r="F3793" t="str">
        <f t="shared" ref="F3793" si="3785">A3793</f>
        <v>CTCGCC</v>
      </c>
    </row>
    <row r="3794" spans="1:6" x14ac:dyDescent="0.3">
      <c r="A3794" t="s">
        <v>5997</v>
      </c>
      <c r="F3794" t="str">
        <f t="shared" ref="F3794" si="3786">LEFT(A3794, LEN(A3794) - 1)</f>
        <v>&gt;1895:CTCGCG:18.00:83.33:Warning:6:1768.19</v>
      </c>
    </row>
    <row r="3795" spans="1:6" x14ac:dyDescent="0.3">
      <c r="A3795" t="s">
        <v>1901</v>
      </c>
      <c r="F3795" t="str">
        <f t="shared" ref="F3795" si="3787">A3795</f>
        <v>CTCGCG</v>
      </c>
    </row>
    <row r="3796" spans="1:6" x14ac:dyDescent="0.3">
      <c r="A3796" t="s">
        <v>5998</v>
      </c>
      <c r="F3796" t="str">
        <f t="shared" ref="F3796" si="3788">LEFT(A3796, LEN(A3796) - 1)</f>
        <v>&gt;1896:CTCGCT:12.00:66.67:Warning:6:1743.17</v>
      </c>
    </row>
    <row r="3797" spans="1:6" x14ac:dyDescent="0.3">
      <c r="A3797" t="s">
        <v>1902</v>
      </c>
      <c r="F3797" t="str">
        <f t="shared" ref="F3797" si="3789">A3797</f>
        <v>CTCGCT</v>
      </c>
    </row>
    <row r="3798" spans="1:6" x14ac:dyDescent="0.3">
      <c r="A3798" t="s">
        <v>5999</v>
      </c>
      <c r="F3798" t="str">
        <f t="shared" ref="F3798" si="3790">LEFT(A3798, LEN(A3798) - 1)</f>
        <v>&gt;1897:CTCGGA:20.00:66.67:Warning:6:1792.22</v>
      </c>
    </row>
    <row r="3799" spans="1:6" x14ac:dyDescent="0.3">
      <c r="A3799" t="s">
        <v>1903</v>
      </c>
      <c r="F3799" t="str">
        <f t="shared" ref="F3799" si="3791">A3799</f>
        <v>CTCGGA</v>
      </c>
    </row>
    <row r="3800" spans="1:6" x14ac:dyDescent="0.3">
      <c r="A3800" t="s">
        <v>6000</v>
      </c>
      <c r="F3800" t="str">
        <f t="shared" ref="F3800" si="3792">LEFT(A3800, LEN(A3800) - 1)</f>
        <v>&gt;1898:CTCGGC:18.00:83.33:Warning:6:1768.19</v>
      </c>
    </row>
    <row r="3801" spans="1:6" x14ac:dyDescent="0.3">
      <c r="A3801" t="s">
        <v>1904</v>
      </c>
      <c r="F3801" t="str">
        <f t="shared" ref="F3801" si="3793">A3801</f>
        <v>CTCGGC</v>
      </c>
    </row>
    <row r="3802" spans="1:6" x14ac:dyDescent="0.3">
      <c r="A3802" t="s">
        <v>6001</v>
      </c>
      <c r="F3802" t="str">
        <f t="shared" ref="F3802" si="3794">LEFT(A3802, LEN(A3802) - 1)</f>
        <v>&gt;1899:CTCGGG:18.00:83.33:Warning:6:1808.22</v>
      </c>
    </row>
    <row r="3803" spans="1:6" x14ac:dyDescent="0.3">
      <c r="A3803" t="s">
        <v>1905</v>
      </c>
      <c r="F3803" t="str">
        <f t="shared" ref="F3803" si="3795">A3803</f>
        <v>CTCGGG</v>
      </c>
    </row>
    <row r="3804" spans="1:6" x14ac:dyDescent="0.3">
      <c r="A3804" t="s">
        <v>6002</v>
      </c>
      <c r="F3804" t="str">
        <f t="shared" ref="F3804" si="3796">LEFT(A3804, LEN(A3804) - 1)</f>
        <v>&gt;1900:CTCGGT:12.00:66.67:Warning:6:1783.20</v>
      </c>
    </row>
    <row r="3805" spans="1:6" x14ac:dyDescent="0.3">
      <c r="A3805" t="s">
        <v>1906</v>
      </c>
      <c r="F3805" t="str">
        <f t="shared" ref="F3805" si="3797">A3805</f>
        <v>CTCGGT</v>
      </c>
    </row>
    <row r="3806" spans="1:6" x14ac:dyDescent="0.3">
      <c r="A3806" t="s">
        <v>6003</v>
      </c>
      <c r="F3806" t="str">
        <f t="shared" ref="F3806" si="3798">LEFT(A3806, LEN(A3806) - 1)</f>
        <v>&gt;1901:CTCGTA:14.00:50.00:OK:6:1767.20</v>
      </c>
    </row>
    <row r="3807" spans="1:6" x14ac:dyDescent="0.3">
      <c r="A3807" t="s">
        <v>1907</v>
      </c>
      <c r="F3807" t="str">
        <f t="shared" ref="F3807" si="3799">A3807</f>
        <v>CTCGTA</v>
      </c>
    </row>
    <row r="3808" spans="1:6" x14ac:dyDescent="0.3">
      <c r="A3808" t="s">
        <v>6004</v>
      </c>
      <c r="F3808" t="str">
        <f t="shared" ref="F3808" si="3800">LEFT(A3808, LEN(A3808) - 1)</f>
        <v>&gt;1902:CTCGTC:12.00:66.67:Warning:6:1743.17</v>
      </c>
    </row>
    <row r="3809" spans="1:6" x14ac:dyDescent="0.3">
      <c r="A3809" t="s">
        <v>1908</v>
      </c>
      <c r="F3809" t="str">
        <f t="shared" ref="F3809" si="3801">A3809</f>
        <v>CTCGTC</v>
      </c>
    </row>
    <row r="3810" spans="1:6" x14ac:dyDescent="0.3">
      <c r="A3810" t="s">
        <v>6005</v>
      </c>
      <c r="F3810" t="str">
        <f t="shared" ref="F3810" si="3802">LEFT(A3810, LEN(A3810) - 1)</f>
        <v>&gt;1903:CTCGTG:12.00:66.67:Warning:6:1783.20</v>
      </c>
    </row>
    <row r="3811" spans="1:6" x14ac:dyDescent="0.3">
      <c r="A3811" t="s">
        <v>1909</v>
      </c>
      <c r="F3811" t="str">
        <f t="shared" ref="F3811" si="3803">A3811</f>
        <v>CTCGTG</v>
      </c>
    </row>
    <row r="3812" spans="1:6" x14ac:dyDescent="0.3">
      <c r="A3812" t="s">
        <v>6006</v>
      </c>
      <c r="F3812" t="str">
        <f t="shared" ref="F3812" si="3804">LEFT(A3812, LEN(A3812) - 1)</f>
        <v>&gt;1904:CTCGTT:6.00:50.00:OK:6:1758.18</v>
      </c>
    </row>
    <row r="3813" spans="1:6" x14ac:dyDescent="0.3">
      <c r="A3813" t="s">
        <v>1910</v>
      </c>
      <c r="F3813" t="str">
        <f t="shared" ref="F3813" si="3805">A3813</f>
        <v>CTCGTT</v>
      </c>
    </row>
    <row r="3814" spans="1:6" x14ac:dyDescent="0.3">
      <c r="A3814" t="s">
        <v>6007</v>
      </c>
      <c r="F3814" t="str">
        <f t="shared" ref="F3814" si="3806">LEFT(A3814, LEN(A3814) - 1)</f>
        <v>&gt;1905:CTCTAA:16.00:33.33:OK:6:1751.20</v>
      </c>
    </row>
    <row r="3815" spans="1:6" x14ac:dyDescent="0.3">
      <c r="A3815" t="s">
        <v>1911</v>
      </c>
      <c r="F3815" t="str">
        <f t="shared" ref="F3815" si="3807">A3815</f>
        <v>CTCTAA</v>
      </c>
    </row>
    <row r="3816" spans="1:6" x14ac:dyDescent="0.3">
      <c r="A3816" t="s">
        <v>6008</v>
      </c>
      <c r="F3816" t="str">
        <f t="shared" ref="F3816" si="3808">LEFT(A3816, LEN(A3816) - 1)</f>
        <v>&gt;1906:CTCTAC:14.00:50.00:OK:6:1727.17</v>
      </c>
    </row>
    <row r="3817" spans="1:6" x14ac:dyDescent="0.3">
      <c r="A3817" t="s">
        <v>1912</v>
      </c>
      <c r="F3817" t="str">
        <f t="shared" ref="F3817" si="3809">A3817</f>
        <v>CTCTAC</v>
      </c>
    </row>
    <row r="3818" spans="1:6" x14ac:dyDescent="0.3">
      <c r="A3818" t="s">
        <v>6009</v>
      </c>
      <c r="F3818" t="str">
        <f t="shared" ref="F3818" si="3810">LEFT(A3818, LEN(A3818) - 1)</f>
        <v>&gt;1907:CTCTAG:14.00:50.00:OK:6:1767.20</v>
      </c>
    </row>
    <row r="3819" spans="1:6" x14ac:dyDescent="0.3">
      <c r="A3819" t="s">
        <v>1913</v>
      </c>
      <c r="F3819" t="str">
        <f t="shared" ref="F3819" si="3811">A3819</f>
        <v>CTCTAG</v>
      </c>
    </row>
    <row r="3820" spans="1:6" x14ac:dyDescent="0.3">
      <c r="A3820" t="s">
        <v>6010</v>
      </c>
      <c r="F3820" t="str">
        <f t="shared" ref="F3820" si="3812">LEFT(A3820, LEN(A3820) - 1)</f>
        <v>&gt;1908:CTCTAT:8.00:33.33:OK:6:1742.18</v>
      </c>
    </row>
    <row r="3821" spans="1:6" x14ac:dyDescent="0.3">
      <c r="A3821" t="s">
        <v>1914</v>
      </c>
      <c r="F3821" t="str">
        <f t="shared" ref="F3821" si="3813">A3821</f>
        <v>CTCTAT</v>
      </c>
    </row>
    <row r="3822" spans="1:6" x14ac:dyDescent="0.3">
      <c r="A3822" t="s">
        <v>6011</v>
      </c>
      <c r="F3822" t="str">
        <f t="shared" ref="F3822" si="3814">LEFT(A3822, LEN(A3822) - 1)</f>
        <v>&gt;1909:CTCTCA:14.00:50.00:OK:6:1727.17</v>
      </c>
    </row>
    <row r="3823" spans="1:6" x14ac:dyDescent="0.3">
      <c r="A3823" t="s">
        <v>1915</v>
      </c>
      <c r="F3823" t="str">
        <f t="shared" ref="F3823" si="3815">A3823</f>
        <v>CTCTCA</v>
      </c>
    </row>
    <row r="3824" spans="1:6" x14ac:dyDescent="0.3">
      <c r="A3824" t="s">
        <v>6012</v>
      </c>
      <c r="F3824" t="str">
        <f t="shared" ref="F3824" si="3816">LEFT(A3824, LEN(A3824) - 1)</f>
        <v>&gt;1910:CTCTCC:12.00:66.67:Warning:6:1703.14</v>
      </c>
    </row>
    <row r="3825" spans="1:6" x14ac:dyDescent="0.3">
      <c r="A3825" t="s">
        <v>1916</v>
      </c>
      <c r="F3825" t="str">
        <f t="shared" ref="F3825" si="3817">A3825</f>
        <v>CTCTCC</v>
      </c>
    </row>
    <row r="3826" spans="1:6" x14ac:dyDescent="0.3">
      <c r="A3826" t="s">
        <v>6013</v>
      </c>
      <c r="F3826" t="str">
        <f t="shared" ref="F3826" si="3818">LEFT(A3826, LEN(A3826) - 1)</f>
        <v>&gt;1911:CTCTCG:12.00:66.67:Warning:6:1743.17</v>
      </c>
    </row>
    <row r="3827" spans="1:6" x14ac:dyDescent="0.3">
      <c r="A3827" t="s">
        <v>1917</v>
      </c>
      <c r="F3827" t="str">
        <f t="shared" ref="F3827" si="3819">A3827</f>
        <v>CTCTCG</v>
      </c>
    </row>
    <row r="3828" spans="1:6" x14ac:dyDescent="0.3">
      <c r="A3828" t="s">
        <v>6014</v>
      </c>
      <c r="F3828" t="str">
        <f t="shared" ref="F3828" si="3820">LEFT(A3828, LEN(A3828) - 1)</f>
        <v>&gt;1912:CTCTCT:6.00:50.00:OK:6:1718.15</v>
      </c>
    </row>
    <row r="3829" spans="1:6" x14ac:dyDescent="0.3">
      <c r="A3829" t="s">
        <v>1918</v>
      </c>
      <c r="F3829" t="str">
        <f t="shared" ref="F3829" si="3821">A3829</f>
        <v>CTCTCT</v>
      </c>
    </row>
    <row r="3830" spans="1:6" x14ac:dyDescent="0.3">
      <c r="A3830" t="s">
        <v>6015</v>
      </c>
      <c r="F3830" t="str">
        <f t="shared" ref="F3830" si="3822">LEFT(A3830, LEN(A3830) - 1)</f>
        <v>&gt;1913:CTCTGA:14.00:50.00:OK:6:1767.20</v>
      </c>
    </row>
    <row r="3831" spans="1:6" x14ac:dyDescent="0.3">
      <c r="A3831" t="s">
        <v>1919</v>
      </c>
      <c r="F3831" t="str">
        <f t="shared" ref="F3831" si="3823">A3831</f>
        <v>CTCTGA</v>
      </c>
    </row>
    <row r="3832" spans="1:6" x14ac:dyDescent="0.3">
      <c r="A3832" t="s">
        <v>6016</v>
      </c>
      <c r="F3832" t="str">
        <f t="shared" ref="F3832" si="3824">LEFT(A3832, LEN(A3832) - 1)</f>
        <v>&gt;1914:CTCTGC:12.00:66.67:Warning:6:1743.17</v>
      </c>
    </row>
    <row r="3833" spans="1:6" x14ac:dyDescent="0.3">
      <c r="A3833" t="s">
        <v>1920</v>
      </c>
      <c r="F3833" t="str">
        <f t="shared" ref="F3833" si="3825">A3833</f>
        <v>CTCTGC</v>
      </c>
    </row>
    <row r="3834" spans="1:6" x14ac:dyDescent="0.3">
      <c r="A3834" t="s">
        <v>6017</v>
      </c>
      <c r="F3834" t="str">
        <f t="shared" ref="F3834" si="3826">LEFT(A3834, LEN(A3834) - 1)</f>
        <v>&gt;1915:CTCTGG:12.00:66.67:Warning:6:1783.20</v>
      </c>
    </row>
    <row r="3835" spans="1:6" x14ac:dyDescent="0.3">
      <c r="A3835" t="s">
        <v>1921</v>
      </c>
      <c r="F3835" t="str">
        <f t="shared" ref="F3835" si="3827">A3835</f>
        <v>CTCTGG</v>
      </c>
    </row>
    <row r="3836" spans="1:6" x14ac:dyDescent="0.3">
      <c r="A3836" t="s">
        <v>6018</v>
      </c>
      <c r="F3836" t="str">
        <f t="shared" ref="F3836" si="3828">LEFT(A3836, LEN(A3836) - 1)</f>
        <v>&gt;1916:CTCTGT:6.00:50.00:OK:6:1758.18</v>
      </c>
    </row>
    <row r="3837" spans="1:6" x14ac:dyDescent="0.3">
      <c r="A3837" t="s">
        <v>1922</v>
      </c>
      <c r="F3837" t="str">
        <f t="shared" ref="F3837" si="3829">A3837</f>
        <v>CTCTGT</v>
      </c>
    </row>
    <row r="3838" spans="1:6" x14ac:dyDescent="0.3">
      <c r="A3838" t="s">
        <v>6019</v>
      </c>
      <c r="F3838" t="str">
        <f t="shared" ref="F3838" si="3830">LEFT(A3838, LEN(A3838) - 1)</f>
        <v>&gt;1917:CTCTTA:8.00:33.33:OK:6:1742.18</v>
      </c>
    </row>
    <row r="3839" spans="1:6" x14ac:dyDescent="0.3">
      <c r="A3839" t="s">
        <v>1923</v>
      </c>
      <c r="F3839" t="str">
        <f t="shared" ref="F3839" si="3831">A3839</f>
        <v>CTCTTA</v>
      </c>
    </row>
    <row r="3840" spans="1:6" x14ac:dyDescent="0.3">
      <c r="A3840" t="s">
        <v>6020</v>
      </c>
      <c r="F3840" t="str">
        <f t="shared" ref="F3840" si="3832">LEFT(A3840, LEN(A3840) - 1)</f>
        <v>&gt;1918:CTCTTC:6.00:50.00:OK:6:1718.15</v>
      </c>
    </row>
    <row r="3841" spans="1:6" x14ac:dyDescent="0.3">
      <c r="A3841" t="s">
        <v>1924</v>
      </c>
      <c r="F3841" t="str">
        <f t="shared" ref="F3841" si="3833">A3841</f>
        <v>CTCTTC</v>
      </c>
    </row>
    <row r="3842" spans="1:6" x14ac:dyDescent="0.3">
      <c r="A3842" t="s">
        <v>6021</v>
      </c>
      <c r="F3842" t="str">
        <f t="shared" ref="F3842" si="3834">LEFT(A3842, LEN(A3842) - 1)</f>
        <v>&gt;1919:CTCTTG:6.00:50.00:OK:6:1758.18</v>
      </c>
    </row>
    <row r="3843" spans="1:6" x14ac:dyDescent="0.3">
      <c r="A3843" t="s">
        <v>1925</v>
      </c>
      <c r="F3843" t="str">
        <f t="shared" ref="F3843" si="3835">A3843</f>
        <v>CTCTTG</v>
      </c>
    </row>
    <row r="3844" spans="1:6" x14ac:dyDescent="0.3">
      <c r="A3844" t="s">
        <v>6022</v>
      </c>
      <c r="F3844" t="str">
        <f t="shared" ref="F3844" si="3836">LEFT(A3844, LEN(A3844) - 1)</f>
        <v>&gt;1920:CTCTTT:0.00:33.33:OK:6:1733.16</v>
      </c>
    </row>
    <row r="3845" spans="1:6" x14ac:dyDescent="0.3">
      <c r="A3845" t="s">
        <v>1926</v>
      </c>
      <c r="F3845" t="str">
        <f t="shared" ref="F3845" si="3837">A3845</f>
        <v>CTCTTT</v>
      </c>
    </row>
    <row r="3846" spans="1:6" x14ac:dyDescent="0.3">
      <c r="A3846" t="s">
        <v>6023</v>
      </c>
      <c r="F3846" t="str">
        <f t="shared" ref="F3846" si="3838">LEFT(A3846, LEN(A3846) - 1)</f>
        <v>&gt;1921:CTGAAA:24.00:33.33:OK:6:1800.25</v>
      </c>
    </row>
    <row r="3847" spans="1:6" x14ac:dyDescent="0.3">
      <c r="A3847" t="s">
        <v>1927</v>
      </c>
      <c r="F3847" t="str">
        <f t="shared" ref="F3847" si="3839">A3847</f>
        <v>CTGAAA</v>
      </c>
    </row>
    <row r="3848" spans="1:6" x14ac:dyDescent="0.3">
      <c r="A3848" t="s">
        <v>6024</v>
      </c>
      <c r="F3848" t="str">
        <f t="shared" ref="F3848" si="3840">LEFT(A3848, LEN(A3848) - 1)</f>
        <v>&gt;1922:CTGAAC:22.00:50.00:OK:6:1776.22</v>
      </c>
    </row>
    <row r="3849" spans="1:6" x14ac:dyDescent="0.3">
      <c r="A3849" t="s">
        <v>1928</v>
      </c>
      <c r="F3849" t="str">
        <f t="shared" ref="F3849" si="3841">A3849</f>
        <v>CTGAAC</v>
      </c>
    </row>
    <row r="3850" spans="1:6" x14ac:dyDescent="0.3">
      <c r="A3850" t="s">
        <v>6025</v>
      </c>
      <c r="F3850" t="str">
        <f t="shared" ref="F3850" si="3842">LEFT(A3850, LEN(A3850) - 1)</f>
        <v>&gt;1923:CTGAAG:22.00:50.00:OK:6:1816.25</v>
      </c>
    </row>
    <row r="3851" spans="1:6" x14ac:dyDescent="0.3">
      <c r="A3851" t="s">
        <v>1929</v>
      </c>
      <c r="F3851" t="str">
        <f t="shared" ref="F3851" si="3843">A3851</f>
        <v>CTGAAG</v>
      </c>
    </row>
    <row r="3852" spans="1:6" x14ac:dyDescent="0.3">
      <c r="A3852" t="s">
        <v>6026</v>
      </c>
      <c r="F3852" t="str">
        <f t="shared" ref="F3852" si="3844">LEFT(A3852, LEN(A3852) - 1)</f>
        <v>&gt;1924:CTGAAT:16.00:33.33:OK:6:1791.23</v>
      </c>
    </row>
    <row r="3853" spans="1:6" x14ac:dyDescent="0.3">
      <c r="A3853" t="s">
        <v>1930</v>
      </c>
      <c r="F3853" t="str">
        <f t="shared" ref="F3853" si="3845">A3853</f>
        <v>CTGAAT</v>
      </c>
    </row>
    <row r="3854" spans="1:6" x14ac:dyDescent="0.3">
      <c r="A3854" t="s">
        <v>6027</v>
      </c>
      <c r="F3854" t="str">
        <f t="shared" ref="F3854" si="3846">LEFT(A3854, LEN(A3854) - 1)</f>
        <v>&gt;1925:CTGACA:22.00:50.00:OK:6:1776.22</v>
      </c>
    </row>
    <row r="3855" spans="1:6" x14ac:dyDescent="0.3">
      <c r="A3855" t="s">
        <v>1931</v>
      </c>
      <c r="F3855" t="str">
        <f t="shared" ref="F3855" si="3847">A3855</f>
        <v>CTGACA</v>
      </c>
    </row>
    <row r="3856" spans="1:6" x14ac:dyDescent="0.3">
      <c r="A3856" t="s">
        <v>6028</v>
      </c>
      <c r="F3856" t="str">
        <f t="shared" ref="F3856" si="3848">LEFT(A3856, LEN(A3856) - 1)</f>
        <v>&gt;1926:CTGACC:20.00:66.67:Warning:6:1752.19</v>
      </c>
    </row>
    <row r="3857" spans="1:6" x14ac:dyDescent="0.3">
      <c r="A3857" t="s">
        <v>1932</v>
      </c>
      <c r="F3857" t="str">
        <f t="shared" ref="F3857" si="3849">A3857</f>
        <v>CTGACC</v>
      </c>
    </row>
    <row r="3858" spans="1:6" x14ac:dyDescent="0.3">
      <c r="A3858" t="s">
        <v>6029</v>
      </c>
      <c r="F3858" t="str">
        <f t="shared" ref="F3858" si="3850">LEFT(A3858, LEN(A3858) - 1)</f>
        <v>&gt;1927:CTGACG:20.00:66.67:Warning:6:1792.22</v>
      </c>
    </row>
    <row r="3859" spans="1:6" x14ac:dyDescent="0.3">
      <c r="A3859" t="s">
        <v>1933</v>
      </c>
      <c r="F3859" t="str">
        <f t="shared" ref="F3859" si="3851">A3859</f>
        <v>CTGACG</v>
      </c>
    </row>
    <row r="3860" spans="1:6" x14ac:dyDescent="0.3">
      <c r="A3860" t="s">
        <v>6030</v>
      </c>
      <c r="F3860" t="str">
        <f t="shared" ref="F3860" si="3852">LEFT(A3860, LEN(A3860) - 1)</f>
        <v>&gt;1928:CTGACT:14.00:50.00:OK:6:1767.20</v>
      </c>
    </row>
    <row r="3861" spans="1:6" x14ac:dyDescent="0.3">
      <c r="A3861" t="s">
        <v>1934</v>
      </c>
      <c r="F3861" t="str">
        <f t="shared" ref="F3861" si="3853">A3861</f>
        <v>CTGACT</v>
      </c>
    </row>
    <row r="3862" spans="1:6" x14ac:dyDescent="0.3">
      <c r="A3862" t="s">
        <v>6031</v>
      </c>
      <c r="F3862" t="str">
        <f t="shared" ref="F3862" si="3854">LEFT(A3862, LEN(A3862) - 1)</f>
        <v>&gt;1929:CTGAGA:22.00:50.00:OK:6:1816.25</v>
      </c>
    </row>
    <row r="3863" spans="1:6" x14ac:dyDescent="0.3">
      <c r="A3863" t="s">
        <v>1935</v>
      </c>
      <c r="F3863" t="str">
        <f t="shared" ref="F3863" si="3855">A3863</f>
        <v>CTGAGA</v>
      </c>
    </row>
    <row r="3864" spans="1:6" x14ac:dyDescent="0.3">
      <c r="A3864" t="s">
        <v>6032</v>
      </c>
      <c r="F3864" t="str">
        <f t="shared" ref="F3864" si="3856">LEFT(A3864, LEN(A3864) - 1)</f>
        <v>&gt;1930:CTGAGC:20.00:66.67:Warning:6:1792.22</v>
      </c>
    </row>
    <row r="3865" spans="1:6" x14ac:dyDescent="0.3">
      <c r="A3865" t="s">
        <v>1936</v>
      </c>
      <c r="F3865" t="str">
        <f t="shared" ref="F3865" si="3857">A3865</f>
        <v>CTGAGC</v>
      </c>
    </row>
    <row r="3866" spans="1:6" x14ac:dyDescent="0.3">
      <c r="A3866" t="s">
        <v>6033</v>
      </c>
      <c r="F3866" t="str">
        <f t="shared" ref="F3866" si="3858">LEFT(A3866, LEN(A3866) - 1)</f>
        <v>&gt;1931:CTGAGG:20.00:66.67:Warning:6:1832.25</v>
      </c>
    </row>
    <row r="3867" spans="1:6" x14ac:dyDescent="0.3">
      <c r="A3867" t="s">
        <v>1937</v>
      </c>
      <c r="F3867" t="str">
        <f t="shared" ref="F3867" si="3859">A3867</f>
        <v>CTGAGG</v>
      </c>
    </row>
    <row r="3868" spans="1:6" x14ac:dyDescent="0.3">
      <c r="A3868" t="s">
        <v>6034</v>
      </c>
      <c r="F3868" t="str">
        <f t="shared" ref="F3868" si="3860">LEFT(A3868, LEN(A3868) - 1)</f>
        <v>&gt;1932:CTGAGT:14.00:50.00:OK:6:1807.23</v>
      </c>
    </row>
    <row r="3869" spans="1:6" x14ac:dyDescent="0.3">
      <c r="A3869" t="s">
        <v>1938</v>
      </c>
      <c r="F3869" t="str">
        <f t="shared" ref="F3869" si="3861">A3869</f>
        <v>CTGAGT</v>
      </c>
    </row>
    <row r="3870" spans="1:6" x14ac:dyDescent="0.3">
      <c r="A3870" t="s">
        <v>6035</v>
      </c>
      <c r="F3870" t="str">
        <f t="shared" ref="F3870" si="3862">LEFT(A3870, LEN(A3870) - 1)</f>
        <v>&gt;1933:CTGATA:16.00:33.33:OK:6:1791.23</v>
      </c>
    </row>
    <row r="3871" spans="1:6" x14ac:dyDescent="0.3">
      <c r="A3871" t="s">
        <v>1939</v>
      </c>
      <c r="F3871" t="str">
        <f t="shared" ref="F3871" si="3863">A3871</f>
        <v>CTGATA</v>
      </c>
    </row>
    <row r="3872" spans="1:6" x14ac:dyDescent="0.3">
      <c r="A3872" t="s">
        <v>6036</v>
      </c>
      <c r="F3872" t="str">
        <f t="shared" ref="F3872" si="3864">LEFT(A3872, LEN(A3872) - 1)</f>
        <v>&gt;1934:CTGATC:14.00:50.00:OK:6:1767.20</v>
      </c>
    </row>
    <row r="3873" spans="1:6" x14ac:dyDescent="0.3">
      <c r="A3873" t="s">
        <v>1940</v>
      </c>
      <c r="F3873" t="str">
        <f t="shared" ref="F3873" si="3865">A3873</f>
        <v>CTGATC</v>
      </c>
    </row>
    <row r="3874" spans="1:6" x14ac:dyDescent="0.3">
      <c r="A3874" t="s">
        <v>6037</v>
      </c>
      <c r="F3874" t="str">
        <f t="shared" ref="F3874" si="3866">LEFT(A3874, LEN(A3874) - 1)</f>
        <v>&gt;1935:CTGATG:14.00:50.00:OK:6:1807.23</v>
      </c>
    </row>
    <row r="3875" spans="1:6" x14ac:dyDescent="0.3">
      <c r="A3875" t="s">
        <v>1941</v>
      </c>
      <c r="F3875" t="str">
        <f t="shared" ref="F3875" si="3867">A3875</f>
        <v>CTGATG</v>
      </c>
    </row>
    <row r="3876" spans="1:6" x14ac:dyDescent="0.3">
      <c r="A3876" t="s">
        <v>6038</v>
      </c>
      <c r="F3876" t="str">
        <f t="shared" ref="F3876" si="3868">LEFT(A3876, LEN(A3876) - 1)</f>
        <v>&gt;1936:CTGATT:8.00:33.33:OK:6:1782.21</v>
      </c>
    </row>
    <row r="3877" spans="1:6" x14ac:dyDescent="0.3">
      <c r="A3877" t="s">
        <v>1942</v>
      </c>
      <c r="F3877" t="str">
        <f t="shared" ref="F3877" si="3869">A3877</f>
        <v>CTGATT</v>
      </c>
    </row>
    <row r="3878" spans="1:6" x14ac:dyDescent="0.3">
      <c r="A3878" t="s">
        <v>6039</v>
      </c>
      <c r="F3878" t="str">
        <f t="shared" ref="F3878" si="3870">LEFT(A3878, LEN(A3878) - 1)</f>
        <v>&gt;1937:CTGCAA:22.00:50.00:OK:6:1776.22</v>
      </c>
    </row>
    <row r="3879" spans="1:6" x14ac:dyDescent="0.3">
      <c r="A3879" t="s">
        <v>1943</v>
      </c>
      <c r="F3879" t="str">
        <f t="shared" ref="F3879" si="3871">A3879</f>
        <v>CTGCAA</v>
      </c>
    </row>
    <row r="3880" spans="1:6" x14ac:dyDescent="0.3">
      <c r="A3880" t="s">
        <v>6040</v>
      </c>
      <c r="F3880" t="str">
        <f t="shared" ref="F3880" si="3872">LEFT(A3880, LEN(A3880) - 1)</f>
        <v>&gt;1938:CTGCAC:20.00:66.67:Warning:6:1752.19</v>
      </c>
    </row>
    <row r="3881" spans="1:6" x14ac:dyDescent="0.3">
      <c r="A3881" t="s">
        <v>1944</v>
      </c>
      <c r="F3881" t="str">
        <f t="shared" ref="F3881" si="3873">A3881</f>
        <v>CTGCAC</v>
      </c>
    </row>
    <row r="3882" spans="1:6" x14ac:dyDescent="0.3">
      <c r="A3882" t="s">
        <v>6041</v>
      </c>
      <c r="F3882" t="str">
        <f t="shared" ref="F3882" si="3874">LEFT(A3882, LEN(A3882) - 1)</f>
        <v>&gt;1939:CTGCAG:20.00:66.67:Warning:6:1792.22</v>
      </c>
    </row>
    <row r="3883" spans="1:6" x14ac:dyDescent="0.3">
      <c r="A3883" t="s">
        <v>1945</v>
      </c>
      <c r="F3883" t="str">
        <f t="shared" ref="F3883" si="3875">A3883</f>
        <v>CTGCAG</v>
      </c>
    </row>
    <row r="3884" spans="1:6" x14ac:dyDescent="0.3">
      <c r="A3884" t="s">
        <v>6042</v>
      </c>
      <c r="F3884" t="str">
        <f t="shared" ref="F3884" si="3876">LEFT(A3884, LEN(A3884) - 1)</f>
        <v>&gt;1940:CTGCAT:14.00:50.00:OK:6:1767.20</v>
      </c>
    </row>
    <row r="3885" spans="1:6" x14ac:dyDescent="0.3">
      <c r="A3885" t="s">
        <v>1946</v>
      </c>
      <c r="F3885" t="str">
        <f t="shared" ref="F3885" si="3877">A3885</f>
        <v>CTGCAT</v>
      </c>
    </row>
    <row r="3886" spans="1:6" x14ac:dyDescent="0.3">
      <c r="A3886" t="s">
        <v>6043</v>
      </c>
      <c r="F3886" t="str">
        <f t="shared" ref="F3886" si="3878">LEFT(A3886, LEN(A3886) - 1)</f>
        <v>&gt;1941:CTGCCA:20.00:66.67:Warning:6:1752.19</v>
      </c>
    </row>
    <row r="3887" spans="1:6" x14ac:dyDescent="0.3">
      <c r="A3887" t="s">
        <v>1947</v>
      </c>
      <c r="F3887" t="str">
        <f t="shared" ref="F3887" si="3879">A3887</f>
        <v>CTGCCA</v>
      </c>
    </row>
    <row r="3888" spans="1:6" x14ac:dyDescent="0.3">
      <c r="A3888" t="s">
        <v>6044</v>
      </c>
      <c r="F3888" t="str">
        <f t="shared" ref="F3888" si="3880">LEFT(A3888, LEN(A3888) - 1)</f>
        <v>&gt;1942:CTGCCC:18.00:83.33:Warning:6:1728.16</v>
      </c>
    </row>
    <row r="3889" spans="1:6" x14ac:dyDescent="0.3">
      <c r="A3889" t="s">
        <v>1948</v>
      </c>
      <c r="F3889" t="str">
        <f t="shared" ref="F3889" si="3881">A3889</f>
        <v>CTGCCC</v>
      </c>
    </row>
    <row r="3890" spans="1:6" x14ac:dyDescent="0.3">
      <c r="A3890" t="s">
        <v>6045</v>
      </c>
      <c r="F3890" t="str">
        <f t="shared" ref="F3890" si="3882">LEFT(A3890, LEN(A3890) - 1)</f>
        <v>&gt;1943:CTGCCG:18.00:83.33:Warning:6:1768.19</v>
      </c>
    </row>
    <row r="3891" spans="1:6" x14ac:dyDescent="0.3">
      <c r="A3891" t="s">
        <v>1949</v>
      </c>
      <c r="F3891" t="str">
        <f t="shared" ref="F3891" si="3883">A3891</f>
        <v>CTGCCG</v>
      </c>
    </row>
    <row r="3892" spans="1:6" x14ac:dyDescent="0.3">
      <c r="A3892" t="s">
        <v>6046</v>
      </c>
      <c r="F3892" t="str">
        <f t="shared" ref="F3892" si="3884">LEFT(A3892, LEN(A3892) - 1)</f>
        <v>&gt;1944:CTGCCT:12.00:66.67:Warning:6:1743.17</v>
      </c>
    </row>
    <row r="3893" spans="1:6" x14ac:dyDescent="0.3">
      <c r="A3893" t="s">
        <v>1950</v>
      </c>
      <c r="F3893" t="str">
        <f t="shared" ref="F3893" si="3885">A3893</f>
        <v>CTGCCT</v>
      </c>
    </row>
    <row r="3894" spans="1:6" x14ac:dyDescent="0.3">
      <c r="A3894" t="s">
        <v>6047</v>
      </c>
      <c r="F3894" t="str">
        <f t="shared" ref="F3894" si="3886">LEFT(A3894, LEN(A3894) - 1)</f>
        <v>&gt;1945:CTGCGA:20.00:66.67:Warning:6:1792.22</v>
      </c>
    </row>
    <row r="3895" spans="1:6" x14ac:dyDescent="0.3">
      <c r="A3895" t="s">
        <v>1951</v>
      </c>
      <c r="F3895" t="str">
        <f t="shared" ref="F3895" si="3887">A3895</f>
        <v>CTGCGA</v>
      </c>
    </row>
    <row r="3896" spans="1:6" x14ac:dyDescent="0.3">
      <c r="A3896" t="s">
        <v>6048</v>
      </c>
      <c r="F3896" t="str">
        <f t="shared" ref="F3896" si="3888">LEFT(A3896, LEN(A3896) - 1)</f>
        <v>&gt;1946:CTGCGC:18.00:83.33:Warning:6:1768.19</v>
      </c>
    </row>
    <row r="3897" spans="1:6" x14ac:dyDescent="0.3">
      <c r="A3897" t="s">
        <v>1952</v>
      </c>
      <c r="F3897" t="str">
        <f t="shared" ref="F3897" si="3889">A3897</f>
        <v>CTGCGC</v>
      </c>
    </row>
    <row r="3898" spans="1:6" x14ac:dyDescent="0.3">
      <c r="A3898" t="s">
        <v>6049</v>
      </c>
      <c r="F3898" t="str">
        <f t="shared" ref="F3898" si="3890">LEFT(A3898, LEN(A3898) - 1)</f>
        <v>&gt;1947:CTGCGG:18.00:83.33:Warning:6:1808.22</v>
      </c>
    </row>
    <row r="3899" spans="1:6" x14ac:dyDescent="0.3">
      <c r="A3899" t="s">
        <v>1953</v>
      </c>
      <c r="F3899" t="str">
        <f t="shared" ref="F3899" si="3891">A3899</f>
        <v>CTGCGG</v>
      </c>
    </row>
    <row r="3900" spans="1:6" x14ac:dyDescent="0.3">
      <c r="A3900" t="s">
        <v>6050</v>
      </c>
      <c r="F3900" t="str">
        <f t="shared" ref="F3900" si="3892">LEFT(A3900, LEN(A3900) - 1)</f>
        <v>&gt;1948:CTGCGT:12.00:66.67:Warning:6:1783.20</v>
      </c>
    </row>
    <row r="3901" spans="1:6" x14ac:dyDescent="0.3">
      <c r="A3901" t="s">
        <v>1954</v>
      </c>
      <c r="F3901" t="str">
        <f t="shared" ref="F3901" si="3893">A3901</f>
        <v>CTGCGT</v>
      </c>
    </row>
    <row r="3902" spans="1:6" x14ac:dyDescent="0.3">
      <c r="A3902" t="s">
        <v>6051</v>
      </c>
      <c r="F3902" t="str">
        <f t="shared" ref="F3902" si="3894">LEFT(A3902, LEN(A3902) - 1)</f>
        <v>&gt;1949:CTGCTA:14.00:50.00:OK:6:1767.20</v>
      </c>
    </row>
    <row r="3903" spans="1:6" x14ac:dyDescent="0.3">
      <c r="A3903" t="s">
        <v>1955</v>
      </c>
      <c r="F3903" t="str">
        <f t="shared" ref="F3903" si="3895">A3903</f>
        <v>CTGCTA</v>
      </c>
    </row>
    <row r="3904" spans="1:6" x14ac:dyDescent="0.3">
      <c r="A3904" t="s">
        <v>6052</v>
      </c>
      <c r="F3904" t="str">
        <f t="shared" ref="F3904" si="3896">LEFT(A3904, LEN(A3904) - 1)</f>
        <v>&gt;1950:CTGCTC:12.00:66.67:Warning:6:1743.17</v>
      </c>
    </row>
    <row r="3905" spans="1:6" x14ac:dyDescent="0.3">
      <c r="A3905" t="s">
        <v>1956</v>
      </c>
      <c r="F3905" t="str">
        <f t="shared" ref="F3905" si="3897">A3905</f>
        <v>CTGCTC</v>
      </c>
    </row>
    <row r="3906" spans="1:6" x14ac:dyDescent="0.3">
      <c r="A3906" t="s">
        <v>6053</v>
      </c>
      <c r="F3906" t="str">
        <f t="shared" ref="F3906" si="3898">LEFT(A3906, LEN(A3906) - 1)</f>
        <v>&gt;1951:CTGCTG:12.00:66.67:Warning:6:1783.20</v>
      </c>
    </row>
    <row r="3907" spans="1:6" x14ac:dyDescent="0.3">
      <c r="A3907" t="s">
        <v>1957</v>
      </c>
      <c r="F3907" t="str">
        <f t="shared" ref="F3907" si="3899">A3907</f>
        <v>CTGCTG</v>
      </c>
    </row>
    <row r="3908" spans="1:6" x14ac:dyDescent="0.3">
      <c r="A3908" t="s">
        <v>6054</v>
      </c>
      <c r="F3908" t="str">
        <f t="shared" ref="F3908" si="3900">LEFT(A3908, LEN(A3908) - 1)</f>
        <v>&gt;1952:CTGCTT:6.00:50.00:OK:6:1758.18</v>
      </c>
    </row>
    <row r="3909" spans="1:6" x14ac:dyDescent="0.3">
      <c r="A3909" t="s">
        <v>1958</v>
      </c>
      <c r="F3909" t="str">
        <f t="shared" ref="F3909" si="3901">A3909</f>
        <v>CTGCTT</v>
      </c>
    </row>
    <row r="3910" spans="1:6" x14ac:dyDescent="0.3">
      <c r="A3910" t="s">
        <v>6055</v>
      </c>
      <c r="F3910" t="str">
        <f t="shared" ref="F3910" si="3902">LEFT(A3910, LEN(A3910) - 1)</f>
        <v>&gt;1953:CTGGAA:22.00:50.00:OK:6:1816.25</v>
      </c>
    </row>
    <row r="3911" spans="1:6" x14ac:dyDescent="0.3">
      <c r="A3911" t="s">
        <v>1959</v>
      </c>
      <c r="F3911" t="str">
        <f t="shared" ref="F3911" si="3903">A3911</f>
        <v>CTGGAA</v>
      </c>
    </row>
    <row r="3912" spans="1:6" x14ac:dyDescent="0.3">
      <c r="A3912" t="s">
        <v>6056</v>
      </c>
      <c r="F3912" t="str">
        <f t="shared" ref="F3912" si="3904">LEFT(A3912, LEN(A3912) - 1)</f>
        <v>&gt;1954:CTGGAC:20.00:66.67:Warning:6:1792.22</v>
      </c>
    </row>
    <row r="3913" spans="1:6" x14ac:dyDescent="0.3">
      <c r="A3913" t="s">
        <v>1960</v>
      </c>
      <c r="F3913" t="str">
        <f t="shared" ref="F3913" si="3905">A3913</f>
        <v>CTGGAC</v>
      </c>
    </row>
    <row r="3914" spans="1:6" x14ac:dyDescent="0.3">
      <c r="A3914" t="s">
        <v>6057</v>
      </c>
      <c r="F3914" t="str">
        <f t="shared" ref="F3914" si="3906">LEFT(A3914, LEN(A3914) - 1)</f>
        <v>&gt;1955:CTGGAG:20.00:66.67:Warning:6:1832.25</v>
      </c>
    </row>
    <row r="3915" spans="1:6" x14ac:dyDescent="0.3">
      <c r="A3915" t="s">
        <v>1961</v>
      </c>
      <c r="F3915" t="str">
        <f t="shared" ref="F3915" si="3907">A3915</f>
        <v>CTGGAG</v>
      </c>
    </row>
    <row r="3916" spans="1:6" x14ac:dyDescent="0.3">
      <c r="A3916" t="s">
        <v>6058</v>
      </c>
      <c r="F3916" t="str">
        <f t="shared" ref="F3916" si="3908">LEFT(A3916, LEN(A3916) - 1)</f>
        <v>&gt;1956:CTGGAT:14.00:50.00:OK:6:1807.23</v>
      </c>
    </row>
    <row r="3917" spans="1:6" x14ac:dyDescent="0.3">
      <c r="A3917" t="s">
        <v>1962</v>
      </c>
      <c r="F3917" t="str">
        <f t="shared" ref="F3917" si="3909">A3917</f>
        <v>CTGGAT</v>
      </c>
    </row>
    <row r="3918" spans="1:6" x14ac:dyDescent="0.3">
      <c r="A3918" t="s">
        <v>6059</v>
      </c>
      <c r="F3918" t="str">
        <f t="shared" ref="F3918" si="3910">LEFT(A3918, LEN(A3918) - 1)</f>
        <v>&gt;1957:CTGGCA:20.00:66.67:Warning:6:1792.22</v>
      </c>
    </row>
    <row r="3919" spans="1:6" x14ac:dyDescent="0.3">
      <c r="A3919" t="s">
        <v>1963</v>
      </c>
      <c r="F3919" t="str">
        <f t="shared" ref="F3919" si="3911">A3919</f>
        <v>CTGGCA</v>
      </c>
    </row>
    <row r="3920" spans="1:6" x14ac:dyDescent="0.3">
      <c r="A3920" t="s">
        <v>6060</v>
      </c>
      <c r="F3920" t="str">
        <f t="shared" ref="F3920" si="3912">LEFT(A3920, LEN(A3920) - 1)</f>
        <v>&gt;1958:CTGGCC:18.00:83.33:Warning:6:1768.19</v>
      </c>
    </row>
    <row r="3921" spans="1:6" x14ac:dyDescent="0.3">
      <c r="A3921" t="s">
        <v>1964</v>
      </c>
      <c r="F3921" t="str">
        <f t="shared" ref="F3921" si="3913">A3921</f>
        <v>CTGGCC</v>
      </c>
    </row>
    <row r="3922" spans="1:6" x14ac:dyDescent="0.3">
      <c r="A3922" t="s">
        <v>6061</v>
      </c>
      <c r="F3922" t="str">
        <f t="shared" ref="F3922" si="3914">LEFT(A3922, LEN(A3922) - 1)</f>
        <v>&gt;1959:CTGGCG:18.00:83.33:Warning:6:1808.22</v>
      </c>
    </row>
    <row r="3923" spans="1:6" x14ac:dyDescent="0.3">
      <c r="A3923" t="s">
        <v>1965</v>
      </c>
      <c r="F3923" t="str">
        <f t="shared" ref="F3923" si="3915">A3923</f>
        <v>CTGGCG</v>
      </c>
    </row>
    <row r="3924" spans="1:6" x14ac:dyDescent="0.3">
      <c r="A3924" t="s">
        <v>6062</v>
      </c>
      <c r="F3924" t="str">
        <f t="shared" ref="F3924" si="3916">LEFT(A3924, LEN(A3924) - 1)</f>
        <v>&gt;1960:CTGGCT:12.00:66.67:Warning:6:1783.20</v>
      </c>
    </row>
    <row r="3925" spans="1:6" x14ac:dyDescent="0.3">
      <c r="A3925" t="s">
        <v>1966</v>
      </c>
      <c r="F3925" t="str">
        <f t="shared" ref="F3925" si="3917">A3925</f>
        <v>CTGGCT</v>
      </c>
    </row>
    <row r="3926" spans="1:6" x14ac:dyDescent="0.3">
      <c r="A3926" t="s">
        <v>6063</v>
      </c>
      <c r="F3926" t="str">
        <f t="shared" ref="F3926" si="3918">LEFT(A3926, LEN(A3926) - 1)</f>
        <v>&gt;1961:CTGGGA:20.00:66.67:Warning:6:1832.25</v>
      </c>
    </row>
    <row r="3927" spans="1:6" x14ac:dyDescent="0.3">
      <c r="A3927" t="s">
        <v>1967</v>
      </c>
      <c r="F3927" t="str">
        <f t="shared" ref="F3927" si="3919">A3927</f>
        <v>CTGGGA</v>
      </c>
    </row>
    <row r="3928" spans="1:6" x14ac:dyDescent="0.3">
      <c r="A3928" t="s">
        <v>6064</v>
      </c>
      <c r="F3928" t="str">
        <f t="shared" ref="F3928" si="3920">LEFT(A3928, LEN(A3928) - 1)</f>
        <v>&gt;1962:CTGGGC:18.00:83.33:Warning:6:1808.22</v>
      </c>
    </row>
    <row r="3929" spans="1:6" x14ac:dyDescent="0.3">
      <c r="A3929" t="s">
        <v>1968</v>
      </c>
      <c r="F3929" t="str">
        <f t="shared" ref="F3929" si="3921">A3929</f>
        <v>CTGGGC</v>
      </c>
    </row>
    <row r="3930" spans="1:6" x14ac:dyDescent="0.3">
      <c r="A3930" t="s">
        <v>6065</v>
      </c>
      <c r="F3930" t="str">
        <f t="shared" ref="F3930" si="3922">LEFT(A3930, LEN(A3930) - 1)</f>
        <v>&gt;1963:CTGGGG:18.00:83.33:Warning:6:1848.25</v>
      </c>
    </row>
    <row r="3931" spans="1:6" x14ac:dyDescent="0.3">
      <c r="A3931" t="s">
        <v>1969</v>
      </c>
      <c r="F3931" t="str">
        <f t="shared" ref="F3931" si="3923">A3931</f>
        <v>CTGGGG</v>
      </c>
    </row>
    <row r="3932" spans="1:6" x14ac:dyDescent="0.3">
      <c r="A3932" t="s">
        <v>6066</v>
      </c>
      <c r="F3932" t="str">
        <f t="shared" ref="F3932" si="3924">LEFT(A3932, LEN(A3932) - 1)</f>
        <v>&gt;1964:CTGGGT:12.00:66.67:Warning:6:1823.23</v>
      </c>
    </row>
    <row r="3933" spans="1:6" x14ac:dyDescent="0.3">
      <c r="A3933" t="s">
        <v>1970</v>
      </c>
      <c r="F3933" t="str">
        <f t="shared" ref="F3933" si="3925">A3933</f>
        <v>CTGGGT</v>
      </c>
    </row>
    <row r="3934" spans="1:6" x14ac:dyDescent="0.3">
      <c r="A3934" t="s">
        <v>6067</v>
      </c>
      <c r="F3934" t="str">
        <f t="shared" ref="F3934" si="3926">LEFT(A3934, LEN(A3934) - 1)</f>
        <v>&gt;1965:CTGGTA:14.00:50.00:OK:6:1807.23</v>
      </c>
    </row>
    <row r="3935" spans="1:6" x14ac:dyDescent="0.3">
      <c r="A3935" t="s">
        <v>1971</v>
      </c>
      <c r="F3935" t="str">
        <f t="shared" ref="F3935" si="3927">A3935</f>
        <v>CTGGTA</v>
      </c>
    </row>
    <row r="3936" spans="1:6" x14ac:dyDescent="0.3">
      <c r="A3936" t="s">
        <v>6068</v>
      </c>
      <c r="F3936" t="str">
        <f t="shared" ref="F3936" si="3928">LEFT(A3936, LEN(A3936) - 1)</f>
        <v>&gt;1966:CTGGTC:12.00:66.67:Warning:6:1783.20</v>
      </c>
    </row>
    <row r="3937" spans="1:6" x14ac:dyDescent="0.3">
      <c r="A3937" t="s">
        <v>1972</v>
      </c>
      <c r="F3937" t="str">
        <f t="shared" ref="F3937" si="3929">A3937</f>
        <v>CTGGTC</v>
      </c>
    </row>
    <row r="3938" spans="1:6" x14ac:dyDescent="0.3">
      <c r="A3938" t="s">
        <v>6069</v>
      </c>
      <c r="F3938" t="str">
        <f t="shared" ref="F3938" si="3930">LEFT(A3938, LEN(A3938) - 1)</f>
        <v>&gt;1967:CTGGTG:12.00:66.67:Warning:6:1823.23</v>
      </c>
    </row>
    <row r="3939" spans="1:6" x14ac:dyDescent="0.3">
      <c r="A3939" t="s">
        <v>1973</v>
      </c>
      <c r="F3939" t="str">
        <f t="shared" ref="F3939" si="3931">A3939</f>
        <v>CTGGTG</v>
      </c>
    </row>
    <row r="3940" spans="1:6" x14ac:dyDescent="0.3">
      <c r="A3940" t="s">
        <v>6070</v>
      </c>
      <c r="F3940" t="str">
        <f t="shared" ref="F3940" si="3932">LEFT(A3940, LEN(A3940) - 1)</f>
        <v>&gt;1968:CTGGTT:6.00:50.00:OK:6:1798.21</v>
      </c>
    </row>
    <row r="3941" spans="1:6" x14ac:dyDescent="0.3">
      <c r="A3941" t="s">
        <v>1974</v>
      </c>
      <c r="F3941" t="str">
        <f t="shared" ref="F3941" si="3933">A3941</f>
        <v>CTGGTT</v>
      </c>
    </row>
    <row r="3942" spans="1:6" x14ac:dyDescent="0.3">
      <c r="A3942" t="s">
        <v>6071</v>
      </c>
      <c r="F3942" t="str">
        <f t="shared" ref="F3942" si="3934">LEFT(A3942, LEN(A3942) - 1)</f>
        <v>&gt;1969:CTGTAA:16.00:33.33:OK:6:1791.23</v>
      </c>
    </row>
    <row r="3943" spans="1:6" x14ac:dyDescent="0.3">
      <c r="A3943" t="s">
        <v>1975</v>
      </c>
      <c r="F3943" t="str">
        <f t="shared" ref="F3943" si="3935">A3943</f>
        <v>CTGTAA</v>
      </c>
    </row>
    <row r="3944" spans="1:6" x14ac:dyDescent="0.3">
      <c r="A3944" t="s">
        <v>6072</v>
      </c>
      <c r="F3944" t="str">
        <f t="shared" ref="F3944" si="3936">LEFT(A3944, LEN(A3944) - 1)</f>
        <v>&gt;1970:CTGTAC:14.00:50.00:OK:6:1767.20</v>
      </c>
    </row>
    <row r="3945" spans="1:6" x14ac:dyDescent="0.3">
      <c r="A3945" t="s">
        <v>1976</v>
      </c>
      <c r="F3945" t="str">
        <f t="shared" ref="F3945" si="3937">A3945</f>
        <v>CTGTAC</v>
      </c>
    </row>
    <row r="3946" spans="1:6" x14ac:dyDescent="0.3">
      <c r="A3946" t="s">
        <v>6073</v>
      </c>
      <c r="F3946" t="str">
        <f t="shared" ref="F3946" si="3938">LEFT(A3946, LEN(A3946) - 1)</f>
        <v>&gt;1971:CTGTAG:14.00:50.00:OK:6:1807.23</v>
      </c>
    </row>
    <row r="3947" spans="1:6" x14ac:dyDescent="0.3">
      <c r="A3947" t="s">
        <v>1977</v>
      </c>
      <c r="F3947" t="str">
        <f t="shared" ref="F3947" si="3939">A3947</f>
        <v>CTGTAG</v>
      </c>
    </row>
    <row r="3948" spans="1:6" x14ac:dyDescent="0.3">
      <c r="A3948" t="s">
        <v>6074</v>
      </c>
      <c r="F3948" t="str">
        <f t="shared" ref="F3948" si="3940">LEFT(A3948, LEN(A3948) - 1)</f>
        <v>&gt;1972:CTGTAT:8.00:33.33:OK:6:1782.21</v>
      </c>
    </row>
    <row r="3949" spans="1:6" x14ac:dyDescent="0.3">
      <c r="A3949" t="s">
        <v>1978</v>
      </c>
      <c r="F3949" t="str">
        <f t="shared" ref="F3949" si="3941">A3949</f>
        <v>CTGTAT</v>
      </c>
    </row>
    <row r="3950" spans="1:6" x14ac:dyDescent="0.3">
      <c r="A3950" t="s">
        <v>6075</v>
      </c>
      <c r="F3950" t="str">
        <f t="shared" ref="F3950" si="3942">LEFT(A3950, LEN(A3950) - 1)</f>
        <v>&gt;1973:CTGTCA:14.00:50.00:OK:6:1767.20</v>
      </c>
    </row>
    <row r="3951" spans="1:6" x14ac:dyDescent="0.3">
      <c r="A3951" t="s">
        <v>1979</v>
      </c>
      <c r="F3951" t="str">
        <f t="shared" ref="F3951" si="3943">A3951</f>
        <v>CTGTCA</v>
      </c>
    </row>
    <row r="3952" spans="1:6" x14ac:dyDescent="0.3">
      <c r="A3952" t="s">
        <v>6076</v>
      </c>
      <c r="F3952" t="str">
        <f t="shared" ref="F3952" si="3944">LEFT(A3952, LEN(A3952) - 1)</f>
        <v>&gt;1974:CTGTCC:12.00:66.67:Warning:6:1743.17</v>
      </c>
    </row>
    <row r="3953" spans="1:6" x14ac:dyDescent="0.3">
      <c r="A3953" t="s">
        <v>1980</v>
      </c>
      <c r="F3953" t="str">
        <f t="shared" ref="F3953" si="3945">A3953</f>
        <v>CTGTCC</v>
      </c>
    </row>
    <row r="3954" spans="1:6" x14ac:dyDescent="0.3">
      <c r="A3954" t="s">
        <v>6077</v>
      </c>
      <c r="F3954" t="str">
        <f t="shared" ref="F3954" si="3946">LEFT(A3954, LEN(A3954) - 1)</f>
        <v>&gt;1975:CTGTCG:12.00:66.67:Warning:6:1783.20</v>
      </c>
    </row>
    <row r="3955" spans="1:6" x14ac:dyDescent="0.3">
      <c r="A3955" t="s">
        <v>1981</v>
      </c>
      <c r="F3955" t="str">
        <f t="shared" ref="F3955" si="3947">A3955</f>
        <v>CTGTCG</v>
      </c>
    </row>
    <row r="3956" spans="1:6" x14ac:dyDescent="0.3">
      <c r="A3956" t="s">
        <v>6078</v>
      </c>
      <c r="F3956" t="str">
        <f t="shared" ref="F3956" si="3948">LEFT(A3956, LEN(A3956) - 1)</f>
        <v>&gt;1976:CTGTCT:6.00:50.00:OK:6:1758.18</v>
      </c>
    </row>
    <row r="3957" spans="1:6" x14ac:dyDescent="0.3">
      <c r="A3957" t="s">
        <v>1982</v>
      </c>
      <c r="F3957" t="str">
        <f t="shared" ref="F3957" si="3949">A3957</f>
        <v>CTGTCT</v>
      </c>
    </row>
    <row r="3958" spans="1:6" x14ac:dyDescent="0.3">
      <c r="A3958" t="s">
        <v>6079</v>
      </c>
      <c r="F3958" t="str">
        <f t="shared" ref="F3958" si="3950">LEFT(A3958, LEN(A3958) - 1)</f>
        <v>&gt;1977:CTGTGA:14.00:50.00:OK:6:1807.23</v>
      </c>
    </row>
    <row r="3959" spans="1:6" x14ac:dyDescent="0.3">
      <c r="A3959" t="s">
        <v>1983</v>
      </c>
      <c r="F3959" t="str">
        <f t="shared" ref="F3959" si="3951">A3959</f>
        <v>CTGTGA</v>
      </c>
    </row>
    <row r="3960" spans="1:6" x14ac:dyDescent="0.3">
      <c r="A3960" t="s">
        <v>6080</v>
      </c>
      <c r="F3960" t="str">
        <f t="shared" ref="F3960" si="3952">LEFT(A3960, LEN(A3960) - 1)</f>
        <v>&gt;1978:CTGTGC:12.00:66.67:Warning:6:1783.20</v>
      </c>
    </row>
    <row r="3961" spans="1:6" x14ac:dyDescent="0.3">
      <c r="A3961" t="s">
        <v>1984</v>
      </c>
      <c r="F3961" t="str">
        <f t="shared" ref="F3961" si="3953">A3961</f>
        <v>CTGTGC</v>
      </c>
    </row>
    <row r="3962" spans="1:6" x14ac:dyDescent="0.3">
      <c r="A3962" t="s">
        <v>6081</v>
      </c>
      <c r="F3962" t="str">
        <f t="shared" ref="F3962" si="3954">LEFT(A3962, LEN(A3962) - 1)</f>
        <v>&gt;1979:CTGTGG:12.00:66.67:Warning:6:1823.23</v>
      </c>
    </row>
    <row r="3963" spans="1:6" x14ac:dyDescent="0.3">
      <c r="A3963" t="s">
        <v>1985</v>
      </c>
      <c r="F3963" t="str">
        <f t="shared" ref="F3963" si="3955">A3963</f>
        <v>CTGTGG</v>
      </c>
    </row>
    <row r="3964" spans="1:6" x14ac:dyDescent="0.3">
      <c r="A3964" t="s">
        <v>6082</v>
      </c>
      <c r="F3964" t="str">
        <f t="shared" ref="F3964" si="3956">LEFT(A3964, LEN(A3964) - 1)</f>
        <v>&gt;1980:CTGTGT:6.00:50.00:OK:6:1798.21</v>
      </c>
    </row>
    <row r="3965" spans="1:6" x14ac:dyDescent="0.3">
      <c r="A3965" t="s">
        <v>1986</v>
      </c>
      <c r="F3965" t="str">
        <f t="shared" ref="F3965" si="3957">A3965</f>
        <v>CTGTGT</v>
      </c>
    </row>
    <row r="3966" spans="1:6" x14ac:dyDescent="0.3">
      <c r="A3966" t="s">
        <v>6083</v>
      </c>
      <c r="F3966" t="str">
        <f t="shared" ref="F3966" si="3958">LEFT(A3966, LEN(A3966) - 1)</f>
        <v>&gt;1981:CTGTTA:8.00:33.33:OK:6:1782.21</v>
      </c>
    </row>
    <row r="3967" spans="1:6" x14ac:dyDescent="0.3">
      <c r="A3967" t="s">
        <v>1987</v>
      </c>
      <c r="F3967" t="str">
        <f t="shared" ref="F3967" si="3959">A3967</f>
        <v>CTGTTA</v>
      </c>
    </row>
    <row r="3968" spans="1:6" x14ac:dyDescent="0.3">
      <c r="A3968" t="s">
        <v>6084</v>
      </c>
      <c r="F3968" t="str">
        <f t="shared" ref="F3968" si="3960">LEFT(A3968, LEN(A3968) - 1)</f>
        <v>&gt;1982:CTGTTC:6.00:50.00:OK:6:1758.18</v>
      </c>
    </row>
    <row r="3969" spans="1:6" x14ac:dyDescent="0.3">
      <c r="A3969" t="s">
        <v>1988</v>
      </c>
      <c r="F3969" t="str">
        <f t="shared" ref="F3969" si="3961">A3969</f>
        <v>CTGTTC</v>
      </c>
    </row>
    <row r="3970" spans="1:6" x14ac:dyDescent="0.3">
      <c r="A3970" t="s">
        <v>6085</v>
      </c>
      <c r="F3970" t="str">
        <f t="shared" ref="F3970" si="3962">LEFT(A3970, LEN(A3970) - 1)</f>
        <v>&gt;1983:CTGTTG:6.00:50.00:OK:6:1798.21</v>
      </c>
    </row>
    <row r="3971" spans="1:6" x14ac:dyDescent="0.3">
      <c r="A3971" t="s">
        <v>1989</v>
      </c>
      <c r="F3971" t="str">
        <f t="shared" ref="F3971" si="3963">A3971</f>
        <v>CTGTTG</v>
      </c>
    </row>
    <row r="3972" spans="1:6" x14ac:dyDescent="0.3">
      <c r="A3972" t="s">
        <v>6086</v>
      </c>
      <c r="F3972" t="str">
        <f t="shared" ref="F3972" si="3964">LEFT(A3972, LEN(A3972) - 1)</f>
        <v>&gt;1984:CTGTTT:0.00:33.33:OK:6:1773.19</v>
      </c>
    </row>
    <row r="3973" spans="1:6" x14ac:dyDescent="0.3">
      <c r="A3973" t="s">
        <v>1990</v>
      </c>
      <c r="F3973" t="str">
        <f t="shared" ref="F3973" si="3965">A3973</f>
        <v>CTGTTT</v>
      </c>
    </row>
    <row r="3974" spans="1:6" x14ac:dyDescent="0.3">
      <c r="A3974" t="s">
        <v>6087</v>
      </c>
      <c r="F3974" t="str">
        <f t="shared" ref="F3974" si="3966">LEFT(A3974, LEN(A3974) - 1)</f>
        <v>&gt;1985:CTTAAA:18.00:16.67:OK:6:1775.23</v>
      </c>
    </row>
    <row r="3975" spans="1:6" x14ac:dyDescent="0.3">
      <c r="A3975" t="s">
        <v>1991</v>
      </c>
      <c r="F3975" t="str">
        <f t="shared" ref="F3975" si="3967">A3975</f>
        <v>CTTAAA</v>
      </c>
    </row>
    <row r="3976" spans="1:6" x14ac:dyDescent="0.3">
      <c r="A3976" t="s">
        <v>6088</v>
      </c>
      <c r="F3976" t="str">
        <f t="shared" ref="F3976" si="3968">LEFT(A3976, LEN(A3976) - 1)</f>
        <v>&gt;1986:CTTAAC:16.00:33.33:OK:6:1751.20</v>
      </c>
    </row>
    <row r="3977" spans="1:6" x14ac:dyDescent="0.3">
      <c r="A3977" t="s">
        <v>1992</v>
      </c>
      <c r="F3977" t="str">
        <f t="shared" ref="F3977" si="3969">A3977</f>
        <v>CTTAAC</v>
      </c>
    </row>
    <row r="3978" spans="1:6" x14ac:dyDescent="0.3">
      <c r="A3978" t="s">
        <v>6089</v>
      </c>
      <c r="F3978" t="str">
        <f t="shared" ref="F3978" si="3970">LEFT(A3978, LEN(A3978) - 1)</f>
        <v>&gt;1987:CTTAAG:16.00:33.33:OK:6:1791.23</v>
      </c>
    </row>
    <row r="3979" spans="1:6" x14ac:dyDescent="0.3">
      <c r="A3979" t="s">
        <v>1993</v>
      </c>
      <c r="F3979" t="str">
        <f t="shared" ref="F3979" si="3971">A3979</f>
        <v>CTTAAG</v>
      </c>
    </row>
    <row r="3980" spans="1:6" x14ac:dyDescent="0.3">
      <c r="A3980" t="s">
        <v>6090</v>
      </c>
      <c r="F3980" t="str">
        <f t="shared" ref="F3980" si="3972">LEFT(A3980, LEN(A3980) - 1)</f>
        <v>&gt;1988:CTTAAT:10.00:16.67:OK:6:1766.21</v>
      </c>
    </row>
    <row r="3981" spans="1:6" x14ac:dyDescent="0.3">
      <c r="A3981" t="s">
        <v>1994</v>
      </c>
      <c r="F3981" t="str">
        <f t="shared" ref="F3981" si="3973">A3981</f>
        <v>CTTAAT</v>
      </c>
    </row>
    <row r="3982" spans="1:6" x14ac:dyDescent="0.3">
      <c r="A3982" t="s">
        <v>6091</v>
      </c>
      <c r="F3982" t="str">
        <f t="shared" ref="F3982" si="3974">LEFT(A3982, LEN(A3982) - 1)</f>
        <v>&gt;1989:CTTACA:16.00:33.33:OK:6:1751.20</v>
      </c>
    </row>
    <row r="3983" spans="1:6" x14ac:dyDescent="0.3">
      <c r="A3983" t="s">
        <v>1995</v>
      </c>
      <c r="F3983" t="str">
        <f t="shared" ref="F3983" si="3975">A3983</f>
        <v>CTTACA</v>
      </c>
    </row>
    <row r="3984" spans="1:6" x14ac:dyDescent="0.3">
      <c r="A3984" t="s">
        <v>6092</v>
      </c>
      <c r="F3984" t="str">
        <f t="shared" ref="F3984" si="3976">LEFT(A3984, LEN(A3984) - 1)</f>
        <v>&gt;1990:CTTACC:14.00:50.00:OK:6:1727.17</v>
      </c>
    </row>
    <row r="3985" spans="1:6" x14ac:dyDescent="0.3">
      <c r="A3985" t="s">
        <v>1996</v>
      </c>
      <c r="F3985" t="str">
        <f t="shared" ref="F3985" si="3977">A3985</f>
        <v>CTTACC</v>
      </c>
    </row>
    <row r="3986" spans="1:6" x14ac:dyDescent="0.3">
      <c r="A3986" t="s">
        <v>6093</v>
      </c>
      <c r="F3986" t="str">
        <f t="shared" ref="F3986" si="3978">LEFT(A3986, LEN(A3986) - 1)</f>
        <v>&gt;1991:CTTACG:14.00:50.00:OK:6:1767.20</v>
      </c>
    </row>
    <row r="3987" spans="1:6" x14ac:dyDescent="0.3">
      <c r="A3987" t="s">
        <v>1997</v>
      </c>
      <c r="F3987" t="str">
        <f t="shared" ref="F3987" si="3979">A3987</f>
        <v>CTTACG</v>
      </c>
    </row>
    <row r="3988" spans="1:6" x14ac:dyDescent="0.3">
      <c r="A3988" t="s">
        <v>6094</v>
      </c>
      <c r="F3988" t="str">
        <f t="shared" ref="F3988" si="3980">LEFT(A3988, LEN(A3988) - 1)</f>
        <v>&gt;1992:CTTACT:8.00:33.33:OK:6:1742.18</v>
      </c>
    </row>
    <row r="3989" spans="1:6" x14ac:dyDescent="0.3">
      <c r="A3989" t="s">
        <v>1998</v>
      </c>
      <c r="F3989" t="str">
        <f t="shared" ref="F3989" si="3981">A3989</f>
        <v>CTTACT</v>
      </c>
    </row>
    <row r="3990" spans="1:6" x14ac:dyDescent="0.3">
      <c r="A3990" t="s">
        <v>6095</v>
      </c>
      <c r="F3990" t="str">
        <f t="shared" ref="F3990" si="3982">LEFT(A3990, LEN(A3990) - 1)</f>
        <v>&gt;1993:CTTAGA:16.00:33.33:OK:6:1791.23</v>
      </c>
    </row>
    <row r="3991" spans="1:6" x14ac:dyDescent="0.3">
      <c r="A3991" t="s">
        <v>1999</v>
      </c>
      <c r="F3991" t="str">
        <f t="shared" ref="F3991" si="3983">A3991</f>
        <v>CTTAGA</v>
      </c>
    </row>
    <row r="3992" spans="1:6" x14ac:dyDescent="0.3">
      <c r="A3992" t="s">
        <v>6096</v>
      </c>
      <c r="F3992" t="str">
        <f t="shared" ref="F3992" si="3984">LEFT(A3992, LEN(A3992) - 1)</f>
        <v>&gt;1994:CTTAGC:14.00:50.00:OK:6:1767.20</v>
      </c>
    </row>
    <row r="3993" spans="1:6" x14ac:dyDescent="0.3">
      <c r="A3993" t="s">
        <v>2000</v>
      </c>
      <c r="F3993" t="str">
        <f t="shared" ref="F3993" si="3985">A3993</f>
        <v>CTTAGC</v>
      </c>
    </row>
    <row r="3994" spans="1:6" x14ac:dyDescent="0.3">
      <c r="A3994" t="s">
        <v>6097</v>
      </c>
      <c r="F3994" t="str">
        <f t="shared" ref="F3994" si="3986">LEFT(A3994, LEN(A3994) - 1)</f>
        <v>&gt;1995:CTTAGG:14.00:50.00:OK:6:1807.23</v>
      </c>
    </row>
    <row r="3995" spans="1:6" x14ac:dyDescent="0.3">
      <c r="A3995" t="s">
        <v>2001</v>
      </c>
      <c r="F3995" t="str">
        <f t="shared" ref="F3995" si="3987">A3995</f>
        <v>CTTAGG</v>
      </c>
    </row>
    <row r="3996" spans="1:6" x14ac:dyDescent="0.3">
      <c r="A3996" t="s">
        <v>6098</v>
      </c>
      <c r="F3996" t="str">
        <f t="shared" ref="F3996" si="3988">LEFT(A3996, LEN(A3996) - 1)</f>
        <v>&gt;1996:CTTAGT:8.00:33.33:OK:6:1782.21</v>
      </c>
    </row>
    <row r="3997" spans="1:6" x14ac:dyDescent="0.3">
      <c r="A3997" t="s">
        <v>2002</v>
      </c>
      <c r="F3997" t="str">
        <f t="shared" ref="F3997" si="3989">A3997</f>
        <v>CTTAGT</v>
      </c>
    </row>
    <row r="3998" spans="1:6" x14ac:dyDescent="0.3">
      <c r="A3998" t="s">
        <v>6099</v>
      </c>
      <c r="F3998" t="str">
        <f t="shared" ref="F3998" si="3990">LEFT(A3998, LEN(A3998) - 1)</f>
        <v>&gt;1997:CTTATA:10.00:16.67:OK:6:1766.21</v>
      </c>
    </row>
    <row r="3999" spans="1:6" x14ac:dyDescent="0.3">
      <c r="A3999" t="s">
        <v>2003</v>
      </c>
      <c r="F3999" t="str">
        <f t="shared" ref="F3999" si="3991">A3999</f>
        <v>CTTATA</v>
      </c>
    </row>
    <row r="4000" spans="1:6" x14ac:dyDescent="0.3">
      <c r="A4000" t="s">
        <v>6100</v>
      </c>
      <c r="F4000" t="str">
        <f t="shared" ref="F4000" si="3992">LEFT(A4000, LEN(A4000) - 1)</f>
        <v>&gt;1998:CTTATC:8.00:33.33:OK:6:1742.18</v>
      </c>
    </row>
    <row r="4001" spans="1:6" x14ac:dyDescent="0.3">
      <c r="A4001" t="s">
        <v>2004</v>
      </c>
      <c r="F4001" t="str">
        <f t="shared" ref="F4001" si="3993">A4001</f>
        <v>CTTATC</v>
      </c>
    </row>
    <row r="4002" spans="1:6" x14ac:dyDescent="0.3">
      <c r="A4002" t="s">
        <v>6101</v>
      </c>
      <c r="F4002" t="str">
        <f t="shared" ref="F4002" si="3994">LEFT(A4002, LEN(A4002) - 1)</f>
        <v>&gt;1999:CTTATG:8.00:33.33:OK:6:1782.21</v>
      </c>
    </row>
    <row r="4003" spans="1:6" x14ac:dyDescent="0.3">
      <c r="A4003" t="s">
        <v>2005</v>
      </c>
      <c r="F4003" t="str">
        <f t="shared" ref="F4003" si="3995">A4003</f>
        <v>CTTATG</v>
      </c>
    </row>
    <row r="4004" spans="1:6" x14ac:dyDescent="0.3">
      <c r="A4004" t="s">
        <v>6102</v>
      </c>
      <c r="F4004" t="str">
        <f t="shared" ref="F4004" si="3996">LEFT(A4004, LEN(A4004) - 1)</f>
        <v>&gt;2000:CTTATT:2.00:16.67:OK:6:1757.19</v>
      </c>
    </row>
    <row r="4005" spans="1:6" x14ac:dyDescent="0.3">
      <c r="A4005" t="s">
        <v>2006</v>
      </c>
      <c r="F4005" t="str">
        <f t="shared" ref="F4005" si="3997">A4005</f>
        <v>CTTATT</v>
      </c>
    </row>
    <row r="4006" spans="1:6" x14ac:dyDescent="0.3">
      <c r="A4006" t="s">
        <v>6103</v>
      </c>
      <c r="F4006" t="str">
        <f t="shared" ref="F4006" si="3998">LEFT(A4006, LEN(A4006) - 1)</f>
        <v>&gt;2001:CTTCAA:16.00:33.33:OK:6:1751.20</v>
      </c>
    </row>
    <row r="4007" spans="1:6" x14ac:dyDescent="0.3">
      <c r="A4007" t="s">
        <v>2007</v>
      </c>
      <c r="F4007" t="str">
        <f t="shared" ref="F4007" si="3999">A4007</f>
        <v>CTTCAA</v>
      </c>
    </row>
    <row r="4008" spans="1:6" x14ac:dyDescent="0.3">
      <c r="A4008" t="s">
        <v>6104</v>
      </c>
      <c r="F4008" t="str">
        <f t="shared" ref="F4008" si="4000">LEFT(A4008, LEN(A4008) - 1)</f>
        <v>&gt;2002:CTTCAC:14.00:50.00:OK:6:1727.17</v>
      </c>
    </row>
    <row r="4009" spans="1:6" x14ac:dyDescent="0.3">
      <c r="A4009" t="s">
        <v>2008</v>
      </c>
      <c r="F4009" t="str">
        <f t="shared" ref="F4009" si="4001">A4009</f>
        <v>CTTCAC</v>
      </c>
    </row>
    <row r="4010" spans="1:6" x14ac:dyDescent="0.3">
      <c r="A4010" t="s">
        <v>6105</v>
      </c>
      <c r="F4010" t="str">
        <f t="shared" ref="F4010" si="4002">LEFT(A4010, LEN(A4010) - 1)</f>
        <v>&gt;2003:CTTCAG:14.00:50.00:OK:6:1767.20</v>
      </c>
    </row>
    <row r="4011" spans="1:6" x14ac:dyDescent="0.3">
      <c r="A4011" t="s">
        <v>2009</v>
      </c>
      <c r="F4011" t="str">
        <f t="shared" ref="F4011" si="4003">A4011</f>
        <v>CTTCAG</v>
      </c>
    </row>
    <row r="4012" spans="1:6" x14ac:dyDescent="0.3">
      <c r="A4012" t="s">
        <v>6106</v>
      </c>
      <c r="F4012" t="str">
        <f t="shared" ref="F4012" si="4004">LEFT(A4012, LEN(A4012) - 1)</f>
        <v>&gt;2004:CTTCAT:8.00:33.33:OK:6:1742.18</v>
      </c>
    </row>
    <row r="4013" spans="1:6" x14ac:dyDescent="0.3">
      <c r="A4013" t="s">
        <v>2010</v>
      </c>
      <c r="F4013" t="str">
        <f t="shared" ref="F4013" si="4005">A4013</f>
        <v>CTTCAT</v>
      </c>
    </row>
    <row r="4014" spans="1:6" x14ac:dyDescent="0.3">
      <c r="A4014" t="s">
        <v>6107</v>
      </c>
      <c r="F4014" t="str">
        <f t="shared" ref="F4014" si="4006">LEFT(A4014, LEN(A4014) - 1)</f>
        <v>&gt;2005:CTTCCA:14.00:50.00:OK:6:1727.17</v>
      </c>
    </row>
    <row r="4015" spans="1:6" x14ac:dyDescent="0.3">
      <c r="A4015" t="s">
        <v>2011</v>
      </c>
      <c r="F4015" t="str">
        <f t="shared" ref="F4015" si="4007">A4015</f>
        <v>CTTCCA</v>
      </c>
    </row>
    <row r="4016" spans="1:6" x14ac:dyDescent="0.3">
      <c r="A4016" t="s">
        <v>6108</v>
      </c>
      <c r="F4016" t="str">
        <f t="shared" ref="F4016" si="4008">LEFT(A4016, LEN(A4016) - 1)</f>
        <v>&gt;2006:CTTCCC:12.00:66.67:Warning:6:1703.14</v>
      </c>
    </row>
    <row r="4017" spans="1:6" x14ac:dyDescent="0.3">
      <c r="A4017" t="s">
        <v>2012</v>
      </c>
      <c r="F4017" t="str">
        <f t="shared" ref="F4017" si="4009">A4017</f>
        <v>CTTCCC</v>
      </c>
    </row>
    <row r="4018" spans="1:6" x14ac:dyDescent="0.3">
      <c r="A4018" t="s">
        <v>6109</v>
      </c>
      <c r="F4018" t="str">
        <f t="shared" ref="F4018" si="4010">LEFT(A4018, LEN(A4018) - 1)</f>
        <v>&gt;2007:CTTCCG:12.00:66.67:Warning:6:1743.17</v>
      </c>
    </row>
    <row r="4019" spans="1:6" x14ac:dyDescent="0.3">
      <c r="A4019" t="s">
        <v>2013</v>
      </c>
      <c r="F4019" t="str">
        <f t="shared" ref="F4019" si="4011">A4019</f>
        <v>CTTCCG</v>
      </c>
    </row>
    <row r="4020" spans="1:6" x14ac:dyDescent="0.3">
      <c r="A4020" t="s">
        <v>6110</v>
      </c>
      <c r="F4020" t="str">
        <f t="shared" ref="F4020" si="4012">LEFT(A4020, LEN(A4020) - 1)</f>
        <v>&gt;2008:CTTCCT:6.00:50.00:OK:6:1718.15</v>
      </c>
    </row>
    <row r="4021" spans="1:6" x14ac:dyDescent="0.3">
      <c r="A4021" t="s">
        <v>2014</v>
      </c>
      <c r="F4021" t="str">
        <f t="shared" ref="F4021" si="4013">A4021</f>
        <v>CTTCCT</v>
      </c>
    </row>
    <row r="4022" spans="1:6" x14ac:dyDescent="0.3">
      <c r="A4022" t="s">
        <v>6111</v>
      </c>
      <c r="F4022" t="str">
        <f t="shared" ref="F4022" si="4014">LEFT(A4022, LEN(A4022) - 1)</f>
        <v>&gt;2009:CTTCGA:14.00:50.00:OK:6:1767.20</v>
      </c>
    </row>
    <row r="4023" spans="1:6" x14ac:dyDescent="0.3">
      <c r="A4023" t="s">
        <v>2015</v>
      </c>
      <c r="F4023" t="str">
        <f t="shared" ref="F4023" si="4015">A4023</f>
        <v>CTTCGA</v>
      </c>
    </row>
    <row r="4024" spans="1:6" x14ac:dyDescent="0.3">
      <c r="A4024" t="s">
        <v>6112</v>
      </c>
      <c r="F4024" t="str">
        <f t="shared" ref="F4024" si="4016">LEFT(A4024, LEN(A4024) - 1)</f>
        <v>&gt;2010:CTTCGC:12.00:66.67:Warning:6:1743.17</v>
      </c>
    </row>
    <row r="4025" spans="1:6" x14ac:dyDescent="0.3">
      <c r="A4025" t="s">
        <v>2016</v>
      </c>
      <c r="F4025" t="str">
        <f t="shared" ref="F4025" si="4017">A4025</f>
        <v>CTTCGC</v>
      </c>
    </row>
    <row r="4026" spans="1:6" x14ac:dyDescent="0.3">
      <c r="A4026" t="s">
        <v>6113</v>
      </c>
      <c r="F4026" t="str">
        <f t="shared" ref="F4026" si="4018">LEFT(A4026, LEN(A4026) - 1)</f>
        <v>&gt;2011:CTTCGG:12.00:66.67:Warning:6:1783.20</v>
      </c>
    </row>
    <row r="4027" spans="1:6" x14ac:dyDescent="0.3">
      <c r="A4027" t="s">
        <v>2017</v>
      </c>
      <c r="F4027" t="str">
        <f t="shared" ref="F4027" si="4019">A4027</f>
        <v>CTTCGG</v>
      </c>
    </row>
    <row r="4028" spans="1:6" x14ac:dyDescent="0.3">
      <c r="A4028" t="s">
        <v>6114</v>
      </c>
      <c r="F4028" t="str">
        <f t="shared" ref="F4028" si="4020">LEFT(A4028, LEN(A4028) - 1)</f>
        <v>&gt;2012:CTTCGT:6.00:50.00:OK:6:1758.18</v>
      </c>
    </row>
    <row r="4029" spans="1:6" x14ac:dyDescent="0.3">
      <c r="A4029" t="s">
        <v>2018</v>
      </c>
      <c r="F4029" t="str">
        <f t="shared" ref="F4029" si="4021">A4029</f>
        <v>CTTCGT</v>
      </c>
    </row>
    <row r="4030" spans="1:6" x14ac:dyDescent="0.3">
      <c r="A4030" t="s">
        <v>6115</v>
      </c>
      <c r="F4030" t="str">
        <f t="shared" ref="F4030" si="4022">LEFT(A4030, LEN(A4030) - 1)</f>
        <v>&gt;2013:CTTCTA:8.00:33.33:OK:6:1742.18</v>
      </c>
    </row>
    <row r="4031" spans="1:6" x14ac:dyDescent="0.3">
      <c r="A4031" t="s">
        <v>2019</v>
      </c>
      <c r="F4031" t="str">
        <f t="shared" ref="F4031" si="4023">A4031</f>
        <v>CTTCTA</v>
      </c>
    </row>
    <row r="4032" spans="1:6" x14ac:dyDescent="0.3">
      <c r="A4032" t="s">
        <v>6116</v>
      </c>
      <c r="F4032" t="str">
        <f t="shared" ref="F4032" si="4024">LEFT(A4032, LEN(A4032) - 1)</f>
        <v>&gt;2014:CTTCTC:6.00:50.00:OK:6:1718.15</v>
      </c>
    </row>
    <row r="4033" spans="1:6" x14ac:dyDescent="0.3">
      <c r="A4033" t="s">
        <v>2020</v>
      </c>
      <c r="F4033" t="str">
        <f t="shared" ref="F4033" si="4025">A4033</f>
        <v>CTTCTC</v>
      </c>
    </row>
    <row r="4034" spans="1:6" x14ac:dyDescent="0.3">
      <c r="A4034" t="s">
        <v>6117</v>
      </c>
      <c r="F4034" t="str">
        <f t="shared" ref="F4034" si="4026">LEFT(A4034, LEN(A4034) - 1)</f>
        <v>&gt;2015:CTTCTG:6.00:50.00:OK:6:1758.18</v>
      </c>
    </row>
    <row r="4035" spans="1:6" x14ac:dyDescent="0.3">
      <c r="A4035" t="s">
        <v>2021</v>
      </c>
      <c r="F4035" t="str">
        <f t="shared" ref="F4035" si="4027">A4035</f>
        <v>CTTCTG</v>
      </c>
    </row>
    <row r="4036" spans="1:6" x14ac:dyDescent="0.3">
      <c r="A4036" t="s">
        <v>6118</v>
      </c>
      <c r="F4036" t="str">
        <f t="shared" ref="F4036" si="4028">LEFT(A4036, LEN(A4036) - 1)</f>
        <v>&gt;2016:CTTCTT:0.00:33.33:OK:6:1733.16</v>
      </c>
    </row>
    <row r="4037" spans="1:6" x14ac:dyDescent="0.3">
      <c r="A4037" t="s">
        <v>2022</v>
      </c>
      <c r="F4037" t="str">
        <f t="shared" ref="F4037" si="4029">A4037</f>
        <v>CTTCTT</v>
      </c>
    </row>
    <row r="4038" spans="1:6" x14ac:dyDescent="0.3">
      <c r="A4038" t="s">
        <v>6119</v>
      </c>
      <c r="F4038" t="str">
        <f t="shared" ref="F4038" si="4030">LEFT(A4038, LEN(A4038) - 1)</f>
        <v>&gt;2017:CTTGAA:16.00:33.33:OK:6:1791.23</v>
      </c>
    </row>
    <row r="4039" spans="1:6" x14ac:dyDescent="0.3">
      <c r="A4039" t="s">
        <v>2023</v>
      </c>
      <c r="F4039" t="str">
        <f t="shared" ref="F4039" si="4031">A4039</f>
        <v>CTTGAA</v>
      </c>
    </row>
    <row r="4040" spans="1:6" x14ac:dyDescent="0.3">
      <c r="A4040" t="s">
        <v>6120</v>
      </c>
      <c r="F4040" t="str">
        <f t="shared" ref="F4040" si="4032">LEFT(A4040, LEN(A4040) - 1)</f>
        <v>&gt;2018:CTTGAC:14.00:50.00:OK:6:1767.20</v>
      </c>
    </row>
    <row r="4041" spans="1:6" x14ac:dyDescent="0.3">
      <c r="A4041" t="s">
        <v>2024</v>
      </c>
      <c r="F4041" t="str">
        <f t="shared" ref="F4041" si="4033">A4041</f>
        <v>CTTGAC</v>
      </c>
    </row>
    <row r="4042" spans="1:6" x14ac:dyDescent="0.3">
      <c r="A4042" t="s">
        <v>6121</v>
      </c>
      <c r="F4042" t="str">
        <f t="shared" ref="F4042" si="4034">LEFT(A4042, LEN(A4042) - 1)</f>
        <v>&gt;2019:CTTGAG:14.00:50.00:OK:6:1807.23</v>
      </c>
    </row>
    <row r="4043" spans="1:6" x14ac:dyDescent="0.3">
      <c r="A4043" t="s">
        <v>2025</v>
      </c>
      <c r="F4043" t="str">
        <f t="shared" ref="F4043" si="4035">A4043</f>
        <v>CTTGAG</v>
      </c>
    </row>
    <row r="4044" spans="1:6" x14ac:dyDescent="0.3">
      <c r="A4044" t="s">
        <v>6122</v>
      </c>
      <c r="F4044" t="str">
        <f t="shared" ref="F4044" si="4036">LEFT(A4044, LEN(A4044) - 1)</f>
        <v>&gt;2020:CTTGAT:8.00:33.33:OK:6:1782.21</v>
      </c>
    </row>
    <row r="4045" spans="1:6" x14ac:dyDescent="0.3">
      <c r="A4045" t="s">
        <v>2026</v>
      </c>
      <c r="F4045" t="str">
        <f t="shared" ref="F4045" si="4037">A4045</f>
        <v>CTTGAT</v>
      </c>
    </row>
    <row r="4046" spans="1:6" x14ac:dyDescent="0.3">
      <c r="A4046" t="s">
        <v>6123</v>
      </c>
      <c r="F4046" t="str">
        <f t="shared" ref="F4046" si="4038">LEFT(A4046, LEN(A4046) - 1)</f>
        <v>&gt;2021:CTTGCA:14.00:50.00:OK:6:1767.20</v>
      </c>
    </row>
    <row r="4047" spans="1:6" x14ac:dyDescent="0.3">
      <c r="A4047" t="s">
        <v>2027</v>
      </c>
      <c r="F4047" t="str">
        <f t="shared" ref="F4047" si="4039">A4047</f>
        <v>CTTGCA</v>
      </c>
    </row>
    <row r="4048" spans="1:6" x14ac:dyDescent="0.3">
      <c r="A4048" t="s">
        <v>6124</v>
      </c>
      <c r="F4048" t="str">
        <f t="shared" ref="F4048" si="4040">LEFT(A4048, LEN(A4048) - 1)</f>
        <v>&gt;2022:CTTGCC:12.00:66.67:Warning:6:1743.17</v>
      </c>
    </row>
    <row r="4049" spans="1:6" x14ac:dyDescent="0.3">
      <c r="A4049" t="s">
        <v>2028</v>
      </c>
      <c r="F4049" t="str">
        <f t="shared" ref="F4049" si="4041">A4049</f>
        <v>CTTGCC</v>
      </c>
    </row>
    <row r="4050" spans="1:6" x14ac:dyDescent="0.3">
      <c r="A4050" t="s">
        <v>6125</v>
      </c>
      <c r="F4050" t="str">
        <f t="shared" ref="F4050" si="4042">LEFT(A4050, LEN(A4050) - 1)</f>
        <v>&gt;2023:CTTGCG:12.00:66.67:Warning:6:1783.20</v>
      </c>
    </row>
    <row r="4051" spans="1:6" x14ac:dyDescent="0.3">
      <c r="A4051" t="s">
        <v>2029</v>
      </c>
      <c r="F4051" t="str">
        <f t="shared" ref="F4051" si="4043">A4051</f>
        <v>CTTGCG</v>
      </c>
    </row>
    <row r="4052" spans="1:6" x14ac:dyDescent="0.3">
      <c r="A4052" t="s">
        <v>6126</v>
      </c>
      <c r="F4052" t="str">
        <f t="shared" ref="F4052" si="4044">LEFT(A4052, LEN(A4052) - 1)</f>
        <v>&gt;2024:CTTGCT:6.00:50.00:OK:6:1758.18</v>
      </c>
    </row>
    <row r="4053" spans="1:6" x14ac:dyDescent="0.3">
      <c r="A4053" t="s">
        <v>2030</v>
      </c>
      <c r="F4053" t="str">
        <f t="shared" ref="F4053" si="4045">A4053</f>
        <v>CTTGCT</v>
      </c>
    </row>
    <row r="4054" spans="1:6" x14ac:dyDescent="0.3">
      <c r="A4054" t="s">
        <v>6127</v>
      </c>
      <c r="F4054" t="str">
        <f t="shared" ref="F4054" si="4046">LEFT(A4054, LEN(A4054) - 1)</f>
        <v>&gt;2025:CTTGGA:14.00:50.00:OK:6:1807.23</v>
      </c>
    </row>
    <row r="4055" spans="1:6" x14ac:dyDescent="0.3">
      <c r="A4055" t="s">
        <v>2031</v>
      </c>
      <c r="F4055" t="str">
        <f t="shared" ref="F4055" si="4047">A4055</f>
        <v>CTTGGA</v>
      </c>
    </row>
    <row r="4056" spans="1:6" x14ac:dyDescent="0.3">
      <c r="A4056" t="s">
        <v>6128</v>
      </c>
      <c r="F4056" t="str">
        <f t="shared" ref="F4056" si="4048">LEFT(A4056, LEN(A4056) - 1)</f>
        <v>&gt;2026:CTTGGC:12.00:66.67:Warning:6:1783.20</v>
      </c>
    </row>
    <row r="4057" spans="1:6" x14ac:dyDescent="0.3">
      <c r="A4057" t="s">
        <v>2032</v>
      </c>
      <c r="F4057" t="str">
        <f t="shared" ref="F4057" si="4049">A4057</f>
        <v>CTTGGC</v>
      </c>
    </row>
    <row r="4058" spans="1:6" x14ac:dyDescent="0.3">
      <c r="A4058" t="s">
        <v>6129</v>
      </c>
      <c r="F4058" t="str">
        <f t="shared" ref="F4058" si="4050">LEFT(A4058, LEN(A4058) - 1)</f>
        <v>&gt;2027:CTTGGG:12.00:66.67:Warning:6:1823.23</v>
      </c>
    </row>
    <row r="4059" spans="1:6" x14ac:dyDescent="0.3">
      <c r="A4059" t="s">
        <v>2033</v>
      </c>
      <c r="F4059" t="str">
        <f t="shared" ref="F4059" si="4051">A4059</f>
        <v>CTTGGG</v>
      </c>
    </row>
    <row r="4060" spans="1:6" x14ac:dyDescent="0.3">
      <c r="A4060" t="s">
        <v>6130</v>
      </c>
      <c r="F4060" t="str">
        <f t="shared" ref="F4060" si="4052">LEFT(A4060, LEN(A4060) - 1)</f>
        <v>&gt;2028:CTTGGT:6.00:50.00:OK:6:1798.21</v>
      </c>
    </row>
    <row r="4061" spans="1:6" x14ac:dyDescent="0.3">
      <c r="A4061" t="s">
        <v>2034</v>
      </c>
      <c r="F4061" t="str">
        <f t="shared" ref="F4061" si="4053">A4061</f>
        <v>CTTGGT</v>
      </c>
    </row>
    <row r="4062" spans="1:6" x14ac:dyDescent="0.3">
      <c r="A4062" t="s">
        <v>6131</v>
      </c>
      <c r="F4062" t="str">
        <f t="shared" ref="F4062" si="4054">LEFT(A4062, LEN(A4062) - 1)</f>
        <v>&gt;2029:CTTGTA:8.00:33.33:OK:6:1782.21</v>
      </c>
    </row>
    <row r="4063" spans="1:6" x14ac:dyDescent="0.3">
      <c r="A4063" t="s">
        <v>2035</v>
      </c>
      <c r="F4063" t="str">
        <f t="shared" ref="F4063" si="4055">A4063</f>
        <v>CTTGTA</v>
      </c>
    </row>
    <row r="4064" spans="1:6" x14ac:dyDescent="0.3">
      <c r="A4064" t="s">
        <v>6132</v>
      </c>
      <c r="F4064" t="str">
        <f t="shared" ref="F4064" si="4056">LEFT(A4064, LEN(A4064) - 1)</f>
        <v>&gt;2030:CTTGTC:6.00:50.00:OK:6:1758.18</v>
      </c>
    </row>
    <row r="4065" spans="1:6" x14ac:dyDescent="0.3">
      <c r="A4065" t="s">
        <v>2036</v>
      </c>
      <c r="F4065" t="str">
        <f t="shared" ref="F4065" si="4057">A4065</f>
        <v>CTTGTC</v>
      </c>
    </row>
    <row r="4066" spans="1:6" x14ac:dyDescent="0.3">
      <c r="A4066" t="s">
        <v>6133</v>
      </c>
      <c r="F4066" t="str">
        <f t="shared" ref="F4066" si="4058">LEFT(A4066, LEN(A4066) - 1)</f>
        <v>&gt;2031:CTTGTG:6.00:50.00:OK:6:1798.21</v>
      </c>
    </row>
    <row r="4067" spans="1:6" x14ac:dyDescent="0.3">
      <c r="A4067" t="s">
        <v>2037</v>
      </c>
      <c r="F4067" t="str">
        <f t="shared" ref="F4067" si="4059">A4067</f>
        <v>CTTGTG</v>
      </c>
    </row>
    <row r="4068" spans="1:6" x14ac:dyDescent="0.3">
      <c r="A4068" t="s">
        <v>6134</v>
      </c>
      <c r="F4068" t="str">
        <f t="shared" ref="F4068" si="4060">LEFT(A4068, LEN(A4068) - 1)</f>
        <v>&gt;2032:CTTGTT:0.00:33.33:OK:6:1773.19</v>
      </c>
    </row>
    <row r="4069" spans="1:6" x14ac:dyDescent="0.3">
      <c r="A4069" t="s">
        <v>2038</v>
      </c>
      <c r="F4069" t="str">
        <f t="shared" ref="F4069" si="4061">A4069</f>
        <v>CTTGTT</v>
      </c>
    </row>
    <row r="4070" spans="1:6" x14ac:dyDescent="0.3">
      <c r="A4070" t="s">
        <v>6135</v>
      </c>
      <c r="F4070" t="str">
        <f t="shared" ref="F4070" si="4062">LEFT(A4070, LEN(A4070) - 1)</f>
        <v>&gt;2033:CTTTAA:10.00:16.67:OK:6:1766.21</v>
      </c>
    </row>
    <row r="4071" spans="1:6" x14ac:dyDescent="0.3">
      <c r="A4071" t="s">
        <v>2039</v>
      </c>
      <c r="F4071" t="str">
        <f t="shared" ref="F4071" si="4063">A4071</f>
        <v>CTTTAA</v>
      </c>
    </row>
    <row r="4072" spans="1:6" x14ac:dyDescent="0.3">
      <c r="A4072" t="s">
        <v>6136</v>
      </c>
      <c r="F4072" t="str">
        <f t="shared" ref="F4072" si="4064">LEFT(A4072, LEN(A4072) - 1)</f>
        <v>&gt;2034:CTTTAC:8.00:33.33:OK:6:1742.18</v>
      </c>
    </row>
    <row r="4073" spans="1:6" x14ac:dyDescent="0.3">
      <c r="A4073" t="s">
        <v>2040</v>
      </c>
      <c r="F4073" t="str">
        <f t="shared" ref="F4073" si="4065">A4073</f>
        <v>CTTTAC</v>
      </c>
    </row>
    <row r="4074" spans="1:6" x14ac:dyDescent="0.3">
      <c r="A4074" t="s">
        <v>6137</v>
      </c>
      <c r="F4074" t="str">
        <f t="shared" ref="F4074" si="4066">LEFT(A4074, LEN(A4074) - 1)</f>
        <v>&gt;2035:CTTTAG:8.00:33.33:OK:6:1782.21</v>
      </c>
    </row>
    <row r="4075" spans="1:6" x14ac:dyDescent="0.3">
      <c r="A4075" t="s">
        <v>2041</v>
      </c>
      <c r="F4075" t="str">
        <f t="shared" ref="F4075" si="4067">A4075</f>
        <v>CTTTAG</v>
      </c>
    </row>
    <row r="4076" spans="1:6" x14ac:dyDescent="0.3">
      <c r="A4076" t="s">
        <v>6138</v>
      </c>
      <c r="F4076" t="str">
        <f t="shared" ref="F4076" si="4068">LEFT(A4076, LEN(A4076) - 1)</f>
        <v>&gt;2036:CTTTAT:2.00:16.67:OK:6:1757.19</v>
      </c>
    </row>
    <row r="4077" spans="1:6" x14ac:dyDescent="0.3">
      <c r="A4077" t="s">
        <v>2042</v>
      </c>
      <c r="F4077" t="str">
        <f t="shared" ref="F4077" si="4069">A4077</f>
        <v>CTTTAT</v>
      </c>
    </row>
    <row r="4078" spans="1:6" x14ac:dyDescent="0.3">
      <c r="A4078" t="s">
        <v>6139</v>
      </c>
      <c r="F4078" t="str">
        <f t="shared" ref="F4078" si="4070">LEFT(A4078, LEN(A4078) - 1)</f>
        <v>&gt;2037:CTTTCA:8.00:33.33:OK:6:1742.18</v>
      </c>
    </row>
    <row r="4079" spans="1:6" x14ac:dyDescent="0.3">
      <c r="A4079" t="s">
        <v>2043</v>
      </c>
      <c r="F4079" t="str">
        <f t="shared" ref="F4079" si="4071">A4079</f>
        <v>CTTTCA</v>
      </c>
    </row>
    <row r="4080" spans="1:6" x14ac:dyDescent="0.3">
      <c r="A4080" t="s">
        <v>6140</v>
      </c>
      <c r="F4080" t="str">
        <f t="shared" ref="F4080" si="4072">LEFT(A4080, LEN(A4080) - 1)</f>
        <v>&gt;2038:CTTTCC:6.00:50.00:OK:6:1718.15</v>
      </c>
    </row>
    <row r="4081" spans="1:6" x14ac:dyDescent="0.3">
      <c r="A4081" t="s">
        <v>2044</v>
      </c>
      <c r="F4081" t="str">
        <f t="shared" ref="F4081" si="4073">A4081</f>
        <v>CTTTCC</v>
      </c>
    </row>
    <row r="4082" spans="1:6" x14ac:dyDescent="0.3">
      <c r="A4082" t="s">
        <v>6141</v>
      </c>
      <c r="F4082" t="str">
        <f t="shared" ref="F4082" si="4074">LEFT(A4082, LEN(A4082) - 1)</f>
        <v>&gt;2039:CTTTCG:6.00:50.00:OK:6:1758.18</v>
      </c>
    </row>
    <row r="4083" spans="1:6" x14ac:dyDescent="0.3">
      <c r="A4083" t="s">
        <v>2045</v>
      </c>
      <c r="F4083" t="str">
        <f t="shared" ref="F4083" si="4075">A4083</f>
        <v>CTTTCG</v>
      </c>
    </row>
    <row r="4084" spans="1:6" x14ac:dyDescent="0.3">
      <c r="A4084" t="s">
        <v>6142</v>
      </c>
      <c r="F4084" t="str">
        <f t="shared" ref="F4084" si="4076">LEFT(A4084, LEN(A4084) - 1)</f>
        <v>&gt;2040:CTTTCT:0.00:33.33:OK:6:1733.16</v>
      </c>
    </row>
    <row r="4085" spans="1:6" x14ac:dyDescent="0.3">
      <c r="A4085" t="s">
        <v>2046</v>
      </c>
      <c r="F4085" t="str">
        <f t="shared" ref="F4085" si="4077">A4085</f>
        <v>CTTTCT</v>
      </c>
    </row>
    <row r="4086" spans="1:6" x14ac:dyDescent="0.3">
      <c r="A4086" t="s">
        <v>6143</v>
      </c>
      <c r="F4086" t="str">
        <f t="shared" ref="F4086" si="4078">LEFT(A4086, LEN(A4086) - 1)</f>
        <v>&gt;2041:CTTTGA:8.00:33.33:OK:6:1782.21</v>
      </c>
    </row>
    <row r="4087" spans="1:6" x14ac:dyDescent="0.3">
      <c r="A4087" t="s">
        <v>2047</v>
      </c>
      <c r="F4087" t="str">
        <f t="shared" ref="F4087" si="4079">A4087</f>
        <v>CTTTGA</v>
      </c>
    </row>
    <row r="4088" spans="1:6" x14ac:dyDescent="0.3">
      <c r="A4088" t="s">
        <v>6144</v>
      </c>
      <c r="F4088" t="str">
        <f t="shared" ref="F4088" si="4080">LEFT(A4088, LEN(A4088) - 1)</f>
        <v>&gt;2042:CTTTGC:6.00:50.00:OK:6:1758.18</v>
      </c>
    </row>
    <row r="4089" spans="1:6" x14ac:dyDescent="0.3">
      <c r="A4089" t="s">
        <v>2048</v>
      </c>
      <c r="F4089" t="str">
        <f t="shared" ref="F4089" si="4081">A4089</f>
        <v>CTTTGC</v>
      </c>
    </row>
    <row r="4090" spans="1:6" x14ac:dyDescent="0.3">
      <c r="A4090" t="s">
        <v>6145</v>
      </c>
      <c r="F4090" t="str">
        <f t="shared" ref="F4090" si="4082">LEFT(A4090, LEN(A4090) - 1)</f>
        <v>&gt;2043:CTTTGG:6.00:50.00:OK:6:1798.21</v>
      </c>
    </row>
    <row r="4091" spans="1:6" x14ac:dyDescent="0.3">
      <c r="A4091" t="s">
        <v>2049</v>
      </c>
      <c r="F4091" t="str">
        <f t="shared" ref="F4091" si="4083">A4091</f>
        <v>CTTTGG</v>
      </c>
    </row>
    <row r="4092" spans="1:6" x14ac:dyDescent="0.3">
      <c r="A4092" t="s">
        <v>6146</v>
      </c>
      <c r="F4092" t="str">
        <f t="shared" ref="F4092" si="4084">LEFT(A4092, LEN(A4092) - 1)</f>
        <v>&gt;2044:CTTTGT:0.00:33.33:OK:6:1773.19</v>
      </c>
    </row>
    <row r="4093" spans="1:6" x14ac:dyDescent="0.3">
      <c r="A4093" t="s">
        <v>2050</v>
      </c>
      <c r="F4093" t="str">
        <f t="shared" ref="F4093" si="4085">A4093</f>
        <v>CTTTGT</v>
      </c>
    </row>
    <row r="4094" spans="1:6" x14ac:dyDescent="0.3">
      <c r="A4094" t="s">
        <v>6147</v>
      </c>
      <c r="F4094" t="str">
        <f t="shared" ref="F4094" si="4086">LEFT(A4094, LEN(A4094) - 1)</f>
        <v>&gt;2045:CTTTTA:2.00:16.67:OK:6:1757.19</v>
      </c>
    </row>
    <row r="4095" spans="1:6" x14ac:dyDescent="0.3">
      <c r="A4095" t="s">
        <v>2051</v>
      </c>
      <c r="F4095" t="str">
        <f t="shared" ref="F4095" si="4087">A4095</f>
        <v>CTTTTA</v>
      </c>
    </row>
    <row r="4096" spans="1:6" x14ac:dyDescent="0.3">
      <c r="A4096" t="s">
        <v>6148</v>
      </c>
      <c r="F4096" t="str">
        <f t="shared" ref="F4096" si="4088">LEFT(A4096, LEN(A4096) - 1)</f>
        <v>&gt;2046:CTTTTC:0.00:33.33:OK:6:1733.16</v>
      </c>
    </row>
    <row r="4097" spans="1:6" x14ac:dyDescent="0.3">
      <c r="A4097" t="s">
        <v>2052</v>
      </c>
      <c r="F4097" t="str">
        <f t="shared" ref="F4097" si="4089">A4097</f>
        <v>CTTTTC</v>
      </c>
    </row>
    <row r="4098" spans="1:6" x14ac:dyDescent="0.3">
      <c r="A4098" t="s">
        <v>6149</v>
      </c>
      <c r="F4098" t="str">
        <f t="shared" ref="F4098" si="4090">LEFT(A4098, LEN(A4098) - 1)</f>
        <v>&gt;2047:CTTTTG:0.00:33.33:OK:6:1773.19</v>
      </c>
    </row>
    <row r="4099" spans="1:6" x14ac:dyDescent="0.3">
      <c r="A4099" t="s">
        <v>2053</v>
      </c>
      <c r="F4099" t="str">
        <f t="shared" ref="F4099" si="4091">A4099</f>
        <v>CTTTTG</v>
      </c>
    </row>
    <row r="4100" spans="1:6" x14ac:dyDescent="0.3">
      <c r="A4100" t="s">
        <v>6150</v>
      </c>
      <c r="F4100" t="str">
        <f t="shared" ref="F4100" si="4092">LEFT(A4100, LEN(A4100) - 1)</f>
        <v>&gt;2048:CTTTTT:-6.00:16.67:OK:6:1748.17</v>
      </c>
    </row>
    <row r="4101" spans="1:6" x14ac:dyDescent="0.3">
      <c r="A4101" t="s">
        <v>2054</v>
      </c>
      <c r="F4101" t="str">
        <f t="shared" ref="F4101" si="4093">A4101</f>
        <v>CTTTTT</v>
      </c>
    </row>
    <row r="4102" spans="1:6" x14ac:dyDescent="0.3">
      <c r="A4102" t="s">
        <v>6151</v>
      </c>
      <c r="F4102" t="str">
        <f t="shared" ref="F4102" si="4094">LEFT(A4102, LEN(A4102) - 1)</f>
        <v>&gt;2049:GAAAAA:34.00:16.67:OK:6:1833.30</v>
      </c>
    </row>
    <row r="4103" spans="1:6" x14ac:dyDescent="0.3">
      <c r="A4103" t="s">
        <v>2055</v>
      </c>
      <c r="F4103" t="str">
        <f t="shared" ref="F4103" si="4095">A4103</f>
        <v>GAAAAA</v>
      </c>
    </row>
    <row r="4104" spans="1:6" x14ac:dyDescent="0.3">
      <c r="A4104" t="s">
        <v>6152</v>
      </c>
      <c r="F4104" t="str">
        <f t="shared" ref="F4104" si="4096">LEFT(A4104, LEN(A4104) - 1)</f>
        <v>&gt;2050:GAAAAC:32.00:33.33:OK:6:1809.27</v>
      </c>
    </row>
    <row r="4105" spans="1:6" x14ac:dyDescent="0.3">
      <c r="A4105" t="s">
        <v>2056</v>
      </c>
      <c r="F4105" t="str">
        <f t="shared" ref="F4105" si="4097">A4105</f>
        <v>GAAAAC</v>
      </c>
    </row>
    <row r="4106" spans="1:6" x14ac:dyDescent="0.3">
      <c r="A4106" t="s">
        <v>6153</v>
      </c>
      <c r="F4106" t="str">
        <f t="shared" ref="F4106" si="4098">LEFT(A4106, LEN(A4106) - 1)</f>
        <v>&gt;2051:GAAAAG:32.00:33.33:OK:6:1849.30</v>
      </c>
    </row>
    <row r="4107" spans="1:6" x14ac:dyDescent="0.3">
      <c r="A4107" t="s">
        <v>2057</v>
      </c>
      <c r="F4107" t="str">
        <f t="shared" ref="F4107" si="4099">A4107</f>
        <v>GAAAAG</v>
      </c>
    </row>
    <row r="4108" spans="1:6" x14ac:dyDescent="0.3">
      <c r="A4108" t="s">
        <v>6154</v>
      </c>
      <c r="F4108" t="str">
        <f t="shared" ref="F4108" si="4100">LEFT(A4108, LEN(A4108) - 1)</f>
        <v>&gt;2052:GAAAAT:26.00:16.67:OK:6:1824.28</v>
      </c>
    </row>
    <row r="4109" spans="1:6" x14ac:dyDescent="0.3">
      <c r="A4109" t="s">
        <v>2058</v>
      </c>
      <c r="F4109" t="str">
        <f t="shared" ref="F4109" si="4101">A4109</f>
        <v>GAAAAT</v>
      </c>
    </row>
    <row r="4110" spans="1:6" x14ac:dyDescent="0.3">
      <c r="A4110" t="s">
        <v>6155</v>
      </c>
      <c r="F4110" t="str">
        <f t="shared" ref="F4110" si="4102">LEFT(A4110, LEN(A4110) - 1)</f>
        <v>&gt;2053:GAAACA:32.00:33.33:OK:6:1809.27</v>
      </c>
    </row>
    <row r="4111" spans="1:6" x14ac:dyDescent="0.3">
      <c r="A4111" t="s">
        <v>2059</v>
      </c>
      <c r="F4111" t="str">
        <f t="shared" ref="F4111" si="4103">A4111</f>
        <v>GAAACA</v>
      </c>
    </row>
    <row r="4112" spans="1:6" x14ac:dyDescent="0.3">
      <c r="A4112" t="s">
        <v>6156</v>
      </c>
      <c r="F4112" t="str">
        <f t="shared" ref="F4112" si="4104">LEFT(A4112, LEN(A4112) - 1)</f>
        <v>&gt;2054:GAAACC:30.00:50.00:OK:6:1785.24</v>
      </c>
    </row>
    <row r="4113" spans="1:6" x14ac:dyDescent="0.3">
      <c r="A4113" t="s">
        <v>2060</v>
      </c>
      <c r="F4113" t="str">
        <f t="shared" ref="F4113" si="4105">A4113</f>
        <v>GAAACC</v>
      </c>
    </row>
    <row r="4114" spans="1:6" x14ac:dyDescent="0.3">
      <c r="A4114" t="s">
        <v>6157</v>
      </c>
      <c r="F4114" t="str">
        <f t="shared" ref="F4114" si="4106">LEFT(A4114, LEN(A4114) - 1)</f>
        <v>&gt;2055:GAAACG:30.00:50.00:OK:6:1825.27</v>
      </c>
    </row>
    <row r="4115" spans="1:6" x14ac:dyDescent="0.3">
      <c r="A4115" t="s">
        <v>2061</v>
      </c>
      <c r="F4115" t="str">
        <f t="shared" ref="F4115" si="4107">A4115</f>
        <v>GAAACG</v>
      </c>
    </row>
    <row r="4116" spans="1:6" x14ac:dyDescent="0.3">
      <c r="A4116" t="s">
        <v>6158</v>
      </c>
      <c r="F4116" t="str">
        <f t="shared" ref="F4116" si="4108">LEFT(A4116, LEN(A4116) - 1)</f>
        <v>&gt;2056:GAAACT:24.00:33.33:OK:6:1800.25</v>
      </c>
    </row>
    <row r="4117" spans="1:6" x14ac:dyDescent="0.3">
      <c r="A4117" t="s">
        <v>2062</v>
      </c>
      <c r="F4117" t="str">
        <f t="shared" ref="F4117" si="4109">A4117</f>
        <v>GAAACT</v>
      </c>
    </row>
    <row r="4118" spans="1:6" x14ac:dyDescent="0.3">
      <c r="A4118" t="s">
        <v>6159</v>
      </c>
      <c r="F4118" t="str">
        <f t="shared" ref="F4118" si="4110">LEFT(A4118, LEN(A4118) - 1)</f>
        <v>&gt;2057:GAAAGA:32.00:33.33:OK:6:1849.30</v>
      </c>
    </row>
    <row r="4119" spans="1:6" x14ac:dyDescent="0.3">
      <c r="A4119" t="s">
        <v>2063</v>
      </c>
      <c r="F4119" t="str">
        <f t="shared" ref="F4119" si="4111">A4119</f>
        <v>GAAAGA</v>
      </c>
    </row>
    <row r="4120" spans="1:6" x14ac:dyDescent="0.3">
      <c r="A4120" t="s">
        <v>6160</v>
      </c>
      <c r="F4120" t="str">
        <f t="shared" ref="F4120" si="4112">LEFT(A4120, LEN(A4120) - 1)</f>
        <v>&gt;2058:GAAAGC:30.00:50.00:OK:6:1825.27</v>
      </c>
    </row>
    <row r="4121" spans="1:6" x14ac:dyDescent="0.3">
      <c r="A4121" t="s">
        <v>2064</v>
      </c>
      <c r="F4121" t="str">
        <f t="shared" ref="F4121" si="4113">A4121</f>
        <v>GAAAGC</v>
      </c>
    </row>
    <row r="4122" spans="1:6" x14ac:dyDescent="0.3">
      <c r="A4122" t="s">
        <v>6161</v>
      </c>
      <c r="F4122" t="str">
        <f t="shared" ref="F4122" si="4114">LEFT(A4122, LEN(A4122) - 1)</f>
        <v>&gt;2059:GAAAGG:30.00:50.00:OK:6:1865.30</v>
      </c>
    </row>
    <row r="4123" spans="1:6" x14ac:dyDescent="0.3">
      <c r="A4123" t="s">
        <v>2065</v>
      </c>
      <c r="F4123" t="str">
        <f t="shared" ref="F4123" si="4115">A4123</f>
        <v>GAAAGG</v>
      </c>
    </row>
    <row r="4124" spans="1:6" x14ac:dyDescent="0.3">
      <c r="A4124" t="s">
        <v>6162</v>
      </c>
      <c r="F4124" t="str">
        <f t="shared" ref="F4124" si="4116">LEFT(A4124, LEN(A4124) - 1)</f>
        <v>&gt;2060:GAAAGT:24.00:33.33:OK:6:1840.28</v>
      </c>
    </row>
    <row r="4125" spans="1:6" x14ac:dyDescent="0.3">
      <c r="A4125" t="s">
        <v>2066</v>
      </c>
      <c r="F4125" t="str">
        <f t="shared" ref="F4125" si="4117">A4125</f>
        <v>GAAAGT</v>
      </c>
    </row>
    <row r="4126" spans="1:6" x14ac:dyDescent="0.3">
      <c r="A4126" t="s">
        <v>6163</v>
      </c>
      <c r="F4126" t="str">
        <f t="shared" ref="F4126" si="4118">LEFT(A4126, LEN(A4126) - 1)</f>
        <v>&gt;2061:GAAATA:26.00:16.67:OK:6:1824.28</v>
      </c>
    </row>
    <row r="4127" spans="1:6" x14ac:dyDescent="0.3">
      <c r="A4127" t="s">
        <v>2067</v>
      </c>
      <c r="F4127" t="str">
        <f t="shared" ref="F4127" si="4119">A4127</f>
        <v>GAAATA</v>
      </c>
    </row>
    <row r="4128" spans="1:6" x14ac:dyDescent="0.3">
      <c r="A4128" t="s">
        <v>6164</v>
      </c>
      <c r="F4128" t="str">
        <f t="shared" ref="F4128" si="4120">LEFT(A4128, LEN(A4128) - 1)</f>
        <v>&gt;2062:GAAATC:24.00:33.33:OK:6:1800.25</v>
      </c>
    </row>
    <row r="4129" spans="1:6" x14ac:dyDescent="0.3">
      <c r="A4129" t="s">
        <v>2068</v>
      </c>
      <c r="F4129" t="str">
        <f t="shared" ref="F4129" si="4121">A4129</f>
        <v>GAAATC</v>
      </c>
    </row>
    <row r="4130" spans="1:6" x14ac:dyDescent="0.3">
      <c r="A4130" t="s">
        <v>6165</v>
      </c>
      <c r="F4130" t="str">
        <f t="shared" ref="F4130" si="4122">LEFT(A4130, LEN(A4130) - 1)</f>
        <v>&gt;2063:GAAATG:24.00:33.33:OK:6:1840.28</v>
      </c>
    </row>
    <row r="4131" spans="1:6" x14ac:dyDescent="0.3">
      <c r="A4131" t="s">
        <v>2069</v>
      </c>
      <c r="F4131" t="str">
        <f t="shared" ref="F4131" si="4123">A4131</f>
        <v>GAAATG</v>
      </c>
    </row>
    <row r="4132" spans="1:6" x14ac:dyDescent="0.3">
      <c r="A4132" t="s">
        <v>6166</v>
      </c>
      <c r="F4132" t="str">
        <f t="shared" ref="F4132" si="4124">LEFT(A4132, LEN(A4132) - 1)</f>
        <v>&gt;2064:GAAATT:18.00:16.67:OK:6:1815.26</v>
      </c>
    </row>
    <row r="4133" spans="1:6" x14ac:dyDescent="0.3">
      <c r="A4133" t="s">
        <v>2070</v>
      </c>
      <c r="F4133" t="str">
        <f t="shared" ref="F4133" si="4125">A4133</f>
        <v>GAAATT</v>
      </c>
    </row>
    <row r="4134" spans="1:6" x14ac:dyDescent="0.3">
      <c r="A4134" t="s">
        <v>6167</v>
      </c>
      <c r="F4134" t="str">
        <f t="shared" ref="F4134" si="4126">LEFT(A4134, LEN(A4134) - 1)</f>
        <v>&gt;2065:GAACAA:32.00:33.33:OK:6:1809.27</v>
      </c>
    </row>
    <row r="4135" spans="1:6" x14ac:dyDescent="0.3">
      <c r="A4135" t="s">
        <v>2071</v>
      </c>
      <c r="F4135" t="str">
        <f t="shared" ref="F4135" si="4127">A4135</f>
        <v>GAACAA</v>
      </c>
    </row>
    <row r="4136" spans="1:6" x14ac:dyDescent="0.3">
      <c r="A4136" t="s">
        <v>6168</v>
      </c>
      <c r="F4136" t="str">
        <f t="shared" ref="F4136" si="4128">LEFT(A4136, LEN(A4136) - 1)</f>
        <v>&gt;2066:GAACAC:30.00:50.00:OK:6:1785.24</v>
      </c>
    </row>
    <row r="4137" spans="1:6" x14ac:dyDescent="0.3">
      <c r="A4137" t="s">
        <v>2072</v>
      </c>
      <c r="F4137" t="str">
        <f t="shared" ref="F4137" si="4129">A4137</f>
        <v>GAACAC</v>
      </c>
    </row>
    <row r="4138" spans="1:6" x14ac:dyDescent="0.3">
      <c r="A4138" t="s">
        <v>6169</v>
      </c>
      <c r="F4138" t="str">
        <f t="shared" ref="F4138" si="4130">LEFT(A4138, LEN(A4138) - 1)</f>
        <v>&gt;2067:GAACAG:30.00:50.00:OK:6:1825.27</v>
      </c>
    </row>
    <row r="4139" spans="1:6" x14ac:dyDescent="0.3">
      <c r="A4139" t="s">
        <v>2073</v>
      </c>
      <c r="F4139" t="str">
        <f t="shared" ref="F4139" si="4131">A4139</f>
        <v>GAACAG</v>
      </c>
    </row>
    <row r="4140" spans="1:6" x14ac:dyDescent="0.3">
      <c r="A4140" t="s">
        <v>6170</v>
      </c>
      <c r="F4140" t="str">
        <f t="shared" ref="F4140" si="4132">LEFT(A4140, LEN(A4140) - 1)</f>
        <v>&gt;2068:GAACAT:24.00:33.33:OK:6:1800.25</v>
      </c>
    </row>
    <row r="4141" spans="1:6" x14ac:dyDescent="0.3">
      <c r="A4141" t="s">
        <v>2074</v>
      </c>
      <c r="F4141" t="str">
        <f t="shared" ref="F4141" si="4133">A4141</f>
        <v>GAACAT</v>
      </c>
    </row>
    <row r="4142" spans="1:6" x14ac:dyDescent="0.3">
      <c r="A4142" t="s">
        <v>6171</v>
      </c>
      <c r="F4142" t="str">
        <f t="shared" ref="F4142" si="4134">LEFT(A4142, LEN(A4142) - 1)</f>
        <v>&gt;2069:GAACCA:30.00:50.00:OK:6:1785.24</v>
      </c>
    </row>
    <row r="4143" spans="1:6" x14ac:dyDescent="0.3">
      <c r="A4143" t="s">
        <v>2075</v>
      </c>
      <c r="F4143" t="str">
        <f t="shared" ref="F4143" si="4135">A4143</f>
        <v>GAACCA</v>
      </c>
    </row>
    <row r="4144" spans="1:6" x14ac:dyDescent="0.3">
      <c r="A4144" t="s">
        <v>6172</v>
      </c>
      <c r="F4144" t="str">
        <f t="shared" ref="F4144" si="4136">LEFT(A4144, LEN(A4144) - 1)</f>
        <v>&gt;2070:GAACCC:28.00:66.67:Warning:6:1761.21</v>
      </c>
    </row>
    <row r="4145" spans="1:6" x14ac:dyDescent="0.3">
      <c r="A4145" t="s">
        <v>2076</v>
      </c>
      <c r="F4145" t="str">
        <f t="shared" ref="F4145" si="4137">A4145</f>
        <v>GAACCC</v>
      </c>
    </row>
    <row r="4146" spans="1:6" x14ac:dyDescent="0.3">
      <c r="A4146" t="s">
        <v>6173</v>
      </c>
      <c r="F4146" t="str">
        <f t="shared" ref="F4146" si="4138">LEFT(A4146, LEN(A4146) - 1)</f>
        <v>&gt;2071:GAACCG:28.00:66.67:Warning:6:1801.24</v>
      </c>
    </row>
    <row r="4147" spans="1:6" x14ac:dyDescent="0.3">
      <c r="A4147" t="s">
        <v>2077</v>
      </c>
      <c r="F4147" t="str">
        <f t="shared" ref="F4147" si="4139">A4147</f>
        <v>GAACCG</v>
      </c>
    </row>
    <row r="4148" spans="1:6" x14ac:dyDescent="0.3">
      <c r="A4148" t="s">
        <v>6174</v>
      </c>
      <c r="F4148" t="str">
        <f t="shared" ref="F4148" si="4140">LEFT(A4148, LEN(A4148) - 1)</f>
        <v>&gt;2072:GAACCT:22.00:50.00:OK:6:1776.22</v>
      </c>
    </row>
    <row r="4149" spans="1:6" x14ac:dyDescent="0.3">
      <c r="A4149" t="s">
        <v>2078</v>
      </c>
      <c r="F4149" t="str">
        <f t="shared" ref="F4149" si="4141">A4149</f>
        <v>GAACCT</v>
      </c>
    </row>
    <row r="4150" spans="1:6" x14ac:dyDescent="0.3">
      <c r="A4150" t="s">
        <v>6175</v>
      </c>
      <c r="F4150" t="str">
        <f t="shared" ref="F4150" si="4142">LEFT(A4150, LEN(A4150) - 1)</f>
        <v>&gt;2073:GAACGA:30.00:50.00:OK:6:1825.27</v>
      </c>
    </row>
    <row r="4151" spans="1:6" x14ac:dyDescent="0.3">
      <c r="A4151" t="s">
        <v>2079</v>
      </c>
      <c r="F4151" t="str">
        <f t="shared" ref="F4151" si="4143">A4151</f>
        <v>GAACGA</v>
      </c>
    </row>
    <row r="4152" spans="1:6" x14ac:dyDescent="0.3">
      <c r="A4152" t="s">
        <v>6176</v>
      </c>
      <c r="F4152" t="str">
        <f t="shared" ref="F4152" si="4144">LEFT(A4152, LEN(A4152) - 1)</f>
        <v>&gt;2074:GAACGC:28.00:66.67:Warning:6:1801.24</v>
      </c>
    </row>
    <row r="4153" spans="1:6" x14ac:dyDescent="0.3">
      <c r="A4153" t="s">
        <v>2080</v>
      </c>
      <c r="F4153" t="str">
        <f t="shared" ref="F4153" si="4145">A4153</f>
        <v>GAACGC</v>
      </c>
    </row>
    <row r="4154" spans="1:6" x14ac:dyDescent="0.3">
      <c r="A4154" t="s">
        <v>6177</v>
      </c>
      <c r="F4154" t="str">
        <f t="shared" ref="F4154" si="4146">LEFT(A4154, LEN(A4154) - 1)</f>
        <v>&gt;2075:GAACGG:28.00:66.67:Warning:6:1841.27</v>
      </c>
    </row>
    <row r="4155" spans="1:6" x14ac:dyDescent="0.3">
      <c r="A4155" t="s">
        <v>2081</v>
      </c>
      <c r="F4155" t="str">
        <f t="shared" ref="F4155" si="4147">A4155</f>
        <v>GAACGG</v>
      </c>
    </row>
    <row r="4156" spans="1:6" x14ac:dyDescent="0.3">
      <c r="A4156" t="s">
        <v>6178</v>
      </c>
      <c r="F4156" t="str">
        <f t="shared" ref="F4156" si="4148">LEFT(A4156, LEN(A4156) - 1)</f>
        <v>&gt;2076:GAACGT:22.00:50.00:OK:6:1816.25</v>
      </c>
    </row>
    <row r="4157" spans="1:6" x14ac:dyDescent="0.3">
      <c r="A4157" t="s">
        <v>2082</v>
      </c>
      <c r="F4157" t="str">
        <f t="shared" ref="F4157" si="4149">A4157</f>
        <v>GAACGT</v>
      </c>
    </row>
    <row r="4158" spans="1:6" x14ac:dyDescent="0.3">
      <c r="A4158" t="s">
        <v>6179</v>
      </c>
      <c r="F4158" t="str">
        <f t="shared" ref="F4158" si="4150">LEFT(A4158, LEN(A4158) - 1)</f>
        <v>&gt;2077:GAACTA:24.00:33.33:OK:6:1800.25</v>
      </c>
    </row>
    <row r="4159" spans="1:6" x14ac:dyDescent="0.3">
      <c r="A4159" t="s">
        <v>2083</v>
      </c>
      <c r="F4159" t="str">
        <f t="shared" ref="F4159" si="4151">A4159</f>
        <v>GAACTA</v>
      </c>
    </row>
    <row r="4160" spans="1:6" x14ac:dyDescent="0.3">
      <c r="A4160" t="s">
        <v>6180</v>
      </c>
      <c r="F4160" t="str">
        <f t="shared" ref="F4160" si="4152">LEFT(A4160, LEN(A4160) - 1)</f>
        <v>&gt;2078:GAACTC:22.00:50.00:OK:6:1776.22</v>
      </c>
    </row>
    <row r="4161" spans="1:6" x14ac:dyDescent="0.3">
      <c r="A4161" t="s">
        <v>2084</v>
      </c>
      <c r="F4161" t="str">
        <f t="shared" ref="F4161" si="4153">A4161</f>
        <v>GAACTC</v>
      </c>
    </row>
    <row r="4162" spans="1:6" x14ac:dyDescent="0.3">
      <c r="A4162" t="s">
        <v>6181</v>
      </c>
      <c r="F4162" t="str">
        <f t="shared" ref="F4162" si="4154">LEFT(A4162, LEN(A4162) - 1)</f>
        <v>&gt;2079:GAACTG:22.00:50.00:OK:6:1816.25</v>
      </c>
    </row>
    <row r="4163" spans="1:6" x14ac:dyDescent="0.3">
      <c r="A4163" t="s">
        <v>2085</v>
      </c>
      <c r="F4163" t="str">
        <f t="shared" ref="F4163" si="4155">A4163</f>
        <v>GAACTG</v>
      </c>
    </row>
    <row r="4164" spans="1:6" x14ac:dyDescent="0.3">
      <c r="A4164" t="s">
        <v>6182</v>
      </c>
      <c r="F4164" t="str">
        <f t="shared" ref="F4164" si="4156">LEFT(A4164, LEN(A4164) - 1)</f>
        <v>&gt;2080:GAACTT:16.00:33.33:OK:6:1791.23</v>
      </c>
    </row>
    <row r="4165" spans="1:6" x14ac:dyDescent="0.3">
      <c r="A4165" t="s">
        <v>2086</v>
      </c>
      <c r="F4165" t="str">
        <f t="shared" ref="F4165" si="4157">A4165</f>
        <v>GAACTT</v>
      </c>
    </row>
    <row r="4166" spans="1:6" x14ac:dyDescent="0.3">
      <c r="A4166" t="s">
        <v>6183</v>
      </c>
      <c r="F4166" t="str">
        <f t="shared" ref="F4166" si="4158">LEFT(A4166, LEN(A4166) - 1)</f>
        <v>&gt;2081:GAAGAA:32.00:33.33:OK:6:1849.30</v>
      </c>
    </row>
    <row r="4167" spans="1:6" x14ac:dyDescent="0.3">
      <c r="A4167" t="s">
        <v>2087</v>
      </c>
      <c r="F4167" t="str">
        <f t="shared" ref="F4167" si="4159">A4167</f>
        <v>GAAGAA</v>
      </c>
    </row>
    <row r="4168" spans="1:6" x14ac:dyDescent="0.3">
      <c r="A4168" t="s">
        <v>6184</v>
      </c>
      <c r="F4168" t="str">
        <f t="shared" ref="F4168" si="4160">LEFT(A4168, LEN(A4168) - 1)</f>
        <v>&gt;2082:GAAGAC:30.00:50.00:OK:6:1825.27</v>
      </c>
    </row>
    <row r="4169" spans="1:6" x14ac:dyDescent="0.3">
      <c r="A4169" t="s">
        <v>2088</v>
      </c>
      <c r="F4169" t="str">
        <f t="shared" ref="F4169" si="4161">A4169</f>
        <v>GAAGAC</v>
      </c>
    </row>
    <row r="4170" spans="1:6" x14ac:dyDescent="0.3">
      <c r="A4170" t="s">
        <v>6185</v>
      </c>
      <c r="F4170" t="str">
        <f t="shared" ref="F4170" si="4162">LEFT(A4170, LEN(A4170) - 1)</f>
        <v>&gt;2083:GAAGAG:30.00:50.00:OK:6:1865.30</v>
      </c>
    </row>
    <row r="4171" spans="1:6" x14ac:dyDescent="0.3">
      <c r="A4171" t="s">
        <v>2089</v>
      </c>
      <c r="F4171" t="str">
        <f t="shared" ref="F4171" si="4163">A4171</f>
        <v>GAAGAG</v>
      </c>
    </row>
    <row r="4172" spans="1:6" x14ac:dyDescent="0.3">
      <c r="A4172" t="s">
        <v>6186</v>
      </c>
      <c r="F4172" t="str">
        <f t="shared" ref="F4172" si="4164">LEFT(A4172, LEN(A4172) - 1)</f>
        <v>&gt;2084:GAAGAT:24.00:33.33:OK:6:1840.28</v>
      </c>
    </row>
    <row r="4173" spans="1:6" x14ac:dyDescent="0.3">
      <c r="A4173" t="s">
        <v>2090</v>
      </c>
      <c r="F4173" t="str">
        <f t="shared" ref="F4173" si="4165">A4173</f>
        <v>GAAGAT</v>
      </c>
    </row>
    <row r="4174" spans="1:6" x14ac:dyDescent="0.3">
      <c r="A4174" t="s">
        <v>6187</v>
      </c>
      <c r="F4174" t="str">
        <f t="shared" ref="F4174" si="4166">LEFT(A4174, LEN(A4174) - 1)</f>
        <v>&gt;2085:GAAGCA:30.00:50.00:OK:6:1825.27</v>
      </c>
    </row>
    <row r="4175" spans="1:6" x14ac:dyDescent="0.3">
      <c r="A4175" t="s">
        <v>2091</v>
      </c>
      <c r="F4175" t="str">
        <f t="shared" ref="F4175" si="4167">A4175</f>
        <v>GAAGCA</v>
      </c>
    </row>
    <row r="4176" spans="1:6" x14ac:dyDescent="0.3">
      <c r="A4176" t="s">
        <v>6188</v>
      </c>
      <c r="F4176" t="str">
        <f t="shared" ref="F4176" si="4168">LEFT(A4176, LEN(A4176) - 1)</f>
        <v>&gt;2086:GAAGCC:28.00:66.67:Warning:6:1801.24</v>
      </c>
    </row>
    <row r="4177" spans="1:6" x14ac:dyDescent="0.3">
      <c r="A4177" t="s">
        <v>2092</v>
      </c>
      <c r="F4177" t="str">
        <f t="shared" ref="F4177" si="4169">A4177</f>
        <v>GAAGCC</v>
      </c>
    </row>
    <row r="4178" spans="1:6" x14ac:dyDescent="0.3">
      <c r="A4178" t="s">
        <v>6189</v>
      </c>
      <c r="F4178" t="str">
        <f t="shared" ref="F4178" si="4170">LEFT(A4178, LEN(A4178) - 1)</f>
        <v>&gt;2087:GAAGCG:28.00:66.67:Warning:6:1841.27</v>
      </c>
    </row>
    <row r="4179" spans="1:6" x14ac:dyDescent="0.3">
      <c r="A4179" t="s">
        <v>2093</v>
      </c>
      <c r="F4179" t="str">
        <f t="shared" ref="F4179" si="4171">A4179</f>
        <v>GAAGCG</v>
      </c>
    </row>
    <row r="4180" spans="1:6" x14ac:dyDescent="0.3">
      <c r="A4180" t="s">
        <v>6190</v>
      </c>
      <c r="F4180" t="str">
        <f t="shared" ref="F4180" si="4172">LEFT(A4180, LEN(A4180) - 1)</f>
        <v>&gt;2088:GAAGCT:22.00:50.00:OK:6:1816.25</v>
      </c>
    </row>
    <row r="4181" spans="1:6" x14ac:dyDescent="0.3">
      <c r="A4181" t="s">
        <v>2094</v>
      </c>
      <c r="F4181" t="str">
        <f t="shared" ref="F4181" si="4173">A4181</f>
        <v>GAAGCT</v>
      </c>
    </row>
    <row r="4182" spans="1:6" x14ac:dyDescent="0.3">
      <c r="A4182" t="s">
        <v>6191</v>
      </c>
      <c r="F4182" t="str">
        <f t="shared" ref="F4182" si="4174">LEFT(A4182, LEN(A4182) - 1)</f>
        <v>&gt;2089:GAAGGA:30.00:50.00:OK:6:1865.30</v>
      </c>
    </row>
    <row r="4183" spans="1:6" x14ac:dyDescent="0.3">
      <c r="A4183" t="s">
        <v>2095</v>
      </c>
      <c r="F4183" t="str">
        <f t="shared" ref="F4183" si="4175">A4183</f>
        <v>GAAGGA</v>
      </c>
    </row>
    <row r="4184" spans="1:6" x14ac:dyDescent="0.3">
      <c r="A4184" t="s">
        <v>6192</v>
      </c>
      <c r="F4184" t="str">
        <f t="shared" ref="F4184" si="4176">LEFT(A4184, LEN(A4184) - 1)</f>
        <v>&gt;2090:GAAGGC:28.00:66.67:Warning:6:1841.27</v>
      </c>
    </row>
    <row r="4185" spans="1:6" x14ac:dyDescent="0.3">
      <c r="A4185" t="s">
        <v>2096</v>
      </c>
      <c r="F4185" t="str">
        <f t="shared" ref="F4185" si="4177">A4185</f>
        <v>GAAGGC</v>
      </c>
    </row>
    <row r="4186" spans="1:6" x14ac:dyDescent="0.3">
      <c r="A4186" t="s">
        <v>6193</v>
      </c>
      <c r="F4186" t="str">
        <f t="shared" ref="F4186" si="4178">LEFT(A4186, LEN(A4186) - 1)</f>
        <v>&gt;2091:GAAGGG:28.00:66.67:Warning:6:1881.30</v>
      </c>
    </row>
    <row r="4187" spans="1:6" x14ac:dyDescent="0.3">
      <c r="A4187" t="s">
        <v>2097</v>
      </c>
      <c r="F4187" t="str">
        <f t="shared" ref="F4187" si="4179">A4187</f>
        <v>GAAGGG</v>
      </c>
    </row>
    <row r="4188" spans="1:6" x14ac:dyDescent="0.3">
      <c r="A4188" t="s">
        <v>6194</v>
      </c>
      <c r="F4188" t="str">
        <f t="shared" ref="F4188" si="4180">LEFT(A4188, LEN(A4188) - 1)</f>
        <v>&gt;2092:GAAGGT:22.00:50.00:OK:6:1856.28</v>
      </c>
    </row>
    <row r="4189" spans="1:6" x14ac:dyDescent="0.3">
      <c r="A4189" t="s">
        <v>2098</v>
      </c>
      <c r="F4189" t="str">
        <f t="shared" ref="F4189" si="4181">A4189</f>
        <v>GAAGGT</v>
      </c>
    </row>
    <row r="4190" spans="1:6" x14ac:dyDescent="0.3">
      <c r="A4190" t="s">
        <v>6195</v>
      </c>
      <c r="F4190" t="str">
        <f t="shared" ref="F4190" si="4182">LEFT(A4190, LEN(A4190) - 1)</f>
        <v>&gt;2093:GAAGTA:24.00:33.33:OK:6:1840.28</v>
      </c>
    </row>
    <row r="4191" spans="1:6" x14ac:dyDescent="0.3">
      <c r="A4191" t="s">
        <v>2099</v>
      </c>
      <c r="F4191" t="str">
        <f t="shared" ref="F4191" si="4183">A4191</f>
        <v>GAAGTA</v>
      </c>
    </row>
    <row r="4192" spans="1:6" x14ac:dyDescent="0.3">
      <c r="A4192" t="s">
        <v>6196</v>
      </c>
      <c r="F4192" t="str">
        <f t="shared" ref="F4192" si="4184">LEFT(A4192, LEN(A4192) - 1)</f>
        <v>&gt;2094:GAAGTC:22.00:50.00:OK:6:1816.25</v>
      </c>
    </row>
    <row r="4193" spans="1:6" x14ac:dyDescent="0.3">
      <c r="A4193" t="s">
        <v>2100</v>
      </c>
      <c r="F4193" t="str">
        <f t="shared" ref="F4193" si="4185">A4193</f>
        <v>GAAGTC</v>
      </c>
    </row>
    <row r="4194" spans="1:6" x14ac:dyDescent="0.3">
      <c r="A4194" t="s">
        <v>6197</v>
      </c>
      <c r="F4194" t="str">
        <f t="shared" ref="F4194" si="4186">LEFT(A4194, LEN(A4194) - 1)</f>
        <v>&gt;2095:GAAGTG:22.00:50.00:OK:6:1856.28</v>
      </c>
    </row>
    <row r="4195" spans="1:6" x14ac:dyDescent="0.3">
      <c r="A4195" t="s">
        <v>2101</v>
      </c>
      <c r="F4195" t="str">
        <f t="shared" ref="F4195" si="4187">A4195</f>
        <v>GAAGTG</v>
      </c>
    </row>
    <row r="4196" spans="1:6" x14ac:dyDescent="0.3">
      <c r="A4196" t="s">
        <v>6198</v>
      </c>
      <c r="F4196" t="str">
        <f t="shared" ref="F4196" si="4188">LEFT(A4196, LEN(A4196) - 1)</f>
        <v>&gt;2096:GAAGTT:16.00:33.33:OK:6:1831.26</v>
      </c>
    </row>
    <row r="4197" spans="1:6" x14ac:dyDescent="0.3">
      <c r="A4197" t="s">
        <v>2102</v>
      </c>
      <c r="F4197" t="str">
        <f t="shared" ref="F4197" si="4189">A4197</f>
        <v>GAAGTT</v>
      </c>
    </row>
    <row r="4198" spans="1:6" x14ac:dyDescent="0.3">
      <c r="A4198" t="s">
        <v>6199</v>
      </c>
      <c r="F4198" t="str">
        <f t="shared" ref="F4198" si="4190">LEFT(A4198, LEN(A4198) - 1)</f>
        <v>&gt;2097:GAATAA:26.00:16.67:OK:6:1824.28</v>
      </c>
    </row>
    <row r="4199" spans="1:6" x14ac:dyDescent="0.3">
      <c r="A4199" t="s">
        <v>2103</v>
      </c>
      <c r="F4199" t="str">
        <f t="shared" ref="F4199" si="4191">A4199</f>
        <v>GAATAA</v>
      </c>
    </row>
    <row r="4200" spans="1:6" x14ac:dyDescent="0.3">
      <c r="A4200" t="s">
        <v>6200</v>
      </c>
      <c r="F4200" t="str">
        <f t="shared" ref="F4200" si="4192">LEFT(A4200, LEN(A4200) - 1)</f>
        <v>&gt;2098:GAATAC:24.00:33.33:OK:6:1800.25</v>
      </c>
    </row>
    <row r="4201" spans="1:6" x14ac:dyDescent="0.3">
      <c r="A4201" t="s">
        <v>2104</v>
      </c>
      <c r="F4201" t="str">
        <f t="shared" ref="F4201" si="4193">A4201</f>
        <v>GAATAC</v>
      </c>
    </row>
    <row r="4202" spans="1:6" x14ac:dyDescent="0.3">
      <c r="A4202" t="s">
        <v>6201</v>
      </c>
      <c r="F4202" t="str">
        <f t="shared" ref="F4202" si="4194">LEFT(A4202, LEN(A4202) - 1)</f>
        <v>&gt;2099:GAATAG:24.00:33.33:OK:6:1840.28</v>
      </c>
    </row>
    <row r="4203" spans="1:6" x14ac:dyDescent="0.3">
      <c r="A4203" t="s">
        <v>2105</v>
      </c>
      <c r="F4203" t="str">
        <f t="shared" ref="F4203" si="4195">A4203</f>
        <v>GAATAG</v>
      </c>
    </row>
    <row r="4204" spans="1:6" x14ac:dyDescent="0.3">
      <c r="A4204" t="s">
        <v>6202</v>
      </c>
      <c r="F4204" t="str">
        <f t="shared" ref="F4204" si="4196">LEFT(A4204, LEN(A4204) - 1)</f>
        <v>&gt;2100:GAATAT:18.00:16.67:OK:6:1815.26</v>
      </c>
    </row>
    <row r="4205" spans="1:6" x14ac:dyDescent="0.3">
      <c r="A4205" t="s">
        <v>2106</v>
      </c>
      <c r="F4205" t="str">
        <f t="shared" ref="F4205" si="4197">A4205</f>
        <v>GAATAT</v>
      </c>
    </row>
    <row r="4206" spans="1:6" x14ac:dyDescent="0.3">
      <c r="A4206" t="s">
        <v>6203</v>
      </c>
      <c r="F4206" t="str">
        <f t="shared" ref="F4206" si="4198">LEFT(A4206, LEN(A4206) - 1)</f>
        <v>&gt;2101:GAATCA:24.00:33.33:OK:6:1800.25</v>
      </c>
    </row>
    <row r="4207" spans="1:6" x14ac:dyDescent="0.3">
      <c r="A4207" t="s">
        <v>2107</v>
      </c>
      <c r="F4207" t="str">
        <f t="shared" ref="F4207" si="4199">A4207</f>
        <v>GAATCA</v>
      </c>
    </row>
    <row r="4208" spans="1:6" x14ac:dyDescent="0.3">
      <c r="A4208" t="s">
        <v>6204</v>
      </c>
      <c r="F4208" t="str">
        <f t="shared" ref="F4208" si="4200">LEFT(A4208, LEN(A4208) - 1)</f>
        <v>&gt;2102:GAATCC:22.00:50.00:OK:6:1776.22</v>
      </c>
    </row>
    <row r="4209" spans="1:6" x14ac:dyDescent="0.3">
      <c r="A4209" t="s">
        <v>2108</v>
      </c>
      <c r="F4209" t="str">
        <f t="shared" ref="F4209" si="4201">A4209</f>
        <v>GAATCC</v>
      </c>
    </row>
    <row r="4210" spans="1:6" x14ac:dyDescent="0.3">
      <c r="A4210" t="s">
        <v>6205</v>
      </c>
      <c r="F4210" t="str">
        <f t="shared" ref="F4210" si="4202">LEFT(A4210, LEN(A4210) - 1)</f>
        <v>&gt;2103:GAATCG:22.00:50.00:OK:6:1816.25</v>
      </c>
    </row>
    <row r="4211" spans="1:6" x14ac:dyDescent="0.3">
      <c r="A4211" t="s">
        <v>2109</v>
      </c>
      <c r="F4211" t="str">
        <f t="shared" ref="F4211" si="4203">A4211</f>
        <v>GAATCG</v>
      </c>
    </row>
    <row r="4212" spans="1:6" x14ac:dyDescent="0.3">
      <c r="A4212" t="s">
        <v>6206</v>
      </c>
      <c r="F4212" t="str">
        <f t="shared" ref="F4212" si="4204">LEFT(A4212, LEN(A4212) - 1)</f>
        <v>&gt;2104:GAATCT:16.00:33.33:OK:6:1791.23</v>
      </c>
    </row>
    <row r="4213" spans="1:6" x14ac:dyDescent="0.3">
      <c r="A4213" t="s">
        <v>2110</v>
      </c>
      <c r="F4213" t="str">
        <f t="shared" ref="F4213" si="4205">A4213</f>
        <v>GAATCT</v>
      </c>
    </row>
    <row r="4214" spans="1:6" x14ac:dyDescent="0.3">
      <c r="A4214" t="s">
        <v>6207</v>
      </c>
      <c r="F4214" t="str">
        <f t="shared" ref="F4214" si="4206">LEFT(A4214, LEN(A4214) - 1)</f>
        <v>&gt;2105:GAATGA:24.00:33.33:OK:6:1840.28</v>
      </c>
    </row>
    <row r="4215" spans="1:6" x14ac:dyDescent="0.3">
      <c r="A4215" t="s">
        <v>2111</v>
      </c>
      <c r="F4215" t="str">
        <f t="shared" ref="F4215" si="4207">A4215</f>
        <v>GAATGA</v>
      </c>
    </row>
    <row r="4216" spans="1:6" x14ac:dyDescent="0.3">
      <c r="A4216" t="s">
        <v>6208</v>
      </c>
      <c r="F4216" t="str">
        <f t="shared" ref="F4216" si="4208">LEFT(A4216, LEN(A4216) - 1)</f>
        <v>&gt;2106:GAATGC:22.00:50.00:OK:6:1816.25</v>
      </c>
    </row>
    <row r="4217" spans="1:6" x14ac:dyDescent="0.3">
      <c r="A4217" t="s">
        <v>2112</v>
      </c>
      <c r="F4217" t="str">
        <f t="shared" ref="F4217" si="4209">A4217</f>
        <v>GAATGC</v>
      </c>
    </row>
    <row r="4218" spans="1:6" x14ac:dyDescent="0.3">
      <c r="A4218" t="s">
        <v>6209</v>
      </c>
      <c r="F4218" t="str">
        <f t="shared" ref="F4218" si="4210">LEFT(A4218, LEN(A4218) - 1)</f>
        <v>&gt;2107:GAATGG:22.00:50.00:OK:6:1856.28</v>
      </c>
    </row>
    <row r="4219" spans="1:6" x14ac:dyDescent="0.3">
      <c r="A4219" t="s">
        <v>2113</v>
      </c>
      <c r="F4219" t="str">
        <f t="shared" ref="F4219" si="4211">A4219</f>
        <v>GAATGG</v>
      </c>
    </row>
    <row r="4220" spans="1:6" x14ac:dyDescent="0.3">
      <c r="A4220" t="s">
        <v>6210</v>
      </c>
      <c r="F4220" t="str">
        <f t="shared" ref="F4220" si="4212">LEFT(A4220, LEN(A4220) - 1)</f>
        <v>&gt;2108:GAATGT:16.00:33.33:OK:6:1831.26</v>
      </c>
    </row>
    <row r="4221" spans="1:6" x14ac:dyDescent="0.3">
      <c r="A4221" t="s">
        <v>2114</v>
      </c>
      <c r="F4221" t="str">
        <f t="shared" ref="F4221" si="4213">A4221</f>
        <v>GAATGT</v>
      </c>
    </row>
    <row r="4222" spans="1:6" x14ac:dyDescent="0.3">
      <c r="A4222" t="s">
        <v>6211</v>
      </c>
      <c r="F4222" t="str">
        <f t="shared" ref="F4222" si="4214">LEFT(A4222, LEN(A4222) - 1)</f>
        <v>&gt;2109:GAATTA:18.00:16.67:OK:6:1815.26</v>
      </c>
    </row>
    <row r="4223" spans="1:6" x14ac:dyDescent="0.3">
      <c r="A4223" t="s">
        <v>2115</v>
      </c>
      <c r="F4223" t="str">
        <f t="shared" ref="F4223" si="4215">A4223</f>
        <v>GAATTA</v>
      </c>
    </row>
    <row r="4224" spans="1:6" x14ac:dyDescent="0.3">
      <c r="A4224" t="s">
        <v>6212</v>
      </c>
      <c r="F4224" t="str">
        <f t="shared" ref="F4224" si="4216">LEFT(A4224, LEN(A4224) - 1)</f>
        <v>&gt;2110:GAATTC:16.00:33.33:OK:6:1791.23</v>
      </c>
    </row>
    <row r="4225" spans="1:6" x14ac:dyDescent="0.3">
      <c r="A4225" t="s">
        <v>2116</v>
      </c>
      <c r="F4225" t="str">
        <f t="shared" ref="F4225" si="4217">A4225</f>
        <v>GAATTC</v>
      </c>
    </row>
    <row r="4226" spans="1:6" x14ac:dyDescent="0.3">
      <c r="A4226" t="s">
        <v>6213</v>
      </c>
      <c r="F4226" t="str">
        <f t="shared" ref="F4226" si="4218">LEFT(A4226, LEN(A4226) - 1)</f>
        <v>&gt;2111:GAATTG:16.00:33.33:OK:6:1831.26</v>
      </c>
    </row>
    <row r="4227" spans="1:6" x14ac:dyDescent="0.3">
      <c r="A4227" t="s">
        <v>2117</v>
      </c>
      <c r="F4227" t="str">
        <f t="shared" ref="F4227" si="4219">A4227</f>
        <v>GAATTG</v>
      </c>
    </row>
    <row r="4228" spans="1:6" x14ac:dyDescent="0.3">
      <c r="A4228" t="s">
        <v>6214</v>
      </c>
      <c r="F4228" t="str">
        <f t="shared" ref="F4228" si="4220">LEFT(A4228, LEN(A4228) - 1)</f>
        <v>&gt;2112:GAATTT:10.00:16.67:OK:6:1806.24</v>
      </c>
    </row>
    <row r="4229" spans="1:6" x14ac:dyDescent="0.3">
      <c r="A4229" t="s">
        <v>2118</v>
      </c>
      <c r="F4229" t="str">
        <f t="shared" ref="F4229" si="4221">A4229</f>
        <v>GAATTT</v>
      </c>
    </row>
    <row r="4230" spans="1:6" x14ac:dyDescent="0.3">
      <c r="A4230" t="s">
        <v>6215</v>
      </c>
      <c r="F4230" t="str">
        <f t="shared" ref="F4230" si="4222">LEFT(A4230, LEN(A4230) - 1)</f>
        <v>&gt;2113:GACAAA:32.00:33.33:OK:6:1809.27</v>
      </c>
    </row>
    <row r="4231" spans="1:6" x14ac:dyDescent="0.3">
      <c r="A4231" t="s">
        <v>2119</v>
      </c>
      <c r="F4231" t="str">
        <f t="shared" ref="F4231" si="4223">A4231</f>
        <v>GACAAA</v>
      </c>
    </row>
    <row r="4232" spans="1:6" x14ac:dyDescent="0.3">
      <c r="A4232" t="s">
        <v>6216</v>
      </c>
      <c r="F4232" t="str">
        <f t="shared" ref="F4232" si="4224">LEFT(A4232, LEN(A4232) - 1)</f>
        <v>&gt;2114:GACAAC:30.00:50.00:OK:6:1785.24</v>
      </c>
    </row>
    <row r="4233" spans="1:6" x14ac:dyDescent="0.3">
      <c r="A4233" t="s">
        <v>2120</v>
      </c>
      <c r="F4233" t="str">
        <f t="shared" ref="F4233" si="4225">A4233</f>
        <v>GACAAC</v>
      </c>
    </row>
    <row r="4234" spans="1:6" x14ac:dyDescent="0.3">
      <c r="A4234" t="s">
        <v>6217</v>
      </c>
      <c r="F4234" t="str">
        <f t="shared" ref="F4234" si="4226">LEFT(A4234, LEN(A4234) - 1)</f>
        <v>&gt;2115:GACAAG:30.00:50.00:OK:6:1825.27</v>
      </c>
    </row>
    <row r="4235" spans="1:6" x14ac:dyDescent="0.3">
      <c r="A4235" t="s">
        <v>2121</v>
      </c>
      <c r="F4235" t="str">
        <f t="shared" ref="F4235" si="4227">A4235</f>
        <v>GACAAG</v>
      </c>
    </row>
    <row r="4236" spans="1:6" x14ac:dyDescent="0.3">
      <c r="A4236" t="s">
        <v>6218</v>
      </c>
      <c r="F4236" t="str">
        <f t="shared" ref="F4236" si="4228">LEFT(A4236, LEN(A4236) - 1)</f>
        <v>&gt;2116:GACAAT:24.00:33.33:OK:6:1800.25</v>
      </c>
    </row>
    <row r="4237" spans="1:6" x14ac:dyDescent="0.3">
      <c r="A4237" t="s">
        <v>2122</v>
      </c>
      <c r="F4237" t="str">
        <f t="shared" ref="F4237" si="4229">A4237</f>
        <v>GACAAT</v>
      </c>
    </row>
    <row r="4238" spans="1:6" x14ac:dyDescent="0.3">
      <c r="A4238" t="s">
        <v>6219</v>
      </c>
      <c r="F4238" t="str">
        <f t="shared" ref="F4238" si="4230">LEFT(A4238, LEN(A4238) - 1)</f>
        <v>&gt;2117:GACACA:30.00:50.00:OK:6:1785.24</v>
      </c>
    </row>
    <row r="4239" spans="1:6" x14ac:dyDescent="0.3">
      <c r="A4239" t="s">
        <v>2123</v>
      </c>
      <c r="F4239" t="str">
        <f t="shared" ref="F4239" si="4231">A4239</f>
        <v>GACACA</v>
      </c>
    </row>
    <row r="4240" spans="1:6" x14ac:dyDescent="0.3">
      <c r="A4240" t="s">
        <v>6220</v>
      </c>
      <c r="F4240" t="str">
        <f t="shared" ref="F4240" si="4232">LEFT(A4240, LEN(A4240) - 1)</f>
        <v>&gt;2118:GACACC:28.00:66.67:Warning:6:1761.21</v>
      </c>
    </row>
    <row r="4241" spans="1:6" x14ac:dyDescent="0.3">
      <c r="A4241" t="s">
        <v>2124</v>
      </c>
      <c r="F4241" t="str">
        <f t="shared" ref="F4241" si="4233">A4241</f>
        <v>GACACC</v>
      </c>
    </row>
    <row r="4242" spans="1:6" x14ac:dyDescent="0.3">
      <c r="A4242" t="s">
        <v>6221</v>
      </c>
      <c r="F4242" t="str">
        <f t="shared" ref="F4242" si="4234">LEFT(A4242, LEN(A4242) - 1)</f>
        <v>&gt;2119:GACACG:28.00:66.67:Warning:6:1801.24</v>
      </c>
    </row>
    <row r="4243" spans="1:6" x14ac:dyDescent="0.3">
      <c r="A4243" t="s">
        <v>2125</v>
      </c>
      <c r="F4243" t="str">
        <f t="shared" ref="F4243" si="4235">A4243</f>
        <v>GACACG</v>
      </c>
    </row>
    <row r="4244" spans="1:6" x14ac:dyDescent="0.3">
      <c r="A4244" t="s">
        <v>6222</v>
      </c>
      <c r="F4244" t="str">
        <f t="shared" ref="F4244" si="4236">LEFT(A4244, LEN(A4244) - 1)</f>
        <v>&gt;2120:GACACT:22.00:50.00:OK:6:1776.22</v>
      </c>
    </row>
    <row r="4245" spans="1:6" x14ac:dyDescent="0.3">
      <c r="A4245" t="s">
        <v>2126</v>
      </c>
      <c r="F4245" t="str">
        <f t="shared" ref="F4245" si="4237">A4245</f>
        <v>GACACT</v>
      </c>
    </row>
    <row r="4246" spans="1:6" x14ac:dyDescent="0.3">
      <c r="A4246" t="s">
        <v>6223</v>
      </c>
      <c r="F4246" t="str">
        <f t="shared" ref="F4246" si="4238">LEFT(A4246, LEN(A4246) - 1)</f>
        <v>&gt;2121:GACAGA:30.00:50.00:OK:6:1825.27</v>
      </c>
    </row>
    <row r="4247" spans="1:6" x14ac:dyDescent="0.3">
      <c r="A4247" t="s">
        <v>2127</v>
      </c>
      <c r="F4247" t="str">
        <f t="shared" ref="F4247" si="4239">A4247</f>
        <v>GACAGA</v>
      </c>
    </row>
    <row r="4248" spans="1:6" x14ac:dyDescent="0.3">
      <c r="A4248" t="s">
        <v>6224</v>
      </c>
      <c r="F4248" t="str">
        <f t="shared" ref="F4248" si="4240">LEFT(A4248, LEN(A4248) - 1)</f>
        <v>&gt;2122:GACAGC:28.00:66.67:Warning:6:1801.24</v>
      </c>
    </row>
    <row r="4249" spans="1:6" x14ac:dyDescent="0.3">
      <c r="A4249" t="s">
        <v>2128</v>
      </c>
      <c r="F4249" t="str">
        <f t="shared" ref="F4249" si="4241">A4249</f>
        <v>GACAGC</v>
      </c>
    </row>
    <row r="4250" spans="1:6" x14ac:dyDescent="0.3">
      <c r="A4250" t="s">
        <v>6225</v>
      </c>
      <c r="F4250" t="str">
        <f t="shared" ref="F4250" si="4242">LEFT(A4250, LEN(A4250) - 1)</f>
        <v>&gt;2123:GACAGG:28.00:66.67:Warning:6:1841.27</v>
      </c>
    </row>
    <row r="4251" spans="1:6" x14ac:dyDescent="0.3">
      <c r="A4251" t="s">
        <v>2129</v>
      </c>
      <c r="F4251" t="str">
        <f t="shared" ref="F4251" si="4243">A4251</f>
        <v>GACAGG</v>
      </c>
    </row>
    <row r="4252" spans="1:6" x14ac:dyDescent="0.3">
      <c r="A4252" t="s">
        <v>6226</v>
      </c>
      <c r="F4252" t="str">
        <f t="shared" ref="F4252" si="4244">LEFT(A4252, LEN(A4252) - 1)</f>
        <v>&gt;2124:GACAGT:22.00:50.00:OK:6:1816.25</v>
      </c>
    </row>
    <row r="4253" spans="1:6" x14ac:dyDescent="0.3">
      <c r="A4253" t="s">
        <v>2130</v>
      </c>
      <c r="F4253" t="str">
        <f t="shared" ref="F4253" si="4245">A4253</f>
        <v>GACAGT</v>
      </c>
    </row>
    <row r="4254" spans="1:6" x14ac:dyDescent="0.3">
      <c r="A4254" t="s">
        <v>6227</v>
      </c>
      <c r="F4254" t="str">
        <f t="shared" ref="F4254" si="4246">LEFT(A4254, LEN(A4254) - 1)</f>
        <v>&gt;2125:GACATA:24.00:33.33:OK:6:1800.25</v>
      </c>
    </row>
    <row r="4255" spans="1:6" x14ac:dyDescent="0.3">
      <c r="A4255" t="s">
        <v>2131</v>
      </c>
      <c r="F4255" t="str">
        <f t="shared" ref="F4255" si="4247">A4255</f>
        <v>GACATA</v>
      </c>
    </row>
    <row r="4256" spans="1:6" x14ac:dyDescent="0.3">
      <c r="A4256" t="s">
        <v>6228</v>
      </c>
      <c r="F4256" t="str">
        <f t="shared" ref="F4256" si="4248">LEFT(A4256, LEN(A4256) - 1)</f>
        <v>&gt;2126:GACATC:22.00:50.00:OK:6:1776.22</v>
      </c>
    </row>
    <row r="4257" spans="1:6" x14ac:dyDescent="0.3">
      <c r="A4257" t="s">
        <v>2132</v>
      </c>
      <c r="F4257" t="str">
        <f t="shared" ref="F4257" si="4249">A4257</f>
        <v>GACATC</v>
      </c>
    </row>
    <row r="4258" spans="1:6" x14ac:dyDescent="0.3">
      <c r="A4258" t="s">
        <v>6229</v>
      </c>
      <c r="F4258" t="str">
        <f t="shared" ref="F4258" si="4250">LEFT(A4258, LEN(A4258) - 1)</f>
        <v>&gt;2127:GACATG:22.00:50.00:OK:6:1816.25</v>
      </c>
    </row>
    <row r="4259" spans="1:6" x14ac:dyDescent="0.3">
      <c r="A4259" t="s">
        <v>2133</v>
      </c>
      <c r="F4259" t="str">
        <f t="shared" ref="F4259" si="4251">A4259</f>
        <v>GACATG</v>
      </c>
    </row>
    <row r="4260" spans="1:6" x14ac:dyDescent="0.3">
      <c r="A4260" t="s">
        <v>6230</v>
      </c>
      <c r="F4260" t="str">
        <f t="shared" ref="F4260" si="4252">LEFT(A4260, LEN(A4260) - 1)</f>
        <v>&gt;2128:GACATT:16.00:33.33:OK:6:1791.23</v>
      </c>
    </row>
    <row r="4261" spans="1:6" x14ac:dyDescent="0.3">
      <c r="A4261" t="s">
        <v>2134</v>
      </c>
      <c r="F4261" t="str">
        <f t="shared" ref="F4261" si="4253">A4261</f>
        <v>GACATT</v>
      </c>
    </row>
    <row r="4262" spans="1:6" x14ac:dyDescent="0.3">
      <c r="A4262" t="s">
        <v>6231</v>
      </c>
      <c r="F4262" t="str">
        <f t="shared" ref="F4262" si="4254">LEFT(A4262, LEN(A4262) - 1)</f>
        <v>&gt;2129:GACCAA:30.00:50.00:OK:6:1785.24</v>
      </c>
    </row>
    <row r="4263" spans="1:6" x14ac:dyDescent="0.3">
      <c r="A4263" t="s">
        <v>2135</v>
      </c>
      <c r="F4263" t="str">
        <f t="shared" ref="F4263" si="4255">A4263</f>
        <v>GACCAA</v>
      </c>
    </row>
    <row r="4264" spans="1:6" x14ac:dyDescent="0.3">
      <c r="A4264" t="s">
        <v>6232</v>
      </c>
      <c r="F4264" t="str">
        <f t="shared" ref="F4264" si="4256">LEFT(A4264, LEN(A4264) - 1)</f>
        <v>&gt;2130:GACCAC:28.00:66.67:Warning:6:1761.21</v>
      </c>
    </row>
    <row r="4265" spans="1:6" x14ac:dyDescent="0.3">
      <c r="A4265" t="s">
        <v>2136</v>
      </c>
      <c r="F4265" t="str">
        <f t="shared" ref="F4265" si="4257">A4265</f>
        <v>GACCAC</v>
      </c>
    </row>
    <row r="4266" spans="1:6" x14ac:dyDescent="0.3">
      <c r="A4266" t="s">
        <v>6233</v>
      </c>
      <c r="F4266" t="str">
        <f t="shared" ref="F4266" si="4258">LEFT(A4266, LEN(A4266) - 1)</f>
        <v>&gt;2131:GACCAG:28.00:66.67:Warning:6:1801.24</v>
      </c>
    </row>
    <row r="4267" spans="1:6" x14ac:dyDescent="0.3">
      <c r="A4267" t="s">
        <v>2137</v>
      </c>
      <c r="F4267" t="str">
        <f t="shared" ref="F4267" si="4259">A4267</f>
        <v>GACCAG</v>
      </c>
    </row>
    <row r="4268" spans="1:6" x14ac:dyDescent="0.3">
      <c r="A4268" t="s">
        <v>6234</v>
      </c>
      <c r="F4268" t="str">
        <f t="shared" ref="F4268" si="4260">LEFT(A4268, LEN(A4268) - 1)</f>
        <v>&gt;2132:GACCAT:22.00:50.00:OK:6:1776.22</v>
      </c>
    </row>
    <row r="4269" spans="1:6" x14ac:dyDescent="0.3">
      <c r="A4269" t="s">
        <v>2138</v>
      </c>
      <c r="F4269" t="str">
        <f t="shared" ref="F4269" si="4261">A4269</f>
        <v>GACCAT</v>
      </c>
    </row>
    <row r="4270" spans="1:6" x14ac:dyDescent="0.3">
      <c r="A4270" t="s">
        <v>6235</v>
      </c>
      <c r="F4270" t="str">
        <f t="shared" ref="F4270" si="4262">LEFT(A4270, LEN(A4270) - 1)</f>
        <v>&gt;2133:GACCCA:28.00:66.67:Warning:6:1761.21</v>
      </c>
    </row>
    <row r="4271" spans="1:6" x14ac:dyDescent="0.3">
      <c r="A4271" t="s">
        <v>2139</v>
      </c>
      <c r="F4271" t="str">
        <f t="shared" ref="F4271" si="4263">A4271</f>
        <v>GACCCA</v>
      </c>
    </row>
    <row r="4272" spans="1:6" x14ac:dyDescent="0.3">
      <c r="A4272" t="s">
        <v>6236</v>
      </c>
      <c r="F4272" t="str">
        <f t="shared" ref="F4272" si="4264">LEFT(A4272, LEN(A4272) - 1)</f>
        <v>&gt;2134:GACCCC:26.00:83.33:Warning:6:1737.18</v>
      </c>
    </row>
    <row r="4273" spans="1:6" x14ac:dyDescent="0.3">
      <c r="A4273" t="s">
        <v>2140</v>
      </c>
      <c r="F4273" t="str">
        <f t="shared" ref="F4273" si="4265">A4273</f>
        <v>GACCCC</v>
      </c>
    </row>
    <row r="4274" spans="1:6" x14ac:dyDescent="0.3">
      <c r="A4274" t="s">
        <v>6237</v>
      </c>
      <c r="F4274" t="str">
        <f t="shared" ref="F4274" si="4266">LEFT(A4274, LEN(A4274) - 1)</f>
        <v>&gt;2135:GACCCG:26.00:83.33:Warning:6:1777.21</v>
      </c>
    </row>
    <row r="4275" spans="1:6" x14ac:dyDescent="0.3">
      <c r="A4275" t="s">
        <v>2141</v>
      </c>
      <c r="F4275" t="str">
        <f t="shared" ref="F4275" si="4267">A4275</f>
        <v>GACCCG</v>
      </c>
    </row>
    <row r="4276" spans="1:6" x14ac:dyDescent="0.3">
      <c r="A4276" t="s">
        <v>6238</v>
      </c>
      <c r="F4276" t="str">
        <f t="shared" ref="F4276" si="4268">LEFT(A4276, LEN(A4276) - 1)</f>
        <v>&gt;2136:GACCCT:20.00:66.67:Warning:6:1752.19</v>
      </c>
    </row>
    <row r="4277" spans="1:6" x14ac:dyDescent="0.3">
      <c r="A4277" t="s">
        <v>2142</v>
      </c>
      <c r="F4277" t="str">
        <f t="shared" ref="F4277" si="4269">A4277</f>
        <v>GACCCT</v>
      </c>
    </row>
    <row r="4278" spans="1:6" x14ac:dyDescent="0.3">
      <c r="A4278" t="s">
        <v>6239</v>
      </c>
      <c r="F4278" t="str">
        <f t="shared" ref="F4278" si="4270">LEFT(A4278, LEN(A4278) - 1)</f>
        <v>&gt;2137:GACCGA:28.00:66.67:Warning:6:1801.24</v>
      </c>
    </row>
    <row r="4279" spans="1:6" x14ac:dyDescent="0.3">
      <c r="A4279" t="s">
        <v>2143</v>
      </c>
      <c r="F4279" t="str">
        <f t="shared" ref="F4279" si="4271">A4279</f>
        <v>GACCGA</v>
      </c>
    </row>
    <row r="4280" spans="1:6" x14ac:dyDescent="0.3">
      <c r="A4280" t="s">
        <v>6240</v>
      </c>
      <c r="F4280" t="str">
        <f t="shared" ref="F4280" si="4272">LEFT(A4280, LEN(A4280) - 1)</f>
        <v>&gt;2138:GACCGC:26.00:83.33:Warning:6:1777.21</v>
      </c>
    </row>
    <row r="4281" spans="1:6" x14ac:dyDescent="0.3">
      <c r="A4281" t="s">
        <v>2144</v>
      </c>
      <c r="F4281" t="str">
        <f t="shared" ref="F4281" si="4273">A4281</f>
        <v>GACCGC</v>
      </c>
    </row>
    <row r="4282" spans="1:6" x14ac:dyDescent="0.3">
      <c r="A4282" t="s">
        <v>6241</v>
      </c>
      <c r="F4282" t="str">
        <f t="shared" ref="F4282" si="4274">LEFT(A4282, LEN(A4282) - 1)</f>
        <v>&gt;2139:GACCGG:26.00:83.33:Warning:6:1817.24</v>
      </c>
    </row>
    <row r="4283" spans="1:6" x14ac:dyDescent="0.3">
      <c r="A4283" t="s">
        <v>2145</v>
      </c>
      <c r="F4283" t="str">
        <f t="shared" ref="F4283" si="4275">A4283</f>
        <v>GACCGG</v>
      </c>
    </row>
    <row r="4284" spans="1:6" x14ac:dyDescent="0.3">
      <c r="A4284" t="s">
        <v>6242</v>
      </c>
      <c r="F4284" t="str">
        <f t="shared" ref="F4284" si="4276">LEFT(A4284, LEN(A4284) - 1)</f>
        <v>&gt;2140:GACCGT:20.00:66.67:Warning:6:1792.22</v>
      </c>
    </row>
    <row r="4285" spans="1:6" x14ac:dyDescent="0.3">
      <c r="A4285" t="s">
        <v>2146</v>
      </c>
      <c r="F4285" t="str">
        <f t="shared" ref="F4285" si="4277">A4285</f>
        <v>GACCGT</v>
      </c>
    </row>
    <row r="4286" spans="1:6" x14ac:dyDescent="0.3">
      <c r="A4286" t="s">
        <v>6243</v>
      </c>
      <c r="F4286" t="str">
        <f t="shared" ref="F4286" si="4278">LEFT(A4286, LEN(A4286) - 1)</f>
        <v>&gt;2141:GACCTA:22.00:50.00:OK:6:1776.22</v>
      </c>
    </row>
    <row r="4287" spans="1:6" x14ac:dyDescent="0.3">
      <c r="A4287" t="s">
        <v>2147</v>
      </c>
      <c r="F4287" t="str">
        <f t="shared" ref="F4287" si="4279">A4287</f>
        <v>GACCTA</v>
      </c>
    </row>
    <row r="4288" spans="1:6" x14ac:dyDescent="0.3">
      <c r="A4288" t="s">
        <v>6244</v>
      </c>
      <c r="F4288" t="str">
        <f t="shared" ref="F4288" si="4280">LEFT(A4288, LEN(A4288) - 1)</f>
        <v>&gt;2142:GACCTC:20.00:66.67:Warning:6:1752.19</v>
      </c>
    </row>
    <row r="4289" spans="1:6" x14ac:dyDescent="0.3">
      <c r="A4289" t="s">
        <v>2148</v>
      </c>
      <c r="F4289" t="str">
        <f t="shared" ref="F4289" si="4281">A4289</f>
        <v>GACCTC</v>
      </c>
    </row>
    <row r="4290" spans="1:6" x14ac:dyDescent="0.3">
      <c r="A4290" t="s">
        <v>6245</v>
      </c>
      <c r="F4290" t="str">
        <f t="shared" ref="F4290" si="4282">LEFT(A4290, LEN(A4290) - 1)</f>
        <v>&gt;2143:GACCTG:20.00:66.67:Warning:6:1792.22</v>
      </c>
    </row>
    <row r="4291" spans="1:6" x14ac:dyDescent="0.3">
      <c r="A4291" t="s">
        <v>2149</v>
      </c>
      <c r="F4291" t="str">
        <f t="shared" ref="F4291" si="4283">A4291</f>
        <v>GACCTG</v>
      </c>
    </row>
    <row r="4292" spans="1:6" x14ac:dyDescent="0.3">
      <c r="A4292" t="s">
        <v>6246</v>
      </c>
      <c r="F4292" t="str">
        <f t="shared" ref="F4292" si="4284">LEFT(A4292, LEN(A4292) - 1)</f>
        <v>&gt;2144:GACCTT:14.00:50.00:OK:6:1767.20</v>
      </c>
    </row>
    <row r="4293" spans="1:6" x14ac:dyDescent="0.3">
      <c r="A4293" t="s">
        <v>2150</v>
      </c>
      <c r="F4293" t="str">
        <f t="shared" ref="F4293" si="4285">A4293</f>
        <v>GACCTT</v>
      </c>
    </row>
    <row r="4294" spans="1:6" x14ac:dyDescent="0.3">
      <c r="A4294" t="s">
        <v>6247</v>
      </c>
      <c r="F4294" t="str">
        <f t="shared" ref="F4294" si="4286">LEFT(A4294, LEN(A4294) - 1)</f>
        <v>&gt;2145:GACGAA:30.00:50.00:OK:6:1825.27</v>
      </c>
    </row>
    <row r="4295" spans="1:6" x14ac:dyDescent="0.3">
      <c r="A4295" t="s">
        <v>2151</v>
      </c>
      <c r="F4295" t="str">
        <f t="shared" ref="F4295" si="4287">A4295</f>
        <v>GACGAA</v>
      </c>
    </row>
    <row r="4296" spans="1:6" x14ac:dyDescent="0.3">
      <c r="A4296" t="s">
        <v>6248</v>
      </c>
      <c r="F4296" t="str">
        <f t="shared" ref="F4296" si="4288">LEFT(A4296, LEN(A4296) - 1)</f>
        <v>&gt;2146:GACGAC:28.00:66.67:Warning:6:1801.24</v>
      </c>
    </row>
    <row r="4297" spans="1:6" x14ac:dyDescent="0.3">
      <c r="A4297" t="s">
        <v>2152</v>
      </c>
      <c r="F4297" t="str">
        <f t="shared" ref="F4297" si="4289">A4297</f>
        <v>GACGAC</v>
      </c>
    </row>
    <row r="4298" spans="1:6" x14ac:dyDescent="0.3">
      <c r="A4298" t="s">
        <v>6249</v>
      </c>
      <c r="F4298" t="str">
        <f t="shared" ref="F4298" si="4290">LEFT(A4298, LEN(A4298) - 1)</f>
        <v>&gt;2147:GACGAG:28.00:66.67:Warning:6:1841.27</v>
      </c>
    </row>
    <row r="4299" spans="1:6" x14ac:dyDescent="0.3">
      <c r="A4299" t="s">
        <v>2153</v>
      </c>
      <c r="F4299" t="str">
        <f t="shared" ref="F4299" si="4291">A4299</f>
        <v>GACGAG</v>
      </c>
    </row>
    <row r="4300" spans="1:6" x14ac:dyDescent="0.3">
      <c r="A4300" t="s">
        <v>6250</v>
      </c>
      <c r="F4300" t="str">
        <f t="shared" ref="F4300" si="4292">LEFT(A4300, LEN(A4300) - 1)</f>
        <v>&gt;2148:GACGAT:22.00:50.00:OK:6:1816.25</v>
      </c>
    </row>
    <row r="4301" spans="1:6" x14ac:dyDescent="0.3">
      <c r="A4301" t="s">
        <v>2154</v>
      </c>
      <c r="F4301" t="str">
        <f t="shared" ref="F4301" si="4293">A4301</f>
        <v>GACGAT</v>
      </c>
    </row>
    <row r="4302" spans="1:6" x14ac:dyDescent="0.3">
      <c r="A4302" t="s">
        <v>6251</v>
      </c>
      <c r="F4302" t="str">
        <f t="shared" ref="F4302" si="4294">LEFT(A4302, LEN(A4302) - 1)</f>
        <v>&gt;2149:GACGCA:28.00:66.67:Warning:6:1801.24</v>
      </c>
    </row>
    <row r="4303" spans="1:6" x14ac:dyDescent="0.3">
      <c r="A4303" t="s">
        <v>2155</v>
      </c>
      <c r="F4303" t="str">
        <f t="shared" ref="F4303" si="4295">A4303</f>
        <v>GACGCA</v>
      </c>
    </row>
    <row r="4304" spans="1:6" x14ac:dyDescent="0.3">
      <c r="A4304" t="s">
        <v>6252</v>
      </c>
      <c r="F4304" t="str">
        <f t="shared" ref="F4304" si="4296">LEFT(A4304, LEN(A4304) - 1)</f>
        <v>&gt;2150:GACGCC:26.00:83.33:Warning:6:1777.21</v>
      </c>
    </row>
    <row r="4305" spans="1:6" x14ac:dyDescent="0.3">
      <c r="A4305" t="s">
        <v>2156</v>
      </c>
      <c r="F4305" t="str">
        <f t="shared" ref="F4305" si="4297">A4305</f>
        <v>GACGCC</v>
      </c>
    </row>
    <row r="4306" spans="1:6" x14ac:dyDescent="0.3">
      <c r="A4306" t="s">
        <v>6253</v>
      </c>
      <c r="F4306" t="str">
        <f t="shared" ref="F4306" si="4298">LEFT(A4306, LEN(A4306) - 1)</f>
        <v>&gt;2151:GACGCG:26.00:83.33:Warning:6:1817.24</v>
      </c>
    </row>
    <row r="4307" spans="1:6" x14ac:dyDescent="0.3">
      <c r="A4307" t="s">
        <v>2157</v>
      </c>
      <c r="F4307" t="str">
        <f t="shared" ref="F4307" si="4299">A4307</f>
        <v>GACGCG</v>
      </c>
    </row>
    <row r="4308" spans="1:6" x14ac:dyDescent="0.3">
      <c r="A4308" t="s">
        <v>6254</v>
      </c>
      <c r="F4308" t="str">
        <f t="shared" ref="F4308" si="4300">LEFT(A4308, LEN(A4308) - 1)</f>
        <v>&gt;2152:GACGCT:20.00:66.67:Warning:6:1792.22</v>
      </c>
    </row>
    <row r="4309" spans="1:6" x14ac:dyDescent="0.3">
      <c r="A4309" t="s">
        <v>2158</v>
      </c>
      <c r="F4309" t="str">
        <f t="shared" ref="F4309" si="4301">A4309</f>
        <v>GACGCT</v>
      </c>
    </row>
    <row r="4310" spans="1:6" x14ac:dyDescent="0.3">
      <c r="A4310" t="s">
        <v>6255</v>
      </c>
      <c r="F4310" t="str">
        <f t="shared" ref="F4310" si="4302">LEFT(A4310, LEN(A4310) - 1)</f>
        <v>&gt;2153:GACGGA:28.00:66.67:Warning:6:1841.27</v>
      </c>
    </row>
    <row r="4311" spans="1:6" x14ac:dyDescent="0.3">
      <c r="A4311" t="s">
        <v>2159</v>
      </c>
      <c r="F4311" t="str">
        <f t="shared" ref="F4311" si="4303">A4311</f>
        <v>GACGGA</v>
      </c>
    </row>
    <row r="4312" spans="1:6" x14ac:dyDescent="0.3">
      <c r="A4312" t="s">
        <v>6256</v>
      </c>
      <c r="F4312" t="str">
        <f t="shared" ref="F4312" si="4304">LEFT(A4312, LEN(A4312) - 1)</f>
        <v>&gt;2154:GACGGC:26.00:83.33:Warning:6:1817.24</v>
      </c>
    </row>
    <row r="4313" spans="1:6" x14ac:dyDescent="0.3">
      <c r="A4313" t="s">
        <v>2160</v>
      </c>
      <c r="F4313" t="str">
        <f t="shared" ref="F4313" si="4305">A4313</f>
        <v>GACGGC</v>
      </c>
    </row>
    <row r="4314" spans="1:6" x14ac:dyDescent="0.3">
      <c r="A4314" t="s">
        <v>6257</v>
      </c>
      <c r="F4314" t="str">
        <f t="shared" ref="F4314" si="4306">LEFT(A4314, LEN(A4314) - 1)</f>
        <v>&gt;2155:GACGGG:26.00:83.33:Warning:6:1857.27</v>
      </c>
    </row>
    <row r="4315" spans="1:6" x14ac:dyDescent="0.3">
      <c r="A4315" t="s">
        <v>2161</v>
      </c>
      <c r="F4315" t="str">
        <f t="shared" ref="F4315" si="4307">A4315</f>
        <v>GACGGG</v>
      </c>
    </row>
    <row r="4316" spans="1:6" x14ac:dyDescent="0.3">
      <c r="A4316" t="s">
        <v>6258</v>
      </c>
      <c r="F4316" t="str">
        <f t="shared" ref="F4316" si="4308">LEFT(A4316, LEN(A4316) - 1)</f>
        <v>&gt;2156:GACGGT:20.00:66.67:Warning:6:1832.25</v>
      </c>
    </row>
    <row r="4317" spans="1:6" x14ac:dyDescent="0.3">
      <c r="A4317" t="s">
        <v>2162</v>
      </c>
      <c r="F4317" t="str">
        <f t="shared" ref="F4317" si="4309">A4317</f>
        <v>GACGGT</v>
      </c>
    </row>
    <row r="4318" spans="1:6" x14ac:dyDescent="0.3">
      <c r="A4318" t="s">
        <v>6259</v>
      </c>
      <c r="F4318" t="str">
        <f t="shared" ref="F4318" si="4310">LEFT(A4318, LEN(A4318) - 1)</f>
        <v>&gt;2157:GACGTA:22.00:50.00:OK:6:1816.25</v>
      </c>
    </row>
    <row r="4319" spans="1:6" x14ac:dyDescent="0.3">
      <c r="A4319" t="s">
        <v>2163</v>
      </c>
      <c r="F4319" t="str">
        <f t="shared" ref="F4319" si="4311">A4319</f>
        <v>GACGTA</v>
      </c>
    </row>
    <row r="4320" spans="1:6" x14ac:dyDescent="0.3">
      <c r="A4320" t="s">
        <v>6260</v>
      </c>
      <c r="F4320" t="str">
        <f t="shared" ref="F4320" si="4312">LEFT(A4320, LEN(A4320) - 1)</f>
        <v>&gt;2158:GACGTC:20.00:66.67:Warning:6:1792.22</v>
      </c>
    </row>
    <row r="4321" spans="1:6" x14ac:dyDescent="0.3">
      <c r="A4321" t="s">
        <v>2164</v>
      </c>
      <c r="F4321" t="str">
        <f t="shared" ref="F4321" si="4313">A4321</f>
        <v>GACGTC</v>
      </c>
    </row>
    <row r="4322" spans="1:6" x14ac:dyDescent="0.3">
      <c r="A4322" t="s">
        <v>6261</v>
      </c>
      <c r="F4322" t="str">
        <f t="shared" ref="F4322" si="4314">LEFT(A4322, LEN(A4322) - 1)</f>
        <v>&gt;2159:GACGTG:20.00:66.67:Warning:6:1832.25</v>
      </c>
    </row>
    <row r="4323" spans="1:6" x14ac:dyDescent="0.3">
      <c r="A4323" t="s">
        <v>2165</v>
      </c>
      <c r="F4323" t="str">
        <f t="shared" ref="F4323" si="4315">A4323</f>
        <v>GACGTG</v>
      </c>
    </row>
    <row r="4324" spans="1:6" x14ac:dyDescent="0.3">
      <c r="A4324" t="s">
        <v>6262</v>
      </c>
      <c r="F4324" t="str">
        <f t="shared" ref="F4324" si="4316">LEFT(A4324, LEN(A4324) - 1)</f>
        <v>&gt;2160:GACGTT:14.00:50.00:OK:6:1807.23</v>
      </c>
    </row>
    <row r="4325" spans="1:6" x14ac:dyDescent="0.3">
      <c r="A4325" t="s">
        <v>2166</v>
      </c>
      <c r="F4325" t="str">
        <f t="shared" ref="F4325" si="4317">A4325</f>
        <v>GACGTT</v>
      </c>
    </row>
    <row r="4326" spans="1:6" x14ac:dyDescent="0.3">
      <c r="A4326" t="s">
        <v>6263</v>
      </c>
      <c r="F4326" t="str">
        <f t="shared" ref="F4326" si="4318">LEFT(A4326, LEN(A4326) - 1)</f>
        <v>&gt;2161:GACTAA:24.00:33.33:OK:6:1800.25</v>
      </c>
    </row>
    <row r="4327" spans="1:6" x14ac:dyDescent="0.3">
      <c r="A4327" t="s">
        <v>2167</v>
      </c>
      <c r="F4327" t="str">
        <f t="shared" ref="F4327" si="4319">A4327</f>
        <v>GACTAA</v>
      </c>
    </row>
    <row r="4328" spans="1:6" x14ac:dyDescent="0.3">
      <c r="A4328" t="s">
        <v>6264</v>
      </c>
      <c r="F4328" t="str">
        <f t="shared" ref="F4328" si="4320">LEFT(A4328, LEN(A4328) - 1)</f>
        <v>&gt;2162:GACTAC:22.00:50.00:OK:6:1776.22</v>
      </c>
    </row>
    <row r="4329" spans="1:6" x14ac:dyDescent="0.3">
      <c r="A4329" t="s">
        <v>2168</v>
      </c>
      <c r="F4329" t="str">
        <f t="shared" ref="F4329" si="4321">A4329</f>
        <v>GACTAC</v>
      </c>
    </row>
    <row r="4330" spans="1:6" x14ac:dyDescent="0.3">
      <c r="A4330" t="s">
        <v>6265</v>
      </c>
      <c r="F4330" t="str">
        <f t="shared" ref="F4330" si="4322">LEFT(A4330, LEN(A4330) - 1)</f>
        <v>&gt;2163:GACTAG:22.00:50.00:OK:6:1816.25</v>
      </c>
    </row>
    <row r="4331" spans="1:6" x14ac:dyDescent="0.3">
      <c r="A4331" t="s">
        <v>2169</v>
      </c>
      <c r="F4331" t="str">
        <f t="shared" ref="F4331" si="4323">A4331</f>
        <v>GACTAG</v>
      </c>
    </row>
    <row r="4332" spans="1:6" x14ac:dyDescent="0.3">
      <c r="A4332" t="s">
        <v>6266</v>
      </c>
      <c r="F4332" t="str">
        <f t="shared" ref="F4332" si="4324">LEFT(A4332, LEN(A4332) - 1)</f>
        <v>&gt;2164:GACTAT:16.00:33.33:OK:6:1791.23</v>
      </c>
    </row>
    <row r="4333" spans="1:6" x14ac:dyDescent="0.3">
      <c r="A4333" t="s">
        <v>2170</v>
      </c>
      <c r="F4333" t="str">
        <f t="shared" ref="F4333" si="4325">A4333</f>
        <v>GACTAT</v>
      </c>
    </row>
    <row r="4334" spans="1:6" x14ac:dyDescent="0.3">
      <c r="A4334" t="s">
        <v>6267</v>
      </c>
      <c r="F4334" t="str">
        <f t="shared" ref="F4334" si="4326">LEFT(A4334, LEN(A4334) - 1)</f>
        <v>&gt;2165:GACTCA:22.00:50.00:OK:6:1776.22</v>
      </c>
    </row>
    <row r="4335" spans="1:6" x14ac:dyDescent="0.3">
      <c r="A4335" t="s">
        <v>2171</v>
      </c>
      <c r="F4335" t="str">
        <f t="shared" ref="F4335" si="4327">A4335</f>
        <v>GACTCA</v>
      </c>
    </row>
    <row r="4336" spans="1:6" x14ac:dyDescent="0.3">
      <c r="A4336" t="s">
        <v>6268</v>
      </c>
      <c r="F4336" t="str">
        <f t="shared" ref="F4336" si="4328">LEFT(A4336, LEN(A4336) - 1)</f>
        <v>&gt;2166:GACTCC:20.00:66.67:Warning:6:1752.19</v>
      </c>
    </row>
    <row r="4337" spans="1:6" x14ac:dyDescent="0.3">
      <c r="A4337" t="s">
        <v>2172</v>
      </c>
      <c r="F4337" t="str">
        <f t="shared" ref="F4337" si="4329">A4337</f>
        <v>GACTCC</v>
      </c>
    </row>
    <row r="4338" spans="1:6" x14ac:dyDescent="0.3">
      <c r="A4338" t="s">
        <v>6269</v>
      </c>
      <c r="F4338" t="str">
        <f t="shared" ref="F4338" si="4330">LEFT(A4338, LEN(A4338) - 1)</f>
        <v>&gt;2167:GACTCG:20.00:66.67:Warning:6:1792.22</v>
      </c>
    </row>
    <row r="4339" spans="1:6" x14ac:dyDescent="0.3">
      <c r="A4339" t="s">
        <v>2173</v>
      </c>
      <c r="F4339" t="str">
        <f t="shared" ref="F4339" si="4331">A4339</f>
        <v>GACTCG</v>
      </c>
    </row>
    <row r="4340" spans="1:6" x14ac:dyDescent="0.3">
      <c r="A4340" t="s">
        <v>6270</v>
      </c>
      <c r="F4340" t="str">
        <f t="shared" ref="F4340" si="4332">LEFT(A4340, LEN(A4340) - 1)</f>
        <v>&gt;2168:GACTCT:14.00:50.00:OK:6:1767.20</v>
      </c>
    </row>
    <row r="4341" spans="1:6" x14ac:dyDescent="0.3">
      <c r="A4341" t="s">
        <v>2174</v>
      </c>
      <c r="F4341" t="str">
        <f t="shared" ref="F4341" si="4333">A4341</f>
        <v>GACTCT</v>
      </c>
    </row>
    <row r="4342" spans="1:6" x14ac:dyDescent="0.3">
      <c r="A4342" t="s">
        <v>6271</v>
      </c>
      <c r="F4342" t="str">
        <f t="shared" ref="F4342" si="4334">LEFT(A4342, LEN(A4342) - 1)</f>
        <v>&gt;2169:GACTGA:22.00:50.00:OK:6:1816.25</v>
      </c>
    </row>
    <row r="4343" spans="1:6" x14ac:dyDescent="0.3">
      <c r="A4343" t="s">
        <v>2175</v>
      </c>
      <c r="F4343" t="str">
        <f t="shared" ref="F4343" si="4335">A4343</f>
        <v>GACTGA</v>
      </c>
    </row>
    <row r="4344" spans="1:6" x14ac:dyDescent="0.3">
      <c r="A4344" t="s">
        <v>6272</v>
      </c>
      <c r="F4344" t="str">
        <f t="shared" ref="F4344" si="4336">LEFT(A4344, LEN(A4344) - 1)</f>
        <v>&gt;2170:GACTGC:20.00:66.67:Warning:6:1792.22</v>
      </c>
    </row>
    <row r="4345" spans="1:6" x14ac:dyDescent="0.3">
      <c r="A4345" t="s">
        <v>2176</v>
      </c>
      <c r="F4345" t="str">
        <f t="shared" ref="F4345" si="4337">A4345</f>
        <v>GACTGC</v>
      </c>
    </row>
    <row r="4346" spans="1:6" x14ac:dyDescent="0.3">
      <c r="A4346" t="s">
        <v>6273</v>
      </c>
      <c r="F4346" t="str">
        <f t="shared" ref="F4346" si="4338">LEFT(A4346, LEN(A4346) - 1)</f>
        <v>&gt;2171:GACTGG:20.00:66.67:Warning:6:1832.25</v>
      </c>
    </row>
    <row r="4347" spans="1:6" x14ac:dyDescent="0.3">
      <c r="A4347" t="s">
        <v>2177</v>
      </c>
      <c r="F4347" t="str">
        <f t="shared" ref="F4347" si="4339">A4347</f>
        <v>GACTGG</v>
      </c>
    </row>
    <row r="4348" spans="1:6" x14ac:dyDescent="0.3">
      <c r="A4348" t="s">
        <v>6274</v>
      </c>
      <c r="F4348" t="str">
        <f t="shared" ref="F4348" si="4340">LEFT(A4348, LEN(A4348) - 1)</f>
        <v>&gt;2172:GACTGT:14.00:50.00:OK:6:1807.23</v>
      </c>
    </row>
    <row r="4349" spans="1:6" x14ac:dyDescent="0.3">
      <c r="A4349" t="s">
        <v>2178</v>
      </c>
      <c r="F4349" t="str">
        <f t="shared" ref="F4349" si="4341">A4349</f>
        <v>GACTGT</v>
      </c>
    </row>
    <row r="4350" spans="1:6" x14ac:dyDescent="0.3">
      <c r="A4350" t="s">
        <v>6275</v>
      </c>
      <c r="F4350" t="str">
        <f t="shared" ref="F4350" si="4342">LEFT(A4350, LEN(A4350) - 1)</f>
        <v>&gt;2173:GACTTA:16.00:33.33:OK:6:1791.23</v>
      </c>
    </row>
    <row r="4351" spans="1:6" x14ac:dyDescent="0.3">
      <c r="A4351" t="s">
        <v>2179</v>
      </c>
      <c r="F4351" t="str">
        <f t="shared" ref="F4351" si="4343">A4351</f>
        <v>GACTTA</v>
      </c>
    </row>
    <row r="4352" spans="1:6" x14ac:dyDescent="0.3">
      <c r="A4352" t="s">
        <v>6276</v>
      </c>
      <c r="F4352" t="str">
        <f t="shared" ref="F4352" si="4344">LEFT(A4352, LEN(A4352) - 1)</f>
        <v>&gt;2174:GACTTC:14.00:50.00:OK:6:1767.20</v>
      </c>
    </row>
    <row r="4353" spans="1:6" x14ac:dyDescent="0.3">
      <c r="A4353" t="s">
        <v>2180</v>
      </c>
      <c r="F4353" t="str">
        <f t="shared" ref="F4353" si="4345">A4353</f>
        <v>GACTTC</v>
      </c>
    </row>
    <row r="4354" spans="1:6" x14ac:dyDescent="0.3">
      <c r="A4354" t="s">
        <v>6277</v>
      </c>
      <c r="F4354" t="str">
        <f t="shared" ref="F4354" si="4346">LEFT(A4354, LEN(A4354) - 1)</f>
        <v>&gt;2175:GACTTG:14.00:50.00:OK:6:1807.23</v>
      </c>
    </row>
    <row r="4355" spans="1:6" x14ac:dyDescent="0.3">
      <c r="A4355" t="s">
        <v>2181</v>
      </c>
      <c r="F4355" t="str">
        <f t="shared" ref="F4355" si="4347">A4355</f>
        <v>GACTTG</v>
      </c>
    </row>
    <row r="4356" spans="1:6" x14ac:dyDescent="0.3">
      <c r="A4356" t="s">
        <v>6278</v>
      </c>
      <c r="F4356" t="str">
        <f t="shared" ref="F4356" si="4348">LEFT(A4356, LEN(A4356) - 1)</f>
        <v>&gt;2176:GACTTT:8.00:33.33:OK:6:1782.21</v>
      </c>
    </row>
    <row r="4357" spans="1:6" x14ac:dyDescent="0.3">
      <c r="A4357" t="s">
        <v>2182</v>
      </c>
      <c r="F4357" t="str">
        <f t="shared" ref="F4357" si="4349">A4357</f>
        <v>GACTTT</v>
      </c>
    </row>
    <row r="4358" spans="1:6" x14ac:dyDescent="0.3">
      <c r="A4358" t="s">
        <v>6279</v>
      </c>
      <c r="F4358" t="str">
        <f t="shared" ref="F4358" si="4350">LEFT(A4358, LEN(A4358) - 1)</f>
        <v>&gt;2177:GAGAAA:32.00:33.33:OK:6:1849.30</v>
      </c>
    </row>
    <row r="4359" spans="1:6" x14ac:dyDescent="0.3">
      <c r="A4359" t="s">
        <v>2183</v>
      </c>
      <c r="F4359" t="str">
        <f t="shared" ref="F4359" si="4351">A4359</f>
        <v>GAGAAA</v>
      </c>
    </row>
    <row r="4360" spans="1:6" x14ac:dyDescent="0.3">
      <c r="A4360" t="s">
        <v>6280</v>
      </c>
      <c r="F4360" t="str">
        <f t="shared" ref="F4360" si="4352">LEFT(A4360, LEN(A4360) - 1)</f>
        <v>&gt;2178:GAGAAC:30.00:50.00:OK:6:1825.27</v>
      </c>
    </row>
    <row r="4361" spans="1:6" x14ac:dyDescent="0.3">
      <c r="A4361" t="s">
        <v>2184</v>
      </c>
      <c r="F4361" t="str">
        <f t="shared" ref="F4361" si="4353">A4361</f>
        <v>GAGAAC</v>
      </c>
    </row>
    <row r="4362" spans="1:6" x14ac:dyDescent="0.3">
      <c r="A4362" t="s">
        <v>6281</v>
      </c>
      <c r="F4362" t="str">
        <f t="shared" ref="F4362" si="4354">LEFT(A4362, LEN(A4362) - 1)</f>
        <v>&gt;2179:GAGAAG:30.00:50.00:OK:6:1865.30</v>
      </c>
    </row>
    <row r="4363" spans="1:6" x14ac:dyDescent="0.3">
      <c r="A4363" t="s">
        <v>2185</v>
      </c>
      <c r="F4363" t="str">
        <f t="shared" ref="F4363" si="4355">A4363</f>
        <v>GAGAAG</v>
      </c>
    </row>
    <row r="4364" spans="1:6" x14ac:dyDescent="0.3">
      <c r="A4364" t="s">
        <v>6282</v>
      </c>
      <c r="F4364" t="str">
        <f t="shared" ref="F4364" si="4356">LEFT(A4364, LEN(A4364) - 1)</f>
        <v>&gt;2180:GAGAAT:24.00:33.33:OK:6:1840.28</v>
      </c>
    </row>
    <row r="4365" spans="1:6" x14ac:dyDescent="0.3">
      <c r="A4365" t="s">
        <v>2186</v>
      </c>
      <c r="F4365" t="str">
        <f t="shared" ref="F4365" si="4357">A4365</f>
        <v>GAGAAT</v>
      </c>
    </row>
    <row r="4366" spans="1:6" x14ac:dyDescent="0.3">
      <c r="A4366" t="s">
        <v>6283</v>
      </c>
      <c r="F4366" t="str">
        <f t="shared" ref="F4366" si="4358">LEFT(A4366, LEN(A4366) - 1)</f>
        <v>&gt;2181:GAGACA:30.00:50.00:OK:6:1825.27</v>
      </c>
    </row>
    <row r="4367" spans="1:6" x14ac:dyDescent="0.3">
      <c r="A4367" t="s">
        <v>2187</v>
      </c>
      <c r="F4367" t="str">
        <f t="shared" ref="F4367" si="4359">A4367</f>
        <v>GAGACA</v>
      </c>
    </row>
    <row r="4368" spans="1:6" x14ac:dyDescent="0.3">
      <c r="A4368" t="s">
        <v>6284</v>
      </c>
      <c r="F4368" t="str">
        <f t="shared" ref="F4368" si="4360">LEFT(A4368, LEN(A4368) - 1)</f>
        <v>&gt;2182:GAGACC:28.00:66.67:Warning:6:1801.24</v>
      </c>
    </row>
    <row r="4369" spans="1:6" x14ac:dyDescent="0.3">
      <c r="A4369" t="s">
        <v>2188</v>
      </c>
      <c r="F4369" t="str">
        <f t="shared" ref="F4369" si="4361">A4369</f>
        <v>GAGACC</v>
      </c>
    </row>
    <row r="4370" spans="1:6" x14ac:dyDescent="0.3">
      <c r="A4370" t="s">
        <v>6285</v>
      </c>
      <c r="F4370" t="str">
        <f t="shared" ref="F4370" si="4362">LEFT(A4370, LEN(A4370) - 1)</f>
        <v>&gt;2183:GAGACG:28.00:66.67:Warning:6:1841.27</v>
      </c>
    </row>
    <row r="4371" spans="1:6" x14ac:dyDescent="0.3">
      <c r="A4371" t="s">
        <v>2189</v>
      </c>
      <c r="F4371" t="str">
        <f t="shared" ref="F4371" si="4363">A4371</f>
        <v>GAGACG</v>
      </c>
    </row>
    <row r="4372" spans="1:6" x14ac:dyDescent="0.3">
      <c r="A4372" t="s">
        <v>6286</v>
      </c>
      <c r="F4372" t="str">
        <f t="shared" ref="F4372" si="4364">LEFT(A4372, LEN(A4372) - 1)</f>
        <v>&gt;2184:GAGACT:22.00:50.00:OK:6:1816.25</v>
      </c>
    </row>
    <row r="4373" spans="1:6" x14ac:dyDescent="0.3">
      <c r="A4373" t="s">
        <v>2190</v>
      </c>
      <c r="F4373" t="str">
        <f t="shared" ref="F4373" si="4365">A4373</f>
        <v>GAGACT</v>
      </c>
    </row>
    <row r="4374" spans="1:6" x14ac:dyDescent="0.3">
      <c r="A4374" t="s">
        <v>6287</v>
      </c>
      <c r="F4374" t="str">
        <f t="shared" ref="F4374" si="4366">LEFT(A4374, LEN(A4374) - 1)</f>
        <v>&gt;2185:GAGAGA:30.00:50.00:OK:6:1865.30</v>
      </c>
    </row>
    <row r="4375" spans="1:6" x14ac:dyDescent="0.3">
      <c r="A4375" t="s">
        <v>2191</v>
      </c>
      <c r="F4375" t="str">
        <f t="shared" ref="F4375" si="4367">A4375</f>
        <v>GAGAGA</v>
      </c>
    </row>
    <row r="4376" spans="1:6" x14ac:dyDescent="0.3">
      <c r="A4376" t="s">
        <v>6288</v>
      </c>
      <c r="F4376" t="str">
        <f t="shared" ref="F4376" si="4368">LEFT(A4376, LEN(A4376) - 1)</f>
        <v>&gt;2186:GAGAGC:28.00:66.67:Warning:6:1841.27</v>
      </c>
    </row>
    <row r="4377" spans="1:6" x14ac:dyDescent="0.3">
      <c r="A4377" t="s">
        <v>2192</v>
      </c>
      <c r="F4377" t="str">
        <f t="shared" ref="F4377" si="4369">A4377</f>
        <v>GAGAGC</v>
      </c>
    </row>
    <row r="4378" spans="1:6" x14ac:dyDescent="0.3">
      <c r="A4378" t="s">
        <v>6289</v>
      </c>
      <c r="F4378" t="str">
        <f t="shared" ref="F4378" si="4370">LEFT(A4378, LEN(A4378) - 1)</f>
        <v>&gt;2187:GAGAGG:28.00:66.67:Warning:6:1881.30</v>
      </c>
    </row>
    <row r="4379" spans="1:6" x14ac:dyDescent="0.3">
      <c r="A4379" t="s">
        <v>2193</v>
      </c>
      <c r="F4379" t="str">
        <f t="shared" ref="F4379" si="4371">A4379</f>
        <v>GAGAGG</v>
      </c>
    </row>
    <row r="4380" spans="1:6" x14ac:dyDescent="0.3">
      <c r="A4380" t="s">
        <v>6290</v>
      </c>
      <c r="F4380" t="str">
        <f t="shared" ref="F4380" si="4372">LEFT(A4380, LEN(A4380) - 1)</f>
        <v>&gt;2188:GAGAGT:22.00:50.00:OK:6:1856.28</v>
      </c>
    </row>
    <row r="4381" spans="1:6" x14ac:dyDescent="0.3">
      <c r="A4381" t="s">
        <v>2194</v>
      </c>
      <c r="F4381" t="str">
        <f t="shared" ref="F4381" si="4373">A4381</f>
        <v>GAGAGT</v>
      </c>
    </row>
    <row r="4382" spans="1:6" x14ac:dyDescent="0.3">
      <c r="A4382" t="s">
        <v>6291</v>
      </c>
      <c r="F4382" t="str">
        <f t="shared" ref="F4382" si="4374">LEFT(A4382, LEN(A4382) - 1)</f>
        <v>&gt;2189:GAGATA:24.00:33.33:OK:6:1840.28</v>
      </c>
    </row>
    <row r="4383" spans="1:6" x14ac:dyDescent="0.3">
      <c r="A4383" t="s">
        <v>2195</v>
      </c>
      <c r="F4383" t="str">
        <f t="shared" ref="F4383" si="4375">A4383</f>
        <v>GAGATA</v>
      </c>
    </row>
    <row r="4384" spans="1:6" x14ac:dyDescent="0.3">
      <c r="A4384" t="s">
        <v>6292</v>
      </c>
      <c r="F4384" t="str">
        <f t="shared" ref="F4384" si="4376">LEFT(A4384, LEN(A4384) - 1)</f>
        <v>&gt;2190:GAGATC:22.00:50.00:OK:6:1816.25</v>
      </c>
    </row>
    <row r="4385" spans="1:6" x14ac:dyDescent="0.3">
      <c r="A4385" t="s">
        <v>2196</v>
      </c>
      <c r="F4385" t="str">
        <f t="shared" ref="F4385" si="4377">A4385</f>
        <v>GAGATC</v>
      </c>
    </row>
    <row r="4386" spans="1:6" x14ac:dyDescent="0.3">
      <c r="A4386" t="s">
        <v>6293</v>
      </c>
      <c r="F4386" t="str">
        <f t="shared" ref="F4386" si="4378">LEFT(A4386, LEN(A4386) - 1)</f>
        <v>&gt;2191:GAGATG:22.00:50.00:OK:6:1856.28</v>
      </c>
    </row>
    <row r="4387" spans="1:6" x14ac:dyDescent="0.3">
      <c r="A4387" t="s">
        <v>2197</v>
      </c>
      <c r="F4387" t="str">
        <f t="shared" ref="F4387" si="4379">A4387</f>
        <v>GAGATG</v>
      </c>
    </row>
    <row r="4388" spans="1:6" x14ac:dyDescent="0.3">
      <c r="A4388" t="s">
        <v>6294</v>
      </c>
      <c r="F4388" t="str">
        <f t="shared" ref="F4388" si="4380">LEFT(A4388, LEN(A4388) - 1)</f>
        <v>&gt;2192:GAGATT:16.00:33.33:OK:6:1831.26</v>
      </c>
    </row>
    <row r="4389" spans="1:6" x14ac:dyDescent="0.3">
      <c r="A4389" t="s">
        <v>2198</v>
      </c>
      <c r="F4389" t="str">
        <f t="shared" ref="F4389" si="4381">A4389</f>
        <v>GAGATT</v>
      </c>
    </row>
    <row r="4390" spans="1:6" x14ac:dyDescent="0.3">
      <c r="A4390" t="s">
        <v>6295</v>
      </c>
      <c r="F4390" t="str">
        <f t="shared" ref="F4390" si="4382">LEFT(A4390, LEN(A4390) - 1)</f>
        <v>&gt;2193:GAGCAA:30.00:50.00:OK:6:1825.27</v>
      </c>
    </row>
    <row r="4391" spans="1:6" x14ac:dyDescent="0.3">
      <c r="A4391" t="s">
        <v>2199</v>
      </c>
      <c r="F4391" t="str">
        <f t="shared" ref="F4391" si="4383">A4391</f>
        <v>GAGCAA</v>
      </c>
    </row>
    <row r="4392" spans="1:6" x14ac:dyDescent="0.3">
      <c r="A4392" t="s">
        <v>6296</v>
      </c>
      <c r="F4392" t="str">
        <f t="shared" ref="F4392" si="4384">LEFT(A4392, LEN(A4392) - 1)</f>
        <v>&gt;2194:GAGCAC:28.00:66.67:Warning:6:1801.24</v>
      </c>
    </row>
    <row r="4393" spans="1:6" x14ac:dyDescent="0.3">
      <c r="A4393" t="s">
        <v>2200</v>
      </c>
      <c r="F4393" t="str">
        <f t="shared" ref="F4393" si="4385">A4393</f>
        <v>GAGCAC</v>
      </c>
    </row>
    <row r="4394" spans="1:6" x14ac:dyDescent="0.3">
      <c r="A4394" t="s">
        <v>6297</v>
      </c>
      <c r="F4394" t="str">
        <f t="shared" ref="F4394" si="4386">LEFT(A4394, LEN(A4394) - 1)</f>
        <v>&gt;2195:GAGCAG:28.00:66.67:Warning:6:1841.27</v>
      </c>
    </row>
    <row r="4395" spans="1:6" x14ac:dyDescent="0.3">
      <c r="A4395" t="s">
        <v>2201</v>
      </c>
      <c r="F4395" t="str">
        <f t="shared" ref="F4395" si="4387">A4395</f>
        <v>GAGCAG</v>
      </c>
    </row>
    <row r="4396" spans="1:6" x14ac:dyDescent="0.3">
      <c r="A4396" t="s">
        <v>6298</v>
      </c>
      <c r="F4396" t="str">
        <f t="shared" ref="F4396" si="4388">LEFT(A4396, LEN(A4396) - 1)</f>
        <v>&gt;2196:GAGCAT:22.00:50.00:OK:6:1816.25</v>
      </c>
    </row>
    <row r="4397" spans="1:6" x14ac:dyDescent="0.3">
      <c r="A4397" t="s">
        <v>2202</v>
      </c>
      <c r="F4397" t="str">
        <f t="shared" ref="F4397" si="4389">A4397</f>
        <v>GAGCAT</v>
      </c>
    </row>
    <row r="4398" spans="1:6" x14ac:dyDescent="0.3">
      <c r="A4398" t="s">
        <v>6299</v>
      </c>
      <c r="F4398" t="str">
        <f t="shared" ref="F4398" si="4390">LEFT(A4398, LEN(A4398) - 1)</f>
        <v>&gt;2197:GAGCCA:28.00:66.67:Warning:6:1801.24</v>
      </c>
    </row>
    <row r="4399" spans="1:6" x14ac:dyDescent="0.3">
      <c r="A4399" t="s">
        <v>2203</v>
      </c>
      <c r="F4399" t="str">
        <f t="shared" ref="F4399" si="4391">A4399</f>
        <v>GAGCCA</v>
      </c>
    </row>
    <row r="4400" spans="1:6" x14ac:dyDescent="0.3">
      <c r="A4400" t="s">
        <v>6300</v>
      </c>
      <c r="F4400" t="str">
        <f t="shared" ref="F4400" si="4392">LEFT(A4400, LEN(A4400) - 1)</f>
        <v>&gt;2198:GAGCCC:26.00:83.33:Warning:6:1777.21</v>
      </c>
    </row>
    <row r="4401" spans="1:6" x14ac:dyDescent="0.3">
      <c r="A4401" t="s">
        <v>2204</v>
      </c>
      <c r="F4401" t="str">
        <f t="shared" ref="F4401" si="4393">A4401</f>
        <v>GAGCCC</v>
      </c>
    </row>
    <row r="4402" spans="1:6" x14ac:dyDescent="0.3">
      <c r="A4402" t="s">
        <v>6301</v>
      </c>
      <c r="F4402" t="str">
        <f t="shared" ref="F4402" si="4394">LEFT(A4402, LEN(A4402) - 1)</f>
        <v>&gt;2199:GAGCCG:26.00:83.33:Warning:6:1817.24</v>
      </c>
    </row>
    <row r="4403" spans="1:6" x14ac:dyDescent="0.3">
      <c r="A4403" t="s">
        <v>2205</v>
      </c>
      <c r="F4403" t="str">
        <f t="shared" ref="F4403" si="4395">A4403</f>
        <v>GAGCCG</v>
      </c>
    </row>
    <row r="4404" spans="1:6" x14ac:dyDescent="0.3">
      <c r="A4404" t="s">
        <v>6302</v>
      </c>
      <c r="F4404" t="str">
        <f t="shared" ref="F4404" si="4396">LEFT(A4404, LEN(A4404) - 1)</f>
        <v>&gt;2200:GAGCCT:20.00:66.67:Warning:6:1792.22</v>
      </c>
    </row>
    <row r="4405" spans="1:6" x14ac:dyDescent="0.3">
      <c r="A4405" t="s">
        <v>2206</v>
      </c>
      <c r="F4405" t="str">
        <f t="shared" ref="F4405" si="4397">A4405</f>
        <v>GAGCCT</v>
      </c>
    </row>
    <row r="4406" spans="1:6" x14ac:dyDescent="0.3">
      <c r="A4406" t="s">
        <v>6303</v>
      </c>
      <c r="F4406" t="str">
        <f t="shared" ref="F4406" si="4398">LEFT(A4406, LEN(A4406) - 1)</f>
        <v>&gt;2201:GAGCGA:28.00:66.67:Warning:6:1841.27</v>
      </c>
    </row>
    <row r="4407" spans="1:6" x14ac:dyDescent="0.3">
      <c r="A4407" t="s">
        <v>2207</v>
      </c>
      <c r="F4407" t="str">
        <f t="shared" ref="F4407" si="4399">A4407</f>
        <v>GAGCGA</v>
      </c>
    </row>
    <row r="4408" spans="1:6" x14ac:dyDescent="0.3">
      <c r="A4408" t="s">
        <v>6304</v>
      </c>
      <c r="F4408" t="str">
        <f t="shared" ref="F4408" si="4400">LEFT(A4408, LEN(A4408) - 1)</f>
        <v>&gt;2202:GAGCGC:26.00:83.33:Warning:6:1817.24</v>
      </c>
    </row>
    <row r="4409" spans="1:6" x14ac:dyDescent="0.3">
      <c r="A4409" t="s">
        <v>2208</v>
      </c>
      <c r="F4409" t="str">
        <f t="shared" ref="F4409" si="4401">A4409</f>
        <v>GAGCGC</v>
      </c>
    </row>
    <row r="4410" spans="1:6" x14ac:dyDescent="0.3">
      <c r="A4410" t="s">
        <v>6305</v>
      </c>
      <c r="F4410" t="str">
        <f t="shared" ref="F4410" si="4402">LEFT(A4410, LEN(A4410) - 1)</f>
        <v>&gt;2203:GAGCGG:26.00:83.33:Warning:6:1857.27</v>
      </c>
    </row>
    <row r="4411" spans="1:6" x14ac:dyDescent="0.3">
      <c r="A4411" t="s">
        <v>2209</v>
      </c>
      <c r="F4411" t="str">
        <f t="shared" ref="F4411" si="4403">A4411</f>
        <v>GAGCGG</v>
      </c>
    </row>
    <row r="4412" spans="1:6" x14ac:dyDescent="0.3">
      <c r="A4412" t="s">
        <v>6306</v>
      </c>
      <c r="F4412" t="str">
        <f t="shared" ref="F4412" si="4404">LEFT(A4412, LEN(A4412) - 1)</f>
        <v>&gt;2204:GAGCGT:20.00:66.67:Warning:6:1832.25</v>
      </c>
    </row>
    <row r="4413" spans="1:6" x14ac:dyDescent="0.3">
      <c r="A4413" t="s">
        <v>2210</v>
      </c>
      <c r="F4413" t="str">
        <f t="shared" ref="F4413" si="4405">A4413</f>
        <v>GAGCGT</v>
      </c>
    </row>
    <row r="4414" spans="1:6" x14ac:dyDescent="0.3">
      <c r="A4414" t="s">
        <v>6307</v>
      </c>
      <c r="F4414" t="str">
        <f t="shared" ref="F4414" si="4406">LEFT(A4414, LEN(A4414) - 1)</f>
        <v>&gt;2205:GAGCTA:22.00:50.00:OK:6:1816.25</v>
      </c>
    </row>
    <row r="4415" spans="1:6" x14ac:dyDescent="0.3">
      <c r="A4415" t="s">
        <v>2211</v>
      </c>
      <c r="F4415" t="str">
        <f t="shared" ref="F4415" si="4407">A4415</f>
        <v>GAGCTA</v>
      </c>
    </row>
    <row r="4416" spans="1:6" x14ac:dyDescent="0.3">
      <c r="A4416" t="s">
        <v>6308</v>
      </c>
      <c r="F4416" t="str">
        <f t="shared" ref="F4416" si="4408">LEFT(A4416, LEN(A4416) - 1)</f>
        <v>&gt;2206:GAGCTC:20.00:66.67:Warning:6:1792.22</v>
      </c>
    </row>
    <row r="4417" spans="1:6" x14ac:dyDescent="0.3">
      <c r="A4417" t="s">
        <v>2212</v>
      </c>
      <c r="F4417" t="str">
        <f t="shared" ref="F4417" si="4409">A4417</f>
        <v>GAGCTC</v>
      </c>
    </row>
    <row r="4418" spans="1:6" x14ac:dyDescent="0.3">
      <c r="A4418" t="s">
        <v>6309</v>
      </c>
      <c r="F4418" t="str">
        <f t="shared" ref="F4418" si="4410">LEFT(A4418, LEN(A4418) - 1)</f>
        <v>&gt;2207:GAGCTG:20.00:66.67:Warning:6:1832.25</v>
      </c>
    </row>
    <row r="4419" spans="1:6" x14ac:dyDescent="0.3">
      <c r="A4419" t="s">
        <v>2213</v>
      </c>
      <c r="F4419" t="str">
        <f t="shared" ref="F4419" si="4411">A4419</f>
        <v>GAGCTG</v>
      </c>
    </row>
    <row r="4420" spans="1:6" x14ac:dyDescent="0.3">
      <c r="A4420" t="s">
        <v>6310</v>
      </c>
      <c r="F4420" t="str">
        <f t="shared" ref="F4420" si="4412">LEFT(A4420, LEN(A4420) - 1)</f>
        <v>&gt;2208:GAGCTT:14.00:50.00:OK:6:1807.23</v>
      </c>
    </row>
    <row r="4421" spans="1:6" x14ac:dyDescent="0.3">
      <c r="A4421" t="s">
        <v>2214</v>
      </c>
      <c r="F4421" t="str">
        <f t="shared" ref="F4421" si="4413">A4421</f>
        <v>GAGCTT</v>
      </c>
    </row>
    <row r="4422" spans="1:6" x14ac:dyDescent="0.3">
      <c r="A4422" t="s">
        <v>6311</v>
      </c>
      <c r="F4422" t="str">
        <f t="shared" ref="F4422" si="4414">LEFT(A4422, LEN(A4422) - 1)</f>
        <v>&gt;2209:GAGGAA:30.00:50.00:OK:6:1865.30</v>
      </c>
    </row>
    <row r="4423" spans="1:6" x14ac:dyDescent="0.3">
      <c r="A4423" t="s">
        <v>2215</v>
      </c>
      <c r="F4423" t="str">
        <f t="shared" ref="F4423" si="4415">A4423</f>
        <v>GAGGAA</v>
      </c>
    </row>
    <row r="4424" spans="1:6" x14ac:dyDescent="0.3">
      <c r="A4424" t="s">
        <v>6312</v>
      </c>
      <c r="F4424" t="str">
        <f t="shared" ref="F4424" si="4416">LEFT(A4424, LEN(A4424) - 1)</f>
        <v>&gt;2210:GAGGAC:28.00:66.67:Warning:6:1841.27</v>
      </c>
    </row>
    <row r="4425" spans="1:6" x14ac:dyDescent="0.3">
      <c r="A4425" t="s">
        <v>2216</v>
      </c>
      <c r="F4425" t="str">
        <f t="shared" ref="F4425" si="4417">A4425</f>
        <v>GAGGAC</v>
      </c>
    </row>
    <row r="4426" spans="1:6" x14ac:dyDescent="0.3">
      <c r="A4426" t="s">
        <v>6313</v>
      </c>
      <c r="F4426" t="str">
        <f t="shared" ref="F4426" si="4418">LEFT(A4426, LEN(A4426) - 1)</f>
        <v>&gt;2211:GAGGAG:28.00:66.67:Warning:6:1881.30</v>
      </c>
    </row>
    <row r="4427" spans="1:6" x14ac:dyDescent="0.3">
      <c r="A4427" t="s">
        <v>2217</v>
      </c>
      <c r="F4427" t="str">
        <f t="shared" ref="F4427" si="4419">A4427</f>
        <v>GAGGAG</v>
      </c>
    </row>
    <row r="4428" spans="1:6" x14ac:dyDescent="0.3">
      <c r="A4428" t="s">
        <v>6314</v>
      </c>
      <c r="F4428" t="str">
        <f t="shared" ref="F4428" si="4420">LEFT(A4428, LEN(A4428) - 1)</f>
        <v>&gt;2212:GAGGAT:22.00:50.00:OK:6:1856.28</v>
      </c>
    </row>
    <row r="4429" spans="1:6" x14ac:dyDescent="0.3">
      <c r="A4429" t="s">
        <v>2218</v>
      </c>
      <c r="F4429" t="str">
        <f t="shared" ref="F4429" si="4421">A4429</f>
        <v>GAGGAT</v>
      </c>
    </row>
    <row r="4430" spans="1:6" x14ac:dyDescent="0.3">
      <c r="A4430" t="s">
        <v>6315</v>
      </c>
      <c r="F4430" t="str">
        <f t="shared" ref="F4430" si="4422">LEFT(A4430, LEN(A4430) - 1)</f>
        <v>&gt;2213:GAGGCA:28.00:66.67:Warning:6:1841.27</v>
      </c>
    </row>
    <row r="4431" spans="1:6" x14ac:dyDescent="0.3">
      <c r="A4431" t="s">
        <v>2219</v>
      </c>
      <c r="F4431" t="str">
        <f t="shared" ref="F4431" si="4423">A4431</f>
        <v>GAGGCA</v>
      </c>
    </row>
    <row r="4432" spans="1:6" x14ac:dyDescent="0.3">
      <c r="A4432" t="s">
        <v>6316</v>
      </c>
      <c r="F4432" t="str">
        <f t="shared" ref="F4432" si="4424">LEFT(A4432, LEN(A4432) - 1)</f>
        <v>&gt;2214:GAGGCC:26.00:83.33:Warning:6:1817.24</v>
      </c>
    </row>
    <row r="4433" spans="1:6" x14ac:dyDescent="0.3">
      <c r="A4433" t="s">
        <v>2220</v>
      </c>
      <c r="F4433" t="str">
        <f t="shared" ref="F4433" si="4425">A4433</f>
        <v>GAGGCC</v>
      </c>
    </row>
    <row r="4434" spans="1:6" x14ac:dyDescent="0.3">
      <c r="A4434" t="s">
        <v>6317</v>
      </c>
      <c r="F4434" t="str">
        <f t="shared" ref="F4434" si="4426">LEFT(A4434, LEN(A4434) - 1)</f>
        <v>&gt;2215:GAGGCG:26.00:83.33:Warning:6:1857.27</v>
      </c>
    </row>
    <row r="4435" spans="1:6" x14ac:dyDescent="0.3">
      <c r="A4435" t="s">
        <v>2221</v>
      </c>
      <c r="F4435" t="str">
        <f t="shared" ref="F4435" si="4427">A4435</f>
        <v>GAGGCG</v>
      </c>
    </row>
    <row r="4436" spans="1:6" x14ac:dyDescent="0.3">
      <c r="A4436" t="s">
        <v>6318</v>
      </c>
      <c r="F4436" t="str">
        <f t="shared" ref="F4436" si="4428">LEFT(A4436, LEN(A4436) - 1)</f>
        <v>&gt;2216:GAGGCT:20.00:66.67:Warning:6:1832.25</v>
      </c>
    </row>
    <row r="4437" spans="1:6" x14ac:dyDescent="0.3">
      <c r="A4437" t="s">
        <v>2222</v>
      </c>
      <c r="F4437" t="str">
        <f t="shared" ref="F4437" si="4429">A4437</f>
        <v>GAGGCT</v>
      </c>
    </row>
    <row r="4438" spans="1:6" x14ac:dyDescent="0.3">
      <c r="A4438" t="s">
        <v>6319</v>
      </c>
      <c r="F4438" t="str">
        <f t="shared" ref="F4438" si="4430">LEFT(A4438, LEN(A4438) - 1)</f>
        <v>&gt;2217:GAGGGA:28.00:66.67:Warning:6:1881.30</v>
      </c>
    </row>
    <row r="4439" spans="1:6" x14ac:dyDescent="0.3">
      <c r="A4439" t="s">
        <v>2223</v>
      </c>
      <c r="F4439" t="str">
        <f t="shared" ref="F4439" si="4431">A4439</f>
        <v>GAGGGA</v>
      </c>
    </row>
    <row r="4440" spans="1:6" x14ac:dyDescent="0.3">
      <c r="A4440" t="s">
        <v>6320</v>
      </c>
      <c r="F4440" t="str">
        <f t="shared" ref="F4440" si="4432">LEFT(A4440, LEN(A4440) - 1)</f>
        <v>&gt;2218:GAGGGC:26.00:83.33:Warning:6:1857.27</v>
      </c>
    </row>
    <row r="4441" spans="1:6" x14ac:dyDescent="0.3">
      <c r="A4441" t="s">
        <v>2224</v>
      </c>
      <c r="F4441" t="str">
        <f t="shared" ref="F4441" si="4433">A4441</f>
        <v>GAGGGC</v>
      </c>
    </row>
    <row r="4442" spans="1:6" x14ac:dyDescent="0.3">
      <c r="A4442" t="s">
        <v>6321</v>
      </c>
      <c r="F4442" t="str">
        <f t="shared" ref="F4442" si="4434">LEFT(A4442, LEN(A4442) - 1)</f>
        <v>&gt;2219:GAGGGG:26.00:83.33:Warning:6:1897.30</v>
      </c>
    </row>
    <row r="4443" spans="1:6" x14ac:dyDescent="0.3">
      <c r="A4443" t="s">
        <v>2225</v>
      </c>
      <c r="F4443" t="str">
        <f t="shared" ref="F4443" si="4435">A4443</f>
        <v>GAGGGG</v>
      </c>
    </row>
    <row r="4444" spans="1:6" x14ac:dyDescent="0.3">
      <c r="A4444" t="s">
        <v>6322</v>
      </c>
      <c r="F4444" t="str">
        <f t="shared" ref="F4444" si="4436">LEFT(A4444, LEN(A4444) - 1)</f>
        <v>&gt;2220:GAGGGT:20.00:66.67:Warning:6:1872.28</v>
      </c>
    </row>
    <row r="4445" spans="1:6" x14ac:dyDescent="0.3">
      <c r="A4445" t="s">
        <v>2226</v>
      </c>
      <c r="F4445" t="str">
        <f t="shared" ref="F4445" si="4437">A4445</f>
        <v>GAGGGT</v>
      </c>
    </row>
    <row r="4446" spans="1:6" x14ac:dyDescent="0.3">
      <c r="A4446" t="s">
        <v>6323</v>
      </c>
      <c r="F4446" t="str">
        <f t="shared" ref="F4446" si="4438">LEFT(A4446, LEN(A4446) - 1)</f>
        <v>&gt;2221:GAGGTA:22.00:50.00:OK:6:1856.28</v>
      </c>
    </row>
    <row r="4447" spans="1:6" x14ac:dyDescent="0.3">
      <c r="A4447" t="s">
        <v>2227</v>
      </c>
      <c r="F4447" t="str">
        <f t="shared" ref="F4447" si="4439">A4447</f>
        <v>GAGGTA</v>
      </c>
    </row>
    <row r="4448" spans="1:6" x14ac:dyDescent="0.3">
      <c r="A4448" t="s">
        <v>6324</v>
      </c>
      <c r="F4448" t="str">
        <f t="shared" ref="F4448" si="4440">LEFT(A4448, LEN(A4448) - 1)</f>
        <v>&gt;2222:GAGGTC:20.00:66.67:Warning:6:1832.25</v>
      </c>
    </row>
    <row r="4449" spans="1:6" x14ac:dyDescent="0.3">
      <c r="A4449" t="s">
        <v>2228</v>
      </c>
      <c r="F4449" t="str">
        <f t="shared" ref="F4449" si="4441">A4449</f>
        <v>GAGGTC</v>
      </c>
    </row>
    <row r="4450" spans="1:6" x14ac:dyDescent="0.3">
      <c r="A4450" t="s">
        <v>6325</v>
      </c>
      <c r="F4450" t="str">
        <f t="shared" ref="F4450" si="4442">LEFT(A4450, LEN(A4450) - 1)</f>
        <v>&gt;2223:GAGGTG:20.00:66.67:Warning:6:1872.28</v>
      </c>
    </row>
    <row r="4451" spans="1:6" x14ac:dyDescent="0.3">
      <c r="A4451" t="s">
        <v>2229</v>
      </c>
      <c r="F4451" t="str">
        <f t="shared" ref="F4451" si="4443">A4451</f>
        <v>GAGGTG</v>
      </c>
    </row>
    <row r="4452" spans="1:6" x14ac:dyDescent="0.3">
      <c r="A4452" t="s">
        <v>6326</v>
      </c>
      <c r="F4452" t="str">
        <f t="shared" ref="F4452" si="4444">LEFT(A4452, LEN(A4452) - 1)</f>
        <v>&gt;2224:GAGGTT:14.00:50.00:OK:6:1847.26</v>
      </c>
    </row>
    <row r="4453" spans="1:6" x14ac:dyDescent="0.3">
      <c r="A4453" t="s">
        <v>2230</v>
      </c>
      <c r="F4453" t="str">
        <f t="shared" ref="F4453" si="4445">A4453</f>
        <v>GAGGTT</v>
      </c>
    </row>
    <row r="4454" spans="1:6" x14ac:dyDescent="0.3">
      <c r="A4454" t="s">
        <v>6327</v>
      </c>
      <c r="F4454" t="str">
        <f t="shared" ref="F4454" si="4446">LEFT(A4454, LEN(A4454) - 1)</f>
        <v>&gt;2225:GAGTAA:24.00:33.33:OK:6:1840.28</v>
      </c>
    </row>
    <row r="4455" spans="1:6" x14ac:dyDescent="0.3">
      <c r="A4455" t="s">
        <v>2231</v>
      </c>
      <c r="F4455" t="str">
        <f t="shared" ref="F4455" si="4447">A4455</f>
        <v>GAGTAA</v>
      </c>
    </row>
    <row r="4456" spans="1:6" x14ac:dyDescent="0.3">
      <c r="A4456" t="s">
        <v>6328</v>
      </c>
      <c r="F4456" t="str">
        <f t="shared" ref="F4456" si="4448">LEFT(A4456, LEN(A4456) - 1)</f>
        <v>&gt;2226:GAGTAC:22.00:50.00:OK:6:1816.25</v>
      </c>
    </row>
    <row r="4457" spans="1:6" x14ac:dyDescent="0.3">
      <c r="A4457" t="s">
        <v>2232</v>
      </c>
      <c r="F4457" t="str">
        <f t="shared" ref="F4457" si="4449">A4457</f>
        <v>GAGTAC</v>
      </c>
    </row>
    <row r="4458" spans="1:6" x14ac:dyDescent="0.3">
      <c r="A4458" t="s">
        <v>6329</v>
      </c>
      <c r="F4458" t="str">
        <f t="shared" ref="F4458" si="4450">LEFT(A4458, LEN(A4458) - 1)</f>
        <v>&gt;2227:GAGTAG:22.00:50.00:OK:6:1856.28</v>
      </c>
    </row>
    <row r="4459" spans="1:6" x14ac:dyDescent="0.3">
      <c r="A4459" t="s">
        <v>2233</v>
      </c>
      <c r="F4459" t="str">
        <f t="shared" ref="F4459" si="4451">A4459</f>
        <v>GAGTAG</v>
      </c>
    </row>
    <row r="4460" spans="1:6" x14ac:dyDescent="0.3">
      <c r="A4460" t="s">
        <v>6330</v>
      </c>
      <c r="F4460" t="str">
        <f t="shared" ref="F4460" si="4452">LEFT(A4460, LEN(A4460) - 1)</f>
        <v>&gt;2228:GAGTAT:16.00:33.33:OK:6:1831.26</v>
      </c>
    </row>
    <row r="4461" spans="1:6" x14ac:dyDescent="0.3">
      <c r="A4461" t="s">
        <v>2234</v>
      </c>
      <c r="F4461" t="str">
        <f t="shared" ref="F4461" si="4453">A4461</f>
        <v>GAGTAT</v>
      </c>
    </row>
    <row r="4462" spans="1:6" x14ac:dyDescent="0.3">
      <c r="A4462" t="s">
        <v>6331</v>
      </c>
      <c r="F4462" t="str">
        <f t="shared" ref="F4462" si="4454">LEFT(A4462, LEN(A4462) - 1)</f>
        <v>&gt;2229:GAGTCA:22.00:50.00:OK:6:1816.25</v>
      </c>
    </row>
    <row r="4463" spans="1:6" x14ac:dyDescent="0.3">
      <c r="A4463" t="s">
        <v>2235</v>
      </c>
      <c r="F4463" t="str">
        <f t="shared" ref="F4463" si="4455">A4463</f>
        <v>GAGTCA</v>
      </c>
    </row>
    <row r="4464" spans="1:6" x14ac:dyDescent="0.3">
      <c r="A4464" t="s">
        <v>6332</v>
      </c>
      <c r="F4464" t="str">
        <f t="shared" ref="F4464" si="4456">LEFT(A4464, LEN(A4464) - 1)</f>
        <v>&gt;2230:GAGTCC:20.00:66.67:Warning:6:1792.22</v>
      </c>
    </row>
    <row r="4465" spans="1:6" x14ac:dyDescent="0.3">
      <c r="A4465" t="s">
        <v>2236</v>
      </c>
      <c r="F4465" t="str">
        <f t="shared" ref="F4465" si="4457">A4465</f>
        <v>GAGTCC</v>
      </c>
    </row>
    <row r="4466" spans="1:6" x14ac:dyDescent="0.3">
      <c r="A4466" t="s">
        <v>6333</v>
      </c>
      <c r="F4466" t="str">
        <f t="shared" ref="F4466" si="4458">LEFT(A4466, LEN(A4466) - 1)</f>
        <v>&gt;2231:GAGTCG:20.00:66.67:Warning:6:1832.25</v>
      </c>
    </row>
    <row r="4467" spans="1:6" x14ac:dyDescent="0.3">
      <c r="A4467" t="s">
        <v>2237</v>
      </c>
      <c r="F4467" t="str">
        <f t="shared" ref="F4467" si="4459">A4467</f>
        <v>GAGTCG</v>
      </c>
    </row>
    <row r="4468" spans="1:6" x14ac:dyDescent="0.3">
      <c r="A4468" t="s">
        <v>6334</v>
      </c>
      <c r="F4468" t="str">
        <f t="shared" ref="F4468" si="4460">LEFT(A4468, LEN(A4468) - 1)</f>
        <v>&gt;2232:GAGTCT:14.00:50.00:OK:6:1807.23</v>
      </c>
    </row>
    <row r="4469" spans="1:6" x14ac:dyDescent="0.3">
      <c r="A4469" t="s">
        <v>2238</v>
      </c>
      <c r="F4469" t="str">
        <f t="shared" ref="F4469" si="4461">A4469</f>
        <v>GAGTCT</v>
      </c>
    </row>
    <row r="4470" spans="1:6" x14ac:dyDescent="0.3">
      <c r="A4470" t="s">
        <v>6335</v>
      </c>
      <c r="F4470" t="str">
        <f t="shared" ref="F4470" si="4462">LEFT(A4470, LEN(A4470) - 1)</f>
        <v>&gt;2233:GAGTGA:22.00:50.00:OK:6:1856.28</v>
      </c>
    </row>
    <row r="4471" spans="1:6" x14ac:dyDescent="0.3">
      <c r="A4471" t="s">
        <v>2239</v>
      </c>
      <c r="F4471" t="str">
        <f t="shared" ref="F4471" si="4463">A4471</f>
        <v>GAGTGA</v>
      </c>
    </row>
    <row r="4472" spans="1:6" x14ac:dyDescent="0.3">
      <c r="A4472" t="s">
        <v>6336</v>
      </c>
      <c r="F4472" t="str">
        <f t="shared" ref="F4472" si="4464">LEFT(A4472, LEN(A4472) - 1)</f>
        <v>&gt;2234:GAGTGC:20.00:66.67:Warning:6:1832.25</v>
      </c>
    </row>
    <row r="4473" spans="1:6" x14ac:dyDescent="0.3">
      <c r="A4473" t="s">
        <v>2240</v>
      </c>
      <c r="F4473" t="str">
        <f t="shared" ref="F4473" si="4465">A4473</f>
        <v>GAGTGC</v>
      </c>
    </row>
    <row r="4474" spans="1:6" x14ac:dyDescent="0.3">
      <c r="A4474" t="s">
        <v>6337</v>
      </c>
      <c r="F4474" t="str">
        <f t="shared" ref="F4474" si="4466">LEFT(A4474, LEN(A4474) - 1)</f>
        <v>&gt;2235:GAGTGG:20.00:66.67:Warning:6:1872.28</v>
      </c>
    </row>
    <row r="4475" spans="1:6" x14ac:dyDescent="0.3">
      <c r="A4475" t="s">
        <v>2241</v>
      </c>
      <c r="F4475" t="str">
        <f t="shared" ref="F4475" si="4467">A4475</f>
        <v>GAGTGG</v>
      </c>
    </row>
    <row r="4476" spans="1:6" x14ac:dyDescent="0.3">
      <c r="A4476" t="s">
        <v>6338</v>
      </c>
      <c r="F4476" t="str">
        <f t="shared" ref="F4476" si="4468">LEFT(A4476, LEN(A4476) - 1)</f>
        <v>&gt;2236:GAGTGT:14.00:50.00:OK:6:1847.26</v>
      </c>
    </row>
    <row r="4477" spans="1:6" x14ac:dyDescent="0.3">
      <c r="A4477" t="s">
        <v>2242</v>
      </c>
      <c r="F4477" t="str">
        <f t="shared" ref="F4477" si="4469">A4477</f>
        <v>GAGTGT</v>
      </c>
    </row>
    <row r="4478" spans="1:6" x14ac:dyDescent="0.3">
      <c r="A4478" t="s">
        <v>6339</v>
      </c>
      <c r="F4478" t="str">
        <f t="shared" ref="F4478" si="4470">LEFT(A4478, LEN(A4478) - 1)</f>
        <v>&gt;2237:GAGTTA:16.00:33.33:OK:6:1831.26</v>
      </c>
    </row>
    <row r="4479" spans="1:6" x14ac:dyDescent="0.3">
      <c r="A4479" t="s">
        <v>2243</v>
      </c>
      <c r="F4479" t="str">
        <f t="shared" ref="F4479" si="4471">A4479</f>
        <v>GAGTTA</v>
      </c>
    </row>
    <row r="4480" spans="1:6" x14ac:dyDescent="0.3">
      <c r="A4480" t="s">
        <v>6340</v>
      </c>
      <c r="F4480" t="str">
        <f t="shared" ref="F4480" si="4472">LEFT(A4480, LEN(A4480) - 1)</f>
        <v>&gt;2238:GAGTTC:14.00:50.00:OK:6:1807.23</v>
      </c>
    </row>
    <row r="4481" spans="1:6" x14ac:dyDescent="0.3">
      <c r="A4481" t="s">
        <v>2244</v>
      </c>
      <c r="F4481" t="str">
        <f t="shared" ref="F4481" si="4473">A4481</f>
        <v>GAGTTC</v>
      </c>
    </row>
    <row r="4482" spans="1:6" x14ac:dyDescent="0.3">
      <c r="A4482" t="s">
        <v>6341</v>
      </c>
      <c r="F4482" t="str">
        <f t="shared" ref="F4482" si="4474">LEFT(A4482, LEN(A4482) - 1)</f>
        <v>&gt;2239:GAGTTG:14.00:50.00:OK:6:1847.26</v>
      </c>
    </row>
    <row r="4483" spans="1:6" x14ac:dyDescent="0.3">
      <c r="A4483" t="s">
        <v>2245</v>
      </c>
      <c r="F4483" t="str">
        <f t="shared" ref="F4483" si="4475">A4483</f>
        <v>GAGTTG</v>
      </c>
    </row>
    <row r="4484" spans="1:6" x14ac:dyDescent="0.3">
      <c r="A4484" t="s">
        <v>6342</v>
      </c>
      <c r="F4484" t="str">
        <f t="shared" ref="F4484" si="4476">LEFT(A4484, LEN(A4484) - 1)</f>
        <v>&gt;2240:GAGTTT:8.00:33.33:OK:6:1822.24</v>
      </c>
    </row>
    <row r="4485" spans="1:6" x14ac:dyDescent="0.3">
      <c r="A4485" t="s">
        <v>2246</v>
      </c>
      <c r="F4485" t="str">
        <f t="shared" ref="F4485" si="4477">A4485</f>
        <v>GAGTTT</v>
      </c>
    </row>
    <row r="4486" spans="1:6" x14ac:dyDescent="0.3">
      <c r="A4486" t="s">
        <v>6343</v>
      </c>
      <c r="F4486" t="str">
        <f t="shared" ref="F4486" si="4478">LEFT(A4486, LEN(A4486) - 1)</f>
        <v>&gt;2241:GATAAA:26.00:16.67:OK:6:1824.28</v>
      </c>
    </row>
    <row r="4487" spans="1:6" x14ac:dyDescent="0.3">
      <c r="A4487" t="s">
        <v>2247</v>
      </c>
      <c r="F4487" t="str">
        <f t="shared" ref="F4487" si="4479">A4487</f>
        <v>GATAAA</v>
      </c>
    </row>
    <row r="4488" spans="1:6" x14ac:dyDescent="0.3">
      <c r="A4488" t="s">
        <v>6344</v>
      </c>
      <c r="F4488" t="str">
        <f t="shared" ref="F4488" si="4480">LEFT(A4488, LEN(A4488) - 1)</f>
        <v>&gt;2242:GATAAC:24.00:33.33:OK:6:1800.25</v>
      </c>
    </row>
    <row r="4489" spans="1:6" x14ac:dyDescent="0.3">
      <c r="A4489" t="s">
        <v>2248</v>
      </c>
      <c r="F4489" t="str">
        <f t="shared" ref="F4489" si="4481">A4489</f>
        <v>GATAAC</v>
      </c>
    </row>
    <row r="4490" spans="1:6" x14ac:dyDescent="0.3">
      <c r="A4490" t="s">
        <v>6345</v>
      </c>
      <c r="F4490" t="str">
        <f t="shared" ref="F4490" si="4482">LEFT(A4490, LEN(A4490) - 1)</f>
        <v>&gt;2243:GATAAG:24.00:33.33:OK:6:1840.28</v>
      </c>
    </row>
    <row r="4491" spans="1:6" x14ac:dyDescent="0.3">
      <c r="A4491" t="s">
        <v>2249</v>
      </c>
      <c r="F4491" t="str">
        <f t="shared" ref="F4491" si="4483">A4491</f>
        <v>GATAAG</v>
      </c>
    </row>
    <row r="4492" spans="1:6" x14ac:dyDescent="0.3">
      <c r="A4492" t="s">
        <v>6346</v>
      </c>
      <c r="F4492" t="str">
        <f t="shared" ref="F4492" si="4484">LEFT(A4492, LEN(A4492) - 1)</f>
        <v>&gt;2244:GATAAT:18.00:16.67:OK:6:1815.26</v>
      </c>
    </row>
    <row r="4493" spans="1:6" x14ac:dyDescent="0.3">
      <c r="A4493" t="s">
        <v>2250</v>
      </c>
      <c r="F4493" t="str">
        <f t="shared" ref="F4493" si="4485">A4493</f>
        <v>GATAAT</v>
      </c>
    </row>
    <row r="4494" spans="1:6" x14ac:dyDescent="0.3">
      <c r="A4494" t="s">
        <v>6347</v>
      </c>
      <c r="F4494" t="str">
        <f t="shared" ref="F4494" si="4486">LEFT(A4494, LEN(A4494) - 1)</f>
        <v>&gt;2245:GATACA:24.00:33.33:OK:6:1800.25</v>
      </c>
    </row>
    <row r="4495" spans="1:6" x14ac:dyDescent="0.3">
      <c r="A4495" t="s">
        <v>2251</v>
      </c>
      <c r="F4495" t="str">
        <f t="shared" ref="F4495" si="4487">A4495</f>
        <v>GATACA</v>
      </c>
    </row>
    <row r="4496" spans="1:6" x14ac:dyDescent="0.3">
      <c r="A4496" t="s">
        <v>6348</v>
      </c>
      <c r="F4496" t="str">
        <f t="shared" ref="F4496" si="4488">LEFT(A4496, LEN(A4496) - 1)</f>
        <v>&gt;2246:GATACC:22.00:50.00:OK:6:1776.22</v>
      </c>
    </row>
    <row r="4497" spans="1:6" x14ac:dyDescent="0.3">
      <c r="A4497" t="s">
        <v>2252</v>
      </c>
      <c r="F4497" t="str">
        <f t="shared" ref="F4497" si="4489">A4497</f>
        <v>GATACC</v>
      </c>
    </row>
    <row r="4498" spans="1:6" x14ac:dyDescent="0.3">
      <c r="A4498" t="s">
        <v>6349</v>
      </c>
      <c r="F4498" t="str">
        <f t="shared" ref="F4498" si="4490">LEFT(A4498, LEN(A4498) - 1)</f>
        <v>&gt;2247:GATACG:22.00:50.00:OK:6:1816.25</v>
      </c>
    </row>
    <row r="4499" spans="1:6" x14ac:dyDescent="0.3">
      <c r="A4499" t="s">
        <v>2253</v>
      </c>
      <c r="F4499" t="str">
        <f t="shared" ref="F4499" si="4491">A4499</f>
        <v>GATACG</v>
      </c>
    </row>
    <row r="4500" spans="1:6" x14ac:dyDescent="0.3">
      <c r="A4500" t="s">
        <v>6350</v>
      </c>
      <c r="F4500" t="str">
        <f t="shared" ref="F4500" si="4492">LEFT(A4500, LEN(A4500) - 1)</f>
        <v>&gt;2248:GATACT:16.00:33.33:OK:6:1791.23</v>
      </c>
    </row>
    <row r="4501" spans="1:6" x14ac:dyDescent="0.3">
      <c r="A4501" t="s">
        <v>2254</v>
      </c>
      <c r="F4501" t="str">
        <f t="shared" ref="F4501" si="4493">A4501</f>
        <v>GATACT</v>
      </c>
    </row>
    <row r="4502" spans="1:6" x14ac:dyDescent="0.3">
      <c r="A4502" t="s">
        <v>6351</v>
      </c>
      <c r="F4502" t="str">
        <f t="shared" ref="F4502" si="4494">LEFT(A4502, LEN(A4502) - 1)</f>
        <v>&gt;2249:GATAGA:24.00:33.33:OK:6:1840.28</v>
      </c>
    </row>
    <row r="4503" spans="1:6" x14ac:dyDescent="0.3">
      <c r="A4503" t="s">
        <v>2255</v>
      </c>
      <c r="F4503" t="str">
        <f t="shared" ref="F4503" si="4495">A4503</f>
        <v>GATAGA</v>
      </c>
    </row>
    <row r="4504" spans="1:6" x14ac:dyDescent="0.3">
      <c r="A4504" t="s">
        <v>6352</v>
      </c>
      <c r="F4504" t="str">
        <f t="shared" ref="F4504" si="4496">LEFT(A4504, LEN(A4504) - 1)</f>
        <v>&gt;2250:GATAGC:22.00:50.00:OK:6:1816.25</v>
      </c>
    </row>
    <row r="4505" spans="1:6" x14ac:dyDescent="0.3">
      <c r="A4505" t="s">
        <v>2256</v>
      </c>
      <c r="F4505" t="str">
        <f t="shared" ref="F4505" si="4497">A4505</f>
        <v>GATAGC</v>
      </c>
    </row>
    <row r="4506" spans="1:6" x14ac:dyDescent="0.3">
      <c r="A4506" t="s">
        <v>6353</v>
      </c>
      <c r="F4506" t="str">
        <f t="shared" ref="F4506" si="4498">LEFT(A4506, LEN(A4506) - 1)</f>
        <v>&gt;2251:GATAGG:22.00:50.00:OK:6:1856.28</v>
      </c>
    </row>
    <row r="4507" spans="1:6" x14ac:dyDescent="0.3">
      <c r="A4507" t="s">
        <v>2257</v>
      </c>
      <c r="F4507" t="str">
        <f t="shared" ref="F4507" si="4499">A4507</f>
        <v>GATAGG</v>
      </c>
    </row>
    <row r="4508" spans="1:6" x14ac:dyDescent="0.3">
      <c r="A4508" t="s">
        <v>6354</v>
      </c>
      <c r="F4508" t="str">
        <f t="shared" ref="F4508" si="4500">LEFT(A4508, LEN(A4508) - 1)</f>
        <v>&gt;2252:GATAGT:16.00:33.33:OK:6:1831.26</v>
      </c>
    </row>
    <row r="4509" spans="1:6" x14ac:dyDescent="0.3">
      <c r="A4509" t="s">
        <v>2258</v>
      </c>
      <c r="F4509" t="str">
        <f t="shared" ref="F4509" si="4501">A4509</f>
        <v>GATAGT</v>
      </c>
    </row>
    <row r="4510" spans="1:6" x14ac:dyDescent="0.3">
      <c r="A4510" t="s">
        <v>6355</v>
      </c>
      <c r="F4510" t="str">
        <f t="shared" ref="F4510" si="4502">LEFT(A4510, LEN(A4510) - 1)</f>
        <v>&gt;2253:GATATA:18.00:16.67:OK:6:1815.26</v>
      </c>
    </row>
    <row r="4511" spans="1:6" x14ac:dyDescent="0.3">
      <c r="A4511" t="s">
        <v>2259</v>
      </c>
      <c r="F4511" t="str">
        <f t="shared" ref="F4511" si="4503">A4511</f>
        <v>GATATA</v>
      </c>
    </row>
    <row r="4512" spans="1:6" x14ac:dyDescent="0.3">
      <c r="A4512" t="s">
        <v>6356</v>
      </c>
      <c r="F4512" t="str">
        <f t="shared" ref="F4512" si="4504">LEFT(A4512, LEN(A4512) - 1)</f>
        <v>&gt;2254:GATATC:16.00:33.33:OK:6:1791.23</v>
      </c>
    </row>
    <row r="4513" spans="1:6" x14ac:dyDescent="0.3">
      <c r="A4513" t="s">
        <v>2260</v>
      </c>
      <c r="F4513" t="str">
        <f t="shared" ref="F4513" si="4505">A4513</f>
        <v>GATATC</v>
      </c>
    </row>
    <row r="4514" spans="1:6" x14ac:dyDescent="0.3">
      <c r="A4514" t="s">
        <v>6357</v>
      </c>
      <c r="F4514" t="str">
        <f t="shared" ref="F4514" si="4506">LEFT(A4514, LEN(A4514) - 1)</f>
        <v>&gt;2255:GATATG:16.00:33.33:OK:6:1831.26</v>
      </c>
    </row>
    <row r="4515" spans="1:6" x14ac:dyDescent="0.3">
      <c r="A4515" t="s">
        <v>2261</v>
      </c>
      <c r="F4515" t="str">
        <f t="shared" ref="F4515" si="4507">A4515</f>
        <v>GATATG</v>
      </c>
    </row>
    <row r="4516" spans="1:6" x14ac:dyDescent="0.3">
      <c r="A4516" t="s">
        <v>6358</v>
      </c>
      <c r="F4516" t="str">
        <f t="shared" ref="F4516" si="4508">LEFT(A4516, LEN(A4516) - 1)</f>
        <v>&gt;2256:GATATT:10.00:16.67:OK:6:1806.24</v>
      </c>
    </row>
    <row r="4517" spans="1:6" x14ac:dyDescent="0.3">
      <c r="A4517" t="s">
        <v>2262</v>
      </c>
      <c r="F4517" t="str">
        <f t="shared" ref="F4517" si="4509">A4517</f>
        <v>GATATT</v>
      </c>
    </row>
    <row r="4518" spans="1:6" x14ac:dyDescent="0.3">
      <c r="A4518" t="s">
        <v>6359</v>
      </c>
      <c r="F4518" t="str">
        <f t="shared" ref="F4518" si="4510">LEFT(A4518, LEN(A4518) - 1)</f>
        <v>&gt;2257:GATCAA:24.00:33.33:OK:6:1800.25</v>
      </c>
    </row>
    <row r="4519" spans="1:6" x14ac:dyDescent="0.3">
      <c r="A4519" t="s">
        <v>2263</v>
      </c>
      <c r="F4519" t="str">
        <f t="shared" ref="F4519" si="4511">A4519</f>
        <v>GATCAA</v>
      </c>
    </row>
    <row r="4520" spans="1:6" x14ac:dyDescent="0.3">
      <c r="A4520" t="s">
        <v>6360</v>
      </c>
      <c r="F4520" t="str">
        <f t="shared" ref="F4520" si="4512">LEFT(A4520, LEN(A4520) - 1)</f>
        <v>&gt;2258:GATCAC:22.00:50.00:OK:6:1776.22</v>
      </c>
    </row>
    <row r="4521" spans="1:6" x14ac:dyDescent="0.3">
      <c r="A4521" t="s">
        <v>2264</v>
      </c>
      <c r="F4521" t="str">
        <f t="shared" ref="F4521" si="4513">A4521</f>
        <v>GATCAC</v>
      </c>
    </row>
    <row r="4522" spans="1:6" x14ac:dyDescent="0.3">
      <c r="A4522" t="s">
        <v>6361</v>
      </c>
      <c r="F4522" t="str">
        <f t="shared" ref="F4522" si="4514">LEFT(A4522, LEN(A4522) - 1)</f>
        <v>&gt;2259:GATCAG:22.00:50.00:OK:6:1816.25</v>
      </c>
    </row>
    <row r="4523" spans="1:6" x14ac:dyDescent="0.3">
      <c r="A4523" t="s">
        <v>2265</v>
      </c>
      <c r="F4523" t="str">
        <f t="shared" ref="F4523" si="4515">A4523</f>
        <v>GATCAG</v>
      </c>
    </row>
    <row r="4524" spans="1:6" x14ac:dyDescent="0.3">
      <c r="A4524" t="s">
        <v>6362</v>
      </c>
      <c r="F4524" t="str">
        <f t="shared" ref="F4524" si="4516">LEFT(A4524, LEN(A4524) - 1)</f>
        <v>&gt;2260:GATCAT:16.00:33.33:OK:6:1791.23</v>
      </c>
    </row>
    <row r="4525" spans="1:6" x14ac:dyDescent="0.3">
      <c r="A4525" t="s">
        <v>2266</v>
      </c>
      <c r="F4525" t="str">
        <f t="shared" ref="F4525" si="4517">A4525</f>
        <v>GATCAT</v>
      </c>
    </row>
    <row r="4526" spans="1:6" x14ac:dyDescent="0.3">
      <c r="A4526" t="s">
        <v>6363</v>
      </c>
      <c r="F4526" t="str">
        <f t="shared" ref="F4526" si="4518">LEFT(A4526, LEN(A4526) - 1)</f>
        <v>&gt;2261:GATCCA:22.00:50.00:OK:6:1776.22</v>
      </c>
    </row>
    <row r="4527" spans="1:6" x14ac:dyDescent="0.3">
      <c r="A4527" t="s">
        <v>2267</v>
      </c>
      <c r="F4527" t="str">
        <f t="shared" ref="F4527" si="4519">A4527</f>
        <v>GATCCA</v>
      </c>
    </row>
    <row r="4528" spans="1:6" x14ac:dyDescent="0.3">
      <c r="A4528" t="s">
        <v>6364</v>
      </c>
      <c r="F4528" t="str">
        <f t="shared" ref="F4528" si="4520">LEFT(A4528, LEN(A4528) - 1)</f>
        <v>&gt;2262:GATCCC:20.00:66.67:Warning:6:1752.19</v>
      </c>
    </row>
    <row r="4529" spans="1:6" x14ac:dyDescent="0.3">
      <c r="A4529" t="s">
        <v>2268</v>
      </c>
      <c r="F4529" t="str">
        <f t="shared" ref="F4529" si="4521">A4529</f>
        <v>GATCCC</v>
      </c>
    </row>
    <row r="4530" spans="1:6" x14ac:dyDescent="0.3">
      <c r="A4530" t="s">
        <v>6365</v>
      </c>
      <c r="F4530" t="str">
        <f t="shared" ref="F4530" si="4522">LEFT(A4530, LEN(A4530) - 1)</f>
        <v>&gt;2263:GATCCG:20.00:66.67:Warning:6:1792.22</v>
      </c>
    </row>
    <row r="4531" spans="1:6" x14ac:dyDescent="0.3">
      <c r="A4531" t="s">
        <v>2269</v>
      </c>
      <c r="F4531" t="str">
        <f t="shared" ref="F4531" si="4523">A4531</f>
        <v>GATCCG</v>
      </c>
    </row>
    <row r="4532" spans="1:6" x14ac:dyDescent="0.3">
      <c r="A4532" t="s">
        <v>6366</v>
      </c>
      <c r="F4532" t="str">
        <f t="shared" ref="F4532" si="4524">LEFT(A4532, LEN(A4532) - 1)</f>
        <v>&gt;2264:GATCCT:14.00:50.00:OK:6:1767.20</v>
      </c>
    </row>
    <row r="4533" spans="1:6" x14ac:dyDescent="0.3">
      <c r="A4533" t="s">
        <v>2270</v>
      </c>
      <c r="F4533" t="str">
        <f t="shared" ref="F4533" si="4525">A4533</f>
        <v>GATCCT</v>
      </c>
    </row>
    <row r="4534" spans="1:6" x14ac:dyDescent="0.3">
      <c r="A4534" t="s">
        <v>6367</v>
      </c>
      <c r="F4534" t="str">
        <f t="shared" ref="F4534" si="4526">LEFT(A4534, LEN(A4534) - 1)</f>
        <v>&gt;2265:GATCGA:22.00:50.00:OK:6:1816.25</v>
      </c>
    </row>
    <row r="4535" spans="1:6" x14ac:dyDescent="0.3">
      <c r="A4535" t="s">
        <v>2271</v>
      </c>
      <c r="F4535" t="str">
        <f t="shared" ref="F4535" si="4527">A4535</f>
        <v>GATCGA</v>
      </c>
    </row>
    <row r="4536" spans="1:6" x14ac:dyDescent="0.3">
      <c r="A4536" t="s">
        <v>6368</v>
      </c>
      <c r="F4536" t="str">
        <f t="shared" ref="F4536" si="4528">LEFT(A4536, LEN(A4536) - 1)</f>
        <v>&gt;2266:GATCGC:20.00:66.67:Warning:6:1792.22</v>
      </c>
    </row>
    <row r="4537" spans="1:6" x14ac:dyDescent="0.3">
      <c r="A4537" t="s">
        <v>2272</v>
      </c>
      <c r="F4537" t="str">
        <f t="shared" ref="F4537" si="4529">A4537</f>
        <v>GATCGC</v>
      </c>
    </row>
    <row r="4538" spans="1:6" x14ac:dyDescent="0.3">
      <c r="A4538" t="s">
        <v>6369</v>
      </c>
      <c r="F4538" t="str">
        <f t="shared" ref="F4538" si="4530">LEFT(A4538, LEN(A4538) - 1)</f>
        <v>&gt;2267:GATCGG:20.00:66.67:Warning:6:1832.25</v>
      </c>
    </row>
    <row r="4539" spans="1:6" x14ac:dyDescent="0.3">
      <c r="A4539" t="s">
        <v>2273</v>
      </c>
      <c r="F4539" t="str">
        <f t="shared" ref="F4539" si="4531">A4539</f>
        <v>GATCGG</v>
      </c>
    </row>
    <row r="4540" spans="1:6" x14ac:dyDescent="0.3">
      <c r="A4540" t="s">
        <v>6370</v>
      </c>
      <c r="F4540" t="str">
        <f t="shared" ref="F4540" si="4532">LEFT(A4540, LEN(A4540) - 1)</f>
        <v>&gt;2268:GATCGT:14.00:50.00:OK:6:1807.23</v>
      </c>
    </row>
    <row r="4541" spans="1:6" x14ac:dyDescent="0.3">
      <c r="A4541" t="s">
        <v>2274</v>
      </c>
      <c r="F4541" t="str">
        <f t="shared" ref="F4541" si="4533">A4541</f>
        <v>GATCGT</v>
      </c>
    </row>
    <row r="4542" spans="1:6" x14ac:dyDescent="0.3">
      <c r="A4542" t="s">
        <v>6371</v>
      </c>
      <c r="F4542" t="str">
        <f t="shared" ref="F4542" si="4534">LEFT(A4542, LEN(A4542) - 1)</f>
        <v>&gt;2269:GATCTA:16.00:33.33:OK:6:1791.23</v>
      </c>
    </row>
    <row r="4543" spans="1:6" x14ac:dyDescent="0.3">
      <c r="A4543" t="s">
        <v>2275</v>
      </c>
      <c r="F4543" t="str">
        <f t="shared" ref="F4543" si="4535">A4543</f>
        <v>GATCTA</v>
      </c>
    </row>
    <row r="4544" spans="1:6" x14ac:dyDescent="0.3">
      <c r="A4544" t="s">
        <v>6372</v>
      </c>
      <c r="F4544" t="str">
        <f t="shared" ref="F4544" si="4536">LEFT(A4544, LEN(A4544) - 1)</f>
        <v>&gt;2270:GATCTC:14.00:50.00:OK:6:1767.20</v>
      </c>
    </row>
    <row r="4545" spans="1:6" x14ac:dyDescent="0.3">
      <c r="A4545" t="s">
        <v>2276</v>
      </c>
      <c r="F4545" t="str">
        <f t="shared" ref="F4545" si="4537">A4545</f>
        <v>GATCTC</v>
      </c>
    </row>
    <row r="4546" spans="1:6" x14ac:dyDescent="0.3">
      <c r="A4546" t="s">
        <v>6373</v>
      </c>
      <c r="F4546" t="str">
        <f t="shared" ref="F4546" si="4538">LEFT(A4546, LEN(A4546) - 1)</f>
        <v>&gt;2271:GATCTG:14.00:50.00:OK:6:1807.23</v>
      </c>
    </row>
    <row r="4547" spans="1:6" x14ac:dyDescent="0.3">
      <c r="A4547" t="s">
        <v>2277</v>
      </c>
      <c r="F4547" t="str">
        <f t="shared" ref="F4547" si="4539">A4547</f>
        <v>GATCTG</v>
      </c>
    </row>
    <row r="4548" spans="1:6" x14ac:dyDescent="0.3">
      <c r="A4548" t="s">
        <v>6374</v>
      </c>
      <c r="F4548" t="str">
        <f t="shared" ref="F4548" si="4540">LEFT(A4548, LEN(A4548) - 1)</f>
        <v>&gt;2272:GATCTT:8.00:33.33:OK:6:1782.21</v>
      </c>
    </row>
    <row r="4549" spans="1:6" x14ac:dyDescent="0.3">
      <c r="A4549" t="s">
        <v>2278</v>
      </c>
      <c r="F4549" t="str">
        <f t="shared" ref="F4549" si="4541">A4549</f>
        <v>GATCTT</v>
      </c>
    </row>
    <row r="4550" spans="1:6" x14ac:dyDescent="0.3">
      <c r="A4550" t="s">
        <v>6375</v>
      </c>
      <c r="F4550" t="str">
        <f t="shared" ref="F4550" si="4542">LEFT(A4550, LEN(A4550) - 1)</f>
        <v>&gt;2273:GATGAA:24.00:33.33:OK:6:1840.28</v>
      </c>
    </row>
    <row r="4551" spans="1:6" x14ac:dyDescent="0.3">
      <c r="A4551" t="s">
        <v>2279</v>
      </c>
      <c r="F4551" t="str">
        <f t="shared" ref="F4551" si="4543">A4551</f>
        <v>GATGAA</v>
      </c>
    </row>
    <row r="4552" spans="1:6" x14ac:dyDescent="0.3">
      <c r="A4552" t="s">
        <v>6376</v>
      </c>
      <c r="F4552" t="str">
        <f t="shared" ref="F4552" si="4544">LEFT(A4552, LEN(A4552) - 1)</f>
        <v>&gt;2274:GATGAC:22.00:50.00:OK:6:1816.25</v>
      </c>
    </row>
    <row r="4553" spans="1:6" x14ac:dyDescent="0.3">
      <c r="A4553" t="s">
        <v>2280</v>
      </c>
      <c r="F4553" t="str">
        <f t="shared" ref="F4553" si="4545">A4553</f>
        <v>GATGAC</v>
      </c>
    </row>
    <row r="4554" spans="1:6" x14ac:dyDescent="0.3">
      <c r="A4554" t="s">
        <v>6377</v>
      </c>
      <c r="F4554" t="str">
        <f t="shared" ref="F4554" si="4546">LEFT(A4554, LEN(A4554) - 1)</f>
        <v>&gt;2275:GATGAG:22.00:50.00:OK:6:1856.28</v>
      </c>
    </row>
    <row r="4555" spans="1:6" x14ac:dyDescent="0.3">
      <c r="A4555" t="s">
        <v>2281</v>
      </c>
      <c r="F4555" t="str">
        <f t="shared" ref="F4555" si="4547">A4555</f>
        <v>GATGAG</v>
      </c>
    </row>
    <row r="4556" spans="1:6" x14ac:dyDescent="0.3">
      <c r="A4556" t="s">
        <v>6378</v>
      </c>
      <c r="F4556" t="str">
        <f t="shared" ref="F4556" si="4548">LEFT(A4556, LEN(A4556) - 1)</f>
        <v>&gt;2276:GATGAT:16.00:33.33:OK:6:1831.26</v>
      </c>
    </row>
    <row r="4557" spans="1:6" x14ac:dyDescent="0.3">
      <c r="A4557" t="s">
        <v>2282</v>
      </c>
      <c r="F4557" t="str">
        <f t="shared" ref="F4557" si="4549">A4557</f>
        <v>GATGAT</v>
      </c>
    </row>
    <row r="4558" spans="1:6" x14ac:dyDescent="0.3">
      <c r="A4558" t="s">
        <v>6379</v>
      </c>
      <c r="F4558" t="str">
        <f t="shared" ref="F4558" si="4550">LEFT(A4558, LEN(A4558) - 1)</f>
        <v>&gt;2277:GATGCA:22.00:50.00:OK:6:1816.25</v>
      </c>
    </row>
    <row r="4559" spans="1:6" x14ac:dyDescent="0.3">
      <c r="A4559" t="s">
        <v>2283</v>
      </c>
      <c r="F4559" t="str">
        <f t="shared" ref="F4559" si="4551">A4559</f>
        <v>GATGCA</v>
      </c>
    </row>
    <row r="4560" spans="1:6" x14ac:dyDescent="0.3">
      <c r="A4560" t="s">
        <v>6380</v>
      </c>
      <c r="F4560" t="str">
        <f t="shared" ref="F4560" si="4552">LEFT(A4560, LEN(A4560) - 1)</f>
        <v>&gt;2278:GATGCC:20.00:66.67:Warning:6:1792.22</v>
      </c>
    </row>
    <row r="4561" spans="1:6" x14ac:dyDescent="0.3">
      <c r="A4561" t="s">
        <v>2284</v>
      </c>
      <c r="F4561" t="str">
        <f t="shared" ref="F4561" si="4553">A4561</f>
        <v>GATGCC</v>
      </c>
    </row>
    <row r="4562" spans="1:6" x14ac:dyDescent="0.3">
      <c r="A4562" t="s">
        <v>6381</v>
      </c>
      <c r="F4562" t="str">
        <f t="shared" ref="F4562" si="4554">LEFT(A4562, LEN(A4562) - 1)</f>
        <v>&gt;2279:GATGCG:20.00:66.67:Warning:6:1832.25</v>
      </c>
    </row>
    <row r="4563" spans="1:6" x14ac:dyDescent="0.3">
      <c r="A4563" t="s">
        <v>2285</v>
      </c>
      <c r="F4563" t="str">
        <f t="shared" ref="F4563" si="4555">A4563</f>
        <v>GATGCG</v>
      </c>
    </row>
    <row r="4564" spans="1:6" x14ac:dyDescent="0.3">
      <c r="A4564" t="s">
        <v>6382</v>
      </c>
      <c r="F4564" t="str">
        <f t="shared" ref="F4564" si="4556">LEFT(A4564, LEN(A4564) - 1)</f>
        <v>&gt;2280:GATGCT:14.00:50.00:OK:6:1807.23</v>
      </c>
    </row>
    <row r="4565" spans="1:6" x14ac:dyDescent="0.3">
      <c r="A4565" t="s">
        <v>2286</v>
      </c>
      <c r="F4565" t="str">
        <f t="shared" ref="F4565" si="4557">A4565</f>
        <v>GATGCT</v>
      </c>
    </row>
    <row r="4566" spans="1:6" x14ac:dyDescent="0.3">
      <c r="A4566" t="s">
        <v>6383</v>
      </c>
      <c r="F4566" t="str">
        <f t="shared" ref="F4566" si="4558">LEFT(A4566, LEN(A4566) - 1)</f>
        <v>&gt;2281:GATGGA:22.00:50.00:OK:6:1856.28</v>
      </c>
    </row>
    <row r="4567" spans="1:6" x14ac:dyDescent="0.3">
      <c r="A4567" t="s">
        <v>2287</v>
      </c>
      <c r="F4567" t="str">
        <f t="shared" ref="F4567" si="4559">A4567</f>
        <v>GATGGA</v>
      </c>
    </row>
    <row r="4568" spans="1:6" x14ac:dyDescent="0.3">
      <c r="A4568" t="s">
        <v>6384</v>
      </c>
      <c r="F4568" t="str">
        <f t="shared" ref="F4568" si="4560">LEFT(A4568, LEN(A4568) - 1)</f>
        <v>&gt;2282:GATGGC:20.00:66.67:Warning:6:1832.25</v>
      </c>
    </row>
    <row r="4569" spans="1:6" x14ac:dyDescent="0.3">
      <c r="A4569" t="s">
        <v>2288</v>
      </c>
      <c r="F4569" t="str">
        <f t="shared" ref="F4569" si="4561">A4569</f>
        <v>GATGGC</v>
      </c>
    </row>
    <row r="4570" spans="1:6" x14ac:dyDescent="0.3">
      <c r="A4570" t="s">
        <v>6385</v>
      </c>
      <c r="F4570" t="str">
        <f t="shared" ref="F4570" si="4562">LEFT(A4570, LEN(A4570) - 1)</f>
        <v>&gt;2283:GATGGG:20.00:66.67:Warning:6:1872.28</v>
      </c>
    </row>
    <row r="4571" spans="1:6" x14ac:dyDescent="0.3">
      <c r="A4571" t="s">
        <v>2289</v>
      </c>
      <c r="F4571" t="str">
        <f t="shared" ref="F4571" si="4563">A4571</f>
        <v>GATGGG</v>
      </c>
    </row>
    <row r="4572" spans="1:6" x14ac:dyDescent="0.3">
      <c r="A4572" t="s">
        <v>6386</v>
      </c>
      <c r="F4572" t="str">
        <f t="shared" ref="F4572" si="4564">LEFT(A4572, LEN(A4572) - 1)</f>
        <v>&gt;2284:GATGGT:14.00:50.00:OK:6:1847.26</v>
      </c>
    </row>
    <row r="4573" spans="1:6" x14ac:dyDescent="0.3">
      <c r="A4573" t="s">
        <v>2290</v>
      </c>
      <c r="F4573" t="str">
        <f t="shared" ref="F4573" si="4565">A4573</f>
        <v>GATGGT</v>
      </c>
    </row>
    <row r="4574" spans="1:6" x14ac:dyDescent="0.3">
      <c r="A4574" t="s">
        <v>6387</v>
      </c>
      <c r="F4574" t="str">
        <f t="shared" ref="F4574" si="4566">LEFT(A4574, LEN(A4574) - 1)</f>
        <v>&gt;2285:GATGTA:16.00:33.33:OK:6:1831.26</v>
      </c>
    </row>
    <row r="4575" spans="1:6" x14ac:dyDescent="0.3">
      <c r="A4575" t="s">
        <v>2291</v>
      </c>
      <c r="F4575" t="str">
        <f t="shared" ref="F4575" si="4567">A4575</f>
        <v>GATGTA</v>
      </c>
    </row>
    <row r="4576" spans="1:6" x14ac:dyDescent="0.3">
      <c r="A4576" t="s">
        <v>6388</v>
      </c>
      <c r="F4576" t="str">
        <f t="shared" ref="F4576" si="4568">LEFT(A4576, LEN(A4576) - 1)</f>
        <v>&gt;2286:GATGTC:14.00:50.00:OK:6:1807.23</v>
      </c>
    </row>
    <row r="4577" spans="1:6" x14ac:dyDescent="0.3">
      <c r="A4577" t="s">
        <v>2292</v>
      </c>
      <c r="F4577" t="str">
        <f t="shared" ref="F4577" si="4569">A4577</f>
        <v>GATGTC</v>
      </c>
    </row>
    <row r="4578" spans="1:6" x14ac:dyDescent="0.3">
      <c r="A4578" t="s">
        <v>6389</v>
      </c>
      <c r="F4578" t="str">
        <f t="shared" ref="F4578" si="4570">LEFT(A4578, LEN(A4578) - 1)</f>
        <v>&gt;2287:GATGTG:14.00:50.00:OK:6:1847.26</v>
      </c>
    </row>
    <row r="4579" spans="1:6" x14ac:dyDescent="0.3">
      <c r="A4579" t="s">
        <v>2293</v>
      </c>
      <c r="F4579" t="str">
        <f t="shared" ref="F4579" si="4571">A4579</f>
        <v>GATGTG</v>
      </c>
    </row>
    <row r="4580" spans="1:6" x14ac:dyDescent="0.3">
      <c r="A4580" t="s">
        <v>6390</v>
      </c>
      <c r="F4580" t="str">
        <f t="shared" ref="F4580" si="4572">LEFT(A4580, LEN(A4580) - 1)</f>
        <v>&gt;2288:GATGTT:8.00:33.33:OK:6:1822.24</v>
      </c>
    </row>
    <row r="4581" spans="1:6" x14ac:dyDescent="0.3">
      <c r="A4581" t="s">
        <v>2294</v>
      </c>
      <c r="F4581" t="str">
        <f t="shared" ref="F4581" si="4573">A4581</f>
        <v>GATGTT</v>
      </c>
    </row>
    <row r="4582" spans="1:6" x14ac:dyDescent="0.3">
      <c r="A4582" t="s">
        <v>6391</v>
      </c>
      <c r="F4582" t="str">
        <f t="shared" ref="F4582" si="4574">LEFT(A4582, LEN(A4582) - 1)</f>
        <v>&gt;2289:GATTAA:18.00:16.67:OK:6:1815.26</v>
      </c>
    </row>
    <row r="4583" spans="1:6" x14ac:dyDescent="0.3">
      <c r="A4583" t="s">
        <v>2295</v>
      </c>
      <c r="F4583" t="str">
        <f t="shared" ref="F4583" si="4575">A4583</f>
        <v>GATTAA</v>
      </c>
    </row>
    <row r="4584" spans="1:6" x14ac:dyDescent="0.3">
      <c r="A4584" t="s">
        <v>6392</v>
      </c>
      <c r="F4584" t="str">
        <f t="shared" ref="F4584" si="4576">LEFT(A4584, LEN(A4584) - 1)</f>
        <v>&gt;2290:GATTAC:16.00:33.33:OK:6:1791.23</v>
      </c>
    </row>
    <row r="4585" spans="1:6" x14ac:dyDescent="0.3">
      <c r="A4585" t="s">
        <v>2296</v>
      </c>
      <c r="F4585" t="str">
        <f t="shared" ref="F4585" si="4577">A4585</f>
        <v>GATTAC</v>
      </c>
    </row>
    <row r="4586" spans="1:6" x14ac:dyDescent="0.3">
      <c r="A4586" t="s">
        <v>6393</v>
      </c>
      <c r="F4586" t="str">
        <f t="shared" ref="F4586" si="4578">LEFT(A4586, LEN(A4586) - 1)</f>
        <v>&gt;2291:GATTAG:16.00:33.33:OK:6:1831.26</v>
      </c>
    </row>
    <row r="4587" spans="1:6" x14ac:dyDescent="0.3">
      <c r="A4587" t="s">
        <v>2297</v>
      </c>
      <c r="F4587" t="str">
        <f t="shared" ref="F4587" si="4579">A4587</f>
        <v>GATTAG</v>
      </c>
    </row>
    <row r="4588" spans="1:6" x14ac:dyDescent="0.3">
      <c r="A4588" t="s">
        <v>6394</v>
      </c>
      <c r="F4588" t="str">
        <f t="shared" ref="F4588" si="4580">LEFT(A4588, LEN(A4588) - 1)</f>
        <v>&gt;2292:GATTAT:10.00:16.67:OK:6:1806.24</v>
      </c>
    </row>
    <row r="4589" spans="1:6" x14ac:dyDescent="0.3">
      <c r="A4589" t="s">
        <v>2298</v>
      </c>
      <c r="F4589" t="str">
        <f t="shared" ref="F4589" si="4581">A4589</f>
        <v>GATTAT</v>
      </c>
    </row>
    <row r="4590" spans="1:6" x14ac:dyDescent="0.3">
      <c r="A4590" t="s">
        <v>6395</v>
      </c>
      <c r="F4590" t="str">
        <f t="shared" ref="F4590" si="4582">LEFT(A4590, LEN(A4590) - 1)</f>
        <v>&gt;2293:GATTCA:16.00:33.33:OK:6:1791.23</v>
      </c>
    </row>
    <row r="4591" spans="1:6" x14ac:dyDescent="0.3">
      <c r="A4591" t="s">
        <v>2299</v>
      </c>
      <c r="F4591" t="str">
        <f t="shared" ref="F4591" si="4583">A4591</f>
        <v>GATTCA</v>
      </c>
    </row>
    <row r="4592" spans="1:6" x14ac:dyDescent="0.3">
      <c r="A4592" t="s">
        <v>6396</v>
      </c>
      <c r="F4592" t="str">
        <f t="shared" ref="F4592" si="4584">LEFT(A4592, LEN(A4592) - 1)</f>
        <v>&gt;2294:GATTCC:14.00:50.00:OK:6:1767.20</v>
      </c>
    </row>
    <row r="4593" spans="1:6" x14ac:dyDescent="0.3">
      <c r="A4593" t="s">
        <v>2300</v>
      </c>
      <c r="F4593" t="str">
        <f t="shared" ref="F4593" si="4585">A4593</f>
        <v>GATTCC</v>
      </c>
    </row>
    <row r="4594" spans="1:6" x14ac:dyDescent="0.3">
      <c r="A4594" t="s">
        <v>6397</v>
      </c>
      <c r="F4594" t="str">
        <f t="shared" ref="F4594" si="4586">LEFT(A4594, LEN(A4594) - 1)</f>
        <v>&gt;2295:GATTCG:14.00:50.00:OK:6:1807.23</v>
      </c>
    </row>
    <row r="4595" spans="1:6" x14ac:dyDescent="0.3">
      <c r="A4595" t="s">
        <v>2301</v>
      </c>
      <c r="F4595" t="str">
        <f t="shared" ref="F4595" si="4587">A4595</f>
        <v>GATTCG</v>
      </c>
    </row>
    <row r="4596" spans="1:6" x14ac:dyDescent="0.3">
      <c r="A4596" t="s">
        <v>6398</v>
      </c>
      <c r="F4596" t="str">
        <f t="shared" ref="F4596" si="4588">LEFT(A4596, LEN(A4596) - 1)</f>
        <v>&gt;2296:GATTCT:8.00:33.33:OK:6:1782.21</v>
      </c>
    </row>
    <row r="4597" spans="1:6" x14ac:dyDescent="0.3">
      <c r="A4597" t="s">
        <v>2302</v>
      </c>
      <c r="F4597" t="str">
        <f t="shared" ref="F4597" si="4589">A4597</f>
        <v>GATTCT</v>
      </c>
    </row>
    <row r="4598" spans="1:6" x14ac:dyDescent="0.3">
      <c r="A4598" t="s">
        <v>6399</v>
      </c>
      <c r="F4598" t="str">
        <f t="shared" ref="F4598" si="4590">LEFT(A4598, LEN(A4598) - 1)</f>
        <v>&gt;2297:GATTGA:16.00:33.33:OK:6:1831.26</v>
      </c>
    </row>
    <row r="4599" spans="1:6" x14ac:dyDescent="0.3">
      <c r="A4599" t="s">
        <v>2303</v>
      </c>
      <c r="F4599" t="str">
        <f t="shared" ref="F4599" si="4591">A4599</f>
        <v>GATTGA</v>
      </c>
    </row>
    <row r="4600" spans="1:6" x14ac:dyDescent="0.3">
      <c r="A4600" t="s">
        <v>6400</v>
      </c>
      <c r="F4600" t="str">
        <f t="shared" ref="F4600" si="4592">LEFT(A4600, LEN(A4600) - 1)</f>
        <v>&gt;2298:GATTGC:14.00:50.00:OK:6:1807.23</v>
      </c>
    </row>
    <row r="4601" spans="1:6" x14ac:dyDescent="0.3">
      <c r="A4601" t="s">
        <v>2304</v>
      </c>
      <c r="F4601" t="str">
        <f t="shared" ref="F4601" si="4593">A4601</f>
        <v>GATTGC</v>
      </c>
    </row>
    <row r="4602" spans="1:6" x14ac:dyDescent="0.3">
      <c r="A4602" t="s">
        <v>6401</v>
      </c>
      <c r="F4602" t="str">
        <f t="shared" ref="F4602" si="4594">LEFT(A4602, LEN(A4602) - 1)</f>
        <v>&gt;2299:GATTGG:14.00:50.00:OK:6:1847.26</v>
      </c>
    </row>
    <row r="4603" spans="1:6" x14ac:dyDescent="0.3">
      <c r="A4603" t="s">
        <v>2305</v>
      </c>
      <c r="F4603" t="str">
        <f t="shared" ref="F4603" si="4595">A4603</f>
        <v>GATTGG</v>
      </c>
    </row>
    <row r="4604" spans="1:6" x14ac:dyDescent="0.3">
      <c r="A4604" t="s">
        <v>6402</v>
      </c>
      <c r="F4604" t="str">
        <f t="shared" ref="F4604" si="4596">LEFT(A4604, LEN(A4604) - 1)</f>
        <v>&gt;2300:GATTGT:8.00:33.33:OK:6:1822.24</v>
      </c>
    </row>
    <row r="4605" spans="1:6" x14ac:dyDescent="0.3">
      <c r="A4605" t="s">
        <v>2306</v>
      </c>
      <c r="F4605" t="str">
        <f t="shared" ref="F4605" si="4597">A4605</f>
        <v>GATTGT</v>
      </c>
    </row>
    <row r="4606" spans="1:6" x14ac:dyDescent="0.3">
      <c r="A4606" t="s">
        <v>6403</v>
      </c>
      <c r="F4606" t="str">
        <f t="shared" ref="F4606" si="4598">LEFT(A4606, LEN(A4606) - 1)</f>
        <v>&gt;2301:GATTTA:10.00:16.67:OK:6:1806.24</v>
      </c>
    </row>
    <row r="4607" spans="1:6" x14ac:dyDescent="0.3">
      <c r="A4607" t="s">
        <v>2307</v>
      </c>
      <c r="F4607" t="str">
        <f t="shared" ref="F4607" si="4599">A4607</f>
        <v>GATTTA</v>
      </c>
    </row>
    <row r="4608" spans="1:6" x14ac:dyDescent="0.3">
      <c r="A4608" t="s">
        <v>6404</v>
      </c>
      <c r="F4608" t="str">
        <f t="shared" ref="F4608" si="4600">LEFT(A4608, LEN(A4608) - 1)</f>
        <v>&gt;2302:GATTTC:8.00:33.33:OK:6:1782.21</v>
      </c>
    </row>
    <row r="4609" spans="1:6" x14ac:dyDescent="0.3">
      <c r="A4609" t="s">
        <v>2308</v>
      </c>
      <c r="F4609" t="str">
        <f t="shared" ref="F4609" si="4601">A4609</f>
        <v>GATTTC</v>
      </c>
    </row>
    <row r="4610" spans="1:6" x14ac:dyDescent="0.3">
      <c r="A4610" t="s">
        <v>6405</v>
      </c>
      <c r="F4610" t="str">
        <f t="shared" ref="F4610" si="4602">LEFT(A4610, LEN(A4610) - 1)</f>
        <v>&gt;2303:GATTTG:8.00:33.33:OK:6:1822.24</v>
      </c>
    </row>
    <row r="4611" spans="1:6" x14ac:dyDescent="0.3">
      <c r="A4611" t="s">
        <v>2309</v>
      </c>
      <c r="F4611" t="str">
        <f t="shared" ref="F4611" si="4603">A4611</f>
        <v>GATTTG</v>
      </c>
    </row>
    <row r="4612" spans="1:6" x14ac:dyDescent="0.3">
      <c r="A4612" t="s">
        <v>6406</v>
      </c>
      <c r="F4612" t="str">
        <f t="shared" ref="F4612" si="4604">LEFT(A4612, LEN(A4612) - 1)</f>
        <v>&gt;2304:GATTTT:2.00:16.67:OK:6:1797.22</v>
      </c>
    </row>
    <row r="4613" spans="1:6" x14ac:dyDescent="0.3">
      <c r="A4613" t="s">
        <v>2310</v>
      </c>
      <c r="F4613" t="str">
        <f t="shared" ref="F4613" si="4605">A4613</f>
        <v>GATTTT</v>
      </c>
    </row>
    <row r="4614" spans="1:6" x14ac:dyDescent="0.3">
      <c r="A4614" t="s">
        <v>6407</v>
      </c>
      <c r="F4614" t="str">
        <f t="shared" ref="F4614" si="4606">LEFT(A4614, LEN(A4614) - 1)</f>
        <v>&gt;2305:GCAAAA:32.00:33.33:OK:6:1809.27</v>
      </c>
    </row>
    <row r="4615" spans="1:6" x14ac:dyDescent="0.3">
      <c r="A4615" t="s">
        <v>2311</v>
      </c>
      <c r="F4615" t="str">
        <f t="shared" ref="F4615" si="4607">A4615</f>
        <v>GCAAAA</v>
      </c>
    </row>
    <row r="4616" spans="1:6" x14ac:dyDescent="0.3">
      <c r="A4616" t="s">
        <v>6408</v>
      </c>
      <c r="F4616" t="str">
        <f t="shared" ref="F4616" si="4608">LEFT(A4616, LEN(A4616) - 1)</f>
        <v>&gt;2306:GCAAAC:30.00:50.00:OK:6:1785.24</v>
      </c>
    </row>
    <row r="4617" spans="1:6" x14ac:dyDescent="0.3">
      <c r="A4617" t="s">
        <v>2312</v>
      </c>
      <c r="F4617" t="str">
        <f t="shared" ref="F4617" si="4609">A4617</f>
        <v>GCAAAC</v>
      </c>
    </row>
    <row r="4618" spans="1:6" x14ac:dyDescent="0.3">
      <c r="A4618" t="s">
        <v>6409</v>
      </c>
      <c r="F4618" t="str">
        <f t="shared" ref="F4618" si="4610">LEFT(A4618, LEN(A4618) - 1)</f>
        <v>&gt;2307:GCAAAG:30.00:50.00:OK:6:1825.27</v>
      </c>
    </row>
    <row r="4619" spans="1:6" x14ac:dyDescent="0.3">
      <c r="A4619" t="s">
        <v>2313</v>
      </c>
      <c r="F4619" t="str">
        <f t="shared" ref="F4619" si="4611">A4619</f>
        <v>GCAAAG</v>
      </c>
    </row>
    <row r="4620" spans="1:6" x14ac:dyDescent="0.3">
      <c r="A4620" t="s">
        <v>6410</v>
      </c>
      <c r="F4620" t="str">
        <f t="shared" ref="F4620" si="4612">LEFT(A4620, LEN(A4620) - 1)</f>
        <v>&gt;2308:GCAAAT:24.00:33.33:OK:6:1800.25</v>
      </c>
    </row>
    <row r="4621" spans="1:6" x14ac:dyDescent="0.3">
      <c r="A4621" t="s">
        <v>2314</v>
      </c>
      <c r="F4621" t="str">
        <f t="shared" ref="F4621" si="4613">A4621</f>
        <v>GCAAAT</v>
      </c>
    </row>
    <row r="4622" spans="1:6" x14ac:dyDescent="0.3">
      <c r="A4622" t="s">
        <v>6411</v>
      </c>
      <c r="F4622" t="str">
        <f t="shared" ref="F4622" si="4614">LEFT(A4622, LEN(A4622) - 1)</f>
        <v>&gt;2309:GCAACA:30.00:50.00:OK:6:1785.24</v>
      </c>
    </row>
    <row r="4623" spans="1:6" x14ac:dyDescent="0.3">
      <c r="A4623" t="s">
        <v>2315</v>
      </c>
      <c r="F4623" t="str">
        <f t="shared" ref="F4623" si="4615">A4623</f>
        <v>GCAACA</v>
      </c>
    </row>
    <row r="4624" spans="1:6" x14ac:dyDescent="0.3">
      <c r="A4624" t="s">
        <v>6412</v>
      </c>
      <c r="F4624" t="str">
        <f t="shared" ref="F4624" si="4616">LEFT(A4624, LEN(A4624) - 1)</f>
        <v>&gt;2310:GCAACC:28.00:66.67:Warning:6:1761.21</v>
      </c>
    </row>
    <row r="4625" spans="1:6" x14ac:dyDescent="0.3">
      <c r="A4625" t="s">
        <v>2316</v>
      </c>
      <c r="F4625" t="str">
        <f t="shared" ref="F4625" si="4617">A4625</f>
        <v>GCAACC</v>
      </c>
    </row>
    <row r="4626" spans="1:6" x14ac:dyDescent="0.3">
      <c r="A4626" t="s">
        <v>6413</v>
      </c>
      <c r="F4626" t="str">
        <f t="shared" ref="F4626" si="4618">LEFT(A4626, LEN(A4626) - 1)</f>
        <v>&gt;2311:GCAACG:28.00:66.67:Warning:6:1801.24</v>
      </c>
    </row>
    <row r="4627" spans="1:6" x14ac:dyDescent="0.3">
      <c r="A4627" t="s">
        <v>2317</v>
      </c>
      <c r="F4627" t="str">
        <f t="shared" ref="F4627" si="4619">A4627</f>
        <v>GCAACG</v>
      </c>
    </row>
    <row r="4628" spans="1:6" x14ac:dyDescent="0.3">
      <c r="A4628" t="s">
        <v>6414</v>
      </c>
      <c r="F4628" t="str">
        <f t="shared" ref="F4628" si="4620">LEFT(A4628, LEN(A4628) - 1)</f>
        <v>&gt;2312:GCAACT:22.00:50.00:OK:6:1776.22</v>
      </c>
    </row>
    <row r="4629" spans="1:6" x14ac:dyDescent="0.3">
      <c r="A4629" t="s">
        <v>2318</v>
      </c>
      <c r="F4629" t="str">
        <f t="shared" ref="F4629" si="4621">A4629</f>
        <v>GCAACT</v>
      </c>
    </row>
    <row r="4630" spans="1:6" x14ac:dyDescent="0.3">
      <c r="A4630" t="s">
        <v>6415</v>
      </c>
      <c r="F4630" t="str">
        <f t="shared" ref="F4630" si="4622">LEFT(A4630, LEN(A4630) - 1)</f>
        <v>&gt;2313:GCAAGA:30.00:50.00:OK:6:1825.27</v>
      </c>
    </row>
    <row r="4631" spans="1:6" x14ac:dyDescent="0.3">
      <c r="A4631" t="s">
        <v>2319</v>
      </c>
      <c r="F4631" t="str">
        <f t="shared" ref="F4631" si="4623">A4631</f>
        <v>GCAAGA</v>
      </c>
    </row>
    <row r="4632" spans="1:6" x14ac:dyDescent="0.3">
      <c r="A4632" t="s">
        <v>6416</v>
      </c>
      <c r="F4632" t="str">
        <f t="shared" ref="F4632" si="4624">LEFT(A4632, LEN(A4632) - 1)</f>
        <v>&gt;2314:GCAAGC:28.00:66.67:Warning:6:1801.24</v>
      </c>
    </row>
    <row r="4633" spans="1:6" x14ac:dyDescent="0.3">
      <c r="A4633" t="s">
        <v>2320</v>
      </c>
      <c r="F4633" t="str">
        <f t="shared" ref="F4633" si="4625">A4633</f>
        <v>GCAAGC</v>
      </c>
    </row>
    <row r="4634" spans="1:6" x14ac:dyDescent="0.3">
      <c r="A4634" t="s">
        <v>6417</v>
      </c>
      <c r="F4634" t="str">
        <f t="shared" ref="F4634" si="4626">LEFT(A4634, LEN(A4634) - 1)</f>
        <v>&gt;2315:GCAAGG:28.00:66.67:Warning:6:1841.27</v>
      </c>
    </row>
    <row r="4635" spans="1:6" x14ac:dyDescent="0.3">
      <c r="A4635" t="s">
        <v>2321</v>
      </c>
      <c r="F4635" t="str">
        <f t="shared" ref="F4635" si="4627">A4635</f>
        <v>GCAAGG</v>
      </c>
    </row>
    <row r="4636" spans="1:6" x14ac:dyDescent="0.3">
      <c r="A4636" t="s">
        <v>6418</v>
      </c>
      <c r="F4636" t="str">
        <f t="shared" ref="F4636" si="4628">LEFT(A4636, LEN(A4636) - 1)</f>
        <v>&gt;2316:GCAAGT:22.00:50.00:OK:6:1816.25</v>
      </c>
    </row>
    <row r="4637" spans="1:6" x14ac:dyDescent="0.3">
      <c r="A4637" t="s">
        <v>2322</v>
      </c>
      <c r="F4637" t="str">
        <f t="shared" ref="F4637" si="4629">A4637</f>
        <v>GCAAGT</v>
      </c>
    </row>
    <row r="4638" spans="1:6" x14ac:dyDescent="0.3">
      <c r="A4638" t="s">
        <v>6419</v>
      </c>
      <c r="F4638" t="str">
        <f t="shared" ref="F4638" si="4630">LEFT(A4638, LEN(A4638) - 1)</f>
        <v>&gt;2317:GCAATA:24.00:33.33:OK:6:1800.25</v>
      </c>
    </row>
    <row r="4639" spans="1:6" x14ac:dyDescent="0.3">
      <c r="A4639" t="s">
        <v>2323</v>
      </c>
      <c r="F4639" t="str">
        <f t="shared" ref="F4639" si="4631">A4639</f>
        <v>GCAATA</v>
      </c>
    </row>
    <row r="4640" spans="1:6" x14ac:dyDescent="0.3">
      <c r="A4640" t="s">
        <v>6420</v>
      </c>
      <c r="F4640" t="str">
        <f t="shared" ref="F4640" si="4632">LEFT(A4640, LEN(A4640) - 1)</f>
        <v>&gt;2318:GCAATC:22.00:50.00:OK:6:1776.22</v>
      </c>
    </row>
    <row r="4641" spans="1:6" x14ac:dyDescent="0.3">
      <c r="A4641" t="s">
        <v>2324</v>
      </c>
      <c r="F4641" t="str">
        <f t="shared" ref="F4641" si="4633">A4641</f>
        <v>GCAATC</v>
      </c>
    </row>
    <row r="4642" spans="1:6" x14ac:dyDescent="0.3">
      <c r="A4642" t="s">
        <v>6421</v>
      </c>
      <c r="F4642" t="str">
        <f t="shared" ref="F4642" si="4634">LEFT(A4642, LEN(A4642) - 1)</f>
        <v>&gt;2319:GCAATG:22.00:50.00:OK:6:1816.25</v>
      </c>
    </row>
    <row r="4643" spans="1:6" x14ac:dyDescent="0.3">
      <c r="A4643" t="s">
        <v>2325</v>
      </c>
      <c r="F4643" t="str">
        <f t="shared" ref="F4643" si="4635">A4643</f>
        <v>GCAATG</v>
      </c>
    </row>
    <row r="4644" spans="1:6" x14ac:dyDescent="0.3">
      <c r="A4644" t="s">
        <v>6422</v>
      </c>
      <c r="F4644" t="str">
        <f t="shared" ref="F4644" si="4636">LEFT(A4644, LEN(A4644) - 1)</f>
        <v>&gt;2320:GCAATT:16.00:33.33:OK:6:1791.23</v>
      </c>
    </row>
    <row r="4645" spans="1:6" x14ac:dyDescent="0.3">
      <c r="A4645" t="s">
        <v>2326</v>
      </c>
      <c r="F4645" t="str">
        <f t="shared" ref="F4645" si="4637">A4645</f>
        <v>GCAATT</v>
      </c>
    </row>
    <row r="4646" spans="1:6" x14ac:dyDescent="0.3">
      <c r="A4646" t="s">
        <v>6423</v>
      </c>
      <c r="F4646" t="str">
        <f t="shared" ref="F4646" si="4638">LEFT(A4646, LEN(A4646) - 1)</f>
        <v>&gt;2321:GCACAA:30.00:50.00:OK:6:1785.24</v>
      </c>
    </row>
    <row r="4647" spans="1:6" x14ac:dyDescent="0.3">
      <c r="A4647" t="s">
        <v>2327</v>
      </c>
      <c r="F4647" t="str">
        <f t="shared" ref="F4647" si="4639">A4647</f>
        <v>GCACAA</v>
      </c>
    </row>
    <row r="4648" spans="1:6" x14ac:dyDescent="0.3">
      <c r="A4648" t="s">
        <v>6424</v>
      </c>
      <c r="F4648" t="str">
        <f t="shared" ref="F4648" si="4640">LEFT(A4648, LEN(A4648) - 1)</f>
        <v>&gt;2322:GCACAC:28.00:66.67:Warning:6:1761.21</v>
      </c>
    </row>
    <row r="4649" spans="1:6" x14ac:dyDescent="0.3">
      <c r="A4649" t="s">
        <v>2328</v>
      </c>
      <c r="F4649" t="str">
        <f t="shared" ref="F4649" si="4641">A4649</f>
        <v>GCACAC</v>
      </c>
    </row>
    <row r="4650" spans="1:6" x14ac:dyDescent="0.3">
      <c r="A4650" t="s">
        <v>6425</v>
      </c>
      <c r="F4650" t="str">
        <f t="shared" ref="F4650" si="4642">LEFT(A4650, LEN(A4650) - 1)</f>
        <v>&gt;2323:GCACAG:28.00:66.67:Warning:6:1801.24</v>
      </c>
    </row>
    <row r="4651" spans="1:6" x14ac:dyDescent="0.3">
      <c r="A4651" t="s">
        <v>2329</v>
      </c>
      <c r="F4651" t="str">
        <f t="shared" ref="F4651" si="4643">A4651</f>
        <v>GCACAG</v>
      </c>
    </row>
    <row r="4652" spans="1:6" x14ac:dyDescent="0.3">
      <c r="A4652" t="s">
        <v>6426</v>
      </c>
      <c r="F4652" t="str">
        <f t="shared" ref="F4652" si="4644">LEFT(A4652, LEN(A4652) - 1)</f>
        <v>&gt;2324:GCACAT:22.00:50.00:OK:6:1776.22</v>
      </c>
    </row>
    <row r="4653" spans="1:6" x14ac:dyDescent="0.3">
      <c r="A4653" t="s">
        <v>2330</v>
      </c>
      <c r="F4653" t="str">
        <f t="shared" ref="F4653" si="4645">A4653</f>
        <v>GCACAT</v>
      </c>
    </row>
    <row r="4654" spans="1:6" x14ac:dyDescent="0.3">
      <c r="A4654" t="s">
        <v>6427</v>
      </c>
      <c r="F4654" t="str">
        <f t="shared" ref="F4654" si="4646">LEFT(A4654, LEN(A4654) - 1)</f>
        <v>&gt;2325:GCACCA:28.00:66.67:Warning:6:1761.21</v>
      </c>
    </row>
    <row r="4655" spans="1:6" x14ac:dyDescent="0.3">
      <c r="A4655" t="s">
        <v>2331</v>
      </c>
      <c r="F4655" t="str">
        <f t="shared" ref="F4655" si="4647">A4655</f>
        <v>GCACCA</v>
      </c>
    </row>
    <row r="4656" spans="1:6" x14ac:dyDescent="0.3">
      <c r="A4656" t="s">
        <v>6428</v>
      </c>
      <c r="F4656" t="str">
        <f t="shared" ref="F4656" si="4648">LEFT(A4656, LEN(A4656) - 1)</f>
        <v>&gt;2326:GCACCC:26.00:83.33:Warning:6:1737.18</v>
      </c>
    </row>
    <row r="4657" spans="1:6" x14ac:dyDescent="0.3">
      <c r="A4657" t="s">
        <v>2332</v>
      </c>
      <c r="F4657" t="str">
        <f t="shared" ref="F4657" si="4649">A4657</f>
        <v>GCACCC</v>
      </c>
    </row>
    <row r="4658" spans="1:6" x14ac:dyDescent="0.3">
      <c r="A4658" t="s">
        <v>6429</v>
      </c>
      <c r="F4658" t="str">
        <f t="shared" ref="F4658" si="4650">LEFT(A4658, LEN(A4658) - 1)</f>
        <v>&gt;2327:GCACCG:26.00:83.33:Warning:6:1777.21</v>
      </c>
    </row>
    <row r="4659" spans="1:6" x14ac:dyDescent="0.3">
      <c r="A4659" t="s">
        <v>2333</v>
      </c>
      <c r="F4659" t="str">
        <f t="shared" ref="F4659" si="4651">A4659</f>
        <v>GCACCG</v>
      </c>
    </row>
    <row r="4660" spans="1:6" x14ac:dyDescent="0.3">
      <c r="A4660" t="s">
        <v>6430</v>
      </c>
      <c r="F4660" t="str">
        <f t="shared" ref="F4660" si="4652">LEFT(A4660, LEN(A4660) - 1)</f>
        <v>&gt;2328:GCACCT:20.00:66.67:Warning:6:1752.19</v>
      </c>
    </row>
    <row r="4661" spans="1:6" x14ac:dyDescent="0.3">
      <c r="A4661" t="s">
        <v>2334</v>
      </c>
      <c r="F4661" t="str">
        <f t="shared" ref="F4661" si="4653">A4661</f>
        <v>GCACCT</v>
      </c>
    </row>
    <row r="4662" spans="1:6" x14ac:dyDescent="0.3">
      <c r="A4662" t="s">
        <v>6431</v>
      </c>
      <c r="F4662" t="str">
        <f t="shared" ref="F4662" si="4654">LEFT(A4662, LEN(A4662) - 1)</f>
        <v>&gt;2329:GCACGA:28.00:66.67:Warning:6:1801.24</v>
      </c>
    </row>
    <row r="4663" spans="1:6" x14ac:dyDescent="0.3">
      <c r="A4663" t="s">
        <v>2335</v>
      </c>
      <c r="F4663" t="str">
        <f t="shared" ref="F4663" si="4655">A4663</f>
        <v>GCACGA</v>
      </c>
    </row>
    <row r="4664" spans="1:6" x14ac:dyDescent="0.3">
      <c r="A4664" t="s">
        <v>6432</v>
      </c>
      <c r="F4664" t="str">
        <f t="shared" ref="F4664" si="4656">LEFT(A4664, LEN(A4664) - 1)</f>
        <v>&gt;2330:GCACGC:26.00:83.33:Warning:6:1777.21</v>
      </c>
    </row>
    <row r="4665" spans="1:6" x14ac:dyDescent="0.3">
      <c r="A4665" t="s">
        <v>2336</v>
      </c>
      <c r="F4665" t="str">
        <f t="shared" ref="F4665" si="4657">A4665</f>
        <v>GCACGC</v>
      </c>
    </row>
    <row r="4666" spans="1:6" x14ac:dyDescent="0.3">
      <c r="A4666" t="s">
        <v>6433</v>
      </c>
      <c r="F4666" t="str">
        <f t="shared" ref="F4666" si="4658">LEFT(A4666, LEN(A4666) - 1)</f>
        <v>&gt;2331:GCACGG:26.00:83.33:Warning:6:1817.24</v>
      </c>
    </row>
    <row r="4667" spans="1:6" x14ac:dyDescent="0.3">
      <c r="A4667" t="s">
        <v>2337</v>
      </c>
      <c r="F4667" t="str">
        <f t="shared" ref="F4667" si="4659">A4667</f>
        <v>GCACGG</v>
      </c>
    </row>
    <row r="4668" spans="1:6" x14ac:dyDescent="0.3">
      <c r="A4668" t="s">
        <v>6434</v>
      </c>
      <c r="F4668" t="str">
        <f t="shared" ref="F4668" si="4660">LEFT(A4668, LEN(A4668) - 1)</f>
        <v>&gt;2332:GCACGT:20.00:66.67:Warning:6:1792.22</v>
      </c>
    </row>
    <row r="4669" spans="1:6" x14ac:dyDescent="0.3">
      <c r="A4669" t="s">
        <v>2338</v>
      </c>
      <c r="F4669" t="str">
        <f t="shared" ref="F4669" si="4661">A4669</f>
        <v>GCACGT</v>
      </c>
    </row>
    <row r="4670" spans="1:6" x14ac:dyDescent="0.3">
      <c r="A4670" t="s">
        <v>6435</v>
      </c>
      <c r="F4670" t="str">
        <f t="shared" ref="F4670" si="4662">LEFT(A4670, LEN(A4670) - 1)</f>
        <v>&gt;2333:GCACTA:22.00:50.00:OK:6:1776.22</v>
      </c>
    </row>
    <row r="4671" spans="1:6" x14ac:dyDescent="0.3">
      <c r="A4671" t="s">
        <v>2339</v>
      </c>
      <c r="F4671" t="str">
        <f t="shared" ref="F4671" si="4663">A4671</f>
        <v>GCACTA</v>
      </c>
    </row>
    <row r="4672" spans="1:6" x14ac:dyDescent="0.3">
      <c r="A4672" t="s">
        <v>6436</v>
      </c>
      <c r="F4672" t="str">
        <f t="shared" ref="F4672" si="4664">LEFT(A4672, LEN(A4672) - 1)</f>
        <v>&gt;2334:GCACTC:20.00:66.67:Warning:6:1752.19</v>
      </c>
    </row>
    <row r="4673" spans="1:6" x14ac:dyDescent="0.3">
      <c r="A4673" t="s">
        <v>2340</v>
      </c>
      <c r="F4673" t="str">
        <f t="shared" ref="F4673" si="4665">A4673</f>
        <v>GCACTC</v>
      </c>
    </row>
    <row r="4674" spans="1:6" x14ac:dyDescent="0.3">
      <c r="A4674" t="s">
        <v>6437</v>
      </c>
      <c r="F4674" t="str">
        <f t="shared" ref="F4674" si="4666">LEFT(A4674, LEN(A4674) - 1)</f>
        <v>&gt;2335:GCACTG:20.00:66.67:Warning:6:1792.22</v>
      </c>
    </row>
    <row r="4675" spans="1:6" x14ac:dyDescent="0.3">
      <c r="A4675" t="s">
        <v>2341</v>
      </c>
      <c r="F4675" t="str">
        <f t="shared" ref="F4675" si="4667">A4675</f>
        <v>GCACTG</v>
      </c>
    </row>
    <row r="4676" spans="1:6" x14ac:dyDescent="0.3">
      <c r="A4676" t="s">
        <v>6438</v>
      </c>
      <c r="F4676" t="str">
        <f t="shared" ref="F4676" si="4668">LEFT(A4676, LEN(A4676) - 1)</f>
        <v>&gt;2336:GCACTT:14.00:50.00:OK:6:1767.20</v>
      </c>
    </row>
    <row r="4677" spans="1:6" x14ac:dyDescent="0.3">
      <c r="A4677" t="s">
        <v>2342</v>
      </c>
      <c r="F4677" t="str">
        <f t="shared" ref="F4677" si="4669">A4677</f>
        <v>GCACTT</v>
      </c>
    </row>
    <row r="4678" spans="1:6" x14ac:dyDescent="0.3">
      <c r="A4678" t="s">
        <v>6439</v>
      </c>
      <c r="F4678" t="str">
        <f t="shared" ref="F4678" si="4670">LEFT(A4678, LEN(A4678) - 1)</f>
        <v>&gt;2337:GCAGAA:30.00:50.00:OK:6:1825.27</v>
      </c>
    </row>
    <row r="4679" spans="1:6" x14ac:dyDescent="0.3">
      <c r="A4679" t="s">
        <v>2343</v>
      </c>
      <c r="F4679" t="str">
        <f t="shared" ref="F4679" si="4671">A4679</f>
        <v>GCAGAA</v>
      </c>
    </row>
    <row r="4680" spans="1:6" x14ac:dyDescent="0.3">
      <c r="A4680" t="s">
        <v>6440</v>
      </c>
      <c r="F4680" t="str">
        <f t="shared" ref="F4680" si="4672">LEFT(A4680, LEN(A4680) - 1)</f>
        <v>&gt;2338:GCAGAC:28.00:66.67:Warning:6:1801.24</v>
      </c>
    </row>
    <row r="4681" spans="1:6" x14ac:dyDescent="0.3">
      <c r="A4681" t="s">
        <v>2344</v>
      </c>
      <c r="F4681" t="str">
        <f t="shared" ref="F4681" si="4673">A4681</f>
        <v>GCAGAC</v>
      </c>
    </row>
    <row r="4682" spans="1:6" x14ac:dyDescent="0.3">
      <c r="A4682" t="s">
        <v>6441</v>
      </c>
      <c r="F4682" t="str">
        <f t="shared" ref="F4682" si="4674">LEFT(A4682, LEN(A4682) - 1)</f>
        <v>&gt;2339:GCAGAG:28.00:66.67:Warning:6:1841.27</v>
      </c>
    </row>
    <row r="4683" spans="1:6" x14ac:dyDescent="0.3">
      <c r="A4683" t="s">
        <v>2345</v>
      </c>
      <c r="F4683" t="str">
        <f t="shared" ref="F4683" si="4675">A4683</f>
        <v>GCAGAG</v>
      </c>
    </row>
    <row r="4684" spans="1:6" x14ac:dyDescent="0.3">
      <c r="A4684" t="s">
        <v>6442</v>
      </c>
      <c r="F4684" t="str">
        <f t="shared" ref="F4684" si="4676">LEFT(A4684, LEN(A4684) - 1)</f>
        <v>&gt;2340:GCAGAT:22.00:50.00:OK:6:1816.25</v>
      </c>
    </row>
    <row r="4685" spans="1:6" x14ac:dyDescent="0.3">
      <c r="A4685" t="s">
        <v>2346</v>
      </c>
      <c r="F4685" t="str">
        <f t="shared" ref="F4685" si="4677">A4685</f>
        <v>GCAGAT</v>
      </c>
    </row>
    <row r="4686" spans="1:6" x14ac:dyDescent="0.3">
      <c r="A4686" t="s">
        <v>6443</v>
      </c>
      <c r="F4686" t="str">
        <f t="shared" ref="F4686" si="4678">LEFT(A4686, LEN(A4686) - 1)</f>
        <v>&gt;2341:GCAGCA:28.00:66.67:Warning:6:1801.24</v>
      </c>
    </row>
    <row r="4687" spans="1:6" x14ac:dyDescent="0.3">
      <c r="A4687" t="s">
        <v>2347</v>
      </c>
      <c r="F4687" t="str">
        <f t="shared" ref="F4687" si="4679">A4687</f>
        <v>GCAGCA</v>
      </c>
    </row>
    <row r="4688" spans="1:6" x14ac:dyDescent="0.3">
      <c r="A4688" t="s">
        <v>6444</v>
      </c>
      <c r="F4688" t="str">
        <f t="shared" ref="F4688" si="4680">LEFT(A4688, LEN(A4688) - 1)</f>
        <v>&gt;2342:GCAGCC:26.00:83.33:Warning:6:1777.21</v>
      </c>
    </row>
    <row r="4689" spans="1:6" x14ac:dyDescent="0.3">
      <c r="A4689" t="s">
        <v>2348</v>
      </c>
      <c r="F4689" t="str">
        <f t="shared" ref="F4689" si="4681">A4689</f>
        <v>GCAGCC</v>
      </c>
    </row>
    <row r="4690" spans="1:6" x14ac:dyDescent="0.3">
      <c r="A4690" t="s">
        <v>6445</v>
      </c>
      <c r="F4690" t="str">
        <f t="shared" ref="F4690" si="4682">LEFT(A4690, LEN(A4690) - 1)</f>
        <v>&gt;2343:GCAGCG:26.00:83.33:Warning:6:1817.24</v>
      </c>
    </row>
    <row r="4691" spans="1:6" x14ac:dyDescent="0.3">
      <c r="A4691" t="s">
        <v>2349</v>
      </c>
      <c r="F4691" t="str">
        <f t="shared" ref="F4691" si="4683">A4691</f>
        <v>GCAGCG</v>
      </c>
    </row>
    <row r="4692" spans="1:6" x14ac:dyDescent="0.3">
      <c r="A4692" t="s">
        <v>6446</v>
      </c>
      <c r="F4692" t="str">
        <f t="shared" ref="F4692" si="4684">LEFT(A4692, LEN(A4692) - 1)</f>
        <v>&gt;2344:GCAGCT:20.00:66.67:Warning:6:1792.22</v>
      </c>
    </row>
    <row r="4693" spans="1:6" x14ac:dyDescent="0.3">
      <c r="A4693" t="s">
        <v>2350</v>
      </c>
      <c r="F4693" t="str">
        <f t="shared" ref="F4693" si="4685">A4693</f>
        <v>GCAGCT</v>
      </c>
    </row>
    <row r="4694" spans="1:6" x14ac:dyDescent="0.3">
      <c r="A4694" t="s">
        <v>6447</v>
      </c>
      <c r="F4694" t="str">
        <f t="shared" ref="F4694" si="4686">LEFT(A4694, LEN(A4694) - 1)</f>
        <v>&gt;2345:GCAGGA:28.00:66.67:Warning:6:1841.27</v>
      </c>
    </row>
    <row r="4695" spans="1:6" x14ac:dyDescent="0.3">
      <c r="A4695" t="s">
        <v>2351</v>
      </c>
      <c r="F4695" t="str">
        <f t="shared" ref="F4695" si="4687">A4695</f>
        <v>GCAGGA</v>
      </c>
    </row>
    <row r="4696" spans="1:6" x14ac:dyDescent="0.3">
      <c r="A4696" t="s">
        <v>6448</v>
      </c>
      <c r="F4696" t="str">
        <f t="shared" ref="F4696" si="4688">LEFT(A4696, LEN(A4696) - 1)</f>
        <v>&gt;2346:GCAGGC:26.00:83.33:Warning:6:1817.24</v>
      </c>
    </row>
    <row r="4697" spans="1:6" x14ac:dyDescent="0.3">
      <c r="A4697" t="s">
        <v>2352</v>
      </c>
      <c r="F4697" t="str">
        <f t="shared" ref="F4697" si="4689">A4697</f>
        <v>GCAGGC</v>
      </c>
    </row>
    <row r="4698" spans="1:6" x14ac:dyDescent="0.3">
      <c r="A4698" t="s">
        <v>6449</v>
      </c>
      <c r="F4698" t="str">
        <f t="shared" ref="F4698" si="4690">LEFT(A4698, LEN(A4698) - 1)</f>
        <v>&gt;2347:GCAGGG:26.00:83.33:Warning:6:1857.27</v>
      </c>
    </row>
    <row r="4699" spans="1:6" x14ac:dyDescent="0.3">
      <c r="A4699" t="s">
        <v>2353</v>
      </c>
      <c r="F4699" t="str">
        <f t="shared" ref="F4699" si="4691">A4699</f>
        <v>GCAGGG</v>
      </c>
    </row>
    <row r="4700" spans="1:6" x14ac:dyDescent="0.3">
      <c r="A4700" t="s">
        <v>6450</v>
      </c>
      <c r="F4700" t="str">
        <f t="shared" ref="F4700" si="4692">LEFT(A4700, LEN(A4700) - 1)</f>
        <v>&gt;2348:GCAGGT:20.00:66.67:Warning:6:1832.25</v>
      </c>
    </row>
    <row r="4701" spans="1:6" x14ac:dyDescent="0.3">
      <c r="A4701" t="s">
        <v>2354</v>
      </c>
      <c r="F4701" t="str">
        <f t="shared" ref="F4701" si="4693">A4701</f>
        <v>GCAGGT</v>
      </c>
    </row>
    <row r="4702" spans="1:6" x14ac:dyDescent="0.3">
      <c r="A4702" t="s">
        <v>6451</v>
      </c>
      <c r="F4702" t="str">
        <f t="shared" ref="F4702" si="4694">LEFT(A4702, LEN(A4702) - 1)</f>
        <v>&gt;2349:GCAGTA:22.00:50.00:OK:6:1816.25</v>
      </c>
    </row>
    <row r="4703" spans="1:6" x14ac:dyDescent="0.3">
      <c r="A4703" t="s">
        <v>2355</v>
      </c>
      <c r="F4703" t="str">
        <f t="shared" ref="F4703" si="4695">A4703</f>
        <v>GCAGTA</v>
      </c>
    </row>
    <row r="4704" spans="1:6" x14ac:dyDescent="0.3">
      <c r="A4704" t="s">
        <v>6452</v>
      </c>
      <c r="F4704" t="str">
        <f t="shared" ref="F4704" si="4696">LEFT(A4704, LEN(A4704) - 1)</f>
        <v>&gt;2350:GCAGTC:20.00:66.67:Warning:6:1792.22</v>
      </c>
    </row>
    <row r="4705" spans="1:6" x14ac:dyDescent="0.3">
      <c r="A4705" t="s">
        <v>2356</v>
      </c>
      <c r="F4705" t="str">
        <f t="shared" ref="F4705" si="4697">A4705</f>
        <v>GCAGTC</v>
      </c>
    </row>
    <row r="4706" spans="1:6" x14ac:dyDescent="0.3">
      <c r="A4706" t="s">
        <v>6453</v>
      </c>
      <c r="F4706" t="str">
        <f t="shared" ref="F4706" si="4698">LEFT(A4706, LEN(A4706) - 1)</f>
        <v>&gt;2351:GCAGTG:20.00:66.67:Warning:6:1832.25</v>
      </c>
    </row>
    <row r="4707" spans="1:6" x14ac:dyDescent="0.3">
      <c r="A4707" t="s">
        <v>2357</v>
      </c>
      <c r="F4707" t="str">
        <f t="shared" ref="F4707" si="4699">A4707</f>
        <v>GCAGTG</v>
      </c>
    </row>
    <row r="4708" spans="1:6" x14ac:dyDescent="0.3">
      <c r="A4708" t="s">
        <v>6454</v>
      </c>
      <c r="F4708" t="str">
        <f t="shared" ref="F4708" si="4700">LEFT(A4708, LEN(A4708) - 1)</f>
        <v>&gt;2352:GCAGTT:14.00:50.00:OK:6:1807.23</v>
      </c>
    </row>
    <row r="4709" spans="1:6" x14ac:dyDescent="0.3">
      <c r="A4709" t="s">
        <v>2358</v>
      </c>
      <c r="F4709" t="str">
        <f t="shared" ref="F4709" si="4701">A4709</f>
        <v>GCAGTT</v>
      </c>
    </row>
    <row r="4710" spans="1:6" x14ac:dyDescent="0.3">
      <c r="A4710" t="s">
        <v>6455</v>
      </c>
      <c r="F4710" t="str">
        <f t="shared" ref="F4710" si="4702">LEFT(A4710, LEN(A4710) - 1)</f>
        <v>&gt;2353:GCATAA:24.00:33.33:OK:6:1800.25</v>
      </c>
    </row>
    <row r="4711" spans="1:6" x14ac:dyDescent="0.3">
      <c r="A4711" t="s">
        <v>2359</v>
      </c>
      <c r="F4711" t="str">
        <f t="shared" ref="F4711" si="4703">A4711</f>
        <v>GCATAA</v>
      </c>
    </row>
    <row r="4712" spans="1:6" x14ac:dyDescent="0.3">
      <c r="A4712" t="s">
        <v>6456</v>
      </c>
      <c r="F4712" t="str">
        <f t="shared" ref="F4712" si="4704">LEFT(A4712, LEN(A4712) - 1)</f>
        <v>&gt;2354:GCATAC:22.00:50.00:OK:6:1776.22</v>
      </c>
    </row>
    <row r="4713" spans="1:6" x14ac:dyDescent="0.3">
      <c r="A4713" t="s">
        <v>2360</v>
      </c>
      <c r="F4713" t="str">
        <f t="shared" ref="F4713" si="4705">A4713</f>
        <v>GCATAC</v>
      </c>
    </row>
    <row r="4714" spans="1:6" x14ac:dyDescent="0.3">
      <c r="A4714" t="s">
        <v>6457</v>
      </c>
      <c r="F4714" t="str">
        <f t="shared" ref="F4714" si="4706">LEFT(A4714, LEN(A4714) - 1)</f>
        <v>&gt;2355:GCATAG:22.00:50.00:OK:6:1816.25</v>
      </c>
    </row>
    <row r="4715" spans="1:6" x14ac:dyDescent="0.3">
      <c r="A4715" t="s">
        <v>2361</v>
      </c>
      <c r="F4715" t="str">
        <f t="shared" ref="F4715" si="4707">A4715</f>
        <v>GCATAG</v>
      </c>
    </row>
    <row r="4716" spans="1:6" x14ac:dyDescent="0.3">
      <c r="A4716" t="s">
        <v>6458</v>
      </c>
      <c r="F4716" t="str">
        <f t="shared" ref="F4716" si="4708">LEFT(A4716, LEN(A4716) - 1)</f>
        <v>&gt;2356:GCATAT:16.00:33.33:OK:6:1791.23</v>
      </c>
    </row>
    <row r="4717" spans="1:6" x14ac:dyDescent="0.3">
      <c r="A4717" t="s">
        <v>2362</v>
      </c>
      <c r="F4717" t="str">
        <f t="shared" ref="F4717" si="4709">A4717</f>
        <v>GCATAT</v>
      </c>
    </row>
    <row r="4718" spans="1:6" x14ac:dyDescent="0.3">
      <c r="A4718" t="s">
        <v>6459</v>
      </c>
      <c r="F4718" t="str">
        <f t="shared" ref="F4718" si="4710">LEFT(A4718, LEN(A4718) - 1)</f>
        <v>&gt;2357:GCATCA:22.00:50.00:OK:6:1776.22</v>
      </c>
    </row>
    <row r="4719" spans="1:6" x14ac:dyDescent="0.3">
      <c r="A4719" t="s">
        <v>2363</v>
      </c>
      <c r="F4719" t="str">
        <f t="shared" ref="F4719" si="4711">A4719</f>
        <v>GCATCA</v>
      </c>
    </row>
    <row r="4720" spans="1:6" x14ac:dyDescent="0.3">
      <c r="A4720" t="s">
        <v>6460</v>
      </c>
      <c r="F4720" t="str">
        <f t="shared" ref="F4720" si="4712">LEFT(A4720, LEN(A4720) - 1)</f>
        <v>&gt;2358:GCATCC:20.00:66.67:Warning:6:1752.19</v>
      </c>
    </row>
    <row r="4721" spans="1:6" x14ac:dyDescent="0.3">
      <c r="A4721" t="s">
        <v>2364</v>
      </c>
      <c r="F4721" t="str">
        <f t="shared" ref="F4721" si="4713">A4721</f>
        <v>GCATCC</v>
      </c>
    </row>
    <row r="4722" spans="1:6" x14ac:dyDescent="0.3">
      <c r="A4722" t="s">
        <v>6461</v>
      </c>
      <c r="F4722" t="str">
        <f t="shared" ref="F4722" si="4714">LEFT(A4722, LEN(A4722) - 1)</f>
        <v>&gt;2359:GCATCG:20.00:66.67:Warning:6:1792.22</v>
      </c>
    </row>
    <row r="4723" spans="1:6" x14ac:dyDescent="0.3">
      <c r="A4723" t="s">
        <v>2365</v>
      </c>
      <c r="F4723" t="str">
        <f t="shared" ref="F4723" si="4715">A4723</f>
        <v>GCATCG</v>
      </c>
    </row>
    <row r="4724" spans="1:6" x14ac:dyDescent="0.3">
      <c r="A4724" t="s">
        <v>6462</v>
      </c>
      <c r="F4724" t="str">
        <f t="shared" ref="F4724" si="4716">LEFT(A4724, LEN(A4724) - 1)</f>
        <v>&gt;2360:GCATCT:14.00:50.00:OK:6:1767.20</v>
      </c>
    </row>
    <row r="4725" spans="1:6" x14ac:dyDescent="0.3">
      <c r="A4725" t="s">
        <v>2366</v>
      </c>
      <c r="F4725" t="str">
        <f t="shared" ref="F4725" si="4717">A4725</f>
        <v>GCATCT</v>
      </c>
    </row>
    <row r="4726" spans="1:6" x14ac:dyDescent="0.3">
      <c r="A4726" t="s">
        <v>6463</v>
      </c>
      <c r="F4726" t="str">
        <f t="shared" ref="F4726" si="4718">LEFT(A4726, LEN(A4726) - 1)</f>
        <v>&gt;2361:GCATGA:22.00:50.00:OK:6:1816.25</v>
      </c>
    </row>
    <row r="4727" spans="1:6" x14ac:dyDescent="0.3">
      <c r="A4727" t="s">
        <v>2367</v>
      </c>
      <c r="F4727" t="str">
        <f t="shared" ref="F4727" si="4719">A4727</f>
        <v>GCATGA</v>
      </c>
    </row>
    <row r="4728" spans="1:6" x14ac:dyDescent="0.3">
      <c r="A4728" t="s">
        <v>6464</v>
      </c>
      <c r="F4728" t="str">
        <f t="shared" ref="F4728" si="4720">LEFT(A4728, LEN(A4728) - 1)</f>
        <v>&gt;2362:GCATGC:20.00:66.67:Warning:6:1792.22</v>
      </c>
    </row>
    <row r="4729" spans="1:6" x14ac:dyDescent="0.3">
      <c r="A4729" t="s">
        <v>2368</v>
      </c>
      <c r="F4729" t="str">
        <f t="shared" ref="F4729" si="4721">A4729</f>
        <v>GCATGC</v>
      </c>
    </row>
    <row r="4730" spans="1:6" x14ac:dyDescent="0.3">
      <c r="A4730" t="s">
        <v>6465</v>
      </c>
      <c r="F4730" t="str">
        <f t="shared" ref="F4730" si="4722">LEFT(A4730, LEN(A4730) - 1)</f>
        <v>&gt;2363:GCATGG:20.00:66.67:Warning:6:1832.25</v>
      </c>
    </row>
    <row r="4731" spans="1:6" x14ac:dyDescent="0.3">
      <c r="A4731" t="s">
        <v>2369</v>
      </c>
      <c r="F4731" t="str">
        <f t="shared" ref="F4731" si="4723">A4731</f>
        <v>GCATGG</v>
      </c>
    </row>
    <row r="4732" spans="1:6" x14ac:dyDescent="0.3">
      <c r="A4732" t="s">
        <v>6466</v>
      </c>
      <c r="F4732" t="str">
        <f t="shared" ref="F4732" si="4724">LEFT(A4732, LEN(A4732) - 1)</f>
        <v>&gt;2364:GCATGT:14.00:50.00:OK:6:1807.23</v>
      </c>
    </row>
    <row r="4733" spans="1:6" x14ac:dyDescent="0.3">
      <c r="A4733" t="s">
        <v>2370</v>
      </c>
      <c r="F4733" t="str">
        <f t="shared" ref="F4733" si="4725">A4733</f>
        <v>GCATGT</v>
      </c>
    </row>
    <row r="4734" spans="1:6" x14ac:dyDescent="0.3">
      <c r="A4734" t="s">
        <v>6467</v>
      </c>
      <c r="F4734" t="str">
        <f t="shared" ref="F4734" si="4726">LEFT(A4734, LEN(A4734) - 1)</f>
        <v>&gt;2365:GCATTA:16.00:33.33:OK:6:1791.23</v>
      </c>
    </row>
    <row r="4735" spans="1:6" x14ac:dyDescent="0.3">
      <c r="A4735" t="s">
        <v>2371</v>
      </c>
      <c r="F4735" t="str">
        <f t="shared" ref="F4735" si="4727">A4735</f>
        <v>GCATTA</v>
      </c>
    </row>
    <row r="4736" spans="1:6" x14ac:dyDescent="0.3">
      <c r="A4736" t="s">
        <v>6468</v>
      </c>
      <c r="F4736" t="str">
        <f t="shared" ref="F4736" si="4728">LEFT(A4736, LEN(A4736) - 1)</f>
        <v>&gt;2366:GCATTC:14.00:50.00:OK:6:1767.20</v>
      </c>
    </row>
    <row r="4737" spans="1:6" x14ac:dyDescent="0.3">
      <c r="A4737" t="s">
        <v>2372</v>
      </c>
      <c r="F4737" t="str">
        <f t="shared" ref="F4737" si="4729">A4737</f>
        <v>GCATTC</v>
      </c>
    </row>
    <row r="4738" spans="1:6" x14ac:dyDescent="0.3">
      <c r="A4738" t="s">
        <v>6469</v>
      </c>
      <c r="F4738" t="str">
        <f t="shared" ref="F4738" si="4730">LEFT(A4738, LEN(A4738) - 1)</f>
        <v>&gt;2367:GCATTG:14.00:50.00:OK:6:1807.23</v>
      </c>
    </row>
    <row r="4739" spans="1:6" x14ac:dyDescent="0.3">
      <c r="A4739" t="s">
        <v>2373</v>
      </c>
      <c r="F4739" t="str">
        <f t="shared" ref="F4739" si="4731">A4739</f>
        <v>GCATTG</v>
      </c>
    </row>
    <row r="4740" spans="1:6" x14ac:dyDescent="0.3">
      <c r="A4740" t="s">
        <v>6470</v>
      </c>
      <c r="F4740" t="str">
        <f t="shared" ref="F4740" si="4732">LEFT(A4740, LEN(A4740) - 1)</f>
        <v>&gt;2368:GCATTT:8.00:33.33:OK:6:1782.21</v>
      </c>
    </row>
    <row r="4741" spans="1:6" x14ac:dyDescent="0.3">
      <c r="A4741" t="s">
        <v>2374</v>
      </c>
      <c r="F4741" t="str">
        <f t="shared" ref="F4741" si="4733">A4741</f>
        <v>GCATTT</v>
      </c>
    </row>
    <row r="4742" spans="1:6" x14ac:dyDescent="0.3">
      <c r="A4742" t="s">
        <v>6471</v>
      </c>
      <c r="F4742" t="str">
        <f t="shared" ref="F4742" si="4734">LEFT(A4742, LEN(A4742) - 1)</f>
        <v>&gt;2369:GCCAAA:30.00:50.00:OK:6:1785.24</v>
      </c>
    </row>
    <row r="4743" spans="1:6" x14ac:dyDescent="0.3">
      <c r="A4743" t="s">
        <v>2375</v>
      </c>
      <c r="F4743" t="str">
        <f t="shared" ref="F4743" si="4735">A4743</f>
        <v>GCCAAA</v>
      </c>
    </row>
    <row r="4744" spans="1:6" x14ac:dyDescent="0.3">
      <c r="A4744" t="s">
        <v>6472</v>
      </c>
      <c r="F4744" t="str">
        <f t="shared" ref="F4744" si="4736">LEFT(A4744, LEN(A4744) - 1)</f>
        <v>&gt;2370:GCCAAC:28.00:66.67:Warning:6:1761.21</v>
      </c>
    </row>
    <row r="4745" spans="1:6" x14ac:dyDescent="0.3">
      <c r="A4745" t="s">
        <v>2376</v>
      </c>
      <c r="F4745" t="str">
        <f t="shared" ref="F4745" si="4737">A4745</f>
        <v>GCCAAC</v>
      </c>
    </row>
    <row r="4746" spans="1:6" x14ac:dyDescent="0.3">
      <c r="A4746" t="s">
        <v>6473</v>
      </c>
      <c r="F4746" t="str">
        <f t="shared" ref="F4746" si="4738">LEFT(A4746, LEN(A4746) - 1)</f>
        <v>&gt;2371:GCCAAG:28.00:66.67:Warning:6:1801.24</v>
      </c>
    </row>
    <row r="4747" spans="1:6" x14ac:dyDescent="0.3">
      <c r="A4747" t="s">
        <v>2377</v>
      </c>
      <c r="F4747" t="str">
        <f t="shared" ref="F4747" si="4739">A4747</f>
        <v>GCCAAG</v>
      </c>
    </row>
    <row r="4748" spans="1:6" x14ac:dyDescent="0.3">
      <c r="A4748" t="s">
        <v>6474</v>
      </c>
      <c r="F4748" t="str">
        <f t="shared" ref="F4748" si="4740">LEFT(A4748, LEN(A4748) - 1)</f>
        <v>&gt;2372:GCCAAT:22.00:50.00:OK:6:1776.22</v>
      </c>
    </row>
    <row r="4749" spans="1:6" x14ac:dyDescent="0.3">
      <c r="A4749" t="s">
        <v>2378</v>
      </c>
      <c r="F4749" t="str">
        <f t="shared" ref="F4749" si="4741">A4749</f>
        <v>GCCAAT</v>
      </c>
    </row>
    <row r="4750" spans="1:6" x14ac:dyDescent="0.3">
      <c r="A4750" t="s">
        <v>6475</v>
      </c>
      <c r="F4750" t="str">
        <f t="shared" ref="F4750" si="4742">LEFT(A4750, LEN(A4750) - 1)</f>
        <v>&gt;2373:GCCACA:28.00:66.67:Warning:6:1761.21</v>
      </c>
    </row>
    <row r="4751" spans="1:6" x14ac:dyDescent="0.3">
      <c r="A4751" t="s">
        <v>2379</v>
      </c>
      <c r="F4751" t="str">
        <f t="shared" ref="F4751" si="4743">A4751</f>
        <v>GCCACA</v>
      </c>
    </row>
    <row r="4752" spans="1:6" x14ac:dyDescent="0.3">
      <c r="A4752" t="s">
        <v>6476</v>
      </c>
      <c r="F4752" t="str">
        <f t="shared" ref="F4752" si="4744">LEFT(A4752, LEN(A4752) - 1)</f>
        <v>&gt;2374:GCCACC:26.00:83.33:Warning:6:1737.18</v>
      </c>
    </row>
    <row r="4753" spans="1:6" x14ac:dyDescent="0.3">
      <c r="A4753" t="s">
        <v>2380</v>
      </c>
      <c r="F4753" t="str">
        <f t="shared" ref="F4753" si="4745">A4753</f>
        <v>GCCACC</v>
      </c>
    </row>
    <row r="4754" spans="1:6" x14ac:dyDescent="0.3">
      <c r="A4754" t="s">
        <v>6477</v>
      </c>
      <c r="F4754" t="str">
        <f t="shared" ref="F4754" si="4746">LEFT(A4754, LEN(A4754) - 1)</f>
        <v>&gt;2375:GCCACG:26.00:83.33:Warning:6:1777.21</v>
      </c>
    </row>
    <row r="4755" spans="1:6" x14ac:dyDescent="0.3">
      <c r="A4755" t="s">
        <v>2381</v>
      </c>
      <c r="F4755" t="str">
        <f t="shared" ref="F4755" si="4747">A4755</f>
        <v>GCCACG</v>
      </c>
    </row>
    <row r="4756" spans="1:6" x14ac:dyDescent="0.3">
      <c r="A4756" t="s">
        <v>6478</v>
      </c>
      <c r="F4756" t="str">
        <f t="shared" ref="F4756" si="4748">LEFT(A4756, LEN(A4756) - 1)</f>
        <v>&gt;2376:GCCACT:20.00:66.67:Warning:6:1752.19</v>
      </c>
    </row>
    <row r="4757" spans="1:6" x14ac:dyDescent="0.3">
      <c r="A4757" t="s">
        <v>2382</v>
      </c>
      <c r="F4757" t="str">
        <f t="shared" ref="F4757" si="4749">A4757</f>
        <v>GCCACT</v>
      </c>
    </row>
    <row r="4758" spans="1:6" x14ac:dyDescent="0.3">
      <c r="A4758" t="s">
        <v>6479</v>
      </c>
      <c r="F4758" t="str">
        <f t="shared" ref="F4758" si="4750">LEFT(A4758, LEN(A4758) - 1)</f>
        <v>&gt;2377:GCCAGA:28.00:66.67:Warning:6:1801.24</v>
      </c>
    </row>
    <row r="4759" spans="1:6" x14ac:dyDescent="0.3">
      <c r="A4759" t="s">
        <v>2383</v>
      </c>
      <c r="F4759" t="str">
        <f t="shared" ref="F4759" si="4751">A4759</f>
        <v>GCCAGA</v>
      </c>
    </row>
    <row r="4760" spans="1:6" x14ac:dyDescent="0.3">
      <c r="A4760" t="s">
        <v>6480</v>
      </c>
      <c r="F4760" t="str">
        <f t="shared" ref="F4760" si="4752">LEFT(A4760, LEN(A4760) - 1)</f>
        <v>&gt;2378:GCCAGC:26.00:83.33:Warning:6:1777.21</v>
      </c>
    </row>
    <row r="4761" spans="1:6" x14ac:dyDescent="0.3">
      <c r="A4761" t="s">
        <v>2384</v>
      </c>
      <c r="F4761" t="str">
        <f t="shared" ref="F4761" si="4753">A4761</f>
        <v>GCCAGC</v>
      </c>
    </row>
    <row r="4762" spans="1:6" x14ac:dyDescent="0.3">
      <c r="A4762" t="s">
        <v>6481</v>
      </c>
      <c r="F4762" t="str">
        <f t="shared" ref="F4762" si="4754">LEFT(A4762, LEN(A4762) - 1)</f>
        <v>&gt;2379:GCCAGG:26.00:83.33:Warning:6:1817.24</v>
      </c>
    </row>
    <row r="4763" spans="1:6" x14ac:dyDescent="0.3">
      <c r="A4763" t="s">
        <v>2385</v>
      </c>
      <c r="F4763" t="str">
        <f t="shared" ref="F4763" si="4755">A4763</f>
        <v>GCCAGG</v>
      </c>
    </row>
    <row r="4764" spans="1:6" x14ac:dyDescent="0.3">
      <c r="A4764" t="s">
        <v>6482</v>
      </c>
      <c r="F4764" t="str">
        <f t="shared" ref="F4764" si="4756">LEFT(A4764, LEN(A4764) - 1)</f>
        <v>&gt;2380:GCCAGT:20.00:66.67:Warning:6:1792.22</v>
      </c>
    </row>
    <row r="4765" spans="1:6" x14ac:dyDescent="0.3">
      <c r="A4765" t="s">
        <v>2386</v>
      </c>
      <c r="F4765" t="str">
        <f t="shared" ref="F4765" si="4757">A4765</f>
        <v>GCCAGT</v>
      </c>
    </row>
    <row r="4766" spans="1:6" x14ac:dyDescent="0.3">
      <c r="A4766" t="s">
        <v>6483</v>
      </c>
      <c r="F4766" t="str">
        <f t="shared" ref="F4766" si="4758">LEFT(A4766, LEN(A4766) - 1)</f>
        <v>&gt;2381:GCCATA:22.00:50.00:OK:6:1776.22</v>
      </c>
    </row>
    <row r="4767" spans="1:6" x14ac:dyDescent="0.3">
      <c r="A4767" t="s">
        <v>2387</v>
      </c>
      <c r="F4767" t="str">
        <f t="shared" ref="F4767" si="4759">A4767</f>
        <v>GCCATA</v>
      </c>
    </row>
    <row r="4768" spans="1:6" x14ac:dyDescent="0.3">
      <c r="A4768" t="s">
        <v>6484</v>
      </c>
      <c r="F4768" t="str">
        <f t="shared" ref="F4768" si="4760">LEFT(A4768, LEN(A4768) - 1)</f>
        <v>&gt;2382:GCCATC:20.00:66.67:Warning:6:1752.19</v>
      </c>
    </row>
    <row r="4769" spans="1:6" x14ac:dyDescent="0.3">
      <c r="A4769" t="s">
        <v>2388</v>
      </c>
      <c r="F4769" t="str">
        <f t="shared" ref="F4769" si="4761">A4769</f>
        <v>GCCATC</v>
      </c>
    </row>
    <row r="4770" spans="1:6" x14ac:dyDescent="0.3">
      <c r="A4770" t="s">
        <v>6485</v>
      </c>
      <c r="F4770" t="str">
        <f t="shared" ref="F4770" si="4762">LEFT(A4770, LEN(A4770) - 1)</f>
        <v>&gt;2383:GCCATG:20.00:66.67:Warning:6:1792.22</v>
      </c>
    </row>
    <row r="4771" spans="1:6" x14ac:dyDescent="0.3">
      <c r="A4771" t="s">
        <v>2389</v>
      </c>
      <c r="F4771" t="str">
        <f t="shared" ref="F4771" si="4763">A4771</f>
        <v>GCCATG</v>
      </c>
    </row>
    <row r="4772" spans="1:6" x14ac:dyDescent="0.3">
      <c r="A4772" t="s">
        <v>6486</v>
      </c>
      <c r="F4772" t="str">
        <f t="shared" ref="F4772" si="4764">LEFT(A4772, LEN(A4772) - 1)</f>
        <v>&gt;2384:GCCATT:14.00:50.00:OK:6:1767.20</v>
      </c>
    </row>
    <row r="4773" spans="1:6" x14ac:dyDescent="0.3">
      <c r="A4773" t="s">
        <v>2390</v>
      </c>
      <c r="F4773" t="str">
        <f t="shared" ref="F4773" si="4765">A4773</f>
        <v>GCCATT</v>
      </c>
    </row>
    <row r="4774" spans="1:6" x14ac:dyDescent="0.3">
      <c r="A4774" t="s">
        <v>6487</v>
      </c>
      <c r="F4774" t="str">
        <f t="shared" ref="F4774" si="4766">LEFT(A4774, LEN(A4774) - 1)</f>
        <v>&gt;2385:GCCCAA:28.00:66.67:Warning:6:1761.21</v>
      </c>
    </row>
    <row r="4775" spans="1:6" x14ac:dyDescent="0.3">
      <c r="A4775" t="s">
        <v>2391</v>
      </c>
      <c r="F4775" t="str">
        <f t="shared" ref="F4775" si="4767">A4775</f>
        <v>GCCCAA</v>
      </c>
    </row>
    <row r="4776" spans="1:6" x14ac:dyDescent="0.3">
      <c r="A4776" t="s">
        <v>6488</v>
      </c>
      <c r="F4776" t="str">
        <f t="shared" ref="F4776" si="4768">LEFT(A4776, LEN(A4776) - 1)</f>
        <v>&gt;2386:GCCCAC:26.00:83.33:Warning:6:1737.18</v>
      </c>
    </row>
    <row r="4777" spans="1:6" x14ac:dyDescent="0.3">
      <c r="A4777" t="s">
        <v>2392</v>
      </c>
      <c r="F4777" t="str">
        <f t="shared" ref="F4777" si="4769">A4777</f>
        <v>GCCCAC</v>
      </c>
    </row>
    <row r="4778" spans="1:6" x14ac:dyDescent="0.3">
      <c r="A4778" t="s">
        <v>6489</v>
      </c>
      <c r="F4778" t="str">
        <f t="shared" ref="F4778" si="4770">LEFT(A4778, LEN(A4778) - 1)</f>
        <v>&gt;2387:GCCCAG:26.00:83.33:Warning:6:1777.21</v>
      </c>
    </row>
    <row r="4779" spans="1:6" x14ac:dyDescent="0.3">
      <c r="A4779" t="s">
        <v>2393</v>
      </c>
      <c r="F4779" t="str">
        <f t="shared" ref="F4779" si="4771">A4779</f>
        <v>GCCCAG</v>
      </c>
    </row>
    <row r="4780" spans="1:6" x14ac:dyDescent="0.3">
      <c r="A4780" t="s">
        <v>6490</v>
      </c>
      <c r="F4780" t="str">
        <f t="shared" ref="F4780" si="4772">LEFT(A4780, LEN(A4780) - 1)</f>
        <v>&gt;2388:GCCCAT:20.00:66.67:Warning:6:1752.19</v>
      </c>
    </row>
    <row r="4781" spans="1:6" x14ac:dyDescent="0.3">
      <c r="A4781" t="s">
        <v>2394</v>
      </c>
      <c r="F4781" t="str">
        <f t="shared" ref="F4781" si="4773">A4781</f>
        <v>GCCCAT</v>
      </c>
    </row>
    <row r="4782" spans="1:6" x14ac:dyDescent="0.3">
      <c r="A4782" t="s">
        <v>6491</v>
      </c>
      <c r="F4782" t="str">
        <f t="shared" ref="F4782" si="4774">LEFT(A4782, LEN(A4782) - 1)</f>
        <v>&gt;2389:GCCCCA:26.00:83.33:Warning:6:1737.18</v>
      </c>
    </row>
    <row r="4783" spans="1:6" x14ac:dyDescent="0.3">
      <c r="A4783" t="s">
        <v>2395</v>
      </c>
      <c r="F4783" t="str">
        <f t="shared" ref="F4783" si="4775">A4783</f>
        <v>GCCCCA</v>
      </c>
    </row>
    <row r="4784" spans="1:6" x14ac:dyDescent="0.3">
      <c r="A4784" t="s">
        <v>6492</v>
      </c>
      <c r="F4784" t="str">
        <f t="shared" ref="F4784" si="4776">LEFT(A4784, LEN(A4784) - 1)</f>
        <v>&gt;2390:GCCCCC:24.00:100.00:Warning:6:1713.15</v>
      </c>
    </row>
    <row r="4785" spans="1:6" x14ac:dyDescent="0.3">
      <c r="A4785" t="s">
        <v>2396</v>
      </c>
      <c r="F4785" t="str">
        <f t="shared" ref="F4785" si="4777">A4785</f>
        <v>GCCCCC</v>
      </c>
    </row>
    <row r="4786" spans="1:6" x14ac:dyDescent="0.3">
      <c r="A4786" t="s">
        <v>6493</v>
      </c>
      <c r="F4786" t="str">
        <f t="shared" ref="F4786" si="4778">LEFT(A4786, LEN(A4786) - 1)</f>
        <v>&gt;2391:GCCCCG:24.00:100.00:Warning:6:1753.18</v>
      </c>
    </row>
    <row r="4787" spans="1:6" x14ac:dyDescent="0.3">
      <c r="A4787" t="s">
        <v>2397</v>
      </c>
      <c r="F4787" t="str">
        <f t="shared" ref="F4787" si="4779">A4787</f>
        <v>GCCCCG</v>
      </c>
    </row>
    <row r="4788" spans="1:6" x14ac:dyDescent="0.3">
      <c r="A4788" t="s">
        <v>6494</v>
      </c>
      <c r="F4788" t="str">
        <f t="shared" ref="F4788" si="4780">LEFT(A4788, LEN(A4788) - 1)</f>
        <v>&gt;2392:GCCCCT:18.00:83.33:Warning:6:1728.16</v>
      </c>
    </row>
    <row r="4789" spans="1:6" x14ac:dyDescent="0.3">
      <c r="A4789" t="s">
        <v>2398</v>
      </c>
      <c r="F4789" t="str">
        <f t="shared" ref="F4789" si="4781">A4789</f>
        <v>GCCCCT</v>
      </c>
    </row>
    <row r="4790" spans="1:6" x14ac:dyDescent="0.3">
      <c r="A4790" t="s">
        <v>6495</v>
      </c>
      <c r="F4790" t="str">
        <f t="shared" ref="F4790" si="4782">LEFT(A4790, LEN(A4790) - 1)</f>
        <v>&gt;2393:GCCCGA:26.00:83.33:Warning:6:1777.21</v>
      </c>
    </row>
    <row r="4791" spans="1:6" x14ac:dyDescent="0.3">
      <c r="A4791" t="s">
        <v>2399</v>
      </c>
      <c r="F4791" t="str">
        <f t="shared" ref="F4791" si="4783">A4791</f>
        <v>GCCCGA</v>
      </c>
    </row>
    <row r="4792" spans="1:6" x14ac:dyDescent="0.3">
      <c r="A4792" t="s">
        <v>6496</v>
      </c>
      <c r="F4792" t="str">
        <f t="shared" ref="F4792" si="4784">LEFT(A4792, LEN(A4792) - 1)</f>
        <v>&gt;2394:GCCCGC:24.00:100.00:Warning:6:1753.18</v>
      </c>
    </row>
    <row r="4793" spans="1:6" x14ac:dyDescent="0.3">
      <c r="A4793" t="s">
        <v>2400</v>
      </c>
      <c r="F4793" t="str">
        <f t="shared" ref="F4793" si="4785">A4793</f>
        <v>GCCCGC</v>
      </c>
    </row>
    <row r="4794" spans="1:6" x14ac:dyDescent="0.3">
      <c r="A4794" t="s">
        <v>6497</v>
      </c>
      <c r="F4794" t="str">
        <f t="shared" ref="F4794" si="4786">LEFT(A4794, LEN(A4794) - 1)</f>
        <v>&gt;2395:GCCCGG:24.00:100.00:Warning:6:1793.21</v>
      </c>
    </row>
    <row r="4795" spans="1:6" x14ac:dyDescent="0.3">
      <c r="A4795" t="s">
        <v>2401</v>
      </c>
      <c r="F4795" t="str">
        <f t="shared" ref="F4795" si="4787">A4795</f>
        <v>GCCCGG</v>
      </c>
    </row>
    <row r="4796" spans="1:6" x14ac:dyDescent="0.3">
      <c r="A4796" t="s">
        <v>6498</v>
      </c>
      <c r="F4796" t="str">
        <f t="shared" ref="F4796" si="4788">LEFT(A4796, LEN(A4796) - 1)</f>
        <v>&gt;2396:GCCCGT:18.00:83.33:Warning:6:1768.19</v>
      </c>
    </row>
    <row r="4797" spans="1:6" x14ac:dyDescent="0.3">
      <c r="A4797" t="s">
        <v>2402</v>
      </c>
      <c r="F4797" t="str">
        <f t="shared" ref="F4797" si="4789">A4797</f>
        <v>GCCCGT</v>
      </c>
    </row>
    <row r="4798" spans="1:6" x14ac:dyDescent="0.3">
      <c r="A4798" t="s">
        <v>6499</v>
      </c>
      <c r="F4798" t="str">
        <f t="shared" ref="F4798" si="4790">LEFT(A4798, LEN(A4798) - 1)</f>
        <v>&gt;2397:GCCCTA:20.00:66.67:Warning:6:1752.19</v>
      </c>
    </row>
    <row r="4799" spans="1:6" x14ac:dyDescent="0.3">
      <c r="A4799" t="s">
        <v>2403</v>
      </c>
      <c r="F4799" t="str">
        <f t="shared" ref="F4799" si="4791">A4799</f>
        <v>GCCCTA</v>
      </c>
    </row>
    <row r="4800" spans="1:6" x14ac:dyDescent="0.3">
      <c r="A4800" t="s">
        <v>6500</v>
      </c>
      <c r="F4800" t="str">
        <f t="shared" ref="F4800" si="4792">LEFT(A4800, LEN(A4800) - 1)</f>
        <v>&gt;2398:GCCCTC:18.00:83.33:Warning:6:1728.16</v>
      </c>
    </row>
    <row r="4801" spans="1:6" x14ac:dyDescent="0.3">
      <c r="A4801" t="s">
        <v>2404</v>
      </c>
      <c r="F4801" t="str">
        <f t="shared" ref="F4801" si="4793">A4801</f>
        <v>GCCCTC</v>
      </c>
    </row>
    <row r="4802" spans="1:6" x14ac:dyDescent="0.3">
      <c r="A4802" t="s">
        <v>6501</v>
      </c>
      <c r="F4802" t="str">
        <f t="shared" ref="F4802" si="4794">LEFT(A4802, LEN(A4802) - 1)</f>
        <v>&gt;2399:GCCCTG:18.00:83.33:Warning:6:1768.19</v>
      </c>
    </row>
    <row r="4803" spans="1:6" x14ac:dyDescent="0.3">
      <c r="A4803" t="s">
        <v>2405</v>
      </c>
      <c r="F4803" t="str">
        <f t="shared" ref="F4803" si="4795">A4803</f>
        <v>GCCCTG</v>
      </c>
    </row>
    <row r="4804" spans="1:6" x14ac:dyDescent="0.3">
      <c r="A4804" t="s">
        <v>6502</v>
      </c>
      <c r="F4804" t="str">
        <f t="shared" ref="F4804" si="4796">LEFT(A4804, LEN(A4804) - 1)</f>
        <v>&gt;2400:GCCCTT:12.00:66.67:Warning:6:1743.17</v>
      </c>
    </row>
    <row r="4805" spans="1:6" x14ac:dyDescent="0.3">
      <c r="A4805" t="s">
        <v>2406</v>
      </c>
      <c r="F4805" t="str">
        <f t="shared" ref="F4805" si="4797">A4805</f>
        <v>GCCCTT</v>
      </c>
    </row>
    <row r="4806" spans="1:6" x14ac:dyDescent="0.3">
      <c r="A4806" t="s">
        <v>6503</v>
      </c>
      <c r="F4806" t="str">
        <f t="shared" ref="F4806" si="4798">LEFT(A4806, LEN(A4806) - 1)</f>
        <v>&gt;2401:GCCGAA:28.00:66.67:Warning:6:1801.24</v>
      </c>
    </row>
    <row r="4807" spans="1:6" x14ac:dyDescent="0.3">
      <c r="A4807" t="s">
        <v>2407</v>
      </c>
      <c r="F4807" t="str">
        <f t="shared" ref="F4807" si="4799">A4807</f>
        <v>GCCGAA</v>
      </c>
    </row>
    <row r="4808" spans="1:6" x14ac:dyDescent="0.3">
      <c r="A4808" t="s">
        <v>6504</v>
      </c>
      <c r="F4808" t="str">
        <f t="shared" ref="F4808" si="4800">LEFT(A4808, LEN(A4808) - 1)</f>
        <v>&gt;2402:GCCGAC:26.00:83.33:Warning:6:1777.21</v>
      </c>
    </row>
    <row r="4809" spans="1:6" x14ac:dyDescent="0.3">
      <c r="A4809" t="s">
        <v>2408</v>
      </c>
      <c r="F4809" t="str">
        <f t="shared" ref="F4809" si="4801">A4809</f>
        <v>GCCGAC</v>
      </c>
    </row>
    <row r="4810" spans="1:6" x14ac:dyDescent="0.3">
      <c r="A4810" t="s">
        <v>6505</v>
      </c>
      <c r="F4810" t="str">
        <f t="shared" ref="F4810" si="4802">LEFT(A4810, LEN(A4810) - 1)</f>
        <v>&gt;2403:GCCGAG:26.00:83.33:Warning:6:1817.24</v>
      </c>
    </row>
    <row r="4811" spans="1:6" x14ac:dyDescent="0.3">
      <c r="A4811" t="s">
        <v>2409</v>
      </c>
      <c r="F4811" t="str">
        <f t="shared" ref="F4811" si="4803">A4811</f>
        <v>GCCGAG</v>
      </c>
    </row>
    <row r="4812" spans="1:6" x14ac:dyDescent="0.3">
      <c r="A4812" t="s">
        <v>6506</v>
      </c>
      <c r="F4812" t="str">
        <f t="shared" ref="F4812" si="4804">LEFT(A4812, LEN(A4812) - 1)</f>
        <v>&gt;2404:GCCGAT:20.00:66.67:Warning:6:1792.22</v>
      </c>
    </row>
    <row r="4813" spans="1:6" x14ac:dyDescent="0.3">
      <c r="A4813" t="s">
        <v>2410</v>
      </c>
      <c r="F4813" t="str">
        <f t="shared" ref="F4813" si="4805">A4813</f>
        <v>GCCGAT</v>
      </c>
    </row>
    <row r="4814" spans="1:6" x14ac:dyDescent="0.3">
      <c r="A4814" t="s">
        <v>6507</v>
      </c>
      <c r="F4814" t="str">
        <f t="shared" ref="F4814" si="4806">LEFT(A4814, LEN(A4814) - 1)</f>
        <v>&gt;2405:GCCGCA:26.00:83.33:Warning:6:1777.21</v>
      </c>
    </row>
    <row r="4815" spans="1:6" x14ac:dyDescent="0.3">
      <c r="A4815" t="s">
        <v>2411</v>
      </c>
      <c r="F4815" t="str">
        <f t="shared" ref="F4815" si="4807">A4815</f>
        <v>GCCGCA</v>
      </c>
    </row>
    <row r="4816" spans="1:6" x14ac:dyDescent="0.3">
      <c r="A4816" t="s">
        <v>6508</v>
      </c>
      <c r="F4816" t="str">
        <f t="shared" ref="F4816" si="4808">LEFT(A4816, LEN(A4816) - 1)</f>
        <v>&gt;2406:GCCGCC:24.00:100.00:Warning:6:1753.18</v>
      </c>
    </row>
    <row r="4817" spans="1:6" x14ac:dyDescent="0.3">
      <c r="A4817" t="s">
        <v>2412</v>
      </c>
      <c r="F4817" t="str">
        <f t="shared" ref="F4817" si="4809">A4817</f>
        <v>GCCGCC</v>
      </c>
    </row>
    <row r="4818" spans="1:6" x14ac:dyDescent="0.3">
      <c r="A4818" t="s">
        <v>6509</v>
      </c>
      <c r="F4818" t="str">
        <f t="shared" ref="F4818" si="4810">LEFT(A4818, LEN(A4818) - 1)</f>
        <v>&gt;2407:GCCGCG:24.00:100.00:Warning:6:1793.21</v>
      </c>
    </row>
    <row r="4819" spans="1:6" x14ac:dyDescent="0.3">
      <c r="A4819" t="s">
        <v>2413</v>
      </c>
      <c r="F4819" t="str">
        <f t="shared" ref="F4819" si="4811">A4819</f>
        <v>GCCGCG</v>
      </c>
    </row>
    <row r="4820" spans="1:6" x14ac:dyDescent="0.3">
      <c r="A4820" t="s">
        <v>6510</v>
      </c>
      <c r="F4820" t="str">
        <f t="shared" ref="F4820" si="4812">LEFT(A4820, LEN(A4820) - 1)</f>
        <v>&gt;2408:GCCGCT:18.00:83.33:Warning:6:1768.19</v>
      </c>
    </row>
    <row r="4821" spans="1:6" x14ac:dyDescent="0.3">
      <c r="A4821" t="s">
        <v>2414</v>
      </c>
      <c r="F4821" t="str">
        <f t="shared" ref="F4821" si="4813">A4821</f>
        <v>GCCGCT</v>
      </c>
    </row>
    <row r="4822" spans="1:6" x14ac:dyDescent="0.3">
      <c r="A4822" t="s">
        <v>6511</v>
      </c>
      <c r="F4822" t="str">
        <f t="shared" ref="F4822" si="4814">LEFT(A4822, LEN(A4822) - 1)</f>
        <v>&gt;2409:GCCGGA:26.00:83.33:Warning:6:1817.24</v>
      </c>
    </row>
    <row r="4823" spans="1:6" x14ac:dyDescent="0.3">
      <c r="A4823" t="s">
        <v>2415</v>
      </c>
      <c r="F4823" t="str">
        <f t="shared" ref="F4823" si="4815">A4823</f>
        <v>GCCGGA</v>
      </c>
    </row>
    <row r="4824" spans="1:6" x14ac:dyDescent="0.3">
      <c r="A4824" t="s">
        <v>6512</v>
      </c>
      <c r="F4824" t="str">
        <f t="shared" ref="F4824" si="4816">LEFT(A4824, LEN(A4824) - 1)</f>
        <v>&gt;2410:GCCGGC:24.00:100.00:Warning:6:1793.21</v>
      </c>
    </row>
    <row r="4825" spans="1:6" x14ac:dyDescent="0.3">
      <c r="A4825" t="s">
        <v>2416</v>
      </c>
      <c r="F4825" t="str">
        <f t="shared" ref="F4825" si="4817">A4825</f>
        <v>GCCGGC</v>
      </c>
    </row>
    <row r="4826" spans="1:6" x14ac:dyDescent="0.3">
      <c r="A4826" t="s">
        <v>6513</v>
      </c>
      <c r="F4826" t="str">
        <f t="shared" ref="F4826" si="4818">LEFT(A4826, LEN(A4826) - 1)</f>
        <v>&gt;2411:GCCGGG:24.00:100.00:Warning:6:1833.24</v>
      </c>
    </row>
    <row r="4827" spans="1:6" x14ac:dyDescent="0.3">
      <c r="A4827" t="s">
        <v>2417</v>
      </c>
      <c r="F4827" t="str">
        <f t="shared" ref="F4827" si="4819">A4827</f>
        <v>GCCGGG</v>
      </c>
    </row>
    <row r="4828" spans="1:6" x14ac:dyDescent="0.3">
      <c r="A4828" t="s">
        <v>6514</v>
      </c>
      <c r="F4828" t="str">
        <f t="shared" ref="F4828" si="4820">LEFT(A4828, LEN(A4828) - 1)</f>
        <v>&gt;2412:GCCGGT:18.00:83.33:Warning:6:1808.22</v>
      </c>
    </row>
    <row r="4829" spans="1:6" x14ac:dyDescent="0.3">
      <c r="A4829" t="s">
        <v>2418</v>
      </c>
      <c r="F4829" t="str">
        <f t="shared" ref="F4829" si="4821">A4829</f>
        <v>GCCGGT</v>
      </c>
    </row>
    <row r="4830" spans="1:6" x14ac:dyDescent="0.3">
      <c r="A4830" t="s">
        <v>6515</v>
      </c>
      <c r="F4830" t="str">
        <f t="shared" ref="F4830" si="4822">LEFT(A4830, LEN(A4830) - 1)</f>
        <v>&gt;2413:GCCGTA:20.00:66.67:Warning:6:1792.22</v>
      </c>
    </row>
    <row r="4831" spans="1:6" x14ac:dyDescent="0.3">
      <c r="A4831" t="s">
        <v>2419</v>
      </c>
      <c r="F4831" t="str">
        <f t="shared" ref="F4831" si="4823">A4831</f>
        <v>GCCGTA</v>
      </c>
    </row>
    <row r="4832" spans="1:6" x14ac:dyDescent="0.3">
      <c r="A4832" t="s">
        <v>6516</v>
      </c>
      <c r="F4832" t="str">
        <f t="shared" ref="F4832" si="4824">LEFT(A4832, LEN(A4832) - 1)</f>
        <v>&gt;2414:GCCGTC:18.00:83.33:Warning:6:1768.19</v>
      </c>
    </row>
    <row r="4833" spans="1:6" x14ac:dyDescent="0.3">
      <c r="A4833" t="s">
        <v>2420</v>
      </c>
      <c r="F4833" t="str">
        <f t="shared" ref="F4833" si="4825">A4833</f>
        <v>GCCGTC</v>
      </c>
    </row>
    <row r="4834" spans="1:6" x14ac:dyDescent="0.3">
      <c r="A4834" t="s">
        <v>6517</v>
      </c>
      <c r="F4834" t="str">
        <f t="shared" ref="F4834" si="4826">LEFT(A4834, LEN(A4834) - 1)</f>
        <v>&gt;2415:GCCGTG:18.00:83.33:Warning:6:1808.22</v>
      </c>
    </row>
    <row r="4835" spans="1:6" x14ac:dyDescent="0.3">
      <c r="A4835" t="s">
        <v>2421</v>
      </c>
      <c r="F4835" t="str">
        <f t="shared" ref="F4835" si="4827">A4835</f>
        <v>GCCGTG</v>
      </c>
    </row>
    <row r="4836" spans="1:6" x14ac:dyDescent="0.3">
      <c r="A4836" t="s">
        <v>6518</v>
      </c>
      <c r="F4836" t="str">
        <f t="shared" ref="F4836" si="4828">LEFT(A4836, LEN(A4836) - 1)</f>
        <v>&gt;2416:GCCGTT:12.00:66.67:Warning:6:1783.20</v>
      </c>
    </row>
    <row r="4837" spans="1:6" x14ac:dyDescent="0.3">
      <c r="A4837" t="s">
        <v>2422</v>
      </c>
      <c r="F4837" t="str">
        <f t="shared" ref="F4837" si="4829">A4837</f>
        <v>GCCGTT</v>
      </c>
    </row>
    <row r="4838" spans="1:6" x14ac:dyDescent="0.3">
      <c r="A4838" t="s">
        <v>6519</v>
      </c>
      <c r="F4838" t="str">
        <f t="shared" ref="F4838" si="4830">LEFT(A4838, LEN(A4838) - 1)</f>
        <v>&gt;2417:GCCTAA:22.00:50.00:OK:6:1776.22</v>
      </c>
    </row>
    <row r="4839" spans="1:6" x14ac:dyDescent="0.3">
      <c r="A4839" t="s">
        <v>2423</v>
      </c>
      <c r="F4839" t="str">
        <f t="shared" ref="F4839" si="4831">A4839</f>
        <v>GCCTAA</v>
      </c>
    </row>
    <row r="4840" spans="1:6" x14ac:dyDescent="0.3">
      <c r="A4840" t="s">
        <v>6520</v>
      </c>
      <c r="F4840" t="str">
        <f t="shared" ref="F4840" si="4832">LEFT(A4840, LEN(A4840) - 1)</f>
        <v>&gt;2418:GCCTAC:20.00:66.67:Warning:6:1752.19</v>
      </c>
    </row>
    <row r="4841" spans="1:6" x14ac:dyDescent="0.3">
      <c r="A4841" t="s">
        <v>2424</v>
      </c>
      <c r="F4841" t="str">
        <f t="shared" ref="F4841" si="4833">A4841</f>
        <v>GCCTAC</v>
      </c>
    </row>
    <row r="4842" spans="1:6" x14ac:dyDescent="0.3">
      <c r="A4842" t="s">
        <v>6521</v>
      </c>
      <c r="F4842" t="str">
        <f t="shared" ref="F4842" si="4834">LEFT(A4842, LEN(A4842) - 1)</f>
        <v>&gt;2419:GCCTAG:20.00:66.67:Warning:6:1792.22</v>
      </c>
    </row>
    <row r="4843" spans="1:6" x14ac:dyDescent="0.3">
      <c r="A4843" t="s">
        <v>2425</v>
      </c>
      <c r="F4843" t="str">
        <f t="shared" ref="F4843" si="4835">A4843</f>
        <v>GCCTAG</v>
      </c>
    </row>
    <row r="4844" spans="1:6" x14ac:dyDescent="0.3">
      <c r="A4844" t="s">
        <v>6522</v>
      </c>
      <c r="F4844" t="str">
        <f t="shared" ref="F4844" si="4836">LEFT(A4844, LEN(A4844) - 1)</f>
        <v>&gt;2420:GCCTAT:14.00:50.00:OK:6:1767.20</v>
      </c>
    </row>
    <row r="4845" spans="1:6" x14ac:dyDescent="0.3">
      <c r="A4845" t="s">
        <v>2426</v>
      </c>
      <c r="F4845" t="str">
        <f t="shared" ref="F4845" si="4837">A4845</f>
        <v>GCCTAT</v>
      </c>
    </row>
    <row r="4846" spans="1:6" x14ac:dyDescent="0.3">
      <c r="A4846" t="s">
        <v>6523</v>
      </c>
      <c r="F4846" t="str">
        <f t="shared" ref="F4846" si="4838">LEFT(A4846, LEN(A4846) - 1)</f>
        <v>&gt;2421:GCCTCA:20.00:66.67:Warning:6:1752.19</v>
      </c>
    </row>
    <row r="4847" spans="1:6" x14ac:dyDescent="0.3">
      <c r="A4847" t="s">
        <v>2427</v>
      </c>
      <c r="F4847" t="str">
        <f t="shared" ref="F4847" si="4839">A4847</f>
        <v>GCCTCA</v>
      </c>
    </row>
    <row r="4848" spans="1:6" x14ac:dyDescent="0.3">
      <c r="A4848" t="s">
        <v>6524</v>
      </c>
      <c r="F4848" t="str">
        <f t="shared" ref="F4848" si="4840">LEFT(A4848, LEN(A4848) - 1)</f>
        <v>&gt;2422:GCCTCC:18.00:83.33:Warning:6:1728.16</v>
      </c>
    </row>
    <row r="4849" spans="1:6" x14ac:dyDescent="0.3">
      <c r="A4849" t="s">
        <v>2428</v>
      </c>
      <c r="F4849" t="str">
        <f t="shared" ref="F4849" si="4841">A4849</f>
        <v>GCCTCC</v>
      </c>
    </row>
    <row r="4850" spans="1:6" x14ac:dyDescent="0.3">
      <c r="A4850" t="s">
        <v>6525</v>
      </c>
      <c r="F4850" t="str">
        <f t="shared" ref="F4850" si="4842">LEFT(A4850, LEN(A4850) - 1)</f>
        <v>&gt;2423:GCCTCG:18.00:83.33:Warning:6:1768.19</v>
      </c>
    </row>
    <row r="4851" spans="1:6" x14ac:dyDescent="0.3">
      <c r="A4851" t="s">
        <v>2429</v>
      </c>
      <c r="F4851" t="str">
        <f t="shared" ref="F4851" si="4843">A4851</f>
        <v>GCCTCG</v>
      </c>
    </row>
    <row r="4852" spans="1:6" x14ac:dyDescent="0.3">
      <c r="A4852" t="s">
        <v>6526</v>
      </c>
      <c r="F4852" t="str">
        <f t="shared" ref="F4852" si="4844">LEFT(A4852, LEN(A4852) - 1)</f>
        <v>&gt;2424:GCCTCT:12.00:66.67:Warning:6:1743.17</v>
      </c>
    </row>
    <row r="4853" spans="1:6" x14ac:dyDescent="0.3">
      <c r="A4853" t="s">
        <v>2430</v>
      </c>
      <c r="F4853" t="str">
        <f t="shared" ref="F4853" si="4845">A4853</f>
        <v>GCCTCT</v>
      </c>
    </row>
    <row r="4854" spans="1:6" x14ac:dyDescent="0.3">
      <c r="A4854" t="s">
        <v>6527</v>
      </c>
      <c r="F4854" t="str">
        <f t="shared" ref="F4854" si="4846">LEFT(A4854, LEN(A4854) - 1)</f>
        <v>&gt;2425:GCCTGA:20.00:66.67:Warning:6:1792.22</v>
      </c>
    </row>
    <row r="4855" spans="1:6" x14ac:dyDescent="0.3">
      <c r="A4855" t="s">
        <v>2431</v>
      </c>
      <c r="F4855" t="str">
        <f t="shared" ref="F4855" si="4847">A4855</f>
        <v>GCCTGA</v>
      </c>
    </row>
    <row r="4856" spans="1:6" x14ac:dyDescent="0.3">
      <c r="A4856" t="s">
        <v>6528</v>
      </c>
      <c r="F4856" t="str">
        <f t="shared" ref="F4856" si="4848">LEFT(A4856, LEN(A4856) - 1)</f>
        <v>&gt;2426:GCCTGC:18.00:83.33:Warning:6:1768.19</v>
      </c>
    </row>
    <row r="4857" spans="1:6" x14ac:dyDescent="0.3">
      <c r="A4857" t="s">
        <v>2432</v>
      </c>
      <c r="F4857" t="str">
        <f t="shared" ref="F4857" si="4849">A4857</f>
        <v>GCCTGC</v>
      </c>
    </row>
    <row r="4858" spans="1:6" x14ac:dyDescent="0.3">
      <c r="A4858" t="s">
        <v>6529</v>
      </c>
      <c r="F4858" t="str">
        <f t="shared" ref="F4858" si="4850">LEFT(A4858, LEN(A4858) - 1)</f>
        <v>&gt;2427:GCCTGG:18.00:83.33:Warning:6:1808.22</v>
      </c>
    </row>
    <row r="4859" spans="1:6" x14ac:dyDescent="0.3">
      <c r="A4859" t="s">
        <v>2433</v>
      </c>
      <c r="F4859" t="str">
        <f t="shared" ref="F4859" si="4851">A4859</f>
        <v>GCCTGG</v>
      </c>
    </row>
    <row r="4860" spans="1:6" x14ac:dyDescent="0.3">
      <c r="A4860" t="s">
        <v>6530</v>
      </c>
      <c r="F4860" t="str">
        <f t="shared" ref="F4860" si="4852">LEFT(A4860, LEN(A4860) - 1)</f>
        <v>&gt;2428:GCCTGT:12.00:66.67:Warning:6:1783.20</v>
      </c>
    </row>
    <row r="4861" spans="1:6" x14ac:dyDescent="0.3">
      <c r="A4861" t="s">
        <v>2434</v>
      </c>
      <c r="F4861" t="str">
        <f t="shared" ref="F4861" si="4853">A4861</f>
        <v>GCCTGT</v>
      </c>
    </row>
    <row r="4862" spans="1:6" x14ac:dyDescent="0.3">
      <c r="A4862" t="s">
        <v>6531</v>
      </c>
      <c r="F4862" t="str">
        <f t="shared" ref="F4862" si="4854">LEFT(A4862, LEN(A4862) - 1)</f>
        <v>&gt;2429:GCCTTA:14.00:50.00:OK:6:1767.20</v>
      </c>
    </row>
    <row r="4863" spans="1:6" x14ac:dyDescent="0.3">
      <c r="A4863" t="s">
        <v>2435</v>
      </c>
      <c r="F4863" t="str">
        <f t="shared" ref="F4863" si="4855">A4863</f>
        <v>GCCTTA</v>
      </c>
    </row>
    <row r="4864" spans="1:6" x14ac:dyDescent="0.3">
      <c r="A4864" t="s">
        <v>6532</v>
      </c>
      <c r="F4864" t="str">
        <f t="shared" ref="F4864" si="4856">LEFT(A4864, LEN(A4864) - 1)</f>
        <v>&gt;2430:GCCTTC:12.00:66.67:Warning:6:1743.17</v>
      </c>
    </row>
    <row r="4865" spans="1:6" x14ac:dyDescent="0.3">
      <c r="A4865" t="s">
        <v>2436</v>
      </c>
      <c r="F4865" t="str">
        <f t="shared" ref="F4865" si="4857">A4865</f>
        <v>GCCTTC</v>
      </c>
    </row>
    <row r="4866" spans="1:6" x14ac:dyDescent="0.3">
      <c r="A4866" t="s">
        <v>6533</v>
      </c>
      <c r="F4866" t="str">
        <f t="shared" ref="F4866" si="4858">LEFT(A4866, LEN(A4866) - 1)</f>
        <v>&gt;2431:GCCTTG:12.00:66.67:Warning:6:1783.20</v>
      </c>
    </row>
    <row r="4867" spans="1:6" x14ac:dyDescent="0.3">
      <c r="A4867" t="s">
        <v>2437</v>
      </c>
      <c r="F4867" t="str">
        <f t="shared" ref="F4867" si="4859">A4867</f>
        <v>GCCTTG</v>
      </c>
    </row>
    <row r="4868" spans="1:6" x14ac:dyDescent="0.3">
      <c r="A4868" t="s">
        <v>6534</v>
      </c>
      <c r="F4868" t="str">
        <f t="shared" ref="F4868" si="4860">LEFT(A4868, LEN(A4868) - 1)</f>
        <v>&gt;2432:GCCTTT:6.00:50.00:OK:6:1758.18</v>
      </c>
    </row>
    <row r="4869" spans="1:6" x14ac:dyDescent="0.3">
      <c r="A4869" t="s">
        <v>2438</v>
      </c>
      <c r="F4869" t="str">
        <f t="shared" ref="F4869" si="4861">A4869</f>
        <v>GCCTTT</v>
      </c>
    </row>
    <row r="4870" spans="1:6" x14ac:dyDescent="0.3">
      <c r="A4870" t="s">
        <v>6535</v>
      </c>
      <c r="F4870" t="str">
        <f t="shared" ref="F4870" si="4862">LEFT(A4870, LEN(A4870) - 1)</f>
        <v>&gt;2433:GCGAAA:30.00:50.00:OK:6:1825.27</v>
      </c>
    </row>
    <row r="4871" spans="1:6" x14ac:dyDescent="0.3">
      <c r="A4871" t="s">
        <v>2439</v>
      </c>
      <c r="F4871" t="str">
        <f t="shared" ref="F4871" si="4863">A4871</f>
        <v>GCGAAA</v>
      </c>
    </row>
    <row r="4872" spans="1:6" x14ac:dyDescent="0.3">
      <c r="A4872" t="s">
        <v>6536</v>
      </c>
      <c r="F4872" t="str">
        <f t="shared" ref="F4872" si="4864">LEFT(A4872, LEN(A4872) - 1)</f>
        <v>&gt;2434:GCGAAC:28.00:66.67:Warning:6:1801.24</v>
      </c>
    </row>
    <row r="4873" spans="1:6" x14ac:dyDescent="0.3">
      <c r="A4873" t="s">
        <v>2440</v>
      </c>
      <c r="F4873" t="str">
        <f t="shared" ref="F4873" si="4865">A4873</f>
        <v>GCGAAC</v>
      </c>
    </row>
    <row r="4874" spans="1:6" x14ac:dyDescent="0.3">
      <c r="A4874" t="s">
        <v>6537</v>
      </c>
      <c r="F4874" t="str">
        <f t="shared" ref="F4874" si="4866">LEFT(A4874, LEN(A4874) - 1)</f>
        <v>&gt;2435:GCGAAG:28.00:66.67:Warning:6:1841.27</v>
      </c>
    </row>
    <row r="4875" spans="1:6" x14ac:dyDescent="0.3">
      <c r="A4875" t="s">
        <v>2441</v>
      </c>
      <c r="F4875" t="str">
        <f t="shared" ref="F4875" si="4867">A4875</f>
        <v>GCGAAG</v>
      </c>
    </row>
    <row r="4876" spans="1:6" x14ac:dyDescent="0.3">
      <c r="A4876" t="s">
        <v>6538</v>
      </c>
      <c r="F4876" t="str">
        <f t="shared" ref="F4876" si="4868">LEFT(A4876, LEN(A4876) - 1)</f>
        <v>&gt;2436:GCGAAT:22.00:50.00:OK:6:1816.25</v>
      </c>
    </row>
    <row r="4877" spans="1:6" x14ac:dyDescent="0.3">
      <c r="A4877" t="s">
        <v>2442</v>
      </c>
      <c r="F4877" t="str">
        <f t="shared" ref="F4877" si="4869">A4877</f>
        <v>GCGAAT</v>
      </c>
    </row>
    <row r="4878" spans="1:6" x14ac:dyDescent="0.3">
      <c r="A4878" t="s">
        <v>6539</v>
      </c>
      <c r="F4878" t="str">
        <f t="shared" ref="F4878" si="4870">LEFT(A4878, LEN(A4878) - 1)</f>
        <v>&gt;2437:GCGACA:28.00:66.67:Warning:6:1801.24</v>
      </c>
    </row>
    <row r="4879" spans="1:6" x14ac:dyDescent="0.3">
      <c r="A4879" t="s">
        <v>2443</v>
      </c>
      <c r="F4879" t="str">
        <f t="shared" ref="F4879" si="4871">A4879</f>
        <v>GCGACA</v>
      </c>
    </row>
    <row r="4880" spans="1:6" x14ac:dyDescent="0.3">
      <c r="A4880" t="s">
        <v>6540</v>
      </c>
      <c r="F4880" t="str">
        <f t="shared" ref="F4880" si="4872">LEFT(A4880, LEN(A4880) - 1)</f>
        <v>&gt;2438:GCGACC:26.00:83.33:Warning:6:1777.21</v>
      </c>
    </row>
    <row r="4881" spans="1:6" x14ac:dyDescent="0.3">
      <c r="A4881" t="s">
        <v>2444</v>
      </c>
      <c r="F4881" t="str">
        <f t="shared" ref="F4881" si="4873">A4881</f>
        <v>GCGACC</v>
      </c>
    </row>
    <row r="4882" spans="1:6" x14ac:dyDescent="0.3">
      <c r="A4882" t="s">
        <v>6541</v>
      </c>
      <c r="F4882" t="str">
        <f t="shared" ref="F4882" si="4874">LEFT(A4882, LEN(A4882) - 1)</f>
        <v>&gt;2439:GCGACG:26.00:83.33:Warning:6:1817.24</v>
      </c>
    </row>
    <row r="4883" spans="1:6" x14ac:dyDescent="0.3">
      <c r="A4883" t="s">
        <v>2445</v>
      </c>
      <c r="F4883" t="str">
        <f t="shared" ref="F4883" si="4875">A4883</f>
        <v>GCGACG</v>
      </c>
    </row>
    <row r="4884" spans="1:6" x14ac:dyDescent="0.3">
      <c r="A4884" t="s">
        <v>6542</v>
      </c>
      <c r="F4884" t="str">
        <f t="shared" ref="F4884" si="4876">LEFT(A4884, LEN(A4884) - 1)</f>
        <v>&gt;2440:GCGACT:20.00:66.67:Warning:6:1792.22</v>
      </c>
    </row>
    <row r="4885" spans="1:6" x14ac:dyDescent="0.3">
      <c r="A4885" t="s">
        <v>2446</v>
      </c>
      <c r="F4885" t="str">
        <f t="shared" ref="F4885" si="4877">A4885</f>
        <v>GCGACT</v>
      </c>
    </row>
    <row r="4886" spans="1:6" x14ac:dyDescent="0.3">
      <c r="A4886" t="s">
        <v>6543</v>
      </c>
      <c r="F4886" t="str">
        <f t="shared" ref="F4886" si="4878">LEFT(A4886, LEN(A4886) - 1)</f>
        <v>&gt;2441:GCGAGA:28.00:66.67:Warning:6:1841.27</v>
      </c>
    </row>
    <row r="4887" spans="1:6" x14ac:dyDescent="0.3">
      <c r="A4887" t="s">
        <v>2447</v>
      </c>
      <c r="F4887" t="str">
        <f t="shared" ref="F4887" si="4879">A4887</f>
        <v>GCGAGA</v>
      </c>
    </row>
    <row r="4888" spans="1:6" x14ac:dyDescent="0.3">
      <c r="A4888" t="s">
        <v>6544</v>
      </c>
      <c r="F4888" t="str">
        <f t="shared" ref="F4888" si="4880">LEFT(A4888, LEN(A4888) - 1)</f>
        <v>&gt;2442:GCGAGC:26.00:83.33:Warning:6:1817.24</v>
      </c>
    </row>
    <row r="4889" spans="1:6" x14ac:dyDescent="0.3">
      <c r="A4889" t="s">
        <v>2448</v>
      </c>
      <c r="F4889" t="str">
        <f t="shared" ref="F4889" si="4881">A4889</f>
        <v>GCGAGC</v>
      </c>
    </row>
    <row r="4890" spans="1:6" x14ac:dyDescent="0.3">
      <c r="A4890" t="s">
        <v>6545</v>
      </c>
      <c r="F4890" t="str">
        <f t="shared" ref="F4890" si="4882">LEFT(A4890, LEN(A4890) - 1)</f>
        <v>&gt;2443:GCGAGG:26.00:83.33:Warning:6:1857.27</v>
      </c>
    </row>
    <row r="4891" spans="1:6" x14ac:dyDescent="0.3">
      <c r="A4891" t="s">
        <v>2449</v>
      </c>
      <c r="F4891" t="str">
        <f t="shared" ref="F4891" si="4883">A4891</f>
        <v>GCGAGG</v>
      </c>
    </row>
    <row r="4892" spans="1:6" x14ac:dyDescent="0.3">
      <c r="A4892" t="s">
        <v>6546</v>
      </c>
      <c r="F4892" t="str">
        <f t="shared" ref="F4892" si="4884">LEFT(A4892, LEN(A4892) - 1)</f>
        <v>&gt;2444:GCGAGT:20.00:66.67:Warning:6:1832.25</v>
      </c>
    </row>
    <row r="4893" spans="1:6" x14ac:dyDescent="0.3">
      <c r="A4893" t="s">
        <v>2450</v>
      </c>
      <c r="F4893" t="str">
        <f t="shared" ref="F4893" si="4885">A4893</f>
        <v>GCGAGT</v>
      </c>
    </row>
    <row r="4894" spans="1:6" x14ac:dyDescent="0.3">
      <c r="A4894" t="s">
        <v>6547</v>
      </c>
      <c r="F4894" t="str">
        <f t="shared" ref="F4894" si="4886">LEFT(A4894, LEN(A4894) - 1)</f>
        <v>&gt;2445:GCGATA:22.00:50.00:OK:6:1816.25</v>
      </c>
    </row>
    <row r="4895" spans="1:6" x14ac:dyDescent="0.3">
      <c r="A4895" t="s">
        <v>2451</v>
      </c>
      <c r="F4895" t="str">
        <f t="shared" ref="F4895" si="4887">A4895</f>
        <v>GCGATA</v>
      </c>
    </row>
    <row r="4896" spans="1:6" x14ac:dyDescent="0.3">
      <c r="A4896" t="s">
        <v>6548</v>
      </c>
      <c r="F4896" t="str">
        <f t="shared" ref="F4896" si="4888">LEFT(A4896, LEN(A4896) - 1)</f>
        <v>&gt;2446:GCGATC:20.00:66.67:Warning:6:1792.22</v>
      </c>
    </row>
    <row r="4897" spans="1:6" x14ac:dyDescent="0.3">
      <c r="A4897" t="s">
        <v>2452</v>
      </c>
      <c r="F4897" t="str">
        <f t="shared" ref="F4897" si="4889">A4897</f>
        <v>GCGATC</v>
      </c>
    </row>
    <row r="4898" spans="1:6" x14ac:dyDescent="0.3">
      <c r="A4898" t="s">
        <v>6549</v>
      </c>
      <c r="F4898" t="str">
        <f t="shared" ref="F4898" si="4890">LEFT(A4898, LEN(A4898) - 1)</f>
        <v>&gt;2447:GCGATG:20.00:66.67:Warning:6:1832.25</v>
      </c>
    </row>
    <row r="4899" spans="1:6" x14ac:dyDescent="0.3">
      <c r="A4899" t="s">
        <v>2453</v>
      </c>
      <c r="F4899" t="str">
        <f t="shared" ref="F4899" si="4891">A4899</f>
        <v>GCGATG</v>
      </c>
    </row>
    <row r="4900" spans="1:6" x14ac:dyDescent="0.3">
      <c r="A4900" t="s">
        <v>6550</v>
      </c>
      <c r="F4900" t="str">
        <f t="shared" ref="F4900" si="4892">LEFT(A4900, LEN(A4900) - 1)</f>
        <v>&gt;2448:GCGATT:14.00:50.00:OK:6:1807.23</v>
      </c>
    </row>
    <row r="4901" spans="1:6" x14ac:dyDescent="0.3">
      <c r="A4901" t="s">
        <v>2454</v>
      </c>
      <c r="F4901" t="str">
        <f t="shared" ref="F4901" si="4893">A4901</f>
        <v>GCGATT</v>
      </c>
    </row>
    <row r="4902" spans="1:6" x14ac:dyDescent="0.3">
      <c r="A4902" t="s">
        <v>6551</v>
      </c>
      <c r="F4902" t="str">
        <f t="shared" ref="F4902" si="4894">LEFT(A4902, LEN(A4902) - 1)</f>
        <v>&gt;2449:GCGCAA:28.00:66.67:Warning:6:1801.24</v>
      </c>
    </row>
    <row r="4903" spans="1:6" x14ac:dyDescent="0.3">
      <c r="A4903" t="s">
        <v>2455</v>
      </c>
      <c r="F4903" t="str">
        <f t="shared" ref="F4903" si="4895">A4903</f>
        <v>GCGCAA</v>
      </c>
    </row>
    <row r="4904" spans="1:6" x14ac:dyDescent="0.3">
      <c r="A4904" t="s">
        <v>6552</v>
      </c>
      <c r="F4904" t="str">
        <f t="shared" ref="F4904" si="4896">LEFT(A4904, LEN(A4904) - 1)</f>
        <v>&gt;2450:GCGCAC:26.00:83.33:Warning:6:1777.21</v>
      </c>
    </row>
    <row r="4905" spans="1:6" x14ac:dyDescent="0.3">
      <c r="A4905" t="s">
        <v>2456</v>
      </c>
      <c r="F4905" t="str">
        <f t="shared" ref="F4905" si="4897">A4905</f>
        <v>GCGCAC</v>
      </c>
    </row>
    <row r="4906" spans="1:6" x14ac:dyDescent="0.3">
      <c r="A4906" t="s">
        <v>6553</v>
      </c>
      <c r="F4906" t="str">
        <f t="shared" ref="F4906" si="4898">LEFT(A4906, LEN(A4906) - 1)</f>
        <v>&gt;2451:GCGCAG:26.00:83.33:Warning:6:1817.24</v>
      </c>
    </row>
    <row r="4907" spans="1:6" x14ac:dyDescent="0.3">
      <c r="A4907" t="s">
        <v>2457</v>
      </c>
      <c r="F4907" t="str">
        <f t="shared" ref="F4907" si="4899">A4907</f>
        <v>GCGCAG</v>
      </c>
    </row>
    <row r="4908" spans="1:6" x14ac:dyDescent="0.3">
      <c r="A4908" t="s">
        <v>6554</v>
      </c>
      <c r="F4908" t="str">
        <f t="shared" ref="F4908" si="4900">LEFT(A4908, LEN(A4908) - 1)</f>
        <v>&gt;2452:GCGCAT:20.00:66.67:Warning:6:1792.22</v>
      </c>
    </row>
    <row r="4909" spans="1:6" x14ac:dyDescent="0.3">
      <c r="A4909" t="s">
        <v>2458</v>
      </c>
      <c r="F4909" t="str">
        <f t="shared" ref="F4909" si="4901">A4909</f>
        <v>GCGCAT</v>
      </c>
    </row>
    <row r="4910" spans="1:6" x14ac:dyDescent="0.3">
      <c r="A4910" t="s">
        <v>6555</v>
      </c>
      <c r="F4910" t="str">
        <f t="shared" ref="F4910" si="4902">LEFT(A4910, LEN(A4910) - 1)</f>
        <v>&gt;2453:GCGCCA:26.00:83.33:Warning:6:1777.21</v>
      </c>
    </row>
    <row r="4911" spans="1:6" x14ac:dyDescent="0.3">
      <c r="A4911" t="s">
        <v>2459</v>
      </c>
      <c r="F4911" t="str">
        <f t="shared" ref="F4911" si="4903">A4911</f>
        <v>GCGCCA</v>
      </c>
    </row>
    <row r="4912" spans="1:6" x14ac:dyDescent="0.3">
      <c r="A4912" t="s">
        <v>6556</v>
      </c>
      <c r="F4912" t="str">
        <f t="shared" ref="F4912" si="4904">LEFT(A4912, LEN(A4912) - 1)</f>
        <v>&gt;2454:GCGCCC:24.00:100.00:Warning:6:1753.18</v>
      </c>
    </row>
    <row r="4913" spans="1:6" x14ac:dyDescent="0.3">
      <c r="A4913" t="s">
        <v>2460</v>
      </c>
      <c r="F4913" t="str">
        <f t="shared" ref="F4913" si="4905">A4913</f>
        <v>GCGCCC</v>
      </c>
    </row>
    <row r="4914" spans="1:6" x14ac:dyDescent="0.3">
      <c r="A4914" t="s">
        <v>6557</v>
      </c>
      <c r="F4914" t="str">
        <f t="shared" ref="F4914" si="4906">LEFT(A4914, LEN(A4914) - 1)</f>
        <v>&gt;2455:GCGCCG:24.00:100.00:Warning:6:1793.21</v>
      </c>
    </row>
    <row r="4915" spans="1:6" x14ac:dyDescent="0.3">
      <c r="A4915" t="s">
        <v>2461</v>
      </c>
      <c r="F4915" t="str">
        <f t="shared" ref="F4915" si="4907">A4915</f>
        <v>GCGCCG</v>
      </c>
    </row>
    <row r="4916" spans="1:6" x14ac:dyDescent="0.3">
      <c r="A4916" t="s">
        <v>6558</v>
      </c>
      <c r="F4916" t="str">
        <f t="shared" ref="F4916" si="4908">LEFT(A4916, LEN(A4916) - 1)</f>
        <v>&gt;2456:GCGCCT:18.00:83.33:Warning:6:1768.19</v>
      </c>
    </row>
    <row r="4917" spans="1:6" x14ac:dyDescent="0.3">
      <c r="A4917" t="s">
        <v>2462</v>
      </c>
      <c r="F4917" t="str">
        <f t="shared" ref="F4917" si="4909">A4917</f>
        <v>GCGCCT</v>
      </c>
    </row>
    <row r="4918" spans="1:6" x14ac:dyDescent="0.3">
      <c r="A4918" t="s">
        <v>6559</v>
      </c>
      <c r="F4918" t="str">
        <f t="shared" ref="F4918" si="4910">LEFT(A4918, LEN(A4918) - 1)</f>
        <v>&gt;2457:GCGCGA:26.00:83.33:Warning:6:1817.24</v>
      </c>
    </row>
    <row r="4919" spans="1:6" x14ac:dyDescent="0.3">
      <c r="A4919" t="s">
        <v>2463</v>
      </c>
      <c r="F4919" t="str">
        <f t="shared" ref="F4919" si="4911">A4919</f>
        <v>GCGCGA</v>
      </c>
    </row>
    <row r="4920" spans="1:6" x14ac:dyDescent="0.3">
      <c r="A4920" t="s">
        <v>6560</v>
      </c>
      <c r="F4920" t="str">
        <f t="shared" ref="F4920" si="4912">LEFT(A4920, LEN(A4920) - 1)</f>
        <v>&gt;2458:GCGCGC:24.00:100.00:Warning:6:1793.21</v>
      </c>
    </row>
    <row r="4921" spans="1:6" x14ac:dyDescent="0.3">
      <c r="A4921" t="s">
        <v>2464</v>
      </c>
      <c r="F4921" t="str">
        <f t="shared" ref="F4921" si="4913">A4921</f>
        <v>GCGCGC</v>
      </c>
    </row>
    <row r="4922" spans="1:6" x14ac:dyDescent="0.3">
      <c r="A4922" t="s">
        <v>6561</v>
      </c>
      <c r="F4922" t="str">
        <f t="shared" ref="F4922" si="4914">LEFT(A4922, LEN(A4922) - 1)</f>
        <v>&gt;2459:GCGCGG:24.00:100.00:Warning:6:1833.24</v>
      </c>
    </row>
    <row r="4923" spans="1:6" x14ac:dyDescent="0.3">
      <c r="A4923" t="s">
        <v>2465</v>
      </c>
      <c r="F4923" t="str">
        <f t="shared" ref="F4923" si="4915">A4923</f>
        <v>GCGCGG</v>
      </c>
    </row>
    <row r="4924" spans="1:6" x14ac:dyDescent="0.3">
      <c r="A4924" t="s">
        <v>6562</v>
      </c>
      <c r="F4924" t="str">
        <f t="shared" ref="F4924" si="4916">LEFT(A4924, LEN(A4924) - 1)</f>
        <v>&gt;2460:GCGCGT:18.00:83.33:Warning:6:1808.22</v>
      </c>
    </row>
    <row r="4925" spans="1:6" x14ac:dyDescent="0.3">
      <c r="A4925" t="s">
        <v>2466</v>
      </c>
      <c r="F4925" t="str">
        <f t="shared" ref="F4925" si="4917">A4925</f>
        <v>GCGCGT</v>
      </c>
    </row>
    <row r="4926" spans="1:6" x14ac:dyDescent="0.3">
      <c r="A4926" t="s">
        <v>6563</v>
      </c>
      <c r="F4926" t="str">
        <f t="shared" ref="F4926" si="4918">LEFT(A4926, LEN(A4926) - 1)</f>
        <v>&gt;2461:GCGCTA:20.00:66.67:Warning:6:1792.22</v>
      </c>
    </row>
    <row r="4927" spans="1:6" x14ac:dyDescent="0.3">
      <c r="A4927" t="s">
        <v>2467</v>
      </c>
      <c r="F4927" t="str">
        <f t="shared" ref="F4927" si="4919">A4927</f>
        <v>GCGCTA</v>
      </c>
    </row>
    <row r="4928" spans="1:6" x14ac:dyDescent="0.3">
      <c r="A4928" t="s">
        <v>6564</v>
      </c>
      <c r="F4928" t="str">
        <f t="shared" ref="F4928" si="4920">LEFT(A4928, LEN(A4928) - 1)</f>
        <v>&gt;2462:GCGCTC:18.00:83.33:Warning:6:1768.19</v>
      </c>
    </row>
    <row r="4929" spans="1:6" x14ac:dyDescent="0.3">
      <c r="A4929" t="s">
        <v>2468</v>
      </c>
      <c r="F4929" t="str">
        <f t="shared" ref="F4929" si="4921">A4929</f>
        <v>GCGCTC</v>
      </c>
    </row>
    <row r="4930" spans="1:6" x14ac:dyDescent="0.3">
      <c r="A4930" t="s">
        <v>6565</v>
      </c>
      <c r="F4930" t="str">
        <f t="shared" ref="F4930" si="4922">LEFT(A4930, LEN(A4930) - 1)</f>
        <v>&gt;2463:GCGCTG:18.00:83.33:Warning:6:1808.22</v>
      </c>
    </row>
    <row r="4931" spans="1:6" x14ac:dyDescent="0.3">
      <c r="A4931" t="s">
        <v>2469</v>
      </c>
      <c r="F4931" t="str">
        <f t="shared" ref="F4931" si="4923">A4931</f>
        <v>GCGCTG</v>
      </c>
    </row>
    <row r="4932" spans="1:6" x14ac:dyDescent="0.3">
      <c r="A4932" t="s">
        <v>6566</v>
      </c>
      <c r="F4932" t="str">
        <f t="shared" ref="F4932" si="4924">LEFT(A4932, LEN(A4932) - 1)</f>
        <v>&gt;2464:GCGCTT:12.00:66.67:Warning:6:1783.20</v>
      </c>
    </row>
    <row r="4933" spans="1:6" x14ac:dyDescent="0.3">
      <c r="A4933" t="s">
        <v>2470</v>
      </c>
      <c r="F4933" t="str">
        <f t="shared" ref="F4933" si="4925">A4933</f>
        <v>GCGCTT</v>
      </c>
    </row>
    <row r="4934" spans="1:6" x14ac:dyDescent="0.3">
      <c r="A4934" t="s">
        <v>6567</v>
      </c>
      <c r="F4934" t="str">
        <f t="shared" ref="F4934" si="4926">LEFT(A4934, LEN(A4934) - 1)</f>
        <v>&gt;2465:GCGGAA:28.00:66.67:Warning:6:1841.27</v>
      </c>
    </row>
    <row r="4935" spans="1:6" x14ac:dyDescent="0.3">
      <c r="A4935" t="s">
        <v>2471</v>
      </c>
      <c r="F4935" t="str">
        <f t="shared" ref="F4935" si="4927">A4935</f>
        <v>GCGGAA</v>
      </c>
    </row>
    <row r="4936" spans="1:6" x14ac:dyDescent="0.3">
      <c r="A4936" t="s">
        <v>6568</v>
      </c>
      <c r="F4936" t="str">
        <f t="shared" ref="F4936" si="4928">LEFT(A4936, LEN(A4936) - 1)</f>
        <v>&gt;2466:GCGGAC:26.00:83.33:Warning:6:1817.24</v>
      </c>
    </row>
    <row r="4937" spans="1:6" x14ac:dyDescent="0.3">
      <c r="A4937" t="s">
        <v>2472</v>
      </c>
      <c r="F4937" t="str">
        <f t="shared" ref="F4937" si="4929">A4937</f>
        <v>GCGGAC</v>
      </c>
    </row>
    <row r="4938" spans="1:6" x14ac:dyDescent="0.3">
      <c r="A4938" t="s">
        <v>6569</v>
      </c>
      <c r="F4938" t="str">
        <f t="shared" ref="F4938" si="4930">LEFT(A4938, LEN(A4938) - 1)</f>
        <v>&gt;2467:GCGGAG:26.00:83.33:Warning:6:1857.27</v>
      </c>
    </row>
    <row r="4939" spans="1:6" x14ac:dyDescent="0.3">
      <c r="A4939" t="s">
        <v>2473</v>
      </c>
      <c r="F4939" t="str">
        <f t="shared" ref="F4939" si="4931">A4939</f>
        <v>GCGGAG</v>
      </c>
    </row>
    <row r="4940" spans="1:6" x14ac:dyDescent="0.3">
      <c r="A4940" t="s">
        <v>6570</v>
      </c>
      <c r="F4940" t="str">
        <f t="shared" ref="F4940" si="4932">LEFT(A4940, LEN(A4940) - 1)</f>
        <v>&gt;2468:GCGGAT:20.00:66.67:Warning:6:1832.25</v>
      </c>
    </row>
    <row r="4941" spans="1:6" x14ac:dyDescent="0.3">
      <c r="A4941" t="s">
        <v>2474</v>
      </c>
      <c r="F4941" t="str">
        <f t="shared" ref="F4941" si="4933">A4941</f>
        <v>GCGGAT</v>
      </c>
    </row>
    <row r="4942" spans="1:6" x14ac:dyDescent="0.3">
      <c r="A4942" t="s">
        <v>6571</v>
      </c>
      <c r="F4942" t="str">
        <f t="shared" ref="F4942" si="4934">LEFT(A4942, LEN(A4942) - 1)</f>
        <v>&gt;2469:GCGGCA:26.00:83.33:Warning:6:1817.24</v>
      </c>
    </row>
    <row r="4943" spans="1:6" x14ac:dyDescent="0.3">
      <c r="A4943" t="s">
        <v>2475</v>
      </c>
      <c r="F4943" t="str">
        <f t="shared" ref="F4943" si="4935">A4943</f>
        <v>GCGGCA</v>
      </c>
    </row>
    <row r="4944" spans="1:6" x14ac:dyDescent="0.3">
      <c r="A4944" t="s">
        <v>6572</v>
      </c>
      <c r="F4944" t="str">
        <f t="shared" ref="F4944" si="4936">LEFT(A4944, LEN(A4944) - 1)</f>
        <v>&gt;2470:GCGGCC:24.00:100.00:Warning:6:1793.21</v>
      </c>
    </row>
    <row r="4945" spans="1:6" x14ac:dyDescent="0.3">
      <c r="A4945" t="s">
        <v>2476</v>
      </c>
      <c r="F4945" t="str">
        <f t="shared" ref="F4945" si="4937">A4945</f>
        <v>GCGGCC</v>
      </c>
    </row>
    <row r="4946" spans="1:6" x14ac:dyDescent="0.3">
      <c r="A4946" t="s">
        <v>6573</v>
      </c>
      <c r="F4946" t="str">
        <f t="shared" ref="F4946" si="4938">LEFT(A4946, LEN(A4946) - 1)</f>
        <v>&gt;2471:GCGGCG:24.00:100.00:Warning:6:1833.24</v>
      </c>
    </row>
    <row r="4947" spans="1:6" x14ac:dyDescent="0.3">
      <c r="A4947" t="s">
        <v>2477</v>
      </c>
      <c r="F4947" t="str">
        <f t="shared" ref="F4947" si="4939">A4947</f>
        <v>GCGGCG</v>
      </c>
    </row>
    <row r="4948" spans="1:6" x14ac:dyDescent="0.3">
      <c r="A4948" t="s">
        <v>6574</v>
      </c>
      <c r="F4948" t="str">
        <f t="shared" ref="F4948" si="4940">LEFT(A4948, LEN(A4948) - 1)</f>
        <v>&gt;2472:GCGGCT:18.00:83.33:Warning:6:1808.22</v>
      </c>
    </row>
    <row r="4949" spans="1:6" x14ac:dyDescent="0.3">
      <c r="A4949" t="s">
        <v>2478</v>
      </c>
      <c r="F4949" t="str">
        <f t="shared" ref="F4949" si="4941">A4949</f>
        <v>GCGGCT</v>
      </c>
    </row>
    <row r="4950" spans="1:6" x14ac:dyDescent="0.3">
      <c r="A4950" t="s">
        <v>6575</v>
      </c>
      <c r="F4950" t="str">
        <f t="shared" ref="F4950" si="4942">LEFT(A4950, LEN(A4950) - 1)</f>
        <v>&gt;2473:GCGGGA:26.00:83.33:Warning:6:1857.27</v>
      </c>
    </row>
    <row r="4951" spans="1:6" x14ac:dyDescent="0.3">
      <c r="A4951" t="s">
        <v>2479</v>
      </c>
      <c r="F4951" t="str">
        <f t="shared" ref="F4951" si="4943">A4951</f>
        <v>GCGGGA</v>
      </c>
    </row>
    <row r="4952" spans="1:6" x14ac:dyDescent="0.3">
      <c r="A4952" t="s">
        <v>6576</v>
      </c>
      <c r="F4952" t="str">
        <f t="shared" ref="F4952" si="4944">LEFT(A4952, LEN(A4952) - 1)</f>
        <v>&gt;2474:GCGGGC:24.00:100.00:Warning:6:1833.24</v>
      </c>
    </row>
    <row r="4953" spans="1:6" x14ac:dyDescent="0.3">
      <c r="A4953" t="s">
        <v>2480</v>
      </c>
      <c r="F4953" t="str">
        <f t="shared" ref="F4953" si="4945">A4953</f>
        <v>GCGGGC</v>
      </c>
    </row>
    <row r="4954" spans="1:6" x14ac:dyDescent="0.3">
      <c r="A4954" t="s">
        <v>6577</v>
      </c>
      <c r="F4954" t="str">
        <f t="shared" ref="F4954" si="4946">LEFT(A4954, LEN(A4954) - 1)</f>
        <v>&gt;2475:GCGGGG:24.00:100.00:Warning:6:1873.27</v>
      </c>
    </row>
    <row r="4955" spans="1:6" x14ac:dyDescent="0.3">
      <c r="A4955" t="s">
        <v>2481</v>
      </c>
      <c r="F4955" t="str">
        <f t="shared" ref="F4955" si="4947">A4955</f>
        <v>GCGGGG</v>
      </c>
    </row>
    <row r="4956" spans="1:6" x14ac:dyDescent="0.3">
      <c r="A4956" t="s">
        <v>6578</v>
      </c>
      <c r="F4956" t="str">
        <f t="shared" ref="F4956" si="4948">LEFT(A4956, LEN(A4956) - 1)</f>
        <v>&gt;2476:GCGGGT:18.00:83.33:Warning:6:1848.25</v>
      </c>
    </row>
    <row r="4957" spans="1:6" x14ac:dyDescent="0.3">
      <c r="A4957" t="s">
        <v>2482</v>
      </c>
      <c r="F4957" t="str">
        <f t="shared" ref="F4957" si="4949">A4957</f>
        <v>GCGGGT</v>
      </c>
    </row>
    <row r="4958" spans="1:6" x14ac:dyDescent="0.3">
      <c r="A4958" t="s">
        <v>6579</v>
      </c>
      <c r="F4958" t="str">
        <f t="shared" ref="F4958" si="4950">LEFT(A4958, LEN(A4958) - 1)</f>
        <v>&gt;2477:GCGGTA:20.00:66.67:Warning:6:1832.25</v>
      </c>
    </row>
    <row r="4959" spans="1:6" x14ac:dyDescent="0.3">
      <c r="A4959" t="s">
        <v>2483</v>
      </c>
      <c r="F4959" t="str">
        <f t="shared" ref="F4959" si="4951">A4959</f>
        <v>GCGGTA</v>
      </c>
    </row>
    <row r="4960" spans="1:6" x14ac:dyDescent="0.3">
      <c r="A4960" t="s">
        <v>6580</v>
      </c>
      <c r="F4960" t="str">
        <f t="shared" ref="F4960" si="4952">LEFT(A4960, LEN(A4960) - 1)</f>
        <v>&gt;2478:GCGGTC:18.00:83.33:Warning:6:1808.22</v>
      </c>
    </row>
    <row r="4961" spans="1:6" x14ac:dyDescent="0.3">
      <c r="A4961" t="s">
        <v>2484</v>
      </c>
      <c r="F4961" t="str">
        <f t="shared" ref="F4961" si="4953">A4961</f>
        <v>GCGGTC</v>
      </c>
    </row>
    <row r="4962" spans="1:6" x14ac:dyDescent="0.3">
      <c r="A4962" t="s">
        <v>6581</v>
      </c>
      <c r="F4962" t="str">
        <f t="shared" ref="F4962" si="4954">LEFT(A4962, LEN(A4962) - 1)</f>
        <v>&gt;2479:GCGGTG:18.00:83.33:Warning:6:1848.25</v>
      </c>
    </row>
    <row r="4963" spans="1:6" x14ac:dyDescent="0.3">
      <c r="A4963" t="s">
        <v>2485</v>
      </c>
      <c r="F4963" t="str">
        <f t="shared" ref="F4963" si="4955">A4963</f>
        <v>GCGGTG</v>
      </c>
    </row>
    <row r="4964" spans="1:6" x14ac:dyDescent="0.3">
      <c r="A4964" t="s">
        <v>6582</v>
      </c>
      <c r="F4964" t="str">
        <f t="shared" ref="F4964" si="4956">LEFT(A4964, LEN(A4964) - 1)</f>
        <v>&gt;2480:GCGGTT:12.00:66.67:Warning:6:1823.23</v>
      </c>
    </row>
    <row r="4965" spans="1:6" x14ac:dyDescent="0.3">
      <c r="A4965" t="s">
        <v>2486</v>
      </c>
      <c r="F4965" t="str">
        <f t="shared" ref="F4965" si="4957">A4965</f>
        <v>GCGGTT</v>
      </c>
    </row>
    <row r="4966" spans="1:6" x14ac:dyDescent="0.3">
      <c r="A4966" t="s">
        <v>6583</v>
      </c>
      <c r="F4966" t="str">
        <f t="shared" ref="F4966" si="4958">LEFT(A4966, LEN(A4966) - 1)</f>
        <v>&gt;2481:GCGTAA:22.00:50.00:OK:6:1816.25</v>
      </c>
    </row>
    <row r="4967" spans="1:6" x14ac:dyDescent="0.3">
      <c r="A4967" t="s">
        <v>2487</v>
      </c>
      <c r="F4967" t="str">
        <f t="shared" ref="F4967" si="4959">A4967</f>
        <v>GCGTAA</v>
      </c>
    </row>
    <row r="4968" spans="1:6" x14ac:dyDescent="0.3">
      <c r="A4968" t="s">
        <v>6584</v>
      </c>
      <c r="F4968" t="str">
        <f t="shared" ref="F4968" si="4960">LEFT(A4968, LEN(A4968) - 1)</f>
        <v>&gt;2482:GCGTAC:20.00:66.67:Warning:6:1792.22</v>
      </c>
    </row>
    <row r="4969" spans="1:6" x14ac:dyDescent="0.3">
      <c r="A4969" t="s">
        <v>2488</v>
      </c>
      <c r="F4969" t="str">
        <f t="shared" ref="F4969" si="4961">A4969</f>
        <v>GCGTAC</v>
      </c>
    </row>
    <row r="4970" spans="1:6" x14ac:dyDescent="0.3">
      <c r="A4970" t="s">
        <v>6585</v>
      </c>
      <c r="F4970" t="str">
        <f t="shared" ref="F4970" si="4962">LEFT(A4970, LEN(A4970) - 1)</f>
        <v>&gt;2483:GCGTAG:20.00:66.67:Warning:6:1832.25</v>
      </c>
    </row>
    <row r="4971" spans="1:6" x14ac:dyDescent="0.3">
      <c r="A4971" t="s">
        <v>2489</v>
      </c>
      <c r="F4971" t="str">
        <f t="shared" ref="F4971" si="4963">A4971</f>
        <v>GCGTAG</v>
      </c>
    </row>
    <row r="4972" spans="1:6" x14ac:dyDescent="0.3">
      <c r="A4972" t="s">
        <v>6586</v>
      </c>
      <c r="F4972" t="str">
        <f t="shared" ref="F4972" si="4964">LEFT(A4972, LEN(A4972) - 1)</f>
        <v>&gt;2484:GCGTAT:14.00:50.00:OK:6:1807.23</v>
      </c>
    </row>
    <row r="4973" spans="1:6" x14ac:dyDescent="0.3">
      <c r="A4973" t="s">
        <v>2490</v>
      </c>
      <c r="F4973" t="str">
        <f t="shared" ref="F4973" si="4965">A4973</f>
        <v>GCGTAT</v>
      </c>
    </row>
    <row r="4974" spans="1:6" x14ac:dyDescent="0.3">
      <c r="A4974" t="s">
        <v>6587</v>
      </c>
      <c r="F4974" t="str">
        <f t="shared" ref="F4974" si="4966">LEFT(A4974, LEN(A4974) - 1)</f>
        <v>&gt;2485:GCGTCA:20.00:66.67:Warning:6:1792.22</v>
      </c>
    </row>
    <row r="4975" spans="1:6" x14ac:dyDescent="0.3">
      <c r="A4975" t="s">
        <v>2491</v>
      </c>
      <c r="F4975" t="str">
        <f t="shared" ref="F4975" si="4967">A4975</f>
        <v>GCGTCA</v>
      </c>
    </row>
    <row r="4976" spans="1:6" x14ac:dyDescent="0.3">
      <c r="A4976" t="s">
        <v>6588</v>
      </c>
      <c r="F4976" t="str">
        <f t="shared" ref="F4976" si="4968">LEFT(A4976, LEN(A4976) - 1)</f>
        <v>&gt;2486:GCGTCC:18.00:83.33:Warning:6:1768.19</v>
      </c>
    </row>
    <row r="4977" spans="1:6" x14ac:dyDescent="0.3">
      <c r="A4977" t="s">
        <v>2492</v>
      </c>
      <c r="F4977" t="str">
        <f t="shared" ref="F4977" si="4969">A4977</f>
        <v>GCGTCC</v>
      </c>
    </row>
    <row r="4978" spans="1:6" x14ac:dyDescent="0.3">
      <c r="A4978" t="s">
        <v>6589</v>
      </c>
      <c r="F4978" t="str">
        <f t="shared" ref="F4978" si="4970">LEFT(A4978, LEN(A4978) - 1)</f>
        <v>&gt;2487:GCGTCG:18.00:83.33:Warning:6:1808.22</v>
      </c>
    </row>
    <row r="4979" spans="1:6" x14ac:dyDescent="0.3">
      <c r="A4979" t="s">
        <v>2493</v>
      </c>
      <c r="F4979" t="str">
        <f t="shared" ref="F4979" si="4971">A4979</f>
        <v>GCGTCG</v>
      </c>
    </row>
    <row r="4980" spans="1:6" x14ac:dyDescent="0.3">
      <c r="A4980" t="s">
        <v>6590</v>
      </c>
      <c r="F4980" t="str">
        <f t="shared" ref="F4980" si="4972">LEFT(A4980, LEN(A4980) - 1)</f>
        <v>&gt;2488:GCGTCT:12.00:66.67:Warning:6:1783.20</v>
      </c>
    </row>
    <row r="4981" spans="1:6" x14ac:dyDescent="0.3">
      <c r="A4981" t="s">
        <v>2494</v>
      </c>
      <c r="F4981" t="str">
        <f t="shared" ref="F4981" si="4973">A4981</f>
        <v>GCGTCT</v>
      </c>
    </row>
    <row r="4982" spans="1:6" x14ac:dyDescent="0.3">
      <c r="A4982" t="s">
        <v>6591</v>
      </c>
      <c r="F4982" t="str">
        <f t="shared" ref="F4982" si="4974">LEFT(A4982, LEN(A4982) - 1)</f>
        <v>&gt;2489:GCGTGA:20.00:66.67:Warning:6:1832.25</v>
      </c>
    </row>
    <row r="4983" spans="1:6" x14ac:dyDescent="0.3">
      <c r="A4983" t="s">
        <v>2495</v>
      </c>
      <c r="F4983" t="str">
        <f t="shared" ref="F4983" si="4975">A4983</f>
        <v>GCGTGA</v>
      </c>
    </row>
    <row r="4984" spans="1:6" x14ac:dyDescent="0.3">
      <c r="A4984" t="s">
        <v>6592</v>
      </c>
      <c r="F4984" t="str">
        <f t="shared" ref="F4984" si="4976">LEFT(A4984, LEN(A4984) - 1)</f>
        <v>&gt;2490:GCGTGC:18.00:83.33:Warning:6:1808.22</v>
      </c>
    </row>
    <row r="4985" spans="1:6" x14ac:dyDescent="0.3">
      <c r="A4985" t="s">
        <v>2496</v>
      </c>
      <c r="F4985" t="str">
        <f t="shared" ref="F4985" si="4977">A4985</f>
        <v>GCGTGC</v>
      </c>
    </row>
    <row r="4986" spans="1:6" x14ac:dyDescent="0.3">
      <c r="A4986" t="s">
        <v>6593</v>
      </c>
      <c r="F4986" t="str">
        <f t="shared" ref="F4986" si="4978">LEFT(A4986, LEN(A4986) - 1)</f>
        <v>&gt;2491:GCGTGG:18.00:83.33:Warning:6:1848.25</v>
      </c>
    </row>
    <row r="4987" spans="1:6" x14ac:dyDescent="0.3">
      <c r="A4987" t="s">
        <v>2497</v>
      </c>
      <c r="F4987" t="str">
        <f t="shared" ref="F4987" si="4979">A4987</f>
        <v>GCGTGG</v>
      </c>
    </row>
    <row r="4988" spans="1:6" x14ac:dyDescent="0.3">
      <c r="A4988" t="s">
        <v>6594</v>
      </c>
      <c r="F4988" t="str">
        <f t="shared" ref="F4988" si="4980">LEFT(A4988, LEN(A4988) - 1)</f>
        <v>&gt;2492:GCGTGT:12.00:66.67:Warning:6:1823.23</v>
      </c>
    </row>
    <row r="4989" spans="1:6" x14ac:dyDescent="0.3">
      <c r="A4989" t="s">
        <v>2498</v>
      </c>
      <c r="F4989" t="str">
        <f t="shared" ref="F4989" si="4981">A4989</f>
        <v>GCGTGT</v>
      </c>
    </row>
    <row r="4990" spans="1:6" x14ac:dyDescent="0.3">
      <c r="A4990" t="s">
        <v>6595</v>
      </c>
      <c r="F4990" t="str">
        <f t="shared" ref="F4990" si="4982">LEFT(A4990, LEN(A4990) - 1)</f>
        <v>&gt;2493:GCGTTA:14.00:50.00:OK:6:1807.23</v>
      </c>
    </row>
    <row r="4991" spans="1:6" x14ac:dyDescent="0.3">
      <c r="A4991" t="s">
        <v>2499</v>
      </c>
      <c r="F4991" t="str">
        <f t="shared" ref="F4991" si="4983">A4991</f>
        <v>GCGTTA</v>
      </c>
    </row>
    <row r="4992" spans="1:6" x14ac:dyDescent="0.3">
      <c r="A4992" t="s">
        <v>6596</v>
      </c>
      <c r="F4992" t="str">
        <f t="shared" ref="F4992" si="4984">LEFT(A4992, LEN(A4992) - 1)</f>
        <v>&gt;2494:GCGTTC:12.00:66.67:Warning:6:1783.20</v>
      </c>
    </row>
    <row r="4993" spans="1:6" x14ac:dyDescent="0.3">
      <c r="A4993" t="s">
        <v>2500</v>
      </c>
      <c r="F4993" t="str">
        <f t="shared" ref="F4993" si="4985">A4993</f>
        <v>GCGTTC</v>
      </c>
    </row>
    <row r="4994" spans="1:6" x14ac:dyDescent="0.3">
      <c r="A4994" t="s">
        <v>6597</v>
      </c>
      <c r="F4994" t="str">
        <f t="shared" ref="F4994" si="4986">LEFT(A4994, LEN(A4994) - 1)</f>
        <v>&gt;2495:GCGTTG:12.00:66.67:Warning:6:1823.23</v>
      </c>
    </row>
    <row r="4995" spans="1:6" x14ac:dyDescent="0.3">
      <c r="A4995" t="s">
        <v>2501</v>
      </c>
      <c r="F4995" t="str">
        <f t="shared" ref="F4995" si="4987">A4995</f>
        <v>GCGTTG</v>
      </c>
    </row>
    <row r="4996" spans="1:6" x14ac:dyDescent="0.3">
      <c r="A4996" t="s">
        <v>6598</v>
      </c>
      <c r="F4996" t="str">
        <f t="shared" ref="F4996" si="4988">LEFT(A4996, LEN(A4996) - 1)</f>
        <v>&gt;2496:GCGTTT:6.00:50.00:OK:6:1798.21</v>
      </c>
    </row>
    <row r="4997" spans="1:6" x14ac:dyDescent="0.3">
      <c r="A4997" t="s">
        <v>2502</v>
      </c>
      <c r="F4997" t="str">
        <f t="shared" ref="F4997" si="4989">A4997</f>
        <v>GCGTTT</v>
      </c>
    </row>
    <row r="4998" spans="1:6" x14ac:dyDescent="0.3">
      <c r="A4998" t="s">
        <v>6599</v>
      </c>
      <c r="F4998" t="str">
        <f t="shared" ref="F4998" si="4990">LEFT(A4998, LEN(A4998) - 1)</f>
        <v>&gt;2497:GCTAAA:24.00:33.33:OK:6:1800.25</v>
      </c>
    </row>
    <row r="4999" spans="1:6" x14ac:dyDescent="0.3">
      <c r="A4999" t="s">
        <v>2503</v>
      </c>
      <c r="F4999" t="str">
        <f t="shared" ref="F4999" si="4991">A4999</f>
        <v>GCTAAA</v>
      </c>
    </row>
    <row r="5000" spans="1:6" x14ac:dyDescent="0.3">
      <c r="A5000" t="s">
        <v>6600</v>
      </c>
      <c r="F5000" t="str">
        <f t="shared" ref="F5000" si="4992">LEFT(A5000, LEN(A5000) - 1)</f>
        <v>&gt;2498:GCTAAC:22.00:50.00:OK:6:1776.22</v>
      </c>
    </row>
    <row r="5001" spans="1:6" x14ac:dyDescent="0.3">
      <c r="A5001" t="s">
        <v>2504</v>
      </c>
      <c r="F5001" t="str">
        <f t="shared" ref="F5001" si="4993">A5001</f>
        <v>GCTAAC</v>
      </c>
    </row>
    <row r="5002" spans="1:6" x14ac:dyDescent="0.3">
      <c r="A5002" t="s">
        <v>6601</v>
      </c>
      <c r="F5002" t="str">
        <f t="shared" ref="F5002" si="4994">LEFT(A5002, LEN(A5002) - 1)</f>
        <v>&gt;2499:GCTAAG:22.00:50.00:OK:6:1816.25</v>
      </c>
    </row>
    <row r="5003" spans="1:6" x14ac:dyDescent="0.3">
      <c r="A5003" t="s">
        <v>2505</v>
      </c>
      <c r="F5003" t="str">
        <f t="shared" ref="F5003" si="4995">A5003</f>
        <v>GCTAAG</v>
      </c>
    </row>
    <row r="5004" spans="1:6" x14ac:dyDescent="0.3">
      <c r="A5004" t="s">
        <v>6602</v>
      </c>
      <c r="F5004" t="str">
        <f t="shared" ref="F5004" si="4996">LEFT(A5004, LEN(A5004) - 1)</f>
        <v>&gt;2500:GCTAAT:16.00:33.33:OK:6:1791.23</v>
      </c>
    </row>
    <row r="5005" spans="1:6" x14ac:dyDescent="0.3">
      <c r="A5005" t="s">
        <v>2506</v>
      </c>
      <c r="F5005" t="str">
        <f t="shared" ref="F5005" si="4997">A5005</f>
        <v>GCTAAT</v>
      </c>
    </row>
    <row r="5006" spans="1:6" x14ac:dyDescent="0.3">
      <c r="A5006" t="s">
        <v>6603</v>
      </c>
      <c r="F5006" t="str">
        <f t="shared" ref="F5006" si="4998">LEFT(A5006, LEN(A5006) - 1)</f>
        <v>&gt;2501:GCTACA:22.00:50.00:OK:6:1776.22</v>
      </c>
    </row>
    <row r="5007" spans="1:6" x14ac:dyDescent="0.3">
      <c r="A5007" t="s">
        <v>2507</v>
      </c>
      <c r="F5007" t="str">
        <f t="shared" ref="F5007" si="4999">A5007</f>
        <v>GCTACA</v>
      </c>
    </row>
    <row r="5008" spans="1:6" x14ac:dyDescent="0.3">
      <c r="A5008" t="s">
        <v>6604</v>
      </c>
      <c r="F5008" t="str">
        <f t="shared" ref="F5008" si="5000">LEFT(A5008, LEN(A5008) - 1)</f>
        <v>&gt;2502:GCTACC:20.00:66.67:Warning:6:1752.19</v>
      </c>
    </row>
    <row r="5009" spans="1:6" x14ac:dyDescent="0.3">
      <c r="A5009" t="s">
        <v>2508</v>
      </c>
      <c r="F5009" t="str">
        <f t="shared" ref="F5009" si="5001">A5009</f>
        <v>GCTACC</v>
      </c>
    </row>
    <row r="5010" spans="1:6" x14ac:dyDescent="0.3">
      <c r="A5010" t="s">
        <v>6605</v>
      </c>
      <c r="F5010" t="str">
        <f t="shared" ref="F5010" si="5002">LEFT(A5010, LEN(A5010) - 1)</f>
        <v>&gt;2503:GCTACG:20.00:66.67:Warning:6:1792.22</v>
      </c>
    </row>
    <row r="5011" spans="1:6" x14ac:dyDescent="0.3">
      <c r="A5011" t="s">
        <v>2509</v>
      </c>
      <c r="F5011" t="str">
        <f t="shared" ref="F5011" si="5003">A5011</f>
        <v>GCTACG</v>
      </c>
    </row>
    <row r="5012" spans="1:6" x14ac:dyDescent="0.3">
      <c r="A5012" t="s">
        <v>6606</v>
      </c>
      <c r="F5012" t="str">
        <f t="shared" ref="F5012" si="5004">LEFT(A5012, LEN(A5012) - 1)</f>
        <v>&gt;2504:GCTACT:14.00:50.00:OK:6:1767.20</v>
      </c>
    </row>
    <row r="5013" spans="1:6" x14ac:dyDescent="0.3">
      <c r="A5013" t="s">
        <v>2510</v>
      </c>
      <c r="F5013" t="str">
        <f t="shared" ref="F5013" si="5005">A5013</f>
        <v>GCTACT</v>
      </c>
    </row>
    <row r="5014" spans="1:6" x14ac:dyDescent="0.3">
      <c r="A5014" t="s">
        <v>6607</v>
      </c>
      <c r="F5014" t="str">
        <f t="shared" ref="F5014" si="5006">LEFT(A5014, LEN(A5014) - 1)</f>
        <v>&gt;2505:GCTAGA:22.00:50.00:OK:6:1816.25</v>
      </c>
    </row>
    <row r="5015" spans="1:6" x14ac:dyDescent="0.3">
      <c r="A5015" t="s">
        <v>2511</v>
      </c>
      <c r="F5015" t="str">
        <f t="shared" ref="F5015" si="5007">A5015</f>
        <v>GCTAGA</v>
      </c>
    </row>
    <row r="5016" spans="1:6" x14ac:dyDescent="0.3">
      <c r="A5016" t="s">
        <v>6608</v>
      </c>
      <c r="F5016" t="str">
        <f t="shared" ref="F5016" si="5008">LEFT(A5016, LEN(A5016) - 1)</f>
        <v>&gt;2506:GCTAGC:20.00:66.67:Warning:6:1792.22</v>
      </c>
    </row>
    <row r="5017" spans="1:6" x14ac:dyDescent="0.3">
      <c r="A5017" t="s">
        <v>2512</v>
      </c>
      <c r="F5017" t="str">
        <f t="shared" ref="F5017" si="5009">A5017</f>
        <v>GCTAGC</v>
      </c>
    </row>
    <row r="5018" spans="1:6" x14ac:dyDescent="0.3">
      <c r="A5018" t="s">
        <v>6609</v>
      </c>
      <c r="F5018" t="str">
        <f t="shared" ref="F5018" si="5010">LEFT(A5018, LEN(A5018) - 1)</f>
        <v>&gt;2507:GCTAGG:20.00:66.67:Warning:6:1832.25</v>
      </c>
    </row>
    <row r="5019" spans="1:6" x14ac:dyDescent="0.3">
      <c r="A5019" t="s">
        <v>2513</v>
      </c>
      <c r="F5019" t="str">
        <f t="shared" ref="F5019" si="5011">A5019</f>
        <v>GCTAGG</v>
      </c>
    </row>
    <row r="5020" spans="1:6" x14ac:dyDescent="0.3">
      <c r="A5020" t="s">
        <v>6610</v>
      </c>
      <c r="F5020" t="str">
        <f t="shared" ref="F5020" si="5012">LEFT(A5020, LEN(A5020) - 1)</f>
        <v>&gt;2508:GCTAGT:14.00:50.00:OK:6:1807.23</v>
      </c>
    </row>
    <row r="5021" spans="1:6" x14ac:dyDescent="0.3">
      <c r="A5021" t="s">
        <v>2514</v>
      </c>
      <c r="F5021" t="str">
        <f t="shared" ref="F5021" si="5013">A5021</f>
        <v>GCTAGT</v>
      </c>
    </row>
    <row r="5022" spans="1:6" x14ac:dyDescent="0.3">
      <c r="A5022" t="s">
        <v>6611</v>
      </c>
      <c r="F5022" t="str">
        <f t="shared" ref="F5022" si="5014">LEFT(A5022, LEN(A5022) - 1)</f>
        <v>&gt;2509:GCTATA:16.00:33.33:OK:6:1791.23</v>
      </c>
    </row>
    <row r="5023" spans="1:6" x14ac:dyDescent="0.3">
      <c r="A5023" t="s">
        <v>2515</v>
      </c>
      <c r="F5023" t="str">
        <f t="shared" ref="F5023" si="5015">A5023</f>
        <v>GCTATA</v>
      </c>
    </row>
    <row r="5024" spans="1:6" x14ac:dyDescent="0.3">
      <c r="A5024" t="s">
        <v>6612</v>
      </c>
      <c r="F5024" t="str">
        <f t="shared" ref="F5024" si="5016">LEFT(A5024, LEN(A5024) - 1)</f>
        <v>&gt;2510:GCTATC:14.00:50.00:OK:6:1767.20</v>
      </c>
    </row>
    <row r="5025" spans="1:6" x14ac:dyDescent="0.3">
      <c r="A5025" t="s">
        <v>2516</v>
      </c>
      <c r="F5025" t="str">
        <f t="shared" ref="F5025" si="5017">A5025</f>
        <v>GCTATC</v>
      </c>
    </row>
    <row r="5026" spans="1:6" x14ac:dyDescent="0.3">
      <c r="A5026" t="s">
        <v>6613</v>
      </c>
      <c r="F5026" t="str">
        <f t="shared" ref="F5026" si="5018">LEFT(A5026, LEN(A5026) - 1)</f>
        <v>&gt;2511:GCTATG:14.00:50.00:OK:6:1807.23</v>
      </c>
    </row>
    <row r="5027" spans="1:6" x14ac:dyDescent="0.3">
      <c r="A5027" t="s">
        <v>2517</v>
      </c>
      <c r="F5027" t="str">
        <f t="shared" ref="F5027" si="5019">A5027</f>
        <v>GCTATG</v>
      </c>
    </row>
    <row r="5028" spans="1:6" x14ac:dyDescent="0.3">
      <c r="A5028" t="s">
        <v>6614</v>
      </c>
      <c r="F5028" t="str">
        <f t="shared" ref="F5028" si="5020">LEFT(A5028, LEN(A5028) - 1)</f>
        <v>&gt;2512:GCTATT:8.00:33.33:OK:6:1782.21</v>
      </c>
    </row>
    <row r="5029" spans="1:6" x14ac:dyDescent="0.3">
      <c r="A5029" t="s">
        <v>2518</v>
      </c>
      <c r="F5029" t="str">
        <f t="shared" ref="F5029" si="5021">A5029</f>
        <v>GCTATT</v>
      </c>
    </row>
    <row r="5030" spans="1:6" x14ac:dyDescent="0.3">
      <c r="A5030" t="s">
        <v>6615</v>
      </c>
      <c r="F5030" t="str">
        <f t="shared" ref="F5030" si="5022">LEFT(A5030, LEN(A5030) - 1)</f>
        <v>&gt;2513:GCTCAA:22.00:50.00:OK:6:1776.22</v>
      </c>
    </row>
    <row r="5031" spans="1:6" x14ac:dyDescent="0.3">
      <c r="A5031" t="s">
        <v>2519</v>
      </c>
      <c r="F5031" t="str">
        <f t="shared" ref="F5031" si="5023">A5031</f>
        <v>GCTCAA</v>
      </c>
    </row>
    <row r="5032" spans="1:6" x14ac:dyDescent="0.3">
      <c r="A5032" t="s">
        <v>6616</v>
      </c>
      <c r="F5032" t="str">
        <f t="shared" ref="F5032" si="5024">LEFT(A5032, LEN(A5032) - 1)</f>
        <v>&gt;2514:GCTCAC:20.00:66.67:Warning:6:1752.19</v>
      </c>
    </row>
    <row r="5033" spans="1:6" x14ac:dyDescent="0.3">
      <c r="A5033" t="s">
        <v>2520</v>
      </c>
      <c r="F5033" t="str">
        <f t="shared" ref="F5033" si="5025">A5033</f>
        <v>GCTCAC</v>
      </c>
    </row>
    <row r="5034" spans="1:6" x14ac:dyDescent="0.3">
      <c r="A5034" t="s">
        <v>6617</v>
      </c>
      <c r="F5034" t="str">
        <f t="shared" ref="F5034" si="5026">LEFT(A5034, LEN(A5034) - 1)</f>
        <v>&gt;2515:GCTCAG:20.00:66.67:Warning:6:1792.22</v>
      </c>
    </row>
    <row r="5035" spans="1:6" x14ac:dyDescent="0.3">
      <c r="A5035" t="s">
        <v>2521</v>
      </c>
      <c r="F5035" t="str">
        <f t="shared" ref="F5035" si="5027">A5035</f>
        <v>GCTCAG</v>
      </c>
    </row>
    <row r="5036" spans="1:6" x14ac:dyDescent="0.3">
      <c r="A5036" t="s">
        <v>6618</v>
      </c>
      <c r="F5036" t="str">
        <f t="shared" ref="F5036" si="5028">LEFT(A5036, LEN(A5036) - 1)</f>
        <v>&gt;2516:GCTCAT:14.00:50.00:OK:6:1767.20</v>
      </c>
    </row>
    <row r="5037" spans="1:6" x14ac:dyDescent="0.3">
      <c r="A5037" t="s">
        <v>2522</v>
      </c>
      <c r="F5037" t="str">
        <f t="shared" ref="F5037" si="5029">A5037</f>
        <v>GCTCAT</v>
      </c>
    </row>
    <row r="5038" spans="1:6" x14ac:dyDescent="0.3">
      <c r="A5038" t="s">
        <v>6619</v>
      </c>
      <c r="F5038" t="str">
        <f t="shared" ref="F5038" si="5030">LEFT(A5038, LEN(A5038) - 1)</f>
        <v>&gt;2517:GCTCCA:20.00:66.67:Warning:6:1752.19</v>
      </c>
    </row>
    <row r="5039" spans="1:6" x14ac:dyDescent="0.3">
      <c r="A5039" t="s">
        <v>2523</v>
      </c>
      <c r="F5039" t="str">
        <f t="shared" ref="F5039" si="5031">A5039</f>
        <v>GCTCCA</v>
      </c>
    </row>
    <row r="5040" spans="1:6" x14ac:dyDescent="0.3">
      <c r="A5040" t="s">
        <v>6620</v>
      </c>
      <c r="F5040" t="str">
        <f t="shared" ref="F5040" si="5032">LEFT(A5040, LEN(A5040) - 1)</f>
        <v>&gt;2518:GCTCCC:18.00:83.33:Warning:6:1728.16</v>
      </c>
    </row>
    <row r="5041" spans="1:6" x14ac:dyDescent="0.3">
      <c r="A5041" t="s">
        <v>2524</v>
      </c>
      <c r="F5041" t="str">
        <f t="shared" ref="F5041" si="5033">A5041</f>
        <v>GCTCCC</v>
      </c>
    </row>
    <row r="5042" spans="1:6" x14ac:dyDescent="0.3">
      <c r="A5042" t="s">
        <v>6621</v>
      </c>
      <c r="F5042" t="str">
        <f t="shared" ref="F5042" si="5034">LEFT(A5042, LEN(A5042) - 1)</f>
        <v>&gt;2519:GCTCCG:18.00:83.33:Warning:6:1768.19</v>
      </c>
    </row>
    <row r="5043" spans="1:6" x14ac:dyDescent="0.3">
      <c r="A5043" t="s">
        <v>2525</v>
      </c>
      <c r="F5043" t="str">
        <f t="shared" ref="F5043" si="5035">A5043</f>
        <v>GCTCCG</v>
      </c>
    </row>
    <row r="5044" spans="1:6" x14ac:dyDescent="0.3">
      <c r="A5044" t="s">
        <v>6622</v>
      </c>
      <c r="F5044" t="str">
        <f t="shared" ref="F5044" si="5036">LEFT(A5044, LEN(A5044) - 1)</f>
        <v>&gt;2520:GCTCCT:12.00:66.67:Warning:6:1743.17</v>
      </c>
    </row>
    <row r="5045" spans="1:6" x14ac:dyDescent="0.3">
      <c r="A5045" t="s">
        <v>2526</v>
      </c>
      <c r="F5045" t="str">
        <f t="shared" ref="F5045" si="5037">A5045</f>
        <v>GCTCCT</v>
      </c>
    </row>
    <row r="5046" spans="1:6" x14ac:dyDescent="0.3">
      <c r="A5046" t="s">
        <v>6623</v>
      </c>
      <c r="F5046" t="str">
        <f t="shared" ref="F5046" si="5038">LEFT(A5046, LEN(A5046) - 1)</f>
        <v>&gt;2521:GCTCGA:20.00:66.67:Warning:6:1792.22</v>
      </c>
    </row>
    <row r="5047" spans="1:6" x14ac:dyDescent="0.3">
      <c r="A5047" t="s">
        <v>2527</v>
      </c>
      <c r="F5047" t="str">
        <f t="shared" ref="F5047" si="5039">A5047</f>
        <v>GCTCGA</v>
      </c>
    </row>
    <row r="5048" spans="1:6" x14ac:dyDescent="0.3">
      <c r="A5048" t="s">
        <v>6624</v>
      </c>
      <c r="F5048" t="str">
        <f t="shared" ref="F5048" si="5040">LEFT(A5048, LEN(A5048) - 1)</f>
        <v>&gt;2522:GCTCGC:18.00:83.33:Warning:6:1768.19</v>
      </c>
    </row>
    <row r="5049" spans="1:6" x14ac:dyDescent="0.3">
      <c r="A5049" t="s">
        <v>2528</v>
      </c>
      <c r="F5049" t="str">
        <f t="shared" ref="F5049" si="5041">A5049</f>
        <v>GCTCGC</v>
      </c>
    </row>
    <row r="5050" spans="1:6" x14ac:dyDescent="0.3">
      <c r="A5050" t="s">
        <v>6625</v>
      </c>
      <c r="F5050" t="str">
        <f t="shared" ref="F5050" si="5042">LEFT(A5050, LEN(A5050) - 1)</f>
        <v>&gt;2523:GCTCGG:18.00:83.33:Warning:6:1808.22</v>
      </c>
    </row>
    <row r="5051" spans="1:6" x14ac:dyDescent="0.3">
      <c r="A5051" t="s">
        <v>2529</v>
      </c>
      <c r="F5051" t="str">
        <f t="shared" ref="F5051" si="5043">A5051</f>
        <v>GCTCGG</v>
      </c>
    </row>
    <row r="5052" spans="1:6" x14ac:dyDescent="0.3">
      <c r="A5052" t="s">
        <v>6626</v>
      </c>
      <c r="F5052" t="str">
        <f t="shared" ref="F5052" si="5044">LEFT(A5052, LEN(A5052) - 1)</f>
        <v>&gt;2524:GCTCGT:12.00:66.67:Warning:6:1783.20</v>
      </c>
    </row>
    <row r="5053" spans="1:6" x14ac:dyDescent="0.3">
      <c r="A5053" t="s">
        <v>2530</v>
      </c>
      <c r="F5053" t="str">
        <f t="shared" ref="F5053" si="5045">A5053</f>
        <v>GCTCGT</v>
      </c>
    </row>
    <row r="5054" spans="1:6" x14ac:dyDescent="0.3">
      <c r="A5054" t="s">
        <v>6627</v>
      </c>
      <c r="F5054" t="str">
        <f t="shared" ref="F5054" si="5046">LEFT(A5054, LEN(A5054) - 1)</f>
        <v>&gt;2525:GCTCTA:14.00:50.00:OK:6:1767.20</v>
      </c>
    </row>
    <row r="5055" spans="1:6" x14ac:dyDescent="0.3">
      <c r="A5055" t="s">
        <v>2531</v>
      </c>
      <c r="F5055" t="str">
        <f t="shared" ref="F5055" si="5047">A5055</f>
        <v>GCTCTA</v>
      </c>
    </row>
    <row r="5056" spans="1:6" x14ac:dyDescent="0.3">
      <c r="A5056" t="s">
        <v>6628</v>
      </c>
      <c r="F5056" t="str">
        <f t="shared" ref="F5056" si="5048">LEFT(A5056, LEN(A5056) - 1)</f>
        <v>&gt;2526:GCTCTC:12.00:66.67:Warning:6:1743.17</v>
      </c>
    </row>
    <row r="5057" spans="1:6" x14ac:dyDescent="0.3">
      <c r="A5057" t="s">
        <v>2532</v>
      </c>
      <c r="F5057" t="str">
        <f t="shared" ref="F5057" si="5049">A5057</f>
        <v>GCTCTC</v>
      </c>
    </row>
    <row r="5058" spans="1:6" x14ac:dyDescent="0.3">
      <c r="A5058" t="s">
        <v>6629</v>
      </c>
      <c r="F5058" t="str">
        <f t="shared" ref="F5058" si="5050">LEFT(A5058, LEN(A5058) - 1)</f>
        <v>&gt;2527:GCTCTG:12.00:66.67:Warning:6:1783.20</v>
      </c>
    </row>
    <row r="5059" spans="1:6" x14ac:dyDescent="0.3">
      <c r="A5059" t="s">
        <v>2533</v>
      </c>
      <c r="F5059" t="str">
        <f t="shared" ref="F5059" si="5051">A5059</f>
        <v>GCTCTG</v>
      </c>
    </row>
    <row r="5060" spans="1:6" x14ac:dyDescent="0.3">
      <c r="A5060" t="s">
        <v>6630</v>
      </c>
      <c r="F5060" t="str">
        <f t="shared" ref="F5060" si="5052">LEFT(A5060, LEN(A5060) - 1)</f>
        <v>&gt;2528:GCTCTT:6.00:50.00:OK:6:1758.18</v>
      </c>
    </row>
    <row r="5061" spans="1:6" x14ac:dyDescent="0.3">
      <c r="A5061" t="s">
        <v>2534</v>
      </c>
      <c r="F5061" t="str">
        <f t="shared" ref="F5061" si="5053">A5061</f>
        <v>GCTCTT</v>
      </c>
    </row>
    <row r="5062" spans="1:6" x14ac:dyDescent="0.3">
      <c r="A5062" t="s">
        <v>6631</v>
      </c>
      <c r="F5062" t="str">
        <f t="shared" ref="F5062" si="5054">LEFT(A5062, LEN(A5062) - 1)</f>
        <v>&gt;2529:GCTGAA:22.00:50.00:OK:6:1816.25</v>
      </c>
    </row>
    <row r="5063" spans="1:6" x14ac:dyDescent="0.3">
      <c r="A5063" t="s">
        <v>2535</v>
      </c>
      <c r="F5063" t="str">
        <f t="shared" ref="F5063" si="5055">A5063</f>
        <v>GCTGAA</v>
      </c>
    </row>
    <row r="5064" spans="1:6" x14ac:dyDescent="0.3">
      <c r="A5064" t="s">
        <v>6632</v>
      </c>
      <c r="F5064" t="str">
        <f t="shared" ref="F5064" si="5056">LEFT(A5064, LEN(A5064) - 1)</f>
        <v>&gt;2530:GCTGAC:20.00:66.67:Warning:6:1792.22</v>
      </c>
    </row>
    <row r="5065" spans="1:6" x14ac:dyDescent="0.3">
      <c r="A5065" t="s">
        <v>2536</v>
      </c>
      <c r="F5065" t="str">
        <f t="shared" ref="F5065" si="5057">A5065</f>
        <v>GCTGAC</v>
      </c>
    </row>
    <row r="5066" spans="1:6" x14ac:dyDescent="0.3">
      <c r="A5066" t="s">
        <v>6633</v>
      </c>
      <c r="F5066" t="str">
        <f t="shared" ref="F5066" si="5058">LEFT(A5066, LEN(A5066) - 1)</f>
        <v>&gt;2531:GCTGAG:20.00:66.67:Warning:6:1832.25</v>
      </c>
    </row>
    <row r="5067" spans="1:6" x14ac:dyDescent="0.3">
      <c r="A5067" t="s">
        <v>2537</v>
      </c>
      <c r="F5067" t="str">
        <f t="shared" ref="F5067" si="5059">A5067</f>
        <v>GCTGAG</v>
      </c>
    </row>
    <row r="5068" spans="1:6" x14ac:dyDescent="0.3">
      <c r="A5068" t="s">
        <v>6634</v>
      </c>
      <c r="F5068" t="str">
        <f t="shared" ref="F5068" si="5060">LEFT(A5068, LEN(A5068) - 1)</f>
        <v>&gt;2532:GCTGAT:14.00:50.00:OK:6:1807.23</v>
      </c>
    </row>
    <row r="5069" spans="1:6" x14ac:dyDescent="0.3">
      <c r="A5069" t="s">
        <v>2538</v>
      </c>
      <c r="F5069" t="str">
        <f t="shared" ref="F5069" si="5061">A5069</f>
        <v>GCTGAT</v>
      </c>
    </row>
    <row r="5070" spans="1:6" x14ac:dyDescent="0.3">
      <c r="A5070" t="s">
        <v>6635</v>
      </c>
      <c r="F5070" t="str">
        <f t="shared" ref="F5070" si="5062">LEFT(A5070, LEN(A5070) - 1)</f>
        <v>&gt;2533:GCTGCA:20.00:66.67:Warning:6:1792.22</v>
      </c>
    </row>
    <row r="5071" spans="1:6" x14ac:dyDescent="0.3">
      <c r="A5071" t="s">
        <v>2539</v>
      </c>
      <c r="F5071" t="str">
        <f t="shared" ref="F5071" si="5063">A5071</f>
        <v>GCTGCA</v>
      </c>
    </row>
    <row r="5072" spans="1:6" x14ac:dyDescent="0.3">
      <c r="A5072" t="s">
        <v>6636</v>
      </c>
      <c r="F5072" t="str">
        <f t="shared" ref="F5072" si="5064">LEFT(A5072, LEN(A5072) - 1)</f>
        <v>&gt;2534:GCTGCC:18.00:83.33:Warning:6:1768.19</v>
      </c>
    </row>
    <row r="5073" spans="1:6" x14ac:dyDescent="0.3">
      <c r="A5073" t="s">
        <v>2540</v>
      </c>
      <c r="F5073" t="str">
        <f t="shared" ref="F5073" si="5065">A5073</f>
        <v>GCTGCC</v>
      </c>
    </row>
    <row r="5074" spans="1:6" x14ac:dyDescent="0.3">
      <c r="A5074" t="s">
        <v>6637</v>
      </c>
      <c r="F5074" t="str">
        <f t="shared" ref="F5074" si="5066">LEFT(A5074, LEN(A5074) - 1)</f>
        <v>&gt;2535:GCTGCG:18.00:83.33:Warning:6:1808.22</v>
      </c>
    </row>
    <row r="5075" spans="1:6" x14ac:dyDescent="0.3">
      <c r="A5075" t="s">
        <v>2541</v>
      </c>
      <c r="F5075" t="str">
        <f t="shared" ref="F5075" si="5067">A5075</f>
        <v>GCTGCG</v>
      </c>
    </row>
    <row r="5076" spans="1:6" x14ac:dyDescent="0.3">
      <c r="A5076" t="s">
        <v>6638</v>
      </c>
      <c r="F5076" t="str">
        <f t="shared" ref="F5076" si="5068">LEFT(A5076, LEN(A5076) - 1)</f>
        <v>&gt;2536:GCTGCT:12.00:66.67:Warning:6:1783.20</v>
      </c>
    </row>
    <row r="5077" spans="1:6" x14ac:dyDescent="0.3">
      <c r="A5077" t="s">
        <v>2542</v>
      </c>
      <c r="F5077" t="str">
        <f t="shared" ref="F5077" si="5069">A5077</f>
        <v>GCTGCT</v>
      </c>
    </row>
    <row r="5078" spans="1:6" x14ac:dyDescent="0.3">
      <c r="A5078" t="s">
        <v>6639</v>
      </c>
      <c r="F5078" t="str">
        <f t="shared" ref="F5078" si="5070">LEFT(A5078, LEN(A5078) - 1)</f>
        <v>&gt;2537:GCTGGA:20.00:66.67:Warning:6:1832.25</v>
      </c>
    </row>
    <row r="5079" spans="1:6" x14ac:dyDescent="0.3">
      <c r="A5079" t="s">
        <v>2543</v>
      </c>
      <c r="F5079" t="str">
        <f t="shared" ref="F5079" si="5071">A5079</f>
        <v>GCTGGA</v>
      </c>
    </row>
    <row r="5080" spans="1:6" x14ac:dyDescent="0.3">
      <c r="A5080" t="s">
        <v>6640</v>
      </c>
      <c r="F5080" t="str">
        <f t="shared" ref="F5080" si="5072">LEFT(A5080, LEN(A5080) - 1)</f>
        <v>&gt;2538:GCTGGC:18.00:83.33:Warning:6:1808.22</v>
      </c>
    </row>
    <row r="5081" spans="1:6" x14ac:dyDescent="0.3">
      <c r="A5081" t="s">
        <v>2544</v>
      </c>
      <c r="F5081" t="str">
        <f t="shared" ref="F5081" si="5073">A5081</f>
        <v>GCTGGC</v>
      </c>
    </row>
    <row r="5082" spans="1:6" x14ac:dyDescent="0.3">
      <c r="A5082" t="s">
        <v>6641</v>
      </c>
      <c r="F5082" t="str">
        <f t="shared" ref="F5082" si="5074">LEFT(A5082, LEN(A5082) - 1)</f>
        <v>&gt;2539:GCTGGG:18.00:83.33:Warning:6:1848.25</v>
      </c>
    </row>
    <row r="5083" spans="1:6" x14ac:dyDescent="0.3">
      <c r="A5083" t="s">
        <v>2545</v>
      </c>
      <c r="F5083" t="str">
        <f t="shared" ref="F5083" si="5075">A5083</f>
        <v>GCTGGG</v>
      </c>
    </row>
    <row r="5084" spans="1:6" x14ac:dyDescent="0.3">
      <c r="A5084" t="s">
        <v>6642</v>
      </c>
      <c r="F5084" t="str">
        <f t="shared" ref="F5084" si="5076">LEFT(A5084, LEN(A5084) - 1)</f>
        <v>&gt;2540:GCTGGT:12.00:66.67:Warning:6:1823.23</v>
      </c>
    </row>
    <row r="5085" spans="1:6" x14ac:dyDescent="0.3">
      <c r="A5085" t="s">
        <v>2546</v>
      </c>
      <c r="F5085" t="str">
        <f t="shared" ref="F5085" si="5077">A5085</f>
        <v>GCTGGT</v>
      </c>
    </row>
    <row r="5086" spans="1:6" x14ac:dyDescent="0.3">
      <c r="A5086" t="s">
        <v>6643</v>
      </c>
      <c r="F5086" t="str">
        <f t="shared" ref="F5086" si="5078">LEFT(A5086, LEN(A5086) - 1)</f>
        <v>&gt;2541:GCTGTA:14.00:50.00:OK:6:1807.23</v>
      </c>
    </row>
    <row r="5087" spans="1:6" x14ac:dyDescent="0.3">
      <c r="A5087" t="s">
        <v>2547</v>
      </c>
      <c r="F5087" t="str">
        <f t="shared" ref="F5087" si="5079">A5087</f>
        <v>GCTGTA</v>
      </c>
    </row>
    <row r="5088" spans="1:6" x14ac:dyDescent="0.3">
      <c r="A5088" t="s">
        <v>6644</v>
      </c>
      <c r="F5088" t="str">
        <f t="shared" ref="F5088" si="5080">LEFT(A5088, LEN(A5088) - 1)</f>
        <v>&gt;2542:GCTGTC:12.00:66.67:Warning:6:1783.20</v>
      </c>
    </row>
    <row r="5089" spans="1:6" x14ac:dyDescent="0.3">
      <c r="A5089" t="s">
        <v>2548</v>
      </c>
      <c r="F5089" t="str">
        <f t="shared" ref="F5089" si="5081">A5089</f>
        <v>GCTGTC</v>
      </c>
    </row>
    <row r="5090" spans="1:6" x14ac:dyDescent="0.3">
      <c r="A5090" t="s">
        <v>6645</v>
      </c>
      <c r="F5090" t="str">
        <f t="shared" ref="F5090" si="5082">LEFT(A5090, LEN(A5090) - 1)</f>
        <v>&gt;2543:GCTGTG:12.00:66.67:Warning:6:1823.23</v>
      </c>
    </row>
    <row r="5091" spans="1:6" x14ac:dyDescent="0.3">
      <c r="A5091" t="s">
        <v>2549</v>
      </c>
      <c r="F5091" t="str">
        <f t="shared" ref="F5091" si="5083">A5091</f>
        <v>GCTGTG</v>
      </c>
    </row>
    <row r="5092" spans="1:6" x14ac:dyDescent="0.3">
      <c r="A5092" t="s">
        <v>6646</v>
      </c>
      <c r="F5092" t="str">
        <f t="shared" ref="F5092" si="5084">LEFT(A5092, LEN(A5092) - 1)</f>
        <v>&gt;2544:GCTGTT:6.00:50.00:OK:6:1798.21</v>
      </c>
    </row>
    <row r="5093" spans="1:6" x14ac:dyDescent="0.3">
      <c r="A5093" t="s">
        <v>2550</v>
      </c>
      <c r="F5093" t="str">
        <f t="shared" ref="F5093" si="5085">A5093</f>
        <v>GCTGTT</v>
      </c>
    </row>
    <row r="5094" spans="1:6" x14ac:dyDescent="0.3">
      <c r="A5094" t="s">
        <v>6647</v>
      </c>
      <c r="F5094" t="str">
        <f t="shared" ref="F5094" si="5086">LEFT(A5094, LEN(A5094) - 1)</f>
        <v>&gt;2545:GCTTAA:16.00:33.33:OK:6:1791.23</v>
      </c>
    </row>
    <row r="5095" spans="1:6" x14ac:dyDescent="0.3">
      <c r="A5095" t="s">
        <v>2551</v>
      </c>
      <c r="F5095" t="str">
        <f t="shared" ref="F5095" si="5087">A5095</f>
        <v>GCTTAA</v>
      </c>
    </row>
    <row r="5096" spans="1:6" x14ac:dyDescent="0.3">
      <c r="A5096" t="s">
        <v>6648</v>
      </c>
      <c r="F5096" t="str">
        <f t="shared" ref="F5096" si="5088">LEFT(A5096, LEN(A5096) - 1)</f>
        <v>&gt;2546:GCTTAC:14.00:50.00:OK:6:1767.20</v>
      </c>
    </row>
    <row r="5097" spans="1:6" x14ac:dyDescent="0.3">
      <c r="A5097" t="s">
        <v>2552</v>
      </c>
      <c r="F5097" t="str">
        <f t="shared" ref="F5097" si="5089">A5097</f>
        <v>GCTTAC</v>
      </c>
    </row>
    <row r="5098" spans="1:6" x14ac:dyDescent="0.3">
      <c r="A5098" t="s">
        <v>6649</v>
      </c>
      <c r="F5098" t="str">
        <f t="shared" ref="F5098" si="5090">LEFT(A5098, LEN(A5098) - 1)</f>
        <v>&gt;2547:GCTTAG:14.00:50.00:OK:6:1807.23</v>
      </c>
    </row>
    <row r="5099" spans="1:6" x14ac:dyDescent="0.3">
      <c r="A5099" t="s">
        <v>2553</v>
      </c>
      <c r="F5099" t="str">
        <f t="shared" ref="F5099" si="5091">A5099</f>
        <v>GCTTAG</v>
      </c>
    </row>
    <row r="5100" spans="1:6" x14ac:dyDescent="0.3">
      <c r="A5100" t="s">
        <v>6650</v>
      </c>
      <c r="F5100" t="str">
        <f t="shared" ref="F5100" si="5092">LEFT(A5100, LEN(A5100) - 1)</f>
        <v>&gt;2548:GCTTAT:8.00:33.33:OK:6:1782.21</v>
      </c>
    </row>
    <row r="5101" spans="1:6" x14ac:dyDescent="0.3">
      <c r="A5101" t="s">
        <v>2554</v>
      </c>
      <c r="F5101" t="str">
        <f t="shared" ref="F5101" si="5093">A5101</f>
        <v>GCTTAT</v>
      </c>
    </row>
    <row r="5102" spans="1:6" x14ac:dyDescent="0.3">
      <c r="A5102" t="s">
        <v>6651</v>
      </c>
      <c r="F5102" t="str">
        <f t="shared" ref="F5102" si="5094">LEFT(A5102, LEN(A5102) - 1)</f>
        <v>&gt;2549:GCTTCA:14.00:50.00:OK:6:1767.20</v>
      </c>
    </row>
    <row r="5103" spans="1:6" x14ac:dyDescent="0.3">
      <c r="A5103" t="s">
        <v>2555</v>
      </c>
      <c r="F5103" t="str">
        <f t="shared" ref="F5103" si="5095">A5103</f>
        <v>GCTTCA</v>
      </c>
    </row>
    <row r="5104" spans="1:6" x14ac:dyDescent="0.3">
      <c r="A5104" t="s">
        <v>6652</v>
      </c>
      <c r="F5104" t="str">
        <f t="shared" ref="F5104" si="5096">LEFT(A5104, LEN(A5104) - 1)</f>
        <v>&gt;2550:GCTTCC:12.00:66.67:Warning:6:1743.17</v>
      </c>
    </row>
    <row r="5105" spans="1:6" x14ac:dyDescent="0.3">
      <c r="A5105" t="s">
        <v>2556</v>
      </c>
      <c r="F5105" t="str">
        <f t="shared" ref="F5105" si="5097">A5105</f>
        <v>GCTTCC</v>
      </c>
    </row>
    <row r="5106" spans="1:6" x14ac:dyDescent="0.3">
      <c r="A5106" t="s">
        <v>6653</v>
      </c>
      <c r="F5106" t="str">
        <f t="shared" ref="F5106" si="5098">LEFT(A5106, LEN(A5106) - 1)</f>
        <v>&gt;2551:GCTTCG:12.00:66.67:Warning:6:1783.20</v>
      </c>
    </row>
    <row r="5107" spans="1:6" x14ac:dyDescent="0.3">
      <c r="A5107" t="s">
        <v>2557</v>
      </c>
      <c r="F5107" t="str">
        <f t="shared" ref="F5107" si="5099">A5107</f>
        <v>GCTTCG</v>
      </c>
    </row>
    <row r="5108" spans="1:6" x14ac:dyDescent="0.3">
      <c r="A5108" t="s">
        <v>6654</v>
      </c>
      <c r="F5108" t="str">
        <f t="shared" ref="F5108" si="5100">LEFT(A5108, LEN(A5108) - 1)</f>
        <v>&gt;2552:GCTTCT:6.00:50.00:OK:6:1758.18</v>
      </c>
    </row>
    <row r="5109" spans="1:6" x14ac:dyDescent="0.3">
      <c r="A5109" t="s">
        <v>2558</v>
      </c>
      <c r="F5109" t="str">
        <f t="shared" ref="F5109" si="5101">A5109</f>
        <v>GCTTCT</v>
      </c>
    </row>
    <row r="5110" spans="1:6" x14ac:dyDescent="0.3">
      <c r="A5110" t="s">
        <v>6655</v>
      </c>
      <c r="F5110" t="str">
        <f t="shared" ref="F5110" si="5102">LEFT(A5110, LEN(A5110) - 1)</f>
        <v>&gt;2553:GCTTGA:14.00:50.00:OK:6:1807.23</v>
      </c>
    </row>
    <row r="5111" spans="1:6" x14ac:dyDescent="0.3">
      <c r="A5111" t="s">
        <v>2559</v>
      </c>
      <c r="F5111" t="str">
        <f t="shared" ref="F5111" si="5103">A5111</f>
        <v>GCTTGA</v>
      </c>
    </row>
    <row r="5112" spans="1:6" x14ac:dyDescent="0.3">
      <c r="A5112" t="s">
        <v>6656</v>
      </c>
      <c r="F5112" t="str">
        <f t="shared" ref="F5112" si="5104">LEFT(A5112, LEN(A5112) - 1)</f>
        <v>&gt;2554:GCTTGC:12.00:66.67:Warning:6:1783.20</v>
      </c>
    </row>
    <row r="5113" spans="1:6" x14ac:dyDescent="0.3">
      <c r="A5113" t="s">
        <v>2560</v>
      </c>
      <c r="F5113" t="str">
        <f t="shared" ref="F5113" si="5105">A5113</f>
        <v>GCTTGC</v>
      </c>
    </row>
    <row r="5114" spans="1:6" x14ac:dyDescent="0.3">
      <c r="A5114" t="s">
        <v>6657</v>
      </c>
      <c r="F5114" t="str">
        <f t="shared" ref="F5114" si="5106">LEFT(A5114, LEN(A5114) - 1)</f>
        <v>&gt;2555:GCTTGG:12.00:66.67:Warning:6:1823.23</v>
      </c>
    </row>
    <row r="5115" spans="1:6" x14ac:dyDescent="0.3">
      <c r="A5115" t="s">
        <v>2561</v>
      </c>
      <c r="F5115" t="str">
        <f t="shared" ref="F5115" si="5107">A5115</f>
        <v>GCTTGG</v>
      </c>
    </row>
    <row r="5116" spans="1:6" x14ac:dyDescent="0.3">
      <c r="A5116" t="s">
        <v>6658</v>
      </c>
      <c r="F5116" t="str">
        <f t="shared" ref="F5116" si="5108">LEFT(A5116, LEN(A5116) - 1)</f>
        <v>&gt;2556:GCTTGT:6.00:50.00:OK:6:1798.21</v>
      </c>
    </row>
    <row r="5117" spans="1:6" x14ac:dyDescent="0.3">
      <c r="A5117" t="s">
        <v>2562</v>
      </c>
      <c r="F5117" t="str">
        <f t="shared" ref="F5117" si="5109">A5117</f>
        <v>GCTTGT</v>
      </c>
    </row>
    <row r="5118" spans="1:6" x14ac:dyDescent="0.3">
      <c r="A5118" t="s">
        <v>6659</v>
      </c>
      <c r="F5118" t="str">
        <f t="shared" ref="F5118" si="5110">LEFT(A5118, LEN(A5118) - 1)</f>
        <v>&gt;2557:GCTTTA:8.00:33.33:OK:6:1782.21</v>
      </c>
    </row>
    <row r="5119" spans="1:6" x14ac:dyDescent="0.3">
      <c r="A5119" t="s">
        <v>2563</v>
      </c>
      <c r="F5119" t="str">
        <f t="shared" ref="F5119" si="5111">A5119</f>
        <v>GCTTTA</v>
      </c>
    </row>
    <row r="5120" spans="1:6" x14ac:dyDescent="0.3">
      <c r="A5120" t="s">
        <v>6660</v>
      </c>
      <c r="F5120" t="str">
        <f t="shared" ref="F5120" si="5112">LEFT(A5120, LEN(A5120) - 1)</f>
        <v>&gt;2558:GCTTTC:6.00:50.00:OK:6:1758.18</v>
      </c>
    </row>
    <row r="5121" spans="1:6" x14ac:dyDescent="0.3">
      <c r="A5121" t="s">
        <v>2564</v>
      </c>
      <c r="F5121" t="str">
        <f t="shared" ref="F5121" si="5113">A5121</f>
        <v>GCTTTC</v>
      </c>
    </row>
    <row r="5122" spans="1:6" x14ac:dyDescent="0.3">
      <c r="A5122" t="s">
        <v>6661</v>
      </c>
      <c r="F5122" t="str">
        <f t="shared" ref="F5122" si="5114">LEFT(A5122, LEN(A5122) - 1)</f>
        <v>&gt;2559:GCTTTG:6.00:50.00:OK:6:1798.21</v>
      </c>
    </row>
    <row r="5123" spans="1:6" x14ac:dyDescent="0.3">
      <c r="A5123" t="s">
        <v>2565</v>
      </c>
      <c r="F5123" t="str">
        <f t="shared" ref="F5123" si="5115">A5123</f>
        <v>GCTTTG</v>
      </c>
    </row>
    <row r="5124" spans="1:6" x14ac:dyDescent="0.3">
      <c r="A5124" t="s">
        <v>6662</v>
      </c>
      <c r="F5124" t="str">
        <f t="shared" ref="F5124" si="5116">LEFT(A5124, LEN(A5124) - 1)</f>
        <v>&gt;2560:GCTTTT:0.00:33.33:OK:6:1773.19</v>
      </c>
    </row>
    <row r="5125" spans="1:6" x14ac:dyDescent="0.3">
      <c r="A5125" t="s">
        <v>2566</v>
      </c>
      <c r="F5125" t="str">
        <f t="shared" ref="F5125" si="5117">A5125</f>
        <v>GCTTTT</v>
      </c>
    </row>
    <row r="5126" spans="1:6" x14ac:dyDescent="0.3">
      <c r="A5126" t="s">
        <v>6663</v>
      </c>
      <c r="F5126" t="str">
        <f t="shared" ref="F5126" si="5118">LEFT(A5126, LEN(A5126) - 1)</f>
        <v>&gt;2561:GGAAAA:32.00:33.33:OK:6:1849.30</v>
      </c>
    </row>
    <row r="5127" spans="1:6" x14ac:dyDescent="0.3">
      <c r="A5127" t="s">
        <v>2567</v>
      </c>
      <c r="F5127" t="str">
        <f t="shared" ref="F5127" si="5119">A5127</f>
        <v>GGAAAA</v>
      </c>
    </row>
    <row r="5128" spans="1:6" x14ac:dyDescent="0.3">
      <c r="A5128" t="s">
        <v>6664</v>
      </c>
      <c r="F5128" t="str">
        <f t="shared" ref="F5128" si="5120">LEFT(A5128, LEN(A5128) - 1)</f>
        <v>&gt;2562:GGAAAC:30.00:50.00:OK:6:1825.27</v>
      </c>
    </row>
    <row r="5129" spans="1:6" x14ac:dyDescent="0.3">
      <c r="A5129" t="s">
        <v>2568</v>
      </c>
      <c r="F5129" t="str">
        <f t="shared" ref="F5129" si="5121">A5129</f>
        <v>GGAAAC</v>
      </c>
    </row>
    <row r="5130" spans="1:6" x14ac:dyDescent="0.3">
      <c r="A5130" t="s">
        <v>6665</v>
      </c>
      <c r="F5130" t="str">
        <f t="shared" ref="F5130" si="5122">LEFT(A5130, LEN(A5130) - 1)</f>
        <v>&gt;2563:GGAAAG:30.00:50.00:OK:6:1865.30</v>
      </c>
    </row>
    <row r="5131" spans="1:6" x14ac:dyDescent="0.3">
      <c r="A5131" t="s">
        <v>2569</v>
      </c>
      <c r="F5131" t="str">
        <f t="shared" ref="F5131" si="5123">A5131</f>
        <v>GGAAAG</v>
      </c>
    </row>
    <row r="5132" spans="1:6" x14ac:dyDescent="0.3">
      <c r="A5132" t="s">
        <v>6666</v>
      </c>
      <c r="F5132" t="str">
        <f t="shared" ref="F5132" si="5124">LEFT(A5132, LEN(A5132) - 1)</f>
        <v>&gt;2564:GGAAAT:24.00:33.33:OK:6:1840.28</v>
      </c>
    </row>
    <row r="5133" spans="1:6" x14ac:dyDescent="0.3">
      <c r="A5133" t="s">
        <v>2570</v>
      </c>
      <c r="F5133" t="str">
        <f t="shared" ref="F5133" si="5125">A5133</f>
        <v>GGAAAT</v>
      </c>
    </row>
    <row r="5134" spans="1:6" x14ac:dyDescent="0.3">
      <c r="A5134" t="s">
        <v>6667</v>
      </c>
      <c r="F5134" t="str">
        <f t="shared" ref="F5134" si="5126">LEFT(A5134, LEN(A5134) - 1)</f>
        <v>&gt;2565:GGAACA:30.00:50.00:OK:6:1825.27</v>
      </c>
    </row>
    <row r="5135" spans="1:6" x14ac:dyDescent="0.3">
      <c r="A5135" t="s">
        <v>2571</v>
      </c>
      <c r="F5135" t="str">
        <f t="shared" ref="F5135" si="5127">A5135</f>
        <v>GGAACA</v>
      </c>
    </row>
    <row r="5136" spans="1:6" x14ac:dyDescent="0.3">
      <c r="A5136" t="s">
        <v>6668</v>
      </c>
      <c r="F5136" t="str">
        <f t="shared" ref="F5136" si="5128">LEFT(A5136, LEN(A5136) - 1)</f>
        <v>&gt;2566:GGAACC:28.00:66.67:Warning:6:1801.24</v>
      </c>
    </row>
    <row r="5137" spans="1:6" x14ac:dyDescent="0.3">
      <c r="A5137" t="s">
        <v>2572</v>
      </c>
      <c r="F5137" t="str">
        <f t="shared" ref="F5137" si="5129">A5137</f>
        <v>GGAACC</v>
      </c>
    </row>
    <row r="5138" spans="1:6" x14ac:dyDescent="0.3">
      <c r="A5138" t="s">
        <v>6669</v>
      </c>
      <c r="F5138" t="str">
        <f t="shared" ref="F5138" si="5130">LEFT(A5138, LEN(A5138) - 1)</f>
        <v>&gt;2567:GGAACG:28.00:66.67:Warning:6:1841.27</v>
      </c>
    </row>
    <row r="5139" spans="1:6" x14ac:dyDescent="0.3">
      <c r="A5139" t="s">
        <v>2573</v>
      </c>
      <c r="F5139" t="str">
        <f t="shared" ref="F5139" si="5131">A5139</f>
        <v>GGAACG</v>
      </c>
    </row>
    <row r="5140" spans="1:6" x14ac:dyDescent="0.3">
      <c r="A5140" t="s">
        <v>6670</v>
      </c>
      <c r="F5140" t="str">
        <f t="shared" ref="F5140" si="5132">LEFT(A5140, LEN(A5140) - 1)</f>
        <v>&gt;2568:GGAACT:22.00:50.00:OK:6:1816.25</v>
      </c>
    </row>
    <row r="5141" spans="1:6" x14ac:dyDescent="0.3">
      <c r="A5141" t="s">
        <v>2574</v>
      </c>
      <c r="F5141" t="str">
        <f t="shared" ref="F5141" si="5133">A5141</f>
        <v>GGAACT</v>
      </c>
    </row>
    <row r="5142" spans="1:6" x14ac:dyDescent="0.3">
      <c r="A5142" t="s">
        <v>6671</v>
      </c>
      <c r="F5142" t="str">
        <f t="shared" ref="F5142" si="5134">LEFT(A5142, LEN(A5142) - 1)</f>
        <v>&gt;2569:GGAAGA:30.00:50.00:OK:6:1865.30</v>
      </c>
    </row>
    <row r="5143" spans="1:6" x14ac:dyDescent="0.3">
      <c r="A5143" t="s">
        <v>2575</v>
      </c>
      <c r="F5143" t="str">
        <f t="shared" ref="F5143" si="5135">A5143</f>
        <v>GGAAGA</v>
      </c>
    </row>
    <row r="5144" spans="1:6" x14ac:dyDescent="0.3">
      <c r="A5144" t="s">
        <v>6672</v>
      </c>
      <c r="F5144" t="str">
        <f t="shared" ref="F5144" si="5136">LEFT(A5144, LEN(A5144) - 1)</f>
        <v>&gt;2570:GGAAGC:28.00:66.67:Warning:6:1841.27</v>
      </c>
    </row>
    <row r="5145" spans="1:6" x14ac:dyDescent="0.3">
      <c r="A5145" t="s">
        <v>2576</v>
      </c>
      <c r="F5145" t="str">
        <f t="shared" ref="F5145" si="5137">A5145</f>
        <v>GGAAGC</v>
      </c>
    </row>
    <row r="5146" spans="1:6" x14ac:dyDescent="0.3">
      <c r="A5146" t="s">
        <v>6673</v>
      </c>
      <c r="F5146" t="str">
        <f t="shared" ref="F5146" si="5138">LEFT(A5146, LEN(A5146) - 1)</f>
        <v>&gt;2571:GGAAGG:28.00:66.67:Warning:6:1881.30</v>
      </c>
    </row>
    <row r="5147" spans="1:6" x14ac:dyDescent="0.3">
      <c r="A5147" t="s">
        <v>2577</v>
      </c>
      <c r="F5147" t="str">
        <f t="shared" ref="F5147" si="5139">A5147</f>
        <v>GGAAGG</v>
      </c>
    </row>
    <row r="5148" spans="1:6" x14ac:dyDescent="0.3">
      <c r="A5148" t="s">
        <v>6674</v>
      </c>
      <c r="F5148" t="str">
        <f t="shared" ref="F5148" si="5140">LEFT(A5148, LEN(A5148) - 1)</f>
        <v>&gt;2572:GGAAGT:22.00:50.00:OK:6:1856.28</v>
      </c>
    </row>
    <row r="5149" spans="1:6" x14ac:dyDescent="0.3">
      <c r="A5149" t="s">
        <v>2578</v>
      </c>
      <c r="F5149" t="str">
        <f t="shared" ref="F5149" si="5141">A5149</f>
        <v>GGAAGT</v>
      </c>
    </row>
    <row r="5150" spans="1:6" x14ac:dyDescent="0.3">
      <c r="A5150" t="s">
        <v>6675</v>
      </c>
      <c r="F5150" t="str">
        <f t="shared" ref="F5150" si="5142">LEFT(A5150, LEN(A5150) - 1)</f>
        <v>&gt;2573:GGAATA:24.00:33.33:OK:6:1840.28</v>
      </c>
    </row>
    <row r="5151" spans="1:6" x14ac:dyDescent="0.3">
      <c r="A5151" t="s">
        <v>2579</v>
      </c>
      <c r="F5151" t="str">
        <f t="shared" ref="F5151" si="5143">A5151</f>
        <v>GGAATA</v>
      </c>
    </row>
    <row r="5152" spans="1:6" x14ac:dyDescent="0.3">
      <c r="A5152" t="s">
        <v>6676</v>
      </c>
      <c r="F5152" t="str">
        <f t="shared" ref="F5152" si="5144">LEFT(A5152, LEN(A5152) - 1)</f>
        <v>&gt;2574:GGAATC:22.00:50.00:OK:6:1816.25</v>
      </c>
    </row>
    <row r="5153" spans="1:6" x14ac:dyDescent="0.3">
      <c r="A5153" t="s">
        <v>2580</v>
      </c>
      <c r="F5153" t="str">
        <f t="shared" ref="F5153" si="5145">A5153</f>
        <v>GGAATC</v>
      </c>
    </row>
    <row r="5154" spans="1:6" x14ac:dyDescent="0.3">
      <c r="A5154" t="s">
        <v>6677</v>
      </c>
      <c r="F5154" t="str">
        <f t="shared" ref="F5154" si="5146">LEFT(A5154, LEN(A5154) - 1)</f>
        <v>&gt;2575:GGAATG:22.00:50.00:OK:6:1856.28</v>
      </c>
    </row>
    <row r="5155" spans="1:6" x14ac:dyDescent="0.3">
      <c r="A5155" t="s">
        <v>2581</v>
      </c>
      <c r="F5155" t="str">
        <f t="shared" ref="F5155" si="5147">A5155</f>
        <v>GGAATG</v>
      </c>
    </row>
    <row r="5156" spans="1:6" x14ac:dyDescent="0.3">
      <c r="A5156" t="s">
        <v>6678</v>
      </c>
      <c r="F5156" t="str">
        <f t="shared" ref="F5156" si="5148">LEFT(A5156, LEN(A5156) - 1)</f>
        <v>&gt;2576:GGAATT:16.00:33.33:OK:6:1831.26</v>
      </c>
    </row>
    <row r="5157" spans="1:6" x14ac:dyDescent="0.3">
      <c r="A5157" t="s">
        <v>2582</v>
      </c>
      <c r="F5157" t="str">
        <f t="shared" ref="F5157" si="5149">A5157</f>
        <v>GGAATT</v>
      </c>
    </row>
    <row r="5158" spans="1:6" x14ac:dyDescent="0.3">
      <c r="A5158" t="s">
        <v>6679</v>
      </c>
      <c r="F5158" t="str">
        <f t="shared" ref="F5158" si="5150">LEFT(A5158, LEN(A5158) - 1)</f>
        <v>&gt;2577:GGACAA:30.00:50.00:OK:6:1825.27</v>
      </c>
    </row>
    <row r="5159" spans="1:6" x14ac:dyDescent="0.3">
      <c r="A5159" t="s">
        <v>2583</v>
      </c>
      <c r="F5159" t="str">
        <f t="shared" ref="F5159" si="5151">A5159</f>
        <v>GGACAA</v>
      </c>
    </row>
    <row r="5160" spans="1:6" x14ac:dyDescent="0.3">
      <c r="A5160" t="s">
        <v>6680</v>
      </c>
      <c r="F5160" t="str">
        <f t="shared" ref="F5160" si="5152">LEFT(A5160, LEN(A5160) - 1)</f>
        <v>&gt;2578:GGACAC:28.00:66.67:Warning:6:1801.24</v>
      </c>
    </row>
    <row r="5161" spans="1:6" x14ac:dyDescent="0.3">
      <c r="A5161" t="s">
        <v>2584</v>
      </c>
      <c r="F5161" t="str">
        <f t="shared" ref="F5161" si="5153">A5161</f>
        <v>GGACAC</v>
      </c>
    </row>
    <row r="5162" spans="1:6" x14ac:dyDescent="0.3">
      <c r="A5162" t="s">
        <v>6681</v>
      </c>
      <c r="F5162" t="str">
        <f t="shared" ref="F5162" si="5154">LEFT(A5162, LEN(A5162) - 1)</f>
        <v>&gt;2579:GGACAG:28.00:66.67:Warning:6:1841.27</v>
      </c>
    </row>
    <row r="5163" spans="1:6" x14ac:dyDescent="0.3">
      <c r="A5163" t="s">
        <v>2585</v>
      </c>
      <c r="F5163" t="str">
        <f t="shared" ref="F5163" si="5155">A5163</f>
        <v>GGACAG</v>
      </c>
    </row>
    <row r="5164" spans="1:6" x14ac:dyDescent="0.3">
      <c r="A5164" t="s">
        <v>6682</v>
      </c>
      <c r="F5164" t="str">
        <f t="shared" ref="F5164" si="5156">LEFT(A5164, LEN(A5164) - 1)</f>
        <v>&gt;2580:GGACAT:22.00:50.00:OK:6:1816.25</v>
      </c>
    </row>
    <row r="5165" spans="1:6" x14ac:dyDescent="0.3">
      <c r="A5165" t="s">
        <v>2586</v>
      </c>
      <c r="F5165" t="str">
        <f t="shared" ref="F5165" si="5157">A5165</f>
        <v>GGACAT</v>
      </c>
    </row>
    <row r="5166" spans="1:6" x14ac:dyDescent="0.3">
      <c r="A5166" t="s">
        <v>6683</v>
      </c>
      <c r="F5166" t="str">
        <f t="shared" ref="F5166" si="5158">LEFT(A5166, LEN(A5166) - 1)</f>
        <v>&gt;2581:GGACCA:28.00:66.67:Warning:6:1801.24</v>
      </c>
    </row>
    <row r="5167" spans="1:6" x14ac:dyDescent="0.3">
      <c r="A5167" t="s">
        <v>2587</v>
      </c>
      <c r="F5167" t="str">
        <f t="shared" ref="F5167" si="5159">A5167</f>
        <v>GGACCA</v>
      </c>
    </row>
    <row r="5168" spans="1:6" x14ac:dyDescent="0.3">
      <c r="A5168" t="s">
        <v>6684</v>
      </c>
      <c r="F5168" t="str">
        <f t="shared" ref="F5168" si="5160">LEFT(A5168, LEN(A5168) - 1)</f>
        <v>&gt;2582:GGACCC:26.00:83.33:Warning:6:1777.21</v>
      </c>
    </row>
    <row r="5169" spans="1:6" x14ac:dyDescent="0.3">
      <c r="A5169" t="s">
        <v>2588</v>
      </c>
      <c r="F5169" t="str">
        <f t="shared" ref="F5169" si="5161">A5169</f>
        <v>GGACCC</v>
      </c>
    </row>
    <row r="5170" spans="1:6" x14ac:dyDescent="0.3">
      <c r="A5170" t="s">
        <v>6685</v>
      </c>
      <c r="F5170" t="str">
        <f t="shared" ref="F5170" si="5162">LEFT(A5170, LEN(A5170) - 1)</f>
        <v>&gt;2583:GGACCG:26.00:83.33:Warning:6:1817.24</v>
      </c>
    </row>
    <row r="5171" spans="1:6" x14ac:dyDescent="0.3">
      <c r="A5171" t="s">
        <v>2589</v>
      </c>
      <c r="F5171" t="str">
        <f t="shared" ref="F5171" si="5163">A5171</f>
        <v>GGACCG</v>
      </c>
    </row>
    <row r="5172" spans="1:6" x14ac:dyDescent="0.3">
      <c r="A5172" t="s">
        <v>6686</v>
      </c>
      <c r="F5172" t="str">
        <f t="shared" ref="F5172" si="5164">LEFT(A5172, LEN(A5172) - 1)</f>
        <v>&gt;2584:GGACCT:20.00:66.67:Warning:6:1792.22</v>
      </c>
    </row>
    <row r="5173" spans="1:6" x14ac:dyDescent="0.3">
      <c r="A5173" t="s">
        <v>2590</v>
      </c>
      <c r="F5173" t="str">
        <f t="shared" ref="F5173" si="5165">A5173</f>
        <v>GGACCT</v>
      </c>
    </row>
    <row r="5174" spans="1:6" x14ac:dyDescent="0.3">
      <c r="A5174" t="s">
        <v>6687</v>
      </c>
      <c r="F5174" t="str">
        <f t="shared" ref="F5174" si="5166">LEFT(A5174, LEN(A5174) - 1)</f>
        <v>&gt;2585:GGACGA:28.00:66.67:Warning:6:1841.27</v>
      </c>
    </row>
    <row r="5175" spans="1:6" x14ac:dyDescent="0.3">
      <c r="A5175" t="s">
        <v>2591</v>
      </c>
      <c r="F5175" t="str">
        <f t="shared" ref="F5175" si="5167">A5175</f>
        <v>GGACGA</v>
      </c>
    </row>
    <row r="5176" spans="1:6" x14ac:dyDescent="0.3">
      <c r="A5176" t="s">
        <v>6688</v>
      </c>
      <c r="F5176" t="str">
        <f t="shared" ref="F5176" si="5168">LEFT(A5176, LEN(A5176) - 1)</f>
        <v>&gt;2586:GGACGC:26.00:83.33:Warning:6:1817.24</v>
      </c>
    </row>
    <row r="5177" spans="1:6" x14ac:dyDescent="0.3">
      <c r="A5177" t="s">
        <v>2592</v>
      </c>
      <c r="F5177" t="str">
        <f t="shared" ref="F5177" si="5169">A5177</f>
        <v>GGACGC</v>
      </c>
    </row>
    <row r="5178" spans="1:6" x14ac:dyDescent="0.3">
      <c r="A5178" t="s">
        <v>6689</v>
      </c>
      <c r="F5178" t="str">
        <f t="shared" ref="F5178" si="5170">LEFT(A5178, LEN(A5178) - 1)</f>
        <v>&gt;2587:GGACGG:26.00:83.33:Warning:6:1857.27</v>
      </c>
    </row>
    <row r="5179" spans="1:6" x14ac:dyDescent="0.3">
      <c r="A5179" t="s">
        <v>2593</v>
      </c>
      <c r="F5179" t="str">
        <f t="shared" ref="F5179" si="5171">A5179</f>
        <v>GGACGG</v>
      </c>
    </row>
    <row r="5180" spans="1:6" x14ac:dyDescent="0.3">
      <c r="A5180" t="s">
        <v>6690</v>
      </c>
      <c r="F5180" t="str">
        <f t="shared" ref="F5180" si="5172">LEFT(A5180, LEN(A5180) - 1)</f>
        <v>&gt;2588:GGACGT:20.00:66.67:Warning:6:1832.25</v>
      </c>
    </row>
    <row r="5181" spans="1:6" x14ac:dyDescent="0.3">
      <c r="A5181" t="s">
        <v>2594</v>
      </c>
      <c r="F5181" t="str">
        <f t="shared" ref="F5181" si="5173">A5181</f>
        <v>GGACGT</v>
      </c>
    </row>
    <row r="5182" spans="1:6" x14ac:dyDescent="0.3">
      <c r="A5182" t="s">
        <v>6691</v>
      </c>
      <c r="F5182" t="str">
        <f t="shared" ref="F5182" si="5174">LEFT(A5182, LEN(A5182) - 1)</f>
        <v>&gt;2589:GGACTA:22.00:50.00:OK:6:1816.25</v>
      </c>
    </row>
    <row r="5183" spans="1:6" x14ac:dyDescent="0.3">
      <c r="A5183" t="s">
        <v>2595</v>
      </c>
      <c r="F5183" t="str">
        <f t="shared" ref="F5183" si="5175">A5183</f>
        <v>GGACTA</v>
      </c>
    </row>
    <row r="5184" spans="1:6" x14ac:dyDescent="0.3">
      <c r="A5184" t="s">
        <v>6692</v>
      </c>
      <c r="F5184" t="str">
        <f t="shared" ref="F5184" si="5176">LEFT(A5184, LEN(A5184) - 1)</f>
        <v>&gt;2590:GGACTC:20.00:66.67:Warning:6:1792.22</v>
      </c>
    </row>
    <row r="5185" spans="1:6" x14ac:dyDescent="0.3">
      <c r="A5185" t="s">
        <v>2596</v>
      </c>
      <c r="F5185" t="str">
        <f t="shared" ref="F5185" si="5177">A5185</f>
        <v>GGACTC</v>
      </c>
    </row>
    <row r="5186" spans="1:6" x14ac:dyDescent="0.3">
      <c r="A5186" t="s">
        <v>6693</v>
      </c>
      <c r="F5186" t="str">
        <f t="shared" ref="F5186" si="5178">LEFT(A5186, LEN(A5186) - 1)</f>
        <v>&gt;2591:GGACTG:20.00:66.67:Warning:6:1832.25</v>
      </c>
    </row>
    <row r="5187" spans="1:6" x14ac:dyDescent="0.3">
      <c r="A5187" t="s">
        <v>2597</v>
      </c>
      <c r="F5187" t="str">
        <f t="shared" ref="F5187" si="5179">A5187</f>
        <v>GGACTG</v>
      </c>
    </row>
    <row r="5188" spans="1:6" x14ac:dyDescent="0.3">
      <c r="A5188" t="s">
        <v>6694</v>
      </c>
      <c r="F5188" t="str">
        <f t="shared" ref="F5188" si="5180">LEFT(A5188, LEN(A5188) - 1)</f>
        <v>&gt;2592:GGACTT:14.00:50.00:OK:6:1807.23</v>
      </c>
    </row>
    <row r="5189" spans="1:6" x14ac:dyDescent="0.3">
      <c r="A5189" t="s">
        <v>2598</v>
      </c>
      <c r="F5189" t="str">
        <f t="shared" ref="F5189" si="5181">A5189</f>
        <v>GGACTT</v>
      </c>
    </row>
    <row r="5190" spans="1:6" x14ac:dyDescent="0.3">
      <c r="A5190" t="s">
        <v>6695</v>
      </c>
      <c r="F5190" t="str">
        <f t="shared" ref="F5190" si="5182">LEFT(A5190, LEN(A5190) - 1)</f>
        <v>&gt;2593:GGAGAA:30.00:50.00:OK:6:1865.30</v>
      </c>
    </row>
    <row r="5191" spans="1:6" x14ac:dyDescent="0.3">
      <c r="A5191" t="s">
        <v>2599</v>
      </c>
      <c r="F5191" t="str">
        <f t="shared" ref="F5191" si="5183">A5191</f>
        <v>GGAGAA</v>
      </c>
    </row>
    <row r="5192" spans="1:6" x14ac:dyDescent="0.3">
      <c r="A5192" t="s">
        <v>6696</v>
      </c>
      <c r="F5192" t="str">
        <f t="shared" ref="F5192" si="5184">LEFT(A5192, LEN(A5192) - 1)</f>
        <v>&gt;2594:GGAGAC:28.00:66.67:Warning:6:1841.27</v>
      </c>
    </row>
    <row r="5193" spans="1:6" x14ac:dyDescent="0.3">
      <c r="A5193" t="s">
        <v>2600</v>
      </c>
      <c r="F5193" t="str">
        <f t="shared" ref="F5193" si="5185">A5193</f>
        <v>GGAGAC</v>
      </c>
    </row>
    <row r="5194" spans="1:6" x14ac:dyDescent="0.3">
      <c r="A5194" t="s">
        <v>6697</v>
      </c>
      <c r="F5194" t="str">
        <f t="shared" ref="F5194" si="5186">LEFT(A5194, LEN(A5194) - 1)</f>
        <v>&gt;2595:GGAGAG:28.00:66.67:Warning:6:1881.30</v>
      </c>
    </row>
    <row r="5195" spans="1:6" x14ac:dyDescent="0.3">
      <c r="A5195" t="s">
        <v>2601</v>
      </c>
      <c r="F5195" t="str">
        <f t="shared" ref="F5195" si="5187">A5195</f>
        <v>GGAGAG</v>
      </c>
    </row>
    <row r="5196" spans="1:6" x14ac:dyDescent="0.3">
      <c r="A5196" t="s">
        <v>6698</v>
      </c>
      <c r="F5196" t="str">
        <f t="shared" ref="F5196" si="5188">LEFT(A5196, LEN(A5196) - 1)</f>
        <v>&gt;2596:GGAGAT:22.00:50.00:OK:6:1856.28</v>
      </c>
    </row>
    <row r="5197" spans="1:6" x14ac:dyDescent="0.3">
      <c r="A5197" t="s">
        <v>2602</v>
      </c>
      <c r="F5197" t="str">
        <f t="shared" ref="F5197" si="5189">A5197</f>
        <v>GGAGAT</v>
      </c>
    </row>
    <row r="5198" spans="1:6" x14ac:dyDescent="0.3">
      <c r="A5198" t="s">
        <v>6699</v>
      </c>
      <c r="F5198" t="str">
        <f t="shared" ref="F5198" si="5190">LEFT(A5198, LEN(A5198) - 1)</f>
        <v>&gt;2597:GGAGCA:28.00:66.67:Warning:6:1841.27</v>
      </c>
    </row>
    <row r="5199" spans="1:6" x14ac:dyDescent="0.3">
      <c r="A5199" t="s">
        <v>2603</v>
      </c>
      <c r="F5199" t="str">
        <f t="shared" ref="F5199" si="5191">A5199</f>
        <v>GGAGCA</v>
      </c>
    </row>
    <row r="5200" spans="1:6" x14ac:dyDescent="0.3">
      <c r="A5200" t="s">
        <v>6700</v>
      </c>
      <c r="F5200" t="str">
        <f t="shared" ref="F5200" si="5192">LEFT(A5200, LEN(A5200) - 1)</f>
        <v>&gt;2598:GGAGCC:26.00:83.33:Warning:6:1817.24</v>
      </c>
    </row>
    <row r="5201" spans="1:6" x14ac:dyDescent="0.3">
      <c r="A5201" t="s">
        <v>2604</v>
      </c>
      <c r="F5201" t="str">
        <f t="shared" ref="F5201" si="5193">A5201</f>
        <v>GGAGCC</v>
      </c>
    </row>
    <row r="5202" spans="1:6" x14ac:dyDescent="0.3">
      <c r="A5202" t="s">
        <v>6701</v>
      </c>
      <c r="F5202" t="str">
        <f t="shared" ref="F5202" si="5194">LEFT(A5202, LEN(A5202) - 1)</f>
        <v>&gt;2599:GGAGCG:26.00:83.33:Warning:6:1857.27</v>
      </c>
    </row>
    <row r="5203" spans="1:6" x14ac:dyDescent="0.3">
      <c r="A5203" t="s">
        <v>2605</v>
      </c>
      <c r="F5203" t="str">
        <f t="shared" ref="F5203" si="5195">A5203</f>
        <v>GGAGCG</v>
      </c>
    </row>
    <row r="5204" spans="1:6" x14ac:dyDescent="0.3">
      <c r="A5204" t="s">
        <v>6702</v>
      </c>
      <c r="F5204" t="str">
        <f t="shared" ref="F5204" si="5196">LEFT(A5204, LEN(A5204) - 1)</f>
        <v>&gt;2600:GGAGCT:20.00:66.67:Warning:6:1832.25</v>
      </c>
    </row>
    <row r="5205" spans="1:6" x14ac:dyDescent="0.3">
      <c r="A5205" t="s">
        <v>2606</v>
      </c>
      <c r="F5205" t="str">
        <f t="shared" ref="F5205" si="5197">A5205</f>
        <v>GGAGCT</v>
      </c>
    </row>
    <row r="5206" spans="1:6" x14ac:dyDescent="0.3">
      <c r="A5206" t="s">
        <v>6703</v>
      </c>
      <c r="F5206" t="str">
        <f t="shared" ref="F5206" si="5198">LEFT(A5206, LEN(A5206) - 1)</f>
        <v>&gt;2601:GGAGGA:28.00:66.67:Warning:6:1881.30</v>
      </c>
    </row>
    <row r="5207" spans="1:6" x14ac:dyDescent="0.3">
      <c r="A5207" t="s">
        <v>2607</v>
      </c>
      <c r="F5207" t="str">
        <f t="shared" ref="F5207" si="5199">A5207</f>
        <v>GGAGGA</v>
      </c>
    </row>
    <row r="5208" spans="1:6" x14ac:dyDescent="0.3">
      <c r="A5208" t="s">
        <v>6704</v>
      </c>
      <c r="F5208" t="str">
        <f t="shared" ref="F5208" si="5200">LEFT(A5208, LEN(A5208) - 1)</f>
        <v>&gt;2602:GGAGGC:26.00:83.33:Warning:6:1857.27</v>
      </c>
    </row>
    <row r="5209" spans="1:6" x14ac:dyDescent="0.3">
      <c r="A5209" t="s">
        <v>2608</v>
      </c>
      <c r="F5209" t="str">
        <f t="shared" ref="F5209" si="5201">A5209</f>
        <v>GGAGGC</v>
      </c>
    </row>
    <row r="5210" spans="1:6" x14ac:dyDescent="0.3">
      <c r="A5210" t="s">
        <v>6705</v>
      </c>
      <c r="F5210" t="str">
        <f t="shared" ref="F5210" si="5202">LEFT(A5210, LEN(A5210) - 1)</f>
        <v>&gt;2603:GGAGGG:26.00:83.33:Warning:6:1897.30</v>
      </c>
    </row>
    <row r="5211" spans="1:6" x14ac:dyDescent="0.3">
      <c r="A5211" t="s">
        <v>2609</v>
      </c>
      <c r="F5211" t="str">
        <f t="shared" ref="F5211" si="5203">A5211</f>
        <v>GGAGGG</v>
      </c>
    </row>
    <row r="5212" spans="1:6" x14ac:dyDescent="0.3">
      <c r="A5212" t="s">
        <v>6706</v>
      </c>
      <c r="F5212" t="str">
        <f t="shared" ref="F5212" si="5204">LEFT(A5212, LEN(A5212) - 1)</f>
        <v>&gt;2604:GGAGGT:20.00:66.67:Warning:6:1872.28</v>
      </c>
    </row>
    <row r="5213" spans="1:6" x14ac:dyDescent="0.3">
      <c r="A5213" t="s">
        <v>2610</v>
      </c>
      <c r="F5213" t="str">
        <f t="shared" ref="F5213" si="5205">A5213</f>
        <v>GGAGGT</v>
      </c>
    </row>
    <row r="5214" spans="1:6" x14ac:dyDescent="0.3">
      <c r="A5214" t="s">
        <v>6707</v>
      </c>
      <c r="F5214" t="str">
        <f t="shared" ref="F5214" si="5206">LEFT(A5214, LEN(A5214) - 1)</f>
        <v>&gt;2605:GGAGTA:22.00:50.00:OK:6:1856.28</v>
      </c>
    </row>
    <row r="5215" spans="1:6" x14ac:dyDescent="0.3">
      <c r="A5215" t="s">
        <v>2611</v>
      </c>
      <c r="F5215" t="str">
        <f t="shared" ref="F5215" si="5207">A5215</f>
        <v>GGAGTA</v>
      </c>
    </row>
    <row r="5216" spans="1:6" x14ac:dyDescent="0.3">
      <c r="A5216" t="s">
        <v>6708</v>
      </c>
      <c r="F5216" t="str">
        <f t="shared" ref="F5216" si="5208">LEFT(A5216, LEN(A5216) - 1)</f>
        <v>&gt;2606:GGAGTC:20.00:66.67:Warning:6:1832.25</v>
      </c>
    </row>
    <row r="5217" spans="1:6" x14ac:dyDescent="0.3">
      <c r="A5217" t="s">
        <v>2612</v>
      </c>
      <c r="F5217" t="str">
        <f t="shared" ref="F5217" si="5209">A5217</f>
        <v>GGAGTC</v>
      </c>
    </row>
    <row r="5218" spans="1:6" x14ac:dyDescent="0.3">
      <c r="A5218" t="s">
        <v>6709</v>
      </c>
      <c r="F5218" t="str">
        <f t="shared" ref="F5218" si="5210">LEFT(A5218, LEN(A5218) - 1)</f>
        <v>&gt;2607:GGAGTG:20.00:66.67:Warning:6:1872.28</v>
      </c>
    </row>
    <row r="5219" spans="1:6" x14ac:dyDescent="0.3">
      <c r="A5219" t="s">
        <v>2613</v>
      </c>
      <c r="F5219" t="str">
        <f t="shared" ref="F5219" si="5211">A5219</f>
        <v>GGAGTG</v>
      </c>
    </row>
    <row r="5220" spans="1:6" x14ac:dyDescent="0.3">
      <c r="A5220" t="s">
        <v>6710</v>
      </c>
      <c r="F5220" t="str">
        <f t="shared" ref="F5220" si="5212">LEFT(A5220, LEN(A5220) - 1)</f>
        <v>&gt;2608:GGAGTT:14.00:50.00:OK:6:1847.26</v>
      </c>
    </row>
    <row r="5221" spans="1:6" x14ac:dyDescent="0.3">
      <c r="A5221" t="s">
        <v>2614</v>
      </c>
      <c r="F5221" t="str">
        <f t="shared" ref="F5221" si="5213">A5221</f>
        <v>GGAGTT</v>
      </c>
    </row>
    <row r="5222" spans="1:6" x14ac:dyDescent="0.3">
      <c r="A5222" t="s">
        <v>6711</v>
      </c>
      <c r="F5222" t="str">
        <f t="shared" ref="F5222" si="5214">LEFT(A5222, LEN(A5222) - 1)</f>
        <v>&gt;2609:GGATAA:24.00:33.33:OK:6:1840.28</v>
      </c>
    </row>
    <row r="5223" spans="1:6" x14ac:dyDescent="0.3">
      <c r="A5223" t="s">
        <v>2615</v>
      </c>
      <c r="F5223" t="str">
        <f t="shared" ref="F5223" si="5215">A5223</f>
        <v>GGATAA</v>
      </c>
    </row>
    <row r="5224" spans="1:6" x14ac:dyDescent="0.3">
      <c r="A5224" t="s">
        <v>6712</v>
      </c>
      <c r="F5224" t="str">
        <f t="shared" ref="F5224" si="5216">LEFT(A5224, LEN(A5224) - 1)</f>
        <v>&gt;2610:GGATAC:22.00:50.00:OK:6:1816.25</v>
      </c>
    </row>
    <row r="5225" spans="1:6" x14ac:dyDescent="0.3">
      <c r="A5225" t="s">
        <v>2616</v>
      </c>
      <c r="F5225" t="str">
        <f t="shared" ref="F5225" si="5217">A5225</f>
        <v>GGATAC</v>
      </c>
    </row>
    <row r="5226" spans="1:6" x14ac:dyDescent="0.3">
      <c r="A5226" t="s">
        <v>6713</v>
      </c>
      <c r="F5226" t="str">
        <f t="shared" ref="F5226" si="5218">LEFT(A5226, LEN(A5226) - 1)</f>
        <v>&gt;2611:GGATAG:22.00:50.00:OK:6:1856.28</v>
      </c>
    </row>
    <row r="5227" spans="1:6" x14ac:dyDescent="0.3">
      <c r="A5227" t="s">
        <v>2617</v>
      </c>
      <c r="F5227" t="str">
        <f t="shared" ref="F5227" si="5219">A5227</f>
        <v>GGATAG</v>
      </c>
    </row>
    <row r="5228" spans="1:6" x14ac:dyDescent="0.3">
      <c r="A5228" t="s">
        <v>6714</v>
      </c>
      <c r="F5228" t="str">
        <f t="shared" ref="F5228" si="5220">LEFT(A5228, LEN(A5228) - 1)</f>
        <v>&gt;2612:GGATAT:16.00:33.33:OK:6:1831.26</v>
      </c>
    </row>
    <row r="5229" spans="1:6" x14ac:dyDescent="0.3">
      <c r="A5229" t="s">
        <v>2618</v>
      </c>
      <c r="F5229" t="str">
        <f t="shared" ref="F5229" si="5221">A5229</f>
        <v>GGATAT</v>
      </c>
    </row>
    <row r="5230" spans="1:6" x14ac:dyDescent="0.3">
      <c r="A5230" t="s">
        <v>6715</v>
      </c>
      <c r="F5230" t="str">
        <f t="shared" ref="F5230" si="5222">LEFT(A5230, LEN(A5230) - 1)</f>
        <v>&gt;2613:GGATCA:22.00:50.00:OK:6:1816.25</v>
      </c>
    </row>
    <row r="5231" spans="1:6" x14ac:dyDescent="0.3">
      <c r="A5231" t="s">
        <v>2619</v>
      </c>
      <c r="F5231" t="str">
        <f t="shared" ref="F5231" si="5223">A5231</f>
        <v>GGATCA</v>
      </c>
    </row>
    <row r="5232" spans="1:6" x14ac:dyDescent="0.3">
      <c r="A5232" t="s">
        <v>6716</v>
      </c>
      <c r="F5232" t="str">
        <f t="shared" ref="F5232" si="5224">LEFT(A5232, LEN(A5232) - 1)</f>
        <v>&gt;2614:GGATCC:20.00:66.67:Warning:6:1792.22</v>
      </c>
    </row>
    <row r="5233" spans="1:6" x14ac:dyDescent="0.3">
      <c r="A5233" t="s">
        <v>2620</v>
      </c>
      <c r="F5233" t="str">
        <f t="shared" ref="F5233" si="5225">A5233</f>
        <v>GGATCC</v>
      </c>
    </row>
    <row r="5234" spans="1:6" x14ac:dyDescent="0.3">
      <c r="A5234" t="s">
        <v>6717</v>
      </c>
      <c r="F5234" t="str">
        <f t="shared" ref="F5234" si="5226">LEFT(A5234, LEN(A5234) - 1)</f>
        <v>&gt;2615:GGATCG:20.00:66.67:Warning:6:1832.25</v>
      </c>
    </row>
    <row r="5235" spans="1:6" x14ac:dyDescent="0.3">
      <c r="A5235" t="s">
        <v>2621</v>
      </c>
      <c r="F5235" t="str">
        <f t="shared" ref="F5235" si="5227">A5235</f>
        <v>GGATCG</v>
      </c>
    </row>
    <row r="5236" spans="1:6" x14ac:dyDescent="0.3">
      <c r="A5236" t="s">
        <v>6718</v>
      </c>
      <c r="F5236" t="str">
        <f t="shared" ref="F5236" si="5228">LEFT(A5236, LEN(A5236) - 1)</f>
        <v>&gt;2616:GGATCT:14.00:50.00:OK:6:1807.23</v>
      </c>
    </row>
    <row r="5237" spans="1:6" x14ac:dyDescent="0.3">
      <c r="A5237" t="s">
        <v>2622</v>
      </c>
      <c r="F5237" t="str">
        <f t="shared" ref="F5237" si="5229">A5237</f>
        <v>GGATCT</v>
      </c>
    </row>
    <row r="5238" spans="1:6" x14ac:dyDescent="0.3">
      <c r="A5238" t="s">
        <v>6719</v>
      </c>
      <c r="F5238" t="str">
        <f t="shared" ref="F5238" si="5230">LEFT(A5238, LEN(A5238) - 1)</f>
        <v>&gt;2617:GGATGA:22.00:50.00:OK:6:1856.28</v>
      </c>
    </row>
    <row r="5239" spans="1:6" x14ac:dyDescent="0.3">
      <c r="A5239" t="s">
        <v>2623</v>
      </c>
      <c r="F5239" t="str">
        <f t="shared" ref="F5239" si="5231">A5239</f>
        <v>GGATGA</v>
      </c>
    </row>
    <row r="5240" spans="1:6" x14ac:dyDescent="0.3">
      <c r="A5240" t="s">
        <v>6720</v>
      </c>
      <c r="F5240" t="str">
        <f t="shared" ref="F5240" si="5232">LEFT(A5240, LEN(A5240) - 1)</f>
        <v>&gt;2618:GGATGC:20.00:66.67:Warning:6:1832.25</v>
      </c>
    </row>
    <row r="5241" spans="1:6" x14ac:dyDescent="0.3">
      <c r="A5241" t="s">
        <v>2624</v>
      </c>
      <c r="F5241" t="str">
        <f t="shared" ref="F5241" si="5233">A5241</f>
        <v>GGATGC</v>
      </c>
    </row>
    <row r="5242" spans="1:6" x14ac:dyDescent="0.3">
      <c r="A5242" t="s">
        <v>6721</v>
      </c>
      <c r="F5242" t="str">
        <f t="shared" ref="F5242" si="5234">LEFT(A5242, LEN(A5242) - 1)</f>
        <v>&gt;2619:GGATGG:20.00:66.67:Warning:6:1872.28</v>
      </c>
    </row>
    <row r="5243" spans="1:6" x14ac:dyDescent="0.3">
      <c r="A5243" t="s">
        <v>2625</v>
      </c>
      <c r="F5243" t="str">
        <f t="shared" ref="F5243" si="5235">A5243</f>
        <v>GGATGG</v>
      </c>
    </row>
    <row r="5244" spans="1:6" x14ac:dyDescent="0.3">
      <c r="A5244" t="s">
        <v>6722</v>
      </c>
      <c r="F5244" t="str">
        <f t="shared" ref="F5244" si="5236">LEFT(A5244, LEN(A5244) - 1)</f>
        <v>&gt;2620:GGATGT:14.00:50.00:OK:6:1847.26</v>
      </c>
    </row>
    <row r="5245" spans="1:6" x14ac:dyDescent="0.3">
      <c r="A5245" t="s">
        <v>2626</v>
      </c>
      <c r="F5245" t="str">
        <f t="shared" ref="F5245" si="5237">A5245</f>
        <v>GGATGT</v>
      </c>
    </row>
    <row r="5246" spans="1:6" x14ac:dyDescent="0.3">
      <c r="A5246" t="s">
        <v>6723</v>
      </c>
      <c r="F5246" t="str">
        <f t="shared" ref="F5246" si="5238">LEFT(A5246, LEN(A5246) - 1)</f>
        <v>&gt;2621:GGATTA:16.00:33.33:OK:6:1831.26</v>
      </c>
    </row>
    <row r="5247" spans="1:6" x14ac:dyDescent="0.3">
      <c r="A5247" t="s">
        <v>2627</v>
      </c>
      <c r="F5247" t="str">
        <f t="shared" ref="F5247" si="5239">A5247</f>
        <v>GGATTA</v>
      </c>
    </row>
    <row r="5248" spans="1:6" x14ac:dyDescent="0.3">
      <c r="A5248" t="s">
        <v>6724</v>
      </c>
      <c r="F5248" t="str">
        <f t="shared" ref="F5248" si="5240">LEFT(A5248, LEN(A5248) - 1)</f>
        <v>&gt;2622:GGATTC:14.00:50.00:OK:6:1807.23</v>
      </c>
    </row>
    <row r="5249" spans="1:6" x14ac:dyDescent="0.3">
      <c r="A5249" t="s">
        <v>2628</v>
      </c>
      <c r="F5249" t="str">
        <f t="shared" ref="F5249" si="5241">A5249</f>
        <v>GGATTC</v>
      </c>
    </row>
    <row r="5250" spans="1:6" x14ac:dyDescent="0.3">
      <c r="A5250" t="s">
        <v>6725</v>
      </c>
      <c r="F5250" t="str">
        <f t="shared" ref="F5250" si="5242">LEFT(A5250, LEN(A5250) - 1)</f>
        <v>&gt;2623:GGATTG:14.00:50.00:OK:6:1847.26</v>
      </c>
    </row>
    <row r="5251" spans="1:6" x14ac:dyDescent="0.3">
      <c r="A5251" t="s">
        <v>2629</v>
      </c>
      <c r="F5251" t="str">
        <f t="shared" ref="F5251" si="5243">A5251</f>
        <v>GGATTG</v>
      </c>
    </row>
    <row r="5252" spans="1:6" x14ac:dyDescent="0.3">
      <c r="A5252" t="s">
        <v>6726</v>
      </c>
      <c r="F5252" t="str">
        <f t="shared" ref="F5252" si="5244">LEFT(A5252, LEN(A5252) - 1)</f>
        <v>&gt;2624:GGATTT:8.00:33.33:OK:6:1822.24</v>
      </c>
    </row>
    <row r="5253" spans="1:6" x14ac:dyDescent="0.3">
      <c r="A5253" t="s">
        <v>2630</v>
      </c>
      <c r="F5253" t="str">
        <f t="shared" ref="F5253" si="5245">A5253</f>
        <v>GGATTT</v>
      </c>
    </row>
    <row r="5254" spans="1:6" x14ac:dyDescent="0.3">
      <c r="A5254" t="s">
        <v>6727</v>
      </c>
      <c r="F5254" t="str">
        <f t="shared" ref="F5254" si="5246">LEFT(A5254, LEN(A5254) - 1)</f>
        <v>&gt;2625:GGCAAA:30.00:50.00:OK:6:1825.27</v>
      </c>
    </row>
    <row r="5255" spans="1:6" x14ac:dyDescent="0.3">
      <c r="A5255" t="s">
        <v>2631</v>
      </c>
      <c r="F5255" t="str">
        <f t="shared" ref="F5255" si="5247">A5255</f>
        <v>GGCAAA</v>
      </c>
    </row>
    <row r="5256" spans="1:6" x14ac:dyDescent="0.3">
      <c r="A5256" t="s">
        <v>6728</v>
      </c>
      <c r="F5256" t="str">
        <f t="shared" ref="F5256" si="5248">LEFT(A5256, LEN(A5256) - 1)</f>
        <v>&gt;2626:GGCAAC:28.00:66.67:Warning:6:1801.24</v>
      </c>
    </row>
    <row r="5257" spans="1:6" x14ac:dyDescent="0.3">
      <c r="A5257" t="s">
        <v>2632</v>
      </c>
      <c r="F5257" t="str">
        <f t="shared" ref="F5257" si="5249">A5257</f>
        <v>GGCAAC</v>
      </c>
    </row>
    <row r="5258" spans="1:6" x14ac:dyDescent="0.3">
      <c r="A5258" t="s">
        <v>6729</v>
      </c>
      <c r="F5258" t="str">
        <f t="shared" ref="F5258" si="5250">LEFT(A5258, LEN(A5258) - 1)</f>
        <v>&gt;2627:GGCAAG:28.00:66.67:Warning:6:1841.27</v>
      </c>
    </row>
    <row r="5259" spans="1:6" x14ac:dyDescent="0.3">
      <c r="A5259" t="s">
        <v>2633</v>
      </c>
      <c r="F5259" t="str">
        <f t="shared" ref="F5259" si="5251">A5259</f>
        <v>GGCAAG</v>
      </c>
    </row>
    <row r="5260" spans="1:6" x14ac:dyDescent="0.3">
      <c r="A5260" t="s">
        <v>6730</v>
      </c>
      <c r="F5260" t="str">
        <f t="shared" ref="F5260" si="5252">LEFT(A5260, LEN(A5260) - 1)</f>
        <v>&gt;2628:GGCAAT:22.00:50.00:OK:6:1816.25</v>
      </c>
    </row>
    <row r="5261" spans="1:6" x14ac:dyDescent="0.3">
      <c r="A5261" t="s">
        <v>2634</v>
      </c>
      <c r="F5261" t="str">
        <f t="shared" ref="F5261" si="5253">A5261</f>
        <v>GGCAAT</v>
      </c>
    </row>
    <row r="5262" spans="1:6" x14ac:dyDescent="0.3">
      <c r="A5262" t="s">
        <v>6731</v>
      </c>
      <c r="F5262" t="str">
        <f t="shared" ref="F5262" si="5254">LEFT(A5262, LEN(A5262) - 1)</f>
        <v>&gt;2629:GGCACA:28.00:66.67:Warning:6:1801.24</v>
      </c>
    </row>
    <row r="5263" spans="1:6" x14ac:dyDescent="0.3">
      <c r="A5263" t="s">
        <v>2635</v>
      </c>
      <c r="F5263" t="str">
        <f t="shared" ref="F5263" si="5255">A5263</f>
        <v>GGCACA</v>
      </c>
    </row>
    <row r="5264" spans="1:6" x14ac:dyDescent="0.3">
      <c r="A5264" t="s">
        <v>6732</v>
      </c>
      <c r="F5264" t="str">
        <f t="shared" ref="F5264" si="5256">LEFT(A5264, LEN(A5264) - 1)</f>
        <v>&gt;2630:GGCACC:26.00:83.33:Warning:6:1777.21</v>
      </c>
    </row>
    <row r="5265" spans="1:6" x14ac:dyDescent="0.3">
      <c r="A5265" t="s">
        <v>2636</v>
      </c>
      <c r="F5265" t="str">
        <f t="shared" ref="F5265" si="5257">A5265</f>
        <v>GGCACC</v>
      </c>
    </row>
    <row r="5266" spans="1:6" x14ac:dyDescent="0.3">
      <c r="A5266" t="s">
        <v>6733</v>
      </c>
      <c r="F5266" t="str">
        <f t="shared" ref="F5266" si="5258">LEFT(A5266, LEN(A5266) - 1)</f>
        <v>&gt;2631:GGCACG:26.00:83.33:Warning:6:1817.24</v>
      </c>
    </row>
    <row r="5267" spans="1:6" x14ac:dyDescent="0.3">
      <c r="A5267" t="s">
        <v>2637</v>
      </c>
      <c r="F5267" t="str">
        <f t="shared" ref="F5267" si="5259">A5267</f>
        <v>GGCACG</v>
      </c>
    </row>
    <row r="5268" spans="1:6" x14ac:dyDescent="0.3">
      <c r="A5268" t="s">
        <v>6734</v>
      </c>
      <c r="F5268" t="str">
        <f t="shared" ref="F5268" si="5260">LEFT(A5268, LEN(A5268) - 1)</f>
        <v>&gt;2632:GGCACT:20.00:66.67:Warning:6:1792.22</v>
      </c>
    </row>
    <row r="5269" spans="1:6" x14ac:dyDescent="0.3">
      <c r="A5269" t="s">
        <v>2638</v>
      </c>
      <c r="F5269" t="str">
        <f t="shared" ref="F5269" si="5261">A5269</f>
        <v>GGCACT</v>
      </c>
    </row>
    <row r="5270" spans="1:6" x14ac:dyDescent="0.3">
      <c r="A5270" t="s">
        <v>6735</v>
      </c>
      <c r="F5270" t="str">
        <f t="shared" ref="F5270" si="5262">LEFT(A5270, LEN(A5270) - 1)</f>
        <v>&gt;2633:GGCAGA:28.00:66.67:Warning:6:1841.27</v>
      </c>
    </row>
    <row r="5271" spans="1:6" x14ac:dyDescent="0.3">
      <c r="A5271" t="s">
        <v>2639</v>
      </c>
      <c r="F5271" t="str">
        <f t="shared" ref="F5271" si="5263">A5271</f>
        <v>GGCAGA</v>
      </c>
    </row>
    <row r="5272" spans="1:6" x14ac:dyDescent="0.3">
      <c r="A5272" t="s">
        <v>6736</v>
      </c>
      <c r="F5272" t="str">
        <f t="shared" ref="F5272" si="5264">LEFT(A5272, LEN(A5272) - 1)</f>
        <v>&gt;2634:GGCAGC:26.00:83.33:Warning:6:1817.24</v>
      </c>
    </row>
    <row r="5273" spans="1:6" x14ac:dyDescent="0.3">
      <c r="A5273" t="s">
        <v>2640</v>
      </c>
      <c r="F5273" t="str">
        <f t="shared" ref="F5273" si="5265">A5273</f>
        <v>GGCAGC</v>
      </c>
    </row>
    <row r="5274" spans="1:6" x14ac:dyDescent="0.3">
      <c r="A5274" t="s">
        <v>6737</v>
      </c>
      <c r="F5274" t="str">
        <f t="shared" ref="F5274" si="5266">LEFT(A5274, LEN(A5274) - 1)</f>
        <v>&gt;2635:GGCAGG:26.00:83.33:Warning:6:1857.27</v>
      </c>
    </row>
    <row r="5275" spans="1:6" x14ac:dyDescent="0.3">
      <c r="A5275" t="s">
        <v>2641</v>
      </c>
      <c r="F5275" t="str">
        <f t="shared" ref="F5275" si="5267">A5275</f>
        <v>GGCAGG</v>
      </c>
    </row>
    <row r="5276" spans="1:6" x14ac:dyDescent="0.3">
      <c r="A5276" t="s">
        <v>6738</v>
      </c>
      <c r="F5276" t="str">
        <f t="shared" ref="F5276" si="5268">LEFT(A5276, LEN(A5276) - 1)</f>
        <v>&gt;2636:GGCAGT:20.00:66.67:Warning:6:1832.25</v>
      </c>
    </row>
    <row r="5277" spans="1:6" x14ac:dyDescent="0.3">
      <c r="A5277" t="s">
        <v>2642</v>
      </c>
      <c r="F5277" t="str">
        <f t="shared" ref="F5277" si="5269">A5277</f>
        <v>GGCAGT</v>
      </c>
    </row>
    <row r="5278" spans="1:6" x14ac:dyDescent="0.3">
      <c r="A5278" t="s">
        <v>6739</v>
      </c>
      <c r="F5278" t="str">
        <f t="shared" ref="F5278" si="5270">LEFT(A5278, LEN(A5278) - 1)</f>
        <v>&gt;2637:GGCATA:22.00:50.00:OK:6:1816.25</v>
      </c>
    </row>
    <row r="5279" spans="1:6" x14ac:dyDescent="0.3">
      <c r="A5279" t="s">
        <v>2643</v>
      </c>
      <c r="F5279" t="str">
        <f t="shared" ref="F5279" si="5271">A5279</f>
        <v>GGCATA</v>
      </c>
    </row>
    <row r="5280" spans="1:6" x14ac:dyDescent="0.3">
      <c r="A5280" t="s">
        <v>6740</v>
      </c>
      <c r="F5280" t="str">
        <f t="shared" ref="F5280" si="5272">LEFT(A5280, LEN(A5280) - 1)</f>
        <v>&gt;2638:GGCATC:20.00:66.67:Warning:6:1792.22</v>
      </c>
    </row>
    <row r="5281" spans="1:6" x14ac:dyDescent="0.3">
      <c r="A5281" t="s">
        <v>2644</v>
      </c>
      <c r="F5281" t="str">
        <f t="shared" ref="F5281" si="5273">A5281</f>
        <v>GGCATC</v>
      </c>
    </row>
    <row r="5282" spans="1:6" x14ac:dyDescent="0.3">
      <c r="A5282" t="s">
        <v>6741</v>
      </c>
      <c r="F5282" t="str">
        <f t="shared" ref="F5282" si="5274">LEFT(A5282, LEN(A5282) - 1)</f>
        <v>&gt;2639:GGCATG:20.00:66.67:Warning:6:1832.25</v>
      </c>
    </row>
    <row r="5283" spans="1:6" x14ac:dyDescent="0.3">
      <c r="A5283" t="s">
        <v>2645</v>
      </c>
      <c r="F5283" t="str">
        <f t="shared" ref="F5283" si="5275">A5283</f>
        <v>GGCATG</v>
      </c>
    </row>
    <row r="5284" spans="1:6" x14ac:dyDescent="0.3">
      <c r="A5284" t="s">
        <v>6742</v>
      </c>
      <c r="F5284" t="str">
        <f t="shared" ref="F5284" si="5276">LEFT(A5284, LEN(A5284) - 1)</f>
        <v>&gt;2640:GGCATT:14.00:50.00:OK:6:1807.23</v>
      </c>
    </row>
    <row r="5285" spans="1:6" x14ac:dyDescent="0.3">
      <c r="A5285" t="s">
        <v>2646</v>
      </c>
      <c r="F5285" t="str">
        <f t="shared" ref="F5285" si="5277">A5285</f>
        <v>GGCATT</v>
      </c>
    </row>
    <row r="5286" spans="1:6" x14ac:dyDescent="0.3">
      <c r="A5286" t="s">
        <v>6743</v>
      </c>
      <c r="F5286" t="str">
        <f t="shared" ref="F5286" si="5278">LEFT(A5286, LEN(A5286) - 1)</f>
        <v>&gt;2641:GGCCAA:28.00:66.67:Warning:6:1801.24</v>
      </c>
    </row>
    <row r="5287" spans="1:6" x14ac:dyDescent="0.3">
      <c r="A5287" t="s">
        <v>2647</v>
      </c>
      <c r="F5287" t="str">
        <f t="shared" ref="F5287" si="5279">A5287</f>
        <v>GGCCAA</v>
      </c>
    </row>
    <row r="5288" spans="1:6" x14ac:dyDescent="0.3">
      <c r="A5288" t="s">
        <v>6744</v>
      </c>
      <c r="F5288" t="str">
        <f t="shared" ref="F5288" si="5280">LEFT(A5288, LEN(A5288) - 1)</f>
        <v>&gt;2642:GGCCAC:26.00:83.33:Warning:6:1777.21</v>
      </c>
    </row>
    <row r="5289" spans="1:6" x14ac:dyDescent="0.3">
      <c r="A5289" t="s">
        <v>2648</v>
      </c>
      <c r="F5289" t="str">
        <f t="shared" ref="F5289" si="5281">A5289</f>
        <v>GGCCAC</v>
      </c>
    </row>
    <row r="5290" spans="1:6" x14ac:dyDescent="0.3">
      <c r="A5290" t="s">
        <v>6745</v>
      </c>
      <c r="F5290" t="str">
        <f t="shared" ref="F5290" si="5282">LEFT(A5290, LEN(A5290) - 1)</f>
        <v>&gt;2643:GGCCAG:26.00:83.33:Warning:6:1817.24</v>
      </c>
    </row>
    <row r="5291" spans="1:6" x14ac:dyDescent="0.3">
      <c r="A5291" t="s">
        <v>2649</v>
      </c>
      <c r="F5291" t="str">
        <f t="shared" ref="F5291" si="5283">A5291</f>
        <v>GGCCAG</v>
      </c>
    </row>
    <row r="5292" spans="1:6" x14ac:dyDescent="0.3">
      <c r="A5292" t="s">
        <v>6746</v>
      </c>
      <c r="F5292" t="str">
        <f t="shared" ref="F5292" si="5284">LEFT(A5292, LEN(A5292) - 1)</f>
        <v>&gt;2644:GGCCAT:20.00:66.67:Warning:6:1792.22</v>
      </c>
    </row>
    <row r="5293" spans="1:6" x14ac:dyDescent="0.3">
      <c r="A5293" t="s">
        <v>2650</v>
      </c>
      <c r="F5293" t="str">
        <f t="shared" ref="F5293" si="5285">A5293</f>
        <v>GGCCAT</v>
      </c>
    </row>
    <row r="5294" spans="1:6" x14ac:dyDescent="0.3">
      <c r="A5294" t="s">
        <v>6747</v>
      </c>
      <c r="F5294" t="str">
        <f t="shared" ref="F5294" si="5286">LEFT(A5294, LEN(A5294) - 1)</f>
        <v>&gt;2645:GGCCCA:26.00:83.33:Warning:6:1777.21</v>
      </c>
    </row>
    <row r="5295" spans="1:6" x14ac:dyDescent="0.3">
      <c r="A5295" t="s">
        <v>2651</v>
      </c>
      <c r="F5295" t="str">
        <f t="shared" ref="F5295" si="5287">A5295</f>
        <v>GGCCCA</v>
      </c>
    </row>
    <row r="5296" spans="1:6" x14ac:dyDescent="0.3">
      <c r="A5296" t="s">
        <v>6748</v>
      </c>
      <c r="F5296" t="str">
        <f t="shared" ref="F5296" si="5288">LEFT(A5296, LEN(A5296) - 1)</f>
        <v>&gt;2646:GGCCCC:24.00:100.00:Warning:6:1753.18</v>
      </c>
    </row>
    <row r="5297" spans="1:6" x14ac:dyDescent="0.3">
      <c r="A5297" t="s">
        <v>2652</v>
      </c>
      <c r="F5297" t="str">
        <f t="shared" ref="F5297" si="5289">A5297</f>
        <v>GGCCCC</v>
      </c>
    </row>
    <row r="5298" spans="1:6" x14ac:dyDescent="0.3">
      <c r="A5298" t="s">
        <v>6749</v>
      </c>
      <c r="F5298" t="str">
        <f t="shared" ref="F5298" si="5290">LEFT(A5298, LEN(A5298) - 1)</f>
        <v>&gt;2647:GGCCCG:24.00:100.00:Warning:6:1793.21</v>
      </c>
    </row>
    <row r="5299" spans="1:6" x14ac:dyDescent="0.3">
      <c r="A5299" t="s">
        <v>2653</v>
      </c>
      <c r="F5299" t="str">
        <f t="shared" ref="F5299" si="5291">A5299</f>
        <v>GGCCCG</v>
      </c>
    </row>
    <row r="5300" spans="1:6" x14ac:dyDescent="0.3">
      <c r="A5300" t="s">
        <v>6750</v>
      </c>
      <c r="F5300" t="str">
        <f t="shared" ref="F5300" si="5292">LEFT(A5300, LEN(A5300) - 1)</f>
        <v>&gt;2648:GGCCCT:18.00:83.33:Warning:6:1768.19</v>
      </c>
    </row>
    <row r="5301" spans="1:6" x14ac:dyDescent="0.3">
      <c r="A5301" t="s">
        <v>2654</v>
      </c>
      <c r="F5301" t="str">
        <f t="shared" ref="F5301" si="5293">A5301</f>
        <v>GGCCCT</v>
      </c>
    </row>
    <row r="5302" spans="1:6" x14ac:dyDescent="0.3">
      <c r="A5302" t="s">
        <v>6751</v>
      </c>
      <c r="F5302" t="str">
        <f t="shared" ref="F5302" si="5294">LEFT(A5302, LEN(A5302) - 1)</f>
        <v>&gt;2649:GGCCGA:26.00:83.33:Warning:6:1817.24</v>
      </c>
    </row>
    <row r="5303" spans="1:6" x14ac:dyDescent="0.3">
      <c r="A5303" t="s">
        <v>2655</v>
      </c>
      <c r="F5303" t="str">
        <f t="shared" ref="F5303" si="5295">A5303</f>
        <v>GGCCGA</v>
      </c>
    </row>
    <row r="5304" spans="1:6" x14ac:dyDescent="0.3">
      <c r="A5304" t="s">
        <v>6752</v>
      </c>
      <c r="F5304" t="str">
        <f t="shared" ref="F5304" si="5296">LEFT(A5304, LEN(A5304) - 1)</f>
        <v>&gt;2650:GGCCGC:24.00:100.00:Warning:6:1793.21</v>
      </c>
    </row>
    <row r="5305" spans="1:6" x14ac:dyDescent="0.3">
      <c r="A5305" t="s">
        <v>2656</v>
      </c>
      <c r="F5305" t="str">
        <f t="shared" ref="F5305" si="5297">A5305</f>
        <v>GGCCGC</v>
      </c>
    </row>
    <row r="5306" spans="1:6" x14ac:dyDescent="0.3">
      <c r="A5306" t="s">
        <v>6753</v>
      </c>
      <c r="F5306" t="str">
        <f t="shared" ref="F5306" si="5298">LEFT(A5306, LEN(A5306) - 1)</f>
        <v>&gt;2651:GGCCGG:24.00:100.00:Warning:6:1833.24</v>
      </c>
    </row>
    <row r="5307" spans="1:6" x14ac:dyDescent="0.3">
      <c r="A5307" t="s">
        <v>2657</v>
      </c>
      <c r="F5307" t="str">
        <f t="shared" ref="F5307" si="5299">A5307</f>
        <v>GGCCGG</v>
      </c>
    </row>
    <row r="5308" spans="1:6" x14ac:dyDescent="0.3">
      <c r="A5308" t="s">
        <v>6754</v>
      </c>
      <c r="F5308" t="str">
        <f t="shared" ref="F5308" si="5300">LEFT(A5308, LEN(A5308) - 1)</f>
        <v>&gt;2652:GGCCGT:18.00:83.33:Warning:6:1808.22</v>
      </c>
    </row>
    <row r="5309" spans="1:6" x14ac:dyDescent="0.3">
      <c r="A5309" t="s">
        <v>2658</v>
      </c>
      <c r="F5309" t="str">
        <f t="shared" ref="F5309" si="5301">A5309</f>
        <v>GGCCGT</v>
      </c>
    </row>
    <row r="5310" spans="1:6" x14ac:dyDescent="0.3">
      <c r="A5310" t="s">
        <v>6755</v>
      </c>
      <c r="F5310" t="str">
        <f t="shared" ref="F5310" si="5302">LEFT(A5310, LEN(A5310) - 1)</f>
        <v>&gt;2653:GGCCTA:20.00:66.67:Warning:6:1792.22</v>
      </c>
    </row>
    <row r="5311" spans="1:6" x14ac:dyDescent="0.3">
      <c r="A5311" t="s">
        <v>2659</v>
      </c>
      <c r="F5311" t="str">
        <f t="shared" ref="F5311" si="5303">A5311</f>
        <v>GGCCTA</v>
      </c>
    </row>
    <row r="5312" spans="1:6" x14ac:dyDescent="0.3">
      <c r="A5312" t="s">
        <v>6756</v>
      </c>
      <c r="F5312" t="str">
        <f t="shared" ref="F5312" si="5304">LEFT(A5312, LEN(A5312) - 1)</f>
        <v>&gt;2654:GGCCTC:18.00:83.33:Warning:6:1768.19</v>
      </c>
    </row>
    <row r="5313" spans="1:6" x14ac:dyDescent="0.3">
      <c r="A5313" t="s">
        <v>2660</v>
      </c>
      <c r="F5313" t="str">
        <f t="shared" ref="F5313" si="5305">A5313</f>
        <v>GGCCTC</v>
      </c>
    </row>
    <row r="5314" spans="1:6" x14ac:dyDescent="0.3">
      <c r="A5314" t="s">
        <v>6757</v>
      </c>
      <c r="F5314" t="str">
        <f t="shared" ref="F5314" si="5306">LEFT(A5314, LEN(A5314) - 1)</f>
        <v>&gt;2655:GGCCTG:18.00:83.33:Warning:6:1808.22</v>
      </c>
    </row>
    <row r="5315" spans="1:6" x14ac:dyDescent="0.3">
      <c r="A5315" t="s">
        <v>2661</v>
      </c>
      <c r="F5315" t="str">
        <f t="shared" ref="F5315" si="5307">A5315</f>
        <v>GGCCTG</v>
      </c>
    </row>
    <row r="5316" spans="1:6" x14ac:dyDescent="0.3">
      <c r="A5316" t="s">
        <v>6758</v>
      </c>
      <c r="F5316" t="str">
        <f t="shared" ref="F5316" si="5308">LEFT(A5316, LEN(A5316) - 1)</f>
        <v>&gt;2656:GGCCTT:12.00:66.67:Warning:6:1783.20</v>
      </c>
    </row>
    <row r="5317" spans="1:6" x14ac:dyDescent="0.3">
      <c r="A5317" t="s">
        <v>2662</v>
      </c>
      <c r="F5317" t="str">
        <f t="shared" ref="F5317" si="5309">A5317</f>
        <v>GGCCTT</v>
      </c>
    </row>
    <row r="5318" spans="1:6" x14ac:dyDescent="0.3">
      <c r="A5318" t="s">
        <v>6759</v>
      </c>
      <c r="F5318" t="str">
        <f t="shared" ref="F5318" si="5310">LEFT(A5318, LEN(A5318) - 1)</f>
        <v>&gt;2657:GGCGAA:28.00:66.67:Warning:6:1841.27</v>
      </c>
    </row>
    <row r="5319" spans="1:6" x14ac:dyDescent="0.3">
      <c r="A5319" t="s">
        <v>2663</v>
      </c>
      <c r="F5319" t="str">
        <f t="shared" ref="F5319" si="5311">A5319</f>
        <v>GGCGAA</v>
      </c>
    </row>
    <row r="5320" spans="1:6" x14ac:dyDescent="0.3">
      <c r="A5320" t="s">
        <v>6760</v>
      </c>
      <c r="F5320" t="str">
        <f t="shared" ref="F5320" si="5312">LEFT(A5320, LEN(A5320) - 1)</f>
        <v>&gt;2658:GGCGAC:26.00:83.33:Warning:6:1817.24</v>
      </c>
    </row>
    <row r="5321" spans="1:6" x14ac:dyDescent="0.3">
      <c r="A5321" t="s">
        <v>2664</v>
      </c>
      <c r="F5321" t="str">
        <f t="shared" ref="F5321" si="5313">A5321</f>
        <v>GGCGAC</v>
      </c>
    </row>
    <row r="5322" spans="1:6" x14ac:dyDescent="0.3">
      <c r="A5322" t="s">
        <v>6761</v>
      </c>
      <c r="F5322" t="str">
        <f t="shared" ref="F5322" si="5314">LEFT(A5322, LEN(A5322) - 1)</f>
        <v>&gt;2659:GGCGAG:26.00:83.33:Warning:6:1857.27</v>
      </c>
    </row>
    <row r="5323" spans="1:6" x14ac:dyDescent="0.3">
      <c r="A5323" t="s">
        <v>2665</v>
      </c>
      <c r="F5323" t="str">
        <f t="shared" ref="F5323" si="5315">A5323</f>
        <v>GGCGAG</v>
      </c>
    </row>
    <row r="5324" spans="1:6" x14ac:dyDescent="0.3">
      <c r="A5324" t="s">
        <v>6762</v>
      </c>
      <c r="F5324" t="str">
        <f t="shared" ref="F5324" si="5316">LEFT(A5324, LEN(A5324) - 1)</f>
        <v>&gt;2660:GGCGAT:20.00:66.67:Warning:6:1832.25</v>
      </c>
    </row>
    <row r="5325" spans="1:6" x14ac:dyDescent="0.3">
      <c r="A5325" t="s">
        <v>2666</v>
      </c>
      <c r="F5325" t="str">
        <f t="shared" ref="F5325" si="5317">A5325</f>
        <v>GGCGAT</v>
      </c>
    </row>
    <row r="5326" spans="1:6" x14ac:dyDescent="0.3">
      <c r="A5326" t="s">
        <v>6763</v>
      </c>
      <c r="F5326" t="str">
        <f t="shared" ref="F5326" si="5318">LEFT(A5326, LEN(A5326) - 1)</f>
        <v>&gt;2661:GGCGCA:26.00:83.33:Warning:6:1817.24</v>
      </c>
    </row>
    <row r="5327" spans="1:6" x14ac:dyDescent="0.3">
      <c r="A5327" t="s">
        <v>2667</v>
      </c>
      <c r="F5327" t="str">
        <f t="shared" ref="F5327" si="5319">A5327</f>
        <v>GGCGCA</v>
      </c>
    </row>
    <row r="5328" spans="1:6" x14ac:dyDescent="0.3">
      <c r="A5328" t="s">
        <v>6764</v>
      </c>
      <c r="F5328" t="str">
        <f t="shared" ref="F5328" si="5320">LEFT(A5328, LEN(A5328) - 1)</f>
        <v>&gt;2662:GGCGCC:24.00:100.00:Warning:6:1793.21</v>
      </c>
    </row>
    <row r="5329" spans="1:6" x14ac:dyDescent="0.3">
      <c r="A5329" t="s">
        <v>2668</v>
      </c>
      <c r="F5329" t="str">
        <f t="shared" ref="F5329" si="5321">A5329</f>
        <v>GGCGCC</v>
      </c>
    </row>
    <row r="5330" spans="1:6" x14ac:dyDescent="0.3">
      <c r="A5330" t="s">
        <v>6765</v>
      </c>
      <c r="F5330" t="str">
        <f t="shared" ref="F5330" si="5322">LEFT(A5330, LEN(A5330) - 1)</f>
        <v>&gt;2663:GGCGCG:24.00:100.00:Warning:6:1833.24</v>
      </c>
    </row>
    <row r="5331" spans="1:6" x14ac:dyDescent="0.3">
      <c r="A5331" t="s">
        <v>2669</v>
      </c>
      <c r="F5331" t="str">
        <f t="shared" ref="F5331" si="5323">A5331</f>
        <v>GGCGCG</v>
      </c>
    </row>
    <row r="5332" spans="1:6" x14ac:dyDescent="0.3">
      <c r="A5332" t="s">
        <v>6766</v>
      </c>
      <c r="F5332" t="str">
        <f t="shared" ref="F5332" si="5324">LEFT(A5332, LEN(A5332) - 1)</f>
        <v>&gt;2664:GGCGCT:18.00:83.33:Warning:6:1808.22</v>
      </c>
    </row>
    <row r="5333" spans="1:6" x14ac:dyDescent="0.3">
      <c r="A5333" t="s">
        <v>2670</v>
      </c>
      <c r="F5333" t="str">
        <f t="shared" ref="F5333" si="5325">A5333</f>
        <v>GGCGCT</v>
      </c>
    </row>
    <row r="5334" spans="1:6" x14ac:dyDescent="0.3">
      <c r="A5334" t="s">
        <v>6767</v>
      </c>
      <c r="F5334" t="str">
        <f t="shared" ref="F5334" si="5326">LEFT(A5334, LEN(A5334) - 1)</f>
        <v>&gt;2665:GGCGGA:26.00:83.33:Warning:6:1857.27</v>
      </c>
    </row>
    <row r="5335" spans="1:6" x14ac:dyDescent="0.3">
      <c r="A5335" t="s">
        <v>2671</v>
      </c>
      <c r="F5335" t="str">
        <f t="shared" ref="F5335" si="5327">A5335</f>
        <v>GGCGGA</v>
      </c>
    </row>
    <row r="5336" spans="1:6" x14ac:dyDescent="0.3">
      <c r="A5336" t="s">
        <v>6768</v>
      </c>
      <c r="F5336" t="str">
        <f t="shared" ref="F5336" si="5328">LEFT(A5336, LEN(A5336) - 1)</f>
        <v>&gt;2666:GGCGGC:24.00:100.00:Warning:6:1833.24</v>
      </c>
    </row>
    <row r="5337" spans="1:6" x14ac:dyDescent="0.3">
      <c r="A5337" t="s">
        <v>2672</v>
      </c>
      <c r="F5337" t="str">
        <f t="shared" ref="F5337" si="5329">A5337</f>
        <v>GGCGGC</v>
      </c>
    </row>
    <row r="5338" spans="1:6" x14ac:dyDescent="0.3">
      <c r="A5338" t="s">
        <v>6769</v>
      </c>
      <c r="F5338" t="str">
        <f t="shared" ref="F5338" si="5330">LEFT(A5338, LEN(A5338) - 1)</f>
        <v>&gt;2667:GGCGGG:24.00:100.00:Warning:6:1873.27</v>
      </c>
    </row>
    <row r="5339" spans="1:6" x14ac:dyDescent="0.3">
      <c r="A5339" t="s">
        <v>2673</v>
      </c>
      <c r="F5339" t="str">
        <f t="shared" ref="F5339" si="5331">A5339</f>
        <v>GGCGGG</v>
      </c>
    </row>
    <row r="5340" spans="1:6" x14ac:dyDescent="0.3">
      <c r="A5340" t="s">
        <v>6770</v>
      </c>
      <c r="F5340" t="str">
        <f t="shared" ref="F5340" si="5332">LEFT(A5340, LEN(A5340) - 1)</f>
        <v>&gt;2668:GGCGGT:18.00:83.33:Warning:6:1848.25</v>
      </c>
    </row>
    <row r="5341" spans="1:6" x14ac:dyDescent="0.3">
      <c r="A5341" t="s">
        <v>2674</v>
      </c>
      <c r="F5341" t="str">
        <f t="shared" ref="F5341" si="5333">A5341</f>
        <v>GGCGGT</v>
      </c>
    </row>
    <row r="5342" spans="1:6" x14ac:dyDescent="0.3">
      <c r="A5342" t="s">
        <v>6771</v>
      </c>
      <c r="F5342" t="str">
        <f t="shared" ref="F5342" si="5334">LEFT(A5342, LEN(A5342) - 1)</f>
        <v>&gt;2669:GGCGTA:20.00:66.67:Warning:6:1832.25</v>
      </c>
    </row>
    <row r="5343" spans="1:6" x14ac:dyDescent="0.3">
      <c r="A5343" t="s">
        <v>2675</v>
      </c>
      <c r="F5343" t="str">
        <f t="shared" ref="F5343" si="5335">A5343</f>
        <v>GGCGTA</v>
      </c>
    </row>
    <row r="5344" spans="1:6" x14ac:dyDescent="0.3">
      <c r="A5344" t="s">
        <v>6772</v>
      </c>
      <c r="F5344" t="str">
        <f t="shared" ref="F5344" si="5336">LEFT(A5344, LEN(A5344) - 1)</f>
        <v>&gt;2670:GGCGTC:18.00:83.33:Warning:6:1808.22</v>
      </c>
    </row>
    <row r="5345" spans="1:6" x14ac:dyDescent="0.3">
      <c r="A5345" t="s">
        <v>2676</v>
      </c>
      <c r="F5345" t="str">
        <f t="shared" ref="F5345" si="5337">A5345</f>
        <v>GGCGTC</v>
      </c>
    </row>
    <row r="5346" spans="1:6" x14ac:dyDescent="0.3">
      <c r="A5346" t="s">
        <v>6773</v>
      </c>
      <c r="F5346" t="str">
        <f t="shared" ref="F5346" si="5338">LEFT(A5346, LEN(A5346) - 1)</f>
        <v>&gt;2671:GGCGTG:18.00:83.33:Warning:6:1848.25</v>
      </c>
    </row>
    <row r="5347" spans="1:6" x14ac:dyDescent="0.3">
      <c r="A5347" t="s">
        <v>2677</v>
      </c>
      <c r="F5347" t="str">
        <f t="shared" ref="F5347" si="5339">A5347</f>
        <v>GGCGTG</v>
      </c>
    </row>
    <row r="5348" spans="1:6" x14ac:dyDescent="0.3">
      <c r="A5348" t="s">
        <v>6774</v>
      </c>
      <c r="F5348" t="str">
        <f t="shared" ref="F5348" si="5340">LEFT(A5348, LEN(A5348) - 1)</f>
        <v>&gt;2672:GGCGTT:12.00:66.67:Warning:6:1823.23</v>
      </c>
    </row>
    <row r="5349" spans="1:6" x14ac:dyDescent="0.3">
      <c r="A5349" t="s">
        <v>2678</v>
      </c>
      <c r="F5349" t="str">
        <f t="shared" ref="F5349" si="5341">A5349</f>
        <v>GGCGTT</v>
      </c>
    </row>
    <row r="5350" spans="1:6" x14ac:dyDescent="0.3">
      <c r="A5350" t="s">
        <v>6775</v>
      </c>
      <c r="F5350" t="str">
        <f t="shared" ref="F5350" si="5342">LEFT(A5350, LEN(A5350) - 1)</f>
        <v>&gt;2673:GGCTAA:22.00:50.00:OK:6:1816.25</v>
      </c>
    </row>
    <row r="5351" spans="1:6" x14ac:dyDescent="0.3">
      <c r="A5351" t="s">
        <v>2679</v>
      </c>
      <c r="F5351" t="str">
        <f t="shared" ref="F5351" si="5343">A5351</f>
        <v>GGCTAA</v>
      </c>
    </row>
    <row r="5352" spans="1:6" x14ac:dyDescent="0.3">
      <c r="A5352" t="s">
        <v>6776</v>
      </c>
      <c r="F5352" t="str">
        <f t="shared" ref="F5352" si="5344">LEFT(A5352, LEN(A5352) - 1)</f>
        <v>&gt;2674:GGCTAC:20.00:66.67:Warning:6:1792.22</v>
      </c>
    </row>
    <row r="5353" spans="1:6" x14ac:dyDescent="0.3">
      <c r="A5353" t="s">
        <v>2680</v>
      </c>
      <c r="F5353" t="str">
        <f t="shared" ref="F5353" si="5345">A5353</f>
        <v>GGCTAC</v>
      </c>
    </row>
    <row r="5354" spans="1:6" x14ac:dyDescent="0.3">
      <c r="A5354" t="s">
        <v>6777</v>
      </c>
      <c r="F5354" t="str">
        <f t="shared" ref="F5354" si="5346">LEFT(A5354, LEN(A5354) - 1)</f>
        <v>&gt;2675:GGCTAG:20.00:66.67:Warning:6:1832.25</v>
      </c>
    </row>
    <row r="5355" spans="1:6" x14ac:dyDescent="0.3">
      <c r="A5355" t="s">
        <v>2681</v>
      </c>
      <c r="F5355" t="str">
        <f t="shared" ref="F5355" si="5347">A5355</f>
        <v>GGCTAG</v>
      </c>
    </row>
    <row r="5356" spans="1:6" x14ac:dyDescent="0.3">
      <c r="A5356" t="s">
        <v>6778</v>
      </c>
      <c r="F5356" t="str">
        <f t="shared" ref="F5356" si="5348">LEFT(A5356, LEN(A5356) - 1)</f>
        <v>&gt;2676:GGCTAT:14.00:50.00:OK:6:1807.23</v>
      </c>
    </row>
    <row r="5357" spans="1:6" x14ac:dyDescent="0.3">
      <c r="A5357" t="s">
        <v>2682</v>
      </c>
      <c r="F5357" t="str">
        <f t="shared" ref="F5357" si="5349">A5357</f>
        <v>GGCTAT</v>
      </c>
    </row>
    <row r="5358" spans="1:6" x14ac:dyDescent="0.3">
      <c r="A5358" t="s">
        <v>6779</v>
      </c>
      <c r="F5358" t="str">
        <f t="shared" ref="F5358" si="5350">LEFT(A5358, LEN(A5358) - 1)</f>
        <v>&gt;2677:GGCTCA:20.00:66.67:Warning:6:1792.22</v>
      </c>
    </row>
    <row r="5359" spans="1:6" x14ac:dyDescent="0.3">
      <c r="A5359" t="s">
        <v>2683</v>
      </c>
      <c r="F5359" t="str">
        <f t="shared" ref="F5359" si="5351">A5359</f>
        <v>GGCTCA</v>
      </c>
    </row>
    <row r="5360" spans="1:6" x14ac:dyDescent="0.3">
      <c r="A5360" t="s">
        <v>6780</v>
      </c>
      <c r="F5360" t="str">
        <f t="shared" ref="F5360" si="5352">LEFT(A5360, LEN(A5360) - 1)</f>
        <v>&gt;2678:GGCTCC:18.00:83.33:Warning:6:1768.19</v>
      </c>
    </row>
    <row r="5361" spans="1:6" x14ac:dyDescent="0.3">
      <c r="A5361" t="s">
        <v>2684</v>
      </c>
      <c r="F5361" t="str">
        <f t="shared" ref="F5361" si="5353">A5361</f>
        <v>GGCTCC</v>
      </c>
    </row>
    <row r="5362" spans="1:6" x14ac:dyDescent="0.3">
      <c r="A5362" t="s">
        <v>6781</v>
      </c>
      <c r="F5362" t="str">
        <f t="shared" ref="F5362" si="5354">LEFT(A5362, LEN(A5362) - 1)</f>
        <v>&gt;2679:GGCTCG:18.00:83.33:Warning:6:1808.22</v>
      </c>
    </row>
    <row r="5363" spans="1:6" x14ac:dyDescent="0.3">
      <c r="A5363" t="s">
        <v>2685</v>
      </c>
      <c r="F5363" t="str">
        <f t="shared" ref="F5363" si="5355">A5363</f>
        <v>GGCTCG</v>
      </c>
    </row>
    <row r="5364" spans="1:6" x14ac:dyDescent="0.3">
      <c r="A5364" t="s">
        <v>6782</v>
      </c>
      <c r="F5364" t="str">
        <f t="shared" ref="F5364" si="5356">LEFT(A5364, LEN(A5364) - 1)</f>
        <v>&gt;2680:GGCTCT:12.00:66.67:Warning:6:1783.20</v>
      </c>
    </row>
    <row r="5365" spans="1:6" x14ac:dyDescent="0.3">
      <c r="A5365" t="s">
        <v>2686</v>
      </c>
      <c r="F5365" t="str">
        <f t="shared" ref="F5365" si="5357">A5365</f>
        <v>GGCTCT</v>
      </c>
    </row>
    <row r="5366" spans="1:6" x14ac:dyDescent="0.3">
      <c r="A5366" t="s">
        <v>6783</v>
      </c>
      <c r="F5366" t="str">
        <f t="shared" ref="F5366" si="5358">LEFT(A5366, LEN(A5366) - 1)</f>
        <v>&gt;2681:GGCTGA:20.00:66.67:Warning:6:1832.25</v>
      </c>
    </row>
    <row r="5367" spans="1:6" x14ac:dyDescent="0.3">
      <c r="A5367" t="s">
        <v>2687</v>
      </c>
      <c r="F5367" t="str">
        <f t="shared" ref="F5367" si="5359">A5367</f>
        <v>GGCTGA</v>
      </c>
    </row>
    <row r="5368" spans="1:6" x14ac:dyDescent="0.3">
      <c r="A5368" t="s">
        <v>6784</v>
      </c>
      <c r="F5368" t="str">
        <f t="shared" ref="F5368" si="5360">LEFT(A5368, LEN(A5368) - 1)</f>
        <v>&gt;2682:GGCTGC:18.00:83.33:Warning:6:1808.22</v>
      </c>
    </row>
    <row r="5369" spans="1:6" x14ac:dyDescent="0.3">
      <c r="A5369" t="s">
        <v>2688</v>
      </c>
      <c r="F5369" t="str">
        <f t="shared" ref="F5369" si="5361">A5369</f>
        <v>GGCTGC</v>
      </c>
    </row>
    <row r="5370" spans="1:6" x14ac:dyDescent="0.3">
      <c r="A5370" t="s">
        <v>6785</v>
      </c>
      <c r="F5370" t="str">
        <f t="shared" ref="F5370" si="5362">LEFT(A5370, LEN(A5370) - 1)</f>
        <v>&gt;2683:GGCTGG:18.00:83.33:Warning:6:1848.25</v>
      </c>
    </row>
    <row r="5371" spans="1:6" x14ac:dyDescent="0.3">
      <c r="A5371" t="s">
        <v>2689</v>
      </c>
      <c r="F5371" t="str">
        <f t="shared" ref="F5371" si="5363">A5371</f>
        <v>GGCTGG</v>
      </c>
    </row>
    <row r="5372" spans="1:6" x14ac:dyDescent="0.3">
      <c r="A5372" t="s">
        <v>6786</v>
      </c>
      <c r="F5372" t="str">
        <f t="shared" ref="F5372" si="5364">LEFT(A5372, LEN(A5372) - 1)</f>
        <v>&gt;2684:GGCTGT:12.00:66.67:Warning:6:1823.23</v>
      </c>
    </row>
    <row r="5373" spans="1:6" x14ac:dyDescent="0.3">
      <c r="A5373" t="s">
        <v>2690</v>
      </c>
      <c r="F5373" t="str">
        <f t="shared" ref="F5373" si="5365">A5373</f>
        <v>GGCTGT</v>
      </c>
    </row>
    <row r="5374" spans="1:6" x14ac:dyDescent="0.3">
      <c r="A5374" t="s">
        <v>6787</v>
      </c>
      <c r="F5374" t="str">
        <f t="shared" ref="F5374" si="5366">LEFT(A5374, LEN(A5374) - 1)</f>
        <v>&gt;2685:GGCTTA:14.00:50.00:OK:6:1807.23</v>
      </c>
    </row>
    <row r="5375" spans="1:6" x14ac:dyDescent="0.3">
      <c r="A5375" t="s">
        <v>2691</v>
      </c>
      <c r="F5375" t="str">
        <f t="shared" ref="F5375" si="5367">A5375</f>
        <v>GGCTTA</v>
      </c>
    </row>
    <row r="5376" spans="1:6" x14ac:dyDescent="0.3">
      <c r="A5376" t="s">
        <v>6788</v>
      </c>
      <c r="F5376" t="str">
        <f t="shared" ref="F5376" si="5368">LEFT(A5376, LEN(A5376) - 1)</f>
        <v>&gt;2686:GGCTTC:12.00:66.67:Warning:6:1783.20</v>
      </c>
    </row>
    <row r="5377" spans="1:6" x14ac:dyDescent="0.3">
      <c r="A5377" t="s">
        <v>2692</v>
      </c>
      <c r="F5377" t="str">
        <f t="shared" ref="F5377" si="5369">A5377</f>
        <v>GGCTTC</v>
      </c>
    </row>
    <row r="5378" spans="1:6" x14ac:dyDescent="0.3">
      <c r="A5378" t="s">
        <v>6789</v>
      </c>
      <c r="F5378" t="str">
        <f t="shared" ref="F5378" si="5370">LEFT(A5378, LEN(A5378) - 1)</f>
        <v>&gt;2687:GGCTTG:12.00:66.67:Warning:6:1823.23</v>
      </c>
    </row>
    <row r="5379" spans="1:6" x14ac:dyDescent="0.3">
      <c r="A5379" t="s">
        <v>2693</v>
      </c>
      <c r="F5379" t="str">
        <f t="shared" ref="F5379" si="5371">A5379</f>
        <v>GGCTTG</v>
      </c>
    </row>
    <row r="5380" spans="1:6" x14ac:dyDescent="0.3">
      <c r="A5380" t="s">
        <v>6790</v>
      </c>
      <c r="F5380" t="str">
        <f t="shared" ref="F5380" si="5372">LEFT(A5380, LEN(A5380) - 1)</f>
        <v>&gt;2688:GGCTTT:6.00:50.00:OK:6:1798.21</v>
      </c>
    </row>
    <row r="5381" spans="1:6" x14ac:dyDescent="0.3">
      <c r="A5381" t="s">
        <v>2694</v>
      </c>
      <c r="F5381" t="str">
        <f t="shared" ref="F5381" si="5373">A5381</f>
        <v>GGCTTT</v>
      </c>
    </row>
    <row r="5382" spans="1:6" x14ac:dyDescent="0.3">
      <c r="A5382" t="s">
        <v>6791</v>
      </c>
      <c r="F5382" t="str">
        <f t="shared" ref="F5382" si="5374">LEFT(A5382, LEN(A5382) - 1)</f>
        <v>&gt;2689:GGGAAA:30.00:50.00:OK:6:1865.30</v>
      </c>
    </row>
    <row r="5383" spans="1:6" x14ac:dyDescent="0.3">
      <c r="A5383" t="s">
        <v>2695</v>
      </c>
      <c r="F5383" t="str">
        <f t="shared" ref="F5383" si="5375">A5383</f>
        <v>GGGAAA</v>
      </c>
    </row>
    <row r="5384" spans="1:6" x14ac:dyDescent="0.3">
      <c r="A5384" t="s">
        <v>6792</v>
      </c>
      <c r="F5384" t="str">
        <f t="shared" ref="F5384" si="5376">LEFT(A5384, LEN(A5384) - 1)</f>
        <v>&gt;2690:GGGAAC:28.00:66.67:Warning:6:1841.27</v>
      </c>
    </row>
    <row r="5385" spans="1:6" x14ac:dyDescent="0.3">
      <c r="A5385" t="s">
        <v>2696</v>
      </c>
      <c r="F5385" t="str">
        <f t="shared" ref="F5385" si="5377">A5385</f>
        <v>GGGAAC</v>
      </c>
    </row>
    <row r="5386" spans="1:6" x14ac:dyDescent="0.3">
      <c r="A5386" t="s">
        <v>6793</v>
      </c>
      <c r="F5386" t="str">
        <f t="shared" ref="F5386" si="5378">LEFT(A5386, LEN(A5386) - 1)</f>
        <v>&gt;2691:GGGAAG:28.00:66.67:Warning:6:1881.30</v>
      </c>
    </row>
    <row r="5387" spans="1:6" x14ac:dyDescent="0.3">
      <c r="A5387" t="s">
        <v>2697</v>
      </c>
      <c r="F5387" t="str">
        <f t="shared" ref="F5387" si="5379">A5387</f>
        <v>GGGAAG</v>
      </c>
    </row>
    <row r="5388" spans="1:6" x14ac:dyDescent="0.3">
      <c r="A5388" t="s">
        <v>6794</v>
      </c>
      <c r="F5388" t="str">
        <f t="shared" ref="F5388" si="5380">LEFT(A5388, LEN(A5388) - 1)</f>
        <v>&gt;2692:GGGAAT:22.00:50.00:OK:6:1856.28</v>
      </c>
    </row>
    <row r="5389" spans="1:6" x14ac:dyDescent="0.3">
      <c r="A5389" t="s">
        <v>2698</v>
      </c>
      <c r="F5389" t="str">
        <f t="shared" ref="F5389" si="5381">A5389</f>
        <v>GGGAAT</v>
      </c>
    </row>
    <row r="5390" spans="1:6" x14ac:dyDescent="0.3">
      <c r="A5390" t="s">
        <v>6795</v>
      </c>
      <c r="F5390" t="str">
        <f t="shared" ref="F5390" si="5382">LEFT(A5390, LEN(A5390) - 1)</f>
        <v>&gt;2693:GGGACA:28.00:66.67:Warning:6:1841.27</v>
      </c>
    </row>
    <row r="5391" spans="1:6" x14ac:dyDescent="0.3">
      <c r="A5391" t="s">
        <v>2699</v>
      </c>
      <c r="F5391" t="str">
        <f t="shared" ref="F5391" si="5383">A5391</f>
        <v>GGGACA</v>
      </c>
    </row>
    <row r="5392" spans="1:6" x14ac:dyDescent="0.3">
      <c r="A5392" t="s">
        <v>6796</v>
      </c>
      <c r="F5392" t="str">
        <f t="shared" ref="F5392" si="5384">LEFT(A5392, LEN(A5392) - 1)</f>
        <v>&gt;2694:GGGACC:26.00:83.33:Warning:6:1817.24</v>
      </c>
    </row>
    <row r="5393" spans="1:6" x14ac:dyDescent="0.3">
      <c r="A5393" t="s">
        <v>2700</v>
      </c>
      <c r="F5393" t="str">
        <f t="shared" ref="F5393" si="5385">A5393</f>
        <v>GGGACC</v>
      </c>
    </row>
    <row r="5394" spans="1:6" x14ac:dyDescent="0.3">
      <c r="A5394" t="s">
        <v>6797</v>
      </c>
      <c r="F5394" t="str">
        <f t="shared" ref="F5394" si="5386">LEFT(A5394, LEN(A5394) - 1)</f>
        <v>&gt;2695:GGGACG:26.00:83.33:Warning:6:1857.27</v>
      </c>
    </row>
    <row r="5395" spans="1:6" x14ac:dyDescent="0.3">
      <c r="A5395" t="s">
        <v>2701</v>
      </c>
      <c r="F5395" t="str">
        <f t="shared" ref="F5395" si="5387">A5395</f>
        <v>GGGACG</v>
      </c>
    </row>
    <row r="5396" spans="1:6" x14ac:dyDescent="0.3">
      <c r="A5396" t="s">
        <v>6798</v>
      </c>
      <c r="F5396" t="str">
        <f t="shared" ref="F5396" si="5388">LEFT(A5396, LEN(A5396) - 1)</f>
        <v>&gt;2696:GGGACT:20.00:66.67:Warning:6:1832.25</v>
      </c>
    </row>
    <row r="5397" spans="1:6" x14ac:dyDescent="0.3">
      <c r="A5397" t="s">
        <v>2702</v>
      </c>
      <c r="F5397" t="str">
        <f t="shared" ref="F5397" si="5389">A5397</f>
        <v>GGGACT</v>
      </c>
    </row>
    <row r="5398" spans="1:6" x14ac:dyDescent="0.3">
      <c r="A5398" t="s">
        <v>6799</v>
      </c>
      <c r="F5398" t="str">
        <f t="shared" ref="F5398" si="5390">LEFT(A5398, LEN(A5398) - 1)</f>
        <v>&gt;2697:GGGAGA:28.00:66.67:Warning:6:1881.30</v>
      </c>
    </row>
    <row r="5399" spans="1:6" x14ac:dyDescent="0.3">
      <c r="A5399" t="s">
        <v>2703</v>
      </c>
      <c r="F5399" t="str">
        <f t="shared" ref="F5399" si="5391">A5399</f>
        <v>GGGAGA</v>
      </c>
    </row>
    <row r="5400" spans="1:6" x14ac:dyDescent="0.3">
      <c r="A5400" t="s">
        <v>6800</v>
      </c>
      <c r="F5400" t="str">
        <f t="shared" ref="F5400" si="5392">LEFT(A5400, LEN(A5400) - 1)</f>
        <v>&gt;2698:GGGAGC:26.00:83.33:Warning:6:1857.27</v>
      </c>
    </row>
    <row r="5401" spans="1:6" x14ac:dyDescent="0.3">
      <c r="A5401" t="s">
        <v>2704</v>
      </c>
      <c r="F5401" t="str">
        <f t="shared" ref="F5401" si="5393">A5401</f>
        <v>GGGAGC</v>
      </c>
    </row>
    <row r="5402" spans="1:6" x14ac:dyDescent="0.3">
      <c r="A5402" t="s">
        <v>6801</v>
      </c>
      <c r="F5402" t="str">
        <f t="shared" ref="F5402" si="5394">LEFT(A5402, LEN(A5402) - 1)</f>
        <v>&gt;2699:GGGAGG:26.00:83.33:Warning:6:1897.30</v>
      </c>
    </row>
    <row r="5403" spans="1:6" x14ac:dyDescent="0.3">
      <c r="A5403" t="s">
        <v>2705</v>
      </c>
      <c r="F5403" t="str">
        <f t="shared" ref="F5403" si="5395">A5403</f>
        <v>GGGAGG</v>
      </c>
    </row>
    <row r="5404" spans="1:6" x14ac:dyDescent="0.3">
      <c r="A5404" t="s">
        <v>6802</v>
      </c>
      <c r="F5404" t="str">
        <f t="shared" ref="F5404" si="5396">LEFT(A5404, LEN(A5404) - 1)</f>
        <v>&gt;2700:GGGAGT:20.00:66.67:Warning:6:1872.28</v>
      </c>
    </row>
    <row r="5405" spans="1:6" x14ac:dyDescent="0.3">
      <c r="A5405" t="s">
        <v>2706</v>
      </c>
      <c r="F5405" t="str">
        <f t="shared" ref="F5405" si="5397">A5405</f>
        <v>GGGAGT</v>
      </c>
    </row>
    <row r="5406" spans="1:6" x14ac:dyDescent="0.3">
      <c r="A5406" t="s">
        <v>6803</v>
      </c>
      <c r="F5406" t="str">
        <f t="shared" ref="F5406" si="5398">LEFT(A5406, LEN(A5406) - 1)</f>
        <v>&gt;2701:GGGATA:22.00:50.00:OK:6:1856.28</v>
      </c>
    </row>
    <row r="5407" spans="1:6" x14ac:dyDescent="0.3">
      <c r="A5407" t="s">
        <v>2707</v>
      </c>
      <c r="F5407" t="str">
        <f t="shared" ref="F5407" si="5399">A5407</f>
        <v>GGGATA</v>
      </c>
    </row>
    <row r="5408" spans="1:6" x14ac:dyDescent="0.3">
      <c r="A5408" t="s">
        <v>6804</v>
      </c>
      <c r="F5408" t="str">
        <f t="shared" ref="F5408" si="5400">LEFT(A5408, LEN(A5408) - 1)</f>
        <v>&gt;2702:GGGATC:20.00:66.67:Warning:6:1832.25</v>
      </c>
    </row>
    <row r="5409" spans="1:6" x14ac:dyDescent="0.3">
      <c r="A5409" t="s">
        <v>2708</v>
      </c>
      <c r="F5409" t="str">
        <f t="shared" ref="F5409" si="5401">A5409</f>
        <v>GGGATC</v>
      </c>
    </row>
    <row r="5410" spans="1:6" x14ac:dyDescent="0.3">
      <c r="A5410" t="s">
        <v>6805</v>
      </c>
      <c r="F5410" t="str">
        <f t="shared" ref="F5410" si="5402">LEFT(A5410, LEN(A5410) - 1)</f>
        <v>&gt;2703:GGGATG:20.00:66.67:Warning:6:1872.28</v>
      </c>
    </row>
    <row r="5411" spans="1:6" x14ac:dyDescent="0.3">
      <c r="A5411" t="s">
        <v>2709</v>
      </c>
      <c r="F5411" t="str">
        <f t="shared" ref="F5411" si="5403">A5411</f>
        <v>GGGATG</v>
      </c>
    </row>
    <row r="5412" spans="1:6" x14ac:dyDescent="0.3">
      <c r="A5412" t="s">
        <v>6806</v>
      </c>
      <c r="F5412" t="str">
        <f t="shared" ref="F5412" si="5404">LEFT(A5412, LEN(A5412) - 1)</f>
        <v>&gt;2704:GGGATT:14.00:50.00:OK:6:1847.26</v>
      </c>
    </row>
    <row r="5413" spans="1:6" x14ac:dyDescent="0.3">
      <c r="A5413" t="s">
        <v>2710</v>
      </c>
      <c r="F5413" t="str">
        <f t="shared" ref="F5413" si="5405">A5413</f>
        <v>GGGATT</v>
      </c>
    </row>
    <row r="5414" spans="1:6" x14ac:dyDescent="0.3">
      <c r="A5414" t="s">
        <v>6807</v>
      </c>
      <c r="F5414" t="str">
        <f t="shared" ref="F5414" si="5406">LEFT(A5414, LEN(A5414) - 1)</f>
        <v>&gt;2705:GGGCAA:28.00:66.67:Warning:6:1841.27</v>
      </c>
    </row>
    <row r="5415" spans="1:6" x14ac:dyDescent="0.3">
      <c r="A5415" t="s">
        <v>2711</v>
      </c>
      <c r="F5415" t="str">
        <f t="shared" ref="F5415" si="5407">A5415</f>
        <v>GGGCAA</v>
      </c>
    </row>
    <row r="5416" spans="1:6" x14ac:dyDescent="0.3">
      <c r="A5416" t="s">
        <v>6808</v>
      </c>
      <c r="F5416" t="str">
        <f t="shared" ref="F5416" si="5408">LEFT(A5416, LEN(A5416) - 1)</f>
        <v>&gt;2706:GGGCAC:26.00:83.33:Warning:6:1817.24</v>
      </c>
    </row>
    <row r="5417" spans="1:6" x14ac:dyDescent="0.3">
      <c r="A5417" t="s">
        <v>2712</v>
      </c>
      <c r="F5417" t="str">
        <f t="shared" ref="F5417" si="5409">A5417</f>
        <v>GGGCAC</v>
      </c>
    </row>
    <row r="5418" spans="1:6" x14ac:dyDescent="0.3">
      <c r="A5418" t="s">
        <v>6809</v>
      </c>
      <c r="F5418" t="str">
        <f t="shared" ref="F5418" si="5410">LEFT(A5418, LEN(A5418) - 1)</f>
        <v>&gt;2707:GGGCAG:26.00:83.33:Warning:6:1857.27</v>
      </c>
    </row>
    <row r="5419" spans="1:6" x14ac:dyDescent="0.3">
      <c r="A5419" t="s">
        <v>2713</v>
      </c>
      <c r="F5419" t="str">
        <f t="shared" ref="F5419" si="5411">A5419</f>
        <v>GGGCAG</v>
      </c>
    </row>
    <row r="5420" spans="1:6" x14ac:dyDescent="0.3">
      <c r="A5420" t="s">
        <v>6810</v>
      </c>
      <c r="F5420" t="str">
        <f t="shared" ref="F5420" si="5412">LEFT(A5420, LEN(A5420) - 1)</f>
        <v>&gt;2708:GGGCAT:20.00:66.67:Warning:6:1832.25</v>
      </c>
    </row>
    <row r="5421" spans="1:6" x14ac:dyDescent="0.3">
      <c r="A5421" t="s">
        <v>2714</v>
      </c>
      <c r="F5421" t="str">
        <f t="shared" ref="F5421" si="5413">A5421</f>
        <v>GGGCAT</v>
      </c>
    </row>
    <row r="5422" spans="1:6" x14ac:dyDescent="0.3">
      <c r="A5422" t="s">
        <v>6811</v>
      </c>
      <c r="F5422" t="str">
        <f t="shared" ref="F5422" si="5414">LEFT(A5422, LEN(A5422) - 1)</f>
        <v>&gt;2709:GGGCCA:26.00:83.33:Warning:6:1817.24</v>
      </c>
    </row>
    <row r="5423" spans="1:6" x14ac:dyDescent="0.3">
      <c r="A5423" t="s">
        <v>2715</v>
      </c>
      <c r="F5423" t="str">
        <f t="shared" ref="F5423" si="5415">A5423</f>
        <v>GGGCCA</v>
      </c>
    </row>
    <row r="5424" spans="1:6" x14ac:dyDescent="0.3">
      <c r="A5424" t="s">
        <v>6812</v>
      </c>
      <c r="F5424" t="str">
        <f t="shared" ref="F5424" si="5416">LEFT(A5424, LEN(A5424) - 1)</f>
        <v>&gt;2710:GGGCCC:24.00:100.00:Warning:6:1793.21</v>
      </c>
    </row>
    <row r="5425" spans="1:6" x14ac:dyDescent="0.3">
      <c r="A5425" t="s">
        <v>2716</v>
      </c>
      <c r="F5425" t="str">
        <f t="shared" ref="F5425" si="5417">A5425</f>
        <v>GGGCCC</v>
      </c>
    </row>
    <row r="5426" spans="1:6" x14ac:dyDescent="0.3">
      <c r="A5426" t="s">
        <v>6813</v>
      </c>
      <c r="F5426" t="str">
        <f t="shared" ref="F5426" si="5418">LEFT(A5426, LEN(A5426) - 1)</f>
        <v>&gt;2711:GGGCCG:24.00:100.00:Warning:6:1833.24</v>
      </c>
    </row>
    <row r="5427" spans="1:6" x14ac:dyDescent="0.3">
      <c r="A5427" t="s">
        <v>2717</v>
      </c>
      <c r="F5427" t="str">
        <f t="shared" ref="F5427" si="5419">A5427</f>
        <v>GGGCCG</v>
      </c>
    </row>
    <row r="5428" spans="1:6" x14ac:dyDescent="0.3">
      <c r="A5428" t="s">
        <v>6814</v>
      </c>
      <c r="F5428" t="str">
        <f t="shared" ref="F5428" si="5420">LEFT(A5428, LEN(A5428) - 1)</f>
        <v>&gt;2712:GGGCCT:18.00:83.33:Warning:6:1808.22</v>
      </c>
    </row>
    <row r="5429" spans="1:6" x14ac:dyDescent="0.3">
      <c r="A5429" t="s">
        <v>2718</v>
      </c>
      <c r="F5429" t="str">
        <f t="shared" ref="F5429" si="5421">A5429</f>
        <v>GGGCCT</v>
      </c>
    </row>
    <row r="5430" spans="1:6" x14ac:dyDescent="0.3">
      <c r="A5430" t="s">
        <v>6815</v>
      </c>
      <c r="F5430" t="str">
        <f t="shared" ref="F5430" si="5422">LEFT(A5430, LEN(A5430) - 1)</f>
        <v>&gt;2713:GGGCGA:26.00:83.33:Warning:6:1857.27</v>
      </c>
    </row>
    <row r="5431" spans="1:6" x14ac:dyDescent="0.3">
      <c r="A5431" t="s">
        <v>2719</v>
      </c>
      <c r="F5431" t="str">
        <f t="shared" ref="F5431" si="5423">A5431</f>
        <v>GGGCGA</v>
      </c>
    </row>
    <row r="5432" spans="1:6" x14ac:dyDescent="0.3">
      <c r="A5432" t="s">
        <v>6816</v>
      </c>
      <c r="F5432" t="str">
        <f t="shared" ref="F5432" si="5424">LEFT(A5432, LEN(A5432) - 1)</f>
        <v>&gt;2714:GGGCGC:24.00:100.00:Warning:6:1833.24</v>
      </c>
    </row>
    <row r="5433" spans="1:6" x14ac:dyDescent="0.3">
      <c r="A5433" t="s">
        <v>2720</v>
      </c>
      <c r="F5433" t="str">
        <f t="shared" ref="F5433" si="5425">A5433</f>
        <v>GGGCGC</v>
      </c>
    </row>
    <row r="5434" spans="1:6" x14ac:dyDescent="0.3">
      <c r="A5434" t="s">
        <v>6817</v>
      </c>
      <c r="F5434" t="str">
        <f t="shared" ref="F5434" si="5426">LEFT(A5434, LEN(A5434) - 1)</f>
        <v>&gt;2715:GGGCGG:24.00:100.00:Warning:6:1873.27</v>
      </c>
    </row>
    <row r="5435" spans="1:6" x14ac:dyDescent="0.3">
      <c r="A5435" t="s">
        <v>2721</v>
      </c>
      <c r="F5435" t="str">
        <f t="shared" ref="F5435" si="5427">A5435</f>
        <v>GGGCGG</v>
      </c>
    </row>
    <row r="5436" spans="1:6" x14ac:dyDescent="0.3">
      <c r="A5436" t="s">
        <v>6818</v>
      </c>
      <c r="F5436" t="str">
        <f t="shared" ref="F5436" si="5428">LEFT(A5436, LEN(A5436) - 1)</f>
        <v>&gt;2716:GGGCGT:18.00:83.33:Warning:6:1848.25</v>
      </c>
    </row>
    <row r="5437" spans="1:6" x14ac:dyDescent="0.3">
      <c r="A5437" t="s">
        <v>2722</v>
      </c>
      <c r="F5437" t="str">
        <f t="shared" ref="F5437" si="5429">A5437</f>
        <v>GGGCGT</v>
      </c>
    </row>
    <row r="5438" spans="1:6" x14ac:dyDescent="0.3">
      <c r="A5438" t="s">
        <v>6819</v>
      </c>
      <c r="F5438" t="str">
        <f t="shared" ref="F5438" si="5430">LEFT(A5438, LEN(A5438) - 1)</f>
        <v>&gt;2717:GGGCTA:20.00:66.67:Warning:6:1832.25</v>
      </c>
    </row>
    <row r="5439" spans="1:6" x14ac:dyDescent="0.3">
      <c r="A5439" t="s">
        <v>2723</v>
      </c>
      <c r="F5439" t="str">
        <f t="shared" ref="F5439" si="5431">A5439</f>
        <v>GGGCTA</v>
      </c>
    </row>
    <row r="5440" spans="1:6" x14ac:dyDescent="0.3">
      <c r="A5440" t="s">
        <v>6820</v>
      </c>
      <c r="F5440" t="str">
        <f t="shared" ref="F5440" si="5432">LEFT(A5440, LEN(A5440) - 1)</f>
        <v>&gt;2718:GGGCTC:18.00:83.33:Warning:6:1808.22</v>
      </c>
    </row>
    <row r="5441" spans="1:6" x14ac:dyDescent="0.3">
      <c r="A5441" t="s">
        <v>2724</v>
      </c>
      <c r="F5441" t="str">
        <f t="shared" ref="F5441" si="5433">A5441</f>
        <v>GGGCTC</v>
      </c>
    </row>
    <row r="5442" spans="1:6" x14ac:dyDescent="0.3">
      <c r="A5442" t="s">
        <v>6821</v>
      </c>
      <c r="F5442" t="str">
        <f t="shared" ref="F5442" si="5434">LEFT(A5442, LEN(A5442) - 1)</f>
        <v>&gt;2719:GGGCTG:18.00:83.33:Warning:6:1848.25</v>
      </c>
    </row>
    <row r="5443" spans="1:6" x14ac:dyDescent="0.3">
      <c r="A5443" t="s">
        <v>2725</v>
      </c>
      <c r="F5443" t="str">
        <f t="shared" ref="F5443" si="5435">A5443</f>
        <v>GGGCTG</v>
      </c>
    </row>
    <row r="5444" spans="1:6" x14ac:dyDescent="0.3">
      <c r="A5444" t="s">
        <v>6822</v>
      </c>
      <c r="F5444" t="str">
        <f t="shared" ref="F5444" si="5436">LEFT(A5444, LEN(A5444) - 1)</f>
        <v>&gt;2720:GGGCTT:12.00:66.67:Warning:6:1823.23</v>
      </c>
    </row>
    <row r="5445" spans="1:6" x14ac:dyDescent="0.3">
      <c r="A5445" t="s">
        <v>2726</v>
      </c>
      <c r="F5445" t="str">
        <f t="shared" ref="F5445" si="5437">A5445</f>
        <v>GGGCTT</v>
      </c>
    </row>
    <row r="5446" spans="1:6" x14ac:dyDescent="0.3">
      <c r="A5446" t="s">
        <v>6823</v>
      </c>
      <c r="F5446" t="str">
        <f t="shared" ref="F5446" si="5438">LEFT(A5446, LEN(A5446) - 1)</f>
        <v>&gt;2721:GGGGAA:28.00:66.67:Warning:6:1881.30</v>
      </c>
    </row>
    <row r="5447" spans="1:6" x14ac:dyDescent="0.3">
      <c r="A5447" t="s">
        <v>2727</v>
      </c>
      <c r="F5447" t="str">
        <f t="shared" ref="F5447" si="5439">A5447</f>
        <v>GGGGAA</v>
      </c>
    </row>
    <row r="5448" spans="1:6" x14ac:dyDescent="0.3">
      <c r="A5448" t="s">
        <v>6824</v>
      </c>
      <c r="F5448" t="str">
        <f t="shared" ref="F5448" si="5440">LEFT(A5448, LEN(A5448) - 1)</f>
        <v>&gt;2722:GGGGAC:26.00:83.33:Warning:6:1857.27</v>
      </c>
    </row>
    <row r="5449" spans="1:6" x14ac:dyDescent="0.3">
      <c r="A5449" t="s">
        <v>2728</v>
      </c>
      <c r="F5449" t="str">
        <f t="shared" ref="F5449" si="5441">A5449</f>
        <v>GGGGAC</v>
      </c>
    </row>
    <row r="5450" spans="1:6" x14ac:dyDescent="0.3">
      <c r="A5450" t="s">
        <v>6825</v>
      </c>
      <c r="F5450" t="str">
        <f t="shared" ref="F5450" si="5442">LEFT(A5450, LEN(A5450) - 1)</f>
        <v>&gt;2723:GGGGAG:26.00:83.33:Warning:6:1897.30</v>
      </c>
    </row>
    <row r="5451" spans="1:6" x14ac:dyDescent="0.3">
      <c r="A5451" t="s">
        <v>2729</v>
      </c>
      <c r="F5451" t="str">
        <f t="shared" ref="F5451" si="5443">A5451</f>
        <v>GGGGAG</v>
      </c>
    </row>
    <row r="5452" spans="1:6" x14ac:dyDescent="0.3">
      <c r="A5452" t="s">
        <v>6826</v>
      </c>
      <c r="F5452" t="str">
        <f t="shared" ref="F5452" si="5444">LEFT(A5452, LEN(A5452) - 1)</f>
        <v>&gt;2724:GGGGAT:20.00:66.67:Warning:6:1872.28</v>
      </c>
    </row>
    <row r="5453" spans="1:6" x14ac:dyDescent="0.3">
      <c r="A5453" t="s">
        <v>2730</v>
      </c>
      <c r="F5453" t="str">
        <f t="shared" ref="F5453" si="5445">A5453</f>
        <v>GGGGAT</v>
      </c>
    </row>
    <row r="5454" spans="1:6" x14ac:dyDescent="0.3">
      <c r="A5454" t="s">
        <v>6827</v>
      </c>
      <c r="F5454" t="str">
        <f t="shared" ref="F5454" si="5446">LEFT(A5454, LEN(A5454) - 1)</f>
        <v>&gt;2725:GGGGCA:26.00:83.33:Warning:6:1857.27</v>
      </c>
    </row>
    <row r="5455" spans="1:6" x14ac:dyDescent="0.3">
      <c r="A5455" t="s">
        <v>2731</v>
      </c>
      <c r="F5455" t="str">
        <f t="shared" ref="F5455" si="5447">A5455</f>
        <v>GGGGCA</v>
      </c>
    </row>
    <row r="5456" spans="1:6" x14ac:dyDescent="0.3">
      <c r="A5456" t="s">
        <v>6828</v>
      </c>
      <c r="F5456" t="str">
        <f t="shared" ref="F5456" si="5448">LEFT(A5456, LEN(A5456) - 1)</f>
        <v>&gt;2726:GGGGCC:24.00:100.00:Warning:6:1833.24</v>
      </c>
    </row>
    <row r="5457" spans="1:6" x14ac:dyDescent="0.3">
      <c r="A5457" t="s">
        <v>2732</v>
      </c>
      <c r="F5457" t="str">
        <f t="shared" ref="F5457" si="5449">A5457</f>
        <v>GGGGCC</v>
      </c>
    </row>
    <row r="5458" spans="1:6" x14ac:dyDescent="0.3">
      <c r="A5458" t="s">
        <v>6829</v>
      </c>
      <c r="F5458" t="str">
        <f t="shared" ref="F5458" si="5450">LEFT(A5458, LEN(A5458) - 1)</f>
        <v>&gt;2727:GGGGCG:24.00:100.00:Warning:6:1873.27</v>
      </c>
    </row>
    <row r="5459" spans="1:6" x14ac:dyDescent="0.3">
      <c r="A5459" t="s">
        <v>2733</v>
      </c>
      <c r="F5459" t="str">
        <f t="shared" ref="F5459" si="5451">A5459</f>
        <v>GGGGCG</v>
      </c>
    </row>
    <row r="5460" spans="1:6" x14ac:dyDescent="0.3">
      <c r="A5460" t="s">
        <v>6830</v>
      </c>
      <c r="F5460" t="str">
        <f t="shared" ref="F5460" si="5452">LEFT(A5460, LEN(A5460) - 1)</f>
        <v>&gt;2728:GGGGCT:18.00:83.33:Warning:6:1848.25</v>
      </c>
    </row>
    <row r="5461" spans="1:6" x14ac:dyDescent="0.3">
      <c r="A5461" t="s">
        <v>2734</v>
      </c>
      <c r="F5461" t="str">
        <f t="shared" ref="F5461" si="5453">A5461</f>
        <v>GGGGCT</v>
      </c>
    </row>
    <row r="5462" spans="1:6" x14ac:dyDescent="0.3">
      <c r="A5462" t="s">
        <v>6831</v>
      </c>
      <c r="F5462" t="str">
        <f t="shared" ref="F5462" si="5454">LEFT(A5462, LEN(A5462) - 1)</f>
        <v>&gt;2729:GGGGGA:26.00:83.33:Warning:6:1897.30</v>
      </c>
    </row>
    <row r="5463" spans="1:6" x14ac:dyDescent="0.3">
      <c r="A5463" t="s">
        <v>2735</v>
      </c>
      <c r="F5463" t="str">
        <f t="shared" ref="F5463" si="5455">A5463</f>
        <v>GGGGGA</v>
      </c>
    </row>
    <row r="5464" spans="1:6" x14ac:dyDescent="0.3">
      <c r="A5464" t="s">
        <v>6832</v>
      </c>
      <c r="F5464" t="str">
        <f t="shared" ref="F5464" si="5456">LEFT(A5464, LEN(A5464) - 1)</f>
        <v>&gt;2730:GGGGGC:24.00:100.00:Warning:6:1873.27</v>
      </c>
    </row>
    <row r="5465" spans="1:6" x14ac:dyDescent="0.3">
      <c r="A5465" t="s">
        <v>2736</v>
      </c>
      <c r="F5465" t="str">
        <f t="shared" ref="F5465" si="5457">A5465</f>
        <v>GGGGGC</v>
      </c>
    </row>
    <row r="5466" spans="1:6" x14ac:dyDescent="0.3">
      <c r="A5466" t="s">
        <v>6833</v>
      </c>
      <c r="F5466" t="str">
        <f t="shared" ref="F5466" si="5458">LEFT(A5466, LEN(A5466) - 1)</f>
        <v>&gt;2731:GGGGGG:24.00:100.00:Warning:6:1913.30</v>
      </c>
    </row>
    <row r="5467" spans="1:6" x14ac:dyDescent="0.3">
      <c r="A5467" t="s">
        <v>2737</v>
      </c>
      <c r="F5467" t="str">
        <f t="shared" ref="F5467" si="5459">A5467</f>
        <v>GGGGGG</v>
      </c>
    </row>
    <row r="5468" spans="1:6" x14ac:dyDescent="0.3">
      <c r="A5468" t="s">
        <v>6834</v>
      </c>
      <c r="F5468" t="str">
        <f t="shared" ref="F5468" si="5460">LEFT(A5468, LEN(A5468) - 1)</f>
        <v>&gt;2732:GGGGGT:18.00:83.33:Warning:6:1888.28</v>
      </c>
    </row>
    <row r="5469" spans="1:6" x14ac:dyDescent="0.3">
      <c r="A5469" t="s">
        <v>2738</v>
      </c>
      <c r="F5469" t="str">
        <f t="shared" ref="F5469" si="5461">A5469</f>
        <v>GGGGGT</v>
      </c>
    </row>
    <row r="5470" spans="1:6" x14ac:dyDescent="0.3">
      <c r="A5470" t="s">
        <v>6835</v>
      </c>
      <c r="F5470" t="str">
        <f t="shared" ref="F5470" si="5462">LEFT(A5470, LEN(A5470) - 1)</f>
        <v>&gt;2733:GGGGTA:20.00:66.67:Warning:6:1872.28</v>
      </c>
    </row>
    <row r="5471" spans="1:6" x14ac:dyDescent="0.3">
      <c r="A5471" t="s">
        <v>2739</v>
      </c>
      <c r="F5471" t="str">
        <f t="shared" ref="F5471" si="5463">A5471</f>
        <v>GGGGTA</v>
      </c>
    </row>
    <row r="5472" spans="1:6" x14ac:dyDescent="0.3">
      <c r="A5472" t="s">
        <v>6836</v>
      </c>
      <c r="F5472" t="str">
        <f t="shared" ref="F5472" si="5464">LEFT(A5472, LEN(A5472) - 1)</f>
        <v>&gt;2734:GGGGTC:18.00:83.33:Warning:6:1848.25</v>
      </c>
    </row>
    <row r="5473" spans="1:6" x14ac:dyDescent="0.3">
      <c r="A5473" t="s">
        <v>2740</v>
      </c>
      <c r="F5473" t="str">
        <f t="shared" ref="F5473" si="5465">A5473</f>
        <v>GGGGTC</v>
      </c>
    </row>
    <row r="5474" spans="1:6" x14ac:dyDescent="0.3">
      <c r="A5474" t="s">
        <v>6837</v>
      </c>
      <c r="F5474" t="str">
        <f t="shared" ref="F5474" si="5466">LEFT(A5474, LEN(A5474) - 1)</f>
        <v>&gt;2735:GGGGTG:18.00:83.33:Warning:6:1888.28</v>
      </c>
    </row>
    <row r="5475" spans="1:6" x14ac:dyDescent="0.3">
      <c r="A5475" t="s">
        <v>2741</v>
      </c>
      <c r="F5475" t="str">
        <f t="shared" ref="F5475" si="5467">A5475</f>
        <v>GGGGTG</v>
      </c>
    </row>
    <row r="5476" spans="1:6" x14ac:dyDescent="0.3">
      <c r="A5476" t="s">
        <v>6838</v>
      </c>
      <c r="F5476" t="str">
        <f t="shared" ref="F5476" si="5468">LEFT(A5476, LEN(A5476) - 1)</f>
        <v>&gt;2736:GGGGTT:12.00:66.67:Warning:6:1863.26</v>
      </c>
    </row>
    <row r="5477" spans="1:6" x14ac:dyDescent="0.3">
      <c r="A5477" t="s">
        <v>2742</v>
      </c>
      <c r="F5477" t="str">
        <f t="shared" ref="F5477" si="5469">A5477</f>
        <v>GGGGTT</v>
      </c>
    </row>
    <row r="5478" spans="1:6" x14ac:dyDescent="0.3">
      <c r="A5478" t="s">
        <v>6839</v>
      </c>
      <c r="F5478" t="str">
        <f t="shared" ref="F5478" si="5470">LEFT(A5478, LEN(A5478) - 1)</f>
        <v>&gt;2737:GGGTAA:22.00:50.00:OK:6:1856.28</v>
      </c>
    </row>
    <row r="5479" spans="1:6" x14ac:dyDescent="0.3">
      <c r="A5479" t="s">
        <v>2743</v>
      </c>
      <c r="F5479" t="str">
        <f t="shared" ref="F5479" si="5471">A5479</f>
        <v>GGGTAA</v>
      </c>
    </row>
    <row r="5480" spans="1:6" x14ac:dyDescent="0.3">
      <c r="A5480" t="s">
        <v>6840</v>
      </c>
      <c r="F5480" t="str">
        <f t="shared" ref="F5480" si="5472">LEFT(A5480, LEN(A5480) - 1)</f>
        <v>&gt;2738:GGGTAC:20.00:66.67:Warning:6:1832.25</v>
      </c>
    </row>
    <row r="5481" spans="1:6" x14ac:dyDescent="0.3">
      <c r="A5481" t="s">
        <v>2744</v>
      </c>
      <c r="F5481" t="str">
        <f t="shared" ref="F5481" si="5473">A5481</f>
        <v>GGGTAC</v>
      </c>
    </row>
    <row r="5482" spans="1:6" x14ac:dyDescent="0.3">
      <c r="A5482" t="s">
        <v>6841</v>
      </c>
      <c r="F5482" t="str">
        <f t="shared" ref="F5482" si="5474">LEFT(A5482, LEN(A5482) - 1)</f>
        <v>&gt;2739:GGGTAG:20.00:66.67:Warning:6:1872.28</v>
      </c>
    </row>
    <row r="5483" spans="1:6" x14ac:dyDescent="0.3">
      <c r="A5483" t="s">
        <v>2745</v>
      </c>
      <c r="F5483" t="str">
        <f t="shared" ref="F5483" si="5475">A5483</f>
        <v>GGGTAG</v>
      </c>
    </row>
    <row r="5484" spans="1:6" x14ac:dyDescent="0.3">
      <c r="A5484" t="s">
        <v>6842</v>
      </c>
      <c r="F5484" t="str">
        <f t="shared" ref="F5484" si="5476">LEFT(A5484, LEN(A5484) - 1)</f>
        <v>&gt;2740:GGGTAT:14.00:50.00:OK:6:1847.26</v>
      </c>
    </row>
    <row r="5485" spans="1:6" x14ac:dyDescent="0.3">
      <c r="A5485" t="s">
        <v>2746</v>
      </c>
      <c r="F5485" t="str">
        <f t="shared" ref="F5485" si="5477">A5485</f>
        <v>GGGTAT</v>
      </c>
    </row>
    <row r="5486" spans="1:6" x14ac:dyDescent="0.3">
      <c r="A5486" t="s">
        <v>6843</v>
      </c>
      <c r="F5486" t="str">
        <f t="shared" ref="F5486" si="5478">LEFT(A5486, LEN(A5486) - 1)</f>
        <v>&gt;2741:GGGTCA:20.00:66.67:Warning:6:1832.25</v>
      </c>
    </row>
    <row r="5487" spans="1:6" x14ac:dyDescent="0.3">
      <c r="A5487" t="s">
        <v>2747</v>
      </c>
      <c r="F5487" t="str">
        <f t="shared" ref="F5487" si="5479">A5487</f>
        <v>GGGTCA</v>
      </c>
    </row>
    <row r="5488" spans="1:6" x14ac:dyDescent="0.3">
      <c r="A5488" t="s">
        <v>6844</v>
      </c>
      <c r="F5488" t="str">
        <f t="shared" ref="F5488" si="5480">LEFT(A5488, LEN(A5488) - 1)</f>
        <v>&gt;2742:GGGTCC:18.00:83.33:Warning:6:1808.22</v>
      </c>
    </row>
    <row r="5489" spans="1:6" x14ac:dyDescent="0.3">
      <c r="A5489" t="s">
        <v>2748</v>
      </c>
      <c r="F5489" t="str">
        <f t="shared" ref="F5489" si="5481">A5489</f>
        <v>GGGTCC</v>
      </c>
    </row>
    <row r="5490" spans="1:6" x14ac:dyDescent="0.3">
      <c r="A5490" t="s">
        <v>6845</v>
      </c>
      <c r="F5490" t="str">
        <f t="shared" ref="F5490" si="5482">LEFT(A5490, LEN(A5490) - 1)</f>
        <v>&gt;2743:GGGTCG:18.00:83.33:Warning:6:1848.25</v>
      </c>
    </row>
    <row r="5491" spans="1:6" x14ac:dyDescent="0.3">
      <c r="A5491" t="s">
        <v>2749</v>
      </c>
      <c r="F5491" t="str">
        <f t="shared" ref="F5491" si="5483">A5491</f>
        <v>GGGTCG</v>
      </c>
    </row>
    <row r="5492" spans="1:6" x14ac:dyDescent="0.3">
      <c r="A5492" t="s">
        <v>6846</v>
      </c>
      <c r="F5492" t="str">
        <f t="shared" ref="F5492" si="5484">LEFT(A5492, LEN(A5492) - 1)</f>
        <v>&gt;2744:GGGTCT:12.00:66.67:Warning:6:1823.23</v>
      </c>
    </row>
    <row r="5493" spans="1:6" x14ac:dyDescent="0.3">
      <c r="A5493" t="s">
        <v>2750</v>
      </c>
      <c r="F5493" t="str">
        <f t="shared" ref="F5493" si="5485">A5493</f>
        <v>GGGTCT</v>
      </c>
    </row>
    <row r="5494" spans="1:6" x14ac:dyDescent="0.3">
      <c r="A5494" t="s">
        <v>6847</v>
      </c>
      <c r="F5494" t="str">
        <f t="shared" ref="F5494" si="5486">LEFT(A5494, LEN(A5494) - 1)</f>
        <v>&gt;2745:GGGTGA:20.00:66.67:Warning:6:1872.28</v>
      </c>
    </row>
    <row r="5495" spans="1:6" x14ac:dyDescent="0.3">
      <c r="A5495" t="s">
        <v>2751</v>
      </c>
      <c r="F5495" t="str">
        <f t="shared" ref="F5495" si="5487">A5495</f>
        <v>GGGTGA</v>
      </c>
    </row>
    <row r="5496" spans="1:6" x14ac:dyDescent="0.3">
      <c r="A5496" t="s">
        <v>6848</v>
      </c>
      <c r="F5496" t="str">
        <f t="shared" ref="F5496" si="5488">LEFT(A5496, LEN(A5496) - 1)</f>
        <v>&gt;2746:GGGTGC:18.00:83.33:Warning:6:1848.25</v>
      </c>
    </row>
    <row r="5497" spans="1:6" x14ac:dyDescent="0.3">
      <c r="A5497" t="s">
        <v>2752</v>
      </c>
      <c r="F5497" t="str">
        <f t="shared" ref="F5497" si="5489">A5497</f>
        <v>GGGTGC</v>
      </c>
    </row>
    <row r="5498" spans="1:6" x14ac:dyDescent="0.3">
      <c r="A5498" t="s">
        <v>6849</v>
      </c>
      <c r="F5498" t="str">
        <f t="shared" ref="F5498" si="5490">LEFT(A5498, LEN(A5498) - 1)</f>
        <v>&gt;2747:GGGTGG:18.00:83.33:Warning:6:1888.28</v>
      </c>
    </row>
    <row r="5499" spans="1:6" x14ac:dyDescent="0.3">
      <c r="A5499" t="s">
        <v>2753</v>
      </c>
      <c r="F5499" t="str">
        <f t="shared" ref="F5499" si="5491">A5499</f>
        <v>GGGTGG</v>
      </c>
    </row>
    <row r="5500" spans="1:6" x14ac:dyDescent="0.3">
      <c r="A5500" t="s">
        <v>6850</v>
      </c>
      <c r="F5500" t="str">
        <f t="shared" ref="F5500" si="5492">LEFT(A5500, LEN(A5500) - 1)</f>
        <v>&gt;2748:GGGTGT:12.00:66.67:Warning:6:1863.26</v>
      </c>
    </row>
    <row r="5501" spans="1:6" x14ac:dyDescent="0.3">
      <c r="A5501" t="s">
        <v>2754</v>
      </c>
      <c r="F5501" t="str">
        <f t="shared" ref="F5501" si="5493">A5501</f>
        <v>GGGTGT</v>
      </c>
    </row>
    <row r="5502" spans="1:6" x14ac:dyDescent="0.3">
      <c r="A5502" t="s">
        <v>6851</v>
      </c>
      <c r="F5502" t="str">
        <f t="shared" ref="F5502" si="5494">LEFT(A5502, LEN(A5502) - 1)</f>
        <v>&gt;2749:GGGTTA:14.00:50.00:OK:6:1847.26</v>
      </c>
    </row>
    <row r="5503" spans="1:6" x14ac:dyDescent="0.3">
      <c r="A5503" t="s">
        <v>2755</v>
      </c>
      <c r="F5503" t="str">
        <f t="shared" ref="F5503" si="5495">A5503</f>
        <v>GGGTTA</v>
      </c>
    </row>
    <row r="5504" spans="1:6" x14ac:dyDescent="0.3">
      <c r="A5504" t="s">
        <v>6852</v>
      </c>
      <c r="F5504" t="str">
        <f t="shared" ref="F5504" si="5496">LEFT(A5504, LEN(A5504) - 1)</f>
        <v>&gt;2750:GGGTTC:12.00:66.67:Warning:6:1823.23</v>
      </c>
    </row>
    <row r="5505" spans="1:6" x14ac:dyDescent="0.3">
      <c r="A5505" t="s">
        <v>2756</v>
      </c>
      <c r="F5505" t="str">
        <f t="shared" ref="F5505" si="5497">A5505</f>
        <v>GGGTTC</v>
      </c>
    </row>
    <row r="5506" spans="1:6" x14ac:dyDescent="0.3">
      <c r="A5506" t="s">
        <v>6853</v>
      </c>
      <c r="F5506" t="str">
        <f t="shared" ref="F5506" si="5498">LEFT(A5506, LEN(A5506) - 1)</f>
        <v>&gt;2751:GGGTTG:12.00:66.67:Warning:6:1863.26</v>
      </c>
    </row>
    <row r="5507" spans="1:6" x14ac:dyDescent="0.3">
      <c r="A5507" t="s">
        <v>2757</v>
      </c>
      <c r="F5507" t="str">
        <f t="shared" ref="F5507" si="5499">A5507</f>
        <v>GGGTTG</v>
      </c>
    </row>
    <row r="5508" spans="1:6" x14ac:dyDescent="0.3">
      <c r="A5508" t="s">
        <v>6854</v>
      </c>
      <c r="F5508" t="str">
        <f t="shared" ref="F5508" si="5500">LEFT(A5508, LEN(A5508) - 1)</f>
        <v>&gt;2752:GGGTTT:6.00:50.00:OK:6:1838.24</v>
      </c>
    </row>
    <row r="5509" spans="1:6" x14ac:dyDescent="0.3">
      <c r="A5509" t="s">
        <v>2758</v>
      </c>
      <c r="F5509" t="str">
        <f t="shared" ref="F5509" si="5501">A5509</f>
        <v>GGGTTT</v>
      </c>
    </row>
    <row r="5510" spans="1:6" x14ac:dyDescent="0.3">
      <c r="A5510" t="s">
        <v>6855</v>
      </c>
      <c r="F5510" t="str">
        <f t="shared" ref="F5510" si="5502">LEFT(A5510, LEN(A5510) - 1)</f>
        <v>&gt;2753:GGTAAA:24.00:33.33:OK:6:1840.28</v>
      </c>
    </row>
    <row r="5511" spans="1:6" x14ac:dyDescent="0.3">
      <c r="A5511" t="s">
        <v>2759</v>
      </c>
      <c r="F5511" t="str">
        <f t="shared" ref="F5511" si="5503">A5511</f>
        <v>GGTAAA</v>
      </c>
    </row>
    <row r="5512" spans="1:6" x14ac:dyDescent="0.3">
      <c r="A5512" t="s">
        <v>6856</v>
      </c>
      <c r="F5512" t="str">
        <f t="shared" ref="F5512" si="5504">LEFT(A5512, LEN(A5512) - 1)</f>
        <v>&gt;2754:GGTAAC:22.00:50.00:OK:6:1816.25</v>
      </c>
    </row>
    <row r="5513" spans="1:6" x14ac:dyDescent="0.3">
      <c r="A5513" t="s">
        <v>2760</v>
      </c>
      <c r="F5513" t="str">
        <f t="shared" ref="F5513" si="5505">A5513</f>
        <v>GGTAAC</v>
      </c>
    </row>
    <row r="5514" spans="1:6" x14ac:dyDescent="0.3">
      <c r="A5514" t="s">
        <v>6857</v>
      </c>
      <c r="F5514" t="str">
        <f t="shared" ref="F5514" si="5506">LEFT(A5514, LEN(A5514) - 1)</f>
        <v>&gt;2755:GGTAAG:22.00:50.00:OK:6:1856.28</v>
      </c>
    </row>
    <row r="5515" spans="1:6" x14ac:dyDescent="0.3">
      <c r="A5515" t="s">
        <v>2761</v>
      </c>
      <c r="F5515" t="str">
        <f t="shared" ref="F5515" si="5507">A5515</f>
        <v>GGTAAG</v>
      </c>
    </row>
    <row r="5516" spans="1:6" x14ac:dyDescent="0.3">
      <c r="A5516" t="s">
        <v>6858</v>
      </c>
      <c r="F5516" t="str">
        <f t="shared" ref="F5516" si="5508">LEFT(A5516, LEN(A5516) - 1)</f>
        <v>&gt;2756:GGTAAT:16.00:33.33:OK:6:1831.26</v>
      </c>
    </row>
    <row r="5517" spans="1:6" x14ac:dyDescent="0.3">
      <c r="A5517" t="s">
        <v>2762</v>
      </c>
      <c r="F5517" t="str">
        <f t="shared" ref="F5517" si="5509">A5517</f>
        <v>GGTAAT</v>
      </c>
    </row>
    <row r="5518" spans="1:6" x14ac:dyDescent="0.3">
      <c r="A5518" t="s">
        <v>6859</v>
      </c>
      <c r="F5518" t="str">
        <f t="shared" ref="F5518" si="5510">LEFT(A5518, LEN(A5518) - 1)</f>
        <v>&gt;2757:GGTACA:22.00:50.00:OK:6:1816.25</v>
      </c>
    </row>
    <row r="5519" spans="1:6" x14ac:dyDescent="0.3">
      <c r="A5519" t="s">
        <v>2763</v>
      </c>
      <c r="F5519" t="str">
        <f t="shared" ref="F5519" si="5511">A5519</f>
        <v>GGTACA</v>
      </c>
    </row>
    <row r="5520" spans="1:6" x14ac:dyDescent="0.3">
      <c r="A5520" t="s">
        <v>6860</v>
      </c>
      <c r="F5520" t="str">
        <f t="shared" ref="F5520" si="5512">LEFT(A5520, LEN(A5520) - 1)</f>
        <v>&gt;2758:GGTACC:20.00:66.67:Warning:6:1792.22</v>
      </c>
    </row>
    <row r="5521" spans="1:6" x14ac:dyDescent="0.3">
      <c r="A5521" t="s">
        <v>2764</v>
      </c>
      <c r="F5521" t="str">
        <f t="shared" ref="F5521" si="5513">A5521</f>
        <v>GGTACC</v>
      </c>
    </row>
    <row r="5522" spans="1:6" x14ac:dyDescent="0.3">
      <c r="A5522" t="s">
        <v>6861</v>
      </c>
      <c r="F5522" t="str">
        <f t="shared" ref="F5522" si="5514">LEFT(A5522, LEN(A5522) - 1)</f>
        <v>&gt;2759:GGTACG:20.00:66.67:Warning:6:1832.25</v>
      </c>
    </row>
    <row r="5523" spans="1:6" x14ac:dyDescent="0.3">
      <c r="A5523" t="s">
        <v>2765</v>
      </c>
      <c r="F5523" t="str">
        <f t="shared" ref="F5523" si="5515">A5523</f>
        <v>GGTACG</v>
      </c>
    </row>
    <row r="5524" spans="1:6" x14ac:dyDescent="0.3">
      <c r="A5524" t="s">
        <v>6862</v>
      </c>
      <c r="F5524" t="str">
        <f t="shared" ref="F5524" si="5516">LEFT(A5524, LEN(A5524) - 1)</f>
        <v>&gt;2760:GGTACT:14.00:50.00:OK:6:1807.23</v>
      </c>
    </row>
    <row r="5525" spans="1:6" x14ac:dyDescent="0.3">
      <c r="A5525" t="s">
        <v>2766</v>
      </c>
      <c r="F5525" t="str">
        <f t="shared" ref="F5525" si="5517">A5525</f>
        <v>GGTACT</v>
      </c>
    </row>
    <row r="5526" spans="1:6" x14ac:dyDescent="0.3">
      <c r="A5526" t="s">
        <v>6863</v>
      </c>
      <c r="F5526" t="str">
        <f t="shared" ref="F5526" si="5518">LEFT(A5526, LEN(A5526) - 1)</f>
        <v>&gt;2761:GGTAGA:22.00:50.00:OK:6:1856.28</v>
      </c>
    </row>
    <row r="5527" spans="1:6" x14ac:dyDescent="0.3">
      <c r="A5527" t="s">
        <v>2767</v>
      </c>
      <c r="F5527" t="str">
        <f t="shared" ref="F5527" si="5519">A5527</f>
        <v>GGTAGA</v>
      </c>
    </row>
    <row r="5528" spans="1:6" x14ac:dyDescent="0.3">
      <c r="A5528" t="s">
        <v>6864</v>
      </c>
      <c r="F5528" t="str">
        <f t="shared" ref="F5528" si="5520">LEFT(A5528, LEN(A5528) - 1)</f>
        <v>&gt;2762:GGTAGC:20.00:66.67:Warning:6:1832.25</v>
      </c>
    </row>
    <row r="5529" spans="1:6" x14ac:dyDescent="0.3">
      <c r="A5529" t="s">
        <v>2768</v>
      </c>
      <c r="F5529" t="str">
        <f t="shared" ref="F5529" si="5521">A5529</f>
        <v>GGTAGC</v>
      </c>
    </row>
    <row r="5530" spans="1:6" x14ac:dyDescent="0.3">
      <c r="A5530" t="s">
        <v>6865</v>
      </c>
      <c r="F5530" t="str">
        <f t="shared" ref="F5530" si="5522">LEFT(A5530, LEN(A5530) - 1)</f>
        <v>&gt;2763:GGTAGG:20.00:66.67:Warning:6:1872.28</v>
      </c>
    </row>
    <row r="5531" spans="1:6" x14ac:dyDescent="0.3">
      <c r="A5531" t="s">
        <v>2769</v>
      </c>
      <c r="F5531" t="str">
        <f t="shared" ref="F5531" si="5523">A5531</f>
        <v>GGTAGG</v>
      </c>
    </row>
    <row r="5532" spans="1:6" x14ac:dyDescent="0.3">
      <c r="A5532" t="s">
        <v>6866</v>
      </c>
      <c r="F5532" t="str">
        <f t="shared" ref="F5532" si="5524">LEFT(A5532, LEN(A5532) - 1)</f>
        <v>&gt;2764:GGTAGT:14.00:50.00:OK:6:1847.26</v>
      </c>
    </row>
    <row r="5533" spans="1:6" x14ac:dyDescent="0.3">
      <c r="A5533" t="s">
        <v>2770</v>
      </c>
      <c r="F5533" t="str">
        <f t="shared" ref="F5533" si="5525">A5533</f>
        <v>GGTAGT</v>
      </c>
    </row>
    <row r="5534" spans="1:6" x14ac:dyDescent="0.3">
      <c r="A5534" t="s">
        <v>6867</v>
      </c>
      <c r="F5534" t="str">
        <f t="shared" ref="F5534" si="5526">LEFT(A5534, LEN(A5534) - 1)</f>
        <v>&gt;2765:GGTATA:16.00:33.33:OK:6:1831.26</v>
      </c>
    </row>
    <row r="5535" spans="1:6" x14ac:dyDescent="0.3">
      <c r="A5535" t="s">
        <v>2771</v>
      </c>
      <c r="F5535" t="str">
        <f t="shared" ref="F5535" si="5527">A5535</f>
        <v>GGTATA</v>
      </c>
    </row>
    <row r="5536" spans="1:6" x14ac:dyDescent="0.3">
      <c r="A5536" t="s">
        <v>6868</v>
      </c>
      <c r="F5536" t="str">
        <f t="shared" ref="F5536" si="5528">LEFT(A5536, LEN(A5536) - 1)</f>
        <v>&gt;2766:GGTATC:14.00:50.00:OK:6:1807.23</v>
      </c>
    </row>
    <row r="5537" spans="1:6" x14ac:dyDescent="0.3">
      <c r="A5537" t="s">
        <v>2772</v>
      </c>
      <c r="F5537" t="str">
        <f t="shared" ref="F5537" si="5529">A5537</f>
        <v>GGTATC</v>
      </c>
    </row>
    <row r="5538" spans="1:6" x14ac:dyDescent="0.3">
      <c r="A5538" t="s">
        <v>6869</v>
      </c>
      <c r="F5538" t="str">
        <f t="shared" ref="F5538" si="5530">LEFT(A5538, LEN(A5538) - 1)</f>
        <v>&gt;2767:GGTATG:14.00:50.00:OK:6:1847.26</v>
      </c>
    </row>
    <row r="5539" spans="1:6" x14ac:dyDescent="0.3">
      <c r="A5539" t="s">
        <v>2773</v>
      </c>
      <c r="F5539" t="str">
        <f t="shared" ref="F5539" si="5531">A5539</f>
        <v>GGTATG</v>
      </c>
    </row>
    <row r="5540" spans="1:6" x14ac:dyDescent="0.3">
      <c r="A5540" t="s">
        <v>6870</v>
      </c>
      <c r="F5540" t="str">
        <f t="shared" ref="F5540" si="5532">LEFT(A5540, LEN(A5540) - 1)</f>
        <v>&gt;2768:GGTATT:8.00:33.33:OK:6:1822.24</v>
      </c>
    </row>
    <row r="5541" spans="1:6" x14ac:dyDescent="0.3">
      <c r="A5541" t="s">
        <v>2774</v>
      </c>
      <c r="F5541" t="str">
        <f t="shared" ref="F5541" si="5533">A5541</f>
        <v>GGTATT</v>
      </c>
    </row>
    <row r="5542" spans="1:6" x14ac:dyDescent="0.3">
      <c r="A5542" t="s">
        <v>6871</v>
      </c>
      <c r="F5542" t="str">
        <f t="shared" ref="F5542" si="5534">LEFT(A5542, LEN(A5542) - 1)</f>
        <v>&gt;2769:GGTCAA:22.00:50.00:OK:6:1816.25</v>
      </c>
    </row>
    <row r="5543" spans="1:6" x14ac:dyDescent="0.3">
      <c r="A5543" t="s">
        <v>2775</v>
      </c>
      <c r="F5543" t="str">
        <f t="shared" ref="F5543" si="5535">A5543</f>
        <v>GGTCAA</v>
      </c>
    </row>
    <row r="5544" spans="1:6" x14ac:dyDescent="0.3">
      <c r="A5544" t="s">
        <v>6872</v>
      </c>
      <c r="F5544" t="str">
        <f t="shared" ref="F5544" si="5536">LEFT(A5544, LEN(A5544) - 1)</f>
        <v>&gt;2770:GGTCAC:20.00:66.67:Warning:6:1792.22</v>
      </c>
    </row>
    <row r="5545" spans="1:6" x14ac:dyDescent="0.3">
      <c r="A5545" t="s">
        <v>2776</v>
      </c>
      <c r="F5545" t="str">
        <f t="shared" ref="F5545" si="5537">A5545</f>
        <v>GGTCAC</v>
      </c>
    </row>
    <row r="5546" spans="1:6" x14ac:dyDescent="0.3">
      <c r="A5546" t="s">
        <v>6873</v>
      </c>
      <c r="F5546" t="str">
        <f t="shared" ref="F5546" si="5538">LEFT(A5546, LEN(A5546) - 1)</f>
        <v>&gt;2771:GGTCAG:20.00:66.67:Warning:6:1832.25</v>
      </c>
    </row>
    <row r="5547" spans="1:6" x14ac:dyDescent="0.3">
      <c r="A5547" t="s">
        <v>2777</v>
      </c>
      <c r="F5547" t="str">
        <f t="shared" ref="F5547" si="5539">A5547</f>
        <v>GGTCAG</v>
      </c>
    </row>
    <row r="5548" spans="1:6" x14ac:dyDescent="0.3">
      <c r="A5548" t="s">
        <v>6874</v>
      </c>
      <c r="F5548" t="str">
        <f t="shared" ref="F5548" si="5540">LEFT(A5548, LEN(A5548) - 1)</f>
        <v>&gt;2772:GGTCAT:14.00:50.00:OK:6:1807.23</v>
      </c>
    </row>
    <row r="5549" spans="1:6" x14ac:dyDescent="0.3">
      <c r="A5549" t="s">
        <v>2778</v>
      </c>
      <c r="F5549" t="str">
        <f t="shared" ref="F5549" si="5541">A5549</f>
        <v>GGTCAT</v>
      </c>
    </row>
    <row r="5550" spans="1:6" x14ac:dyDescent="0.3">
      <c r="A5550" t="s">
        <v>6875</v>
      </c>
      <c r="F5550" t="str">
        <f t="shared" ref="F5550" si="5542">LEFT(A5550, LEN(A5550) - 1)</f>
        <v>&gt;2773:GGTCCA:20.00:66.67:Warning:6:1792.22</v>
      </c>
    </row>
    <row r="5551" spans="1:6" x14ac:dyDescent="0.3">
      <c r="A5551" t="s">
        <v>2779</v>
      </c>
      <c r="F5551" t="str">
        <f t="shared" ref="F5551" si="5543">A5551</f>
        <v>GGTCCA</v>
      </c>
    </row>
    <row r="5552" spans="1:6" x14ac:dyDescent="0.3">
      <c r="A5552" t="s">
        <v>6876</v>
      </c>
      <c r="F5552" t="str">
        <f t="shared" ref="F5552" si="5544">LEFT(A5552, LEN(A5552) - 1)</f>
        <v>&gt;2774:GGTCCC:18.00:83.33:Warning:6:1768.19</v>
      </c>
    </row>
    <row r="5553" spans="1:6" x14ac:dyDescent="0.3">
      <c r="A5553" t="s">
        <v>2780</v>
      </c>
      <c r="F5553" t="str">
        <f t="shared" ref="F5553" si="5545">A5553</f>
        <v>GGTCCC</v>
      </c>
    </row>
    <row r="5554" spans="1:6" x14ac:dyDescent="0.3">
      <c r="A5554" t="s">
        <v>6877</v>
      </c>
      <c r="F5554" t="str">
        <f t="shared" ref="F5554" si="5546">LEFT(A5554, LEN(A5554) - 1)</f>
        <v>&gt;2775:GGTCCG:18.00:83.33:Warning:6:1808.22</v>
      </c>
    </row>
    <row r="5555" spans="1:6" x14ac:dyDescent="0.3">
      <c r="A5555" t="s">
        <v>2781</v>
      </c>
      <c r="F5555" t="str">
        <f t="shared" ref="F5555" si="5547">A5555</f>
        <v>GGTCCG</v>
      </c>
    </row>
    <row r="5556" spans="1:6" x14ac:dyDescent="0.3">
      <c r="A5556" t="s">
        <v>6878</v>
      </c>
      <c r="F5556" t="str">
        <f t="shared" ref="F5556" si="5548">LEFT(A5556, LEN(A5556) - 1)</f>
        <v>&gt;2776:GGTCCT:12.00:66.67:Warning:6:1783.20</v>
      </c>
    </row>
    <row r="5557" spans="1:6" x14ac:dyDescent="0.3">
      <c r="A5557" t="s">
        <v>2782</v>
      </c>
      <c r="F5557" t="str">
        <f t="shared" ref="F5557" si="5549">A5557</f>
        <v>GGTCCT</v>
      </c>
    </row>
    <row r="5558" spans="1:6" x14ac:dyDescent="0.3">
      <c r="A5558" t="s">
        <v>6879</v>
      </c>
      <c r="F5558" t="str">
        <f t="shared" ref="F5558" si="5550">LEFT(A5558, LEN(A5558) - 1)</f>
        <v>&gt;2777:GGTCGA:20.00:66.67:Warning:6:1832.25</v>
      </c>
    </row>
    <row r="5559" spans="1:6" x14ac:dyDescent="0.3">
      <c r="A5559" t="s">
        <v>2783</v>
      </c>
      <c r="F5559" t="str">
        <f t="shared" ref="F5559" si="5551">A5559</f>
        <v>GGTCGA</v>
      </c>
    </row>
    <row r="5560" spans="1:6" x14ac:dyDescent="0.3">
      <c r="A5560" t="s">
        <v>6880</v>
      </c>
      <c r="F5560" t="str">
        <f t="shared" ref="F5560" si="5552">LEFT(A5560, LEN(A5560) - 1)</f>
        <v>&gt;2778:GGTCGC:18.00:83.33:Warning:6:1808.22</v>
      </c>
    </row>
    <row r="5561" spans="1:6" x14ac:dyDescent="0.3">
      <c r="A5561" t="s">
        <v>2784</v>
      </c>
      <c r="F5561" t="str">
        <f t="shared" ref="F5561" si="5553">A5561</f>
        <v>GGTCGC</v>
      </c>
    </row>
    <row r="5562" spans="1:6" x14ac:dyDescent="0.3">
      <c r="A5562" t="s">
        <v>6881</v>
      </c>
      <c r="F5562" t="str">
        <f t="shared" ref="F5562" si="5554">LEFT(A5562, LEN(A5562) - 1)</f>
        <v>&gt;2779:GGTCGG:18.00:83.33:Warning:6:1848.25</v>
      </c>
    </row>
    <row r="5563" spans="1:6" x14ac:dyDescent="0.3">
      <c r="A5563" t="s">
        <v>2785</v>
      </c>
      <c r="F5563" t="str">
        <f t="shared" ref="F5563" si="5555">A5563</f>
        <v>GGTCGG</v>
      </c>
    </row>
    <row r="5564" spans="1:6" x14ac:dyDescent="0.3">
      <c r="A5564" t="s">
        <v>6882</v>
      </c>
      <c r="F5564" t="str">
        <f t="shared" ref="F5564" si="5556">LEFT(A5564, LEN(A5564) - 1)</f>
        <v>&gt;2780:GGTCGT:12.00:66.67:Warning:6:1823.23</v>
      </c>
    </row>
    <row r="5565" spans="1:6" x14ac:dyDescent="0.3">
      <c r="A5565" t="s">
        <v>2786</v>
      </c>
      <c r="F5565" t="str">
        <f t="shared" ref="F5565" si="5557">A5565</f>
        <v>GGTCGT</v>
      </c>
    </row>
    <row r="5566" spans="1:6" x14ac:dyDescent="0.3">
      <c r="A5566" t="s">
        <v>6883</v>
      </c>
      <c r="F5566" t="str">
        <f t="shared" ref="F5566" si="5558">LEFT(A5566, LEN(A5566) - 1)</f>
        <v>&gt;2781:GGTCTA:14.00:50.00:OK:6:1807.23</v>
      </c>
    </row>
    <row r="5567" spans="1:6" x14ac:dyDescent="0.3">
      <c r="A5567" t="s">
        <v>2787</v>
      </c>
      <c r="F5567" t="str">
        <f t="shared" ref="F5567" si="5559">A5567</f>
        <v>GGTCTA</v>
      </c>
    </row>
    <row r="5568" spans="1:6" x14ac:dyDescent="0.3">
      <c r="A5568" t="s">
        <v>6884</v>
      </c>
      <c r="F5568" t="str">
        <f t="shared" ref="F5568" si="5560">LEFT(A5568, LEN(A5568) - 1)</f>
        <v>&gt;2782:GGTCTC:12.00:66.67:Warning:6:1783.20</v>
      </c>
    </row>
    <row r="5569" spans="1:6" x14ac:dyDescent="0.3">
      <c r="A5569" t="s">
        <v>2788</v>
      </c>
      <c r="F5569" t="str">
        <f t="shared" ref="F5569" si="5561">A5569</f>
        <v>GGTCTC</v>
      </c>
    </row>
    <row r="5570" spans="1:6" x14ac:dyDescent="0.3">
      <c r="A5570" t="s">
        <v>6885</v>
      </c>
      <c r="F5570" t="str">
        <f t="shared" ref="F5570" si="5562">LEFT(A5570, LEN(A5570) - 1)</f>
        <v>&gt;2783:GGTCTG:12.00:66.67:Warning:6:1823.23</v>
      </c>
    </row>
    <row r="5571" spans="1:6" x14ac:dyDescent="0.3">
      <c r="A5571" t="s">
        <v>2789</v>
      </c>
      <c r="F5571" t="str">
        <f t="shared" ref="F5571" si="5563">A5571</f>
        <v>GGTCTG</v>
      </c>
    </row>
    <row r="5572" spans="1:6" x14ac:dyDescent="0.3">
      <c r="A5572" t="s">
        <v>6886</v>
      </c>
      <c r="F5572" t="str">
        <f t="shared" ref="F5572" si="5564">LEFT(A5572, LEN(A5572) - 1)</f>
        <v>&gt;2784:GGTCTT:6.00:50.00:OK:6:1798.21</v>
      </c>
    </row>
    <row r="5573" spans="1:6" x14ac:dyDescent="0.3">
      <c r="A5573" t="s">
        <v>2790</v>
      </c>
      <c r="F5573" t="str">
        <f t="shared" ref="F5573" si="5565">A5573</f>
        <v>GGTCTT</v>
      </c>
    </row>
    <row r="5574" spans="1:6" x14ac:dyDescent="0.3">
      <c r="A5574" t="s">
        <v>6887</v>
      </c>
      <c r="F5574" t="str">
        <f t="shared" ref="F5574" si="5566">LEFT(A5574, LEN(A5574) - 1)</f>
        <v>&gt;2785:GGTGAA:22.00:50.00:OK:6:1856.28</v>
      </c>
    </row>
    <row r="5575" spans="1:6" x14ac:dyDescent="0.3">
      <c r="A5575" t="s">
        <v>2791</v>
      </c>
      <c r="F5575" t="str">
        <f t="shared" ref="F5575" si="5567">A5575</f>
        <v>GGTGAA</v>
      </c>
    </row>
    <row r="5576" spans="1:6" x14ac:dyDescent="0.3">
      <c r="A5576" t="s">
        <v>6888</v>
      </c>
      <c r="F5576" t="str">
        <f t="shared" ref="F5576" si="5568">LEFT(A5576, LEN(A5576) - 1)</f>
        <v>&gt;2786:GGTGAC:20.00:66.67:Warning:6:1832.25</v>
      </c>
    </row>
    <row r="5577" spans="1:6" x14ac:dyDescent="0.3">
      <c r="A5577" t="s">
        <v>2792</v>
      </c>
      <c r="F5577" t="str">
        <f t="shared" ref="F5577" si="5569">A5577</f>
        <v>GGTGAC</v>
      </c>
    </row>
    <row r="5578" spans="1:6" x14ac:dyDescent="0.3">
      <c r="A5578" t="s">
        <v>6889</v>
      </c>
      <c r="F5578" t="str">
        <f t="shared" ref="F5578" si="5570">LEFT(A5578, LEN(A5578) - 1)</f>
        <v>&gt;2787:GGTGAG:20.00:66.67:Warning:6:1872.28</v>
      </c>
    </row>
    <row r="5579" spans="1:6" x14ac:dyDescent="0.3">
      <c r="A5579" t="s">
        <v>2793</v>
      </c>
      <c r="F5579" t="str">
        <f t="shared" ref="F5579" si="5571">A5579</f>
        <v>GGTGAG</v>
      </c>
    </row>
    <row r="5580" spans="1:6" x14ac:dyDescent="0.3">
      <c r="A5580" t="s">
        <v>6890</v>
      </c>
      <c r="F5580" t="str">
        <f t="shared" ref="F5580" si="5572">LEFT(A5580, LEN(A5580) - 1)</f>
        <v>&gt;2788:GGTGAT:14.00:50.00:OK:6:1847.26</v>
      </c>
    </row>
    <row r="5581" spans="1:6" x14ac:dyDescent="0.3">
      <c r="A5581" t="s">
        <v>2794</v>
      </c>
      <c r="F5581" t="str">
        <f t="shared" ref="F5581" si="5573">A5581</f>
        <v>GGTGAT</v>
      </c>
    </row>
    <row r="5582" spans="1:6" x14ac:dyDescent="0.3">
      <c r="A5582" t="s">
        <v>6891</v>
      </c>
      <c r="F5582" t="str">
        <f t="shared" ref="F5582" si="5574">LEFT(A5582, LEN(A5582) - 1)</f>
        <v>&gt;2789:GGTGCA:20.00:66.67:Warning:6:1832.25</v>
      </c>
    </row>
    <row r="5583" spans="1:6" x14ac:dyDescent="0.3">
      <c r="A5583" t="s">
        <v>2795</v>
      </c>
      <c r="F5583" t="str">
        <f t="shared" ref="F5583" si="5575">A5583</f>
        <v>GGTGCA</v>
      </c>
    </row>
    <row r="5584" spans="1:6" x14ac:dyDescent="0.3">
      <c r="A5584" t="s">
        <v>6892</v>
      </c>
      <c r="F5584" t="str">
        <f t="shared" ref="F5584" si="5576">LEFT(A5584, LEN(A5584) - 1)</f>
        <v>&gt;2790:GGTGCC:18.00:83.33:Warning:6:1808.22</v>
      </c>
    </row>
    <row r="5585" spans="1:6" x14ac:dyDescent="0.3">
      <c r="A5585" t="s">
        <v>2796</v>
      </c>
      <c r="F5585" t="str">
        <f t="shared" ref="F5585" si="5577">A5585</f>
        <v>GGTGCC</v>
      </c>
    </row>
    <row r="5586" spans="1:6" x14ac:dyDescent="0.3">
      <c r="A5586" t="s">
        <v>6893</v>
      </c>
      <c r="F5586" t="str">
        <f t="shared" ref="F5586" si="5578">LEFT(A5586, LEN(A5586) - 1)</f>
        <v>&gt;2791:GGTGCG:18.00:83.33:Warning:6:1848.25</v>
      </c>
    </row>
    <row r="5587" spans="1:6" x14ac:dyDescent="0.3">
      <c r="A5587" t="s">
        <v>2797</v>
      </c>
      <c r="F5587" t="str">
        <f t="shared" ref="F5587" si="5579">A5587</f>
        <v>GGTGCG</v>
      </c>
    </row>
    <row r="5588" spans="1:6" x14ac:dyDescent="0.3">
      <c r="A5588" t="s">
        <v>6894</v>
      </c>
      <c r="F5588" t="str">
        <f t="shared" ref="F5588" si="5580">LEFT(A5588, LEN(A5588) - 1)</f>
        <v>&gt;2792:GGTGCT:12.00:66.67:Warning:6:1823.23</v>
      </c>
    </row>
    <row r="5589" spans="1:6" x14ac:dyDescent="0.3">
      <c r="A5589" t="s">
        <v>2798</v>
      </c>
      <c r="F5589" t="str">
        <f t="shared" ref="F5589" si="5581">A5589</f>
        <v>GGTGCT</v>
      </c>
    </row>
    <row r="5590" spans="1:6" x14ac:dyDescent="0.3">
      <c r="A5590" t="s">
        <v>6895</v>
      </c>
      <c r="F5590" t="str">
        <f t="shared" ref="F5590" si="5582">LEFT(A5590, LEN(A5590) - 1)</f>
        <v>&gt;2793:GGTGGA:20.00:66.67:Warning:6:1872.28</v>
      </c>
    </row>
    <row r="5591" spans="1:6" x14ac:dyDescent="0.3">
      <c r="A5591" t="s">
        <v>2799</v>
      </c>
      <c r="F5591" t="str">
        <f t="shared" ref="F5591" si="5583">A5591</f>
        <v>GGTGGA</v>
      </c>
    </row>
    <row r="5592" spans="1:6" x14ac:dyDescent="0.3">
      <c r="A5592" t="s">
        <v>6896</v>
      </c>
      <c r="F5592" t="str">
        <f t="shared" ref="F5592" si="5584">LEFT(A5592, LEN(A5592) - 1)</f>
        <v>&gt;2794:GGTGGC:18.00:83.33:Warning:6:1848.25</v>
      </c>
    </row>
    <row r="5593" spans="1:6" x14ac:dyDescent="0.3">
      <c r="A5593" t="s">
        <v>2800</v>
      </c>
      <c r="F5593" t="str">
        <f t="shared" ref="F5593" si="5585">A5593</f>
        <v>GGTGGC</v>
      </c>
    </row>
    <row r="5594" spans="1:6" x14ac:dyDescent="0.3">
      <c r="A5594" t="s">
        <v>6897</v>
      </c>
      <c r="F5594" t="str">
        <f t="shared" ref="F5594" si="5586">LEFT(A5594, LEN(A5594) - 1)</f>
        <v>&gt;2795:GGTGGG:18.00:83.33:Warning:6:1888.28</v>
      </c>
    </row>
    <row r="5595" spans="1:6" x14ac:dyDescent="0.3">
      <c r="A5595" t="s">
        <v>2801</v>
      </c>
      <c r="F5595" t="str">
        <f t="shared" ref="F5595" si="5587">A5595</f>
        <v>GGTGGG</v>
      </c>
    </row>
    <row r="5596" spans="1:6" x14ac:dyDescent="0.3">
      <c r="A5596" t="s">
        <v>6898</v>
      </c>
      <c r="F5596" t="str">
        <f t="shared" ref="F5596" si="5588">LEFT(A5596, LEN(A5596) - 1)</f>
        <v>&gt;2796:GGTGGT:12.00:66.67:Warning:6:1863.26</v>
      </c>
    </row>
    <row r="5597" spans="1:6" x14ac:dyDescent="0.3">
      <c r="A5597" t="s">
        <v>2802</v>
      </c>
      <c r="F5597" t="str">
        <f t="shared" ref="F5597" si="5589">A5597</f>
        <v>GGTGGT</v>
      </c>
    </row>
    <row r="5598" spans="1:6" x14ac:dyDescent="0.3">
      <c r="A5598" t="s">
        <v>6899</v>
      </c>
      <c r="F5598" t="str">
        <f t="shared" ref="F5598" si="5590">LEFT(A5598, LEN(A5598) - 1)</f>
        <v>&gt;2797:GGTGTA:14.00:50.00:OK:6:1847.26</v>
      </c>
    </row>
    <row r="5599" spans="1:6" x14ac:dyDescent="0.3">
      <c r="A5599" t="s">
        <v>2803</v>
      </c>
      <c r="F5599" t="str">
        <f t="shared" ref="F5599" si="5591">A5599</f>
        <v>GGTGTA</v>
      </c>
    </row>
    <row r="5600" spans="1:6" x14ac:dyDescent="0.3">
      <c r="A5600" t="s">
        <v>6900</v>
      </c>
      <c r="F5600" t="str">
        <f t="shared" ref="F5600" si="5592">LEFT(A5600, LEN(A5600) - 1)</f>
        <v>&gt;2798:GGTGTC:12.00:66.67:Warning:6:1823.23</v>
      </c>
    </row>
    <row r="5601" spans="1:6" x14ac:dyDescent="0.3">
      <c r="A5601" t="s">
        <v>2804</v>
      </c>
      <c r="F5601" t="str">
        <f t="shared" ref="F5601" si="5593">A5601</f>
        <v>GGTGTC</v>
      </c>
    </row>
    <row r="5602" spans="1:6" x14ac:dyDescent="0.3">
      <c r="A5602" t="s">
        <v>6901</v>
      </c>
      <c r="F5602" t="str">
        <f t="shared" ref="F5602" si="5594">LEFT(A5602, LEN(A5602) - 1)</f>
        <v>&gt;2799:GGTGTG:12.00:66.67:Warning:6:1863.26</v>
      </c>
    </row>
    <row r="5603" spans="1:6" x14ac:dyDescent="0.3">
      <c r="A5603" t="s">
        <v>2805</v>
      </c>
      <c r="F5603" t="str">
        <f t="shared" ref="F5603" si="5595">A5603</f>
        <v>GGTGTG</v>
      </c>
    </row>
    <row r="5604" spans="1:6" x14ac:dyDescent="0.3">
      <c r="A5604" t="s">
        <v>6902</v>
      </c>
      <c r="F5604" t="str">
        <f t="shared" ref="F5604" si="5596">LEFT(A5604, LEN(A5604) - 1)</f>
        <v>&gt;2800:GGTGTT:6.00:50.00:OK:6:1838.24</v>
      </c>
    </row>
    <row r="5605" spans="1:6" x14ac:dyDescent="0.3">
      <c r="A5605" t="s">
        <v>2806</v>
      </c>
      <c r="F5605" t="str">
        <f t="shared" ref="F5605" si="5597">A5605</f>
        <v>GGTGTT</v>
      </c>
    </row>
    <row r="5606" spans="1:6" x14ac:dyDescent="0.3">
      <c r="A5606" t="s">
        <v>6903</v>
      </c>
      <c r="F5606" t="str">
        <f t="shared" ref="F5606" si="5598">LEFT(A5606, LEN(A5606) - 1)</f>
        <v>&gt;2801:GGTTAA:16.00:33.33:OK:6:1831.26</v>
      </c>
    </row>
    <row r="5607" spans="1:6" x14ac:dyDescent="0.3">
      <c r="A5607" t="s">
        <v>2807</v>
      </c>
      <c r="F5607" t="str">
        <f t="shared" ref="F5607" si="5599">A5607</f>
        <v>GGTTAA</v>
      </c>
    </row>
    <row r="5608" spans="1:6" x14ac:dyDescent="0.3">
      <c r="A5608" t="s">
        <v>6904</v>
      </c>
      <c r="F5608" t="str">
        <f t="shared" ref="F5608" si="5600">LEFT(A5608, LEN(A5608) - 1)</f>
        <v>&gt;2802:GGTTAC:14.00:50.00:OK:6:1807.23</v>
      </c>
    </row>
    <row r="5609" spans="1:6" x14ac:dyDescent="0.3">
      <c r="A5609" t="s">
        <v>2808</v>
      </c>
      <c r="F5609" t="str">
        <f t="shared" ref="F5609" si="5601">A5609</f>
        <v>GGTTAC</v>
      </c>
    </row>
    <row r="5610" spans="1:6" x14ac:dyDescent="0.3">
      <c r="A5610" t="s">
        <v>6905</v>
      </c>
      <c r="F5610" t="str">
        <f t="shared" ref="F5610" si="5602">LEFT(A5610, LEN(A5610) - 1)</f>
        <v>&gt;2803:GGTTAG:14.00:50.00:OK:6:1847.26</v>
      </c>
    </row>
    <row r="5611" spans="1:6" x14ac:dyDescent="0.3">
      <c r="A5611" t="s">
        <v>2809</v>
      </c>
      <c r="F5611" t="str">
        <f t="shared" ref="F5611" si="5603">A5611</f>
        <v>GGTTAG</v>
      </c>
    </row>
    <row r="5612" spans="1:6" x14ac:dyDescent="0.3">
      <c r="A5612" t="s">
        <v>6906</v>
      </c>
      <c r="F5612" t="str">
        <f t="shared" ref="F5612" si="5604">LEFT(A5612, LEN(A5612) - 1)</f>
        <v>&gt;2804:GGTTAT:8.00:33.33:OK:6:1822.24</v>
      </c>
    </row>
    <row r="5613" spans="1:6" x14ac:dyDescent="0.3">
      <c r="A5613" t="s">
        <v>2810</v>
      </c>
      <c r="F5613" t="str">
        <f t="shared" ref="F5613" si="5605">A5613</f>
        <v>GGTTAT</v>
      </c>
    </row>
    <row r="5614" spans="1:6" x14ac:dyDescent="0.3">
      <c r="A5614" t="s">
        <v>6907</v>
      </c>
      <c r="F5614" t="str">
        <f t="shared" ref="F5614" si="5606">LEFT(A5614, LEN(A5614) - 1)</f>
        <v>&gt;2805:GGTTCA:14.00:50.00:OK:6:1807.23</v>
      </c>
    </row>
    <row r="5615" spans="1:6" x14ac:dyDescent="0.3">
      <c r="A5615" t="s">
        <v>2811</v>
      </c>
      <c r="F5615" t="str">
        <f t="shared" ref="F5615" si="5607">A5615</f>
        <v>GGTTCA</v>
      </c>
    </row>
    <row r="5616" spans="1:6" x14ac:dyDescent="0.3">
      <c r="A5616" t="s">
        <v>6908</v>
      </c>
      <c r="F5616" t="str">
        <f t="shared" ref="F5616" si="5608">LEFT(A5616, LEN(A5616) - 1)</f>
        <v>&gt;2806:GGTTCC:12.00:66.67:Warning:6:1783.20</v>
      </c>
    </row>
    <row r="5617" spans="1:6" x14ac:dyDescent="0.3">
      <c r="A5617" t="s">
        <v>2812</v>
      </c>
      <c r="F5617" t="str">
        <f t="shared" ref="F5617" si="5609">A5617</f>
        <v>GGTTCC</v>
      </c>
    </row>
    <row r="5618" spans="1:6" x14ac:dyDescent="0.3">
      <c r="A5618" t="s">
        <v>6909</v>
      </c>
      <c r="F5618" t="str">
        <f t="shared" ref="F5618" si="5610">LEFT(A5618, LEN(A5618) - 1)</f>
        <v>&gt;2807:GGTTCG:12.00:66.67:Warning:6:1823.23</v>
      </c>
    </row>
    <row r="5619" spans="1:6" x14ac:dyDescent="0.3">
      <c r="A5619" t="s">
        <v>2813</v>
      </c>
      <c r="F5619" t="str">
        <f t="shared" ref="F5619" si="5611">A5619</f>
        <v>GGTTCG</v>
      </c>
    </row>
    <row r="5620" spans="1:6" x14ac:dyDescent="0.3">
      <c r="A5620" t="s">
        <v>6910</v>
      </c>
      <c r="F5620" t="str">
        <f t="shared" ref="F5620" si="5612">LEFT(A5620, LEN(A5620) - 1)</f>
        <v>&gt;2808:GGTTCT:6.00:50.00:OK:6:1798.21</v>
      </c>
    </row>
    <row r="5621" spans="1:6" x14ac:dyDescent="0.3">
      <c r="A5621" t="s">
        <v>2814</v>
      </c>
      <c r="F5621" t="str">
        <f t="shared" ref="F5621" si="5613">A5621</f>
        <v>GGTTCT</v>
      </c>
    </row>
    <row r="5622" spans="1:6" x14ac:dyDescent="0.3">
      <c r="A5622" t="s">
        <v>6911</v>
      </c>
      <c r="F5622" t="str">
        <f t="shared" ref="F5622" si="5614">LEFT(A5622, LEN(A5622) - 1)</f>
        <v>&gt;2809:GGTTGA:14.00:50.00:OK:6:1847.26</v>
      </c>
    </row>
    <row r="5623" spans="1:6" x14ac:dyDescent="0.3">
      <c r="A5623" t="s">
        <v>2815</v>
      </c>
      <c r="F5623" t="str">
        <f t="shared" ref="F5623" si="5615">A5623</f>
        <v>GGTTGA</v>
      </c>
    </row>
    <row r="5624" spans="1:6" x14ac:dyDescent="0.3">
      <c r="A5624" t="s">
        <v>6912</v>
      </c>
      <c r="F5624" t="str">
        <f t="shared" ref="F5624" si="5616">LEFT(A5624, LEN(A5624) - 1)</f>
        <v>&gt;2810:GGTTGC:12.00:66.67:Warning:6:1823.23</v>
      </c>
    </row>
    <row r="5625" spans="1:6" x14ac:dyDescent="0.3">
      <c r="A5625" t="s">
        <v>2816</v>
      </c>
      <c r="F5625" t="str">
        <f t="shared" ref="F5625" si="5617">A5625</f>
        <v>GGTTGC</v>
      </c>
    </row>
    <row r="5626" spans="1:6" x14ac:dyDescent="0.3">
      <c r="A5626" t="s">
        <v>6913</v>
      </c>
      <c r="F5626" t="str">
        <f t="shared" ref="F5626" si="5618">LEFT(A5626, LEN(A5626) - 1)</f>
        <v>&gt;2811:GGTTGG:12.00:66.67:Warning:6:1863.26</v>
      </c>
    </row>
    <row r="5627" spans="1:6" x14ac:dyDescent="0.3">
      <c r="A5627" t="s">
        <v>2817</v>
      </c>
      <c r="F5627" t="str">
        <f t="shared" ref="F5627" si="5619">A5627</f>
        <v>GGTTGG</v>
      </c>
    </row>
    <row r="5628" spans="1:6" x14ac:dyDescent="0.3">
      <c r="A5628" t="s">
        <v>6914</v>
      </c>
      <c r="F5628" t="str">
        <f t="shared" ref="F5628" si="5620">LEFT(A5628, LEN(A5628) - 1)</f>
        <v>&gt;2812:GGTTGT:6.00:50.00:OK:6:1838.24</v>
      </c>
    </row>
    <row r="5629" spans="1:6" x14ac:dyDescent="0.3">
      <c r="A5629" t="s">
        <v>2818</v>
      </c>
      <c r="F5629" t="str">
        <f t="shared" ref="F5629" si="5621">A5629</f>
        <v>GGTTGT</v>
      </c>
    </row>
    <row r="5630" spans="1:6" x14ac:dyDescent="0.3">
      <c r="A5630" t="s">
        <v>6915</v>
      </c>
      <c r="F5630" t="str">
        <f t="shared" ref="F5630" si="5622">LEFT(A5630, LEN(A5630) - 1)</f>
        <v>&gt;2813:GGTTTA:8.00:33.33:OK:6:1822.24</v>
      </c>
    </row>
    <row r="5631" spans="1:6" x14ac:dyDescent="0.3">
      <c r="A5631" t="s">
        <v>2819</v>
      </c>
      <c r="F5631" t="str">
        <f t="shared" ref="F5631" si="5623">A5631</f>
        <v>GGTTTA</v>
      </c>
    </row>
    <row r="5632" spans="1:6" x14ac:dyDescent="0.3">
      <c r="A5632" t="s">
        <v>6916</v>
      </c>
      <c r="F5632" t="str">
        <f t="shared" ref="F5632" si="5624">LEFT(A5632, LEN(A5632) - 1)</f>
        <v>&gt;2814:GGTTTC:6.00:50.00:OK:6:1798.21</v>
      </c>
    </row>
    <row r="5633" spans="1:6" x14ac:dyDescent="0.3">
      <c r="A5633" t="s">
        <v>2820</v>
      </c>
      <c r="F5633" t="str">
        <f t="shared" ref="F5633" si="5625">A5633</f>
        <v>GGTTTC</v>
      </c>
    </row>
    <row r="5634" spans="1:6" x14ac:dyDescent="0.3">
      <c r="A5634" t="s">
        <v>6917</v>
      </c>
      <c r="F5634" t="str">
        <f t="shared" ref="F5634" si="5626">LEFT(A5634, LEN(A5634) - 1)</f>
        <v>&gt;2815:GGTTTG:6.00:50.00:OK:6:1838.24</v>
      </c>
    </row>
    <row r="5635" spans="1:6" x14ac:dyDescent="0.3">
      <c r="A5635" t="s">
        <v>2821</v>
      </c>
      <c r="F5635" t="str">
        <f t="shared" ref="F5635" si="5627">A5635</f>
        <v>GGTTTG</v>
      </c>
    </row>
    <row r="5636" spans="1:6" x14ac:dyDescent="0.3">
      <c r="A5636" t="s">
        <v>6918</v>
      </c>
      <c r="F5636" t="str">
        <f t="shared" ref="F5636" si="5628">LEFT(A5636, LEN(A5636) - 1)</f>
        <v>&gt;2816:GGTTTT:0.00:33.33:OK:6:1813.22</v>
      </c>
    </row>
    <row r="5637" spans="1:6" x14ac:dyDescent="0.3">
      <c r="A5637" t="s">
        <v>2822</v>
      </c>
      <c r="F5637" t="str">
        <f t="shared" ref="F5637" si="5629">A5637</f>
        <v>GGTTTT</v>
      </c>
    </row>
    <row r="5638" spans="1:6" x14ac:dyDescent="0.3">
      <c r="A5638" t="s">
        <v>6919</v>
      </c>
      <c r="F5638" t="str">
        <f t="shared" ref="F5638" si="5630">LEFT(A5638, LEN(A5638) - 1)</f>
        <v>&gt;2817:GTAAAA:26.00:16.67:OK:6:1824.28</v>
      </c>
    </row>
    <row r="5639" spans="1:6" x14ac:dyDescent="0.3">
      <c r="A5639" t="s">
        <v>2823</v>
      </c>
      <c r="F5639" t="str">
        <f t="shared" ref="F5639" si="5631">A5639</f>
        <v>GTAAAA</v>
      </c>
    </row>
    <row r="5640" spans="1:6" x14ac:dyDescent="0.3">
      <c r="A5640" t="s">
        <v>6920</v>
      </c>
      <c r="F5640" t="str">
        <f t="shared" ref="F5640" si="5632">LEFT(A5640, LEN(A5640) - 1)</f>
        <v>&gt;2818:GTAAAC:24.00:33.33:OK:6:1800.25</v>
      </c>
    </row>
    <row r="5641" spans="1:6" x14ac:dyDescent="0.3">
      <c r="A5641" t="s">
        <v>2824</v>
      </c>
      <c r="F5641" t="str">
        <f t="shared" ref="F5641" si="5633">A5641</f>
        <v>GTAAAC</v>
      </c>
    </row>
    <row r="5642" spans="1:6" x14ac:dyDescent="0.3">
      <c r="A5642" t="s">
        <v>6921</v>
      </c>
      <c r="F5642" t="str">
        <f t="shared" ref="F5642" si="5634">LEFT(A5642, LEN(A5642) - 1)</f>
        <v>&gt;2819:GTAAAG:24.00:33.33:OK:6:1840.28</v>
      </c>
    </row>
    <row r="5643" spans="1:6" x14ac:dyDescent="0.3">
      <c r="A5643" t="s">
        <v>2825</v>
      </c>
      <c r="F5643" t="str">
        <f t="shared" ref="F5643" si="5635">A5643</f>
        <v>GTAAAG</v>
      </c>
    </row>
    <row r="5644" spans="1:6" x14ac:dyDescent="0.3">
      <c r="A5644" t="s">
        <v>6922</v>
      </c>
      <c r="F5644" t="str">
        <f t="shared" ref="F5644" si="5636">LEFT(A5644, LEN(A5644) - 1)</f>
        <v>&gt;2820:GTAAAT:18.00:16.67:OK:6:1815.26</v>
      </c>
    </row>
    <row r="5645" spans="1:6" x14ac:dyDescent="0.3">
      <c r="A5645" t="s">
        <v>2826</v>
      </c>
      <c r="F5645" t="str">
        <f t="shared" ref="F5645" si="5637">A5645</f>
        <v>GTAAAT</v>
      </c>
    </row>
    <row r="5646" spans="1:6" x14ac:dyDescent="0.3">
      <c r="A5646" t="s">
        <v>6923</v>
      </c>
      <c r="F5646" t="str">
        <f t="shared" ref="F5646" si="5638">LEFT(A5646, LEN(A5646) - 1)</f>
        <v>&gt;2821:GTAACA:24.00:33.33:OK:6:1800.25</v>
      </c>
    </row>
    <row r="5647" spans="1:6" x14ac:dyDescent="0.3">
      <c r="A5647" t="s">
        <v>2827</v>
      </c>
      <c r="F5647" t="str">
        <f t="shared" ref="F5647" si="5639">A5647</f>
        <v>GTAACA</v>
      </c>
    </row>
    <row r="5648" spans="1:6" x14ac:dyDescent="0.3">
      <c r="A5648" t="s">
        <v>6924</v>
      </c>
      <c r="F5648" t="str">
        <f t="shared" ref="F5648" si="5640">LEFT(A5648, LEN(A5648) - 1)</f>
        <v>&gt;2822:GTAACC:22.00:50.00:OK:6:1776.22</v>
      </c>
    </row>
    <row r="5649" spans="1:6" x14ac:dyDescent="0.3">
      <c r="A5649" t="s">
        <v>2828</v>
      </c>
      <c r="F5649" t="str">
        <f t="shared" ref="F5649" si="5641">A5649</f>
        <v>GTAACC</v>
      </c>
    </row>
    <row r="5650" spans="1:6" x14ac:dyDescent="0.3">
      <c r="A5650" t="s">
        <v>6925</v>
      </c>
      <c r="F5650" t="str">
        <f t="shared" ref="F5650" si="5642">LEFT(A5650, LEN(A5650) - 1)</f>
        <v>&gt;2823:GTAACG:22.00:50.00:OK:6:1816.25</v>
      </c>
    </row>
    <row r="5651" spans="1:6" x14ac:dyDescent="0.3">
      <c r="A5651" t="s">
        <v>2829</v>
      </c>
      <c r="F5651" t="str">
        <f t="shared" ref="F5651" si="5643">A5651</f>
        <v>GTAACG</v>
      </c>
    </row>
    <row r="5652" spans="1:6" x14ac:dyDescent="0.3">
      <c r="A5652" t="s">
        <v>6926</v>
      </c>
      <c r="F5652" t="str">
        <f t="shared" ref="F5652" si="5644">LEFT(A5652, LEN(A5652) - 1)</f>
        <v>&gt;2824:GTAACT:16.00:33.33:OK:6:1791.23</v>
      </c>
    </row>
    <row r="5653" spans="1:6" x14ac:dyDescent="0.3">
      <c r="A5653" t="s">
        <v>2830</v>
      </c>
      <c r="F5653" t="str">
        <f t="shared" ref="F5653" si="5645">A5653</f>
        <v>GTAACT</v>
      </c>
    </row>
    <row r="5654" spans="1:6" x14ac:dyDescent="0.3">
      <c r="A5654" t="s">
        <v>6927</v>
      </c>
      <c r="F5654" t="str">
        <f t="shared" ref="F5654" si="5646">LEFT(A5654, LEN(A5654) - 1)</f>
        <v>&gt;2825:GTAAGA:24.00:33.33:OK:6:1840.28</v>
      </c>
    </row>
    <row r="5655" spans="1:6" x14ac:dyDescent="0.3">
      <c r="A5655" t="s">
        <v>2831</v>
      </c>
      <c r="F5655" t="str">
        <f t="shared" ref="F5655" si="5647">A5655</f>
        <v>GTAAGA</v>
      </c>
    </row>
    <row r="5656" spans="1:6" x14ac:dyDescent="0.3">
      <c r="A5656" t="s">
        <v>6928</v>
      </c>
      <c r="F5656" t="str">
        <f t="shared" ref="F5656" si="5648">LEFT(A5656, LEN(A5656) - 1)</f>
        <v>&gt;2826:GTAAGC:22.00:50.00:OK:6:1816.25</v>
      </c>
    </row>
    <row r="5657" spans="1:6" x14ac:dyDescent="0.3">
      <c r="A5657" t="s">
        <v>2832</v>
      </c>
      <c r="F5657" t="str">
        <f t="shared" ref="F5657" si="5649">A5657</f>
        <v>GTAAGC</v>
      </c>
    </row>
    <row r="5658" spans="1:6" x14ac:dyDescent="0.3">
      <c r="A5658" t="s">
        <v>6929</v>
      </c>
      <c r="F5658" t="str">
        <f t="shared" ref="F5658" si="5650">LEFT(A5658, LEN(A5658) - 1)</f>
        <v>&gt;2827:GTAAGG:22.00:50.00:OK:6:1856.28</v>
      </c>
    </row>
    <row r="5659" spans="1:6" x14ac:dyDescent="0.3">
      <c r="A5659" t="s">
        <v>2833</v>
      </c>
      <c r="F5659" t="str">
        <f t="shared" ref="F5659" si="5651">A5659</f>
        <v>GTAAGG</v>
      </c>
    </row>
    <row r="5660" spans="1:6" x14ac:dyDescent="0.3">
      <c r="A5660" t="s">
        <v>6930</v>
      </c>
      <c r="F5660" t="str">
        <f t="shared" ref="F5660" si="5652">LEFT(A5660, LEN(A5660) - 1)</f>
        <v>&gt;2828:GTAAGT:16.00:33.33:OK:6:1831.26</v>
      </c>
    </row>
    <row r="5661" spans="1:6" x14ac:dyDescent="0.3">
      <c r="A5661" t="s">
        <v>2834</v>
      </c>
      <c r="F5661" t="str">
        <f t="shared" ref="F5661" si="5653">A5661</f>
        <v>GTAAGT</v>
      </c>
    </row>
    <row r="5662" spans="1:6" x14ac:dyDescent="0.3">
      <c r="A5662" t="s">
        <v>6931</v>
      </c>
      <c r="F5662" t="str">
        <f t="shared" ref="F5662" si="5654">LEFT(A5662, LEN(A5662) - 1)</f>
        <v>&gt;2829:GTAATA:18.00:16.67:OK:6:1815.26</v>
      </c>
    </row>
    <row r="5663" spans="1:6" x14ac:dyDescent="0.3">
      <c r="A5663" t="s">
        <v>2835</v>
      </c>
      <c r="F5663" t="str">
        <f t="shared" ref="F5663" si="5655">A5663</f>
        <v>GTAATA</v>
      </c>
    </row>
    <row r="5664" spans="1:6" x14ac:dyDescent="0.3">
      <c r="A5664" t="s">
        <v>6932</v>
      </c>
      <c r="F5664" t="str">
        <f t="shared" ref="F5664" si="5656">LEFT(A5664, LEN(A5664) - 1)</f>
        <v>&gt;2830:GTAATC:16.00:33.33:OK:6:1791.23</v>
      </c>
    </row>
    <row r="5665" spans="1:6" x14ac:dyDescent="0.3">
      <c r="A5665" t="s">
        <v>2836</v>
      </c>
      <c r="F5665" t="str">
        <f t="shared" ref="F5665" si="5657">A5665</f>
        <v>GTAATC</v>
      </c>
    </row>
    <row r="5666" spans="1:6" x14ac:dyDescent="0.3">
      <c r="A5666" t="s">
        <v>6933</v>
      </c>
      <c r="F5666" t="str">
        <f t="shared" ref="F5666" si="5658">LEFT(A5666, LEN(A5666) - 1)</f>
        <v>&gt;2831:GTAATG:16.00:33.33:OK:6:1831.26</v>
      </c>
    </row>
    <row r="5667" spans="1:6" x14ac:dyDescent="0.3">
      <c r="A5667" t="s">
        <v>2837</v>
      </c>
      <c r="F5667" t="str">
        <f t="shared" ref="F5667" si="5659">A5667</f>
        <v>GTAATG</v>
      </c>
    </row>
    <row r="5668" spans="1:6" x14ac:dyDescent="0.3">
      <c r="A5668" t="s">
        <v>6934</v>
      </c>
      <c r="F5668" t="str">
        <f t="shared" ref="F5668" si="5660">LEFT(A5668, LEN(A5668) - 1)</f>
        <v>&gt;2832:GTAATT:10.00:16.67:OK:6:1806.24</v>
      </c>
    </row>
    <row r="5669" spans="1:6" x14ac:dyDescent="0.3">
      <c r="A5669" t="s">
        <v>2838</v>
      </c>
      <c r="F5669" t="str">
        <f t="shared" ref="F5669" si="5661">A5669</f>
        <v>GTAATT</v>
      </c>
    </row>
    <row r="5670" spans="1:6" x14ac:dyDescent="0.3">
      <c r="A5670" t="s">
        <v>6935</v>
      </c>
      <c r="F5670" t="str">
        <f t="shared" ref="F5670" si="5662">LEFT(A5670, LEN(A5670) - 1)</f>
        <v>&gt;2833:GTACAA:24.00:33.33:OK:6:1800.25</v>
      </c>
    </row>
    <row r="5671" spans="1:6" x14ac:dyDescent="0.3">
      <c r="A5671" t="s">
        <v>2839</v>
      </c>
      <c r="F5671" t="str">
        <f t="shared" ref="F5671" si="5663">A5671</f>
        <v>GTACAA</v>
      </c>
    </row>
    <row r="5672" spans="1:6" x14ac:dyDescent="0.3">
      <c r="A5672" t="s">
        <v>6936</v>
      </c>
      <c r="F5672" t="str">
        <f t="shared" ref="F5672" si="5664">LEFT(A5672, LEN(A5672) - 1)</f>
        <v>&gt;2834:GTACAC:22.00:50.00:OK:6:1776.22</v>
      </c>
    </row>
    <row r="5673" spans="1:6" x14ac:dyDescent="0.3">
      <c r="A5673" t="s">
        <v>2840</v>
      </c>
      <c r="F5673" t="str">
        <f t="shared" ref="F5673" si="5665">A5673</f>
        <v>GTACAC</v>
      </c>
    </row>
    <row r="5674" spans="1:6" x14ac:dyDescent="0.3">
      <c r="A5674" t="s">
        <v>6937</v>
      </c>
      <c r="F5674" t="str">
        <f t="shared" ref="F5674" si="5666">LEFT(A5674, LEN(A5674) - 1)</f>
        <v>&gt;2835:GTACAG:22.00:50.00:OK:6:1816.25</v>
      </c>
    </row>
    <row r="5675" spans="1:6" x14ac:dyDescent="0.3">
      <c r="A5675" t="s">
        <v>2841</v>
      </c>
      <c r="F5675" t="str">
        <f t="shared" ref="F5675" si="5667">A5675</f>
        <v>GTACAG</v>
      </c>
    </row>
    <row r="5676" spans="1:6" x14ac:dyDescent="0.3">
      <c r="A5676" t="s">
        <v>6938</v>
      </c>
      <c r="F5676" t="str">
        <f t="shared" ref="F5676" si="5668">LEFT(A5676, LEN(A5676) - 1)</f>
        <v>&gt;2836:GTACAT:16.00:33.33:OK:6:1791.23</v>
      </c>
    </row>
    <row r="5677" spans="1:6" x14ac:dyDescent="0.3">
      <c r="A5677" t="s">
        <v>2842</v>
      </c>
      <c r="F5677" t="str">
        <f t="shared" ref="F5677" si="5669">A5677</f>
        <v>GTACAT</v>
      </c>
    </row>
    <row r="5678" spans="1:6" x14ac:dyDescent="0.3">
      <c r="A5678" t="s">
        <v>6939</v>
      </c>
      <c r="F5678" t="str">
        <f t="shared" ref="F5678" si="5670">LEFT(A5678, LEN(A5678) - 1)</f>
        <v>&gt;2837:GTACCA:22.00:50.00:OK:6:1776.22</v>
      </c>
    </row>
    <row r="5679" spans="1:6" x14ac:dyDescent="0.3">
      <c r="A5679" t="s">
        <v>2843</v>
      </c>
      <c r="F5679" t="str">
        <f t="shared" ref="F5679" si="5671">A5679</f>
        <v>GTACCA</v>
      </c>
    </row>
    <row r="5680" spans="1:6" x14ac:dyDescent="0.3">
      <c r="A5680" t="s">
        <v>6940</v>
      </c>
      <c r="F5680" t="str">
        <f t="shared" ref="F5680" si="5672">LEFT(A5680, LEN(A5680) - 1)</f>
        <v>&gt;2838:GTACCC:20.00:66.67:Warning:6:1752.19</v>
      </c>
    </row>
    <row r="5681" spans="1:6" x14ac:dyDescent="0.3">
      <c r="A5681" t="s">
        <v>2844</v>
      </c>
      <c r="F5681" t="str">
        <f t="shared" ref="F5681" si="5673">A5681</f>
        <v>GTACCC</v>
      </c>
    </row>
    <row r="5682" spans="1:6" x14ac:dyDescent="0.3">
      <c r="A5682" t="s">
        <v>6941</v>
      </c>
      <c r="F5682" t="str">
        <f t="shared" ref="F5682" si="5674">LEFT(A5682, LEN(A5682) - 1)</f>
        <v>&gt;2839:GTACCG:20.00:66.67:Warning:6:1792.22</v>
      </c>
    </row>
    <row r="5683" spans="1:6" x14ac:dyDescent="0.3">
      <c r="A5683" t="s">
        <v>2845</v>
      </c>
      <c r="F5683" t="str">
        <f t="shared" ref="F5683" si="5675">A5683</f>
        <v>GTACCG</v>
      </c>
    </row>
    <row r="5684" spans="1:6" x14ac:dyDescent="0.3">
      <c r="A5684" t="s">
        <v>6942</v>
      </c>
      <c r="F5684" t="str">
        <f t="shared" ref="F5684" si="5676">LEFT(A5684, LEN(A5684) - 1)</f>
        <v>&gt;2840:GTACCT:14.00:50.00:OK:6:1767.20</v>
      </c>
    </row>
    <row r="5685" spans="1:6" x14ac:dyDescent="0.3">
      <c r="A5685" t="s">
        <v>2846</v>
      </c>
      <c r="F5685" t="str">
        <f t="shared" ref="F5685" si="5677">A5685</f>
        <v>GTACCT</v>
      </c>
    </row>
    <row r="5686" spans="1:6" x14ac:dyDescent="0.3">
      <c r="A5686" t="s">
        <v>6943</v>
      </c>
      <c r="F5686" t="str">
        <f t="shared" ref="F5686" si="5678">LEFT(A5686, LEN(A5686) - 1)</f>
        <v>&gt;2841:GTACGA:22.00:50.00:OK:6:1816.25</v>
      </c>
    </row>
    <row r="5687" spans="1:6" x14ac:dyDescent="0.3">
      <c r="A5687" t="s">
        <v>2847</v>
      </c>
      <c r="F5687" t="str">
        <f t="shared" ref="F5687" si="5679">A5687</f>
        <v>GTACGA</v>
      </c>
    </row>
    <row r="5688" spans="1:6" x14ac:dyDescent="0.3">
      <c r="A5688" t="s">
        <v>6944</v>
      </c>
      <c r="F5688" t="str">
        <f t="shared" ref="F5688" si="5680">LEFT(A5688, LEN(A5688) - 1)</f>
        <v>&gt;2842:GTACGC:20.00:66.67:Warning:6:1792.22</v>
      </c>
    </row>
    <row r="5689" spans="1:6" x14ac:dyDescent="0.3">
      <c r="A5689" t="s">
        <v>2848</v>
      </c>
      <c r="F5689" t="str">
        <f t="shared" ref="F5689" si="5681">A5689</f>
        <v>GTACGC</v>
      </c>
    </row>
    <row r="5690" spans="1:6" x14ac:dyDescent="0.3">
      <c r="A5690" t="s">
        <v>6945</v>
      </c>
      <c r="F5690" t="str">
        <f t="shared" ref="F5690" si="5682">LEFT(A5690, LEN(A5690) - 1)</f>
        <v>&gt;2843:GTACGG:20.00:66.67:Warning:6:1832.25</v>
      </c>
    </row>
    <row r="5691" spans="1:6" x14ac:dyDescent="0.3">
      <c r="A5691" t="s">
        <v>2849</v>
      </c>
      <c r="F5691" t="str">
        <f t="shared" ref="F5691" si="5683">A5691</f>
        <v>GTACGG</v>
      </c>
    </row>
    <row r="5692" spans="1:6" x14ac:dyDescent="0.3">
      <c r="A5692" t="s">
        <v>6946</v>
      </c>
      <c r="F5692" t="str">
        <f t="shared" ref="F5692" si="5684">LEFT(A5692, LEN(A5692) - 1)</f>
        <v>&gt;2844:GTACGT:14.00:50.00:OK:6:1807.23</v>
      </c>
    </row>
    <row r="5693" spans="1:6" x14ac:dyDescent="0.3">
      <c r="A5693" t="s">
        <v>2850</v>
      </c>
      <c r="F5693" t="str">
        <f t="shared" ref="F5693" si="5685">A5693</f>
        <v>GTACGT</v>
      </c>
    </row>
    <row r="5694" spans="1:6" x14ac:dyDescent="0.3">
      <c r="A5694" t="s">
        <v>6947</v>
      </c>
      <c r="F5694" t="str">
        <f t="shared" ref="F5694" si="5686">LEFT(A5694, LEN(A5694) - 1)</f>
        <v>&gt;2845:GTACTA:16.00:33.33:OK:6:1791.23</v>
      </c>
    </row>
    <row r="5695" spans="1:6" x14ac:dyDescent="0.3">
      <c r="A5695" t="s">
        <v>2851</v>
      </c>
      <c r="F5695" t="str">
        <f t="shared" ref="F5695" si="5687">A5695</f>
        <v>GTACTA</v>
      </c>
    </row>
    <row r="5696" spans="1:6" x14ac:dyDescent="0.3">
      <c r="A5696" t="s">
        <v>6948</v>
      </c>
      <c r="F5696" t="str">
        <f t="shared" ref="F5696" si="5688">LEFT(A5696, LEN(A5696) - 1)</f>
        <v>&gt;2846:GTACTC:14.00:50.00:OK:6:1767.20</v>
      </c>
    </row>
    <row r="5697" spans="1:6" x14ac:dyDescent="0.3">
      <c r="A5697" t="s">
        <v>2852</v>
      </c>
      <c r="F5697" t="str">
        <f t="shared" ref="F5697" si="5689">A5697</f>
        <v>GTACTC</v>
      </c>
    </row>
    <row r="5698" spans="1:6" x14ac:dyDescent="0.3">
      <c r="A5698" t="s">
        <v>6949</v>
      </c>
      <c r="F5698" t="str">
        <f t="shared" ref="F5698" si="5690">LEFT(A5698, LEN(A5698) - 1)</f>
        <v>&gt;2847:GTACTG:14.00:50.00:OK:6:1807.23</v>
      </c>
    </row>
    <row r="5699" spans="1:6" x14ac:dyDescent="0.3">
      <c r="A5699" t="s">
        <v>2853</v>
      </c>
      <c r="F5699" t="str">
        <f t="shared" ref="F5699" si="5691">A5699</f>
        <v>GTACTG</v>
      </c>
    </row>
    <row r="5700" spans="1:6" x14ac:dyDescent="0.3">
      <c r="A5700" t="s">
        <v>6950</v>
      </c>
      <c r="F5700" t="str">
        <f t="shared" ref="F5700" si="5692">LEFT(A5700, LEN(A5700) - 1)</f>
        <v>&gt;2848:GTACTT:8.00:33.33:OK:6:1782.21</v>
      </c>
    </row>
    <row r="5701" spans="1:6" x14ac:dyDescent="0.3">
      <c r="A5701" t="s">
        <v>2854</v>
      </c>
      <c r="F5701" t="str">
        <f t="shared" ref="F5701" si="5693">A5701</f>
        <v>GTACTT</v>
      </c>
    </row>
    <row r="5702" spans="1:6" x14ac:dyDescent="0.3">
      <c r="A5702" t="s">
        <v>6951</v>
      </c>
      <c r="F5702" t="str">
        <f t="shared" ref="F5702" si="5694">LEFT(A5702, LEN(A5702) - 1)</f>
        <v>&gt;2849:GTAGAA:24.00:33.33:OK:6:1840.28</v>
      </c>
    </row>
    <row r="5703" spans="1:6" x14ac:dyDescent="0.3">
      <c r="A5703" t="s">
        <v>2855</v>
      </c>
      <c r="F5703" t="str">
        <f t="shared" ref="F5703" si="5695">A5703</f>
        <v>GTAGAA</v>
      </c>
    </row>
    <row r="5704" spans="1:6" x14ac:dyDescent="0.3">
      <c r="A5704" t="s">
        <v>6952</v>
      </c>
      <c r="F5704" t="str">
        <f t="shared" ref="F5704" si="5696">LEFT(A5704, LEN(A5704) - 1)</f>
        <v>&gt;2850:GTAGAC:22.00:50.00:OK:6:1816.25</v>
      </c>
    </row>
    <row r="5705" spans="1:6" x14ac:dyDescent="0.3">
      <c r="A5705" t="s">
        <v>2856</v>
      </c>
      <c r="F5705" t="str">
        <f t="shared" ref="F5705" si="5697">A5705</f>
        <v>GTAGAC</v>
      </c>
    </row>
    <row r="5706" spans="1:6" x14ac:dyDescent="0.3">
      <c r="A5706" t="s">
        <v>6953</v>
      </c>
      <c r="F5706" t="str">
        <f t="shared" ref="F5706" si="5698">LEFT(A5706, LEN(A5706) - 1)</f>
        <v>&gt;2851:GTAGAG:22.00:50.00:OK:6:1856.28</v>
      </c>
    </row>
    <row r="5707" spans="1:6" x14ac:dyDescent="0.3">
      <c r="A5707" t="s">
        <v>2857</v>
      </c>
      <c r="F5707" t="str">
        <f t="shared" ref="F5707" si="5699">A5707</f>
        <v>GTAGAG</v>
      </c>
    </row>
    <row r="5708" spans="1:6" x14ac:dyDescent="0.3">
      <c r="A5708" t="s">
        <v>6954</v>
      </c>
      <c r="F5708" t="str">
        <f t="shared" ref="F5708" si="5700">LEFT(A5708, LEN(A5708) - 1)</f>
        <v>&gt;2852:GTAGAT:16.00:33.33:OK:6:1831.26</v>
      </c>
    </row>
    <row r="5709" spans="1:6" x14ac:dyDescent="0.3">
      <c r="A5709" t="s">
        <v>2858</v>
      </c>
      <c r="F5709" t="str">
        <f t="shared" ref="F5709" si="5701">A5709</f>
        <v>GTAGAT</v>
      </c>
    </row>
    <row r="5710" spans="1:6" x14ac:dyDescent="0.3">
      <c r="A5710" t="s">
        <v>6955</v>
      </c>
      <c r="F5710" t="str">
        <f t="shared" ref="F5710" si="5702">LEFT(A5710, LEN(A5710) - 1)</f>
        <v>&gt;2853:GTAGCA:22.00:50.00:OK:6:1816.25</v>
      </c>
    </row>
    <row r="5711" spans="1:6" x14ac:dyDescent="0.3">
      <c r="A5711" t="s">
        <v>2859</v>
      </c>
      <c r="F5711" t="str">
        <f t="shared" ref="F5711" si="5703">A5711</f>
        <v>GTAGCA</v>
      </c>
    </row>
    <row r="5712" spans="1:6" x14ac:dyDescent="0.3">
      <c r="A5712" t="s">
        <v>6956</v>
      </c>
      <c r="F5712" t="str">
        <f t="shared" ref="F5712" si="5704">LEFT(A5712, LEN(A5712) - 1)</f>
        <v>&gt;2854:GTAGCC:20.00:66.67:Warning:6:1792.22</v>
      </c>
    </row>
    <row r="5713" spans="1:6" x14ac:dyDescent="0.3">
      <c r="A5713" t="s">
        <v>2860</v>
      </c>
      <c r="F5713" t="str">
        <f t="shared" ref="F5713" si="5705">A5713</f>
        <v>GTAGCC</v>
      </c>
    </row>
    <row r="5714" spans="1:6" x14ac:dyDescent="0.3">
      <c r="A5714" t="s">
        <v>6957</v>
      </c>
      <c r="F5714" t="str">
        <f t="shared" ref="F5714" si="5706">LEFT(A5714, LEN(A5714) - 1)</f>
        <v>&gt;2855:GTAGCG:20.00:66.67:Warning:6:1832.25</v>
      </c>
    </row>
    <row r="5715" spans="1:6" x14ac:dyDescent="0.3">
      <c r="A5715" t="s">
        <v>2861</v>
      </c>
      <c r="F5715" t="str">
        <f t="shared" ref="F5715" si="5707">A5715</f>
        <v>GTAGCG</v>
      </c>
    </row>
    <row r="5716" spans="1:6" x14ac:dyDescent="0.3">
      <c r="A5716" t="s">
        <v>6958</v>
      </c>
      <c r="F5716" t="str">
        <f t="shared" ref="F5716" si="5708">LEFT(A5716, LEN(A5716) - 1)</f>
        <v>&gt;2856:GTAGCT:14.00:50.00:OK:6:1807.23</v>
      </c>
    </row>
    <row r="5717" spans="1:6" x14ac:dyDescent="0.3">
      <c r="A5717" t="s">
        <v>2862</v>
      </c>
      <c r="F5717" t="str">
        <f t="shared" ref="F5717" si="5709">A5717</f>
        <v>GTAGCT</v>
      </c>
    </row>
    <row r="5718" spans="1:6" x14ac:dyDescent="0.3">
      <c r="A5718" t="s">
        <v>6959</v>
      </c>
      <c r="F5718" t="str">
        <f t="shared" ref="F5718" si="5710">LEFT(A5718, LEN(A5718) - 1)</f>
        <v>&gt;2857:GTAGGA:22.00:50.00:OK:6:1856.28</v>
      </c>
    </row>
    <row r="5719" spans="1:6" x14ac:dyDescent="0.3">
      <c r="A5719" t="s">
        <v>2863</v>
      </c>
      <c r="F5719" t="str">
        <f t="shared" ref="F5719" si="5711">A5719</f>
        <v>GTAGGA</v>
      </c>
    </row>
    <row r="5720" spans="1:6" x14ac:dyDescent="0.3">
      <c r="A5720" t="s">
        <v>6960</v>
      </c>
      <c r="F5720" t="str">
        <f t="shared" ref="F5720" si="5712">LEFT(A5720, LEN(A5720) - 1)</f>
        <v>&gt;2858:GTAGGC:20.00:66.67:Warning:6:1832.25</v>
      </c>
    </row>
    <row r="5721" spans="1:6" x14ac:dyDescent="0.3">
      <c r="A5721" t="s">
        <v>2864</v>
      </c>
      <c r="F5721" t="str">
        <f t="shared" ref="F5721" si="5713">A5721</f>
        <v>GTAGGC</v>
      </c>
    </row>
    <row r="5722" spans="1:6" x14ac:dyDescent="0.3">
      <c r="A5722" t="s">
        <v>6961</v>
      </c>
      <c r="F5722" t="str">
        <f t="shared" ref="F5722" si="5714">LEFT(A5722, LEN(A5722) - 1)</f>
        <v>&gt;2859:GTAGGG:20.00:66.67:Warning:6:1872.28</v>
      </c>
    </row>
    <row r="5723" spans="1:6" x14ac:dyDescent="0.3">
      <c r="A5723" t="s">
        <v>2865</v>
      </c>
      <c r="F5723" t="str">
        <f t="shared" ref="F5723" si="5715">A5723</f>
        <v>GTAGGG</v>
      </c>
    </row>
    <row r="5724" spans="1:6" x14ac:dyDescent="0.3">
      <c r="A5724" t="s">
        <v>6962</v>
      </c>
      <c r="F5724" t="str">
        <f t="shared" ref="F5724" si="5716">LEFT(A5724, LEN(A5724) - 1)</f>
        <v>&gt;2860:GTAGGT:14.00:50.00:OK:6:1847.26</v>
      </c>
    </row>
    <row r="5725" spans="1:6" x14ac:dyDescent="0.3">
      <c r="A5725" t="s">
        <v>2866</v>
      </c>
      <c r="F5725" t="str">
        <f t="shared" ref="F5725" si="5717">A5725</f>
        <v>GTAGGT</v>
      </c>
    </row>
    <row r="5726" spans="1:6" x14ac:dyDescent="0.3">
      <c r="A5726" t="s">
        <v>6963</v>
      </c>
      <c r="F5726" t="str">
        <f t="shared" ref="F5726" si="5718">LEFT(A5726, LEN(A5726) - 1)</f>
        <v>&gt;2861:GTAGTA:16.00:33.33:OK:6:1831.26</v>
      </c>
    </row>
    <row r="5727" spans="1:6" x14ac:dyDescent="0.3">
      <c r="A5727" t="s">
        <v>2867</v>
      </c>
      <c r="F5727" t="str">
        <f t="shared" ref="F5727" si="5719">A5727</f>
        <v>GTAGTA</v>
      </c>
    </row>
    <row r="5728" spans="1:6" x14ac:dyDescent="0.3">
      <c r="A5728" t="s">
        <v>6964</v>
      </c>
      <c r="F5728" t="str">
        <f t="shared" ref="F5728" si="5720">LEFT(A5728, LEN(A5728) - 1)</f>
        <v>&gt;2862:GTAGTC:14.00:50.00:OK:6:1807.23</v>
      </c>
    </row>
    <row r="5729" spans="1:6" x14ac:dyDescent="0.3">
      <c r="A5729" t="s">
        <v>2868</v>
      </c>
      <c r="F5729" t="str">
        <f t="shared" ref="F5729" si="5721">A5729</f>
        <v>GTAGTC</v>
      </c>
    </row>
    <row r="5730" spans="1:6" x14ac:dyDescent="0.3">
      <c r="A5730" t="s">
        <v>6965</v>
      </c>
      <c r="F5730" t="str">
        <f t="shared" ref="F5730" si="5722">LEFT(A5730, LEN(A5730) - 1)</f>
        <v>&gt;2863:GTAGTG:14.00:50.00:OK:6:1847.26</v>
      </c>
    </row>
    <row r="5731" spans="1:6" x14ac:dyDescent="0.3">
      <c r="A5731" t="s">
        <v>2869</v>
      </c>
      <c r="F5731" t="str">
        <f t="shared" ref="F5731" si="5723">A5731</f>
        <v>GTAGTG</v>
      </c>
    </row>
    <row r="5732" spans="1:6" x14ac:dyDescent="0.3">
      <c r="A5732" t="s">
        <v>6966</v>
      </c>
      <c r="F5732" t="str">
        <f t="shared" ref="F5732" si="5724">LEFT(A5732, LEN(A5732) - 1)</f>
        <v>&gt;2864:GTAGTT:8.00:33.33:OK:6:1822.24</v>
      </c>
    </row>
    <row r="5733" spans="1:6" x14ac:dyDescent="0.3">
      <c r="A5733" t="s">
        <v>2870</v>
      </c>
      <c r="F5733" t="str">
        <f t="shared" ref="F5733" si="5725">A5733</f>
        <v>GTAGTT</v>
      </c>
    </row>
    <row r="5734" spans="1:6" x14ac:dyDescent="0.3">
      <c r="A5734" t="s">
        <v>6967</v>
      </c>
      <c r="F5734" t="str">
        <f t="shared" ref="F5734" si="5726">LEFT(A5734, LEN(A5734) - 1)</f>
        <v>&gt;2865:GTATAA:18.00:16.67:OK:6:1815.26</v>
      </c>
    </row>
    <row r="5735" spans="1:6" x14ac:dyDescent="0.3">
      <c r="A5735" t="s">
        <v>2871</v>
      </c>
      <c r="F5735" t="str">
        <f t="shared" ref="F5735" si="5727">A5735</f>
        <v>GTATAA</v>
      </c>
    </row>
    <row r="5736" spans="1:6" x14ac:dyDescent="0.3">
      <c r="A5736" t="s">
        <v>6968</v>
      </c>
      <c r="F5736" t="str">
        <f t="shared" ref="F5736" si="5728">LEFT(A5736, LEN(A5736) - 1)</f>
        <v>&gt;2866:GTATAC:16.00:33.33:OK:6:1791.23</v>
      </c>
    </row>
    <row r="5737" spans="1:6" x14ac:dyDescent="0.3">
      <c r="A5737" t="s">
        <v>2872</v>
      </c>
      <c r="F5737" t="str">
        <f t="shared" ref="F5737" si="5729">A5737</f>
        <v>GTATAC</v>
      </c>
    </row>
    <row r="5738" spans="1:6" x14ac:dyDescent="0.3">
      <c r="A5738" t="s">
        <v>6969</v>
      </c>
      <c r="F5738" t="str">
        <f t="shared" ref="F5738" si="5730">LEFT(A5738, LEN(A5738) - 1)</f>
        <v>&gt;2867:GTATAG:16.00:33.33:OK:6:1831.26</v>
      </c>
    </row>
    <row r="5739" spans="1:6" x14ac:dyDescent="0.3">
      <c r="A5739" t="s">
        <v>2873</v>
      </c>
      <c r="F5739" t="str">
        <f t="shared" ref="F5739" si="5731">A5739</f>
        <v>GTATAG</v>
      </c>
    </row>
    <row r="5740" spans="1:6" x14ac:dyDescent="0.3">
      <c r="A5740" t="s">
        <v>6970</v>
      </c>
      <c r="F5740" t="str">
        <f t="shared" ref="F5740" si="5732">LEFT(A5740, LEN(A5740) - 1)</f>
        <v>&gt;2868:GTATAT:10.00:16.67:OK:6:1806.24</v>
      </c>
    </row>
    <row r="5741" spans="1:6" x14ac:dyDescent="0.3">
      <c r="A5741" t="s">
        <v>2874</v>
      </c>
      <c r="F5741" t="str">
        <f t="shared" ref="F5741" si="5733">A5741</f>
        <v>GTATAT</v>
      </c>
    </row>
    <row r="5742" spans="1:6" x14ac:dyDescent="0.3">
      <c r="A5742" t="s">
        <v>6971</v>
      </c>
      <c r="F5742" t="str">
        <f t="shared" ref="F5742" si="5734">LEFT(A5742, LEN(A5742) - 1)</f>
        <v>&gt;2869:GTATCA:16.00:33.33:OK:6:1791.23</v>
      </c>
    </row>
    <row r="5743" spans="1:6" x14ac:dyDescent="0.3">
      <c r="A5743" t="s">
        <v>2875</v>
      </c>
      <c r="F5743" t="str">
        <f t="shared" ref="F5743" si="5735">A5743</f>
        <v>GTATCA</v>
      </c>
    </row>
    <row r="5744" spans="1:6" x14ac:dyDescent="0.3">
      <c r="A5744" t="s">
        <v>6972</v>
      </c>
      <c r="F5744" t="str">
        <f t="shared" ref="F5744" si="5736">LEFT(A5744, LEN(A5744) - 1)</f>
        <v>&gt;2870:GTATCC:14.00:50.00:OK:6:1767.20</v>
      </c>
    </row>
    <row r="5745" spans="1:6" x14ac:dyDescent="0.3">
      <c r="A5745" t="s">
        <v>2876</v>
      </c>
      <c r="F5745" t="str">
        <f t="shared" ref="F5745" si="5737">A5745</f>
        <v>GTATCC</v>
      </c>
    </row>
    <row r="5746" spans="1:6" x14ac:dyDescent="0.3">
      <c r="A5746" t="s">
        <v>6973</v>
      </c>
      <c r="F5746" t="str">
        <f t="shared" ref="F5746" si="5738">LEFT(A5746, LEN(A5746) - 1)</f>
        <v>&gt;2871:GTATCG:14.00:50.00:OK:6:1807.23</v>
      </c>
    </row>
    <row r="5747" spans="1:6" x14ac:dyDescent="0.3">
      <c r="A5747" t="s">
        <v>2877</v>
      </c>
      <c r="F5747" t="str">
        <f t="shared" ref="F5747" si="5739">A5747</f>
        <v>GTATCG</v>
      </c>
    </row>
    <row r="5748" spans="1:6" x14ac:dyDescent="0.3">
      <c r="A5748" t="s">
        <v>6974</v>
      </c>
      <c r="F5748" t="str">
        <f t="shared" ref="F5748" si="5740">LEFT(A5748, LEN(A5748) - 1)</f>
        <v>&gt;2872:GTATCT:8.00:33.33:OK:6:1782.21</v>
      </c>
    </row>
    <row r="5749" spans="1:6" x14ac:dyDescent="0.3">
      <c r="A5749" t="s">
        <v>2878</v>
      </c>
      <c r="F5749" t="str">
        <f t="shared" ref="F5749" si="5741">A5749</f>
        <v>GTATCT</v>
      </c>
    </row>
    <row r="5750" spans="1:6" x14ac:dyDescent="0.3">
      <c r="A5750" t="s">
        <v>6975</v>
      </c>
      <c r="F5750" t="str">
        <f t="shared" ref="F5750" si="5742">LEFT(A5750, LEN(A5750) - 1)</f>
        <v>&gt;2873:GTATGA:16.00:33.33:OK:6:1831.26</v>
      </c>
    </row>
    <row r="5751" spans="1:6" x14ac:dyDescent="0.3">
      <c r="A5751" t="s">
        <v>2879</v>
      </c>
      <c r="F5751" t="str">
        <f t="shared" ref="F5751" si="5743">A5751</f>
        <v>GTATGA</v>
      </c>
    </row>
    <row r="5752" spans="1:6" x14ac:dyDescent="0.3">
      <c r="A5752" t="s">
        <v>6976</v>
      </c>
      <c r="F5752" t="str">
        <f t="shared" ref="F5752" si="5744">LEFT(A5752, LEN(A5752) - 1)</f>
        <v>&gt;2874:GTATGC:14.00:50.00:OK:6:1807.23</v>
      </c>
    </row>
    <row r="5753" spans="1:6" x14ac:dyDescent="0.3">
      <c r="A5753" t="s">
        <v>2880</v>
      </c>
      <c r="F5753" t="str">
        <f t="shared" ref="F5753" si="5745">A5753</f>
        <v>GTATGC</v>
      </c>
    </row>
    <row r="5754" spans="1:6" x14ac:dyDescent="0.3">
      <c r="A5754" t="s">
        <v>6977</v>
      </c>
      <c r="F5754" t="str">
        <f t="shared" ref="F5754" si="5746">LEFT(A5754, LEN(A5754) - 1)</f>
        <v>&gt;2875:GTATGG:14.00:50.00:OK:6:1847.26</v>
      </c>
    </row>
    <row r="5755" spans="1:6" x14ac:dyDescent="0.3">
      <c r="A5755" t="s">
        <v>2881</v>
      </c>
      <c r="F5755" t="str">
        <f t="shared" ref="F5755" si="5747">A5755</f>
        <v>GTATGG</v>
      </c>
    </row>
    <row r="5756" spans="1:6" x14ac:dyDescent="0.3">
      <c r="A5756" t="s">
        <v>6978</v>
      </c>
      <c r="F5756" t="str">
        <f t="shared" ref="F5756" si="5748">LEFT(A5756, LEN(A5756) - 1)</f>
        <v>&gt;2876:GTATGT:8.00:33.33:OK:6:1822.24</v>
      </c>
    </row>
    <row r="5757" spans="1:6" x14ac:dyDescent="0.3">
      <c r="A5757" t="s">
        <v>2882</v>
      </c>
      <c r="F5757" t="str">
        <f t="shared" ref="F5757" si="5749">A5757</f>
        <v>GTATGT</v>
      </c>
    </row>
    <row r="5758" spans="1:6" x14ac:dyDescent="0.3">
      <c r="A5758" t="s">
        <v>6979</v>
      </c>
      <c r="F5758" t="str">
        <f t="shared" ref="F5758" si="5750">LEFT(A5758, LEN(A5758) - 1)</f>
        <v>&gt;2877:GTATTA:10.00:16.67:OK:6:1806.24</v>
      </c>
    </row>
    <row r="5759" spans="1:6" x14ac:dyDescent="0.3">
      <c r="A5759" t="s">
        <v>2883</v>
      </c>
      <c r="F5759" t="str">
        <f t="shared" ref="F5759" si="5751">A5759</f>
        <v>GTATTA</v>
      </c>
    </row>
    <row r="5760" spans="1:6" x14ac:dyDescent="0.3">
      <c r="A5760" t="s">
        <v>6980</v>
      </c>
      <c r="F5760" t="str">
        <f t="shared" ref="F5760" si="5752">LEFT(A5760, LEN(A5760) - 1)</f>
        <v>&gt;2878:GTATTC:8.00:33.33:OK:6:1782.21</v>
      </c>
    </row>
    <row r="5761" spans="1:6" x14ac:dyDescent="0.3">
      <c r="A5761" t="s">
        <v>2884</v>
      </c>
      <c r="F5761" t="str">
        <f t="shared" ref="F5761" si="5753">A5761</f>
        <v>GTATTC</v>
      </c>
    </row>
    <row r="5762" spans="1:6" x14ac:dyDescent="0.3">
      <c r="A5762" t="s">
        <v>6981</v>
      </c>
      <c r="F5762" t="str">
        <f t="shared" ref="F5762" si="5754">LEFT(A5762, LEN(A5762) - 1)</f>
        <v>&gt;2879:GTATTG:8.00:33.33:OK:6:1822.24</v>
      </c>
    </row>
    <row r="5763" spans="1:6" x14ac:dyDescent="0.3">
      <c r="A5763" t="s">
        <v>2885</v>
      </c>
      <c r="F5763" t="str">
        <f t="shared" ref="F5763" si="5755">A5763</f>
        <v>GTATTG</v>
      </c>
    </row>
    <row r="5764" spans="1:6" x14ac:dyDescent="0.3">
      <c r="A5764" t="s">
        <v>6982</v>
      </c>
      <c r="F5764" t="str">
        <f t="shared" ref="F5764" si="5756">LEFT(A5764, LEN(A5764) - 1)</f>
        <v>&gt;2880:GTATTT:2.00:16.67:OK:6:1797.22</v>
      </c>
    </row>
    <row r="5765" spans="1:6" x14ac:dyDescent="0.3">
      <c r="A5765" t="s">
        <v>2886</v>
      </c>
      <c r="F5765" t="str">
        <f t="shared" ref="F5765" si="5757">A5765</f>
        <v>GTATTT</v>
      </c>
    </row>
    <row r="5766" spans="1:6" x14ac:dyDescent="0.3">
      <c r="A5766" t="s">
        <v>6983</v>
      </c>
      <c r="F5766" t="str">
        <f t="shared" ref="F5766" si="5758">LEFT(A5766, LEN(A5766) - 1)</f>
        <v>&gt;2881:GTCAAA:24.00:33.33:OK:6:1800.25</v>
      </c>
    </row>
    <row r="5767" spans="1:6" x14ac:dyDescent="0.3">
      <c r="A5767" t="s">
        <v>2887</v>
      </c>
      <c r="F5767" t="str">
        <f t="shared" ref="F5767" si="5759">A5767</f>
        <v>GTCAAA</v>
      </c>
    </row>
    <row r="5768" spans="1:6" x14ac:dyDescent="0.3">
      <c r="A5768" t="s">
        <v>6984</v>
      </c>
      <c r="F5768" t="str">
        <f t="shared" ref="F5768" si="5760">LEFT(A5768, LEN(A5768) - 1)</f>
        <v>&gt;2882:GTCAAC:22.00:50.00:OK:6:1776.22</v>
      </c>
    </row>
    <row r="5769" spans="1:6" x14ac:dyDescent="0.3">
      <c r="A5769" t="s">
        <v>2888</v>
      </c>
      <c r="F5769" t="str">
        <f t="shared" ref="F5769" si="5761">A5769</f>
        <v>GTCAAC</v>
      </c>
    </row>
    <row r="5770" spans="1:6" x14ac:dyDescent="0.3">
      <c r="A5770" t="s">
        <v>6985</v>
      </c>
      <c r="F5770" t="str">
        <f t="shared" ref="F5770" si="5762">LEFT(A5770, LEN(A5770) - 1)</f>
        <v>&gt;2883:GTCAAG:22.00:50.00:OK:6:1816.25</v>
      </c>
    </row>
    <row r="5771" spans="1:6" x14ac:dyDescent="0.3">
      <c r="A5771" t="s">
        <v>2889</v>
      </c>
      <c r="F5771" t="str">
        <f t="shared" ref="F5771" si="5763">A5771</f>
        <v>GTCAAG</v>
      </c>
    </row>
    <row r="5772" spans="1:6" x14ac:dyDescent="0.3">
      <c r="A5772" t="s">
        <v>6986</v>
      </c>
      <c r="F5772" t="str">
        <f t="shared" ref="F5772" si="5764">LEFT(A5772, LEN(A5772) - 1)</f>
        <v>&gt;2884:GTCAAT:16.00:33.33:OK:6:1791.23</v>
      </c>
    </row>
    <row r="5773" spans="1:6" x14ac:dyDescent="0.3">
      <c r="A5773" t="s">
        <v>2890</v>
      </c>
      <c r="F5773" t="str">
        <f t="shared" ref="F5773" si="5765">A5773</f>
        <v>GTCAAT</v>
      </c>
    </row>
    <row r="5774" spans="1:6" x14ac:dyDescent="0.3">
      <c r="A5774" t="s">
        <v>6987</v>
      </c>
      <c r="F5774" t="str">
        <f t="shared" ref="F5774" si="5766">LEFT(A5774, LEN(A5774) - 1)</f>
        <v>&gt;2885:GTCACA:22.00:50.00:OK:6:1776.22</v>
      </c>
    </row>
    <row r="5775" spans="1:6" x14ac:dyDescent="0.3">
      <c r="A5775" t="s">
        <v>2891</v>
      </c>
      <c r="F5775" t="str">
        <f t="shared" ref="F5775" si="5767">A5775</f>
        <v>GTCACA</v>
      </c>
    </row>
    <row r="5776" spans="1:6" x14ac:dyDescent="0.3">
      <c r="A5776" t="s">
        <v>6988</v>
      </c>
      <c r="F5776" t="str">
        <f t="shared" ref="F5776" si="5768">LEFT(A5776, LEN(A5776) - 1)</f>
        <v>&gt;2886:GTCACC:20.00:66.67:Warning:6:1752.19</v>
      </c>
    </row>
    <row r="5777" spans="1:6" x14ac:dyDescent="0.3">
      <c r="A5777" t="s">
        <v>2892</v>
      </c>
      <c r="F5777" t="str">
        <f t="shared" ref="F5777" si="5769">A5777</f>
        <v>GTCACC</v>
      </c>
    </row>
    <row r="5778" spans="1:6" x14ac:dyDescent="0.3">
      <c r="A5778" t="s">
        <v>6989</v>
      </c>
      <c r="F5778" t="str">
        <f t="shared" ref="F5778" si="5770">LEFT(A5778, LEN(A5778) - 1)</f>
        <v>&gt;2887:GTCACG:20.00:66.67:Warning:6:1792.22</v>
      </c>
    </row>
    <row r="5779" spans="1:6" x14ac:dyDescent="0.3">
      <c r="A5779" t="s">
        <v>2893</v>
      </c>
      <c r="F5779" t="str">
        <f t="shared" ref="F5779" si="5771">A5779</f>
        <v>GTCACG</v>
      </c>
    </row>
    <row r="5780" spans="1:6" x14ac:dyDescent="0.3">
      <c r="A5780" t="s">
        <v>6990</v>
      </c>
      <c r="F5780" t="str">
        <f t="shared" ref="F5780" si="5772">LEFT(A5780, LEN(A5780) - 1)</f>
        <v>&gt;2888:GTCACT:14.00:50.00:OK:6:1767.20</v>
      </c>
    </row>
    <row r="5781" spans="1:6" x14ac:dyDescent="0.3">
      <c r="A5781" t="s">
        <v>2894</v>
      </c>
      <c r="F5781" t="str">
        <f t="shared" ref="F5781" si="5773">A5781</f>
        <v>GTCACT</v>
      </c>
    </row>
    <row r="5782" spans="1:6" x14ac:dyDescent="0.3">
      <c r="A5782" t="s">
        <v>6991</v>
      </c>
      <c r="F5782" t="str">
        <f t="shared" ref="F5782" si="5774">LEFT(A5782, LEN(A5782) - 1)</f>
        <v>&gt;2889:GTCAGA:22.00:50.00:OK:6:1816.25</v>
      </c>
    </row>
    <row r="5783" spans="1:6" x14ac:dyDescent="0.3">
      <c r="A5783" t="s">
        <v>2895</v>
      </c>
      <c r="F5783" t="str">
        <f t="shared" ref="F5783" si="5775">A5783</f>
        <v>GTCAGA</v>
      </c>
    </row>
    <row r="5784" spans="1:6" x14ac:dyDescent="0.3">
      <c r="A5784" t="s">
        <v>6992</v>
      </c>
      <c r="F5784" t="str">
        <f t="shared" ref="F5784" si="5776">LEFT(A5784, LEN(A5784) - 1)</f>
        <v>&gt;2890:GTCAGC:20.00:66.67:Warning:6:1792.22</v>
      </c>
    </row>
    <row r="5785" spans="1:6" x14ac:dyDescent="0.3">
      <c r="A5785" t="s">
        <v>2896</v>
      </c>
      <c r="F5785" t="str">
        <f t="shared" ref="F5785" si="5777">A5785</f>
        <v>GTCAGC</v>
      </c>
    </row>
    <row r="5786" spans="1:6" x14ac:dyDescent="0.3">
      <c r="A5786" t="s">
        <v>6993</v>
      </c>
      <c r="F5786" t="str">
        <f t="shared" ref="F5786" si="5778">LEFT(A5786, LEN(A5786) - 1)</f>
        <v>&gt;2891:GTCAGG:20.00:66.67:Warning:6:1832.25</v>
      </c>
    </row>
    <row r="5787" spans="1:6" x14ac:dyDescent="0.3">
      <c r="A5787" t="s">
        <v>2897</v>
      </c>
      <c r="F5787" t="str">
        <f t="shared" ref="F5787" si="5779">A5787</f>
        <v>GTCAGG</v>
      </c>
    </row>
    <row r="5788" spans="1:6" x14ac:dyDescent="0.3">
      <c r="A5788" t="s">
        <v>6994</v>
      </c>
      <c r="F5788" t="str">
        <f t="shared" ref="F5788" si="5780">LEFT(A5788, LEN(A5788) - 1)</f>
        <v>&gt;2892:GTCAGT:14.00:50.00:OK:6:1807.23</v>
      </c>
    </row>
    <row r="5789" spans="1:6" x14ac:dyDescent="0.3">
      <c r="A5789" t="s">
        <v>2898</v>
      </c>
      <c r="F5789" t="str">
        <f t="shared" ref="F5789" si="5781">A5789</f>
        <v>GTCAGT</v>
      </c>
    </row>
    <row r="5790" spans="1:6" x14ac:dyDescent="0.3">
      <c r="A5790" t="s">
        <v>6995</v>
      </c>
      <c r="F5790" t="str">
        <f t="shared" ref="F5790" si="5782">LEFT(A5790, LEN(A5790) - 1)</f>
        <v>&gt;2893:GTCATA:16.00:33.33:OK:6:1791.23</v>
      </c>
    </row>
    <row r="5791" spans="1:6" x14ac:dyDescent="0.3">
      <c r="A5791" t="s">
        <v>2899</v>
      </c>
      <c r="F5791" t="str">
        <f t="shared" ref="F5791" si="5783">A5791</f>
        <v>GTCATA</v>
      </c>
    </row>
    <row r="5792" spans="1:6" x14ac:dyDescent="0.3">
      <c r="A5792" t="s">
        <v>6996</v>
      </c>
      <c r="F5792" t="str">
        <f t="shared" ref="F5792" si="5784">LEFT(A5792, LEN(A5792) - 1)</f>
        <v>&gt;2894:GTCATC:14.00:50.00:OK:6:1767.20</v>
      </c>
    </row>
    <row r="5793" spans="1:6" x14ac:dyDescent="0.3">
      <c r="A5793" t="s">
        <v>2900</v>
      </c>
      <c r="F5793" t="str">
        <f t="shared" ref="F5793" si="5785">A5793</f>
        <v>GTCATC</v>
      </c>
    </row>
    <row r="5794" spans="1:6" x14ac:dyDescent="0.3">
      <c r="A5794" t="s">
        <v>6997</v>
      </c>
      <c r="F5794" t="str">
        <f t="shared" ref="F5794" si="5786">LEFT(A5794, LEN(A5794) - 1)</f>
        <v>&gt;2895:GTCATG:14.00:50.00:OK:6:1807.23</v>
      </c>
    </row>
    <row r="5795" spans="1:6" x14ac:dyDescent="0.3">
      <c r="A5795" t="s">
        <v>2901</v>
      </c>
      <c r="F5795" t="str">
        <f t="shared" ref="F5795" si="5787">A5795</f>
        <v>GTCATG</v>
      </c>
    </row>
    <row r="5796" spans="1:6" x14ac:dyDescent="0.3">
      <c r="A5796" t="s">
        <v>6998</v>
      </c>
      <c r="F5796" t="str">
        <f t="shared" ref="F5796" si="5788">LEFT(A5796, LEN(A5796) - 1)</f>
        <v>&gt;2896:GTCATT:8.00:33.33:OK:6:1782.21</v>
      </c>
    </row>
    <row r="5797" spans="1:6" x14ac:dyDescent="0.3">
      <c r="A5797" t="s">
        <v>2902</v>
      </c>
      <c r="F5797" t="str">
        <f t="shared" ref="F5797" si="5789">A5797</f>
        <v>GTCATT</v>
      </c>
    </row>
    <row r="5798" spans="1:6" x14ac:dyDescent="0.3">
      <c r="A5798" t="s">
        <v>6999</v>
      </c>
      <c r="F5798" t="str">
        <f t="shared" ref="F5798" si="5790">LEFT(A5798, LEN(A5798) - 1)</f>
        <v>&gt;2897:GTCCAA:22.00:50.00:OK:6:1776.22</v>
      </c>
    </row>
    <row r="5799" spans="1:6" x14ac:dyDescent="0.3">
      <c r="A5799" t="s">
        <v>2903</v>
      </c>
      <c r="F5799" t="str">
        <f t="shared" ref="F5799" si="5791">A5799</f>
        <v>GTCCAA</v>
      </c>
    </row>
    <row r="5800" spans="1:6" x14ac:dyDescent="0.3">
      <c r="A5800" t="s">
        <v>7000</v>
      </c>
      <c r="F5800" t="str">
        <f t="shared" ref="F5800" si="5792">LEFT(A5800, LEN(A5800) - 1)</f>
        <v>&gt;2898:GTCCAC:20.00:66.67:Warning:6:1752.19</v>
      </c>
    </row>
    <row r="5801" spans="1:6" x14ac:dyDescent="0.3">
      <c r="A5801" t="s">
        <v>2904</v>
      </c>
      <c r="F5801" t="str">
        <f t="shared" ref="F5801" si="5793">A5801</f>
        <v>GTCCAC</v>
      </c>
    </row>
    <row r="5802" spans="1:6" x14ac:dyDescent="0.3">
      <c r="A5802" t="s">
        <v>7001</v>
      </c>
      <c r="F5802" t="str">
        <f t="shared" ref="F5802" si="5794">LEFT(A5802, LEN(A5802) - 1)</f>
        <v>&gt;2899:GTCCAG:20.00:66.67:Warning:6:1792.22</v>
      </c>
    </row>
    <row r="5803" spans="1:6" x14ac:dyDescent="0.3">
      <c r="A5803" t="s">
        <v>2905</v>
      </c>
      <c r="F5803" t="str">
        <f t="shared" ref="F5803" si="5795">A5803</f>
        <v>GTCCAG</v>
      </c>
    </row>
    <row r="5804" spans="1:6" x14ac:dyDescent="0.3">
      <c r="A5804" t="s">
        <v>7002</v>
      </c>
      <c r="F5804" t="str">
        <f t="shared" ref="F5804" si="5796">LEFT(A5804, LEN(A5804) - 1)</f>
        <v>&gt;2900:GTCCAT:14.00:50.00:OK:6:1767.20</v>
      </c>
    </row>
    <row r="5805" spans="1:6" x14ac:dyDescent="0.3">
      <c r="A5805" t="s">
        <v>2906</v>
      </c>
      <c r="F5805" t="str">
        <f t="shared" ref="F5805" si="5797">A5805</f>
        <v>GTCCAT</v>
      </c>
    </row>
    <row r="5806" spans="1:6" x14ac:dyDescent="0.3">
      <c r="A5806" t="s">
        <v>7003</v>
      </c>
      <c r="F5806" t="str">
        <f t="shared" ref="F5806" si="5798">LEFT(A5806, LEN(A5806) - 1)</f>
        <v>&gt;2901:GTCCCA:20.00:66.67:Warning:6:1752.19</v>
      </c>
    </row>
    <row r="5807" spans="1:6" x14ac:dyDescent="0.3">
      <c r="A5807" t="s">
        <v>2907</v>
      </c>
      <c r="F5807" t="str">
        <f t="shared" ref="F5807" si="5799">A5807</f>
        <v>GTCCCA</v>
      </c>
    </row>
    <row r="5808" spans="1:6" x14ac:dyDescent="0.3">
      <c r="A5808" t="s">
        <v>7004</v>
      </c>
      <c r="F5808" t="str">
        <f t="shared" ref="F5808" si="5800">LEFT(A5808, LEN(A5808) - 1)</f>
        <v>&gt;2902:GTCCCC:18.00:83.33:Warning:6:1728.16</v>
      </c>
    </row>
    <row r="5809" spans="1:6" x14ac:dyDescent="0.3">
      <c r="A5809" t="s">
        <v>2908</v>
      </c>
      <c r="F5809" t="str">
        <f t="shared" ref="F5809" si="5801">A5809</f>
        <v>GTCCCC</v>
      </c>
    </row>
    <row r="5810" spans="1:6" x14ac:dyDescent="0.3">
      <c r="A5810" t="s">
        <v>7005</v>
      </c>
      <c r="F5810" t="str">
        <f t="shared" ref="F5810" si="5802">LEFT(A5810, LEN(A5810) - 1)</f>
        <v>&gt;2903:GTCCCG:18.00:83.33:Warning:6:1768.19</v>
      </c>
    </row>
    <row r="5811" spans="1:6" x14ac:dyDescent="0.3">
      <c r="A5811" t="s">
        <v>2909</v>
      </c>
      <c r="F5811" t="str">
        <f t="shared" ref="F5811" si="5803">A5811</f>
        <v>GTCCCG</v>
      </c>
    </row>
    <row r="5812" spans="1:6" x14ac:dyDescent="0.3">
      <c r="A5812" t="s">
        <v>7006</v>
      </c>
      <c r="F5812" t="str">
        <f t="shared" ref="F5812" si="5804">LEFT(A5812, LEN(A5812) - 1)</f>
        <v>&gt;2904:GTCCCT:12.00:66.67:Warning:6:1743.17</v>
      </c>
    </row>
    <row r="5813" spans="1:6" x14ac:dyDescent="0.3">
      <c r="A5813" t="s">
        <v>2910</v>
      </c>
      <c r="F5813" t="str">
        <f t="shared" ref="F5813" si="5805">A5813</f>
        <v>GTCCCT</v>
      </c>
    </row>
    <row r="5814" spans="1:6" x14ac:dyDescent="0.3">
      <c r="A5814" t="s">
        <v>7007</v>
      </c>
      <c r="F5814" t="str">
        <f t="shared" ref="F5814" si="5806">LEFT(A5814, LEN(A5814) - 1)</f>
        <v>&gt;2905:GTCCGA:20.00:66.67:Warning:6:1792.22</v>
      </c>
    </row>
    <row r="5815" spans="1:6" x14ac:dyDescent="0.3">
      <c r="A5815" t="s">
        <v>2911</v>
      </c>
      <c r="F5815" t="str">
        <f t="shared" ref="F5815" si="5807">A5815</f>
        <v>GTCCGA</v>
      </c>
    </row>
    <row r="5816" spans="1:6" x14ac:dyDescent="0.3">
      <c r="A5816" t="s">
        <v>7008</v>
      </c>
      <c r="F5816" t="str">
        <f t="shared" ref="F5816" si="5808">LEFT(A5816, LEN(A5816) - 1)</f>
        <v>&gt;2906:GTCCGC:18.00:83.33:Warning:6:1768.19</v>
      </c>
    </row>
    <row r="5817" spans="1:6" x14ac:dyDescent="0.3">
      <c r="A5817" t="s">
        <v>2912</v>
      </c>
      <c r="F5817" t="str">
        <f t="shared" ref="F5817" si="5809">A5817</f>
        <v>GTCCGC</v>
      </c>
    </row>
    <row r="5818" spans="1:6" x14ac:dyDescent="0.3">
      <c r="A5818" t="s">
        <v>7009</v>
      </c>
      <c r="F5818" t="str">
        <f t="shared" ref="F5818" si="5810">LEFT(A5818, LEN(A5818) - 1)</f>
        <v>&gt;2907:GTCCGG:18.00:83.33:Warning:6:1808.22</v>
      </c>
    </row>
    <row r="5819" spans="1:6" x14ac:dyDescent="0.3">
      <c r="A5819" t="s">
        <v>2913</v>
      </c>
      <c r="F5819" t="str">
        <f t="shared" ref="F5819" si="5811">A5819</f>
        <v>GTCCGG</v>
      </c>
    </row>
    <row r="5820" spans="1:6" x14ac:dyDescent="0.3">
      <c r="A5820" t="s">
        <v>7010</v>
      </c>
      <c r="F5820" t="str">
        <f t="shared" ref="F5820" si="5812">LEFT(A5820, LEN(A5820) - 1)</f>
        <v>&gt;2908:GTCCGT:12.00:66.67:Warning:6:1783.20</v>
      </c>
    </row>
    <row r="5821" spans="1:6" x14ac:dyDescent="0.3">
      <c r="A5821" t="s">
        <v>2914</v>
      </c>
      <c r="F5821" t="str">
        <f t="shared" ref="F5821" si="5813">A5821</f>
        <v>GTCCGT</v>
      </c>
    </row>
    <row r="5822" spans="1:6" x14ac:dyDescent="0.3">
      <c r="A5822" t="s">
        <v>7011</v>
      </c>
      <c r="F5822" t="str">
        <f t="shared" ref="F5822" si="5814">LEFT(A5822, LEN(A5822) - 1)</f>
        <v>&gt;2909:GTCCTA:14.00:50.00:OK:6:1767.20</v>
      </c>
    </row>
    <row r="5823" spans="1:6" x14ac:dyDescent="0.3">
      <c r="A5823" t="s">
        <v>2915</v>
      </c>
      <c r="F5823" t="str">
        <f t="shared" ref="F5823" si="5815">A5823</f>
        <v>GTCCTA</v>
      </c>
    </row>
    <row r="5824" spans="1:6" x14ac:dyDescent="0.3">
      <c r="A5824" t="s">
        <v>7012</v>
      </c>
      <c r="F5824" t="str">
        <f t="shared" ref="F5824" si="5816">LEFT(A5824, LEN(A5824) - 1)</f>
        <v>&gt;2910:GTCCTC:12.00:66.67:Warning:6:1743.17</v>
      </c>
    </row>
    <row r="5825" spans="1:6" x14ac:dyDescent="0.3">
      <c r="A5825" t="s">
        <v>2916</v>
      </c>
      <c r="F5825" t="str">
        <f t="shared" ref="F5825" si="5817">A5825</f>
        <v>GTCCTC</v>
      </c>
    </row>
    <row r="5826" spans="1:6" x14ac:dyDescent="0.3">
      <c r="A5826" t="s">
        <v>7013</v>
      </c>
      <c r="F5826" t="str">
        <f t="shared" ref="F5826" si="5818">LEFT(A5826, LEN(A5826) - 1)</f>
        <v>&gt;2911:GTCCTG:12.00:66.67:Warning:6:1783.20</v>
      </c>
    </row>
    <row r="5827" spans="1:6" x14ac:dyDescent="0.3">
      <c r="A5827" t="s">
        <v>2917</v>
      </c>
      <c r="F5827" t="str">
        <f t="shared" ref="F5827" si="5819">A5827</f>
        <v>GTCCTG</v>
      </c>
    </row>
    <row r="5828" spans="1:6" x14ac:dyDescent="0.3">
      <c r="A5828" t="s">
        <v>7014</v>
      </c>
      <c r="F5828" t="str">
        <f t="shared" ref="F5828" si="5820">LEFT(A5828, LEN(A5828) - 1)</f>
        <v>&gt;2912:GTCCTT:6.00:50.00:OK:6:1758.18</v>
      </c>
    </row>
    <row r="5829" spans="1:6" x14ac:dyDescent="0.3">
      <c r="A5829" t="s">
        <v>2918</v>
      </c>
      <c r="F5829" t="str">
        <f t="shared" ref="F5829" si="5821">A5829</f>
        <v>GTCCTT</v>
      </c>
    </row>
    <row r="5830" spans="1:6" x14ac:dyDescent="0.3">
      <c r="A5830" t="s">
        <v>7015</v>
      </c>
      <c r="F5830" t="str">
        <f t="shared" ref="F5830" si="5822">LEFT(A5830, LEN(A5830) - 1)</f>
        <v>&gt;2913:GTCGAA:22.00:50.00:OK:6:1816.25</v>
      </c>
    </row>
    <row r="5831" spans="1:6" x14ac:dyDescent="0.3">
      <c r="A5831" t="s">
        <v>2919</v>
      </c>
      <c r="F5831" t="str">
        <f t="shared" ref="F5831" si="5823">A5831</f>
        <v>GTCGAA</v>
      </c>
    </row>
    <row r="5832" spans="1:6" x14ac:dyDescent="0.3">
      <c r="A5832" t="s">
        <v>7016</v>
      </c>
      <c r="F5832" t="str">
        <f t="shared" ref="F5832" si="5824">LEFT(A5832, LEN(A5832) - 1)</f>
        <v>&gt;2914:GTCGAC:20.00:66.67:Warning:6:1792.22</v>
      </c>
    </row>
    <row r="5833" spans="1:6" x14ac:dyDescent="0.3">
      <c r="A5833" t="s">
        <v>2920</v>
      </c>
      <c r="F5833" t="str">
        <f t="shared" ref="F5833" si="5825">A5833</f>
        <v>GTCGAC</v>
      </c>
    </row>
    <row r="5834" spans="1:6" x14ac:dyDescent="0.3">
      <c r="A5834" t="s">
        <v>7017</v>
      </c>
      <c r="F5834" t="str">
        <f t="shared" ref="F5834" si="5826">LEFT(A5834, LEN(A5834) - 1)</f>
        <v>&gt;2915:GTCGAG:20.00:66.67:Warning:6:1832.25</v>
      </c>
    </row>
    <row r="5835" spans="1:6" x14ac:dyDescent="0.3">
      <c r="A5835" t="s">
        <v>2921</v>
      </c>
      <c r="F5835" t="str">
        <f t="shared" ref="F5835" si="5827">A5835</f>
        <v>GTCGAG</v>
      </c>
    </row>
    <row r="5836" spans="1:6" x14ac:dyDescent="0.3">
      <c r="A5836" t="s">
        <v>7018</v>
      </c>
      <c r="F5836" t="str">
        <f t="shared" ref="F5836" si="5828">LEFT(A5836, LEN(A5836) - 1)</f>
        <v>&gt;2916:GTCGAT:14.00:50.00:OK:6:1807.23</v>
      </c>
    </row>
    <row r="5837" spans="1:6" x14ac:dyDescent="0.3">
      <c r="A5837" t="s">
        <v>2922</v>
      </c>
      <c r="F5837" t="str">
        <f t="shared" ref="F5837" si="5829">A5837</f>
        <v>GTCGAT</v>
      </c>
    </row>
    <row r="5838" spans="1:6" x14ac:dyDescent="0.3">
      <c r="A5838" t="s">
        <v>7019</v>
      </c>
      <c r="F5838" t="str">
        <f t="shared" ref="F5838" si="5830">LEFT(A5838, LEN(A5838) - 1)</f>
        <v>&gt;2917:GTCGCA:20.00:66.67:Warning:6:1792.22</v>
      </c>
    </row>
    <row r="5839" spans="1:6" x14ac:dyDescent="0.3">
      <c r="A5839" t="s">
        <v>2923</v>
      </c>
      <c r="F5839" t="str">
        <f t="shared" ref="F5839" si="5831">A5839</f>
        <v>GTCGCA</v>
      </c>
    </row>
    <row r="5840" spans="1:6" x14ac:dyDescent="0.3">
      <c r="A5840" t="s">
        <v>7020</v>
      </c>
      <c r="F5840" t="str">
        <f t="shared" ref="F5840" si="5832">LEFT(A5840, LEN(A5840) - 1)</f>
        <v>&gt;2918:GTCGCC:18.00:83.33:Warning:6:1768.19</v>
      </c>
    </row>
    <row r="5841" spans="1:6" x14ac:dyDescent="0.3">
      <c r="A5841" t="s">
        <v>2924</v>
      </c>
      <c r="F5841" t="str">
        <f t="shared" ref="F5841" si="5833">A5841</f>
        <v>GTCGCC</v>
      </c>
    </row>
    <row r="5842" spans="1:6" x14ac:dyDescent="0.3">
      <c r="A5842" t="s">
        <v>7021</v>
      </c>
      <c r="F5842" t="str">
        <f t="shared" ref="F5842" si="5834">LEFT(A5842, LEN(A5842) - 1)</f>
        <v>&gt;2919:GTCGCG:18.00:83.33:Warning:6:1808.22</v>
      </c>
    </row>
    <row r="5843" spans="1:6" x14ac:dyDescent="0.3">
      <c r="A5843" t="s">
        <v>2925</v>
      </c>
      <c r="F5843" t="str">
        <f t="shared" ref="F5843" si="5835">A5843</f>
        <v>GTCGCG</v>
      </c>
    </row>
    <row r="5844" spans="1:6" x14ac:dyDescent="0.3">
      <c r="A5844" t="s">
        <v>7022</v>
      </c>
      <c r="F5844" t="str">
        <f t="shared" ref="F5844" si="5836">LEFT(A5844, LEN(A5844) - 1)</f>
        <v>&gt;2920:GTCGCT:12.00:66.67:Warning:6:1783.20</v>
      </c>
    </row>
    <row r="5845" spans="1:6" x14ac:dyDescent="0.3">
      <c r="A5845" t="s">
        <v>2926</v>
      </c>
      <c r="F5845" t="str">
        <f t="shared" ref="F5845" si="5837">A5845</f>
        <v>GTCGCT</v>
      </c>
    </row>
    <row r="5846" spans="1:6" x14ac:dyDescent="0.3">
      <c r="A5846" t="s">
        <v>7023</v>
      </c>
      <c r="F5846" t="str">
        <f t="shared" ref="F5846" si="5838">LEFT(A5846, LEN(A5846) - 1)</f>
        <v>&gt;2921:GTCGGA:20.00:66.67:Warning:6:1832.25</v>
      </c>
    </row>
    <row r="5847" spans="1:6" x14ac:dyDescent="0.3">
      <c r="A5847" t="s">
        <v>2927</v>
      </c>
      <c r="F5847" t="str">
        <f t="shared" ref="F5847" si="5839">A5847</f>
        <v>GTCGGA</v>
      </c>
    </row>
    <row r="5848" spans="1:6" x14ac:dyDescent="0.3">
      <c r="A5848" t="s">
        <v>7024</v>
      </c>
      <c r="F5848" t="str">
        <f t="shared" ref="F5848" si="5840">LEFT(A5848, LEN(A5848) - 1)</f>
        <v>&gt;2922:GTCGGC:18.00:83.33:Warning:6:1808.22</v>
      </c>
    </row>
    <row r="5849" spans="1:6" x14ac:dyDescent="0.3">
      <c r="A5849" t="s">
        <v>2928</v>
      </c>
      <c r="F5849" t="str">
        <f t="shared" ref="F5849" si="5841">A5849</f>
        <v>GTCGGC</v>
      </c>
    </row>
    <row r="5850" spans="1:6" x14ac:dyDescent="0.3">
      <c r="A5850" t="s">
        <v>7025</v>
      </c>
      <c r="F5850" t="str">
        <f t="shared" ref="F5850" si="5842">LEFT(A5850, LEN(A5850) - 1)</f>
        <v>&gt;2923:GTCGGG:18.00:83.33:Warning:6:1848.25</v>
      </c>
    </row>
    <row r="5851" spans="1:6" x14ac:dyDescent="0.3">
      <c r="A5851" t="s">
        <v>2929</v>
      </c>
      <c r="F5851" t="str">
        <f t="shared" ref="F5851" si="5843">A5851</f>
        <v>GTCGGG</v>
      </c>
    </row>
    <row r="5852" spans="1:6" x14ac:dyDescent="0.3">
      <c r="A5852" t="s">
        <v>7026</v>
      </c>
      <c r="F5852" t="str">
        <f t="shared" ref="F5852" si="5844">LEFT(A5852, LEN(A5852) - 1)</f>
        <v>&gt;2924:GTCGGT:12.00:66.67:Warning:6:1823.23</v>
      </c>
    </row>
    <row r="5853" spans="1:6" x14ac:dyDescent="0.3">
      <c r="A5853" t="s">
        <v>2930</v>
      </c>
      <c r="F5853" t="str">
        <f t="shared" ref="F5853" si="5845">A5853</f>
        <v>GTCGGT</v>
      </c>
    </row>
    <row r="5854" spans="1:6" x14ac:dyDescent="0.3">
      <c r="A5854" t="s">
        <v>7027</v>
      </c>
      <c r="F5854" t="str">
        <f t="shared" ref="F5854" si="5846">LEFT(A5854, LEN(A5854) - 1)</f>
        <v>&gt;2925:GTCGTA:14.00:50.00:OK:6:1807.23</v>
      </c>
    </row>
    <row r="5855" spans="1:6" x14ac:dyDescent="0.3">
      <c r="A5855" t="s">
        <v>2931</v>
      </c>
      <c r="F5855" t="str">
        <f t="shared" ref="F5855" si="5847">A5855</f>
        <v>GTCGTA</v>
      </c>
    </row>
    <row r="5856" spans="1:6" x14ac:dyDescent="0.3">
      <c r="A5856" t="s">
        <v>7028</v>
      </c>
      <c r="F5856" t="str">
        <f t="shared" ref="F5856" si="5848">LEFT(A5856, LEN(A5856) - 1)</f>
        <v>&gt;2926:GTCGTC:12.00:66.67:Warning:6:1783.20</v>
      </c>
    </row>
    <row r="5857" spans="1:6" x14ac:dyDescent="0.3">
      <c r="A5857" t="s">
        <v>2932</v>
      </c>
      <c r="F5857" t="str">
        <f t="shared" ref="F5857" si="5849">A5857</f>
        <v>GTCGTC</v>
      </c>
    </row>
    <row r="5858" spans="1:6" x14ac:dyDescent="0.3">
      <c r="A5858" t="s">
        <v>7029</v>
      </c>
      <c r="F5858" t="str">
        <f t="shared" ref="F5858" si="5850">LEFT(A5858, LEN(A5858) - 1)</f>
        <v>&gt;2927:GTCGTG:12.00:66.67:Warning:6:1823.23</v>
      </c>
    </row>
    <row r="5859" spans="1:6" x14ac:dyDescent="0.3">
      <c r="A5859" t="s">
        <v>2933</v>
      </c>
      <c r="F5859" t="str">
        <f t="shared" ref="F5859" si="5851">A5859</f>
        <v>GTCGTG</v>
      </c>
    </row>
    <row r="5860" spans="1:6" x14ac:dyDescent="0.3">
      <c r="A5860" t="s">
        <v>7030</v>
      </c>
      <c r="F5860" t="str">
        <f t="shared" ref="F5860" si="5852">LEFT(A5860, LEN(A5860) - 1)</f>
        <v>&gt;2928:GTCGTT:6.00:50.00:OK:6:1798.21</v>
      </c>
    </row>
    <row r="5861" spans="1:6" x14ac:dyDescent="0.3">
      <c r="A5861" t="s">
        <v>2934</v>
      </c>
      <c r="F5861" t="str">
        <f t="shared" ref="F5861" si="5853">A5861</f>
        <v>GTCGTT</v>
      </c>
    </row>
    <row r="5862" spans="1:6" x14ac:dyDescent="0.3">
      <c r="A5862" t="s">
        <v>7031</v>
      </c>
      <c r="F5862" t="str">
        <f t="shared" ref="F5862" si="5854">LEFT(A5862, LEN(A5862) - 1)</f>
        <v>&gt;2929:GTCTAA:16.00:33.33:OK:6:1791.23</v>
      </c>
    </row>
    <row r="5863" spans="1:6" x14ac:dyDescent="0.3">
      <c r="A5863" t="s">
        <v>2935</v>
      </c>
      <c r="F5863" t="str">
        <f t="shared" ref="F5863" si="5855">A5863</f>
        <v>GTCTAA</v>
      </c>
    </row>
    <row r="5864" spans="1:6" x14ac:dyDescent="0.3">
      <c r="A5864" t="s">
        <v>7032</v>
      </c>
      <c r="F5864" t="str">
        <f t="shared" ref="F5864" si="5856">LEFT(A5864, LEN(A5864) - 1)</f>
        <v>&gt;2930:GTCTAC:14.00:50.00:OK:6:1767.20</v>
      </c>
    </row>
    <row r="5865" spans="1:6" x14ac:dyDescent="0.3">
      <c r="A5865" t="s">
        <v>2936</v>
      </c>
      <c r="F5865" t="str">
        <f t="shared" ref="F5865" si="5857">A5865</f>
        <v>GTCTAC</v>
      </c>
    </row>
    <row r="5866" spans="1:6" x14ac:dyDescent="0.3">
      <c r="A5866" t="s">
        <v>7033</v>
      </c>
      <c r="F5866" t="str">
        <f t="shared" ref="F5866" si="5858">LEFT(A5866, LEN(A5866) - 1)</f>
        <v>&gt;2931:GTCTAG:14.00:50.00:OK:6:1807.23</v>
      </c>
    </row>
    <row r="5867" spans="1:6" x14ac:dyDescent="0.3">
      <c r="A5867" t="s">
        <v>2937</v>
      </c>
      <c r="F5867" t="str">
        <f t="shared" ref="F5867" si="5859">A5867</f>
        <v>GTCTAG</v>
      </c>
    </row>
    <row r="5868" spans="1:6" x14ac:dyDescent="0.3">
      <c r="A5868" t="s">
        <v>7034</v>
      </c>
      <c r="F5868" t="str">
        <f t="shared" ref="F5868" si="5860">LEFT(A5868, LEN(A5868) - 1)</f>
        <v>&gt;2932:GTCTAT:8.00:33.33:OK:6:1782.21</v>
      </c>
    </row>
    <row r="5869" spans="1:6" x14ac:dyDescent="0.3">
      <c r="A5869" t="s">
        <v>2938</v>
      </c>
      <c r="F5869" t="str">
        <f t="shared" ref="F5869" si="5861">A5869</f>
        <v>GTCTAT</v>
      </c>
    </row>
    <row r="5870" spans="1:6" x14ac:dyDescent="0.3">
      <c r="A5870" t="s">
        <v>7035</v>
      </c>
      <c r="F5870" t="str">
        <f t="shared" ref="F5870" si="5862">LEFT(A5870, LEN(A5870) - 1)</f>
        <v>&gt;2933:GTCTCA:14.00:50.00:OK:6:1767.20</v>
      </c>
    </row>
    <row r="5871" spans="1:6" x14ac:dyDescent="0.3">
      <c r="A5871" t="s">
        <v>2939</v>
      </c>
      <c r="F5871" t="str">
        <f t="shared" ref="F5871" si="5863">A5871</f>
        <v>GTCTCA</v>
      </c>
    </row>
    <row r="5872" spans="1:6" x14ac:dyDescent="0.3">
      <c r="A5872" t="s">
        <v>7036</v>
      </c>
      <c r="F5872" t="str">
        <f t="shared" ref="F5872" si="5864">LEFT(A5872, LEN(A5872) - 1)</f>
        <v>&gt;2934:GTCTCC:12.00:66.67:Warning:6:1743.17</v>
      </c>
    </row>
    <row r="5873" spans="1:6" x14ac:dyDescent="0.3">
      <c r="A5873" t="s">
        <v>2940</v>
      </c>
      <c r="F5873" t="str">
        <f t="shared" ref="F5873" si="5865">A5873</f>
        <v>GTCTCC</v>
      </c>
    </row>
    <row r="5874" spans="1:6" x14ac:dyDescent="0.3">
      <c r="A5874" t="s">
        <v>7037</v>
      </c>
      <c r="F5874" t="str">
        <f t="shared" ref="F5874" si="5866">LEFT(A5874, LEN(A5874) - 1)</f>
        <v>&gt;2935:GTCTCG:12.00:66.67:Warning:6:1783.20</v>
      </c>
    </row>
    <row r="5875" spans="1:6" x14ac:dyDescent="0.3">
      <c r="A5875" t="s">
        <v>2941</v>
      </c>
      <c r="F5875" t="str">
        <f t="shared" ref="F5875" si="5867">A5875</f>
        <v>GTCTCG</v>
      </c>
    </row>
    <row r="5876" spans="1:6" x14ac:dyDescent="0.3">
      <c r="A5876" t="s">
        <v>7038</v>
      </c>
      <c r="F5876" t="str">
        <f t="shared" ref="F5876" si="5868">LEFT(A5876, LEN(A5876) - 1)</f>
        <v>&gt;2936:GTCTCT:6.00:50.00:OK:6:1758.18</v>
      </c>
    </row>
    <row r="5877" spans="1:6" x14ac:dyDescent="0.3">
      <c r="A5877" t="s">
        <v>2942</v>
      </c>
      <c r="F5877" t="str">
        <f t="shared" ref="F5877" si="5869">A5877</f>
        <v>GTCTCT</v>
      </c>
    </row>
    <row r="5878" spans="1:6" x14ac:dyDescent="0.3">
      <c r="A5878" t="s">
        <v>7039</v>
      </c>
      <c r="F5878" t="str">
        <f t="shared" ref="F5878" si="5870">LEFT(A5878, LEN(A5878) - 1)</f>
        <v>&gt;2937:GTCTGA:14.00:50.00:OK:6:1807.23</v>
      </c>
    </row>
    <row r="5879" spans="1:6" x14ac:dyDescent="0.3">
      <c r="A5879" t="s">
        <v>2943</v>
      </c>
      <c r="F5879" t="str">
        <f t="shared" ref="F5879" si="5871">A5879</f>
        <v>GTCTGA</v>
      </c>
    </row>
    <row r="5880" spans="1:6" x14ac:dyDescent="0.3">
      <c r="A5880" t="s">
        <v>7040</v>
      </c>
      <c r="F5880" t="str">
        <f t="shared" ref="F5880" si="5872">LEFT(A5880, LEN(A5880) - 1)</f>
        <v>&gt;2938:GTCTGC:12.00:66.67:Warning:6:1783.20</v>
      </c>
    </row>
    <row r="5881" spans="1:6" x14ac:dyDescent="0.3">
      <c r="A5881" t="s">
        <v>2944</v>
      </c>
      <c r="F5881" t="str">
        <f t="shared" ref="F5881" si="5873">A5881</f>
        <v>GTCTGC</v>
      </c>
    </row>
    <row r="5882" spans="1:6" x14ac:dyDescent="0.3">
      <c r="A5882" t="s">
        <v>7041</v>
      </c>
      <c r="F5882" t="str">
        <f t="shared" ref="F5882" si="5874">LEFT(A5882, LEN(A5882) - 1)</f>
        <v>&gt;2939:GTCTGG:12.00:66.67:Warning:6:1823.23</v>
      </c>
    </row>
    <row r="5883" spans="1:6" x14ac:dyDescent="0.3">
      <c r="A5883" t="s">
        <v>2945</v>
      </c>
      <c r="F5883" t="str">
        <f t="shared" ref="F5883" si="5875">A5883</f>
        <v>GTCTGG</v>
      </c>
    </row>
    <row r="5884" spans="1:6" x14ac:dyDescent="0.3">
      <c r="A5884" t="s">
        <v>7042</v>
      </c>
      <c r="F5884" t="str">
        <f t="shared" ref="F5884" si="5876">LEFT(A5884, LEN(A5884) - 1)</f>
        <v>&gt;2940:GTCTGT:6.00:50.00:OK:6:1798.21</v>
      </c>
    </row>
    <row r="5885" spans="1:6" x14ac:dyDescent="0.3">
      <c r="A5885" t="s">
        <v>2946</v>
      </c>
      <c r="F5885" t="str">
        <f t="shared" ref="F5885" si="5877">A5885</f>
        <v>GTCTGT</v>
      </c>
    </row>
    <row r="5886" spans="1:6" x14ac:dyDescent="0.3">
      <c r="A5886" t="s">
        <v>7043</v>
      </c>
      <c r="F5886" t="str">
        <f t="shared" ref="F5886" si="5878">LEFT(A5886, LEN(A5886) - 1)</f>
        <v>&gt;2941:GTCTTA:8.00:33.33:OK:6:1782.21</v>
      </c>
    </row>
    <row r="5887" spans="1:6" x14ac:dyDescent="0.3">
      <c r="A5887" t="s">
        <v>2947</v>
      </c>
      <c r="F5887" t="str">
        <f t="shared" ref="F5887" si="5879">A5887</f>
        <v>GTCTTA</v>
      </c>
    </row>
    <row r="5888" spans="1:6" x14ac:dyDescent="0.3">
      <c r="A5888" t="s">
        <v>7044</v>
      </c>
      <c r="F5888" t="str">
        <f t="shared" ref="F5888" si="5880">LEFT(A5888, LEN(A5888) - 1)</f>
        <v>&gt;2942:GTCTTC:6.00:50.00:OK:6:1758.18</v>
      </c>
    </row>
    <row r="5889" spans="1:6" x14ac:dyDescent="0.3">
      <c r="A5889" t="s">
        <v>2948</v>
      </c>
      <c r="F5889" t="str">
        <f t="shared" ref="F5889" si="5881">A5889</f>
        <v>GTCTTC</v>
      </c>
    </row>
    <row r="5890" spans="1:6" x14ac:dyDescent="0.3">
      <c r="A5890" t="s">
        <v>7045</v>
      </c>
      <c r="F5890" t="str">
        <f t="shared" ref="F5890" si="5882">LEFT(A5890, LEN(A5890) - 1)</f>
        <v>&gt;2943:GTCTTG:6.00:50.00:OK:6:1798.21</v>
      </c>
    </row>
    <row r="5891" spans="1:6" x14ac:dyDescent="0.3">
      <c r="A5891" t="s">
        <v>2949</v>
      </c>
      <c r="F5891" t="str">
        <f t="shared" ref="F5891" si="5883">A5891</f>
        <v>GTCTTG</v>
      </c>
    </row>
    <row r="5892" spans="1:6" x14ac:dyDescent="0.3">
      <c r="A5892" t="s">
        <v>7046</v>
      </c>
      <c r="F5892" t="str">
        <f t="shared" ref="F5892" si="5884">LEFT(A5892, LEN(A5892) - 1)</f>
        <v>&gt;2944:GTCTTT:0.00:33.33:OK:6:1773.19</v>
      </c>
    </row>
    <row r="5893" spans="1:6" x14ac:dyDescent="0.3">
      <c r="A5893" t="s">
        <v>2950</v>
      </c>
      <c r="F5893" t="str">
        <f t="shared" ref="F5893" si="5885">A5893</f>
        <v>GTCTTT</v>
      </c>
    </row>
    <row r="5894" spans="1:6" x14ac:dyDescent="0.3">
      <c r="A5894" t="s">
        <v>7047</v>
      </c>
      <c r="F5894" t="str">
        <f t="shared" ref="F5894" si="5886">LEFT(A5894, LEN(A5894) - 1)</f>
        <v>&gt;2945:GTGAAA:24.00:33.33:OK:6:1840.28</v>
      </c>
    </row>
    <row r="5895" spans="1:6" x14ac:dyDescent="0.3">
      <c r="A5895" t="s">
        <v>2951</v>
      </c>
      <c r="F5895" t="str">
        <f t="shared" ref="F5895" si="5887">A5895</f>
        <v>GTGAAA</v>
      </c>
    </row>
    <row r="5896" spans="1:6" x14ac:dyDescent="0.3">
      <c r="A5896" t="s">
        <v>7048</v>
      </c>
      <c r="F5896" t="str">
        <f t="shared" ref="F5896" si="5888">LEFT(A5896, LEN(A5896) - 1)</f>
        <v>&gt;2946:GTGAAC:22.00:50.00:OK:6:1816.25</v>
      </c>
    </row>
    <row r="5897" spans="1:6" x14ac:dyDescent="0.3">
      <c r="A5897" t="s">
        <v>2952</v>
      </c>
      <c r="F5897" t="str">
        <f t="shared" ref="F5897" si="5889">A5897</f>
        <v>GTGAAC</v>
      </c>
    </row>
    <row r="5898" spans="1:6" x14ac:dyDescent="0.3">
      <c r="A5898" t="s">
        <v>7049</v>
      </c>
      <c r="F5898" t="str">
        <f t="shared" ref="F5898" si="5890">LEFT(A5898, LEN(A5898) - 1)</f>
        <v>&gt;2947:GTGAAG:22.00:50.00:OK:6:1856.28</v>
      </c>
    </row>
    <row r="5899" spans="1:6" x14ac:dyDescent="0.3">
      <c r="A5899" t="s">
        <v>2953</v>
      </c>
      <c r="F5899" t="str">
        <f t="shared" ref="F5899" si="5891">A5899</f>
        <v>GTGAAG</v>
      </c>
    </row>
    <row r="5900" spans="1:6" x14ac:dyDescent="0.3">
      <c r="A5900" t="s">
        <v>7050</v>
      </c>
      <c r="F5900" t="str">
        <f t="shared" ref="F5900" si="5892">LEFT(A5900, LEN(A5900) - 1)</f>
        <v>&gt;2948:GTGAAT:16.00:33.33:OK:6:1831.26</v>
      </c>
    </row>
    <row r="5901" spans="1:6" x14ac:dyDescent="0.3">
      <c r="A5901" t="s">
        <v>2954</v>
      </c>
      <c r="F5901" t="str">
        <f t="shared" ref="F5901" si="5893">A5901</f>
        <v>GTGAAT</v>
      </c>
    </row>
    <row r="5902" spans="1:6" x14ac:dyDescent="0.3">
      <c r="A5902" t="s">
        <v>7051</v>
      </c>
      <c r="F5902" t="str">
        <f t="shared" ref="F5902" si="5894">LEFT(A5902, LEN(A5902) - 1)</f>
        <v>&gt;2949:GTGACA:22.00:50.00:OK:6:1816.25</v>
      </c>
    </row>
    <row r="5903" spans="1:6" x14ac:dyDescent="0.3">
      <c r="A5903" t="s">
        <v>2955</v>
      </c>
      <c r="F5903" t="str">
        <f t="shared" ref="F5903" si="5895">A5903</f>
        <v>GTGACA</v>
      </c>
    </row>
    <row r="5904" spans="1:6" x14ac:dyDescent="0.3">
      <c r="A5904" t="s">
        <v>7052</v>
      </c>
      <c r="F5904" t="str">
        <f t="shared" ref="F5904" si="5896">LEFT(A5904, LEN(A5904) - 1)</f>
        <v>&gt;2950:GTGACC:20.00:66.67:Warning:6:1792.22</v>
      </c>
    </row>
    <row r="5905" spans="1:6" x14ac:dyDescent="0.3">
      <c r="A5905" t="s">
        <v>2956</v>
      </c>
      <c r="F5905" t="str">
        <f t="shared" ref="F5905" si="5897">A5905</f>
        <v>GTGACC</v>
      </c>
    </row>
    <row r="5906" spans="1:6" x14ac:dyDescent="0.3">
      <c r="A5906" t="s">
        <v>7053</v>
      </c>
      <c r="F5906" t="str">
        <f t="shared" ref="F5906" si="5898">LEFT(A5906, LEN(A5906) - 1)</f>
        <v>&gt;2951:GTGACG:20.00:66.67:Warning:6:1832.25</v>
      </c>
    </row>
    <row r="5907" spans="1:6" x14ac:dyDescent="0.3">
      <c r="A5907" t="s">
        <v>2957</v>
      </c>
      <c r="F5907" t="str">
        <f t="shared" ref="F5907" si="5899">A5907</f>
        <v>GTGACG</v>
      </c>
    </row>
    <row r="5908" spans="1:6" x14ac:dyDescent="0.3">
      <c r="A5908" t="s">
        <v>7054</v>
      </c>
      <c r="F5908" t="str">
        <f t="shared" ref="F5908" si="5900">LEFT(A5908, LEN(A5908) - 1)</f>
        <v>&gt;2952:GTGACT:14.00:50.00:OK:6:1807.23</v>
      </c>
    </row>
    <row r="5909" spans="1:6" x14ac:dyDescent="0.3">
      <c r="A5909" t="s">
        <v>2958</v>
      </c>
      <c r="F5909" t="str">
        <f t="shared" ref="F5909" si="5901">A5909</f>
        <v>GTGACT</v>
      </c>
    </row>
    <row r="5910" spans="1:6" x14ac:dyDescent="0.3">
      <c r="A5910" t="s">
        <v>7055</v>
      </c>
      <c r="F5910" t="str">
        <f t="shared" ref="F5910" si="5902">LEFT(A5910, LEN(A5910) - 1)</f>
        <v>&gt;2953:GTGAGA:22.00:50.00:OK:6:1856.28</v>
      </c>
    </row>
    <row r="5911" spans="1:6" x14ac:dyDescent="0.3">
      <c r="A5911" t="s">
        <v>2959</v>
      </c>
      <c r="F5911" t="str">
        <f t="shared" ref="F5911" si="5903">A5911</f>
        <v>GTGAGA</v>
      </c>
    </row>
    <row r="5912" spans="1:6" x14ac:dyDescent="0.3">
      <c r="A5912" t="s">
        <v>7056</v>
      </c>
      <c r="F5912" t="str">
        <f t="shared" ref="F5912" si="5904">LEFT(A5912, LEN(A5912) - 1)</f>
        <v>&gt;2954:GTGAGC:20.00:66.67:Warning:6:1832.25</v>
      </c>
    </row>
    <row r="5913" spans="1:6" x14ac:dyDescent="0.3">
      <c r="A5913" t="s">
        <v>2960</v>
      </c>
      <c r="F5913" t="str">
        <f t="shared" ref="F5913" si="5905">A5913</f>
        <v>GTGAGC</v>
      </c>
    </row>
    <row r="5914" spans="1:6" x14ac:dyDescent="0.3">
      <c r="A5914" t="s">
        <v>7057</v>
      </c>
      <c r="F5914" t="str">
        <f t="shared" ref="F5914" si="5906">LEFT(A5914, LEN(A5914) - 1)</f>
        <v>&gt;2955:GTGAGG:20.00:66.67:Warning:6:1872.28</v>
      </c>
    </row>
    <row r="5915" spans="1:6" x14ac:dyDescent="0.3">
      <c r="A5915" t="s">
        <v>2961</v>
      </c>
      <c r="F5915" t="str">
        <f t="shared" ref="F5915" si="5907">A5915</f>
        <v>GTGAGG</v>
      </c>
    </row>
    <row r="5916" spans="1:6" x14ac:dyDescent="0.3">
      <c r="A5916" t="s">
        <v>7058</v>
      </c>
      <c r="F5916" t="str">
        <f t="shared" ref="F5916" si="5908">LEFT(A5916, LEN(A5916) - 1)</f>
        <v>&gt;2956:GTGAGT:14.00:50.00:OK:6:1847.26</v>
      </c>
    </row>
    <row r="5917" spans="1:6" x14ac:dyDescent="0.3">
      <c r="A5917" t="s">
        <v>2962</v>
      </c>
      <c r="F5917" t="str">
        <f t="shared" ref="F5917" si="5909">A5917</f>
        <v>GTGAGT</v>
      </c>
    </row>
    <row r="5918" spans="1:6" x14ac:dyDescent="0.3">
      <c r="A5918" t="s">
        <v>7059</v>
      </c>
      <c r="F5918" t="str">
        <f t="shared" ref="F5918" si="5910">LEFT(A5918, LEN(A5918) - 1)</f>
        <v>&gt;2957:GTGATA:16.00:33.33:OK:6:1831.26</v>
      </c>
    </row>
    <row r="5919" spans="1:6" x14ac:dyDescent="0.3">
      <c r="A5919" t="s">
        <v>2963</v>
      </c>
      <c r="F5919" t="str">
        <f t="shared" ref="F5919" si="5911">A5919</f>
        <v>GTGATA</v>
      </c>
    </row>
    <row r="5920" spans="1:6" x14ac:dyDescent="0.3">
      <c r="A5920" t="s">
        <v>7060</v>
      </c>
      <c r="F5920" t="str">
        <f t="shared" ref="F5920" si="5912">LEFT(A5920, LEN(A5920) - 1)</f>
        <v>&gt;2958:GTGATC:14.00:50.00:OK:6:1807.23</v>
      </c>
    </row>
    <row r="5921" spans="1:6" x14ac:dyDescent="0.3">
      <c r="A5921" t="s">
        <v>2964</v>
      </c>
      <c r="F5921" t="str">
        <f t="shared" ref="F5921" si="5913">A5921</f>
        <v>GTGATC</v>
      </c>
    </row>
    <row r="5922" spans="1:6" x14ac:dyDescent="0.3">
      <c r="A5922" t="s">
        <v>7061</v>
      </c>
      <c r="F5922" t="str">
        <f t="shared" ref="F5922" si="5914">LEFT(A5922, LEN(A5922) - 1)</f>
        <v>&gt;2959:GTGATG:14.00:50.00:OK:6:1847.26</v>
      </c>
    </row>
    <row r="5923" spans="1:6" x14ac:dyDescent="0.3">
      <c r="A5923" t="s">
        <v>2965</v>
      </c>
      <c r="F5923" t="str">
        <f t="shared" ref="F5923" si="5915">A5923</f>
        <v>GTGATG</v>
      </c>
    </row>
    <row r="5924" spans="1:6" x14ac:dyDescent="0.3">
      <c r="A5924" t="s">
        <v>7062</v>
      </c>
      <c r="F5924" t="str">
        <f t="shared" ref="F5924" si="5916">LEFT(A5924, LEN(A5924) - 1)</f>
        <v>&gt;2960:GTGATT:8.00:33.33:OK:6:1822.24</v>
      </c>
    </row>
    <row r="5925" spans="1:6" x14ac:dyDescent="0.3">
      <c r="A5925" t="s">
        <v>2966</v>
      </c>
      <c r="F5925" t="str">
        <f t="shared" ref="F5925" si="5917">A5925</f>
        <v>GTGATT</v>
      </c>
    </row>
    <row r="5926" spans="1:6" x14ac:dyDescent="0.3">
      <c r="A5926" t="s">
        <v>7063</v>
      </c>
      <c r="F5926" t="str">
        <f t="shared" ref="F5926" si="5918">LEFT(A5926, LEN(A5926) - 1)</f>
        <v>&gt;2961:GTGCAA:22.00:50.00:OK:6:1816.25</v>
      </c>
    </row>
    <row r="5927" spans="1:6" x14ac:dyDescent="0.3">
      <c r="A5927" t="s">
        <v>2967</v>
      </c>
      <c r="F5927" t="str">
        <f t="shared" ref="F5927" si="5919">A5927</f>
        <v>GTGCAA</v>
      </c>
    </row>
    <row r="5928" spans="1:6" x14ac:dyDescent="0.3">
      <c r="A5928" t="s">
        <v>7064</v>
      </c>
      <c r="F5928" t="str">
        <f t="shared" ref="F5928" si="5920">LEFT(A5928, LEN(A5928) - 1)</f>
        <v>&gt;2962:GTGCAC:20.00:66.67:Warning:6:1792.22</v>
      </c>
    </row>
    <row r="5929" spans="1:6" x14ac:dyDescent="0.3">
      <c r="A5929" t="s">
        <v>2968</v>
      </c>
      <c r="F5929" t="str">
        <f t="shared" ref="F5929" si="5921">A5929</f>
        <v>GTGCAC</v>
      </c>
    </row>
    <row r="5930" spans="1:6" x14ac:dyDescent="0.3">
      <c r="A5930" t="s">
        <v>7065</v>
      </c>
      <c r="F5930" t="str">
        <f t="shared" ref="F5930" si="5922">LEFT(A5930, LEN(A5930) - 1)</f>
        <v>&gt;2963:GTGCAG:20.00:66.67:Warning:6:1832.25</v>
      </c>
    </row>
    <row r="5931" spans="1:6" x14ac:dyDescent="0.3">
      <c r="A5931" t="s">
        <v>2969</v>
      </c>
      <c r="F5931" t="str">
        <f t="shared" ref="F5931" si="5923">A5931</f>
        <v>GTGCAG</v>
      </c>
    </row>
    <row r="5932" spans="1:6" x14ac:dyDescent="0.3">
      <c r="A5932" t="s">
        <v>7066</v>
      </c>
      <c r="F5932" t="str">
        <f t="shared" ref="F5932" si="5924">LEFT(A5932, LEN(A5932) - 1)</f>
        <v>&gt;2964:GTGCAT:14.00:50.00:OK:6:1807.23</v>
      </c>
    </row>
    <row r="5933" spans="1:6" x14ac:dyDescent="0.3">
      <c r="A5933" t="s">
        <v>2970</v>
      </c>
      <c r="F5933" t="str">
        <f t="shared" ref="F5933" si="5925">A5933</f>
        <v>GTGCAT</v>
      </c>
    </row>
    <row r="5934" spans="1:6" x14ac:dyDescent="0.3">
      <c r="A5934" t="s">
        <v>7067</v>
      </c>
      <c r="F5934" t="str">
        <f t="shared" ref="F5934" si="5926">LEFT(A5934, LEN(A5934) - 1)</f>
        <v>&gt;2965:GTGCCA:20.00:66.67:Warning:6:1792.22</v>
      </c>
    </row>
    <row r="5935" spans="1:6" x14ac:dyDescent="0.3">
      <c r="A5935" t="s">
        <v>2971</v>
      </c>
      <c r="F5935" t="str">
        <f t="shared" ref="F5935" si="5927">A5935</f>
        <v>GTGCCA</v>
      </c>
    </row>
    <row r="5936" spans="1:6" x14ac:dyDescent="0.3">
      <c r="A5936" t="s">
        <v>7068</v>
      </c>
      <c r="F5936" t="str">
        <f t="shared" ref="F5936" si="5928">LEFT(A5936, LEN(A5936) - 1)</f>
        <v>&gt;2966:GTGCCC:18.00:83.33:Warning:6:1768.19</v>
      </c>
    </row>
    <row r="5937" spans="1:6" x14ac:dyDescent="0.3">
      <c r="A5937" t="s">
        <v>2972</v>
      </c>
      <c r="F5937" t="str">
        <f t="shared" ref="F5937" si="5929">A5937</f>
        <v>GTGCCC</v>
      </c>
    </row>
    <row r="5938" spans="1:6" x14ac:dyDescent="0.3">
      <c r="A5938" t="s">
        <v>7069</v>
      </c>
      <c r="F5938" t="str">
        <f t="shared" ref="F5938" si="5930">LEFT(A5938, LEN(A5938) - 1)</f>
        <v>&gt;2967:GTGCCG:18.00:83.33:Warning:6:1808.22</v>
      </c>
    </row>
    <row r="5939" spans="1:6" x14ac:dyDescent="0.3">
      <c r="A5939" t="s">
        <v>2973</v>
      </c>
      <c r="F5939" t="str">
        <f t="shared" ref="F5939" si="5931">A5939</f>
        <v>GTGCCG</v>
      </c>
    </row>
    <row r="5940" spans="1:6" x14ac:dyDescent="0.3">
      <c r="A5940" t="s">
        <v>7070</v>
      </c>
      <c r="F5940" t="str">
        <f t="shared" ref="F5940" si="5932">LEFT(A5940, LEN(A5940) - 1)</f>
        <v>&gt;2968:GTGCCT:12.00:66.67:Warning:6:1783.20</v>
      </c>
    </row>
    <row r="5941" spans="1:6" x14ac:dyDescent="0.3">
      <c r="A5941" t="s">
        <v>2974</v>
      </c>
      <c r="F5941" t="str">
        <f t="shared" ref="F5941" si="5933">A5941</f>
        <v>GTGCCT</v>
      </c>
    </row>
    <row r="5942" spans="1:6" x14ac:dyDescent="0.3">
      <c r="A5942" t="s">
        <v>7071</v>
      </c>
      <c r="F5942" t="str">
        <f t="shared" ref="F5942" si="5934">LEFT(A5942, LEN(A5942) - 1)</f>
        <v>&gt;2969:GTGCGA:20.00:66.67:Warning:6:1832.25</v>
      </c>
    </row>
    <row r="5943" spans="1:6" x14ac:dyDescent="0.3">
      <c r="A5943" t="s">
        <v>2975</v>
      </c>
      <c r="F5943" t="str">
        <f t="shared" ref="F5943" si="5935">A5943</f>
        <v>GTGCGA</v>
      </c>
    </row>
    <row r="5944" spans="1:6" x14ac:dyDescent="0.3">
      <c r="A5944" t="s">
        <v>7072</v>
      </c>
      <c r="F5944" t="str">
        <f t="shared" ref="F5944" si="5936">LEFT(A5944, LEN(A5944) - 1)</f>
        <v>&gt;2970:GTGCGC:18.00:83.33:Warning:6:1808.22</v>
      </c>
    </row>
    <row r="5945" spans="1:6" x14ac:dyDescent="0.3">
      <c r="A5945" t="s">
        <v>2976</v>
      </c>
      <c r="F5945" t="str">
        <f t="shared" ref="F5945" si="5937">A5945</f>
        <v>GTGCGC</v>
      </c>
    </row>
    <row r="5946" spans="1:6" x14ac:dyDescent="0.3">
      <c r="A5946" t="s">
        <v>7073</v>
      </c>
      <c r="F5946" t="str">
        <f t="shared" ref="F5946" si="5938">LEFT(A5946, LEN(A5946) - 1)</f>
        <v>&gt;2971:GTGCGG:18.00:83.33:Warning:6:1848.25</v>
      </c>
    </row>
    <row r="5947" spans="1:6" x14ac:dyDescent="0.3">
      <c r="A5947" t="s">
        <v>2977</v>
      </c>
      <c r="F5947" t="str">
        <f t="shared" ref="F5947" si="5939">A5947</f>
        <v>GTGCGG</v>
      </c>
    </row>
    <row r="5948" spans="1:6" x14ac:dyDescent="0.3">
      <c r="A5948" t="s">
        <v>7074</v>
      </c>
      <c r="F5948" t="str">
        <f t="shared" ref="F5948" si="5940">LEFT(A5948, LEN(A5948) - 1)</f>
        <v>&gt;2972:GTGCGT:12.00:66.67:Warning:6:1823.23</v>
      </c>
    </row>
    <row r="5949" spans="1:6" x14ac:dyDescent="0.3">
      <c r="A5949" t="s">
        <v>2978</v>
      </c>
      <c r="F5949" t="str">
        <f t="shared" ref="F5949" si="5941">A5949</f>
        <v>GTGCGT</v>
      </c>
    </row>
    <row r="5950" spans="1:6" x14ac:dyDescent="0.3">
      <c r="A5950" t="s">
        <v>7075</v>
      </c>
      <c r="F5950" t="str">
        <f t="shared" ref="F5950" si="5942">LEFT(A5950, LEN(A5950) - 1)</f>
        <v>&gt;2973:GTGCTA:14.00:50.00:OK:6:1807.23</v>
      </c>
    </row>
    <row r="5951" spans="1:6" x14ac:dyDescent="0.3">
      <c r="A5951" t="s">
        <v>2979</v>
      </c>
      <c r="F5951" t="str">
        <f t="shared" ref="F5951" si="5943">A5951</f>
        <v>GTGCTA</v>
      </c>
    </row>
    <row r="5952" spans="1:6" x14ac:dyDescent="0.3">
      <c r="A5952" t="s">
        <v>7076</v>
      </c>
      <c r="F5952" t="str">
        <f t="shared" ref="F5952" si="5944">LEFT(A5952, LEN(A5952) - 1)</f>
        <v>&gt;2974:GTGCTC:12.00:66.67:Warning:6:1783.20</v>
      </c>
    </row>
    <row r="5953" spans="1:6" x14ac:dyDescent="0.3">
      <c r="A5953" t="s">
        <v>2980</v>
      </c>
      <c r="F5953" t="str">
        <f t="shared" ref="F5953" si="5945">A5953</f>
        <v>GTGCTC</v>
      </c>
    </row>
    <row r="5954" spans="1:6" x14ac:dyDescent="0.3">
      <c r="A5954" t="s">
        <v>7077</v>
      </c>
      <c r="F5954" t="str">
        <f t="shared" ref="F5954" si="5946">LEFT(A5954, LEN(A5954) - 1)</f>
        <v>&gt;2975:GTGCTG:12.00:66.67:Warning:6:1823.23</v>
      </c>
    </row>
    <row r="5955" spans="1:6" x14ac:dyDescent="0.3">
      <c r="A5955" t="s">
        <v>2981</v>
      </c>
      <c r="F5955" t="str">
        <f t="shared" ref="F5955" si="5947">A5955</f>
        <v>GTGCTG</v>
      </c>
    </row>
    <row r="5956" spans="1:6" x14ac:dyDescent="0.3">
      <c r="A5956" t="s">
        <v>7078</v>
      </c>
      <c r="F5956" t="str">
        <f t="shared" ref="F5956" si="5948">LEFT(A5956, LEN(A5956) - 1)</f>
        <v>&gt;2976:GTGCTT:6.00:50.00:OK:6:1798.21</v>
      </c>
    </row>
    <row r="5957" spans="1:6" x14ac:dyDescent="0.3">
      <c r="A5957" t="s">
        <v>2982</v>
      </c>
      <c r="F5957" t="str">
        <f t="shared" ref="F5957" si="5949">A5957</f>
        <v>GTGCTT</v>
      </c>
    </row>
    <row r="5958" spans="1:6" x14ac:dyDescent="0.3">
      <c r="A5958" t="s">
        <v>7079</v>
      </c>
      <c r="F5958" t="str">
        <f t="shared" ref="F5958" si="5950">LEFT(A5958, LEN(A5958) - 1)</f>
        <v>&gt;2977:GTGGAA:22.00:50.00:OK:6:1856.28</v>
      </c>
    </row>
    <row r="5959" spans="1:6" x14ac:dyDescent="0.3">
      <c r="A5959" t="s">
        <v>2983</v>
      </c>
      <c r="F5959" t="str">
        <f t="shared" ref="F5959" si="5951">A5959</f>
        <v>GTGGAA</v>
      </c>
    </row>
    <row r="5960" spans="1:6" x14ac:dyDescent="0.3">
      <c r="A5960" t="s">
        <v>7080</v>
      </c>
      <c r="F5960" t="str">
        <f t="shared" ref="F5960" si="5952">LEFT(A5960, LEN(A5960) - 1)</f>
        <v>&gt;2978:GTGGAC:20.00:66.67:Warning:6:1832.25</v>
      </c>
    </row>
    <row r="5961" spans="1:6" x14ac:dyDescent="0.3">
      <c r="A5961" t="s">
        <v>2984</v>
      </c>
      <c r="F5961" t="str">
        <f t="shared" ref="F5961" si="5953">A5961</f>
        <v>GTGGAC</v>
      </c>
    </row>
    <row r="5962" spans="1:6" x14ac:dyDescent="0.3">
      <c r="A5962" t="s">
        <v>7081</v>
      </c>
      <c r="F5962" t="str">
        <f t="shared" ref="F5962" si="5954">LEFT(A5962, LEN(A5962) - 1)</f>
        <v>&gt;2979:GTGGAG:20.00:66.67:Warning:6:1872.28</v>
      </c>
    </row>
    <row r="5963" spans="1:6" x14ac:dyDescent="0.3">
      <c r="A5963" t="s">
        <v>2985</v>
      </c>
      <c r="F5963" t="str">
        <f t="shared" ref="F5963" si="5955">A5963</f>
        <v>GTGGAG</v>
      </c>
    </row>
    <row r="5964" spans="1:6" x14ac:dyDescent="0.3">
      <c r="A5964" t="s">
        <v>7082</v>
      </c>
      <c r="F5964" t="str">
        <f t="shared" ref="F5964" si="5956">LEFT(A5964, LEN(A5964) - 1)</f>
        <v>&gt;2980:GTGGAT:14.00:50.00:OK:6:1847.26</v>
      </c>
    </row>
    <row r="5965" spans="1:6" x14ac:dyDescent="0.3">
      <c r="A5965" t="s">
        <v>2986</v>
      </c>
      <c r="F5965" t="str">
        <f t="shared" ref="F5965" si="5957">A5965</f>
        <v>GTGGAT</v>
      </c>
    </row>
    <row r="5966" spans="1:6" x14ac:dyDescent="0.3">
      <c r="A5966" t="s">
        <v>7083</v>
      </c>
      <c r="F5966" t="str">
        <f t="shared" ref="F5966" si="5958">LEFT(A5966, LEN(A5966) - 1)</f>
        <v>&gt;2981:GTGGCA:20.00:66.67:Warning:6:1832.25</v>
      </c>
    </row>
    <row r="5967" spans="1:6" x14ac:dyDescent="0.3">
      <c r="A5967" t="s">
        <v>2987</v>
      </c>
      <c r="F5967" t="str">
        <f t="shared" ref="F5967" si="5959">A5967</f>
        <v>GTGGCA</v>
      </c>
    </row>
    <row r="5968" spans="1:6" x14ac:dyDescent="0.3">
      <c r="A5968" t="s">
        <v>7084</v>
      </c>
      <c r="F5968" t="str">
        <f t="shared" ref="F5968" si="5960">LEFT(A5968, LEN(A5968) - 1)</f>
        <v>&gt;2982:GTGGCC:18.00:83.33:Warning:6:1808.22</v>
      </c>
    </row>
    <row r="5969" spans="1:6" x14ac:dyDescent="0.3">
      <c r="A5969" t="s">
        <v>2988</v>
      </c>
      <c r="F5969" t="str">
        <f t="shared" ref="F5969" si="5961">A5969</f>
        <v>GTGGCC</v>
      </c>
    </row>
    <row r="5970" spans="1:6" x14ac:dyDescent="0.3">
      <c r="A5970" t="s">
        <v>7085</v>
      </c>
      <c r="F5970" t="str">
        <f t="shared" ref="F5970" si="5962">LEFT(A5970, LEN(A5970) - 1)</f>
        <v>&gt;2983:GTGGCG:18.00:83.33:Warning:6:1848.25</v>
      </c>
    </row>
    <row r="5971" spans="1:6" x14ac:dyDescent="0.3">
      <c r="A5971" t="s">
        <v>2989</v>
      </c>
      <c r="F5971" t="str">
        <f t="shared" ref="F5971" si="5963">A5971</f>
        <v>GTGGCG</v>
      </c>
    </row>
    <row r="5972" spans="1:6" x14ac:dyDescent="0.3">
      <c r="A5972" t="s">
        <v>7086</v>
      </c>
      <c r="F5972" t="str">
        <f t="shared" ref="F5972" si="5964">LEFT(A5972, LEN(A5972) - 1)</f>
        <v>&gt;2984:GTGGCT:12.00:66.67:Warning:6:1823.23</v>
      </c>
    </row>
    <row r="5973" spans="1:6" x14ac:dyDescent="0.3">
      <c r="A5973" t="s">
        <v>2990</v>
      </c>
      <c r="F5973" t="str">
        <f t="shared" ref="F5973" si="5965">A5973</f>
        <v>GTGGCT</v>
      </c>
    </row>
    <row r="5974" spans="1:6" x14ac:dyDescent="0.3">
      <c r="A5974" t="s">
        <v>7087</v>
      </c>
      <c r="F5974" t="str">
        <f t="shared" ref="F5974" si="5966">LEFT(A5974, LEN(A5974) - 1)</f>
        <v>&gt;2985:GTGGGA:20.00:66.67:Warning:6:1872.28</v>
      </c>
    </row>
    <row r="5975" spans="1:6" x14ac:dyDescent="0.3">
      <c r="A5975" t="s">
        <v>2991</v>
      </c>
      <c r="F5975" t="str">
        <f t="shared" ref="F5975" si="5967">A5975</f>
        <v>GTGGGA</v>
      </c>
    </row>
    <row r="5976" spans="1:6" x14ac:dyDescent="0.3">
      <c r="A5976" t="s">
        <v>7088</v>
      </c>
      <c r="F5976" t="str">
        <f t="shared" ref="F5976" si="5968">LEFT(A5976, LEN(A5976) - 1)</f>
        <v>&gt;2986:GTGGGC:18.00:83.33:Warning:6:1848.25</v>
      </c>
    </row>
    <row r="5977" spans="1:6" x14ac:dyDescent="0.3">
      <c r="A5977" t="s">
        <v>2992</v>
      </c>
      <c r="F5977" t="str">
        <f t="shared" ref="F5977" si="5969">A5977</f>
        <v>GTGGGC</v>
      </c>
    </row>
    <row r="5978" spans="1:6" x14ac:dyDescent="0.3">
      <c r="A5978" t="s">
        <v>7089</v>
      </c>
      <c r="F5978" t="str">
        <f t="shared" ref="F5978" si="5970">LEFT(A5978, LEN(A5978) - 1)</f>
        <v>&gt;2987:GTGGGG:18.00:83.33:Warning:6:1888.28</v>
      </c>
    </row>
    <row r="5979" spans="1:6" x14ac:dyDescent="0.3">
      <c r="A5979" t="s">
        <v>2993</v>
      </c>
      <c r="F5979" t="str">
        <f t="shared" ref="F5979" si="5971">A5979</f>
        <v>GTGGGG</v>
      </c>
    </row>
    <row r="5980" spans="1:6" x14ac:dyDescent="0.3">
      <c r="A5980" t="s">
        <v>7090</v>
      </c>
      <c r="F5980" t="str">
        <f t="shared" ref="F5980" si="5972">LEFT(A5980, LEN(A5980) - 1)</f>
        <v>&gt;2988:GTGGGT:12.00:66.67:Warning:6:1863.26</v>
      </c>
    </row>
    <row r="5981" spans="1:6" x14ac:dyDescent="0.3">
      <c r="A5981" t="s">
        <v>2994</v>
      </c>
      <c r="F5981" t="str">
        <f t="shared" ref="F5981" si="5973">A5981</f>
        <v>GTGGGT</v>
      </c>
    </row>
    <row r="5982" spans="1:6" x14ac:dyDescent="0.3">
      <c r="A5982" t="s">
        <v>7091</v>
      </c>
      <c r="F5982" t="str">
        <f t="shared" ref="F5982" si="5974">LEFT(A5982, LEN(A5982) - 1)</f>
        <v>&gt;2989:GTGGTA:14.00:50.00:OK:6:1847.26</v>
      </c>
    </row>
    <row r="5983" spans="1:6" x14ac:dyDescent="0.3">
      <c r="A5983" t="s">
        <v>2995</v>
      </c>
      <c r="F5983" t="str">
        <f t="shared" ref="F5983" si="5975">A5983</f>
        <v>GTGGTA</v>
      </c>
    </row>
    <row r="5984" spans="1:6" x14ac:dyDescent="0.3">
      <c r="A5984" t="s">
        <v>7092</v>
      </c>
      <c r="F5984" t="str">
        <f t="shared" ref="F5984" si="5976">LEFT(A5984, LEN(A5984) - 1)</f>
        <v>&gt;2990:GTGGTC:12.00:66.67:Warning:6:1823.23</v>
      </c>
    </row>
    <row r="5985" spans="1:6" x14ac:dyDescent="0.3">
      <c r="A5985" t="s">
        <v>2996</v>
      </c>
      <c r="F5985" t="str">
        <f t="shared" ref="F5985" si="5977">A5985</f>
        <v>GTGGTC</v>
      </c>
    </row>
    <row r="5986" spans="1:6" x14ac:dyDescent="0.3">
      <c r="A5986" t="s">
        <v>7093</v>
      </c>
      <c r="F5986" t="str">
        <f t="shared" ref="F5986" si="5978">LEFT(A5986, LEN(A5986) - 1)</f>
        <v>&gt;2991:GTGGTG:12.00:66.67:Warning:6:1863.26</v>
      </c>
    </row>
    <row r="5987" spans="1:6" x14ac:dyDescent="0.3">
      <c r="A5987" t="s">
        <v>2997</v>
      </c>
      <c r="F5987" t="str">
        <f t="shared" ref="F5987" si="5979">A5987</f>
        <v>GTGGTG</v>
      </c>
    </row>
    <row r="5988" spans="1:6" x14ac:dyDescent="0.3">
      <c r="A5988" t="s">
        <v>7094</v>
      </c>
      <c r="F5988" t="str">
        <f t="shared" ref="F5988" si="5980">LEFT(A5988, LEN(A5988) - 1)</f>
        <v>&gt;2992:GTGGTT:6.00:50.00:OK:6:1838.24</v>
      </c>
    </row>
    <row r="5989" spans="1:6" x14ac:dyDescent="0.3">
      <c r="A5989" t="s">
        <v>2998</v>
      </c>
      <c r="F5989" t="str">
        <f t="shared" ref="F5989" si="5981">A5989</f>
        <v>GTGGTT</v>
      </c>
    </row>
    <row r="5990" spans="1:6" x14ac:dyDescent="0.3">
      <c r="A5990" t="s">
        <v>7095</v>
      </c>
      <c r="F5990" t="str">
        <f t="shared" ref="F5990" si="5982">LEFT(A5990, LEN(A5990) - 1)</f>
        <v>&gt;2993:GTGTAA:16.00:33.33:OK:6:1831.26</v>
      </c>
    </row>
    <row r="5991" spans="1:6" x14ac:dyDescent="0.3">
      <c r="A5991" t="s">
        <v>2999</v>
      </c>
      <c r="F5991" t="str">
        <f t="shared" ref="F5991" si="5983">A5991</f>
        <v>GTGTAA</v>
      </c>
    </row>
    <row r="5992" spans="1:6" x14ac:dyDescent="0.3">
      <c r="A5992" t="s">
        <v>7096</v>
      </c>
      <c r="F5992" t="str">
        <f t="shared" ref="F5992" si="5984">LEFT(A5992, LEN(A5992) - 1)</f>
        <v>&gt;2994:GTGTAC:14.00:50.00:OK:6:1807.23</v>
      </c>
    </row>
    <row r="5993" spans="1:6" x14ac:dyDescent="0.3">
      <c r="A5993" t="s">
        <v>3000</v>
      </c>
      <c r="F5993" t="str">
        <f t="shared" ref="F5993" si="5985">A5993</f>
        <v>GTGTAC</v>
      </c>
    </row>
    <row r="5994" spans="1:6" x14ac:dyDescent="0.3">
      <c r="A5994" t="s">
        <v>7097</v>
      </c>
      <c r="F5994" t="str">
        <f t="shared" ref="F5994" si="5986">LEFT(A5994, LEN(A5994) - 1)</f>
        <v>&gt;2995:GTGTAG:14.00:50.00:OK:6:1847.26</v>
      </c>
    </row>
    <row r="5995" spans="1:6" x14ac:dyDescent="0.3">
      <c r="A5995" t="s">
        <v>3001</v>
      </c>
      <c r="F5995" t="str">
        <f t="shared" ref="F5995" si="5987">A5995</f>
        <v>GTGTAG</v>
      </c>
    </row>
    <row r="5996" spans="1:6" x14ac:dyDescent="0.3">
      <c r="A5996" t="s">
        <v>7098</v>
      </c>
      <c r="F5996" t="str">
        <f t="shared" ref="F5996" si="5988">LEFT(A5996, LEN(A5996) - 1)</f>
        <v>&gt;2996:GTGTAT:8.00:33.33:OK:6:1822.24</v>
      </c>
    </row>
    <row r="5997" spans="1:6" x14ac:dyDescent="0.3">
      <c r="A5997" t="s">
        <v>3002</v>
      </c>
      <c r="F5997" t="str">
        <f t="shared" ref="F5997" si="5989">A5997</f>
        <v>GTGTAT</v>
      </c>
    </row>
    <row r="5998" spans="1:6" x14ac:dyDescent="0.3">
      <c r="A5998" t="s">
        <v>7099</v>
      </c>
      <c r="F5998" t="str">
        <f t="shared" ref="F5998" si="5990">LEFT(A5998, LEN(A5998) - 1)</f>
        <v>&gt;2997:GTGTCA:14.00:50.00:OK:6:1807.23</v>
      </c>
    </row>
    <row r="5999" spans="1:6" x14ac:dyDescent="0.3">
      <c r="A5999" t="s">
        <v>3003</v>
      </c>
      <c r="F5999" t="str">
        <f t="shared" ref="F5999" si="5991">A5999</f>
        <v>GTGTCA</v>
      </c>
    </row>
    <row r="6000" spans="1:6" x14ac:dyDescent="0.3">
      <c r="A6000" t="s">
        <v>7100</v>
      </c>
      <c r="F6000" t="str">
        <f t="shared" ref="F6000" si="5992">LEFT(A6000, LEN(A6000) - 1)</f>
        <v>&gt;2998:GTGTCC:12.00:66.67:Warning:6:1783.20</v>
      </c>
    </row>
    <row r="6001" spans="1:6" x14ac:dyDescent="0.3">
      <c r="A6001" t="s">
        <v>3004</v>
      </c>
      <c r="F6001" t="str">
        <f t="shared" ref="F6001" si="5993">A6001</f>
        <v>GTGTCC</v>
      </c>
    </row>
    <row r="6002" spans="1:6" x14ac:dyDescent="0.3">
      <c r="A6002" t="s">
        <v>7101</v>
      </c>
      <c r="F6002" t="str">
        <f t="shared" ref="F6002" si="5994">LEFT(A6002, LEN(A6002) - 1)</f>
        <v>&gt;2999:GTGTCG:12.00:66.67:Warning:6:1823.23</v>
      </c>
    </row>
    <row r="6003" spans="1:6" x14ac:dyDescent="0.3">
      <c r="A6003" t="s">
        <v>3005</v>
      </c>
      <c r="F6003" t="str">
        <f t="shared" ref="F6003" si="5995">A6003</f>
        <v>GTGTCG</v>
      </c>
    </row>
    <row r="6004" spans="1:6" x14ac:dyDescent="0.3">
      <c r="A6004" t="s">
        <v>7102</v>
      </c>
      <c r="F6004" t="str">
        <f t="shared" ref="F6004" si="5996">LEFT(A6004, LEN(A6004) - 1)</f>
        <v>&gt;3000:GTGTCT:6.00:50.00:OK:6:1798.21</v>
      </c>
    </row>
    <row r="6005" spans="1:6" x14ac:dyDescent="0.3">
      <c r="A6005" t="s">
        <v>3006</v>
      </c>
      <c r="F6005" t="str">
        <f t="shared" ref="F6005" si="5997">A6005</f>
        <v>GTGTCT</v>
      </c>
    </row>
    <row r="6006" spans="1:6" x14ac:dyDescent="0.3">
      <c r="A6006" t="s">
        <v>7103</v>
      </c>
      <c r="F6006" t="str">
        <f t="shared" ref="F6006" si="5998">LEFT(A6006, LEN(A6006) - 1)</f>
        <v>&gt;3001:GTGTGA:14.00:50.00:OK:6:1847.26</v>
      </c>
    </row>
    <row r="6007" spans="1:6" x14ac:dyDescent="0.3">
      <c r="A6007" t="s">
        <v>3007</v>
      </c>
      <c r="F6007" t="str">
        <f t="shared" ref="F6007" si="5999">A6007</f>
        <v>GTGTGA</v>
      </c>
    </row>
    <row r="6008" spans="1:6" x14ac:dyDescent="0.3">
      <c r="A6008" t="s">
        <v>7104</v>
      </c>
      <c r="F6008" t="str">
        <f t="shared" ref="F6008" si="6000">LEFT(A6008, LEN(A6008) - 1)</f>
        <v>&gt;3002:GTGTGC:12.00:66.67:Warning:6:1823.23</v>
      </c>
    </row>
    <row r="6009" spans="1:6" x14ac:dyDescent="0.3">
      <c r="A6009" t="s">
        <v>3008</v>
      </c>
      <c r="F6009" t="str">
        <f t="shared" ref="F6009" si="6001">A6009</f>
        <v>GTGTGC</v>
      </c>
    </row>
    <row r="6010" spans="1:6" x14ac:dyDescent="0.3">
      <c r="A6010" t="s">
        <v>7105</v>
      </c>
      <c r="F6010" t="str">
        <f t="shared" ref="F6010" si="6002">LEFT(A6010, LEN(A6010) - 1)</f>
        <v>&gt;3003:GTGTGG:12.00:66.67:Warning:6:1863.26</v>
      </c>
    </row>
    <row r="6011" spans="1:6" x14ac:dyDescent="0.3">
      <c r="A6011" t="s">
        <v>3009</v>
      </c>
      <c r="F6011" t="str">
        <f t="shared" ref="F6011" si="6003">A6011</f>
        <v>GTGTGG</v>
      </c>
    </row>
    <row r="6012" spans="1:6" x14ac:dyDescent="0.3">
      <c r="A6012" t="s">
        <v>7106</v>
      </c>
      <c r="F6012" t="str">
        <f t="shared" ref="F6012" si="6004">LEFT(A6012, LEN(A6012) - 1)</f>
        <v>&gt;3004:GTGTGT:6.00:50.00:OK:6:1838.24</v>
      </c>
    </row>
    <row r="6013" spans="1:6" x14ac:dyDescent="0.3">
      <c r="A6013" t="s">
        <v>3010</v>
      </c>
      <c r="F6013" t="str">
        <f t="shared" ref="F6013" si="6005">A6013</f>
        <v>GTGTGT</v>
      </c>
    </row>
    <row r="6014" spans="1:6" x14ac:dyDescent="0.3">
      <c r="A6014" t="s">
        <v>7107</v>
      </c>
      <c r="F6014" t="str">
        <f t="shared" ref="F6014" si="6006">LEFT(A6014, LEN(A6014) - 1)</f>
        <v>&gt;3005:GTGTTA:8.00:33.33:OK:6:1822.24</v>
      </c>
    </row>
    <row r="6015" spans="1:6" x14ac:dyDescent="0.3">
      <c r="A6015" t="s">
        <v>3011</v>
      </c>
      <c r="F6015" t="str">
        <f t="shared" ref="F6015" si="6007">A6015</f>
        <v>GTGTTA</v>
      </c>
    </row>
    <row r="6016" spans="1:6" x14ac:dyDescent="0.3">
      <c r="A6016" t="s">
        <v>7108</v>
      </c>
      <c r="F6016" t="str">
        <f t="shared" ref="F6016" si="6008">LEFT(A6016, LEN(A6016) - 1)</f>
        <v>&gt;3006:GTGTTC:6.00:50.00:OK:6:1798.21</v>
      </c>
    </row>
    <row r="6017" spans="1:6" x14ac:dyDescent="0.3">
      <c r="A6017" t="s">
        <v>3012</v>
      </c>
      <c r="F6017" t="str">
        <f t="shared" ref="F6017" si="6009">A6017</f>
        <v>GTGTTC</v>
      </c>
    </row>
    <row r="6018" spans="1:6" x14ac:dyDescent="0.3">
      <c r="A6018" t="s">
        <v>7109</v>
      </c>
      <c r="F6018" t="str">
        <f t="shared" ref="F6018" si="6010">LEFT(A6018, LEN(A6018) - 1)</f>
        <v>&gt;3007:GTGTTG:6.00:50.00:OK:6:1838.24</v>
      </c>
    </row>
    <row r="6019" spans="1:6" x14ac:dyDescent="0.3">
      <c r="A6019" t="s">
        <v>3013</v>
      </c>
      <c r="F6019" t="str">
        <f t="shared" ref="F6019" si="6011">A6019</f>
        <v>GTGTTG</v>
      </c>
    </row>
    <row r="6020" spans="1:6" x14ac:dyDescent="0.3">
      <c r="A6020" t="s">
        <v>7110</v>
      </c>
      <c r="F6020" t="str">
        <f t="shared" ref="F6020" si="6012">LEFT(A6020, LEN(A6020) - 1)</f>
        <v>&gt;3008:GTGTTT:0.00:33.33:OK:6:1813.22</v>
      </c>
    </row>
    <row r="6021" spans="1:6" x14ac:dyDescent="0.3">
      <c r="A6021" t="s">
        <v>3014</v>
      </c>
      <c r="F6021" t="str">
        <f t="shared" ref="F6021" si="6013">A6021</f>
        <v>GTGTTT</v>
      </c>
    </row>
    <row r="6022" spans="1:6" x14ac:dyDescent="0.3">
      <c r="A6022" t="s">
        <v>7111</v>
      </c>
      <c r="F6022" t="str">
        <f t="shared" ref="F6022" si="6014">LEFT(A6022, LEN(A6022) - 1)</f>
        <v>&gt;3009:GTTAAA:18.00:16.67:OK:6:1815.26</v>
      </c>
    </row>
    <row r="6023" spans="1:6" x14ac:dyDescent="0.3">
      <c r="A6023" t="s">
        <v>3015</v>
      </c>
      <c r="F6023" t="str">
        <f t="shared" ref="F6023" si="6015">A6023</f>
        <v>GTTAAA</v>
      </c>
    </row>
    <row r="6024" spans="1:6" x14ac:dyDescent="0.3">
      <c r="A6024" t="s">
        <v>7112</v>
      </c>
      <c r="F6024" t="str">
        <f t="shared" ref="F6024" si="6016">LEFT(A6024, LEN(A6024) - 1)</f>
        <v>&gt;3010:GTTAAC:16.00:33.33:OK:6:1791.23</v>
      </c>
    </row>
    <row r="6025" spans="1:6" x14ac:dyDescent="0.3">
      <c r="A6025" t="s">
        <v>3016</v>
      </c>
      <c r="F6025" t="str">
        <f t="shared" ref="F6025" si="6017">A6025</f>
        <v>GTTAAC</v>
      </c>
    </row>
    <row r="6026" spans="1:6" x14ac:dyDescent="0.3">
      <c r="A6026" t="s">
        <v>7113</v>
      </c>
      <c r="F6026" t="str">
        <f t="shared" ref="F6026" si="6018">LEFT(A6026, LEN(A6026) - 1)</f>
        <v>&gt;3011:GTTAAG:16.00:33.33:OK:6:1831.26</v>
      </c>
    </row>
    <row r="6027" spans="1:6" x14ac:dyDescent="0.3">
      <c r="A6027" t="s">
        <v>3017</v>
      </c>
      <c r="F6027" t="str">
        <f t="shared" ref="F6027" si="6019">A6027</f>
        <v>GTTAAG</v>
      </c>
    </row>
    <row r="6028" spans="1:6" x14ac:dyDescent="0.3">
      <c r="A6028" t="s">
        <v>7114</v>
      </c>
      <c r="F6028" t="str">
        <f t="shared" ref="F6028" si="6020">LEFT(A6028, LEN(A6028) - 1)</f>
        <v>&gt;3012:GTTAAT:10.00:16.67:OK:6:1806.24</v>
      </c>
    </row>
    <row r="6029" spans="1:6" x14ac:dyDescent="0.3">
      <c r="A6029" t="s">
        <v>3018</v>
      </c>
      <c r="F6029" t="str">
        <f t="shared" ref="F6029" si="6021">A6029</f>
        <v>GTTAAT</v>
      </c>
    </row>
    <row r="6030" spans="1:6" x14ac:dyDescent="0.3">
      <c r="A6030" t="s">
        <v>7115</v>
      </c>
      <c r="F6030" t="str">
        <f t="shared" ref="F6030" si="6022">LEFT(A6030, LEN(A6030) - 1)</f>
        <v>&gt;3013:GTTACA:16.00:33.33:OK:6:1791.23</v>
      </c>
    </row>
    <row r="6031" spans="1:6" x14ac:dyDescent="0.3">
      <c r="A6031" t="s">
        <v>3019</v>
      </c>
      <c r="F6031" t="str">
        <f t="shared" ref="F6031" si="6023">A6031</f>
        <v>GTTACA</v>
      </c>
    </row>
    <row r="6032" spans="1:6" x14ac:dyDescent="0.3">
      <c r="A6032" t="s">
        <v>7116</v>
      </c>
      <c r="F6032" t="str">
        <f t="shared" ref="F6032" si="6024">LEFT(A6032, LEN(A6032) - 1)</f>
        <v>&gt;3014:GTTACC:14.00:50.00:OK:6:1767.20</v>
      </c>
    </row>
    <row r="6033" spans="1:6" x14ac:dyDescent="0.3">
      <c r="A6033" t="s">
        <v>3020</v>
      </c>
      <c r="F6033" t="str">
        <f t="shared" ref="F6033" si="6025">A6033</f>
        <v>GTTACC</v>
      </c>
    </row>
    <row r="6034" spans="1:6" x14ac:dyDescent="0.3">
      <c r="A6034" t="s">
        <v>7117</v>
      </c>
      <c r="F6034" t="str">
        <f t="shared" ref="F6034" si="6026">LEFT(A6034, LEN(A6034) - 1)</f>
        <v>&gt;3015:GTTACG:14.00:50.00:OK:6:1807.23</v>
      </c>
    </row>
    <row r="6035" spans="1:6" x14ac:dyDescent="0.3">
      <c r="A6035" t="s">
        <v>3021</v>
      </c>
      <c r="F6035" t="str">
        <f t="shared" ref="F6035" si="6027">A6035</f>
        <v>GTTACG</v>
      </c>
    </row>
    <row r="6036" spans="1:6" x14ac:dyDescent="0.3">
      <c r="A6036" t="s">
        <v>7118</v>
      </c>
      <c r="F6036" t="str">
        <f t="shared" ref="F6036" si="6028">LEFT(A6036, LEN(A6036) - 1)</f>
        <v>&gt;3016:GTTACT:8.00:33.33:OK:6:1782.21</v>
      </c>
    </row>
    <row r="6037" spans="1:6" x14ac:dyDescent="0.3">
      <c r="A6037" t="s">
        <v>3022</v>
      </c>
      <c r="F6037" t="str">
        <f t="shared" ref="F6037" si="6029">A6037</f>
        <v>GTTACT</v>
      </c>
    </row>
    <row r="6038" spans="1:6" x14ac:dyDescent="0.3">
      <c r="A6038" t="s">
        <v>7119</v>
      </c>
      <c r="F6038" t="str">
        <f t="shared" ref="F6038" si="6030">LEFT(A6038, LEN(A6038) - 1)</f>
        <v>&gt;3017:GTTAGA:16.00:33.33:OK:6:1831.26</v>
      </c>
    </row>
    <row r="6039" spans="1:6" x14ac:dyDescent="0.3">
      <c r="A6039" t="s">
        <v>3023</v>
      </c>
      <c r="F6039" t="str">
        <f t="shared" ref="F6039" si="6031">A6039</f>
        <v>GTTAGA</v>
      </c>
    </row>
    <row r="6040" spans="1:6" x14ac:dyDescent="0.3">
      <c r="A6040" t="s">
        <v>7120</v>
      </c>
      <c r="F6040" t="str">
        <f t="shared" ref="F6040" si="6032">LEFT(A6040, LEN(A6040) - 1)</f>
        <v>&gt;3018:GTTAGC:14.00:50.00:OK:6:1807.23</v>
      </c>
    </row>
    <row r="6041" spans="1:6" x14ac:dyDescent="0.3">
      <c r="A6041" t="s">
        <v>3024</v>
      </c>
      <c r="F6041" t="str">
        <f t="shared" ref="F6041" si="6033">A6041</f>
        <v>GTTAGC</v>
      </c>
    </row>
    <row r="6042" spans="1:6" x14ac:dyDescent="0.3">
      <c r="A6042" t="s">
        <v>7121</v>
      </c>
      <c r="F6042" t="str">
        <f t="shared" ref="F6042" si="6034">LEFT(A6042, LEN(A6042) - 1)</f>
        <v>&gt;3019:GTTAGG:14.00:50.00:OK:6:1847.26</v>
      </c>
    </row>
    <row r="6043" spans="1:6" x14ac:dyDescent="0.3">
      <c r="A6043" t="s">
        <v>3025</v>
      </c>
      <c r="F6043" t="str">
        <f t="shared" ref="F6043" si="6035">A6043</f>
        <v>GTTAGG</v>
      </c>
    </row>
    <row r="6044" spans="1:6" x14ac:dyDescent="0.3">
      <c r="A6044" t="s">
        <v>7122</v>
      </c>
      <c r="F6044" t="str">
        <f t="shared" ref="F6044" si="6036">LEFT(A6044, LEN(A6044) - 1)</f>
        <v>&gt;3020:GTTAGT:8.00:33.33:OK:6:1822.24</v>
      </c>
    </row>
    <row r="6045" spans="1:6" x14ac:dyDescent="0.3">
      <c r="A6045" t="s">
        <v>3026</v>
      </c>
      <c r="F6045" t="str">
        <f t="shared" ref="F6045" si="6037">A6045</f>
        <v>GTTAGT</v>
      </c>
    </row>
    <row r="6046" spans="1:6" x14ac:dyDescent="0.3">
      <c r="A6046" t="s">
        <v>7123</v>
      </c>
      <c r="F6046" t="str">
        <f t="shared" ref="F6046" si="6038">LEFT(A6046, LEN(A6046) - 1)</f>
        <v>&gt;3021:GTTATA:10.00:16.67:OK:6:1806.24</v>
      </c>
    </row>
    <row r="6047" spans="1:6" x14ac:dyDescent="0.3">
      <c r="A6047" t="s">
        <v>3027</v>
      </c>
      <c r="F6047" t="str">
        <f t="shared" ref="F6047" si="6039">A6047</f>
        <v>GTTATA</v>
      </c>
    </row>
    <row r="6048" spans="1:6" x14ac:dyDescent="0.3">
      <c r="A6048" t="s">
        <v>7124</v>
      </c>
      <c r="F6048" t="str">
        <f t="shared" ref="F6048" si="6040">LEFT(A6048, LEN(A6048) - 1)</f>
        <v>&gt;3022:GTTATC:8.00:33.33:OK:6:1782.21</v>
      </c>
    </row>
    <row r="6049" spans="1:6" x14ac:dyDescent="0.3">
      <c r="A6049" t="s">
        <v>3028</v>
      </c>
      <c r="F6049" t="str">
        <f t="shared" ref="F6049" si="6041">A6049</f>
        <v>GTTATC</v>
      </c>
    </row>
    <row r="6050" spans="1:6" x14ac:dyDescent="0.3">
      <c r="A6050" t="s">
        <v>7125</v>
      </c>
      <c r="F6050" t="str">
        <f t="shared" ref="F6050" si="6042">LEFT(A6050, LEN(A6050) - 1)</f>
        <v>&gt;3023:GTTATG:8.00:33.33:OK:6:1822.24</v>
      </c>
    </row>
    <row r="6051" spans="1:6" x14ac:dyDescent="0.3">
      <c r="A6051" t="s">
        <v>3029</v>
      </c>
      <c r="F6051" t="str">
        <f t="shared" ref="F6051" si="6043">A6051</f>
        <v>GTTATG</v>
      </c>
    </row>
    <row r="6052" spans="1:6" x14ac:dyDescent="0.3">
      <c r="A6052" t="s">
        <v>7126</v>
      </c>
      <c r="F6052" t="str">
        <f t="shared" ref="F6052" si="6044">LEFT(A6052, LEN(A6052) - 1)</f>
        <v>&gt;3024:GTTATT:2.00:16.67:OK:6:1797.22</v>
      </c>
    </row>
    <row r="6053" spans="1:6" x14ac:dyDescent="0.3">
      <c r="A6053" t="s">
        <v>3030</v>
      </c>
      <c r="F6053" t="str">
        <f t="shared" ref="F6053" si="6045">A6053</f>
        <v>GTTATT</v>
      </c>
    </row>
    <row r="6054" spans="1:6" x14ac:dyDescent="0.3">
      <c r="A6054" t="s">
        <v>7127</v>
      </c>
      <c r="F6054" t="str">
        <f t="shared" ref="F6054" si="6046">LEFT(A6054, LEN(A6054) - 1)</f>
        <v>&gt;3025:GTTCAA:16.00:33.33:OK:6:1791.23</v>
      </c>
    </row>
    <row r="6055" spans="1:6" x14ac:dyDescent="0.3">
      <c r="A6055" t="s">
        <v>3031</v>
      </c>
      <c r="F6055" t="str">
        <f t="shared" ref="F6055" si="6047">A6055</f>
        <v>GTTCAA</v>
      </c>
    </row>
    <row r="6056" spans="1:6" x14ac:dyDescent="0.3">
      <c r="A6056" t="s">
        <v>7128</v>
      </c>
      <c r="F6056" t="str">
        <f t="shared" ref="F6056" si="6048">LEFT(A6056, LEN(A6056) - 1)</f>
        <v>&gt;3026:GTTCAC:14.00:50.00:OK:6:1767.20</v>
      </c>
    </row>
    <row r="6057" spans="1:6" x14ac:dyDescent="0.3">
      <c r="A6057" t="s">
        <v>3032</v>
      </c>
      <c r="F6057" t="str">
        <f t="shared" ref="F6057" si="6049">A6057</f>
        <v>GTTCAC</v>
      </c>
    </row>
    <row r="6058" spans="1:6" x14ac:dyDescent="0.3">
      <c r="A6058" t="s">
        <v>7129</v>
      </c>
      <c r="F6058" t="str">
        <f t="shared" ref="F6058" si="6050">LEFT(A6058, LEN(A6058) - 1)</f>
        <v>&gt;3027:GTTCAG:14.00:50.00:OK:6:1807.23</v>
      </c>
    </row>
    <row r="6059" spans="1:6" x14ac:dyDescent="0.3">
      <c r="A6059" t="s">
        <v>3033</v>
      </c>
      <c r="F6059" t="str">
        <f t="shared" ref="F6059" si="6051">A6059</f>
        <v>GTTCAG</v>
      </c>
    </row>
    <row r="6060" spans="1:6" x14ac:dyDescent="0.3">
      <c r="A6060" t="s">
        <v>7130</v>
      </c>
      <c r="F6060" t="str">
        <f t="shared" ref="F6060" si="6052">LEFT(A6060, LEN(A6060) - 1)</f>
        <v>&gt;3028:GTTCAT:8.00:33.33:OK:6:1782.21</v>
      </c>
    </row>
    <row r="6061" spans="1:6" x14ac:dyDescent="0.3">
      <c r="A6061" t="s">
        <v>3034</v>
      </c>
      <c r="F6061" t="str">
        <f t="shared" ref="F6061" si="6053">A6061</f>
        <v>GTTCAT</v>
      </c>
    </row>
    <row r="6062" spans="1:6" x14ac:dyDescent="0.3">
      <c r="A6062" t="s">
        <v>7131</v>
      </c>
      <c r="F6062" t="str">
        <f t="shared" ref="F6062" si="6054">LEFT(A6062, LEN(A6062) - 1)</f>
        <v>&gt;3029:GTTCCA:14.00:50.00:OK:6:1767.20</v>
      </c>
    </row>
    <row r="6063" spans="1:6" x14ac:dyDescent="0.3">
      <c r="A6063" t="s">
        <v>3035</v>
      </c>
      <c r="F6063" t="str">
        <f t="shared" ref="F6063" si="6055">A6063</f>
        <v>GTTCCA</v>
      </c>
    </row>
    <row r="6064" spans="1:6" x14ac:dyDescent="0.3">
      <c r="A6064" t="s">
        <v>7132</v>
      </c>
      <c r="F6064" t="str">
        <f t="shared" ref="F6064" si="6056">LEFT(A6064, LEN(A6064) - 1)</f>
        <v>&gt;3030:GTTCCC:12.00:66.67:Warning:6:1743.17</v>
      </c>
    </row>
    <row r="6065" spans="1:6" x14ac:dyDescent="0.3">
      <c r="A6065" t="s">
        <v>3036</v>
      </c>
      <c r="F6065" t="str">
        <f t="shared" ref="F6065" si="6057">A6065</f>
        <v>GTTCCC</v>
      </c>
    </row>
    <row r="6066" spans="1:6" x14ac:dyDescent="0.3">
      <c r="A6066" t="s">
        <v>7133</v>
      </c>
      <c r="F6066" t="str">
        <f t="shared" ref="F6066" si="6058">LEFT(A6066, LEN(A6066) - 1)</f>
        <v>&gt;3031:GTTCCG:12.00:66.67:Warning:6:1783.20</v>
      </c>
    </row>
    <row r="6067" spans="1:6" x14ac:dyDescent="0.3">
      <c r="A6067" t="s">
        <v>3037</v>
      </c>
      <c r="F6067" t="str">
        <f t="shared" ref="F6067" si="6059">A6067</f>
        <v>GTTCCG</v>
      </c>
    </row>
    <row r="6068" spans="1:6" x14ac:dyDescent="0.3">
      <c r="A6068" t="s">
        <v>7134</v>
      </c>
      <c r="F6068" t="str">
        <f t="shared" ref="F6068" si="6060">LEFT(A6068, LEN(A6068) - 1)</f>
        <v>&gt;3032:GTTCCT:6.00:50.00:OK:6:1758.18</v>
      </c>
    </row>
    <row r="6069" spans="1:6" x14ac:dyDescent="0.3">
      <c r="A6069" t="s">
        <v>3038</v>
      </c>
      <c r="F6069" t="str">
        <f t="shared" ref="F6069" si="6061">A6069</f>
        <v>GTTCCT</v>
      </c>
    </row>
    <row r="6070" spans="1:6" x14ac:dyDescent="0.3">
      <c r="A6070" t="s">
        <v>7135</v>
      </c>
      <c r="F6070" t="str">
        <f t="shared" ref="F6070" si="6062">LEFT(A6070, LEN(A6070) - 1)</f>
        <v>&gt;3033:GTTCGA:14.00:50.00:OK:6:1807.23</v>
      </c>
    </row>
    <row r="6071" spans="1:6" x14ac:dyDescent="0.3">
      <c r="A6071" t="s">
        <v>3039</v>
      </c>
      <c r="F6071" t="str">
        <f t="shared" ref="F6071" si="6063">A6071</f>
        <v>GTTCGA</v>
      </c>
    </row>
    <row r="6072" spans="1:6" x14ac:dyDescent="0.3">
      <c r="A6072" t="s">
        <v>7136</v>
      </c>
      <c r="F6072" t="str">
        <f t="shared" ref="F6072" si="6064">LEFT(A6072, LEN(A6072) - 1)</f>
        <v>&gt;3034:GTTCGC:12.00:66.67:Warning:6:1783.20</v>
      </c>
    </row>
    <row r="6073" spans="1:6" x14ac:dyDescent="0.3">
      <c r="A6073" t="s">
        <v>3040</v>
      </c>
      <c r="F6073" t="str">
        <f t="shared" ref="F6073" si="6065">A6073</f>
        <v>GTTCGC</v>
      </c>
    </row>
    <row r="6074" spans="1:6" x14ac:dyDescent="0.3">
      <c r="A6074" t="s">
        <v>7137</v>
      </c>
      <c r="F6074" t="str">
        <f t="shared" ref="F6074" si="6066">LEFT(A6074, LEN(A6074) - 1)</f>
        <v>&gt;3035:GTTCGG:12.00:66.67:Warning:6:1823.23</v>
      </c>
    </row>
    <row r="6075" spans="1:6" x14ac:dyDescent="0.3">
      <c r="A6075" t="s">
        <v>3041</v>
      </c>
      <c r="F6075" t="str">
        <f t="shared" ref="F6075" si="6067">A6075</f>
        <v>GTTCGG</v>
      </c>
    </row>
    <row r="6076" spans="1:6" x14ac:dyDescent="0.3">
      <c r="A6076" t="s">
        <v>7138</v>
      </c>
      <c r="F6076" t="str">
        <f t="shared" ref="F6076" si="6068">LEFT(A6076, LEN(A6076) - 1)</f>
        <v>&gt;3036:GTTCGT:6.00:50.00:OK:6:1798.21</v>
      </c>
    </row>
    <row r="6077" spans="1:6" x14ac:dyDescent="0.3">
      <c r="A6077" t="s">
        <v>3042</v>
      </c>
      <c r="F6077" t="str">
        <f t="shared" ref="F6077" si="6069">A6077</f>
        <v>GTTCGT</v>
      </c>
    </row>
    <row r="6078" spans="1:6" x14ac:dyDescent="0.3">
      <c r="A6078" t="s">
        <v>7139</v>
      </c>
      <c r="F6078" t="str">
        <f t="shared" ref="F6078" si="6070">LEFT(A6078, LEN(A6078) - 1)</f>
        <v>&gt;3037:GTTCTA:8.00:33.33:OK:6:1782.21</v>
      </c>
    </row>
    <row r="6079" spans="1:6" x14ac:dyDescent="0.3">
      <c r="A6079" t="s">
        <v>3043</v>
      </c>
      <c r="F6079" t="str">
        <f t="shared" ref="F6079" si="6071">A6079</f>
        <v>GTTCTA</v>
      </c>
    </row>
    <row r="6080" spans="1:6" x14ac:dyDescent="0.3">
      <c r="A6080" t="s">
        <v>7140</v>
      </c>
      <c r="F6080" t="str">
        <f t="shared" ref="F6080" si="6072">LEFT(A6080, LEN(A6080) - 1)</f>
        <v>&gt;3038:GTTCTC:6.00:50.00:OK:6:1758.18</v>
      </c>
    </row>
    <row r="6081" spans="1:6" x14ac:dyDescent="0.3">
      <c r="A6081" t="s">
        <v>3044</v>
      </c>
      <c r="F6081" t="str">
        <f t="shared" ref="F6081" si="6073">A6081</f>
        <v>GTTCTC</v>
      </c>
    </row>
    <row r="6082" spans="1:6" x14ac:dyDescent="0.3">
      <c r="A6082" t="s">
        <v>7141</v>
      </c>
      <c r="F6082" t="str">
        <f t="shared" ref="F6082" si="6074">LEFT(A6082, LEN(A6082) - 1)</f>
        <v>&gt;3039:GTTCTG:6.00:50.00:OK:6:1798.21</v>
      </c>
    </row>
    <row r="6083" spans="1:6" x14ac:dyDescent="0.3">
      <c r="A6083" t="s">
        <v>3045</v>
      </c>
      <c r="F6083" t="str">
        <f t="shared" ref="F6083" si="6075">A6083</f>
        <v>GTTCTG</v>
      </c>
    </row>
    <row r="6084" spans="1:6" x14ac:dyDescent="0.3">
      <c r="A6084" t="s">
        <v>7142</v>
      </c>
      <c r="F6084" t="str">
        <f t="shared" ref="F6084" si="6076">LEFT(A6084, LEN(A6084) - 1)</f>
        <v>&gt;3040:GTTCTT:0.00:33.33:OK:6:1773.19</v>
      </c>
    </row>
    <row r="6085" spans="1:6" x14ac:dyDescent="0.3">
      <c r="A6085" t="s">
        <v>3046</v>
      </c>
      <c r="F6085" t="str">
        <f t="shared" ref="F6085" si="6077">A6085</f>
        <v>GTTCTT</v>
      </c>
    </row>
    <row r="6086" spans="1:6" x14ac:dyDescent="0.3">
      <c r="A6086" t="s">
        <v>7143</v>
      </c>
      <c r="F6086" t="str">
        <f t="shared" ref="F6086" si="6078">LEFT(A6086, LEN(A6086) - 1)</f>
        <v>&gt;3041:GTTGAA:16.00:33.33:OK:6:1831.26</v>
      </c>
    </row>
    <row r="6087" spans="1:6" x14ac:dyDescent="0.3">
      <c r="A6087" t="s">
        <v>3047</v>
      </c>
      <c r="F6087" t="str">
        <f t="shared" ref="F6087" si="6079">A6087</f>
        <v>GTTGAA</v>
      </c>
    </row>
    <row r="6088" spans="1:6" x14ac:dyDescent="0.3">
      <c r="A6088" t="s">
        <v>7144</v>
      </c>
      <c r="F6088" t="str">
        <f t="shared" ref="F6088" si="6080">LEFT(A6088, LEN(A6088) - 1)</f>
        <v>&gt;3042:GTTGAC:14.00:50.00:OK:6:1807.23</v>
      </c>
    </row>
    <row r="6089" spans="1:6" x14ac:dyDescent="0.3">
      <c r="A6089" t="s">
        <v>3048</v>
      </c>
      <c r="F6089" t="str">
        <f t="shared" ref="F6089" si="6081">A6089</f>
        <v>GTTGAC</v>
      </c>
    </row>
    <row r="6090" spans="1:6" x14ac:dyDescent="0.3">
      <c r="A6090" t="s">
        <v>7145</v>
      </c>
      <c r="F6090" t="str">
        <f t="shared" ref="F6090" si="6082">LEFT(A6090, LEN(A6090) - 1)</f>
        <v>&gt;3043:GTTGAG:14.00:50.00:OK:6:1847.26</v>
      </c>
    </row>
    <row r="6091" spans="1:6" x14ac:dyDescent="0.3">
      <c r="A6091" t="s">
        <v>3049</v>
      </c>
      <c r="F6091" t="str">
        <f t="shared" ref="F6091" si="6083">A6091</f>
        <v>GTTGAG</v>
      </c>
    </row>
    <row r="6092" spans="1:6" x14ac:dyDescent="0.3">
      <c r="A6092" t="s">
        <v>7146</v>
      </c>
      <c r="F6092" t="str">
        <f t="shared" ref="F6092" si="6084">LEFT(A6092, LEN(A6092) - 1)</f>
        <v>&gt;3044:GTTGAT:8.00:33.33:OK:6:1822.24</v>
      </c>
    </row>
    <row r="6093" spans="1:6" x14ac:dyDescent="0.3">
      <c r="A6093" t="s">
        <v>3050</v>
      </c>
      <c r="F6093" t="str">
        <f t="shared" ref="F6093" si="6085">A6093</f>
        <v>GTTGAT</v>
      </c>
    </row>
    <row r="6094" spans="1:6" x14ac:dyDescent="0.3">
      <c r="A6094" t="s">
        <v>7147</v>
      </c>
      <c r="F6094" t="str">
        <f t="shared" ref="F6094" si="6086">LEFT(A6094, LEN(A6094) - 1)</f>
        <v>&gt;3045:GTTGCA:14.00:50.00:OK:6:1807.23</v>
      </c>
    </row>
    <row r="6095" spans="1:6" x14ac:dyDescent="0.3">
      <c r="A6095" t="s">
        <v>3051</v>
      </c>
      <c r="F6095" t="str">
        <f t="shared" ref="F6095" si="6087">A6095</f>
        <v>GTTGCA</v>
      </c>
    </row>
    <row r="6096" spans="1:6" x14ac:dyDescent="0.3">
      <c r="A6096" t="s">
        <v>7148</v>
      </c>
      <c r="F6096" t="str">
        <f t="shared" ref="F6096" si="6088">LEFT(A6096, LEN(A6096) - 1)</f>
        <v>&gt;3046:GTTGCC:12.00:66.67:Warning:6:1783.20</v>
      </c>
    </row>
    <row r="6097" spans="1:6" x14ac:dyDescent="0.3">
      <c r="A6097" t="s">
        <v>3052</v>
      </c>
      <c r="F6097" t="str">
        <f t="shared" ref="F6097" si="6089">A6097</f>
        <v>GTTGCC</v>
      </c>
    </row>
    <row r="6098" spans="1:6" x14ac:dyDescent="0.3">
      <c r="A6098" t="s">
        <v>7149</v>
      </c>
      <c r="F6098" t="str">
        <f t="shared" ref="F6098" si="6090">LEFT(A6098, LEN(A6098) - 1)</f>
        <v>&gt;3047:GTTGCG:12.00:66.67:Warning:6:1823.23</v>
      </c>
    </row>
    <row r="6099" spans="1:6" x14ac:dyDescent="0.3">
      <c r="A6099" t="s">
        <v>3053</v>
      </c>
      <c r="F6099" t="str">
        <f t="shared" ref="F6099" si="6091">A6099</f>
        <v>GTTGCG</v>
      </c>
    </row>
    <row r="6100" spans="1:6" x14ac:dyDescent="0.3">
      <c r="A6100" t="s">
        <v>7150</v>
      </c>
      <c r="F6100" t="str">
        <f t="shared" ref="F6100" si="6092">LEFT(A6100, LEN(A6100) - 1)</f>
        <v>&gt;3048:GTTGCT:6.00:50.00:OK:6:1798.21</v>
      </c>
    </row>
    <row r="6101" spans="1:6" x14ac:dyDescent="0.3">
      <c r="A6101" t="s">
        <v>3054</v>
      </c>
      <c r="F6101" t="str">
        <f t="shared" ref="F6101" si="6093">A6101</f>
        <v>GTTGCT</v>
      </c>
    </row>
    <row r="6102" spans="1:6" x14ac:dyDescent="0.3">
      <c r="A6102" t="s">
        <v>7151</v>
      </c>
      <c r="F6102" t="str">
        <f t="shared" ref="F6102" si="6094">LEFT(A6102, LEN(A6102) - 1)</f>
        <v>&gt;3049:GTTGGA:14.00:50.00:OK:6:1847.26</v>
      </c>
    </row>
    <row r="6103" spans="1:6" x14ac:dyDescent="0.3">
      <c r="A6103" t="s">
        <v>3055</v>
      </c>
      <c r="F6103" t="str">
        <f t="shared" ref="F6103" si="6095">A6103</f>
        <v>GTTGGA</v>
      </c>
    </row>
    <row r="6104" spans="1:6" x14ac:dyDescent="0.3">
      <c r="A6104" t="s">
        <v>7152</v>
      </c>
      <c r="F6104" t="str">
        <f t="shared" ref="F6104" si="6096">LEFT(A6104, LEN(A6104) - 1)</f>
        <v>&gt;3050:GTTGGC:12.00:66.67:Warning:6:1823.23</v>
      </c>
    </row>
    <row r="6105" spans="1:6" x14ac:dyDescent="0.3">
      <c r="A6105" t="s">
        <v>3056</v>
      </c>
      <c r="F6105" t="str">
        <f t="shared" ref="F6105" si="6097">A6105</f>
        <v>GTTGGC</v>
      </c>
    </row>
    <row r="6106" spans="1:6" x14ac:dyDescent="0.3">
      <c r="A6106" t="s">
        <v>7153</v>
      </c>
      <c r="F6106" t="str">
        <f t="shared" ref="F6106" si="6098">LEFT(A6106, LEN(A6106) - 1)</f>
        <v>&gt;3051:GTTGGG:12.00:66.67:Warning:6:1863.26</v>
      </c>
    </row>
    <row r="6107" spans="1:6" x14ac:dyDescent="0.3">
      <c r="A6107" t="s">
        <v>3057</v>
      </c>
      <c r="F6107" t="str">
        <f t="shared" ref="F6107" si="6099">A6107</f>
        <v>GTTGGG</v>
      </c>
    </row>
    <row r="6108" spans="1:6" x14ac:dyDescent="0.3">
      <c r="A6108" t="s">
        <v>7154</v>
      </c>
      <c r="F6108" t="str">
        <f t="shared" ref="F6108" si="6100">LEFT(A6108, LEN(A6108) - 1)</f>
        <v>&gt;3052:GTTGGT:6.00:50.00:OK:6:1838.24</v>
      </c>
    </row>
    <row r="6109" spans="1:6" x14ac:dyDescent="0.3">
      <c r="A6109" t="s">
        <v>3058</v>
      </c>
      <c r="F6109" t="str">
        <f t="shared" ref="F6109" si="6101">A6109</f>
        <v>GTTGGT</v>
      </c>
    </row>
    <row r="6110" spans="1:6" x14ac:dyDescent="0.3">
      <c r="A6110" t="s">
        <v>7155</v>
      </c>
      <c r="F6110" t="str">
        <f t="shared" ref="F6110" si="6102">LEFT(A6110, LEN(A6110) - 1)</f>
        <v>&gt;3053:GTTGTA:8.00:33.33:OK:6:1822.24</v>
      </c>
    </row>
    <row r="6111" spans="1:6" x14ac:dyDescent="0.3">
      <c r="A6111" t="s">
        <v>3059</v>
      </c>
      <c r="F6111" t="str">
        <f t="shared" ref="F6111" si="6103">A6111</f>
        <v>GTTGTA</v>
      </c>
    </row>
    <row r="6112" spans="1:6" x14ac:dyDescent="0.3">
      <c r="A6112" t="s">
        <v>7156</v>
      </c>
      <c r="F6112" t="str">
        <f t="shared" ref="F6112" si="6104">LEFT(A6112, LEN(A6112) - 1)</f>
        <v>&gt;3054:GTTGTC:6.00:50.00:OK:6:1798.21</v>
      </c>
    </row>
    <row r="6113" spans="1:6" x14ac:dyDescent="0.3">
      <c r="A6113" t="s">
        <v>3060</v>
      </c>
      <c r="F6113" t="str">
        <f t="shared" ref="F6113" si="6105">A6113</f>
        <v>GTTGTC</v>
      </c>
    </row>
    <row r="6114" spans="1:6" x14ac:dyDescent="0.3">
      <c r="A6114" t="s">
        <v>7157</v>
      </c>
      <c r="F6114" t="str">
        <f t="shared" ref="F6114" si="6106">LEFT(A6114, LEN(A6114) - 1)</f>
        <v>&gt;3055:GTTGTG:6.00:50.00:OK:6:1838.24</v>
      </c>
    </row>
    <row r="6115" spans="1:6" x14ac:dyDescent="0.3">
      <c r="A6115" t="s">
        <v>3061</v>
      </c>
      <c r="F6115" t="str">
        <f t="shared" ref="F6115" si="6107">A6115</f>
        <v>GTTGTG</v>
      </c>
    </row>
    <row r="6116" spans="1:6" x14ac:dyDescent="0.3">
      <c r="A6116" t="s">
        <v>7158</v>
      </c>
      <c r="F6116" t="str">
        <f t="shared" ref="F6116" si="6108">LEFT(A6116, LEN(A6116) - 1)</f>
        <v>&gt;3056:GTTGTT:0.00:33.33:OK:6:1813.22</v>
      </c>
    </row>
    <row r="6117" spans="1:6" x14ac:dyDescent="0.3">
      <c r="A6117" t="s">
        <v>3062</v>
      </c>
      <c r="F6117" t="str">
        <f t="shared" ref="F6117" si="6109">A6117</f>
        <v>GTTGTT</v>
      </c>
    </row>
    <row r="6118" spans="1:6" x14ac:dyDescent="0.3">
      <c r="A6118" t="s">
        <v>7159</v>
      </c>
      <c r="F6118" t="str">
        <f t="shared" ref="F6118" si="6110">LEFT(A6118, LEN(A6118) - 1)</f>
        <v>&gt;3057:GTTTAA:10.00:16.67:OK:6:1806.24</v>
      </c>
    </row>
    <row r="6119" spans="1:6" x14ac:dyDescent="0.3">
      <c r="A6119" t="s">
        <v>3063</v>
      </c>
      <c r="F6119" t="str">
        <f t="shared" ref="F6119" si="6111">A6119</f>
        <v>GTTTAA</v>
      </c>
    </row>
    <row r="6120" spans="1:6" x14ac:dyDescent="0.3">
      <c r="A6120" t="s">
        <v>7160</v>
      </c>
      <c r="F6120" t="str">
        <f t="shared" ref="F6120" si="6112">LEFT(A6120, LEN(A6120) - 1)</f>
        <v>&gt;3058:GTTTAC:8.00:33.33:OK:6:1782.21</v>
      </c>
    </row>
    <row r="6121" spans="1:6" x14ac:dyDescent="0.3">
      <c r="A6121" t="s">
        <v>3064</v>
      </c>
      <c r="F6121" t="str">
        <f t="shared" ref="F6121" si="6113">A6121</f>
        <v>GTTTAC</v>
      </c>
    </row>
    <row r="6122" spans="1:6" x14ac:dyDescent="0.3">
      <c r="A6122" t="s">
        <v>7161</v>
      </c>
      <c r="F6122" t="str">
        <f t="shared" ref="F6122" si="6114">LEFT(A6122, LEN(A6122) - 1)</f>
        <v>&gt;3059:GTTTAG:8.00:33.33:OK:6:1822.24</v>
      </c>
    </row>
    <row r="6123" spans="1:6" x14ac:dyDescent="0.3">
      <c r="A6123" t="s">
        <v>3065</v>
      </c>
      <c r="F6123" t="str">
        <f t="shared" ref="F6123" si="6115">A6123</f>
        <v>GTTTAG</v>
      </c>
    </row>
    <row r="6124" spans="1:6" x14ac:dyDescent="0.3">
      <c r="A6124" t="s">
        <v>7162</v>
      </c>
      <c r="F6124" t="str">
        <f t="shared" ref="F6124" si="6116">LEFT(A6124, LEN(A6124) - 1)</f>
        <v>&gt;3060:GTTTAT:2.00:16.67:OK:6:1797.22</v>
      </c>
    </row>
    <row r="6125" spans="1:6" x14ac:dyDescent="0.3">
      <c r="A6125" t="s">
        <v>3066</v>
      </c>
      <c r="F6125" t="str">
        <f t="shared" ref="F6125" si="6117">A6125</f>
        <v>GTTTAT</v>
      </c>
    </row>
    <row r="6126" spans="1:6" x14ac:dyDescent="0.3">
      <c r="A6126" t="s">
        <v>7163</v>
      </c>
      <c r="F6126" t="str">
        <f t="shared" ref="F6126" si="6118">LEFT(A6126, LEN(A6126) - 1)</f>
        <v>&gt;3061:GTTTCA:8.00:33.33:OK:6:1782.21</v>
      </c>
    </row>
    <row r="6127" spans="1:6" x14ac:dyDescent="0.3">
      <c r="A6127" t="s">
        <v>3067</v>
      </c>
      <c r="F6127" t="str">
        <f t="shared" ref="F6127" si="6119">A6127</f>
        <v>GTTTCA</v>
      </c>
    </row>
    <row r="6128" spans="1:6" x14ac:dyDescent="0.3">
      <c r="A6128" t="s">
        <v>7164</v>
      </c>
      <c r="F6128" t="str">
        <f t="shared" ref="F6128" si="6120">LEFT(A6128, LEN(A6128) - 1)</f>
        <v>&gt;3062:GTTTCC:6.00:50.00:OK:6:1758.18</v>
      </c>
    </row>
    <row r="6129" spans="1:6" x14ac:dyDescent="0.3">
      <c r="A6129" t="s">
        <v>3068</v>
      </c>
      <c r="F6129" t="str">
        <f t="shared" ref="F6129" si="6121">A6129</f>
        <v>GTTTCC</v>
      </c>
    </row>
    <row r="6130" spans="1:6" x14ac:dyDescent="0.3">
      <c r="A6130" t="s">
        <v>7165</v>
      </c>
      <c r="F6130" t="str">
        <f t="shared" ref="F6130" si="6122">LEFT(A6130, LEN(A6130) - 1)</f>
        <v>&gt;3063:GTTTCG:6.00:50.00:OK:6:1798.21</v>
      </c>
    </row>
    <row r="6131" spans="1:6" x14ac:dyDescent="0.3">
      <c r="A6131" t="s">
        <v>3069</v>
      </c>
      <c r="F6131" t="str">
        <f t="shared" ref="F6131" si="6123">A6131</f>
        <v>GTTTCG</v>
      </c>
    </row>
    <row r="6132" spans="1:6" x14ac:dyDescent="0.3">
      <c r="A6132" t="s">
        <v>7166</v>
      </c>
      <c r="F6132" t="str">
        <f t="shared" ref="F6132" si="6124">LEFT(A6132, LEN(A6132) - 1)</f>
        <v>&gt;3064:GTTTCT:0.00:33.33:OK:6:1773.19</v>
      </c>
    </row>
    <row r="6133" spans="1:6" x14ac:dyDescent="0.3">
      <c r="A6133" t="s">
        <v>3070</v>
      </c>
      <c r="F6133" t="str">
        <f t="shared" ref="F6133" si="6125">A6133</f>
        <v>GTTTCT</v>
      </c>
    </row>
    <row r="6134" spans="1:6" x14ac:dyDescent="0.3">
      <c r="A6134" t="s">
        <v>7167</v>
      </c>
      <c r="F6134" t="str">
        <f t="shared" ref="F6134" si="6126">LEFT(A6134, LEN(A6134) - 1)</f>
        <v>&gt;3065:GTTTGA:8.00:33.33:OK:6:1822.24</v>
      </c>
    </row>
    <row r="6135" spans="1:6" x14ac:dyDescent="0.3">
      <c r="A6135" t="s">
        <v>3071</v>
      </c>
      <c r="F6135" t="str">
        <f t="shared" ref="F6135" si="6127">A6135</f>
        <v>GTTTGA</v>
      </c>
    </row>
    <row r="6136" spans="1:6" x14ac:dyDescent="0.3">
      <c r="A6136" t="s">
        <v>7168</v>
      </c>
      <c r="F6136" t="str">
        <f t="shared" ref="F6136" si="6128">LEFT(A6136, LEN(A6136) - 1)</f>
        <v>&gt;3066:GTTTGC:6.00:50.00:OK:6:1798.21</v>
      </c>
    </row>
    <row r="6137" spans="1:6" x14ac:dyDescent="0.3">
      <c r="A6137" t="s">
        <v>3072</v>
      </c>
      <c r="F6137" t="str">
        <f t="shared" ref="F6137" si="6129">A6137</f>
        <v>GTTTGC</v>
      </c>
    </row>
    <row r="6138" spans="1:6" x14ac:dyDescent="0.3">
      <c r="A6138" t="s">
        <v>7169</v>
      </c>
      <c r="F6138" t="str">
        <f t="shared" ref="F6138" si="6130">LEFT(A6138, LEN(A6138) - 1)</f>
        <v>&gt;3067:GTTTGG:6.00:50.00:OK:6:1838.24</v>
      </c>
    </row>
    <row r="6139" spans="1:6" x14ac:dyDescent="0.3">
      <c r="A6139" t="s">
        <v>3073</v>
      </c>
      <c r="F6139" t="str">
        <f t="shared" ref="F6139" si="6131">A6139</f>
        <v>GTTTGG</v>
      </c>
    </row>
    <row r="6140" spans="1:6" x14ac:dyDescent="0.3">
      <c r="A6140" t="s">
        <v>7170</v>
      </c>
      <c r="F6140" t="str">
        <f t="shared" ref="F6140" si="6132">LEFT(A6140, LEN(A6140) - 1)</f>
        <v>&gt;3068:GTTTGT:0.00:33.33:OK:6:1813.22</v>
      </c>
    </row>
    <row r="6141" spans="1:6" x14ac:dyDescent="0.3">
      <c r="A6141" t="s">
        <v>3074</v>
      </c>
      <c r="F6141" t="str">
        <f t="shared" ref="F6141" si="6133">A6141</f>
        <v>GTTTGT</v>
      </c>
    </row>
    <row r="6142" spans="1:6" x14ac:dyDescent="0.3">
      <c r="A6142" t="s">
        <v>7171</v>
      </c>
      <c r="F6142" t="str">
        <f t="shared" ref="F6142" si="6134">LEFT(A6142, LEN(A6142) - 1)</f>
        <v>&gt;3069:GTTTTA:2.00:16.67:OK:6:1797.22</v>
      </c>
    </row>
    <row r="6143" spans="1:6" x14ac:dyDescent="0.3">
      <c r="A6143" t="s">
        <v>3075</v>
      </c>
      <c r="F6143" t="str">
        <f t="shared" ref="F6143" si="6135">A6143</f>
        <v>GTTTTA</v>
      </c>
    </row>
    <row r="6144" spans="1:6" x14ac:dyDescent="0.3">
      <c r="A6144" t="s">
        <v>7172</v>
      </c>
      <c r="F6144" t="str">
        <f t="shared" ref="F6144" si="6136">LEFT(A6144, LEN(A6144) - 1)</f>
        <v>&gt;3070:GTTTTC:0.00:33.33:OK:6:1773.19</v>
      </c>
    </row>
    <row r="6145" spans="1:6" x14ac:dyDescent="0.3">
      <c r="A6145" t="s">
        <v>3076</v>
      </c>
      <c r="F6145" t="str">
        <f t="shared" ref="F6145" si="6137">A6145</f>
        <v>GTTTTC</v>
      </c>
    </row>
    <row r="6146" spans="1:6" x14ac:dyDescent="0.3">
      <c r="A6146" t="s">
        <v>7173</v>
      </c>
      <c r="F6146" t="str">
        <f t="shared" ref="F6146" si="6138">LEFT(A6146, LEN(A6146) - 1)</f>
        <v>&gt;3071:GTTTTG:0.00:33.33:OK:6:1813.22</v>
      </c>
    </row>
    <row r="6147" spans="1:6" x14ac:dyDescent="0.3">
      <c r="A6147" t="s">
        <v>3077</v>
      </c>
      <c r="F6147" t="str">
        <f t="shared" ref="F6147" si="6139">A6147</f>
        <v>GTTTTG</v>
      </c>
    </row>
    <row r="6148" spans="1:6" x14ac:dyDescent="0.3">
      <c r="A6148" t="s">
        <v>7174</v>
      </c>
      <c r="F6148" t="str">
        <f t="shared" ref="F6148" si="6140">LEFT(A6148, LEN(A6148) - 1)</f>
        <v>&gt;3072:GTTTTT:-6.00:16.67:OK:6:1788.20</v>
      </c>
    </row>
    <row r="6149" spans="1:6" x14ac:dyDescent="0.3">
      <c r="A6149" t="s">
        <v>3078</v>
      </c>
      <c r="F6149" t="str">
        <f t="shared" ref="F6149" si="6141">A6149</f>
        <v>GTTTTT</v>
      </c>
    </row>
    <row r="6150" spans="1:6" x14ac:dyDescent="0.3">
      <c r="A6150" t="s">
        <v>7175</v>
      </c>
      <c r="F6150" t="str">
        <f t="shared" ref="F6150" si="6142">LEFT(A6150, LEN(A6150) - 1)</f>
        <v>&gt;3073:TAAAAA:28.00:0.00:OK:6:1808.28</v>
      </c>
    </row>
    <row r="6151" spans="1:6" x14ac:dyDescent="0.3">
      <c r="A6151" t="s">
        <v>3079</v>
      </c>
      <c r="F6151" t="str">
        <f t="shared" ref="F6151" si="6143">A6151</f>
        <v>TAAAAA</v>
      </c>
    </row>
    <row r="6152" spans="1:6" x14ac:dyDescent="0.3">
      <c r="A6152" t="s">
        <v>7176</v>
      </c>
      <c r="F6152" t="str">
        <f t="shared" ref="F6152" si="6144">LEFT(A6152, LEN(A6152) - 1)</f>
        <v>&gt;3074:TAAAAC:26.00:16.67:OK:6:1784.25</v>
      </c>
    </row>
    <row r="6153" spans="1:6" x14ac:dyDescent="0.3">
      <c r="A6153" t="s">
        <v>3080</v>
      </c>
      <c r="F6153" t="str">
        <f t="shared" ref="F6153" si="6145">A6153</f>
        <v>TAAAAC</v>
      </c>
    </row>
    <row r="6154" spans="1:6" x14ac:dyDescent="0.3">
      <c r="A6154" t="s">
        <v>7177</v>
      </c>
      <c r="F6154" t="str">
        <f t="shared" ref="F6154" si="6146">LEFT(A6154, LEN(A6154) - 1)</f>
        <v>&gt;3075:TAAAAG:26.00:16.67:OK:6:1824.28</v>
      </c>
    </row>
    <row r="6155" spans="1:6" x14ac:dyDescent="0.3">
      <c r="A6155" t="s">
        <v>3081</v>
      </c>
      <c r="F6155" t="str">
        <f t="shared" ref="F6155" si="6147">A6155</f>
        <v>TAAAAG</v>
      </c>
    </row>
    <row r="6156" spans="1:6" x14ac:dyDescent="0.3">
      <c r="A6156" t="s">
        <v>7178</v>
      </c>
      <c r="F6156" t="str">
        <f t="shared" ref="F6156" si="6148">LEFT(A6156, LEN(A6156) - 1)</f>
        <v>&gt;3076:TAAAAT:20.00:0.00:OK:6:1799.26</v>
      </c>
    </row>
    <row r="6157" spans="1:6" x14ac:dyDescent="0.3">
      <c r="A6157" t="s">
        <v>3082</v>
      </c>
      <c r="F6157" t="str">
        <f t="shared" ref="F6157" si="6149">A6157</f>
        <v>TAAAAT</v>
      </c>
    </row>
    <row r="6158" spans="1:6" x14ac:dyDescent="0.3">
      <c r="A6158" t="s">
        <v>7179</v>
      </c>
      <c r="F6158" t="str">
        <f t="shared" ref="F6158" si="6150">LEFT(A6158, LEN(A6158) - 1)</f>
        <v>&gt;3077:TAAACA:26.00:16.67:OK:6:1784.25</v>
      </c>
    </row>
    <row r="6159" spans="1:6" x14ac:dyDescent="0.3">
      <c r="A6159" t="s">
        <v>3083</v>
      </c>
      <c r="F6159" t="str">
        <f t="shared" ref="F6159" si="6151">A6159</f>
        <v>TAAACA</v>
      </c>
    </row>
    <row r="6160" spans="1:6" x14ac:dyDescent="0.3">
      <c r="A6160" t="s">
        <v>7180</v>
      </c>
      <c r="F6160" t="str">
        <f t="shared" ref="F6160" si="6152">LEFT(A6160, LEN(A6160) - 1)</f>
        <v>&gt;3078:TAAACC:24.00:33.33:OK:6:1760.22</v>
      </c>
    </row>
    <row r="6161" spans="1:6" x14ac:dyDescent="0.3">
      <c r="A6161" t="s">
        <v>3084</v>
      </c>
      <c r="F6161" t="str">
        <f t="shared" ref="F6161" si="6153">A6161</f>
        <v>TAAACC</v>
      </c>
    </row>
    <row r="6162" spans="1:6" x14ac:dyDescent="0.3">
      <c r="A6162" t="s">
        <v>7181</v>
      </c>
      <c r="F6162" t="str">
        <f t="shared" ref="F6162" si="6154">LEFT(A6162, LEN(A6162) - 1)</f>
        <v>&gt;3079:TAAACG:24.00:33.33:OK:6:1800.25</v>
      </c>
    </row>
    <row r="6163" spans="1:6" x14ac:dyDescent="0.3">
      <c r="A6163" t="s">
        <v>3085</v>
      </c>
      <c r="F6163" t="str">
        <f t="shared" ref="F6163" si="6155">A6163</f>
        <v>TAAACG</v>
      </c>
    </row>
    <row r="6164" spans="1:6" x14ac:dyDescent="0.3">
      <c r="A6164" t="s">
        <v>7182</v>
      </c>
      <c r="F6164" t="str">
        <f t="shared" ref="F6164" si="6156">LEFT(A6164, LEN(A6164) - 1)</f>
        <v>&gt;3080:TAAACT:18.00:16.67:OK:6:1775.23</v>
      </c>
    </row>
    <row r="6165" spans="1:6" x14ac:dyDescent="0.3">
      <c r="A6165" t="s">
        <v>3086</v>
      </c>
      <c r="F6165" t="str">
        <f t="shared" ref="F6165" si="6157">A6165</f>
        <v>TAAACT</v>
      </c>
    </row>
    <row r="6166" spans="1:6" x14ac:dyDescent="0.3">
      <c r="A6166" t="s">
        <v>7183</v>
      </c>
      <c r="F6166" t="str">
        <f t="shared" ref="F6166" si="6158">LEFT(A6166, LEN(A6166) - 1)</f>
        <v>&gt;3081:TAAAGA:26.00:16.67:OK:6:1824.28</v>
      </c>
    </row>
    <row r="6167" spans="1:6" x14ac:dyDescent="0.3">
      <c r="A6167" t="s">
        <v>3087</v>
      </c>
      <c r="F6167" t="str">
        <f t="shared" ref="F6167" si="6159">A6167</f>
        <v>TAAAGA</v>
      </c>
    </row>
    <row r="6168" spans="1:6" x14ac:dyDescent="0.3">
      <c r="A6168" t="s">
        <v>7184</v>
      </c>
      <c r="F6168" t="str">
        <f t="shared" ref="F6168" si="6160">LEFT(A6168, LEN(A6168) - 1)</f>
        <v>&gt;3082:TAAAGC:24.00:33.33:OK:6:1800.25</v>
      </c>
    </row>
    <row r="6169" spans="1:6" x14ac:dyDescent="0.3">
      <c r="A6169" t="s">
        <v>3088</v>
      </c>
      <c r="F6169" t="str">
        <f t="shared" ref="F6169" si="6161">A6169</f>
        <v>TAAAGC</v>
      </c>
    </row>
    <row r="6170" spans="1:6" x14ac:dyDescent="0.3">
      <c r="A6170" t="s">
        <v>7185</v>
      </c>
      <c r="F6170" t="str">
        <f t="shared" ref="F6170" si="6162">LEFT(A6170, LEN(A6170) - 1)</f>
        <v>&gt;3083:TAAAGG:24.00:33.33:OK:6:1840.28</v>
      </c>
    </row>
    <row r="6171" spans="1:6" x14ac:dyDescent="0.3">
      <c r="A6171" t="s">
        <v>3089</v>
      </c>
      <c r="F6171" t="str">
        <f t="shared" ref="F6171" si="6163">A6171</f>
        <v>TAAAGG</v>
      </c>
    </row>
    <row r="6172" spans="1:6" x14ac:dyDescent="0.3">
      <c r="A6172" t="s">
        <v>7186</v>
      </c>
      <c r="F6172" t="str">
        <f t="shared" ref="F6172" si="6164">LEFT(A6172, LEN(A6172) - 1)</f>
        <v>&gt;3084:TAAAGT:18.00:16.67:OK:6:1815.26</v>
      </c>
    </row>
    <row r="6173" spans="1:6" x14ac:dyDescent="0.3">
      <c r="A6173" t="s">
        <v>3090</v>
      </c>
      <c r="F6173" t="str">
        <f t="shared" ref="F6173" si="6165">A6173</f>
        <v>TAAAGT</v>
      </c>
    </row>
    <row r="6174" spans="1:6" x14ac:dyDescent="0.3">
      <c r="A6174" t="s">
        <v>7187</v>
      </c>
      <c r="F6174" t="str">
        <f t="shared" ref="F6174" si="6166">LEFT(A6174, LEN(A6174) - 1)</f>
        <v>&gt;3085:TAAATA:20.00:0.00:OK:6:1799.26</v>
      </c>
    </row>
    <row r="6175" spans="1:6" x14ac:dyDescent="0.3">
      <c r="A6175" t="s">
        <v>3091</v>
      </c>
      <c r="F6175" t="str">
        <f t="shared" ref="F6175" si="6167">A6175</f>
        <v>TAAATA</v>
      </c>
    </row>
    <row r="6176" spans="1:6" x14ac:dyDescent="0.3">
      <c r="A6176" t="s">
        <v>7188</v>
      </c>
      <c r="F6176" t="str">
        <f t="shared" ref="F6176" si="6168">LEFT(A6176, LEN(A6176) - 1)</f>
        <v>&gt;3086:TAAATC:18.00:16.67:OK:6:1775.23</v>
      </c>
    </row>
    <row r="6177" spans="1:6" x14ac:dyDescent="0.3">
      <c r="A6177" t="s">
        <v>3092</v>
      </c>
      <c r="F6177" t="str">
        <f t="shared" ref="F6177" si="6169">A6177</f>
        <v>TAAATC</v>
      </c>
    </row>
    <row r="6178" spans="1:6" x14ac:dyDescent="0.3">
      <c r="A6178" t="s">
        <v>7189</v>
      </c>
      <c r="F6178" t="str">
        <f t="shared" ref="F6178" si="6170">LEFT(A6178, LEN(A6178) - 1)</f>
        <v>&gt;3087:TAAATG:18.00:16.67:OK:6:1815.26</v>
      </c>
    </row>
    <row r="6179" spans="1:6" x14ac:dyDescent="0.3">
      <c r="A6179" t="s">
        <v>3093</v>
      </c>
      <c r="F6179" t="str">
        <f t="shared" ref="F6179" si="6171">A6179</f>
        <v>TAAATG</v>
      </c>
    </row>
    <row r="6180" spans="1:6" x14ac:dyDescent="0.3">
      <c r="A6180" t="s">
        <v>7190</v>
      </c>
      <c r="F6180" t="str">
        <f t="shared" ref="F6180" si="6172">LEFT(A6180, LEN(A6180) - 1)</f>
        <v>&gt;3088:TAAATT:12.00:0.00:OK:6:1790.24</v>
      </c>
    </row>
    <row r="6181" spans="1:6" x14ac:dyDescent="0.3">
      <c r="A6181" t="s">
        <v>3094</v>
      </c>
      <c r="F6181" t="str">
        <f t="shared" ref="F6181" si="6173">A6181</f>
        <v>TAAATT</v>
      </c>
    </row>
    <row r="6182" spans="1:6" x14ac:dyDescent="0.3">
      <c r="A6182" t="s">
        <v>7191</v>
      </c>
      <c r="F6182" t="str">
        <f t="shared" ref="F6182" si="6174">LEFT(A6182, LEN(A6182) - 1)</f>
        <v>&gt;3089:TAACAA:26.00:16.67:OK:6:1784.25</v>
      </c>
    </row>
    <row r="6183" spans="1:6" x14ac:dyDescent="0.3">
      <c r="A6183" t="s">
        <v>3095</v>
      </c>
      <c r="F6183" t="str">
        <f t="shared" ref="F6183" si="6175">A6183</f>
        <v>TAACAA</v>
      </c>
    </row>
    <row r="6184" spans="1:6" x14ac:dyDescent="0.3">
      <c r="A6184" t="s">
        <v>7192</v>
      </c>
      <c r="F6184" t="str">
        <f t="shared" ref="F6184" si="6176">LEFT(A6184, LEN(A6184) - 1)</f>
        <v>&gt;3090:TAACAC:24.00:33.33:OK:6:1760.22</v>
      </c>
    </row>
    <row r="6185" spans="1:6" x14ac:dyDescent="0.3">
      <c r="A6185" t="s">
        <v>3096</v>
      </c>
      <c r="F6185" t="str">
        <f t="shared" ref="F6185" si="6177">A6185</f>
        <v>TAACAC</v>
      </c>
    </row>
    <row r="6186" spans="1:6" x14ac:dyDescent="0.3">
      <c r="A6186" t="s">
        <v>7193</v>
      </c>
      <c r="F6186" t="str">
        <f t="shared" ref="F6186" si="6178">LEFT(A6186, LEN(A6186) - 1)</f>
        <v>&gt;3091:TAACAG:24.00:33.33:OK:6:1800.25</v>
      </c>
    </row>
    <row r="6187" spans="1:6" x14ac:dyDescent="0.3">
      <c r="A6187" t="s">
        <v>3097</v>
      </c>
      <c r="F6187" t="str">
        <f t="shared" ref="F6187" si="6179">A6187</f>
        <v>TAACAG</v>
      </c>
    </row>
    <row r="6188" spans="1:6" x14ac:dyDescent="0.3">
      <c r="A6188" t="s">
        <v>7194</v>
      </c>
      <c r="F6188" t="str">
        <f t="shared" ref="F6188" si="6180">LEFT(A6188, LEN(A6188) - 1)</f>
        <v>&gt;3092:TAACAT:18.00:16.67:OK:6:1775.23</v>
      </c>
    </row>
    <row r="6189" spans="1:6" x14ac:dyDescent="0.3">
      <c r="A6189" t="s">
        <v>3098</v>
      </c>
      <c r="F6189" t="str">
        <f t="shared" ref="F6189" si="6181">A6189</f>
        <v>TAACAT</v>
      </c>
    </row>
    <row r="6190" spans="1:6" x14ac:dyDescent="0.3">
      <c r="A6190" t="s">
        <v>7195</v>
      </c>
      <c r="F6190" t="str">
        <f t="shared" ref="F6190" si="6182">LEFT(A6190, LEN(A6190) - 1)</f>
        <v>&gt;3093:TAACCA:24.00:33.33:OK:6:1760.22</v>
      </c>
    </row>
    <row r="6191" spans="1:6" x14ac:dyDescent="0.3">
      <c r="A6191" t="s">
        <v>3099</v>
      </c>
      <c r="F6191" t="str">
        <f t="shared" ref="F6191" si="6183">A6191</f>
        <v>TAACCA</v>
      </c>
    </row>
    <row r="6192" spans="1:6" x14ac:dyDescent="0.3">
      <c r="A6192" t="s">
        <v>7196</v>
      </c>
      <c r="F6192" t="str">
        <f t="shared" ref="F6192" si="6184">LEFT(A6192, LEN(A6192) - 1)</f>
        <v>&gt;3094:TAACCC:22.00:50.00:Warning:6:1736.19</v>
      </c>
    </row>
    <row r="6193" spans="1:6" x14ac:dyDescent="0.3">
      <c r="A6193" t="s">
        <v>3100</v>
      </c>
      <c r="F6193" t="str">
        <f t="shared" ref="F6193" si="6185">A6193</f>
        <v>TAACCC</v>
      </c>
    </row>
    <row r="6194" spans="1:6" x14ac:dyDescent="0.3">
      <c r="A6194" t="s">
        <v>7197</v>
      </c>
      <c r="F6194" t="str">
        <f t="shared" ref="F6194" si="6186">LEFT(A6194, LEN(A6194) - 1)</f>
        <v>&gt;3095:TAACCG:22.00:50.00:Warning:6:1776.22</v>
      </c>
    </row>
    <row r="6195" spans="1:6" x14ac:dyDescent="0.3">
      <c r="A6195" t="s">
        <v>3101</v>
      </c>
      <c r="F6195" t="str">
        <f t="shared" ref="F6195" si="6187">A6195</f>
        <v>TAACCG</v>
      </c>
    </row>
    <row r="6196" spans="1:6" x14ac:dyDescent="0.3">
      <c r="A6196" t="s">
        <v>7198</v>
      </c>
      <c r="F6196" t="str">
        <f t="shared" ref="F6196" si="6188">LEFT(A6196, LEN(A6196) - 1)</f>
        <v>&gt;3096:TAACCT:16.00:33.33:OK:6:1751.20</v>
      </c>
    </row>
    <row r="6197" spans="1:6" x14ac:dyDescent="0.3">
      <c r="A6197" t="s">
        <v>3102</v>
      </c>
      <c r="F6197" t="str">
        <f t="shared" ref="F6197" si="6189">A6197</f>
        <v>TAACCT</v>
      </c>
    </row>
    <row r="6198" spans="1:6" x14ac:dyDescent="0.3">
      <c r="A6198" t="s">
        <v>7199</v>
      </c>
      <c r="F6198" t="str">
        <f t="shared" ref="F6198" si="6190">LEFT(A6198, LEN(A6198) - 1)</f>
        <v>&gt;3097:TAACGA:24.00:33.33:OK:6:1800.25</v>
      </c>
    </row>
    <row r="6199" spans="1:6" x14ac:dyDescent="0.3">
      <c r="A6199" t="s">
        <v>3103</v>
      </c>
      <c r="F6199" t="str">
        <f t="shared" ref="F6199" si="6191">A6199</f>
        <v>TAACGA</v>
      </c>
    </row>
    <row r="6200" spans="1:6" x14ac:dyDescent="0.3">
      <c r="A6200" t="s">
        <v>7200</v>
      </c>
      <c r="F6200" t="str">
        <f t="shared" ref="F6200" si="6192">LEFT(A6200, LEN(A6200) - 1)</f>
        <v>&gt;3098:TAACGC:22.00:50.00:Warning:6:1776.22</v>
      </c>
    </row>
    <row r="6201" spans="1:6" x14ac:dyDescent="0.3">
      <c r="A6201" t="s">
        <v>3104</v>
      </c>
      <c r="F6201" t="str">
        <f t="shared" ref="F6201" si="6193">A6201</f>
        <v>TAACGC</v>
      </c>
    </row>
    <row r="6202" spans="1:6" x14ac:dyDescent="0.3">
      <c r="A6202" t="s">
        <v>7201</v>
      </c>
      <c r="F6202" t="str">
        <f t="shared" ref="F6202" si="6194">LEFT(A6202, LEN(A6202) - 1)</f>
        <v>&gt;3099:TAACGG:22.00:50.00:Warning:6:1816.25</v>
      </c>
    </row>
    <row r="6203" spans="1:6" x14ac:dyDescent="0.3">
      <c r="A6203" t="s">
        <v>3105</v>
      </c>
      <c r="F6203" t="str">
        <f t="shared" ref="F6203" si="6195">A6203</f>
        <v>TAACGG</v>
      </c>
    </row>
    <row r="6204" spans="1:6" x14ac:dyDescent="0.3">
      <c r="A6204" t="s">
        <v>7202</v>
      </c>
      <c r="F6204" t="str">
        <f t="shared" ref="F6204" si="6196">LEFT(A6204, LEN(A6204) - 1)</f>
        <v>&gt;3100:TAACGT:16.00:33.33:OK:6:1791.23</v>
      </c>
    </row>
    <row r="6205" spans="1:6" x14ac:dyDescent="0.3">
      <c r="A6205" t="s">
        <v>3106</v>
      </c>
      <c r="F6205" t="str">
        <f t="shared" ref="F6205" si="6197">A6205</f>
        <v>TAACGT</v>
      </c>
    </row>
    <row r="6206" spans="1:6" x14ac:dyDescent="0.3">
      <c r="A6206" t="s">
        <v>7203</v>
      </c>
      <c r="F6206" t="str">
        <f t="shared" ref="F6206" si="6198">LEFT(A6206, LEN(A6206) - 1)</f>
        <v>&gt;3101:TAACTA:18.00:16.67:OK:6:1775.23</v>
      </c>
    </row>
    <row r="6207" spans="1:6" x14ac:dyDescent="0.3">
      <c r="A6207" t="s">
        <v>3107</v>
      </c>
      <c r="F6207" t="str">
        <f t="shared" ref="F6207" si="6199">A6207</f>
        <v>TAACTA</v>
      </c>
    </row>
    <row r="6208" spans="1:6" x14ac:dyDescent="0.3">
      <c r="A6208" t="s">
        <v>7204</v>
      </c>
      <c r="F6208" t="str">
        <f t="shared" ref="F6208" si="6200">LEFT(A6208, LEN(A6208) - 1)</f>
        <v>&gt;3102:TAACTC:16.00:33.33:OK:6:1751.20</v>
      </c>
    </row>
    <row r="6209" spans="1:6" x14ac:dyDescent="0.3">
      <c r="A6209" t="s">
        <v>3108</v>
      </c>
      <c r="F6209" t="str">
        <f t="shared" ref="F6209" si="6201">A6209</f>
        <v>TAACTC</v>
      </c>
    </row>
    <row r="6210" spans="1:6" x14ac:dyDescent="0.3">
      <c r="A6210" t="s">
        <v>7205</v>
      </c>
      <c r="F6210" t="str">
        <f t="shared" ref="F6210" si="6202">LEFT(A6210, LEN(A6210) - 1)</f>
        <v>&gt;3103:TAACTG:16.00:33.33:OK:6:1791.23</v>
      </c>
    </row>
    <row r="6211" spans="1:6" x14ac:dyDescent="0.3">
      <c r="A6211" t="s">
        <v>3109</v>
      </c>
      <c r="F6211" t="str">
        <f t="shared" ref="F6211" si="6203">A6211</f>
        <v>TAACTG</v>
      </c>
    </row>
    <row r="6212" spans="1:6" x14ac:dyDescent="0.3">
      <c r="A6212" t="s">
        <v>7206</v>
      </c>
      <c r="F6212" t="str">
        <f t="shared" ref="F6212" si="6204">LEFT(A6212, LEN(A6212) - 1)</f>
        <v>&gt;3104:TAACTT:10.00:16.67:OK:6:1766.21</v>
      </c>
    </row>
    <row r="6213" spans="1:6" x14ac:dyDescent="0.3">
      <c r="A6213" t="s">
        <v>3110</v>
      </c>
      <c r="F6213" t="str">
        <f t="shared" ref="F6213" si="6205">A6213</f>
        <v>TAACTT</v>
      </c>
    </row>
    <row r="6214" spans="1:6" x14ac:dyDescent="0.3">
      <c r="A6214" t="s">
        <v>7207</v>
      </c>
      <c r="F6214" t="str">
        <f t="shared" ref="F6214" si="6206">LEFT(A6214, LEN(A6214) - 1)</f>
        <v>&gt;3105:TAAGAA:26.00:16.67:OK:6:1824.28</v>
      </c>
    </row>
    <row r="6215" spans="1:6" x14ac:dyDescent="0.3">
      <c r="A6215" t="s">
        <v>3111</v>
      </c>
      <c r="F6215" t="str">
        <f t="shared" ref="F6215" si="6207">A6215</f>
        <v>TAAGAA</v>
      </c>
    </row>
    <row r="6216" spans="1:6" x14ac:dyDescent="0.3">
      <c r="A6216" t="s">
        <v>7208</v>
      </c>
      <c r="F6216" t="str">
        <f t="shared" ref="F6216" si="6208">LEFT(A6216, LEN(A6216) - 1)</f>
        <v>&gt;3106:TAAGAC:24.00:33.33:OK:6:1800.25</v>
      </c>
    </row>
    <row r="6217" spans="1:6" x14ac:dyDescent="0.3">
      <c r="A6217" t="s">
        <v>3112</v>
      </c>
      <c r="F6217" t="str">
        <f t="shared" ref="F6217" si="6209">A6217</f>
        <v>TAAGAC</v>
      </c>
    </row>
    <row r="6218" spans="1:6" x14ac:dyDescent="0.3">
      <c r="A6218" t="s">
        <v>7209</v>
      </c>
      <c r="F6218" t="str">
        <f t="shared" ref="F6218" si="6210">LEFT(A6218, LEN(A6218) - 1)</f>
        <v>&gt;3107:TAAGAG:24.00:33.33:OK:6:1840.28</v>
      </c>
    </row>
    <row r="6219" spans="1:6" x14ac:dyDescent="0.3">
      <c r="A6219" t="s">
        <v>3113</v>
      </c>
      <c r="F6219" t="str">
        <f t="shared" ref="F6219" si="6211">A6219</f>
        <v>TAAGAG</v>
      </c>
    </row>
    <row r="6220" spans="1:6" x14ac:dyDescent="0.3">
      <c r="A6220" t="s">
        <v>7210</v>
      </c>
      <c r="F6220" t="str">
        <f t="shared" ref="F6220" si="6212">LEFT(A6220, LEN(A6220) - 1)</f>
        <v>&gt;3108:TAAGAT:18.00:16.67:OK:6:1815.26</v>
      </c>
    </row>
    <row r="6221" spans="1:6" x14ac:dyDescent="0.3">
      <c r="A6221" t="s">
        <v>3114</v>
      </c>
      <c r="F6221" t="str">
        <f t="shared" ref="F6221" si="6213">A6221</f>
        <v>TAAGAT</v>
      </c>
    </row>
    <row r="6222" spans="1:6" x14ac:dyDescent="0.3">
      <c r="A6222" t="s">
        <v>7211</v>
      </c>
      <c r="F6222" t="str">
        <f t="shared" ref="F6222" si="6214">LEFT(A6222, LEN(A6222) - 1)</f>
        <v>&gt;3109:TAAGCA:24.00:33.33:OK:6:1800.25</v>
      </c>
    </row>
    <row r="6223" spans="1:6" x14ac:dyDescent="0.3">
      <c r="A6223" t="s">
        <v>3115</v>
      </c>
      <c r="F6223" t="str">
        <f t="shared" ref="F6223" si="6215">A6223</f>
        <v>TAAGCA</v>
      </c>
    </row>
    <row r="6224" spans="1:6" x14ac:dyDescent="0.3">
      <c r="A6224" t="s">
        <v>7212</v>
      </c>
      <c r="F6224" t="str">
        <f t="shared" ref="F6224" si="6216">LEFT(A6224, LEN(A6224) - 1)</f>
        <v>&gt;3110:TAAGCC:22.00:50.00:Warning:6:1776.22</v>
      </c>
    </row>
    <row r="6225" spans="1:6" x14ac:dyDescent="0.3">
      <c r="A6225" t="s">
        <v>3116</v>
      </c>
      <c r="F6225" t="str">
        <f t="shared" ref="F6225" si="6217">A6225</f>
        <v>TAAGCC</v>
      </c>
    </row>
    <row r="6226" spans="1:6" x14ac:dyDescent="0.3">
      <c r="A6226" t="s">
        <v>7213</v>
      </c>
      <c r="F6226" t="str">
        <f t="shared" ref="F6226" si="6218">LEFT(A6226, LEN(A6226) - 1)</f>
        <v>&gt;3111:TAAGCG:22.00:50.00:Warning:6:1816.25</v>
      </c>
    </row>
    <row r="6227" spans="1:6" x14ac:dyDescent="0.3">
      <c r="A6227" t="s">
        <v>3117</v>
      </c>
      <c r="F6227" t="str">
        <f t="shared" ref="F6227" si="6219">A6227</f>
        <v>TAAGCG</v>
      </c>
    </row>
    <row r="6228" spans="1:6" x14ac:dyDescent="0.3">
      <c r="A6228" t="s">
        <v>7214</v>
      </c>
      <c r="F6228" t="str">
        <f t="shared" ref="F6228" si="6220">LEFT(A6228, LEN(A6228) - 1)</f>
        <v>&gt;3112:TAAGCT:16.00:33.33:OK:6:1791.23</v>
      </c>
    </row>
    <row r="6229" spans="1:6" x14ac:dyDescent="0.3">
      <c r="A6229" t="s">
        <v>3118</v>
      </c>
      <c r="F6229" t="str">
        <f t="shared" ref="F6229" si="6221">A6229</f>
        <v>TAAGCT</v>
      </c>
    </row>
    <row r="6230" spans="1:6" x14ac:dyDescent="0.3">
      <c r="A6230" t="s">
        <v>7215</v>
      </c>
      <c r="F6230" t="str">
        <f t="shared" ref="F6230" si="6222">LEFT(A6230, LEN(A6230) - 1)</f>
        <v>&gt;3113:TAAGGA:24.00:33.33:OK:6:1840.28</v>
      </c>
    </row>
    <row r="6231" spans="1:6" x14ac:dyDescent="0.3">
      <c r="A6231" t="s">
        <v>3119</v>
      </c>
      <c r="F6231" t="str">
        <f t="shared" ref="F6231" si="6223">A6231</f>
        <v>TAAGGA</v>
      </c>
    </row>
    <row r="6232" spans="1:6" x14ac:dyDescent="0.3">
      <c r="A6232" t="s">
        <v>7216</v>
      </c>
      <c r="F6232" t="str">
        <f t="shared" ref="F6232" si="6224">LEFT(A6232, LEN(A6232) - 1)</f>
        <v>&gt;3114:TAAGGC:22.00:50.00:Warning:6:1816.25</v>
      </c>
    </row>
    <row r="6233" spans="1:6" x14ac:dyDescent="0.3">
      <c r="A6233" t="s">
        <v>3120</v>
      </c>
      <c r="F6233" t="str">
        <f t="shared" ref="F6233" si="6225">A6233</f>
        <v>TAAGGC</v>
      </c>
    </row>
    <row r="6234" spans="1:6" x14ac:dyDescent="0.3">
      <c r="A6234" t="s">
        <v>7217</v>
      </c>
      <c r="F6234" t="str">
        <f t="shared" ref="F6234" si="6226">LEFT(A6234, LEN(A6234) - 1)</f>
        <v>&gt;3115:TAAGGG:22.00:50.00:Warning:6:1856.28</v>
      </c>
    </row>
    <row r="6235" spans="1:6" x14ac:dyDescent="0.3">
      <c r="A6235" t="s">
        <v>3121</v>
      </c>
      <c r="F6235" t="str">
        <f t="shared" ref="F6235" si="6227">A6235</f>
        <v>TAAGGG</v>
      </c>
    </row>
    <row r="6236" spans="1:6" x14ac:dyDescent="0.3">
      <c r="A6236" t="s">
        <v>7218</v>
      </c>
      <c r="F6236" t="str">
        <f t="shared" ref="F6236" si="6228">LEFT(A6236, LEN(A6236) - 1)</f>
        <v>&gt;3116:TAAGGT:16.00:33.33:OK:6:1831.26</v>
      </c>
    </row>
    <row r="6237" spans="1:6" x14ac:dyDescent="0.3">
      <c r="A6237" t="s">
        <v>3122</v>
      </c>
      <c r="F6237" t="str">
        <f t="shared" ref="F6237" si="6229">A6237</f>
        <v>TAAGGT</v>
      </c>
    </row>
    <row r="6238" spans="1:6" x14ac:dyDescent="0.3">
      <c r="A6238" t="s">
        <v>7219</v>
      </c>
      <c r="F6238" t="str">
        <f t="shared" ref="F6238" si="6230">LEFT(A6238, LEN(A6238) - 1)</f>
        <v>&gt;3117:TAAGTA:18.00:16.67:OK:6:1815.26</v>
      </c>
    </row>
    <row r="6239" spans="1:6" x14ac:dyDescent="0.3">
      <c r="A6239" t="s">
        <v>3123</v>
      </c>
      <c r="F6239" t="str">
        <f t="shared" ref="F6239" si="6231">A6239</f>
        <v>TAAGTA</v>
      </c>
    </row>
    <row r="6240" spans="1:6" x14ac:dyDescent="0.3">
      <c r="A6240" t="s">
        <v>7220</v>
      </c>
      <c r="F6240" t="str">
        <f t="shared" ref="F6240" si="6232">LEFT(A6240, LEN(A6240) - 1)</f>
        <v>&gt;3118:TAAGTC:16.00:33.33:OK:6:1791.23</v>
      </c>
    </row>
    <row r="6241" spans="1:6" x14ac:dyDescent="0.3">
      <c r="A6241" t="s">
        <v>3124</v>
      </c>
      <c r="F6241" t="str">
        <f t="shared" ref="F6241" si="6233">A6241</f>
        <v>TAAGTC</v>
      </c>
    </row>
    <row r="6242" spans="1:6" x14ac:dyDescent="0.3">
      <c r="A6242" t="s">
        <v>7221</v>
      </c>
      <c r="F6242" t="str">
        <f t="shared" ref="F6242" si="6234">LEFT(A6242, LEN(A6242) - 1)</f>
        <v>&gt;3119:TAAGTG:16.00:33.33:OK:6:1831.26</v>
      </c>
    </row>
    <row r="6243" spans="1:6" x14ac:dyDescent="0.3">
      <c r="A6243" t="s">
        <v>3125</v>
      </c>
      <c r="F6243" t="str">
        <f t="shared" ref="F6243" si="6235">A6243</f>
        <v>TAAGTG</v>
      </c>
    </row>
    <row r="6244" spans="1:6" x14ac:dyDescent="0.3">
      <c r="A6244" t="s">
        <v>7222</v>
      </c>
      <c r="F6244" t="str">
        <f t="shared" ref="F6244" si="6236">LEFT(A6244, LEN(A6244) - 1)</f>
        <v>&gt;3120:TAAGTT:10.00:16.67:OK:6:1806.24</v>
      </c>
    </row>
    <row r="6245" spans="1:6" x14ac:dyDescent="0.3">
      <c r="A6245" t="s">
        <v>3126</v>
      </c>
      <c r="F6245" t="str">
        <f t="shared" ref="F6245" si="6237">A6245</f>
        <v>TAAGTT</v>
      </c>
    </row>
    <row r="6246" spans="1:6" x14ac:dyDescent="0.3">
      <c r="A6246" t="s">
        <v>7223</v>
      </c>
      <c r="F6246" t="str">
        <f t="shared" ref="F6246" si="6238">LEFT(A6246, LEN(A6246) - 1)</f>
        <v>&gt;3121:TAATAA:20.00:0.00:OK:6:1799.26</v>
      </c>
    </row>
    <row r="6247" spans="1:6" x14ac:dyDescent="0.3">
      <c r="A6247" t="s">
        <v>3127</v>
      </c>
      <c r="F6247" t="str">
        <f t="shared" ref="F6247" si="6239">A6247</f>
        <v>TAATAA</v>
      </c>
    </row>
    <row r="6248" spans="1:6" x14ac:dyDescent="0.3">
      <c r="A6248" t="s">
        <v>7224</v>
      </c>
      <c r="F6248" t="str">
        <f t="shared" ref="F6248" si="6240">LEFT(A6248, LEN(A6248) - 1)</f>
        <v>&gt;3122:TAATAC:18.00:16.67:OK:6:1775.23</v>
      </c>
    </row>
    <row r="6249" spans="1:6" x14ac:dyDescent="0.3">
      <c r="A6249" t="s">
        <v>3128</v>
      </c>
      <c r="F6249" t="str">
        <f t="shared" ref="F6249" si="6241">A6249</f>
        <v>TAATAC</v>
      </c>
    </row>
    <row r="6250" spans="1:6" x14ac:dyDescent="0.3">
      <c r="A6250" t="s">
        <v>7225</v>
      </c>
      <c r="F6250" t="str">
        <f t="shared" ref="F6250" si="6242">LEFT(A6250, LEN(A6250) - 1)</f>
        <v>&gt;3123:TAATAG:18.00:16.67:OK:6:1815.26</v>
      </c>
    </row>
    <row r="6251" spans="1:6" x14ac:dyDescent="0.3">
      <c r="A6251" t="s">
        <v>3129</v>
      </c>
      <c r="F6251" t="str">
        <f t="shared" ref="F6251" si="6243">A6251</f>
        <v>TAATAG</v>
      </c>
    </row>
    <row r="6252" spans="1:6" x14ac:dyDescent="0.3">
      <c r="A6252" t="s">
        <v>7226</v>
      </c>
      <c r="F6252" t="str">
        <f t="shared" ref="F6252" si="6244">LEFT(A6252, LEN(A6252) - 1)</f>
        <v>&gt;3124:TAATAT:12.00:0.00:OK:6:1790.24</v>
      </c>
    </row>
    <row r="6253" spans="1:6" x14ac:dyDescent="0.3">
      <c r="A6253" t="s">
        <v>3130</v>
      </c>
      <c r="F6253" t="str">
        <f t="shared" ref="F6253" si="6245">A6253</f>
        <v>TAATAT</v>
      </c>
    </row>
    <row r="6254" spans="1:6" x14ac:dyDescent="0.3">
      <c r="A6254" t="s">
        <v>7227</v>
      </c>
      <c r="F6254" t="str">
        <f t="shared" ref="F6254" si="6246">LEFT(A6254, LEN(A6254) - 1)</f>
        <v>&gt;3125:TAATCA:18.00:16.67:OK:6:1775.23</v>
      </c>
    </row>
    <row r="6255" spans="1:6" x14ac:dyDescent="0.3">
      <c r="A6255" t="s">
        <v>3131</v>
      </c>
      <c r="F6255" t="str">
        <f t="shared" ref="F6255" si="6247">A6255</f>
        <v>TAATCA</v>
      </c>
    </row>
    <row r="6256" spans="1:6" x14ac:dyDescent="0.3">
      <c r="A6256" t="s">
        <v>7228</v>
      </c>
      <c r="F6256" t="str">
        <f t="shared" ref="F6256" si="6248">LEFT(A6256, LEN(A6256) - 1)</f>
        <v>&gt;3126:TAATCC:16.00:33.33:OK:6:1751.20</v>
      </c>
    </row>
    <row r="6257" spans="1:6" x14ac:dyDescent="0.3">
      <c r="A6257" t="s">
        <v>3132</v>
      </c>
      <c r="F6257" t="str">
        <f t="shared" ref="F6257" si="6249">A6257</f>
        <v>TAATCC</v>
      </c>
    </row>
    <row r="6258" spans="1:6" x14ac:dyDescent="0.3">
      <c r="A6258" t="s">
        <v>7229</v>
      </c>
      <c r="F6258" t="str">
        <f t="shared" ref="F6258" si="6250">LEFT(A6258, LEN(A6258) - 1)</f>
        <v>&gt;3127:TAATCG:16.00:33.33:OK:6:1791.23</v>
      </c>
    </row>
    <row r="6259" spans="1:6" x14ac:dyDescent="0.3">
      <c r="A6259" t="s">
        <v>3133</v>
      </c>
      <c r="F6259" t="str">
        <f t="shared" ref="F6259" si="6251">A6259</f>
        <v>TAATCG</v>
      </c>
    </row>
    <row r="6260" spans="1:6" x14ac:dyDescent="0.3">
      <c r="A6260" t="s">
        <v>7230</v>
      </c>
      <c r="F6260" t="str">
        <f t="shared" ref="F6260" si="6252">LEFT(A6260, LEN(A6260) - 1)</f>
        <v>&gt;3128:TAATCT:10.00:16.67:OK:6:1766.21</v>
      </c>
    </row>
    <row r="6261" spans="1:6" x14ac:dyDescent="0.3">
      <c r="A6261" t="s">
        <v>3134</v>
      </c>
      <c r="F6261" t="str">
        <f t="shared" ref="F6261" si="6253">A6261</f>
        <v>TAATCT</v>
      </c>
    </row>
    <row r="6262" spans="1:6" x14ac:dyDescent="0.3">
      <c r="A6262" t="s">
        <v>7231</v>
      </c>
      <c r="F6262" t="str">
        <f t="shared" ref="F6262" si="6254">LEFT(A6262, LEN(A6262) - 1)</f>
        <v>&gt;3129:TAATGA:18.00:16.67:OK:6:1815.26</v>
      </c>
    </row>
    <row r="6263" spans="1:6" x14ac:dyDescent="0.3">
      <c r="A6263" t="s">
        <v>3135</v>
      </c>
      <c r="F6263" t="str">
        <f t="shared" ref="F6263" si="6255">A6263</f>
        <v>TAATGA</v>
      </c>
    </row>
    <row r="6264" spans="1:6" x14ac:dyDescent="0.3">
      <c r="A6264" t="s">
        <v>7232</v>
      </c>
      <c r="F6264" t="str">
        <f t="shared" ref="F6264" si="6256">LEFT(A6264, LEN(A6264) - 1)</f>
        <v>&gt;3130:TAATGC:16.00:33.33:OK:6:1791.23</v>
      </c>
    </row>
    <row r="6265" spans="1:6" x14ac:dyDescent="0.3">
      <c r="A6265" t="s">
        <v>3136</v>
      </c>
      <c r="F6265" t="str">
        <f t="shared" ref="F6265" si="6257">A6265</f>
        <v>TAATGC</v>
      </c>
    </row>
    <row r="6266" spans="1:6" x14ac:dyDescent="0.3">
      <c r="A6266" t="s">
        <v>7233</v>
      </c>
      <c r="F6266" t="str">
        <f t="shared" ref="F6266" si="6258">LEFT(A6266, LEN(A6266) - 1)</f>
        <v>&gt;3131:TAATGG:16.00:33.33:OK:6:1831.26</v>
      </c>
    </row>
    <row r="6267" spans="1:6" x14ac:dyDescent="0.3">
      <c r="A6267" t="s">
        <v>3137</v>
      </c>
      <c r="F6267" t="str">
        <f t="shared" ref="F6267" si="6259">A6267</f>
        <v>TAATGG</v>
      </c>
    </row>
    <row r="6268" spans="1:6" x14ac:dyDescent="0.3">
      <c r="A6268" t="s">
        <v>7234</v>
      </c>
      <c r="F6268" t="str">
        <f t="shared" ref="F6268" si="6260">LEFT(A6268, LEN(A6268) - 1)</f>
        <v>&gt;3132:TAATGT:10.00:16.67:OK:6:1806.24</v>
      </c>
    </row>
    <row r="6269" spans="1:6" x14ac:dyDescent="0.3">
      <c r="A6269" t="s">
        <v>3138</v>
      </c>
      <c r="F6269" t="str">
        <f t="shared" ref="F6269" si="6261">A6269</f>
        <v>TAATGT</v>
      </c>
    </row>
    <row r="6270" spans="1:6" x14ac:dyDescent="0.3">
      <c r="A6270" t="s">
        <v>7235</v>
      </c>
      <c r="F6270" t="str">
        <f t="shared" ref="F6270" si="6262">LEFT(A6270, LEN(A6270) - 1)</f>
        <v>&gt;3133:TAATTA:12.00:0.00:OK:6:1790.24</v>
      </c>
    </row>
    <row r="6271" spans="1:6" x14ac:dyDescent="0.3">
      <c r="A6271" t="s">
        <v>3139</v>
      </c>
      <c r="F6271" t="str">
        <f t="shared" ref="F6271" si="6263">A6271</f>
        <v>TAATTA</v>
      </c>
    </row>
    <row r="6272" spans="1:6" x14ac:dyDescent="0.3">
      <c r="A6272" t="s">
        <v>7236</v>
      </c>
      <c r="F6272" t="str">
        <f t="shared" ref="F6272" si="6264">LEFT(A6272, LEN(A6272) - 1)</f>
        <v>&gt;3134:TAATTC:10.00:16.67:OK:6:1766.21</v>
      </c>
    </row>
    <row r="6273" spans="1:6" x14ac:dyDescent="0.3">
      <c r="A6273" t="s">
        <v>3140</v>
      </c>
      <c r="F6273" t="str">
        <f t="shared" ref="F6273" si="6265">A6273</f>
        <v>TAATTC</v>
      </c>
    </row>
    <row r="6274" spans="1:6" x14ac:dyDescent="0.3">
      <c r="A6274" t="s">
        <v>7237</v>
      </c>
      <c r="F6274" t="str">
        <f t="shared" ref="F6274" si="6266">LEFT(A6274, LEN(A6274) - 1)</f>
        <v>&gt;3135:TAATTG:10.00:16.67:OK:6:1806.24</v>
      </c>
    </row>
    <row r="6275" spans="1:6" x14ac:dyDescent="0.3">
      <c r="A6275" t="s">
        <v>3141</v>
      </c>
      <c r="F6275" t="str">
        <f t="shared" ref="F6275" si="6267">A6275</f>
        <v>TAATTG</v>
      </c>
    </row>
    <row r="6276" spans="1:6" x14ac:dyDescent="0.3">
      <c r="A6276" t="s">
        <v>7238</v>
      </c>
      <c r="F6276" t="str">
        <f t="shared" ref="F6276" si="6268">LEFT(A6276, LEN(A6276) - 1)</f>
        <v>&gt;3136:TAATTT:4.00:0.00:OK:6:1781.22</v>
      </c>
    </row>
    <row r="6277" spans="1:6" x14ac:dyDescent="0.3">
      <c r="A6277" t="s">
        <v>3142</v>
      </c>
      <c r="F6277" t="str">
        <f t="shared" ref="F6277" si="6269">A6277</f>
        <v>TAATTT</v>
      </c>
    </row>
    <row r="6278" spans="1:6" x14ac:dyDescent="0.3">
      <c r="A6278" t="s">
        <v>7239</v>
      </c>
      <c r="F6278" t="str">
        <f t="shared" ref="F6278" si="6270">LEFT(A6278, LEN(A6278) - 1)</f>
        <v>&gt;3137:TACAAA:26.00:16.67:OK:6:1784.25</v>
      </c>
    </row>
    <row r="6279" spans="1:6" x14ac:dyDescent="0.3">
      <c r="A6279" t="s">
        <v>3143</v>
      </c>
      <c r="F6279" t="str">
        <f t="shared" ref="F6279" si="6271">A6279</f>
        <v>TACAAA</v>
      </c>
    </row>
    <row r="6280" spans="1:6" x14ac:dyDescent="0.3">
      <c r="A6280" t="s">
        <v>7240</v>
      </c>
      <c r="F6280" t="str">
        <f t="shared" ref="F6280" si="6272">LEFT(A6280, LEN(A6280) - 1)</f>
        <v>&gt;3138:TACAAC:24.00:33.33:OK:6:1760.22</v>
      </c>
    </row>
    <row r="6281" spans="1:6" x14ac:dyDescent="0.3">
      <c r="A6281" t="s">
        <v>3144</v>
      </c>
      <c r="F6281" t="str">
        <f t="shared" ref="F6281" si="6273">A6281</f>
        <v>TACAAC</v>
      </c>
    </row>
    <row r="6282" spans="1:6" x14ac:dyDescent="0.3">
      <c r="A6282" t="s">
        <v>7241</v>
      </c>
      <c r="F6282" t="str">
        <f t="shared" ref="F6282" si="6274">LEFT(A6282, LEN(A6282) - 1)</f>
        <v>&gt;3139:TACAAG:24.00:33.33:OK:6:1800.25</v>
      </c>
    </row>
    <row r="6283" spans="1:6" x14ac:dyDescent="0.3">
      <c r="A6283" t="s">
        <v>3145</v>
      </c>
      <c r="F6283" t="str">
        <f t="shared" ref="F6283" si="6275">A6283</f>
        <v>TACAAG</v>
      </c>
    </row>
    <row r="6284" spans="1:6" x14ac:dyDescent="0.3">
      <c r="A6284" t="s">
        <v>7242</v>
      </c>
      <c r="F6284" t="str">
        <f t="shared" ref="F6284" si="6276">LEFT(A6284, LEN(A6284) - 1)</f>
        <v>&gt;3140:TACAAT:18.00:16.67:OK:6:1775.23</v>
      </c>
    </row>
    <row r="6285" spans="1:6" x14ac:dyDescent="0.3">
      <c r="A6285" t="s">
        <v>3146</v>
      </c>
      <c r="F6285" t="str">
        <f t="shared" ref="F6285" si="6277">A6285</f>
        <v>TACAAT</v>
      </c>
    </row>
    <row r="6286" spans="1:6" x14ac:dyDescent="0.3">
      <c r="A6286" t="s">
        <v>7243</v>
      </c>
      <c r="F6286" t="str">
        <f t="shared" ref="F6286" si="6278">LEFT(A6286, LEN(A6286) - 1)</f>
        <v>&gt;3141:TACACA:24.00:33.33:OK:6:1760.22</v>
      </c>
    </row>
    <row r="6287" spans="1:6" x14ac:dyDescent="0.3">
      <c r="A6287" t="s">
        <v>3147</v>
      </c>
      <c r="F6287" t="str">
        <f t="shared" ref="F6287" si="6279">A6287</f>
        <v>TACACA</v>
      </c>
    </row>
    <row r="6288" spans="1:6" x14ac:dyDescent="0.3">
      <c r="A6288" t="s">
        <v>7244</v>
      </c>
      <c r="F6288" t="str">
        <f t="shared" ref="F6288" si="6280">LEFT(A6288, LEN(A6288) - 1)</f>
        <v>&gt;3142:TACACC:22.00:50.00:Warning:6:1736.19</v>
      </c>
    </row>
    <row r="6289" spans="1:6" x14ac:dyDescent="0.3">
      <c r="A6289" t="s">
        <v>3148</v>
      </c>
      <c r="F6289" t="str">
        <f t="shared" ref="F6289" si="6281">A6289</f>
        <v>TACACC</v>
      </c>
    </row>
    <row r="6290" spans="1:6" x14ac:dyDescent="0.3">
      <c r="A6290" t="s">
        <v>7245</v>
      </c>
      <c r="F6290" t="str">
        <f t="shared" ref="F6290" si="6282">LEFT(A6290, LEN(A6290) - 1)</f>
        <v>&gt;3143:TACACG:22.00:50.00:Warning:6:1776.22</v>
      </c>
    </row>
    <row r="6291" spans="1:6" x14ac:dyDescent="0.3">
      <c r="A6291" t="s">
        <v>3149</v>
      </c>
      <c r="F6291" t="str">
        <f t="shared" ref="F6291" si="6283">A6291</f>
        <v>TACACG</v>
      </c>
    </row>
    <row r="6292" spans="1:6" x14ac:dyDescent="0.3">
      <c r="A6292" t="s">
        <v>7246</v>
      </c>
      <c r="F6292" t="str">
        <f t="shared" ref="F6292" si="6284">LEFT(A6292, LEN(A6292) - 1)</f>
        <v>&gt;3144:TACACT:16.00:33.33:OK:6:1751.20</v>
      </c>
    </row>
    <row r="6293" spans="1:6" x14ac:dyDescent="0.3">
      <c r="A6293" t="s">
        <v>3150</v>
      </c>
      <c r="F6293" t="str">
        <f t="shared" ref="F6293" si="6285">A6293</f>
        <v>TACACT</v>
      </c>
    </row>
    <row r="6294" spans="1:6" x14ac:dyDescent="0.3">
      <c r="A6294" t="s">
        <v>7247</v>
      </c>
      <c r="F6294" t="str">
        <f t="shared" ref="F6294" si="6286">LEFT(A6294, LEN(A6294) - 1)</f>
        <v>&gt;3145:TACAGA:24.00:33.33:OK:6:1800.25</v>
      </c>
    </row>
    <row r="6295" spans="1:6" x14ac:dyDescent="0.3">
      <c r="A6295" t="s">
        <v>3151</v>
      </c>
      <c r="F6295" t="str">
        <f t="shared" ref="F6295" si="6287">A6295</f>
        <v>TACAGA</v>
      </c>
    </row>
    <row r="6296" spans="1:6" x14ac:dyDescent="0.3">
      <c r="A6296" t="s">
        <v>7248</v>
      </c>
      <c r="F6296" t="str">
        <f t="shared" ref="F6296" si="6288">LEFT(A6296, LEN(A6296) - 1)</f>
        <v>&gt;3146:TACAGC:22.00:50.00:Warning:6:1776.22</v>
      </c>
    </row>
    <row r="6297" spans="1:6" x14ac:dyDescent="0.3">
      <c r="A6297" t="s">
        <v>3152</v>
      </c>
      <c r="F6297" t="str">
        <f t="shared" ref="F6297" si="6289">A6297</f>
        <v>TACAGC</v>
      </c>
    </row>
    <row r="6298" spans="1:6" x14ac:dyDescent="0.3">
      <c r="A6298" t="s">
        <v>7249</v>
      </c>
      <c r="F6298" t="str">
        <f t="shared" ref="F6298" si="6290">LEFT(A6298, LEN(A6298) - 1)</f>
        <v>&gt;3147:TACAGG:22.00:50.00:Warning:6:1816.25</v>
      </c>
    </row>
    <row r="6299" spans="1:6" x14ac:dyDescent="0.3">
      <c r="A6299" t="s">
        <v>3153</v>
      </c>
      <c r="F6299" t="str">
        <f t="shared" ref="F6299" si="6291">A6299</f>
        <v>TACAGG</v>
      </c>
    </row>
    <row r="6300" spans="1:6" x14ac:dyDescent="0.3">
      <c r="A6300" t="s">
        <v>7250</v>
      </c>
      <c r="F6300" t="str">
        <f t="shared" ref="F6300" si="6292">LEFT(A6300, LEN(A6300) - 1)</f>
        <v>&gt;3148:TACAGT:16.00:33.33:OK:6:1791.23</v>
      </c>
    </row>
    <row r="6301" spans="1:6" x14ac:dyDescent="0.3">
      <c r="A6301" t="s">
        <v>3154</v>
      </c>
      <c r="F6301" t="str">
        <f t="shared" ref="F6301" si="6293">A6301</f>
        <v>TACAGT</v>
      </c>
    </row>
    <row r="6302" spans="1:6" x14ac:dyDescent="0.3">
      <c r="A6302" t="s">
        <v>7251</v>
      </c>
      <c r="F6302" t="str">
        <f t="shared" ref="F6302" si="6294">LEFT(A6302, LEN(A6302) - 1)</f>
        <v>&gt;3149:TACATA:18.00:16.67:OK:6:1775.23</v>
      </c>
    </row>
    <row r="6303" spans="1:6" x14ac:dyDescent="0.3">
      <c r="A6303" t="s">
        <v>3155</v>
      </c>
      <c r="F6303" t="str">
        <f t="shared" ref="F6303" si="6295">A6303</f>
        <v>TACATA</v>
      </c>
    </row>
    <row r="6304" spans="1:6" x14ac:dyDescent="0.3">
      <c r="A6304" t="s">
        <v>7252</v>
      </c>
      <c r="F6304" t="str">
        <f t="shared" ref="F6304" si="6296">LEFT(A6304, LEN(A6304) - 1)</f>
        <v>&gt;3150:TACATC:16.00:33.33:OK:6:1751.20</v>
      </c>
    </row>
    <row r="6305" spans="1:6" x14ac:dyDescent="0.3">
      <c r="A6305" t="s">
        <v>3156</v>
      </c>
      <c r="F6305" t="str">
        <f t="shared" ref="F6305" si="6297">A6305</f>
        <v>TACATC</v>
      </c>
    </row>
    <row r="6306" spans="1:6" x14ac:dyDescent="0.3">
      <c r="A6306" t="s">
        <v>7253</v>
      </c>
      <c r="F6306" t="str">
        <f t="shared" ref="F6306" si="6298">LEFT(A6306, LEN(A6306) - 1)</f>
        <v>&gt;3151:TACATG:16.00:33.33:OK:6:1791.23</v>
      </c>
    </row>
    <row r="6307" spans="1:6" x14ac:dyDescent="0.3">
      <c r="A6307" t="s">
        <v>3157</v>
      </c>
      <c r="F6307" t="str">
        <f t="shared" ref="F6307" si="6299">A6307</f>
        <v>TACATG</v>
      </c>
    </row>
    <row r="6308" spans="1:6" x14ac:dyDescent="0.3">
      <c r="A6308" t="s">
        <v>7254</v>
      </c>
      <c r="F6308" t="str">
        <f t="shared" ref="F6308" si="6300">LEFT(A6308, LEN(A6308) - 1)</f>
        <v>&gt;3152:TACATT:10.00:16.67:OK:6:1766.21</v>
      </c>
    </row>
    <row r="6309" spans="1:6" x14ac:dyDescent="0.3">
      <c r="A6309" t="s">
        <v>3158</v>
      </c>
      <c r="F6309" t="str">
        <f t="shared" ref="F6309" si="6301">A6309</f>
        <v>TACATT</v>
      </c>
    </row>
    <row r="6310" spans="1:6" x14ac:dyDescent="0.3">
      <c r="A6310" t="s">
        <v>7255</v>
      </c>
      <c r="F6310" t="str">
        <f t="shared" ref="F6310" si="6302">LEFT(A6310, LEN(A6310) - 1)</f>
        <v>&gt;3153:TACCAA:24.00:33.33:OK:6:1760.22</v>
      </c>
    </row>
    <row r="6311" spans="1:6" x14ac:dyDescent="0.3">
      <c r="A6311" t="s">
        <v>3159</v>
      </c>
      <c r="F6311" t="str">
        <f t="shared" ref="F6311" si="6303">A6311</f>
        <v>TACCAA</v>
      </c>
    </row>
    <row r="6312" spans="1:6" x14ac:dyDescent="0.3">
      <c r="A6312" t="s">
        <v>7256</v>
      </c>
      <c r="F6312" t="str">
        <f t="shared" ref="F6312" si="6304">LEFT(A6312, LEN(A6312) - 1)</f>
        <v>&gt;3154:TACCAC:22.00:50.00:Warning:6:1736.19</v>
      </c>
    </row>
    <row r="6313" spans="1:6" x14ac:dyDescent="0.3">
      <c r="A6313" t="s">
        <v>3160</v>
      </c>
      <c r="F6313" t="str">
        <f t="shared" ref="F6313" si="6305">A6313</f>
        <v>TACCAC</v>
      </c>
    </row>
    <row r="6314" spans="1:6" x14ac:dyDescent="0.3">
      <c r="A6314" t="s">
        <v>7257</v>
      </c>
      <c r="F6314" t="str">
        <f t="shared" ref="F6314" si="6306">LEFT(A6314, LEN(A6314) - 1)</f>
        <v>&gt;3155:TACCAG:22.00:50.00:Warning:6:1776.22</v>
      </c>
    </row>
    <row r="6315" spans="1:6" x14ac:dyDescent="0.3">
      <c r="A6315" t="s">
        <v>3161</v>
      </c>
      <c r="F6315" t="str">
        <f t="shared" ref="F6315" si="6307">A6315</f>
        <v>TACCAG</v>
      </c>
    </row>
    <row r="6316" spans="1:6" x14ac:dyDescent="0.3">
      <c r="A6316" t="s">
        <v>7258</v>
      </c>
      <c r="F6316" t="str">
        <f t="shared" ref="F6316" si="6308">LEFT(A6316, LEN(A6316) - 1)</f>
        <v>&gt;3156:TACCAT:16.00:33.33:OK:6:1751.20</v>
      </c>
    </row>
    <row r="6317" spans="1:6" x14ac:dyDescent="0.3">
      <c r="A6317" t="s">
        <v>3162</v>
      </c>
      <c r="F6317" t="str">
        <f t="shared" ref="F6317" si="6309">A6317</f>
        <v>TACCAT</v>
      </c>
    </row>
    <row r="6318" spans="1:6" x14ac:dyDescent="0.3">
      <c r="A6318" t="s">
        <v>7259</v>
      </c>
      <c r="F6318" t="str">
        <f t="shared" ref="F6318" si="6310">LEFT(A6318, LEN(A6318) - 1)</f>
        <v>&gt;3157:TACCCA:22.00:50.00:Warning:6:1736.19</v>
      </c>
    </row>
    <row r="6319" spans="1:6" x14ac:dyDescent="0.3">
      <c r="A6319" t="s">
        <v>3163</v>
      </c>
      <c r="F6319" t="str">
        <f t="shared" ref="F6319" si="6311">A6319</f>
        <v>TACCCA</v>
      </c>
    </row>
    <row r="6320" spans="1:6" x14ac:dyDescent="0.3">
      <c r="A6320" t="s">
        <v>7260</v>
      </c>
      <c r="F6320" t="str">
        <f t="shared" ref="F6320" si="6312">LEFT(A6320, LEN(A6320) - 1)</f>
        <v>&gt;3158:TACCCC:20.00:66.67:Warning:6:1712.16</v>
      </c>
    </row>
    <row r="6321" spans="1:6" x14ac:dyDescent="0.3">
      <c r="A6321" t="s">
        <v>3164</v>
      </c>
      <c r="F6321" t="str">
        <f t="shared" ref="F6321" si="6313">A6321</f>
        <v>TACCCC</v>
      </c>
    </row>
    <row r="6322" spans="1:6" x14ac:dyDescent="0.3">
      <c r="A6322" t="s">
        <v>7261</v>
      </c>
      <c r="F6322" t="str">
        <f t="shared" ref="F6322" si="6314">LEFT(A6322, LEN(A6322) - 1)</f>
        <v>&gt;3159:TACCCG:20.00:66.67:Warning:6:1752.19</v>
      </c>
    </row>
    <row r="6323" spans="1:6" x14ac:dyDescent="0.3">
      <c r="A6323" t="s">
        <v>3165</v>
      </c>
      <c r="F6323" t="str">
        <f t="shared" ref="F6323" si="6315">A6323</f>
        <v>TACCCG</v>
      </c>
    </row>
    <row r="6324" spans="1:6" x14ac:dyDescent="0.3">
      <c r="A6324" t="s">
        <v>7262</v>
      </c>
      <c r="F6324" t="str">
        <f t="shared" ref="F6324" si="6316">LEFT(A6324, LEN(A6324) - 1)</f>
        <v>&gt;3160:TACCCT:14.00:50.00:Warning:6:1727.17</v>
      </c>
    </row>
    <row r="6325" spans="1:6" x14ac:dyDescent="0.3">
      <c r="A6325" t="s">
        <v>3166</v>
      </c>
      <c r="F6325" t="str">
        <f t="shared" ref="F6325" si="6317">A6325</f>
        <v>TACCCT</v>
      </c>
    </row>
    <row r="6326" spans="1:6" x14ac:dyDescent="0.3">
      <c r="A6326" t="s">
        <v>7263</v>
      </c>
      <c r="F6326" t="str">
        <f t="shared" ref="F6326" si="6318">LEFT(A6326, LEN(A6326) - 1)</f>
        <v>&gt;3161:TACCGA:22.00:50.00:Warning:6:1776.22</v>
      </c>
    </row>
    <row r="6327" spans="1:6" x14ac:dyDescent="0.3">
      <c r="A6327" t="s">
        <v>3167</v>
      </c>
      <c r="F6327" t="str">
        <f t="shared" ref="F6327" si="6319">A6327</f>
        <v>TACCGA</v>
      </c>
    </row>
    <row r="6328" spans="1:6" x14ac:dyDescent="0.3">
      <c r="A6328" t="s">
        <v>7264</v>
      </c>
      <c r="F6328" t="str">
        <f t="shared" ref="F6328" si="6320">LEFT(A6328, LEN(A6328) - 1)</f>
        <v>&gt;3162:TACCGC:20.00:66.67:Warning:6:1752.19</v>
      </c>
    </row>
    <row r="6329" spans="1:6" x14ac:dyDescent="0.3">
      <c r="A6329" t="s">
        <v>3168</v>
      </c>
      <c r="F6329" t="str">
        <f t="shared" ref="F6329" si="6321">A6329</f>
        <v>TACCGC</v>
      </c>
    </row>
    <row r="6330" spans="1:6" x14ac:dyDescent="0.3">
      <c r="A6330" t="s">
        <v>7265</v>
      </c>
      <c r="F6330" t="str">
        <f t="shared" ref="F6330" si="6322">LEFT(A6330, LEN(A6330) - 1)</f>
        <v>&gt;3163:TACCGG:20.00:66.67:Warning:6:1792.22</v>
      </c>
    </row>
    <row r="6331" spans="1:6" x14ac:dyDescent="0.3">
      <c r="A6331" t="s">
        <v>3169</v>
      </c>
      <c r="F6331" t="str">
        <f t="shared" ref="F6331" si="6323">A6331</f>
        <v>TACCGG</v>
      </c>
    </row>
    <row r="6332" spans="1:6" x14ac:dyDescent="0.3">
      <c r="A6332" t="s">
        <v>7266</v>
      </c>
      <c r="F6332" t="str">
        <f t="shared" ref="F6332" si="6324">LEFT(A6332, LEN(A6332) - 1)</f>
        <v>&gt;3164:TACCGT:14.00:50.00:Warning:6:1767.20</v>
      </c>
    </row>
    <row r="6333" spans="1:6" x14ac:dyDescent="0.3">
      <c r="A6333" t="s">
        <v>3170</v>
      </c>
      <c r="F6333" t="str">
        <f t="shared" ref="F6333" si="6325">A6333</f>
        <v>TACCGT</v>
      </c>
    </row>
    <row r="6334" spans="1:6" x14ac:dyDescent="0.3">
      <c r="A6334" t="s">
        <v>7267</v>
      </c>
      <c r="F6334" t="str">
        <f t="shared" ref="F6334" si="6326">LEFT(A6334, LEN(A6334) - 1)</f>
        <v>&gt;3165:TACCTA:16.00:33.33:OK:6:1751.20</v>
      </c>
    </row>
    <row r="6335" spans="1:6" x14ac:dyDescent="0.3">
      <c r="A6335" t="s">
        <v>3171</v>
      </c>
      <c r="F6335" t="str">
        <f t="shared" ref="F6335" si="6327">A6335</f>
        <v>TACCTA</v>
      </c>
    </row>
    <row r="6336" spans="1:6" x14ac:dyDescent="0.3">
      <c r="A6336" t="s">
        <v>7268</v>
      </c>
      <c r="F6336" t="str">
        <f t="shared" ref="F6336" si="6328">LEFT(A6336, LEN(A6336) - 1)</f>
        <v>&gt;3166:TACCTC:14.00:50.00:Warning:6:1727.17</v>
      </c>
    </row>
    <row r="6337" spans="1:6" x14ac:dyDescent="0.3">
      <c r="A6337" t="s">
        <v>3172</v>
      </c>
      <c r="F6337" t="str">
        <f t="shared" ref="F6337" si="6329">A6337</f>
        <v>TACCTC</v>
      </c>
    </row>
    <row r="6338" spans="1:6" x14ac:dyDescent="0.3">
      <c r="A6338" t="s">
        <v>7269</v>
      </c>
      <c r="F6338" t="str">
        <f t="shared" ref="F6338" si="6330">LEFT(A6338, LEN(A6338) - 1)</f>
        <v>&gt;3167:TACCTG:14.00:50.00:Warning:6:1767.20</v>
      </c>
    </row>
    <row r="6339" spans="1:6" x14ac:dyDescent="0.3">
      <c r="A6339" t="s">
        <v>3173</v>
      </c>
      <c r="F6339" t="str">
        <f t="shared" ref="F6339" si="6331">A6339</f>
        <v>TACCTG</v>
      </c>
    </row>
    <row r="6340" spans="1:6" x14ac:dyDescent="0.3">
      <c r="A6340" t="s">
        <v>7270</v>
      </c>
      <c r="F6340" t="str">
        <f t="shared" ref="F6340" si="6332">LEFT(A6340, LEN(A6340) - 1)</f>
        <v>&gt;3168:TACCTT:8.00:33.33:OK:6:1742.18</v>
      </c>
    </row>
    <row r="6341" spans="1:6" x14ac:dyDescent="0.3">
      <c r="A6341" t="s">
        <v>3174</v>
      </c>
      <c r="F6341" t="str">
        <f t="shared" ref="F6341" si="6333">A6341</f>
        <v>TACCTT</v>
      </c>
    </row>
    <row r="6342" spans="1:6" x14ac:dyDescent="0.3">
      <c r="A6342" t="s">
        <v>7271</v>
      </c>
      <c r="F6342" t="str">
        <f t="shared" ref="F6342" si="6334">LEFT(A6342, LEN(A6342) - 1)</f>
        <v>&gt;3169:TACGAA:24.00:33.33:OK:6:1800.25</v>
      </c>
    </row>
    <row r="6343" spans="1:6" x14ac:dyDescent="0.3">
      <c r="A6343" t="s">
        <v>3175</v>
      </c>
      <c r="F6343" t="str">
        <f t="shared" ref="F6343" si="6335">A6343</f>
        <v>TACGAA</v>
      </c>
    </row>
    <row r="6344" spans="1:6" x14ac:dyDescent="0.3">
      <c r="A6344" t="s">
        <v>7272</v>
      </c>
      <c r="F6344" t="str">
        <f t="shared" ref="F6344" si="6336">LEFT(A6344, LEN(A6344) - 1)</f>
        <v>&gt;3170:TACGAC:22.00:50.00:Warning:6:1776.22</v>
      </c>
    </row>
    <row r="6345" spans="1:6" x14ac:dyDescent="0.3">
      <c r="A6345" t="s">
        <v>3176</v>
      </c>
      <c r="F6345" t="str">
        <f t="shared" ref="F6345" si="6337">A6345</f>
        <v>TACGAC</v>
      </c>
    </row>
    <row r="6346" spans="1:6" x14ac:dyDescent="0.3">
      <c r="A6346" t="s">
        <v>7273</v>
      </c>
      <c r="F6346" t="str">
        <f t="shared" ref="F6346" si="6338">LEFT(A6346, LEN(A6346) - 1)</f>
        <v>&gt;3171:TACGAG:22.00:50.00:Warning:6:1816.25</v>
      </c>
    </row>
    <row r="6347" spans="1:6" x14ac:dyDescent="0.3">
      <c r="A6347" t="s">
        <v>3177</v>
      </c>
      <c r="F6347" t="str">
        <f t="shared" ref="F6347" si="6339">A6347</f>
        <v>TACGAG</v>
      </c>
    </row>
    <row r="6348" spans="1:6" x14ac:dyDescent="0.3">
      <c r="A6348" t="s">
        <v>7274</v>
      </c>
      <c r="F6348" t="str">
        <f t="shared" ref="F6348" si="6340">LEFT(A6348, LEN(A6348) - 1)</f>
        <v>&gt;3172:TACGAT:16.00:33.33:OK:6:1791.23</v>
      </c>
    </row>
    <row r="6349" spans="1:6" x14ac:dyDescent="0.3">
      <c r="A6349" t="s">
        <v>3178</v>
      </c>
      <c r="F6349" t="str">
        <f t="shared" ref="F6349" si="6341">A6349</f>
        <v>TACGAT</v>
      </c>
    </row>
    <row r="6350" spans="1:6" x14ac:dyDescent="0.3">
      <c r="A6350" t="s">
        <v>7275</v>
      </c>
      <c r="F6350" t="str">
        <f t="shared" ref="F6350" si="6342">LEFT(A6350, LEN(A6350) - 1)</f>
        <v>&gt;3173:TACGCA:22.00:50.00:Warning:6:1776.22</v>
      </c>
    </row>
    <row r="6351" spans="1:6" x14ac:dyDescent="0.3">
      <c r="A6351" t="s">
        <v>3179</v>
      </c>
      <c r="F6351" t="str">
        <f t="shared" ref="F6351" si="6343">A6351</f>
        <v>TACGCA</v>
      </c>
    </row>
    <row r="6352" spans="1:6" x14ac:dyDescent="0.3">
      <c r="A6352" t="s">
        <v>7276</v>
      </c>
      <c r="F6352" t="str">
        <f t="shared" ref="F6352" si="6344">LEFT(A6352, LEN(A6352) - 1)</f>
        <v>&gt;3174:TACGCC:20.00:66.67:Warning:6:1752.19</v>
      </c>
    </row>
    <row r="6353" spans="1:6" x14ac:dyDescent="0.3">
      <c r="A6353" t="s">
        <v>3180</v>
      </c>
      <c r="F6353" t="str">
        <f t="shared" ref="F6353" si="6345">A6353</f>
        <v>TACGCC</v>
      </c>
    </row>
    <row r="6354" spans="1:6" x14ac:dyDescent="0.3">
      <c r="A6354" t="s">
        <v>7277</v>
      </c>
      <c r="F6354" t="str">
        <f t="shared" ref="F6354" si="6346">LEFT(A6354, LEN(A6354) - 1)</f>
        <v>&gt;3175:TACGCG:20.00:66.67:Warning:6:1792.22</v>
      </c>
    </row>
    <row r="6355" spans="1:6" x14ac:dyDescent="0.3">
      <c r="A6355" t="s">
        <v>3181</v>
      </c>
      <c r="F6355" t="str">
        <f t="shared" ref="F6355" si="6347">A6355</f>
        <v>TACGCG</v>
      </c>
    </row>
    <row r="6356" spans="1:6" x14ac:dyDescent="0.3">
      <c r="A6356" t="s">
        <v>7278</v>
      </c>
      <c r="F6356" t="str">
        <f t="shared" ref="F6356" si="6348">LEFT(A6356, LEN(A6356) - 1)</f>
        <v>&gt;3176:TACGCT:14.00:50.00:Warning:6:1767.20</v>
      </c>
    </row>
    <row r="6357" spans="1:6" x14ac:dyDescent="0.3">
      <c r="A6357" t="s">
        <v>3182</v>
      </c>
      <c r="F6357" t="str">
        <f t="shared" ref="F6357" si="6349">A6357</f>
        <v>TACGCT</v>
      </c>
    </row>
    <row r="6358" spans="1:6" x14ac:dyDescent="0.3">
      <c r="A6358" t="s">
        <v>7279</v>
      </c>
      <c r="F6358" t="str">
        <f t="shared" ref="F6358" si="6350">LEFT(A6358, LEN(A6358) - 1)</f>
        <v>&gt;3177:TACGGA:22.00:50.00:Warning:6:1816.25</v>
      </c>
    </row>
    <row r="6359" spans="1:6" x14ac:dyDescent="0.3">
      <c r="A6359" t="s">
        <v>3183</v>
      </c>
      <c r="F6359" t="str">
        <f t="shared" ref="F6359" si="6351">A6359</f>
        <v>TACGGA</v>
      </c>
    </row>
    <row r="6360" spans="1:6" x14ac:dyDescent="0.3">
      <c r="A6360" t="s">
        <v>7280</v>
      </c>
      <c r="F6360" t="str">
        <f t="shared" ref="F6360" si="6352">LEFT(A6360, LEN(A6360) - 1)</f>
        <v>&gt;3178:TACGGC:20.00:66.67:Warning:6:1792.22</v>
      </c>
    </row>
    <row r="6361" spans="1:6" x14ac:dyDescent="0.3">
      <c r="A6361" t="s">
        <v>3184</v>
      </c>
      <c r="F6361" t="str">
        <f t="shared" ref="F6361" si="6353">A6361</f>
        <v>TACGGC</v>
      </c>
    </row>
    <row r="6362" spans="1:6" x14ac:dyDescent="0.3">
      <c r="A6362" t="s">
        <v>7281</v>
      </c>
      <c r="F6362" t="str">
        <f t="shared" ref="F6362" si="6354">LEFT(A6362, LEN(A6362) - 1)</f>
        <v>&gt;3179:TACGGG:20.00:66.67:Warning:6:1832.25</v>
      </c>
    </row>
    <row r="6363" spans="1:6" x14ac:dyDescent="0.3">
      <c r="A6363" t="s">
        <v>3185</v>
      </c>
      <c r="F6363" t="str">
        <f t="shared" ref="F6363" si="6355">A6363</f>
        <v>TACGGG</v>
      </c>
    </row>
    <row r="6364" spans="1:6" x14ac:dyDescent="0.3">
      <c r="A6364" t="s">
        <v>7282</v>
      </c>
      <c r="F6364" t="str">
        <f t="shared" ref="F6364" si="6356">LEFT(A6364, LEN(A6364) - 1)</f>
        <v>&gt;3180:TACGGT:14.00:50.00:Warning:6:1807.23</v>
      </c>
    </row>
    <row r="6365" spans="1:6" x14ac:dyDescent="0.3">
      <c r="A6365" t="s">
        <v>3186</v>
      </c>
      <c r="F6365" t="str">
        <f t="shared" ref="F6365" si="6357">A6365</f>
        <v>TACGGT</v>
      </c>
    </row>
    <row r="6366" spans="1:6" x14ac:dyDescent="0.3">
      <c r="A6366" t="s">
        <v>7283</v>
      </c>
      <c r="F6366" t="str">
        <f t="shared" ref="F6366" si="6358">LEFT(A6366, LEN(A6366) - 1)</f>
        <v>&gt;3181:TACGTA:16.00:33.33:OK:6:1791.23</v>
      </c>
    </row>
    <row r="6367" spans="1:6" x14ac:dyDescent="0.3">
      <c r="A6367" t="s">
        <v>3187</v>
      </c>
      <c r="F6367" t="str">
        <f t="shared" ref="F6367" si="6359">A6367</f>
        <v>TACGTA</v>
      </c>
    </row>
    <row r="6368" spans="1:6" x14ac:dyDescent="0.3">
      <c r="A6368" t="s">
        <v>7284</v>
      </c>
      <c r="F6368" t="str">
        <f t="shared" ref="F6368" si="6360">LEFT(A6368, LEN(A6368) - 1)</f>
        <v>&gt;3182:TACGTC:14.00:50.00:Warning:6:1767.20</v>
      </c>
    </row>
    <row r="6369" spans="1:6" x14ac:dyDescent="0.3">
      <c r="A6369" t="s">
        <v>3188</v>
      </c>
      <c r="F6369" t="str">
        <f t="shared" ref="F6369" si="6361">A6369</f>
        <v>TACGTC</v>
      </c>
    </row>
    <row r="6370" spans="1:6" x14ac:dyDescent="0.3">
      <c r="A6370" t="s">
        <v>7285</v>
      </c>
      <c r="F6370" t="str">
        <f t="shared" ref="F6370" si="6362">LEFT(A6370, LEN(A6370) - 1)</f>
        <v>&gt;3183:TACGTG:14.00:50.00:Warning:6:1807.23</v>
      </c>
    </row>
    <row r="6371" spans="1:6" x14ac:dyDescent="0.3">
      <c r="A6371" t="s">
        <v>3189</v>
      </c>
      <c r="F6371" t="str">
        <f t="shared" ref="F6371" si="6363">A6371</f>
        <v>TACGTG</v>
      </c>
    </row>
    <row r="6372" spans="1:6" x14ac:dyDescent="0.3">
      <c r="A6372" t="s">
        <v>7286</v>
      </c>
      <c r="F6372" t="str">
        <f t="shared" ref="F6372" si="6364">LEFT(A6372, LEN(A6372) - 1)</f>
        <v>&gt;3184:TACGTT:8.00:33.33:OK:6:1782.21</v>
      </c>
    </row>
    <row r="6373" spans="1:6" x14ac:dyDescent="0.3">
      <c r="A6373" t="s">
        <v>3190</v>
      </c>
      <c r="F6373" t="str">
        <f t="shared" ref="F6373" si="6365">A6373</f>
        <v>TACGTT</v>
      </c>
    </row>
    <row r="6374" spans="1:6" x14ac:dyDescent="0.3">
      <c r="A6374" t="s">
        <v>7287</v>
      </c>
      <c r="F6374" t="str">
        <f t="shared" ref="F6374" si="6366">LEFT(A6374, LEN(A6374) - 1)</f>
        <v>&gt;3185:TACTAA:18.00:16.67:OK:6:1775.23</v>
      </c>
    </row>
    <row r="6375" spans="1:6" x14ac:dyDescent="0.3">
      <c r="A6375" t="s">
        <v>3191</v>
      </c>
      <c r="F6375" t="str">
        <f t="shared" ref="F6375" si="6367">A6375</f>
        <v>TACTAA</v>
      </c>
    </row>
    <row r="6376" spans="1:6" x14ac:dyDescent="0.3">
      <c r="A6376" t="s">
        <v>7288</v>
      </c>
      <c r="F6376" t="str">
        <f t="shared" ref="F6376" si="6368">LEFT(A6376, LEN(A6376) - 1)</f>
        <v>&gt;3186:TACTAC:16.00:33.33:OK:6:1751.20</v>
      </c>
    </row>
    <row r="6377" spans="1:6" x14ac:dyDescent="0.3">
      <c r="A6377" t="s">
        <v>3192</v>
      </c>
      <c r="F6377" t="str">
        <f t="shared" ref="F6377" si="6369">A6377</f>
        <v>TACTAC</v>
      </c>
    </row>
    <row r="6378" spans="1:6" x14ac:dyDescent="0.3">
      <c r="A6378" t="s">
        <v>7289</v>
      </c>
      <c r="F6378" t="str">
        <f t="shared" ref="F6378" si="6370">LEFT(A6378, LEN(A6378) - 1)</f>
        <v>&gt;3187:TACTAG:16.00:33.33:OK:6:1791.23</v>
      </c>
    </row>
    <row r="6379" spans="1:6" x14ac:dyDescent="0.3">
      <c r="A6379" t="s">
        <v>3193</v>
      </c>
      <c r="F6379" t="str">
        <f t="shared" ref="F6379" si="6371">A6379</f>
        <v>TACTAG</v>
      </c>
    </row>
    <row r="6380" spans="1:6" x14ac:dyDescent="0.3">
      <c r="A6380" t="s">
        <v>7290</v>
      </c>
      <c r="F6380" t="str">
        <f t="shared" ref="F6380" si="6372">LEFT(A6380, LEN(A6380) - 1)</f>
        <v>&gt;3188:TACTAT:10.00:16.67:OK:6:1766.21</v>
      </c>
    </row>
    <row r="6381" spans="1:6" x14ac:dyDescent="0.3">
      <c r="A6381" t="s">
        <v>3194</v>
      </c>
      <c r="F6381" t="str">
        <f t="shared" ref="F6381" si="6373">A6381</f>
        <v>TACTAT</v>
      </c>
    </row>
    <row r="6382" spans="1:6" x14ac:dyDescent="0.3">
      <c r="A6382" t="s">
        <v>7291</v>
      </c>
      <c r="F6382" t="str">
        <f t="shared" ref="F6382" si="6374">LEFT(A6382, LEN(A6382) - 1)</f>
        <v>&gt;3189:TACTCA:16.00:33.33:OK:6:1751.20</v>
      </c>
    </row>
    <row r="6383" spans="1:6" x14ac:dyDescent="0.3">
      <c r="A6383" t="s">
        <v>3195</v>
      </c>
      <c r="F6383" t="str">
        <f t="shared" ref="F6383" si="6375">A6383</f>
        <v>TACTCA</v>
      </c>
    </row>
    <row r="6384" spans="1:6" x14ac:dyDescent="0.3">
      <c r="A6384" t="s">
        <v>7292</v>
      </c>
      <c r="F6384" t="str">
        <f t="shared" ref="F6384" si="6376">LEFT(A6384, LEN(A6384) - 1)</f>
        <v>&gt;3190:TACTCC:14.00:50.00:Warning:6:1727.17</v>
      </c>
    </row>
    <row r="6385" spans="1:6" x14ac:dyDescent="0.3">
      <c r="A6385" t="s">
        <v>3196</v>
      </c>
      <c r="F6385" t="str">
        <f t="shared" ref="F6385" si="6377">A6385</f>
        <v>TACTCC</v>
      </c>
    </row>
    <row r="6386" spans="1:6" x14ac:dyDescent="0.3">
      <c r="A6386" t="s">
        <v>7293</v>
      </c>
      <c r="F6386" t="str">
        <f t="shared" ref="F6386" si="6378">LEFT(A6386, LEN(A6386) - 1)</f>
        <v>&gt;3191:TACTCG:14.00:50.00:Warning:6:1767.20</v>
      </c>
    </row>
    <row r="6387" spans="1:6" x14ac:dyDescent="0.3">
      <c r="A6387" t="s">
        <v>3197</v>
      </c>
      <c r="F6387" t="str">
        <f t="shared" ref="F6387" si="6379">A6387</f>
        <v>TACTCG</v>
      </c>
    </row>
    <row r="6388" spans="1:6" x14ac:dyDescent="0.3">
      <c r="A6388" t="s">
        <v>7294</v>
      </c>
      <c r="F6388" t="str">
        <f t="shared" ref="F6388" si="6380">LEFT(A6388, LEN(A6388) - 1)</f>
        <v>&gt;3192:TACTCT:8.00:33.33:OK:6:1742.18</v>
      </c>
    </row>
    <row r="6389" spans="1:6" x14ac:dyDescent="0.3">
      <c r="A6389" t="s">
        <v>3198</v>
      </c>
      <c r="F6389" t="str">
        <f t="shared" ref="F6389" si="6381">A6389</f>
        <v>TACTCT</v>
      </c>
    </row>
    <row r="6390" spans="1:6" x14ac:dyDescent="0.3">
      <c r="A6390" t="s">
        <v>7295</v>
      </c>
      <c r="F6390" t="str">
        <f t="shared" ref="F6390" si="6382">LEFT(A6390, LEN(A6390) - 1)</f>
        <v>&gt;3193:TACTGA:16.00:33.33:OK:6:1791.23</v>
      </c>
    </row>
    <row r="6391" spans="1:6" x14ac:dyDescent="0.3">
      <c r="A6391" t="s">
        <v>3199</v>
      </c>
      <c r="F6391" t="str">
        <f t="shared" ref="F6391" si="6383">A6391</f>
        <v>TACTGA</v>
      </c>
    </row>
    <row r="6392" spans="1:6" x14ac:dyDescent="0.3">
      <c r="A6392" t="s">
        <v>7296</v>
      </c>
      <c r="F6392" t="str">
        <f t="shared" ref="F6392" si="6384">LEFT(A6392, LEN(A6392) - 1)</f>
        <v>&gt;3194:TACTGC:14.00:50.00:Warning:6:1767.20</v>
      </c>
    </row>
    <row r="6393" spans="1:6" x14ac:dyDescent="0.3">
      <c r="A6393" t="s">
        <v>3200</v>
      </c>
      <c r="F6393" t="str">
        <f t="shared" ref="F6393" si="6385">A6393</f>
        <v>TACTGC</v>
      </c>
    </row>
    <row r="6394" spans="1:6" x14ac:dyDescent="0.3">
      <c r="A6394" t="s">
        <v>7297</v>
      </c>
      <c r="F6394" t="str">
        <f t="shared" ref="F6394" si="6386">LEFT(A6394, LEN(A6394) - 1)</f>
        <v>&gt;3195:TACTGG:14.00:50.00:Warning:6:1807.23</v>
      </c>
    </row>
    <row r="6395" spans="1:6" x14ac:dyDescent="0.3">
      <c r="A6395" t="s">
        <v>3201</v>
      </c>
      <c r="F6395" t="str">
        <f t="shared" ref="F6395" si="6387">A6395</f>
        <v>TACTGG</v>
      </c>
    </row>
    <row r="6396" spans="1:6" x14ac:dyDescent="0.3">
      <c r="A6396" t="s">
        <v>7298</v>
      </c>
      <c r="F6396" t="str">
        <f t="shared" ref="F6396" si="6388">LEFT(A6396, LEN(A6396) - 1)</f>
        <v>&gt;3196:TACTGT:8.00:33.33:OK:6:1782.21</v>
      </c>
    </row>
    <row r="6397" spans="1:6" x14ac:dyDescent="0.3">
      <c r="A6397" t="s">
        <v>3202</v>
      </c>
      <c r="F6397" t="str">
        <f t="shared" ref="F6397" si="6389">A6397</f>
        <v>TACTGT</v>
      </c>
    </row>
    <row r="6398" spans="1:6" x14ac:dyDescent="0.3">
      <c r="A6398" t="s">
        <v>7299</v>
      </c>
      <c r="F6398" t="str">
        <f t="shared" ref="F6398" si="6390">LEFT(A6398, LEN(A6398) - 1)</f>
        <v>&gt;3197:TACTTA:10.00:16.67:OK:6:1766.21</v>
      </c>
    </row>
    <row r="6399" spans="1:6" x14ac:dyDescent="0.3">
      <c r="A6399" t="s">
        <v>3203</v>
      </c>
      <c r="F6399" t="str">
        <f t="shared" ref="F6399" si="6391">A6399</f>
        <v>TACTTA</v>
      </c>
    </row>
    <row r="6400" spans="1:6" x14ac:dyDescent="0.3">
      <c r="A6400" t="s">
        <v>7300</v>
      </c>
      <c r="F6400" t="str">
        <f t="shared" ref="F6400" si="6392">LEFT(A6400, LEN(A6400) - 1)</f>
        <v>&gt;3198:TACTTC:8.00:33.33:OK:6:1742.18</v>
      </c>
    </row>
    <row r="6401" spans="1:6" x14ac:dyDescent="0.3">
      <c r="A6401" t="s">
        <v>3204</v>
      </c>
      <c r="F6401" t="str">
        <f t="shared" ref="F6401" si="6393">A6401</f>
        <v>TACTTC</v>
      </c>
    </row>
    <row r="6402" spans="1:6" x14ac:dyDescent="0.3">
      <c r="A6402" t="s">
        <v>7301</v>
      </c>
      <c r="F6402" t="str">
        <f t="shared" ref="F6402" si="6394">LEFT(A6402, LEN(A6402) - 1)</f>
        <v>&gt;3199:TACTTG:8.00:33.33:OK:6:1782.21</v>
      </c>
    </row>
    <row r="6403" spans="1:6" x14ac:dyDescent="0.3">
      <c r="A6403" t="s">
        <v>3205</v>
      </c>
      <c r="F6403" t="str">
        <f t="shared" ref="F6403" si="6395">A6403</f>
        <v>TACTTG</v>
      </c>
    </row>
    <row r="6404" spans="1:6" x14ac:dyDescent="0.3">
      <c r="A6404" t="s">
        <v>7302</v>
      </c>
      <c r="F6404" t="str">
        <f t="shared" ref="F6404" si="6396">LEFT(A6404, LEN(A6404) - 1)</f>
        <v>&gt;3200:TACTTT:2.00:16.67:OK:6:1757.19</v>
      </c>
    </row>
    <row r="6405" spans="1:6" x14ac:dyDescent="0.3">
      <c r="A6405" t="s">
        <v>3206</v>
      </c>
      <c r="F6405" t="str">
        <f t="shared" ref="F6405" si="6397">A6405</f>
        <v>TACTTT</v>
      </c>
    </row>
    <row r="6406" spans="1:6" x14ac:dyDescent="0.3">
      <c r="A6406" t="s">
        <v>7303</v>
      </c>
      <c r="F6406" t="str">
        <f t="shared" ref="F6406" si="6398">LEFT(A6406, LEN(A6406) - 1)</f>
        <v>&gt;3201:TAGAAA:26.00:16.67:OK:6:1824.28</v>
      </c>
    </row>
    <row r="6407" spans="1:6" x14ac:dyDescent="0.3">
      <c r="A6407" t="s">
        <v>3207</v>
      </c>
      <c r="F6407" t="str">
        <f t="shared" ref="F6407" si="6399">A6407</f>
        <v>TAGAAA</v>
      </c>
    </row>
    <row r="6408" spans="1:6" x14ac:dyDescent="0.3">
      <c r="A6408" t="s">
        <v>7304</v>
      </c>
      <c r="F6408" t="str">
        <f t="shared" ref="F6408" si="6400">LEFT(A6408, LEN(A6408) - 1)</f>
        <v>&gt;3202:TAGAAC:24.00:33.33:OK:6:1800.25</v>
      </c>
    </row>
    <row r="6409" spans="1:6" x14ac:dyDescent="0.3">
      <c r="A6409" t="s">
        <v>3208</v>
      </c>
      <c r="F6409" t="str">
        <f t="shared" ref="F6409" si="6401">A6409</f>
        <v>TAGAAC</v>
      </c>
    </row>
    <row r="6410" spans="1:6" x14ac:dyDescent="0.3">
      <c r="A6410" t="s">
        <v>7305</v>
      </c>
      <c r="F6410" t="str">
        <f t="shared" ref="F6410" si="6402">LEFT(A6410, LEN(A6410) - 1)</f>
        <v>&gt;3203:TAGAAG:24.00:33.33:OK:6:1840.28</v>
      </c>
    </row>
    <row r="6411" spans="1:6" x14ac:dyDescent="0.3">
      <c r="A6411" t="s">
        <v>3209</v>
      </c>
      <c r="F6411" t="str">
        <f t="shared" ref="F6411" si="6403">A6411</f>
        <v>TAGAAG</v>
      </c>
    </row>
    <row r="6412" spans="1:6" x14ac:dyDescent="0.3">
      <c r="A6412" t="s">
        <v>7306</v>
      </c>
      <c r="F6412" t="str">
        <f t="shared" ref="F6412" si="6404">LEFT(A6412, LEN(A6412) - 1)</f>
        <v>&gt;3204:TAGAAT:18.00:16.67:OK:6:1815.26</v>
      </c>
    </row>
    <row r="6413" spans="1:6" x14ac:dyDescent="0.3">
      <c r="A6413" t="s">
        <v>3210</v>
      </c>
      <c r="F6413" t="str">
        <f t="shared" ref="F6413" si="6405">A6413</f>
        <v>TAGAAT</v>
      </c>
    </row>
    <row r="6414" spans="1:6" x14ac:dyDescent="0.3">
      <c r="A6414" t="s">
        <v>7307</v>
      </c>
      <c r="F6414" t="str">
        <f t="shared" ref="F6414" si="6406">LEFT(A6414, LEN(A6414) - 1)</f>
        <v>&gt;3205:TAGACA:24.00:33.33:OK:6:1800.25</v>
      </c>
    </row>
    <row r="6415" spans="1:6" x14ac:dyDescent="0.3">
      <c r="A6415" t="s">
        <v>3211</v>
      </c>
      <c r="F6415" t="str">
        <f t="shared" ref="F6415" si="6407">A6415</f>
        <v>TAGACA</v>
      </c>
    </row>
    <row r="6416" spans="1:6" x14ac:dyDescent="0.3">
      <c r="A6416" t="s">
        <v>7308</v>
      </c>
      <c r="F6416" t="str">
        <f t="shared" ref="F6416" si="6408">LEFT(A6416, LEN(A6416) - 1)</f>
        <v>&gt;3206:TAGACC:22.00:50.00:Warning:6:1776.22</v>
      </c>
    </row>
    <row r="6417" spans="1:6" x14ac:dyDescent="0.3">
      <c r="A6417" t="s">
        <v>3212</v>
      </c>
      <c r="F6417" t="str">
        <f t="shared" ref="F6417" si="6409">A6417</f>
        <v>TAGACC</v>
      </c>
    </row>
    <row r="6418" spans="1:6" x14ac:dyDescent="0.3">
      <c r="A6418" t="s">
        <v>7309</v>
      </c>
      <c r="F6418" t="str">
        <f t="shared" ref="F6418" si="6410">LEFT(A6418, LEN(A6418) - 1)</f>
        <v>&gt;3207:TAGACG:22.00:50.00:Warning:6:1816.25</v>
      </c>
    </row>
    <row r="6419" spans="1:6" x14ac:dyDescent="0.3">
      <c r="A6419" t="s">
        <v>3213</v>
      </c>
      <c r="F6419" t="str">
        <f t="shared" ref="F6419" si="6411">A6419</f>
        <v>TAGACG</v>
      </c>
    </row>
    <row r="6420" spans="1:6" x14ac:dyDescent="0.3">
      <c r="A6420" t="s">
        <v>7310</v>
      </c>
      <c r="F6420" t="str">
        <f t="shared" ref="F6420" si="6412">LEFT(A6420, LEN(A6420) - 1)</f>
        <v>&gt;3208:TAGACT:16.00:33.33:OK:6:1791.23</v>
      </c>
    </row>
    <row r="6421" spans="1:6" x14ac:dyDescent="0.3">
      <c r="A6421" t="s">
        <v>3214</v>
      </c>
      <c r="F6421" t="str">
        <f t="shared" ref="F6421" si="6413">A6421</f>
        <v>TAGACT</v>
      </c>
    </row>
    <row r="6422" spans="1:6" x14ac:dyDescent="0.3">
      <c r="A6422" t="s">
        <v>7311</v>
      </c>
      <c r="F6422" t="str">
        <f t="shared" ref="F6422" si="6414">LEFT(A6422, LEN(A6422) - 1)</f>
        <v>&gt;3209:TAGAGA:24.00:33.33:OK:6:1840.28</v>
      </c>
    </row>
    <row r="6423" spans="1:6" x14ac:dyDescent="0.3">
      <c r="A6423" t="s">
        <v>3215</v>
      </c>
      <c r="F6423" t="str">
        <f t="shared" ref="F6423" si="6415">A6423</f>
        <v>TAGAGA</v>
      </c>
    </row>
    <row r="6424" spans="1:6" x14ac:dyDescent="0.3">
      <c r="A6424" t="s">
        <v>7312</v>
      </c>
      <c r="F6424" t="str">
        <f t="shared" ref="F6424" si="6416">LEFT(A6424, LEN(A6424) - 1)</f>
        <v>&gt;3210:TAGAGC:22.00:50.00:Warning:6:1816.25</v>
      </c>
    </row>
    <row r="6425" spans="1:6" x14ac:dyDescent="0.3">
      <c r="A6425" t="s">
        <v>3216</v>
      </c>
      <c r="F6425" t="str">
        <f t="shared" ref="F6425" si="6417">A6425</f>
        <v>TAGAGC</v>
      </c>
    </row>
    <row r="6426" spans="1:6" x14ac:dyDescent="0.3">
      <c r="A6426" t="s">
        <v>7313</v>
      </c>
      <c r="F6426" t="str">
        <f t="shared" ref="F6426" si="6418">LEFT(A6426, LEN(A6426) - 1)</f>
        <v>&gt;3211:TAGAGG:22.00:50.00:Warning:6:1856.28</v>
      </c>
    </row>
    <row r="6427" spans="1:6" x14ac:dyDescent="0.3">
      <c r="A6427" t="s">
        <v>3217</v>
      </c>
      <c r="F6427" t="str">
        <f t="shared" ref="F6427" si="6419">A6427</f>
        <v>TAGAGG</v>
      </c>
    </row>
    <row r="6428" spans="1:6" x14ac:dyDescent="0.3">
      <c r="A6428" t="s">
        <v>7314</v>
      </c>
      <c r="F6428" t="str">
        <f t="shared" ref="F6428" si="6420">LEFT(A6428, LEN(A6428) - 1)</f>
        <v>&gt;3212:TAGAGT:16.00:33.33:OK:6:1831.26</v>
      </c>
    </row>
    <row r="6429" spans="1:6" x14ac:dyDescent="0.3">
      <c r="A6429" t="s">
        <v>3218</v>
      </c>
      <c r="F6429" t="str">
        <f t="shared" ref="F6429" si="6421">A6429</f>
        <v>TAGAGT</v>
      </c>
    </row>
    <row r="6430" spans="1:6" x14ac:dyDescent="0.3">
      <c r="A6430" t="s">
        <v>7315</v>
      </c>
      <c r="F6430" t="str">
        <f t="shared" ref="F6430" si="6422">LEFT(A6430, LEN(A6430) - 1)</f>
        <v>&gt;3213:TAGATA:18.00:16.67:OK:6:1815.26</v>
      </c>
    </row>
    <row r="6431" spans="1:6" x14ac:dyDescent="0.3">
      <c r="A6431" t="s">
        <v>3219</v>
      </c>
      <c r="F6431" t="str">
        <f t="shared" ref="F6431" si="6423">A6431</f>
        <v>TAGATA</v>
      </c>
    </row>
    <row r="6432" spans="1:6" x14ac:dyDescent="0.3">
      <c r="A6432" t="s">
        <v>7316</v>
      </c>
      <c r="F6432" t="str">
        <f t="shared" ref="F6432" si="6424">LEFT(A6432, LEN(A6432) - 1)</f>
        <v>&gt;3214:TAGATC:16.00:33.33:OK:6:1791.23</v>
      </c>
    </row>
    <row r="6433" spans="1:6" x14ac:dyDescent="0.3">
      <c r="A6433" t="s">
        <v>3220</v>
      </c>
      <c r="F6433" t="str">
        <f t="shared" ref="F6433" si="6425">A6433</f>
        <v>TAGATC</v>
      </c>
    </row>
    <row r="6434" spans="1:6" x14ac:dyDescent="0.3">
      <c r="A6434" t="s">
        <v>7317</v>
      </c>
      <c r="F6434" t="str">
        <f t="shared" ref="F6434" si="6426">LEFT(A6434, LEN(A6434) - 1)</f>
        <v>&gt;3215:TAGATG:16.00:33.33:OK:6:1831.26</v>
      </c>
    </row>
    <row r="6435" spans="1:6" x14ac:dyDescent="0.3">
      <c r="A6435" t="s">
        <v>3221</v>
      </c>
      <c r="F6435" t="str">
        <f t="shared" ref="F6435" si="6427">A6435</f>
        <v>TAGATG</v>
      </c>
    </row>
    <row r="6436" spans="1:6" x14ac:dyDescent="0.3">
      <c r="A6436" t="s">
        <v>7318</v>
      </c>
      <c r="F6436" t="str">
        <f t="shared" ref="F6436" si="6428">LEFT(A6436, LEN(A6436) - 1)</f>
        <v>&gt;3216:TAGATT:10.00:16.67:OK:6:1806.24</v>
      </c>
    </row>
    <row r="6437" spans="1:6" x14ac:dyDescent="0.3">
      <c r="A6437" t="s">
        <v>3222</v>
      </c>
      <c r="F6437" t="str">
        <f t="shared" ref="F6437" si="6429">A6437</f>
        <v>TAGATT</v>
      </c>
    </row>
    <row r="6438" spans="1:6" x14ac:dyDescent="0.3">
      <c r="A6438" t="s">
        <v>7319</v>
      </c>
      <c r="F6438" t="str">
        <f t="shared" ref="F6438" si="6430">LEFT(A6438, LEN(A6438) - 1)</f>
        <v>&gt;3217:TAGCAA:24.00:33.33:OK:6:1800.25</v>
      </c>
    </row>
    <row r="6439" spans="1:6" x14ac:dyDescent="0.3">
      <c r="A6439" t="s">
        <v>3223</v>
      </c>
      <c r="F6439" t="str">
        <f t="shared" ref="F6439" si="6431">A6439</f>
        <v>TAGCAA</v>
      </c>
    </row>
    <row r="6440" spans="1:6" x14ac:dyDescent="0.3">
      <c r="A6440" t="s">
        <v>7320</v>
      </c>
      <c r="F6440" t="str">
        <f t="shared" ref="F6440" si="6432">LEFT(A6440, LEN(A6440) - 1)</f>
        <v>&gt;3218:TAGCAC:22.00:50.00:Warning:6:1776.22</v>
      </c>
    </row>
    <row r="6441" spans="1:6" x14ac:dyDescent="0.3">
      <c r="A6441" t="s">
        <v>3224</v>
      </c>
      <c r="F6441" t="str">
        <f t="shared" ref="F6441" si="6433">A6441</f>
        <v>TAGCAC</v>
      </c>
    </row>
    <row r="6442" spans="1:6" x14ac:dyDescent="0.3">
      <c r="A6442" t="s">
        <v>7321</v>
      </c>
      <c r="F6442" t="str">
        <f t="shared" ref="F6442" si="6434">LEFT(A6442, LEN(A6442) - 1)</f>
        <v>&gt;3219:TAGCAG:22.00:50.00:Warning:6:1816.25</v>
      </c>
    </row>
    <row r="6443" spans="1:6" x14ac:dyDescent="0.3">
      <c r="A6443" t="s">
        <v>3225</v>
      </c>
      <c r="F6443" t="str">
        <f t="shared" ref="F6443" si="6435">A6443</f>
        <v>TAGCAG</v>
      </c>
    </row>
    <row r="6444" spans="1:6" x14ac:dyDescent="0.3">
      <c r="A6444" t="s">
        <v>7322</v>
      </c>
      <c r="F6444" t="str">
        <f t="shared" ref="F6444" si="6436">LEFT(A6444, LEN(A6444) - 1)</f>
        <v>&gt;3220:TAGCAT:16.00:33.33:OK:6:1791.23</v>
      </c>
    </row>
    <row r="6445" spans="1:6" x14ac:dyDescent="0.3">
      <c r="A6445" t="s">
        <v>3226</v>
      </c>
      <c r="F6445" t="str">
        <f t="shared" ref="F6445" si="6437">A6445</f>
        <v>TAGCAT</v>
      </c>
    </row>
    <row r="6446" spans="1:6" x14ac:dyDescent="0.3">
      <c r="A6446" t="s">
        <v>7323</v>
      </c>
      <c r="F6446" t="str">
        <f t="shared" ref="F6446" si="6438">LEFT(A6446, LEN(A6446) - 1)</f>
        <v>&gt;3221:TAGCCA:22.00:50.00:Warning:6:1776.22</v>
      </c>
    </row>
    <row r="6447" spans="1:6" x14ac:dyDescent="0.3">
      <c r="A6447" t="s">
        <v>3227</v>
      </c>
      <c r="F6447" t="str">
        <f t="shared" ref="F6447" si="6439">A6447</f>
        <v>TAGCCA</v>
      </c>
    </row>
    <row r="6448" spans="1:6" x14ac:dyDescent="0.3">
      <c r="A6448" t="s">
        <v>7324</v>
      </c>
      <c r="F6448" t="str">
        <f t="shared" ref="F6448" si="6440">LEFT(A6448, LEN(A6448) - 1)</f>
        <v>&gt;3222:TAGCCC:20.00:66.67:Warning:6:1752.19</v>
      </c>
    </row>
    <row r="6449" spans="1:6" x14ac:dyDescent="0.3">
      <c r="A6449" t="s">
        <v>3228</v>
      </c>
      <c r="F6449" t="str">
        <f t="shared" ref="F6449" si="6441">A6449</f>
        <v>TAGCCC</v>
      </c>
    </row>
    <row r="6450" spans="1:6" x14ac:dyDescent="0.3">
      <c r="A6450" t="s">
        <v>7325</v>
      </c>
      <c r="F6450" t="str">
        <f t="shared" ref="F6450" si="6442">LEFT(A6450, LEN(A6450) - 1)</f>
        <v>&gt;3223:TAGCCG:20.00:66.67:Warning:6:1792.22</v>
      </c>
    </row>
    <row r="6451" spans="1:6" x14ac:dyDescent="0.3">
      <c r="A6451" t="s">
        <v>3229</v>
      </c>
      <c r="F6451" t="str">
        <f t="shared" ref="F6451" si="6443">A6451</f>
        <v>TAGCCG</v>
      </c>
    </row>
    <row r="6452" spans="1:6" x14ac:dyDescent="0.3">
      <c r="A6452" t="s">
        <v>7326</v>
      </c>
      <c r="F6452" t="str">
        <f t="shared" ref="F6452" si="6444">LEFT(A6452, LEN(A6452) - 1)</f>
        <v>&gt;3224:TAGCCT:14.00:50.00:Warning:6:1767.20</v>
      </c>
    </row>
    <row r="6453" spans="1:6" x14ac:dyDescent="0.3">
      <c r="A6453" t="s">
        <v>3230</v>
      </c>
      <c r="F6453" t="str">
        <f t="shared" ref="F6453" si="6445">A6453</f>
        <v>TAGCCT</v>
      </c>
    </row>
    <row r="6454" spans="1:6" x14ac:dyDescent="0.3">
      <c r="A6454" t="s">
        <v>7327</v>
      </c>
      <c r="F6454" t="str">
        <f t="shared" ref="F6454" si="6446">LEFT(A6454, LEN(A6454) - 1)</f>
        <v>&gt;3225:TAGCGA:22.00:50.00:Warning:6:1816.25</v>
      </c>
    </row>
    <row r="6455" spans="1:6" x14ac:dyDescent="0.3">
      <c r="A6455" t="s">
        <v>3231</v>
      </c>
      <c r="F6455" t="str">
        <f t="shared" ref="F6455" si="6447">A6455</f>
        <v>TAGCGA</v>
      </c>
    </row>
    <row r="6456" spans="1:6" x14ac:dyDescent="0.3">
      <c r="A6456" t="s">
        <v>7328</v>
      </c>
      <c r="F6456" t="str">
        <f t="shared" ref="F6456" si="6448">LEFT(A6456, LEN(A6456) - 1)</f>
        <v>&gt;3226:TAGCGC:20.00:66.67:Warning:6:1792.22</v>
      </c>
    </row>
    <row r="6457" spans="1:6" x14ac:dyDescent="0.3">
      <c r="A6457" t="s">
        <v>3232</v>
      </c>
      <c r="F6457" t="str">
        <f t="shared" ref="F6457" si="6449">A6457</f>
        <v>TAGCGC</v>
      </c>
    </row>
    <row r="6458" spans="1:6" x14ac:dyDescent="0.3">
      <c r="A6458" t="s">
        <v>7329</v>
      </c>
      <c r="F6458" t="str">
        <f t="shared" ref="F6458" si="6450">LEFT(A6458, LEN(A6458) - 1)</f>
        <v>&gt;3227:TAGCGG:20.00:66.67:Warning:6:1832.25</v>
      </c>
    </row>
    <row r="6459" spans="1:6" x14ac:dyDescent="0.3">
      <c r="A6459" t="s">
        <v>3233</v>
      </c>
      <c r="F6459" t="str">
        <f t="shared" ref="F6459" si="6451">A6459</f>
        <v>TAGCGG</v>
      </c>
    </row>
    <row r="6460" spans="1:6" x14ac:dyDescent="0.3">
      <c r="A6460" t="s">
        <v>7330</v>
      </c>
      <c r="F6460" t="str">
        <f t="shared" ref="F6460" si="6452">LEFT(A6460, LEN(A6460) - 1)</f>
        <v>&gt;3228:TAGCGT:14.00:50.00:Warning:6:1807.23</v>
      </c>
    </row>
    <row r="6461" spans="1:6" x14ac:dyDescent="0.3">
      <c r="A6461" t="s">
        <v>3234</v>
      </c>
      <c r="F6461" t="str">
        <f t="shared" ref="F6461" si="6453">A6461</f>
        <v>TAGCGT</v>
      </c>
    </row>
    <row r="6462" spans="1:6" x14ac:dyDescent="0.3">
      <c r="A6462" t="s">
        <v>7331</v>
      </c>
      <c r="F6462" t="str">
        <f t="shared" ref="F6462" si="6454">LEFT(A6462, LEN(A6462) - 1)</f>
        <v>&gt;3229:TAGCTA:16.00:33.33:OK:6:1791.23</v>
      </c>
    </row>
    <row r="6463" spans="1:6" x14ac:dyDescent="0.3">
      <c r="A6463" t="s">
        <v>3235</v>
      </c>
      <c r="F6463" t="str">
        <f t="shared" ref="F6463" si="6455">A6463</f>
        <v>TAGCTA</v>
      </c>
    </row>
    <row r="6464" spans="1:6" x14ac:dyDescent="0.3">
      <c r="A6464" t="s">
        <v>7332</v>
      </c>
      <c r="F6464" t="str">
        <f t="shared" ref="F6464" si="6456">LEFT(A6464, LEN(A6464) - 1)</f>
        <v>&gt;3230:TAGCTC:14.00:50.00:Warning:6:1767.20</v>
      </c>
    </row>
    <row r="6465" spans="1:6" x14ac:dyDescent="0.3">
      <c r="A6465" t="s">
        <v>3236</v>
      </c>
      <c r="F6465" t="str">
        <f t="shared" ref="F6465" si="6457">A6465</f>
        <v>TAGCTC</v>
      </c>
    </row>
    <row r="6466" spans="1:6" x14ac:dyDescent="0.3">
      <c r="A6466" t="s">
        <v>7333</v>
      </c>
      <c r="F6466" t="str">
        <f t="shared" ref="F6466" si="6458">LEFT(A6466, LEN(A6466) - 1)</f>
        <v>&gt;3231:TAGCTG:14.00:50.00:Warning:6:1807.23</v>
      </c>
    </row>
    <row r="6467" spans="1:6" x14ac:dyDescent="0.3">
      <c r="A6467" t="s">
        <v>3237</v>
      </c>
      <c r="F6467" t="str">
        <f t="shared" ref="F6467" si="6459">A6467</f>
        <v>TAGCTG</v>
      </c>
    </row>
    <row r="6468" spans="1:6" x14ac:dyDescent="0.3">
      <c r="A6468" t="s">
        <v>7334</v>
      </c>
      <c r="F6468" t="str">
        <f t="shared" ref="F6468" si="6460">LEFT(A6468, LEN(A6468) - 1)</f>
        <v>&gt;3232:TAGCTT:8.00:33.33:OK:6:1782.21</v>
      </c>
    </row>
    <row r="6469" spans="1:6" x14ac:dyDescent="0.3">
      <c r="A6469" t="s">
        <v>3238</v>
      </c>
      <c r="F6469" t="str">
        <f t="shared" ref="F6469" si="6461">A6469</f>
        <v>TAGCTT</v>
      </c>
    </row>
    <row r="6470" spans="1:6" x14ac:dyDescent="0.3">
      <c r="A6470" t="s">
        <v>7335</v>
      </c>
      <c r="F6470" t="str">
        <f t="shared" ref="F6470" si="6462">LEFT(A6470, LEN(A6470) - 1)</f>
        <v>&gt;3233:TAGGAA:24.00:33.33:OK:6:1840.28</v>
      </c>
    </row>
    <row r="6471" spans="1:6" x14ac:dyDescent="0.3">
      <c r="A6471" t="s">
        <v>3239</v>
      </c>
      <c r="F6471" t="str">
        <f t="shared" ref="F6471" si="6463">A6471</f>
        <v>TAGGAA</v>
      </c>
    </row>
    <row r="6472" spans="1:6" x14ac:dyDescent="0.3">
      <c r="A6472" t="s">
        <v>7336</v>
      </c>
      <c r="F6472" t="str">
        <f t="shared" ref="F6472" si="6464">LEFT(A6472, LEN(A6472) - 1)</f>
        <v>&gt;3234:TAGGAC:22.00:50.00:Warning:6:1816.25</v>
      </c>
    </row>
    <row r="6473" spans="1:6" x14ac:dyDescent="0.3">
      <c r="A6473" t="s">
        <v>3240</v>
      </c>
      <c r="F6473" t="str">
        <f t="shared" ref="F6473" si="6465">A6473</f>
        <v>TAGGAC</v>
      </c>
    </row>
    <row r="6474" spans="1:6" x14ac:dyDescent="0.3">
      <c r="A6474" t="s">
        <v>7337</v>
      </c>
      <c r="F6474" t="str">
        <f t="shared" ref="F6474" si="6466">LEFT(A6474, LEN(A6474) - 1)</f>
        <v>&gt;3235:TAGGAG:22.00:50.00:Warning:6:1856.28</v>
      </c>
    </row>
    <row r="6475" spans="1:6" x14ac:dyDescent="0.3">
      <c r="A6475" t="s">
        <v>3241</v>
      </c>
      <c r="F6475" t="str">
        <f t="shared" ref="F6475" si="6467">A6475</f>
        <v>TAGGAG</v>
      </c>
    </row>
    <row r="6476" spans="1:6" x14ac:dyDescent="0.3">
      <c r="A6476" t="s">
        <v>7338</v>
      </c>
      <c r="F6476" t="str">
        <f t="shared" ref="F6476" si="6468">LEFT(A6476, LEN(A6476) - 1)</f>
        <v>&gt;3236:TAGGAT:16.00:33.33:OK:6:1831.26</v>
      </c>
    </row>
    <row r="6477" spans="1:6" x14ac:dyDescent="0.3">
      <c r="A6477" t="s">
        <v>3242</v>
      </c>
      <c r="F6477" t="str">
        <f t="shared" ref="F6477" si="6469">A6477</f>
        <v>TAGGAT</v>
      </c>
    </row>
    <row r="6478" spans="1:6" x14ac:dyDescent="0.3">
      <c r="A6478" t="s">
        <v>7339</v>
      </c>
      <c r="F6478" t="str">
        <f t="shared" ref="F6478" si="6470">LEFT(A6478, LEN(A6478) - 1)</f>
        <v>&gt;3237:TAGGCA:22.00:50.00:Warning:6:1816.25</v>
      </c>
    </row>
    <row r="6479" spans="1:6" x14ac:dyDescent="0.3">
      <c r="A6479" t="s">
        <v>3243</v>
      </c>
      <c r="F6479" t="str">
        <f t="shared" ref="F6479" si="6471">A6479</f>
        <v>TAGGCA</v>
      </c>
    </row>
    <row r="6480" spans="1:6" x14ac:dyDescent="0.3">
      <c r="A6480" t="s">
        <v>7340</v>
      </c>
      <c r="F6480" t="str">
        <f t="shared" ref="F6480" si="6472">LEFT(A6480, LEN(A6480) - 1)</f>
        <v>&gt;3238:TAGGCC:20.00:66.67:Warning:6:1792.22</v>
      </c>
    </row>
    <row r="6481" spans="1:6" x14ac:dyDescent="0.3">
      <c r="A6481" t="s">
        <v>3244</v>
      </c>
      <c r="F6481" t="str">
        <f t="shared" ref="F6481" si="6473">A6481</f>
        <v>TAGGCC</v>
      </c>
    </row>
    <row r="6482" spans="1:6" x14ac:dyDescent="0.3">
      <c r="A6482" t="s">
        <v>7341</v>
      </c>
      <c r="F6482" t="str">
        <f t="shared" ref="F6482" si="6474">LEFT(A6482, LEN(A6482) - 1)</f>
        <v>&gt;3239:TAGGCG:20.00:66.67:Warning:6:1832.25</v>
      </c>
    </row>
    <row r="6483" spans="1:6" x14ac:dyDescent="0.3">
      <c r="A6483" t="s">
        <v>3245</v>
      </c>
      <c r="F6483" t="str">
        <f t="shared" ref="F6483" si="6475">A6483</f>
        <v>TAGGCG</v>
      </c>
    </row>
    <row r="6484" spans="1:6" x14ac:dyDescent="0.3">
      <c r="A6484" t="s">
        <v>7342</v>
      </c>
      <c r="F6484" t="str">
        <f t="shared" ref="F6484" si="6476">LEFT(A6484, LEN(A6484) - 1)</f>
        <v>&gt;3240:TAGGCT:14.00:50.00:Warning:6:1807.23</v>
      </c>
    </row>
    <row r="6485" spans="1:6" x14ac:dyDescent="0.3">
      <c r="A6485" t="s">
        <v>3246</v>
      </c>
      <c r="F6485" t="str">
        <f t="shared" ref="F6485" si="6477">A6485</f>
        <v>TAGGCT</v>
      </c>
    </row>
    <row r="6486" spans="1:6" x14ac:dyDescent="0.3">
      <c r="A6486" t="s">
        <v>7343</v>
      </c>
      <c r="F6486" t="str">
        <f t="shared" ref="F6486" si="6478">LEFT(A6486, LEN(A6486) - 1)</f>
        <v>&gt;3241:TAGGGA:22.00:50.00:Warning:6:1856.28</v>
      </c>
    </row>
    <row r="6487" spans="1:6" x14ac:dyDescent="0.3">
      <c r="A6487" t="s">
        <v>3247</v>
      </c>
      <c r="F6487" t="str">
        <f t="shared" ref="F6487" si="6479">A6487</f>
        <v>TAGGGA</v>
      </c>
    </row>
    <row r="6488" spans="1:6" x14ac:dyDescent="0.3">
      <c r="A6488" t="s">
        <v>7344</v>
      </c>
      <c r="F6488" t="str">
        <f t="shared" ref="F6488" si="6480">LEFT(A6488, LEN(A6488) - 1)</f>
        <v>&gt;3242:TAGGGC:20.00:66.67:Warning:6:1832.25</v>
      </c>
    </row>
    <row r="6489" spans="1:6" x14ac:dyDescent="0.3">
      <c r="A6489" t="s">
        <v>3248</v>
      </c>
      <c r="F6489" t="str">
        <f t="shared" ref="F6489" si="6481">A6489</f>
        <v>TAGGGC</v>
      </c>
    </row>
    <row r="6490" spans="1:6" x14ac:dyDescent="0.3">
      <c r="A6490" t="s">
        <v>7345</v>
      </c>
      <c r="F6490" t="str">
        <f t="shared" ref="F6490" si="6482">LEFT(A6490, LEN(A6490) - 1)</f>
        <v>&gt;3243:TAGGGG:20.00:66.67:Warning:6:1872.28</v>
      </c>
    </row>
    <row r="6491" spans="1:6" x14ac:dyDescent="0.3">
      <c r="A6491" t="s">
        <v>3249</v>
      </c>
      <c r="F6491" t="str">
        <f t="shared" ref="F6491" si="6483">A6491</f>
        <v>TAGGGG</v>
      </c>
    </row>
    <row r="6492" spans="1:6" x14ac:dyDescent="0.3">
      <c r="A6492" t="s">
        <v>7346</v>
      </c>
      <c r="F6492" t="str">
        <f t="shared" ref="F6492" si="6484">LEFT(A6492, LEN(A6492) - 1)</f>
        <v>&gt;3244:TAGGGT:14.00:50.00:Warning:6:1847.26</v>
      </c>
    </row>
    <row r="6493" spans="1:6" x14ac:dyDescent="0.3">
      <c r="A6493" t="s">
        <v>3250</v>
      </c>
      <c r="F6493" t="str">
        <f t="shared" ref="F6493" si="6485">A6493</f>
        <v>TAGGGT</v>
      </c>
    </row>
    <row r="6494" spans="1:6" x14ac:dyDescent="0.3">
      <c r="A6494" t="s">
        <v>7347</v>
      </c>
      <c r="F6494" t="str">
        <f t="shared" ref="F6494" si="6486">LEFT(A6494, LEN(A6494) - 1)</f>
        <v>&gt;3245:TAGGTA:16.00:33.33:OK:6:1831.26</v>
      </c>
    </row>
    <row r="6495" spans="1:6" x14ac:dyDescent="0.3">
      <c r="A6495" t="s">
        <v>3251</v>
      </c>
      <c r="F6495" t="str">
        <f t="shared" ref="F6495" si="6487">A6495</f>
        <v>TAGGTA</v>
      </c>
    </row>
    <row r="6496" spans="1:6" x14ac:dyDescent="0.3">
      <c r="A6496" t="s">
        <v>7348</v>
      </c>
      <c r="F6496" t="str">
        <f t="shared" ref="F6496" si="6488">LEFT(A6496, LEN(A6496) - 1)</f>
        <v>&gt;3246:TAGGTC:14.00:50.00:Warning:6:1807.23</v>
      </c>
    </row>
    <row r="6497" spans="1:6" x14ac:dyDescent="0.3">
      <c r="A6497" t="s">
        <v>3252</v>
      </c>
      <c r="F6497" t="str">
        <f t="shared" ref="F6497" si="6489">A6497</f>
        <v>TAGGTC</v>
      </c>
    </row>
    <row r="6498" spans="1:6" x14ac:dyDescent="0.3">
      <c r="A6498" t="s">
        <v>7349</v>
      </c>
      <c r="F6498" t="str">
        <f t="shared" ref="F6498" si="6490">LEFT(A6498, LEN(A6498) - 1)</f>
        <v>&gt;3247:TAGGTG:14.00:50.00:Warning:6:1847.26</v>
      </c>
    </row>
    <row r="6499" spans="1:6" x14ac:dyDescent="0.3">
      <c r="A6499" t="s">
        <v>3253</v>
      </c>
      <c r="F6499" t="str">
        <f t="shared" ref="F6499" si="6491">A6499</f>
        <v>TAGGTG</v>
      </c>
    </row>
    <row r="6500" spans="1:6" x14ac:dyDescent="0.3">
      <c r="A6500" t="s">
        <v>7350</v>
      </c>
      <c r="F6500" t="str">
        <f t="shared" ref="F6500" si="6492">LEFT(A6500, LEN(A6500) - 1)</f>
        <v>&gt;3248:TAGGTT:8.00:33.33:OK:6:1822.24</v>
      </c>
    </row>
    <row r="6501" spans="1:6" x14ac:dyDescent="0.3">
      <c r="A6501" t="s">
        <v>3254</v>
      </c>
      <c r="F6501" t="str">
        <f t="shared" ref="F6501" si="6493">A6501</f>
        <v>TAGGTT</v>
      </c>
    </row>
    <row r="6502" spans="1:6" x14ac:dyDescent="0.3">
      <c r="A6502" t="s">
        <v>7351</v>
      </c>
      <c r="F6502" t="str">
        <f t="shared" ref="F6502" si="6494">LEFT(A6502, LEN(A6502) - 1)</f>
        <v>&gt;3249:TAGTAA:18.00:16.67:OK:6:1815.26</v>
      </c>
    </row>
    <row r="6503" spans="1:6" x14ac:dyDescent="0.3">
      <c r="A6503" t="s">
        <v>3255</v>
      </c>
      <c r="F6503" t="str">
        <f t="shared" ref="F6503" si="6495">A6503</f>
        <v>TAGTAA</v>
      </c>
    </row>
    <row r="6504" spans="1:6" x14ac:dyDescent="0.3">
      <c r="A6504" t="s">
        <v>7352</v>
      </c>
      <c r="F6504" t="str">
        <f t="shared" ref="F6504" si="6496">LEFT(A6504, LEN(A6504) - 1)</f>
        <v>&gt;3250:TAGTAC:16.00:33.33:OK:6:1791.23</v>
      </c>
    </row>
    <row r="6505" spans="1:6" x14ac:dyDescent="0.3">
      <c r="A6505" t="s">
        <v>3256</v>
      </c>
      <c r="F6505" t="str">
        <f t="shared" ref="F6505" si="6497">A6505</f>
        <v>TAGTAC</v>
      </c>
    </row>
    <row r="6506" spans="1:6" x14ac:dyDescent="0.3">
      <c r="A6506" t="s">
        <v>7353</v>
      </c>
      <c r="F6506" t="str">
        <f t="shared" ref="F6506" si="6498">LEFT(A6506, LEN(A6506) - 1)</f>
        <v>&gt;3251:TAGTAG:16.00:33.33:OK:6:1831.26</v>
      </c>
    </row>
    <row r="6507" spans="1:6" x14ac:dyDescent="0.3">
      <c r="A6507" t="s">
        <v>3257</v>
      </c>
      <c r="F6507" t="str">
        <f t="shared" ref="F6507" si="6499">A6507</f>
        <v>TAGTAG</v>
      </c>
    </row>
    <row r="6508" spans="1:6" x14ac:dyDescent="0.3">
      <c r="A6508" t="s">
        <v>7354</v>
      </c>
      <c r="F6508" t="str">
        <f t="shared" ref="F6508" si="6500">LEFT(A6508, LEN(A6508) - 1)</f>
        <v>&gt;3252:TAGTAT:10.00:16.67:OK:6:1806.24</v>
      </c>
    </row>
    <row r="6509" spans="1:6" x14ac:dyDescent="0.3">
      <c r="A6509" t="s">
        <v>3258</v>
      </c>
      <c r="F6509" t="str">
        <f t="shared" ref="F6509" si="6501">A6509</f>
        <v>TAGTAT</v>
      </c>
    </row>
    <row r="6510" spans="1:6" x14ac:dyDescent="0.3">
      <c r="A6510" t="s">
        <v>7355</v>
      </c>
      <c r="F6510" t="str">
        <f t="shared" ref="F6510" si="6502">LEFT(A6510, LEN(A6510) - 1)</f>
        <v>&gt;3253:TAGTCA:16.00:33.33:OK:6:1791.23</v>
      </c>
    </row>
    <row r="6511" spans="1:6" x14ac:dyDescent="0.3">
      <c r="A6511" t="s">
        <v>3259</v>
      </c>
      <c r="F6511" t="str">
        <f t="shared" ref="F6511" si="6503">A6511</f>
        <v>TAGTCA</v>
      </c>
    </row>
    <row r="6512" spans="1:6" x14ac:dyDescent="0.3">
      <c r="A6512" t="s">
        <v>7356</v>
      </c>
      <c r="F6512" t="str">
        <f t="shared" ref="F6512" si="6504">LEFT(A6512, LEN(A6512) - 1)</f>
        <v>&gt;3254:TAGTCC:14.00:50.00:Warning:6:1767.20</v>
      </c>
    </row>
    <row r="6513" spans="1:6" x14ac:dyDescent="0.3">
      <c r="A6513" t="s">
        <v>3260</v>
      </c>
      <c r="F6513" t="str">
        <f t="shared" ref="F6513" si="6505">A6513</f>
        <v>TAGTCC</v>
      </c>
    </row>
    <row r="6514" spans="1:6" x14ac:dyDescent="0.3">
      <c r="A6514" t="s">
        <v>7357</v>
      </c>
      <c r="F6514" t="str">
        <f t="shared" ref="F6514" si="6506">LEFT(A6514, LEN(A6514) - 1)</f>
        <v>&gt;3255:TAGTCG:14.00:50.00:Warning:6:1807.23</v>
      </c>
    </row>
    <row r="6515" spans="1:6" x14ac:dyDescent="0.3">
      <c r="A6515" t="s">
        <v>3261</v>
      </c>
      <c r="F6515" t="str">
        <f t="shared" ref="F6515" si="6507">A6515</f>
        <v>TAGTCG</v>
      </c>
    </row>
    <row r="6516" spans="1:6" x14ac:dyDescent="0.3">
      <c r="A6516" t="s">
        <v>7358</v>
      </c>
      <c r="F6516" t="str">
        <f t="shared" ref="F6516" si="6508">LEFT(A6516, LEN(A6516) - 1)</f>
        <v>&gt;3256:TAGTCT:8.00:33.33:OK:6:1782.21</v>
      </c>
    </row>
    <row r="6517" spans="1:6" x14ac:dyDescent="0.3">
      <c r="A6517" t="s">
        <v>3262</v>
      </c>
      <c r="F6517" t="str">
        <f t="shared" ref="F6517" si="6509">A6517</f>
        <v>TAGTCT</v>
      </c>
    </row>
    <row r="6518" spans="1:6" x14ac:dyDescent="0.3">
      <c r="A6518" t="s">
        <v>7359</v>
      </c>
      <c r="F6518" t="str">
        <f t="shared" ref="F6518" si="6510">LEFT(A6518, LEN(A6518) - 1)</f>
        <v>&gt;3257:TAGTGA:16.00:33.33:OK:6:1831.26</v>
      </c>
    </row>
    <row r="6519" spans="1:6" x14ac:dyDescent="0.3">
      <c r="A6519" t="s">
        <v>3263</v>
      </c>
      <c r="F6519" t="str">
        <f t="shared" ref="F6519" si="6511">A6519</f>
        <v>TAGTGA</v>
      </c>
    </row>
    <row r="6520" spans="1:6" x14ac:dyDescent="0.3">
      <c r="A6520" t="s">
        <v>7360</v>
      </c>
      <c r="F6520" t="str">
        <f t="shared" ref="F6520" si="6512">LEFT(A6520, LEN(A6520) - 1)</f>
        <v>&gt;3258:TAGTGC:14.00:50.00:Warning:6:1807.23</v>
      </c>
    </row>
    <row r="6521" spans="1:6" x14ac:dyDescent="0.3">
      <c r="A6521" t="s">
        <v>3264</v>
      </c>
      <c r="F6521" t="str">
        <f t="shared" ref="F6521" si="6513">A6521</f>
        <v>TAGTGC</v>
      </c>
    </row>
    <row r="6522" spans="1:6" x14ac:dyDescent="0.3">
      <c r="A6522" t="s">
        <v>7361</v>
      </c>
      <c r="F6522" t="str">
        <f t="shared" ref="F6522" si="6514">LEFT(A6522, LEN(A6522) - 1)</f>
        <v>&gt;3259:TAGTGG:14.00:50.00:Warning:6:1847.26</v>
      </c>
    </row>
    <row r="6523" spans="1:6" x14ac:dyDescent="0.3">
      <c r="A6523" t="s">
        <v>3265</v>
      </c>
      <c r="F6523" t="str">
        <f t="shared" ref="F6523" si="6515">A6523</f>
        <v>TAGTGG</v>
      </c>
    </row>
    <row r="6524" spans="1:6" x14ac:dyDescent="0.3">
      <c r="A6524" t="s">
        <v>7362</v>
      </c>
      <c r="F6524" t="str">
        <f t="shared" ref="F6524" si="6516">LEFT(A6524, LEN(A6524) - 1)</f>
        <v>&gt;3260:TAGTGT:8.00:33.33:OK:6:1822.24</v>
      </c>
    </row>
    <row r="6525" spans="1:6" x14ac:dyDescent="0.3">
      <c r="A6525" t="s">
        <v>3266</v>
      </c>
      <c r="F6525" t="str">
        <f t="shared" ref="F6525" si="6517">A6525</f>
        <v>TAGTGT</v>
      </c>
    </row>
    <row r="6526" spans="1:6" x14ac:dyDescent="0.3">
      <c r="A6526" t="s">
        <v>7363</v>
      </c>
      <c r="F6526" t="str">
        <f t="shared" ref="F6526" si="6518">LEFT(A6526, LEN(A6526) - 1)</f>
        <v>&gt;3261:TAGTTA:10.00:16.67:OK:6:1806.24</v>
      </c>
    </row>
    <row r="6527" spans="1:6" x14ac:dyDescent="0.3">
      <c r="A6527" t="s">
        <v>3267</v>
      </c>
      <c r="F6527" t="str">
        <f t="shared" ref="F6527" si="6519">A6527</f>
        <v>TAGTTA</v>
      </c>
    </row>
    <row r="6528" spans="1:6" x14ac:dyDescent="0.3">
      <c r="A6528" t="s">
        <v>7364</v>
      </c>
      <c r="F6528" t="str">
        <f t="shared" ref="F6528" si="6520">LEFT(A6528, LEN(A6528) - 1)</f>
        <v>&gt;3262:TAGTTC:8.00:33.33:OK:6:1782.21</v>
      </c>
    </row>
    <row r="6529" spans="1:6" x14ac:dyDescent="0.3">
      <c r="A6529" t="s">
        <v>3268</v>
      </c>
      <c r="F6529" t="str">
        <f t="shared" ref="F6529" si="6521">A6529</f>
        <v>TAGTTC</v>
      </c>
    </row>
    <row r="6530" spans="1:6" x14ac:dyDescent="0.3">
      <c r="A6530" t="s">
        <v>7365</v>
      </c>
      <c r="F6530" t="str">
        <f t="shared" ref="F6530" si="6522">LEFT(A6530, LEN(A6530) - 1)</f>
        <v>&gt;3263:TAGTTG:8.00:33.33:OK:6:1822.24</v>
      </c>
    </row>
    <row r="6531" spans="1:6" x14ac:dyDescent="0.3">
      <c r="A6531" t="s">
        <v>3269</v>
      </c>
      <c r="F6531" t="str">
        <f t="shared" ref="F6531" si="6523">A6531</f>
        <v>TAGTTG</v>
      </c>
    </row>
    <row r="6532" spans="1:6" x14ac:dyDescent="0.3">
      <c r="A6532" t="s">
        <v>7366</v>
      </c>
      <c r="F6532" t="str">
        <f t="shared" ref="F6532" si="6524">LEFT(A6532, LEN(A6532) - 1)</f>
        <v>&gt;3264:TAGTTT:2.00:16.67:OK:6:1797.22</v>
      </c>
    </row>
    <row r="6533" spans="1:6" x14ac:dyDescent="0.3">
      <c r="A6533" t="s">
        <v>3270</v>
      </c>
      <c r="F6533" t="str">
        <f t="shared" ref="F6533" si="6525">A6533</f>
        <v>TAGTTT</v>
      </c>
    </row>
    <row r="6534" spans="1:6" x14ac:dyDescent="0.3">
      <c r="A6534" t="s">
        <v>7367</v>
      </c>
      <c r="F6534" t="str">
        <f t="shared" ref="F6534" si="6526">LEFT(A6534, LEN(A6534) - 1)</f>
        <v>&gt;3265:TATAAA:20.00:0.00:OK:6:1799.26</v>
      </c>
    </row>
    <row r="6535" spans="1:6" x14ac:dyDescent="0.3">
      <c r="A6535" t="s">
        <v>3271</v>
      </c>
      <c r="F6535" t="str">
        <f t="shared" ref="F6535" si="6527">A6535</f>
        <v>TATAAA</v>
      </c>
    </row>
    <row r="6536" spans="1:6" x14ac:dyDescent="0.3">
      <c r="A6536" t="s">
        <v>7368</v>
      </c>
      <c r="F6536" t="str">
        <f t="shared" ref="F6536" si="6528">LEFT(A6536, LEN(A6536) - 1)</f>
        <v>&gt;3266:TATAAC:18.00:16.67:OK:6:1775.23</v>
      </c>
    </row>
    <row r="6537" spans="1:6" x14ac:dyDescent="0.3">
      <c r="A6537" t="s">
        <v>3272</v>
      </c>
      <c r="F6537" t="str">
        <f t="shared" ref="F6537" si="6529">A6537</f>
        <v>TATAAC</v>
      </c>
    </row>
    <row r="6538" spans="1:6" x14ac:dyDescent="0.3">
      <c r="A6538" t="s">
        <v>7369</v>
      </c>
      <c r="F6538" t="str">
        <f t="shared" ref="F6538" si="6530">LEFT(A6538, LEN(A6538) - 1)</f>
        <v>&gt;3267:TATAAG:18.00:16.67:OK:6:1815.26</v>
      </c>
    </row>
    <row r="6539" spans="1:6" x14ac:dyDescent="0.3">
      <c r="A6539" t="s">
        <v>3273</v>
      </c>
      <c r="F6539" t="str">
        <f t="shared" ref="F6539" si="6531">A6539</f>
        <v>TATAAG</v>
      </c>
    </row>
    <row r="6540" spans="1:6" x14ac:dyDescent="0.3">
      <c r="A6540" t="s">
        <v>7370</v>
      </c>
      <c r="F6540" t="str">
        <f t="shared" ref="F6540" si="6532">LEFT(A6540, LEN(A6540) - 1)</f>
        <v>&gt;3268:TATAAT:12.00:0.00:OK:6:1790.24</v>
      </c>
    </row>
    <row r="6541" spans="1:6" x14ac:dyDescent="0.3">
      <c r="A6541" t="s">
        <v>3274</v>
      </c>
      <c r="F6541" t="str">
        <f t="shared" ref="F6541" si="6533">A6541</f>
        <v>TATAAT</v>
      </c>
    </row>
    <row r="6542" spans="1:6" x14ac:dyDescent="0.3">
      <c r="A6542" t="s">
        <v>7371</v>
      </c>
      <c r="F6542" t="str">
        <f t="shared" ref="F6542" si="6534">LEFT(A6542, LEN(A6542) - 1)</f>
        <v>&gt;3269:TATACA:18.00:16.67:OK:6:1775.23</v>
      </c>
    </row>
    <row r="6543" spans="1:6" x14ac:dyDescent="0.3">
      <c r="A6543" t="s">
        <v>3275</v>
      </c>
      <c r="F6543" t="str">
        <f t="shared" ref="F6543" si="6535">A6543</f>
        <v>TATACA</v>
      </c>
    </row>
    <row r="6544" spans="1:6" x14ac:dyDescent="0.3">
      <c r="A6544" t="s">
        <v>7372</v>
      </c>
      <c r="F6544" t="str">
        <f t="shared" ref="F6544" si="6536">LEFT(A6544, LEN(A6544) - 1)</f>
        <v>&gt;3270:TATACC:16.00:33.33:OK:6:1751.20</v>
      </c>
    </row>
    <row r="6545" spans="1:6" x14ac:dyDescent="0.3">
      <c r="A6545" t="s">
        <v>3276</v>
      </c>
      <c r="F6545" t="str">
        <f t="shared" ref="F6545" si="6537">A6545</f>
        <v>TATACC</v>
      </c>
    </row>
    <row r="6546" spans="1:6" x14ac:dyDescent="0.3">
      <c r="A6546" t="s">
        <v>7373</v>
      </c>
      <c r="F6546" t="str">
        <f t="shared" ref="F6546" si="6538">LEFT(A6546, LEN(A6546) - 1)</f>
        <v>&gt;3271:TATACG:16.00:33.33:OK:6:1791.23</v>
      </c>
    </row>
    <row r="6547" spans="1:6" x14ac:dyDescent="0.3">
      <c r="A6547" t="s">
        <v>3277</v>
      </c>
      <c r="F6547" t="str">
        <f t="shared" ref="F6547" si="6539">A6547</f>
        <v>TATACG</v>
      </c>
    </row>
    <row r="6548" spans="1:6" x14ac:dyDescent="0.3">
      <c r="A6548" t="s">
        <v>7374</v>
      </c>
      <c r="F6548" t="str">
        <f t="shared" ref="F6548" si="6540">LEFT(A6548, LEN(A6548) - 1)</f>
        <v>&gt;3272:TATACT:10.00:16.67:OK:6:1766.21</v>
      </c>
    </row>
    <row r="6549" spans="1:6" x14ac:dyDescent="0.3">
      <c r="A6549" t="s">
        <v>3278</v>
      </c>
      <c r="F6549" t="str">
        <f t="shared" ref="F6549" si="6541">A6549</f>
        <v>TATACT</v>
      </c>
    </row>
    <row r="6550" spans="1:6" x14ac:dyDescent="0.3">
      <c r="A6550" t="s">
        <v>7375</v>
      </c>
      <c r="F6550" t="str">
        <f t="shared" ref="F6550" si="6542">LEFT(A6550, LEN(A6550) - 1)</f>
        <v>&gt;3273:TATAGA:18.00:16.67:OK:6:1815.26</v>
      </c>
    </row>
    <row r="6551" spans="1:6" x14ac:dyDescent="0.3">
      <c r="A6551" t="s">
        <v>3279</v>
      </c>
      <c r="F6551" t="str">
        <f t="shared" ref="F6551" si="6543">A6551</f>
        <v>TATAGA</v>
      </c>
    </row>
    <row r="6552" spans="1:6" x14ac:dyDescent="0.3">
      <c r="A6552" t="s">
        <v>7376</v>
      </c>
      <c r="F6552" t="str">
        <f t="shared" ref="F6552" si="6544">LEFT(A6552, LEN(A6552) - 1)</f>
        <v>&gt;3274:TATAGC:16.00:33.33:OK:6:1791.23</v>
      </c>
    </row>
    <row r="6553" spans="1:6" x14ac:dyDescent="0.3">
      <c r="A6553" t="s">
        <v>3280</v>
      </c>
      <c r="F6553" t="str">
        <f t="shared" ref="F6553" si="6545">A6553</f>
        <v>TATAGC</v>
      </c>
    </row>
    <row r="6554" spans="1:6" x14ac:dyDescent="0.3">
      <c r="A6554" t="s">
        <v>7377</v>
      </c>
      <c r="F6554" t="str">
        <f t="shared" ref="F6554" si="6546">LEFT(A6554, LEN(A6554) - 1)</f>
        <v>&gt;3275:TATAGG:16.00:33.33:OK:6:1831.26</v>
      </c>
    </row>
    <row r="6555" spans="1:6" x14ac:dyDescent="0.3">
      <c r="A6555" t="s">
        <v>3281</v>
      </c>
      <c r="F6555" t="str">
        <f t="shared" ref="F6555" si="6547">A6555</f>
        <v>TATAGG</v>
      </c>
    </row>
    <row r="6556" spans="1:6" x14ac:dyDescent="0.3">
      <c r="A6556" t="s">
        <v>7378</v>
      </c>
      <c r="F6556" t="str">
        <f t="shared" ref="F6556" si="6548">LEFT(A6556, LEN(A6556) - 1)</f>
        <v>&gt;3276:TATAGT:10.00:16.67:OK:6:1806.24</v>
      </c>
    </row>
    <row r="6557" spans="1:6" x14ac:dyDescent="0.3">
      <c r="A6557" t="s">
        <v>3282</v>
      </c>
      <c r="F6557" t="str">
        <f t="shared" ref="F6557" si="6549">A6557</f>
        <v>TATAGT</v>
      </c>
    </row>
    <row r="6558" spans="1:6" x14ac:dyDescent="0.3">
      <c r="A6558" t="s">
        <v>7379</v>
      </c>
      <c r="F6558" t="str">
        <f t="shared" ref="F6558" si="6550">LEFT(A6558, LEN(A6558) - 1)</f>
        <v>&gt;3277:TATATA:12.00:0.00:OK:6:1790.24</v>
      </c>
    </row>
    <row r="6559" spans="1:6" x14ac:dyDescent="0.3">
      <c r="A6559" t="s">
        <v>3283</v>
      </c>
      <c r="F6559" t="str">
        <f t="shared" ref="F6559" si="6551">A6559</f>
        <v>TATATA</v>
      </c>
    </row>
    <row r="6560" spans="1:6" x14ac:dyDescent="0.3">
      <c r="A6560" t="s">
        <v>7380</v>
      </c>
      <c r="F6560" t="str">
        <f t="shared" ref="F6560" si="6552">LEFT(A6560, LEN(A6560) - 1)</f>
        <v>&gt;3278:TATATC:10.00:16.67:OK:6:1766.21</v>
      </c>
    </row>
    <row r="6561" spans="1:6" x14ac:dyDescent="0.3">
      <c r="A6561" t="s">
        <v>3284</v>
      </c>
      <c r="F6561" t="str">
        <f t="shared" ref="F6561" si="6553">A6561</f>
        <v>TATATC</v>
      </c>
    </row>
    <row r="6562" spans="1:6" x14ac:dyDescent="0.3">
      <c r="A6562" t="s">
        <v>7381</v>
      </c>
      <c r="F6562" t="str">
        <f t="shared" ref="F6562" si="6554">LEFT(A6562, LEN(A6562) - 1)</f>
        <v>&gt;3279:TATATG:10.00:16.67:OK:6:1806.24</v>
      </c>
    </row>
    <row r="6563" spans="1:6" x14ac:dyDescent="0.3">
      <c r="A6563" t="s">
        <v>3285</v>
      </c>
      <c r="F6563" t="str">
        <f t="shared" ref="F6563" si="6555">A6563</f>
        <v>TATATG</v>
      </c>
    </row>
    <row r="6564" spans="1:6" x14ac:dyDescent="0.3">
      <c r="A6564" t="s">
        <v>7382</v>
      </c>
      <c r="F6564" t="str">
        <f t="shared" ref="F6564" si="6556">LEFT(A6564, LEN(A6564) - 1)</f>
        <v>&gt;3280:TATATT:4.00:0.00:OK:6:1781.22</v>
      </c>
    </row>
    <row r="6565" spans="1:6" x14ac:dyDescent="0.3">
      <c r="A6565" t="s">
        <v>3286</v>
      </c>
      <c r="F6565" t="str">
        <f t="shared" ref="F6565" si="6557">A6565</f>
        <v>TATATT</v>
      </c>
    </row>
    <row r="6566" spans="1:6" x14ac:dyDescent="0.3">
      <c r="A6566" t="s">
        <v>7383</v>
      </c>
      <c r="F6566" t="str">
        <f t="shared" ref="F6566" si="6558">LEFT(A6566, LEN(A6566) - 1)</f>
        <v>&gt;3281:TATCAA:18.00:16.67:OK:6:1775.23</v>
      </c>
    </row>
    <row r="6567" spans="1:6" x14ac:dyDescent="0.3">
      <c r="A6567" t="s">
        <v>3287</v>
      </c>
      <c r="F6567" t="str">
        <f t="shared" ref="F6567" si="6559">A6567</f>
        <v>TATCAA</v>
      </c>
    </row>
    <row r="6568" spans="1:6" x14ac:dyDescent="0.3">
      <c r="A6568" t="s">
        <v>7384</v>
      </c>
      <c r="F6568" t="str">
        <f t="shared" ref="F6568" si="6560">LEFT(A6568, LEN(A6568) - 1)</f>
        <v>&gt;3282:TATCAC:16.00:33.33:OK:6:1751.20</v>
      </c>
    </row>
    <row r="6569" spans="1:6" x14ac:dyDescent="0.3">
      <c r="A6569" t="s">
        <v>3288</v>
      </c>
      <c r="F6569" t="str">
        <f t="shared" ref="F6569" si="6561">A6569</f>
        <v>TATCAC</v>
      </c>
    </row>
    <row r="6570" spans="1:6" x14ac:dyDescent="0.3">
      <c r="A6570" t="s">
        <v>7385</v>
      </c>
      <c r="F6570" t="str">
        <f t="shared" ref="F6570" si="6562">LEFT(A6570, LEN(A6570) - 1)</f>
        <v>&gt;3283:TATCAG:16.00:33.33:OK:6:1791.23</v>
      </c>
    </row>
    <row r="6571" spans="1:6" x14ac:dyDescent="0.3">
      <c r="A6571" t="s">
        <v>3289</v>
      </c>
      <c r="F6571" t="str">
        <f t="shared" ref="F6571" si="6563">A6571</f>
        <v>TATCAG</v>
      </c>
    </row>
    <row r="6572" spans="1:6" x14ac:dyDescent="0.3">
      <c r="A6572" t="s">
        <v>7386</v>
      </c>
      <c r="F6572" t="str">
        <f t="shared" ref="F6572" si="6564">LEFT(A6572, LEN(A6572) - 1)</f>
        <v>&gt;3284:TATCAT:10.00:16.67:OK:6:1766.21</v>
      </c>
    </row>
    <row r="6573" spans="1:6" x14ac:dyDescent="0.3">
      <c r="A6573" t="s">
        <v>3290</v>
      </c>
      <c r="F6573" t="str">
        <f t="shared" ref="F6573" si="6565">A6573</f>
        <v>TATCAT</v>
      </c>
    </row>
    <row r="6574" spans="1:6" x14ac:dyDescent="0.3">
      <c r="A6574" t="s">
        <v>7387</v>
      </c>
      <c r="F6574" t="str">
        <f t="shared" ref="F6574" si="6566">LEFT(A6574, LEN(A6574) - 1)</f>
        <v>&gt;3285:TATCCA:16.00:33.33:OK:6:1751.20</v>
      </c>
    </row>
    <row r="6575" spans="1:6" x14ac:dyDescent="0.3">
      <c r="A6575" t="s">
        <v>3291</v>
      </c>
      <c r="F6575" t="str">
        <f t="shared" ref="F6575" si="6567">A6575</f>
        <v>TATCCA</v>
      </c>
    </row>
    <row r="6576" spans="1:6" x14ac:dyDescent="0.3">
      <c r="A6576" t="s">
        <v>7388</v>
      </c>
      <c r="F6576" t="str">
        <f t="shared" ref="F6576" si="6568">LEFT(A6576, LEN(A6576) - 1)</f>
        <v>&gt;3286:TATCCC:14.00:50.00:Warning:6:1727.17</v>
      </c>
    </row>
    <row r="6577" spans="1:6" x14ac:dyDescent="0.3">
      <c r="A6577" t="s">
        <v>3292</v>
      </c>
      <c r="F6577" t="str">
        <f t="shared" ref="F6577" si="6569">A6577</f>
        <v>TATCCC</v>
      </c>
    </row>
    <row r="6578" spans="1:6" x14ac:dyDescent="0.3">
      <c r="A6578" t="s">
        <v>7389</v>
      </c>
      <c r="F6578" t="str">
        <f t="shared" ref="F6578" si="6570">LEFT(A6578, LEN(A6578) - 1)</f>
        <v>&gt;3287:TATCCG:14.00:50.00:Warning:6:1767.20</v>
      </c>
    </row>
    <row r="6579" spans="1:6" x14ac:dyDescent="0.3">
      <c r="A6579" t="s">
        <v>3293</v>
      </c>
      <c r="F6579" t="str">
        <f t="shared" ref="F6579" si="6571">A6579</f>
        <v>TATCCG</v>
      </c>
    </row>
    <row r="6580" spans="1:6" x14ac:dyDescent="0.3">
      <c r="A6580" t="s">
        <v>7390</v>
      </c>
      <c r="F6580" t="str">
        <f t="shared" ref="F6580" si="6572">LEFT(A6580, LEN(A6580) - 1)</f>
        <v>&gt;3288:TATCCT:8.00:33.33:OK:6:1742.18</v>
      </c>
    </row>
    <row r="6581" spans="1:6" x14ac:dyDescent="0.3">
      <c r="A6581" t="s">
        <v>3294</v>
      </c>
      <c r="F6581" t="str">
        <f t="shared" ref="F6581" si="6573">A6581</f>
        <v>TATCCT</v>
      </c>
    </row>
    <row r="6582" spans="1:6" x14ac:dyDescent="0.3">
      <c r="A6582" t="s">
        <v>7391</v>
      </c>
      <c r="F6582" t="str">
        <f t="shared" ref="F6582" si="6574">LEFT(A6582, LEN(A6582) - 1)</f>
        <v>&gt;3289:TATCGA:16.00:33.33:OK:6:1791.23</v>
      </c>
    </row>
    <row r="6583" spans="1:6" x14ac:dyDescent="0.3">
      <c r="A6583" t="s">
        <v>3295</v>
      </c>
      <c r="F6583" t="str">
        <f t="shared" ref="F6583" si="6575">A6583</f>
        <v>TATCGA</v>
      </c>
    </row>
    <row r="6584" spans="1:6" x14ac:dyDescent="0.3">
      <c r="A6584" t="s">
        <v>7392</v>
      </c>
      <c r="F6584" t="str">
        <f t="shared" ref="F6584" si="6576">LEFT(A6584, LEN(A6584) - 1)</f>
        <v>&gt;3290:TATCGC:14.00:50.00:Warning:6:1767.20</v>
      </c>
    </row>
    <row r="6585" spans="1:6" x14ac:dyDescent="0.3">
      <c r="A6585" t="s">
        <v>3296</v>
      </c>
      <c r="F6585" t="str">
        <f t="shared" ref="F6585" si="6577">A6585</f>
        <v>TATCGC</v>
      </c>
    </row>
    <row r="6586" spans="1:6" x14ac:dyDescent="0.3">
      <c r="A6586" t="s">
        <v>7393</v>
      </c>
      <c r="F6586" t="str">
        <f t="shared" ref="F6586" si="6578">LEFT(A6586, LEN(A6586) - 1)</f>
        <v>&gt;3291:TATCGG:14.00:50.00:Warning:6:1807.23</v>
      </c>
    </row>
    <row r="6587" spans="1:6" x14ac:dyDescent="0.3">
      <c r="A6587" t="s">
        <v>3297</v>
      </c>
      <c r="F6587" t="str">
        <f t="shared" ref="F6587" si="6579">A6587</f>
        <v>TATCGG</v>
      </c>
    </row>
    <row r="6588" spans="1:6" x14ac:dyDescent="0.3">
      <c r="A6588" t="s">
        <v>7394</v>
      </c>
      <c r="F6588" t="str">
        <f t="shared" ref="F6588" si="6580">LEFT(A6588, LEN(A6588) - 1)</f>
        <v>&gt;3292:TATCGT:8.00:33.33:OK:6:1782.21</v>
      </c>
    </row>
    <row r="6589" spans="1:6" x14ac:dyDescent="0.3">
      <c r="A6589" t="s">
        <v>3298</v>
      </c>
      <c r="F6589" t="str">
        <f t="shared" ref="F6589" si="6581">A6589</f>
        <v>TATCGT</v>
      </c>
    </row>
    <row r="6590" spans="1:6" x14ac:dyDescent="0.3">
      <c r="A6590" t="s">
        <v>7395</v>
      </c>
      <c r="F6590" t="str">
        <f t="shared" ref="F6590" si="6582">LEFT(A6590, LEN(A6590) - 1)</f>
        <v>&gt;3293:TATCTA:10.00:16.67:OK:6:1766.21</v>
      </c>
    </row>
    <row r="6591" spans="1:6" x14ac:dyDescent="0.3">
      <c r="A6591" t="s">
        <v>3299</v>
      </c>
      <c r="F6591" t="str">
        <f t="shared" ref="F6591" si="6583">A6591</f>
        <v>TATCTA</v>
      </c>
    </row>
    <row r="6592" spans="1:6" x14ac:dyDescent="0.3">
      <c r="A6592" t="s">
        <v>7396</v>
      </c>
      <c r="F6592" t="str">
        <f t="shared" ref="F6592" si="6584">LEFT(A6592, LEN(A6592) - 1)</f>
        <v>&gt;3294:TATCTC:8.00:33.33:OK:6:1742.18</v>
      </c>
    </row>
    <row r="6593" spans="1:6" x14ac:dyDescent="0.3">
      <c r="A6593" t="s">
        <v>3300</v>
      </c>
      <c r="F6593" t="str">
        <f t="shared" ref="F6593" si="6585">A6593</f>
        <v>TATCTC</v>
      </c>
    </row>
    <row r="6594" spans="1:6" x14ac:dyDescent="0.3">
      <c r="A6594" t="s">
        <v>7397</v>
      </c>
      <c r="F6594" t="str">
        <f t="shared" ref="F6594" si="6586">LEFT(A6594, LEN(A6594) - 1)</f>
        <v>&gt;3295:TATCTG:8.00:33.33:OK:6:1782.21</v>
      </c>
    </row>
    <row r="6595" spans="1:6" x14ac:dyDescent="0.3">
      <c r="A6595" t="s">
        <v>3301</v>
      </c>
      <c r="F6595" t="str">
        <f t="shared" ref="F6595" si="6587">A6595</f>
        <v>TATCTG</v>
      </c>
    </row>
    <row r="6596" spans="1:6" x14ac:dyDescent="0.3">
      <c r="A6596" t="s">
        <v>7398</v>
      </c>
      <c r="F6596" t="str">
        <f t="shared" ref="F6596" si="6588">LEFT(A6596, LEN(A6596) - 1)</f>
        <v>&gt;3296:TATCTT:2.00:16.67:OK:6:1757.19</v>
      </c>
    </row>
    <row r="6597" spans="1:6" x14ac:dyDescent="0.3">
      <c r="A6597" t="s">
        <v>3302</v>
      </c>
      <c r="F6597" t="str">
        <f t="shared" ref="F6597" si="6589">A6597</f>
        <v>TATCTT</v>
      </c>
    </row>
    <row r="6598" spans="1:6" x14ac:dyDescent="0.3">
      <c r="A6598" t="s">
        <v>7399</v>
      </c>
      <c r="F6598" t="str">
        <f t="shared" ref="F6598" si="6590">LEFT(A6598, LEN(A6598) - 1)</f>
        <v>&gt;3297:TATGAA:18.00:16.67:OK:6:1815.26</v>
      </c>
    </row>
    <row r="6599" spans="1:6" x14ac:dyDescent="0.3">
      <c r="A6599" t="s">
        <v>3303</v>
      </c>
      <c r="F6599" t="str">
        <f t="shared" ref="F6599" si="6591">A6599</f>
        <v>TATGAA</v>
      </c>
    </row>
    <row r="6600" spans="1:6" x14ac:dyDescent="0.3">
      <c r="A6600" t="s">
        <v>7400</v>
      </c>
      <c r="F6600" t="str">
        <f t="shared" ref="F6600" si="6592">LEFT(A6600, LEN(A6600) - 1)</f>
        <v>&gt;3298:TATGAC:16.00:33.33:OK:6:1791.23</v>
      </c>
    </row>
    <row r="6601" spans="1:6" x14ac:dyDescent="0.3">
      <c r="A6601" t="s">
        <v>3304</v>
      </c>
      <c r="F6601" t="str">
        <f t="shared" ref="F6601" si="6593">A6601</f>
        <v>TATGAC</v>
      </c>
    </row>
    <row r="6602" spans="1:6" x14ac:dyDescent="0.3">
      <c r="A6602" t="s">
        <v>7401</v>
      </c>
      <c r="F6602" t="str">
        <f t="shared" ref="F6602" si="6594">LEFT(A6602, LEN(A6602) - 1)</f>
        <v>&gt;3299:TATGAG:16.00:33.33:OK:6:1831.26</v>
      </c>
    </row>
    <row r="6603" spans="1:6" x14ac:dyDescent="0.3">
      <c r="A6603" t="s">
        <v>3305</v>
      </c>
      <c r="F6603" t="str">
        <f t="shared" ref="F6603" si="6595">A6603</f>
        <v>TATGAG</v>
      </c>
    </row>
    <row r="6604" spans="1:6" x14ac:dyDescent="0.3">
      <c r="A6604" t="s">
        <v>7402</v>
      </c>
      <c r="F6604" t="str">
        <f t="shared" ref="F6604" si="6596">LEFT(A6604, LEN(A6604) - 1)</f>
        <v>&gt;3300:TATGAT:10.00:16.67:OK:6:1806.24</v>
      </c>
    </row>
    <row r="6605" spans="1:6" x14ac:dyDescent="0.3">
      <c r="A6605" t="s">
        <v>3306</v>
      </c>
      <c r="F6605" t="str">
        <f t="shared" ref="F6605" si="6597">A6605</f>
        <v>TATGAT</v>
      </c>
    </row>
    <row r="6606" spans="1:6" x14ac:dyDescent="0.3">
      <c r="A6606" t="s">
        <v>7403</v>
      </c>
      <c r="F6606" t="str">
        <f t="shared" ref="F6606" si="6598">LEFT(A6606, LEN(A6606) - 1)</f>
        <v>&gt;3301:TATGCA:16.00:33.33:OK:6:1791.23</v>
      </c>
    </row>
    <row r="6607" spans="1:6" x14ac:dyDescent="0.3">
      <c r="A6607" t="s">
        <v>3307</v>
      </c>
      <c r="F6607" t="str">
        <f t="shared" ref="F6607" si="6599">A6607</f>
        <v>TATGCA</v>
      </c>
    </row>
    <row r="6608" spans="1:6" x14ac:dyDescent="0.3">
      <c r="A6608" t="s">
        <v>7404</v>
      </c>
      <c r="F6608" t="str">
        <f t="shared" ref="F6608" si="6600">LEFT(A6608, LEN(A6608) - 1)</f>
        <v>&gt;3302:TATGCC:14.00:50.00:Warning:6:1767.20</v>
      </c>
    </row>
    <row r="6609" spans="1:6" x14ac:dyDescent="0.3">
      <c r="A6609" t="s">
        <v>3308</v>
      </c>
      <c r="F6609" t="str">
        <f t="shared" ref="F6609" si="6601">A6609</f>
        <v>TATGCC</v>
      </c>
    </row>
    <row r="6610" spans="1:6" x14ac:dyDescent="0.3">
      <c r="A6610" t="s">
        <v>7405</v>
      </c>
      <c r="F6610" t="str">
        <f t="shared" ref="F6610" si="6602">LEFT(A6610, LEN(A6610) - 1)</f>
        <v>&gt;3303:TATGCG:14.00:50.00:Warning:6:1807.23</v>
      </c>
    </row>
    <row r="6611" spans="1:6" x14ac:dyDescent="0.3">
      <c r="A6611" t="s">
        <v>3309</v>
      </c>
      <c r="F6611" t="str">
        <f t="shared" ref="F6611" si="6603">A6611</f>
        <v>TATGCG</v>
      </c>
    </row>
    <row r="6612" spans="1:6" x14ac:dyDescent="0.3">
      <c r="A6612" t="s">
        <v>7406</v>
      </c>
      <c r="F6612" t="str">
        <f t="shared" ref="F6612" si="6604">LEFT(A6612, LEN(A6612) - 1)</f>
        <v>&gt;3304:TATGCT:8.00:33.33:OK:6:1782.21</v>
      </c>
    </row>
    <row r="6613" spans="1:6" x14ac:dyDescent="0.3">
      <c r="A6613" t="s">
        <v>3310</v>
      </c>
      <c r="F6613" t="str">
        <f t="shared" ref="F6613" si="6605">A6613</f>
        <v>TATGCT</v>
      </c>
    </row>
    <row r="6614" spans="1:6" x14ac:dyDescent="0.3">
      <c r="A6614" t="s">
        <v>7407</v>
      </c>
      <c r="F6614" t="str">
        <f t="shared" ref="F6614" si="6606">LEFT(A6614, LEN(A6614) - 1)</f>
        <v>&gt;3305:TATGGA:16.00:33.33:OK:6:1831.26</v>
      </c>
    </row>
    <row r="6615" spans="1:6" x14ac:dyDescent="0.3">
      <c r="A6615" t="s">
        <v>3311</v>
      </c>
      <c r="F6615" t="str">
        <f t="shared" ref="F6615" si="6607">A6615</f>
        <v>TATGGA</v>
      </c>
    </row>
    <row r="6616" spans="1:6" x14ac:dyDescent="0.3">
      <c r="A6616" t="s">
        <v>7408</v>
      </c>
      <c r="F6616" t="str">
        <f t="shared" ref="F6616" si="6608">LEFT(A6616, LEN(A6616) - 1)</f>
        <v>&gt;3306:TATGGC:14.00:50.00:Warning:6:1807.23</v>
      </c>
    </row>
    <row r="6617" spans="1:6" x14ac:dyDescent="0.3">
      <c r="A6617" t="s">
        <v>3312</v>
      </c>
      <c r="F6617" t="str">
        <f t="shared" ref="F6617" si="6609">A6617</f>
        <v>TATGGC</v>
      </c>
    </row>
    <row r="6618" spans="1:6" x14ac:dyDescent="0.3">
      <c r="A6618" t="s">
        <v>7409</v>
      </c>
      <c r="F6618" t="str">
        <f t="shared" ref="F6618" si="6610">LEFT(A6618, LEN(A6618) - 1)</f>
        <v>&gt;3307:TATGGG:14.00:50.00:Warning:6:1847.26</v>
      </c>
    </row>
    <row r="6619" spans="1:6" x14ac:dyDescent="0.3">
      <c r="A6619" t="s">
        <v>3313</v>
      </c>
      <c r="F6619" t="str">
        <f t="shared" ref="F6619" si="6611">A6619</f>
        <v>TATGGG</v>
      </c>
    </row>
    <row r="6620" spans="1:6" x14ac:dyDescent="0.3">
      <c r="A6620" t="s">
        <v>7410</v>
      </c>
      <c r="F6620" t="str">
        <f t="shared" ref="F6620" si="6612">LEFT(A6620, LEN(A6620) - 1)</f>
        <v>&gt;3308:TATGGT:8.00:33.33:OK:6:1822.24</v>
      </c>
    </row>
    <row r="6621" spans="1:6" x14ac:dyDescent="0.3">
      <c r="A6621" t="s">
        <v>3314</v>
      </c>
      <c r="F6621" t="str">
        <f t="shared" ref="F6621" si="6613">A6621</f>
        <v>TATGGT</v>
      </c>
    </row>
    <row r="6622" spans="1:6" x14ac:dyDescent="0.3">
      <c r="A6622" t="s">
        <v>7411</v>
      </c>
      <c r="F6622" t="str">
        <f t="shared" ref="F6622" si="6614">LEFT(A6622, LEN(A6622) - 1)</f>
        <v>&gt;3309:TATGTA:10.00:16.67:OK:6:1806.24</v>
      </c>
    </row>
    <row r="6623" spans="1:6" x14ac:dyDescent="0.3">
      <c r="A6623" t="s">
        <v>3315</v>
      </c>
      <c r="F6623" t="str">
        <f t="shared" ref="F6623" si="6615">A6623</f>
        <v>TATGTA</v>
      </c>
    </row>
    <row r="6624" spans="1:6" x14ac:dyDescent="0.3">
      <c r="A6624" t="s">
        <v>7412</v>
      </c>
      <c r="F6624" t="str">
        <f t="shared" ref="F6624" si="6616">LEFT(A6624, LEN(A6624) - 1)</f>
        <v>&gt;3310:TATGTC:8.00:33.33:OK:6:1782.21</v>
      </c>
    </row>
    <row r="6625" spans="1:6" x14ac:dyDescent="0.3">
      <c r="A6625" t="s">
        <v>3316</v>
      </c>
      <c r="F6625" t="str">
        <f t="shared" ref="F6625" si="6617">A6625</f>
        <v>TATGTC</v>
      </c>
    </row>
    <row r="6626" spans="1:6" x14ac:dyDescent="0.3">
      <c r="A6626" t="s">
        <v>7413</v>
      </c>
      <c r="F6626" t="str">
        <f t="shared" ref="F6626" si="6618">LEFT(A6626, LEN(A6626) - 1)</f>
        <v>&gt;3311:TATGTG:8.00:33.33:OK:6:1822.24</v>
      </c>
    </row>
    <row r="6627" spans="1:6" x14ac:dyDescent="0.3">
      <c r="A6627" t="s">
        <v>3317</v>
      </c>
      <c r="F6627" t="str">
        <f t="shared" ref="F6627" si="6619">A6627</f>
        <v>TATGTG</v>
      </c>
    </row>
    <row r="6628" spans="1:6" x14ac:dyDescent="0.3">
      <c r="A6628" t="s">
        <v>7414</v>
      </c>
      <c r="F6628" t="str">
        <f t="shared" ref="F6628" si="6620">LEFT(A6628, LEN(A6628) - 1)</f>
        <v>&gt;3312:TATGTT:2.00:16.67:OK:6:1797.22</v>
      </c>
    </row>
    <row r="6629" spans="1:6" x14ac:dyDescent="0.3">
      <c r="A6629" t="s">
        <v>3318</v>
      </c>
      <c r="F6629" t="str">
        <f t="shared" ref="F6629" si="6621">A6629</f>
        <v>TATGTT</v>
      </c>
    </row>
    <row r="6630" spans="1:6" x14ac:dyDescent="0.3">
      <c r="A6630" t="s">
        <v>7415</v>
      </c>
      <c r="F6630" t="str">
        <f t="shared" ref="F6630" si="6622">LEFT(A6630, LEN(A6630) - 1)</f>
        <v>&gt;3313:TATTAA:12.00:0.00:OK:6:1790.24</v>
      </c>
    </row>
    <row r="6631" spans="1:6" x14ac:dyDescent="0.3">
      <c r="A6631" t="s">
        <v>3319</v>
      </c>
      <c r="F6631" t="str">
        <f t="shared" ref="F6631" si="6623">A6631</f>
        <v>TATTAA</v>
      </c>
    </row>
    <row r="6632" spans="1:6" x14ac:dyDescent="0.3">
      <c r="A6632" t="s">
        <v>7416</v>
      </c>
      <c r="F6632" t="str">
        <f t="shared" ref="F6632" si="6624">LEFT(A6632, LEN(A6632) - 1)</f>
        <v>&gt;3314:TATTAC:10.00:16.67:OK:6:1766.21</v>
      </c>
    </row>
    <row r="6633" spans="1:6" x14ac:dyDescent="0.3">
      <c r="A6633" t="s">
        <v>3320</v>
      </c>
      <c r="F6633" t="str">
        <f t="shared" ref="F6633" si="6625">A6633</f>
        <v>TATTAC</v>
      </c>
    </row>
    <row r="6634" spans="1:6" x14ac:dyDescent="0.3">
      <c r="A6634" t="s">
        <v>7417</v>
      </c>
      <c r="F6634" t="str">
        <f t="shared" ref="F6634" si="6626">LEFT(A6634, LEN(A6634) - 1)</f>
        <v>&gt;3315:TATTAG:10.00:16.67:OK:6:1806.24</v>
      </c>
    </row>
    <row r="6635" spans="1:6" x14ac:dyDescent="0.3">
      <c r="A6635" t="s">
        <v>3321</v>
      </c>
      <c r="F6635" t="str">
        <f t="shared" ref="F6635" si="6627">A6635</f>
        <v>TATTAG</v>
      </c>
    </row>
    <row r="6636" spans="1:6" x14ac:dyDescent="0.3">
      <c r="A6636" t="s">
        <v>7418</v>
      </c>
      <c r="F6636" t="str">
        <f t="shared" ref="F6636" si="6628">LEFT(A6636, LEN(A6636) - 1)</f>
        <v>&gt;3316:TATTAT:4.00:0.00:OK:6:1781.22</v>
      </c>
    </row>
    <row r="6637" spans="1:6" x14ac:dyDescent="0.3">
      <c r="A6637" t="s">
        <v>3322</v>
      </c>
      <c r="F6637" t="str">
        <f t="shared" ref="F6637" si="6629">A6637</f>
        <v>TATTAT</v>
      </c>
    </row>
    <row r="6638" spans="1:6" x14ac:dyDescent="0.3">
      <c r="A6638" t="s">
        <v>7419</v>
      </c>
      <c r="F6638" t="str">
        <f t="shared" ref="F6638" si="6630">LEFT(A6638, LEN(A6638) - 1)</f>
        <v>&gt;3317:TATTCA:10.00:16.67:OK:6:1766.21</v>
      </c>
    </row>
    <row r="6639" spans="1:6" x14ac:dyDescent="0.3">
      <c r="A6639" t="s">
        <v>3323</v>
      </c>
      <c r="F6639" t="str">
        <f t="shared" ref="F6639" si="6631">A6639</f>
        <v>TATTCA</v>
      </c>
    </row>
    <row r="6640" spans="1:6" x14ac:dyDescent="0.3">
      <c r="A6640" t="s">
        <v>7420</v>
      </c>
      <c r="F6640" t="str">
        <f t="shared" ref="F6640" si="6632">LEFT(A6640, LEN(A6640) - 1)</f>
        <v>&gt;3318:TATTCC:8.00:33.33:OK:6:1742.18</v>
      </c>
    </row>
    <row r="6641" spans="1:6" x14ac:dyDescent="0.3">
      <c r="A6641" t="s">
        <v>3324</v>
      </c>
      <c r="F6641" t="str">
        <f t="shared" ref="F6641" si="6633">A6641</f>
        <v>TATTCC</v>
      </c>
    </row>
    <row r="6642" spans="1:6" x14ac:dyDescent="0.3">
      <c r="A6642" t="s">
        <v>7421</v>
      </c>
      <c r="F6642" t="str">
        <f t="shared" ref="F6642" si="6634">LEFT(A6642, LEN(A6642) - 1)</f>
        <v>&gt;3319:TATTCG:8.00:33.33:OK:6:1782.21</v>
      </c>
    </row>
    <row r="6643" spans="1:6" x14ac:dyDescent="0.3">
      <c r="A6643" t="s">
        <v>3325</v>
      </c>
      <c r="F6643" t="str">
        <f t="shared" ref="F6643" si="6635">A6643</f>
        <v>TATTCG</v>
      </c>
    </row>
    <row r="6644" spans="1:6" x14ac:dyDescent="0.3">
      <c r="A6644" t="s">
        <v>7422</v>
      </c>
      <c r="F6644" t="str">
        <f t="shared" ref="F6644" si="6636">LEFT(A6644, LEN(A6644) - 1)</f>
        <v>&gt;3320:TATTCT:2.00:16.67:OK:6:1757.19</v>
      </c>
    </row>
    <row r="6645" spans="1:6" x14ac:dyDescent="0.3">
      <c r="A6645" t="s">
        <v>3326</v>
      </c>
      <c r="F6645" t="str">
        <f t="shared" ref="F6645" si="6637">A6645</f>
        <v>TATTCT</v>
      </c>
    </row>
    <row r="6646" spans="1:6" x14ac:dyDescent="0.3">
      <c r="A6646" t="s">
        <v>7423</v>
      </c>
      <c r="F6646" t="str">
        <f t="shared" ref="F6646" si="6638">LEFT(A6646, LEN(A6646) - 1)</f>
        <v>&gt;3321:TATTGA:10.00:16.67:OK:6:1806.24</v>
      </c>
    </row>
    <row r="6647" spans="1:6" x14ac:dyDescent="0.3">
      <c r="A6647" t="s">
        <v>3327</v>
      </c>
      <c r="F6647" t="str">
        <f t="shared" ref="F6647" si="6639">A6647</f>
        <v>TATTGA</v>
      </c>
    </row>
    <row r="6648" spans="1:6" x14ac:dyDescent="0.3">
      <c r="A6648" t="s">
        <v>7424</v>
      </c>
      <c r="F6648" t="str">
        <f t="shared" ref="F6648" si="6640">LEFT(A6648, LEN(A6648) - 1)</f>
        <v>&gt;3322:TATTGC:8.00:33.33:OK:6:1782.21</v>
      </c>
    </row>
    <row r="6649" spans="1:6" x14ac:dyDescent="0.3">
      <c r="A6649" t="s">
        <v>3328</v>
      </c>
      <c r="F6649" t="str">
        <f t="shared" ref="F6649" si="6641">A6649</f>
        <v>TATTGC</v>
      </c>
    </row>
    <row r="6650" spans="1:6" x14ac:dyDescent="0.3">
      <c r="A6650" t="s">
        <v>7425</v>
      </c>
      <c r="F6650" t="str">
        <f t="shared" ref="F6650" si="6642">LEFT(A6650, LEN(A6650) - 1)</f>
        <v>&gt;3323:TATTGG:8.00:33.33:OK:6:1822.24</v>
      </c>
    </row>
    <row r="6651" spans="1:6" x14ac:dyDescent="0.3">
      <c r="A6651" t="s">
        <v>3329</v>
      </c>
      <c r="F6651" t="str">
        <f t="shared" ref="F6651" si="6643">A6651</f>
        <v>TATTGG</v>
      </c>
    </row>
    <row r="6652" spans="1:6" x14ac:dyDescent="0.3">
      <c r="A6652" t="s">
        <v>7426</v>
      </c>
      <c r="F6652" t="str">
        <f t="shared" ref="F6652" si="6644">LEFT(A6652, LEN(A6652) - 1)</f>
        <v>&gt;3324:TATTGT:2.00:16.67:OK:6:1797.22</v>
      </c>
    </row>
    <row r="6653" spans="1:6" x14ac:dyDescent="0.3">
      <c r="A6653" t="s">
        <v>3330</v>
      </c>
      <c r="F6653" t="str">
        <f t="shared" ref="F6653" si="6645">A6653</f>
        <v>TATTGT</v>
      </c>
    </row>
    <row r="6654" spans="1:6" x14ac:dyDescent="0.3">
      <c r="A6654" t="s">
        <v>7427</v>
      </c>
      <c r="F6654" t="str">
        <f t="shared" ref="F6654" si="6646">LEFT(A6654, LEN(A6654) - 1)</f>
        <v>&gt;3325:TATTTA:4.00:0.00:OK:6:1781.22</v>
      </c>
    </row>
    <row r="6655" spans="1:6" x14ac:dyDescent="0.3">
      <c r="A6655" t="s">
        <v>3331</v>
      </c>
      <c r="F6655" t="str">
        <f t="shared" ref="F6655" si="6647">A6655</f>
        <v>TATTTA</v>
      </c>
    </row>
    <row r="6656" spans="1:6" x14ac:dyDescent="0.3">
      <c r="A6656" t="s">
        <v>7428</v>
      </c>
      <c r="F6656" t="str">
        <f t="shared" ref="F6656" si="6648">LEFT(A6656, LEN(A6656) - 1)</f>
        <v>&gt;3326:TATTTC:2.00:16.67:OK:6:1757.19</v>
      </c>
    </row>
    <row r="6657" spans="1:6" x14ac:dyDescent="0.3">
      <c r="A6657" t="s">
        <v>3332</v>
      </c>
      <c r="F6657" t="str">
        <f t="shared" ref="F6657" si="6649">A6657</f>
        <v>TATTTC</v>
      </c>
    </row>
    <row r="6658" spans="1:6" x14ac:dyDescent="0.3">
      <c r="A6658" t="s">
        <v>7429</v>
      </c>
      <c r="F6658" t="str">
        <f t="shared" ref="F6658" si="6650">LEFT(A6658, LEN(A6658) - 1)</f>
        <v>&gt;3327:TATTTG:2.00:16.67:OK:6:1797.22</v>
      </c>
    </row>
    <row r="6659" spans="1:6" x14ac:dyDescent="0.3">
      <c r="A6659" t="s">
        <v>3333</v>
      </c>
      <c r="F6659" t="str">
        <f t="shared" ref="F6659" si="6651">A6659</f>
        <v>TATTTG</v>
      </c>
    </row>
    <row r="6660" spans="1:6" x14ac:dyDescent="0.3">
      <c r="A6660" t="s">
        <v>7430</v>
      </c>
      <c r="F6660" t="str">
        <f t="shared" ref="F6660" si="6652">LEFT(A6660, LEN(A6660) - 1)</f>
        <v>&gt;3328:TATTTT:-4.00:0.00:OK:6:1772.20</v>
      </c>
    </row>
    <row r="6661" spans="1:6" x14ac:dyDescent="0.3">
      <c r="A6661" t="s">
        <v>3334</v>
      </c>
      <c r="F6661" t="str">
        <f t="shared" ref="F6661" si="6653">A6661</f>
        <v>TATTTT</v>
      </c>
    </row>
    <row r="6662" spans="1:6" x14ac:dyDescent="0.3">
      <c r="A6662" t="s">
        <v>7431</v>
      </c>
      <c r="F6662" t="str">
        <f t="shared" ref="F6662" si="6654">LEFT(A6662, LEN(A6662) - 1)</f>
        <v>&gt;3329:TCAAAA:26.00:16.67:OK:6:1784.25</v>
      </c>
    </row>
    <row r="6663" spans="1:6" x14ac:dyDescent="0.3">
      <c r="A6663" t="s">
        <v>3335</v>
      </c>
      <c r="F6663" t="str">
        <f t="shared" ref="F6663" si="6655">A6663</f>
        <v>TCAAAA</v>
      </c>
    </row>
    <row r="6664" spans="1:6" x14ac:dyDescent="0.3">
      <c r="A6664" t="s">
        <v>7432</v>
      </c>
      <c r="F6664" t="str">
        <f t="shared" ref="F6664" si="6656">LEFT(A6664, LEN(A6664) - 1)</f>
        <v>&gt;3330:TCAAAC:24.00:33.33:OK:6:1760.22</v>
      </c>
    </row>
    <row r="6665" spans="1:6" x14ac:dyDescent="0.3">
      <c r="A6665" t="s">
        <v>3336</v>
      </c>
      <c r="F6665" t="str">
        <f t="shared" ref="F6665" si="6657">A6665</f>
        <v>TCAAAC</v>
      </c>
    </row>
    <row r="6666" spans="1:6" x14ac:dyDescent="0.3">
      <c r="A6666" t="s">
        <v>7433</v>
      </c>
      <c r="F6666" t="str">
        <f t="shared" ref="F6666" si="6658">LEFT(A6666, LEN(A6666) - 1)</f>
        <v>&gt;3331:TCAAAG:24.00:33.33:OK:6:1800.25</v>
      </c>
    </row>
    <row r="6667" spans="1:6" x14ac:dyDescent="0.3">
      <c r="A6667" t="s">
        <v>3337</v>
      </c>
      <c r="F6667" t="str">
        <f t="shared" ref="F6667" si="6659">A6667</f>
        <v>TCAAAG</v>
      </c>
    </row>
    <row r="6668" spans="1:6" x14ac:dyDescent="0.3">
      <c r="A6668" t="s">
        <v>7434</v>
      </c>
      <c r="F6668" t="str">
        <f t="shared" ref="F6668" si="6660">LEFT(A6668, LEN(A6668) - 1)</f>
        <v>&gt;3332:TCAAAT:18.00:16.67:OK:6:1775.23</v>
      </c>
    </row>
    <row r="6669" spans="1:6" x14ac:dyDescent="0.3">
      <c r="A6669" t="s">
        <v>3338</v>
      </c>
      <c r="F6669" t="str">
        <f t="shared" ref="F6669" si="6661">A6669</f>
        <v>TCAAAT</v>
      </c>
    </row>
    <row r="6670" spans="1:6" x14ac:dyDescent="0.3">
      <c r="A6670" t="s">
        <v>7435</v>
      </c>
      <c r="F6670" t="str">
        <f t="shared" ref="F6670" si="6662">LEFT(A6670, LEN(A6670) - 1)</f>
        <v>&gt;3333:TCAACA:24.00:33.33:OK:6:1760.22</v>
      </c>
    </row>
    <row r="6671" spans="1:6" x14ac:dyDescent="0.3">
      <c r="A6671" t="s">
        <v>3339</v>
      </c>
      <c r="F6671" t="str">
        <f t="shared" ref="F6671" si="6663">A6671</f>
        <v>TCAACA</v>
      </c>
    </row>
    <row r="6672" spans="1:6" x14ac:dyDescent="0.3">
      <c r="A6672" t="s">
        <v>7436</v>
      </c>
      <c r="F6672" t="str">
        <f t="shared" ref="F6672" si="6664">LEFT(A6672, LEN(A6672) - 1)</f>
        <v>&gt;3334:TCAACC:22.00:50.00:Warning:6:1736.19</v>
      </c>
    </row>
    <row r="6673" spans="1:6" x14ac:dyDescent="0.3">
      <c r="A6673" t="s">
        <v>3340</v>
      </c>
      <c r="F6673" t="str">
        <f t="shared" ref="F6673" si="6665">A6673</f>
        <v>TCAACC</v>
      </c>
    </row>
    <row r="6674" spans="1:6" x14ac:dyDescent="0.3">
      <c r="A6674" t="s">
        <v>7437</v>
      </c>
      <c r="F6674" t="str">
        <f t="shared" ref="F6674" si="6666">LEFT(A6674, LEN(A6674) - 1)</f>
        <v>&gt;3335:TCAACG:22.00:50.00:Warning:6:1776.22</v>
      </c>
    </row>
    <row r="6675" spans="1:6" x14ac:dyDescent="0.3">
      <c r="A6675" t="s">
        <v>3341</v>
      </c>
      <c r="F6675" t="str">
        <f t="shared" ref="F6675" si="6667">A6675</f>
        <v>TCAACG</v>
      </c>
    </row>
    <row r="6676" spans="1:6" x14ac:dyDescent="0.3">
      <c r="A6676" t="s">
        <v>7438</v>
      </c>
      <c r="F6676" t="str">
        <f t="shared" ref="F6676" si="6668">LEFT(A6676, LEN(A6676) - 1)</f>
        <v>&gt;3336:TCAACT:16.00:33.33:OK:6:1751.20</v>
      </c>
    </row>
    <row r="6677" spans="1:6" x14ac:dyDescent="0.3">
      <c r="A6677" t="s">
        <v>3342</v>
      </c>
      <c r="F6677" t="str">
        <f t="shared" ref="F6677" si="6669">A6677</f>
        <v>TCAACT</v>
      </c>
    </row>
    <row r="6678" spans="1:6" x14ac:dyDescent="0.3">
      <c r="A6678" t="s">
        <v>7439</v>
      </c>
      <c r="F6678" t="str">
        <f t="shared" ref="F6678" si="6670">LEFT(A6678, LEN(A6678) - 1)</f>
        <v>&gt;3337:TCAAGA:24.00:33.33:OK:6:1800.25</v>
      </c>
    </row>
    <row r="6679" spans="1:6" x14ac:dyDescent="0.3">
      <c r="A6679" t="s">
        <v>3343</v>
      </c>
      <c r="F6679" t="str">
        <f t="shared" ref="F6679" si="6671">A6679</f>
        <v>TCAAGA</v>
      </c>
    </row>
    <row r="6680" spans="1:6" x14ac:dyDescent="0.3">
      <c r="A6680" t="s">
        <v>7440</v>
      </c>
      <c r="F6680" t="str">
        <f t="shared" ref="F6680" si="6672">LEFT(A6680, LEN(A6680) - 1)</f>
        <v>&gt;3338:TCAAGC:22.00:50.00:Warning:6:1776.22</v>
      </c>
    </row>
    <row r="6681" spans="1:6" x14ac:dyDescent="0.3">
      <c r="A6681" t="s">
        <v>3344</v>
      </c>
      <c r="F6681" t="str">
        <f t="shared" ref="F6681" si="6673">A6681</f>
        <v>TCAAGC</v>
      </c>
    </row>
    <row r="6682" spans="1:6" x14ac:dyDescent="0.3">
      <c r="A6682" t="s">
        <v>7441</v>
      </c>
      <c r="F6682" t="str">
        <f t="shared" ref="F6682" si="6674">LEFT(A6682, LEN(A6682) - 1)</f>
        <v>&gt;3339:TCAAGG:22.00:50.00:Warning:6:1816.25</v>
      </c>
    </row>
    <row r="6683" spans="1:6" x14ac:dyDescent="0.3">
      <c r="A6683" t="s">
        <v>3345</v>
      </c>
      <c r="F6683" t="str">
        <f t="shared" ref="F6683" si="6675">A6683</f>
        <v>TCAAGG</v>
      </c>
    </row>
    <row r="6684" spans="1:6" x14ac:dyDescent="0.3">
      <c r="A6684" t="s">
        <v>7442</v>
      </c>
      <c r="F6684" t="str">
        <f t="shared" ref="F6684" si="6676">LEFT(A6684, LEN(A6684) - 1)</f>
        <v>&gt;3340:TCAAGT:16.00:33.33:OK:6:1791.23</v>
      </c>
    </row>
    <row r="6685" spans="1:6" x14ac:dyDescent="0.3">
      <c r="A6685" t="s">
        <v>3346</v>
      </c>
      <c r="F6685" t="str">
        <f t="shared" ref="F6685" si="6677">A6685</f>
        <v>TCAAGT</v>
      </c>
    </row>
    <row r="6686" spans="1:6" x14ac:dyDescent="0.3">
      <c r="A6686" t="s">
        <v>7443</v>
      </c>
      <c r="F6686" t="str">
        <f t="shared" ref="F6686" si="6678">LEFT(A6686, LEN(A6686) - 1)</f>
        <v>&gt;3341:TCAATA:18.00:16.67:OK:6:1775.23</v>
      </c>
    </row>
    <row r="6687" spans="1:6" x14ac:dyDescent="0.3">
      <c r="A6687" t="s">
        <v>3347</v>
      </c>
      <c r="F6687" t="str">
        <f t="shared" ref="F6687" si="6679">A6687</f>
        <v>TCAATA</v>
      </c>
    </row>
    <row r="6688" spans="1:6" x14ac:dyDescent="0.3">
      <c r="A6688" t="s">
        <v>7444</v>
      </c>
      <c r="F6688" t="str">
        <f t="shared" ref="F6688" si="6680">LEFT(A6688, LEN(A6688) - 1)</f>
        <v>&gt;3342:TCAATC:16.00:33.33:OK:6:1751.20</v>
      </c>
    </row>
    <row r="6689" spans="1:6" x14ac:dyDescent="0.3">
      <c r="A6689" t="s">
        <v>3348</v>
      </c>
      <c r="F6689" t="str">
        <f t="shared" ref="F6689" si="6681">A6689</f>
        <v>TCAATC</v>
      </c>
    </row>
    <row r="6690" spans="1:6" x14ac:dyDescent="0.3">
      <c r="A6690" t="s">
        <v>7445</v>
      </c>
      <c r="F6690" t="str">
        <f t="shared" ref="F6690" si="6682">LEFT(A6690, LEN(A6690) - 1)</f>
        <v>&gt;3343:TCAATG:16.00:33.33:OK:6:1791.23</v>
      </c>
    </row>
    <row r="6691" spans="1:6" x14ac:dyDescent="0.3">
      <c r="A6691" t="s">
        <v>3349</v>
      </c>
      <c r="F6691" t="str">
        <f t="shared" ref="F6691" si="6683">A6691</f>
        <v>TCAATG</v>
      </c>
    </row>
    <row r="6692" spans="1:6" x14ac:dyDescent="0.3">
      <c r="A6692" t="s">
        <v>7446</v>
      </c>
      <c r="F6692" t="str">
        <f t="shared" ref="F6692" si="6684">LEFT(A6692, LEN(A6692) - 1)</f>
        <v>&gt;3344:TCAATT:10.00:16.67:OK:6:1766.21</v>
      </c>
    </row>
    <row r="6693" spans="1:6" x14ac:dyDescent="0.3">
      <c r="A6693" t="s">
        <v>3350</v>
      </c>
      <c r="F6693" t="str">
        <f t="shared" ref="F6693" si="6685">A6693</f>
        <v>TCAATT</v>
      </c>
    </row>
    <row r="6694" spans="1:6" x14ac:dyDescent="0.3">
      <c r="A6694" t="s">
        <v>7447</v>
      </c>
      <c r="F6694" t="str">
        <f t="shared" ref="F6694" si="6686">LEFT(A6694, LEN(A6694) - 1)</f>
        <v>&gt;3345:TCACAA:24.00:33.33:OK:6:1760.22</v>
      </c>
    </row>
    <row r="6695" spans="1:6" x14ac:dyDescent="0.3">
      <c r="A6695" t="s">
        <v>3351</v>
      </c>
      <c r="F6695" t="str">
        <f t="shared" ref="F6695" si="6687">A6695</f>
        <v>TCACAA</v>
      </c>
    </row>
    <row r="6696" spans="1:6" x14ac:dyDescent="0.3">
      <c r="A6696" t="s">
        <v>7448</v>
      </c>
      <c r="F6696" t="str">
        <f t="shared" ref="F6696" si="6688">LEFT(A6696, LEN(A6696) - 1)</f>
        <v>&gt;3346:TCACAC:22.00:50.00:Warning:6:1736.19</v>
      </c>
    </row>
    <row r="6697" spans="1:6" x14ac:dyDescent="0.3">
      <c r="A6697" t="s">
        <v>3352</v>
      </c>
      <c r="F6697" t="str">
        <f t="shared" ref="F6697" si="6689">A6697</f>
        <v>TCACAC</v>
      </c>
    </row>
    <row r="6698" spans="1:6" x14ac:dyDescent="0.3">
      <c r="A6698" t="s">
        <v>7449</v>
      </c>
      <c r="F6698" t="str">
        <f t="shared" ref="F6698" si="6690">LEFT(A6698, LEN(A6698) - 1)</f>
        <v>&gt;3347:TCACAG:22.00:50.00:Warning:6:1776.22</v>
      </c>
    </row>
    <row r="6699" spans="1:6" x14ac:dyDescent="0.3">
      <c r="A6699" t="s">
        <v>3353</v>
      </c>
      <c r="F6699" t="str">
        <f t="shared" ref="F6699" si="6691">A6699</f>
        <v>TCACAG</v>
      </c>
    </row>
    <row r="6700" spans="1:6" x14ac:dyDescent="0.3">
      <c r="A6700" t="s">
        <v>7450</v>
      </c>
      <c r="F6700" t="str">
        <f t="shared" ref="F6700" si="6692">LEFT(A6700, LEN(A6700) - 1)</f>
        <v>&gt;3348:TCACAT:16.00:33.33:OK:6:1751.20</v>
      </c>
    </row>
    <row r="6701" spans="1:6" x14ac:dyDescent="0.3">
      <c r="A6701" t="s">
        <v>3354</v>
      </c>
      <c r="F6701" t="str">
        <f t="shared" ref="F6701" si="6693">A6701</f>
        <v>TCACAT</v>
      </c>
    </row>
    <row r="6702" spans="1:6" x14ac:dyDescent="0.3">
      <c r="A6702" t="s">
        <v>7451</v>
      </c>
      <c r="F6702" t="str">
        <f t="shared" ref="F6702" si="6694">LEFT(A6702, LEN(A6702) - 1)</f>
        <v>&gt;3349:TCACCA:22.00:50.00:Warning:6:1736.19</v>
      </c>
    </row>
    <row r="6703" spans="1:6" x14ac:dyDescent="0.3">
      <c r="A6703" t="s">
        <v>3355</v>
      </c>
      <c r="F6703" t="str">
        <f t="shared" ref="F6703" si="6695">A6703</f>
        <v>TCACCA</v>
      </c>
    </row>
    <row r="6704" spans="1:6" x14ac:dyDescent="0.3">
      <c r="A6704" t="s">
        <v>7452</v>
      </c>
      <c r="F6704" t="str">
        <f t="shared" ref="F6704" si="6696">LEFT(A6704, LEN(A6704) - 1)</f>
        <v>&gt;3350:TCACCC:20.00:66.67:Warning:6:1712.16</v>
      </c>
    </row>
    <row r="6705" spans="1:6" x14ac:dyDescent="0.3">
      <c r="A6705" t="s">
        <v>3356</v>
      </c>
      <c r="F6705" t="str">
        <f t="shared" ref="F6705" si="6697">A6705</f>
        <v>TCACCC</v>
      </c>
    </row>
    <row r="6706" spans="1:6" x14ac:dyDescent="0.3">
      <c r="A6706" t="s">
        <v>7453</v>
      </c>
      <c r="F6706" t="str">
        <f t="shared" ref="F6706" si="6698">LEFT(A6706, LEN(A6706) - 1)</f>
        <v>&gt;3351:TCACCG:20.00:66.67:Warning:6:1752.19</v>
      </c>
    </row>
    <row r="6707" spans="1:6" x14ac:dyDescent="0.3">
      <c r="A6707" t="s">
        <v>3357</v>
      </c>
      <c r="F6707" t="str">
        <f t="shared" ref="F6707" si="6699">A6707</f>
        <v>TCACCG</v>
      </c>
    </row>
    <row r="6708" spans="1:6" x14ac:dyDescent="0.3">
      <c r="A6708" t="s">
        <v>7454</v>
      </c>
      <c r="F6708" t="str">
        <f t="shared" ref="F6708" si="6700">LEFT(A6708, LEN(A6708) - 1)</f>
        <v>&gt;3352:TCACCT:14.00:50.00:Warning:6:1727.17</v>
      </c>
    </row>
    <row r="6709" spans="1:6" x14ac:dyDescent="0.3">
      <c r="A6709" t="s">
        <v>3358</v>
      </c>
      <c r="F6709" t="str">
        <f t="shared" ref="F6709" si="6701">A6709</f>
        <v>TCACCT</v>
      </c>
    </row>
    <row r="6710" spans="1:6" x14ac:dyDescent="0.3">
      <c r="A6710" t="s">
        <v>7455</v>
      </c>
      <c r="F6710" t="str">
        <f t="shared" ref="F6710" si="6702">LEFT(A6710, LEN(A6710) - 1)</f>
        <v>&gt;3353:TCACGA:22.00:50.00:Warning:6:1776.22</v>
      </c>
    </row>
    <row r="6711" spans="1:6" x14ac:dyDescent="0.3">
      <c r="A6711" t="s">
        <v>3359</v>
      </c>
      <c r="F6711" t="str">
        <f t="shared" ref="F6711" si="6703">A6711</f>
        <v>TCACGA</v>
      </c>
    </row>
    <row r="6712" spans="1:6" x14ac:dyDescent="0.3">
      <c r="A6712" t="s">
        <v>7456</v>
      </c>
      <c r="F6712" t="str">
        <f t="shared" ref="F6712" si="6704">LEFT(A6712, LEN(A6712) - 1)</f>
        <v>&gt;3354:TCACGC:20.00:66.67:Warning:6:1752.19</v>
      </c>
    </row>
    <row r="6713" spans="1:6" x14ac:dyDescent="0.3">
      <c r="A6713" t="s">
        <v>3360</v>
      </c>
      <c r="F6713" t="str">
        <f t="shared" ref="F6713" si="6705">A6713</f>
        <v>TCACGC</v>
      </c>
    </row>
    <row r="6714" spans="1:6" x14ac:dyDescent="0.3">
      <c r="A6714" t="s">
        <v>7457</v>
      </c>
      <c r="F6714" t="str">
        <f t="shared" ref="F6714" si="6706">LEFT(A6714, LEN(A6714) - 1)</f>
        <v>&gt;3355:TCACGG:20.00:66.67:Warning:6:1792.22</v>
      </c>
    </row>
    <row r="6715" spans="1:6" x14ac:dyDescent="0.3">
      <c r="A6715" t="s">
        <v>3361</v>
      </c>
      <c r="F6715" t="str">
        <f t="shared" ref="F6715" si="6707">A6715</f>
        <v>TCACGG</v>
      </c>
    </row>
    <row r="6716" spans="1:6" x14ac:dyDescent="0.3">
      <c r="A6716" t="s">
        <v>7458</v>
      </c>
      <c r="F6716" t="str">
        <f t="shared" ref="F6716" si="6708">LEFT(A6716, LEN(A6716) - 1)</f>
        <v>&gt;3356:TCACGT:14.00:50.00:Warning:6:1767.20</v>
      </c>
    </row>
    <row r="6717" spans="1:6" x14ac:dyDescent="0.3">
      <c r="A6717" t="s">
        <v>3362</v>
      </c>
      <c r="F6717" t="str">
        <f t="shared" ref="F6717" si="6709">A6717</f>
        <v>TCACGT</v>
      </c>
    </row>
    <row r="6718" spans="1:6" x14ac:dyDescent="0.3">
      <c r="A6718" t="s">
        <v>7459</v>
      </c>
      <c r="F6718" t="str">
        <f t="shared" ref="F6718" si="6710">LEFT(A6718, LEN(A6718) - 1)</f>
        <v>&gt;3357:TCACTA:16.00:33.33:OK:6:1751.20</v>
      </c>
    </row>
    <row r="6719" spans="1:6" x14ac:dyDescent="0.3">
      <c r="A6719" t="s">
        <v>3363</v>
      </c>
      <c r="F6719" t="str">
        <f t="shared" ref="F6719" si="6711">A6719</f>
        <v>TCACTA</v>
      </c>
    </row>
    <row r="6720" spans="1:6" x14ac:dyDescent="0.3">
      <c r="A6720" t="s">
        <v>7460</v>
      </c>
      <c r="F6720" t="str">
        <f t="shared" ref="F6720" si="6712">LEFT(A6720, LEN(A6720) - 1)</f>
        <v>&gt;3358:TCACTC:14.00:50.00:Warning:6:1727.17</v>
      </c>
    </row>
    <row r="6721" spans="1:6" x14ac:dyDescent="0.3">
      <c r="A6721" t="s">
        <v>3364</v>
      </c>
      <c r="F6721" t="str">
        <f t="shared" ref="F6721" si="6713">A6721</f>
        <v>TCACTC</v>
      </c>
    </row>
    <row r="6722" spans="1:6" x14ac:dyDescent="0.3">
      <c r="A6722" t="s">
        <v>7461</v>
      </c>
      <c r="F6722" t="str">
        <f t="shared" ref="F6722" si="6714">LEFT(A6722, LEN(A6722) - 1)</f>
        <v>&gt;3359:TCACTG:14.00:50.00:Warning:6:1767.20</v>
      </c>
    </row>
    <row r="6723" spans="1:6" x14ac:dyDescent="0.3">
      <c r="A6723" t="s">
        <v>3365</v>
      </c>
      <c r="F6723" t="str">
        <f t="shared" ref="F6723" si="6715">A6723</f>
        <v>TCACTG</v>
      </c>
    </row>
    <row r="6724" spans="1:6" x14ac:dyDescent="0.3">
      <c r="A6724" t="s">
        <v>7462</v>
      </c>
      <c r="F6724" t="str">
        <f t="shared" ref="F6724" si="6716">LEFT(A6724, LEN(A6724) - 1)</f>
        <v>&gt;3360:TCACTT:8.00:33.33:OK:6:1742.18</v>
      </c>
    </row>
    <row r="6725" spans="1:6" x14ac:dyDescent="0.3">
      <c r="A6725" t="s">
        <v>3366</v>
      </c>
      <c r="F6725" t="str">
        <f t="shared" ref="F6725" si="6717">A6725</f>
        <v>TCACTT</v>
      </c>
    </row>
    <row r="6726" spans="1:6" x14ac:dyDescent="0.3">
      <c r="A6726" t="s">
        <v>7463</v>
      </c>
      <c r="F6726" t="str">
        <f t="shared" ref="F6726" si="6718">LEFT(A6726, LEN(A6726) - 1)</f>
        <v>&gt;3361:TCAGAA:24.00:33.33:OK:6:1800.25</v>
      </c>
    </row>
    <row r="6727" spans="1:6" x14ac:dyDescent="0.3">
      <c r="A6727" t="s">
        <v>3367</v>
      </c>
      <c r="F6727" t="str">
        <f t="shared" ref="F6727" si="6719">A6727</f>
        <v>TCAGAA</v>
      </c>
    </row>
    <row r="6728" spans="1:6" x14ac:dyDescent="0.3">
      <c r="A6728" t="s">
        <v>7464</v>
      </c>
      <c r="F6728" t="str">
        <f t="shared" ref="F6728" si="6720">LEFT(A6728, LEN(A6728) - 1)</f>
        <v>&gt;3362:TCAGAC:22.00:50.00:Warning:6:1776.22</v>
      </c>
    </row>
    <row r="6729" spans="1:6" x14ac:dyDescent="0.3">
      <c r="A6729" t="s">
        <v>3368</v>
      </c>
      <c r="F6729" t="str">
        <f t="shared" ref="F6729" si="6721">A6729</f>
        <v>TCAGAC</v>
      </c>
    </row>
    <row r="6730" spans="1:6" x14ac:dyDescent="0.3">
      <c r="A6730" t="s">
        <v>7465</v>
      </c>
      <c r="F6730" t="str">
        <f t="shared" ref="F6730" si="6722">LEFT(A6730, LEN(A6730) - 1)</f>
        <v>&gt;3363:TCAGAG:22.00:50.00:Warning:6:1816.25</v>
      </c>
    </row>
    <row r="6731" spans="1:6" x14ac:dyDescent="0.3">
      <c r="A6731" t="s">
        <v>3369</v>
      </c>
      <c r="F6731" t="str">
        <f t="shared" ref="F6731" si="6723">A6731</f>
        <v>TCAGAG</v>
      </c>
    </row>
    <row r="6732" spans="1:6" x14ac:dyDescent="0.3">
      <c r="A6732" t="s">
        <v>7466</v>
      </c>
      <c r="F6732" t="str">
        <f t="shared" ref="F6732" si="6724">LEFT(A6732, LEN(A6732) - 1)</f>
        <v>&gt;3364:TCAGAT:16.00:33.33:OK:6:1791.23</v>
      </c>
    </row>
    <row r="6733" spans="1:6" x14ac:dyDescent="0.3">
      <c r="A6733" t="s">
        <v>3370</v>
      </c>
      <c r="F6733" t="str">
        <f t="shared" ref="F6733" si="6725">A6733</f>
        <v>TCAGAT</v>
      </c>
    </row>
    <row r="6734" spans="1:6" x14ac:dyDescent="0.3">
      <c r="A6734" t="s">
        <v>7467</v>
      </c>
      <c r="F6734" t="str">
        <f t="shared" ref="F6734" si="6726">LEFT(A6734, LEN(A6734) - 1)</f>
        <v>&gt;3365:TCAGCA:22.00:50.00:Warning:6:1776.22</v>
      </c>
    </row>
    <row r="6735" spans="1:6" x14ac:dyDescent="0.3">
      <c r="A6735" t="s">
        <v>3371</v>
      </c>
      <c r="F6735" t="str">
        <f t="shared" ref="F6735" si="6727">A6735</f>
        <v>TCAGCA</v>
      </c>
    </row>
    <row r="6736" spans="1:6" x14ac:dyDescent="0.3">
      <c r="A6736" t="s">
        <v>7468</v>
      </c>
      <c r="F6736" t="str">
        <f t="shared" ref="F6736" si="6728">LEFT(A6736, LEN(A6736) - 1)</f>
        <v>&gt;3366:TCAGCC:20.00:66.67:Warning:6:1752.19</v>
      </c>
    </row>
    <row r="6737" spans="1:6" x14ac:dyDescent="0.3">
      <c r="A6737" t="s">
        <v>3372</v>
      </c>
      <c r="F6737" t="str">
        <f t="shared" ref="F6737" si="6729">A6737</f>
        <v>TCAGCC</v>
      </c>
    </row>
    <row r="6738" spans="1:6" x14ac:dyDescent="0.3">
      <c r="A6738" t="s">
        <v>7469</v>
      </c>
      <c r="F6738" t="str">
        <f t="shared" ref="F6738" si="6730">LEFT(A6738, LEN(A6738) - 1)</f>
        <v>&gt;3367:TCAGCG:20.00:66.67:Warning:6:1792.22</v>
      </c>
    </row>
    <row r="6739" spans="1:6" x14ac:dyDescent="0.3">
      <c r="A6739" t="s">
        <v>3373</v>
      </c>
      <c r="F6739" t="str">
        <f t="shared" ref="F6739" si="6731">A6739</f>
        <v>TCAGCG</v>
      </c>
    </row>
    <row r="6740" spans="1:6" x14ac:dyDescent="0.3">
      <c r="A6740" t="s">
        <v>7470</v>
      </c>
      <c r="F6740" t="str">
        <f t="shared" ref="F6740" si="6732">LEFT(A6740, LEN(A6740) - 1)</f>
        <v>&gt;3368:TCAGCT:14.00:50.00:Warning:6:1767.20</v>
      </c>
    </row>
    <row r="6741" spans="1:6" x14ac:dyDescent="0.3">
      <c r="A6741" t="s">
        <v>3374</v>
      </c>
      <c r="F6741" t="str">
        <f t="shared" ref="F6741" si="6733">A6741</f>
        <v>TCAGCT</v>
      </c>
    </row>
    <row r="6742" spans="1:6" x14ac:dyDescent="0.3">
      <c r="A6742" t="s">
        <v>7471</v>
      </c>
      <c r="F6742" t="str">
        <f t="shared" ref="F6742" si="6734">LEFT(A6742, LEN(A6742) - 1)</f>
        <v>&gt;3369:TCAGGA:22.00:50.00:Warning:6:1816.25</v>
      </c>
    </row>
    <row r="6743" spans="1:6" x14ac:dyDescent="0.3">
      <c r="A6743" t="s">
        <v>3375</v>
      </c>
      <c r="F6743" t="str">
        <f t="shared" ref="F6743" si="6735">A6743</f>
        <v>TCAGGA</v>
      </c>
    </row>
    <row r="6744" spans="1:6" x14ac:dyDescent="0.3">
      <c r="A6744" t="s">
        <v>7472</v>
      </c>
      <c r="F6744" t="str">
        <f t="shared" ref="F6744" si="6736">LEFT(A6744, LEN(A6744) - 1)</f>
        <v>&gt;3370:TCAGGC:20.00:66.67:Warning:6:1792.22</v>
      </c>
    </row>
    <row r="6745" spans="1:6" x14ac:dyDescent="0.3">
      <c r="A6745" t="s">
        <v>3376</v>
      </c>
      <c r="F6745" t="str">
        <f t="shared" ref="F6745" si="6737">A6745</f>
        <v>TCAGGC</v>
      </c>
    </row>
    <row r="6746" spans="1:6" x14ac:dyDescent="0.3">
      <c r="A6746" t="s">
        <v>7473</v>
      </c>
      <c r="F6746" t="str">
        <f t="shared" ref="F6746" si="6738">LEFT(A6746, LEN(A6746) - 1)</f>
        <v>&gt;3371:TCAGGG:20.00:66.67:Warning:6:1832.25</v>
      </c>
    </row>
    <row r="6747" spans="1:6" x14ac:dyDescent="0.3">
      <c r="A6747" t="s">
        <v>3377</v>
      </c>
      <c r="F6747" t="str">
        <f t="shared" ref="F6747" si="6739">A6747</f>
        <v>TCAGGG</v>
      </c>
    </row>
    <row r="6748" spans="1:6" x14ac:dyDescent="0.3">
      <c r="A6748" t="s">
        <v>7474</v>
      </c>
      <c r="F6748" t="str">
        <f t="shared" ref="F6748" si="6740">LEFT(A6748, LEN(A6748) - 1)</f>
        <v>&gt;3372:TCAGGT:14.00:50.00:Warning:6:1807.23</v>
      </c>
    </row>
    <row r="6749" spans="1:6" x14ac:dyDescent="0.3">
      <c r="A6749" t="s">
        <v>3378</v>
      </c>
      <c r="F6749" t="str">
        <f t="shared" ref="F6749" si="6741">A6749</f>
        <v>TCAGGT</v>
      </c>
    </row>
    <row r="6750" spans="1:6" x14ac:dyDescent="0.3">
      <c r="A6750" t="s">
        <v>7475</v>
      </c>
      <c r="F6750" t="str">
        <f t="shared" ref="F6750" si="6742">LEFT(A6750, LEN(A6750) - 1)</f>
        <v>&gt;3373:TCAGTA:16.00:33.33:OK:6:1791.23</v>
      </c>
    </row>
    <row r="6751" spans="1:6" x14ac:dyDescent="0.3">
      <c r="A6751" t="s">
        <v>3379</v>
      </c>
      <c r="F6751" t="str">
        <f t="shared" ref="F6751" si="6743">A6751</f>
        <v>TCAGTA</v>
      </c>
    </row>
    <row r="6752" spans="1:6" x14ac:dyDescent="0.3">
      <c r="A6752" t="s">
        <v>7476</v>
      </c>
      <c r="F6752" t="str">
        <f t="shared" ref="F6752" si="6744">LEFT(A6752, LEN(A6752) - 1)</f>
        <v>&gt;3374:TCAGTC:14.00:50.00:Warning:6:1767.20</v>
      </c>
    </row>
    <row r="6753" spans="1:6" x14ac:dyDescent="0.3">
      <c r="A6753" t="s">
        <v>3380</v>
      </c>
      <c r="F6753" t="str">
        <f t="shared" ref="F6753" si="6745">A6753</f>
        <v>TCAGTC</v>
      </c>
    </row>
    <row r="6754" spans="1:6" x14ac:dyDescent="0.3">
      <c r="A6754" t="s">
        <v>7477</v>
      </c>
      <c r="F6754" t="str">
        <f t="shared" ref="F6754" si="6746">LEFT(A6754, LEN(A6754) - 1)</f>
        <v>&gt;3375:TCAGTG:14.00:50.00:Warning:6:1807.23</v>
      </c>
    </row>
    <row r="6755" spans="1:6" x14ac:dyDescent="0.3">
      <c r="A6755" t="s">
        <v>3381</v>
      </c>
      <c r="F6755" t="str">
        <f t="shared" ref="F6755" si="6747">A6755</f>
        <v>TCAGTG</v>
      </c>
    </row>
    <row r="6756" spans="1:6" x14ac:dyDescent="0.3">
      <c r="A6756" t="s">
        <v>7478</v>
      </c>
      <c r="F6756" t="str">
        <f t="shared" ref="F6756" si="6748">LEFT(A6756, LEN(A6756) - 1)</f>
        <v>&gt;3376:TCAGTT:8.00:33.33:OK:6:1782.21</v>
      </c>
    </row>
    <row r="6757" spans="1:6" x14ac:dyDescent="0.3">
      <c r="A6757" t="s">
        <v>3382</v>
      </c>
      <c r="F6757" t="str">
        <f t="shared" ref="F6757" si="6749">A6757</f>
        <v>TCAGTT</v>
      </c>
    </row>
    <row r="6758" spans="1:6" x14ac:dyDescent="0.3">
      <c r="A6758" t="s">
        <v>7479</v>
      </c>
      <c r="F6758" t="str">
        <f t="shared" ref="F6758" si="6750">LEFT(A6758, LEN(A6758) - 1)</f>
        <v>&gt;3377:TCATAA:18.00:16.67:OK:6:1775.23</v>
      </c>
    </row>
    <row r="6759" spans="1:6" x14ac:dyDescent="0.3">
      <c r="A6759" t="s">
        <v>3383</v>
      </c>
      <c r="F6759" t="str">
        <f t="shared" ref="F6759" si="6751">A6759</f>
        <v>TCATAA</v>
      </c>
    </row>
    <row r="6760" spans="1:6" x14ac:dyDescent="0.3">
      <c r="A6760" t="s">
        <v>7480</v>
      </c>
      <c r="F6760" t="str">
        <f t="shared" ref="F6760" si="6752">LEFT(A6760, LEN(A6760) - 1)</f>
        <v>&gt;3378:TCATAC:16.00:33.33:OK:6:1751.20</v>
      </c>
    </row>
    <row r="6761" spans="1:6" x14ac:dyDescent="0.3">
      <c r="A6761" t="s">
        <v>3384</v>
      </c>
      <c r="F6761" t="str">
        <f t="shared" ref="F6761" si="6753">A6761</f>
        <v>TCATAC</v>
      </c>
    </row>
    <row r="6762" spans="1:6" x14ac:dyDescent="0.3">
      <c r="A6762" t="s">
        <v>7481</v>
      </c>
      <c r="F6762" t="str">
        <f t="shared" ref="F6762" si="6754">LEFT(A6762, LEN(A6762) - 1)</f>
        <v>&gt;3379:TCATAG:16.00:33.33:OK:6:1791.23</v>
      </c>
    </row>
    <row r="6763" spans="1:6" x14ac:dyDescent="0.3">
      <c r="A6763" t="s">
        <v>3385</v>
      </c>
      <c r="F6763" t="str">
        <f t="shared" ref="F6763" si="6755">A6763</f>
        <v>TCATAG</v>
      </c>
    </row>
    <row r="6764" spans="1:6" x14ac:dyDescent="0.3">
      <c r="A6764" t="s">
        <v>7482</v>
      </c>
      <c r="F6764" t="str">
        <f t="shared" ref="F6764" si="6756">LEFT(A6764, LEN(A6764) - 1)</f>
        <v>&gt;3380:TCATAT:10.00:16.67:OK:6:1766.21</v>
      </c>
    </row>
    <row r="6765" spans="1:6" x14ac:dyDescent="0.3">
      <c r="A6765" t="s">
        <v>3386</v>
      </c>
      <c r="F6765" t="str">
        <f t="shared" ref="F6765" si="6757">A6765</f>
        <v>TCATAT</v>
      </c>
    </row>
    <row r="6766" spans="1:6" x14ac:dyDescent="0.3">
      <c r="A6766" t="s">
        <v>7483</v>
      </c>
      <c r="F6766" t="str">
        <f t="shared" ref="F6766" si="6758">LEFT(A6766, LEN(A6766) - 1)</f>
        <v>&gt;3381:TCATCA:16.00:33.33:OK:6:1751.20</v>
      </c>
    </row>
    <row r="6767" spans="1:6" x14ac:dyDescent="0.3">
      <c r="A6767" t="s">
        <v>3387</v>
      </c>
      <c r="F6767" t="str">
        <f t="shared" ref="F6767" si="6759">A6767</f>
        <v>TCATCA</v>
      </c>
    </row>
    <row r="6768" spans="1:6" x14ac:dyDescent="0.3">
      <c r="A6768" t="s">
        <v>7484</v>
      </c>
      <c r="F6768" t="str">
        <f t="shared" ref="F6768" si="6760">LEFT(A6768, LEN(A6768) - 1)</f>
        <v>&gt;3382:TCATCC:14.00:50.00:Warning:6:1727.17</v>
      </c>
    </row>
    <row r="6769" spans="1:6" x14ac:dyDescent="0.3">
      <c r="A6769" t="s">
        <v>3388</v>
      </c>
      <c r="F6769" t="str">
        <f t="shared" ref="F6769" si="6761">A6769</f>
        <v>TCATCC</v>
      </c>
    </row>
    <row r="6770" spans="1:6" x14ac:dyDescent="0.3">
      <c r="A6770" t="s">
        <v>7485</v>
      </c>
      <c r="F6770" t="str">
        <f t="shared" ref="F6770" si="6762">LEFT(A6770, LEN(A6770) - 1)</f>
        <v>&gt;3383:TCATCG:14.00:50.00:Warning:6:1767.20</v>
      </c>
    </row>
    <row r="6771" spans="1:6" x14ac:dyDescent="0.3">
      <c r="A6771" t="s">
        <v>3389</v>
      </c>
      <c r="F6771" t="str">
        <f t="shared" ref="F6771" si="6763">A6771</f>
        <v>TCATCG</v>
      </c>
    </row>
    <row r="6772" spans="1:6" x14ac:dyDescent="0.3">
      <c r="A6772" t="s">
        <v>7486</v>
      </c>
      <c r="F6772" t="str">
        <f t="shared" ref="F6772" si="6764">LEFT(A6772, LEN(A6772) - 1)</f>
        <v>&gt;3384:TCATCT:8.00:33.33:OK:6:1742.18</v>
      </c>
    </row>
    <row r="6773" spans="1:6" x14ac:dyDescent="0.3">
      <c r="A6773" t="s">
        <v>3390</v>
      </c>
      <c r="F6773" t="str">
        <f t="shared" ref="F6773" si="6765">A6773</f>
        <v>TCATCT</v>
      </c>
    </row>
    <row r="6774" spans="1:6" x14ac:dyDescent="0.3">
      <c r="A6774" t="s">
        <v>7487</v>
      </c>
      <c r="F6774" t="str">
        <f t="shared" ref="F6774" si="6766">LEFT(A6774, LEN(A6774) - 1)</f>
        <v>&gt;3385:TCATGA:16.00:33.33:OK:6:1791.23</v>
      </c>
    </row>
    <row r="6775" spans="1:6" x14ac:dyDescent="0.3">
      <c r="A6775" t="s">
        <v>3391</v>
      </c>
      <c r="F6775" t="str">
        <f t="shared" ref="F6775" si="6767">A6775</f>
        <v>TCATGA</v>
      </c>
    </row>
    <row r="6776" spans="1:6" x14ac:dyDescent="0.3">
      <c r="A6776" t="s">
        <v>7488</v>
      </c>
      <c r="F6776" t="str">
        <f t="shared" ref="F6776" si="6768">LEFT(A6776, LEN(A6776) - 1)</f>
        <v>&gt;3386:TCATGC:14.00:50.00:Warning:6:1767.20</v>
      </c>
    </row>
    <row r="6777" spans="1:6" x14ac:dyDescent="0.3">
      <c r="A6777" t="s">
        <v>3392</v>
      </c>
      <c r="F6777" t="str">
        <f t="shared" ref="F6777" si="6769">A6777</f>
        <v>TCATGC</v>
      </c>
    </row>
    <row r="6778" spans="1:6" x14ac:dyDescent="0.3">
      <c r="A6778" t="s">
        <v>7489</v>
      </c>
      <c r="F6778" t="str">
        <f t="shared" ref="F6778" si="6770">LEFT(A6778, LEN(A6778) - 1)</f>
        <v>&gt;3387:TCATGG:14.00:50.00:Warning:6:1807.23</v>
      </c>
    </row>
    <row r="6779" spans="1:6" x14ac:dyDescent="0.3">
      <c r="A6779" t="s">
        <v>3393</v>
      </c>
      <c r="F6779" t="str">
        <f t="shared" ref="F6779" si="6771">A6779</f>
        <v>TCATGG</v>
      </c>
    </row>
    <row r="6780" spans="1:6" x14ac:dyDescent="0.3">
      <c r="A6780" t="s">
        <v>7490</v>
      </c>
      <c r="F6780" t="str">
        <f t="shared" ref="F6780" si="6772">LEFT(A6780, LEN(A6780) - 1)</f>
        <v>&gt;3388:TCATGT:8.00:33.33:OK:6:1782.21</v>
      </c>
    </row>
    <row r="6781" spans="1:6" x14ac:dyDescent="0.3">
      <c r="A6781" t="s">
        <v>3394</v>
      </c>
      <c r="F6781" t="str">
        <f t="shared" ref="F6781" si="6773">A6781</f>
        <v>TCATGT</v>
      </c>
    </row>
    <row r="6782" spans="1:6" x14ac:dyDescent="0.3">
      <c r="A6782" t="s">
        <v>7491</v>
      </c>
      <c r="F6782" t="str">
        <f t="shared" ref="F6782" si="6774">LEFT(A6782, LEN(A6782) - 1)</f>
        <v>&gt;3389:TCATTA:10.00:16.67:OK:6:1766.21</v>
      </c>
    </row>
    <row r="6783" spans="1:6" x14ac:dyDescent="0.3">
      <c r="A6783" t="s">
        <v>3395</v>
      </c>
      <c r="F6783" t="str">
        <f t="shared" ref="F6783" si="6775">A6783</f>
        <v>TCATTA</v>
      </c>
    </row>
    <row r="6784" spans="1:6" x14ac:dyDescent="0.3">
      <c r="A6784" t="s">
        <v>7492</v>
      </c>
      <c r="F6784" t="str">
        <f t="shared" ref="F6784" si="6776">LEFT(A6784, LEN(A6784) - 1)</f>
        <v>&gt;3390:TCATTC:8.00:33.33:OK:6:1742.18</v>
      </c>
    </row>
    <row r="6785" spans="1:6" x14ac:dyDescent="0.3">
      <c r="A6785" t="s">
        <v>3396</v>
      </c>
      <c r="F6785" t="str">
        <f t="shared" ref="F6785" si="6777">A6785</f>
        <v>TCATTC</v>
      </c>
    </row>
    <row r="6786" spans="1:6" x14ac:dyDescent="0.3">
      <c r="A6786" t="s">
        <v>7493</v>
      </c>
      <c r="F6786" t="str">
        <f t="shared" ref="F6786" si="6778">LEFT(A6786, LEN(A6786) - 1)</f>
        <v>&gt;3391:TCATTG:8.00:33.33:OK:6:1782.21</v>
      </c>
    </row>
    <row r="6787" spans="1:6" x14ac:dyDescent="0.3">
      <c r="A6787" t="s">
        <v>3397</v>
      </c>
      <c r="F6787" t="str">
        <f t="shared" ref="F6787" si="6779">A6787</f>
        <v>TCATTG</v>
      </c>
    </row>
    <row r="6788" spans="1:6" x14ac:dyDescent="0.3">
      <c r="A6788" t="s">
        <v>7494</v>
      </c>
      <c r="F6788" t="str">
        <f t="shared" ref="F6788" si="6780">LEFT(A6788, LEN(A6788) - 1)</f>
        <v>&gt;3392:TCATTT:2.00:16.67:OK:6:1757.19</v>
      </c>
    </row>
    <row r="6789" spans="1:6" x14ac:dyDescent="0.3">
      <c r="A6789" t="s">
        <v>3398</v>
      </c>
      <c r="F6789" t="str">
        <f t="shared" ref="F6789" si="6781">A6789</f>
        <v>TCATTT</v>
      </c>
    </row>
    <row r="6790" spans="1:6" x14ac:dyDescent="0.3">
      <c r="A6790" t="s">
        <v>7495</v>
      </c>
      <c r="F6790" t="str">
        <f t="shared" ref="F6790" si="6782">LEFT(A6790, LEN(A6790) - 1)</f>
        <v>&gt;3393:TCCAAA:24.00:33.33:OK:6:1760.22</v>
      </c>
    </row>
    <row r="6791" spans="1:6" x14ac:dyDescent="0.3">
      <c r="A6791" t="s">
        <v>3399</v>
      </c>
      <c r="F6791" t="str">
        <f t="shared" ref="F6791" si="6783">A6791</f>
        <v>TCCAAA</v>
      </c>
    </row>
    <row r="6792" spans="1:6" x14ac:dyDescent="0.3">
      <c r="A6792" t="s">
        <v>7496</v>
      </c>
      <c r="F6792" t="str">
        <f t="shared" ref="F6792" si="6784">LEFT(A6792, LEN(A6792) - 1)</f>
        <v>&gt;3394:TCCAAC:22.00:50.00:Warning:6:1736.19</v>
      </c>
    </row>
    <row r="6793" spans="1:6" x14ac:dyDescent="0.3">
      <c r="A6793" t="s">
        <v>3400</v>
      </c>
      <c r="F6793" t="str">
        <f t="shared" ref="F6793" si="6785">A6793</f>
        <v>TCCAAC</v>
      </c>
    </row>
    <row r="6794" spans="1:6" x14ac:dyDescent="0.3">
      <c r="A6794" t="s">
        <v>7497</v>
      </c>
      <c r="F6794" t="str">
        <f t="shared" ref="F6794" si="6786">LEFT(A6794, LEN(A6794) - 1)</f>
        <v>&gt;3395:TCCAAG:22.00:50.00:Warning:6:1776.22</v>
      </c>
    </row>
    <row r="6795" spans="1:6" x14ac:dyDescent="0.3">
      <c r="A6795" t="s">
        <v>3401</v>
      </c>
      <c r="F6795" t="str">
        <f t="shared" ref="F6795" si="6787">A6795</f>
        <v>TCCAAG</v>
      </c>
    </row>
    <row r="6796" spans="1:6" x14ac:dyDescent="0.3">
      <c r="A6796" t="s">
        <v>7498</v>
      </c>
      <c r="F6796" t="str">
        <f t="shared" ref="F6796" si="6788">LEFT(A6796, LEN(A6796) - 1)</f>
        <v>&gt;3396:TCCAAT:16.00:33.33:OK:6:1751.20</v>
      </c>
    </row>
    <row r="6797" spans="1:6" x14ac:dyDescent="0.3">
      <c r="A6797" t="s">
        <v>3402</v>
      </c>
      <c r="F6797" t="str">
        <f t="shared" ref="F6797" si="6789">A6797</f>
        <v>TCCAAT</v>
      </c>
    </row>
    <row r="6798" spans="1:6" x14ac:dyDescent="0.3">
      <c r="A6798" t="s">
        <v>7499</v>
      </c>
      <c r="F6798" t="str">
        <f t="shared" ref="F6798" si="6790">LEFT(A6798, LEN(A6798) - 1)</f>
        <v>&gt;3397:TCCACA:22.00:50.00:Warning:6:1736.19</v>
      </c>
    </row>
    <row r="6799" spans="1:6" x14ac:dyDescent="0.3">
      <c r="A6799" t="s">
        <v>3403</v>
      </c>
      <c r="F6799" t="str">
        <f t="shared" ref="F6799" si="6791">A6799</f>
        <v>TCCACA</v>
      </c>
    </row>
    <row r="6800" spans="1:6" x14ac:dyDescent="0.3">
      <c r="A6800" t="s">
        <v>7500</v>
      </c>
      <c r="F6800" t="str">
        <f t="shared" ref="F6800" si="6792">LEFT(A6800, LEN(A6800) - 1)</f>
        <v>&gt;3398:TCCACC:20.00:66.67:Warning:6:1712.16</v>
      </c>
    </row>
    <row r="6801" spans="1:6" x14ac:dyDescent="0.3">
      <c r="A6801" t="s">
        <v>3404</v>
      </c>
      <c r="F6801" t="str">
        <f t="shared" ref="F6801" si="6793">A6801</f>
        <v>TCCACC</v>
      </c>
    </row>
    <row r="6802" spans="1:6" x14ac:dyDescent="0.3">
      <c r="A6802" t="s">
        <v>7501</v>
      </c>
      <c r="F6802" t="str">
        <f t="shared" ref="F6802" si="6794">LEFT(A6802, LEN(A6802) - 1)</f>
        <v>&gt;3399:TCCACG:20.00:66.67:Warning:6:1752.19</v>
      </c>
    </row>
    <row r="6803" spans="1:6" x14ac:dyDescent="0.3">
      <c r="A6803" t="s">
        <v>3405</v>
      </c>
      <c r="F6803" t="str">
        <f t="shared" ref="F6803" si="6795">A6803</f>
        <v>TCCACG</v>
      </c>
    </row>
    <row r="6804" spans="1:6" x14ac:dyDescent="0.3">
      <c r="A6804" t="s">
        <v>7502</v>
      </c>
      <c r="F6804" t="str">
        <f t="shared" ref="F6804" si="6796">LEFT(A6804, LEN(A6804) - 1)</f>
        <v>&gt;3400:TCCACT:14.00:50.00:Warning:6:1727.17</v>
      </c>
    </row>
    <row r="6805" spans="1:6" x14ac:dyDescent="0.3">
      <c r="A6805" t="s">
        <v>3406</v>
      </c>
      <c r="F6805" t="str">
        <f t="shared" ref="F6805" si="6797">A6805</f>
        <v>TCCACT</v>
      </c>
    </row>
    <row r="6806" spans="1:6" x14ac:dyDescent="0.3">
      <c r="A6806" t="s">
        <v>7503</v>
      </c>
      <c r="F6806" t="str">
        <f t="shared" ref="F6806" si="6798">LEFT(A6806, LEN(A6806) - 1)</f>
        <v>&gt;3401:TCCAGA:22.00:50.00:Warning:6:1776.22</v>
      </c>
    </row>
    <row r="6807" spans="1:6" x14ac:dyDescent="0.3">
      <c r="A6807" t="s">
        <v>3407</v>
      </c>
      <c r="F6807" t="str">
        <f t="shared" ref="F6807" si="6799">A6807</f>
        <v>TCCAGA</v>
      </c>
    </row>
    <row r="6808" spans="1:6" x14ac:dyDescent="0.3">
      <c r="A6808" t="s">
        <v>7504</v>
      </c>
      <c r="F6808" t="str">
        <f t="shared" ref="F6808" si="6800">LEFT(A6808, LEN(A6808) - 1)</f>
        <v>&gt;3402:TCCAGC:20.00:66.67:Warning:6:1752.19</v>
      </c>
    </row>
    <row r="6809" spans="1:6" x14ac:dyDescent="0.3">
      <c r="A6809" t="s">
        <v>3408</v>
      </c>
      <c r="F6809" t="str">
        <f t="shared" ref="F6809" si="6801">A6809</f>
        <v>TCCAGC</v>
      </c>
    </row>
    <row r="6810" spans="1:6" x14ac:dyDescent="0.3">
      <c r="A6810" t="s">
        <v>7505</v>
      </c>
      <c r="F6810" t="str">
        <f t="shared" ref="F6810" si="6802">LEFT(A6810, LEN(A6810) - 1)</f>
        <v>&gt;3403:TCCAGG:20.00:66.67:Warning:6:1792.22</v>
      </c>
    </row>
    <row r="6811" spans="1:6" x14ac:dyDescent="0.3">
      <c r="A6811" t="s">
        <v>3409</v>
      </c>
      <c r="F6811" t="str">
        <f t="shared" ref="F6811" si="6803">A6811</f>
        <v>TCCAGG</v>
      </c>
    </row>
    <row r="6812" spans="1:6" x14ac:dyDescent="0.3">
      <c r="A6812" t="s">
        <v>7506</v>
      </c>
      <c r="F6812" t="str">
        <f t="shared" ref="F6812" si="6804">LEFT(A6812, LEN(A6812) - 1)</f>
        <v>&gt;3404:TCCAGT:14.00:50.00:Warning:6:1767.20</v>
      </c>
    </row>
    <row r="6813" spans="1:6" x14ac:dyDescent="0.3">
      <c r="A6813" t="s">
        <v>3410</v>
      </c>
      <c r="F6813" t="str">
        <f t="shared" ref="F6813" si="6805">A6813</f>
        <v>TCCAGT</v>
      </c>
    </row>
    <row r="6814" spans="1:6" x14ac:dyDescent="0.3">
      <c r="A6814" t="s">
        <v>7507</v>
      </c>
      <c r="F6814" t="str">
        <f t="shared" ref="F6814" si="6806">LEFT(A6814, LEN(A6814) - 1)</f>
        <v>&gt;3405:TCCATA:16.00:33.33:OK:6:1751.20</v>
      </c>
    </row>
    <row r="6815" spans="1:6" x14ac:dyDescent="0.3">
      <c r="A6815" t="s">
        <v>3411</v>
      </c>
      <c r="F6815" t="str">
        <f t="shared" ref="F6815" si="6807">A6815</f>
        <v>TCCATA</v>
      </c>
    </row>
    <row r="6816" spans="1:6" x14ac:dyDescent="0.3">
      <c r="A6816" t="s">
        <v>7508</v>
      </c>
      <c r="F6816" t="str">
        <f t="shared" ref="F6816" si="6808">LEFT(A6816, LEN(A6816) - 1)</f>
        <v>&gt;3406:TCCATC:14.00:50.00:Warning:6:1727.17</v>
      </c>
    </row>
    <row r="6817" spans="1:6" x14ac:dyDescent="0.3">
      <c r="A6817" t="s">
        <v>3412</v>
      </c>
      <c r="F6817" t="str">
        <f t="shared" ref="F6817" si="6809">A6817</f>
        <v>TCCATC</v>
      </c>
    </row>
    <row r="6818" spans="1:6" x14ac:dyDescent="0.3">
      <c r="A6818" t="s">
        <v>7509</v>
      </c>
      <c r="F6818" t="str">
        <f t="shared" ref="F6818" si="6810">LEFT(A6818, LEN(A6818) - 1)</f>
        <v>&gt;3407:TCCATG:14.00:50.00:Warning:6:1767.20</v>
      </c>
    </row>
    <row r="6819" spans="1:6" x14ac:dyDescent="0.3">
      <c r="A6819" t="s">
        <v>3413</v>
      </c>
      <c r="F6819" t="str">
        <f t="shared" ref="F6819" si="6811">A6819</f>
        <v>TCCATG</v>
      </c>
    </row>
    <row r="6820" spans="1:6" x14ac:dyDescent="0.3">
      <c r="A6820" t="s">
        <v>7510</v>
      </c>
      <c r="F6820" t="str">
        <f t="shared" ref="F6820" si="6812">LEFT(A6820, LEN(A6820) - 1)</f>
        <v>&gt;3408:TCCATT:8.00:33.33:OK:6:1742.18</v>
      </c>
    </row>
    <row r="6821" spans="1:6" x14ac:dyDescent="0.3">
      <c r="A6821" t="s">
        <v>3414</v>
      </c>
      <c r="F6821" t="str">
        <f t="shared" ref="F6821" si="6813">A6821</f>
        <v>TCCATT</v>
      </c>
    </row>
    <row r="6822" spans="1:6" x14ac:dyDescent="0.3">
      <c r="A6822" t="s">
        <v>7511</v>
      </c>
      <c r="F6822" t="str">
        <f t="shared" ref="F6822" si="6814">LEFT(A6822, LEN(A6822) - 1)</f>
        <v>&gt;3409:TCCCAA:22.00:50.00:Warning:6:1736.19</v>
      </c>
    </row>
    <row r="6823" spans="1:6" x14ac:dyDescent="0.3">
      <c r="A6823" t="s">
        <v>3415</v>
      </c>
      <c r="F6823" t="str">
        <f t="shared" ref="F6823" si="6815">A6823</f>
        <v>TCCCAA</v>
      </c>
    </row>
    <row r="6824" spans="1:6" x14ac:dyDescent="0.3">
      <c r="A6824" t="s">
        <v>7512</v>
      </c>
      <c r="F6824" t="str">
        <f t="shared" ref="F6824" si="6816">LEFT(A6824, LEN(A6824) - 1)</f>
        <v>&gt;3410:TCCCAC:20.00:66.67:Warning:6:1712.16</v>
      </c>
    </row>
    <row r="6825" spans="1:6" x14ac:dyDescent="0.3">
      <c r="A6825" t="s">
        <v>3416</v>
      </c>
      <c r="F6825" t="str">
        <f t="shared" ref="F6825" si="6817">A6825</f>
        <v>TCCCAC</v>
      </c>
    </row>
    <row r="6826" spans="1:6" x14ac:dyDescent="0.3">
      <c r="A6826" t="s">
        <v>7513</v>
      </c>
      <c r="F6826" t="str">
        <f t="shared" ref="F6826" si="6818">LEFT(A6826, LEN(A6826) - 1)</f>
        <v>&gt;3411:TCCCAG:20.00:66.67:Warning:6:1752.19</v>
      </c>
    </row>
    <row r="6827" spans="1:6" x14ac:dyDescent="0.3">
      <c r="A6827" t="s">
        <v>3417</v>
      </c>
      <c r="F6827" t="str">
        <f t="shared" ref="F6827" si="6819">A6827</f>
        <v>TCCCAG</v>
      </c>
    </row>
    <row r="6828" spans="1:6" x14ac:dyDescent="0.3">
      <c r="A6828" t="s">
        <v>7514</v>
      </c>
      <c r="F6828" t="str">
        <f t="shared" ref="F6828" si="6820">LEFT(A6828, LEN(A6828) - 1)</f>
        <v>&gt;3412:TCCCAT:14.00:50.00:Warning:6:1727.17</v>
      </c>
    </row>
    <row r="6829" spans="1:6" x14ac:dyDescent="0.3">
      <c r="A6829" t="s">
        <v>3418</v>
      </c>
      <c r="F6829" t="str">
        <f t="shared" ref="F6829" si="6821">A6829</f>
        <v>TCCCAT</v>
      </c>
    </row>
    <row r="6830" spans="1:6" x14ac:dyDescent="0.3">
      <c r="A6830" t="s">
        <v>7515</v>
      </c>
      <c r="F6830" t="str">
        <f t="shared" ref="F6830" si="6822">LEFT(A6830, LEN(A6830) - 1)</f>
        <v>&gt;3413:TCCCCA:20.00:66.67:Warning:6:1712.16</v>
      </c>
    </row>
    <row r="6831" spans="1:6" x14ac:dyDescent="0.3">
      <c r="A6831" t="s">
        <v>3419</v>
      </c>
      <c r="F6831" t="str">
        <f t="shared" ref="F6831" si="6823">A6831</f>
        <v>TCCCCA</v>
      </c>
    </row>
    <row r="6832" spans="1:6" x14ac:dyDescent="0.3">
      <c r="A6832" t="s">
        <v>7516</v>
      </c>
      <c r="F6832" t="str">
        <f t="shared" ref="F6832" si="6824">LEFT(A6832, LEN(A6832) - 1)</f>
        <v>&gt;3414:TCCCCC:18.00:83.33:Warning:6:1688.13</v>
      </c>
    </row>
    <row r="6833" spans="1:6" x14ac:dyDescent="0.3">
      <c r="A6833" t="s">
        <v>3420</v>
      </c>
      <c r="F6833" t="str">
        <f t="shared" ref="F6833" si="6825">A6833</f>
        <v>TCCCCC</v>
      </c>
    </row>
    <row r="6834" spans="1:6" x14ac:dyDescent="0.3">
      <c r="A6834" t="s">
        <v>7517</v>
      </c>
      <c r="F6834" t="str">
        <f t="shared" ref="F6834" si="6826">LEFT(A6834, LEN(A6834) - 1)</f>
        <v>&gt;3415:TCCCCG:18.00:83.33:Warning:6:1728.16</v>
      </c>
    </row>
    <row r="6835" spans="1:6" x14ac:dyDescent="0.3">
      <c r="A6835" t="s">
        <v>3421</v>
      </c>
      <c r="F6835" t="str">
        <f t="shared" ref="F6835" si="6827">A6835</f>
        <v>TCCCCG</v>
      </c>
    </row>
    <row r="6836" spans="1:6" x14ac:dyDescent="0.3">
      <c r="A6836" t="s">
        <v>7518</v>
      </c>
      <c r="F6836" t="str">
        <f t="shared" ref="F6836" si="6828">LEFT(A6836, LEN(A6836) - 1)</f>
        <v>&gt;3416:TCCCCT:12.00:66.67:Warning:6:1703.14</v>
      </c>
    </row>
    <row r="6837" spans="1:6" x14ac:dyDescent="0.3">
      <c r="A6837" t="s">
        <v>3422</v>
      </c>
      <c r="F6837" t="str">
        <f t="shared" ref="F6837" si="6829">A6837</f>
        <v>TCCCCT</v>
      </c>
    </row>
    <row r="6838" spans="1:6" x14ac:dyDescent="0.3">
      <c r="A6838" t="s">
        <v>7519</v>
      </c>
      <c r="F6838" t="str">
        <f t="shared" ref="F6838" si="6830">LEFT(A6838, LEN(A6838) - 1)</f>
        <v>&gt;3417:TCCCGA:20.00:66.67:Warning:6:1752.19</v>
      </c>
    </row>
    <row r="6839" spans="1:6" x14ac:dyDescent="0.3">
      <c r="A6839" t="s">
        <v>3423</v>
      </c>
      <c r="F6839" t="str">
        <f t="shared" ref="F6839" si="6831">A6839</f>
        <v>TCCCGA</v>
      </c>
    </row>
    <row r="6840" spans="1:6" x14ac:dyDescent="0.3">
      <c r="A6840" t="s">
        <v>7520</v>
      </c>
      <c r="F6840" t="str">
        <f t="shared" ref="F6840" si="6832">LEFT(A6840, LEN(A6840) - 1)</f>
        <v>&gt;3418:TCCCGC:18.00:83.33:Warning:6:1728.16</v>
      </c>
    </row>
    <row r="6841" spans="1:6" x14ac:dyDescent="0.3">
      <c r="A6841" t="s">
        <v>3424</v>
      </c>
      <c r="F6841" t="str">
        <f t="shared" ref="F6841" si="6833">A6841</f>
        <v>TCCCGC</v>
      </c>
    </row>
    <row r="6842" spans="1:6" x14ac:dyDescent="0.3">
      <c r="A6842" t="s">
        <v>7521</v>
      </c>
      <c r="F6842" t="str">
        <f t="shared" ref="F6842" si="6834">LEFT(A6842, LEN(A6842) - 1)</f>
        <v>&gt;3419:TCCCGG:18.00:83.33:Warning:6:1768.19</v>
      </c>
    </row>
    <row r="6843" spans="1:6" x14ac:dyDescent="0.3">
      <c r="A6843" t="s">
        <v>3425</v>
      </c>
      <c r="F6843" t="str">
        <f t="shared" ref="F6843" si="6835">A6843</f>
        <v>TCCCGG</v>
      </c>
    </row>
    <row r="6844" spans="1:6" x14ac:dyDescent="0.3">
      <c r="A6844" t="s">
        <v>7522</v>
      </c>
      <c r="F6844" t="str">
        <f t="shared" ref="F6844" si="6836">LEFT(A6844, LEN(A6844) - 1)</f>
        <v>&gt;3420:TCCCGT:12.00:66.67:Warning:6:1743.17</v>
      </c>
    </row>
    <row r="6845" spans="1:6" x14ac:dyDescent="0.3">
      <c r="A6845" t="s">
        <v>3426</v>
      </c>
      <c r="F6845" t="str">
        <f t="shared" ref="F6845" si="6837">A6845</f>
        <v>TCCCGT</v>
      </c>
    </row>
    <row r="6846" spans="1:6" x14ac:dyDescent="0.3">
      <c r="A6846" t="s">
        <v>7523</v>
      </c>
      <c r="F6846" t="str">
        <f t="shared" ref="F6846" si="6838">LEFT(A6846, LEN(A6846) - 1)</f>
        <v>&gt;3421:TCCCTA:14.00:50.00:Warning:6:1727.17</v>
      </c>
    </row>
    <row r="6847" spans="1:6" x14ac:dyDescent="0.3">
      <c r="A6847" t="s">
        <v>3427</v>
      </c>
      <c r="F6847" t="str">
        <f t="shared" ref="F6847" si="6839">A6847</f>
        <v>TCCCTA</v>
      </c>
    </row>
    <row r="6848" spans="1:6" x14ac:dyDescent="0.3">
      <c r="A6848" t="s">
        <v>7524</v>
      </c>
      <c r="F6848" t="str">
        <f t="shared" ref="F6848" si="6840">LEFT(A6848, LEN(A6848) - 1)</f>
        <v>&gt;3422:TCCCTC:12.00:66.67:Warning:6:1703.14</v>
      </c>
    </row>
    <row r="6849" spans="1:6" x14ac:dyDescent="0.3">
      <c r="A6849" t="s">
        <v>3428</v>
      </c>
      <c r="F6849" t="str">
        <f t="shared" ref="F6849" si="6841">A6849</f>
        <v>TCCCTC</v>
      </c>
    </row>
    <row r="6850" spans="1:6" x14ac:dyDescent="0.3">
      <c r="A6850" t="s">
        <v>7525</v>
      </c>
      <c r="F6850" t="str">
        <f t="shared" ref="F6850" si="6842">LEFT(A6850, LEN(A6850) - 1)</f>
        <v>&gt;3423:TCCCTG:12.00:66.67:Warning:6:1743.17</v>
      </c>
    </row>
    <row r="6851" spans="1:6" x14ac:dyDescent="0.3">
      <c r="A6851" t="s">
        <v>3429</v>
      </c>
      <c r="F6851" t="str">
        <f t="shared" ref="F6851" si="6843">A6851</f>
        <v>TCCCTG</v>
      </c>
    </row>
    <row r="6852" spans="1:6" x14ac:dyDescent="0.3">
      <c r="A6852" t="s">
        <v>7526</v>
      </c>
      <c r="F6852" t="str">
        <f t="shared" ref="F6852" si="6844">LEFT(A6852, LEN(A6852) - 1)</f>
        <v>&gt;3424:TCCCTT:6.00:50.00:Warning:6:1718.15</v>
      </c>
    </row>
    <row r="6853" spans="1:6" x14ac:dyDescent="0.3">
      <c r="A6853" t="s">
        <v>3430</v>
      </c>
      <c r="F6853" t="str">
        <f t="shared" ref="F6853" si="6845">A6853</f>
        <v>TCCCTT</v>
      </c>
    </row>
    <row r="6854" spans="1:6" x14ac:dyDescent="0.3">
      <c r="A6854" t="s">
        <v>7527</v>
      </c>
      <c r="F6854" t="str">
        <f t="shared" ref="F6854" si="6846">LEFT(A6854, LEN(A6854) - 1)</f>
        <v>&gt;3425:TCCGAA:22.00:50.00:Warning:6:1776.22</v>
      </c>
    </row>
    <row r="6855" spans="1:6" x14ac:dyDescent="0.3">
      <c r="A6855" t="s">
        <v>3431</v>
      </c>
      <c r="F6855" t="str">
        <f t="shared" ref="F6855" si="6847">A6855</f>
        <v>TCCGAA</v>
      </c>
    </row>
    <row r="6856" spans="1:6" x14ac:dyDescent="0.3">
      <c r="A6856" t="s">
        <v>7528</v>
      </c>
      <c r="F6856" t="str">
        <f t="shared" ref="F6856" si="6848">LEFT(A6856, LEN(A6856) - 1)</f>
        <v>&gt;3426:TCCGAC:20.00:66.67:Warning:6:1752.19</v>
      </c>
    </row>
    <row r="6857" spans="1:6" x14ac:dyDescent="0.3">
      <c r="A6857" t="s">
        <v>3432</v>
      </c>
      <c r="F6857" t="str">
        <f t="shared" ref="F6857" si="6849">A6857</f>
        <v>TCCGAC</v>
      </c>
    </row>
    <row r="6858" spans="1:6" x14ac:dyDescent="0.3">
      <c r="A6858" t="s">
        <v>7529</v>
      </c>
      <c r="F6858" t="str">
        <f t="shared" ref="F6858" si="6850">LEFT(A6858, LEN(A6858) - 1)</f>
        <v>&gt;3427:TCCGAG:20.00:66.67:Warning:6:1792.22</v>
      </c>
    </row>
    <row r="6859" spans="1:6" x14ac:dyDescent="0.3">
      <c r="A6859" t="s">
        <v>3433</v>
      </c>
      <c r="F6859" t="str">
        <f t="shared" ref="F6859" si="6851">A6859</f>
        <v>TCCGAG</v>
      </c>
    </row>
    <row r="6860" spans="1:6" x14ac:dyDescent="0.3">
      <c r="A6860" t="s">
        <v>7530</v>
      </c>
      <c r="F6860" t="str">
        <f t="shared" ref="F6860" si="6852">LEFT(A6860, LEN(A6860) - 1)</f>
        <v>&gt;3428:TCCGAT:14.00:50.00:Warning:6:1767.20</v>
      </c>
    </row>
    <row r="6861" spans="1:6" x14ac:dyDescent="0.3">
      <c r="A6861" t="s">
        <v>3434</v>
      </c>
      <c r="F6861" t="str">
        <f t="shared" ref="F6861" si="6853">A6861</f>
        <v>TCCGAT</v>
      </c>
    </row>
    <row r="6862" spans="1:6" x14ac:dyDescent="0.3">
      <c r="A6862" t="s">
        <v>7531</v>
      </c>
      <c r="F6862" t="str">
        <f t="shared" ref="F6862" si="6854">LEFT(A6862, LEN(A6862) - 1)</f>
        <v>&gt;3429:TCCGCA:20.00:66.67:Warning:6:1752.19</v>
      </c>
    </row>
    <row r="6863" spans="1:6" x14ac:dyDescent="0.3">
      <c r="A6863" t="s">
        <v>3435</v>
      </c>
      <c r="F6863" t="str">
        <f t="shared" ref="F6863" si="6855">A6863</f>
        <v>TCCGCA</v>
      </c>
    </row>
    <row r="6864" spans="1:6" x14ac:dyDescent="0.3">
      <c r="A6864" t="s">
        <v>7532</v>
      </c>
      <c r="F6864" t="str">
        <f t="shared" ref="F6864" si="6856">LEFT(A6864, LEN(A6864) - 1)</f>
        <v>&gt;3430:TCCGCC:18.00:83.33:Warning:6:1728.16</v>
      </c>
    </row>
    <row r="6865" spans="1:6" x14ac:dyDescent="0.3">
      <c r="A6865" t="s">
        <v>3436</v>
      </c>
      <c r="F6865" t="str">
        <f t="shared" ref="F6865" si="6857">A6865</f>
        <v>TCCGCC</v>
      </c>
    </row>
    <row r="6866" spans="1:6" x14ac:dyDescent="0.3">
      <c r="A6866" t="s">
        <v>7533</v>
      </c>
      <c r="F6866" t="str">
        <f t="shared" ref="F6866" si="6858">LEFT(A6866, LEN(A6866) - 1)</f>
        <v>&gt;3431:TCCGCG:18.00:83.33:Warning:6:1768.19</v>
      </c>
    </row>
    <row r="6867" spans="1:6" x14ac:dyDescent="0.3">
      <c r="A6867" t="s">
        <v>3437</v>
      </c>
      <c r="F6867" t="str">
        <f t="shared" ref="F6867" si="6859">A6867</f>
        <v>TCCGCG</v>
      </c>
    </row>
    <row r="6868" spans="1:6" x14ac:dyDescent="0.3">
      <c r="A6868" t="s">
        <v>7534</v>
      </c>
      <c r="F6868" t="str">
        <f t="shared" ref="F6868" si="6860">LEFT(A6868, LEN(A6868) - 1)</f>
        <v>&gt;3432:TCCGCT:12.00:66.67:Warning:6:1743.17</v>
      </c>
    </row>
    <row r="6869" spans="1:6" x14ac:dyDescent="0.3">
      <c r="A6869" t="s">
        <v>3438</v>
      </c>
      <c r="F6869" t="str">
        <f t="shared" ref="F6869" si="6861">A6869</f>
        <v>TCCGCT</v>
      </c>
    </row>
    <row r="6870" spans="1:6" x14ac:dyDescent="0.3">
      <c r="A6870" t="s">
        <v>7535</v>
      </c>
      <c r="F6870" t="str">
        <f t="shared" ref="F6870" si="6862">LEFT(A6870, LEN(A6870) - 1)</f>
        <v>&gt;3433:TCCGGA:20.00:66.67:Warning:6:1792.22</v>
      </c>
    </row>
    <row r="6871" spans="1:6" x14ac:dyDescent="0.3">
      <c r="A6871" t="s">
        <v>3439</v>
      </c>
      <c r="F6871" t="str">
        <f t="shared" ref="F6871" si="6863">A6871</f>
        <v>TCCGGA</v>
      </c>
    </row>
    <row r="6872" spans="1:6" x14ac:dyDescent="0.3">
      <c r="A6872" t="s">
        <v>7536</v>
      </c>
      <c r="F6872" t="str">
        <f t="shared" ref="F6872" si="6864">LEFT(A6872, LEN(A6872) - 1)</f>
        <v>&gt;3434:TCCGGC:18.00:83.33:Warning:6:1768.19</v>
      </c>
    </row>
    <row r="6873" spans="1:6" x14ac:dyDescent="0.3">
      <c r="A6873" t="s">
        <v>3440</v>
      </c>
      <c r="F6873" t="str">
        <f t="shared" ref="F6873" si="6865">A6873</f>
        <v>TCCGGC</v>
      </c>
    </row>
    <row r="6874" spans="1:6" x14ac:dyDescent="0.3">
      <c r="A6874" t="s">
        <v>7537</v>
      </c>
      <c r="F6874" t="str">
        <f t="shared" ref="F6874" si="6866">LEFT(A6874, LEN(A6874) - 1)</f>
        <v>&gt;3435:TCCGGG:18.00:83.33:Warning:6:1808.22</v>
      </c>
    </row>
    <row r="6875" spans="1:6" x14ac:dyDescent="0.3">
      <c r="A6875" t="s">
        <v>3441</v>
      </c>
      <c r="F6875" t="str">
        <f t="shared" ref="F6875" si="6867">A6875</f>
        <v>TCCGGG</v>
      </c>
    </row>
    <row r="6876" spans="1:6" x14ac:dyDescent="0.3">
      <c r="A6876" t="s">
        <v>7538</v>
      </c>
      <c r="F6876" t="str">
        <f t="shared" ref="F6876" si="6868">LEFT(A6876, LEN(A6876) - 1)</f>
        <v>&gt;3436:TCCGGT:12.00:66.67:Warning:6:1783.20</v>
      </c>
    </row>
    <row r="6877" spans="1:6" x14ac:dyDescent="0.3">
      <c r="A6877" t="s">
        <v>3442</v>
      </c>
      <c r="F6877" t="str">
        <f t="shared" ref="F6877" si="6869">A6877</f>
        <v>TCCGGT</v>
      </c>
    </row>
    <row r="6878" spans="1:6" x14ac:dyDescent="0.3">
      <c r="A6878" t="s">
        <v>7539</v>
      </c>
      <c r="F6878" t="str">
        <f t="shared" ref="F6878" si="6870">LEFT(A6878, LEN(A6878) - 1)</f>
        <v>&gt;3437:TCCGTA:14.00:50.00:Warning:6:1767.20</v>
      </c>
    </row>
    <row r="6879" spans="1:6" x14ac:dyDescent="0.3">
      <c r="A6879" t="s">
        <v>3443</v>
      </c>
      <c r="F6879" t="str">
        <f t="shared" ref="F6879" si="6871">A6879</f>
        <v>TCCGTA</v>
      </c>
    </row>
    <row r="6880" spans="1:6" x14ac:dyDescent="0.3">
      <c r="A6880" t="s">
        <v>7540</v>
      </c>
      <c r="F6880" t="str">
        <f t="shared" ref="F6880" si="6872">LEFT(A6880, LEN(A6880) - 1)</f>
        <v>&gt;3438:TCCGTC:12.00:66.67:Warning:6:1743.17</v>
      </c>
    </row>
    <row r="6881" spans="1:6" x14ac:dyDescent="0.3">
      <c r="A6881" t="s">
        <v>3444</v>
      </c>
      <c r="F6881" t="str">
        <f t="shared" ref="F6881" si="6873">A6881</f>
        <v>TCCGTC</v>
      </c>
    </row>
    <row r="6882" spans="1:6" x14ac:dyDescent="0.3">
      <c r="A6882" t="s">
        <v>7541</v>
      </c>
      <c r="F6882" t="str">
        <f t="shared" ref="F6882" si="6874">LEFT(A6882, LEN(A6882) - 1)</f>
        <v>&gt;3439:TCCGTG:12.00:66.67:Warning:6:1783.20</v>
      </c>
    </row>
    <row r="6883" spans="1:6" x14ac:dyDescent="0.3">
      <c r="A6883" t="s">
        <v>3445</v>
      </c>
      <c r="F6883" t="str">
        <f t="shared" ref="F6883" si="6875">A6883</f>
        <v>TCCGTG</v>
      </c>
    </row>
    <row r="6884" spans="1:6" x14ac:dyDescent="0.3">
      <c r="A6884" t="s">
        <v>7542</v>
      </c>
      <c r="F6884" t="str">
        <f t="shared" ref="F6884" si="6876">LEFT(A6884, LEN(A6884) - 1)</f>
        <v>&gt;3440:TCCGTT:6.00:50.00:Warning:6:1758.18</v>
      </c>
    </row>
    <row r="6885" spans="1:6" x14ac:dyDescent="0.3">
      <c r="A6885" t="s">
        <v>3446</v>
      </c>
      <c r="F6885" t="str">
        <f t="shared" ref="F6885" si="6877">A6885</f>
        <v>TCCGTT</v>
      </c>
    </row>
    <row r="6886" spans="1:6" x14ac:dyDescent="0.3">
      <c r="A6886" t="s">
        <v>7543</v>
      </c>
      <c r="F6886" t="str">
        <f t="shared" ref="F6886" si="6878">LEFT(A6886, LEN(A6886) - 1)</f>
        <v>&gt;3441:TCCTAA:16.00:33.33:OK:6:1751.20</v>
      </c>
    </row>
    <row r="6887" spans="1:6" x14ac:dyDescent="0.3">
      <c r="A6887" t="s">
        <v>3447</v>
      </c>
      <c r="F6887" t="str">
        <f t="shared" ref="F6887" si="6879">A6887</f>
        <v>TCCTAA</v>
      </c>
    </row>
    <row r="6888" spans="1:6" x14ac:dyDescent="0.3">
      <c r="A6888" t="s">
        <v>7544</v>
      </c>
      <c r="F6888" t="str">
        <f t="shared" ref="F6888" si="6880">LEFT(A6888, LEN(A6888) - 1)</f>
        <v>&gt;3442:TCCTAC:14.00:50.00:Warning:6:1727.17</v>
      </c>
    </row>
    <row r="6889" spans="1:6" x14ac:dyDescent="0.3">
      <c r="A6889" t="s">
        <v>3448</v>
      </c>
      <c r="F6889" t="str">
        <f t="shared" ref="F6889" si="6881">A6889</f>
        <v>TCCTAC</v>
      </c>
    </row>
    <row r="6890" spans="1:6" x14ac:dyDescent="0.3">
      <c r="A6890" t="s">
        <v>7545</v>
      </c>
      <c r="F6890" t="str">
        <f t="shared" ref="F6890" si="6882">LEFT(A6890, LEN(A6890) - 1)</f>
        <v>&gt;3443:TCCTAG:14.00:50.00:Warning:6:1767.20</v>
      </c>
    </row>
    <row r="6891" spans="1:6" x14ac:dyDescent="0.3">
      <c r="A6891" t="s">
        <v>3449</v>
      </c>
      <c r="F6891" t="str">
        <f t="shared" ref="F6891" si="6883">A6891</f>
        <v>TCCTAG</v>
      </c>
    </row>
    <row r="6892" spans="1:6" x14ac:dyDescent="0.3">
      <c r="A6892" t="s">
        <v>7546</v>
      </c>
      <c r="F6892" t="str">
        <f t="shared" ref="F6892" si="6884">LEFT(A6892, LEN(A6892) - 1)</f>
        <v>&gt;3444:TCCTAT:8.00:33.33:OK:6:1742.18</v>
      </c>
    </row>
    <row r="6893" spans="1:6" x14ac:dyDescent="0.3">
      <c r="A6893" t="s">
        <v>3450</v>
      </c>
      <c r="F6893" t="str">
        <f t="shared" ref="F6893" si="6885">A6893</f>
        <v>TCCTAT</v>
      </c>
    </row>
    <row r="6894" spans="1:6" x14ac:dyDescent="0.3">
      <c r="A6894" t="s">
        <v>7547</v>
      </c>
      <c r="F6894" t="str">
        <f t="shared" ref="F6894" si="6886">LEFT(A6894, LEN(A6894) - 1)</f>
        <v>&gt;3445:TCCTCA:14.00:50.00:Warning:6:1727.17</v>
      </c>
    </row>
    <row r="6895" spans="1:6" x14ac:dyDescent="0.3">
      <c r="A6895" t="s">
        <v>3451</v>
      </c>
      <c r="F6895" t="str">
        <f t="shared" ref="F6895" si="6887">A6895</f>
        <v>TCCTCA</v>
      </c>
    </row>
    <row r="6896" spans="1:6" x14ac:dyDescent="0.3">
      <c r="A6896" t="s">
        <v>7548</v>
      </c>
      <c r="F6896" t="str">
        <f t="shared" ref="F6896" si="6888">LEFT(A6896, LEN(A6896) - 1)</f>
        <v>&gt;3446:TCCTCC:12.00:66.67:Warning:6:1703.14</v>
      </c>
    </row>
    <row r="6897" spans="1:6" x14ac:dyDescent="0.3">
      <c r="A6897" t="s">
        <v>3452</v>
      </c>
      <c r="F6897" t="str">
        <f t="shared" ref="F6897" si="6889">A6897</f>
        <v>TCCTCC</v>
      </c>
    </row>
    <row r="6898" spans="1:6" x14ac:dyDescent="0.3">
      <c r="A6898" t="s">
        <v>7549</v>
      </c>
      <c r="F6898" t="str">
        <f t="shared" ref="F6898" si="6890">LEFT(A6898, LEN(A6898) - 1)</f>
        <v>&gt;3447:TCCTCG:12.00:66.67:Warning:6:1743.17</v>
      </c>
    </row>
    <row r="6899" spans="1:6" x14ac:dyDescent="0.3">
      <c r="A6899" t="s">
        <v>3453</v>
      </c>
      <c r="F6899" t="str">
        <f t="shared" ref="F6899" si="6891">A6899</f>
        <v>TCCTCG</v>
      </c>
    </row>
    <row r="6900" spans="1:6" x14ac:dyDescent="0.3">
      <c r="A6900" t="s">
        <v>7550</v>
      </c>
      <c r="F6900" t="str">
        <f t="shared" ref="F6900" si="6892">LEFT(A6900, LEN(A6900) - 1)</f>
        <v>&gt;3448:TCCTCT:6.00:50.00:Warning:6:1718.15</v>
      </c>
    </row>
    <row r="6901" spans="1:6" x14ac:dyDescent="0.3">
      <c r="A6901" t="s">
        <v>3454</v>
      </c>
      <c r="F6901" t="str">
        <f t="shared" ref="F6901" si="6893">A6901</f>
        <v>TCCTCT</v>
      </c>
    </row>
    <row r="6902" spans="1:6" x14ac:dyDescent="0.3">
      <c r="A6902" t="s">
        <v>7551</v>
      </c>
      <c r="F6902" t="str">
        <f t="shared" ref="F6902" si="6894">LEFT(A6902, LEN(A6902) - 1)</f>
        <v>&gt;3449:TCCTGA:14.00:50.00:Warning:6:1767.20</v>
      </c>
    </row>
    <row r="6903" spans="1:6" x14ac:dyDescent="0.3">
      <c r="A6903" t="s">
        <v>3455</v>
      </c>
      <c r="F6903" t="str">
        <f t="shared" ref="F6903" si="6895">A6903</f>
        <v>TCCTGA</v>
      </c>
    </row>
    <row r="6904" spans="1:6" x14ac:dyDescent="0.3">
      <c r="A6904" t="s">
        <v>7552</v>
      </c>
      <c r="F6904" t="str">
        <f t="shared" ref="F6904" si="6896">LEFT(A6904, LEN(A6904) - 1)</f>
        <v>&gt;3450:TCCTGC:12.00:66.67:Warning:6:1743.17</v>
      </c>
    </row>
    <row r="6905" spans="1:6" x14ac:dyDescent="0.3">
      <c r="A6905" t="s">
        <v>3456</v>
      </c>
      <c r="F6905" t="str">
        <f t="shared" ref="F6905" si="6897">A6905</f>
        <v>TCCTGC</v>
      </c>
    </row>
    <row r="6906" spans="1:6" x14ac:dyDescent="0.3">
      <c r="A6906" t="s">
        <v>7553</v>
      </c>
      <c r="F6906" t="str">
        <f t="shared" ref="F6906" si="6898">LEFT(A6906, LEN(A6906) - 1)</f>
        <v>&gt;3451:TCCTGG:12.00:66.67:Warning:6:1783.20</v>
      </c>
    </row>
    <row r="6907" spans="1:6" x14ac:dyDescent="0.3">
      <c r="A6907" t="s">
        <v>3457</v>
      </c>
      <c r="F6907" t="str">
        <f t="shared" ref="F6907" si="6899">A6907</f>
        <v>TCCTGG</v>
      </c>
    </row>
    <row r="6908" spans="1:6" x14ac:dyDescent="0.3">
      <c r="A6908" t="s">
        <v>7554</v>
      </c>
      <c r="F6908" t="str">
        <f t="shared" ref="F6908" si="6900">LEFT(A6908, LEN(A6908) - 1)</f>
        <v>&gt;3452:TCCTGT:6.00:50.00:Warning:6:1758.18</v>
      </c>
    </row>
    <row r="6909" spans="1:6" x14ac:dyDescent="0.3">
      <c r="A6909" t="s">
        <v>3458</v>
      </c>
      <c r="F6909" t="str">
        <f t="shared" ref="F6909" si="6901">A6909</f>
        <v>TCCTGT</v>
      </c>
    </row>
    <row r="6910" spans="1:6" x14ac:dyDescent="0.3">
      <c r="A6910" t="s">
        <v>7555</v>
      </c>
      <c r="F6910" t="str">
        <f t="shared" ref="F6910" si="6902">LEFT(A6910, LEN(A6910) - 1)</f>
        <v>&gt;3453:TCCTTA:8.00:33.33:OK:6:1742.18</v>
      </c>
    </row>
    <row r="6911" spans="1:6" x14ac:dyDescent="0.3">
      <c r="A6911" t="s">
        <v>3459</v>
      </c>
      <c r="F6911" t="str">
        <f t="shared" ref="F6911" si="6903">A6911</f>
        <v>TCCTTA</v>
      </c>
    </row>
    <row r="6912" spans="1:6" x14ac:dyDescent="0.3">
      <c r="A6912" t="s">
        <v>7556</v>
      </c>
      <c r="F6912" t="str">
        <f t="shared" ref="F6912" si="6904">LEFT(A6912, LEN(A6912) - 1)</f>
        <v>&gt;3454:TCCTTC:6.00:50.00:Warning:6:1718.15</v>
      </c>
    </row>
    <row r="6913" spans="1:6" x14ac:dyDescent="0.3">
      <c r="A6913" t="s">
        <v>3460</v>
      </c>
      <c r="F6913" t="str">
        <f t="shared" ref="F6913" si="6905">A6913</f>
        <v>TCCTTC</v>
      </c>
    </row>
    <row r="6914" spans="1:6" x14ac:dyDescent="0.3">
      <c r="A6914" t="s">
        <v>7557</v>
      </c>
      <c r="F6914" t="str">
        <f t="shared" ref="F6914" si="6906">LEFT(A6914, LEN(A6914) - 1)</f>
        <v>&gt;3455:TCCTTG:6.00:50.00:Warning:6:1758.18</v>
      </c>
    </row>
    <row r="6915" spans="1:6" x14ac:dyDescent="0.3">
      <c r="A6915" t="s">
        <v>3461</v>
      </c>
      <c r="F6915" t="str">
        <f t="shared" ref="F6915" si="6907">A6915</f>
        <v>TCCTTG</v>
      </c>
    </row>
    <row r="6916" spans="1:6" x14ac:dyDescent="0.3">
      <c r="A6916" t="s">
        <v>7558</v>
      </c>
      <c r="F6916" t="str">
        <f t="shared" ref="F6916" si="6908">LEFT(A6916, LEN(A6916) - 1)</f>
        <v>&gt;3456:TCCTTT:0.00:33.33:OK:6:1733.16</v>
      </c>
    </row>
    <row r="6917" spans="1:6" x14ac:dyDescent="0.3">
      <c r="A6917" t="s">
        <v>3462</v>
      </c>
      <c r="F6917" t="str">
        <f t="shared" ref="F6917" si="6909">A6917</f>
        <v>TCCTTT</v>
      </c>
    </row>
    <row r="6918" spans="1:6" x14ac:dyDescent="0.3">
      <c r="A6918" t="s">
        <v>7559</v>
      </c>
      <c r="F6918" t="str">
        <f t="shared" ref="F6918" si="6910">LEFT(A6918, LEN(A6918) - 1)</f>
        <v>&gt;3457:TCGAAA:24.00:33.33:OK:6:1800.25</v>
      </c>
    </row>
    <row r="6919" spans="1:6" x14ac:dyDescent="0.3">
      <c r="A6919" t="s">
        <v>3463</v>
      </c>
      <c r="F6919" t="str">
        <f t="shared" ref="F6919" si="6911">A6919</f>
        <v>TCGAAA</v>
      </c>
    </row>
    <row r="6920" spans="1:6" x14ac:dyDescent="0.3">
      <c r="A6920" t="s">
        <v>7560</v>
      </c>
      <c r="F6920" t="str">
        <f t="shared" ref="F6920" si="6912">LEFT(A6920, LEN(A6920) - 1)</f>
        <v>&gt;3458:TCGAAC:22.00:50.00:Warning:6:1776.22</v>
      </c>
    </row>
    <row r="6921" spans="1:6" x14ac:dyDescent="0.3">
      <c r="A6921" t="s">
        <v>3464</v>
      </c>
      <c r="F6921" t="str">
        <f t="shared" ref="F6921" si="6913">A6921</f>
        <v>TCGAAC</v>
      </c>
    </row>
    <row r="6922" spans="1:6" x14ac:dyDescent="0.3">
      <c r="A6922" t="s">
        <v>7561</v>
      </c>
      <c r="F6922" t="str">
        <f t="shared" ref="F6922" si="6914">LEFT(A6922, LEN(A6922) - 1)</f>
        <v>&gt;3459:TCGAAG:22.00:50.00:Warning:6:1816.25</v>
      </c>
    </row>
    <row r="6923" spans="1:6" x14ac:dyDescent="0.3">
      <c r="A6923" t="s">
        <v>3465</v>
      </c>
      <c r="F6923" t="str">
        <f t="shared" ref="F6923" si="6915">A6923</f>
        <v>TCGAAG</v>
      </c>
    </row>
    <row r="6924" spans="1:6" x14ac:dyDescent="0.3">
      <c r="A6924" t="s">
        <v>7562</v>
      </c>
      <c r="F6924" t="str">
        <f t="shared" ref="F6924" si="6916">LEFT(A6924, LEN(A6924) - 1)</f>
        <v>&gt;3460:TCGAAT:16.00:33.33:OK:6:1791.23</v>
      </c>
    </row>
    <row r="6925" spans="1:6" x14ac:dyDescent="0.3">
      <c r="A6925" t="s">
        <v>3466</v>
      </c>
      <c r="F6925" t="str">
        <f t="shared" ref="F6925" si="6917">A6925</f>
        <v>TCGAAT</v>
      </c>
    </row>
    <row r="6926" spans="1:6" x14ac:dyDescent="0.3">
      <c r="A6926" t="s">
        <v>7563</v>
      </c>
      <c r="F6926" t="str">
        <f t="shared" ref="F6926" si="6918">LEFT(A6926, LEN(A6926) - 1)</f>
        <v>&gt;3461:TCGACA:22.00:50.00:Warning:6:1776.22</v>
      </c>
    </row>
    <row r="6927" spans="1:6" x14ac:dyDescent="0.3">
      <c r="A6927" t="s">
        <v>3467</v>
      </c>
      <c r="F6927" t="str">
        <f t="shared" ref="F6927" si="6919">A6927</f>
        <v>TCGACA</v>
      </c>
    </row>
    <row r="6928" spans="1:6" x14ac:dyDescent="0.3">
      <c r="A6928" t="s">
        <v>7564</v>
      </c>
      <c r="F6928" t="str">
        <f t="shared" ref="F6928" si="6920">LEFT(A6928, LEN(A6928) - 1)</f>
        <v>&gt;3462:TCGACC:20.00:66.67:Warning:6:1752.19</v>
      </c>
    </row>
    <row r="6929" spans="1:6" x14ac:dyDescent="0.3">
      <c r="A6929" t="s">
        <v>3468</v>
      </c>
      <c r="F6929" t="str">
        <f t="shared" ref="F6929" si="6921">A6929</f>
        <v>TCGACC</v>
      </c>
    </row>
    <row r="6930" spans="1:6" x14ac:dyDescent="0.3">
      <c r="A6930" t="s">
        <v>7565</v>
      </c>
      <c r="F6930" t="str">
        <f t="shared" ref="F6930" si="6922">LEFT(A6930, LEN(A6930) - 1)</f>
        <v>&gt;3463:TCGACG:20.00:66.67:Warning:6:1792.22</v>
      </c>
    </row>
    <row r="6931" spans="1:6" x14ac:dyDescent="0.3">
      <c r="A6931" t="s">
        <v>3469</v>
      </c>
      <c r="F6931" t="str">
        <f t="shared" ref="F6931" si="6923">A6931</f>
        <v>TCGACG</v>
      </c>
    </row>
    <row r="6932" spans="1:6" x14ac:dyDescent="0.3">
      <c r="A6932" t="s">
        <v>7566</v>
      </c>
      <c r="F6932" t="str">
        <f t="shared" ref="F6932" si="6924">LEFT(A6932, LEN(A6932) - 1)</f>
        <v>&gt;3464:TCGACT:14.00:50.00:Warning:6:1767.20</v>
      </c>
    </row>
    <row r="6933" spans="1:6" x14ac:dyDescent="0.3">
      <c r="A6933" t="s">
        <v>3470</v>
      </c>
      <c r="F6933" t="str">
        <f t="shared" ref="F6933" si="6925">A6933</f>
        <v>TCGACT</v>
      </c>
    </row>
    <row r="6934" spans="1:6" x14ac:dyDescent="0.3">
      <c r="A6934" t="s">
        <v>7567</v>
      </c>
      <c r="F6934" t="str">
        <f t="shared" ref="F6934" si="6926">LEFT(A6934, LEN(A6934) - 1)</f>
        <v>&gt;3465:TCGAGA:22.00:50.00:Warning:6:1816.25</v>
      </c>
    </row>
    <row r="6935" spans="1:6" x14ac:dyDescent="0.3">
      <c r="A6935" t="s">
        <v>3471</v>
      </c>
      <c r="F6935" t="str">
        <f t="shared" ref="F6935" si="6927">A6935</f>
        <v>TCGAGA</v>
      </c>
    </row>
    <row r="6936" spans="1:6" x14ac:dyDescent="0.3">
      <c r="A6936" t="s">
        <v>7568</v>
      </c>
      <c r="F6936" t="str">
        <f t="shared" ref="F6936" si="6928">LEFT(A6936, LEN(A6936) - 1)</f>
        <v>&gt;3466:TCGAGC:20.00:66.67:Warning:6:1792.22</v>
      </c>
    </row>
    <row r="6937" spans="1:6" x14ac:dyDescent="0.3">
      <c r="A6937" t="s">
        <v>3472</v>
      </c>
      <c r="F6937" t="str">
        <f t="shared" ref="F6937" si="6929">A6937</f>
        <v>TCGAGC</v>
      </c>
    </row>
    <row r="6938" spans="1:6" x14ac:dyDescent="0.3">
      <c r="A6938" t="s">
        <v>7569</v>
      </c>
      <c r="F6938" t="str">
        <f t="shared" ref="F6938" si="6930">LEFT(A6938, LEN(A6938) - 1)</f>
        <v>&gt;3467:TCGAGG:20.00:66.67:Warning:6:1832.25</v>
      </c>
    </row>
    <row r="6939" spans="1:6" x14ac:dyDescent="0.3">
      <c r="A6939" t="s">
        <v>3473</v>
      </c>
      <c r="F6939" t="str">
        <f t="shared" ref="F6939" si="6931">A6939</f>
        <v>TCGAGG</v>
      </c>
    </row>
    <row r="6940" spans="1:6" x14ac:dyDescent="0.3">
      <c r="A6940" t="s">
        <v>7570</v>
      </c>
      <c r="F6940" t="str">
        <f t="shared" ref="F6940" si="6932">LEFT(A6940, LEN(A6940) - 1)</f>
        <v>&gt;3468:TCGAGT:14.00:50.00:Warning:6:1807.23</v>
      </c>
    </row>
    <row r="6941" spans="1:6" x14ac:dyDescent="0.3">
      <c r="A6941" t="s">
        <v>3474</v>
      </c>
      <c r="F6941" t="str">
        <f t="shared" ref="F6941" si="6933">A6941</f>
        <v>TCGAGT</v>
      </c>
    </row>
    <row r="6942" spans="1:6" x14ac:dyDescent="0.3">
      <c r="A6942" t="s">
        <v>7571</v>
      </c>
      <c r="F6942" t="str">
        <f t="shared" ref="F6942" si="6934">LEFT(A6942, LEN(A6942) - 1)</f>
        <v>&gt;3469:TCGATA:16.00:33.33:OK:6:1791.23</v>
      </c>
    </row>
    <row r="6943" spans="1:6" x14ac:dyDescent="0.3">
      <c r="A6943" t="s">
        <v>3475</v>
      </c>
      <c r="F6943" t="str">
        <f t="shared" ref="F6943" si="6935">A6943</f>
        <v>TCGATA</v>
      </c>
    </row>
    <row r="6944" spans="1:6" x14ac:dyDescent="0.3">
      <c r="A6944" t="s">
        <v>7572</v>
      </c>
      <c r="F6944" t="str">
        <f t="shared" ref="F6944" si="6936">LEFT(A6944, LEN(A6944) - 1)</f>
        <v>&gt;3470:TCGATC:14.00:50.00:Warning:6:1767.20</v>
      </c>
    </row>
    <row r="6945" spans="1:6" x14ac:dyDescent="0.3">
      <c r="A6945" t="s">
        <v>3476</v>
      </c>
      <c r="F6945" t="str">
        <f t="shared" ref="F6945" si="6937">A6945</f>
        <v>TCGATC</v>
      </c>
    </row>
    <row r="6946" spans="1:6" x14ac:dyDescent="0.3">
      <c r="A6946" t="s">
        <v>7573</v>
      </c>
      <c r="F6946" t="str">
        <f t="shared" ref="F6946" si="6938">LEFT(A6946, LEN(A6946) - 1)</f>
        <v>&gt;3471:TCGATG:14.00:50.00:Warning:6:1807.23</v>
      </c>
    </row>
    <row r="6947" spans="1:6" x14ac:dyDescent="0.3">
      <c r="A6947" t="s">
        <v>3477</v>
      </c>
      <c r="F6947" t="str">
        <f t="shared" ref="F6947" si="6939">A6947</f>
        <v>TCGATG</v>
      </c>
    </row>
    <row r="6948" spans="1:6" x14ac:dyDescent="0.3">
      <c r="A6948" t="s">
        <v>7574</v>
      </c>
      <c r="F6948" t="str">
        <f t="shared" ref="F6948" si="6940">LEFT(A6948, LEN(A6948) - 1)</f>
        <v>&gt;3472:TCGATT:8.00:33.33:OK:6:1782.21</v>
      </c>
    </row>
    <row r="6949" spans="1:6" x14ac:dyDescent="0.3">
      <c r="A6949" t="s">
        <v>3478</v>
      </c>
      <c r="F6949" t="str">
        <f t="shared" ref="F6949" si="6941">A6949</f>
        <v>TCGATT</v>
      </c>
    </row>
    <row r="6950" spans="1:6" x14ac:dyDescent="0.3">
      <c r="A6950" t="s">
        <v>7575</v>
      </c>
      <c r="F6950" t="str">
        <f t="shared" ref="F6950" si="6942">LEFT(A6950, LEN(A6950) - 1)</f>
        <v>&gt;3473:TCGCAA:22.00:50.00:Warning:6:1776.22</v>
      </c>
    </row>
    <row r="6951" spans="1:6" x14ac:dyDescent="0.3">
      <c r="A6951" t="s">
        <v>3479</v>
      </c>
      <c r="F6951" t="str">
        <f t="shared" ref="F6951" si="6943">A6951</f>
        <v>TCGCAA</v>
      </c>
    </row>
    <row r="6952" spans="1:6" x14ac:dyDescent="0.3">
      <c r="A6952" t="s">
        <v>7576</v>
      </c>
      <c r="F6952" t="str">
        <f t="shared" ref="F6952" si="6944">LEFT(A6952, LEN(A6952) - 1)</f>
        <v>&gt;3474:TCGCAC:20.00:66.67:Warning:6:1752.19</v>
      </c>
    </row>
    <row r="6953" spans="1:6" x14ac:dyDescent="0.3">
      <c r="A6953" t="s">
        <v>3480</v>
      </c>
      <c r="F6953" t="str">
        <f t="shared" ref="F6953" si="6945">A6953</f>
        <v>TCGCAC</v>
      </c>
    </row>
    <row r="6954" spans="1:6" x14ac:dyDescent="0.3">
      <c r="A6954" t="s">
        <v>7577</v>
      </c>
      <c r="F6954" t="str">
        <f t="shared" ref="F6954" si="6946">LEFT(A6954, LEN(A6954) - 1)</f>
        <v>&gt;3475:TCGCAG:20.00:66.67:Warning:6:1792.22</v>
      </c>
    </row>
    <row r="6955" spans="1:6" x14ac:dyDescent="0.3">
      <c r="A6955" t="s">
        <v>3481</v>
      </c>
      <c r="F6955" t="str">
        <f t="shared" ref="F6955" si="6947">A6955</f>
        <v>TCGCAG</v>
      </c>
    </row>
    <row r="6956" spans="1:6" x14ac:dyDescent="0.3">
      <c r="A6956" t="s">
        <v>7578</v>
      </c>
      <c r="F6956" t="str">
        <f t="shared" ref="F6956" si="6948">LEFT(A6956, LEN(A6956) - 1)</f>
        <v>&gt;3476:TCGCAT:14.00:50.00:Warning:6:1767.20</v>
      </c>
    </row>
    <row r="6957" spans="1:6" x14ac:dyDescent="0.3">
      <c r="A6957" t="s">
        <v>3482</v>
      </c>
      <c r="F6957" t="str">
        <f t="shared" ref="F6957" si="6949">A6957</f>
        <v>TCGCAT</v>
      </c>
    </row>
    <row r="6958" spans="1:6" x14ac:dyDescent="0.3">
      <c r="A6958" t="s">
        <v>7579</v>
      </c>
      <c r="F6958" t="str">
        <f t="shared" ref="F6958" si="6950">LEFT(A6958, LEN(A6958) - 1)</f>
        <v>&gt;3477:TCGCCA:20.00:66.67:Warning:6:1752.19</v>
      </c>
    </row>
    <row r="6959" spans="1:6" x14ac:dyDescent="0.3">
      <c r="A6959" t="s">
        <v>3483</v>
      </c>
      <c r="F6959" t="str">
        <f t="shared" ref="F6959" si="6951">A6959</f>
        <v>TCGCCA</v>
      </c>
    </row>
    <row r="6960" spans="1:6" x14ac:dyDescent="0.3">
      <c r="A6960" t="s">
        <v>7580</v>
      </c>
      <c r="F6960" t="str">
        <f t="shared" ref="F6960" si="6952">LEFT(A6960, LEN(A6960) - 1)</f>
        <v>&gt;3478:TCGCCC:18.00:83.33:Warning:6:1728.16</v>
      </c>
    </row>
    <row r="6961" spans="1:6" x14ac:dyDescent="0.3">
      <c r="A6961" t="s">
        <v>3484</v>
      </c>
      <c r="F6961" t="str">
        <f t="shared" ref="F6961" si="6953">A6961</f>
        <v>TCGCCC</v>
      </c>
    </row>
    <row r="6962" spans="1:6" x14ac:dyDescent="0.3">
      <c r="A6962" t="s">
        <v>7581</v>
      </c>
      <c r="F6962" t="str">
        <f t="shared" ref="F6962" si="6954">LEFT(A6962, LEN(A6962) - 1)</f>
        <v>&gt;3479:TCGCCG:18.00:83.33:Warning:6:1768.19</v>
      </c>
    </row>
    <row r="6963" spans="1:6" x14ac:dyDescent="0.3">
      <c r="A6963" t="s">
        <v>3485</v>
      </c>
      <c r="F6963" t="str">
        <f t="shared" ref="F6963" si="6955">A6963</f>
        <v>TCGCCG</v>
      </c>
    </row>
    <row r="6964" spans="1:6" x14ac:dyDescent="0.3">
      <c r="A6964" t="s">
        <v>7582</v>
      </c>
      <c r="F6964" t="str">
        <f t="shared" ref="F6964" si="6956">LEFT(A6964, LEN(A6964) - 1)</f>
        <v>&gt;3480:TCGCCT:12.00:66.67:Warning:6:1743.17</v>
      </c>
    </row>
    <row r="6965" spans="1:6" x14ac:dyDescent="0.3">
      <c r="A6965" t="s">
        <v>3486</v>
      </c>
      <c r="F6965" t="str">
        <f t="shared" ref="F6965" si="6957">A6965</f>
        <v>TCGCCT</v>
      </c>
    </row>
    <row r="6966" spans="1:6" x14ac:dyDescent="0.3">
      <c r="A6966" t="s">
        <v>7583</v>
      </c>
      <c r="F6966" t="str">
        <f t="shared" ref="F6966" si="6958">LEFT(A6966, LEN(A6966) - 1)</f>
        <v>&gt;3481:TCGCGA:20.00:66.67:Warning:6:1792.22</v>
      </c>
    </row>
    <row r="6967" spans="1:6" x14ac:dyDescent="0.3">
      <c r="A6967" t="s">
        <v>3487</v>
      </c>
      <c r="F6967" t="str">
        <f t="shared" ref="F6967" si="6959">A6967</f>
        <v>TCGCGA</v>
      </c>
    </row>
    <row r="6968" spans="1:6" x14ac:dyDescent="0.3">
      <c r="A6968" t="s">
        <v>7584</v>
      </c>
      <c r="F6968" t="str">
        <f t="shared" ref="F6968" si="6960">LEFT(A6968, LEN(A6968) - 1)</f>
        <v>&gt;3482:TCGCGC:18.00:83.33:Warning:6:1768.19</v>
      </c>
    </row>
    <row r="6969" spans="1:6" x14ac:dyDescent="0.3">
      <c r="A6969" t="s">
        <v>3488</v>
      </c>
      <c r="F6969" t="str">
        <f t="shared" ref="F6969" si="6961">A6969</f>
        <v>TCGCGC</v>
      </c>
    </row>
    <row r="6970" spans="1:6" x14ac:dyDescent="0.3">
      <c r="A6970" t="s">
        <v>7585</v>
      </c>
      <c r="F6970" t="str">
        <f t="shared" ref="F6970" si="6962">LEFT(A6970, LEN(A6970) - 1)</f>
        <v>&gt;3483:TCGCGG:18.00:83.33:Warning:6:1808.22</v>
      </c>
    </row>
    <row r="6971" spans="1:6" x14ac:dyDescent="0.3">
      <c r="A6971" t="s">
        <v>3489</v>
      </c>
      <c r="F6971" t="str">
        <f t="shared" ref="F6971" si="6963">A6971</f>
        <v>TCGCGG</v>
      </c>
    </row>
    <row r="6972" spans="1:6" x14ac:dyDescent="0.3">
      <c r="A6972" t="s">
        <v>7586</v>
      </c>
      <c r="F6972" t="str">
        <f t="shared" ref="F6972" si="6964">LEFT(A6972, LEN(A6972) - 1)</f>
        <v>&gt;3484:TCGCGT:12.00:66.67:Warning:6:1783.20</v>
      </c>
    </row>
    <row r="6973" spans="1:6" x14ac:dyDescent="0.3">
      <c r="A6973" t="s">
        <v>3490</v>
      </c>
      <c r="F6973" t="str">
        <f t="shared" ref="F6973" si="6965">A6973</f>
        <v>TCGCGT</v>
      </c>
    </row>
    <row r="6974" spans="1:6" x14ac:dyDescent="0.3">
      <c r="A6974" t="s">
        <v>7587</v>
      </c>
      <c r="F6974" t="str">
        <f t="shared" ref="F6974" si="6966">LEFT(A6974, LEN(A6974) - 1)</f>
        <v>&gt;3485:TCGCTA:14.00:50.00:Warning:6:1767.20</v>
      </c>
    </row>
    <row r="6975" spans="1:6" x14ac:dyDescent="0.3">
      <c r="A6975" t="s">
        <v>3491</v>
      </c>
      <c r="F6975" t="str">
        <f t="shared" ref="F6975" si="6967">A6975</f>
        <v>TCGCTA</v>
      </c>
    </row>
    <row r="6976" spans="1:6" x14ac:dyDescent="0.3">
      <c r="A6976" t="s">
        <v>7588</v>
      </c>
      <c r="F6976" t="str">
        <f t="shared" ref="F6976" si="6968">LEFT(A6976, LEN(A6976) - 1)</f>
        <v>&gt;3486:TCGCTC:12.00:66.67:Warning:6:1743.17</v>
      </c>
    </row>
    <row r="6977" spans="1:6" x14ac:dyDescent="0.3">
      <c r="A6977" t="s">
        <v>3492</v>
      </c>
      <c r="F6977" t="str">
        <f t="shared" ref="F6977" si="6969">A6977</f>
        <v>TCGCTC</v>
      </c>
    </row>
    <row r="6978" spans="1:6" x14ac:dyDescent="0.3">
      <c r="A6978" t="s">
        <v>7589</v>
      </c>
      <c r="F6978" t="str">
        <f t="shared" ref="F6978" si="6970">LEFT(A6978, LEN(A6978) - 1)</f>
        <v>&gt;3487:TCGCTG:12.00:66.67:Warning:6:1783.20</v>
      </c>
    </row>
    <row r="6979" spans="1:6" x14ac:dyDescent="0.3">
      <c r="A6979" t="s">
        <v>3493</v>
      </c>
      <c r="F6979" t="str">
        <f t="shared" ref="F6979" si="6971">A6979</f>
        <v>TCGCTG</v>
      </c>
    </row>
    <row r="6980" spans="1:6" x14ac:dyDescent="0.3">
      <c r="A6980" t="s">
        <v>7590</v>
      </c>
      <c r="F6980" t="str">
        <f t="shared" ref="F6980" si="6972">LEFT(A6980, LEN(A6980) - 1)</f>
        <v>&gt;3488:TCGCTT:6.00:50.00:Warning:6:1758.18</v>
      </c>
    </row>
    <row r="6981" spans="1:6" x14ac:dyDescent="0.3">
      <c r="A6981" t="s">
        <v>3494</v>
      </c>
      <c r="F6981" t="str">
        <f t="shared" ref="F6981" si="6973">A6981</f>
        <v>TCGCTT</v>
      </c>
    </row>
    <row r="6982" spans="1:6" x14ac:dyDescent="0.3">
      <c r="A6982" t="s">
        <v>7591</v>
      </c>
      <c r="F6982" t="str">
        <f t="shared" ref="F6982" si="6974">LEFT(A6982, LEN(A6982) - 1)</f>
        <v>&gt;3489:TCGGAA:22.00:50.00:Warning:6:1816.25</v>
      </c>
    </row>
    <row r="6983" spans="1:6" x14ac:dyDescent="0.3">
      <c r="A6983" t="s">
        <v>3495</v>
      </c>
      <c r="F6983" t="str">
        <f t="shared" ref="F6983" si="6975">A6983</f>
        <v>TCGGAA</v>
      </c>
    </row>
    <row r="6984" spans="1:6" x14ac:dyDescent="0.3">
      <c r="A6984" t="s">
        <v>7592</v>
      </c>
      <c r="F6984" t="str">
        <f t="shared" ref="F6984" si="6976">LEFT(A6984, LEN(A6984) - 1)</f>
        <v>&gt;3490:TCGGAC:20.00:66.67:Warning:6:1792.22</v>
      </c>
    </row>
    <row r="6985" spans="1:6" x14ac:dyDescent="0.3">
      <c r="A6985" t="s">
        <v>3496</v>
      </c>
      <c r="F6985" t="str">
        <f t="shared" ref="F6985" si="6977">A6985</f>
        <v>TCGGAC</v>
      </c>
    </row>
    <row r="6986" spans="1:6" x14ac:dyDescent="0.3">
      <c r="A6986" t="s">
        <v>7593</v>
      </c>
      <c r="F6986" t="str">
        <f t="shared" ref="F6986" si="6978">LEFT(A6986, LEN(A6986) - 1)</f>
        <v>&gt;3491:TCGGAG:20.00:66.67:Warning:6:1832.25</v>
      </c>
    </row>
    <row r="6987" spans="1:6" x14ac:dyDescent="0.3">
      <c r="A6987" t="s">
        <v>3497</v>
      </c>
      <c r="F6987" t="str">
        <f t="shared" ref="F6987" si="6979">A6987</f>
        <v>TCGGAG</v>
      </c>
    </row>
    <row r="6988" spans="1:6" x14ac:dyDescent="0.3">
      <c r="A6988" t="s">
        <v>7594</v>
      </c>
      <c r="F6988" t="str">
        <f t="shared" ref="F6988" si="6980">LEFT(A6988, LEN(A6988) - 1)</f>
        <v>&gt;3492:TCGGAT:14.00:50.00:Warning:6:1807.23</v>
      </c>
    </row>
    <row r="6989" spans="1:6" x14ac:dyDescent="0.3">
      <c r="A6989" t="s">
        <v>3498</v>
      </c>
      <c r="F6989" t="str">
        <f t="shared" ref="F6989" si="6981">A6989</f>
        <v>TCGGAT</v>
      </c>
    </row>
    <row r="6990" spans="1:6" x14ac:dyDescent="0.3">
      <c r="A6990" t="s">
        <v>7595</v>
      </c>
      <c r="F6990" t="str">
        <f t="shared" ref="F6990" si="6982">LEFT(A6990, LEN(A6990) - 1)</f>
        <v>&gt;3493:TCGGCA:20.00:66.67:Warning:6:1792.22</v>
      </c>
    </row>
    <row r="6991" spans="1:6" x14ac:dyDescent="0.3">
      <c r="A6991" t="s">
        <v>3499</v>
      </c>
      <c r="F6991" t="str">
        <f t="shared" ref="F6991" si="6983">A6991</f>
        <v>TCGGCA</v>
      </c>
    </row>
    <row r="6992" spans="1:6" x14ac:dyDescent="0.3">
      <c r="A6992" t="s">
        <v>7596</v>
      </c>
      <c r="F6992" t="str">
        <f t="shared" ref="F6992" si="6984">LEFT(A6992, LEN(A6992) - 1)</f>
        <v>&gt;3494:TCGGCC:18.00:83.33:Warning:6:1768.19</v>
      </c>
    </row>
    <row r="6993" spans="1:6" x14ac:dyDescent="0.3">
      <c r="A6993" t="s">
        <v>3500</v>
      </c>
      <c r="F6993" t="str">
        <f t="shared" ref="F6993" si="6985">A6993</f>
        <v>TCGGCC</v>
      </c>
    </row>
    <row r="6994" spans="1:6" x14ac:dyDescent="0.3">
      <c r="A6994" t="s">
        <v>7597</v>
      </c>
      <c r="F6994" t="str">
        <f t="shared" ref="F6994" si="6986">LEFT(A6994, LEN(A6994) - 1)</f>
        <v>&gt;3495:TCGGCG:18.00:83.33:Warning:6:1808.22</v>
      </c>
    </row>
    <row r="6995" spans="1:6" x14ac:dyDescent="0.3">
      <c r="A6995" t="s">
        <v>3501</v>
      </c>
      <c r="F6995" t="str">
        <f t="shared" ref="F6995" si="6987">A6995</f>
        <v>TCGGCG</v>
      </c>
    </row>
    <row r="6996" spans="1:6" x14ac:dyDescent="0.3">
      <c r="A6996" t="s">
        <v>7598</v>
      </c>
      <c r="F6996" t="str">
        <f t="shared" ref="F6996" si="6988">LEFT(A6996, LEN(A6996) - 1)</f>
        <v>&gt;3496:TCGGCT:12.00:66.67:Warning:6:1783.20</v>
      </c>
    </row>
    <row r="6997" spans="1:6" x14ac:dyDescent="0.3">
      <c r="A6997" t="s">
        <v>3502</v>
      </c>
      <c r="F6997" t="str">
        <f t="shared" ref="F6997" si="6989">A6997</f>
        <v>TCGGCT</v>
      </c>
    </row>
    <row r="6998" spans="1:6" x14ac:dyDescent="0.3">
      <c r="A6998" t="s">
        <v>7599</v>
      </c>
      <c r="F6998" t="str">
        <f t="shared" ref="F6998" si="6990">LEFT(A6998, LEN(A6998) - 1)</f>
        <v>&gt;3497:TCGGGA:20.00:66.67:Warning:6:1832.25</v>
      </c>
    </row>
    <row r="6999" spans="1:6" x14ac:dyDescent="0.3">
      <c r="A6999" t="s">
        <v>3503</v>
      </c>
      <c r="F6999" t="str">
        <f t="shared" ref="F6999" si="6991">A6999</f>
        <v>TCGGGA</v>
      </c>
    </row>
    <row r="7000" spans="1:6" x14ac:dyDescent="0.3">
      <c r="A7000" t="s">
        <v>7600</v>
      </c>
      <c r="F7000" t="str">
        <f t="shared" ref="F7000" si="6992">LEFT(A7000, LEN(A7000) - 1)</f>
        <v>&gt;3498:TCGGGC:18.00:83.33:Warning:6:1808.22</v>
      </c>
    </row>
    <row r="7001" spans="1:6" x14ac:dyDescent="0.3">
      <c r="A7001" t="s">
        <v>3504</v>
      </c>
      <c r="F7001" t="str">
        <f t="shared" ref="F7001" si="6993">A7001</f>
        <v>TCGGGC</v>
      </c>
    </row>
    <row r="7002" spans="1:6" x14ac:dyDescent="0.3">
      <c r="A7002" t="s">
        <v>7601</v>
      </c>
      <c r="F7002" t="str">
        <f t="shared" ref="F7002" si="6994">LEFT(A7002, LEN(A7002) - 1)</f>
        <v>&gt;3499:TCGGGG:18.00:83.33:Warning:6:1848.25</v>
      </c>
    </row>
    <row r="7003" spans="1:6" x14ac:dyDescent="0.3">
      <c r="A7003" t="s">
        <v>3505</v>
      </c>
      <c r="F7003" t="str">
        <f t="shared" ref="F7003" si="6995">A7003</f>
        <v>TCGGGG</v>
      </c>
    </row>
    <row r="7004" spans="1:6" x14ac:dyDescent="0.3">
      <c r="A7004" t="s">
        <v>7602</v>
      </c>
      <c r="F7004" t="str">
        <f t="shared" ref="F7004" si="6996">LEFT(A7004, LEN(A7004) - 1)</f>
        <v>&gt;3500:TCGGGT:12.00:66.67:Warning:6:1823.23</v>
      </c>
    </row>
    <row r="7005" spans="1:6" x14ac:dyDescent="0.3">
      <c r="A7005" t="s">
        <v>3506</v>
      </c>
      <c r="F7005" t="str">
        <f t="shared" ref="F7005" si="6997">A7005</f>
        <v>TCGGGT</v>
      </c>
    </row>
    <row r="7006" spans="1:6" x14ac:dyDescent="0.3">
      <c r="A7006" t="s">
        <v>7603</v>
      </c>
      <c r="F7006" t="str">
        <f t="shared" ref="F7006" si="6998">LEFT(A7006, LEN(A7006) - 1)</f>
        <v>&gt;3501:TCGGTA:14.00:50.00:Warning:6:1807.23</v>
      </c>
    </row>
    <row r="7007" spans="1:6" x14ac:dyDescent="0.3">
      <c r="A7007" t="s">
        <v>3507</v>
      </c>
      <c r="F7007" t="str">
        <f t="shared" ref="F7007" si="6999">A7007</f>
        <v>TCGGTA</v>
      </c>
    </row>
    <row r="7008" spans="1:6" x14ac:dyDescent="0.3">
      <c r="A7008" t="s">
        <v>7604</v>
      </c>
      <c r="F7008" t="str">
        <f t="shared" ref="F7008" si="7000">LEFT(A7008, LEN(A7008) - 1)</f>
        <v>&gt;3502:TCGGTC:12.00:66.67:Warning:6:1783.20</v>
      </c>
    </row>
    <row r="7009" spans="1:6" x14ac:dyDescent="0.3">
      <c r="A7009" t="s">
        <v>3508</v>
      </c>
      <c r="F7009" t="str">
        <f t="shared" ref="F7009" si="7001">A7009</f>
        <v>TCGGTC</v>
      </c>
    </row>
    <row r="7010" spans="1:6" x14ac:dyDescent="0.3">
      <c r="A7010" t="s">
        <v>7605</v>
      </c>
      <c r="F7010" t="str">
        <f t="shared" ref="F7010" si="7002">LEFT(A7010, LEN(A7010) - 1)</f>
        <v>&gt;3503:TCGGTG:12.00:66.67:Warning:6:1823.23</v>
      </c>
    </row>
    <row r="7011" spans="1:6" x14ac:dyDescent="0.3">
      <c r="A7011" t="s">
        <v>3509</v>
      </c>
      <c r="F7011" t="str">
        <f t="shared" ref="F7011" si="7003">A7011</f>
        <v>TCGGTG</v>
      </c>
    </row>
    <row r="7012" spans="1:6" x14ac:dyDescent="0.3">
      <c r="A7012" t="s">
        <v>7606</v>
      </c>
      <c r="F7012" t="str">
        <f t="shared" ref="F7012" si="7004">LEFT(A7012, LEN(A7012) - 1)</f>
        <v>&gt;3504:TCGGTT:6.00:50.00:Warning:6:1798.21</v>
      </c>
    </row>
    <row r="7013" spans="1:6" x14ac:dyDescent="0.3">
      <c r="A7013" t="s">
        <v>3510</v>
      </c>
      <c r="F7013" t="str">
        <f t="shared" ref="F7013" si="7005">A7013</f>
        <v>TCGGTT</v>
      </c>
    </row>
    <row r="7014" spans="1:6" x14ac:dyDescent="0.3">
      <c r="A7014" t="s">
        <v>7607</v>
      </c>
      <c r="F7014" t="str">
        <f t="shared" ref="F7014" si="7006">LEFT(A7014, LEN(A7014) - 1)</f>
        <v>&gt;3505:TCGTAA:16.00:33.33:OK:6:1791.23</v>
      </c>
    </row>
    <row r="7015" spans="1:6" x14ac:dyDescent="0.3">
      <c r="A7015" t="s">
        <v>3511</v>
      </c>
      <c r="F7015" t="str">
        <f t="shared" ref="F7015" si="7007">A7015</f>
        <v>TCGTAA</v>
      </c>
    </row>
    <row r="7016" spans="1:6" x14ac:dyDescent="0.3">
      <c r="A7016" t="s">
        <v>7608</v>
      </c>
      <c r="F7016" t="str">
        <f t="shared" ref="F7016" si="7008">LEFT(A7016, LEN(A7016) - 1)</f>
        <v>&gt;3506:TCGTAC:14.00:50.00:Warning:6:1767.20</v>
      </c>
    </row>
    <row r="7017" spans="1:6" x14ac:dyDescent="0.3">
      <c r="A7017" t="s">
        <v>3512</v>
      </c>
      <c r="F7017" t="str">
        <f t="shared" ref="F7017" si="7009">A7017</f>
        <v>TCGTAC</v>
      </c>
    </row>
    <row r="7018" spans="1:6" x14ac:dyDescent="0.3">
      <c r="A7018" t="s">
        <v>7609</v>
      </c>
      <c r="F7018" t="str">
        <f t="shared" ref="F7018" si="7010">LEFT(A7018, LEN(A7018) - 1)</f>
        <v>&gt;3507:TCGTAG:14.00:50.00:Warning:6:1807.23</v>
      </c>
    </row>
    <row r="7019" spans="1:6" x14ac:dyDescent="0.3">
      <c r="A7019" t="s">
        <v>3513</v>
      </c>
      <c r="F7019" t="str">
        <f t="shared" ref="F7019" si="7011">A7019</f>
        <v>TCGTAG</v>
      </c>
    </row>
    <row r="7020" spans="1:6" x14ac:dyDescent="0.3">
      <c r="A7020" t="s">
        <v>7610</v>
      </c>
      <c r="F7020" t="str">
        <f t="shared" ref="F7020" si="7012">LEFT(A7020, LEN(A7020) - 1)</f>
        <v>&gt;3508:TCGTAT:8.00:33.33:OK:6:1782.21</v>
      </c>
    </row>
    <row r="7021" spans="1:6" x14ac:dyDescent="0.3">
      <c r="A7021" t="s">
        <v>3514</v>
      </c>
      <c r="F7021" t="str">
        <f t="shared" ref="F7021" si="7013">A7021</f>
        <v>TCGTAT</v>
      </c>
    </row>
    <row r="7022" spans="1:6" x14ac:dyDescent="0.3">
      <c r="A7022" t="s">
        <v>7611</v>
      </c>
      <c r="F7022" t="str">
        <f t="shared" ref="F7022" si="7014">LEFT(A7022, LEN(A7022) - 1)</f>
        <v>&gt;3509:TCGTCA:14.00:50.00:Warning:6:1767.20</v>
      </c>
    </row>
    <row r="7023" spans="1:6" x14ac:dyDescent="0.3">
      <c r="A7023" t="s">
        <v>3515</v>
      </c>
      <c r="F7023" t="str">
        <f t="shared" ref="F7023" si="7015">A7023</f>
        <v>TCGTCA</v>
      </c>
    </row>
    <row r="7024" spans="1:6" x14ac:dyDescent="0.3">
      <c r="A7024" t="s">
        <v>7612</v>
      </c>
      <c r="F7024" t="str">
        <f t="shared" ref="F7024" si="7016">LEFT(A7024, LEN(A7024) - 1)</f>
        <v>&gt;3510:TCGTCC:12.00:66.67:Warning:6:1743.17</v>
      </c>
    </row>
    <row r="7025" spans="1:6" x14ac:dyDescent="0.3">
      <c r="A7025" t="s">
        <v>3516</v>
      </c>
      <c r="F7025" t="str">
        <f t="shared" ref="F7025" si="7017">A7025</f>
        <v>TCGTCC</v>
      </c>
    </row>
    <row r="7026" spans="1:6" x14ac:dyDescent="0.3">
      <c r="A7026" t="s">
        <v>7613</v>
      </c>
      <c r="F7026" t="str">
        <f t="shared" ref="F7026" si="7018">LEFT(A7026, LEN(A7026) - 1)</f>
        <v>&gt;3511:TCGTCG:12.00:66.67:Warning:6:1783.20</v>
      </c>
    </row>
    <row r="7027" spans="1:6" x14ac:dyDescent="0.3">
      <c r="A7027" t="s">
        <v>3517</v>
      </c>
      <c r="F7027" t="str">
        <f t="shared" ref="F7027" si="7019">A7027</f>
        <v>TCGTCG</v>
      </c>
    </row>
    <row r="7028" spans="1:6" x14ac:dyDescent="0.3">
      <c r="A7028" t="s">
        <v>7614</v>
      </c>
      <c r="F7028" t="str">
        <f t="shared" ref="F7028" si="7020">LEFT(A7028, LEN(A7028) - 1)</f>
        <v>&gt;3512:TCGTCT:6.00:50.00:Warning:6:1758.18</v>
      </c>
    </row>
    <row r="7029" spans="1:6" x14ac:dyDescent="0.3">
      <c r="A7029" t="s">
        <v>3518</v>
      </c>
      <c r="F7029" t="str">
        <f t="shared" ref="F7029" si="7021">A7029</f>
        <v>TCGTCT</v>
      </c>
    </row>
    <row r="7030" spans="1:6" x14ac:dyDescent="0.3">
      <c r="A7030" t="s">
        <v>7615</v>
      </c>
      <c r="F7030" t="str">
        <f t="shared" ref="F7030" si="7022">LEFT(A7030, LEN(A7030) - 1)</f>
        <v>&gt;3513:TCGTGA:14.00:50.00:Warning:6:1807.23</v>
      </c>
    </row>
    <row r="7031" spans="1:6" x14ac:dyDescent="0.3">
      <c r="A7031" t="s">
        <v>3519</v>
      </c>
      <c r="F7031" t="str">
        <f t="shared" ref="F7031" si="7023">A7031</f>
        <v>TCGTGA</v>
      </c>
    </row>
    <row r="7032" spans="1:6" x14ac:dyDescent="0.3">
      <c r="A7032" t="s">
        <v>7616</v>
      </c>
      <c r="F7032" t="str">
        <f t="shared" ref="F7032" si="7024">LEFT(A7032, LEN(A7032) - 1)</f>
        <v>&gt;3514:TCGTGC:12.00:66.67:Warning:6:1783.20</v>
      </c>
    </row>
    <row r="7033" spans="1:6" x14ac:dyDescent="0.3">
      <c r="A7033" t="s">
        <v>3520</v>
      </c>
      <c r="F7033" t="str">
        <f t="shared" ref="F7033" si="7025">A7033</f>
        <v>TCGTGC</v>
      </c>
    </row>
    <row r="7034" spans="1:6" x14ac:dyDescent="0.3">
      <c r="A7034" t="s">
        <v>7617</v>
      </c>
      <c r="F7034" t="str">
        <f t="shared" ref="F7034" si="7026">LEFT(A7034, LEN(A7034) - 1)</f>
        <v>&gt;3515:TCGTGG:12.00:66.67:Warning:6:1823.23</v>
      </c>
    </row>
    <row r="7035" spans="1:6" x14ac:dyDescent="0.3">
      <c r="A7035" t="s">
        <v>3521</v>
      </c>
      <c r="F7035" t="str">
        <f t="shared" ref="F7035" si="7027">A7035</f>
        <v>TCGTGG</v>
      </c>
    </row>
    <row r="7036" spans="1:6" x14ac:dyDescent="0.3">
      <c r="A7036" t="s">
        <v>7618</v>
      </c>
      <c r="F7036" t="str">
        <f t="shared" ref="F7036" si="7028">LEFT(A7036, LEN(A7036) - 1)</f>
        <v>&gt;3516:TCGTGT:6.00:50.00:Warning:6:1798.21</v>
      </c>
    </row>
    <row r="7037" spans="1:6" x14ac:dyDescent="0.3">
      <c r="A7037" t="s">
        <v>3522</v>
      </c>
      <c r="F7037" t="str">
        <f t="shared" ref="F7037" si="7029">A7037</f>
        <v>TCGTGT</v>
      </c>
    </row>
    <row r="7038" spans="1:6" x14ac:dyDescent="0.3">
      <c r="A7038" t="s">
        <v>7619</v>
      </c>
      <c r="F7038" t="str">
        <f t="shared" ref="F7038" si="7030">LEFT(A7038, LEN(A7038) - 1)</f>
        <v>&gt;3517:TCGTTA:8.00:33.33:OK:6:1782.21</v>
      </c>
    </row>
    <row r="7039" spans="1:6" x14ac:dyDescent="0.3">
      <c r="A7039" t="s">
        <v>3523</v>
      </c>
      <c r="F7039" t="str">
        <f t="shared" ref="F7039" si="7031">A7039</f>
        <v>TCGTTA</v>
      </c>
    </row>
    <row r="7040" spans="1:6" x14ac:dyDescent="0.3">
      <c r="A7040" t="s">
        <v>7620</v>
      </c>
      <c r="F7040" t="str">
        <f t="shared" ref="F7040" si="7032">LEFT(A7040, LEN(A7040) - 1)</f>
        <v>&gt;3518:TCGTTC:6.00:50.00:Warning:6:1758.18</v>
      </c>
    </row>
    <row r="7041" spans="1:6" x14ac:dyDescent="0.3">
      <c r="A7041" t="s">
        <v>3524</v>
      </c>
      <c r="F7041" t="str">
        <f t="shared" ref="F7041" si="7033">A7041</f>
        <v>TCGTTC</v>
      </c>
    </row>
    <row r="7042" spans="1:6" x14ac:dyDescent="0.3">
      <c r="A7042" t="s">
        <v>7621</v>
      </c>
      <c r="F7042" t="str">
        <f t="shared" ref="F7042" si="7034">LEFT(A7042, LEN(A7042) - 1)</f>
        <v>&gt;3519:TCGTTG:6.00:50.00:Warning:6:1798.21</v>
      </c>
    </row>
    <row r="7043" spans="1:6" x14ac:dyDescent="0.3">
      <c r="A7043" t="s">
        <v>3525</v>
      </c>
      <c r="F7043" t="str">
        <f t="shared" ref="F7043" si="7035">A7043</f>
        <v>TCGTTG</v>
      </c>
    </row>
    <row r="7044" spans="1:6" x14ac:dyDescent="0.3">
      <c r="A7044" t="s">
        <v>7622</v>
      </c>
      <c r="F7044" t="str">
        <f t="shared" ref="F7044" si="7036">LEFT(A7044, LEN(A7044) - 1)</f>
        <v>&gt;3520:TCGTTT:0.00:33.33:OK:6:1773.19</v>
      </c>
    </row>
    <row r="7045" spans="1:6" x14ac:dyDescent="0.3">
      <c r="A7045" t="s">
        <v>3526</v>
      </c>
      <c r="F7045" t="str">
        <f t="shared" ref="F7045" si="7037">A7045</f>
        <v>TCGTTT</v>
      </c>
    </row>
    <row r="7046" spans="1:6" x14ac:dyDescent="0.3">
      <c r="A7046" t="s">
        <v>7623</v>
      </c>
      <c r="F7046" t="str">
        <f t="shared" ref="F7046" si="7038">LEFT(A7046, LEN(A7046) - 1)</f>
        <v>&gt;3521:TCTAAA:18.00:16.67:OK:6:1775.23</v>
      </c>
    </row>
    <row r="7047" spans="1:6" x14ac:dyDescent="0.3">
      <c r="A7047" t="s">
        <v>3527</v>
      </c>
      <c r="F7047" t="str">
        <f t="shared" ref="F7047" si="7039">A7047</f>
        <v>TCTAAA</v>
      </c>
    </row>
    <row r="7048" spans="1:6" x14ac:dyDescent="0.3">
      <c r="A7048" t="s">
        <v>7624</v>
      </c>
      <c r="F7048" t="str">
        <f t="shared" ref="F7048" si="7040">LEFT(A7048, LEN(A7048) - 1)</f>
        <v>&gt;3522:TCTAAC:16.00:33.33:OK:6:1751.20</v>
      </c>
    </row>
    <row r="7049" spans="1:6" x14ac:dyDescent="0.3">
      <c r="A7049" t="s">
        <v>3528</v>
      </c>
      <c r="F7049" t="str">
        <f t="shared" ref="F7049" si="7041">A7049</f>
        <v>TCTAAC</v>
      </c>
    </row>
    <row r="7050" spans="1:6" x14ac:dyDescent="0.3">
      <c r="A7050" t="s">
        <v>7625</v>
      </c>
      <c r="F7050" t="str">
        <f t="shared" ref="F7050" si="7042">LEFT(A7050, LEN(A7050) - 1)</f>
        <v>&gt;3523:TCTAAG:16.00:33.33:OK:6:1791.23</v>
      </c>
    </row>
    <row r="7051" spans="1:6" x14ac:dyDescent="0.3">
      <c r="A7051" t="s">
        <v>3529</v>
      </c>
      <c r="F7051" t="str">
        <f t="shared" ref="F7051" si="7043">A7051</f>
        <v>TCTAAG</v>
      </c>
    </row>
    <row r="7052" spans="1:6" x14ac:dyDescent="0.3">
      <c r="A7052" t="s">
        <v>7626</v>
      </c>
      <c r="F7052" t="str">
        <f t="shared" ref="F7052" si="7044">LEFT(A7052, LEN(A7052) - 1)</f>
        <v>&gt;3524:TCTAAT:10.00:16.67:OK:6:1766.21</v>
      </c>
    </row>
    <row r="7053" spans="1:6" x14ac:dyDescent="0.3">
      <c r="A7053" t="s">
        <v>3530</v>
      </c>
      <c r="F7053" t="str">
        <f t="shared" ref="F7053" si="7045">A7053</f>
        <v>TCTAAT</v>
      </c>
    </row>
    <row r="7054" spans="1:6" x14ac:dyDescent="0.3">
      <c r="A7054" t="s">
        <v>7627</v>
      </c>
      <c r="F7054" t="str">
        <f t="shared" ref="F7054" si="7046">LEFT(A7054, LEN(A7054) - 1)</f>
        <v>&gt;3525:TCTACA:16.00:33.33:OK:6:1751.20</v>
      </c>
    </row>
    <row r="7055" spans="1:6" x14ac:dyDescent="0.3">
      <c r="A7055" t="s">
        <v>3531</v>
      </c>
      <c r="F7055" t="str">
        <f t="shared" ref="F7055" si="7047">A7055</f>
        <v>TCTACA</v>
      </c>
    </row>
    <row r="7056" spans="1:6" x14ac:dyDescent="0.3">
      <c r="A7056" t="s">
        <v>7628</v>
      </c>
      <c r="F7056" t="str">
        <f t="shared" ref="F7056" si="7048">LEFT(A7056, LEN(A7056) - 1)</f>
        <v>&gt;3526:TCTACC:14.00:50.00:Warning:6:1727.17</v>
      </c>
    </row>
    <row r="7057" spans="1:6" x14ac:dyDescent="0.3">
      <c r="A7057" t="s">
        <v>3532</v>
      </c>
      <c r="F7057" t="str">
        <f t="shared" ref="F7057" si="7049">A7057</f>
        <v>TCTACC</v>
      </c>
    </row>
    <row r="7058" spans="1:6" x14ac:dyDescent="0.3">
      <c r="A7058" t="s">
        <v>7629</v>
      </c>
      <c r="F7058" t="str">
        <f t="shared" ref="F7058" si="7050">LEFT(A7058, LEN(A7058) - 1)</f>
        <v>&gt;3527:TCTACG:14.00:50.00:Warning:6:1767.20</v>
      </c>
    </row>
    <row r="7059" spans="1:6" x14ac:dyDescent="0.3">
      <c r="A7059" t="s">
        <v>3533</v>
      </c>
      <c r="F7059" t="str">
        <f t="shared" ref="F7059" si="7051">A7059</f>
        <v>TCTACG</v>
      </c>
    </row>
    <row r="7060" spans="1:6" x14ac:dyDescent="0.3">
      <c r="A7060" t="s">
        <v>7630</v>
      </c>
      <c r="F7060" t="str">
        <f t="shared" ref="F7060" si="7052">LEFT(A7060, LEN(A7060) - 1)</f>
        <v>&gt;3528:TCTACT:8.00:33.33:OK:6:1742.18</v>
      </c>
    </row>
    <row r="7061" spans="1:6" x14ac:dyDescent="0.3">
      <c r="A7061" t="s">
        <v>3534</v>
      </c>
      <c r="F7061" t="str">
        <f t="shared" ref="F7061" si="7053">A7061</f>
        <v>TCTACT</v>
      </c>
    </row>
    <row r="7062" spans="1:6" x14ac:dyDescent="0.3">
      <c r="A7062" t="s">
        <v>7631</v>
      </c>
      <c r="F7062" t="str">
        <f t="shared" ref="F7062" si="7054">LEFT(A7062, LEN(A7062) - 1)</f>
        <v>&gt;3529:TCTAGA:16.00:33.33:OK:6:1791.23</v>
      </c>
    </row>
    <row r="7063" spans="1:6" x14ac:dyDescent="0.3">
      <c r="A7063" t="s">
        <v>3535</v>
      </c>
      <c r="F7063" t="str">
        <f t="shared" ref="F7063" si="7055">A7063</f>
        <v>TCTAGA</v>
      </c>
    </row>
    <row r="7064" spans="1:6" x14ac:dyDescent="0.3">
      <c r="A7064" t="s">
        <v>7632</v>
      </c>
      <c r="F7064" t="str">
        <f t="shared" ref="F7064" si="7056">LEFT(A7064, LEN(A7064) - 1)</f>
        <v>&gt;3530:TCTAGC:14.00:50.00:Warning:6:1767.20</v>
      </c>
    </row>
    <row r="7065" spans="1:6" x14ac:dyDescent="0.3">
      <c r="A7065" t="s">
        <v>3536</v>
      </c>
      <c r="F7065" t="str">
        <f t="shared" ref="F7065" si="7057">A7065</f>
        <v>TCTAGC</v>
      </c>
    </row>
    <row r="7066" spans="1:6" x14ac:dyDescent="0.3">
      <c r="A7066" t="s">
        <v>7633</v>
      </c>
      <c r="F7066" t="str">
        <f t="shared" ref="F7066" si="7058">LEFT(A7066, LEN(A7066) - 1)</f>
        <v>&gt;3531:TCTAGG:14.00:50.00:Warning:6:1807.23</v>
      </c>
    </row>
    <row r="7067" spans="1:6" x14ac:dyDescent="0.3">
      <c r="A7067" t="s">
        <v>3537</v>
      </c>
      <c r="F7067" t="str">
        <f t="shared" ref="F7067" si="7059">A7067</f>
        <v>TCTAGG</v>
      </c>
    </row>
    <row r="7068" spans="1:6" x14ac:dyDescent="0.3">
      <c r="A7068" t="s">
        <v>7634</v>
      </c>
      <c r="F7068" t="str">
        <f t="shared" ref="F7068" si="7060">LEFT(A7068, LEN(A7068) - 1)</f>
        <v>&gt;3532:TCTAGT:8.00:33.33:OK:6:1782.21</v>
      </c>
    </row>
    <row r="7069" spans="1:6" x14ac:dyDescent="0.3">
      <c r="A7069" t="s">
        <v>3538</v>
      </c>
      <c r="F7069" t="str">
        <f t="shared" ref="F7069" si="7061">A7069</f>
        <v>TCTAGT</v>
      </c>
    </row>
    <row r="7070" spans="1:6" x14ac:dyDescent="0.3">
      <c r="A7070" t="s">
        <v>7635</v>
      </c>
      <c r="F7070" t="str">
        <f t="shared" ref="F7070" si="7062">LEFT(A7070, LEN(A7070) - 1)</f>
        <v>&gt;3533:TCTATA:10.00:16.67:OK:6:1766.21</v>
      </c>
    </row>
    <row r="7071" spans="1:6" x14ac:dyDescent="0.3">
      <c r="A7071" t="s">
        <v>3539</v>
      </c>
      <c r="F7071" t="str">
        <f t="shared" ref="F7071" si="7063">A7071</f>
        <v>TCTATA</v>
      </c>
    </row>
    <row r="7072" spans="1:6" x14ac:dyDescent="0.3">
      <c r="A7072" t="s">
        <v>7636</v>
      </c>
      <c r="F7072" t="str">
        <f t="shared" ref="F7072" si="7064">LEFT(A7072, LEN(A7072) - 1)</f>
        <v>&gt;3534:TCTATC:8.00:33.33:OK:6:1742.18</v>
      </c>
    </row>
    <row r="7073" spans="1:6" x14ac:dyDescent="0.3">
      <c r="A7073" t="s">
        <v>3540</v>
      </c>
      <c r="F7073" t="str">
        <f t="shared" ref="F7073" si="7065">A7073</f>
        <v>TCTATC</v>
      </c>
    </row>
    <row r="7074" spans="1:6" x14ac:dyDescent="0.3">
      <c r="A7074" t="s">
        <v>7637</v>
      </c>
      <c r="F7074" t="str">
        <f t="shared" ref="F7074" si="7066">LEFT(A7074, LEN(A7074) - 1)</f>
        <v>&gt;3535:TCTATG:8.00:33.33:OK:6:1782.21</v>
      </c>
    </row>
    <row r="7075" spans="1:6" x14ac:dyDescent="0.3">
      <c r="A7075" t="s">
        <v>3541</v>
      </c>
      <c r="F7075" t="str">
        <f t="shared" ref="F7075" si="7067">A7075</f>
        <v>TCTATG</v>
      </c>
    </row>
    <row r="7076" spans="1:6" x14ac:dyDescent="0.3">
      <c r="A7076" t="s">
        <v>7638</v>
      </c>
      <c r="F7076" t="str">
        <f t="shared" ref="F7076" si="7068">LEFT(A7076, LEN(A7076) - 1)</f>
        <v>&gt;3536:TCTATT:2.00:16.67:OK:6:1757.19</v>
      </c>
    </row>
    <row r="7077" spans="1:6" x14ac:dyDescent="0.3">
      <c r="A7077" t="s">
        <v>3542</v>
      </c>
      <c r="F7077" t="str">
        <f t="shared" ref="F7077" si="7069">A7077</f>
        <v>TCTATT</v>
      </c>
    </row>
    <row r="7078" spans="1:6" x14ac:dyDescent="0.3">
      <c r="A7078" t="s">
        <v>7639</v>
      </c>
      <c r="F7078" t="str">
        <f t="shared" ref="F7078" si="7070">LEFT(A7078, LEN(A7078) - 1)</f>
        <v>&gt;3537:TCTCAA:16.00:33.33:OK:6:1751.20</v>
      </c>
    </row>
    <row r="7079" spans="1:6" x14ac:dyDescent="0.3">
      <c r="A7079" t="s">
        <v>3543</v>
      </c>
      <c r="F7079" t="str">
        <f t="shared" ref="F7079" si="7071">A7079</f>
        <v>TCTCAA</v>
      </c>
    </row>
    <row r="7080" spans="1:6" x14ac:dyDescent="0.3">
      <c r="A7080" t="s">
        <v>7640</v>
      </c>
      <c r="F7080" t="str">
        <f t="shared" ref="F7080" si="7072">LEFT(A7080, LEN(A7080) - 1)</f>
        <v>&gt;3538:TCTCAC:14.00:50.00:Warning:6:1727.17</v>
      </c>
    </row>
    <row r="7081" spans="1:6" x14ac:dyDescent="0.3">
      <c r="A7081" t="s">
        <v>3544</v>
      </c>
      <c r="F7081" t="str">
        <f t="shared" ref="F7081" si="7073">A7081</f>
        <v>TCTCAC</v>
      </c>
    </row>
    <row r="7082" spans="1:6" x14ac:dyDescent="0.3">
      <c r="A7082" t="s">
        <v>7641</v>
      </c>
      <c r="F7082" t="str">
        <f t="shared" ref="F7082" si="7074">LEFT(A7082, LEN(A7082) - 1)</f>
        <v>&gt;3539:TCTCAG:14.00:50.00:Warning:6:1767.20</v>
      </c>
    </row>
    <row r="7083" spans="1:6" x14ac:dyDescent="0.3">
      <c r="A7083" t="s">
        <v>3545</v>
      </c>
      <c r="F7083" t="str">
        <f t="shared" ref="F7083" si="7075">A7083</f>
        <v>TCTCAG</v>
      </c>
    </row>
    <row r="7084" spans="1:6" x14ac:dyDescent="0.3">
      <c r="A7084" t="s">
        <v>7642</v>
      </c>
      <c r="F7084" t="str">
        <f t="shared" ref="F7084" si="7076">LEFT(A7084, LEN(A7084) - 1)</f>
        <v>&gt;3540:TCTCAT:8.00:33.33:OK:6:1742.18</v>
      </c>
    </row>
    <row r="7085" spans="1:6" x14ac:dyDescent="0.3">
      <c r="A7085" t="s">
        <v>3546</v>
      </c>
      <c r="F7085" t="str">
        <f t="shared" ref="F7085" si="7077">A7085</f>
        <v>TCTCAT</v>
      </c>
    </row>
    <row r="7086" spans="1:6" x14ac:dyDescent="0.3">
      <c r="A7086" t="s">
        <v>7643</v>
      </c>
      <c r="F7086" t="str">
        <f t="shared" ref="F7086" si="7078">LEFT(A7086, LEN(A7086) - 1)</f>
        <v>&gt;3541:TCTCCA:14.00:50.00:Warning:6:1727.17</v>
      </c>
    </row>
    <row r="7087" spans="1:6" x14ac:dyDescent="0.3">
      <c r="A7087" t="s">
        <v>3547</v>
      </c>
      <c r="F7087" t="str">
        <f t="shared" ref="F7087" si="7079">A7087</f>
        <v>TCTCCA</v>
      </c>
    </row>
    <row r="7088" spans="1:6" x14ac:dyDescent="0.3">
      <c r="A7088" t="s">
        <v>7644</v>
      </c>
      <c r="F7088" t="str">
        <f t="shared" ref="F7088" si="7080">LEFT(A7088, LEN(A7088) - 1)</f>
        <v>&gt;3542:TCTCCC:12.00:66.67:Warning:6:1703.14</v>
      </c>
    </row>
    <row r="7089" spans="1:6" x14ac:dyDescent="0.3">
      <c r="A7089" t="s">
        <v>3548</v>
      </c>
      <c r="F7089" t="str">
        <f t="shared" ref="F7089" si="7081">A7089</f>
        <v>TCTCCC</v>
      </c>
    </row>
    <row r="7090" spans="1:6" x14ac:dyDescent="0.3">
      <c r="A7090" t="s">
        <v>7645</v>
      </c>
      <c r="F7090" t="str">
        <f t="shared" ref="F7090" si="7082">LEFT(A7090, LEN(A7090) - 1)</f>
        <v>&gt;3543:TCTCCG:12.00:66.67:Warning:6:1743.17</v>
      </c>
    </row>
    <row r="7091" spans="1:6" x14ac:dyDescent="0.3">
      <c r="A7091" t="s">
        <v>3549</v>
      </c>
      <c r="F7091" t="str">
        <f t="shared" ref="F7091" si="7083">A7091</f>
        <v>TCTCCG</v>
      </c>
    </row>
    <row r="7092" spans="1:6" x14ac:dyDescent="0.3">
      <c r="A7092" t="s">
        <v>7646</v>
      </c>
      <c r="F7092" t="str">
        <f t="shared" ref="F7092" si="7084">LEFT(A7092, LEN(A7092) - 1)</f>
        <v>&gt;3544:TCTCCT:6.00:50.00:Warning:6:1718.15</v>
      </c>
    </row>
    <row r="7093" spans="1:6" x14ac:dyDescent="0.3">
      <c r="A7093" t="s">
        <v>3550</v>
      </c>
      <c r="F7093" t="str">
        <f t="shared" ref="F7093" si="7085">A7093</f>
        <v>TCTCCT</v>
      </c>
    </row>
    <row r="7094" spans="1:6" x14ac:dyDescent="0.3">
      <c r="A7094" t="s">
        <v>7647</v>
      </c>
      <c r="F7094" t="str">
        <f t="shared" ref="F7094" si="7086">LEFT(A7094, LEN(A7094) - 1)</f>
        <v>&gt;3545:TCTCGA:14.00:50.00:Warning:6:1767.20</v>
      </c>
    </row>
    <row r="7095" spans="1:6" x14ac:dyDescent="0.3">
      <c r="A7095" t="s">
        <v>3551</v>
      </c>
      <c r="F7095" t="str">
        <f t="shared" ref="F7095" si="7087">A7095</f>
        <v>TCTCGA</v>
      </c>
    </row>
    <row r="7096" spans="1:6" x14ac:dyDescent="0.3">
      <c r="A7096" t="s">
        <v>7648</v>
      </c>
      <c r="F7096" t="str">
        <f t="shared" ref="F7096" si="7088">LEFT(A7096, LEN(A7096) - 1)</f>
        <v>&gt;3546:TCTCGC:12.00:66.67:Warning:6:1743.17</v>
      </c>
    </row>
    <row r="7097" spans="1:6" x14ac:dyDescent="0.3">
      <c r="A7097" t="s">
        <v>3552</v>
      </c>
      <c r="F7097" t="str">
        <f t="shared" ref="F7097" si="7089">A7097</f>
        <v>TCTCGC</v>
      </c>
    </row>
    <row r="7098" spans="1:6" x14ac:dyDescent="0.3">
      <c r="A7098" t="s">
        <v>7649</v>
      </c>
      <c r="F7098" t="str">
        <f t="shared" ref="F7098" si="7090">LEFT(A7098, LEN(A7098) - 1)</f>
        <v>&gt;3547:TCTCGG:12.00:66.67:Warning:6:1783.20</v>
      </c>
    </row>
    <row r="7099" spans="1:6" x14ac:dyDescent="0.3">
      <c r="A7099" t="s">
        <v>3553</v>
      </c>
      <c r="F7099" t="str">
        <f t="shared" ref="F7099" si="7091">A7099</f>
        <v>TCTCGG</v>
      </c>
    </row>
    <row r="7100" spans="1:6" x14ac:dyDescent="0.3">
      <c r="A7100" t="s">
        <v>7650</v>
      </c>
      <c r="F7100" t="str">
        <f t="shared" ref="F7100" si="7092">LEFT(A7100, LEN(A7100) - 1)</f>
        <v>&gt;3548:TCTCGT:6.00:50.00:Warning:6:1758.18</v>
      </c>
    </row>
    <row r="7101" spans="1:6" x14ac:dyDescent="0.3">
      <c r="A7101" t="s">
        <v>3554</v>
      </c>
      <c r="F7101" t="str">
        <f t="shared" ref="F7101" si="7093">A7101</f>
        <v>TCTCGT</v>
      </c>
    </row>
    <row r="7102" spans="1:6" x14ac:dyDescent="0.3">
      <c r="A7102" t="s">
        <v>7651</v>
      </c>
      <c r="F7102" t="str">
        <f t="shared" ref="F7102" si="7094">LEFT(A7102, LEN(A7102) - 1)</f>
        <v>&gt;3549:TCTCTA:8.00:33.33:OK:6:1742.18</v>
      </c>
    </row>
    <row r="7103" spans="1:6" x14ac:dyDescent="0.3">
      <c r="A7103" t="s">
        <v>3555</v>
      </c>
      <c r="F7103" t="str">
        <f t="shared" ref="F7103" si="7095">A7103</f>
        <v>TCTCTA</v>
      </c>
    </row>
    <row r="7104" spans="1:6" x14ac:dyDescent="0.3">
      <c r="A7104" t="s">
        <v>7652</v>
      </c>
      <c r="F7104" t="str">
        <f t="shared" ref="F7104" si="7096">LEFT(A7104, LEN(A7104) - 1)</f>
        <v>&gt;3550:TCTCTC:6.00:50.00:Warning:6:1718.15</v>
      </c>
    </row>
    <row r="7105" spans="1:6" x14ac:dyDescent="0.3">
      <c r="A7105" t="s">
        <v>3556</v>
      </c>
      <c r="F7105" t="str">
        <f t="shared" ref="F7105" si="7097">A7105</f>
        <v>TCTCTC</v>
      </c>
    </row>
    <row r="7106" spans="1:6" x14ac:dyDescent="0.3">
      <c r="A7106" t="s">
        <v>7653</v>
      </c>
      <c r="F7106" t="str">
        <f t="shared" ref="F7106" si="7098">LEFT(A7106, LEN(A7106) - 1)</f>
        <v>&gt;3551:TCTCTG:6.00:50.00:Warning:6:1758.18</v>
      </c>
    </row>
    <row r="7107" spans="1:6" x14ac:dyDescent="0.3">
      <c r="A7107" t="s">
        <v>3557</v>
      </c>
      <c r="F7107" t="str">
        <f t="shared" ref="F7107" si="7099">A7107</f>
        <v>TCTCTG</v>
      </c>
    </row>
    <row r="7108" spans="1:6" x14ac:dyDescent="0.3">
      <c r="A7108" t="s">
        <v>7654</v>
      </c>
      <c r="F7108" t="str">
        <f t="shared" ref="F7108" si="7100">LEFT(A7108, LEN(A7108) - 1)</f>
        <v>&gt;3552:TCTCTT:0.00:33.33:OK:6:1733.16</v>
      </c>
    </row>
    <row r="7109" spans="1:6" x14ac:dyDescent="0.3">
      <c r="A7109" t="s">
        <v>3558</v>
      </c>
      <c r="F7109" t="str">
        <f t="shared" ref="F7109" si="7101">A7109</f>
        <v>TCTCTT</v>
      </c>
    </row>
    <row r="7110" spans="1:6" x14ac:dyDescent="0.3">
      <c r="A7110" t="s">
        <v>7655</v>
      </c>
      <c r="F7110" t="str">
        <f t="shared" ref="F7110" si="7102">LEFT(A7110, LEN(A7110) - 1)</f>
        <v>&gt;3553:TCTGAA:16.00:33.33:OK:6:1791.23</v>
      </c>
    </row>
    <row r="7111" spans="1:6" x14ac:dyDescent="0.3">
      <c r="A7111" t="s">
        <v>3559</v>
      </c>
      <c r="F7111" t="str">
        <f t="shared" ref="F7111" si="7103">A7111</f>
        <v>TCTGAA</v>
      </c>
    </row>
    <row r="7112" spans="1:6" x14ac:dyDescent="0.3">
      <c r="A7112" t="s">
        <v>7656</v>
      </c>
      <c r="F7112" t="str">
        <f t="shared" ref="F7112" si="7104">LEFT(A7112, LEN(A7112) - 1)</f>
        <v>&gt;3554:TCTGAC:14.00:50.00:Warning:6:1767.20</v>
      </c>
    </row>
    <row r="7113" spans="1:6" x14ac:dyDescent="0.3">
      <c r="A7113" t="s">
        <v>3560</v>
      </c>
      <c r="F7113" t="str">
        <f t="shared" ref="F7113" si="7105">A7113</f>
        <v>TCTGAC</v>
      </c>
    </row>
    <row r="7114" spans="1:6" x14ac:dyDescent="0.3">
      <c r="A7114" t="s">
        <v>7657</v>
      </c>
      <c r="F7114" t="str">
        <f t="shared" ref="F7114" si="7106">LEFT(A7114, LEN(A7114) - 1)</f>
        <v>&gt;3555:TCTGAG:14.00:50.00:Warning:6:1807.23</v>
      </c>
    </row>
    <row r="7115" spans="1:6" x14ac:dyDescent="0.3">
      <c r="A7115" t="s">
        <v>3561</v>
      </c>
      <c r="F7115" t="str">
        <f t="shared" ref="F7115" si="7107">A7115</f>
        <v>TCTGAG</v>
      </c>
    </row>
    <row r="7116" spans="1:6" x14ac:dyDescent="0.3">
      <c r="A7116" t="s">
        <v>7658</v>
      </c>
      <c r="F7116" t="str">
        <f t="shared" ref="F7116" si="7108">LEFT(A7116, LEN(A7116) - 1)</f>
        <v>&gt;3556:TCTGAT:8.00:33.33:OK:6:1782.21</v>
      </c>
    </row>
    <row r="7117" spans="1:6" x14ac:dyDescent="0.3">
      <c r="A7117" t="s">
        <v>3562</v>
      </c>
      <c r="F7117" t="str">
        <f t="shared" ref="F7117" si="7109">A7117</f>
        <v>TCTGAT</v>
      </c>
    </row>
    <row r="7118" spans="1:6" x14ac:dyDescent="0.3">
      <c r="A7118" t="s">
        <v>7659</v>
      </c>
      <c r="F7118" t="str">
        <f t="shared" ref="F7118" si="7110">LEFT(A7118, LEN(A7118) - 1)</f>
        <v>&gt;3557:TCTGCA:14.00:50.00:Warning:6:1767.20</v>
      </c>
    </row>
    <row r="7119" spans="1:6" x14ac:dyDescent="0.3">
      <c r="A7119" t="s">
        <v>3563</v>
      </c>
      <c r="F7119" t="str">
        <f t="shared" ref="F7119" si="7111">A7119</f>
        <v>TCTGCA</v>
      </c>
    </row>
    <row r="7120" spans="1:6" x14ac:dyDescent="0.3">
      <c r="A7120" t="s">
        <v>7660</v>
      </c>
      <c r="F7120" t="str">
        <f t="shared" ref="F7120" si="7112">LEFT(A7120, LEN(A7120) - 1)</f>
        <v>&gt;3558:TCTGCC:12.00:66.67:Warning:6:1743.17</v>
      </c>
    </row>
    <row r="7121" spans="1:6" x14ac:dyDescent="0.3">
      <c r="A7121" t="s">
        <v>3564</v>
      </c>
      <c r="F7121" t="str">
        <f t="shared" ref="F7121" si="7113">A7121</f>
        <v>TCTGCC</v>
      </c>
    </row>
    <row r="7122" spans="1:6" x14ac:dyDescent="0.3">
      <c r="A7122" t="s">
        <v>7661</v>
      </c>
      <c r="F7122" t="str">
        <f t="shared" ref="F7122" si="7114">LEFT(A7122, LEN(A7122) - 1)</f>
        <v>&gt;3559:TCTGCG:12.00:66.67:Warning:6:1783.20</v>
      </c>
    </row>
    <row r="7123" spans="1:6" x14ac:dyDescent="0.3">
      <c r="A7123" t="s">
        <v>3565</v>
      </c>
      <c r="F7123" t="str">
        <f t="shared" ref="F7123" si="7115">A7123</f>
        <v>TCTGCG</v>
      </c>
    </row>
    <row r="7124" spans="1:6" x14ac:dyDescent="0.3">
      <c r="A7124" t="s">
        <v>7662</v>
      </c>
      <c r="F7124" t="str">
        <f t="shared" ref="F7124" si="7116">LEFT(A7124, LEN(A7124) - 1)</f>
        <v>&gt;3560:TCTGCT:6.00:50.00:Warning:6:1758.18</v>
      </c>
    </row>
    <row r="7125" spans="1:6" x14ac:dyDescent="0.3">
      <c r="A7125" t="s">
        <v>3566</v>
      </c>
      <c r="F7125" t="str">
        <f t="shared" ref="F7125" si="7117">A7125</f>
        <v>TCTGCT</v>
      </c>
    </row>
    <row r="7126" spans="1:6" x14ac:dyDescent="0.3">
      <c r="A7126" t="s">
        <v>7663</v>
      </c>
      <c r="F7126" t="str">
        <f t="shared" ref="F7126" si="7118">LEFT(A7126, LEN(A7126) - 1)</f>
        <v>&gt;3561:TCTGGA:14.00:50.00:Warning:6:1807.23</v>
      </c>
    </row>
    <row r="7127" spans="1:6" x14ac:dyDescent="0.3">
      <c r="A7127" t="s">
        <v>3567</v>
      </c>
      <c r="F7127" t="str">
        <f t="shared" ref="F7127" si="7119">A7127</f>
        <v>TCTGGA</v>
      </c>
    </row>
    <row r="7128" spans="1:6" x14ac:dyDescent="0.3">
      <c r="A7128" t="s">
        <v>7664</v>
      </c>
      <c r="F7128" t="str">
        <f t="shared" ref="F7128" si="7120">LEFT(A7128, LEN(A7128) - 1)</f>
        <v>&gt;3562:TCTGGC:12.00:66.67:Warning:6:1783.20</v>
      </c>
    </row>
    <row r="7129" spans="1:6" x14ac:dyDescent="0.3">
      <c r="A7129" t="s">
        <v>3568</v>
      </c>
      <c r="F7129" t="str">
        <f t="shared" ref="F7129" si="7121">A7129</f>
        <v>TCTGGC</v>
      </c>
    </row>
    <row r="7130" spans="1:6" x14ac:dyDescent="0.3">
      <c r="A7130" t="s">
        <v>7665</v>
      </c>
      <c r="F7130" t="str">
        <f t="shared" ref="F7130" si="7122">LEFT(A7130, LEN(A7130) - 1)</f>
        <v>&gt;3563:TCTGGG:12.00:66.67:Warning:6:1823.23</v>
      </c>
    </row>
    <row r="7131" spans="1:6" x14ac:dyDescent="0.3">
      <c r="A7131" t="s">
        <v>3569</v>
      </c>
      <c r="F7131" t="str">
        <f t="shared" ref="F7131" si="7123">A7131</f>
        <v>TCTGGG</v>
      </c>
    </row>
    <row r="7132" spans="1:6" x14ac:dyDescent="0.3">
      <c r="A7132" t="s">
        <v>7666</v>
      </c>
      <c r="F7132" t="str">
        <f t="shared" ref="F7132" si="7124">LEFT(A7132, LEN(A7132) - 1)</f>
        <v>&gt;3564:TCTGGT:6.00:50.00:Warning:6:1798.21</v>
      </c>
    </row>
    <row r="7133" spans="1:6" x14ac:dyDescent="0.3">
      <c r="A7133" t="s">
        <v>3570</v>
      </c>
      <c r="F7133" t="str">
        <f t="shared" ref="F7133" si="7125">A7133</f>
        <v>TCTGGT</v>
      </c>
    </row>
    <row r="7134" spans="1:6" x14ac:dyDescent="0.3">
      <c r="A7134" t="s">
        <v>7667</v>
      </c>
      <c r="F7134" t="str">
        <f t="shared" ref="F7134" si="7126">LEFT(A7134, LEN(A7134) - 1)</f>
        <v>&gt;3565:TCTGTA:8.00:33.33:OK:6:1782.21</v>
      </c>
    </row>
    <row r="7135" spans="1:6" x14ac:dyDescent="0.3">
      <c r="A7135" t="s">
        <v>3571</v>
      </c>
      <c r="F7135" t="str">
        <f t="shared" ref="F7135" si="7127">A7135</f>
        <v>TCTGTA</v>
      </c>
    </row>
    <row r="7136" spans="1:6" x14ac:dyDescent="0.3">
      <c r="A7136" t="s">
        <v>7668</v>
      </c>
      <c r="F7136" t="str">
        <f t="shared" ref="F7136" si="7128">LEFT(A7136, LEN(A7136) - 1)</f>
        <v>&gt;3566:TCTGTC:6.00:50.00:Warning:6:1758.18</v>
      </c>
    </row>
    <row r="7137" spans="1:6" x14ac:dyDescent="0.3">
      <c r="A7137" t="s">
        <v>3572</v>
      </c>
      <c r="F7137" t="str">
        <f t="shared" ref="F7137" si="7129">A7137</f>
        <v>TCTGTC</v>
      </c>
    </row>
    <row r="7138" spans="1:6" x14ac:dyDescent="0.3">
      <c r="A7138" t="s">
        <v>7669</v>
      </c>
      <c r="F7138" t="str">
        <f t="shared" ref="F7138" si="7130">LEFT(A7138, LEN(A7138) - 1)</f>
        <v>&gt;3567:TCTGTG:6.00:50.00:Warning:6:1798.21</v>
      </c>
    </row>
    <row r="7139" spans="1:6" x14ac:dyDescent="0.3">
      <c r="A7139" t="s">
        <v>3573</v>
      </c>
      <c r="F7139" t="str">
        <f t="shared" ref="F7139" si="7131">A7139</f>
        <v>TCTGTG</v>
      </c>
    </row>
    <row r="7140" spans="1:6" x14ac:dyDescent="0.3">
      <c r="A7140" t="s">
        <v>7670</v>
      </c>
      <c r="F7140" t="str">
        <f t="shared" ref="F7140" si="7132">LEFT(A7140, LEN(A7140) - 1)</f>
        <v>&gt;3568:TCTGTT:0.00:33.33:OK:6:1773.19</v>
      </c>
    </row>
    <row r="7141" spans="1:6" x14ac:dyDescent="0.3">
      <c r="A7141" t="s">
        <v>3574</v>
      </c>
      <c r="F7141" t="str">
        <f t="shared" ref="F7141" si="7133">A7141</f>
        <v>TCTGTT</v>
      </c>
    </row>
    <row r="7142" spans="1:6" x14ac:dyDescent="0.3">
      <c r="A7142" t="s">
        <v>7671</v>
      </c>
      <c r="F7142" t="str">
        <f t="shared" ref="F7142" si="7134">LEFT(A7142, LEN(A7142) - 1)</f>
        <v>&gt;3569:TCTTAA:10.00:16.67:OK:6:1766.21</v>
      </c>
    </row>
    <row r="7143" spans="1:6" x14ac:dyDescent="0.3">
      <c r="A7143" t="s">
        <v>3575</v>
      </c>
      <c r="F7143" t="str">
        <f t="shared" ref="F7143" si="7135">A7143</f>
        <v>TCTTAA</v>
      </c>
    </row>
    <row r="7144" spans="1:6" x14ac:dyDescent="0.3">
      <c r="A7144" t="s">
        <v>7672</v>
      </c>
      <c r="F7144" t="str">
        <f t="shared" ref="F7144" si="7136">LEFT(A7144, LEN(A7144) - 1)</f>
        <v>&gt;3570:TCTTAC:8.00:33.33:OK:6:1742.18</v>
      </c>
    </row>
    <row r="7145" spans="1:6" x14ac:dyDescent="0.3">
      <c r="A7145" t="s">
        <v>3576</v>
      </c>
      <c r="F7145" t="str">
        <f t="shared" ref="F7145" si="7137">A7145</f>
        <v>TCTTAC</v>
      </c>
    </row>
    <row r="7146" spans="1:6" x14ac:dyDescent="0.3">
      <c r="A7146" t="s">
        <v>7673</v>
      </c>
      <c r="F7146" t="str">
        <f t="shared" ref="F7146" si="7138">LEFT(A7146, LEN(A7146) - 1)</f>
        <v>&gt;3571:TCTTAG:8.00:33.33:OK:6:1782.21</v>
      </c>
    </row>
    <row r="7147" spans="1:6" x14ac:dyDescent="0.3">
      <c r="A7147" t="s">
        <v>3577</v>
      </c>
      <c r="F7147" t="str">
        <f t="shared" ref="F7147" si="7139">A7147</f>
        <v>TCTTAG</v>
      </c>
    </row>
    <row r="7148" spans="1:6" x14ac:dyDescent="0.3">
      <c r="A7148" t="s">
        <v>7674</v>
      </c>
      <c r="F7148" t="str">
        <f t="shared" ref="F7148" si="7140">LEFT(A7148, LEN(A7148) - 1)</f>
        <v>&gt;3572:TCTTAT:2.00:16.67:OK:6:1757.19</v>
      </c>
    </row>
    <row r="7149" spans="1:6" x14ac:dyDescent="0.3">
      <c r="A7149" t="s">
        <v>3578</v>
      </c>
      <c r="F7149" t="str">
        <f t="shared" ref="F7149" si="7141">A7149</f>
        <v>TCTTAT</v>
      </c>
    </row>
    <row r="7150" spans="1:6" x14ac:dyDescent="0.3">
      <c r="A7150" t="s">
        <v>7675</v>
      </c>
      <c r="F7150" t="str">
        <f t="shared" ref="F7150" si="7142">LEFT(A7150, LEN(A7150) - 1)</f>
        <v>&gt;3573:TCTTCA:8.00:33.33:OK:6:1742.18</v>
      </c>
    </row>
    <row r="7151" spans="1:6" x14ac:dyDescent="0.3">
      <c r="A7151" t="s">
        <v>3579</v>
      </c>
      <c r="F7151" t="str">
        <f t="shared" ref="F7151" si="7143">A7151</f>
        <v>TCTTCA</v>
      </c>
    </row>
    <row r="7152" spans="1:6" x14ac:dyDescent="0.3">
      <c r="A7152" t="s">
        <v>7676</v>
      </c>
      <c r="F7152" t="str">
        <f t="shared" ref="F7152" si="7144">LEFT(A7152, LEN(A7152) - 1)</f>
        <v>&gt;3574:TCTTCC:6.00:50.00:Warning:6:1718.15</v>
      </c>
    </row>
    <row r="7153" spans="1:6" x14ac:dyDescent="0.3">
      <c r="A7153" t="s">
        <v>3580</v>
      </c>
      <c r="F7153" t="str">
        <f t="shared" ref="F7153" si="7145">A7153</f>
        <v>TCTTCC</v>
      </c>
    </row>
    <row r="7154" spans="1:6" x14ac:dyDescent="0.3">
      <c r="A7154" t="s">
        <v>7677</v>
      </c>
      <c r="F7154" t="str">
        <f t="shared" ref="F7154" si="7146">LEFT(A7154, LEN(A7154) - 1)</f>
        <v>&gt;3575:TCTTCG:6.00:50.00:Warning:6:1758.18</v>
      </c>
    </row>
    <row r="7155" spans="1:6" x14ac:dyDescent="0.3">
      <c r="A7155" t="s">
        <v>3581</v>
      </c>
      <c r="F7155" t="str">
        <f t="shared" ref="F7155" si="7147">A7155</f>
        <v>TCTTCG</v>
      </c>
    </row>
    <row r="7156" spans="1:6" x14ac:dyDescent="0.3">
      <c r="A7156" t="s">
        <v>7678</v>
      </c>
      <c r="F7156" t="str">
        <f t="shared" ref="F7156" si="7148">LEFT(A7156, LEN(A7156) - 1)</f>
        <v>&gt;3576:TCTTCT:0.00:33.33:OK:6:1733.16</v>
      </c>
    </row>
    <row r="7157" spans="1:6" x14ac:dyDescent="0.3">
      <c r="A7157" t="s">
        <v>3582</v>
      </c>
      <c r="F7157" t="str">
        <f t="shared" ref="F7157" si="7149">A7157</f>
        <v>TCTTCT</v>
      </c>
    </row>
    <row r="7158" spans="1:6" x14ac:dyDescent="0.3">
      <c r="A7158" t="s">
        <v>7679</v>
      </c>
      <c r="F7158" t="str">
        <f t="shared" ref="F7158" si="7150">LEFT(A7158, LEN(A7158) - 1)</f>
        <v>&gt;3577:TCTTGA:8.00:33.33:OK:6:1782.21</v>
      </c>
    </row>
    <row r="7159" spans="1:6" x14ac:dyDescent="0.3">
      <c r="A7159" t="s">
        <v>3583</v>
      </c>
      <c r="F7159" t="str">
        <f t="shared" ref="F7159" si="7151">A7159</f>
        <v>TCTTGA</v>
      </c>
    </row>
    <row r="7160" spans="1:6" x14ac:dyDescent="0.3">
      <c r="A7160" t="s">
        <v>7680</v>
      </c>
      <c r="F7160" t="str">
        <f t="shared" ref="F7160" si="7152">LEFT(A7160, LEN(A7160) - 1)</f>
        <v>&gt;3578:TCTTGC:6.00:50.00:Warning:6:1758.18</v>
      </c>
    </row>
    <row r="7161" spans="1:6" x14ac:dyDescent="0.3">
      <c r="A7161" t="s">
        <v>3584</v>
      </c>
      <c r="F7161" t="str">
        <f t="shared" ref="F7161" si="7153">A7161</f>
        <v>TCTTGC</v>
      </c>
    </row>
    <row r="7162" spans="1:6" x14ac:dyDescent="0.3">
      <c r="A7162" t="s">
        <v>7681</v>
      </c>
      <c r="F7162" t="str">
        <f t="shared" ref="F7162" si="7154">LEFT(A7162, LEN(A7162) - 1)</f>
        <v>&gt;3579:TCTTGG:6.00:50.00:Warning:6:1798.21</v>
      </c>
    </row>
    <row r="7163" spans="1:6" x14ac:dyDescent="0.3">
      <c r="A7163" t="s">
        <v>3585</v>
      </c>
      <c r="F7163" t="str">
        <f t="shared" ref="F7163" si="7155">A7163</f>
        <v>TCTTGG</v>
      </c>
    </row>
    <row r="7164" spans="1:6" x14ac:dyDescent="0.3">
      <c r="A7164" t="s">
        <v>7682</v>
      </c>
      <c r="F7164" t="str">
        <f t="shared" ref="F7164" si="7156">LEFT(A7164, LEN(A7164) - 1)</f>
        <v>&gt;3580:TCTTGT:0.00:33.33:OK:6:1773.19</v>
      </c>
    </row>
    <row r="7165" spans="1:6" x14ac:dyDescent="0.3">
      <c r="A7165" t="s">
        <v>3586</v>
      </c>
      <c r="F7165" t="str">
        <f t="shared" ref="F7165" si="7157">A7165</f>
        <v>TCTTGT</v>
      </c>
    </row>
    <row r="7166" spans="1:6" x14ac:dyDescent="0.3">
      <c r="A7166" t="s">
        <v>7683</v>
      </c>
      <c r="F7166" t="str">
        <f t="shared" ref="F7166" si="7158">LEFT(A7166, LEN(A7166) - 1)</f>
        <v>&gt;3581:TCTTTA:2.00:16.67:OK:6:1757.19</v>
      </c>
    </row>
    <row r="7167" spans="1:6" x14ac:dyDescent="0.3">
      <c r="A7167" t="s">
        <v>3587</v>
      </c>
      <c r="F7167" t="str">
        <f t="shared" ref="F7167" si="7159">A7167</f>
        <v>TCTTTA</v>
      </c>
    </row>
    <row r="7168" spans="1:6" x14ac:dyDescent="0.3">
      <c r="A7168" t="s">
        <v>7684</v>
      </c>
      <c r="F7168" t="str">
        <f t="shared" ref="F7168" si="7160">LEFT(A7168, LEN(A7168) - 1)</f>
        <v>&gt;3582:TCTTTC:0.00:33.33:OK:6:1733.16</v>
      </c>
    </row>
    <row r="7169" spans="1:6" x14ac:dyDescent="0.3">
      <c r="A7169" t="s">
        <v>3588</v>
      </c>
      <c r="F7169" t="str">
        <f t="shared" ref="F7169" si="7161">A7169</f>
        <v>TCTTTC</v>
      </c>
    </row>
    <row r="7170" spans="1:6" x14ac:dyDescent="0.3">
      <c r="A7170" t="s">
        <v>7685</v>
      </c>
      <c r="F7170" t="str">
        <f t="shared" ref="F7170" si="7162">LEFT(A7170, LEN(A7170) - 1)</f>
        <v>&gt;3583:TCTTTG:0.00:33.33:OK:6:1773.19</v>
      </c>
    </row>
    <row r="7171" spans="1:6" x14ac:dyDescent="0.3">
      <c r="A7171" t="s">
        <v>3589</v>
      </c>
      <c r="F7171" t="str">
        <f t="shared" ref="F7171" si="7163">A7171</f>
        <v>TCTTTG</v>
      </c>
    </row>
    <row r="7172" spans="1:6" x14ac:dyDescent="0.3">
      <c r="A7172" t="s">
        <v>7686</v>
      </c>
      <c r="F7172" t="str">
        <f t="shared" ref="F7172" si="7164">LEFT(A7172, LEN(A7172) - 1)</f>
        <v>&gt;3584:TCTTTT:-6.00:16.67:OK:6:1748.17</v>
      </c>
    </row>
    <row r="7173" spans="1:6" x14ac:dyDescent="0.3">
      <c r="A7173" t="s">
        <v>3590</v>
      </c>
      <c r="F7173" t="str">
        <f t="shared" ref="F7173" si="7165">A7173</f>
        <v>TCTTTT</v>
      </c>
    </row>
    <row r="7174" spans="1:6" x14ac:dyDescent="0.3">
      <c r="A7174" t="s">
        <v>7687</v>
      </c>
      <c r="F7174" t="str">
        <f t="shared" ref="F7174" si="7166">LEFT(A7174, LEN(A7174) - 1)</f>
        <v>&gt;3585:TGAAAA:26.00:16.67:OK:6:1824.28</v>
      </c>
    </row>
    <row r="7175" spans="1:6" x14ac:dyDescent="0.3">
      <c r="A7175" t="s">
        <v>3591</v>
      </c>
      <c r="F7175" t="str">
        <f t="shared" ref="F7175" si="7167">A7175</f>
        <v>TGAAAA</v>
      </c>
    </row>
    <row r="7176" spans="1:6" x14ac:dyDescent="0.3">
      <c r="A7176" t="s">
        <v>7688</v>
      </c>
      <c r="F7176" t="str">
        <f t="shared" ref="F7176" si="7168">LEFT(A7176, LEN(A7176) - 1)</f>
        <v>&gt;3586:TGAAAC:24.00:33.33:OK:6:1800.25</v>
      </c>
    </row>
    <row r="7177" spans="1:6" x14ac:dyDescent="0.3">
      <c r="A7177" t="s">
        <v>3592</v>
      </c>
      <c r="F7177" t="str">
        <f t="shared" ref="F7177" si="7169">A7177</f>
        <v>TGAAAC</v>
      </c>
    </row>
    <row r="7178" spans="1:6" x14ac:dyDescent="0.3">
      <c r="A7178" t="s">
        <v>7689</v>
      </c>
      <c r="F7178" t="str">
        <f t="shared" ref="F7178" si="7170">LEFT(A7178, LEN(A7178) - 1)</f>
        <v>&gt;3587:TGAAAG:24.00:33.33:OK:6:1840.28</v>
      </c>
    </row>
    <row r="7179" spans="1:6" x14ac:dyDescent="0.3">
      <c r="A7179" t="s">
        <v>3593</v>
      </c>
      <c r="F7179" t="str">
        <f t="shared" ref="F7179" si="7171">A7179</f>
        <v>TGAAAG</v>
      </c>
    </row>
    <row r="7180" spans="1:6" x14ac:dyDescent="0.3">
      <c r="A7180" t="s">
        <v>7690</v>
      </c>
      <c r="F7180" t="str">
        <f t="shared" ref="F7180" si="7172">LEFT(A7180, LEN(A7180) - 1)</f>
        <v>&gt;3588:TGAAAT:18.00:16.67:OK:6:1815.26</v>
      </c>
    </row>
    <row r="7181" spans="1:6" x14ac:dyDescent="0.3">
      <c r="A7181" t="s">
        <v>3594</v>
      </c>
      <c r="F7181" t="str">
        <f t="shared" ref="F7181" si="7173">A7181</f>
        <v>TGAAAT</v>
      </c>
    </row>
    <row r="7182" spans="1:6" x14ac:dyDescent="0.3">
      <c r="A7182" t="s">
        <v>7691</v>
      </c>
      <c r="F7182" t="str">
        <f t="shared" ref="F7182" si="7174">LEFT(A7182, LEN(A7182) - 1)</f>
        <v>&gt;3589:TGAACA:24.00:33.33:OK:6:1800.25</v>
      </c>
    </row>
    <row r="7183" spans="1:6" x14ac:dyDescent="0.3">
      <c r="A7183" t="s">
        <v>3595</v>
      </c>
      <c r="F7183" t="str">
        <f t="shared" ref="F7183" si="7175">A7183</f>
        <v>TGAACA</v>
      </c>
    </row>
    <row r="7184" spans="1:6" x14ac:dyDescent="0.3">
      <c r="A7184" t="s">
        <v>7692</v>
      </c>
      <c r="F7184" t="str">
        <f t="shared" ref="F7184" si="7176">LEFT(A7184, LEN(A7184) - 1)</f>
        <v>&gt;3590:TGAACC:22.00:50.00:Warning:6:1776.22</v>
      </c>
    </row>
    <row r="7185" spans="1:6" x14ac:dyDescent="0.3">
      <c r="A7185" t="s">
        <v>3596</v>
      </c>
      <c r="F7185" t="str">
        <f t="shared" ref="F7185" si="7177">A7185</f>
        <v>TGAACC</v>
      </c>
    </row>
    <row r="7186" spans="1:6" x14ac:dyDescent="0.3">
      <c r="A7186" t="s">
        <v>7693</v>
      </c>
      <c r="F7186" t="str">
        <f t="shared" ref="F7186" si="7178">LEFT(A7186, LEN(A7186) - 1)</f>
        <v>&gt;3591:TGAACG:22.00:50.00:Warning:6:1816.25</v>
      </c>
    </row>
    <row r="7187" spans="1:6" x14ac:dyDescent="0.3">
      <c r="A7187" t="s">
        <v>3597</v>
      </c>
      <c r="F7187" t="str">
        <f t="shared" ref="F7187" si="7179">A7187</f>
        <v>TGAACG</v>
      </c>
    </row>
    <row r="7188" spans="1:6" x14ac:dyDescent="0.3">
      <c r="A7188" t="s">
        <v>7694</v>
      </c>
      <c r="F7188" t="str">
        <f t="shared" ref="F7188" si="7180">LEFT(A7188, LEN(A7188) - 1)</f>
        <v>&gt;3592:TGAACT:16.00:33.33:OK:6:1791.23</v>
      </c>
    </row>
    <row r="7189" spans="1:6" x14ac:dyDescent="0.3">
      <c r="A7189" t="s">
        <v>3598</v>
      </c>
      <c r="F7189" t="str">
        <f t="shared" ref="F7189" si="7181">A7189</f>
        <v>TGAACT</v>
      </c>
    </row>
    <row r="7190" spans="1:6" x14ac:dyDescent="0.3">
      <c r="A7190" t="s">
        <v>7695</v>
      </c>
      <c r="F7190" t="str">
        <f t="shared" ref="F7190" si="7182">LEFT(A7190, LEN(A7190) - 1)</f>
        <v>&gt;3593:TGAAGA:24.00:33.33:OK:6:1840.28</v>
      </c>
    </row>
    <row r="7191" spans="1:6" x14ac:dyDescent="0.3">
      <c r="A7191" t="s">
        <v>3599</v>
      </c>
      <c r="F7191" t="str">
        <f t="shared" ref="F7191" si="7183">A7191</f>
        <v>TGAAGA</v>
      </c>
    </row>
    <row r="7192" spans="1:6" x14ac:dyDescent="0.3">
      <c r="A7192" t="s">
        <v>7696</v>
      </c>
      <c r="F7192" t="str">
        <f t="shared" ref="F7192" si="7184">LEFT(A7192, LEN(A7192) - 1)</f>
        <v>&gt;3594:TGAAGC:22.00:50.00:Warning:6:1816.25</v>
      </c>
    </row>
    <row r="7193" spans="1:6" x14ac:dyDescent="0.3">
      <c r="A7193" t="s">
        <v>3600</v>
      </c>
      <c r="F7193" t="str">
        <f t="shared" ref="F7193" si="7185">A7193</f>
        <v>TGAAGC</v>
      </c>
    </row>
    <row r="7194" spans="1:6" x14ac:dyDescent="0.3">
      <c r="A7194" t="s">
        <v>7697</v>
      </c>
      <c r="F7194" t="str">
        <f t="shared" ref="F7194" si="7186">LEFT(A7194, LEN(A7194) - 1)</f>
        <v>&gt;3595:TGAAGG:22.00:50.00:Warning:6:1856.28</v>
      </c>
    </row>
    <row r="7195" spans="1:6" x14ac:dyDescent="0.3">
      <c r="A7195" t="s">
        <v>3601</v>
      </c>
      <c r="F7195" t="str">
        <f t="shared" ref="F7195" si="7187">A7195</f>
        <v>TGAAGG</v>
      </c>
    </row>
    <row r="7196" spans="1:6" x14ac:dyDescent="0.3">
      <c r="A7196" t="s">
        <v>7698</v>
      </c>
      <c r="F7196" t="str">
        <f t="shared" ref="F7196" si="7188">LEFT(A7196, LEN(A7196) - 1)</f>
        <v>&gt;3596:TGAAGT:16.00:33.33:OK:6:1831.26</v>
      </c>
    </row>
    <row r="7197" spans="1:6" x14ac:dyDescent="0.3">
      <c r="A7197" t="s">
        <v>3602</v>
      </c>
      <c r="F7197" t="str">
        <f t="shared" ref="F7197" si="7189">A7197</f>
        <v>TGAAGT</v>
      </c>
    </row>
    <row r="7198" spans="1:6" x14ac:dyDescent="0.3">
      <c r="A7198" t="s">
        <v>7699</v>
      </c>
      <c r="F7198" t="str">
        <f t="shared" ref="F7198" si="7190">LEFT(A7198, LEN(A7198) - 1)</f>
        <v>&gt;3597:TGAATA:18.00:16.67:OK:6:1815.26</v>
      </c>
    </row>
    <row r="7199" spans="1:6" x14ac:dyDescent="0.3">
      <c r="A7199" t="s">
        <v>3603</v>
      </c>
      <c r="F7199" t="str">
        <f t="shared" ref="F7199" si="7191">A7199</f>
        <v>TGAATA</v>
      </c>
    </row>
    <row r="7200" spans="1:6" x14ac:dyDescent="0.3">
      <c r="A7200" t="s">
        <v>7700</v>
      </c>
      <c r="F7200" t="str">
        <f t="shared" ref="F7200" si="7192">LEFT(A7200, LEN(A7200) - 1)</f>
        <v>&gt;3598:TGAATC:16.00:33.33:OK:6:1791.23</v>
      </c>
    </row>
    <row r="7201" spans="1:6" x14ac:dyDescent="0.3">
      <c r="A7201" t="s">
        <v>3604</v>
      </c>
      <c r="F7201" t="str">
        <f t="shared" ref="F7201" si="7193">A7201</f>
        <v>TGAATC</v>
      </c>
    </row>
    <row r="7202" spans="1:6" x14ac:dyDescent="0.3">
      <c r="A7202" t="s">
        <v>7701</v>
      </c>
      <c r="F7202" t="str">
        <f t="shared" ref="F7202" si="7194">LEFT(A7202, LEN(A7202) - 1)</f>
        <v>&gt;3599:TGAATG:16.00:33.33:OK:6:1831.26</v>
      </c>
    </row>
    <row r="7203" spans="1:6" x14ac:dyDescent="0.3">
      <c r="A7203" t="s">
        <v>3605</v>
      </c>
      <c r="F7203" t="str">
        <f t="shared" ref="F7203" si="7195">A7203</f>
        <v>TGAATG</v>
      </c>
    </row>
    <row r="7204" spans="1:6" x14ac:dyDescent="0.3">
      <c r="A7204" t="s">
        <v>7702</v>
      </c>
      <c r="F7204" t="str">
        <f t="shared" ref="F7204" si="7196">LEFT(A7204, LEN(A7204) - 1)</f>
        <v>&gt;3600:TGAATT:10.00:16.67:OK:6:1806.24</v>
      </c>
    </row>
    <row r="7205" spans="1:6" x14ac:dyDescent="0.3">
      <c r="A7205" t="s">
        <v>3606</v>
      </c>
      <c r="F7205" t="str">
        <f t="shared" ref="F7205" si="7197">A7205</f>
        <v>TGAATT</v>
      </c>
    </row>
    <row r="7206" spans="1:6" x14ac:dyDescent="0.3">
      <c r="A7206" t="s">
        <v>7703</v>
      </c>
      <c r="F7206" t="str">
        <f t="shared" ref="F7206" si="7198">LEFT(A7206, LEN(A7206) - 1)</f>
        <v>&gt;3601:TGACAA:24.00:33.33:OK:6:1800.25</v>
      </c>
    </row>
    <row r="7207" spans="1:6" x14ac:dyDescent="0.3">
      <c r="A7207" t="s">
        <v>3607</v>
      </c>
      <c r="F7207" t="str">
        <f t="shared" ref="F7207" si="7199">A7207</f>
        <v>TGACAA</v>
      </c>
    </row>
    <row r="7208" spans="1:6" x14ac:dyDescent="0.3">
      <c r="A7208" t="s">
        <v>7704</v>
      </c>
      <c r="F7208" t="str">
        <f t="shared" ref="F7208" si="7200">LEFT(A7208, LEN(A7208) - 1)</f>
        <v>&gt;3602:TGACAC:22.00:50.00:Warning:6:1776.22</v>
      </c>
    </row>
    <row r="7209" spans="1:6" x14ac:dyDescent="0.3">
      <c r="A7209" t="s">
        <v>3608</v>
      </c>
      <c r="F7209" t="str">
        <f t="shared" ref="F7209" si="7201">A7209</f>
        <v>TGACAC</v>
      </c>
    </row>
    <row r="7210" spans="1:6" x14ac:dyDescent="0.3">
      <c r="A7210" t="s">
        <v>7705</v>
      </c>
      <c r="F7210" t="str">
        <f t="shared" ref="F7210" si="7202">LEFT(A7210, LEN(A7210) - 1)</f>
        <v>&gt;3603:TGACAG:22.00:50.00:Warning:6:1816.25</v>
      </c>
    </row>
    <row r="7211" spans="1:6" x14ac:dyDescent="0.3">
      <c r="A7211" t="s">
        <v>3609</v>
      </c>
      <c r="F7211" t="str">
        <f t="shared" ref="F7211" si="7203">A7211</f>
        <v>TGACAG</v>
      </c>
    </row>
    <row r="7212" spans="1:6" x14ac:dyDescent="0.3">
      <c r="A7212" t="s">
        <v>7706</v>
      </c>
      <c r="F7212" t="str">
        <f t="shared" ref="F7212" si="7204">LEFT(A7212, LEN(A7212) - 1)</f>
        <v>&gt;3604:TGACAT:16.00:33.33:OK:6:1791.23</v>
      </c>
    </row>
    <row r="7213" spans="1:6" x14ac:dyDescent="0.3">
      <c r="A7213" t="s">
        <v>3610</v>
      </c>
      <c r="F7213" t="str">
        <f t="shared" ref="F7213" si="7205">A7213</f>
        <v>TGACAT</v>
      </c>
    </row>
    <row r="7214" spans="1:6" x14ac:dyDescent="0.3">
      <c r="A7214" t="s">
        <v>7707</v>
      </c>
      <c r="F7214" t="str">
        <f t="shared" ref="F7214" si="7206">LEFT(A7214, LEN(A7214) - 1)</f>
        <v>&gt;3605:TGACCA:22.00:50.00:Warning:6:1776.22</v>
      </c>
    </row>
    <row r="7215" spans="1:6" x14ac:dyDescent="0.3">
      <c r="A7215" t="s">
        <v>3611</v>
      </c>
      <c r="F7215" t="str">
        <f t="shared" ref="F7215" si="7207">A7215</f>
        <v>TGACCA</v>
      </c>
    </row>
    <row r="7216" spans="1:6" x14ac:dyDescent="0.3">
      <c r="A7216" t="s">
        <v>7708</v>
      </c>
      <c r="F7216" t="str">
        <f t="shared" ref="F7216" si="7208">LEFT(A7216, LEN(A7216) - 1)</f>
        <v>&gt;3606:TGACCC:20.00:66.67:Warning:6:1752.19</v>
      </c>
    </row>
    <row r="7217" spans="1:6" x14ac:dyDescent="0.3">
      <c r="A7217" t="s">
        <v>3612</v>
      </c>
      <c r="F7217" t="str">
        <f t="shared" ref="F7217" si="7209">A7217</f>
        <v>TGACCC</v>
      </c>
    </row>
    <row r="7218" spans="1:6" x14ac:dyDescent="0.3">
      <c r="A7218" t="s">
        <v>7709</v>
      </c>
      <c r="F7218" t="str">
        <f t="shared" ref="F7218" si="7210">LEFT(A7218, LEN(A7218) - 1)</f>
        <v>&gt;3607:TGACCG:20.00:66.67:Warning:6:1792.22</v>
      </c>
    </row>
    <row r="7219" spans="1:6" x14ac:dyDescent="0.3">
      <c r="A7219" t="s">
        <v>3613</v>
      </c>
      <c r="F7219" t="str">
        <f t="shared" ref="F7219" si="7211">A7219</f>
        <v>TGACCG</v>
      </c>
    </row>
    <row r="7220" spans="1:6" x14ac:dyDescent="0.3">
      <c r="A7220" t="s">
        <v>7710</v>
      </c>
      <c r="F7220" t="str">
        <f t="shared" ref="F7220" si="7212">LEFT(A7220, LEN(A7220) - 1)</f>
        <v>&gt;3608:TGACCT:14.00:50.00:Warning:6:1767.20</v>
      </c>
    </row>
    <row r="7221" spans="1:6" x14ac:dyDescent="0.3">
      <c r="A7221" t="s">
        <v>3614</v>
      </c>
      <c r="F7221" t="str">
        <f t="shared" ref="F7221" si="7213">A7221</f>
        <v>TGACCT</v>
      </c>
    </row>
    <row r="7222" spans="1:6" x14ac:dyDescent="0.3">
      <c r="A7222" t="s">
        <v>7711</v>
      </c>
      <c r="F7222" t="str">
        <f t="shared" ref="F7222" si="7214">LEFT(A7222, LEN(A7222) - 1)</f>
        <v>&gt;3609:TGACGA:22.00:50.00:Warning:6:1816.25</v>
      </c>
    </row>
    <row r="7223" spans="1:6" x14ac:dyDescent="0.3">
      <c r="A7223" t="s">
        <v>3615</v>
      </c>
      <c r="F7223" t="str">
        <f t="shared" ref="F7223" si="7215">A7223</f>
        <v>TGACGA</v>
      </c>
    </row>
    <row r="7224" spans="1:6" x14ac:dyDescent="0.3">
      <c r="A7224" t="s">
        <v>7712</v>
      </c>
      <c r="F7224" t="str">
        <f t="shared" ref="F7224" si="7216">LEFT(A7224, LEN(A7224) - 1)</f>
        <v>&gt;3610:TGACGC:20.00:66.67:Warning:6:1792.22</v>
      </c>
    </row>
    <row r="7225" spans="1:6" x14ac:dyDescent="0.3">
      <c r="A7225" t="s">
        <v>3616</v>
      </c>
      <c r="F7225" t="str">
        <f t="shared" ref="F7225" si="7217">A7225</f>
        <v>TGACGC</v>
      </c>
    </row>
    <row r="7226" spans="1:6" x14ac:dyDescent="0.3">
      <c r="A7226" t="s">
        <v>7713</v>
      </c>
      <c r="F7226" t="str">
        <f t="shared" ref="F7226" si="7218">LEFT(A7226, LEN(A7226) - 1)</f>
        <v>&gt;3611:TGACGG:20.00:66.67:Warning:6:1832.25</v>
      </c>
    </row>
    <row r="7227" spans="1:6" x14ac:dyDescent="0.3">
      <c r="A7227" t="s">
        <v>3617</v>
      </c>
      <c r="F7227" t="str">
        <f t="shared" ref="F7227" si="7219">A7227</f>
        <v>TGACGG</v>
      </c>
    </row>
    <row r="7228" spans="1:6" x14ac:dyDescent="0.3">
      <c r="A7228" t="s">
        <v>7714</v>
      </c>
      <c r="F7228" t="str">
        <f t="shared" ref="F7228" si="7220">LEFT(A7228, LEN(A7228) - 1)</f>
        <v>&gt;3612:TGACGT:14.00:50.00:Warning:6:1807.23</v>
      </c>
    </row>
    <row r="7229" spans="1:6" x14ac:dyDescent="0.3">
      <c r="A7229" t="s">
        <v>3618</v>
      </c>
      <c r="F7229" t="str">
        <f t="shared" ref="F7229" si="7221">A7229</f>
        <v>TGACGT</v>
      </c>
    </row>
    <row r="7230" spans="1:6" x14ac:dyDescent="0.3">
      <c r="A7230" t="s">
        <v>7715</v>
      </c>
      <c r="F7230" t="str">
        <f t="shared" ref="F7230" si="7222">LEFT(A7230, LEN(A7230) - 1)</f>
        <v>&gt;3613:TGACTA:16.00:33.33:OK:6:1791.23</v>
      </c>
    </row>
    <row r="7231" spans="1:6" x14ac:dyDescent="0.3">
      <c r="A7231" t="s">
        <v>3619</v>
      </c>
      <c r="F7231" t="str">
        <f t="shared" ref="F7231" si="7223">A7231</f>
        <v>TGACTA</v>
      </c>
    </row>
    <row r="7232" spans="1:6" x14ac:dyDescent="0.3">
      <c r="A7232" t="s">
        <v>7716</v>
      </c>
      <c r="F7232" t="str">
        <f t="shared" ref="F7232" si="7224">LEFT(A7232, LEN(A7232) - 1)</f>
        <v>&gt;3614:TGACTC:14.00:50.00:Warning:6:1767.20</v>
      </c>
    </row>
    <row r="7233" spans="1:6" x14ac:dyDescent="0.3">
      <c r="A7233" t="s">
        <v>3620</v>
      </c>
      <c r="F7233" t="str">
        <f t="shared" ref="F7233" si="7225">A7233</f>
        <v>TGACTC</v>
      </c>
    </row>
    <row r="7234" spans="1:6" x14ac:dyDescent="0.3">
      <c r="A7234" t="s">
        <v>7717</v>
      </c>
      <c r="F7234" t="str">
        <f t="shared" ref="F7234" si="7226">LEFT(A7234, LEN(A7234) - 1)</f>
        <v>&gt;3615:TGACTG:14.00:50.00:Warning:6:1807.23</v>
      </c>
    </row>
    <row r="7235" spans="1:6" x14ac:dyDescent="0.3">
      <c r="A7235" t="s">
        <v>3621</v>
      </c>
      <c r="F7235" t="str">
        <f t="shared" ref="F7235" si="7227">A7235</f>
        <v>TGACTG</v>
      </c>
    </row>
    <row r="7236" spans="1:6" x14ac:dyDescent="0.3">
      <c r="A7236" t="s">
        <v>7718</v>
      </c>
      <c r="F7236" t="str">
        <f t="shared" ref="F7236" si="7228">LEFT(A7236, LEN(A7236) - 1)</f>
        <v>&gt;3616:TGACTT:8.00:33.33:OK:6:1782.21</v>
      </c>
    </row>
    <row r="7237" spans="1:6" x14ac:dyDescent="0.3">
      <c r="A7237" t="s">
        <v>3622</v>
      </c>
      <c r="F7237" t="str">
        <f t="shared" ref="F7237" si="7229">A7237</f>
        <v>TGACTT</v>
      </c>
    </row>
    <row r="7238" spans="1:6" x14ac:dyDescent="0.3">
      <c r="A7238" t="s">
        <v>7719</v>
      </c>
      <c r="F7238" t="str">
        <f t="shared" ref="F7238" si="7230">LEFT(A7238, LEN(A7238) - 1)</f>
        <v>&gt;3617:TGAGAA:24.00:33.33:OK:6:1840.28</v>
      </c>
    </row>
    <row r="7239" spans="1:6" x14ac:dyDescent="0.3">
      <c r="A7239" t="s">
        <v>3623</v>
      </c>
      <c r="F7239" t="str">
        <f t="shared" ref="F7239" si="7231">A7239</f>
        <v>TGAGAA</v>
      </c>
    </row>
    <row r="7240" spans="1:6" x14ac:dyDescent="0.3">
      <c r="A7240" t="s">
        <v>7720</v>
      </c>
      <c r="F7240" t="str">
        <f t="shared" ref="F7240" si="7232">LEFT(A7240, LEN(A7240) - 1)</f>
        <v>&gt;3618:TGAGAC:22.00:50.00:Warning:6:1816.25</v>
      </c>
    </row>
    <row r="7241" spans="1:6" x14ac:dyDescent="0.3">
      <c r="A7241" t="s">
        <v>3624</v>
      </c>
      <c r="F7241" t="str">
        <f t="shared" ref="F7241" si="7233">A7241</f>
        <v>TGAGAC</v>
      </c>
    </row>
    <row r="7242" spans="1:6" x14ac:dyDescent="0.3">
      <c r="A7242" t="s">
        <v>7721</v>
      </c>
      <c r="F7242" t="str">
        <f t="shared" ref="F7242" si="7234">LEFT(A7242, LEN(A7242) - 1)</f>
        <v>&gt;3619:TGAGAG:22.00:50.00:Warning:6:1856.28</v>
      </c>
    </row>
    <row r="7243" spans="1:6" x14ac:dyDescent="0.3">
      <c r="A7243" t="s">
        <v>3625</v>
      </c>
      <c r="F7243" t="str">
        <f t="shared" ref="F7243" si="7235">A7243</f>
        <v>TGAGAG</v>
      </c>
    </row>
    <row r="7244" spans="1:6" x14ac:dyDescent="0.3">
      <c r="A7244" t="s">
        <v>7722</v>
      </c>
      <c r="F7244" t="str">
        <f t="shared" ref="F7244" si="7236">LEFT(A7244, LEN(A7244) - 1)</f>
        <v>&gt;3620:TGAGAT:16.00:33.33:OK:6:1831.26</v>
      </c>
    </row>
    <row r="7245" spans="1:6" x14ac:dyDescent="0.3">
      <c r="A7245" t="s">
        <v>3626</v>
      </c>
      <c r="F7245" t="str">
        <f t="shared" ref="F7245" si="7237">A7245</f>
        <v>TGAGAT</v>
      </c>
    </row>
    <row r="7246" spans="1:6" x14ac:dyDescent="0.3">
      <c r="A7246" t="s">
        <v>7723</v>
      </c>
      <c r="F7246" t="str">
        <f t="shared" ref="F7246" si="7238">LEFT(A7246, LEN(A7246) - 1)</f>
        <v>&gt;3621:TGAGCA:22.00:50.00:Warning:6:1816.25</v>
      </c>
    </row>
    <row r="7247" spans="1:6" x14ac:dyDescent="0.3">
      <c r="A7247" t="s">
        <v>3627</v>
      </c>
      <c r="F7247" t="str">
        <f t="shared" ref="F7247" si="7239">A7247</f>
        <v>TGAGCA</v>
      </c>
    </row>
    <row r="7248" spans="1:6" x14ac:dyDescent="0.3">
      <c r="A7248" t="s">
        <v>7724</v>
      </c>
      <c r="F7248" t="str">
        <f t="shared" ref="F7248" si="7240">LEFT(A7248, LEN(A7248) - 1)</f>
        <v>&gt;3622:TGAGCC:20.00:66.67:Warning:6:1792.22</v>
      </c>
    </row>
    <row r="7249" spans="1:6" x14ac:dyDescent="0.3">
      <c r="A7249" t="s">
        <v>3628</v>
      </c>
      <c r="F7249" t="str">
        <f t="shared" ref="F7249" si="7241">A7249</f>
        <v>TGAGCC</v>
      </c>
    </row>
    <row r="7250" spans="1:6" x14ac:dyDescent="0.3">
      <c r="A7250" t="s">
        <v>7725</v>
      </c>
      <c r="F7250" t="str">
        <f t="shared" ref="F7250" si="7242">LEFT(A7250, LEN(A7250) - 1)</f>
        <v>&gt;3623:TGAGCG:20.00:66.67:Warning:6:1832.25</v>
      </c>
    </row>
    <row r="7251" spans="1:6" x14ac:dyDescent="0.3">
      <c r="A7251" t="s">
        <v>3629</v>
      </c>
      <c r="F7251" t="str">
        <f t="shared" ref="F7251" si="7243">A7251</f>
        <v>TGAGCG</v>
      </c>
    </row>
    <row r="7252" spans="1:6" x14ac:dyDescent="0.3">
      <c r="A7252" t="s">
        <v>7726</v>
      </c>
      <c r="F7252" t="str">
        <f t="shared" ref="F7252" si="7244">LEFT(A7252, LEN(A7252) - 1)</f>
        <v>&gt;3624:TGAGCT:14.00:50.00:Warning:6:1807.23</v>
      </c>
    </row>
    <row r="7253" spans="1:6" x14ac:dyDescent="0.3">
      <c r="A7253" t="s">
        <v>3630</v>
      </c>
      <c r="F7253" t="str">
        <f t="shared" ref="F7253" si="7245">A7253</f>
        <v>TGAGCT</v>
      </c>
    </row>
    <row r="7254" spans="1:6" x14ac:dyDescent="0.3">
      <c r="A7254" t="s">
        <v>7727</v>
      </c>
      <c r="F7254" t="str">
        <f t="shared" ref="F7254" si="7246">LEFT(A7254, LEN(A7254) - 1)</f>
        <v>&gt;3625:TGAGGA:22.00:50.00:Warning:6:1856.28</v>
      </c>
    </row>
    <row r="7255" spans="1:6" x14ac:dyDescent="0.3">
      <c r="A7255" t="s">
        <v>3631</v>
      </c>
      <c r="F7255" t="str">
        <f t="shared" ref="F7255" si="7247">A7255</f>
        <v>TGAGGA</v>
      </c>
    </row>
    <row r="7256" spans="1:6" x14ac:dyDescent="0.3">
      <c r="A7256" t="s">
        <v>7728</v>
      </c>
      <c r="F7256" t="str">
        <f t="shared" ref="F7256" si="7248">LEFT(A7256, LEN(A7256) - 1)</f>
        <v>&gt;3626:TGAGGC:20.00:66.67:Warning:6:1832.25</v>
      </c>
    </row>
    <row r="7257" spans="1:6" x14ac:dyDescent="0.3">
      <c r="A7257" t="s">
        <v>3632</v>
      </c>
      <c r="F7257" t="str">
        <f t="shared" ref="F7257" si="7249">A7257</f>
        <v>TGAGGC</v>
      </c>
    </row>
    <row r="7258" spans="1:6" x14ac:dyDescent="0.3">
      <c r="A7258" t="s">
        <v>7729</v>
      </c>
      <c r="F7258" t="str">
        <f t="shared" ref="F7258" si="7250">LEFT(A7258, LEN(A7258) - 1)</f>
        <v>&gt;3627:TGAGGG:20.00:66.67:Warning:6:1872.28</v>
      </c>
    </row>
    <row r="7259" spans="1:6" x14ac:dyDescent="0.3">
      <c r="A7259" t="s">
        <v>3633</v>
      </c>
      <c r="F7259" t="str">
        <f t="shared" ref="F7259" si="7251">A7259</f>
        <v>TGAGGG</v>
      </c>
    </row>
    <row r="7260" spans="1:6" x14ac:dyDescent="0.3">
      <c r="A7260" t="s">
        <v>7730</v>
      </c>
      <c r="F7260" t="str">
        <f t="shared" ref="F7260" si="7252">LEFT(A7260, LEN(A7260) - 1)</f>
        <v>&gt;3628:TGAGGT:14.00:50.00:Warning:6:1847.26</v>
      </c>
    </row>
    <row r="7261" spans="1:6" x14ac:dyDescent="0.3">
      <c r="A7261" t="s">
        <v>3634</v>
      </c>
      <c r="F7261" t="str">
        <f t="shared" ref="F7261" si="7253">A7261</f>
        <v>TGAGGT</v>
      </c>
    </row>
    <row r="7262" spans="1:6" x14ac:dyDescent="0.3">
      <c r="A7262" t="s">
        <v>7731</v>
      </c>
      <c r="F7262" t="str">
        <f t="shared" ref="F7262" si="7254">LEFT(A7262, LEN(A7262) - 1)</f>
        <v>&gt;3629:TGAGTA:16.00:33.33:OK:6:1831.26</v>
      </c>
    </row>
    <row r="7263" spans="1:6" x14ac:dyDescent="0.3">
      <c r="A7263" t="s">
        <v>3635</v>
      </c>
      <c r="F7263" t="str">
        <f t="shared" ref="F7263" si="7255">A7263</f>
        <v>TGAGTA</v>
      </c>
    </row>
    <row r="7264" spans="1:6" x14ac:dyDescent="0.3">
      <c r="A7264" t="s">
        <v>7732</v>
      </c>
      <c r="F7264" t="str">
        <f t="shared" ref="F7264" si="7256">LEFT(A7264, LEN(A7264) - 1)</f>
        <v>&gt;3630:TGAGTC:14.00:50.00:Warning:6:1807.23</v>
      </c>
    </row>
    <row r="7265" spans="1:6" x14ac:dyDescent="0.3">
      <c r="A7265" t="s">
        <v>3636</v>
      </c>
      <c r="F7265" t="str">
        <f t="shared" ref="F7265" si="7257">A7265</f>
        <v>TGAGTC</v>
      </c>
    </row>
    <row r="7266" spans="1:6" x14ac:dyDescent="0.3">
      <c r="A7266" t="s">
        <v>7733</v>
      </c>
      <c r="F7266" t="str">
        <f t="shared" ref="F7266" si="7258">LEFT(A7266, LEN(A7266) - 1)</f>
        <v>&gt;3631:TGAGTG:14.00:50.00:Warning:6:1847.26</v>
      </c>
    </row>
    <row r="7267" spans="1:6" x14ac:dyDescent="0.3">
      <c r="A7267" t="s">
        <v>3637</v>
      </c>
      <c r="F7267" t="str">
        <f t="shared" ref="F7267" si="7259">A7267</f>
        <v>TGAGTG</v>
      </c>
    </row>
    <row r="7268" spans="1:6" x14ac:dyDescent="0.3">
      <c r="A7268" t="s">
        <v>7734</v>
      </c>
      <c r="F7268" t="str">
        <f t="shared" ref="F7268" si="7260">LEFT(A7268, LEN(A7268) - 1)</f>
        <v>&gt;3632:TGAGTT:8.00:33.33:OK:6:1822.24</v>
      </c>
    </row>
    <row r="7269" spans="1:6" x14ac:dyDescent="0.3">
      <c r="A7269" t="s">
        <v>3638</v>
      </c>
      <c r="F7269" t="str">
        <f t="shared" ref="F7269" si="7261">A7269</f>
        <v>TGAGTT</v>
      </c>
    </row>
    <row r="7270" spans="1:6" x14ac:dyDescent="0.3">
      <c r="A7270" t="s">
        <v>7735</v>
      </c>
      <c r="F7270" t="str">
        <f t="shared" ref="F7270" si="7262">LEFT(A7270, LEN(A7270) - 1)</f>
        <v>&gt;3633:TGATAA:18.00:16.67:OK:6:1815.26</v>
      </c>
    </row>
    <row r="7271" spans="1:6" x14ac:dyDescent="0.3">
      <c r="A7271" t="s">
        <v>3639</v>
      </c>
      <c r="F7271" t="str">
        <f t="shared" ref="F7271" si="7263">A7271</f>
        <v>TGATAA</v>
      </c>
    </row>
    <row r="7272" spans="1:6" x14ac:dyDescent="0.3">
      <c r="A7272" t="s">
        <v>7736</v>
      </c>
      <c r="F7272" t="str">
        <f t="shared" ref="F7272" si="7264">LEFT(A7272, LEN(A7272) - 1)</f>
        <v>&gt;3634:TGATAC:16.00:33.33:OK:6:1791.23</v>
      </c>
    </row>
    <row r="7273" spans="1:6" x14ac:dyDescent="0.3">
      <c r="A7273" t="s">
        <v>3640</v>
      </c>
      <c r="F7273" t="str">
        <f t="shared" ref="F7273" si="7265">A7273</f>
        <v>TGATAC</v>
      </c>
    </row>
    <row r="7274" spans="1:6" x14ac:dyDescent="0.3">
      <c r="A7274" t="s">
        <v>7737</v>
      </c>
      <c r="F7274" t="str">
        <f t="shared" ref="F7274" si="7266">LEFT(A7274, LEN(A7274) - 1)</f>
        <v>&gt;3635:TGATAG:16.00:33.33:OK:6:1831.26</v>
      </c>
    </row>
    <row r="7275" spans="1:6" x14ac:dyDescent="0.3">
      <c r="A7275" t="s">
        <v>3641</v>
      </c>
      <c r="F7275" t="str">
        <f t="shared" ref="F7275" si="7267">A7275</f>
        <v>TGATAG</v>
      </c>
    </row>
    <row r="7276" spans="1:6" x14ac:dyDescent="0.3">
      <c r="A7276" t="s">
        <v>7738</v>
      </c>
      <c r="F7276" t="str">
        <f t="shared" ref="F7276" si="7268">LEFT(A7276, LEN(A7276) - 1)</f>
        <v>&gt;3636:TGATAT:10.00:16.67:OK:6:1806.24</v>
      </c>
    </row>
    <row r="7277" spans="1:6" x14ac:dyDescent="0.3">
      <c r="A7277" t="s">
        <v>3642</v>
      </c>
      <c r="F7277" t="str">
        <f t="shared" ref="F7277" si="7269">A7277</f>
        <v>TGATAT</v>
      </c>
    </row>
    <row r="7278" spans="1:6" x14ac:dyDescent="0.3">
      <c r="A7278" t="s">
        <v>7739</v>
      </c>
      <c r="F7278" t="str">
        <f t="shared" ref="F7278" si="7270">LEFT(A7278, LEN(A7278) - 1)</f>
        <v>&gt;3637:TGATCA:16.00:33.33:OK:6:1791.23</v>
      </c>
    </row>
    <row r="7279" spans="1:6" x14ac:dyDescent="0.3">
      <c r="A7279" t="s">
        <v>3643</v>
      </c>
      <c r="F7279" t="str">
        <f t="shared" ref="F7279" si="7271">A7279</f>
        <v>TGATCA</v>
      </c>
    </row>
    <row r="7280" spans="1:6" x14ac:dyDescent="0.3">
      <c r="A7280" t="s">
        <v>7740</v>
      </c>
      <c r="F7280" t="str">
        <f t="shared" ref="F7280" si="7272">LEFT(A7280, LEN(A7280) - 1)</f>
        <v>&gt;3638:TGATCC:14.00:50.00:Warning:6:1767.20</v>
      </c>
    </row>
    <row r="7281" spans="1:6" x14ac:dyDescent="0.3">
      <c r="A7281" t="s">
        <v>3644</v>
      </c>
      <c r="F7281" t="str">
        <f t="shared" ref="F7281" si="7273">A7281</f>
        <v>TGATCC</v>
      </c>
    </row>
    <row r="7282" spans="1:6" x14ac:dyDescent="0.3">
      <c r="A7282" t="s">
        <v>7741</v>
      </c>
      <c r="F7282" t="str">
        <f t="shared" ref="F7282" si="7274">LEFT(A7282, LEN(A7282) - 1)</f>
        <v>&gt;3639:TGATCG:14.00:50.00:Warning:6:1807.23</v>
      </c>
    </row>
    <row r="7283" spans="1:6" x14ac:dyDescent="0.3">
      <c r="A7283" t="s">
        <v>3645</v>
      </c>
      <c r="F7283" t="str">
        <f t="shared" ref="F7283" si="7275">A7283</f>
        <v>TGATCG</v>
      </c>
    </row>
    <row r="7284" spans="1:6" x14ac:dyDescent="0.3">
      <c r="A7284" t="s">
        <v>7742</v>
      </c>
      <c r="F7284" t="str">
        <f t="shared" ref="F7284" si="7276">LEFT(A7284, LEN(A7284) - 1)</f>
        <v>&gt;3640:TGATCT:8.00:33.33:OK:6:1782.21</v>
      </c>
    </row>
    <row r="7285" spans="1:6" x14ac:dyDescent="0.3">
      <c r="A7285" t="s">
        <v>3646</v>
      </c>
      <c r="F7285" t="str">
        <f t="shared" ref="F7285" si="7277">A7285</f>
        <v>TGATCT</v>
      </c>
    </row>
    <row r="7286" spans="1:6" x14ac:dyDescent="0.3">
      <c r="A7286" t="s">
        <v>7743</v>
      </c>
      <c r="F7286" t="str">
        <f t="shared" ref="F7286" si="7278">LEFT(A7286, LEN(A7286) - 1)</f>
        <v>&gt;3641:TGATGA:16.00:33.33:OK:6:1831.26</v>
      </c>
    </row>
    <row r="7287" spans="1:6" x14ac:dyDescent="0.3">
      <c r="A7287" t="s">
        <v>3647</v>
      </c>
      <c r="F7287" t="str">
        <f t="shared" ref="F7287" si="7279">A7287</f>
        <v>TGATGA</v>
      </c>
    </row>
    <row r="7288" spans="1:6" x14ac:dyDescent="0.3">
      <c r="A7288" t="s">
        <v>7744</v>
      </c>
      <c r="F7288" t="str">
        <f t="shared" ref="F7288" si="7280">LEFT(A7288, LEN(A7288) - 1)</f>
        <v>&gt;3642:TGATGC:14.00:50.00:Warning:6:1807.23</v>
      </c>
    </row>
    <row r="7289" spans="1:6" x14ac:dyDescent="0.3">
      <c r="A7289" t="s">
        <v>3648</v>
      </c>
      <c r="F7289" t="str">
        <f t="shared" ref="F7289" si="7281">A7289</f>
        <v>TGATGC</v>
      </c>
    </row>
    <row r="7290" spans="1:6" x14ac:dyDescent="0.3">
      <c r="A7290" t="s">
        <v>7745</v>
      </c>
      <c r="F7290" t="str">
        <f t="shared" ref="F7290" si="7282">LEFT(A7290, LEN(A7290) - 1)</f>
        <v>&gt;3643:TGATGG:14.00:50.00:Warning:6:1847.26</v>
      </c>
    </row>
    <row r="7291" spans="1:6" x14ac:dyDescent="0.3">
      <c r="A7291" t="s">
        <v>3649</v>
      </c>
      <c r="F7291" t="str">
        <f t="shared" ref="F7291" si="7283">A7291</f>
        <v>TGATGG</v>
      </c>
    </row>
    <row r="7292" spans="1:6" x14ac:dyDescent="0.3">
      <c r="A7292" t="s">
        <v>7746</v>
      </c>
      <c r="F7292" t="str">
        <f t="shared" ref="F7292" si="7284">LEFT(A7292, LEN(A7292) - 1)</f>
        <v>&gt;3644:TGATGT:8.00:33.33:OK:6:1822.24</v>
      </c>
    </row>
    <row r="7293" spans="1:6" x14ac:dyDescent="0.3">
      <c r="A7293" t="s">
        <v>3650</v>
      </c>
      <c r="F7293" t="str">
        <f t="shared" ref="F7293" si="7285">A7293</f>
        <v>TGATGT</v>
      </c>
    </row>
    <row r="7294" spans="1:6" x14ac:dyDescent="0.3">
      <c r="A7294" t="s">
        <v>7747</v>
      </c>
      <c r="F7294" t="str">
        <f t="shared" ref="F7294" si="7286">LEFT(A7294, LEN(A7294) - 1)</f>
        <v>&gt;3645:TGATTA:10.00:16.67:OK:6:1806.24</v>
      </c>
    </row>
    <row r="7295" spans="1:6" x14ac:dyDescent="0.3">
      <c r="A7295" t="s">
        <v>3651</v>
      </c>
      <c r="F7295" t="str">
        <f t="shared" ref="F7295" si="7287">A7295</f>
        <v>TGATTA</v>
      </c>
    </row>
    <row r="7296" spans="1:6" x14ac:dyDescent="0.3">
      <c r="A7296" t="s">
        <v>7748</v>
      </c>
      <c r="F7296" t="str">
        <f t="shared" ref="F7296" si="7288">LEFT(A7296, LEN(A7296) - 1)</f>
        <v>&gt;3646:TGATTC:8.00:33.33:OK:6:1782.21</v>
      </c>
    </row>
    <row r="7297" spans="1:6" x14ac:dyDescent="0.3">
      <c r="A7297" t="s">
        <v>3652</v>
      </c>
      <c r="F7297" t="str">
        <f t="shared" ref="F7297" si="7289">A7297</f>
        <v>TGATTC</v>
      </c>
    </row>
    <row r="7298" spans="1:6" x14ac:dyDescent="0.3">
      <c r="A7298" t="s">
        <v>7749</v>
      </c>
      <c r="F7298" t="str">
        <f t="shared" ref="F7298" si="7290">LEFT(A7298, LEN(A7298) - 1)</f>
        <v>&gt;3647:TGATTG:8.00:33.33:OK:6:1822.24</v>
      </c>
    </row>
    <row r="7299" spans="1:6" x14ac:dyDescent="0.3">
      <c r="A7299" t="s">
        <v>3653</v>
      </c>
      <c r="F7299" t="str">
        <f t="shared" ref="F7299" si="7291">A7299</f>
        <v>TGATTG</v>
      </c>
    </row>
    <row r="7300" spans="1:6" x14ac:dyDescent="0.3">
      <c r="A7300" t="s">
        <v>7750</v>
      </c>
      <c r="F7300" t="str">
        <f t="shared" ref="F7300" si="7292">LEFT(A7300, LEN(A7300) - 1)</f>
        <v>&gt;3648:TGATTT:2.00:16.67:OK:6:1797.22</v>
      </c>
    </row>
    <row r="7301" spans="1:6" x14ac:dyDescent="0.3">
      <c r="A7301" t="s">
        <v>3654</v>
      </c>
      <c r="F7301" t="str">
        <f t="shared" ref="F7301" si="7293">A7301</f>
        <v>TGATTT</v>
      </c>
    </row>
    <row r="7302" spans="1:6" x14ac:dyDescent="0.3">
      <c r="A7302" t="s">
        <v>7751</v>
      </c>
      <c r="F7302" t="str">
        <f t="shared" ref="F7302" si="7294">LEFT(A7302, LEN(A7302) - 1)</f>
        <v>&gt;3649:TGCAAA:24.00:33.33:OK:6:1800.25</v>
      </c>
    </row>
    <row r="7303" spans="1:6" x14ac:dyDescent="0.3">
      <c r="A7303" t="s">
        <v>3655</v>
      </c>
      <c r="F7303" t="str">
        <f t="shared" ref="F7303" si="7295">A7303</f>
        <v>TGCAAA</v>
      </c>
    </row>
    <row r="7304" spans="1:6" x14ac:dyDescent="0.3">
      <c r="A7304" t="s">
        <v>7752</v>
      </c>
      <c r="F7304" t="str">
        <f t="shared" ref="F7304" si="7296">LEFT(A7304, LEN(A7304) - 1)</f>
        <v>&gt;3650:TGCAAC:22.00:50.00:Warning:6:1776.22</v>
      </c>
    </row>
    <row r="7305" spans="1:6" x14ac:dyDescent="0.3">
      <c r="A7305" t="s">
        <v>3656</v>
      </c>
      <c r="F7305" t="str">
        <f t="shared" ref="F7305" si="7297">A7305</f>
        <v>TGCAAC</v>
      </c>
    </row>
    <row r="7306" spans="1:6" x14ac:dyDescent="0.3">
      <c r="A7306" t="s">
        <v>7753</v>
      </c>
      <c r="F7306" t="str">
        <f t="shared" ref="F7306" si="7298">LEFT(A7306, LEN(A7306) - 1)</f>
        <v>&gt;3651:TGCAAG:22.00:50.00:Warning:6:1816.25</v>
      </c>
    </row>
    <row r="7307" spans="1:6" x14ac:dyDescent="0.3">
      <c r="A7307" t="s">
        <v>3657</v>
      </c>
      <c r="F7307" t="str">
        <f t="shared" ref="F7307" si="7299">A7307</f>
        <v>TGCAAG</v>
      </c>
    </row>
    <row r="7308" spans="1:6" x14ac:dyDescent="0.3">
      <c r="A7308" t="s">
        <v>7754</v>
      </c>
      <c r="F7308" t="str">
        <f t="shared" ref="F7308" si="7300">LEFT(A7308, LEN(A7308) - 1)</f>
        <v>&gt;3652:TGCAAT:16.00:33.33:OK:6:1791.23</v>
      </c>
    </row>
    <row r="7309" spans="1:6" x14ac:dyDescent="0.3">
      <c r="A7309" t="s">
        <v>3658</v>
      </c>
      <c r="F7309" t="str">
        <f t="shared" ref="F7309" si="7301">A7309</f>
        <v>TGCAAT</v>
      </c>
    </row>
    <row r="7310" spans="1:6" x14ac:dyDescent="0.3">
      <c r="A7310" t="s">
        <v>7755</v>
      </c>
      <c r="F7310" t="str">
        <f t="shared" ref="F7310" si="7302">LEFT(A7310, LEN(A7310) - 1)</f>
        <v>&gt;3653:TGCACA:22.00:50.00:Warning:6:1776.22</v>
      </c>
    </row>
    <row r="7311" spans="1:6" x14ac:dyDescent="0.3">
      <c r="A7311" t="s">
        <v>3659</v>
      </c>
      <c r="F7311" t="str">
        <f t="shared" ref="F7311" si="7303">A7311</f>
        <v>TGCACA</v>
      </c>
    </row>
    <row r="7312" spans="1:6" x14ac:dyDescent="0.3">
      <c r="A7312" t="s">
        <v>7756</v>
      </c>
      <c r="F7312" t="str">
        <f t="shared" ref="F7312" si="7304">LEFT(A7312, LEN(A7312) - 1)</f>
        <v>&gt;3654:TGCACC:20.00:66.67:Warning:6:1752.19</v>
      </c>
    </row>
    <row r="7313" spans="1:6" x14ac:dyDescent="0.3">
      <c r="A7313" t="s">
        <v>3660</v>
      </c>
      <c r="F7313" t="str">
        <f t="shared" ref="F7313" si="7305">A7313</f>
        <v>TGCACC</v>
      </c>
    </row>
    <row r="7314" spans="1:6" x14ac:dyDescent="0.3">
      <c r="A7314" t="s">
        <v>7757</v>
      </c>
      <c r="F7314" t="str">
        <f t="shared" ref="F7314" si="7306">LEFT(A7314, LEN(A7314) - 1)</f>
        <v>&gt;3655:TGCACG:20.00:66.67:Warning:6:1792.22</v>
      </c>
    </row>
    <row r="7315" spans="1:6" x14ac:dyDescent="0.3">
      <c r="A7315" t="s">
        <v>3661</v>
      </c>
      <c r="F7315" t="str">
        <f t="shared" ref="F7315" si="7307">A7315</f>
        <v>TGCACG</v>
      </c>
    </row>
    <row r="7316" spans="1:6" x14ac:dyDescent="0.3">
      <c r="A7316" t="s">
        <v>7758</v>
      </c>
      <c r="F7316" t="str">
        <f t="shared" ref="F7316" si="7308">LEFT(A7316, LEN(A7316) - 1)</f>
        <v>&gt;3656:TGCACT:14.00:50.00:Warning:6:1767.20</v>
      </c>
    </row>
    <row r="7317" spans="1:6" x14ac:dyDescent="0.3">
      <c r="A7317" t="s">
        <v>3662</v>
      </c>
      <c r="F7317" t="str">
        <f t="shared" ref="F7317" si="7309">A7317</f>
        <v>TGCACT</v>
      </c>
    </row>
    <row r="7318" spans="1:6" x14ac:dyDescent="0.3">
      <c r="A7318" t="s">
        <v>7759</v>
      </c>
      <c r="F7318" t="str">
        <f t="shared" ref="F7318" si="7310">LEFT(A7318, LEN(A7318) - 1)</f>
        <v>&gt;3657:TGCAGA:22.00:50.00:Warning:6:1816.25</v>
      </c>
    </row>
    <row r="7319" spans="1:6" x14ac:dyDescent="0.3">
      <c r="A7319" t="s">
        <v>3663</v>
      </c>
      <c r="F7319" t="str">
        <f t="shared" ref="F7319" si="7311">A7319</f>
        <v>TGCAGA</v>
      </c>
    </row>
    <row r="7320" spans="1:6" x14ac:dyDescent="0.3">
      <c r="A7320" t="s">
        <v>7760</v>
      </c>
      <c r="F7320" t="str">
        <f t="shared" ref="F7320" si="7312">LEFT(A7320, LEN(A7320) - 1)</f>
        <v>&gt;3658:TGCAGC:20.00:66.67:Warning:6:1792.22</v>
      </c>
    </row>
    <row r="7321" spans="1:6" x14ac:dyDescent="0.3">
      <c r="A7321" t="s">
        <v>3664</v>
      </c>
      <c r="F7321" t="str">
        <f t="shared" ref="F7321" si="7313">A7321</f>
        <v>TGCAGC</v>
      </c>
    </row>
    <row r="7322" spans="1:6" x14ac:dyDescent="0.3">
      <c r="A7322" t="s">
        <v>7761</v>
      </c>
      <c r="F7322" t="str">
        <f t="shared" ref="F7322" si="7314">LEFT(A7322, LEN(A7322) - 1)</f>
        <v>&gt;3659:TGCAGG:20.00:66.67:Warning:6:1832.25</v>
      </c>
    </row>
    <row r="7323" spans="1:6" x14ac:dyDescent="0.3">
      <c r="A7323" t="s">
        <v>3665</v>
      </c>
      <c r="F7323" t="str">
        <f t="shared" ref="F7323" si="7315">A7323</f>
        <v>TGCAGG</v>
      </c>
    </row>
    <row r="7324" spans="1:6" x14ac:dyDescent="0.3">
      <c r="A7324" t="s">
        <v>7762</v>
      </c>
      <c r="F7324" t="str">
        <f t="shared" ref="F7324" si="7316">LEFT(A7324, LEN(A7324) - 1)</f>
        <v>&gt;3660:TGCAGT:14.00:50.00:Warning:6:1807.23</v>
      </c>
    </row>
    <row r="7325" spans="1:6" x14ac:dyDescent="0.3">
      <c r="A7325" t="s">
        <v>3666</v>
      </c>
      <c r="F7325" t="str">
        <f t="shared" ref="F7325" si="7317">A7325</f>
        <v>TGCAGT</v>
      </c>
    </row>
    <row r="7326" spans="1:6" x14ac:dyDescent="0.3">
      <c r="A7326" t="s">
        <v>7763</v>
      </c>
      <c r="F7326" t="str">
        <f t="shared" ref="F7326" si="7318">LEFT(A7326, LEN(A7326) - 1)</f>
        <v>&gt;3661:TGCATA:16.00:33.33:OK:6:1791.23</v>
      </c>
    </row>
    <row r="7327" spans="1:6" x14ac:dyDescent="0.3">
      <c r="A7327" t="s">
        <v>3667</v>
      </c>
      <c r="F7327" t="str">
        <f t="shared" ref="F7327" si="7319">A7327</f>
        <v>TGCATA</v>
      </c>
    </row>
    <row r="7328" spans="1:6" x14ac:dyDescent="0.3">
      <c r="A7328" t="s">
        <v>7764</v>
      </c>
      <c r="F7328" t="str">
        <f t="shared" ref="F7328" si="7320">LEFT(A7328, LEN(A7328) - 1)</f>
        <v>&gt;3662:TGCATC:14.00:50.00:Warning:6:1767.20</v>
      </c>
    </row>
    <row r="7329" spans="1:6" x14ac:dyDescent="0.3">
      <c r="A7329" t="s">
        <v>3668</v>
      </c>
      <c r="F7329" t="str">
        <f t="shared" ref="F7329" si="7321">A7329</f>
        <v>TGCATC</v>
      </c>
    </row>
    <row r="7330" spans="1:6" x14ac:dyDescent="0.3">
      <c r="A7330" t="s">
        <v>7765</v>
      </c>
      <c r="F7330" t="str">
        <f t="shared" ref="F7330" si="7322">LEFT(A7330, LEN(A7330) - 1)</f>
        <v>&gt;3663:TGCATG:14.00:50.00:Warning:6:1807.23</v>
      </c>
    </row>
    <row r="7331" spans="1:6" x14ac:dyDescent="0.3">
      <c r="A7331" t="s">
        <v>3669</v>
      </c>
      <c r="F7331" t="str">
        <f t="shared" ref="F7331" si="7323">A7331</f>
        <v>TGCATG</v>
      </c>
    </row>
    <row r="7332" spans="1:6" x14ac:dyDescent="0.3">
      <c r="A7332" t="s">
        <v>7766</v>
      </c>
      <c r="F7332" t="str">
        <f t="shared" ref="F7332" si="7324">LEFT(A7332, LEN(A7332) - 1)</f>
        <v>&gt;3664:TGCATT:8.00:33.33:OK:6:1782.21</v>
      </c>
    </row>
    <row r="7333" spans="1:6" x14ac:dyDescent="0.3">
      <c r="A7333" t="s">
        <v>3670</v>
      </c>
      <c r="F7333" t="str">
        <f t="shared" ref="F7333" si="7325">A7333</f>
        <v>TGCATT</v>
      </c>
    </row>
    <row r="7334" spans="1:6" x14ac:dyDescent="0.3">
      <c r="A7334" t="s">
        <v>7767</v>
      </c>
      <c r="F7334" t="str">
        <f t="shared" ref="F7334" si="7326">LEFT(A7334, LEN(A7334) - 1)</f>
        <v>&gt;3665:TGCCAA:22.00:50.00:Warning:6:1776.22</v>
      </c>
    </row>
    <row r="7335" spans="1:6" x14ac:dyDescent="0.3">
      <c r="A7335" t="s">
        <v>3671</v>
      </c>
      <c r="F7335" t="str">
        <f t="shared" ref="F7335" si="7327">A7335</f>
        <v>TGCCAA</v>
      </c>
    </row>
    <row r="7336" spans="1:6" x14ac:dyDescent="0.3">
      <c r="A7336" t="s">
        <v>7768</v>
      </c>
      <c r="F7336" t="str">
        <f t="shared" ref="F7336" si="7328">LEFT(A7336, LEN(A7336) - 1)</f>
        <v>&gt;3666:TGCCAC:20.00:66.67:Warning:6:1752.19</v>
      </c>
    </row>
    <row r="7337" spans="1:6" x14ac:dyDescent="0.3">
      <c r="A7337" t="s">
        <v>3672</v>
      </c>
      <c r="F7337" t="str">
        <f t="shared" ref="F7337" si="7329">A7337</f>
        <v>TGCCAC</v>
      </c>
    </row>
    <row r="7338" spans="1:6" x14ac:dyDescent="0.3">
      <c r="A7338" t="s">
        <v>7769</v>
      </c>
      <c r="F7338" t="str">
        <f t="shared" ref="F7338" si="7330">LEFT(A7338, LEN(A7338) - 1)</f>
        <v>&gt;3667:TGCCAG:20.00:66.67:Warning:6:1792.22</v>
      </c>
    </row>
    <row r="7339" spans="1:6" x14ac:dyDescent="0.3">
      <c r="A7339" t="s">
        <v>3673</v>
      </c>
      <c r="F7339" t="str">
        <f t="shared" ref="F7339" si="7331">A7339</f>
        <v>TGCCAG</v>
      </c>
    </row>
    <row r="7340" spans="1:6" x14ac:dyDescent="0.3">
      <c r="A7340" t="s">
        <v>7770</v>
      </c>
      <c r="F7340" t="str">
        <f t="shared" ref="F7340" si="7332">LEFT(A7340, LEN(A7340) - 1)</f>
        <v>&gt;3668:TGCCAT:14.00:50.00:Warning:6:1767.20</v>
      </c>
    </row>
    <row r="7341" spans="1:6" x14ac:dyDescent="0.3">
      <c r="A7341" t="s">
        <v>3674</v>
      </c>
      <c r="F7341" t="str">
        <f t="shared" ref="F7341" si="7333">A7341</f>
        <v>TGCCAT</v>
      </c>
    </row>
    <row r="7342" spans="1:6" x14ac:dyDescent="0.3">
      <c r="A7342" t="s">
        <v>7771</v>
      </c>
      <c r="F7342" t="str">
        <f t="shared" ref="F7342" si="7334">LEFT(A7342, LEN(A7342) - 1)</f>
        <v>&gt;3669:TGCCCA:20.00:66.67:Warning:6:1752.19</v>
      </c>
    </row>
    <row r="7343" spans="1:6" x14ac:dyDescent="0.3">
      <c r="A7343" t="s">
        <v>3675</v>
      </c>
      <c r="F7343" t="str">
        <f t="shared" ref="F7343" si="7335">A7343</f>
        <v>TGCCCA</v>
      </c>
    </row>
    <row r="7344" spans="1:6" x14ac:dyDescent="0.3">
      <c r="A7344" t="s">
        <v>7772</v>
      </c>
      <c r="F7344" t="str">
        <f t="shared" ref="F7344" si="7336">LEFT(A7344, LEN(A7344) - 1)</f>
        <v>&gt;3670:TGCCCC:18.00:83.33:Warning:6:1728.16</v>
      </c>
    </row>
    <row r="7345" spans="1:6" x14ac:dyDescent="0.3">
      <c r="A7345" t="s">
        <v>3676</v>
      </c>
      <c r="F7345" t="str">
        <f t="shared" ref="F7345" si="7337">A7345</f>
        <v>TGCCCC</v>
      </c>
    </row>
    <row r="7346" spans="1:6" x14ac:dyDescent="0.3">
      <c r="A7346" t="s">
        <v>7773</v>
      </c>
      <c r="F7346" t="str">
        <f t="shared" ref="F7346" si="7338">LEFT(A7346, LEN(A7346) - 1)</f>
        <v>&gt;3671:TGCCCG:18.00:83.33:Warning:6:1768.19</v>
      </c>
    </row>
    <row r="7347" spans="1:6" x14ac:dyDescent="0.3">
      <c r="A7347" t="s">
        <v>3677</v>
      </c>
      <c r="F7347" t="str">
        <f t="shared" ref="F7347" si="7339">A7347</f>
        <v>TGCCCG</v>
      </c>
    </row>
    <row r="7348" spans="1:6" x14ac:dyDescent="0.3">
      <c r="A7348" t="s">
        <v>7774</v>
      </c>
      <c r="F7348" t="str">
        <f t="shared" ref="F7348" si="7340">LEFT(A7348, LEN(A7348) - 1)</f>
        <v>&gt;3672:TGCCCT:12.00:66.67:Warning:6:1743.17</v>
      </c>
    </row>
    <row r="7349" spans="1:6" x14ac:dyDescent="0.3">
      <c r="A7349" t="s">
        <v>3678</v>
      </c>
      <c r="F7349" t="str">
        <f t="shared" ref="F7349" si="7341">A7349</f>
        <v>TGCCCT</v>
      </c>
    </row>
    <row r="7350" spans="1:6" x14ac:dyDescent="0.3">
      <c r="A7350" t="s">
        <v>7775</v>
      </c>
      <c r="F7350" t="str">
        <f t="shared" ref="F7350" si="7342">LEFT(A7350, LEN(A7350) - 1)</f>
        <v>&gt;3673:TGCCGA:20.00:66.67:Warning:6:1792.22</v>
      </c>
    </row>
    <row r="7351" spans="1:6" x14ac:dyDescent="0.3">
      <c r="A7351" t="s">
        <v>3679</v>
      </c>
      <c r="F7351" t="str">
        <f t="shared" ref="F7351" si="7343">A7351</f>
        <v>TGCCGA</v>
      </c>
    </row>
    <row r="7352" spans="1:6" x14ac:dyDescent="0.3">
      <c r="A7352" t="s">
        <v>7776</v>
      </c>
      <c r="F7352" t="str">
        <f t="shared" ref="F7352" si="7344">LEFT(A7352, LEN(A7352) - 1)</f>
        <v>&gt;3674:TGCCGC:18.00:83.33:Warning:6:1768.19</v>
      </c>
    </row>
    <row r="7353" spans="1:6" x14ac:dyDescent="0.3">
      <c r="A7353" t="s">
        <v>3680</v>
      </c>
      <c r="F7353" t="str">
        <f t="shared" ref="F7353" si="7345">A7353</f>
        <v>TGCCGC</v>
      </c>
    </row>
    <row r="7354" spans="1:6" x14ac:dyDescent="0.3">
      <c r="A7354" t="s">
        <v>7777</v>
      </c>
      <c r="F7354" t="str">
        <f t="shared" ref="F7354" si="7346">LEFT(A7354, LEN(A7354) - 1)</f>
        <v>&gt;3675:TGCCGG:18.00:83.33:Warning:6:1808.22</v>
      </c>
    </row>
    <row r="7355" spans="1:6" x14ac:dyDescent="0.3">
      <c r="A7355" t="s">
        <v>3681</v>
      </c>
      <c r="F7355" t="str">
        <f t="shared" ref="F7355" si="7347">A7355</f>
        <v>TGCCGG</v>
      </c>
    </row>
    <row r="7356" spans="1:6" x14ac:dyDescent="0.3">
      <c r="A7356" t="s">
        <v>7778</v>
      </c>
      <c r="F7356" t="str">
        <f t="shared" ref="F7356" si="7348">LEFT(A7356, LEN(A7356) - 1)</f>
        <v>&gt;3676:TGCCGT:12.00:66.67:Warning:6:1783.20</v>
      </c>
    </row>
    <row r="7357" spans="1:6" x14ac:dyDescent="0.3">
      <c r="A7357" t="s">
        <v>3682</v>
      </c>
      <c r="F7357" t="str">
        <f t="shared" ref="F7357" si="7349">A7357</f>
        <v>TGCCGT</v>
      </c>
    </row>
    <row r="7358" spans="1:6" x14ac:dyDescent="0.3">
      <c r="A7358" t="s">
        <v>7779</v>
      </c>
      <c r="F7358" t="str">
        <f t="shared" ref="F7358" si="7350">LEFT(A7358, LEN(A7358) - 1)</f>
        <v>&gt;3677:TGCCTA:14.00:50.00:Warning:6:1767.20</v>
      </c>
    </row>
    <row r="7359" spans="1:6" x14ac:dyDescent="0.3">
      <c r="A7359" t="s">
        <v>3683</v>
      </c>
      <c r="F7359" t="str">
        <f t="shared" ref="F7359" si="7351">A7359</f>
        <v>TGCCTA</v>
      </c>
    </row>
    <row r="7360" spans="1:6" x14ac:dyDescent="0.3">
      <c r="A7360" t="s">
        <v>7780</v>
      </c>
      <c r="F7360" t="str">
        <f t="shared" ref="F7360" si="7352">LEFT(A7360, LEN(A7360) - 1)</f>
        <v>&gt;3678:TGCCTC:12.00:66.67:Warning:6:1743.17</v>
      </c>
    </row>
    <row r="7361" spans="1:6" x14ac:dyDescent="0.3">
      <c r="A7361" t="s">
        <v>3684</v>
      </c>
      <c r="F7361" t="str">
        <f t="shared" ref="F7361" si="7353">A7361</f>
        <v>TGCCTC</v>
      </c>
    </row>
    <row r="7362" spans="1:6" x14ac:dyDescent="0.3">
      <c r="A7362" t="s">
        <v>7781</v>
      </c>
      <c r="F7362" t="str">
        <f t="shared" ref="F7362" si="7354">LEFT(A7362, LEN(A7362) - 1)</f>
        <v>&gt;3679:TGCCTG:12.00:66.67:Warning:6:1783.20</v>
      </c>
    </row>
    <row r="7363" spans="1:6" x14ac:dyDescent="0.3">
      <c r="A7363" t="s">
        <v>3685</v>
      </c>
      <c r="F7363" t="str">
        <f t="shared" ref="F7363" si="7355">A7363</f>
        <v>TGCCTG</v>
      </c>
    </row>
    <row r="7364" spans="1:6" x14ac:dyDescent="0.3">
      <c r="A7364" t="s">
        <v>7782</v>
      </c>
      <c r="F7364" t="str">
        <f t="shared" ref="F7364" si="7356">LEFT(A7364, LEN(A7364) - 1)</f>
        <v>&gt;3680:TGCCTT:6.00:50.00:Warning:6:1758.18</v>
      </c>
    </row>
    <row r="7365" spans="1:6" x14ac:dyDescent="0.3">
      <c r="A7365" t="s">
        <v>3686</v>
      </c>
      <c r="F7365" t="str">
        <f t="shared" ref="F7365" si="7357">A7365</f>
        <v>TGCCTT</v>
      </c>
    </row>
    <row r="7366" spans="1:6" x14ac:dyDescent="0.3">
      <c r="A7366" t="s">
        <v>7783</v>
      </c>
      <c r="F7366" t="str">
        <f t="shared" ref="F7366" si="7358">LEFT(A7366, LEN(A7366) - 1)</f>
        <v>&gt;3681:TGCGAA:22.00:50.00:Warning:6:1816.25</v>
      </c>
    </row>
    <row r="7367" spans="1:6" x14ac:dyDescent="0.3">
      <c r="A7367" t="s">
        <v>3687</v>
      </c>
      <c r="F7367" t="str">
        <f t="shared" ref="F7367" si="7359">A7367</f>
        <v>TGCGAA</v>
      </c>
    </row>
    <row r="7368" spans="1:6" x14ac:dyDescent="0.3">
      <c r="A7368" t="s">
        <v>7784</v>
      </c>
      <c r="F7368" t="str">
        <f t="shared" ref="F7368" si="7360">LEFT(A7368, LEN(A7368) - 1)</f>
        <v>&gt;3682:TGCGAC:20.00:66.67:Warning:6:1792.22</v>
      </c>
    </row>
    <row r="7369" spans="1:6" x14ac:dyDescent="0.3">
      <c r="A7369" t="s">
        <v>3688</v>
      </c>
      <c r="F7369" t="str">
        <f t="shared" ref="F7369" si="7361">A7369</f>
        <v>TGCGAC</v>
      </c>
    </row>
    <row r="7370" spans="1:6" x14ac:dyDescent="0.3">
      <c r="A7370" t="s">
        <v>7785</v>
      </c>
      <c r="F7370" t="str">
        <f t="shared" ref="F7370" si="7362">LEFT(A7370, LEN(A7370) - 1)</f>
        <v>&gt;3683:TGCGAG:20.00:66.67:Warning:6:1832.25</v>
      </c>
    </row>
    <row r="7371" spans="1:6" x14ac:dyDescent="0.3">
      <c r="A7371" t="s">
        <v>3689</v>
      </c>
      <c r="F7371" t="str">
        <f t="shared" ref="F7371" si="7363">A7371</f>
        <v>TGCGAG</v>
      </c>
    </row>
    <row r="7372" spans="1:6" x14ac:dyDescent="0.3">
      <c r="A7372" t="s">
        <v>7786</v>
      </c>
      <c r="F7372" t="str">
        <f t="shared" ref="F7372" si="7364">LEFT(A7372, LEN(A7372) - 1)</f>
        <v>&gt;3684:TGCGAT:14.00:50.00:Warning:6:1807.23</v>
      </c>
    </row>
    <row r="7373" spans="1:6" x14ac:dyDescent="0.3">
      <c r="A7373" t="s">
        <v>3690</v>
      </c>
      <c r="F7373" t="str">
        <f t="shared" ref="F7373" si="7365">A7373</f>
        <v>TGCGAT</v>
      </c>
    </row>
    <row r="7374" spans="1:6" x14ac:dyDescent="0.3">
      <c r="A7374" t="s">
        <v>7787</v>
      </c>
      <c r="F7374" t="str">
        <f t="shared" ref="F7374" si="7366">LEFT(A7374, LEN(A7374) - 1)</f>
        <v>&gt;3685:TGCGCA:20.00:66.67:Warning:6:1792.22</v>
      </c>
    </row>
    <row r="7375" spans="1:6" x14ac:dyDescent="0.3">
      <c r="A7375" t="s">
        <v>3691</v>
      </c>
      <c r="F7375" t="str">
        <f t="shared" ref="F7375" si="7367">A7375</f>
        <v>TGCGCA</v>
      </c>
    </row>
    <row r="7376" spans="1:6" x14ac:dyDescent="0.3">
      <c r="A7376" t="s">
        <v>7788</v>
      </c>
      <c r="F7376" t="str">
        <f t="shared" ref="F7376" si="7368">LEFT(A7376, LEN(A7376) - 1)</f>
        <v>&gt;3686:TGCGCC:18.00:83.33:Warning:6:1768.19</v>
      </c>
    </row>
    <row r="7377" spans="1:6" x14ac:dyDescent="0.3">
      <c r="A7377" t="s">
        <v>3692</v>
      </c>
      <c r="F7377" t="str">
        <f t="shared" ref="F7377" si="7369">A7377</f>
        <v>TGCGCC</v>
      </c>
    </row>
    <row r="7378" spans="1:6" x14ac:dyDescent="0.3">
      <c r="A7378" t="s">
        <v>7789</v>
      </c>
      <c r="F7378" t="str">
        <f t="shared" ref="F7378" si="7370">LEFT(A7378, LEN(A7378) - 1)</f>
        <v>&gt;3687:TGCGCG:18.00:83.33:Warning:6:1808.22</v>
      </c>
    </row>
    <row r="7379" spans="1:6" x14ac:dyDescent="0.3">
      <c r="A7379" t="s">
        <v>3693</v>
      </c>
      <c r="F7379" t="str">
        <f t="shared" ref="F7379" si="7371">A7379</f>
        <v>TGCGCG</v>
      </c>
    </row>
    <row r="7380" spans="1:6" x14ac:dyDescent="0.3">
      <c r="A7380" t="s">
        <v>7790</v>
      </c>
      <c r="F7380" t="str">
        <f t="shared" ref="F7380" si="7372">LEFT(A7380, LEN(A7380) - 1)</f>
        <v>&gt;3688:TGCGCT:12.00:66.67:Warning:6:1783.20</v>
      </c>
    </row>
    <row r="7381" spans="1:6" x14ac:dyDescent="0.3">
      <c r="A7381" t="s">
        <v>3694</v>
      </c>
      <c r="F7381" t="str">
        <f t="shared" ref="F7381" si="7373">A7381</f>
        <v>TGCGCT</v>
      </c>
    </row>
    <row r="7382" spans="1:6" x14ac:dyDescent="0.3">
      <c r="A7382" t="s">
        <v>7791</v>
      </c>
      <c r="F7382" t="str">
        <f t="shared" ref="F7382" si="7374">LEFT(A7382, LEN(A7382) - 1)</f>
        <v>&gt;3689:TGCGGA:20.00:66.67:Warning:6:1832.25</v>
      </c>
    </row>
    <row r="7383" spans="1:6" x14ac:dyDescent="0.3">
      <c r="A7383" t="s">
        <v>3695</v>
      </c>
      <c r="F7383" t="str">
        <f t="shared" ref="F7383" si="7375">A7383</f>
        <v>TGCGGA</v>
      </c>
    </row>
    <row r="7384" spans="1:6" x14ac:dyDescent="0.3">
      <c r="A7384" t="s">
        <v>7792</v>
      </c>
      <c r="F7384" t="str">
        <f t="shared" ref="F7384" si="7376">LEFT(A7384, LEN(A7384) - 1)</f>
        <v>&gt;3690:TGCGGC:18.00:83.33:Warning:6:1808.22</v>
      </c>
    </row>
    <row r="7385" spans="1:6" x14ac:dyDescent="0.3">
      <c r="A7385" t="s">
        <v>3696</v>
      </c>
      <c r="F7385" t="str">
        <f t="shared" ref="F7385" si="7377">A7385</f>
        <v>TGCGGC</v>
      </c>
    </row>
    <row r="7386" spans="1:6" x14ac:dyDescent="0.3">
      <c r="A7386" t="s">
        <v>7793</v>
      </c>
      <c r="F7386" t="str">
        <f t="shared" ref="F7386" si="7378">LEFT(A7386, LEN(A7386) - 1)</f>
        <v>&gt;3691:TGCGGG:18.00:83.33:Warning:6:1848.25</v>
      </c>
    </row>
    <row r="7387" spans="1:6" x14ac:dyDescent="0.3">
      <c r="A7387" t="s">
        <v>3697</v>
      </c>
      <c r="F7387" t="str">
        <f t="shared" ref="F7387" si="7379">A7387</f>
        <v>TGCGGG</v>
      </c>
    </row>
    <row r="7388" spans="1:6" x14ac:dyDescent="0.3">
      <c r="A7388" t="s">
        <v>7794</v>
      </c>
      <c r="F7388" t="str">
        <f t="shared" ref="F7388" si="7380">LEFT(A7388, LEN(A7388) - 1)</f>
        <v>&gt;3692:TGCGGT:12.00:66.67:Warning:6:1823.23</v>
      </c>
    </row>
    <row r="7389" spans="1:6" x14ac:dyDescent="0.3">
      <c r="A7389" t="s">
        <v>3698</v>
      </c>
      <c r="F7389" t="str">
        <f t="shared" ref="F7389" si="7381">A7389</f>
        <v>TGCGGT</v>
      </c>
    </row>
    <row r="7390" spans="1:6" x14ac:dyDescent="0.3">
      <c r="A7390" t="s">
        <v>7795</v>
      </c>
      <c r="F7390" t="str">
        <f t="shared" ref="F7390" si="7382">LEFT(A7390, LEN(A7390) - 1)</f>
        <v>&gt;3693:TGCGTA:14.00:50.00:Warning:6:1807.23</v>
      </c>
    </row>
    <row r="7391" spans="1:6" x14ac:dyDescent="0.3">
      <c r="A7391" t="s">
        <v>3699</v>
      </c>
      <c r="F7391" t="str">
        <f t="shared" ref="F7391" si="7383">A7391</f>
        <v>TGCGTA</v>
      </c>
    </row>
    <row r="7392" spans="1:6" x14ac:dyDescent="0.3">
      <c r="A7392" t="s">
        <v>7796</v>
      </c>
      <c r="F7392" t="str">
        <f t="shared" ref="F7392" si="7384">LEFT(A7392, LEN(A7392) - 1)</f>
        <v>&gt;3694:TGCGTC:12.00:66.67:Warning:6:1783.20</v>
      </c>
    </row>
    <row r="7393" spans="1:6" x14ac:dyDescent="0.3">
      <c r="A7393" t="s">
        <v>3700</v>
      </c>
      <c r="F7393" t="str">
        <f t="shared" ref="F7393" si="7385">A7393</f>
        <v>TGCGTC</v>
      </c>
    </row>
    <row r="7394" spans="1:6" x14ac:dyDescent="0.3">
      <c r="A7394" t="s">
        <v>7797</v>
      </c>
      <c r="F7394" t="str">
        <f t="shared" ref="F7394" si="7386">LEFT(A7394, LEN(A7394) - 1)</f>
        <v>&gt;3695:TGCGTG:12.00:66.67:Warning:6:1823.23</v>
      </c>
    </row>
    <row r="7395" spans="1:6" x14ac:dyDescent="0.3">
      <c r="A7395" t="s">
        <v>3701</v>
      </c>
      <c r="F7395" t="str">
        <f t="shared" ref="F7395" si="7387">A7395</f>
        <v>TGCGTG</v>
      </c>
    </row>
    <row r="7396" spans="1:6" x14ac:dyDescent="0.3">
      <c r="A7396" t="s">
        <v>7798</v>
      </c>
      <c r="F7396" t="str">
        <f t="shared" ref="F7396" si="7388">LEFT(A7396, LEN(A7396) - 1)</f>
        <v>&gt;3696:TGCGTT:6.00:50.00:Warning:6:1798.21</v>
      </c>
    </row>
    <row r="7397" spans="1:6" x14ac:dyDescent="0.3">
      <c r="A7397" t="s">
        <v>3702</v>
      </c>
      <c r="F7397" t="str">
        <f t="shared" ref="F7397" si="7389">A7397</f>
        <v>TGCGTT</v>
      </c>
    </row>
    <row r="7398" spans="1:6" x14ac:dyDescent="0.3">
      <c r="A7398" t="s">
        <v>7799</v>
      </c>
      <c r="F7398" t="str">
        <f t="shared" ref="F7398" si="7390">LEFT(A7398, LEN(A7398) - 1)</f>
        <v>&gt;3697:TGCTAA:16.00:33.33:OK:6:1791.23</v>
      </c>
    </row>
    <row r="7399" spans="1:6" x14ac:dyDescent="0.3">
      <c r="A7399" t="s">
        <v>3703</v>
      </c>
      <c r="F7399" t="str">
        <f t="shared" ref="F7399" si="7391">A7399</f>
        <v>TGCTAA</v>
      </c>
    </row>
    <row r="7400" spans="1:6" x14ac:dyDescent="0.3">
      <c r="A7400" t="s">
        <v>7800</v>
      </c>
      <c r="F7400" t="str">
        <f t="shared" ref="F7400" si="7392">LEFT(A7400, LEN(A7400) - 1)</f>
        <v>&gt;3698:TGCTAC:14.00:50.00:Warning:6:1767.20</v>
      </c>
    </row>
    <row r="7401" spans="1:6" x14ac:dyDescent="0.3">
      <c r="A7401" t="s">
        <v>3704</v>
      </c>
      <c r="F7401" t="str">
        <f t="shared" ref="F7401" si="7393">A7401</f>
        <v>TGCTAC</v>
      </c>
    </row>
    <row r="7402" spans="1:6" x14ac:dyDescent="0.3">
      <c r="A7402" t="s">
        <v>7801</v>
      </c>
      <c r="F7402" t="str">
        <f t="shared" ref="F7402" si="7394">LEFT(A7402, LEN(A7402) - 1)</f>
        <v>&gt;3699:TGCTAG:14.00:50.00:Warning:6:1807.23</v>
      </c>
    </row>
    <row r="7403" spans="1:6" x14ac:dyDescent="0.3">
      <c r="A7403" t="s">
        <v>3705</v>
      </c>
      <c r="F7403" t="str">
        <f t="shared" ref="F7403" si="7395">A7403</f>
        <v>TGCTAG</v>
      </c>
    </row>
    <row r="7404" spans="1:6" x14ac:dyDescent="0.3">
      <c r="A7404" t="s">
        <v>7802</v>
      </c>
      <c r="F7404" t="str">
        <f t="shared" ref="F7404" si="7396">LEFT(A7404, LEN(A7404) - 1)</f>
        <v>&gt;3700:TGCTAT:8.00:33.33:OK:6:1782.21</v>
      </c>
    </row>
    <row r="7405" spans="1:6" x14ac:dyDescent="0.3">
      <c r="A7405" t="s">
        <v>3706</v>
      </c>
      <c r="F7405" t="str">
        <f t="shared" ref="F7405" si="7397">A7405</f>
        <v>TGCTAT</v>
      </c>
    </row>
    <row r="7406" spans="1:6" x14ac:dyDescent="0.3">
      <c r="A7406" t="s">
        <v>7803</v>
      </c>
      <c r="F7406" t="str">
        <f t="shared" ref="F7406" si="7398">LEFT(A7406, LEN(A7406) - 1)</f>
        <v>&gt;3701:TGCTCA:14.00:50.00:Warning:6:1767.20</v>
      </c>
    </row>
    <row r="7407" spans="1:6" x14ac:dyDescent="0.3">
      <c r="A7407" t="s">
        <v>3707</v>
      </c>
      <c r="F7407" t="str">
        <f t="shared" ref="F7407" si="7399">A7407</f>
        <v>TGCTCA</v>
      </c>
    </row>
    <row r="7408" spans="1:6" x14ac:dyDescent="0.3">
      <c r="A7408" t="s">
        <v>7804</v>
      </c>
      <c r="F7408" t="str">
        <f t="shared" ref="F7408" si="7400">LEFT(A7408, LEN(A7408) - 1)</f>
        <v>&gt;3702:TGCTCC:12.00:66.67:Warning:6:1743.17</v>
      </c>
    </row>
    <row r="7409" spans="1:6" x14ac:dyDescent="0.3">
      <c r="A7409" t="s">
        <v>3708</v>
      </c>
      <c r="F7409" t="str">
        <f t="shared" ref="F7409" si="7401">A7409</f>
        <v>TGCTCC</v>
      </c>
    </row>
    <row r="7410" spans="1:6" x14ac:dyDescent="0.3">
      <c r="A7410" t="s">
        <v>7805</v>
      </c>
      <c r="F7410" t="str">
        <f t="shared" ref="F7410" si="7402">LEFT(A7410, LEN(A7410) - 1)</f>
        <v>&gt;3703:TGCTCG:12.00:66.67:Warning:6:1783.20</v>
      </c>
    </row>
    <row r="7411" spans="1:6" x14ac:dyDescent="0.3">
      <c r="A7411" t="s">
        <v>3709</v>
      </c>
      <c r="F7411" t="str">
        <f t="shared" ref="F7411" si="7403">A7411</f>
        <v>TGCTCG</v>
      </c>
    </row>
    <row r="7412" spans="1:6" x14ac:dyDescent="0.3">
      <c r="A7412" t="s">
        <v>7806</v>
      </c>
      <c r="F7412" t="str">
        <f t="shared" ref="F7412" si="7404">LEFT(A7412, LEN(A7412) - 1)</f>
        <v>&gt;3704:TGCTCT:6.00:50.00:Warning:6:1758.18</v>
      </c>
    </row>
    <row r="7413" spans="1:6" x14ac:dyDescent="0.3">
      <c r="A7413" t="s">
        <v>3710</v>
      </c>
      <c r="F7413" t="str">
        <f t="shared" ref="F7413" si="7405">A7413</f>
        <v>TGCTCT</v>
      </c>
    </row>
    <row r="7414" spans="1:6" x14ac:dyDescent="0.3">
      <c r="A7414" t="s">
        <v>7807</v>
      </c>
      <c r="F7414" t="str">
        <f t="shared" ref="F7414" si="7406">LEFT(A7414, LEN(A7414) - 1)</f>
        <v>&gt;3705:TGCTGA:14.00:50.00:Warning:6:1807.23</v>
      </c>
    </row>
    <row r="7415" spans="1:6" x14ac:dyDescent="0.3">
      <c r="A7415" t="s">
        <v>3711</v>
      </c>
      <c r="F7415" t="str">
        <f t="shared" ref="F7415" si="7407">A7415</f>
        <v>TGCTGA</v>
      </c>
    </row>
    <row r="7416" spans="1:6" x14ac:dyDescent="0.3">
      <c r="A7416" t="s">
        <v>7808</v>
      </c>
      <c r="F7416" t="str">
        <f t="shared" ref="F7416" si="7408">LEFT(A7416, LEN(A7416) - 1)</f>
        <v>&gt;3706:TGCTGC:12.00:66.67:Warning:6:1783.20</v>
      </c>
    </row>
    <row r="7417" spans="1:6" x14ac:dyDescent="0.3">
      <c r="A7417" t="s">
        <v>3712</v>
      </c>
      <c r="F7417" t="str">
        <f t="shared" ref="F7417" si="7409">A7417</f>
        <v>TGCTGC</v>
      </c>
    </row>
    <row r="7418" spans="1:6" x14ac:dyDescent="0.3">
      <c r="A7418" t="s">
        <v>7809</v>
      </c>
      <c r="F7418" t="str">
        <f t="shared" ref="F7418" si="7410">LEFT(A7418, LEN(A7418) - 1)</f>
        <v>&gt;3707:TGCTGG:12.00:66.67:Warning:6:1823.23</v>
      </c>
    </row>
    <row r="7419" spans="1:6" x14ac:dyDescent="0.3">
      <c r="A7419" t="s">
        <v>3713</v>
      </c>
      <c r="F7419" t="str">
        <f t="shared" ref="F7419" si="7411">A7419</f>
        <v>TGCTGG</v>
      </c>
    </row>
    <row r="7420" spans="1:6" x14ac:dyDescent="0.3">
      <c r="A7420" t="s">
        <v>7810</v>
      </c>
      <c r="F7420" t="str">
        <f t="shared" ref="F7420" si="7412">LEFT(A7420, LEN(A7420) - 1)</f>
        <v>&gt;3708:TGCTGT:6.00:50.00:Warning:6:1798.21</v>
      </c>
    </row>
    <row r="7421" spans="1:6" x14ac:dyDescent="0.3">
      <c r="A7421" t="s">
        <v>3714</v>
      </c>
      <c r="F7421" t="str">
        <f t="shared" ref="F7421" si="7413">A7421</f>
        <v>TGCTGT</v>
      </c>
    </row>
    <row r="7422" spans="1:6" x14ac:dyDescent="0.3">
      <c r="A7422" t="s">
        <v>7811</v>
      </c>
      <c r="F7422" t="str">
        <f t="shared" ref="F7422" si="7414">LEFT(A7422, LEN(A7422) - 1)</f>
        <v>&gt;3709:TGCTTA:8.00:33.33:OK:6:1782.21</v>
      </c>
    </row>
    <row r="7423" spans="1:6" x14ac:dyDescent="0.3">
      <c r="A7423" t="s">
        <v>3715</v>
      </c>
      <c r="F7423" t="str">
        <f t="shared" ref="F7423" si="7415">A7423</f>
        <v>TGCTTA</v>
      </c>
    </row>
    <row r="7424" spans="1:6" x14ac:dyDescent="0.3">
      <c r="A7424" t="s">
        <v>7812</v>
      </c>
      <c r="F7424" t="str">
        <f t="shared" ref="F7424" si="7416">LEFT(A7424, LEN(A7424) - 1)</f>
        <v>&gt;3710:TGCTTC:6.00:50.00:Warning:6:1758.18</v>
      </c>
    </row>
    <row r="7425" spans="1:6" x14ac:dyDescent="0.3">
      <c r="A7425" t="s">
        <v>3716</v>
      </c>
      <c r="F7425" t="str">
        <f t="shared" ref="F7425" si="7417">A7425</f>
        <v>TGCTTC</v>
      </c>
    </row>
    <row r="7426" spans="1:6" x14ac:dyDescent="0.3">
      <c r="A7426" t="s">
        <v>7813</v>
      </c>
      <c r="F7426" t="str">
        <f t="shared" ref="F7426" si="7418">LEFT(A7426, LEN(A7426) - 1)</f>
        <v>&gt;3711:TGCTTG:6.00:50.00:Warning:6:1798.21</v>
      </c>
    </row>
    <row r="7427" spans="1:6" x14ac:dyDescent="0.3">
      <c r="A7427" t="s">
        <v>3717</v>
      </c>
      <c r="F7427" t="str">
        <f t="shared" ref="F7427" si="7419">A7427</f>
        <v>TGCTTG</v>
      </c>
    </row>
    <row r="7428" spans="1:6" x14ac:dyDescent="0.3">
      <c r="A7428" t="s">
        <v>7814</v>
      </c>
      <c r="F7428" t="str">
        <f t="shared" ref="F7428" si="7420">LEFT(A7428, LEN(A7428) - 1)</f>
        <v>&gt;3712:TGCTTT:0.00:33.33:OK:6:1773.19</v>
      </c>
    </row>
    <row r="7429" spans="1:6" x14ac:dyDescent="0.3">
      <c r="A7429" t="s">
        <v>3718</v>
      </c>
      <c r="F7429" t="str">
        <f t="shared" ref="F7429" si="7421">A7429</f>
        <v>TGCTTT</v>
      </c>
    </row>
    <row r="7430" spans="1:6" x14ac:dyDescent="0.3">
      <c r="A7430" t="s">
        <v>7815</v>
      </c>
      <c r="F7430" t="str">
        <f t="shared" ref="F7430" si="7422">LEFT(A7430, LEN(A7430) - 1)</f>
        <v>&gt;3713:TGGAAA:24.00:33.33:OK:6:1840.28</v>
      </c>
    </row>
    <row r="7431" spans="1:6" x14ac:dyDescent="0.3">
      <c r="A7431" t="s">
        <v>3719</v>
      </c>
      <c r="F7431" t="str">
        <f t="shared" ref="F7431" si="7423">A7431</f>
        <v>TGGAAA</v>
      </c>
    </row>
    <row r="7432" spans="1:6" x14ac:dyDescent="0.3">
      <c r="A7432" t="s">
        <v>7816</v>
      </c>
      <c r="F7432" t="str">
        <f t="shared" ref="F7432" si="7424">LEFT(A7432, LEN(A7432) - 1)</f>
        <v>&gt;3714:TGGAAC:22.00:50.00:Warning:6:1816.25</v>
      </c>
    </row>
    <row r="7433" spans="1:6" x14ac:dyDescent="0.3">
      <c r="A7433" t="s">
        <v>3720</v>
      </c>
      <c r="F7433" t="str">
        <f t="shared" ref="F7433" si="7425">A7433</f>
        <v>TGGAAC</v>
      </c>
    </row>
    <row r="7434" spans="1:6" x14ac:dyDescent="0.3">
      <c r="A7434" t="s">
        <v>7817</v>
      </c>
      <c r="F7434" t="str">
        <f t="shared" ref="F7434" si="7426">LEFT(A7434, LEN(A7434) - 1)</f>
        <v>&gt;3715:TGGAAG:22.00:50.00:Warning:6:1856.28</v>
      </c>
    </row>
    <row r="7435" spans="1:6" x14ac:dyDescent="0.3">
      <c r="A7435" t="s">
        <v>3721</v>
      </c>
      <c r="F7435" t="str">
        <f t="shared" ref="F7435" si="7427">A7435</f>
        <v>TGGAAG</v>
      </c>
    </row>
    <row r="7436" spans="1:6" x14ac:dyDescent="0.3">
      <c r="A7436" t="s">
        <v>7818</v>
      </c>
      <c r="F7436" t="str">
        <f t="shared" ref="F7436" si="7428">LEFT(A7436, LEN(A7436) - 1)</f>
        <v>&gt;3716:TGGAAT:16.00:33.33:OK:6:1831.26</v>
      </c>
    </row>
    <row r="7437" spans="1:6" x14ac:dyDescent="0.3">
      <c r="A7437" t="s">
        <v>3722</v>
      </c>
      <c r="F7437" t="str">
        <f t="shared" ref="F7437" si="7429">A7437</f>
        <v>TGGAAT</v>
      </c>
    </row>
    <row r="7438" spans="1:6" x14ac:dyDescent="0.3">
      <c r="A7438" t="s">
        <v>7819</v>
      </c>
      <c r="F7438" t="str">
        <f t="shared" ref="F7438" si="7430">LEFT(A7438, LEN(A7438) - 1)</f>
        <v>&gt;3717:TGGACA:22.00:50.00:Warning:6:1816.25</v>
      </c>
    </row>
    <row r="7439" spans="1:6" x14ac:dyDescent="0.3">
      <c r="A7439" t="s">
        <v>3723</v>
      </c>
      <c r="F7439" t="str">
        <f t="shared" ref="F7439" si="7431">A7439</f>
        <v>TGGACA</v>
      </c>
    </row>
    <row r="7440" spans="1:6" x14ac:dyDescent="0.3">
      <c r="A7440" t="s">
        <v>7820</v>
      </c>
      <c r="F7440" t="str">
        <f t="shared" ref="F7440" si="7432">LEFT(A7440, LEN(A7440) - 1)</f>
        <v>&gt;3718:TGGACC:20.00:66.67:Warning:6:1792.22</v>
      </c>
    </row>
    <row r="7441" spans="1:6" x14ac:dyDescent="0.3">
      <c r="A7441" t="s">
        <v>3724</v>
      </c>
      <c r="F7441" t="str">
        <f t="shared" ref="F7441" si="7433">A7441</f>
        <v>TGGACC</v>
      </c>
    </row>
    <row r="7442" spans="1:6" x14ac:dyDescent="0.3">
      <c r="A7442" t="s">
        <v>7821</v>
      </c>
      <c r="F7442" t="str">
        <f t="shared" ref="F7442" si="7434">LEFT(A7442, LEN(A7442) - 1)</f>
        <v>&gt;3719:TGGACG:20.00:66.67:Warning:6:1832.25</v>
      </c>
    </row>
    <row r="7443" spans="1:6" x14ac:dyDescent="0.3">
      <c r="A7443" t="s">
        <v>3725</v>
      </c>
      <c r="F7443" t="str">
        <f t="shared" ref="F7443" si="7435">A7443</f>
        <v>TGGACG</v>
      </c>
    </row>
    <row r="7444" spans="1:6" x14ac:dyDescent="0.3">
      <c r="A7444" t="s">
        <v>7822</v>
      </c>
      <c r="F7444" t="str">
        <f t="shared" ref="F7444" si="7436">LEFT(A7444, LEN(A7444) - 1)</f>
        <v>&gt;3720:TGGACT:14.00:50.00:Warning:6:1807.23</v>
      </c>
    </row>
    <row r="7445" spans="1:6" x14ac:dyDescent="0.3">
      <c r="A7445" t="s">
        <v>3726</v>
      </c>
      <c r="F7445" t="str">
        <f t="shared" ref="F7445" si="7437">A7445</f>
        <v>TGGACT</v>
      </c>
    </row>
    <row r="7446" spans="1:6" x14ac:dyDescent="0.3">
      <c r="A7446" t="s">
        <v>7823</v>
      </c>
      <c r="F7446" t="str">
        <f t="shared" ref="F7446" si="7438">LEFT(A7446, LEN(A7446) - 1)</f>
        <v>&gt;3721:TGGAGA:22.00:50.00:Warning:6:1856.28</v>
      </c>
    </row>
    <row r="7447" spans="1:6" x14ac:dyDescent="0.3">
      <c r="A7447" t="s">
        <v>3727</v>
      </c>
      <c r="F7447" t="str">
        <f t="shared" ref="F7447" si="7439">A7447</f>
        <v>TGGAGA</v>
      </c>
    </row>
    <row r="7448" spans="1:6" x14ac:dyDescent="0.3">
      <c r="A7448" t="s">
        <v>7824</v>
      </c>
      <c r="F7448" t="str">
        <f t="shared" ref="F7448" si="7440">LEFT(A7448, LEN(A7448) - 1)</f>
        <v>&gt;3722:TGGAGC:20.00:66.67:Warning:6:1832.25</v>
      </c>
    </row>
    <row r="7449" spans="1:6" x14ac:dyDescent="0.3">
      <c r="A7449" t="s">
        <v>3728</v>
      </c>
      <c r="F7449" t="str">
        <f t="shared" ref="F7449" si="7441">A7449</f>
        <v>TGGAGC</v>
      </c>
    </row>
    <row r="7450" spans="1:6" x14ac:dyDescent="0.3">
      <c r="A7450" t="s">
        <v>7825</v>
      </c>
      <c r="F7450" t="str">
        <f t="shared" ref="F7450" si="7442">LEFT(A7450, LEN(A7450) - 1)</f>
        <v>&gt;3723:TGGAGG:20.00:66.67:Warning:6:1872.28</v>
      </c>
    </row>
    <row r="7451" spans="1:6" x14ac:dyDescent="0.3">
      <c r="A7451" t="s">
        <v>3729</v>
      </c>
      <c r="F7451" t="str">
        <f t="shared" ref="F7451" si="7443">A7451</f>
        <v>TGGAGG</v>
      </c>
    </row>
    <row r="7452" spans="1:6" x14ac:dyDescent="0.3">
      <c r="A7452" t="s">
        <v>7826</v>
      </c>
      <c r="F7452" t="str">
        <f t="shared" ref="F7452" si="7444">LEFT(A7452, LEN(A7452) - 1)</f>
        <v>&gt;3724:TGGAGT:14.00:50.00:Warning:6:1847.26</v>
      </c>
    </row>
    <row r="7453" spans="1:6" x14ac:dyDescent="0.3">
      <c r="A7453" t="s">
        <v>3730</v>
      </c>
      <c r="F7453" t="str">
        <f t="shared" ref="F7453" si="7445">A7453</f>
        <v>TGGAGT</v>
      </c>
    </row>
    <row r="7454" spans="1:6" x14ac:dyDescent="0.3">
      <c r="A7454" t="s">
        <v>7827</v>
      </c>
      <c r="F7454" t="str">
        <f t="shared" ref="F7454" si="7446">LEFT(A7454, LEN(A7454) - 1)</f>
        <v>&gt;3725:TGGATA:16.00:33.33:OK:6:1831.26</v>
      </c>
    </row>
    <row r="7455" spans="1:6" x14ac:dyDescent="0.3">
      <c r="A7455" t="s">
        <v>3731</v>
      </c>
      <c r="F7455" t="str">
        <f t="shared" ref="F7455" si="7447">A7455</f>
        <v>TGGATA</v>
      </c>
    </row>
    <row r="7456" spans="1:6" x14ac:dyDescent="0.3">
      <c r="A7456" t="s">
        <v>7828</v>
      </c>
      <c r="F7456" t="str">
        <f t="shared" ref="F7456" si="7448">LEFT(A7456, LEN(A7456) - 1)</f>
        <v>&gt;3726:TGGATC:14.00:50.00:Warning:6:1807.23</v>
      </c>
    </row>
    <row r="7457" spans="1:6" x14ac:dyDescent="0.3">
      <c r="A7457" t="s">
        <v>3732</v>
      </c>
      <c r="F7457" t="str">
        <f t="shared" ref="F7457" si="7449">A7457</f>
        <v>TGGATC</v>
      </c>
    </row>
    <row r="7458" spans="1:6" x14ac:dyDescent="0.3">
      <c r="A7458" t="s">
        <v>7829</v>
      </c>
      <c r="F7458" t="str">
        <f t="shared" ref="F7458" si="7450">LEFT(A7458, LEN(A7458) - 1)</f>
        <v>&gt;3727:TGGATG:14.00:50.00:Warning:6:1847.26</v>
      </c>
    </row>
    <row r="7459" spans="1:6" x14ac:dyDescent="0.3">
      <c r="A7459" t="s">
        <v>3733</v>
      </c>
      <c r="F7459" t="str">
        <f t="shared" ref="F7459" si="7451">A7459</f>
        <v>TGGATG</v>
      </c>
    </row>
    <row r="7460" spans="1:6" x14ac:dyDescent="0.3">
      <c r="A7460" t="s">
        <v>7830</v>
      </c>
      <c r="F7460" t="str">
        <f t="shared" ref="F7460" si="7452">LEFT(A7460, LEN(A7460) - 1)</f>
        <v>&gt;3728:TGGATT:8.00:33.33:OK:6:1822.24</v>
      </c>
    </row>
    <row r="7461" spans="1:6" x14ac:dyDescent="0.3">
      <c r="A7461" t="s">
        <v>3734</v>
      </c>
      <c r="F7461" t="str">
        <f t="shared" ref="F7461" si="7453">A7461</f>
        <v>TGGATT</v>
      </c>
    </row>
    <row r="7462" spans="1:6" x14ac:dyDescent="0.3">
      <c r="A7462" t="s">
        <v>7831</v>
      </c>
      <c r="F7462" t="str">
        <f t="shared" ref="F7462" si="7454">LEFT(A7462, LEN(A7462) - 1)</f>
        <v>&gt;3729:TGGCAA:22.00:50.00:Warning:6:1816.25</v>
      </c>
    </row>
    <row r="7463" spans="1:6" x14ac:dyDescent="0.3">
      <c r="A7463" t="s">
        <v>3735</v>
      </c>
      <c r="F7463" t="str">
        <f t="shared" ref="F7463" si="7455">A7463</f>
        <v>TGGCAA</v>
      </c>
    </row>
    <row r="7464" spans="1:6" x14ac:dyDescent="0.3">
      <c r="A7464" t="s">
        <v>7832</v>
      </c>
      <c r="F7464" t="str">
        <f t="shared" ref="F7464" si="7456">LEFT(A7464, LEN(A7464) - 1)</f>
        <v>&gt;3730:TGGCAC:20.00:66.67:Warning:6:1792.22</v>
      </c>
    </row>
    <row r="7465" spans="1:6" x14ac:dyDescent="0.3">
      <c r="A7465" t="s">
        <v>3736</v>
      </c>
      <c r="F7465" t="str">
        <f t="shared" ref="F7465" si="7457">A7465</f>
        <v>TGGCAC</v>
      </c>
    </row>
    <row r="7466" spans="1:6" x14ac:dyDescent="0.3">
      <c r="A7466" t="s">
        <v>7833</v>
      </c>
      <c r="F7466" t="str">
        <f t="shared" ref="F7466" si="7458">LEFT(A7466, LEN(A7466) - 1)</f>
        <v>&gt;3731:TGGCAG:20.00:66.67:Warning:6:1832.25</v>
      </c>
    </row>
    <row r="7467" spans="1:6" x14ac:dyDescent="0.3">
      <c r="A7467" t="s">
        <v>3737</v>
      </c>
      <c r="F7467" t="str">
        <f t="shared" ref="F7467" si="7459">A7467</f>
        <v>TGGCAG</v>
      </c>
    </row>
    <row r="7468" spans="1:6" x14ac:dyDescent="0.3">
      <c r="A7468" t="s">
        <v>7834</v>
      </c>
      <c r="F7468" t="str">
        <f t="shared" ref="F7468" si="7460">LEFT(A7468, LEN(A7468) - 1)</f>
        <v>&gt;3732:TGGCAT:14.00:50.00:Warning:6:1807.23</v>
      </c>
    </row>
    <row r="7469" spans="1:6" x14ac:dyDescent="0.3">
      <c r="A7469" t="s">
        <v>3738</v>
      </c>
      <c r="F7469" t="str">
        <f t="shared" ref="F7469" si="7461">A7469</f>
        <v>TGGCAT</v>
      </c>
    </row>
    <row r="7470" spans="1:6" x14ac:dyDescent="0.3">
      <c r="A7470" t="s">
        <v>7835</v>
      </c>
      <c r="F7470" t="str">
        <f t="shared" ref="F7470" si="7462">LEFT(A7470, LEN(A7470) - 1)</f>
        <v>&gt;3733:TGGCCA:20.00:66.67:Warning:6:1792.22</v>
      </c>
    </row>
    <row r="7471" spans="1:6" x14ac:dyDescent="0.3">
      <c r="A7471" t="s">
        <v>3739</v>
      </c>
      <c r="F7471" t="str">
        <f t="shared" ref="F7471" si="7463">A7471</f>
        <v>TGGCCA</v>
      </c>
    </row>
    <row r="7472" spans="1:6" x14ac:dyDescent="0.3">
      <c r="A7472" t="s">
        <v>7836</v>
      </c>
      <c r="F7472" t="str">
        <f t="shared" ref="F7472" si="7464">LEFT(A7472, LEN(A7472) - 1)</f>
        <v>&gt;3734:TGGCCC:18.00:83.33:Warning:6:1768.19</v>
      </c>
    </row>
    <row r="7473" spans="1:6" x14ac:dyDescent="0.3">
      <c r="A7473" t="s">
        <v>3740</v>
      </c>
      <c r="F7473" t="str">
        <f t="shared" ref="F7473" si="7465">A7473</f>
        <v>TGGCCC</v>
      </c>
    </row>
    <row r="7474" spans="1:6" x14ac:dyDescent="0.3">
      <c r="A7474" t="s">
        <v>7837</v>
      </c>
      <c r="F7474" t="str">
        <f t="shared" ref="F7474" si="7466">LEFT(A7474, LEN(A7474) - 1)</f>
        <v>&gt;3735:TGGCCG:18.00:83.33:Warning:6:1808.22</v>
      </c>
    </row>
    <row r="7475" spans="1:6" x14ac:dyDescent="0.3">
      <c r="A7475" t="s">
        <v>3741</v>
      </c>
      <c r="F7475" t="str">
        <f t="shared" ref="F7475" si="7467">A7475</f>
        <v>TGGCCG</v>
      </c>
    </row>
    <row r="7476" spans="1:6" x14ac:dyDescent="0.3">
      <c r="A7476" t="s">
        <v>7838</v>
      </c>
      <c r="F7476" t="str">
        <f t="shared" ref="F7476" si="7468">LEFT(A7476, LEN(A7476) - 1)</f>
        <v>&gt;3736:TGGCCT:12.00:66.67:Warning:6:1783.20</v>
      </c>
    </row>
    <row r="7477" spans="1:6" x14ac:dyDescent="0.3">
      <c r="A7477" t="s">
        <v>3742</v>
      </c>
      <c r="F7477" t="str">
        <f t="shared" ref="F7477" si="7469">A7477</f>
        <v>TGGCCT</v>
      </c>
    </row>
    <row r="7478" spans="1:6" x14ac:dyDescent="0.3">
      <c r="A7478" t="s">
        <v>7839</v>
      </c>
      <c r="F7478" t="str">
        <f t="shared" ref="F7478" si="7470">LEFT(A7478, LEN(A7478) - 1)</f>
        <v>&gt;3737:TGGCGA:20.00:66.67:Warning:6:1832.25</v>
      </c>
    </row>
    <row r="7479" spans="1:6" x14ac:dyDescent="0.3">
      <c r="A7479" t="s">
        <v>3743</v>
      </c>
      <c r="F7479" t="str">
        <f t="shared" ref="F7479" si="7471">A7479</f>
        <v>TGGCGA</v>
      </c>
    </row>
    <row r="7480" spans="1:6" x14ac:dyDescent="0.3">
      <c r="A7480" t="s">
        <v>7840</v>
      </c>
      <c r="F7480" t="str">
        <f t="shared" ref="F7480" si="7472">LEFT(A7480, LEN(A7480) - 1)</f>
        <v>&gt;3738:TGGCGC:18.00:83.33:Warning:6:1808.22</v>
      </c>
    </row>
    <row r="7481" spans="1:6" x14ac:dyDescent="0.3">
      <c r="A7481" t="s">
        <v>3744</v>
      </c>
      <c r="F7481" t="str">
        <f t="shared" ref="F7481" si="7473">A7481</f>
        <v>TGGCGC</v>
      </c>
    </row>
    <row r="7482" spans="1:6" x14ac:dyDescent="0.3">
      <c r="A7482" t="s">
        <v>7841</v>
      </c>
      <c r="F7482" t="str">
        <f t="shared" ref="F7482" si="7474">LEFT(A7482, LEN(A7482) - 1)</f>
        <v>&gt;3739:TGGCGG:18.00:83.33:Warning:6:1848.25</v>
      </c>
    </row>
    <row r="7483" spans="1:6" x14ac:dyDescent="0.3">
      <c r="A7483" t="s">
        <v>3745</v>
      </c>
      <c r="F7483" t="str">
        <f t="shared" ref="F7483" si="7475">A7483</f>
        <v>TGGCGG</v>
      </c>
    </row>
    <row r="7484" spans="1:6" x14ac:dyDescent="0.3">
      <c r="A7484" t="s">
        <v>7842</v>
      </c>
      <c r="F7484" t="str">
        <f t="shared" ref="F7484" si="7476">LEFT(A7484, LEN(A7484) - 1)</f>
        <v>&gt;3740:TGGCGT:12.00:66.67:Warning:6:1823.23</v>
      </c>
    </row>
    <row r="7485" spans="1:6" x14ac:dyDescent="0.3">
      <c r="A7485" t="s">
        <v>3746</v>
      </c>
      <c r="F7485" t="str">
        <f t="shared" ref="F7485" si="7477">A7485</f>
        <v>TGGCGT</v>
      </c>
    </row>
    <row r="7486" spans="1:6" x14ac:dyDescent="0.3">
      <c r="A7486" t="s">
        <v>7843</v>
      </c>
      <c r="F7486" t="str">
        <f t="shared" ref="F7486" si="7478">LEFT(A7486, LEN(A7486) - 1)</f>
        <v>&gt;3741:TGGCTA:14.00:50.00:Warning:6:1807.23</v>
      </c>
    </row>
    <row r="7487" spans="1:6" x14ac:dyDescent="0.3">
      <c r="A7487" t="s">
        <v>3747</v>
      </c>
      <c r="F7487" t="str">
        <f t="shared" ref="F7487" si="7479">A7487</f>
        <v>TGGCTA</v>
      </c>
    </row>
    <row r="7488" spans="1:6" x14ac:dyDescent="0.3">
      <c r="A7488" t="s">
        <v>7844</v>
      </c>
      <c r="F7488" t="str">
        <f t="shared" ref="F7488" si="7480">LEFT(A7488, LEN(A7488) - 1)</f>
        <v>&gt;3742:TGGCTC:12.00:66.67:Warning:6:1783.20</v>
      </c>
    </row>
    <row r="7489" spans="1:6" x14ac:dyDescent="0.3">
      <c r="A7489" t="s">
        <v>3748</v>
      </c>
      <c r="F7489" t="str">
        <f t="shared" ref="F7489" si="7481">A7489</f>
        <v>TGGCTC</v>
      </c>
    </row>
    <row r="7490" spans="1:6" x14ac:dyDescent="0.3">
      <c r="A7490" t="s">
        <v>7845</v>
      </c>
      <c r="F7490" t="str">
        <f t="shared" ref="F7490" si="7482">LEFT(A7490, LEN(A7490) - 1)</f>
        <v>&gt;3743:TGGCTG:12.00:66.67:Warning:6:1823.23</v>
      </c>
    </row>
    <row r="7491" spans="1:6" x14ac:dyDescent="0.3">
      <c r="A7491" t="s">
        <v>3749</v>
      </c>
      <c r="F7491" t="str">
        <f t="shared" ref="F7491" si="7483">A7491</f>
        <v>TGGCTG</v>
      </c>
    </row>
    <row r="7492" spans="1:6" x14ac:dyDescent="0.3">
      <c r="A7492" t="s">
        <v>7846</v>
      </c>
      <c r="F7492" t="str">
        <f t="shared" ref="F7492" si="7484">LEFT(A7492, LEN(A7492) - 1)</f>
        <v>&gt;3744:TGGCTT:6.00:50.00:Warning:6:1798.21</v>
      </c>
    </row>
    <row r="7493" spans="1:6" x14ac:dyDescent="0.3">
      <c r="A7493" t="s">
        <v>3750</v>
      </c>
      <c r="F7493" t="str">
        <f t="shared" ref="F7493" si="7485">A7493</f>
        <v>TGGCTT</v>
      </c>
    </row>
    <row r="7494" spans="1:6" x14ac:dyDescent="0.3">
      <c r="A7494" t="s">
        <v>7847</v>
      </c>
      <c r="F7494" t="str">
        <f t="shared" ref="F7494" si="7486">LEFT(A7494, LEN(A7494) - 1)</f>
        <v>&gt;3745:TGGGAA:22.00:50.00:Warning:6:1856.28</v>
      </c>
    </row>
    <row r="7495" spans="1:6" x14ac:dyDescent="0.3">
      <c r="A7495" t="s">
        <v>3751</v>
      </c>
      <c r="F7495" t="str">
        <f t="shared" ref="F7495" si="7487">A7495</f>
        <v>TGGGAA</v>
      </c>
    </row>
    <row r="7496" spans="1:6" x14ac:dyDescent="0.3">
      <c r="A7496" t="s">
        <v>7848</v>
      </c>
      <c r="F7496" t="str">
        <f t="shared" ref="F7496" si="7488">LEFT(A7496, LEN(A7496) - 1)</f>
        <v>&gt;3746:TGGGAC:20.00:66.67:Warning:6:1832.25</v>
      </c>
    </row>
    <row r="7497" spans="1:6" x14ac:dyDescent="0.3">
      <c r="A7497" t="s">
        <v>3752</v>
      </c>
      <c r="F7497" t="str">
        <f t="shared" ref="F7497" si="7489">A7497</f>
        <v>TGGGAC</v>
      </c>
    </row>
    <row r="7498" spans="1:6" x14ac:dyDescent="0.3">
      <c r="A7498" t="s">
        <v>7849</v>
      </c>
      <c r="F7498" t="str">
        <f t="shared" ref="F7498" si="7490">LEFT(A7498, LEN(A7498) - 1)</f>
        <v>&gt;3747:TGGGAG:20.00:66.67:Warning:6:1872.28</v>
      </c>
    </row>
    <row r="7499" spans="1:6" x14ac:dyDescent="0.3">
      <c r="A7499" t="s">
        <v>3753</v>
      </c>
      <c r="F7499" t="str">
        <f t="shared" ref="F7499" si="7491">A7499</f>
        <v>TGGGAG</v>
      </c>
    </row>
    <row r="7500" spans="1:6" x14ac:dyDescent="0.3">
      <c r="A7500" t="s">
        <v>7850</v>
      </c>
      <c r="F7500" t="str">
        <f t="shared" ref="F7500" si="7492">LEFT(A7500, LEN(A7500) - 1)</f>
        <v>&gt;3748:TGGGAT:14.00:50.00:Warning:6:1847.26</v>
      </c>
    </row>
    <row r="7501" spans="1:6" x14ac:dyDescent="0.3">
      <c r="A7501" t="s">
        <v>3754</v>
      </c>
      <c r="F7501" t="str">
        <f t="shared" ref="F7501" si="7493">A7501</f>
        <v>TGGGAT</v>
      </c>
    </row>
    <row r="7502" spans="1:6" x14ac:dyDescent="0.3">
      <c r="A7502" t="s">
        <v>7851</v>
      </c>
      <c r="F7502" t="str">
        <f t="shared" ref="F7502" si="7494">LEFT(A7502, LEN(A7502) - 1)</f>
        <v>&gt;3749:TGGGCA:20.00:66.67:Warning:6:1832.25</v>
      </c>
    </row>
    <row r="7503" spans="1:6" x14ac:dyDescent="0.3">
      <c r="A7503" t="s">
        <v>3755</v>
      </c>
      <c r="F7503" t="str">
        <f t="shared" ref="F7503" si="7495">A7503</f>
        <v>TGGGCA</v>
      </c>
    </row>
    <row r="7504" spans="1:6" x14ac:dyDescent="0.3">
      <c r="A7504" t="s">
        <v>7852</v>
      </c>
      <c r="F7504" t="str">
        <f t="shared" ref="F7504" si="7496">LEFT(A7504, LEN(A7504) - 1)</f>
        <v>&gt;3750:TGGGCC:18.00:83.33:Warning:6:1808.22</v>
      </c>
    </row>
    <row r="7505" spans="1:6" x14ac:dyDescent="0.3">
      <c r="A7505" t="s">
        <v>3756</v>
      </c>
      <c r="F7505" t="str">
        <f t="shared" ref="F7505" si="7497">A7505</f>
        <v>TGGGCC</v>
      </c>
    </row>
    <row r="7506" spans="1:6" x14ac:dyDescent="0.3">
      <c r="A7506" t="s">
        <v>7853</v>
      </c>
      <c r="F7506" t="str">
        <f t="shared" ref="F7506" si="7498">LEFT(A7506, LEN(A7506) - 1)</f>
        <v>&gt;3751:TGGGCG:18.00:83.33:Warning:6:1848.25</v>
      </c>
    </row>
    <row r="7507" spans="1:6" x14ac:dyDescent="0.3">
      <c r="A7507" t="s">
        <v>3757</v>
      </c>
      <c r="F7507" t="str">
        <f t="shared" ref="F7507" si="7499">A7507</f>
        <v>TGGGCG</v>
      </c>
    </row>
    <row r="7508" spans="1:6" x14ac:dyDescent="0.3">
      <c r="A7508" t="s">
        <v>7854</v>
      </c>
      <c r="F7508" t="str">
        <f t="shared" ref="F7508" si="7500">LEFT(A7508, LEN(A7508) - 1)</f>
        <v>&gt;3752:TGGGCT:12.00:66.67:Warning:6:1823.23</v>
      </c>
    </row>
    <row r="7509" spans="1:6" x14ac:dyDescent="0.3">
      <c r="A7509" t="s">
        <v>3758</v>
      </c>
      <c r="F7509" t="str">
        <f t="shared" ref="F7509" si="7501">A7509</f>
        <v>TGGGCT</v>
      </c>
    </row>
    <row r="7510" spans="1:6" x14ac:dyDescent="0.3">
      <c r="A7510" t="s">
        <v>7855</v>
      </c>
      <c r="F7510" t="str">
        <f t="shared" ref="F7510" si="7502">LEFT(A7510, LEN(A7510) - 1)</f>
        <v>&gt;3753:TGGGGA:20.00:66.67:Warning:6:1872.28</v>
      </c>
    </row>
    <row r="7511" spans="1:6" x14ac:dyDescent="0.3">
      <c r="A7511" t="s">
        <v>3759</v>
      </c>
      <c r="F7511" t="str">
        <f t="shared" ref="F7511" si="7503">A7511</f>
        <v>TGGGGA</v>
      </c>
    </row>
    <row r="7512" spans="1:6" x14ac:dyDescent="0.3">
      <c r="A7512" t="s">
        <v>7856</v>
      </c>
      <c r="F7512" t="str">
        <f t="shared" ref="F7512" si="7504">LEFT(A7512, LEN(A7512) - 1)</f>
        <v>&gt;3754:TGGGGC:18.00:83.33:Warning:6:1848.25</v>
      </c>
    </row>
    <row r="7513" spans="1:6" x14ac:dyDescent="0.3">
      <c r="A7513" t="s">
        <v>3760</v>
      </c>
      <c r="F7513" t="str">
        <f t="shared" ref="F7513" si="7505">A7513</f>
        <v>TGGGGC</v>
      </c>
    </row>
    <row r="7514" spans="1:6" x14ac:dyDescent="0.3">
      <c r="A7514" t="s">
        <v>7857</v>
      </c>
      <c r="F7514" t="str">
        <f t="shared" ref="F7514" si="7506">LEFT(A7514, LEN(A7514) - 1)</f>
        <v>&gt;3755:TGGGGG:18.00:83.33:Warning:6:1888.28</v>
      </c>
    </row>
    <row r="7515" spans="1:6" x14ac:dyDescent="0.3">
      <c r="A7515" t="s">
        <v>3761</v>
      </c>
      <c r="F7515" t="str">
        <f t="shared" ref="F7515" si="7507">A7515</f>
        <v>TGGGGG</v>
      </c>
    </row>
    <row r="7516" spans="1:6" x14ac:dyDescent="0.3">
      <c r="A7516" t="s">
        <v>7858</v>
      </c>
      <c r="F7516" t="str">
        <f t="shared" ref="F7516" si="7508">LEFT(A7516, LEN(A7516) - 1)</f>
        <v>&gt;3756:TGGGGT:12.00:66.67:Warning:6:1863.26</v>
      </c>
    </row>
    <row r="7517" spans="1:6" x14ac:dyDescent="0.3">
      <c r="A7517" t="s">
        <v>3762</v>
      </c>
      <c r="F7517" t="str">
        <f t="shared" ref="F7517" si="7509">A7517</f>
        <v>TGGGGT</v>
      </c>
    </row>
    <row r="7518" spans="1:6" x14ac:dyDescent="0.3">
      <c r="A7518" t="s">
        <v>7859</v>
      </c>
      <c r="F7518" t="str">
        <f t="shared" ref="F7518" si="7510">LEFT(A7518, LEN(A7518) - 1)</f>
        <v>&gt;3757:TGGGTA:14.00:50.00:Warning:6:1847.26</v>
      </c>
    </row>
    <row r="7519" spans="1:6" x14ac:dyDescent="0.3">
      <c r="A7519" t="s">
        <v>3763</v>
      </c>
      <c r="F7519" t="str">
        <f t="shared" ref="F7519" si="7511">A7519</f>
        <v>TGGGTA</v>
      </c>
    </row>
    <row r="7520" spans="1:6" x14ac:dyDescent="0.3">
      <c r="A7520" t="s">
        <v>7860</v>
      </c>
      <c r="F7520" t="str">
        <f t="shared" ref="F7520" si="7512">LEFT(A7520, LEN(A7520) - 1)</f>
        <v>&gt;3758:TGGGTC:12.00:66.67:Warning:6:1823.23</v>
      </c>
    </row>
    <row r="7521" spans="1:6" x14ac:dyDescent="0.3">
      <c r="A7521" t="s">
        <v>3764</v>
      </c>
      <c r="F7521" t="str">
        <f t="shared" ref="F7521" si="7513">A7521</f>
        <v>TGGGTC</v>
      </c>
    </row>
    <row r="7522" spans="1:6" x14ac:dyDescent="0.3">
      <c r="A7522" t="s">
        <v>7861</v>
      </c>
      <c r="F7522" t="str">
        <f t="shared" ref="F7522" si="7514">LEFT(A7522, LEN(A7522) - 1)</f>
        <v>&gt;3759:TGGGTG:12.00:66.67:Warning:6:1863.26</v>
      </c>
    </row>
    <row r="7523" spans="1:6" x14ac:dyDescent="0.3">
      <c r="A7523" t="s">
        <v>3765</v>
      </c>
      <c r="F7523" t="str">
        <f t="shared" ref="F7523" si="7515">A7523</f>
        <v>TGGGTG</v>
      </c>
    </row>
    <row r="7524" spans="1:6" x14ac:dyDescent="0.3">
      <c r="A7524" t="s">
        <v>7862</v>
      </c>
      <c r="F7524" t="str">
        <f t="shared" ref="F7524" si="7516">LEFT(A7524, LEN(A7524) - 1)</f>
        <v>&gt;3760:TGGGTT:6.00:50.00:Warning:6:1838.24</v>
      </c>
    </row>
    <row r="7525" spans="1:6" x14ac:dyDescent="0.3">
      <c r="A7525" t="s">
        <v>3766</v>
      </c>
      <c r="F7525" t="str">
        <f t="shared" ref="F7525" si="7517">A7525</f>
        <v>TGGGTT</v>
      </c>
    </row>
    <row r="7526" spans="1:6" x14ac:dyDescent="0.3">
      <c r="A7526" t="s">
        <v>7863</v>
      </c>
      <c r="F7526" t="str">
        <f t="shared" ref="F7526" si="7518">LEFT(A7526, LEN(A7526) - 1)</f>
        <v>&gt;3761:TGGTAA:16.00:33.33:OK:6:1831.26</v>
      </c>
    </row>
    <row r="7527" spans="1:6" x14ac:dyDescent="0.3">
      <c r="A7527" t="s">
        <v>3767</v>
      </c>
      <c r="F7527" t="str">
        <f t="shared" ref="F7527" si="7519">A7527</f>
        <v>TGGTAA</v>
      </c>
    </row>
    <row r="7528" spans="1:6" x14ac:dyDescent="0.3">
      <c r="A7528" t="s">
        <v>7864</v>
      </c>
      <c r="F7528" t="str">
        <f t="shared" ref="F7528" si="7520">LEFT(A7528, LEN(A7528) - 1)</f>
        <v>&gt;3762:TGGTAC:14.00:50.00:Warning:6:1807.23</v>
      </c>
    </row>
    <row r="7529" spans="1:6" x14ac:dyDescent="0.3">
      <c r="A7529" t="s">
        <v>3768</v>
      </c>
      <c r="F7529" t="str">
        <f t="shared" ref="F7529" si="7521">A7529</f>
        <v>TGGTAC</v>
      </c>
    </row>
    <row r="7530" spans="1:6" x14ac:dyDescent="0.3">
      <c r="A7530" t="s">
        <v>7865</v>
      </c>
      <c r="F7530" t="str">
        <f t="shared" ref="F7530" si="7522">LEFT(A7530, LEN(A7530) - 1)</f>
        <v>&gt;3763:TGGTAG:14.00:50.00:Warning:6:1847.26</v>
      </c>
    </row>
    <row r="7531" spans="1:6" x14ac:dyDescent="0.3">
      <c r="A7531" t="s">
        <v>3769</v>
      </c>
      <c r="F7531" t="str">
        <f t="shared" ref="F7531" si="7523">A7531</f>
        <v>TGGTAG</v>
      </c>
    </row>
    <row r="7532" spans="1:6" x14ac:dyDescent="0.3">
      <c r="A7532" t="s">
        <v>7866</v>
      </c>
      <c r="F7532" t="str">
        <f t="shared" ref="F7532" si="7524">LEFT(A7532, LEN(A7532) - 1)</f>
        <v>&gt;3764:TGGTAT:8.00:33.33:OK:6:1822.24</v>
      </c>
    </row>
    <row r="7533" spans="1:6" x14ac:dyDescent="0.3">
      <c r="A7533" t="s">
        <v>3770</v>
      </c>
      <c r="F7533" t="str">
        <f t="shared" ref="F7533" si="7525">A7533</f>
        <v>TGGTAT</v>
      </c>
    </row>
    <row r="7534" spans="1:6" x14ac:dyDescent="0.3">
      <c r="A7534" t="s">
        <v>7867</v>
      </c>
      <c r="F7534" t="str">
        <f t="shared" ref="F7534" si="7526">LEFT(A7534, LEN(A7534) - 1)</f>
        <v>&gt;3765:TGGTCA:14.00:50.00:Warning:6:1807.23</v>
      </c>
    </row>
    <row r="7535" spans="1:6" x14ac:dyDescent="0.3">
      <c r="A7535" t="s">
        <v>3771</v>
      </c>
      <c r="F7535" t="str">
        <f t="shared" ref="F7535" si="7527">A7535</f>
        <v>TGGTCA</v>
      </c>
    </row>
    <row r="7536" spans="1:6" x14ac:dyDescent="0.3">
      <c r="A7536" t="s">
        <v>7868</v>
      </c>
      <c r="F7536" t="str">
        <f t="shared" ref="F7536" si="7528">LEFT(A7536, LEN(A7536) - 1)</f>
        <v>&gt;3766:TGGTCC:12.00:66.67:Warning:6:1783.20</v>
      </c>
    </row>
    <row r="7537" spans="1:6" x14ac:dyDescent="0.3">
      <c r="A7537" t="s">
        <v>3772</v>
      </c>
      <c r="F7537" t="str">
        <f t="shared" ref="F7537" si="7529">A7537</f>
        <v>TGGTCC</v>
      </c>
    </row>
    <row r="7538" spans="1:6" x14ac:dyDescent="0.3">
      <c r="A7538" t="s">
        <v>7869</v>
      </c>
      <c r="F7538" t="str">
        <f t="shared" ref="F7538" si="7530">LEFT(A7538, LEN(A7538) - 1)</f>
        <v>&gt;3767:TGGTCG:12.00:66.67:Warning:6:1823.23</v>
      </c>
    </row>
    <row r="7539" spans="1:6" x14ac:dyDescent="0.3">
      <c r="A7539" t="s">
        <v>3773</v>
      </c>
      <c r="F7539" t="str">
        <f t="shared" ref="F7539" si="7531">A7539</f>
        <v>TGGTCG</v>
      </c>
    </row>
    <row r="7540" spans="1:6" x14ac:dyDescent="0.3">
      <c r="A7540" t="s">
        <v>7870</v>
      </c>
      <c r="F7540" t="str">
        <f t="shared" ref="F7540" si="7532">LEFT(A7540, LEN(A7540) - 1)</f>
        <v>&gt;3768:TGGTCT:6.00:50.00:Warning:6:1798.21</v>
      </c>
    </row>
    <row r="7541" spans="1:6" x14ac:dyDescent="0.3">
      <c r="A7541" t="s">
        <v>3774</v>
      </c>
      <c r="F7541" t="str">
        <f t="shared" ref="F7541" si="7533">A7541</f>
        <v>TGGTCT</v>
      </c>
    </row>
    <row r="7542" spans="1:6" x14ac:dyDescent="0.3">
      <c r="A7542" t="s">
        <v>7871</v>
      </c>
      <c r="F7542" t="str">
        <f t="shared" ref="F7542" si="7534">LEFT(A7542, LEN(A7542) - 1)</f>
        <v>&gt;3769:TGGTGA:14.00:50.00:Warning:6:1847.26</v>
      </c>
    </row>
    <row r="7543" spans="1:6" x14ac:dyDescent="0.3">
      <c r="A7543" t="s">
        <v>3775</v>
      </c>
      <c r="F7543" t="str">
        <f t="shared" ref="F7543" si="7535">A7543</f>
        <v>TGGTGA</v>
      </c>
    </row>
    <row r="7544" spans="1:6" x14ac:dyDescent="0.3">
      <c r="A7544" t="s">
        <v>7872</v>
      </c>
      <c r="F7544" t="str">
        <f t="shared" ref="F7544" si="7536">LEFT(A7544, LEN(A7544) - 1)</f>
        <v>&gt;3770:TGGTGC:12.00:66.67:Warning:6:1823.23</v>
      </c>
    </row>
    <row r="7545" spans="1:6" x14ac:dyDescent="0.3">
      <c r="A7545" t="s">
        <v>3776</v>
      </c>
      <c r="F7545" t="str">
        <f t="shared" ref="F7545" si="7537">A7545</f>
        <v>TGGTGC</v>
      </c>
    </row>
    <row r="7546" spans="1:6" x14ac:dyDescent="0.3">
      <c r="A7546" t="s">
        <v>7873</v>
      </c>
      <c r="F7546" t="str">
        <f t="shared" ref="F7546" si="7538">LEFT(A7546, LEN(A7546) - 1)</f>
        <v>&gt;3771:TGGTGG:12.00:66.67:Warning:6:1863.26</v>
      </c>
    </row>
    <row r="7547" spans="1:6" x14ac:dyDescent="0.3">
      <c r="A7547" t="s">
        <v>3777</v>
      </c>
      <c r="F7547" t="str">
        <f t="shared" ref="F7547" si="7539">A7547</f>
        <v>TGGTGG</v>
      </c>
    </row>
    <row r="7548" spans="1:6" x14ac:dyDescent="0.3">
      <c r="A7548" t="s">
        <v>7874</v>
      </c>
      <c r="F7548" t="str">
        <f t="shared" ref="F7548" si="7540">LEFT(A7548, LEN(A7548) - 1)</f>
        <v>&gt;3772:TGGTGT:6.00:50.00:Warning:6:1838.24</v>
      </c>
    </row>
    <row r="7549" spans="1:6" x14ac:dyDescent="0.3">
      <c r="A7549" t="s">
        <v>3778</v>
      </c>
      <c r="F7549" t="str">
        <f t="shared" ref="F7549" si="7541">A7549</f>
        <v>TGGTGT</v>
      </c>
    </row>
    <row r="7550" spans="1:6" x14ac:dyDescent="0.3">
      <c r="A7550" t="s">
        <v>7875</v>
      </c>
      <c r="F7550" t="str">
        <f t="shared" ref="F7550" si="7542">LEFT(A7550, LEN(A7550) - 1)</f>
        <v>&gt;3773:TGGTTA:8.00:33.33:OK:6:1822.24</v>
      </c>
    </row>
    <row r="7551" spans="1:6" x14ac:dyDescent="0.3">
      <c r="A7551" t="s">
        <v>3779</v>
      </c>
      <c r="F7551" t="str">
        <f t="shared" ref="F7551" si="7543">A7551</f>
        <v>TGGTTA</v>
      </c>
    </row>
    <row r="7552" spans="1:6" x14ac:dyDescent="0.3">
      <c r="A7552" t="s">
        <v>7876</v>
      </c>
      <c r="F7552" t="str">
        <f t="shared" ref="F7552" si="7544">LEFT(A7552, LEN(A7552) - 1)</f>
        <v>&gt;3774:TGGTTC:6.00:50.00:Warning:6:1798.21</v>
      </c>
    </row>
    <row r="7553" spans="1:6" x14ac:dyDescent="0.3">
      <c r="A7553" t="s">
        <v>3780</v>
      </c>
      <c r="F7553" t="str">
        <f t="shared" ref="F7553" si="7545">A7553</f>
        <v>TGGTTC</v>
      </c>
    </row>
    <row r="7554" spans="1:6" x14ac:dyDescent="0.3">
      <c r="A7554" t="s">
        <v>7877</v>
      </c>
      <c r="F7554" t="str">
        <f t="shared" ref="F7554" si="7546">LEFT(A7554, LEN(A7554) - 1)</f>
        <v>&gt;3775:TGGTTG:6.00:50.00:Warning:6:1838.24</v>
      </c>
    </row>
    <row r="7555" spans="1:6" x14ac:dyDescent="0.3">
      <c r="A7555" t="s">
        <v>3781</v>
      </c>
      <c r="F7555" t="str">
        <f t="shared" ref="F7555" si="7547">A7555</f>
        <v>TGGTTG</v>
      </c>
    </row>
    <row r="7556" spans="1:6" x14ac:dyDescent="0.3">
      <c r="A7556" t="s">
        <v>7878</v>
      </c>
      <c r="F7556" t="str">
        <f t="shared" ref="F7556" si="7548">LEFT(A7556, LEN(A7556) - 1)</f>
        <v>&gt;3776:TGGTTT:0.00:33.33:OK:6:1813.22</v>
      </c>
    </row>
    <row r="7557" spans="1:6" x14ac:dyDescent="0.3">
      <c r="A7557" t="s">
        <v>3782</v>
      </c>
      <c r="F7557" t="str">
        <f t="shared" ref="F7557" si="7549">A7557</f>
        <v>TGGTTT</v>
      </c>
    </row>
    <row r="7558" spans="1:6" x14ac:dyDescent="0.3">
      <c r="A7558" t="s">
        <v>7879</v>
      </c>
      <c r="F7558" t="str">
        <f t="shared" ref="F7558" si="7550">LEFT(A7558, LEN(A7558) - 1)</f>
        <v>&gt;3777:TGTAAA:18.00:16.67:OK:6:1815.26</v>
      </c>
    </row>
    <row r="7559" spans="1:6" x14ac:dyDescent="0.3">
      <c r="A7559" t="s">
        <v>3783</v>
      </c>
      <c r="F7559" t="str">
        <f t="shared" ref="F7559" si="7551">A7559</f>
        <v>TGTAAA</v>
      </c>
    </row>
    <row r="7560" spans="1:6" x14ac:dyDescent="0.3">
      <c r="A7560" t="s">
        <v>7880</v>
      </c>
      <c r="F7560" t="str">
        <f t="shared" ref="F7560" si="7552">LEFT(A7560, LEN(A7560) - 1)</f>
        <v>&gt;3778:TGTAAC:16.00:33.33:OK:6:1791.23</v>
      </c>
    </row>
    <row r="7561" spans="1:6" x14ac:dyDescent="0.3">
      <c r="A7561" t="s">
        <v>3784</v>
      </c>
      <c r="F7561" t="str">
        <f t="shared" ref="F7561" si="7553">A7561</f>
        <v>TGTAAC</v>
      </c>
    </row>
    <row r="7562" spans="1:6" x14ac:dyDescent="0.3">
      <c r="A7562" t="s">
        <v>7881</v>
      </c>
      <c r="F7562" t="str">
        <f t="shared" ref="F7562" si="7554">LEFT(A7562, LEN(A7562) - 1)</f>
        <v>&gt;3779:TGTAAG:16.00:33.33:OK:6:1831.26</v>
      </c>
    </row>
    <row r="7563" spans="1:6" x14ac:dyDescent="0.3">
      <c r="A7563" t="s">
        <v>3785</v>
      </c>
      <c r="F7563" t="str">
        <f t="shared" ref="F7563" si="7555">A7563</f>
        <v>TGTAAG</v>
      </c>
    </row>
    <row r="7564" spans="1:6" x14ac:dyDescent="0.3">
      <c r="A7564" t="s">
        <v>7882</v>
      </c>
      <c r="F7564" t="str">
        <f t="shared" ref="F7564" si="7556">LEFT(A7564, LEN(A7564) - 1)</f>
        <v>&gt;3780:TGTAAT:10.00:16.67:OK:6:1806.24</v>
      </c>
    </row>
    <row r="7565" spans="1:6" x14ac:dyDescent="0.3">
      <c r="A7565" t="s">
        <v>3786</v>
      </c>
      <c r="F7565" t="str">
        <f t="shared" ref="F7565" si="7557">A7565</f>
        <v>TGTAAT</v>
      </c>
    </row>
    <row r="7566" spans="1:6" x14ac:dyDescent="0.3">
      <c r="A7566" t="s">
        <v>7883</v>
      </c>
      <c r="F7566" t="str">
        <f t="shared" ref="F7566" si="7558">LEFT(A7566, LEN(A7566) - 1)</f>
        <v>&gt;3781:TGTACA:16.00:33.33:OK:6:1791.23</v>
      </c>
    </row>
    <row r="7567" spans="1:6" x14ac:dyDescent="0.3">
      <c r="A7567" t="s">
        <v>3787</v>
      </c>
      <c r="F7567" t="str">
        <f t="shared" ref="F7567" si="7559">A7567</f>
        <v>TGTACA</v>
      </c>
    </row>
    <row r="7568" spans="1:6" x14ac:dyDescent="0.3">
      <c r="A7568" t="s">
        <v>7884</v>
      </c>
      <c r="F7568" t="str">
        <f t="shared" ref="F7568" si="7560">LEFT(A7568, LEN(A7568) - 1)</f>
        <v>&gt;3782:TGTACC:14.00:50.00:Warning:6:1767.20</v>
      </c>
    </row>
    <row r="7569" spans="1:6" x14ac:dyDescent="0.3">
      <c r="A7569" t="s">
        <v>3788</v>
      </c>
      <c r="F7569" t="str">
        <f t="shared" ref="F7569" si="7561">A7569</f>
        <v>TGTACC</v>
      </c>
    </row>
    <row r="7570" spans="1:6" x14ac:dyDescent="0.3">
      <c r="A7570" t="s">
        <v>7885</v>
      </c>
      <c r="F7570" t="str">
        <f t="shared" ref="F7570" si="7562">LEFT(A7570, LEN(A7570) - 1)</f>
        <v>&gt;3783:TGTACG:14.00:50.00:Warning:6:1807.23</v>
      </c>
    </row>
    <row r="7571" spans="1:6" x14ac:dyDescent="0.3">
      <c r="A7571" t="s">
        <v>3789</v>
      </c>
      <c r="F7571" t="str">
        <f t="shared" ref="F7571" si="7563">A7571</f>
        <v>TGTACG</v>
      </c>
    </row>
    <row r="7572" spans="1:6" x14ac:dyDescent="0.3">
      <c r="A7572" t="s">
        <v>7886</v>
      </c>
      <c r="F7572" t="str">
        <f t="shared" ref="F7572" si="7564">LEFT(A7572, LEN(A7572) - 1)</f>
        <v>&gt;3784:TGTACT:8.00:33.33:OK:6:1782.21</v>
      </c>
    </row>
    <row r="7573" spans="1:6" x14ac:dyDescent="0.3">
      <c r="A7573" t="s">
        <v>3790</v>
      </c>
      <c r="F7573" t="str">
        <f t="shared" ref="F7573" si="7565">A7573</f>
        <v>TGTACT</v>
      </c>
    </row>
    <row r="7574" spans="1:6" x14ac:dyDescent="0.3">
      <c r="A7574" t="s">
        <v>7887</v>
      </c>
      <c r="F7574" t="str">
        <f t="shared" ref="F7574" si="7566">LEFT(A7574, LEN(A7574) - 1)</f>
        <v>&gt;3785:TGTAGA:16.00:33.33:OK:6:1831.26</v>
      </c>
    </row>
    <row r="7575" spans="1:6" x14ac:dyDescent="0.3">
      <c r="A7575" t="s">
        <v>3791</v>
      </c>
      <c r="F7575" t="str">
        <f t="shared" ref="F7575" si="7567">A7575</f>
        <v>TGTAGA</v>
      </c>
    </row>
    <row r="7576" spans="1:6" x14ac:dyDescent="0.3">
      <c r="A7576" t="s">
        <v>7888</v>
      </c>
      <c r="F7576" t="str">
        <f t="shared" ref="F7576" si="7568">LEFT(A7576, LEN(A7576) - 1)</f>
        <v>&gt;3786:TGTAGC:14.00:50.00:Warning:6:1807.23</v>
      </c>
    </row>
    <row r="7577" spans="1:6" x14ac:dyDescent="0.3">
      <c r="A7577" t="s">
        <v>3792</v>
      </c>
      <c r="F7577" t="str">
        <f t="shared" ref="F7577" si="7569">A7577</f>
        <v>TGTAGC</v>
      </c>
    </row>
    <row r="7578" spans="1:6" x14ac:dyDescent="0.3">
      <c r="A7578" t="s">
        <v>7889</v>
      </c>
      <c r="F7578" t="str">
        <f t="shared" ref="F7578" si="7570">LEFT(A7578, LEN(A7578) - 1)</f>
        <v>&gt;3787:TGTAGG:14.00:50.00:Warning:6:1847.26</v>
      </c>
    </row>
    <row r="7579" spans="1:6" x14ac:dyDescent="0.3">
      <c r="A7579" t="s">
        <v>3793</v>
      </c>
      <c r="F7579" t="str">
        <f t="shared" ref="F7579" si="7571">A7579</f>
        <v>TGTAGG</v>
      </c>
    </row>
    <row r="7580" spans="1:6" x14ac:dyDescent="0.3">
      <c r="A7580" t="s">
        <v>7890</v>
      </c>
      <c r="F7580" t="str">
        <f t="shared" ref="F7580" si="7572">LEFT(A7580, LEN(A7580) - 1)</f>
        <v>&gt;3788:TGTAGT:8.00:33.33:OK:6:1822.24</v>
      </c>
    </row>
    <row r="7581" spans="1:6" x14ac:dyDescent="0.3">
      <c r="A7581" t="s">
        <v>3794</v>
      </c>
      <c r="F7581" t="str">
        <f t="shared" ref="F7581" si="7573">A7581</f>
        <v>TGTAGT</v>
      </c>
    </row>
    <row r="7582" spans="1:6" x14ac:dyDescent="0.3">
      <c r="A7582" t="s">
        <v>7891</v>
      </c>
      <c r="F7582" t="str">
        <f t="shared" ref="F7582" si="7574">LEFT(A7582, LEN(A7582) - 1)</f>
        <v>&gt;3789:TGTATA:10.00:16.67:OK:6:1806.24</v>
      </c>
    </row>
    <row r="7583" spans="1:6" x14ac:dyDescent="0.3">
      <c r="A7583" t="s">
        <v>3795</v>
      </c>
      <c r="F7583" t="str">
        <f t="shared" ref="F7583" si="7575">A7583</f>
        <v>TGTATA</v>
      </c>
    </row>
    <row r="7584" spans="1:6" x14ac:dyDescent="0.3">
      <c r="A7584" t="s">
        <v>7892</v>
      </c>
      <c r="F7584" t="str">
        <f t="shared" ref="F7584" si="7576">LEFT(A7584, LEN(A7584) - 1)</f>
        <v>&gt;3790:TGTATC:8.00:33.33:OK:6:1782.21</v>
      </c>
    </row>
    <row r="7585" spans="1:6" x14ac:dyDescent="0.3">
      <c r="A7585" t="s">
        <v>3796</v>
      </c>
      <c r="F7585" t="str">
        <f t="shared" ref="F7585" si="7577">A7585</f>
        <v>TGTATC</v>
      </c>
    </row>
    <row r="7586" spans="1:6" x14ac:dyDescent="0.3">
      <c r="A7586" t="s">
        <v>7893</v>
      </c>
      <c r="F7586" t="str">
        <f t="shared" ref="F7586" si="7578">LEFT(A7586, LEN(A7586) - 1)</f>
        <v>&gt;3791:TGTATG:8.00:33.33:OK:6:1822.24</v>
      </c>
    </row>
    <row r="7587" spans="1:6" x14ac:dyDescent="0.3">
      <c r="A7587" t="s">
        <v>3797</v>
      </c>
      <c r="F7587" t="str">
        <f t="shared" ref="F7587" si="7579">A7587</f>
        <v>TGTATG</v>
      </c>
    </row>
    <row r="7588" spans="1:6" x14ac:dyDescent="0.3">
      <c r="A7588" t="s">
        <v>7894</v>
      </c>
      <c r="F7588" t="str">
        <f t="shared" ref="F7588" si="7580">LEFT(A7588, LEN(A7588) - 1)</f>
        <v>&gt;3792:TGTATT:2.00:16.67:OK:6:1797.22</v>
      </c>
    </row>
    <row r="7589" spans="1:6" x14ac:dyDescent="0.3">
      <c r="A7589" t="s">
        <v>3798</v>
      </c>
      <c r="F7589" t="str">
        <f t="shared" ref="F7589" si="7581">A7589</f>
        <v>TGTATT</v>
      </c>
    </row>
    <row r="7590" spans="1:6" x14ac:dyDescent="0.3">
      <c r="A7590" t="s">
        <v>7895</v>
      </c>
      <c r="F7590" t="str">
        <f t="shared" ref="F7590" si="7582">LEFT(A7590, LEN(A7590) - 1)</f>
        <v>&gt;3793:TGTCAA:16.00:33.33:OK:6:1791.23</v>
      </c>
    </row>
    <row r="7591" spans="1:6" x14ac:dyDescent="0.3">
      <c r="A7591" t="s">
        <v>3799</v>
      </c>
      <c r="F7591" t="str">
        <f t="shared" ref="F7591" si="7583">A7591</f>
        <v>TGTCAA</v>
      </c>
    </row>
    <row r="7592" spans="1:6" x14ac:dyDescent="0.3">
      <c r="A7592" t="s">
        <v>7896</v>
      </c>
      <c r="F7592" t="str">
        <f t="shared" ref="F7592" si="7584">LEFT(A7592, LEN(A7592) - 1)</f>
        <v>&gt;3794:TGTCAC:14.00:50.00:Warning:6:1767.20</v>
      </c>
    </row>
    <row r="7593" spans="1:6" x14ac:dyDescent="0.3">
      <c r="A7593" t="s">
        <v>3800</v>
      </c>
      <c r="F7593" t="str">
        <f t="shared" ref="F7593" si="7585">A7593</f>
        <v>TGTCAC</v>
      </c>
    </row>
    <row r="7594" spans="1:6" x14ac:dyDescent="0.3">
      <c r="A7594" t="s">
        <v>7897</v>
      </c>
      <c r="F7594" t="str">
        <f t="shared" ref="F7594" si="7586">LEFT(A7594, LEN(A7594) - 1)</f>
        <v>&gt;3795:TGTCAG:14.00:50.00:Warning:6:1807.23</v>
      </c>
    </row>
    <row r="7595" spans="1:6" x14ac:dyDescent="0.3">
      <c r="A7595" t="s">
        <v>3801</v>
      </c>
      <c r="F7595" t="str">
        <f t="shared" ref="F7595" si="7587">A7595</f>
        <v>TGTCAG</v>
      </c>
    </row>
    <row r="7596" spans="1:6" x14ac:dyDescent="0.3">
      <c r="A7596" t="s">
        <v>7898</v>
      </c>
      <c r="F7596" t="str">
        <f t="shared" ref="F7596" si="7588">LEFT(A7596, LEN(A7596) - 1)</f>
        <v>&gt;3796:TGTCAT:8.00:33.33:OK:6:1782.21</v>
      </c>
    </row>
    <row r="7597" spans="1:6" x14ac:dyDescent="0.3">
      <c r="A7597" t="s">
        <v>3802</v>
      </c>
      <c r="F7597" t="str">
        <f t="shared" ref="F7597" si="7589">A7597</f>
        <v>TGTCAT</v>
      </c>
    </row>
    <row r="7598" spans="1:6" x14ac:dyDescent="0.3">
      <c r="A7598" t="s">
        <v>7899</v>
      </c>
      <c r="F7598" t="str">
        <f t="shared" ref="F7598" si="7590">LEFT(A7598, LEN(A7598) - 1)</f>
        <v>&gt;3797:TGTCCA:14.00:50.00:Warning:6:1767.20</v>
      </c>
    </row>
    <row r="7599" spans="1:6" x14ac:dyDescent="0.3">
      <c r="A7599" t="s">
        <v>3803</v>
      </c>
      <c r="F7599" t="str">
        <f t="shared" ref="F7599" si="7591">A7599</f>
        <v>TGTCCA</v>
      </c>
    </row>
    <row r="7600" spans="1:6" x14ac:dyDescent="0.3">
      <c r="A7600" t="s">
        <v>7900</v>
      </c>
      <c r="F7600" t="str">
        <f t="shared" ref="F7600" si="7592">LEFT(A7600, LEN(A7600) - 1)</f>
        <v>&gt;3798:TGTCCC:12.00:66.67:Warning:6:1743.17</v>
      </c>
    </row>
    <row r="7601" spans="1:6" x14ac:dyDescent="0.3">
      <c r="A7601" t="s">
        <v>3804</v>
      </c>
      <c r="F7601" t="str">
        <f t="shared" ref="F7601" si="7593">A7601</f>
        <v>TGTCCC</v>
      </c>
    </row>
    <row r="7602" spans="1:6" x14ac:dyDescent="0.3">
      <c r="A7602" t="s">
        <v>7901</v>
      </c>
      <c r="F7602" t="str">
        <f t="shared" ref="F7602" si="7594">LEFT(A7602, LEN(A7602) - 1)</f>
        <v>&gt;3799:TGTCCG:12.00:66.67:Warning:6:1783.20</v>
      </c>
    </row>
    <row r="7603" spans="1:6" x14ac:dyDescent="0.3">
      <c r="A7603" t="s">
        <v>3805</v>
      </c>
      <c r="F7603" t="str">
        <f t="shared" ref="F7603" si="7595">A7603</f>
        <v>TGTCCG</v>
      </c>
    </row>
    <row r="7604" spans="1:6" x14ac:dyDescent="0.3">
      <c r="A7604" t="s">
        <v>7902</v>
      </c>
      <c r="F7604" t="str">
        <f t="shared" ref="F7604" si="7596">LEFT(A7604, LEN(A7604) - 1)</f>
        <v>&gt;3800:TGTCCT:6.00:50.00:Warning:6:1758.18</v>
      </c>
    </row>
    <row r="7605" spans="1:6" x14ac:dyDescent="0.3">
      <c r="A7605" t="s">
        <v>3806</v>
      </c>
      <c r="F7605" t="str">
        <f t="shared" ref="F7605" si="7597">A7605</f>
        <v>TGTCCT</v>
      </c>
    </row>
    <row r="7606" spans="1:6" x14ac:dyDescent="0.3">
      <c r="A7606" t="s">
        <v>7903</v>
      </c>
      <c r="F7606" t="str">
        <f t="shared" ref="F7606" si="7598">LEFT(A7606, LEN(A7606) - 1)</f>
        <v>&gt;3801:TGTCGA:14.00:50.00:Warning:6:1807.23</v>
      </c>
    </row>
    <row r="7607" spans="1:6" x14ac:dyDescent="0.3">
      <c r="A7607" t="s">
        <v>3807</v>
      </c>
      <c r="F7607" t="str">
        <f t="shared" ref="F7607" si="7599">A7607</f>
        <v>TGTCGA</v>
      </c>
    </row>
    <row r="7608" spans="1:6" x14ac:dyDescent="0.3">
      <c r="A7608" t="s">
        <v>7904</v>
      </c>
      <c r="F7608" t="str">
        <f t="shared" ref="F7608" si="7600">LEFT(A7608, LEN(A7608) - 1)</f>
        <v>&gt;3802:TGTCGC:12.00:66.67:Warning:6:1783.20</v>
      </c>
    </row>
    <row r="7609" spans="1:6" x14ac:dyDescent="0.3">
      <c r="A7609" t="s">
        <v>3808</v>
      </c>
      <c r="F7609" t="str">
        <f t="shared" ref="F7609" si="7601">A7609</f>
        <v>TGTCGC</v>
      </c>
    </row>
    <row r="7610" spans="1:6" x14ac:dyDescent="0.3">
      <c r="A7610" t="s">
        <v>7905</v>
      </c>
      <c r="F7610" t="str">
        <f t="shared" ref="F7610" si="7602">LEFT(A7610, LEN(A7610) - 1)</f>
        <v>&gt;3803:TGTCGG:12.00:66.67:Warning:6:1823.23</v>
      </c>
    </row>
    <row r="7611" spans="1:6" x14ac:dyDescent="0.3">
      <c r="A7611" t="s">
        <v>3809</v>
      </c>
      <c r="F7611" t="str">
        <f t="shared" ref="F7611" si="7603">A7611</f>
        <v>TGTCGG</v>
      </c>
    </row>
    <row r="7612" spans="1:6" x14ac:dyDescent="0.3">
      <c r="A7612" t="s">
        <v>7906</v>
      </c>
      <c r="F7612" t="str">
        <f t="shared" ref="F7612" si="7604">LEFT(A7612, LEN(A7612) - 1)</f>
        <v>&gt;3804:TGTCGT:6.00:50.00:Warning:6:1798.21</v>
      </c>
    </row>
    <row r="7613" spans="1:6" x14ac:dyDescent="0.3">
      <c r="A7613" t="s">
        <v>3810</v>
      </c>
      <c r="F7613" t="str">
        <f t="shared" ref="F7613" si="7605">A7613</f>
        <v>TGTCGT</v>
      </c>
    </row>
    <row r="7614" spans="1:6" x14ac:dyDescent="0.3">
      <c r="A7614" t="s">
        <v>7907</v>
      </c>
      <c r="F7614" t="str">
        <f t="shared" ref="F7614" si="7606">LEFT(A7614, LEN(A7614) - 1)</f>
        <v>&gt;3805:TGTCTA:8.00:33.33:OK:6:1782.21</v>
      </c>
    </row>
    <row r="7615" spans="1:6" x14ac:dyDescent="0.3">
      <c r="A7615" t="s">
        <v>3811</v>
      </c>
      <c r="F7615" t="str">
        <f t="shared" ref="F7615" si="7607">A7615</f>
        <v>TGTCTA</v>
      </c>
    </row>
    <row r="7616" spans="1:6" x14ac:dyDescent="0.3">
      <c r="A7616" t="s">
        <v>7908</v>
      </c>
      <c r="F7616" t="str">
        <f t="shared" ref="F7616" si="7608">LEFT(A7616, LEN(A7616) - 1)</f>
        <v>&gt;3806:TGTCTC:6.00:50.00:Warning:6:1758.18</v>
      </c>
    </row>
    <row r="7617" spans="1:6" x14ac:dyDescent="0.3">
      <c r="A7617" t="s">
        <v>3812</v>
      </c>
      <c r="F7617" t="str">
        <f t="shared" ref="F7617" si="7609">A7617</f>
        <v>TGTCTC</v>
      </c>
    </row>
    <row r="7618" spans="1:6" x14ac:dyDescent="0.3">
      <c r="A7618" t="s">
        <v>7909</v>
      </c>
      <c r="F7618" t="str">
        <f t="shared" ref="F7618" si="7610">LEFT(A7618, LEN(A7618) - 1)</f>
        <v>&gt;3807:TGTCTG:6.00:50.00:Warning:6:1798.21</v>
      </c>
    </row>
    <row r="7619" spans="1:6" x14ac:dyDescent="0.3">
      <c r="A7619" t="s">
        <v>3813</v>
      </c>
      <c r="F7619" t="str">
        <f t="shared" ref="F7619" si="7611">A7619</f>
        <v>TGTCTG</v>
      </c>
    </row>
    <row r="7620" spans="1:6" x14ac:dyDescent="0.3">
      <c r="A7620" t="s">
        <v>7910</v>
      </c>
      <c r="F7620" t="str">
        <f t="shared" ref="F7620" si="7612">LEFT(A7620, LEN(A7620) - 1)</f>
        <v>&gt;3808:TGTCTT:0.00:33.33:OK:6:1773.19</v>
      </c>
    </row>
    <row r="7621" spans="1:6" x14ac:dyDescent="0.3">
      <c r="A7621" t="s">
        <v>3814</v>
      </c>
      <c r="F7621" t="str">
        <f t="shared" ref="F7621" si="7613">A7621</f>
        <v>TGTCTT</v>
      </c>
    </row>
    <row r="7622" spans="1:6" x14ac:dyDescent="0.3">
      <c r="A7622" t="s">
        <v>7911</v>
      </c>
      <c r="F7622" t="str">
        <f t="shared" ref="F7622" si="7614">LEFT(A7622, LEN(A7622) - 1)</f>
        <v>&gt;3809:TGTGAA:16.00:33.33:OK:6:1831.26</v>
      </c>
    </row>
    <row r="7623" spans="1:6" x14ac:dyDescent="0.3">
      <c r="A7623" t="s">
        <v>3815</v>
      </c>
      <c r="F7623" t="str">
        <f t="shared" ref="F7623" si="7615">A7623</f>
        <v>TGTGAA</v>
      </c>
    </row>
    <row r="7624" spans="1:6" x14ac:dyDescent="0.3">
      <c r="A7624" t="s">
        <v>7912</v>
      </c>
      <c r="F7624" t="str">
        <f t="shared" ref="F7624" si="7616">LEFT(A7624, LEN(A7624) - 1)</f>
        <v>&gt;3810:TGTGAC:14.00:50.00:Warning:6:1807.23</v>
      </c>
    </row>
    <row r="7625" spans="1:6" x14ac:dyDescent="0.3">
      <c r="A7625" t="s">
        <v>3816</v>
      </c>
      <c r="F7625" t="str">
        <f t="shared" ref="F7625" si="7617">A7625</f>
        <v>TGTGAC</v>
      </c>
    </row>
    <row r="7626" spans="1:6" x14ac:dyDescent="0.3">
      <c r="A7626" t="s">
        <v>7913</v>
      </c>
      <c r="F7626" t="str">
        <f t="shared" ref="F7626" si="7618">LEFT(A7626, LEN(A7626) - 1)</f>
        <v>&gt;3811:TGTGAG:14.00:50.00:Warning:6:1847.26</v>
      </c>
    </row>
    <row r="7627" spans="1:6" x14ac:dyDescent="0.3">
      <c r="A7627" t="s">
        <v>3817</v>
      </c>
      <c r="F7627" t="str">
        <f t="shared" ref="F7627" si="7619">A7627</f>
        <v>TGTGAG</v>
      </c>
    </row>
    <row r="7628" spans="1:6" x14ac:dyDescent="0.3">
      <c r="A7628" t="s">
        <v>7914</v>
      </c>
      <c r="F7628" t="str">
        <f t="shared" ref="F7628" si="7620">LEFT(A7628, LEN(A7628) - 1)</f>
        <v>&gt;3812:TGTGAT:8.00:33.33:OK:6:1822.24</v>
      </c>
    </row>
    <row r="7629" spans="1:6" x14ac:dyDescent="0.3">
      <c r="A7629" t="s">
        <v>3818</v>
      </c>
      <c r="F7629" t="str">
        <f t="shared" ref="F7629" si="7621">A7629</f>
        <v>TGTGAT</v>
      </c>
    </row>
    <row r="7630" spans="1:6" x14ac:dyDescent="0.3">
      <c r="A7630" t="s">
        <v>7915</v>
      </c>
      <c r="F7630" t="str">
        <f t="shared" ref="F7630" si="7622">LEFT(A7630, LEN(A7630) - 1)</f>
        <v>&gt;3813:TGTGCA:14.00:50.00:Warning:6:1807.23</v>
      </c>
    </row>
    <row r="7631" spans="1:6" x14ac:dyDescent="0.3">
      <c r="A7631" t="s">
        <v>3819</v>
      </c>
      <c r="F7631" t="str">
        <f t="shared" ref="F7631" si="7623">A7631</f>
        <v>TGTGCA</v>
      </c>
    </row>
    <row r="7632" spans="1:6" x14ac:dyDescent="0.3">
      <c r="A7632" t="s">
        <v>7916</v>
      </c>
      <c r="F7632" t="str">
        <f t="shared" ref="F7632" si="7624">LEFT(A7632, LEN(A7632) - 1)</f>
        <v>&gt;3814:TGTGCC:12.00:66.67:Warning:6:1783.20</v>
      </c>
    </row>
    <row r="7633" spans="1:6" x14ac:dyDescent="0.3">
      <c r="A7633" t="s">
        <v>3820</v>
      </c>
      <c r="F7633" t="str">
        <f t="shared" ref="F7633" si="7625">A7633</f>
        <v>TGTGCC</v>
      </c>
    </row>
    <row r="7634" spans="1:6" x14ac:dyDescent="0.3">
      <c r="A7634" t="s">
        <v>7917</v>
      </c>
      <c r="F7634" t="str">
        <f t="shared" ref="F7634" si="7626">LEFT(A7634, LEN(A7634) - 1)</f>
        <v>&gt;3815:TGTGCG:12.00:66.67:Warning:6:1823.23</v>
      </c>
    </row>
    <row r="7635" spans="1:6" x14ac:dyDescent="0.3">
      <c r="A7635" t="s">
        <v>3821</v>
      </c>
      <c r="F7635" t="str">
        <f t="shared" ref="F7635" si="7627">A7635</f>
        <v>TGTGCG</v>
      </c>
    </row>
    <row r="7636" spans="1:6" x14ac:dyDescent="0.3">
      <c r="A7636" t="s">
        <v>7918</v>
      </c>
      <c r="F7636" t="str">
        <f t="shared" ref="F7636" si="7628">LEFT(A7636, LEN(A7636) - 1)</f>
        <v>&gt;3816:TGTGCT:6.00:50.00:Warning:6:1798.21</v>
      </c>
    </row>
    <row r="7637" spans="1:6" x14ac:dyDescent="0.3">
      <c r="A7637" t="s">
        <v>3822</v>
      </c>
      <c r="F7637" t="str">
        <f t="shared" ref="F7637" si="7629">A7637</f>
        <v>TGTGCT</v>
      </c>
    </row>
    <row r="7638" spans="1:6" x14ac:dyDescent="0.3">
      <c r="A7638" t="s">
        <v>7919</v>
      </c>
      <c r="F7638" t="str">
        <f t="shared" ref="F7638" si="7630">LEFT(A7638, LEN(A7638) - 1)</f>
        <v>&gt;3817:TGTGGA:14.00:50.00:Warning:6:1847.26</v>
      </c>
    </row>
    <row r="7639" spans="1:6" x14ac:dyDescent="0.3">
      <c r="A7639" t="s">
        <v>3823</v>
      </c>
      <c r="F7639" t="str">
        <f t="shared" ref="F7639" si="7631">A7639</f>
        <v>TGTGGA</v>
      </c>
    </row>
    <row r="7640" spans="1:6" x14ac:dyDescent="0.3">
      <c r="A7640" t="s">
        <v>7920</v>
      </c>
      <c r="F7640" t="str">
        <f t="shared" ref="F7640" si="7632">LEFT(A7640, LEN(A7640) - 1)</f>
        <v>&gt;3818:TGTGGC:12.00:66.67:Warning:6:1823.23</v>
      </c>
    </row>
    <row r="7641" spans="1:6" x14ac:dyDescent="0.3">
      <c r="A7641" t="s">
        <v>3824</v>
      </c>
      <c r="F7641" t="str">
        <f t="shared" ref="F7641" si="7633">A7641</f>
        <v>TGTGGC</v>
      </c>
    </row>
    <row r="7642" spans="1:6" x14ac:dyDescent="0.3">
      <c r="A7642" t="s">
        <v>7921</v>
      </c>
      <c r="F7642" t="str">
        <f t="shared" ref="F7642" si="7634">LEFT(A7642, LEN(A7642) - 1)</f>
        <v>&gt;3819:TGTGGG:12.00:66.67:Warning:6:1863.26</v>
      </c>
    </row>
    <row r="7643" spans="1:6" x14ac:dyDescent="0.3">
      <c r="A7643" t="s">
        <v>3825</v>
      </c>
      <c r="F7643" t="str">
        <f t="shared" ref="F7643" si="7635">A7643</f>
        <v>TGTGGG</v>
      </c>
    </row>
    <row r="7644" spans="1:6" x14ac:dyDescent="0.3">
      <c r="A7644" t="s">
        <v>7922</v>
      </c>
      <c r="F7644" t="str">
        <f t="shared" ref="F7644" si="7636">LEFT(A7644, LEN(A7644) - 1)</f>
        <v>&gt;3820:TGTGGT:6.00:50.00:Warning:6:1838.24</v>
      </c>
    </row>
    <row r="7645" spans="1:6" x14ac:dyDescent="0.3">
      <c r="A7645" t="s">
        <v>3826</v>
      </c>
      <c r="F7645" t="str">
        <f t="shared" ref="F7645" si="7637">A7645</f>
        <v>TGTGGT</v>
      </c>
    </row>
    <row r="7646" spans="1:6" x14ac:dyDescent="0.3">
      <c r="A7646" t="s">
        <v>7923</v>
      </c>
      <c r="F7646" t="str">
        <f t="shared" ref="F7646" si="7638">LEFT(A7646, LEN(A7646) - 1)</f>
        <v>&gt;3821:TGTGTA:8.00:33.33:OK:6:1822.24</v>
      </c>
    </row>
    <row r="7647" spans="1:6" x14ac:dyDescent="0.3">
      <c r="A7647" t="s">
        <v>3827</v>
      </c>
      <c r="F7647" t="str">
        <f t="shared" ref="F7647" si="7639">A7647</f>
        <v>TGTGTA</v>
      </c>
    </row>
    <row r="7648" spans="1:6" x14ac:dyDescent="0.3">
      <c r="A7648" t="s">
        <v>7924</v>
      </c>
      <c r="F7648" t="str">
        <f t="shared" ref="F7648" si="7640">LEFT(A7648, LEN(A7648) - 1)</f>
        <v>&gt;3822:TGTGTC:6.00:50.00:Warning:6:1798.21</v>
      </c>
    </row>
    <row r="7649" spans="1:6" x14ac:dyDescent="0.3">
      <c r="A7649" t="s">
        <v>3828</v>
      </c>
      <c r="F7649" t="str">
        <f t="shared" ref="F7649" si="7641">A7649</f>
        <v>TGTGTC</v>
      </c>
    </row>
    <row r="7650" spans="1:6" x14ac:dyDescent="0.3">
      <c r="A7650" t="s">
        <v>7925</v>
      </c>
      <c r="F7650" t="str">
        <f t="shared" ref="F7650" si="7642">LEFT(A7650, LEN(A7650) - 1)</f>
        <v>&gt;3823:TGTGTG:6.00:50.00:Warning:6:1838.24</v>
      </c>
    </row>
    <row r="7651" spans="1:6" x14ac:dyDescent="0.3">
      <c r="A7651" t="s">
        <v>3829</v>
      </c>
      <c r="F7651" t="str">
        <f t="shared" ref="F7651" si="7643">A7651</f>
        <v>TGTGTG</v>
      </c>
    </row>
    <row r="7652" spans="1:6" x14ac:dyDescent="0.3">
      <c r="A7652" t="s">
        <v>7926</v>
      </c>
      <c r="F7652" t="str">
        <f t="shared" ref="F7652" si="7644">LEFT(A7652, LEN(A7652) - 1)</f>
        <v>&gt;3824:TGTGTT:0.00:33.33:OK:6:1813.22</v>
      </c>
    </row>
    <row r="7653" spans="1:6" x14ac:dyDescent="0.3">
      <c r="A7653" t="s">
        <v>3830</v>
      </c>
      <c r="F7653" t="str">
        <f t="shared" ref="F7653" si="7645">A7653</f>
        <v>TGTGTT</v>
      </c>
    </row>
    <row r="7654" spans="1:6" x14ac:dyDescent="0.3">
      <c r="A7654" t="s">
        <v>7927</v>
      </c>
      <c r="F7654" t="str">
        <f t="shared" ref="F7654" si="7646">LEFT(A7654, LEN(A7654) - 1)</f>
        <v>&gt;3825:TGTTAA:10.00:16.67:OK:6:1806.24</v>
      </c>
    </row>
    <row r="7655" spans="1:6" x14ac:dyDescent="0.3">
      <c r="A7655" t="s">
        <v>3831</v>
      </c>
      <c r="F7655" t="str">
        <f t="shared" ref="F7655" si="7647">A7655</f>
        <v>TGTTAA</v>
      </c>
    </row>
    <row r="7656" spans="1:6" x14ac:dyDescent="0.3">
      <c r="A7656" t="s">
        <v>7928</v>
      </c>
      <c r="F7656" t="str">
        <f t="shared" ref="F7656" si="7648">LEFT(A7656, LEN(A7656) - 1)</f>
        <v>&gt;3826:TGTTAC:8.00:33.33:OK:6:1782.21</v>
      </c>
    </row>
    <row r="7657" spans="1:6" x14ac:dyDescent="0.3">
      <c r="A7657" t="s">
        <v>3832</v>
      </c>
      <c r="F7657" t="str">
        <f t="shared" ref="F7657" si="7649">A7657</f>
        <v>TGTTAC</v>
      </c>
    </row>
    <row r="7658" spans="1:6" x14ac:dyDescent="0.3">
      <c r="A7658" t="s">
        <v>7929</v>
      </c>
      <c r="F7658" t="str">
        <f t="shared" ref="F7658" si="7650">LEFT(A7658, LEN(A7658) - 1)</f>
        <v>&gt;3827:TGTTAG:8.00:33.33:OK:6:1822.24</v>
      </c>
    </row>
    <row r="7659" spans="1:6" x14ac:dyDescent="0.3">
      <c r="A7659" t="s">
        <v>3833</v>
      </c>
      <c r="F7659" t="str">
        <f t="shared" ref="F7659" si="7651">A7659</f>
        <v>TGTTAG</v>
      </c>
    </row>
    <row r="7660" spans="1:6" x14ac:dyDescent="0.3">
      <c r="A7660" t="s">
        <v>7930</v>
      </c>
      <c r="F7660" t="str">
        <f t="shared" ref="F7660" si="7652">LEFT(A7660, LEN(A7660) - 1)</f>
        <v>&gt;3828:TGTTAT:2.00:16.67:OK:6:1797.22</v>
      </c>
    </row>
    <row r="7661" spans="1:6" x14ac:dyDescent="0.3">
      <c r="A7661" t="s">
        <v>3834</v>
      </c>
      <c r="F7661" t="str">
        <f t="shared" ref="F7661" si="7653">A7661</f>
        <v>TGTTAT</v>
      </c>
    </row>
    <row r="7662" spans="1:6" x14ac:dyDescent="0.3">
      <c r="A7662" t="s">
        <v>7931</v>
      </c>
      <c r="F7662" t="str">
        <f t="shared" ref="F7662" si="7654">LEFT(A7662, LEN(A7662) - 1)</f>
        <v>&gt;3829:TGTTCA:8.00:33.33:OK:6:1782.21</v>
      </c>
    </row>
    <row r="7663" spans="1:6" x14ac:dyDescent="0.3">
      <c r="A7663" t="s">
        <v>3835</v>
      </c>
      <c r="F7663" t="str">
        <f t="shared" ref="F7663" si="7655">A7663</f>
        <v>TGTTCA</v>
      </c>
    </row>
    <row r="7664" spans="1:6" x14ac:dyDescent="0.3">
      <c r="A7664" t="s">
        <v>7932</v>
      </c>
      <c r="F7664" t="str">
        <f t="shared" ref="F7664" si="7656">LEFT(A7664, LEN(A7664) - 1)</f>
        <v>&gt;3830:TGTTCC:6.00:50.00:Warning:6:1758.18</v>
      </c>
    </row>
    <row r="7665" spans="1:6" x14ac:dyDescent="0.3">
      <c r="A7665" t="s">
        <v>3836</v>
      </c>
      <c r="F7665" t="str">
        <f t="shared" ref="F7665" si="7657">A7665</f>
        <v>TGTTCC</v>
      </c>
    </row>
    <row r="7666" spans="1:6" x14ac:dyDescent="0.3">
      <c r="A7666" t="s">
        <v>7933</v>
      </c>
      <c r="F7666" t="str">
        <f t="shared" ref="F7666" si="7658">LEFT(A7666, LEN(A7666) - 1)</f>
        <v>&gt;3831:TGTTCG:6.00:50.00:Warning:6:1798.21</v>
      </c>
    </row>
    <row r="7667" spans="1:6" x14ac:dyDescent="0.3">
      <c r="A7667" t="s">
        <v>3837</v>
      </c>
      <c r="F7667" t="str">
        <f t="shared" ref="F7667" si="7659">A7667</f>
        <v>TGTTCG</v>
      </c>
    </row>
    <row r="7668" spans="1:6" x14ac:dyDescent="0.3">
      <c r="A7668" t="s">
        <v>7934</v>
      </c>
      <c r="F7668" t="str">
        <f t="shared" ref="F7668" si="7660">LEFT(A7668, LEN(A7668) - 1)</f>
        <v>&gt;3832:TGTTCT:0.00:33.33:OK:6:1773.19</v>
      </c>
    </row>
    <row r="7669" spans="1:6" x14ac:dyDescent="0.3">
      <c r="A7669" t="s">
        <v>3838</v>
      </c>
      <c r="F7669" t="str">
        <f t="shared" ref="F7669" si="7661">A7669</f>
        <v>TGTTCT</v>
      </c>
    </row>
    <row r="7670" spans="1:6" x14ac:dyDescent="0.3">
      <c r="A7670" t="s">
        <v>7935</v>
      </c>
      <c r="F7670" t="str">
        <f t="shared" ref="F7670" si="7662">LEFT(A7670, LEN(A7670) - 1)</f>
        <v>&gt;3833:TGTTGA:8.00:33.33:OK:6:1822.24</v>
      </c>
    </row>
    <row r="7671" spans="1:6" x14ac:dyDescent="0.3">
      <c r="A7671" t="s">
        <v>3839</v>
      </c>
      <c r="F7671" t="str">
        <f t="shared" ref="F7671" si="7663">A7671</f>
        <v>TGTTGA</v>
      </c>
    </row>
    <row r="7672" spans="1:6" x14ac:dyDescent="0.3">
      <c r="A7672" t="s">
        <v>7936</v>
      </c>
      <c r="F7672" t="str">
        <f t="shared" ref="F7672" si="7664">LEFT(A7672, LEN(A7672) - 1)</f>
        <v>&gt;3834:TGTTGC:6.00:50.00:Warning:6:1798.21</v>
      </c>
    </row>
    <row r="7673" spans="1:6" x14ac:dyDescent="0.3">
      <c r="A7673" t="s">
        <v>3840</v>
      </c>
      <c r="F7673" t="str">
        <f t="shared" ref="F7673" si="7665">A7673</f>
        <v>TGTTGC</v>
      </c>
    </row>
    <row r="7674" spans="1:6" x14ac:dyDescent="0.3">
      <c r="A7674" t="s">
        <v>7937</v>
      </c>
      <c r="F7674" t="str">
        <f t="shared" ref="F7674" si="7666">LEFT(A7674, LEN(A7674) - 1)</f>
        <v>&gt;3835:TGTTGG:6.00:50.00:Warning:6:1838.24</v>
      </c>
    </row>
    <row r="7675" spans="1:6" x14ac:dyDescent="0.3">
      <c r="A7675" t="s">
        <v>3841</v>
      </c>
      <c r="F7675" t="str">
        <f t="shared" ref="F7675" si="7667">A7675</f>
        <v>TGTTGG</v>
      </c>
    </row>
    <row r="7676" spans="1:6" x14ac:dyDescent="0.3">
      <c r="A7676" t="s">
        <v>7938</v>
      </c>
      <c r="F7676" t="str">
        <f t="shared" ref="F7676" si="7668">LEFT(A7676, LEN(A7676) - 1)</f>
        <v>&gt;3836:TGTTGT:0.00:33.33:OK:6:1813.22</v>
      </c>
    </row>
    <row r="7677" spans="1:6" x14ac:dyDescent="0.3">
      <c r="A7677" t="s">
        <v>3842</v>
      </c>
      <c r="F7677" t="str">
        <f t="shared" ref="F7677" si="7669">A7677</f>
        <v>TGTTGT</v>
      </c>
    </row>
    <row r="7678" spans="1:6" x14ac:dyDescent="0.3">
      <c r="A7678" t="s">
        <v>7939</v>
      </c>
      <c r="F7678" t="str">
        <f t="shared" ref="F7678" si="7670">LEFT(A7678, LEN(A7678) - 1)</f>
        <v>&gt;3837:TGTTTA:2.00:16.67:OK:6:1797.22</v>
      </c>
    </row>
    <row r="7679" spans="1:6" x14ac:dyDescent="0.3">
      <c r="A7679" t="s">
        <v>3843</v>
      </c>
      <c r="F7679" t="str">
        <f t="shared" ref="F7679" si="7671">A7679</f>
        <v>TGTTTA</v>
      </c>
    </row>
    <row r="7680" spans="1:6" x14ac:dyDescent="0.3">
      <c r="A7680" t="s">
        <v>7940</v>
      </c>
      <c r="F7680" t="str">
        <f t="shared" ref="F7680" si="7672">LEFT(A7680, LEN(A7680) - 1)</f>
        <v>&gt;3838:TGTTTC:0.00:33.33:OK:6:1773.19</v>
      </c>
    </row>
    <row r="7681" spans="1:6" x14ac:dyDescent="0.3">
      <c r="A7681" t="s">
        <v>3844</v>
      </c>
      <c r="F7681" t="str">
        <f t="shared" ref="F7681" si="7673">A7681</f>
        <v>TGTTTC</v>
      </c>
    </row>
    <row r="7682" spans="1:6" x14ac:dyDescent="0.3">
      <c r="A7682" t="s">
        <v>7941</v>
      </c>
      <c r="F7682" t="str">
        <f t="shared" ref="F7682" si="7674">LEFT(A7682, LEN(A7682) - 1)</f>
        <v>&gt;3839:TGTTTG:0.00:33.33:OK:6:1813.22</v>
      </c>
    </row>
    <row r="7683" spans="1:6" x14ac:dyDescent="0.3">
      <c r="A7683" t="s">
        <v>3845</v>
      </c>
      <c r="F7683" t="str">
        <f t="shared" ref="F7683" si="7675">A7683</f>
        <v>TGTTTG</v>
      </c>
    </row>
    <row r="7684" spans="1:6" x14ac:dyDescent="0.3">
      <c r="A7684" t="s">
        <v>7942</v>
      </c>
      <c r="F7684" t="str">
        <f t="shared" ref="F7684" si="7676">LEFT(A7684, LEN(A7684) - 1)</f>
        <v>&gt;3840:TGTTTT:-6.00:16.67:OK:6:1788.20</v>
      </c>
    </row>
    <row r="7685" spans="1:6" x14ac:dyDescent="0.3">
      <c r="A7685" t="s">
        <v>3846</v>
      </c>
      <c r="F7685" t="str">
        <f t="shared" ref="F7685" si="7677">A7685</f>
        <v>TGTTTT</v>
      </c>
    </row>
    <row r="7686" spans="1:6" x14ac:dyDescent="0.3">
      <c r="A7686" t="s">
        <v>7943</v>
      </c>
      <c r="F7686" t="str">
        <f t="shared" ref="F7686" si="7678">LEFT(A7686, LEN(A7686) - 1)</f>
        <v>&gt;3841:TTAAAA:20.00:0.00:OK:6:1799.26</v>
      </c>
    </row>
    <row r="7687" spans="1:6" x14ac:dyDescent="0.3">
      <c r="A7687" t="s">
        <v>3847</v>
      </c>
      <c r="F7687" t="str">
        <f t="shared" ref="F7687" si="7679">A7687</f>
        <v>TTAAAA</v>
      </c>
    </row>
    <row r="7688" spans="1:6" x14ac:dyDescent="0.3">
      <c r="A7688" t="s">
        <v>7944</v>
      </c>
      <c r="F7688" t="str">
        <f t="shared" ref="F7688" si="7680">LEFT(A7688, LEN(A7688) - 1)</f>
        <v>&gt;3842:TTAAAC:18.00:16.67:OK:6:1775.23</v>
      </c>
    </row>
    <row r="7689" spans="1:6" x14ac:dyDescent="0.3">
      <c r="A7689" t="s">
        <v>3848</v>
      </c>
      <c r="F7689" t="str">
        <f t="shared" ref="F7689" si="7681">A7689</f>
        <v>TTAAAC</v>
      </c>
    </row>
    <row r="7690" spans="1:6" x14ac:dyDescent="0.3">
      <c r="A7690" t="s">
        <v>7945</v>
      </c>
      <c r="F7690" t="str">
        <f t="shared" ref="F7690" si="7682">LEFT(A7690, LEN(A7690) - 1)</f>
        <v>&gt;3843:TTAAAG:18.00:16.67:OK:6:1815.26</v>
      </c>
    </row>
    <row r="7691" spans="1:6" x14ac:dyDescent="0.3">
      <c r="A7691" t="s">
        <v>3849</v>
      </c>
      <c r="F7691" t="str">
        <f t="shared" ref="F7691" si="7683">A7691</f>
        <v>TTAAAG</v>
      </c>
    </row>
    <row r="7692" spans="1:6" x14ac:dyDescent="0.3">
      <c r="A7692" t="s">
        <v>7946</v>
      </c>
      <c r="F7692" t="str">
        <f t="shared" ref="F7692" si="7684">LEFT(A7692, LEN(A7692) - 1)</f>
        <v>&gt;3844:TTAAAT:12.00:0.00:OK:6:1790.24</v>
      </c>
    </row>
    <row r="7693" spans="1:6" x14ac:dyDescent="0.3">
      <c r="A7693" t="s">
        <v>3850</v>
      </c>
      <c r="F7693" t="str">
        <f t="shared" ref="F7693" si="7685">A7693</f>
        <v>TTAAAT</v>
      </c>
    </row>
    <row r="7694" spans="1:6" x14ac:dyDescent="0.3">
      <c r="A7694" t="s">
        <v>7947</v>
      </c>
      <c r="F7694" t="str">
        <f t="shared" ref="F7694" si="7686">LEFT(A7694, LEN(A7694) - 1)</f>
        <v>&gt;3845:TTAACA:18.00:16.67:OK:6:1775.23</v>
      </c>
    </row>
    <row r="7695" spans="1:6" x14ac:dyDescent="0.3">
      <c r="A7695" t="s">
        <v>3851</v>
      </c>
      <c r="F7695" t="str">
        <f t="shared" ref="F7695" si="7687">A7695</f>
        <v>TTAACA</v>
      </c>
    </row>
    <row r="7696" spans="1:6" x14ac:dyDescent="0.3">
      <c r="A7696" t="s">
        <v>7948</v>
      </c>
      <c r="F7696" t="str">
        <f t="shared" ref="F7696" si="7688">LEFT(A7696, LEN(A7696) - 1)</f>
        <v>&gt;3846:TTAACC:16.00:33.33:OK:6:1751.20</v>
      </c>
    </row>
    <row r="7697" spans="1:6" x14ac:dyDescent="0.3">
      <c r="A7697" t="s">
        <v>3852</v>
      </c>
      <c r="F7697" t="str">
        <f t="shared" ref="F7697" si="7689">A7697</f>
        <v>TTAACC</v>
      </c>
    </row>
    <row r="7698" spans="1:6" x14ac:dyDescent="0.3">
      <c r="A7698" t="s">
        <v>7949</v>
      </c>
      <c r="F7698" t="str">
        <f t="shared" ref="F7698" si="7690">LEFT(A7698, LEN(A7698) - 1)</f>
        <v>&gt;3847:TTAACG:16.00:33.33:OK:6:1791.23</v>
      </c>
    </row>
    <row r="7699" spans="1:6" x14ac:dyDescent="0.3">
      <c r="A7699" t="s">
        <v>3853</v>
      </c>
      <c r="F7699" t="str">
        <f t="shared" ref="F7699" si="7691">A7699</f>
        <v>TTAACG</v>
      </c>
    </row>
    <row r="7700" spans="1:6" x14ac:dyDescent="0.3">
      <c r="A7700" t="s">
        <v>7950</v>
      </c>
      <c r="F7700" t="str">
        <f t="shared" ref="F7700" si="7692">LEFT(A7700, LEN(A7700) - 1)</f>
        <v>&gt;3848:TTAACT:10.00:16.67:OK:6:1766.21</v>
      </c>
    </row>
    <row r="7701" spans="1:6" x14ac:dyDescent="0.3">
      <c r="A7701" t="s">
        <v>3854</v>
      </c>
      <c r="F7701" t="str">
        <f t="shared" ref="F7701" si="7693">A7701</f>
        <v>TTAACT</v>
      </c>
    </row>
    <row r="7702" spans="1:6" x14ac:dyDescent="0.3">
      <c r="A7702" t="s">
        <v>7951</v>
      </c>
      <c r="F7702" t="str">
        <f t="shared" ref="F7702" si="7694">LEFT(A7702, LEN(A7702) - 1)</f>
        <v>&gt;3849:TTAAGA:18.00:16.67:OK:6:1815.26</v>
      </c>
    </row>
    <row r="7703" spans="1:6" x14ac:dyDescent="0.3">
      <c r="A7703" t="s">
        <v>3855</v>
      </c>
      <c r="F7703" t="str">
        <f t="shared" ref="F7703" si="7695">A7703</f>
        <v>TTAAGA</v>
      </c>
    </row>
    <row r="7704" spans="1:6" x14ac:dyDescent="0.3">
      <c r="A7704" t="s">
        <v>7952</v>
      </c>
      <c r="F7704" t="str">
        <f t="shared" ref="F7704" si="7696">LEFT(A7704, LEN(A7704) - 1)</f>
        <v>&gt;3850:TTAAGC:16.00:33.33:OK:6:1791.23</v>
      </c>
    </row>
    <row r="7705" spans="1:6" x14ac:dyDescent="0.3">
      <c r="A7705" t="s">
        <v>3856</v>
      </c>
      <c r="F7705" t="str">
        <f t="shared" ref="F7705" si="7697">A7705</f>
        <v>TTAAGC</v>
      </c>
    </row>
    <row r="7706" spans="1:6" x14ac:dyDescent="0.3">
      <c r="A7706" t="s">
        <v>7953</v>
      </c>
      <c r="F7706" t="str">
        <f t="shared" ref="F7706" si="7698">LEFT(A7706, LEN(A7706) - 1)</f>
        <v>&gt;3851:TTAAGG:16.00:33.33:OK:6:1831.26</v>
      </c>
    </row>
    <row r="7707" spans="1:6" x14ac:dyDescent="0.3">
      <c r="A7707" t="s">
        <v>3857</v>
      </c>
      <c r="F7707" t="str">
        <f t="shared" ref="F7707" si="7699">A7707</f>
        <v>TTAAGG</v>
      </c>
    </row>
    <row r="7708" spans="1:6" x14ac:dyDescent="0.3">
      <c r="A7708" t="s">
        <v>7954</v>
      </c>
      <c r="F7708" t="str">
        <f t="shared" ref="F7708" si="7700">LEFT(A7708, LEN(A7708) - 1)</f>
        <v>&gt;3852:TTAAGT:10.00:16.67:OK:6:1806.24</v>
      </c>
    </row>
    <row r="7709" spans="1:6" x14ac:dyDescent="0.3">
      <c r="A7709" t="s">
        <v>3858</v>
      </c>
      <c r="F7709" t="str">
        <f t="shared" ref="F7709" si="7701">A7709</f>
        <v>TTAAGT</v>
      </c>
    </row>
    <row r="7710" spans="1:6" x14ac:dyDescent="0.3">
      <c r="A7710" t="s">
        <v>7955</v>
      </c>
      <c r="F7710" t="str">
        <f t="shared" ref="F7710" si="7702">LEFT(A7710, LEN(A7710) - 1)</f>
        <v>&gt;3853:TTAATA:12.00:0.00:OK:6:1790.24</v>
      </c>
    </row>
    <row r="7711" spans="1:6" x14ac:dyDescent="0.3">
      <c r="A7711" t="s">
        <v>3859</v>
      </c>
      <c r="F7711" t="str">
        <f t="shared" ref="F7711" si="7703">A7711</f>
        <v>TTAATA</v>
      </c>
    </row>
    <row r="7712" spans="1:6" x14ac:dyDescent="0.3">
      <c r="A7712" t="s">
        <v>7956</v>
      </c>
      <c r="F7712" t="str">
        <f t="shared" ref="F7712" si="7704">LEFT(A7712, LEN(A7712) - 1)</f>
        <v>&gt;3854:TTAATC:10.00:16.67:OK:6:1766.21</v>
      </c>
    </row>
    <row r="7713" spans="1:6" x14ac:dyDescent="0.3">
      <c r="A7713" t="s">
        <v>3860</v>
      </c>
      <c r="F7713" t="str">
        <f t="shared" ref="F7713" si="7705">A7713</f>
        <v>TTAATC</v>
      </c>
    </row>
    <row r="7714" spans="1:6" x14ac:dyDescent="0.3">
      <c r="A7714" t="s">
        <v>7957</v>
      </c>
      <c r="F7714" t="str">
        <f t="shared" ref="F7714" si="7706">LEFT(A7714, LEN(A7714) - 1)</f>
        <v>&gt;3855:TTAATG:10.00:16.67:OK:6:1806.24</v>
      </c>
    </row>
    <row r="7715" spans="1:6" x14ac:dyDescent="0.3">
      <c r="A7715" t="s">
        <v>3861</v>
      </c>
      <c r="F7715" t="str">
        <f t="shared" ref="F7715" si="7707">A7715</f>
        <v>TTAATG</v>
      </c>
    </row>
    <row r="7716" spans="1:6" x14ac:dyDescent="0.3">
      <c r="A7716" t="s">
        <v>7958</v>
      </c>
      <c r="F7716" t="str">
        <f t="shared" ref="F7716" si="7708">LEFT(A7716, LEN(A7716) - 1)</f>
        <v>&gt;3856:TTAATT:4.00:0.00:OK:6:1781.22</v>
      </c>
    </row>
    <row r="7717" spans="1:6" x14ac:dyDescent="0.3">
      <c r="A7717" t="s">
        <v>3862</v>
      </c>
      <c r="F7717" t="str">
        <f t="shared" ref="F7717" si="7709">A7717</f>
        <v>TTAATT</v>
      </c>
    </row>
    <row r="7718" spans="1:6" x14ac:dyDescent="0.3">
      <c r="A7718" t="s">
        <v>7959</v>
      </c>
      <c r="F7718" t="str">
        <f t="shared" ref="F7718" si="7710">LEFT(A7718, LEN(A7718) - 1)</f>
        <v>&gt;3857:TTACAA:18.00:16.67:OK:6:1775.23</v>
      </c>
    </row>
    <row r="7719" spans="1:6" x14ac:dyDescent="0.3">
      <c r="A7719" t="s">
        <v>3863</v>
      </c>
      <c r="F7719" t="str">
        <f t="shared" ref="F7719" si="7711">A7719</f>
        <v>TTACAA</v>
      </c>
    </row>
    <row r="7720" spans="1:6" x14ac:dyDescent="0.3">
      <c r="A7720" t="s">
        <v>7960</v>
      </c>
      <c r="F7720" t="str">
        <f t="shared" ref="F7720" si="7712">LEFT(A7720, LEN(A7720) - 1)</f>
        <v>&gt;3858:TTACAC:16.00:33.33:OK:6:1751.20</v>
      </c>
    </row>
    <row r="7721" spans="1:6" x14ac:dyDescent="0.3">
      <c r="A7721" t="s">
        <v>3864</v>
      </c>
      <c r="F7721" t="str">
        <f t="shared" ref="F7721" si="7713">A7721</f>
        <v>TTACAC</v>
      </c>
    </row>
    <row r="7722" spans="1:6" x14ac:dyDescent="0.3">
      <c r="A7722" t="s">
        <v>7961</v>
      </c>
      <c r="F7722" t="str">
        <f t="shared" ref="F7722" si="7714">LEFT(A7722, LEN(A7722) - 1)</f>
        <v>&gt;3859:TTACAG:16.00:33.33:OK:6:1791.23</v>
      </c>
    </row>
    <row r="7723" spans="1:6" x14ac:dyDescent="0.3">
      <c r="A7723" t="s">
        <v>3865</v>
      </c>
      <c r="F7723" t="str">
        <f t="shared" ref="F7723" si="7715">A7723</f>
        <v>TTACAG</v>
      </c>
    </row>
    <row r="7724" spans="1:6" x14ac:dyDescent="0.3">
      <c r="A7724" t="s">
        <v>7962</v>
      </c>
      <c r="F7724" t="str">
        <f t="shared" ref="F7724" si="7716">LEFT(A7724, LEN(A7724) - 1)</f>
        <v>&gt;3860:TTACAT:10.00:16.67:OK:6:1766.21</v>
      </c>
    </row>
    <row r="7725" spans="1:6" x14ac:dyDescent="0.3">
      <c r="A7725" t="s">
        <v>3866</v>
      </c>
      <c r="F7725" t="str">
        <f t="shared" ref="F7725" si="7717">A7725</f>
        <v>TTACAT</v>
      </c>
    </row>
    <row r="7726" spans="1:6" x14ac:dyDescent="0.3">
      <c r="A7726" t="s">
        <v>7963</v>
      </c>
      <c r="F7726" t="str">
        <f t="shared" ref="F7726" si="7718">LEFT(A7726, LEN(A7726) - 1)</f>
        <v>&gt;3861:TTACCA:16.00:33.33:OK:6:1751.20</v>
      </c>
    </row>
    <row r="7727" spans="1:6" x14ac:dyDescent="0.3">
      <c r="A7727" t="s">
        <v>3867</v>
      </c>
      <c r="F7727" t="str">
        <f t="shared" ref="F7727" si="7719">A7727</f>
        <v>TTACCA</v>
      </c>
    </row>
    <row r="7728" spans="1:6" x14ac:dyDescent="0.3">
      <c r="A7728" t="s">
        <v>7964</v>
      </c>
      <c r="F7728" t="str">
        <f t="shared" ref="F7728" si="7720">LEFT(A7728, LEN(A7728) - 1)</f>
        <v>&gt;3862:TTACCC:14.00:50.00:Warning:6:1727.17</v>
      </c>
    </row>
    <row r="7729" spans="1:6" x14ac:dyDescent="0.3">
      <c r="A7729" t="s">
        <v>3868</v>
      </c>
      <c r="F7729" t="str">
        <f t="shared" ref="F7729" si="7721">A7729</f>
        <v>TTACCC</v>
      </c>
    </row>
    <row r="7730" spans="1:6" x14ac:dyDescent="0.3">
      <c r="A7730" t="s">
        <v>7965</v>
      </c>
      <c r="F7730" t="str">
        <f t="shared" ref="F7730" si="7722">LEFT(A7730, LEN(A7730) - 1)</f>
        <v>&gt;3863:TTACCG:14.00:50.00:Warning:6:1767.20</v>
      </c>
    </row>
    <row r="7731" spans="1:6" x14ac:dyDescent="0.3">
      <c r="A7731" t="s">
        <v>3869</v>
      </c>
      <c r="F7731" t="str">
        <f t="shared" ref="F7731" si="7723">A7731</f>
        <v>TTACCG</v>
      </c>
    </row>
    <row r="7732" spans="1:6" x14ac:dyDescent="0.3">
      <c r="A7732" t="s">
        <v>7966</v>
      </c>
      <c r="F7732" t="str">
        <f t="shared" ref="F7732" si="7724">LEFT(A7732, LEN(A7732) - 1)</f>
        <v>&gt;3864:TTACCT:8.00:33.33:OK:6:1742.18</v>
      </c>
    </row>
    <row r="7733" spans="1:6" x14ac:dyDescent="0.3">
      <c r="A7733" t="s">
        <v>3870</v>
      </c>
      <c r="F7733" t="str">
        <f t="shared" ref="F7733" si="7725">A7733</f>
        <v>TTACCT</v>
      </c>
    </row>
    <row r="7734" spans="1:6" x14ac:dyDescent="0.3">
      <c r="A7734" t="s">
        <v>7967</v>
      </c>
      <c r="F7734" t="str">
        <f t="shared" ref="F7734" si="7726">LEFT(A7734, LEN(A7734) - 1)</f>
        <v>&gt;3865:TTACGA:16.00:33.33:OK:6:1791.23</v>
      </c>
    </row>
    <row r="7735" spans="1:6" x14ac:dyDescent="0.3">
      <c r="A7735" t="s">
        <v>3871</v>
      </c>
      <c r="F7735" t="str">
        <f t="shared" ref="F7735" si="7727">A7735</f>
        <v>TTACGA</v>
      </c>
    </row>
    <row r="7736" spans="1:6" x14ac:dyDescent="0.3">
      <c r="A7736" t="s">
        <v>7968</v>
      </c>
      <c r="F7736" t="str">
        <f t="shared" ref="F7736" si="7728">LEFT(A7736, LEN(A7736) - 1)</f>
        <v>&gt;3866:TTACGC:14.00:50.00:Warning:6:1767.20</v>
      </c>
    </row>
    <row r="7737" spans="1:6" x14ac:dyDescent="0.3">
      <c r="A7737" t="s">
        <v>3872</v>
      </c>
      <c r="F7737" t="str">
        <f t="shared" ref="F7737" si="7729">A7737</f>
        <v>TTACGC</v>
      </c>
    </row>
    <row r="7738" spans="1:6" x14ac:dyDescent="0.3">
      <c r="A7738" t="s">
        <v>7969</v>
      </c>
      <c r="F7738" t="str">
        <f t="shared" ref="F7738" si="7730">LEFT(A7738, LEN(A7738) - 1)</f>
        <v>&gt;3867:TTACGG:14.00:50.00:Warning:6:1807.23</v>
      </c>
    </row>
    <row r="7739" spans="1:6" x14ac:dyDescent="0.3">
      <c r="A7739" t="s">
        <v>3873</v>
      </c>
      <c r="F7739" t="str">
        <f t="shared" ref="F7739" si="7731">A7739</f>
        <v>TTACGG</v>
      </c>
    </row>
    <row r="7740" spans="1:6" x14ac:dyDescent="0.3">
      <c r="A7740" t="s">
        <v>7970</v>
      </c>
      <c r="F7740" t="str">
        <f t="shared" ref="F7740" si="7732">LEFT(A7740, LEN(A7740) - 1)</f>
        <v>&gt;3868:TTACGT:8.00:33.33:OK:6:1782.21</v>
      </c>
    </row>
    <row r="7741" spans="1:6" x14ac:dyDescent="0.3">
      <c r="A7741" t="s">
        <v>3874</v>
      </c>
      <c r="F7741" t="str">
        <f t="shared" ref="F7741" si="7733">A7741</f>
        <v>TTACGT</v>
      </c>
    </row>
    <row r="7742" spans="1:6" x14ac:dyDescent="0.3">
      <c r="A7742" t="s">
        <v>7971</v>
      </c>
      <c r="F7742" t="str">
        <f t="shared" ref="F7742" si="7734">LEFT(A7742, LEN(A7742) - 1)</f>
        <v>&gt;3869:TTACTA:10.00:16.67:OK:6:1766.21</v>
      </c>
    </row>
    <row r="7743" spans="1:6" x14ac:dyDescent="0.3">
      <c r="A7743" t="s">
        <v>3875</v>
      </c>
      <c r="F7743" t="str">
        <f t="shared" ref="F7743" si="7735">A7743</f>
        <v>TTACTA</v>
      </c>
    </row>
    <row r="7744" spans="1:6" x14ac:dyDescent="0.3">
      <c r="A7744" t="s">
        <v>7972</v>
      </c>
      <c r="F7744" t="str">
        <f t="shared" ref="F7744" si="7736">LEFT(A7744, LEN(A7744) - 1)</f>
        <v>&gt;3870:TTACTC:8.00:33.33:OK:6:1742.18</v>
      </c>
    </row>
    <row r="7745" spans="1:6" x14ac:dyDescent="0.3">
      <c r="A7745" t="s">
        <v>3876</v>
      </c>
      <c r="F7745" t="str">
        <f t="shared" ref="F7745" si="7737">A7745</f>
        <v>TTACTC</v>
      </c>
    </row>
    <row r="7746" spans="1:6" x14ac:dyDescent="0.3">
      <c r="A7746" t="s">
        <v>7973</v>
      </c>
      <c r="F7746" t="str">
        <f t="shared" ref="F7746" si="7738">LEFT(A7746, LEN(A7746) - 1)</f>
        <v>&gt;3871:TTACTG:8.00:33.33:OK:6:1782.21</v>
      </c>
    </row>
    <row r="7747" spans="1:6" x14ac:dyDescent="0.3">
      <c r="A7747" t="s">
        <v>3877</v>
      </c>
      <c r="F7747" t="str">
        <f t="shared" ref="F7747" si="7739">A7747</f>
        <v>TTACTG</v>
      </c>
    </row>
    <row r="7748" spans="1:6" x14ac:dyDescent="0.3">
      <c r="A7748" t="s">
        <v>7974</v>
      </c>
      <c r="F7748" t="str">
        <f t="shared" ref="F7748" si="7740">LEFT(A7748, LEN(A7748) - 1)</f>
        <v>&gt;3872:TTACTT:2.00:16.67:OK:6:1757.19</v>
      </c>
    </row>
    <row r="7749" spans="1:6" x14ac:dyDescent="0.3">
      <c r="A7749" t="s">
        <v>3878</v>
      </c>
      <c r="F7749" t="str">
        <f t="shared" ref="F7749" si="7741">A7749</f>
        <v>TTACTT</v>
      </c>
    </row>
    <row r="7750" spans="1:6" x14ac:dyDescent="0.3">
      <c r="A7750" t="s">
        <v>7975</v>
      </c>
      <c r="F7750" t="str">
        <f t="shared" ref="F7750" si="7742">LEFT(A7750, LEN(A7750) - 1)</f>
        <v>&gt;3873:TTAGAA:18.00:16.67:OK:6:1815.26</v>
      </c>
    </row>
    <row r="7751" spans="1:6" x14ac:dyDescent="0.3">
      <c r="A7751" t="s">
        <v>3879</v>
      </c>
      <c r="F7751" t="str">
        <f t="shared" ref="F7751" si="7743">A7751</f>
        <v>TTAGAA</v>
      </c>
    </row>
    <row r="7752" spans="1:6" x14ac:dyDescent="0.3">
      <c r="A7752" t="s">
        <v>7976</v>
      </c>
      <c r="F7752" t="str">
        <f t="shared" ref="F7752" si="7744">LEFT(A7752, LEN(A7752) - 1)</f>
        <v>&gt;3874:TTAGAC:16.00:33.33:OK:6:1791.23</v>
      </c>
    </row>
    <row r="7753" spans="1:6" x14ac:dyDescent="0.3">
      <c r="A7753" t="s">
        <v>3880</v>
      </c>
      <c r="F7753" t="str">
        <f t="shared" ref="F7753" si="7745">A7753</f>
        <v>TTAGAC</v>
      </c>
    </row>
    <row r="7754" spans="1:6" x14ac:dyDescent="0.3">
      <c r="A7754" t="s">
        <v>7977</v>
      </c>
      <c r="F7754" t="str">
        <f t="shared" ref="F7754" si="7746">LEFT(A7754, LEN(A7754) - 1)</f>
        <v>&gt;3875:TTAGAG:16.00:33.33:OK:6:1831.26</v>
      </c>
    </row>
    <row r="7755" spans="1:6" x14ac:dyDescent="0.3">
      <c r="A7755" t="s">
        <v>3881</v>
      </c>
      <c r="F7755" t="str">
        <f t="shared" ref="F7755" si="7747">A7755</f>
        <v>TTAGAG</v>
      </c>
    </row>
    <row r="7756" spans="1:6" x14ac:dyDescent="0.3">
      <c r="A7756" t="s">
        <v>7978</v>
      </c>
      <c r="F7756" t="str">
        <f t="shared" ref="F7756" si="7748">LEFT(A7756, LEN(A7756) - 1)</f>
        <v>&gt;3876:TTAGAT:10.00:16.67:OK:6:1806.24</v>
      </c>
    </row>
    <row r="7757" spans="1:6" x14ac:dyDescent="0.3">
      <c r="A7757" t="s">
        <v>3882</v>
      </c>
      <c r="F7757" t="str">
        <f t="shared" ref="F7757" si="7749">A7757</f>
        <v>TTAGAT</v>
      </c>
    </row>
    <row r="7758" spans="1:6" x14ac:dyDescent="0.3">
      <c r="A7758" t="s">
        <v>7979</v>
      </c>
      <c r="F7758" t="str">
        <f t="shared" ref="F7758" si="7750">LEFT(A7758, LEN(A7758) - 1)</f>
        <v>&gt;3877:TTAGCA:16.00:33.33:OK:6:1791.23</v>
      </c>
    </row>
    <row r="7759" spans="1:6" x14ac:dyDescent="0.3">
      <c r="A7759" t="s">
        <v>3883</v>
      </c>
      <c r="F7759" t="str">
        <f t="shared" ref="F7759" si="7751">A7759</f>
        <v>TTAGCA</v>
      </c>
    </row>
    <row r="7760" spans="1:6" x14ac:dyDescent="0.3">
      <c r="A7760" t="s">
        <v>7980</v>
      </c>
      <c r="F7760" t="str">
        <f t="shared" ref="F7760" si="7752">LEFT(A7760, LEN(A7760) - 1)</f>
        <v>&gt;3878:TTAGCC:14.00:50.00:Warning:6:1767.20</v>
      </c>
    </row>
    <row r="7761" spans="1:6" x14ac:dyDescent="0.3">
      <c r="A7761" t="s">
        <v>3884</v>
      </c>
      <c r="F7761" t="str">
        <f t="shared" ref="F7761" si="7753">A7761</f>
        <v>TTAGCC</v>
      </c>
    </row>
    <row r="7762" spans="1:6" x14ac:dyDescent="0.3">
      <c r="A7762" t="s">
        <v>7981</v>
      </c>
      <c r="F7762" t="str">
        <f t="shared" ref="F7762" si="7754">LEFT(A7762, LEN(A7762) - 1)</f>
        <v>&gt;3879:TTAGCG:14.00:50.00:Warning:6:1807.23</v>
      </c>
    </row>
    <row r="7763" spans="1:6" x14ac:dyDescent="0.3">
      <c r="A7763" t="s">
        <v>3885</v>
      </c>
      <c r="F7763" t="str">
        <f t="shared" ref="F7763" si="7755">A7763</f>
        <v>TTAGCG</v>
      </c>
    </row>
    <row r="7764" spans="1:6" x14ac:dyDescent="0.3">
      <c r="A7764" t="s">
        <v>7982</v>
      </c>
      <c r="F7764" t="str">
        <f t="shared" ref="F7764" si="7756">LEFT(A7764, LEN(A7764) - 1)</f>
        <v>&gt;3880:TTAGCT:8.00:33.33:OK:6:1782.21</v>
      </c>
    </row>
    <row r="7765" spans="1:6" x14ac:dyDescent="0.3">
      <c r="A7765" t="s">
        <v>3886</v>
      </c>
      <c r="F7765" t="str">
        <f t="shared" ref="F7765" si="7757">A7765</f>
        <v>TTAGCT</v>
      </c>
    </row>
    <row r="7766" spans="1:6" x14ac:dyDescent="0.3">
      <c r="A7766" t="s">
        <v>7983</v>
      </c>
      <c r="F7766" t="str">
        <f t="shared" ref="F7766" si="7758">LEFT(A7766, LEN(A7766) - 1)</f>
        <v>&gt;3881:TTAGGA:16.00:33.33:OK:6:1831.26</v>
      </c>
    </row>
    <row r="7767" spans="1:6" x14ac:dyDescent="0.3">
      <c r="A7767" t="s">
        <v>3887</v>
      </c>
      <c r="F7767" t="str">
        <f t="shared" ref="F7767" si="7759">A7767</f>
        <v>TTAGGA</v>
      </c>
    </row>
    <row r="7768" spans="1:6" x14ac:dyDescent="0.3">
      <c r="A7768" t="s">
        <v>7984</v>
      </c>
      <c r="F7768" t="str">
        <f t="shared" ref="F7768" si="7760">LEFT(A7768, LEN(A7768) - 1)</f>
        <v>&gt;3882:TTAGGC:14.00:50.00:Warning:6:1807.23</v>
      </c>
    </row>
    <row r="7769" spans="1:6" x14ac:dyDescent="0.3">
      <c r="A7769" t="s">
        <v>3888</v>
      </c>
      <c r="F7769" t="str">
        <f t="shared" ref="F7769" si="7761">A7769</f>
        <v>TTAGGC</v>
      </c>
    </row>
    <row r="7770" spans="1:6" x14ac:dyDescent="0.3">
      <c r="A7770" t="s">
        <v>7985</v>
      </c>
      <c r="F7770" t="str">
        <f t="shared" ref="F7770" si="7762">LEFT(A7770, LEN(A7770) - 1)</f>
        <v>&gt;3883:TTAGGG:14.00:50.00:Warning:6:1847.26</v>
      </c>
    </row>
    <row r="7771" spans="1:6" x14ac:dyDescent="0.3">
      <c r="A7771" t="s">
        <v>3889</v>
      </c>
      <c r="F7771" t="str">
        <f t="shared" ref="F7771" si="7763">A7771</f>
        <v>TTAGGG</v>
      </c>
    </row>
    <row r="7772" spans="1:6" x14ac:dyDescent="0.3">
      <c r="A7772" t="s">
        <v>7986</v>
      </c>
      <c r="F7772" t="str">
        <f t="shared" ref="F7772" si="7764">LEFT(A7772, LEN(A7772) - 1)</f>
        <v>&gt;3884:TTAGGT:8.00:33.33:OK:6:1822.24</v>
      </c>
    </row>
    <row r="7773" spans="1:6" x14ac:dyDescent="0.3">
      <c r="A7773" t="s">
        <v>3890</v>
      </c>
      <c r="F7773" t="str">
        <f t="shared" ref="F7773" si="7765">A7773</f>
        <v>TTAGGT</v>
      </c>
    </row>
    <row r="7774" spans="1:6" x14ac:dyDescent="0.3">
      <c r="A7774" t="s">
        <v>7987</v>
      </c>
      <c r="F7774" t="str">
        <f t="shared" ref="F7774" si="7766">LEFT(A7774, LEN(A7774) - 1)</f>
        <v>&gt;3885:TTAGTA:10.00:16.67:OK:6:1806.24</v>
      </c>
    </row>
    <row r="7775" spans="1:6" x14ac:dyDescent="0.3">
      <c r="A7775" t="s">
        <v>3891</v>
      </c>
      <c r="F7775" t="str">
        <f t="shared" ref="F7775" si="7767">A7775</f>
        <v>TTAGTA</v>
      </c>
    </row>
    <row r="7776" spans="1:6" x14ac:dyDescent="0.3">
      <c r="A7776" t="s">
        <v>7988</v>
      </c>
      <c r="F7776" t="str">
        <f t="shared" ref="F7776" si="7768">LEFT(A7776, LEN(A7776) - 1)</f>
        <v>&gt;3886:TTAGTC:8.00:33.33:OK:6:1782.21</v>
      </c>
    </row>
    <row r="7777" spans="1:6" x14ac:dyDescent="0.3">
      <c r="A7777" t="s">
        <v>3892</v>
      </c>
      <c r="F7777" t="str">
        <f t="shared" ref="F7777" si="7769">A7777</f>
        <v>TTAGTC</v>
      </c>
    </row>
    <row r="7778" spans="1:6" x14ac:dyDescent="0.3">
      <c r="A7778" t="s">
        <v>7989</v>
      </c>
      <c r="F7778" t="str">
        <f t="shared" ref="F7778" si="7770">LEFT(A7778, LEN(A7778) - 1)</f>
        <v>&gt;3887:TTAGTG:8.00:33.33:OK:6:1822.24</v>
      </c>
    </row>
    <row r="7779" spans="1:6" x14ac:dyDescent="0.3">
      <c r="A7779" t="s">
        <v>3893</v>
      </c>
      <c r="F7779" t="str">
        <f t="shared" ref="F7779" si="7771">A7779</f>
        <v>TTAGTG</v>
      </c>
    </row>
    <row r="7780" spans="1:6" x14ac:dyDescent="0.3">
      <c r="A7780" t="s">
        <v>7990</v>
      </c>
      <c r="F7780" t="str">
        <f t="shared" ref="F7780" si="7772">LEFT(A7780, LEN(A7780) - 1)</f>
        <v>&gt;3888:TTAGTT:2.00:16.67:OK:6:1797.22</v>
      </c>
    </row>
    <row r="7781" spans="1:6" x14ac:dyDescent="0.3">
      <c r="A7781" t="s">
        <v>3894</v>
      </c>
      <c r="F7781" t="str">
        <f t="shared" ref="F7781" si="7773">A7781</f>
        <v>TTAGTT</v>
      </c>
    </row>
    <row r="7782" spans="1:6" x14ac:dyDescent="0.3">
      <c r="A7782" t="s">
        <v>7991</v>
      </c>
      <c r="F7782" t="str">
        <f t="shared" ref="F7782" si="7774">LEFT(A7782, LEN(A7782) - 1)</f>
        <v>&gt;3889:TTATAA:12.00:0.00:OK:6:1790.24</v>
      </c>
    </row>
    <row r="7783" spans="1:6" x14ac:dyDescent="0.3">
      <c r="A7783" t="s">
        <v>3895</v>
      </c>
      <c r="F7783" t="str">
        <f t="shared" ref="F7783" si="7775">A7783</f>
        <v>TTATAA</v>
      </c>
    </row>
    <row r="7784" spans="1:6" x14ac:dyDescent="0.3">
      <c r="A7784" t="s">
        <v>7992</v>
      </c>
      <c r="F7784" t="str">
        <f t="shared" ref="F7784" si="7776">LEFT(A7784, LEN(A7784) - 1)</f>
        <v>&gt;3890:TTATAC:10.00:16.67:OK:6:1766.21</v>
      </c>
    </row>
    <row r="7785" spans="1:6" x14ac:dyDescent="0.3">
      <c r="A7785" t="s">
        <v>3896</v>
      </c>
      <c r="F7785" t="str">
        <f t="shared" ref="F7785" si="7777">A7785</f>
        <v>TTATAC</v>
      </c>
    </row>
    <row r="7786" spans="1:6" x14ac:dyDescent="0.3">
      <c r="A7786" t="s">
        <v>7993</v>
      </c>
      <c r="F7786" t="str">
        <f t="shared" ref="F7786" si="7778">LEFT(A7786, LEN(A7786) - 1)</f>
        <v>&gt;3891:TTATAG:10.00:16.67:OK:6:1806.24</v>
      </c>
    </row>
    <row r="7787" spans="1:6" x14ac:dyDescent="0.3">
      <c r="A7787" t="s">
        <v>3897</v>
      </c>
      <c r="F7787" t="str">
        <f t="shared" ref="F7787" si="7779">A7787</f>
        <v>TTATAG</v>
      </c>
    </row>
    <row r="7788" spans="1:6" x14ac:dyDescent="0.3">
      <c r="A7788" t="s">
        <v>7994</v>
      </c>
      <c r="F7788" t="str">
        <f t="shared" ref="F7788" si="7780">LEFT(A7788, LEN(A7788) - 1)</f>
        <v>&gt;3892:TTATAT:4.00:0.00:OK:6:1781.22</v>
      </c>
    </row>
    <row r="7789" spans="1:6" x14ac:dyDescent="0.3">
      <c r="A7789" t="s">
        <v>3898</v>
      </c>
      <c r="F7789" t="str">
        <f t="shared" ref="F7789" si="7781">A7789</f>
        <v>TTATAT</v>
      </c>
    </row>
    <row r="7790" spans="1:6" x14ac:dyDescent="0.3">
      <c r="A7790" t="s">
        <v>7995</v>
      </c>
      <c r="F7790" t="str">
        <f t="shared" ref="F7790" si="7782">LEFT(A7790, LEN(A7790) - 1)</f>
        <v>&gt;3893:TTATCA:10.00:16.67:OK:6:1766.21</v>
      </c>
    </row>
    <row r="7791" spans="1:6" x14ac:dyDescent="0.3">
      <c r="A7791" t="s">
        <v>3899</v>
      </c>
      <c r="F7791" t="str">
        <f t="shared" ref="F7791" si="7783">A7791</f>
        <v>TTATCA</v>
      </c>
    </row>
    <row r="7792" spans="1:6" x14ac:dyDescent="0.3">
      <c r="A7792" t="s">
        <v>7996</v>
      </c>
      <c r="F7792" t="str">
        <f t="shared" ref="F7792" si="7784">LEFT(A7792, LEN(A7792) - 1)</f>
        <v>&gt;3894:TTATCC:8.00:33.33:OK:6:1742.18</v>
      </c>
    </row>
    <row r="7793" spans="1:6" x14ac:dyDescent="0.3">
      <c r="A7793" t="s">
        <v>3900</v>
      </c>
      <c r="F7793" t="str">
        <f t="shared" ref="F7793" si="7785">A7793</f>
        <v>TTATCC</v>
      </c>
    </row>
    <row r="7794" spans="1:6" x14ac:dyDescent="0.3">
      <c r="A7794" t="s">
        <v>7997</v>
      </c>
      <c r="F7794" t="str">
        <f t="shared" ref="F7794" si="7786">LEFT(A7794, LEN(A7794) - 1)</f>
        <v>&gt;3895:TTATCG:8.00:33.33:OK:6:1782.21</v>
      </c>
    </row>
    <row r="7795" spans="1:6" x14ac:dyDescent="0.3">
      <c r="A7795" t="s">
        <v>3901</v>
      </c>
      <c r="F7795" t="str">
        <f t="shared" ref="F7795" si="7787">A7795</f>
        <v>TTATCG</v>
      </c>
    </row>
    <row r="7796" spans="1:6" x14ac:dyDescent="0.3">
      <c r="A7796" t="s">
        <v>7998</v>
      </c>
      <c r="F7796" t="str">
        <f t="shared" ref="F7796" si="7788">LEFT(A7796, LEN(A7796) - 1)</f>
        <v>&gt;3896:TTATCT:2.00:16.67:OK:6:1757.19</v>
      </c>
    </row>
    <row r="7797" spans="1:6" x14ac:dyDescent="0.3">
      <c r="A7797" t="s">
        <v>3902</v>
      </c>
      <c r="F7797" t="str">
        <f t="shared" ref="F7797" si="7789">A7797</f>
        <v>TTATCT</v>
      </c>
    </row>
    <row r="7798" spans="1:6" x14ac:dyDescent="0.3">
      <c r="A7798" t="s">
        <v>7999</v>
      </c>
      <c r="F7798" t="str">
        <f t="shared" ref="F7798" si="7790">LEFT(A7798, LEN(A7798) - 1)</f>
        <v>&gt;3897:TTATGA:10.00:16.67:OK:6:1806.24</v>
      </c>
    </row>
    <row r="7799" spans="1:6" x14ac:dyDescent="0.3">
      <c r="A7799" t="s">
        <v>3903</v>
      </c>
      <c r="F7799" t="str">
        <f t="shared" ref="F7799" si="7791">A7799</f>
        <v>TTATGA</v>
      </c>
    </row>
    <row r="7800" spans="1:6" x14ac:dyDescent="0.3">
      <c r="A7800" t="s">
        <v>8000</v>
      </c>
      <c r="F7800" t="str">
        <f t="shared" ref="F7800" si="7792">LEFT(A7800, LEN(A7800) - 1)</f>
        <v>&gt;3898:TTATGC:8.00:33.33:OK:6:1782.21</v>
      </c>
    </row>
    <row r="7801" spans="1:6" x14ac:dyDescent="0.3">
      <c r="A7801" t="s">
        <v>3904</v>
      </c>
      <c r="F7801" t="str">
        <f t="shared" ref="F7801" si="7793">A7801</f>
        <v>TTATGC</v>
      </c>
    </row>
    <row r="7802" spans="1:6" x14ac:dyDescent="0.3">
      <c r="A7802" t="s">
        <v>8001</v>
      </c>
      <c r="F7802" t="str">
        <f t="shared" ref="F7802" si="7794">LEFT(A7802, LEN(A7802) - 1)</f>
        <v>&gt;3899:TTATGG:8.00:33.33:OK:6:1822.24</v>
      </c>
    </row>
    <row r="7803" spans="1:6" x14ac:dyDescent="0.3">
      <c r="A7803" t="s">
        <v>3905</v>
      </c>
      <c r="F7803" t="str">
        <f t="shared" ref="F7803" si="7795">A7803</f>
        <v>TTATGG</v>
      </c>
    </row>
    <row r="7804" spans="1:6" x14ac:dyDescent="0.3">
      <c r="A7804" t="s">
        <v>8002</v>
      </c>
      <c r="F7804" t="str">
        <f t="shared" ref="F7804" si="7796">LEFT(A7804, LEN(A7804) - 1)</f>
        <v>&gt;3900:TTATGT:2.00:16.67:OK:6:1797.22</v>
      </c>
    </row>
    <row r="7805" spans="1:6" x14ac:dyDescent="0.3">
      <c r="A7805" t="s">
        <v>3906</v>
      </c>
      <c r="F7805" t="str">
        <f t="shared" ref="F7805" si="7797">A7805</f>
        <v>TTATGT</v>
      </c>
    </row>
    <row r="7806" spans="1:6" x14ac:dyDescent="0.3">
      <c r="A7806" t="s">
        <v>8003</v>
      </c>
      <c r="F7806" t="str">
        <f t="shared" ref="F7806" si="7798">LEFT(A7806, LEN(A7806) - 1)</f>
        <v>&gt;3901:TTATTA:4.00:0.00:OK:6:1781.22</v>
      </c>
    </row>
    <row r="7807" spans="1:6" x14ac:dyDescent="0.3">
      <c r="A7807" t="s">
        <v>3907</v>
      </c>
      <c r="F7807" t="str">
        <f t="shared" ref="F7807" si="7799">A7807</f>
        <v>TTATTA</v>
      </c>
    </row>
    <row r="7808" spans="1:6" x14ac:dyDescent="0.3">
      <c r="A7808" t="s">
        <v>8004</v>
      </c>
      <c r="F7808" t="str">
        <f t="shared" ref="F7808" si="7800">LEFT(A7808, LEN(A7808) - 1)</f>
        <v>&gt;3902:TTATTC:2.00:16.67:OK:6:1757.19</v>
      </c>
    </row>
    <row r="7809" spans="1:6" x14ac:dyDescent="0.3">
      <c r="A7809" t="s">
        <v>3908</v>
      </c>
      <c r="F7809" t="str">
        <f t="shared" ref="F7809" si="7801">A7809</f>
        <v>TTATTC</v>
      </c>
    </row>
    <row r="7810" spans="1:6" x14ac:dyDescent="0.3">
      <c r="A7810" t="s">
        <v>8005</v>
      </c>
      <c r="F7810" t="str">
        <f t="shared" ref="F7810" si="7802">LEFT(A7810, LEN(A7810) - 1)</f>
        <v>&gt;3903:TTATTG:2.00:16.67:OK:6:1797.22</v>
      </c>
    </row>
    <row r="7811" spans="1:6" x14ac:dyDescent="0.3">
      <c r="A7811" t="s">
        <v>3909</v>
      </c>
      <c r="F7811" t="str">
        <f t="shared" ref="F7811" si="7803">A7811</f>
        <v>TTATTG</v>
      </c>
    </row>
    <row r="7812" spans="1:6" x14ac:dyDescent="0.3">
      <c r="A7812" t="s">
        <v>8006</v>
      </c>
      <c r="F7812" t="str">
        <f t="shared" ref="F7812" si="7804">LEFT(A7812, LEN(A7812) - 1)</f>
        <v>&gt;3904:TTATTT:-4.00:0.00:OK:6:1772.20</v>
      </c>
    </row>
    <row r="7813" spans="1:6" x14ac:dyDescent="0.3">
      <c r="A7813" t="s">
        <v>3910</v>
      </c>
      <c r="F7813" t="str">
        <f t="shared" ref="F7813" si="7805">A7813</f>
        <v>TTATTT</v>
      </c>
    </row>
    <row r="7814" spans="1:6" x14ac:dyDescent="0.3">
      <c r="A7814" t="s">
        <v>8007</v>
      </c>
      <c r="F7814" t="str">
        <f t="shared" ref="F7814" si="7806">LEFT(A7814, LEN(A7814) - 1)</f>
        <v>&gt;3905:TTCAAA:18.00:16.67:OK:6:1775.23</v>
      </c>
    </row>
    <row r="7815" spans="1:6" x14ac:dyDescent="0.3">
      <c r="A7815" t="s">
        <v>3911</v>
      </c>
      <c r="F7815" t="str">
        <f t="shared" ref="F7815" si="7807">A7815</f>
        <v>TTCAAA</v>
      </c>
    </row>
    <row r="7816" spans="1:6" x14ac:dyDescent="0.3">
      <c r="A7816" t="s">
        <v>8008</v>
      </c>
      <c r="F7816" t="str">
        <f t="shared" ref="F7816" si="7808">LEFT(A7816, LEN(A7816) - 1)</f>
        <v>&gt;3906:TTCAAC:16.00:33.33:OK:6:1751.20</v>
      </c>
    </row>
    <row r="7817" spans="1:6" x14ac:dyDescent="0.3">
      <c r="A7817" t="s">
        <v>3912</v>
      </c>
      <c r="F7817" t="str">
        <f t="shared" ref="F7817" si="7809">A7817</f>
        <v>TTCAAC</v>
      </c>
    </row>
    <row r="7818" spans="1:6" x14ac:dyDescent="0.3">
      <c r="A7818" t="s">
        <v>8009</v>
      </c>
      <c r="F7818" t="str">
        <f t="shared" ref="F7818" si="7810">LEFT(A7818, LEN(A7818) - 1)</f>
        <v>&gt;3907:TTCAAG:16.00:33.33:OK:6:1791.23</v>
      </c>
    </row>
    <row r="7819" spans="1:6" x14ac:dyDescent="0.3">
      <c r="A7819" t="s">
        <v>3913</v>
      </c>
      <c r="F7819" t="str">
        <f t="shared" ref="F7819" si="7811">A7819</f>
        <v>TTCAAG</v>
      </c>
    </row>
    <row r="7820" spans="1:6" x14ac:dyDescent="0.3">
      <c r="A7820" t="s">
        <v>8010</v>
      </c>
      <c r="F7820" t="str">
        <f t="shared" ref="F7820" si="7812">LEFT(A7820, LEN(A7820) - 1)</f>
        <v>&gt;3908:TTCAAT:10.00:16.67:OK:6:1766.21</v>
      </c>
    </row>
    <row r="7821" spans="1:6" x14ac:dyDescent="0.3">
      <c r="A7821" t="s">
        <v>3914</v>
      </c>
      <c r="F7821" t="str">
        <f t="shared" ref="F7821" si="7813">A7821</f>
        <v>TTCAAT</v>
      </c>
    </row>
    <row r="7822" spans="1:6" x14ac:dyDescent="0.3">
      <c r="A7822" t="s">
        <v>8011</v>
      </c>
      <c r="F7822" t="str">
        <f t="shared" ref="F7822" si="7814">LEFT(A7822, LEN(A7822) - 1)</f>
        <v>&gt;3909:TTCACA:16.00:33.33:OK:6:1751.20</v>
      </c>
    </row>
    <row r="7823" spans="1:6" x14ac:dyDescent="0.3">
      <c r="A7823" t="s">
        <v>3915</v>
      </c>
      <c r="F7823" t="str">
        <f t="shared" ref="F7823" si="7815">A7823</f>
        <v>TTCACA</v>
      </c>
    </row>
    <row r="7824" spans="1:6" x14ac:dyDescent="0.3">
      <c r="A7824" t="s">
        <v>8012</v>
      </c>
      <c r="F7824" t="str">
        <f t="shared" ref="F7824" si="7816">LEFT(A7824, LEN(A7824) - 1)</f>
        <v>&gt;3910:TTCACC:14.00:50.00:Warning:6:1727.17</v>
      </c>
    </row>
    <row r="7825" spans="1:6" x14ac:dyDescent="0.3">
      <c r="A7825" t="s">
        <v>3916</v>
      </c>
      <c r="F7825" t="str">
        <f t="shared" ref="F7825" si="7817">A7825</f>
        <v>TTCACC</v>
      </c>
    </row>
    <row r="7826" spans="1:6" x14ac:dyDescent="0.3">
      <c r="A7826" t="s">
        <v>8013</v>
      </c>
      <c r="F7826" t="str">
        <f t="shared" ref="F7826" si="7818">LEFT(A7826, LEN(A7826) - 1)</f>
        <v>&gt;3911:TTCACG:14.00:50.00:Warning:6:1767.20</v>
      </c>
    </row>
    <row r="7827" spans="1:6" x14ac:dyDescent="0.3">
      <c r="A7827" t="s">
        <v>3917</v>
      </c>
      <c r="F7827" t="str">
        <f t="shared" ref="F7827" si="7819">A7827</f>
        <v>TTCACG</v>
      </c>
    </row>
    <row r="7828" spans="1:6" x14ac:dyDescent="0.3">
      <c r="A7828" t="s">
        <v>8014</v>
      </c>
      <c r="F7828" t="str">
        <f t="shared" ref="F7828" si="7820">LEFT(A7828, LEN(A7828) - 1)</f>
        <v>&gt;3912:TTCACT:8.00:33.33:OK:6:1742.18</v>
      </c>
    </row>
    <row r="7829" spans="1:6" x14ac:dyDescent="0.3">
      <c r="A7829" t="s">
        <v>3918</v>
      </c>
      <c r="F7829" t="str">
        <f t="shared" ref="F7829" si="7821">A7829</f>
        <v>TTCACT</v>
      </c>
    </row>
    <row r="7830" spans="1:6" x14ac:dyDescent="0.3">
      <c r="A7830" t="s">
        <v>8015</v>
      </c>
      <c r="F7830" t="str">
        <f t="shared" ref="F7830" si="7822">LEFT(A7830, LEN(A7830) - 1)</f>
        <v>&gt;3913:TTCAGA:16.00:33.33:OK:6:1791.23</v>
      </c>
    </row>
    <row r="7831" spans="1:6" x14ac:dyDescent="0.3">
      <c r="A7831" t="s">
        <v>3919</v>
      </c>
      <c r="F7831" t="str">
        <f t="shared" ref="F7831" si="7823">A7831</f>
        <v>TTCAGA</v>
      </c>
    </row>
    <row r="7832" spans="1:6" x14ac:dyDescent="0.3">
      <c r="A7832" t="s">
        <v>8016</v>
      </c>
      <c r="F7832" t="str">
        <f t="shared" ref="F7832" si="7824">LEFT(A7832, LEN(A7832) - 1)</f>
        <v>&gt;3914:TTCAGC:14.00:50.00:Warning:6:1767.20</v>
      </c>
    </row>
    <row r="7833" spans="1:6" x14ac:dyDescent="0.3">
      <c r="A7833" t="s">
        <v>3920</v>
      </c>
      <c r="F7833" t="str">
        <f t="shared" ref="F7833" si="7825">A7833</f>
        <v>TTCAGC</v>
      </c>
    </row>
    <row r="7834" spans="1:6" x14ac:dyDescent="0.3">
      <c r="A7834" t="s">
        <v>8017</v>
      </c>
      <c r="F7834" t="str">
        <f t="shared" ref="F7834" si="7826">LEFT(A7834, LEN(A7834) - 1)</f>
        <v>&gt;3915:TTCAGG:14.00:50.00:Warning:6:1807.23</v>
      </c>
    </row>
    <row r="7835" spans="1:6" x14ac:dyDescent="0.3">
      <c r="A7835" t="s">
        <v>3921</v>
      </c>
      <c r="F7835" t="str">
        <f t="shared" ref="F7835" si="7827">A7835</f>
        <v>TTCAGG</v>
      </c>
    </row>
    <row r="7836" spans="1:6" x14ac:dyDescent="0.3">
      <c r="A7836" t="s">
        <v>8018</v>
      </c>
      <c r="F7836" t="str">
        <f t="shared" ref="F7836" si="7828">LEFT(A7836, LEN(A7836) - 1)</f>
        <v>&gt;3916:TTCAGT:8.00:33.33:OK:6:1782.21</v>
      </c>
    </row>
    <row r="7837" spans="1:6" x14ac:dyDescent="0.3">
      <c r="A7837" t="s">
        <v>3922</v>
      </c>
      <c r="F7837" t="str">
        <f t="shared" ref="F7837" si="7829">A7837</f>
        <v>TTCAGT</v>
      </c>
    </row>
    <row r="7838" spans="1:6" x14ac:dyDescent="0.3">
      <c r="A7838" t="s">
        <v>8019</v>
      </c>
      <c r="F7838" t="str">
        <f t="shared" ref="F7838" si="7830">LEFT(A7838, LEN(A7838) - 1)</f>
        <v>&gt;3917:TTCATA:10.00:16.67:OK:6:1766.21</v>
      </c>
    </row>
    <row r="7839" spans="1:6" x14ac:dyDescent="0.3">
      <c r="A7839" t="s">
        <v>3923</v>
      </c>
      <c r="F7839" t="str">
        <f t="shared" ref="F7839" si="7831">A7839</f>
        <v>TTCATA</v>
      </c>
    </row>
    <row r="7840" spans="1:6" x14ac:dyDescent="0.3">
      <c r="A7840" t="s">
        <v>8020</v>
      </c>
      <c r="F7840" t="str">
        <f t="shared" ref="F7840" si="7832">LEFT(A7840, LEN(A7840) - 1)</f>
        <v>&gt;3918:TTCATC:8.00:33.33:OK:6:1742.18</v>
      </c>
    </row>
    <row r="7841" spans="1:6" x14ac:dyDescent="0.3">
      <c r="A7841" t="s">
        <v>3924</v>
      </c>
      <c r="F7841" t="str">
        <f t="shared" ref="F7841" si="7833">A7841</f>
        <v>TTCATC</v>
      </c>
    </row>
    <row r="7842" spans="1:6" x14ac:dyDescent="0.3">
      <c r="A7842" t="s">
        <v>8021</v>
      </c>
      <c r="F7842" t="str">
        <f t="shared" ref="F7842" si="7834">LEFT(A7842, LEN(A7842) - 1)</f>
        <v>&gt;3919:TTCATG:8.00:33.33:OK:6:1782.21</v>
      </c>
    </row>
    <row r="7843" spans="1:6" x14ac:dyDescent="0.3">
      <c r="A7843" t="s">
        <v>3925</v>
      </c>
      <c r="F7843" t="str">
        <f t="shared" ref="F7843" si="7835">A7843</f>
        <v>TTCATG</v>
      </c>
    </row>
    <row r="7844" spans="1:6" x14ac:dyDescent="0.3">
      <c r="A7844" t="s">
        <v>8022</v>
      </c>
      <c r="F7844" t="str">
        <f t="shared" ref="F7844" si="7836">LEFT(A7844, LEN(A7844) - 1)</f>
        <v>&gt;3920:TTCATT:2.00:16.67:OK:6:1757.19</v>
      </c>
    </row>
    <row r="7845" spans="1:6" x14ac:dyDescent="0.3">
      <c r="A7845" t="s">
        <v>3926</v>
      </c>
      <c r="F7845" t="str">
        <f t="shared" ref="F7845" si="7837">A7845</f>
        <v>TTCATT</v>
      </c>
    </row>
    <row r="7846" spans="1:6" x14ac:dyDescent="0.3">
      <c r="A7846" t="s">
        <v>8023</v>
      </c>
      <c r="F7846" t="str">
        <f t="shared" ref="F7846" si="7838">LEFT(A7846, LEN(A7846) - 1)</f>
        <v>&gt;3921:TTCCAA:16.00:33.33:OK:6:1751.20</v>
      </c>
    </row>
    <row r="7847" spans="1:6" x14ac:dyDescent="0.3">
      <c r="A7847" t="s">
        <v>3927</v>
      </c>
      <c r="F7847" t="str">
        <f t="shared" ref="F7847" si="7839">A7847</f>
        <v>TTCCAA</v>
      </c>
    </row>
    <row r="7848" spans="1:6" x14ac:dyDescent="0.3">
      <c r="A7848" t="s">
        <v>8024</v>
      </c>
      <c r="F7848" t="str">
        <f t="shared" ref="F7848" si="7840">LEFT(A7848, LEN(A7848) - 1)</f>
        <v>&gt;3922:TTCCAC:14.00:50.00:Warning:6:1727.17</v>
      </c>
    </row>
    <row r="7849" spans="1:6" x14ac:dyDescent="0.3">
      <c r="A7849" t="s">
        <v>3928</v>
      </c>
      <c r="F7849" t="str">
        <f t="shared" ref="F7849" si="7841">A7849</f>
        <v>TTCCAC</v>
      </c>
    </row>
    <row r="7850" spans="1:6" x14ac:dyDescent="0.3">
      <c r="A7850" t="s">
        <v>8025</v>
      </c>
      <c r="F7850" t="str">
        <f t="shared" ref="F7850" si="7842">LEFT(A7850, LEN(A7850) - 1)</f>
        <v>&gt;3923:TTCCAG:14.00:50.00:Warning:6:1767.20</v>
      </c>
    </row>
    <row r="7851" spans="1:6" x14ac:dyDescent="0.3">
      <c r="A7851" t="s">
        <v>3929</v>
      </c>
      <c r="F7851" t="str">
        <f t="shared" ref="F7851" si="7843">A7851</f>
        <v>TTCCAG</v>
      </c>
    </row>
    <row r="7852" spans="1:6" x14ac:dyDescent="0.3">
      <c r="A7852" t="s">
        <v>8026</v>
      </c>
      <c r="F7852" t="str">
        <f t="shared" ref="F7852" si="7844">LEFT(A7852, LEN(A7852) - 1)</f>
        <v>&gt;3924:TTCCAT:8.00:33.33:OK:6:1742.18</v>
      </c>
    </row>
    <row r="7853" spans="1:6" x14ac:dyDescent="0.3">
      <c r="A7853" t="s">
        <v>3930</v>
      </c>
      <c r="F7853" t="str">
        <f t="shared" ref="F7853" si="7845">A7853</f>
        <v>TTCCAT</v>
      </c>
    </row>
    <row r="7854" spans="1:6" x14ac:dyDescent="0.3">
      <c r="A7854" t="s">
        <v>8027</v>
      </c>
      <c r="F7854" t="str">
        <f t="shared" ref="F7854" si="7846">LEFT(A7854, LEN(A7854) - 1)</f>
        <v>&gt;3925:TTCCCA:14.00:50.00:Warning:6:1727.17</v>
      </c>
    </row>
    <row r="7855" spans="1:6" x14ac:dyDescent="0.3">
      <c r="A7855" t="s">
        <v>3931</v>
      </c>
      <c r="F7855" t="str">
        <f t="shared" ref="F7855" si="7847">A7855</f>
        <v>TTCCCA</v>
      </c>
    </row>
    <row r="7856" spans="1:6" x14ac:dyDescent="0.3">
      <c r="A7856" t="s">
        <v>8028</v>
      </c>
      <c r="F7856" t="str">
        <f t="shared" ref="F7856" si="7848">LEFT(A7856, LEN(A7856) - 1)</f>
        <v>&gt;3926:TTCCCC:12.00:66.67:Warning:6:1703.14</v>
      </c>
    </row>
    <row r="7857" spans="1:6" x14ac:dyDescent="0.3">
      <c r="A7857" t="s">
        <v>3932</v>
      </c>
      <c r="F7857" t="str">
        <f t="shared" ref="F7857" si="7849">A7857</f>
        <v>TTCCCC</v>
      </c>
    </row>
    <row r="7858" spans="1:6" x14ac:dyDescent="0.3">
      <c r="A7858" t="s">
        <v>8029</v>
      </c>
      <c r="F7858" t="str">
        <f t="shared" ref="F7858" si="7850">LEFT(A7858, LEN(A7858) - 1)</f>
        <v>&gt;3927:TTCCCG:12.00:66.67:Warning:6:1743.17</v>
      </c>
    </row>
    <row r="7859" spans="1:6" x14ac:dyDescent="0.3">
      <c r="A7859" t="s">
        <v>3933</v>
      </c>
      <c r="F7859" t="str">
        <f t="shared" ref="F7859" si="7851">A7859</f>
        <v>TTCCCG</v>
      </c>
    </row>
    <row r="7860" spans="1:6" x14ac:dyDescent="0.3">
      <c r="A7860" t="s">
        <v>8030</v>
      </c>
      <c r="F7860" t="str">
        <f t="shared" ref="F7860" si="7852">LEFT(A7860, LEN(A7860) - 1)</f>
        <v>&gt;3928:TTCCCT:6.00:50.00:Warning:6:1718.15</v>
      </c>
    </row>
    <row r="7861" spans="1:6" x14ac:dyDescent="0.3">
      <c r="A7861" t="s">
        <v>3934</v>
      </c>
      <c r="F7861" t="str">
        <f t="shared" ref="F7861" si="7853">A7861</f>
        <v>TTCCCT</v>
      </c>
    </row>
    <row r="7862" spans="1:6" x14ac:dyDescent="0.3">
      <c r="A7862" t="s">
        <v>8031</v>
      </c>
      <c r="F7862" t="str">
        <f t="shared" ref="F7862" si="7854">LEFT(A7862, LEN(A7862) - 1)</f>
        <v>&gt;3929:TTCCGA:14.00:50.00:Warning:6:1767.20</v>
      </c>
    </row>
    <row r="7863" spans="1:6" x14ac:dyDescent="0.3">
      <c r="A7863" t="s">
        <v>3935</v>
      </c>
      <c r="F7863" t="str">
        <f t="shared" ref="F7863" si="7855">A7863</f>
        <v>TTCCGA</v>
      </c>
    </row>
    <row r="7864" spans="1:6" x14ac:dyDescent="0.3">
      <c r="A7864" t="s">
        <v>8032</v>
      </c>
      <c r="F7864" t="str">
        <f t="shared" ref="F7864" si="7856">LEFT(A7864, LEN(A7864) - 1)</f>
        <v>&gt;3930:TTCCGC:12.00:66.67:Warning:6:1743.17</v>
      </c>
    </row>
    <row r="7865" spans="1:6" x14ac:dyDescent="0.3">
      <c r="A7865" t="s">
        <v>3936</v>
      </c>
      <c r="F7865" t="str">
        <f t="shared" ref="F7865" si="7857">A7865</f>
        <v>TTCCGC</v>
      </c>
    </row>
    <row r="7866" spans="1:6" x14ac:dyDescent="0.3">
      <c r="A7866" t="s">
        <v>8033</v>
      </c>
      <c r="F7866" t="str">
        <f t="shared" ref="F7866" si="7858">LEFT(A7866, LEN(A7866) - 1)</f>
        <v>&gt;3931:TTCCGG:12.00:66.67:Warning:6:1783.20</v>
      </c>
    </row>
    <row r="7867" spans="1:6" x14ac:dyDescent="0.3">
      <c r="A7867" t="s">
        <v>3937</v>
      </c>
      <c r="F7867" t="str">
        <f t="shared" ref="F7867" si="7859">A7867</f>
        <v>TTCCGG</v>
      </c>
    </row>
    <row r="7868" spans="1:6" x14ac:dyDescent="0.3">
      <c r="A7868" t="s">
        <v>8034</v>
      </c>
      <c r="F7868" t="str">
        <f t="shared" ref="F7868" si="7860">LEFT(A7868, LEN(A7868) - 1)</f>
        <v>&gt;3932:TTCCGT:6.00:50.00:Warning:6:1758.18</v>
      </c>
    </row>
    <row r="7869" spans="1:6" x14ac:dyDescent="0.3">
      <c r="A7869" t="s">
        <v>3938</v>
      </c>
      <c r="F7869" t="str">
        <f t="shared" ref="F7869" si="7861">A7869</f>
        <v>TTCCGT</v>
      </c>
    </row>
    <row r="7870" spans="1:6" x14ac:dyDescent="0.3">
      <c r="A7870" t="s">
        <v>8035</v>
      </c>
      <c r="F7870" t="str">
        <f t="shared" ref="F7870" si="7862">LEFT(A7870, LEN(A7870) - 1)</f>
        <v>&gt;3933:TTCCTA:8.00:33.33:OK:6:1742.18</v>
      </c>
    </row>
    <row r="7871" spans="1:6" x14ac:dyDescent="0.3">
      <c r="A7871" t="s">
        <v>3939</v>
      </c>
      <c r="F7871" t="str">
        <f t="shared" ref="F7871" si="7863">A7871</f>
        <v>TTCCTA</v>
      </c>
    </row>
    <row r="7872" spans="1:6" x14ac:dyDescent="0.3">
      <c r="A7872" t="s">
        <v>8036</v>
      </c>
      <c r="F7872" t="str">
        <f t="shared" ref="F7872" si="7864">LEFT(A7872, LEN(A7872) - 1)</f>
        <v>&gt;3934:TTCCTC:6.00:50.00:Warning:6:1718.15</v>
      </c>
    </row>
    <row r="7873" spans="1:6" x14ac:dyDescent="0.3">
      <c r="A7873" t="s">
        <v>3940</v>
      </c>
      <c r="F7873" t="str">
        <f t="shared" ref="F7873" si="7865">A7873</f>
        <v>TTCCTC</v>
      </c>
    </row>
    <row r="7874" spans="1:6" x14ac:dyDescent="0.3">
      <c r="A7874" t="s">
        <v>8037</v>
      </c>
      <c r="F7874" t="str">
        <f t="shared" ref="F7874" si="7866">LEFT(A7874, LEN(A7874) - 1)</f>
        <v>&gt;3935:TTCCTG:6.00:50.00:Warning:6:1758.18</v>
      </c>
    </row>
    <row r="7875" spans="1:6" x14ac:dyDescent="0.3">
      <c r="A7875" t="s">
        <v>3941</v>
      </c>
      <c r="F7875" t="str">
        <f t="shared" ref="F7875" si="7867">A7875</f>
        <v>TTCCTG</v>
      </c>
    </row>
    <row r="7876" spans="1:6" x14ac:dyDescent="0.3">
      <c r="A7876" t="s">
        <v>8038</v>
      </c>
      <c r="F7876" t="str">
        <f t="shared" ref="F7876" si="7868">LEFT(A7876, LEN(A7876) - 1)</f>
        <v>&gt;3936:TTCCTT:0.00:33.33:OK:6:1733.16</v>
      </c>
    </row>
    <row r="7877" spans="1:6" x14ac:dyDescent="0.3">
      <c r="A7877" t="s">
        <v>3942</v>
      </c>
      <c r="F7877" t="str">
        <f t="shared" ref="F7877" si="7869">A7877</f>
        <v>TTCCTT</v>
      </c>
    </row>
    <row r="7878" spans="1:6" x14ac:dyDescent="0.3">
      <c r="A7878" t="s">
        <v>8039</v>
      </c>
      <c r="F7878" t="str">
        <f t="shared" ref="F7878" si="7870">LEFT(A7878, LEN(A7878) - 1)</f>
        <v>&gt;3937:TTCGAA:16.00:33.33:OK:6:1791.23</v>
      </c>
    </row>
    <row r="7879" spans="1:6" x14ac:dyDescent="0.3">
      <c r="A7879" t="s">
        <v>3943</v>
      </c>
      <c r="F7879" t="str">
        <f t="shared" ref="F7879" si="7871">A7879</f>
        <v>TTCGAA</v>
      </c>
    </row>
    <row r="7880" spans="1:6" x14ac:dyDescent="0.3">
      <c r="A7880" t="s">
        <v>8040</v>
      </c>
      <c r="F7880" t="str">
        <f t="shared" ref="F7880" si="7872">LEFT(A7880, LEN(A7880) - 1)</f>
        <v>&gt;3938:TTCGAC:14.00:50.00:Warning:6:1767.20</v>
      </c>
    </row>
    <row r="7881" spans="1:6" x14ac:dyDescent="0.3">
      <c r="A7881" t="s">
        <v>3944</v>
      </c>
      <c r="F7881" t="str">
        <f t="shared" ref="F7881" si="7873">A7881</f>
        <v>TTCGAC</v>
      </c>
    </row>
    <row r="7882" spans="1:6" x14ac:dyDescent="0.3">
      <c r="A7882" t="s">
        <v>8041</v>
      </c>
      <c r="F7882" t="str">
        <f t="shared" ref="F7882" si="7874">LEFT(A7882, LEN(A7882) - 1)</f>
        <v>&gt;3939:TTCGAG:14.00:50.00:Warning:6:1807.23</v>
      </c>
    </row>
    <row r="7883" spans="1:6" x14ac:dyDescent="0.3">
      <c r="A7883" t="s">
        <v>3945</v>
      </c>
      <c r="F7883" t="str">
        <f t="shared" ref="F7883" si="7875">A7883</f>
        <v>TTCGAG</v>
      </c>
    </row>
    <row r="7884" spans="1:6" x14ac:dyDescent="0.3">
      <c r="A7884" t="s">
        <v>8042</v>
      </c>
      <c r="F7884" t="str">
        <f t="shared" ref="F7884" si="7876">LEFT(A7884, LEN(A7884) - 1)</f>
        <v>&gt;3940:TTCGAT:8.00:33.33:OK:6:1782.21</v>
      </c>
    </row>
    <row r="7885" spans="1:6" x14ac:dyDescent="0.3">
      <c r="A7885" t="s">
        <v>3946</v>
      </c>
      <c r="F7885" t="str">
        <f t="shared" ref="F7885" si="7877">A7885</f>
        <v>TTCGAT</v>
      </c>
    </row>
    <row r="7886" spans="1:6" x14ac:dyDescent="0.3">
      <c r="A7886" t="s">
        <v>8043</v>
      </c>
      <c r="F7886" t="str">
        <f t="shared" ref="F7886" si="7878">LEFT(A7886, LEN(A7886) - 1)</f>
        <v>&gt;3941:TTCGCA:14.00:50.00:Warning:6:1767.20</v>
      </c>
    </row>
    <row r="7887" spans="1:6" x14ac:dyDescent="0.3">
      <c r="A7887" t="s">
        <v>3947</v>
      </c>
      <c r="F7887" t="str">
        <f t="shared" ref="F7887" si="7879">A7887</f>
        <v>TTCGCA</v>
      </c>
    </row>
    <row r="7888" spans="1:6" x14ac:dyDescent="0.3">
      <c r="A7888" t="s">
        <v>8044</v>
      </c>
      <c r="F7888" t="str">
        <f t="shared" ref="F7888" si="7880">LEFT(A7888, LEN(A7888) - 1)</f>
        <v>&gt;3942:TTCGCC:12.00:66.67:Warning:6:1743.17</v>
      </c>
    </row>
    <row r="7889" spans="1:6" x14ac:dyDescent="0.3">
      <c r="A7889" t="s">
        <v>3948</v>
      </c>
      <c r="F7889" t="str">
        <f t="shared" ref="F7889" si="7881">A7889</f>
        <v>TTCGCC</v>
      </c>
    </row>
    <row r="7890" spans="1:6" x14ac:dyDescent="0.3">
      <c r="A7890" t="s">
        <v>8045</v>
      </c>
      <c r="F7890" t="str">
        <f t="shared" ref="F7890" si="7882">LEFT(A7890, LEN(A7890) - 1)</f>
        <v>&gt;3943:TTCGCG:12.00:66.67:Warning:6:1783.20</v>
      </c>
    </row>
    <row r="7891" spans="1:6" x14ac:dyDescent="0.3">
      <c r="A7891" t="s">
        <v>3949</v>
      </c>
      <c r="F7891" t="str">
        <f t="shared" ref="F7891" si="7883">A7891</f>
        <v>TTCGCG</v>
      </c>
    </row>
    <row r="7892" spans="1:6" x14ac:dyDescent="0.3">
      <c r="A7892" t="s">
        <v>8046</v>
      </c>
      <c r="F7892" t="str">
        <f t="shared" ref="F7892" si="7884">LEFT(A7892, LEN(A7892) - 1)</f>
        <v>&gt;3944:TTCGCT:6.00:50.00:Warning:6:1758.18</v>
      </c>
    </row>
    <row r="7893" spans="1:6" x14ac:dyDescent="0.3">
      <c r="A7893" t="s">
        <v>3950</v>
      </c>
      <c r="F7893" t="str">
        <f t="shared" ref="F7893" si="7885">A7893</f>
        <v>TTCGCT</v>
      </c>
    </row>
    <row r="7894" spans="1:6" x14ac:dyDescent="0.3">
      <c r="A7894" t="s">
        <v>8047</v>
      </c>
      <c r="F7894" t="str">
        <f t="shared" ref="F7894" si="7886">LEFT(A7894, LEN(A7894) - 1)</f>
        <v>&gt;3945:TTCGGA:14.00:50.00:Warning:6:1807.23</v>
      </c>
    </row>
    <row r="7895" spans="1:6" x14ac:dyDescent="0.3">
      <c r="A7895" t="s">
        <v>3951</v>
      </c>
      <c r="F7895" t="str">
        <f t="shared" ref="F7895" si="7887">A7895</f>
        <v>TTCGGA</v>
      </c>
    </row>
    <row r="7896" spans="1:6" x14ac:dyDescent="0.3">
      <c r="A7896" t="s">
        <v>8048</v>
      </c>
      <c r="F7896" t="str">
        <f t="shared" ref="F7896" si="7888">LEFT(A7896, LEN(A7896) - 1)</f>
        <v>&gt;3946:TTCGGC:12.00:66.67:Warning:6:1783.20</v>
      </c>
    </row>
    <row r="7897" spans="1:6" x14ac:dyDescent="0.3">
      <c r="A7897" t="s">
        <v>3952</v>
      </c>
      <c r="F7897" t="str">
        <f t="shared" ref="F7897" si="7889">A7897</f>
        <v>TTCGGC</v>
      </c>
    </row>
    <row r="7898" spans="1:6" x14ac:dyDescent="0.3">
      <c r="A7898" t="s">
        <v>8049</v>
      </c>
      <c r="F7898" t="str">
        <f t="shared" ref="F7898" si="7890">LEFT(A7898, LEN(A7898) - 1)</f>
        <v>&gt;3947:TTCGGG:12.00:66.67:Warning:6:1823.23</v>
      </c>
    </row>
    <row r="7899" spans="1:6" x14ac:dyDescent="0.3">
      <c r="A7899" t="s">
        <v>3953</v>
      </c>
      <c r="F7899" t="str">
        <f t="shared" ref="F7899" si="7891">A7899</f>
        <v>TTCGGG</v>
      </c>
    </row>
    <row r="7900" spans="1:6" x14ac:dyDescent="0.3">
      <c r="A7900" t="s">
        <v>8050</v>
      </c>
      <c r="F7900" t="str">
        <f t="shared" ref="F7900" si="7892">LEFT(A7900, LEN(A7900) - 1)</f>
        <v>&gt;3948:TTCGGT:6.00:50.00:Warning:6:1798.21</v>
      </c>
    </row>
    <row r="7901" spans="1:6" x14ac:dyDescent="0.3">
      <c r="A7901" t="s">
        <v>3954</v>
      </c>
      <c r="F7901" t="str">
        <f t="shared" ref="F7901" si="7893">A7901</f>
        <v>TTCGGT</v>
      </c>
    </row>
    <row r="7902" spans="1:6" x14ac:dyDescent="0.3">
      <c r="A7902" t="s">
        <v>8051</v>
      </c>
      <c r="F7902" t="str">
        <f t="shared" ref="F7902" si="7894">LEFT(A7902, LEN(A7902) - 1)</f>
        <v>&gt;3949:TTCGTA:8.00:33.33:OK:6:1782.21</v>
      </c>
    </row>
    <row r="7903" spans="1:6" x14ac:dyDescent="0.3">
      <c r="A7903" t="s">
        <v>3955</v>
      </c>
      <c r="F7903" t="str">
        <f t="shared" ref="F7903" si="7895">A7903</f>
        <v>TTCGTA</v>
      </c>
    </row>
    <row r="7904" spans="1:6" x14ac:dyDescent="0.3">
      <c r="A7904" t="s">
        <v>8052</v>
      </c>
      <c r="F7904" t="str">
        <f t="shared" ref="F7904" si="7896">LEFT(A7904, LEN(A7904) - 1)</f>
        <v>&gt;3950:TTCGTC:6.00:50.00:Warning:6:1758.18</v>
      </c>
    </row>
    <row r="7905" spans="1:6" x14ac:dyDescent="0.3">
      <c r="A7905" t="s">
        <v>3956</v>
      </c>
      <c r="F7905" t="str">
        <f t="shared" ref="F7905" si="7897">A7905</f>
        <v>TTCGTC</v>
      </c>
    </row>
    <row r="7906" spans="1:6" x14ac:dyDescent="0.3">
      <c r="A7906" t="s">
        <v>8053</v>
      </c>
      <c r="F7906" t="str">
        <f t="shared" ref="F7906" si="7898">LEFT(A7906, LEN(A7906) - 1)</f>
        <v>&gt;3951:TTCGTG:6.00:50.00:Warning:6:1798.21</v>
      </c>
    </row>
    <row r="7907" spans="1:6" x14ac:dyDescent="0.3">
      <c r="A7907" t="s">
        <v>3957</v>
      </c>
      <c r="F7907" t="str">
        <f t="shared" ref="F7907" si="7899">A7907</f>
        <v>TTCGTG</v>
      </c>
    </row>
    <row r="7908" spans="1:6" x14ac:dyDescent="0.3">
      <c r="A7908" t="s">
        <v>8054</v>
      </c>
      <c r="F7908" t="str">
        <f t="shared" ref="F7908" si="7900">LEFT(A7908, LEN(A7908) - 1)</f>
        <v>&gt;3952:TTCGTT:0.00:33.33:OK:6:1773.19</v>
      </c>
    </row>
    <row r="7909" spans="1:6" x14ac:dyDescent="0.3">
      <c r="A7909" t="s">
        <v>3958</v>
      </c>
      <c r="F7909" t="str">
        <f t="shared" ref="F7909" si="7901">A7909</f>
        <v>TTCGTT</v>
      </c>
    </row>
    <row r="7910" spans="1:6" x14ac:dyDescent="0.3">
      <c r="A7910" t="s">
        <v>8055</v>
      </c>
      <c r="F7910" t="str">
        <f t="shared" ref="F7910" si="7902">LEFT(A7910, LEN(A7910) - 1)</f>
        <v>&gt;3953:TTCTAA:10.00:16.67:OK:6:1766.21</v>
      </c>
    </row>
    <row r="7911" spans="1:6" x14ac:dyDescent="0.3">
      <c r="A7911" t="s">
        <v>3959</v>
      </c>
      <c r="F7911" t="str">
        <f t="shared" ref="F7911" si="7903">A7911</f>
        <v>TTCTAA</v>
      </c>
    </row>
    <row r="7912" spans="1:6" x14ac:dyDescent="0.3">
      <c r="A7912" t="s">
        <v>8056</v>
      </c>
      <c r="F7912" t="str">
        <f t="shared" ref="F7912" si="7904">LEFT(A7912, LEN(A7912) - 1)</f>
        <v>&gt;3954:TTCTAC:8.00:33.33:OK:6:1742.18</v>
      </c>
    </row>
    <row r="7913" spans="1:6" x14ac:dyDescent="0.3">
      <c r="A7913" t="s">
        <v>3960</v>
      </c>
      <c r="F7913" t="str">
        <f t="shared" ref="F7913" si="7905">A7913</f>
        <v>TTCTAC</v>
      </c>
    </row>
    <row r="7914" spans="1:6" x14ac:dyDescent="0.3">
      <c r="A7914" t="s">
        <v>8057</v>
      </c>
      <c r="F7914" t="str">
        <f t="shared" ref="F7914" si="7906">LEFT(A7914, LEN(A7914) - 1)</f>
        <v>&gt;3955:TTCTAG:8.00:33.33:OK:6:1782.21</v>
      </c>
    </row>
    <row r="7915" spans="1:6" x14ac:dyDescent="0.3">
      <c r="A7915" t="s">
        <v>3961</v>
      </c>
      <c r="F7915" t="str">
        <f t="shared" ref="F7915" si="7907">A7915</f>
        <v>TTCTAG</v>
      </c>
    </row>
    <row r="7916" spans="1:6" x14ac:dyDescent="0.3">
      <c r="A7916" t="s">
        <v>8058</v>
      </c>
      <c r="F7916" t="str">
        <f t="shared" ref="F7916" si="7908">LEFT(A7916, LEN(A7916) - 1)</f>
        <v>&gt;3956:TTCTAT:2.00:16.67:OK:6:1757.19</v>
      </c>
    </row>
    <row r="7917" spans="1:6" x14ac:dyDescent="0.3">
      <c r="A7917" t="s">
        <v>3962</v>
      </c>
      <c r="F7917" t="str">
        <f t="shared" ref="F7917" si="7909">A7917</f>
        <v>TTCTAT</v>
      </c>
    </row>
    <row r="7918" spans="1:6" x14ac:dyDescent="0.3">
      <c r="A7918" t="s">
        <v>8059</v>
      </c>
      <c r="F7918" t="str">
        <f t="shared" ref="F7918" si="7910">LEFT(A7918, LEN(A7918) - 1)</f>
        <v>&gt;3957:TTCTCA:8.00:33.33:OK:6:1742.18</v>
      </c>
    </row>
    <row r="7919" spans="1:6" x14ac:dyDescent="0.3">
      <c r="A7919" t="s">
        <v>3963</v>
      </c>
      <c r="F7919" t="str">
        <f t="shared" ref="F7919" si="7911">A7919</f>
        <v>TTCTCA</v>
      </c>
    </row>
    <row r="7920" spans="1:6" x14ac:dyDescent="0.3">
      <c r="A7920" t="s">
        <v>8060</v>
      </c>
      <c r="F7920" t="str">
        <f t="shared" ref="F7920" si="7912">LEFT(A7920, LEN(A7920) - 1)</f>
        <v>&gt;3958:TTCTCC:6.00:50.00:Warning:6:1718.15</v>
      </c>
    </row>
    <row r="7921" spans="1:6" x14ac:dyDescent="0.3">
      <c r="A7921" t="s">
        <v>3964</v>
      </c>
      <c r="F7921" t="str">
        <f t="shared" ref="F7921" si="7913">A7921</f>
        <v>TTCTCC</v>
      </c>
    </row>
    <row r="7922" spans="1:6" x14ac:dyDescent="0.3">
      <c r="A7922" t="s">
        <v>8061</v>
      </c>
      <c r="F7922" t="str">
        <f t="shared" ref="F7922" si="7914">LEFT(A7922, LEN(A7922) - 1)</f>
        <v>&gt;3959:TTCTCG:6.00:50.00:Warning:6:1758.18</v>
      </c>
    </row>
    <row r="7923" spans="1:6" x14ac:dyDescent="0.3">
      <c r="A7923" t="s">
        <v>3965</v>
      </c>
      <c r="F7923" t="str">
        <f t="shared" ref="F7923" si="7915">A7923</f>
        <v>TTCTCG</v>
      </c>
    </row>
    <row r="7924" spans="1:6" x14ac:dyDescent="0.3">
      <c r="A7924" t="s">
        <v>8062</v>
      </c>
      <c r="F7924" t="str">
        <f t="shared" ref="F7924" si="7916">LEFT(A7924, LEN(A7924) - 1)</f>
        <v>&gt;3960:TTCTCT:0.00:33.33:OK:6:1733.16</v>
      </c>
    </row>
    <row r="7925" spans="1:6" x14ac:dyDescent="0.3">
      <c r="A7925" t="s">
        <v>3966</v>
      </c>
      <c r="F7925" t="str">
        <f t="shared" ref="F7925" si="7917">A7925</f>
        <v>TTCTCT</v>
      </c>
    </row>
    <row r="7926" spans="1:6" x14ac:dyDescent="0.3">
      <c r="A7926" t="s">
        <v>8063</v>
      </c>
      <c r="F7926" t="str">
        <f t="shared" ref="F7926" si="7918">LEFT(A7926, LEN(A7926) - 1)</f>
        <v>&gt;3961:TTCTGA:8.00:33.33:OK:6:1782.21</v>
      </c>
    </row>
    <row r="7927" spans="1:6" x14ac:dyDescent="0.3">
      <c r="A7927" t="s">
        <v>3967</v>
      </c>
      <c r="F7927" t="str">
        <f t="shared" ref="F7927" si="7919">A7927</f>
        <v>TTCTGA</v>
      </c>
    </row>
    <row r="7928" spans="1:6" x14ac:dyDescent="0.3">
      <c r="A7928" t="s">
        <v>8064</v>
      </c>
      <c r="F7928" t="str">
        <f t="shared" ref="F7928" si="7920">LEFT(A7928, LEN(A7928) - 1)</f>
        <v>&gt;3962:TTCTGC:6.00:50.00:Warning:6:1758.18</v>
      </c>
    </row>
    <row r="7929" spans="1:6" x14ac:dyDescent="0.3">
      <c r="A7929" t="s">
        <v>3968</v>
      </c>
      <c r="F7929" t="str">
        <f t="shared" ref="F7929" si="7921">A7929</f>
        <v>TTCTGC</v>
      </c>
    </row>
    <row r="7930" spans="1:6" x14ac:dyDescent="0.3">
      <c r="A7930" t="s">
        <v>8065</v>
      </c>
      <c r="F7930" t="str">
        <f t="shared" ref="F7930" si="7922">LEFT(A7930, LEN(A7930) - 1)</f>
        <v>&gt;3963:TTCTGG:6.00:50.00:Warning:6:1798.21</v>
      </c>
    </row>
    <row r="7931" spans="1:6" x14ac:dyDescent="0.3">
      <c r="A7931" t="s">
        <v>3969</v>
      </c>
      <c r="F7931" t="str">
        <f t="shared" ref="F7931" si="7923">A7931</f>
        <v>TTCTGG</v>
      </c>
    </row>
    <row r="7932" spans="1:6" x14ac:dyDescent="0.3">
      <c r="A7932" t="s">
        <v>8066</v>
      </c>
      <c r="F7932" t="str">
        <f t="shared" ref="F7932" si="7924">LEFT(A7932, LEN(A7932) - 1)</f>
        <v>&gt;3964:TTCTGT:0.00:33.33:OK:6:1773.19</v>
      </c>
    </row>
    <row r="7933" spans="1:6" x14ac:dyDescent="0.3">
      <c r="A7933" t="s">
        <v>3970</v>
      </c>
      <c r="F7933" t="str">
        <f t="shared" ref="F7933" si="7925">A7933</f>
        <v>TTCTGT</v>
      </c>
    </row>
    <row r="7934" spans="1:6" x14ac:dyDescent="0.3">
      <c r="A7934" t="s">
        <v>8067</v>
      </c>
      <c r="F7934" t="str">
        <f t="shared" ref="F7934" si="7926">LEFT(A7934, LEN(A7934) - 1)</f>
        <v>&gt;3965:TTCTTA:2.00:16.67:OK:6:1757.19</v>
      </c>
    </row>
    <row r="7935" spans="1:6" x14ac:dyDescent="0.3">
      <c r="A7935" t="s">
        <v>3971</v>
      </c>
      <c r="F7935" t="str">
        <f t="shared" ref="F7935" si="7927">A7935</f>
        <v>TTCTTA</v>
      </c>
    </row>
    <row r="7936" spans="1:6" x14ac:dyDescent="0.3">
      <c r="A7936" t="s">
        <v>8068</v>
      </c>
      <c r="F7936" t="str">
        <f t="shared" ref="F7936" si="7928">LEFT(A7936, LEN(A7936) - 1)</f>
        <v>&gt;3966:TTCTTC:0.00:33.33:OK:6:1733.16</v>
      </c>
    </row>
    <row r="7937" spans="1:6" x14ac:dyDescent="0.3">
      <c r="A7937" t="s">
        <v>3972</v>
      </c>
      <c r="F7937" t="str">
        <f t="shared" ref="F7937" si="7929">A7937</f>
        <v>TTCTTC</v>
      </c>
    </row>
    <row r="7938" spans="1:6" x14ac:dyDescent="0.3">
      <c r="A7938" t="s">
        <v>8069</v>
      </c>
      <c r="F7938" t="str">
        <f t="shared" ref="F7938" si="7930">LEFT(A7938, LEN(A7938) - 1)</f>
        <v>&gt;3967:TTCTTG:0.00:33.33:OK:6:1773.19</v>
      </c>
    </row>
    <row r="7939" spans="1:6" x14ac:dyDescent="0.3">
      <c r="A7939" t="s">
        <v>3973</v>
      </c>
      <c r="F7939" t="str">
        <f t="shared" ref="F7939" si="7931">A7939</f>
        <v>TTCTTG</v>
      </c>
    </row>
    <row r="7940" spans="1:6" x14ac:dyDescent="0.3">
      <c r="A7940" t="s">
        <v>8070</v>
      </c>
      <c r="F7940" t="str">
        <f t="shared" ref="F7940" si="7932">LEFT(A7940, LEN(A7940) - 1)</f>
        <v>&gt;3968:TTCTTT:-6.00:16.67:OK:6:1748.17</v>
      </c>
    </row>
    <row r="7941" spans="1:6" x14ac:dyDescent="0.3">
      <c r="A7941" t="s">
        <v>3974</v>
      </c>
      <c r="F7941" t="str">
        <f t="shared" ref="F7941" si="7933">A7941</f>
        <v>TTCTTT</v>
      </c>
    </row>
    <row r="7942" spans="1:6" x14ac:dyDescent="0.3">
      <c r="A7942" t="s">
        <v>8071</v>
      </c>
      <c r="F7942" t="str">
        <f t="shared" ref="F7942" si="7934">LEFT(A7942, LEN(A7942) - 1)</f>
        <v>&gt;3969:TTGAAA:18.00:16.67:OK:6:1815.26</v>
      </c>
    </row>
    <row r="7943" spans="1:6" x14ac:dyDescent="0.3">
      <c r="A7943" t="s">
        <v>3975</v>
      </c>
      <c r="F7943" t="str">
        <f t="shared" ref="F7943" si="7935">A7943</f>
        <v>TTGAAA</v>
      </c>
    </row>
    <row r="7944" spans="1:6" x14ac:dyDescent="0.3">
      <c r="A7944" t="s">
        <v>8072</v>
      </c>
      <c r="F7944" t="str">
        <f t="shared" ref="F7944" si="7936">LEFT(A7944, LEN(A7944) - 1)</f>
        <v>&gt;3970:TTGAAC:16.00:33.33:OK:6:1791.23</v>
      </c>
    </row>
    <row r="7945" spans="1:6" x14ac:dyDescent="0.3">
      <c r="A7945" t="s">
        <v>3976</v>
      </c>
      <c r="F7945" t="str">
        <f t="shared" ref="F7945" si="7937">A7945</f>
        <v>TTGAAC</v>
      </c>
    </row>
    <row r="7946" spans="1:6" x14ac:dyDescent="0.3">
      <c r="A7946" t="s">
        <v>8073</v>
      </c>
      <c r="F7946" t="str">
        <f t="shared" ref="F7946" si="7938">LEFT(A7946, LEN(A7946) - 1)</f>
        <v>&gt;3971:TTGAAG:16.00:33.33:OK:6:1831.26</v>
      </c>
    </row>
    <row r="7947" spans="1:6" x14ac:dyDescent="0.3">
      <c r="A7947" t="s">
        <v>3977</v>
      </c>
      <c r="F7947" t="str">
        <f t="shared" ref="F7947" si="7939">A7947</f>
        <v>TTGAAG</v>
      </c>
    </row>
    <row r="7948" spans="1:6" x14ac:dyDescent="0.3">
      <c r="A7948" t="s">
        <v>8074</v>
      </c>
      <c r="F7948" t="str">
        <f t="shared" ref="F7948" si="7940">LEFT(A7948, LEN(A7948) - 1)</f>
        <v>&gt;3972:TTGAAT:10.00:16.67:OK:6:1806.24</v>
      </c>
    </row>
    <row r="7949" spans="1:6" x14ac:dyDescent="0.3">
      <c r="A7949" t="s">
        <v>3978</v>
      </c>
      <c r="F7949" t="str">
        <f t="shared" ref="F7949" si="7941">A7949</f>
        <v>TTGAAT</v>
      </c>
    </row>
    <row r="7950" spans="1:6" x14ac:dyDescent="0.3">
      <c r="A7950" t="s">
        <v>8075</v>
      </c>
      <c r="F7950" t="str">
        <f t="shared" ref="F7950" si="7942">LEFT(A7950, LEN(A7950) - 1)</f>
        <v>&gt;3973:TTGACA:16.00:33.33:OK:6:1791.23</v>
      </c>
    </row>
    <row r="7951" spans="1:6" x14ac:dyDescent="0.3">
      <c r="A7951" t="s">
        <v>3979</v>
      </c>
      <c r="F7951" t="str">
        <f t="shared" ref="F7951" si="7943">A7951</f>
        <v>TTGACA</v>
      </c>
    </row>
    <row r="7952" spans="1:6" x14ac:dyDescent="0.3">
      <c r="A7952" t="s">
        <v>8076</v>
      </c>
      <c r="F7952" t="str">
        <f t="shared" ref="F7952" si="7944">LEFT(A7952, LEN(A7952) - 1)</f>
        <v>&gt;3974:TTGACC:14.00:50.00:Warning:6:1767.20</v>
      </c>
    </row>
    <row r="7953" spans="1:6" x14ac:dyDescent="0.3">
      <c r="A7953" t="s">
        <v>3980</v>
      </c>
      <c r="F7953" t="str">
        <f t="shared" ref="F7953" si="7945">A7953</f>
        <v>TTGACC</v>
      </c>
    </row>
    <row r="7954" spans="1:6" x14ac:dyDescent="0.3">
      <c r="A7954" t="s">
        <v>8077</v>
      </c>
      <c r="F7954" t="str">
        <f t="shared" ref="F7954" si="7946">LEFT(A7954, LEN(A7954) - 1)</f>
        <v>&gt;3975:TTGACG:14.00:50.00:Warning:6:1807.23</v>
      </c>
    </row>
    <row r="7955" spans="1:6" x14ac:dyDescent="0.3">
      <c r="A7955" t="s">
        <v>3981</v>
      </c>
      <c r="F7955" t="str">
        <f t="shared" ref="F7955" si="7947">A7955</f>
        <v>TTGACG</v>
      </c>
    </row>
    <row r="7956" spans="1:6" x14ac:dyDescent="0.3">
      <c r="A7956" t="s">
        <v>8078</v>
      </c>
      <c r="F7956" t="str">
        <f t="shared" ref="F7956" si="7948">LEFT(A7956, LEN(A7956) - 1)</f>
        <v>&gt;3976:TTGACT:8.00:33.33:OK:6:1782.21</v>
      </c>
    </row>
    <row r="7957" spans="1:6" x14ac:dyDescent="0.3">
      <c r="A7957" t="s">
        <v>3982</v>
      </c>
      <c r="F7957" t="str">
        <f t="shared" ref="F7957" si="7949">A7957</f>
        <v>TTGACT</v>
      </c>
    </row>
    <row r="7958" spans="1:6" x14ac:dyDescent="0.3">
      <c r="A7958" t="s">
        <v>8079</v>
      </c>
      <c r="F7958" t="str">
        <f t="shared" ref="F7958" si="7950">LEFT(A7958, LEN(A7958) - 1)</f>
        <v>&gt;3977:TTGAGA:16.00:33.33:OK:6:1831.26</v>
      </c>
    </row>
    <row r="7959" spans="1:6" x14ac:dyDescent="0.3">
      <c r="A7959" t="s">
        <v>3983</v>
      </c>
      <c r="F7959" t="str">
        <f t="shared" ref="F7959" si="7951">A7959</f>
        <v>TTGAGA</v>
      </c>
    </row>
    <row r="7960" spans="1:6" x14ac:dyDescent="0.3">
      <c r="A7960" t="s">
        <v>8080</v>
      </c>
      <c r="F7960" t="str">
        <f t="shared" ref="F7960" si="7952">LEFT(A7960, LEN(A7960) - 1)</f>
        <v>&gt;3978:TTGAGC:14.00:50.00:Warning:6:1807.23</v>
      </c>
    </row>
    <row r="7961" spans="1:6" x14ac:dyDescent="0.3">
      <c r="A7961" t="s">
        <v>3984</v>
      </c>
      <c r="F7961" t="str">
        <f t="shared" ref="F7961" si="7953">A7961</f>
        <v>TTGAGC</v>
      </c>
    </row>
    <row r="7962" spans="1:6" x14ac:dyDescent="0.3">
      <c r="A7962" t="s">
        <v>8081</v>
      </c>
      <c r="F7962" t="str">
        <f t="shared" ref="F7962" si="7954">LEFT(A7962, LEN(A7962) - 1)</f>
        <v>&gt;3979:TTGAGG:14.00:50.00:Warning:6:1847.26</v>
      </c>
    </row>
    <row r="7963" spans="1:6" x14ac:dyDescent="0.3">
      <c r="A7963" t="s">
        <v>3985</v>
      </c>
      <c r="F7963" t="str">
        <f t="shared" ref="F7963" si="7955">A7963</f>
        <v>TTGAGG</v>
      </c>
    </row>
    <row r="7964" spans="1:6" x14ac:dyDescent="0.3">
      <c r="A7964" t="s">
        <v>8082</v>
      </c>
      <c r="F7964" t="str">
        <f t="shared" ref="F7964" si="7956">LEFT(A7964, LEN(A7964) - 1)</f>
        <v>&gt;3980:TTGAGT:8.00:33.33:OK:6:1822.24</v>
      </c>
    </row>
    <row r="7965" spans="1:6" x14ac:dyDescent="0.3">
      <c r="A7965" t="s">
        <v>3986</v>
      </c>
      <c r="F7965" t="str">
        <f t="shared" ref="F7965" si="7957">A7965</f>
        <v>TTGAGT</v>
      </c>
    </row>
    <row r="7966" spans="1:6" x14ac:dyDescent="0.3">
      <c r="A7966" t="s">
        <v>8083</v>
      </c>
      <c r="F7966" t="str">
        <f t="shared" ref="F7966" si="7958">LEFT(A7966, LEN(A7966) - 1)</f>
        <v>&gt;3981:TTGATA:10.00:16.67:OK:6:1806.24</v>
      </c>
    </row>
    <row r="7967" spans="1:6" x14ac:dyDescent="0.3">
      <c r="A7967" t="s">
        <v>3987</v>
      </c>
      <c r="F7967" t="str">
        <f t="shared" ref="F7967" si="7959">A7967</f>
        <v>TTGATA</v>
      </c>
    </row>
    <row r="7968" spans="1:6" x14ac:dyDescent="0.3">
      <c r="A7968" t="s">
        <v>8084</v>
      </c>
      <c r="F7968" t="str">
        <f t="shared" ref="F7968" si="7960">LEFT(A7968, LEN(A7968) - 1)</f>
        <v>&gt;3982:TTGATC:8.00:33.33:OK:6:1782.21</v>
      </c>
    </row>
    <row r="7969" spans="1:6" x14ac:dyDescent="0.3">
      <c r="A7969" t="s">
        <v>3988</v>
      </c>
      <c r="F7969" t="str">
        <f t="shared" ref="F7969" si="7961">A7969</f>
        <v>TTGATC</v>
      </c>
    </row>
    <row r="7970" spans="1:6" x14ac:dyDescent="0.3">
      <c r="A7970" t="s">
        <v>8085</v>
      </c>
      <c r="F7970" t="str">
        <f t="shared" ref="F7970" si="7962">LEFT(A7970, LEN(A7970) - 1)</f>
        <v>&gt;3983:TTGATG:8.00:33.33:OK:6:1822.24</v>
      </c>
    </row>
    <row r="7971" spans="1:6" x14ac:dyDescent="0.3">
      <c r="A7971" t="s">
        <v>3989</v>
      </c>
      <c r="F7971" t="str">
        <f t="shared" ref="F7971" si="7963">A7971</f>
        <v>TTGATG</v>
      </c>
    </row>
    <row r="7972" spans="1:6" x14ac:dyDescent="0.3">
      <c r="A7972" t="s">
        <v>8086</v>
      </c>
      <c r="F7972" t="str">
        <f t="shared" ref="F7972" si="7964">LEFT(A7972, LEN(A7972) - 1)</f>
        <v>&gt;3984:TTGATT:2.00:16.67:OK:6:1797.22</v>
      </c>
    </row>
    <row r="7973" spans="1:6" x14ac:dyDescent="0.3">
      <c r="A7973" t="s">
        <v>3990</v>
      </c>
      <c r="F7973" t="str">
        <f t="shared" ref="F7973" si="7965">A7973</f>
        <v>TTGATT</v>
      </c>
    </row>
    <row r="7974" spans="1:6" x14ac:dyDescent="0.3">
      <c r="A7974" t="s">
        <v>8087</v>
      </c>
      <c r="F7974" t="str">
        <f t="shared" ref="F7974" si="7966">LEFT(A7974, LEN(A7974) - 1)</f>
        <v>&gt;3985:TTGCAA:16.00:33.33:OK:6:1791.23</v>
      </c>
    </row>
    <row r="7975" spans="1:6" x14ac:dyDescent="0.3">
      <c r="A7975" t="s">
        <v>3991</v>
      </c>
      <c r="F7975" t="str">
        <f t="shared" ref="F7975" si="7967">A7975</f>
        <v>TTGCAA</v>
      </c>
    </row>
    <row r="7976" spans="1:6" x14ac:dyDescent="0.3">
      <c r="A7976" t="s">
        <v>8088</v>
      </c>
      <c r="F7976" t="str">
        <f t="shared" ref="F7976" si="7968">LEFT(A7976, LEN(A7976) - 1)</f>
        <v>&gt;3986:TTGCAC:14.00:50.00:Warning:6:1767.20</v>
      </c>
    </row>
    <row r="7977" spans="1:6" x14ac:dyDescent="0.3">
      <c r="A7977" t="s">
        <v>3992</v>
      </c>
      <c r="F7977" t="str">
        <f t="shared" ref="F7977" si="7969">A7977</f>
        <v>TTGCAC</v>
      </c>
    </row>
    <row r="7978" spans="1:6" x14ac:dyDescent="0.3">
      <c r="A7978" t="s">
        <v>8089</v>
      </c>
      <c r="F7978" t="str">
        <f t="shared" ref="F7978" si="7970">LEFT(A7978, LEN(A7978) - 1)</f>
        <v>&gt;3987:TTGCAG:14.00:50.00:Warning:6:1807.23</v>
      </c>
    </row>
    <row r="7979" spans="1:6" x14ac:dyDescent="0.3">
      <c r="A7979" t="s">
        <v>3993</v>
      </c>
      <c r="F7979" t="str">
        <f t="shared" ref="F7979" si="7971">A7979</f>
        <v>TTGCAG</v>
      </c>
    </row>
    <row r="7980" spans="1:6" x14ac:dyDescent="0.3">
      <c r="A7980" t="s">
        <v>8090</v>
      </c>
      <c r="F7980" t="str">
        <f t="shared" ref="F7980" si="7972">LEFT(A7980, LEN(A7980) - 1)</f>
        <v>&gt;3988:TTGCAT:8.00:33.33:OK:6:1782.21</v>
      </c>
    </row>
    <row r="7981" spans="1:6" x14ac:dyDescent="0.3">
      <c r="A7981" t="s">
        <v>3994</v>
      </c>
      <c r="F7981" t="str">
        <f t="shared" ref="F7981" si="7973">A7981</f>
        <v>TTGCAT</v>
      </c>
    </row>
    <row r="7982" spans="1:6" x14ac:dyDescent="0.3">
      <c r="A7982" t="s">
        <v>8091</v>
      </c>
      <c r="F7982" t="str">
        <f t="shared" ref="F7982" si="7974">LEFT(A7982, LEN(A7982) - 1)</f>
        <v>&gt;3989:TTGCCA:14.00:50.00:Warning:6:1767.20</v>
      </c>
    </row>
    <row r="7983" spans="1:6" x14ac:dyDescent="0.3">
      <c r="A7983" t="s">
        <v>3995</v>
      </c>
      <c r="F7983" t="str">
        <f t="shared" ref="F7983" si="7975">A7983</f>
        <v>TTGCCA</v>
      </c>
    </row>
    <row r="7984" spans="1:6" x14ac:dyDescent="0.3">
      <c r="A7984" t="s">
        <v>8092</v>
      </c>
      <c r="F7984" t="str">
        <f t="shared" ref="F7984" si="7976">LEFT(A7984, LEN(A7984) - 1)</f>
        <v>&gt;3990:TTGCCC:12.00:66.67:Warning:6:1743.17</v>
      </c>
    </row>
    <row r="7985" spans="1:6" x14ac:dyDescent="0.3">
      <c r="A7985" t="s">
        <v>3996</v>
      </c>
      <c r="F7985" t="str">
        <f t="shared" ref="F7985" si="7977">A7985</f>
        <v>TTGCCC</v>
      </c>
    </row>
    <row r="7986" spans="1:6" x14ac:dyDescent="0.3">
      <c r="A7986" t="s">
        <v>8093</v>
      </c>
      <c r="F7986" t="str">
        <f t="shared" ref="F7986" si="7978">LEFT(A7986, LEN(A7986) - 1)</f>
        <v>&gt;3991:TTGCCG:12.00:66.67:Warning:6:1783.20</v>
      </c>
    </row>
    <row r="7987" spans="1:6" x14ac:dyDescent="0.3">
      <c r="A7987" t="s">
        <v>3997</v>
      </c>
      <c r="F7987" t="str">
        <f t="shared" ref="F7987" si="7979">A7987</f>
        <v>TTGCCG</v>
      </c>
    </row>
    <row r="7988" spans="1:6" x14ac:dyDescent="0.3">
      <c r="A7988" t="s">
        <v>8094</v>
      </c>
      <c r="F7988" t="str">
        <f t="shared" ref="F7988" si="7980">LEFT(A7988, LEN(A7988) - 1)</f>
        <v>&gt;3992:TTGCCT:6.00:50.00:Warning:6:1758.18</v>
      </c>
    </row>
    <row r="7989" spans="1:6" x14ac:dyDescent="0.3">
      <c r="A7989" t="s">
        <v>3998</v>
      </c>
      <c r="F7989" t="str">
        <f t="shared" ref="F7989" si="7981">A7989</f>
        <v>TTGCCT</v>
      </c>
    </row>
    <row r="7990" spans="1:6" x14ac:dyDescent="0.3">
      <c r="A7990" t="s">
        <v>8095</v>
      </c>
      <c r="F7990" t="str">
        <f t="shared" ref="F7990" si="7982">LEFT(A7990, LEN(A7990) - 1)</f>
        <v>&gt;3993:TTGCGA:14.00:50.00:Warning:6:1807.23</v>
      </c>
    </row>
    <row r="7991" spans="1:6" x14ac:dyDescent="0.3">
      <c r="A7991" t="s">
        <v>3999</v>
      </c>
      <c r="F7991" t="str">
        <f t="shared" ref="F7991" si="7983">A7991</f>
        <v>TTGCGA</v>
      </c>
    </row>
    <row r="7992" spans="1:6" x14ac:dyDescent="0.3">
      <c r="A7992" t="s">
        <v>8096</v>
      </c>
      <c r="F7992" t="str">
        <f t="shared" ref="F7992" si="7984">LEFT(A7992, LEN(A7992) - 1)</f>
        <v>&gt;3994:TTGCGC:12.00:66.67:Warning:6:1783.20</v>
      </c>
    </row>
    <row r="7993" spans="1:6" x14ac:dyDescent="0.3">
      <c r="A7993" t="s">
        <v>4000</v>
      </c>
      <c r="F7993" t="str">
        <f t="shared" ref="F7993" si="7985">A7993</f>
        <v>TTGCGC</v>
      </c>
    </row>
    <row r="7994" spans="1:6" x14ac:dyDescent="0.3">
      <c r="A7994" t="s">
        <v>8097</v>
      </c>
      <c r="F7994" t="str">
        <f t="shared" ref="F7994" si="7986">LEFT(A7994, LEN(A7994) - 1)</f>
        <v>&gt;3995:TTGCGG:12.00:66.67:Warning:6:1823.23</v>
      </c>
    </row>
    <row r="7995" spans="1:6" x14ac:dyDescent="0.3">
      <c r="A7995" t="s">
        <v>4001</v>
      </c>
      <c r="F7995" t="str">
        <f t="shared" ref="F7995" si="7987">A7995</f>
        <v>TTGCGG</v>
      </c>
    </row>
    <row r="7996" spans="1:6" x14ac:dyDescent="0.3">
      <c r="A7996" t="s">
        <v>8098</v>
      </c>
      <c r="F7996" t="str">
        <f t="shared" ref="F7996" si="7988">LEFT(A7996, LEN(A7996) - 1)</f>
        <v>&gt;3996:TTGCGT:6.00:50.00:Warning:6:1798.21</v>
      </c>
    </row>
    <row r="7997" spans="1:6" x14ac:dyDescent="0.3">
      <c r="A7997" t="s">
        <v>4002</v>
      </c>
      <c r="F7997" t="str">
        <f t="shared" ref="F7997" si="7989">A7997</f>
        <v>TTGCGT</v>
      </c>
    </row>
    <row r="7998" spans="1:6" x14ac:dyDescent="0.3">
      <c r="A7998" t="s">
        <v>8099</v>
      </c>
      <c r="F7998" t="str">
        <f t="shared" ref="F7998" si="7990">LEFT(A7998, LEN(A7998) - 1)</f>
        <v>&gt;3997:TTGCTA:8.00:33.33:OK:6:1782.21</v>
      </c>
    </row>
    <row r="7999" spans="1:6" x14ac:dyDescent="0.3">
      <c r="A7999" t="s">
        <v>4003</v>
      </c>
      <c r="F7999" t="str">
        <f t="shared" ref="F7999" si="7991">A7999</f>
        <v>TTGCTA</v>
      </c>
    </row>
    <row r="8000" spans="1:6" x14ac:dyDescent="0.3">
      <c r="A8000" t="s">
        <v>8100</v>
      </c>
      <c r="F8000" t="str">
        <f t="shared" ref="F8000" si="7992">LEFT(A8000, LEN(A8000) - 1)</f>
        <v>&gt;3998:TTGCTC:6.00:50.00:Warning:6:1758.18</v>
      </c>
    </row>
    <row r="8001" spans="1:6" x14ac:dyDescent="0.3">
      <c r="A8001" t="s">
        <v>4004</v>
      </c>
      <c r="F8001" t="str">
        <f t="shared" ref="F8001" si="7993">A8001</f>
        <v>TTGCTC</v>
      </c>
    </row>
    <row r="8002" spans="1:6" x14ac:dyDescent="0.3">
      <c r="A8002" t="s">
        <v>8101</v>
      </c>
      <c r="F8002" t="str">
        <f t="shared" ref="F8002" si="7994">LEFT(A8002, LEN(A8002) - 1)</f>
        <v>&gt;3999:TTGCTG:6.00:50.00:Warning:6:1798.21</v>
      </c>
    </row>
    <row r="8003" spans="1:6" x14ac:dyDescent="0.3">
      <c r="A8003" t="s">
        <v>4005</v>
      </c>
      <c r="F8003" t="str">
        <f t="shared" ref="F8003" si="7995">A8003</f>
        <v>TTGCTG</v>
      </c>
    </row>
    <row r="8004" spans="1:6" x14ac:dyDescent="0.3">
      <c r="A8004" t="s">
        <v>8102</v>
      </c>
      <c r="F8004" t="str">
        <f t="shared" ref="F8004" si="7996">LEFT(A8004, LEN(A8004) - 1)</f>
        <v>&gt;4000:TTGCTT:0.00:33.33:OK:6:1773.19</v>
      </c>
    </row>
    <row r="8005" spans="1:6" x14ac:dyDescent="0.3">
      <c r="A8005" t="s">
        <v>4006</v>
      </c>
      <c r="F8005" t="str">
        <f t="shared" ref="F8005" si="7997">A8005</f>
        <v>TTGCTT</v>
      </c>
    </row>
    <row r="8006" spans="1:6" x14ac:dyDescent="0.3">
      <c r="A8006" t="s">
        <v>8103</v>
      </c>
      <c r="F8006" t="str">
        <f t="shared" ref="F8006" si="7998">LEFT(A8006, LEN(A8006) - 1)</f>
        <v>&gt;4001:TTGGAA:16.00:33.33:OK:6:1831.26</v>
      </c>
    </row>
    <row r="8007" spans="1:6" x14ac:dyDescent="0.3">
      <c r="A8007" t="s">
        <v>4007</v>
      </c>
      <c r="F8007" t="str">
        <f t="shared" ref="F8007" si="7999">A8007</f>
        <v>TTGGAA</v>
      </c>
    </row>
    <row r="8008" spans="1:6" x14ac:dyDescent="0.3">
      <c r="A8008" t="s">
        <v>8104</v>
      </c>
      <c r="F8008" t="str">
        <f t="shared" ref="F8008" si="8000">LEFT(A8008, LEN(A8008) - 1)</f>
        <v>&gt;4002:TTGGAC:14.00:50.00:Warning:6:1807.23</v>
      </c>
    </row>
    <row r="8009" spans="1:6" x14ac:dyDescent="0.3">
      <c r="A8009" t="s">
        <v>4008</v>
      </c>
      <c r="F8009" t="str">
        <f t="shared" ref="F8009" si="8001">A8009</f>
        <v>TTGGAC</v>
      </c>
    </row>
    <row r="8010" spans="1:6" x14ac:dyDescent="0.3">
      <c r="A8010" t="s">
        <v>8105</v>
      </c>
      <c r="F8010" t="str">
        <f t="shared" ref="F8010" si="8002">LEFT(A8010, LEN(A8010) - 1)</f>
        <v>&gt;4003:TTGGAG:14.00:50.00:Warning:6:1847.26</v>
      </c>
    </row>
    <row r="8011" spans="1:6" x14ac:dyDescent="0.3">
      <c r="A8011" t="s">
        <v>4009</v>
      </c>
      <c r="F8011" t="str">
        <f t="shared" ref="F8011" si="8003">A8011</f>
        <v>TTGGAG</v>
      </c>
    </row>
    <row r="8012" spans="1:6" x14ac:dyDescent="0.3">
      <c r="A8012" t="s">
        <v>8106</v>
      </c>
      <c r="F8012" t="str">
        <f t="shared" ref="F8012" si="8004">LEFT(A8012, LEN(A8012) - 1)</f>
        <v>&gt;4004:TTGGAT:8.00:33.33:OK:6:1822.24</v>
      </c>
    </row>
    <row r="8013" spans="1:6" x14ac:dyDescent="0.3">
      <c r="A8013" t="s">
        <v>4010</v>
      </c>
      <c r="F8013" t="str">
        <f t="shared" ref="F8013" si="8005">A8013</f>
        <v>TTGGAT</v>
      </c>
    </row>
    <row r="8014" spans="1:6" x14ac:dyDescent="0.3">
      <c r="A8014" t="s">
        <v>8107</v>
      </c>
      <c r="F8014" t="str">
        <f t="shared" ref="F8014" si="8006">LEFT(A8014, LEN(A8014) - 1)</f>
        <v>&gt;4005:TTGGCA:14.00:50.00:Warning:6:1807.23</v>
      </c>
    </row>
    <row r="8015" spans="1:6" x14ac:dyDescent="0.3">
      <c r="A8015" t="s">
        <v>4011</v>
      </c>
      <c r="F8015" t="str">
        <f t="shared" ref="F8015" si="8007">A8015</f>
        <v>TTGGCA</v>
      </c>
    </row>
    <row r="8016" spans="1:6" x14ac:dyDescent="0.3">
      <c r="A8016" t="s">
        <v>8108</v>
      </c>
      <c r="F8016" t="str">
        <f t="shared" ref="F8016" si="8008">LEFT(A8016, LEN(A8016) - 1)</f>
        <v>&gt;4006:TTGGCC:12.00:66.67:Warning:6:1783.20</v>
      </c>
    </row>
    <row r="8017" spans="1:6" x14ac:dyDescent="0.3">
      <c r="A8017" t="s">
        <v>4012</v>
      </c>
      <c r="F8017" t="str">
        <f t="shared" ref="F8017" si="8009">A8017</f>
        <v>TTGGCC</v>
      </c>
    </row>
    <row r="8018" spans="1:6" x14ac:dyDescent="0.3">
      <c r="A8018" t="s">
        <v>8109</v>
      </c>
      <c r="F8018" t="str">
        <f t="shared" ref="F8018" si="8010">LEFT(A8018, LEN(A8018) - 1)</f>
        <v>&gt;4007:TTGGCG:12.00:66.67:Warning:6:1823.23</v>
      </c>
    </row>
    <row r="8019" spans="1:6" x14ac:dyDescent="0.3">
      <c r="A8019" t="s">
        <v>4013</v>
      </c>
      <c r="F8019" t="str">
        <f t="shared" ref="F8019" si="8011">A8019</f>
        <v>TTGGCG</v>
      </c>
    </row>
    <row r="8020" spans="1:6" x14ac:dyDescent="0.3">
      <c r="A8020" t="s">
        <v>8110</v>
      </c>
      <c r="F8020" t="str">
        <f t="shared" ref="F8020" si="8012">LEFT(A8020, LEN(A8020) - 1)</f>
        <v>&gt;4008:TTGGCT:6.00:50.00:Warning:6:1798.21</v>
      </c>
    </row>
    <row r="8021" spans="1:6" x14ac:dyDescent="0.3">
      <c r="A8021" t="s">
        <v>4014</v>
      </c>
      <c r="F8021" t="str">
        <f t="shared" ref="F8021" si="8013">A8021</f>
        <v>TTGGCT</v>
      </c>
    </row>
    <row r="8022" spans="1:6" x14ac:dyDescent="0.3">
      <c r="A8022" t="s">
        <v>8111</v>
      </c>
      <c r="F8022" t="str">
        <f t="shared" ref="F8022" si="8014">LEFT(A8022, LEN(A8022) - 1)</f>
        <v>&gt;4009:TTGGGA:14.00:50.00:Warning:6:1847.26</v>
      </c>
    </row>
    <row r="8023" spans="1:6" x14ac:dyDescent="0.3">
      <c r="A8023" t="s">
        <v>4015</v>
      </c>
      <c r="F8023" t="str">
        <f t="shared" ref="F8023" si="8015">A8023</f>
        <v>TTGGGA</v>
      </c>
    </row>
    <row r="8024" spans="1:6" x14ac:dyDescent="0.3">
      <c r="A8024" t="s">
        <v>8112</v>
      </c>
      <c r="F8024" t="str">
        <f t="shared" ref="F8024" si="8016">LEFT(A8024, LEN(A8024) - 1)</f>
        <v>&gt;4010:TTGGGC:12.00:66.67:Warning:6:1823.23</v>
      </c>
    </row>
    <row r="8025" spans="1:6" x14ac:dyDescent="0.3">
      <c r="A8025" t="s">
        <v>4016</v>
      </c>
      <c r="F8025" t="str">
        <f t="shared" ref="F8025" si="8017">A8025</f>
        <v>TTGGGC</v>
      </c>
    </row>
    <row r="8026" spans="1:6" x14ac:dyDescent="0.3">
      <c r="A8026" t="s">
        <v>8113</v>
      </c>
      <c r="F8026" t="str">
        <f t="shared" ref="F8026" si="8018">LEFT(A8026, LEN(A8026) - 1)</f>
        <v>&gt;4011:TTGGGG:12.00:66.67:Warning:6:1863.26</v>
      </c>
    </row>
    <row r="8027" spans="1:6" x14ac:dyDescent="0.3">
      <c r="A8027" t="s">
        <v>4017</v>
      </c>
      <c r="F8027" t="str">
        <f t="shared" ref="F8027" si="8019">A8027</f>
        <v>TTGGGG</v>
      </c>
    </row>
    <row r="8028" spans="1:6" x14ac:dyDescent="0.3">
      <c r="A8028" t="s">
        <v>8114</v>
      </c>
      <c r="F8028" t="str">
        <f t="shared" ref="F8028" si="8020">LEFT(A8028, LEN(A8028) - 1)</f>
        <v>&gt;4012:TTGGGT:6.00:50.00:Warning:6:1838.24</v>
      </c>
    </row>
    <row r="8029" spans="1:6" x14ac:dyDescent="0.3">
      <c r="A8029" t="s">
        <v>4018</v>
      </c>
      <c r="F8029" t="str">
        <f t="shared" ref="F8029" si="8021">A8029</f>
        <v>TTGGGT</v>
      </c>
    </row>
    <row r="8030" spans="1:6" x14ac:dyDescent="0.3">
      <c r="A8030" t="s">
        <v>8115</v>
      </c>
      <c r="F8030" t="str">
        <f t="shared" ref="F8030" si="8022">LEFT(A8030, LEN(A8030) - 1)</f>
        <v>&gt;4013:TTGGTA:8.00:33.33:OK:6:1822.24</v>
      </c>
    </row>
    <row r="8031" spans="1:6" x14ac:dyDescent="0.3">
      <c r="A8031" t="s">
        <v>4019</v>
      </c>
      <c r="F8031" t="str">
        <f t="shared" ref="F8031" si="8023">A8031</f>
        <v>TTGGTA</v>
      </c>
    </row>
    <row r="8032" spans="1:6" x14ac:dyDescent="0.3">
      <c r="A8032" t="s">
        <v>8116</v>
      </c>
      <c r="F8032" t="str">
        <f t="shared" ref="F8032" si="8024">LEFT(A8032, LEN(A8032) - 1)</f>
        <v>&gt;4014:TTGGTC:6.00:50.00:Warning:6:1798.21</v>
      </c>
    </row>
    <row r="8033" spans="1:6" x14ac:dyDescent="0.3">
      <c r="A8033" t="s">
        <v>4020</v>
      </c>
      <c r="F8033" t="str">
        <f t="shared" ref="F8033" si="8025">A8033</f>
        <v>TTGGTC</v>
      </c>
    </row>
    <row r="8034" spans="1:6" x14ac:dyDescent="0.3">
      <c r="A8034" t="s">
        <v>8117</v>
      </c>
      <c r="F8034" t="str">
        <f t="shared" ref="F8034" si="8026">LEFT(A8034, LEN(A8034) - 1)</f>
        <v>&gt;4015:TTGGTG:6.00:50.00:Warning:6:1838.24</v>
      </c>
    </row>
    <row r="8035" spans="1:6" x14ac:dyDescent="0.3">
      <c r="A8035" t="s">
        <v>4021</v>
      </c>
      <c r="F8035" t="str">
        <f t="shared" ref="F8035" si="8027">A8035</f>
        <v>TTGGTG</v>
      </c>
    </row>
    <row r="8036" spans="1:6" x14ac:dyDescent="0.3">
      <c r="A8036" t="s">
        <v>8118</v>
      </c>
      <c r="F8036" t="str">
        <f t="shared" ref="F8036" si="8028">LEFT(A8036, LEN(A8036) - 1)</f>
        <v>&gt;4016:TTGGTT:0.00:33.33:OK:6:1813.22</v>
      </c>
    </row>
    <row r="8037" spans="1:6" x14ac:dyDescent="0.3">
      <c r="A8037" t="s">
        <v>4022</v>
      </c>
      <c r="F8037" t="str">
        <f t="shared" ref="F8037" si="8029">A8037</f>
        <v>TTGGTT</v>
      </c>
    </row>
    <row r="8038" spans="1:6" x14ac:dyDescent="0.3">
      <c r="A8038" t="s">
        <v>8119</v>
      </c>
      <c r="F8038" t="str">
        <f t="shared" ref="F8038" si="8030">LEFT(A8038, LEN(A8038) - 1)</f>
        <v>&gt;4017:TTGTAA:10.00:16.67:OK:6:1806.24</v>
      </c>
    </row>
    <row r="8039" spans="1:6" x14ac:dyDescent="0.3">
      <c r="A8039" t="s">
        <v>4023</v>
      </c>
      <c r="F8039" t="str">
        <f t="shared" ref="F8039" si="8031">A8039</f>
        <v>TTGTAA</v>
      </c>
    </row>
    <row r="8040" spans="1:6" x14ac:dyDescent="0.3">
      <c r="A8040" t="s">
        <v>8120</v>
      </c>
      <c r="F8040" t="str">
        <f t="shared" ref="F8040" si="8032">LEFT(A8040, LEN(A8040) - 1)</f>
        <v>&gt;4018:TTGTAC:8.00:33.33:OK:6:1782.21</v>
      </c>
    </row>
    <row r="8041" spans="1:6" x14ac:dyDescent="0.3">
      <c r="A8041" t="s">
        <v>4024</v>
      </c>
      <c r="F8041" t="str">
        <f t="shared" ref="F8041" si="8033">A8041</f>
        <v>TTGTAC</v>
      </c>
    </row>
    <row r="8042" spans="1:6" x14ac:dyDescent="0.3">
      <c r="A8042" t="s">
        <v>8121</v>
      </c>
      <c r="F8042" t="str">
        <f t="shared" ref="F8042" si="8034">LEFT(A8042, LEN(A8042) - 1)</f>
        <v>&gt;4019:TTGTAG:8.00:33.33:OK:6:1822.24</v>
      </c>
    </row>
    <row r="8043" spans="1:6" x14ac:dyDescent="0.3">
      <c r="A8043" t="s">
        <v>4025</v>
      </c>
      <c r="F8043" t="str">
        <f t="shared" ref="F8043" si="8035">A8043</f>
        <v>TTGTAG</v>
      </c>
    </row>
    <row r="8044" spans="1:6" x14ac:dyDescent="0.3">
      <c r="A8044" t="s">
        <v>8122</v>
      </c>
      <c r="F8044" t="str">
        <f t="shared" ref="F8044" si="8036">LEFT(A8044, LEN(A8044) - 1)</f>
        <v>&gt;4020:TTGTAT:2.00:16.67:OK:6:1797.22</v>
      </c>
    </row>
    <row r="8045" spans="1:6" x14ac:dyDescent="0.3">
      <c r="A8045" t="s">
        <v>4026</v>
      </c>
      <c r="F8045" t="str">
        <f t="shared" ref="F8045" si="8037">A8045</f>
        <v>TTGTAT</v>
      </c>
    </row>
    <row r="8046" spans="1:6" x14ac:dyDescent="0.3">
      <c r="A8046" t="s">
        <v>8123</v>
      </c>
      <c r="F8046" t="str">
        <f t="shared" ref="F8046" si="8038">LEFT(A8046, LEN(A8046) - 1)</f>
        <v>&gt;4021:TTGTCA:8.00:33.33:OK:6:1782.21</v>
      </c>
    </row>
    <row r="8047" spans="1:6" x14ac:dyDescent="0.3">
      <c r="A8047" t="s">
        <v>4027</v>
      </c>
      <c r="F8047" t="str">
        <f t="shared" ref="F8047" si="8039">A8047</f>
        <v>TTGTCA</v>
      </c>
    </row>
    <row r="8048" spans="1:6" x14ac:dyDescent="0.3">
      <c r="A8048" t="s">
        <v>8124</v>
      </c>
      <c r="F8048" t="str">
        <f t="shared" ref="F8048" si="8040">LEFT(A8048, LEN(A8048) - 1)</f>
        <v>&gt;4022:TTGTCC:6.00:50.00:Warning:6:1758.18</v>
      </c>
    </row>
    <row r="8049" spans="1:6" x14ac:dyDescent="0.3">
      <c r="A8049" t="s">
        <v>4028</v>
      </c>
      <c r="F8049" t="str">
        <f t="shared" ref="F8049" si="8041">A8049</f>
        <v>TTGTCC</v>
      </c>
    </row>
    <row r="8050" spans="1:6" x14ac:dyDescent="0.3">
      <c r="A8050" t="s">
        <v>8125</v>
      </c>
      <c r="F8050" t="str">
        <f t="shared" ref="F8050" si="8042">LEFT(A8050, LEN(A8050) - 1)</f>
        <v>&gt;4023:TTGTCG:6.00:50.00:Warning:6:1798.21</v>
      </c>
    </row>
    <row r="8051" spans="1:6" x14ac:dyDescent="0.3">
      <c r="A8051" t="s">
        <v>4029</v>
      </c>
      <c r="F8051" t="str">
        <f t="shared" ref="F8051" si="8043">A8051</f>
        <v>TTGTCG</v>
      </c>
    </row>
    <row r="8052" spans="1:6" x14ac:dyDescent="0.3">
      <c r="A8052" t="s">
        <v>8126</v>
      </c>
      <c r="F8052" t="str">
        <f t="shared" ref="F8052" si="8044">LEFT(A8052, LEN(A8052) - 1)</f>
        <v>&gt;4024:TTGTCT:0.00:33.33:OK:6:1773.19</v>
      </c>
    </row>
    <row r="8053" spans="1:6" x14ac:dyDescent="0.3">
      <c r="A8053" t="s">
        <v>4030</v>
      </c>
      <c r="F8053" t="str">
        <f t="shared" ref="F8053" si="8045">A8053</f>
        <v>TTGTCT</v>
      </c>
    </row>
    <row r="8054" spans="1:6" x14ac:dyDescent="0.3">
      <c r="A8054" t="s">
        <v>8127</v>
      </c>
      <c r="F8054" t="str">
        <f t="shared" ref="F8054" si="8046">LEFT(A8054, LEN(A8054) - 1)</f>
        <v>&gt;4025:TTGTGA:8.00:33.33:OK:6:1822.24</v>
      </c>
    </row>
    <row r="8055" spans="1:6" x14ac:dyDescent="0.3">
      <c r="A8055" t="s">
        <v>4031</v>
      </c>
      <c r="F8055" t="str">
        <f t="shared" ref="F8055" si="8047">A8055</f>
        <v>TTGTGA</v>
      </c>
    </row>
    <row r="8056" spans="1:6" x14ac:dyDescent="0.3">
      <c r="A8056" t="s">
        <v>8128</v>
      </c>
      <c r="F8056" t="str">
        <f t="shared" ref="F8056" si="8048">LEFT(A8056, LEN(A8056) - 1)</f>
        <v>&gt;4026:TTGTGC:6.00:50.00:Warning:6:1798.21</v>
      </c>
    </row>
    <row r="8057" spans="1:6" x14ac:dyDescent="0.3">
      <c r="A8057" t="s">
        <v>4032</v>
      </c>
      <c r="F8057" t="str">
        <f t="shared" ref="F8057" si="8049">A8057</f>
        <v>TTGTGC</v>
      </c>
    </row>
    <row r="8058" spans="1:6" x14ac:dyDescent="0.3">
      <c r="A8058" t="s">
        <v>8129</v>
      </c>
      <c r="F8058" t="str">
        <f t="shared" ref="F8058" si="8050">LEFT(A8058, LEN(A8058) - 1)</f>
        <v>&gt;4027:TTGTGG:6.00:50.00:Warning:6:1838.24</v>
      </c>
    </row>
    <row r="8059" spans="1:6" x14ac:dyDescent="0.3">
      <c r="A8059" t="s">
        <v>4033</v>
      </c>
      <c r="F8059" t="str">
        <f t="shared" ref="F8059" si="8051">A8059</f>
        <v>TTGTGG</v>
      </c>
    </row>
    <row r="8060" spans="1:6" x14ac:dyDescent="0.3">
      <c r="A8060" t="s">
        <v>8130</v>
      </c>
      <c r="F8060" t="str">
        <f t="shared" ref="F8060" si="8052">LEFT(A8060, LEN(A8060) - 1)</f>
        <v>&gt;4028:TTGTGT:0.00:33.33:OK:6:1813.22</v>
      </c>
    </row>
    <row r="8061" spans="1:6" x14ac:dyDescent="0.3">
      <c r="A8061" t="s">
        <v>4034</v>
      </c>
      <c r="F8061" t="str">
        <f t="shared" ref="F8061" si="8053">A8061</f>
        <v>TTGTGT</v>
      </c>
    </row>
    <row r="8062" spans="1:6" x14ac:dyDescent="0.3">
      <c r="A8062" t="s">
        <v>8131</v>
      </c>
      <c r="F8062" t="str">
        <f t="shared" ref="F8062" si="8054">LEFT(A8062, LEN(A8062) - 1)</f>
        <v>&gt;4029:TTGTTA:2.00:16.67:OK:6:1797.22</v>
      </c>
    </row>
    <row r="8063" spans="1:6" x14ac:dyDescent="0.3">
      <c r="A8063" t="s">
        <v>4035</v>
      </c>
      <c r="F8063" t="str">
        <f t="shared" ref="F8063" si="8055">A8063</f>
        <v>TTGTTA</v>
      </c>
    </row>
    <row r="8064" spans="1:6" x14ac:dyDescent="0.3">
      <c r="A8064" t="s">
        <v>8132</v>
      </c>
      <c r="F8064" t="str">
        <f t="shared" ref="F8064" si="8056">LEFT(A8064, LEN(A8064) - 1)</f>
        <v>&gt;4030:TTGTTC:0.00:33.33:OK:6:1773.19</v>
      </c>
    </row>
    <row r="8065" spans="1:6" x14ac:dyDescent="0.3">
      <c r="A8065" t="s">
        <v>4036</v>
      </c>
      <c r="F8065" t="str">
        <f t="shared" ref="F8065" si="8057">A8065</f>
        <v>TTGTTC</v>
      </c>
    </row>
    <row r="8066" spans="1:6" x14ac:dyDescent="0.3">
      <c r="A8066" t="s">
        <v>8133</v>
      </c>
      <c r="F8066" t="str">
        <f t="shared" ref="F8066" si="8058">LEFT(A8066, LEN(A8066) - 1)</f>
        <v>&gt;4031:TTGTTG:0.00:33.33:OK:6:1813.22</v>
      </c>
    </row>
    <row r="8067" spans="1:6" x14ac:dyDescent="0.3">
      <c r="A8067" t="s">
        <v>4037</v>
      </c>
      <c r="F8067" t="str">
        <f t="shared" ref="F8067" si="8059">A8067</f>
        <v>TTGTTG</v>
      </c>
    </row>
    <row r="8068" spans="1:6" x14ac:dyDescent="0.3">
      <c r="A8068" t="s">
        <v>8134</v>
      </c>
      <c r="F8068" t="str">
        <f t="shared" ref="F8068" si="8060">LEFT(A8068, LEN(A8068) - 1)</f>
        <v>&gt;4032:TTGTTT:-6.00:16.67:OK:6:1788.20</v>
      </c>
    </row>
    <row r="8069" spans="1:6" x14ac:dyDescent="0.3">
      <c r="A8069" t="s">
        <v>4038</v>
      </c>
      <c r="F8069" t="str">
        <f t="shared" ref="F8069" si="8061">A8069</f>
        <v>TTGTTT</v>
      </c>
    </row>
    <row r="8070" spans="1:6" x14ac:dyDescent="0.3">
      <c r="A8070" t="s">
        <v>8135</v>
      </c>
      <c r="F8070" t="str">
        <f t="shared" ref="F8070" si="8062">LEFT(A8070, LEN(A8070) - 1)</f>
        <v>&gt;4033:TTTAAA:12.00:0.00:OK:6:1790.24</v>
      </c>
    </row>
    <row r="8071" spans="1:6" x14ac:dyDescent="0.3">
      <c r="A8071" t="s">
        <v>4039</v>
      </c>
      <c r="F8071" t="str">
        <f t="shared" ref="F8071" si="8063">A8071</f>
        <v>TTTAAA</v>
      </c>
    </row>
    <row r="8072" spans="1:6" x14ac:dyDescent="0.3">
      <c r="A8072" t="s">
        <v>8136</v>
      </c>
      <c r="F8072" t="str">
        <f t="shared" ref="F8072" si="8064">LEFT(A8072, LEN(A8072) - 1)</f>
        <v>&gt;4034:TTTAAC:10.00:16.67:OK:6:1766.21</v>
      </c>
    </row>
    <row r="8073" spans="1:6" x14ac:dyDescent="0.3">
      <c r="A8073" t="s">
        <v>4040</v>
      </c>
      <c r="F8073" t="str">
        <f t="shared" ref="F8073" si="8065">A8073</f>
        <v>TTTAAC</v>
      </c>
    </row>
    <row r="8074" spans="1:6" x14ac:dyDescent="0.3">
      <c r="A8074" t="s">
        <v>8137</v>
      </c>
      <c r="F8074" t="str">
        <f t="shared" ref="F8074" si="8066">LEFT(A8074, LEN(A8074) - 1)</f>
        <v>&gt;4035:TTTAAG:10.00:16.67:OK:6:1806.24</v>
      </c>
    </row>
    <row r="8075" spans="1:6" x14ac:dyDescent="0.3">
      <c r="A8075" t="s">
        <v>4041</v>
      </c>
      <c r="F8075" t="str">
        <f t="shared" ref="F8075" si="8067">A8075</f>
        <v>TTTAAG</v>
      </c>
    </row>
    <row r="8076" spans="1:6" x14ac:dyDescent="0.3">
      <c r="A8076" t="s">
        <v>8138</v>
      </c>
      <c r="F8076" t="str">
        <f t="shared" ref="F8076" si="8068">LEFT(A8076, LEN(A8076) - 1)</f>
        <v>&gt;4036:TTTAAT:4.00:0.00:OK:6:1781.22</v>
      </c>
    </row>
    <row r="8077" spans="1:6" x14ac:dyDescent="0.3">
      <c r="A8077" t="s">
        <v>4042</v>
      </c>
      <c r="F8077" t="str">
        <f t="shared" ref="F8077" si="8069">A8077</f>
        <v>TTTAAT</v>
      </c>
    </row>
    <row r="8078" spans="1:6" x14ac:dyDescent="0.3">
      <c r="A8078" t="s">
        <v>8139</v>
      </c>
      <c r="F8078" t="str">
        <f t="shared" ref="F8078" si="8070">LEFT(A8078, LEN(A8078) - 1)</f>
        <v>&gt;4037:TTTACA:10.00:16.67:OK:6:1766.21</v>
      </c>
    </row>
    <row r="8079" spans="1:6" x14ac:dyDescent="0.3">
      <c r="A8079" t="s">
        <v>4043</v>
      </c>
      <c r="F8079" t="str">
        <f t="shared" ref="F8079" si="8071">A8079</f>
        <v>TTTACA</v>
      </c>
    </row>
    <row r="8080" spans="1:6" x14ac:dyDescent="0.3">
      <c r="A8080" t="s">
        <v>8140</v>
      </c>
      <c r="F8080" t="str">
        <f t="shared" ref="F8080" si="8072">LEFT(A8080, LEN(A8080) - 1)</f>
        <v>&gt;4038:TTTACC:8.00:33.33:OK:6:1742.18</v>
      </c>
    </row>
    <row r="8081" spans="1:6" x14ac:dyDescent="0.3">
      <c r="A8081" t="s">
        <v>4044</v>
      </c>
      <c r="F8081" t="str">
        <f t="shared" ref="F8081" si="8073">A8081</f>
        <v>TTTACC</v>
      </c>
    </row>
    <row r="8082" spans="1:6" x14ac:dyDescent="0.3">
      <c r="A8082" t="s">
        <v>8141</v>
      </c>
      <c r="F8082" t="str">
        <f t="shared" ref="F8082" si="8074">LEFT(A8082, LEN(A8082) - 1)</f>
        <v>&gt;4039:TTTACG:8.00:33.33:OK:6:1782.21</v>
      </c>
    </row>
    <row r="8083" spans="1:6" x14ac:dyDescent="0.3">
      <c r="A8083" t="s">
        <v>4045</v>
      </c>
      <c r="F8083" t="str">
        <f t="shared" ref="F8083" si="8075">A8083</f>
        <v>TTTACG</v>
      </c>
    </row>
    <row r="8084" spans="1:6" x14ac:dyDescent="0.3">
      <c r="A8084" t="s">
        <v>8142</v>
      </c>
      <c r="F8084" t="str">
        <f t="shared" ref="F8084" si="8076">LEFT(A8084, LEN(A8084) - 1)</f>
        <v>&gt;4040:TTTACT:2.00:16.67:OK:6:1757.19</v>
      </c>
    </row>
    <row r="8085" spans="1:6" x14ac:dyDescent="0.3">
      <c r="A8085" t="s">
        <v>4046</v>
      </c>
      <c r="F8085" t="str">
        <f t="shared" ref="F8085" si="8077">A8085</f>
        <v>TTTACT</v>
      </c>
    </row>
    <row r="8086" spans="1:6" x14ac:dyDescent="0.3">
      <c r="A8086" t="s">
        <v>8143</v>
      </c>
      <c r="F8086" t="str">
        <f t="shared" ref="F8086" si="8078">LEFT(A8086, LEN(A8086) - 1)</f>
        <v>&gt;4041:TTTAGA:10.00:16.67:OK:6:1806.24</v>
      </c>
    </row>
    <row r="8087" spans="1:6" x14ac:dyDescent="0.3">
      <c r="A8087" t="s">
        <v>4047</v>
      </c>
      <c r="F8087" t="str">
        <f t="shared" ref="F8087" si="8079">A8087</f>
        <v>TTTAGA</v>
      </c>
    </row>
    <row r="8088" spans="1:6" x14ac:dyDescent="0.3">
      <c r="A8088" t="s">
        <v>8144</v>
      </c>
      <c r="F8088" t="str">
        <f t="shared" ref="F8088" si="8080">LEFT(A8088, LEN(A8088) - 1)</f>
        <v>&gt;4042:TTTAGC:8.00:33.33:OK:6:1782.21</v>
      </c>
    </row>
    <row r="8089" spans="1:6" x14ac:dyDescent="0.3">
      <c r="A8089" t="s">
        <v>4048</v>
      </c>
      <c r="F8089" t="str">
        <f t="shared" ref="F8089" si="8081">A8089</f>
        <v>TTTAGC</v>
      </c>
    </row>
    <row r="8090" spans="1:6" x14ac:dyDescent="0.3">
      <c r="A8090" t="s">
        <v>8145</v>
      </c>
      <c r="F8090" t="str">
        <f t="shared" ref="F8090" si="8082">LEFT(A8090, LEN(A8090) - 1)</f>
        <v>&gt;4043:TTTAGG:8.00:33.33:OK:6:1822.24</v>
      </c>
    </row>
    <row r="8091" spans="1:6" x14ac:dyDescent="0.3">
      <c r="A8091" t="s">
        <v>4049</v>
      </c>
      <c r="F8091" t="str">
        <f t="shared" ref="F8091" si="8083">A8091</f>
        <v>TTTAGG</v>
      </c>
    </row>
    <row r="8092" spans="1:6" x14ac:dyDescent="0.3">
      <c r="A8092" t="s">
        <v>8146</v>
      </c>
      <c r="F8092" t="str">
        <f t="shared" ref="F8092" si="8084">LEFT(A8092, LEN(A8092) - 1)</f>
        <v>&gt;4044:TTTAGT:2.00:16.67:OK:6:1797.22</v>
      </c>
    </row>
    <row r="8093" spans="1:6" x14ac:dyDescent="0.3">
      <c r="A8093" t="s">
        <v>4050</v>
      </c>
      <c r="F8093" t="str">
        <f t="shared" ref="F8093" si="8085">A8093</f>
        <v>TTTAGT</v>
      </c>
    </row>
    <row r="8094" spans="1:6" x14ac:dyDescent="0.3">
      <c r="A8094" t="s">
        <v>8147</v>
      </c>
      <c r="F8094" t="str">
        <f t="shared" ref="F8094" si="8086">LEFT(A8094, LEN(A8094) - 1)</f>
        <v>&gt;4045:TTTATA:4.00:0.00:OK:6:1781.22</v>
      </c>
    </row>
    <row r="8095" spans="1:6" x14ac:dyDescent="0.3">
      <c r="A8095" t="s">
        <v>4051</v>
      </c>
      <c r="F8095" t="str">
        <f t="shared" ref="F8095" si="8087">A8095</f>
        <v>TTTATA</v>
      </c>
    </row>
    <row r="8096" spans="1:6" x14ac:dyDescent="0.3">
      <c r="A8096" t="s">
        <v>8148</v>
      </c>
      <c r="F8096" t="str">
        <f t="shared" ref="F8096" si="8088">LEFT(A8096, LEN(A8096) - 1)</f>
        <v>&gt;4046:TTTATC:2.00:16.67:OK:6:1757.19</v>
      </c>
    </row>
    <row r="8097" spans="1:6" x14ac:dyDescent="0.3">
      <c r="A8097" t="s">
        <v>4052</v>
      </c>
      <c r="F8097" t="str">
        <f t="shared" ref="F8097" si="8089">A8097</f>
        <v>TTTATC</v>
      </c>
    </row>
    <row r="8098" spans="1:6" x14ac:dyDescent="0.3">
      <c r="A8098" t="s">
        <v>8149</v>
      </c>
      <c r="F8098" t="str">
        <f t="shared" ref="F8098" si="8090">LEFT(A8098, LEN(A8098) - 1)</f>
        <v>&gt;4047:TTTATG:2.00:16.67:OK:6:1797.22</v>
      </c>
    </row>
    <row r="8099" spans="1:6" x14ac:dyDescent="0.3">
      <c r="A8099" t="s">
        <v>4053</v>
      </c>
      <c r="F8099" t="str">
        <f t="shared" ref="F8099" si="8091">A8099</f>
        <v>TTTATG</v>
      </c>
    </row>
    <row r="8100" spans="1:6" x14ac:dyDescent="0.3">
      <c r="A8100" t="s">
        <v>8150</v>
      </c>
      <c r="F8100" t="str">
        <f t="shared" ref="F8100" si="8092">LEFT(A8100, LEN(A8100) - 1)</f>
        <v>&gt;4048:TTTATT:-4.00:0.00:OK:6:1772.20</v>
      </c>
    </row>
    <row r="8101" spans="1:6" x14ac:dyDescent="0.3">
      <c r="A8101" t="s">
        <v>4054</v>
      </c>
      <c r="F8101" t="str">
        <f t="shared" ref="F8101" si="8093">A8101</f>
        <v>TTTATT</v>
      </c>
    </row>
    <row r="8102" spans="1:6" x14ac:dyDescent="0.3">
      <c r="A8102" t="s">
        <v>8151</v>
      </c>
      <c r="F8102" t="str">
        <f t="shared" ref="F8102" si="8094">LEFT(A8102, LEN(A8102) - 1)</f>
        <v>&gt;4049:TTTCAA:10.00:16.67:OK:6:1766.21</v>
      </c>
    </row>
    <row r="8103" spans="1:6" x14ac:dyDescent="0.3">
      <c r="A8103" t="s">
        <v>4055</v>
      </c>
      <c r="F8103" t="str">
        <f t="shared" ref="F8103" si="8095">A8103</f>
        <v>TTTCAA</v>
      </c>
    </row>
    <row r="8104" spans="1:6" x14ac:dyDescent="0.3">
      <c r="A8104" t="s">
        <v>8152</v>
      </c>
      <c r="F8104" t="str">
        <f t="shared" ref="F8104" si="8096">LEFT(A8104, LEN(A8104) - 1)</f>
        <v>&gt;4050:TTTCAC:8.00:33.33:OK:6:1742.18</v>
      </c>
    </row>
    <row r="8105" spans="1:6" x14ac:dyDescent="0.3">
      <c r="A8105" t="s">
        <v>4056</v>
      </c>
      <c r="F8105" t="str">
        <f t="shared" ref="F8105" si="8097">A8105</f>
        <v>TTTCAC</v>
      </c>
    </row>
    <row r="8106" spans="1:6" x14ac:dyDescent="0.3">
      <c r="A8106" t="s">
        <v>8153</v>
      </c>
      <c r="F8106" t="str">
        <f t="shared" ref="F8106" si="8098">LEFT(A8106, LEN(A8106) - 1)</f>
        <v>&gt;4051:TTTCAG:8.00:33.33:OK:6:1782.21</v>
      </c>
    </row>
    <row r="8107" spans="1:6" x14ac:dyDescent="0.3">
      <c r="A8107" t="s">
        <v>4057</v>
      </c>
      <c r="F8107" t="str">
        <f t="shared" ref="F8107" si="8099">A8107</f>
        <v>TTTCAG</v>
      </c>
    </row>
    <row r="8108" spans="1:6" x14ac:dyDescent="0.3">
      <c r="A8108" t="s">
        <v>8154</v>
      </c>
      <c r="F8108" t="str">
        <f t="shared" ref="F8108" si="8100">LEFT(A8108, LEN(A8108) - 1)</f>
        <v>&gt;4052:TTTCAT:2.00:16.67:OK:6:1757.19</v>
      </c>
    </row>
    <row r="8109" spans="1:6" x14ac:dyDescent="0.3">
      <c r="A8109" t="s">
        <v>4058</v>
      </c>
      <c r="F8109" t="str">
        <f t="shared" ref="F8109" si="8101">A8109</f>
        <v>TTTCAT</v>
      </c>
    </row>
    <row r="8110" spans="1:6" x14ac:dyDescent="0.3">
      <c r="A8110" t="s">
        <v>8155</v>
      </c>
      <c r="F8110" t="str">
        <f t="shared" ref="F8110" si="8102">LEFT(A8110, LEN(A8110) - 1)</f>
        <v>&gt;4053:TTTCCA:8.00:33.33:OK:6:1742.18</v>
      </c>
    </row>
    <row r="8111" spans="1:6" x14ac:dyDescent="0.3">
      <c r="A8111" t="s">
        <v>4059</v>
      </c>
      <c r="F8111" t="str">
        <f t="shared" ref="F8111" si="8103">A8111</f>
        <v>TTTCCA</v>
      </c>
    </row>
    <row r="8112" spans="1:6" x14ac:dyDescent="0.3">
      <c r="A8112" t="s">
        <v>8156</v>
      </c>
      <c r="F8112" t="str">
        <f t="shared" ref="F8112" si="8104">LEFT(A8112, LEN(A8112) - 1)</f>
        <v>&gt;4054:TTTCCC:6.00:50.00:Warning:6:1718.15</v>
      </c>
    </row>
    <row r="8113" spans="1:6" x14ac:dyDescent="0.3">
      <c r="A8113" t="s">
        <v>4060</v>
      </c>
      <c r="F8113" t="str">
        <f t="shared" ref="F8113" si="8105">A8113</f>
        <v>TTTCCC</v>
      </c>
    </row>
    <row r="8114" spans="1:6" x14ac:dyDescent="0.3">
      <c r="A8114" t="s">
        <v>8157</v>
      </c>
      <c r="F8114" t="str">
        <f t="shared" ref="F8114" si="8106">LEFT(A8114, LEN(A8114) - 1)</f>
        <v>&gt;4055:TTTCCG:6.00:50.00:Warning:6:1758.18</v>
      </c>
    </row>
    <row r="8115" spans="1:6" x14ac:dyDescent="0.3">
      <c r="A8115" t="s">
        <v>4061</v>
      </c>
      <c r="F8115" t="str">
        <f t="shared" ref="F8115" si="8107">A8115</f>
        <v>TTTCCG</v>
      </c>
    </row>
    <row r="8116" spans="1:6" x14ac:dyDescent="0.3">
      <c r="A8116" t="s">
        <v>8158</v>
      </c>
      <c r="F8116" t="str">
        <f t="shared" ref="F8116" si="8108">LEFT(A8116, LEN(A8116) - 1)</f>
        <v>&gt;4056:TTTCCT:0.00:33.33:OK:6:1733.16</v>
      </c>
    </row>
    <row r="8117" spans="1:6" x14ac:dyDescent="0.3">
      <c r="A8117" t="s">
        <v>4062</v>
      </c>
      <c r="F8117" t="str">
        <f t="shared" ref="F8117" si="8109">A8117</f>
        <v>TTTCCT</v>
      </c>
    </row>
    <row r="8118" spans="1:6" x14ac:dyDescent="0.3">
      <c r="A8118" t="s">
        <v>8159</v>
      </c>
      <c r="F8118" t="str">
        <f t="shared" ref="F8118" si="8110">LEFT(A8118, LEN(A8118) - 1)</f>
        <v>&gt;4057:TTTCGA:8.00:33.33:OK:6:1782.21</v>
      </c>
    </row>
    <row r="8119" spans="1:6" x14ac:dyDescent="0.3">
      <c r="A8119" t="s">
        <v>4063</v>
      </c>
      <c r="F8119" t="str">
        <f t="shared" ref="F8119" si="8111">A8119</f>
        <v>TTTCGA</v>
      </c>
    </row>
    <row r="8120" spans="1:6" x14ac:dyDescent="0.3">
      <c r="A8120" t="s">
        <v>8160</v>
      </c>
      <c r="F8120" t="str">
        <f t="shared" ref="F8120" si="8112">LEFT(A8120, LEN(A8120) - 1)</f>
        <v>&gt;4058:TTTCGC:6.00:50.00:Warning:6:1758.18</v>
      </c>
    </row>
    <row r="8121" spans="1:6" x14ac:dyDescent="0.3">
      <c r="A8121" t="s">
        <v>4064</v>
      </c>
      <c r="F8121" t="str">
        <f t="shared" ref="F8121" si="8113">A8121</f>
        <v>TTTCGC</v>
      </c>
    </row>
    <row r="8122" spans="1:6" x14ac:dyDescent="0.3">
      <c r="A8122" t="s">
        <v>8161</v>
      </c>
      <c r="F8122" t="str">
        <f t="shared" ref="F8122" si="8114">LEFT(A8122, LEN(A8122) - 1)</f>
        <v>&gt;4059:TTTCGG:6.00:50.00:Warning:6:1798.21</v>
      </c>
    </row>
    <row r="8123" spans="1:6" x14ac:dyDescent="0.3">
      <c r="A8123" t="s">
        <v>4065</v>
      </c>
      <c r="F8123" t="str">
        <f t="shared" ref="F8123" si="8115">A8123</f>
        <v>TTTCGG</v>
      </c>
    </row>
    <row r="8124" spans="1:6" x14ac:dyDescent="0.3">
      <c r="A8124" t="s">
        <v>8162</v>
      </c>
      <c r="F8124" t="str">
        <f t="shared" ref="F8124" si="8116">LEFT(A8124, LEN(A8124) - 1)</f>
        <v>&gt;4060:TTTCGT:0.00:33.33:OK:6:1773.19</v>
      </c>
    </row>
    <row r="8125" spans="1:6" x14ac:dyDescent="0.3">
      <c r="A8125" t="s">
        <v>4066</v>
      </c>
      <c r="F8125" t="str">
        <f t="shared" ref="F8125" si="8117">A8125</f>
        <v>TTTCGT</v>
      </c>
    </row>
    <row r="8126" spans="1:6" x14ac:dyDescent="0.3">
      <c r="A8126" t="s">
        <v>8163</v>
      </c>
      <c r="F8126" t="str">
        <f t="shared" ref="F8126" si="8118">LEFT(A8126, LEN(A8126) - 1)</f>
        <v>&gt;4061:TTTCTA:2.00:16.67:OK:6:1757.19</v>
      </c>
    </row>
    <row r="8127" spans="1:6" x14ac:dyDescent="0.3">
      <c r="A8127" t="s">
        <v>4067</v>
      </c>
      <c r="F8127" t="str">
        <f t="shared" ref="F8127" si="8119">A8127</f>
        <v>TTTCTA</v>
      </c>
    </row>
    <row r="8128" spans="1:6" x14ac:dyDescent="0.3">
      <c r="A8128" t="s">
        <v>8164</v>
      </c>
      <c r="F8128" t="str">
        <f t="shared" ref="F8128" si="8120">LEFT(A8128, LEN(A8128) - 1)</f>
        <v>&gt;4062:TTTCTC:0.00:33.33:OK:6:1733.16</v>
      </c>
    </row>
    <row r="8129" spans="1:6" x14ac:dyDescent="0.3">
      <c r="A8129" t="s">
        <v>4068</v>
      </c>
      <c r="F8129" t="str">
        <f t="shared" ref="F8129" si="8121">A8129</f>
        <v>TTTCTC</v>
      </c>
    </row>
    <row r="8130" spans="1:6" x14ac:dyDescent="0.3">
      <c r="A8130" t="s">
        <v>8165</v>
      </c>
      <c r="F8130" t="str">
        <f t="shared" ref="F8130" si="8122">LEFT(A8130, LEN(A8130) - 1)</f>
        <v>&gt;4063:TTTCTG:0.00:33.33:OK:6:1773.19</v>
      </c>
    </row>
    <row r="8131" spans="1:6" x14ac:dyDescent="0.3">
      <c r="A8131" t="s">
        <v>4069</v>
      </c>
      <c r="F8131" t="str">
        <f t="shared" ref="F8131" si="8123">A8131</f>
        <v>TTTCTG</v>
      </c>
    </row>
    <row r="8132" spans="1:6" x14ac:dyDescent="0.3">
      <c r="A8132" t="s">
        <v>8166</v>
      </c>
      <c r="F8132" t="str">
        <f t="shared" ref="F8132" si="8124">LEFT(A8132, LEN(A8132) - 1)</f>
        <v>&gt;4064:TTTCTT:-6.00:16.67:OK:6:1748.17</v>
      </c>
    </row>
    <row r="8133" spans="1:6" x14ac:dyDescent="0.3">
      <c r="A8133" t="s">
        <v>4070</v>
      </c>
      <c r="F8133" t="str">
        <f t="shared" ref="F8133" si="8125">A8133</f>
        <v>TTTCTT</v>
      </c>
    </row>
    <row r="8134" spans="1:6" x14ac:dyDescent="0.3">
      <c r="A8134" t="s">
        <v>8167</v>
      </c>
      <c r="F8134" t="str">
        <f t="shared" ref="F8134" si="8126">LEFT(A8134, LEN(A8134) - 1)</f>
        <v>&gt;4065:TTTGAA:10.00:16.67:OK:6:1806.24</v>
      </c>
    </row>
    <row r="8135" spans="1:6" x14ac:dyDescent="0.3">
      <c r="A8135" t="s">
        <v>4071</v>
      </c>
      <c r="F8135" t="str">
        <f t="shared" ref="F8135" si="8127">A8135</f>
        <v>TTTGAA</v>
      </c>
    </row>
    <row r="8136" spans="1:6" x14ac:dyDescent="0.3">
      <c r="A8136" t="s">
        <v>8168</v>
      </c>
      <c r="F8136" t="str">
        <f t="shared" ref="F8136" si="8128">LEFT(A8136, LEN(A8136) - 1)</f>
        <v>&gt;4066:TTTGAC:8.00:33.33:OK:6:1782.21</v>
      </c>
    </row>
    <row r="8137" spans="1:6" x14ac:dyDescent="0.3">
      <c r="A8137" t="s">
        <v>4072</v>
      </c>
      <c r="F8137" t="str">
        <f t="shared" ref="F8137" si="8129">A8137</f>
        <v>TTTGAC</v>
      </c>
    </row>
    <row r="8138" spans="1:6" x14ac:dyDescent="0.3">
      <c r="A8138" t="s">
        <v>8169</v>
      </c>
      <c r="F8138" t="str">
        <f t="shared" ref="F8138" si="8130">LEFT(A8138, LEN(A8138) - 1)</f>
        <v>&gt;4067:TTTGAG:8.00:33.33:OK:6:1822.24</v>
      </c>
    </row>
    <row r="8139" spans="1:6" x14ac:dyDescent="0.3">
      <c r="A8139" t="s">
        <v>4073</v>
      </c>
      <c r="F8139" t="str">
        <f t="shared" ref="F8139" si="8131">A8139</f>
        <v>TTTGAG</v>
      </c>
    </row>
    <row r="8140" spans="1:6" x14ac:dyDescent="0.3">
      <c r="A8140" t="s">
        <v>8170</v>
      </c>
      <c r="F8140" t="str">
        <f t="shared" ref="F8140" si="8132">LEFT(A8140, LEN(A8140) - 1)</f>
        <v>&gt;4068:TTTGAT:2.00:16.67:OK:6:1797.22</v>
      </c>
    </row>
    <row r="8141" spans="1:6" x14ac:dyDescent="0.3">
      <c r="A8141" t="s">
        <v>4074</v>
      </c>
      <c r="F8141" t="str">
        <f t="shared" ref="F8141" si="8133">A8141</f>
        <v>TTTGAT</v>
      </c>
    </row>
    <row r="8142" spans="1:6" x14ac:dyDescent="0.3">
      <c r="A8142" t="s">
        <v>8171</v>
      </c>
      <c r="F8142" t="str">
        <f t="shared" ref="F8142" si="8134">LEFT(A8142, LEN(A8142) - 1)</f>
        <v>&gt;4069:TTTGCA:8.00:33.33:OK:6:1782.21</v>
      </c>
    </row>
    <row r="8143" spans="1:6" x14ac:dyDescent="0.3">
      <c r="A8143" t="s">
        <v>4075</v>
      </c>
      <c r="F8143" t="str">
        <f t="shared" ref="F8143" si="8135">A8143</f>
        <v>TTTGCA</v>
      </c>
    </row>
    <row r="8144" spans="1:6" x14ac:dyDescent="0.3">
      <c r="A8144" t="s">
        <v>8172</v>
      </c>
      <c r="F8144" t="str">
        <f t="shared" ref="F8144" si="8136">LEFT(A8144, LEN(A8144) - 1)</f>
        <v>&gt;4070:TTTGCC:6.00:50.00:Warning:6:1758.18</v>
      </c>
    </row>
    <row r="8145" spans="1:6" x14ac:dyDescent="0.3">
      <c r="A8145" t="s">
        <v>4076</v>
      </c>
      <c r="F8145" t="str">
        <f t="shared" ref="F8145" si="8137">A8145</f>
        <v>TTTGCC</v>
      </c>
    </row>
    <row r="8146" spans="1:6" x14ac:dyDescent="0.3">
      <c r="A8146" t="s">
        <v>8173</v>
      </c>
      <c r="F8146" t="str">
        <f t="shared" ref="F8146" si="8138">LEFT(A8146, LEN(A8146) - 1)</f>
        <v>&gt;4071:TTTGCG:6.00:50.00:Warning:6:1798.21</v>
      </c>
    </row>
    <row r="8147" spans="1:6" x14ac:dyDescent="0.3">
      <c r="A8147" t="s">
        <v>4077</v>
      </c>
      <c r="F8147" t="str">
        <f t="shared" ref="F8147" si="8139">A8147</f>
        <v>TTTGCG</v>
      </c>
    </row>
    <row r="8148" spans="1:6" x14ac:dyDescent="0.3">
      <c r="A8148" t="s">
        <v>8174</v>
      </c>
      <c r="F8148" t="str">
        <f t="shared" ref="F8148" si="8140">LEFT(A8148, LEN(A8148) - 1)</f>
        <v>&gt;4072:TTTGCT:0.00:33.33:OK:6:1773.19</v>
      </c>
    </row>
    <row r="8149" spans="1:6" x14ac:dyDescent="0.3">
      <c r="A8149" t="s">
        <v>4078</v>
      </c>
      <c r="F8149" t="str">
        <f t="shared" ref="F8149" si="8141">A8149</f>
        <v>TTTGCT</v>
      </c>
    </row>
    <row r="8150" spans="1:6" x14ac:dyDescent="0.3">
      <c r="A8150" t="s">
        <v>8175</v>
      </c>
      <c r="F8150" t="str">
        <f t="shared" ref="F8150" si="8142">LEFT(A8150, LEN(A8150) - 1)</f>
        <v>&gt;4073:TTTGGA:8.00:33.33:OK:6:1822.24</v>
      </c>
    </row>
    <row r="8151" spans="1:6" x14ac:dyDescent="0.3">
      <c r="A8151" t="s">
        <v>4079</v>
      </c>
      <c r="F8151" t="str">
        <f t="shared" ref="F8151" si="8143">A8151</f>
        <v>TTTGGA</v>
      </c>
    </row>
    <row r="8152" spans="1:6" x14ac:dyDescent="0.3">
      <c r="A8152" t="s">
        <v>8176</v>
      </c>
      <c r="F8152" t="str">
        <f t="shared" ref="F8152" si="8144">LEFT(A8152, LEN(A8152) - 1)</f>
        <v>&gt;4074:TTTGGC:6.00:50.00:Warning:6:1798.21</v>
      </c>
    </row>
    <row r="8153" spans="1:6" x14ac:dyDescent="0.3">
      <c r="A8153" t="s">
        <v>4080</v>
      </c>
      <c r="F8153" t="str">
        <f t="shared" ref="F8153" si="8145">A8153</f>
        <v>TTTGGC</v>
      </c>
    </row>
    <row r="8154" spans="1:6" x14ac:dyDescent="0.3">
      <c r="A8154" t="s">
        <v>8177</v>
      </c>
      <c r="F8154" t="str">
        <f t="shared" ref="F8154" si="8146">LEFT(A8154, LEN(A8154) - 1)</f>
        <v>&gt;4075:TTTGGG:6.00:50.00:Warning:6:1838.24</v>
      </c>
    </row>
    <row r="8155" spans="1:6" x14ac:dyDescent="0.3">
      <c r="A8155" t="s">
        <v>4081</v>
      </c>
      <c r="F8155" t="str">
        <f t="shared" ref="F8155" si="8147">A8155</f>
        <v>TTTGGG</v>
      </c>
    </row>
    <row r="8156" spans="1:6" x14ac:dyDescent="0.3">
      <c r="A8156" t="s">
        <v>8178</v>
      </c>
      <c r="F8156" t="str">
        <f t="shared" ref="F8156" si="8148">LEFT(A8156, LEN(A8156) - 1)</f>
        <v>&gt;4076:TTTGGT:0.00:33.33:OK:6:1813.22</v>
      </c>
    </row>
    <row r="8157" spans="1:6" x14ac:dyDescent="0.3">
      <c r="A8157" t="s">
        <v>4082</v>
      </c>
      <c r="F8157" t="str">
        <f t="shared" ref="F8157" si="8149">A8157</f>
        <v>TTTGGT</v>
      </c>
    </row>
    <row r="8158" spans="1:6" x14ac:dyDescent="0.3">
      <c r="A8158" t="s">
        <v>8179</v>
      </c>
      <c r="F8158" t="str">
        <f t="shared" ref="F8158" si="8150">LEFT(A8158, LEN(A8158) - 1)</f>
        <v>&gt;4077:TTTGTA:2.00:16.67:OK:6:1797.22</v>
      </c>
    </row>
    <row r="8159" spans="1:6" x14ac:dyDescent="0.3">
      <c r="A8159" t="s">
        <v>4083</v>
      </c>
      <c r="F8159" t="str">
        <f t="shared" ref="F8159" si="8151">A8159</f>
        <v>TTTGTA</v>
      </c>
    </row>
    <row r="8160" spans="1:6" x14ac:dyDescent="0.3">
      <c r="A8160" t="s">
        <v>8180</v>
      </c>
      <c r="F8160" t="str">
        <f t="shared" ref="F8160" si="8152">LEFT(A8160, LEN(A8160) - 1)</f>
        <v>&gt;4078:TTTGTC:0.00:33.33:OK:6:1773.19</v>
      </c>
    </row>
    <row r="8161" spans="1:6" x14ac:dyDescent="0.3">
      <c r="A8161" t="s">
        <v>4084</v>
      </c>
      <c r="F8161" t="str">
        <f t="shared" ref="F8161" si="8153">A8161</f>
        <v>TTTGTC</v>
      </c>
    </row>
    <row r="8162" spans="1:6" x14ac:dyDescent="0.3">
      <c r="A8162" t="s">
        <v>8181</v>
      </c>
      <c r="F8162" t="str">
        <f t="shared" ref="F8162" si="8154">LEFT(A8162, LEN(A8162) - 1)</f>
        <v>&gt;4079:TTTGTG:0.00:33.33:OK:6:1813.22</v>
      </c>
    </row>
    <row r="8163" spans="1:6" x14ac:dyDescent="0.3">
      <c r="A8163" t="s">
        <v>4085</v>
      </c>
      <c r="F8163" t="str">
        <f t="shared" ref="F8163" si="8155">A8163</f>
        <v>TTTGTG</v>
      </c>
    </row>
    <row r="8164" spans="1:6" x14ac:dyDescent="0.3">
      <c r="A8164" t="s">
        <v>8182</v>
      </c>
      <c r="F8164" t="str">
        <f t="shared" ref="F8164" si="8156">LEFT(A8164, LEN(A8164) - 1)</f>
        <v>&gt;4080:TTTGTT:-6.00:16.67:OK:6:1788.20</v>
      </c>
    </row>
    <row r="8165" spans="1:6" x14ac:dyDescent="0.3">
      <c r="A8165" t="s">
        <v>4086</v>
      </c>
      <c r="F8165" t="str">
        <f t="shared" ref="F8165" si="8157">A8165</f>
        <v>TTTGTT</v>
      </c>
    </row>
    <row r="8166" spans="1:6" x14ac:dyDescent="0.3">
      <c r="A8166" t="s">
        <v>8183</v>
      </c>
      <c r="F8166" t="str">
        <f t="shared" ref="F8166" si="8158">LEFT(A8166, LEN(A8166) - 1)</f>
        <v>&gt;4081:TTTTAA:4.00:0.00:OK:6:1781.22</v>
      </c>
    </row>
    <row r="8167" spans="1:6" x14ac:dyDescent="0.3">
      <c r="A8167" t="s">
        <v>4087</v>
      </c>
      <c r="F8167" t="str">
        <f t="shared" ref="F8167" si="8159">A8167</f>
        <v>TTTTAA</v>
      </c>
    </row>
    <row r="8168" spans="1:6" x14ac:dyDescent="0.3">
      <c r="A8168" t="s">
        <v>8184</v>
      </c>
      <c r="F8168" t="str">
        <f t="shared" ref="F8168" si="8160">LEFT(A8168, LEN(A8168) - 1)</f>
        <v>&gt;4082:TTTTAC:2.00:16.67:OK:6:1757.19</v>
      </c>
    </row>
    <row r="8169" spans="1:6" x14ac:dyDescent="0.3">
      <c r="A8169" t="s">
        <v>4088</v>
      </c>
      <c r="F8169" t="str">
        <f t="shared" ref="F8169" si="8161">A8169</f>
        <v>TTTTAC</v>
      </c>
    </row>
    <row r="8170" spans="1:6" x14ac:dyDescent="0.3">
      <c r="A8170" t="s">
        <v>8185</v>
      </c>
      <c r="F8170" t="str">
        <f t="shared" ref="F8170" si="8162">LEFT(A8170, LEN(A8170) - 1)</f>
        <v>&gt;4083:TTTTAG:2.00:16.67:OK:6:1797.22</v>
      </c>
    </row>
    <row r="8171" spans="1:6" x14ac:dyDescent="0.3">
      <c r="A8171" t="s">
        <v>4089</v>
      </c>
      <c r="F8171" t="str">
        <f t="shared" ref="F8171" si="8163">A8171</f>
        <v>TTTTAG</v>
      </c>
    </row>
    <row r="8172" spans="1:6" x14ac:dyDescent="0.3">
      <c r="A8172" t="s">
        <v>8186</v>
      </c>
      <c r="F8172" t="str">
        <f t="shared" ref="F8172" si="8164">LEFT(A8172, LEN(A8172) - 1)</f>
        <v>&gt;4084:TTTTAT:-4.00:0.00:OK:6:1772.20</v>
      </c>
    </row>
    <row r="8173" spans="1:6" x14ac:dyDescent="0.3">
      <c r="A8173" t="s">
        <v>4090</v>
      </c>
      <c r="F8173" t="str">
        <f t="shared" ref="F8173" si="8165">A8173</f>
        <v>TTTTAT</v>
      </c>
    </row>
    <row r="8174" spans="1:6" x14ac:dyDescent="0.3">
      <c r="A8174" t="s">
        <v>8187</v>
      </c>
      <c r="F8174" t="str">
        <f t="shared" ref="F8174" si="8166">LEFT(A8174, LEN(A8174) - 1)</f>
        <v>&gt;4085:TTTTCA:2.00:16.67:OK:6:1757.19</v>
      </c>
    </row>
    <row r="8175" spans="1:6" x14ac:dyDescent="0.3">
      <c r="A8175" t="s">
        <v>4091</v>
      </c>
      <c r="F8175" t="str">
        <f t="shared" ref="F8175" si="8167">A8175</f>
        <v>TTTTCA</v>
      </c>
    </row>
    <row r="8176" spans="1:6" x14ac:dyDescent="0.3">
      <c r="A8176" t="s">
        <v>8188</v>
      </c>
      <c r="F8176" t="str">
        <f t="shared" ref="F8176" si="8168">LEFT(A8176, LEN(A8176) - 1)</f>
        <v>&gt;4086:TTTTCC:0.00:33.33:OK:6:1733.16</v>
      </c>
    </row>
    <row r="8177" spans="1:6" x14ac:dyDescent="0.3">
      <c r="A8177" t="s">
        <v>4092</v>
      </c>
      <c r="F8177" t="str">
        <f t="shared" ref="F8177" si="8169">A8177</f>
        <v>TTTTCC</v>
      </c>
    </row>
    <row r="8178" spans="1:6" x14ac:dyDescent="0.3">
      <c r="A8178" t="s">
        <v>8189</v>
      </c>
      <c r="F8178" t="str">
        <f t="shared" ref="F8178" si="8170">LEFT(A8178, LEN(A8178) - 1)</f>
        <v>&gt;4087:TTTTCG:0.00:33.33:OK:6:1773.19</v>
      </c>
    </row>
    <row r="8179" spans="1:6" x14ac:dyDescent="0.3">
      <c r="A8179" t="s">
        <v>4093</v>
      </c>
      <c r="F8179" t="str">
        <f t="shared" ref="F8179" si="8171">A8179</f>
        <v>TTTTCG</v>
      </c>
    </row>
    <row r="8180" spans="1:6" x14ac:dyDescent="0.3">
      <c r="A8180" t="s">
        <v>8190</v>
      </c>
      <c r="F8180" t="str">
        <f t="shared" ref="F8180" si="8172">LEFT(A8180, LEN(A8180) - 1)</f>
        <v>&gt;4088:TTTTCT:-6.00:16.67:OK:6:1748.17</v>
      </c>
    </row>
    <row r="8181" spans="1:6" x14ac:dyDescent="0.3">
      <c r="A8181" t="s">
        <v>4094</v>
      </c>
      <c r="F8181" t="str">
        <f t="shared" ref="F8181" si="8173">A8181</f>
        <v>TTTTCT</v>
      </c>
    </row>
    <row r="8182" spans="1:6" x14ac:dyDescent="0.3">
      <c r="A8182" t="s">
        <v>8191</v>
      </c>
      <c r="F8182" t="str">
        <f t="shared" ref="F8182" si="8174">LEFT(A8182, LEN(A8182) - 1)</f>
        <v>&gt;4089:TTTTGA:2.00:16.67:OK:6:1797.22</v>
      </c>
    </row>
    <row r="8183" spans="1:6" x14ac:dyDescent="0.3">
      <c r="A8183" t="s">
        <v>4095</v>
      </c>
      <c r="F8183" t="str">
        <f t="shared" ref="F8183" si="8175">A8183</f>
        <v>TTTTGA</v>
      </c>
    </row>
    <row r="8184" spans="1:6" x14ac:dyDescent="0.3">
      <c r="A8184" t="s">
        <v>8192</v>
      </c>
      <c r="F8184" t="str">
        <f t="shared" ref="F8184" si="8176">LEFT(A8184, LEN(A8184) - 1)</f>
        <v>&gt;4090:TTTTGC:0.00:33.33:OK:6:1773.19</v>
      </c>
    </row>
    <row r="8185" spans="1:6" x14ac:dyDescent="0.3">
      <c r="A8185" t="s">
        <v>4096</v>
      </c>
      <c r="F8185" t="str">
        <f t="shared" ref="F8185" si="8177">A8185</f>
        <v>TTTTGC</v>
      </c>
    </row>
    <row r="8186" spans="1:6" x14ac:dyDescent="0.3">
      <c r="A8186" t="s">
        <v>8193</v>
      </c>
      <c r="F8186" t="str">
        <f t="shared" ref="F8186" si="8178">LEFT(A8186, LEN(A8186) - 1)</f>
        <v>&gt;4091:TTTTGG:0.00:33.33:OK:6:1813.22</v>
      </c>
    </row>
    <row r="8187" spans="1:6" x14ac:dyDescent="0.3">
      <c r="A8187" t="s">
        <v>4097</v>
      </c>
      <c r="F8187" t="str">
        <f t="shared" ref="F8187" si="8179">A8187</f>
        <v>TTTTGG</v>
      </c>
    </row>
    <row r="8188" spans="1:6" x14ac:dyDescent="0.3">
      <c r="A8188" t="s">
        <v>8194</v>
      </c>
      <c r="F8188" t="str">
        <f t="shared" ref="F8188" si="8180">LEFT(A8188, LEN(A8188) - 1)</f>
        <v>&gt;4092:TTTTGT:-6.00:16.67:OK:6:1788.20</v>
      </c>
    </row>
    <row r="8189" spans="1:6" x14ac:dyDescent="0.3">
      <c r="A8189" t="s">
        <v>4098</v>
      </c>
      <c r="F8189" t="str">
        <f t="shared" ref="F8189" si="8181">A8189</f>
        <v>TTTTGT</v>
      </c>
    </row>
    <row r="8190" spans="1:6" x14ac:dyDescent="0.3">
      <c r="A8190" t="s">
        <v>8195</v>
      </c>
      <c r="F8190" t="str">
        <f t="shared" ref="F8190" si="8182">LEFT(A8190, LEN(A8190) - 1)</f>
        <v>&gt;4093:TTTTTA:-4.00:0.00:OK:6:1772.20</v>
      </c>
    </row>
    <row r="8191" spans="1:6" x14ac:dyDescent="0.3">
      <c r="A8191" t="s">
        <v>4099</v>
      </c>
      <c r="F8191" t="str">
        <f t="shared" ref="F8191" si="8183">A8191</f>
        <v>TTTTTA</v>
      </c>
    </row>
    <row r="8192" spans="1:6" x14ac:dyDescent="0.3">
      <c r="A8192" t="s">
        <v>8196</v>
      </c>
      <c r="F8192" t="str">
        <f t="shared" ref="F8192" si="8184">LEFT(A8192, LEN(A8192) - 1)</f>
        <v>&gt;4094:TTTTTC:-6.00:16.67:OK:6:1748.17</v>
      </c>
    </row>
    <row r="8193" spans="1:6" x14ac:dyDescent="0.3">
      <c r="A8193" t="s">
        <v>4100</v>
      </c>
      <c r="F8193" t="str">
        <f t="shared" ref="F8193" si="8185">A8193</f>
        <v>TTTTTC</v>
      </c>
    </row>
    <row r="8194" spans="1:6" x14ac:dyDescent="0.3">
      <c r="A8194" t="s">
        <v>8197</v>
      </c>
      <c r="F8194" t="str">
        <f t="shared" ref="F8194" si="8186">LEFT(A8194, LEN(A8194) - 1)</f>
        <v>&gt;4095:TTTTTG:-6.00:16.67:OK:6:1788.20</v>
      </c>
    </row>
    <row r="8195" spans="1:6" x14ac:dyDescent="0.3">
      <c r="A8195" t="s">
        <v>4101</v>
      </c>
      <c r="F8195" t="str">
        <f t="shared" ref="F8195" si="8187">A8195</f>
        <v>TTTTTG</v>
      </c>
    </row>
    <row r="8196" spans="1:6" x14ac:dyDescent="0.3">
      <c r="A8196" t="s">
        <v>8198</v>
      </c>
      <c r="F8196" t="str">
        <f t="shared" ref="F8196" si="8188">LEFT(A8196, LEN(A8196) - 1)</f>
        <v>&gt;4096:TTTTTT:-12.00:0.00:OK:6:1763.18</v>
      </c>
    </row>
    <row r="8197" spans="1:6" x14ac:dyDescent="0.3">
      <c r="A8197" t="s">
        <v>4102</v>
      </c>
      <c r="F8197" t="str">
        <f t="shared" ref="F8197" si="8189">A8197</f>
        <v>TTTTTT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4097"/>
  <sheetViews>
    <sheetView workbookViewId="0">
      <selection activeCell="B14" sqref="B14"/>
    </sheetView>
  </sheetViews>
  <sheetFormatPr defaultRowHeight="14.4" x14ac:dyDescent="0.3"/>
  <sheetData>
    <row r="1" spans="1:18" ht="16.2" thickBot="1" x14ac:dyDescent="0.35">
      <c r="A1" s="33" t="s">
        <v>0</v>
      </c>
      <c r="B1" s="35" t="s">
        <v>1</v>
      </c>
      <c r="C1" s="36" t="s">
        <v>2</v>
      </c>
      <c r="D1" s="36" t="s">
        <v>3</v>
      </c>
      <c r="E1" s="37" t="s">
        <v>4</v>
      </c>
      <c r="F1" s="38" t="s">
        <v>5</v>
      </c>
      <c r="G1" s="7" t="s">
        <v>6</v>
      </c>
      <c r="H1" s="7" t="s">
        <v>8199</v>
      </c>
      <c r="I1" s="7" t="s">
        <v>8218</v>
      </c>
      <c r="K1" s="44" t="s">
        <v>8217</v>
      </c>
      <c r="L1" s="44" t="s">
        <v>8221</v>
      </c>
      <c r="M1" s="44" t="s">
        <v>8222</v>
      </c>
      <c r="N1" s="44" t="s">
        <v>8223</v>
      </c>
    </row>
    <row r="2" spans="1:18" ht="15.6" x14ac:dyDescent="0.3">
      <c r="A2" s="9">
        <v>1</v>
      </c>
      <c r="B2" s="10" t="s">
        <v>7</v>
      </c>
      <c r="C2" s="11">
        <v>36</v>
      </c>
      <c r="D2" s="12">
        <v>0</v>
      </c>
      <c r="E2" s="12" t="s">
        <v>8219</v>
      </c>
      <c r="F2" s="13">
        <v>6</v>
      </c>
      <c r="G2" s="14">
        <v>1817.2999999999997</v>
      </c>
      <c r="H2" t="s">
        <v>4102</v>
      </c>
      <c r="I2">
        <v>8</v>
      </c>
      <c r="K2" s="41">
        <v>1</v>
      </c>
      <c r="L2" s="41">
        <f>COUNTIF(I2:I4097,1)</f>
        <v>13</v>
      </c>
      <c r="M2" t="str">
        <f>IF(L2&gt;512,"SPLIT","")</f>
        <v/>
      </c>
    </row>
    <row r="3" spans="1:18" ht="15.6" x14ac:dyDescent="0.3">
      <c r="A3" s="9">
        <v>2</v>
      </c>
      <c r="B3" s="10" t="s">
        <v>8</v>
      </c>
      <c r="C3" s="11">
        <v>34</v>
      </c>
      <c r="D3" s="12">
        <v>16.666666666666664</v>
      </c>
      <c r="E3" s="12" t="s">
        <v>8219</v>
      </c>
      <c r="F3" s="13">
        <v>6</v>
      </c>
      <c r="G3" s="14">
        <v>1793.27</v>
      </c>
      <c r="H3" t="s">
        <v>3078</v>
      </c>
      <c r="I3">
        <v>8</v>
      </c>
      <c r="K3" s="41">
        <v>2</v>
      </c>
      <c r="L3" s="41">
        <f>COUNTIF(I2:I4097,2)</f>
        <v>66</v>
      </c>
      <c r="M3" t="str">
        <f t="shared" ref="M3:M9" si="0">IF(L3&gt;512,"SPLIT","")</f>
        <v/>
      </c>
    </row>
    <row r="4" spans="1:18" ht="15.6" x14ac:dyDescent="0.3">
      <c r="A4" s="9">
        <v>3</v>
      </c>
      <c r="B4" s="15" t="s">
        <v>9</v>
      </c>
      <c r="C4" s="11">
        <v>34</v>
      </c>
      <c r="D4" s="12">
        <v>16.666666666666664</v>
      </c>
      <c r="E4" s="12" t="s">
        <v>8219</v>
      </c>
      <c r="F4" s="13">
        <v>6</v>
      </c>
      <c r="G4" s="14">
        <v>1833.2999999999997</v>
      </c>
      <c r="H4" t="s">
        <v>2054</v>
      </c>
      <c r="I4">
        <v>8</v>
      </c>
      <c r="K4" s="41">
        <v>3</v>
      </c>
      <c r="L4" s="41">
        <f>COUNTIF(I2:I4097,3)</f>
        <v>235</v>
      </c>
      <c r="M4" t="str">
        <f t="shared" si="0"/>
        <v/>
      </c>
    </row>
    <row r="5" spans="1:18" ht="15.6" x14ac:dyDescent="0.3">
      <c r="A5" s="9">
        <v>4</v>
      </c>
      <c r="B5" s="15" t="s">
        <v>10</v>
      </c>
      <c r="C5" s="11">
        <v>28</v>
      </c>
      <c r="D5" s="12">
        <v>0</v>
      </c>
      <c r="E5" s="12" t="s">
        <v>8219</v>
      </c>
      <c r="F5" s="13">
        <v>6</v>
      </c>
      <c r="G5" s="14">
        <v>1808.2799999999997</v>
      </c>
      <c r="H5" t="s">
        <v>1030</v>
      </c>
      <c r="I5">
        <v>7</v>
      </c>
      <c r="K5" s="41">
        <v>4</v>
      </c>
      <c r="L5" s="41">
        <f>COUNTIF(I2:I4097,4)</f>
        <v>620</v>
      </c>
      <c r="M5" s="41" t="str">
        <f t="shared" si="0"/>
        <v>SPLIT</v>
      </c>
      <c r="N5" s="46">
        <f>L5/512</f>
        <v>1.2109375</v>
      </c>
      <c r="O5" s="46">
        <f>ROUNDUP(N5,0)</f>
        <v>2</v>
      </c>
      <c r="P5" s="42">
        <f>L5-512</f>
        <v>108</v>
      </c>
    </row>
    <row r="6" spans="1:18" ht="15.6" x14ac:dyDescent="0.3">
      <c r="A6" s="9">
        <v>5</v>
      </c>
      <c r="B6" s="10" t="s">
        <v>11</v>
      </c>
      <c r="C6" s="11">
        <v>34</v>
      </c>
      <c r="D6" s="12">
        <v>16.666666666666664</v>
      </c>
      <c r="E6" s="12" t="s">
        <v>8219</v>
      </c>
      <c r="F6" s="13">
        <v>6</v>
      </c>
      <c r="G6" s="14">
        <v>1793.27</v>
      </c>
      <c r="H6" t="s">
        <v>3846</v>
      </c>
      <c r="I6">
        <v>8</v>
      </c>
      <c r="K6" s="41">
        <v>5</v>
      </c>
      <c r="L6" s="41">
        <f>COUNTIF(I2:I4097,5)</f>
        <v>1152</v>
      </c>
      <c r="M6" s="41" t="str">
        <f t="shared" si="0"/>
        <v>SPLIT</v>
      </c>
      <c r="N6" s="46">
        <f>L6/512</f>
        <v>2.25</v>
      </c>
      <c r="O6" s="46">
        <f>ROUNDUP(N6,0)</f>
        <v>3</v>
      </c>
      <c r="P6" s="41">
        <f>L6-512</f>
        <v>640</v>
      </c>
      <c r="Q6" s="47">
        <f>P6-512</f>
        <v>128</v>
      </c>
      <c r="R6" s="48">
        <v>512</v>
      </c>
    </row>
    <row r="7" spans="1:18" ht="15.6" x14ac:dyDescent="0.3">
      <c r="A7" s="9">
        <v>6</v>
      </c>
      <c r="B7" s="2" t="s">
        <v>12</v>
      </c>
      <c r="C7" s="11">
        <v>32</v>
      </c>
      <c r="D7" s="12">
        <v>33.333333333333329</v>
      </c>
      <c r="E7" s="12" t="s">
        <v>8219</v>
      </c>
      <c r="F7" s="13">
        <v>6</v>
      </c>
      <c r="G7" s="14">
        <v>1769.2399999999998</v>
      </c>
      <c r="H7" t="s">
        <v>2822</v>
      </c>
      <c r="I7">
        <v>8</v>
      </c>
      <c r="K7" s="41">
        <v>6</v>
      </c>
      <c r="L7" s="41">
        <f>COUNTIF(I2:I4097,6)</f>
        <v>1279</v>
      </c>
      <c r="M7" s="41" t="str">
        <f t="shared" si="0"/>
        <v>SPLIT</v>
      </c>
      <c r="N7" s="46">
        <f>L7/512</f>
        <v>2.498046875</v>
      </c>
      <c r="O7" s="46">
        <f>ROUNDUP(N7,0)</f>
        <v>3</v>
      </c>
      <c r="P7" s="41">
        <f>L7-512</f>
        <v>767</v>
      </c>
      <c r="Q7" s="47">
        <f>P7-512</f>
        <v>255</v>
      </c>
      <c r="R7" s="49">
        <v>512</v>
      </c>
    </row>
    <row r="8" spans="1:18" ht="15.6" x14ac:dyDescent="0.3">
      <c r="A8" s="9">
        <v>7</v>
      </c>
      <c r="B8" s="2" t="s">
        <v>13</v>
      </c>
      <c r="C8" s="11">
        <v>32</v>
      </c>
      <c r="D8" s="12">
        <v>33.333333333333329</v>
      </c>
      <c r="E8" s="12" t="s">
        <v>8219</v>
      </c>
      <c r="F8" s="13">
        <v>6</v>
      </c>
      <c r="G8" s="14">
        <v>1809.27</v>
      </c>
      <c r="H8" t="s">
        <v>1798</v>
      </c>
      <c r="I8">
        <v>8</v>
      </c>
      <c r="K8" s="41">
        <v>7</v>
      </c>
      <c r="L8" s="41">
        <f>COUNTIF(I2:I4097,7)</f>
        <v>658</v>
      </c>
      <c r="M8" s="41" t="str">
        <f t="shared" si="0"/>
        <v>SPLIT</v>
      </c>
      <c r="N8" s="46">
        <f>L8/512</f>
        <v>1.28515625</v>
      </c>
      <c r="O8" s="46">
        <f>ROUNDUP(N8,0)</f>
        <v>2</v>
      </c>
      <c r="P8" s="42">
        <f>L8-512</f>
        <v>146</v>
      </c>
    </row>
    <row r="9" spans="1:18" ht="15.6" x14ac:dyDescent="0.3">
      <c r="A9" s="9">
        <v>8</v>
      </c>
      <c r="B9" s="2" t="s">
        <v>14</v>
      </c>
      <c r="C9" s="11">
        <v>26</v>
      </c>
      <c r="D9" s="12">
        <v>16.666666666666664</v>
      </c>
      <c r="E9" s="12" t="s">
        <v>8219</v>
      </c>
      <c r="F9" s="13">
        <v>6</v>
      </c>
      <c r="G9" s="14">
        <v>1784.25</v>
      </c>
      <c r="H9" t="s">
        <v>774</v>
      </c>
      <c r="I9">
        <v>7</v>
      </c>
      <c r="K9" s="41">
        <v>8</v>
      </c>
      <c r="L9" s="41">
        <f>COUNTIF(I2:I4097,8)</f>
        <v>73</v>
      </c>
      <c r="M9" t="str">
        <f t="shared" si="0"/>
        <v/>
      </c>
    </row>
    <row r="10" spans="1:18" ht="15.6" x14ac:dyDescent="0.3">
      <c r="A10" s="9">
        <v>9</v>
      </c>
      <c r="B10" s="2" t="s">
        <v>15</v>
      </c>
      <c r="C10" s="11">
        <v>34</v>
      </c>
      <c r="D10" s="12">
        <v>16.666666666666664</v>
      </c>
      <c r="E10" s="12" t="s">
        <v>8219</v>
      </c>
      <c r="F10" s="13">
        <v>6</v>
      </c>
      <c r="G10" s="14">
        <v>1833.2999999999997</v>
      </c>
      <c r="H10" t="s">
        <v>3590</v>
      </c>
      <c r="I10">
        <v>8</v>
      </c>
      <c r="K10" t="s">
        <v>8224</v>
      </c>
    </row>
    <row r="11" spans="1:18" ht="15.6" x14ac:dyDescent="0.3">
      <c r="A11" s="9">
        <v>10</v>
      </c>
      <c r="B11" s="2" t="s">
        <v>16</v>
      </c>
      <c r="C11" s="11">
        <v>32</v>
      </c>
      <c r="D11" s="12">
        <v>33.333333333333329</v>
      </c>
      <c r="E11" s="12" t="s">
        <v>8219</v>
      </c>
      <c r="F11" s="13">
        <v>6</v>
      </c>
      <c r="G11" s="14">
        <v>1809.27</v>
      </c>
      <c r="H11" t="s">
        <v>2566</v>
      </c>
      <c r="I11">
        <v>8</v>
      </c>
    </row>
    <row r="12" spans="1:18" ht="15.6" x14ac:dyDescent="0.3">
      <c r="A12" s="9">
        <v>11</v>
      </c>
      <c r="B12" s="2" t="s">
        <v>17</v>
      </c>
      <c r="C12" s="11">
        <v>32</v>
      </c>
      <c r="D12" s="12">
        <v>33.333333333333329</v>
      </c>
      <c r="E12" s="12" t="s">
        <v>8219</v>
      </c>
      <c r="F12" s="13">
        <v>6</v>
      </c>
      <c r="G12" s="14">
        <v>1849.3000000000002</v>
      </c>
      <c r="H12" t="s">
        <v>1542</v>
      </c>
      <c r="I12">
        <v>8</v>
      </c>
      <c r="K12" t="s">
        <v>8225</v>
      </c>
    </row>
    <row r="13" spans="1:18" ht="15.6" x14ac:dyDescent="0.3">
      <c r="A13" s="9">
        <v>12</v>
      </c>
      <c r="B13" s="2" t="s">
        <v>18</v>
      </c>
      <c r="C13" s="11">
        <v>26</v>
      </c>
      <c r="D13" s="12">
        <v>16.666666666666664</v>
      </c>
      <c r="E13" s="12" t="s">
        <v>8219</v>
      </c>
      <c r="F13" s="13">
        <v>6</v>
      </c>
      <c r="G13" s="14">
        <v>1824.2799999999997</v>
      </c>
      <c r="H13" t="s">
        <v>518</v>
      </c>
      <c r="I13">
        <v>7</v>
      </c>
      <c r="K13" t="s">
        <v>8226</v>
      </c>
    </row>
    <row r="14" spans="1:18" ht="15.6" x14ac:dyDescent="0.3">
      <c r="A14" s="9">
        <v>13</v>
      </c>
      <c r="B14" s="16" t="s">
        <v>19</v>
      </c>
      <c r="C14" s="11">
        <v>28</v>
      </c>
      <c r="D14" s="12">
        <v>0</v>
      </c>
      <c r="E14" s="12" t="s">
        <v>8219</v>
      </c>
      <c r="F14" s="13">
        <v>6</v>
      </c>
      <c r="G14" s="14">
        <v>1808.2799999999997</v>
      </c>
      <c r="H14" t="s">
        <v>3334</v>
      </c>
      <c r="I14">
        <v>7</v>
      </c>
      <c r="K14" t="s">
        <v>8232</v>
      </c>
    </row>
    <row r="15" spans="1:18" ht="15.6" x14ac:dyDescent="0.3">
      <c r="A15" s="9">
        <v>14</v>
      </c>
      <c r="B15" s="16" t="s">
        <v>20</v>
      </c>
      <c r="C15" s="11">
        <v>26</v>
      </c>
      <c r="D15" s="12">
        <v>16.666666666666664</v>
      </c>
      <c r="E15" s="12" t="s">
        <v>8219</v>
      </c>
      <c r="F15" s="13">
        <v>6</v>
      </c>
      <c r="G15" s="14">
        <v>1784.25</v>
      </c>
      <c r="H15" t="s">
        <v>2310</v>
      </c>
      <c r="I15">
        <v>7</v>
      </c>
      <c r="K15" t="s">
        <v>8228</v>
      </c>
    </row>
    <row r="16" spans="1:18" ht="15.6" x14ac:dyDescent="0.3">
      <c r="A16" s="9">
        <v>15</v>
      </c>
      <c r="B16" s="18" t="s">
        <v>21</v>
      </c>
      <c r="C16" s="11">
        <v>26</v>
      </c>
      <c r="D16" s="12">
        <v>16.666666666666664</v>
      </c>
      <c r="E16" s="12" t="s">
        <v>8219</v>
      </c>
      <c r="F16" s="13">
        <v>6</v>
      </c>
      <c r="G16" s="14">
        <v>1824.2799999999997</v>
      </c>
      <c r="H16" t="s">
        <v>1286</v>
      </c>
      <c r="I16">
        <v>7</v>
      </c>
      <c r="K16">
        <f>3*10</f>
        <v>30</v>
      </c>
      <c r="L16" t="s">
        <v>8229</v>
      </c>
      <c r="M16">
        <f>K16/60</f>
        <v>0.5</v>
      </c>
      <c r="N16" t="s">
        <v>8230</v>
      </c>
    </row>
    <row r="17" spans="1:14" ht="15.6" x14ac:dyDescent="0.3">
      <c r="A17" s="9">
        <v>16</v>
      </c>
      <c r="B17" s="16" t="s">
        <v>22</v>
      </c>
      <c r="C17" s="11">
        <v>20</v>
      </c>
      <c r="D17" s="12">
        <v>0</v>
      </c>
      <c r="E17" s="12" t="s">
        <v>8219</v>
      </c>
      <c r="F17" s="13">
        <v>6</v>
      </c>
      <c r="G17" s="14">
        <v>1799.2599999999998</v>
      </c>
      <c r="H17" t="s">
        <v>262</v>
      </c>
      <c r="I17">
        <v>6</v>
      </c>
      <c r="K17" t="s">
        <v>8227</v>
      </c>
    </row>
    <row r="18" spans="1:14" ht="15.6" x14ac:dyDescent="0.3">
      <c r="A18" s="9">
        <v>17</v>
      </c>
      <c r="B18" s="15" t="s">
        <v>23</v>
      </c>
      <c r="C18" s="11">
        <v>34</v>
      </c>
      <c r="D18" s="12">
        <v>16.666666666666664</v>
      </c>
      <c r="E18" s="12" t="s">
        <v>8219</v>
      </c>
      <c r="F18" s="13">
        <v>6</v>
      </c>
      <c r="G18" s="14">
        <v>1793.27</v>
      </c>
      <c r="H18" t="s">
        <v>4038</v>
      </c>
      <c r="I18">
        <v>8</v>
      </c>
      <c r="K18" t="s">
        <v>8228</v>
      </c>
    </row>
    <row r="19" spans="1:14" ht="15.6" x14ac:dyDescent="0.3">
      <c r="A19" s="9">
        <v>18</v>
      </c>
      <c r="B19" s="15" t="s">
        <v>24</v>
      </c>
      <c r="C19" s="11">
        <v>32</v>
      </c>
      <c r="D19" s="12">
        <v>33.333333333333329</v>
      </c>
      <c r="E19" s="12" t="s">
        <v>8219</v>
      </c>
      <c r="F19" s="13">
        <v>6</v>
      </c>
      <c r="G19" s="14">
        <v>1769.2399999999998</v>
      </c>
      <c r="H19" t="s">
        <v>3014</v>
      </c>
      <c r="I19">
        <v>8</v>
      </c>
      <c r="K19">
        <f>100*6</f>
        <v>600</v>
      </c>
      <c r="L19" t="s">
        <v>8229</v>
      </c>
      <c r="M19">
        <f>K19/60</f>
        <v>10</v>
      </c>
      <c r="N19" t="s">
        <v>8230</v>
      </c>
    </row>
    <row r="20" spans="1:14" ht="15.6" x14ac:dyDescent="0.3">
      <c r="A20" s="9">
        <v>19</v>
      </c>
      <c r="B20" s="16" t="s">
        <v>25</v>
      </c>
      <c r="C20" s="11">
        <v>32</v>
      </c>
      <c r="D20" s="12">
        <v>33.333333333333329</v>
      </c>
      <c r="E20" s="12" t="s">
        <v>8219</v>
      </c>
      <c r="F20" s="13">
        <v>6</v>
      </c>
      <c r="G20" s="14">
        <v>1809.27</v>
      </c>
      <c r="H20" t="s">
        <v>1990</v>
      </c>
      <c r="I20">
        <v>8</v>
      </c>
      <c r="K20" t="s">
        <v>8231</v>
      </c>
    </row>
    <row r="21" spans="1:14" ht="15.6" x14ac:dyDescent="0.3">
      <c r="A21" s="9">
        <v>20</v>
      </c>
      <c r="B21" s="15" t="s">
        <v>26</v>
      </c>
      <c r="C21" s="11">
        <v>26</v>
      </c>
      <c r="D21" s="12">
        <v>16.666666666666664</v>
      </c>
      <c r="E21" s="12" t="s">
        <v>8219</v>
      </c>
      <c r="F21" s="13">
        <v>6</v>
      </c>
      <c r="G21" s="14">
        <v>1784.25</v>
      </c>
      <c r="H21" t="s">
        <v>966</v>
      </c>
      <c r="I21">
        <v>7</v>
      </c>
      <c r="K21" t="s">
        <v>8228</v>
      </c>
    </row>
    <row r="22" spans="1:14" ht="15.6" x14ac:dyDescent="0.3">
      <c r="A22" s="9">
        <v>21</v>
      </c>
      <c r="B22" s="15" t="s">
        <v>27</v>
      </c>
      <c r="C22" s="11">
        <v>32</v>
      </c>
      <c r="D22" s="12">
        <v>33.333333333333329</v>
      </c>
      <c r="E22" s="12" t="s">
        <v>8219</v>
      </c>
      <c r="F22" s="13">
        <v>6</v>
      </c>
      <c r="G22" s="14">
        <v>1769.2399999999998</v>
      </c>
      <c r="H22" t="s">
        <v>3782</v>
      </c>
      <c r="I22">
        <v>8</v>
      </c>
      <c r="K22">
        <f>100*12</f>
        <v>1200</v>
      </c>
      <c r="L22" t="s">
        <v>8229</v>
      </c>
      <c r="M22">
        <f>K22/60</f>
        <v>20</v>
      </c>
      <c r="N22" t="s">
        <v>8230</v>
      </c>
    </row>
    <row r="23" spans="1:14" ht="15.6" x14ac:dyDescent="0.3">
      <c r="A23" s="9">
        <v>22</v>
      </c>
      <c r="B23" s="15" t="s">
        <v>28</v>
      </c>
      <c r="C23" s="11">
        <v>30</v>
      </c>
      <c r="D23" s="12">
        <v>50</v>
      </c>
      <c r="E23" s="12" t="s">
        <v>8220</v>
      </c>
      <c r="F23" s="13">
        <v>6</v>
      </c>
      <c r="G23" s="14">
        <v>1745.21</v>
      </c>
      <c r="H23" t="s">
        <v>2758</v>
      </c>
      <c r="I23">
        <v>7</v>
      </c>
      <c r="K23" t="s">
        <v>8231</v>
      </c>
    </row>
    <row r="24" spans="1:14" ht="15.6" x14ac:dyDescent="0.3">
      <c r="A24" s="9">
        <v>23</v>
      </c>
      <c r="B24" s="15" t="s">
        <v>29</v>
      </c>
      <c r="C24" s="11">
        <v>30</v>
      </c>
      <c r="D24" s="12">
        <v>50</v>
      </c>
      <c r="E24" s="12" t="s">
        <v>8220</v>
      </c>
      <c r="F24" s="13">
        <v>6</v>
      </c>
      <c r="G24" s="14">
        <v>1785.2399999999998</v>
      </c>
      <c r="H24" t="s">
        <v>1734</v>
      </c>
      <c r="I24">
        <v>7</v>
      </c>
      <c r="K24" t="s">
        <v>8234</v>
      </c>
    </row>
    <row r="25" spans="1:14" ht="15.6" x14ac:dyDescent="0.3">
      <c r="A25" s="9">
        <v>24</v>
      </c>
      <c r="B25" s="20" t="s">
        <v>30</v>
      </c>
      <c r="C25" s="11">
        <v>24</v>
      </c>
      <c r="D25" s="12">
        <v>33.333333333333329</v>
      </c>
      <c r="E25" s="12" t="s">
        <v>8219</v>
      </c>
      <c r="F25" s="13">
        <v>6</v>
      </c>
      <c r="G25" s="14">
        <v>1760.2199999999998</v>
      </c>
      <c r="H25" t="s">
        <v>710</v>
      </c>
      <c r="I25">
        <v>6</v>
      </c>
      <c r="K25">
        <f>100*12*3</f>
        <v>3600</v>
      </c>
      <c r="L25" t="s">
        <v>8229</v>
      </c>
      <c r="M25">
        <f>K25/60</f>
        <v>60</v>
      </c>
      <c r="N25" t="s">
        <v>8230</v>
      </c>
    </row>
    <row r="26" spans="1:14" ht="15.6" x14ac:dyDescent="0.3">
      <c r="A26" s="9">
        <v>25</v>
      </c>
      <c r="B26" s="15" t="s">
        <v>31</v>
      </c>
      <c r="C26" s="11">
        <v>32</v>
      </c>
      <c r="D26" s="12">
        <v>33.333333333333329</v>
      </c>
      <c r="E26" s="12" t="s">
        <v>8219</v>
      </c>
      <c r="F26" s="13">
        <v>6</v>
      </c>
      <c r="G26" s="14">
        <v>1809.27</v>
      </c>
      <c r="H26" t="s">
        <v>3526</v>
      </c>
      <c r="I26">
        <v>8</v>
      </c>
      <c r="M26">
        <f>M25/24</f>
        <v>2.5</v>
      </c>
      <c r="N26" t="s">
        <v>8233</v>
      </c>
    </row>
    <row r="27" spans="1:14" ht="15.6" x14ac:dyDescent="0.3">
      <c r="A27" s="9">
        <v>26</v>
      </c>
      <c r="B27" s="18" t="s">
        <v>32</v>
      </c>
      <c r="C27" s="11">
        <v>30</v>
      </c>
      <c r="D27" s="12">
        <v>50</v>
      </c>
      <c r="E27" s="12" t="s">
        <v>8220</v>
      </c>
      <c r="F27" s="13">
        <v>6</v>
      </c>
      <c r="G27" s="14">
        <v>1785.2399999999998</v>
      </c>
      <c r="H27" t="s">
        <v>2502</v>
      </c>
      <c r="I27">
        <v>7</v>
      </c>
    </row>
    <row r="28" spans="1:14" ht="15.6" x14ac:dyDescent="0.3">
      <c r="A28" s="9">
        <v>27</v>
      </c>
      <c r="B28" s="15" t="s">
        <v>33</v>
      </c>
      <c r="C28" s="11">
        <v>30</v>
      </c>
      <c r="D28" s="12">
        <v>50</v>
      </c>
      <c r="E28" s="12" t="s">
        <v>8220</v>
      </c>
      <c r="F28" s="13">
        <v>6</v>
      </c>
      <c r="G28" s="14">
        <v>1825.27</v>
      </c>
      <c r="H28" t="s">
        <v>1478</v>
      </c>
      <c r="I28">
        <v>7</v>
      </c>
    </row>
    <row r="29" spans="1:14" ht="15.6" x14ac:dyDescent="0.3">
      <c r="A29" s="9">
        <v>28</v>
      </c>
      <c r="B29" s="15" t="s">
        <v>34</v>
      </c>
      <c r="C29" s="11">
        <v>24</v>
      </c>
      <c r="D29" s="12">
        <v>33.333333333333329</v>
      </c>
      <c r="E29" s="12" t="s">
        <v>8219</v>
      </c>
      <c r="F29" s="13">
        <v>6</v>
      </c>
      <c r="G29" s="14">
        <v>1800.25</v>
      </c>
      <c r="H29" t="s">
        <v>454</v>
      </c>
      <c r="I29">
        <v>6</v>
      </c>
    </row>
    <row r="30" spans="1:14" ht="15.6" x14ac:dyDescent="0.3">
      <c r="A30" s="9">
        <v>29</v>
      </c>
      <c r="B30" s="22" t="s">
        <v>35</v>
      </c>
      <c r="C30" s="11">
        <v>26</v>
      </c>
      <c r="D30" s="12">
        <v>16.666666666666664</v>
      </c>
      <c r="E30" s="12" t="s">
        <v>8219</v>
      </c>
      <c r="F30" s="13">
        <v>6</v>
      </c>
      <c r="G30" s="14">
        <v>1784.25</v>
      </c>
      <c r="H30" t="s">
        <v>3270</v>
      </c>
      <c r="I30">
        <v>7</v>
      </c>
    </row>
    <row r="31" spans="1:14" ht="15.6" x14ac:dyDescent="0.3">
      <c r="A31" s="9">
        <v>30</v>
      </c>
      <c r="B31" s="15" t="s">
        <v>36</v>
      </c>
      <c r="C31" s="11">
        <v>24</v>
      </c>
      <c r="D31" s="12">
        <v>33.333333333333329</v>
      </c>
      <c r="E31" s="12" t="s">
        <v>8219</v>
      </c>
      <c r="F31" s="13">
        <v>6</v>
      </c>
      <c r="G31" s="14">
        <v>1760.2199999999998</v>
      </c>
      <c r="H31" t="s">
        <v>2246</v>
      </c>
      <c r="I31">
        <v>6</v>
      </c>
    </row>
    <row r="32" spans="1:14" ht="15.6" x14ac:dyDescent="0.3">
      <c r="A32" s="9">
        <v>31</v>
      </c>
      <c r="B32" s="15" t="s">
        <v>37</v>
      </c>
      <c r="C32" s="11">
        <v>24</v>
      </c>
      <c r="D32" s="12">
        <v>33.333333333333329</v>
      </c>
      <c r="E32" s="12" t="s">
        <v>8219</v>
      </c>
      <c r="F32" s="13">
        <v>6</v>
      </c>
      <c r="G32" s="14">
        <v>1800.25</v>
      </c>
      <c r="H32" t="s">
        <v>1222</v>
      </c>
      <c r="I32">
        <v>6</v>
      </c>
    </row>
    <row r="33" spans="1:9" ht="15.6" x14ac:dyDescent="0.3">
      <c r="A33" s="9">
        <v>32</v>
      </c>
      <c r="B33" s="15" t="s">
        <v>38</v>
      </c>
      <c r="C33" s="11">
        <v>18</v>
      </c>
      <c r="D33" s="12">
        <v>16.666666666666664</v>
      </c>
      <c r="E33" s="12" t="s">
        <v>8219</v>
      </c>
      <c r="F33" s="13">
        <v>6</v>
      </c>
      <c r="G33" s="14">
        <v>1775.23</v>
      </c>
      <c r="H33" t="s">
        <v>198</v>
      </c>
      <c r="I33">
        <v>5</v>
      </c>
    </row>
    <row r="34" spans="1:9" ht="15.6" x14ac:dyDescent="0.3">
      <c r="A34" s="9">
        <v>33</v>
      </c>
      <c r="B34" s="15" t="s">
        <v>39</v>
      </c>
      <c r="C34" s="11">
        <v>34</v>
      </c>
      <c r="D34" s="12">
        <v>16.666666666666664</v>
      </c>
      <c r="E34" s="12" t="s">
        <v>8219</v>
      </c>
      <c r="F34" s="13">
        <v>6</v>
      </c>
      <c r="G34" s="14">
        <v>1833.2999999999997</v>
      </c>
      <c r="H34" t="s">
        <v>3974</v>
      </c>
      <c r="I34">
        <v>8</v>
      </c>
    </row>
    <row r="35" spans="1:9" ht="15.6" x14ac:dyDescent="0.3">
      <c r="A35" s="9">
        <v>34</v>
      </c>
      <c r="B35" s="15" t="s">
        <v>40</v>
      </c>
      <c r="C35" s="11">
        <v>32</v>
      </c>
      <c r="D35" s="12">
        <v>33.333333333333329</v>
      </c>
      <c r="E35" s="12" t="s">
        <v>8219</v>
      </c>
      <c r="F35" s="13">
        <v>6</v>
      </c>
      <c r="G35" s="14">
        <v>1809.27</v>
      </c>
      <c r="H35" t="s">
        <v>2950</v>
      </c>
      <c r="I35">
        <v>8</v>
      </c>
    </row>
    <row r="36" spans="1:9" ht="15.6" x14ac:dyDescent="0.3">
      <c r="A36" s="9">
        <v>35</v>
      </c>
      <c r="B36" s="20" t="s">
        <v>41</v>
      </c>
      <c r="C36" s="11">
        <v>32</v>
      </c>
      <c r="D36" s="12">
        <v>33.333333333333329</v>
      </c>
      <c r="E36" s="12" t="s">
        <v>8219</v>
      </c>
      <c r="F36" s="13">
        <v>6</v>
      </c>
      <c r="G36" s="14">
        <v>1849.3000000000002</v>
      </c>
      <c r="H36" t="s">
        <v>1926</v>
      </c>
      <c r="I36">
        <v>8</v>
      </c>
    </row>
    <row r="37" spans="1:9" ht="15.6" x14ac:dyDescent="0.3">
      <c r="A37" s="9">
        <v>36</v>
      </c>
      <c r="B37" s="15" t="s">
        <v>42</v>
      </c>
      <c r="C37" s="11">
        <v>26</v>
      </c>
      <c r="D37" s="12">
        <v>16.666666666666664</v>
      </c>
      <c r="E37" s="12" t="s">
        <v>8219</v>
      </c>
      <c r="F37" s="13">
        <v>6</v>
      </c>
      <c r="G37" s="14">
        <v>1824.2799999999997</v>
      </c>
      <c r="H37" t="s">
        <v>902</v>
      </c>
      <c r="I37">
        <v>7</v>
      </c>
    </row>
    <row r="38" spans="1:9" ht="15.6" x14ac:dyDescent="0.3">
      <c r="A38" s="9">
        <v>37</v>
      </c>
      <c r="B38" s="18" t="s">
        <v>43</v>
      </c>
      <c r="C38" s="11">
        <v>32</v>
      </c>
      <c r="D38" s="12">
        <v>33.333333333333329</v>
      </c>
      <c r="E38" s="12" t="s">
        <v>8219</v>
      </c>
      <c r="F38" s="13">
        <v>6</v>
      </c>
      <c r="G38" s="14">
        <v>1809.27</v>
      </c>
      <c r="H38" t="s">
        <v>3718</v>
      </c>
      <c r="I38">
        <v>8</v>
      </c>
    </row>
    <row r="39" spans="1:9" ht="15.6" x14ac:dyDescent="0.3">
      <c r="A39" s="9">
        <v>38</v>
      </c>
      <c r="B39" s="23" t="s">
        <v>44</v>
      </c>
      <c r="C39" s="11">
        <v>30</v>
      </c>
      <c r="D39" s="12">
        <v>50</v>
      </c>
      <c r="E39" s="12" t="s">
        <v>8220</v>
      </c>
      <c r="F39" s="13">
        <v>6</v>
      </c>
      <c r="G39" s="14">
        <v>1785.2399999999998</v>
      </c>
      <c r="H39" t="s">
        <v>2694</v>
      </c>
      <c r="I39">
        <v>7</v>
      </c>
    </row>
    <row r="40" spans="1:9" ht="15.6" x14ac:dyDescent="0.3">
      <c r="A40" s="9">
        <v>39</v>
      </c>
      <c r="B40" s="15" t="s">
        <v>45</v>
      </c>
      <c r="C40" s="11">
        <v>30</v>
      </c>
      <c r="D40" s="12">
        <v>50</v>
      </c>
      <c r="E40" s="12" t="s">
        <v>8220</v>
      </c>
      <c r="F40" s="13">
        <v>6</v>
      </c>
      <c r="G40" s="14">
        <v>1825.27</v>
      </c>
      <c r="H40" t="s">
        <v>1670</v>
      </c>
      <c r="I40">
        <v>7</v>
      </c>
    </row>
    <row r="41" spans="1:9" ht="15.6" x14ac:dyDescent="0.3">
      <c r="A41" s="9">
        <v>40</v>
      </c>
      <c r="B41" s="15" t="s">
        <v>46</v>
      </c>
      <c r="C41" s="11">
        <v>24</v>
      </c>
      <c r="D41" s="12">
        <v>33.333333333333329</v>
      </c>
      <c r="E41" s="12" t="s">
        <v>8219</v>
      </c>
      <c r="F41" s="13">
        <v>6</v>
      </c>
      <c r="G41" s="14">
        <v>1800.25</v>
      </c>
      <c r="H41" t="s">
        <v>646</v>
      </c>
      <c r="I41">
        <v>6</v>
      </c>
    </row>
    <row r="42" spans="1:9" ht="15.6" x14ac:dyDescent="0.3">
      <c r="A42" s="9">
        <v>41</v>
      </c>
      <c r="B42" s="15" t="s">
        <v>47</v>
      </c>
      <c r="C42" s="11">
        <v>32</v>
      </c>
      <c r="D42" s="12">
        <v>33.333333333333329</v>
      </c>
      <c r="E42" s="12" t="s">
        <v>8219</v>
      </c>
      <c r="F42" s="13">
        <v>6</v>
      </c>
      <c r="G42" s="14">
        <v>1849.3000000000002</v>
      </c>
      <c r="H42" t="s">
        <v>3462</v>
      </c>
      <c r="I42">
        <v>8</v>
      </c>
    </row>
    <row r="43" spans="1:9" ht="15.6" x14ac:dyDescent="0.3">
      <c r="A43" s="9">
        <v>42</v>
      </c>
      <c r="B43" s="15" t="s">
        <v>48</v>
      </c>
      <c r="C43" s="11">
        <v>30</v>
      </c>
      <c r="D43" s="12">
        <v>50</v>
      </c>
      <c r="E43" s="12" t="s">
        <v>8220</v>
      </c>
      <c r="F43" s="13">
        <v>6</v>
      </c>
      <c r="G43" s="14">
        <v>1825.27</v>
      </c>
      <c r="H43" t="s">
        <v>2438</v>
      </c>
      <c r="I43">
        <v>7</v>
      </c>
    </row>
    <row r="44" spans="1:9" ht="15.6" x14ac:dyDescent="0.3">
      <c r="A44" s="9">
        <v>43</v>
      </c>
      <c r="B44" s="15" t="s">
        <v>49</v>
      </c>
      <c r="C44" s="11">
        <v>30</v>
      </c>
      <c r="D44" s="12">
        <v>50</v>
      </c>
      <c r="E44" s="12" t="s">
        <v>8220</v>
      </c>
      <c r="F44" s="13">
        <v>6</v>
      </c>
      <c r="G44" s="14">
        <v>1865.3000000000002</v>
      </c>
      <c r="H44" t="s">
        <v>1414</v>
      </c>
      <c r="I44">
        <v>7</v>
      </c>
    </row>
    <row r="45" spans="1:9" ht="15.6" x14ac:dyDescent="0.3">
      <c r="A45" s="9">
        <v>44</v>
      </c>
      <c r="B45" s="15" t="s">
        <v>50</v>
      </c>
      <c r="C45" s="11">
        <v>24</v>
      </c>
      <c r="D45" s="12">
        <v>33.333333333333329</v>
      </c>
      <c r="E45" s="12" t="s">
        <v>8219</v>
      </c>
      <c r="F45" s="13">
        <v>6</v>
      </c>
      <c r="G45" s="14">
        <v>1840.2800000000002</v>
      </c>
      <c r="H45" t="s">
        <v>390</v>
      </c>
      <c r="I45">
        <v>6</v>
      </c>
    </row>
    <row r="46" spans="1:9" ht="15.6" x14ac:dyDescent="0.3">
      <c r="A46" s="9">
        <v>45</v>
      </c>
      <c r="B46" s="15" t="s">
        <v>51</v>
      </c>
      <c r="C46" s="11">
        <v>26</v>
      </c>
      <c r="D46" s="12">
        <v>16.666666666666664</v>
      </c>
      <c r="E46" s="12" t="s">
        <v>8219</v>
      </c>
      <c r="F46" s="13">
        <v>6</v>
      </c>
      <c r="G46" s="14">
        <v>1824.2799999999997</v>
      </c>
      <c r="H46" t="s">
        <v>3206</v>
      </c>
      <c r="I46">
        <v>7</v>
      </c>
    </row>
    <row r="47" spans="1:9" ht="15.6" x14ac:dyDescent="0.3">
      <c r="A47" s="9">
        <v>46</v>
      </c>
      <c r="B47" s="20" t="s">
        <v>52</v>
      </c>
      <c r="C47" s="11">
        <v>24</v>
      </c>
      <c r="D47" s="12">
        <v>33.333333333333329</v>
      </c>
      <c r="E47" s="12" t="s">
        <v>8219</v>
      </c>
      <c r="F47" s="13">
        <v>6</v>
      </c>
      <c r="G47" s="14">
        <v>1800.25</v>
      </c>
      <c r="H47" t="s">
        <v>2182</v>
      </c>
      <c r="I47">
        <v>6</v>
      </c>
    </row>
    <row r="48" spans="1:9" ht="15.6" x14ac:dyDescent="0.3">
      <c r="A48" s="9">
        <v>47</v>
      </c>
      <c r="B48" s="15" t="s">
        <v>53</v>
      </c>
      <c r="C48" s="11">
        <v>24</v>
      </c>
      <c r="D48" s="12">
        <v>33.333333333333329</v>
      </c>
      <c r="E48" s="12" t="s">
        <v>8219</v>
      </c>
      <c r="F48" s="13">
        <v>6</v>
      </c>
      <c r="G48" s="14">
        <v>1840.2800000000002</v>
      </c>
      <c r="H48" t="s">
        <v>1158</v>
      </c>
      <c r="I48">
        <v>6</v>
      </c>
    </row>
    <row r="49" spans="1:9" ht="15.6" x14ac:dyDescent="0.3">
      <c r="A49" s="9">
        <v>48</v>
      </c>
      <c r="B49" s="18" t="s">
        <v>54</v>
      </c>
      <c r="C49" s="11">
        <v>18</v>
      </c>
      <c r="D49" s="12">
        <v>16.666666666666664</v>
      </c>
      <c r="E49" s="12" t="s">
        <v>8219</v>
      </c>
      <c r="F49" s="13">
        <v>6</v>
      </c>
      <c r="G49" s="14">
        <v>1815.2599999999998</v>
      </c>
      <c r="H49" t="s">
        <v>134</v>
      </c>
      <c r="I49">
        <v>5</v>
      </c>
    </row>
    <row r="50" spans="1:9" ht="15.6" x14ac:dyDescent="0.3">
      <c r="A50" s="9">
        <v>49</v>
      </c>
      <c r="B50" s="23" t="s">
        <v>55</v>
      </c>
      <c r="C50" s="11">
        <v>28</v>
      </c>
      <c r="D50" s="12">
        <v>0</v>
      </c>
      <c r="E50" s="12" t="s">
        <v>8219</v>
      </c>
      <c r="F50" s="13">
        <v>6</v>
      </c>
      <c r="G50" s="14">
        <v>1808.2799999999997</v>
      </c>
      <c r="H50" t="s">
        <v>3910</v>
      </c>
      <c r="I50">
        <v>7</v>
      </c>
    </row>
    <row r="51" spans="1:9" ht="15.6" x14ac:dyDescent="0.3">
      <c r="A51" s="9">
        <v>50</v>
      </c>
      <c r="B51" s="15" t="s">
        <v>56</v>
      </c>
      <c r="C51" s="11">
        <v>26</v>
      </c>
      <c r="D51" s="12">
        <v>16.666666666666664</v>
      </c>
      <c r="E51" s="12" t="s">
        <v>8219</v>
      </c>
      <c r="F51" s="13">
        <v>6</v>
      </c>
      <c r="G51" s="14">
        <v>1784.25</v>
      </c>
      <c r="H51" t="s">
        <v>2886</v>
      </c>
      <c r="I51">
        <v>7</v>
      </c>
    </row>
    <row r="52" spans="1:9" ht="15.6" x14ac:dyDescent="0.3">
      <c r="A52" s="9">
        <v>51</v>
      </c>
      <c r="B52" s="24" t="s">
        <v>57</v>
      </c>
      <c r="C52" s="11">
        <v>26</v>
      </c>
      <c r="D52" s="12">
        <v>16.666666666666664</v>
      </c>
      <c r="E52" s="12" t="s">
        <v>8219</v>
      </c>
      <c r="F52" s="13">
        <v>6</v>
      </c>
      <c r="G52" s="14">
        <v>1824.2799999999997</v>
      </c>
      <c r="H52" t="s">
        <v>1862</v>
      </c>
      <c r="I52">
        <v>7</v>
      </c>
    </row>
    <row r="53" spans="1:9" ht="15.6" x14ac:dyDescent="0.3">
      <c r="A53" s="9">
        <v>52</v>
      </c>
      <c r="B53" s="24" t="s">
        <v>58</v>
      </c>
      <c r="C53" s="11">
        <v>20</v>
      </c>
      <c r="D53" s="12">
        <v>0</v>
      </c>
      <c r="E53" s="12" t="s">
        <v>8219</v>
      </c>
      <c r="F53" s="13">
        <v>6</v>
      </c>
      <c r="G53" s="14">
        <v>1799.2599999999998</v>
      </c>
      <c r="H53" t="s">
        <v>838</v>
      </c>
      <c r="I53">
        <v>6</v>
      </c>
    </row>
    <row r="54" spans="1:9" ht="15.6" x14ac:dyDescent="0.3">
      <c r="A54" s="9">
        <v>53</v>
      </c>
      <c r="B54" s="24" t="s">
        <v>59</v>
      </c>
      <c r="C54" s="11">
        <v>26</v>
      </c>
      <c r="D54" s="12">
        <v>16.666666666666664</v>
      </c>
      <c r="E54" s="12" t="s">
        <v>8219</v>
      </c>
      <c r="F54" s="13">
        <v>6</v>
      </c>
      <c r="G54" s="14">
        <v>1784.25</v>
      </c>
      <c r="H54" t="s">
        <v>3654</v>
      </c>
      <c r="I54">
        <v>7</v>
      </c>
    </row>
    <row r="55" spans="1:9" ht="15.6" x14ac:dyDescent="0.3">
      <c r="A55" s="9">
        <v>54</v>
      </c>
      <c r="B55" s="24" t="s">
        <v>60</v>
      </c>
      <c r="C55" s="11">
        <v>24</v>
      </c>
      <c r="D55" s="12">
        <v>33.333333333333329</v>
      </c>
      <c r="E55" s="12" t="s">
        <v>8219</v>
      </c>
      <c r="F55" s="13">
        <v>6</v>
      </c>
      <c r="G55" s="14">
        <v>1760.2199999999998</v>
      </c>
      <c r="H55" t="s">
        <v>2630</v>
      </c>
      <c r="I55">
        <v>6</v>
      </c>
    </row>
    <row r="56" spans="1:9" ht="15.6" x14ac:dyDescent="0.3">
      <c r="A56" s="9">
        <v>55</v>
      </c>
      <c r="B56" s="24" t="s">
        <v>61</v>
      </c>
      <c r="C56" s="11">
        <v>24</v>
      </c>
      <c r="D56" s="12">
        <v>33.333333333333329</v>
      </c>
      <c r="E56" s="12" t="s">
        <v>8219</v>
      </c>
      <c r="F56" s="13">
        <v>6</v>
      </c>
      <c r="G56" s="14">
        <v>1800.25</v>
      </c>
      <c r="H56" t="s">
        <v>1606</v>
      </c>
      <c r="I56">
        <v>6</v>
      </c>
    </row>
    <row r="57" spans="1:9" ht="15.6" x14ac:dyDescent="0.3">
      <c r="A57" s="9">
        <v>56</v>
      </c>
      <c r="B57" s="24" t="s">
        <v>62</v>
      </c>
      <c r="C57" s="11">
        <v>18</v>
      </c>
      <c r="D57" s="12">
        <v>16.666666666666664</v>
      </c>
      <c r="E57" s="12" t="s">
        <v>8219</v>
      </c>
      <c r="F57" s="13">
        <v>6</v>
      </c>
      <c r="G57" s="14">
        <v>1775.23</v>
      </c>
      <c r="H57" t="s">
        <v>582</v>
      </c>
      <c r="I57">
        <v>5</v>
      </c>
    </row>
    <row r="58" spans="1:9" ht="15.6" x14ac:dyDescent="0.3">
      <c r="A58" s="9">
        <v>57</v>
      </c>
      <c r="B58" s="25" t="s">
        <v>63</v>
      </c>
      <c r="C58" s="11">
        <v>26</v>
      </c>
      <c r="D58" s="12">
        <v>16.666666666666664</v>
      </c>
      <c r="E58" s="12" t="s">
        <v>8219</v>
      </c>
      <c r="F58" s="13">
        <v>6</v>
      </c>
      <c r="G58" s="14">
        <v>1824.2799999999997</v>
      </c>
      <c r="H58" t="s">
        <v>3398</v>
      </c>
      <c r="I58">
        <v>7</v>
      </c>
    </row>
    <row r="59" spans="1:9" ht="15.6" x14ac:dyDescent="0.3">
      <c r="A59" s="9">
        <v>58</v>
      </c>
      <c r="B59" s="24" t="s">
        <v>64</v>
      </c>
      <c r="C59" s="11">
        <v>24</v>
      </c>
      <c r="D59" s="12">
        <v>33.333333333333329</v>
      </c>
      <c r="E59" s="12" t="s">
        <v>8219</v>
      </c>
      <c r="F59" s="13">
        <v>6</v>
      </c>
      <c r="G59" s="14">
        <v>1800.25</v>
      </c>
      <c r="H59" t="s">
        <v>2374</v>
      </c>
      <c r="I59">
        <v>6</v>
      </c>
    </row>
    <row r="60" spans="1:9" ht="15.6" x14ac:dyDescent="0.3">
      <c r="A60" s="9">
        <v>59</v>
      </c>
      <c r="B60" s="24" t="s">
        <v>65</v>
      </c>
      <c r="C60" s="11">
        <v>24</v>
      </c>
      <c r="D60" s="12">
        <v>33.333333333333329</v>
      </c>
      <c r="E60" s="12" t="s">
        <v>8219</v>
      </c>
      <c r="F60" s="13">
        <v>6</v>
      </c>
      <c r="G60" s="14">
        <v>1840.2800000000002</v>
      </c>
      <c r="H60" t="s">
        <v>1350</v>
      </c>
      <c r="I60">
        <v>6</v>
      </c>
    </row>
    <row r="61" spans="1:9" ht="15.6" x14ac:dyDescent="0.3">
      <c r="A61" s="9">
        <v>60</v>
      </c>
      <c r="B61" s="15" t="s">
        <v>66</v>
      </c>
      <c r="C61" s="11">
        <v>18</v>
      </c>
      <c r="D61" s="12">
        <v>16.666666666666664</v>
      </c>
      <c r="E61" s="12" t="s">
        <v>8219</v>
      </c>
      <c r="F61" s="13">
        <v>6</v>
      </c>
      <c r="G61" s="14">
        <v>1815.2599999999998</v>
      </c>
      <c r="H61" t="s">
        <v>326</v>
      </c>
      <c r="I61">
        <v>5</v>
      </c>
    </row>
    <row r="62" spans="1:9" ht="15.6" x14ac:dyDescent="0.3">
      <c r="A62" s="9">
        <v>61</v>
      </c>
      <c r="B62" s="15" t="s">
        <v>67</v>
      </c>
      <c r="C62" s="11">
        <v>20</v>
      </c>
      <c r="D62" s="12">
        <v>0</v>
      </c>
      <c r="E62" s="12" t="s">
        <v>8219</v>
      </c>
      <c r="F62" s="13">
        <v>6</v>
      </c>
      <c r="G62" s="14">
        <v>1799.2599999999998</v>
      </c>
      <c r="H62" t="s">
        <v>3142</v>
      </c>
      <c r="I62">
        <v>6</v>
      </c>
    </row>
    <row r="63" spans="1:9" ht="15.6" x14ac:dyDescent="0.3">
      <c r="A63" s="9">
        <v>62</v>
      </c>
      <c r="B63" s="15" t="s">
        <v>68</v>
      </c>
      <c r="C63" s="11">
        <v>18</v>
      </c>
      <c r="D63" s="12">
        <v>16.666666666666664</v>
      </c>
      <c r="E63" s="12" t="s">
        <v>8219</v>
      </c>
      <c r="F63" s="13">
        <v>6</v>
      </c>
      <c r="G63" s="14">
        <v>1775.23</v>
      </c>
      <c r="H63" t="s">
        <v>2118</v>
      </c>
      <c r="I63">
        <v>5</v>
      </c>
    </row>
    <row r="64" spans="1:9" ht="15.6" x14ac:dyDescent="0.3">
      <c r="A64" s="9">
        <v>63</v>
      </c>
      <c r="B64" s="24" t="s">
        <v>69</v>
      </c>
      <c r="C64" s="11">
        <v>18</v>
      </c>
      <c r="D64" s="12">
        <v>16.666666666666664</v>
      </c>
      <c r="E64" s="12" t="s">
        <v>8219</v>
      </c>
      <c r="F64" s="13">
        <v>6</v>
      </c>
      <c r="G64" s="14">
        <v>1815.2599999999998</v>
      </c>
      <c r="H64" t="s">
        <v>1094</v>
      </c>
      <c r="I64">
        <v>5</v>
      </c>
    </row>
    <row r="65" spans="1:9" ht="15.6" x14ac:dyDescent="0.3">
      <c r="A65" s="9">
        <v>64</v>
      </c>
      <c r="B65" s="24" t="s">
        <v>70</v>
      </c>
      <c r="C65" s="11">
        <v>12</v>
      </c>
      <c r="D65" s="12">
        <v>0</v>
      </c>
      <c r="E65" s="12" t="s">
        <v>8219</v>
      </c>
      <c r="F65" s="13">
        <v>6</v>
      </c>
      <c r="G65" s="14">
        <v>1790.2399999999998</v>
      </c>
      <c r="H65" t="s">
        <v>70</v>
      </c>
      <c r="I65">
        <v>4</v>
      </c>
    </row>
    <row r="66" spans="1:9" ht="15.6" x14ac:dyDescent="0.3">
      <c r="A66" s="9">
        <v>65</v>
      </c>
      <c r="B66" s="24" t="s">
        <v>71</v>
      </c>
      <c r="C66" s="11">
        <v>34</v>
      </c>
      <c r="D66" s="12">
        <v>16.666666666666664</v>
      </c>
      <c r="E66" s="12" t="s">
        <v>8219</v>
      </c>
      <c r="F66" s="13">
        <v>6</v>
      </c>
      <c r="G66" s="14">
        <v>1793.27</v>
      </c>
      <c r="H66" t="s">
        <v>4086</v>
      </c>
      <c r="I66">
        <v>8</v>
      </c>
    </row>
    <row r="67" spans="1:9" ht="15.6" x14ac:dyDescent="0.3">
      <c r="A67" s="9">
        <v>66</v>
      </c>
      <c r="B67" s="25" t="s">
        <v>72</v>
      </c>
      <c r="C67" s="11">
        <v>32</v>
      </c>
      <c r="D67" s="12">
        <v>33.333333333333329</v>
      </c>
      <c r="E67" s="12" t="s">
        <v>8219</v>
      </c>
      <c r="F67" s="13">
        <v>6</v>
      </c>
      <c r="G67" s="14">
        <v>1769.2399999999998</v>
      </c>
      <c r="H67" t="s">
        <v>3062</v>
      </c>
      <c r="I67">
        <v>8</v>
      </c>
    </row>
    <row r="68" spans="1:9" ht="15.6" x14ac:dyDescent="0.3">
      <c r="A68" s="9">
        <v>67</v>
      </c>
      <c r="B68" s="20" t="s">
        <v>73</v>
      </c>
      <c r="C68" s="11">
        <v>32</v>
      </c>
      <c r="D68" s="12">
        <v>33.333333333333329</v>
      </c>
      <c r="E68" s="12" t="s">
        <v>8219</v>
      </c>
      <c r="F68" s="13">
        <v>6</v>
      </c>
      <c r="G68" s="14">
        <v>1809.27</v>
      </c>
      <c r="H68" t="s">
        <v>2038</v>
      </c>
      <c r="I68">
        <v>8</v>
      </c>
    </row>
    <row r="69" spans="1:9" ht="15.6" x14ac:dyDescent="0.3">
      <c r="A69" s="9">
        <v>68</v>
      </c>
      <c r="B69" s="15" t="s">
        <v>74</v>
      </c>
      <c r="C69" s="11">
        <v>26</v>
      </c>
      <c r="D69" s="12">
        <v>16.666666666666664</v>
      </c>
      <c r="E69" s="12" t="s">
        <v>8219</v>
      </c>
      <c r="F69" s="13">
        <v>6</v>
      </c>
      <c r="G69" s="14">
        <v>1784.25</v>
      </c>
      <c r="H69" t="s">
        <v>1014</v>
      </c>
      <c r="I69">
        <v>7</v>
      </c>
    </row>
    <row r="70" spans="1:9" ht="15.6" x14ac:dyDescent="0.3">
      <c r="A70" s="9">
        <v>69</v>
      </c>
      <c r="B70" s="15" t="s">
        <v>75</v>
      </c>
      <c r="C70" s="11">
        <v>32</v>
      </c>
      <c r="D70" s="12">
        <v>33.333333333333329</v>
      </c>
      <c r="E70" s="12" t="s">
        <v>8219</v>
      </c>
      <c r="F70" s="13">
        <v>6</v>
      </c>
      <c r="G70" s="14">
        <v>1769.2399999999998</v>
      </c>
      <c r="H70" t="s">
        <v>3830</v>
      </c>
      <c r="I70">
        <v>8</v>
      </c>
    </row>
    <row r="71" spans="1:9" ht="15.6" x14ac:dyDescent="0.3">
      <c r="A71" s="9">
        <v>70</v>
      </c>
      <c r="B71" s="18" t="s">
        <v>76</v>
      </c>
      <c r="C71" s="11">
        <v>30</v>
      </c>
      <c r="D71" s="12">
        <v>50</v>
      </c>
      <c r="E71" s="12" t="s">
        <v>8220</v>
      </c>
      <c r="F71" s="13">
        <v>6</v>
      </c>
      <c r="G71" s="14">
        <v>1745.21</v>
      </c>
      <c r="H71" t="s">
        <v>2806</v>
      </c>
      <c r="I71">
        <v>7</v>
      </c>
    </row>
    <row r="72" spans="1:9" ht="15.6" x14ac:dyDescent="0.3">
      <c r="A72" s="9">
        <v>71</v>
      </c>
      <c r="B72" s="23" t="s">
        <v>77</v>
      </c>
      <c r="C72" s="11">
        <v>30</v>
      </c>
      <c r="D72" s="12">
        <v>50</v>
      </c>
      <c r="E72" s="12" t="s">
        <v>8220</v>
      </c>
      <c r="F72" s="13">
        <v>6</v>
      </c>
      <c r="G72" s="14">
        <v>1785.2399999999998</v>
      </c>
      <c r="H72" t="s">
        <v>1782</v>
      </c>
      <c r="I72">
        <v>7</v>
      </c>
    </row>
    <row r="73" spans="1:9" ht="15.6" x14ac:dyDescent="0.3">
      <c r="A73" s="9">
        <v>72</v>
      </c>
      <c r="B73" s="15" t="s">
        <v>78</v>
      </c>
      <c r="C73" s="11">
        <v>24</v>
      </c>
      <c r="D73" s="12">
        <v>33.333333333333329</v>
      </c>
      <c r="E73" s="12" t="s">
        <v>8219</v>
      </c>
      <c r="F73" s="13">
        <v>6</v>
      </c>
      <c r="G73" s="14">
        <v>1760.2199999999998</v>
      </c>
      <c r="H73" t="s">
        <v>758</v>
      </c>
      <c r="I73">
        <v>6</v>
      </c>
    </row>
    <row r="74" spans="1:9" ht="15.6" x14ac:dyDescent="0.3">
      <c r="A74" s="9">
        <v>73</v>
      </c>
      <c r="B74" s="15" t="s">
        <v>79</v>
      </c>
      <c r="C74" s="11">
        <v>32</v>
      </c>
      <c r="D74" s="12">
        <v>33.333333333333329</v>
      </c>
      <c r="E74" s="12" t="s">
        <v>8219</v>
      </c>
      <c r="F74" s="13">
        <v>6</v>
      </c>
      <c r="G74" s="14">
        <v>1809.27</v>
      </c>
      <c r="H74" t="s">
        <v>3574</v>
      </c>
      <c r="I74">
        <v>8</v>
      </c>
    </row>
    <row r="75" spans="1:9" ht="15.6" x14ac:dyDescent="0.3">
      <c r="A75" s="9">
        <v>74</v>
      </c>
      <c r="B75" s="25" t="s">
        <v>80</v>
      </c>
      <c r="C75" s="11">
        <v>30</v>
      </c>
      <c r="D75" s="12">
        <v>50</v>
      </c>
      <c r="E75" s="12" t="s">
        <v>8220</v>
      </c>
      <c r="F75" s="13">
        <v>6</v>
      </c>
      <c r="G75" s="14">
        <v>1785.2399999999998</v>
      </c>
      <c r="H75" t="s">
        <v>2550</v>
      </c>
      <c r="I75">
        <v>7</v>
      </c>
    </row>
    <row r="76" spans="1:9" ht="15.6" x14ac:dyDescent="0.3">
      <c r="A76" s="9">
        <v>75</v>
      </c>
      <c r="B76" s="15" t="s">
        <v>81</v>
      </c>
      <c r="C76" s="11">
        <v>30</v>
      </c>
      <c r="D76" s="12">
        <v>50</v>
      </c>
      <c r="E76" s="12" t="s">
        <v>8220</v>
      </c>
      <c r="F76" s="13">
        <v>6</v>
      </c>
      <c r="G76" s="14">
        <v>1825.27</v>
      </c>
      <c r="H76" t="s">
        <v>1526</v>
      </c>
      <c r="I76">
        <v>7</v>
      </c>
    </row>
    <row r="77" spans="1:9" ht="15.6" x14ac:dyDescent="0.3">
      <c r="A77" s="9">
        <v>76</v>
      </c>
      <c r="B77" s="15" t="s">
        <v>82</v>
      </c>
      <c r="C77" s="11">
        <v>24</v>
      </c>
      <c r="D77" s="12">
        <v>33.333333333333329</v>
      </c>
      <c r="E77" s="12" t="s">
        <v>8219</v>
      </c>
      <c r="F77" s="13">
        <v>6</v>
      </c>
      <c r="G77" s="14">
        <v>1800.25</v>
      </c>
      <c r="H77" t="s">
        <v>502</v>
      </c>
      <c r="I77">
        <v>6</v>
      </c>
    </row>
    <row r="78" spans="1:9" ht="15.6" x14ac:dyDescent="0.3">
      <c r="A78" s="9">
        <v>77</v>
      </c>
      <c r="B78" s="15" t="s">
        <v>83</v>
      </c>
      <c r="C78" s="11">
        <v>26</v>
      </c>
      <c r="D78" s="12">
        <v>16.666666666666664</v>
      </c>
      <c r="E78" s="12" t="s">
        <v>8219</v>
      </c>
      <c r="F78" s="13">
        <v>6</v>
      </c>
      <c r="G78" s="14">
        <v>1784.25</v>
      </c>
      <c r="H78" t="s">
        <v>3318</v>
      </c>
      <c r="I78">
        <v>7</v>
      </c>
    </row>
    <row r="79" spans="1:9" ht="15.6" x14ac:dyDescent="0.3">
      <c r="A79" s="9">
        <v>78</v>
      </c>
      <c r="B79" s="15" t="s">
        <v>84</v>
      </c>
      <c r="C79" s="11">
        <v>24</v>
      </c>
      <c r="D79" s="12">
        <v>33.333333333333329</v>
      </c>
      <c r="E79" s="12" t="s">
        <v>8219</v>
      </c>
      <c r="F79" s="13">
        <v>6</v>
      </c>
      <c r="G79" s="14">
        <v>1760.2199999999998</v>
      </c>
      <c r="H79" t="s">
        <v>2294</v>
      </c>
      <c r="I79">
        <v>6</v>
      </c>
    </row>
    <row r="80" spans="1:9" ht="15.6" x14ac:dyDescent="0.3">
      <c r="A80" s="9">
        <v>79</v>
      </c>
      <c r="B80" s="15" t="s">
        <v>85</v>
      </c>
      <c r="C80" s="11">
        <v>24</v>
      </c>
      <c r="D80" s="12">
        <v>33.333333333333329</v>
      </c>
      <c r="E80" s="12" t="s">
        <v>8219</v>
      </c>
      <c r="F80" s="13">
        <v>6</v>
      </c>
      <c r="G80" s="14">
        <v>1800.25</v>
      </c>
      <c r="H80" t="s">
        <v>1270</v>
      </c>
      <c r="I80">
        <v>6</v>
      </c>
    </row>
    <row r="81" spans="1:9" ht="15.6" x14ac:dyDescent="0.3">
      <c r="A81" s="9">
        <v>80</v>
      </c>
      <c r="B81" s="15" t="s">
        <v>86</v>
      </c>
      <c r="C81" s="11">
        <v>18</v>
      </c>
      <c r="D81" s="12">
        <v>16.666666666666664</v>
      </c>
      <c r="E81" s="12" t="s">
        <v>8219</v>
      </c>
      <c r="F81" s="13">
        <v>6</v>
      </c>
      <c r="G81" s="14">
        <v>1775.23</v>
      </c>
      <c r="H81" t="s">
        <v>246</v>
      </c>
      <c r="I81">
        <v>5</v>
      </c>
    </row>
    <row r="82" spans="1:9" ht="15.6" x14ac:dyDescent="0.3">
      <c r="A82" s="9">
        <v>81</v>
      </c>
      <c r="B82" s="15" t="s">
        <v>87</v>
      </c>
      <c r="C82" s="11">
        <v>32</v>
      </c>
      <c r="D82" s="12">
        <v>33.333333333333329</v>
      </c>
      <c r="E82" s="12" t="s">
        <v>8219</v>
      </c>
      <c r="F82" s="13">
        <v>6</v>
      </c>
      <c r="G82" s="14">
        <v>1769.2399999999998</v>
      </c>
      <c r="H82" t="s">
        <v>4022</v>
      </c>
      <c r="I82">
        <v>8</v>
      </c>
    </row>
    <row r="83" spans="1:9" ht="15.6" x14ac:dyDescent="0.3">
      <c r="A83" s="9">
        <v>82</v>
      </c>
      <c r="B83" s="25" t="s">
        <v>88</v>
      </c>
      <c r="C83" s="11">
        <v>30</v>
      </c>
      <c r="D83" s="12">
        <v>50</v>
      </c>
      <c r="E83" s="12" t="s">
        <v>8220</v>
      </c>
      <c r="F83" s="13">
        <v>6</v>
      </c>
      <c r="G83" s="14">
        <v>1745.21</v>
      </c>
      <c r="H83" t="s">
        <v>2998</v>
      </c>
      <c r="I83">
        <v>7</v>
      </c>
    </row>
    <row r="84" spans="1:9" ht="15.6" x14ac:dyDescent="0.3">
      <c r="A84" s="9">
        <v>83</v>
      </c>
      <c r="B84" s="15" t="s">
        <v>89</v>
      </c>
      <c r="C84" s="11">
        <v>30</v>
      </c>
      <c r="D84" s="12">
        <v>50</v>
      </c>
      <c r="E84" s="12" t="s">
        <v>8220</v>
      </c>
      <c r="F84" s="13">
        <v>6</v>
      </c>
      <c r="G84" s="14">
        <v>1785.2399999999998</v>
      </c>
      <c r="H84" t="s">
        <v>1974</v>
      </c>
      <c r="I84">
        <v>7</v>
      </c>
    </row>
    <row r="85" spans="1:9" ht="15.6" x14ac:dyDescent="0.3">
      <c r="A85" s="9">
        <v>84</v>
      </c>
      <c r="B85" s="20" t="s">
        <v>90</v>
      </c>
      <c r="C85" s="11">
        <v>24</v>
      </c>
      <c r="D85" s="12">
        <v>33.333333333333329</v>
      </c>
      <c r="E85" s="12" t="s">
        <v>8219</v>
      </c>
      <c r="F85" s="13">
        <v>6</v>
      </c>
      <c r="G85" s="14">
        <v>1760.2199999999998</v>
      </c>
      <c r="H85" t="s">
        <v>950</v>
      </c>
      <c r="I85">
        <v>6</v>
      </c>
    </row>
    <row r="86" spans="1:9" ht="15.6" x14ac:dyDescent="0.3">
      <c r="A86" s="9">
        <v>85</v>
      </c>
      <c r="B86" s="20" t="s">
        <v>91</v>
      </c>
      <c r="C86" s="11">
        <v>30</v>
      </c>
      <c r="D86" s="12">
        <v>50</v>
      </c>
      <c r="E86" s="12" t="s">
        <v>8220</v>
      </c>
      <c r="F86" s="13">
        <v>6</v>
      </c>
      <c r="G86" s="14">
        <v>1745.21</v>
      </c>
      <c r="H86" t="s">
        <v>3766</v>
      </c>
      <c r="I86">
        <v>7</v>
      </c>
    </row>
    <row r="87" spans="1:9" ht="15.6" x14ac:dyDescent="0.3">
      <c r="A87" s="9">
        <v>86</v>
      </c>
      <c r="B87" s="18" t="s">
        <v>92</v>
      </c>
      <c r="C87" s="11">
        <v>28</v>
      </c>
      <c r="D87" s="12">
        <v>66.666666666666657</v>
      </c>
      <c r="E87" s="12" t="s">
        <v>8220</v>
      </c>
      <c r="F87" s="13">
        <v>6</v>
      </c>
      <c r="G87" s="14">
        <v>1721.1799999999998</v>
      </c>
      <c r="H87" t="s">
        <v>2742</v>
      </c>
      <c r="I87">
        <v>7</v>
      </c>
    </row>
    <row r="88" spans="1:9" ht="15.6" x14ac:dyDescent="0.3">
      <c r="A88" s="9">
        <v>87</v>
      </c>
      <c r="B88" s="23" t="s">
        <v>93</v>
      </c>
      <c r="C88" s="11">
        <v>28</v>
      </c>
      <c r="D88" s="12">
        <v>66.666666666666657</v>
      </c>
      <c r="E88" s="12" t="s">
        <v>8220</v>
      </c>
      <c r="F88" s="13">
        <v>6</v>
      </c>
      <c r="G88" s="14">
        <v>1761.21</v>
      </c>
      <c r="H88" t="s">
        <v>1718</v>
      </c>
      <c r="I88">
        <v>7</v>
      </c>
    </row>
    <row r="89" spans="1:9" ht="15.6" x14ac:dyDescent="0.3">
      <c r="A89" s="9">
        <v>88</v>
      </c>
      <c r="B89" s="15" t="s">
        <v>94</v>
      </c>
      <c r="C89" s="11">
        <v>22</v>
      </c>
      <c r="D89" s="12">
        <v>50</v>
      </c>
      <c r="E89" s="12" t="s">
        <v>8220</v>
      </c>
      <c r="F89" s="13">
        <v>6</v>
      </c>
      <c r="G89" s="14">
        <v>1736.19</v>
      </c>
      <c r="H89" t="s">
        <v>694</v>
      </c>
      <c r="I89">
        <v>6</v>
      </c>
    </row>
    <row r="90" spans="1:9" ht="15.6" x14ac:dyDescent="0.3">
      <c r="A90" s="9">
        <v>89</v>
      </c>
      <c r="B90" s="15" t="s">
        <v>95</v>
      </c>
      <c r="C90" s="11">
        <v>30</v>
      </c>
      <c r="D90" s="12">
        <v>50</v>
      </c>
      <c r="E90" s="12" t="s">
        <v>8220</v>
      </c>
      <c r="F90" s="13">
        <v>6</v>
      </c>
      <c r="G90" s="14">
        <v>1785.2399999999998</v>
      </c>
      <c r="H90" t="s">
        <v>3510</v>
      </c>
      <c r="I90">
        <v>7</v>
      </c>
    </row>
    <row r="91" spans="1:9" ht="15.6" x14ac:dyDescent="0.3">
      <c r="A91" s="9">
        <v>90</v>
      </c>
      <c r="B91" s="22" t="s">
        <v>96</v>
      </c>
      <c r="C91" s="11">
        <v>28</v>
      </c>
      <c r="D91" s="12">
        <v>66.666666666666657</v>
      </c>
      <c r="E91" s="12" t="s">
        <v>8220</v>
      </c>
      <c r="F91" s="13">
        <v>6</v>
      </c>
      <c r="G91" s="14">
        <v>1761.21</v>
      </c>
      <c r="H91" t="s">
        <v>2486</v>
      </c>
      <c r="I91">
        <v>7</v>
      </c>
    </row>
    <row r="92" spans="1:9" ht="15.6" x14ac:dyDescent="0.3">
      <c r="A92" s="9">
        <v>91</v>
      </c>
      <c r="B92" s="15" t="s">
        <v>97</v>
      </c>
      <c r="C92" s="11">
        <v>28</v>
      </c>
      <c r="D92" s="12">
        <v>66.666666666666657</v>
      </c>
      <c r="E92" s="12" t="s">
        <v>8220</v>
      </c>
      <c r="F92" s="13">
        <v>6</v>
      </c>
      <c r="G92" s="14">
        <v>1801.2399999999998</v>
      </c>
      <c r="H92" t="s">
        <v>1462</v>
      </c>
      <c r="I92">
        <v>7</v>
      </c>
    </row>
    <row r="93" spans="1:9" ht="15.6" x14ac:dyDescent="0.3">
      <c r="A93" s="9">
        <v>92</v>
      </c>
      <c r="B93" s="15" t="s">
        <v>98</v>
      </c>
      <c r="C93" s="11">
        <v>22</v>
      </c>
      <c r="D93" s="12">
        <v>50</v>
      </c>
      <c r="E93" s="12" t="s">
        <v>8220</v>
      </c>
      <c r="F93" s="13">
        <v>6</v>
      </c>
      <c r="G93" s="14">
        <v>1776.2199999999998</v>
      </c>
      <c r="H93" t="s">
        <v>438</v>
      </c>
      <c r="I93">
        <v>6</v>
      </c>
    </row>
    <row r="94" spans="1:9" ht="15.6" x14ac:dyDescent="0.3">
      <c r="A94" s="9">
        <v>93</v>
      </c>
      <c r="B94" s="15" t="s">
        <v>99</v>
      </c>
      <c r="C94" s="11">
        <v>24</v>
      </c>
      <c r="D94" s="12">
        <v>33.333333333333329</v>
      </c>
      <c r="E94" s="12" t="s">
        <v>8219</v>
      </c>
      <c r="F94" s="13">
        <v>6</v>
      </c>
      <c r="G94" s="14">
        <v>1760.2199999999998</v>
      </c>
      <c r="H94" t="s">
        <v>3254</v>
      </c>
      <c r="I94">
        <v>6</v>
      </c>
    </row>
    <row r="95" spans="1:9" ht="15.6" x14ac:dyDescent="0.3">
      <c r="A95" s="9">
        <v>94</v>
      </c>
      <c r="B95" s="15" t="s">
        <v>100</v>
      </c>
      <c r="C95" s="11">
        <v>22</v>
      </c>
      <c r="D95" s="12">
        <v>50</v>
      </c>
      <c r="E95" s="12" t="s">
        <v>8220</v>
      </c>
      <c r="F95" s="13">
        <v>6</v>
      </c>
      <c r="G95" s="14">
        <v>1736.19</v>
      </c>
      <c r="H95" t="s">
        <v>2230</v>
      </c>
      <c r="I95">
        <v>6</v>
      </c>
    </row>
    <row r="96" spans="1:9" ht="15.6" x14ac:dyDescent="0.3">
      <c r="A96" s="9">
        <v>95</v>
      </c>
      <c r="B96" s="20" t="s">
        <v>101</v>
      </c>
      <c r="C96" s="11">
        <v>22</v>
      </c>
      <c r="D96" s="12">
        <v>50</v>
      </c>
      <c r="E96" s="12" t="s">
        <v>8220</v>
      </c>
      <c r="F96" s="13">
        <v>6</v>
      </c>
      <c r="G96" s="14">
        <v>1776.2199999999998</v>
      </c>
      <c r="H96" t="s">
        <v>1206</v>
      </c>
      <c r="I96">
        <v>6</v>
      </c>
    </row>
    <row r="97" spans="1:9" ht="15.6" x14ac:dyDescent="0.3">
      <c r="A97" s="9">
        <v>96</v>
      </c>
      <c r="B97" s="15" t="s">
        <v>102</v>
      </c>
      <c r="C97" s="11">
        <v>16</v>
      </c>
      <c r="D97" s="12">
        <v>33.333333333333329</v>
      </c>
      <c r="E97" s="12" t="s">
        <v>8219</v>
      </c>
      <c r="F97" s="13">
        <v>6</v>
      </c>
      <c r="G97" s="14">
        <v>1751.1999999999998</v>
      </c>
      <c r="H97" t="s">
        <v>182</v>
      </c>
      <c r="I97">
        <v>5</v>
      </c>
    </row>
    <row r="98" spans="1:9" ht="15.6" x14ac:dyDescent="0.3">
      <c r="A98" s="9">
        <v>97</v>
      </c>
      <c r="B98" s="18" t="s">
        <v>103</v>
      </c>
      <c r="C98" s="11">
        <v>32</v>
      </c>
      <c r="D98" s="12">
        <v>33.333333333333329</v>
      </c>
      <c r="E98" s="12" t="s">
        <v>8219</v>
      </c>
      <c r="F98" s="13">
        <v>6</v>
      </c>
      <c r="G98" s="14">
        <v>1809.27</v>
      </c>
      <c r="H98" t="s">
        <v>3958</v>
      </c>
      <c r="I98">
        <v>8</v>
      </c>
    </row>
    <row r="99" spans="1:9" ht="15.6" x14ac:dyDescent="0.3">
      <c r="A99" s="9">
        <v>98</v>
      </c>
      <c r="B99" s="23" t="s">
        <v>104</v>
      </c>
      <c r="C99" s="11">
        <v>30</v>
      </c>
      <c r="D99" s="12">
        <v>50</v>
      </c>
      <c r="E99" s="12" t="s">
        <v>8220</v>
      </c>
      <c r="F99" s="13">
        <v>6</v>
      </c>
      <c r="G99" s="14">
        <v>1785.2399999999998</v>
      </c>
      <c r="H99" t="s">
        <v>2934</v>
      </c>
      <c r="I99">
        <v>7</v>
      </c>
    </row>
    <row r="100" spans="1:9" ht="15.6" x14ac:dyDescent="0.3">
      <c r="A100" s="9">
        <v>99</v>
      </c>
      <c r="B100" s="23" t="s">
        <v>105</v>
      </c>
      <c r="C100" s="11">
        <v>30</v>
      </c>
      <c r="D100" s="12">
        <v>50</v>
      </c>
      <c r="E100" s="12" t="s">
        <v>8220</v>
      </c>
      <c r="F100" s="13">
        <v>6</v>
      </c>
      <c r="G100" s="14">
        <v>1825.27</v>
      </c>
      <c r="H100" t="s">
        <v>1910</v>
      </c>
      <c r="I100">
        <v>7</v>
      </c>
    </row>
    <row r="101" spans="1:9" ht="15.6" x14ac:dyDescent="0.3">
      <c r="A101" s="9">
        <v>100</v>
      </c>
      <c r="B101" s="26" t="s">
        <v>106</v>
      </c>
      <c r="C101" s="11">
        <v>24</v>
      </c>
      <c r="D101" s="12">
        <v>33.333333333333329</v>
      </c>
      <c r="E101" s="12" t="s">
        <v>8219</v>
      </c>
      <c r="F101" s="13">
        <v>6</v>
      </c>
      <c r="G101" s="14">
        <v>1800.25</v>
      </c>
      <c r="H101" t="s">
        <v>886</v>
      </c>
      <c r="I101">
        <v>6</v>
      </c>
    </row>
    <row r="102" spans="1:9" ht="15.6" x14ac:dyDescent="0.3">
      <c r="A102" s="9">
        <v>101</v>
      </c>
      <c r="B102" s="26" t="s">
        <v>107</v>
      </c>
      <c r="C102" s="11">
        <v>30</v>
      </c>
      <c r="D102" s="12">
        <v>50</v>
      </c>
      <c r="E102" s="12" t="s">
        <v>8220</v>
      </c>
      <c r="F102" s="13">
        <v>6</v>
      </c>
      <c r="G102" s="14">
        <v>1785.2399999999998</v>
      </c>
      <c r="H102" t="s">
        <v>3702</v>
      </c>
      <c r="I102">
        <v>7</v>
      </c>
    </row>
    <row r="103" spans="1:9" ht="15.6" x14ac:dyDescent="0.3">
      <c r="A103" s="9">
        <v>102</v>
      </c>
      <c r="B103" s="26" t="s">
        <v>108</v>
      </c>
      <c r="C103" s="11">
        <v>28</v>
      </c>
      <c r="D103" s="12">
        <v>66.666666666666657</v>
      </c>
      <c r="E103" s="12" t="s">
        <v>8220</v>
      </c>
      <c r="F103" s="13">
        <v>6</v>
      </c>
      <c r="G103" s="14">
        <v>1761.21</v>
      </c>
      <c r="H103" t="s">
        <v>2678</v>
      </c>
      <c r="I103">
        <v>7</v>
      </c>
    </row>
    <row r="104" spans="1:9" ht="15.6" x14ac:dyDescent="0.3">
      <c r="A104" s="9">
        <v>103</v>
      </c>
      <c r="B104" s="26" t="s">
        <v>109</v>
      </c>
      <c r="C104" s="11">
        <v>28</v>
      </c>
      <c r="D104" s="12">
        <v>66.666666666666657</v>
      </c>
      <c r="E104" s="12" t="s">
        <v>8220</v>
      </c>
      <c r="F104" s="13">
        <v>6</v>
      </c>
      <c r="G104" s="14">
        <v>1801.2399999999998</v>
      </c>
      <c r="H104" t="s">
        <v>1654</v>
      </c>
      <c r="I104">
        <v>7</v>
      </c>
    </row>
    <row r="105" spans="1:9" ht="15.6" x14ac:dyDescent="0.3">
      <c r="A105" s="9">
        <v>104</v>
      </c>
      <c r="B105" s="15" t="s">
        <v>110</v>
      </c>
      <c r="C105" s="11">
        <v>22</v>
      </c>
      <c r="D105" s="12">
        <v>50</v>
      </c>
      <c r="E105" s="12" t="s">
        <v>8220</v>
      </c>
      <c r="F105" s="13">
        <v>6</v>
      </c>
      <c r="G105" s="14">
        <v>1776.2199999999998</v>
      </c>
      <c r="H105" t="s">
        <v>630</v>
      </c>
      <c r="I105">
        <v>6</v>
      </c>
    </row>
    <row r="106" spans="1:9" ht="15.6" x14ac:dyDescent="0.3">
      <c r="A106" s="9">
        <v>105</v>
      </c>
      <c r="B106" s="15" t="s">
        <v>111</v>
      </c>
      <c r="C106" s="11">
        <v>30</v>
      </c>
      <c r="D106" s="12">
        <v>50</v>
      </c>
      <c r="E106" s="12" t="s">
        <v>8220</v>
      </c>
      <c r="F106" s="13">
        <v>6</v>
      </c>
      <c r="G106" s="14">
        <v>1825.27</v>
      </c>
      <c r="H106" t="s">
        <v>3446</v>
      </c>
      <c r="I106">
        <v>7</v>
      </c>
    </row>
    <row r="107" spans="1:9" ht="15.6" x14ac:dyDescent="0.3">
      <c r="A107" s="9">
        <v>106</v>
      </c>
      <c r="B107" s="15" t="s">
        <v>112</v>
      </c>
      <c r="C107" s="11">
        <v>28</v>
      </c>
      <c r="D107" s="12">
        <v>66.666666666666657</v>
      </c>
      <c r="E107" s="12" t="s">
        <v>8220</v>
      </c>
      <c r="F107" s="13">
        <v>6</v>
      </c>
      <c r="G107" s="14">
        <v>1801.2399999999998</v>
      </c>
      <c r="H107" t="s">
        <v>2422</v>
      </c>
      <c r="I107">
        <v>7</v>
      </c>
    </row>
    <row r="108" spans="1:9" ht="15.6" x14ac:dyDescent="0.3">
      <c r="A108" s="9">
        <v>107</v>
      </c>
      <c r="B108" s="15" t="s">
        <v>113</v>
      </c>
      <c r="C108" s="11">
        <v>28</v>
      </c>
      <c r="D108" s="12">
        <v>66.666666666666657</v>
      </c>
      <c r="E108" s="12" t="s">
        <v>8220</v>
      </c>
      <c r="F108" s="13">
        <v>6</v>
      </c>
      <c r="G108" s="14">
        <v>1841.27</v>
      </c>
      <c r="H108" t="s">
        <v>1398</v>
      </c>
      <c r="I108">
        <v>7</v>
      </c>
    </row>
    <row r="109" spans="1:9" ht="15.6" x14ac:dyDescent="0.3">
      <c r="A109" s="9">
        <v>108</v>
      </c>
      <c r="B109" s="15" t="s">
        <v>114</v>
      </c>
      <c r="C109" s="11">
        <v>22</v>
      </c>
      <c r="D109" s="12">
        <v>50</v>
      </c>
      <c r="E109" s="12" t="s">
        <v>8220</v>
      </c>
      <c r="F109" s="13">
        <v>6</v>
      </c>
      <c r="G109" s="14">
        <v>1816.25</v>
      </c>
      <c r="H109" t="s">
        <v>374</v>
      </c>
      <c r="I109">
        <v>6</v>
      </c>
    </row>
    <row r="110" spans="1:9" ht="15.6" x14ac:dyDescent="0.3">
      <c r="A110" s="9">
        <v>109</v>
      </c>
      <c r="B110" s="26" t="s">
        <v>115</v>
      </c>
      <c r="C110" s="11">
        <v>24</v>
      </c>
      <c r="D110" s="12">
        <v>33.333333333333329</v>
      </c>
      <c r="E110" s="12" t="s">
        <v>8219</v>
      </c>
      <c r="F110" s="13">
        <v>6</v>
      </c>
      <c r="G110" s="14">
        <v>1800.25</v>
      </c>
      <c r="H110" t="s">
        <v>3190</v>
      </c>
      <c r="I110">
        <v>6</v>
      </c>
    </row>
    <row r="111" spans="1:9" ht="15.6" x14ac:dyDescent="0.3">
      <c r="A111" s="9">
        <v>110</v>
      </c>
      <c r="B111" s="26" t="s">
        <v>116</v>
      </c>
      <c r="C111" s="11">
        <v>22</v>
      </c>
      <c r="D111" s="12">
        <v>50</v>
      </c>
      <c r="E111" s="12" t="s">
        <v>8220</v>
      </c>
      <c r="F111" s="13">
        <v>6</v>
      </c>
      <c r="G111" s="14">
        <v>1776.2199999999998</v>
      </c>
      <c r="H111" t="s">
        <v>2166</v>
      </c>
      <c r="I111">
        <v>6</v>
      </c>
    </row>
    <row r="112" spans="1:9" ht="15.6" x14ac:dyDescent="0.3">
      <c r="A112" s="9">
        <v>111</v>
      </c>
      <c r="B112" s="20" t="s">
        <v>117</v>
      </c>
      <c r="C112" s="11">
        <v>22</v>
      </c>
      <c r="D112" s="12">
        <v>50</v>
      </c>
      <c r="E112" s="12" t="s">
        <v>8220</v>
      </c>
      <c r="F112" s="13">
        <v>6</v>
      </c>
      <c r="G112" s="14">
        <v>1816.25</v>
      </c>
      <c r="H112" t="s">
        <v>1142</v>
      </c>
      <c r="I112">
        <v>6</v>
      </c>
    </row>
    <row r="113" spans="1:9" ht="15.6" x14ac:dyDescent="0.3">
      <c r="A113" s="9">
        <v>112</v>
      </c>
      <c r="B113" s="15" t="s">
        <v>118</v>
      </c>
      <c r="C113" s="11">
        <v>16</v>
      </c>
      <c r="D113" s="12">
        <v>33.333333333333329</v>
      </c>
      <c r="E113" s="12" t="s">
        <v>8219</v>
      </c>
      <c r="F113" s="13">
        <v>6</v>
      </c>
      <c r="G113" s="14">
        <v>1791.23</v>
      </c>
      <c r="H113" t="s">
        <v>118</v>
      </c>
      <c r="I113">
        <v>5</v>
      </c>
    </row>
    <row r="114" spans="1:9" ht="15.6" x14ac:dyDescent="0.3">
      <c r="A114" s="9">
        <v>113</v>
      </c>
      <c r="B114" s="18" t="s">
        <v>119</v>
      </c>
      <c r="C114" s="11">
        <v>26</v>
      </c>
      <c r="D114" s="12">
        <v>16.666666666666664</v>
      </c>
      <c r="E114" s="12" t="s">
        <v>8219</v>
      </c>
      <c r="F114" s="13">
        <v>6</v>
      </c>
      <c r="G114" s="14">
        <v>1784.25</v>
      </c>
      <c r="H114" t="s">
        <v>3894</v>
      </c>
      <c r="I114">
        <v>7</v>
      </c>
    </row>
    <row r="115" spans="1:9" ht="15.6" x14ac:dyDescent="0.3">
      <c r="A115" s="9">
        <v>114</v>
      </c>
      <c r="B115" s="23" t="s">
        <v>120</v>
      </c>
      <c r="C115" s="11">
        <v>24</v>
      </c>
      <c r="D115" s="12">
        <v>33.333333333333329</v>
      </c>
      <c r="E115" s="12" t="s">
        <v>8219</v>
      </c>
      <c r="F115" s="13">
        <v>6</v>
      </c>
      <c r="G115" s="14">
        <v>1760.2199999999998</v>
      </c>
      <c r="H115" t="s">
        <v>2870</v>
      </c>
      <c r="I115">
        <v>6</v>
      </c>
    </row>
    <row r="116" spans="1:9" ht="15.6" x14ac:dyDescent="0.3">
      <c r="A116" s="9">
        <v>115</v>
      </c>
      <c r="B116" s="15" t="s">
        <v>121</v>
      </c>
      <c r="C116" s="11">
        <v>24</v>
      </c>
      <c r="D116" s="12">
        <v>33.333333333333329</v>
      </c>
      <c r="E116" s="12" t="s">
        <v>8219</v>
      </c>
      <c r="F116" s="13">
        <v>6</v>
      </c>
      <c r="G116" s="14">
        <v>1800.25</v>
      </c>
      <c r="H116" t="s">
        <v>1846</v>
      </c>
      <c r="I116">
        <v>6</v>
      </c>
    </row>
    <row r="117" spans="1:9" ht="15.6" x14ac:dyDescent="0.3">
      <c r="A117" s="9">
        <v>116</v>
      </c>
      <c r="B117" s="15" t="s">
        <v>122</v>
      </c>
      <c r="C117" s="11">
        <v>18</v>
      </c>
      <c r="D117" s="12">
        <v>16.666666666666664</v>
      </c>
      <c r="E117" s="12" t="s">
        <v>8219</v>
      </c>
      <c r="F117" s="13">
        <v>6</v>
      </c>
      <c r="G117" s="14">
        <v>1775.23</v>
      </c>
      <c r="H117" t="s">
        <v>822</v>
      </c>
      <c r="I117">
        <v>5</v>
      </c>
    </row>
    <row r="118" spans="1:9" ht="15.6" x14ac:dyDescent="0.3">
      <c r="A118" s="9">
        <v>117</v>
      </c>
      <c r="B118" s="15" t="s">
        <v>123</v>
      </c>
      <c r="C118" s="11">
        <v>24</v>
      </c>
      <c r="D118" s="12">
        <v>33.333333333333329</v>
      </c>
      <c r="E118" s="12" t="s">
        <v>8219</v>
      </c>
      <c r="F118" s="13">
        <v>6</v>
      </c>
      <c r="G118" s="14">
        <v>1760.2199999999998</v>
      </c>
      <c r="H118" t="s">
        <v>3638</v>
      </c>
      <c r="I118">
        <v>6</v>
      </c>
    </row>
    <row r="119" spans="1:9" ht="15.6" x14ac:dyDescent="0.3">
      <c r="A119" s="9">
        <v>118</v>
      </c>
      <c r="B119" s="15" t="s">
        <v>124</v>
      </c>
      <c r="C119" s="11">
        <v>22</v>
      </c>
      <c r="D119" s="12">
        <v>50</v>
      </c>
      <c r="E119" s="12" t="s">
        <v>8220</v>
      </c>
      <c r="F119" s="13">
        <v>6</v>
      </c>
      <c r="G119" s="14">
        <v>1736.19</v>
      </c>
      <c r="H119" t="s">
        <v>2614</v>
      </c>
      <c r="I119">
        <v>6</v>
      </c>
    </row>
    <row r="120" spans="1:9" ht="15.6" x14ac:dyDescent="0.3">
      <c r="A120" s="9">
        <v>119</v>
      </c>
      <c r="B120" s="15" t="s">
        <v>125</v>
      </c>
      <c r="C120" s="11">
        <v>22</v>
      </c>
      <c r="D120" s="12">
        <v>50</v>
      </c>
      <c r="E120" s="12" t="s">
        <v>8220</v>
      </c>
      <c r="F120" s="13">
        <v>6</v>
      </c>
      <c r="G120" s="14">
        <v>1776.2199999999998</v>
      </c>
      <c r="H120" t="s">
        <v>1590</v>
      </c>
      <c r="I120">
        <v>6</v>
      </c>
    </row>
    <row r="121" spans="1:9" ht="15.6" x14ac:dyDescent="0.3">
      <c r="A121" s="9">
        <v>120</v>
      </c>
      <c r="B121" s="15" t="s">
        <v>126</v>
      </c>
      <c r="C121" s="11">
        <v>16</v>
      </c>
      <c r="D121" s="12">
        <v>33.333333333333329</v>
      </c>
      <c r="E121" s="12" t="s">
        <v>8219</v>
      </c>
      <c r="F121" s="13">
        <v>6</v>
      </c>
      <c r="G121" s="14">
        <v>1751.1999999999998</v>
      </c>
      <c r="H121" t="s">
        <v>566</v>
      </c>
      <c r="I121">
        <v>5</v>
      </c>
    </row>
    <row r="122" spans="1:9" ht="15.6" x14ac:dyDescent="0.3">
      <c r="A122" s="9">
        <v>121</v>
      </c>
      <c r="B122" s="15" t="s">
        <v>127</v>
      </c>
      <c r="C122" s="11">
        <v>24</v>
      </c>
      <c r="D122" s="12">
        <v>33.333333333333329</v>
      </c>
      <c r="E122" s="12" t="s">
        <v>8219</v>
      </c>
      <c r="F122" s="13">
        <v>6</v>
      </c>
      <c r="G122" s="14">
        <v>1800.25</v>
      </c>
      <c r="H122" t="s">
        <v>3382</v>
      </c>
      <c r="I122">
        <v>6</v>
      </c>
    </row>
    <row r="123" spans="1:9" ht="15.6" x14ac:dyDescent="0.3">
      <c r="A123" s="9">
        <v>122</v>
      </c>
      <c r="B123" s="15" t="s">
        <v>128</v>
      </c>
      <c r="C123" s="11">
        <v>22</v>
      </c>
      <c r="D123" s="12">
        <v>50</v>
      </c>
      <c r="E123" s="12" t="s">
        <v>8220</v>
      </c>
      <c r="F123" s="13">
        <v>6</v>
      </c>
      <c r="G123" s="14">
        <v>1776.2199999999998</v>
      </c>
      <c r="H123" t="s">
        <v>2358</v>
      </c>
      <c r="I123">
        <v>6</v>
      </c>
    </row>
    <row r="124" spans="1:9" ht="15.6" x14ac:dyDescent="0.3">
      <c r="A124" s="9">
        <v>123</v>
      </c>
      <c r="B124" s="15" t="s">
        <v>129</v>
      </c>
      <c r="C124" s="11">
        <v>22</v>
      </c>
      <c r="D124" s="12">
        <v>50</v>
      </c>
      <c r="E124" s="12" t="s">
        <v>8220</v>
      </c>
      <c r="F124" s="13">
        <v>6</v>
      </c>
      <c r="G124" s="14">
        <v>1816.25</v>
      </c>
      <c r="H124" t="s">
        <v>1334</v>
      </c>
      <c r="I124">
        <v>6</v>
      </c>
    </row>
    <row r="125" spans="1:9" ht="15.6" x14ac:dyDescent="0.3">
      <c r="A125" s="9">
        <v>124</v>
      </c>
      <c r="B125" s="15" t="s">
        <v>130</v>
      </c>
      <c r="C125" s="11">
        <v>16</v>
      </c>
      <c r="D125" s="12">
        <v>33.333333333333329</v>
      </c>
      <c r="E125" s="12" t="s">
        <v>8219</v>
      </c>
      <c r="F125" s="13">
        <v>6</v>
      </c>
      <c r="G125" s="14">
        <v>1791.23</v>
      </c>
      <c r="H125" t="s">
        <v>310</v>
      </c>
      <c r="I125">
        <v>5</v>
      </c>
    </row>
    <row r="126" spans="1:9" ht="15.6" x14ac:dyDescent="0.3">
      <c r="A126" s="9">
        <v>125</v>
      </c>
      <c r="B126" s="15" t="s">
        <v>131</v>
      </c>
      <c r="C126" s="11">
        <v>18</v>
      </c>
      <c r="D126" s="12">
        <v>16.666666666666664</v>
      </c>
      <c r="E126" s="12" t="s">
        <v>8219</v>
      </c>
      <c r="F126" s="13">
        <v>6</v>
      </c>
      <c r="G126" s="14">
        <v>1775.23</v>
      </c>
      <c r="H126" t="s">
        <v>3126</v>
      </c>
      <c r="I126">
        <v>5</v>
      </c>
    </row>
    <row r="127" spans="1:9" ht="15.6" x14ac:dyDescent="0.3">
      <c r="A127" s="9">
        <v>126</v>
      </c>
      <c r="B127" s="15" t="s">
        <v>132</v>
      </c>
      <c r="C127" s="11">
        <v>16</v>
      </c>
      <c r="D127" s="12">
        <v>33.333333333333329</v>
      </c>
      <c r="E127" s="12" t="s">
        <v>8219</v>
      </c>
      <c r="F127" s="13">
        <v>6</v>
      </c>
      <c r="G127" s="14">
        <v>1751.1999999999998</v>
      </c>
      <c r="H127" t="s">
        <v>2102</v>
      </c>
      <c r="I127">
        <v>5</v>
      </c>
    </row>
    <row r="128" spans="1:9" ht="15.6" x14ac:dyDescent="0.3">
      <c r="A128" s="9">
        <v>127</v>
      </c>
      <c r="B128" s="20" t="s">
        <v>133</v>
      </c>
      <c r="C128" s="11">
        <v>16</v>
      </c>
      <c r="D128" s="12">
        <v>33.333333333333329</v>
      </c>
      <c r="E128" s="12" t="s">
        <v>8219</v>
      </c>
      <c r="F128" s="13">
        <v>6</v>
      </c>
      <c r="G128" s="14">
        <v>1791.23</v>
      </c>
      <c r="H128" t="s">
        <v>1078</v>
      </c>
      <c r="I128">
        <v>5</v>
      </c>
    </row>
    <row r="129" spans="1:9" ht="15.6" x14ac:dyDescent="0.3">
      <c r="A129" s="9">
        <v>128</v>
      </c>
      <c r="B129" s="15" t="s">
        <v>134</v>
      </c>
      <c r="C129" s="11">
        <v>10</v>
      </c>
      <c r="D129" s="12">
        <v>16.666666666666664</v>
      </c>
      <c r="E129" s="12" t="s">
        <v>8219</v>
      </c>
      <c r="F129" s="13">
        <v>6</v>
      </c>
      <c r="G129" s="14">
        <v>1766.21</v>
      </c>
      <c r="H129" t="s">
        <v>54</v>
      </c>
      <c r="I129">
        <v>4</v>
      </c>
    </row>
    <row r="130" spans="1:9" ht="15.6" x14ac:dyDescent="0.3">
      <c r="A130" s="9">
        <v>129</v>
      </c>
      <c r="B130" s="18" t="s">
        <v>135</v>
      </c>
      <c r="C130" s="11">
        <v>34</v>
      </c>
      <c r="D130" s="12">
        <v>16.666666666666664</v>
      </c>
      <c r="E130" s="12" t="s">
        <v>8219</v>
      </c>
      <c r="F130" s="13">
        <v>6</v>
      </c>
      <c r="G130" s="14">
        <v>1833.2999999999997</v>
      </c>
      <c r="H130" t="s">
        <v>4070</v>
      </c>
      <c r="I130">
        <v>8</v>
      </c>
    </row>
    <row r="131" spans="1:9" ht="15.6" x14ac:dyDescent="0.3">
      <c r="A131" s="9">
        <v>130</v>
      </c>
      <c r="B131" s="15" t="s">
        <v>136</v>
      </c>
      <c r="C131" s="11">
        <v>32</v>
      </c>
      <c r="D131" s="12">
        <v>33.333333333333329</v>
      </c>
      <c r="E131" s="12" t="s">
        <v>8219</v>
      </c>
      <c r="F131" s="13">
        <v>6</v>
      </c>
      <c r="G131" s="14">
        <v>1809.27</v>
      </c>
      <c r="H131" t="s">
        <v>3046</v>
      </c>
      <c r="I131">
        <v>8</v>
      </c>
    </row>
    <row r="132" spans="1:9" ht="15.6" x14ac:dyDescent="0.3">
      <c r="A132" s="9">
        <v>131</v>
      </c>
      <c r="B132" s="15" t="s">
        <v>137</v>
      </c>
      <c r="C132" s="11">
        <v>32</v>
      </c>
      <c r="D132" s="12">
        <v>33.333333333333329</v>
      </c>
      <c r="E132" s="12" t="s">
        <v>8219</v>
      </c>
      <c r="F132" s="13">
        <v>6</v>
      </c>
      <c r="G132" s="14">
        <v>1849.3000000000002</v>
      </c>
      <c r="H132" t="s">
        <v>2022</v>
      </c>
      <c r="I132">
        <v>8</v>
      </c>
    </row>
    <row r="133" spans="1:9" ht="15.6" x14ac:dyDescent="0.3">
      <c r="A133" s="9">
        <v>132</v>
      </c>
      <c r="B133" s="15" t="s">
        <v>138</v>
      </c>
      <c r="C133" s="11">
        <v>26</v>
      </c>
      <c r="D133" s="12">
        <v>16.666666666666664</v>
      </c>
      <c r="E133" s="12" t="s">
        <v>8219</v>
      </c>
      <c r="F133" s="13">
        <v>6</v>
      </c>
      <c r="G133" s="14">
        <v>1824.2799999999997</v>
      </c>
      <c r="H133" t="s">
        <v>998</v>
      </c>
      <c r="I133">
        <v>7</v>
      </c>
    </row>
    <row r="134" spans="1:9" ht="15.6" x14ac:dyDescent="0.3">
      <c r="A134" s="9">
        <v>133</v>
      </c>
      <c r="B134" s="15" t="s">
        <v>139</v>
      </c>
      <c r="C134" s="11">
        <v>32</v>
      </c>
      <c r="D134" s="12">
        <v>33.333333333333329</v>
      </c>
      <c r="E134" s="12" t="s">
        <v>8219</v>
      </c>
      <c r="F134" s="13">
        <v>6</v>
      </c>
      <c r="G134" s="14">
        <v>1809.27</v>
      </c>
      <c r="H134" t="s">
        <v>3814</v>
      </c>
      <c r="I134">
        <v>8</v>
      </c>
    </row>
    <row r="135" spans="1:9" ht="15.6" x14ac:dyDescent="0.3">
      <c r="A135" s="9">
        <v>134</v>
      </c>
      <c r="B135" s="15" t="s">
        <v>140</v>
      </c>
      <c r="C135" s="11">
        <v>30</v>
      </c>
      <c r="D135" s="12">
        <v>50</v>
      </c>
      <c r="E135" s="12" t="s">
        <v>8220</v>
      </c>
      <c r="F135" s="13">
        <v>6</v>
      </c>
      <c r="G135" s="14">
        <v>1785.2399999999998</v>
      </c>
      <c r="H135" t="s">
        <v>2790</v>
      </c>
      <c r="I135">
        <v>7</v>
      </c>
    </row>
    <row r="136" spans="1:9" ht="15.6" x14ac:dyDescent="0.3">
      <c r="A136" s="9">
        <v>135</v>
      </c>
      <c r="B136" s="15" t="s">
        <v>141</v>
      </c>
      <c r="C136" s="11">
        <v>30</v>
      </c>
      <c r="D136" s="12">
        <v>50</v>
      </c>
      <c r="E136" s="12" t="s">
        <v>8220</v>
      </c>
      <c r="F136" s="13">
        <v>6</v>
      </c>
      <c r="G136" s="14">
        <v>1825.27</v>
      </c>
      <c r="H136" t="s">
        <v>1766</v>
      </c>
      <c r="I136">
        <v>7</v>
      </c>
    </row>
    <row r="137" spans="1:9" ht="15.6" x14ac:dyDescent="0.3">
      <c r="A137" s="9">
        <v>136</v>
      </c>
      <c r="B137" s="15" t="s">
        <v>142</v>
      </c>
      <c r="C137" s="11">
        <v>24</v>
      </c>
      <c r="D137" s="12">
        <v>33.333333333333329</v>
      </c>
      <c r="E137" s="12" t="s">
        <v>8219</v>
      </c>
      <c r="F137" s="13">
        <v>6</v>
      </c>
      <c r="G137" s="14">
        <v>1800.25</v>
      </c>
      <c r="H137" t="s">
        <v>742</v>
      </c>
      <c r="I137">
        <v>6</v>
      </c>
    </row>
    <row r="138" spans="1:9" ht="15.6" x14ac:dyDescent="0.3">
      <c r="A138" s="9">
        <v>137</v>
      </c>
      <c r="B138" s="15" t="s">
        <v>143</v>
      </c>
      <c r="C138" s="11">
        <v>32</v>
      </c>
      <c r="D138" s="12">
        <v>33.333333333333329</v>
      </c>
      <c r="E138" s="12" t="s">
        <v>8219</v>
      </c>
      <c r="F138" s="13">
        <v>6</v>
      </c>
      <c r="G138" s="14">
        <v>1849.3000000000002</v>
      </c>
      <c r="H138" t="s">
        <v>3558</v>
      </c>
      <c r="I138">
        <v>8</v>
      </c>
    </row>
    <row r="139" spans="1:9" ht="15.6" x14ac:dyDescent="0.3">
      <c r="A139" s="9">
        <v>138</v>
      </c>
      <c r="B139" s="15" t="s">
        <v>144</v>
      </c>
      <c r="C139" s="11">
        <v>30</v>
      </c>
      <c r="D139" s="12">
        <v>50</v>
      </c>
      <c r="E139" s="12" t="s">
        <v>8220</v>
      </c>
      <c r="F139" s="13">
        <v>6</v>
      </c>
      <c r="G139" s="14">
        <v>1825.27</v>
      </c>
      <c r="H139" t="s">
        <v>2534</v>
      </c>
      <c r="I139">
        <v>7</v>
      </c>
    </row>
    <row r="140" spans="1:9" ht="15.6" x14ac:dyDescent="0.3">
      <c r="A140" s="9">
        <v>139</v>
      </c>
      <c r="B140" s="15" t="s">
        <v>145</v>
      </c>
      <c r="C140" s="11">
        <v>30</v>
      </c>
      <c r="D140" s="12">
        <v>50</v>
      </c>
      <c r="E140" s="12" t="s">
        <v>8220</v>
      </c>
      <c r="F140" s="13">
        <v>6</v>
      </c>
      <c r="G140" s="14">
        <v>1865.3000000000002</v>
      </c>
      <c r="H140" t="s">
        <v>1510</v>
      </c>
      <c r="I140">
        <v>7</v>
      </c>
    </row>
    <row r="141" spans="1:9" ht="15.6" x14ac:dyDescent="0.3">
      <c r="A141" s="9">
        <v>140</v>
      </c>
      <c r="B141" s="2" t="s">
        <v>146</v>
      </c>
      <c r="C141" s="11">
        <v>24</v>
      </c>
      <c r="D141" s="12">
        <v>33.333333333333329</v>
      </c>
      <c r="E141" s="12" t="s">
        <v>8219</v>
      </c>
      <c r="F141" s="13">
        <v>6</v>
      </c>
      <c r="G141" s="14">
        <v>1840.2800000000002</v>
      </c>
      <c r="H141" t="s">
        <v>486</v>
      </c>
      <c r="I141">
        <v>6</v>
      </c>
    </row>
    <row r="142" spans="1:9" ht="15.6" x14ac:dyDescent="0.3">
      <c r="A142" s="9">
        <v>141</v>
      </c>
      <c r="B142" s="2" t="s">
        <v>147</v>
      </c>
      <c r="C142" s="11">
        <v>26</v>
      </c>
      <c r="D142" s="12">
        <v>16.666666666666664</v>
      </c>
      <c r="E142" s="12" t="s">
        <v>8219</v>
      </c>
      <c r="F142" s="13">
        <v>6</v>
      </c>
      <c r="G142" s="14">
        <v>1824.2799999999997</v>
      </c>
      <c r="H142" t="s">
        <v>3302</v>
      </c>
      <c r="I142">
        <v>7</v>
      </c>
    </row>
    <row r="143" spans="1:9" ht="15.6" x14ac:dyDescent="0.3">
      <c r="A143" s="9">
        <v>142</v>
      </c>
      <c r="B143" s="2" t="s">
        <v>148</v>
      </c>
      <c r="C143" s="11">
        <v>24</v>
      </c>
      <c r="D143" s="12">
        <v>33.333333333333329</v>
      </c>
      <c r="E143" s="12" t="s">
        <v>8219</v>
      </c>
      <c r="F143" s="13">
        <v>6</v>
      </c>
      <c r="G143" s="14">
        <v>1800.25</v>
      </c>
      <c r="H143" t="s">
        <v>2278</v>
      </c>
      <c r="I143">
        <v>6</v>
      </c>
    </row>
    <row r="144" spans="1:9" ht="15.6" x14ac:dyDescent="0.3">
      <c r="A144" s="9">
        <v>143</v>
      </c>
      <c r="B144" s="2" t="s">
        <v>149</v>
      </c>
      <c r="C144" s="11">
        <v>24</v>
      </c>
      <c r="D144" s="12">
        <v>33.333333333333329</v>
      </c>
      <c r="E144" s="12" t="s">
        <v>8219</v>
      </c>
      <c r="F144" s="13">
        <v>6</v>
      </c>
      <c r="G144" s="14">
        <v>1840.2800000000002</v>
      </c>
      <c r="H144" t="s">
        <v>1254</v>
      </c>
      <c r="I144">
        <v>6</v>
      </c>
    </row>
    <row r="145" spans="1:9" ht="15.6" x14ac:dyDescent="0.3">
      <c r="A145" s="9">
        <v>144</v>
      </c>
      <c r="B145" s="2" t="s">
        <v>150</v>
      </c>
      <c r="C145" s="11">
        <v>18</v>
      </c>
      <c r="D145" s="12">
        <v>16.666666666666664</v>
      </c>
      <c r="E145" s="12" t="s">
        <v>8219</v>
      </c>
      <c r="F145" s="13">
        <v>6</v>
      </c>
      <c r="G145" s="14">
        <v>1815.2599999999998</v>
      </c>
      <c r="H145" t="s">
        <v>230</v>
      </c>
      <c r="I145">
        <v>5</v>
      </c>
    </row>
    <row r="146" spans="1:9" ht="15.6" x14ac:dyDescent="0.3">
      <c r="A146" s="9">
        <v>145</v>
      </c>
      <c r="B146" s="2" t="s">
        <v>151</v>
      </c>
      <c r="C146" s="11">
        <v>32</v>
      </c>
      <c r="D146" s="12">
        <v>33.333333333333329</v>
      </c>
      <c r="E146" s="12" t="s">
        <v>8219</v>
      </c>
      <c r="F146" s="13">
        <v>6</v>
      </c>
      <c r="G146" s="14">
        <v>1809.27</v>
      </c>
      <c r="H146" t="s">
        <v>4006</v>
      </c>
      <c r="I146">
        <v>8</v>
      </c>
    </row>
    <row r="147" spans="1:9" ht="15.6" x14ac:dyDescent="0.3">
      <c r="A147" s="9">
        <v>146</v>
      </c>
      <c r="B147" s="2" t="s">
        <v>152</v>
      </c>
      <c r="C147" s="11">
        <v>30</v>
      </c>
      <c r="D147" s="12">
        <v>50</v>
      </c>
      <c r="E147" s="12" t="s">
        <v>8220</v>
      </c>
      <c r="F147" s="13">
        <v>6</v>
      </c>
      <c r="G147" s="14">
        <v>1785.2399999999998</v>
      </c>
      <c r="H147" t="s">
        <v>2982</v>
      </c>
      <c r="I147">
        <v>7</v>
      </c>
    </row>
    <row r="148" spans="1:9" ht="15.6" x14ac:dyDescent="0.3">
      <c r="A148" s="9">
        <v>147</v>
      </c>
      <c r="B148" s="2" t="s">
        <v>153</v>
      </c>
      <c r="C148" s="11">
        <v>30</v>
      </c>
      <c r="D148" s="12">
        <v>50</v>
      </c>
      <c r="E148" s="12" t="s">
        <v>8220</v>
      </c>
      <c r="F148" s="13">
        <v>6</v>
      </c>
      <c r="G148" s="14">
        <v>1825.27</v>
      </c>
      <c r="H148" t="s">
        <v>1958</v>
      </c>
      <c r="I148">
        <v>7</v>
      </c>
    </row>
    <row r="149" spans="1:9" ht="15.6" x14ac:dyDescent="0.3">
      <c r="A149" s="9">
        <v>148</v>
      </c>
      <c r="B149" s="2" t="s">
        <v>154</v>
      </c>
      <c r="C149" s="11">
        <v>24</v>
      </c>
      <c r="D149" s="12">
        <v>33.333333333333329</v>
      </c>
      <c r="E149" s="12" t="s">
        <v>8219</v>
      </c>
      <c r="F149" s="13">
        <v>6</v>
      </c>
      <c r="G149" s="14">
        <v>1800.25</v>
      </c>
      <c r="H149" t="s">
        <v>934</v>
      </c>
      <c r="I149">
        <v>6</v>
      </c>
    </row>
    <row r="150" spans="1:9" ht="15.6" x14ac:dyDescent="0.3">
      <c r="A150" s="9">
        <v>149</v>
      </c>
      <c r="B150" s="2" t="s">
        <v>155</v>
      </c>
      <c r="C150" s="11">
        <v>30</v>
      </c>
      <c r="D150" s="12">
        <v>50</v>
      </c>
      <c r="E150" s="12" t="s">
        <v>8220</v>
      </c>
      <c r="F150" s="13">
        <v>6</v>
      </c>
      <c r="G150" s="14">
        <v>1785.2399999999998</v>
      </c>
      <c r="H150" t="s">
        <v>3750</v>
      </c>
      <c r="I150">
        <v>7</v>
      </c>
    </row>
    <row r="151" spans="1:9" ht="15.6" x14ac:dyDescent="0.3">
      <c r="A151" s="9">
        <v>150</v>
      </c>
      <c r="B151" s="2" t="s">
        <v>156</v>
      </c>
      <c r="C151" s="11">
        <v>28</v>
      </c>
      <c r="D151" s="12">
        <v>66.666666666666657</v>
      </c>
      <c r="E151" s="12" t="s">
        <v>8220</v>
      </c>
      <c r="F151" s="13">
        <v>6</v>
      </c>
      <c r="G151" s="14">
        <v>1761.21</v>
      </c>
      <c r="H151" t="s">
        <v>2726</v>
      </c>
      <c r="I151">
        <v>7</v>
      </c>
    </row>
    <row r="152" spans="1:9" ht="15.6" x14ac:dyDescent="0.3">
      <c r="A152" s="9">
        <v>151</v>
      </c>
      <c r="B152" s="2" t="s">
        <v>157</v>
      </c>
      <c r="C152" s="11">
        <v>28</v>
      </c>
      <c r="D152" s="12">
        <v>66.666666666666657</v>
      </c>
      <c r="E152" s="12" t="s">
        <v>8220</v>
      </c>
      <c r="F152" s="13">
        <v>6</v>
      </c>
      <c r="G152" s="14">
        <v>1801.2399999999998</v>
      </c>
      <c r="H152" t="s">
        <v>1702</v>
      </c>
      <c r="I152">
        <v>7</v>
      </c>
    </row>
    <row r="153" spans="1:9" ht="15.6" x14ac:dyDescent="0.3">
      <c r="A153" s="9">
        <v>152</v>
      </c>
      <c r="B153" s="2" t="s">
        <v>158</v>
      </c>
      <c r="C153" s="11">
        <v>22</v>
      </c>
      <c r="D153" s="12">
        <v>50</v>
      </c>
      <c r="E153" s="12" t="s">
        <v>8220</v>
      </c>
      <c r="F153" s="13">
        <v>6</v>
      </c>
      <c r="G153" s="14">
        <v>1776.2199999999998</v>
      </c>
      <c r="H153" t="s">
        <v>678</v>
      </c>
      <c r="I153">
        <v>6</v>
      </c>
    </row>
    <row r="154" spans="1:9" ht="15.6" x14ac:dyDescent="0.3">
      <c r="A154" s="9">
        <v>153</v>
      </c>
      <c r="B154" s="2" t="s">
        <v>159</v>
      </c>
      <c r="C154" s="11">
        <v>30</v>
      </c>
      <c r="D154" s="12">
        <v>50</v>
      </c>
      <c r="E154" s="12" t="s">
        <v>8220</v>
      </c>
      <c r="F154" s="13">
        <v>6</v>
      </c>
      <c r="G154" s="14">
        <v>1825.27</v>
      </c>
      <c r="H154" t="s">
        <v>3494</v>
      </c>
      <c r="I154">
        <v>7</v>
      </c>
    </row>
    <row r="155" spans="1:9" ht="15.6" x14ac:dyDescent="0.3">
      <c r="A155" s="9">
        <v>154</v>
      </c>
      <c r="B155" s="2" t="s">
        <v>160</v>
      </c>
      <c r="C155" s="11">
        <v>28</v>
      </c>
      <c r="D155" s="12">
        <v>66.666666666666657</v>
      </c>
      <c r="E155" s="12" t="s">
        <v>8220</v>
      </c>
      <c r="F155" s="13">
        <v>6</v>
      </c>
      <c r="G155" s="14">
        <v>1801.2399999999998</v>
      </c>
      <c r="H155" t="s">
        <v>2470</v>
      </c>
      <c r="I155">
        <v>7</v>
      </c>
    </row>
    <row r="156" spans="1:9" ht="15.6" x14ac:dyDescent="0.3">
      <c r="A156" s="9">
        <v>155</v>
      </c>
      <c r="B156" s="2" t="s">
        <v>161</v>
      </c>
      <c r="C156" s="11">
        <v>28</v>
      </c>
      <c r="D156" s="12">
        <v>66.666666666666657</v>
      </c>
      <c r="E156" s="12" t="s">
        <v>8220</v>
      </c>
      <c r="F156" s="13">
        <v>6</v>
      </c>
      <c r="G156" s="14">
        <v>1841.27</v>
      </c>
      <c r="H156" t="s">
        <v>1446</v>
      </c>
      <c r="I156">
        <v>7</v>
      </c>
    </row>
    <row r="157" spans="1:9" ht="15.6" x14ac:dyDescent="0.3">
      <c r="A157" s="9">
        <v>156</v>
      </c>
      <c r="B157" s="2" t="s">
        <v>162</v>
      </c>
      <c r="C157" s="11">
        <v>22</v>
      </c>
      <c r="D157" s="12">
        <v>50</v>
      </c>
      <c r="E157" s="12" t="s">
        <v>8220</v>
      </c>
      <c r="F157" s="13">
        <v>6</v>
      </c>
      <c r="G157" s="14">
        <v>1816.25</v>
      </c>
      <c r="H157" t="s">
        <v>422</v>
      </c>
      <c r="I157">
        <v>6</v>
      </c>
    </row>
    <row r="158" spans="1:9" ht="15.6" x14ac:dyDescent="0.3">
      <c r="A158" s="9">
        <v>157</v>
      </c>
      <c r="B158" s="2" t="s">
        <v>163</v>
      </c>
      <c r="C158" s="11">
        <v>24</v>
      </c>
      <c r="D158" s="12">
        <v>33.333333333333329</v>
      </c>
      <c r="E158" s="12" t="s">
        <v>8219</v>
      </c>
      <c r="F158" s="13">
        <v>6</v>
      </c>
      <c r="G158" s="14">
        <v>1800.25</v>
      </c>
      <c r="H158" t="s">
        <v>3238</v>
      </c>
      <c r="I158">
        <v>6</v>
      </c>
    </row>
    <row r="159" spans="1:9" ht="15.6" x14ac:dyDescent="0.3">
      <c r="A159" s="9">
        <v>158</v>
      </c>
      <c r="B159" s="2" t="s">
        <v>164</v>
      </c>
      <c r="C159" s="11">
        <v>22</v>
      </c>
      <c r="D159" s="12">
        <v>50</v>
      </c>
      <c r="E159" s="12" t="s">
        <v>8220</v>
      </c>
      <c r="F159" s="13">
        <v>6</v>
      </c>
      <c r="G159" s="14">
        <v>1776.2199999999998</v>
      </c>
      <c r="H159" t="s">
        <v>2214</v>
      </c>
      <c r="I159">
        <v>6</v>
      </c>
    </row>
    <row r="160" spans="1:9" ht="15.6" x14ac:dyDescent="0.3">
      <c r="A160" s="9">
        <v>159</v>
      </c>
      <c r="B160" s="2" t="s">
        <v>165</v>
      </c>
      <c r="C160" s="11">
        <v>22</v>
      </c>
      <c r="D160" s="12">
        <v>50</v>
      </c>
      <c r="E160" s="12" t="s">
        <v>8220</v>
      </c>
      <c r="F160" s="13">
        <v>6</v>
      </c>
      <c r="G160" s="14">
        <v>1816.25</v>
      </c>
      <c r="H160" t="s">
        <v>1190</v>
      </c>
      <c r="I160">
        <v>6</v>
      </c>
    </row>
    <row r="161" spans="1:9" ht="15.6" x14ac:dyDescent="0.3">
      <c r="A161" s="9">
        <v>160</v>
      </c>
      <c r="B161" s="2" t="s">
        <v>166</v>
      </c>
      <c r="C161" s="11">
        <v>16</v>
      </c>
      <c r="D161" s="12">
        <v>33.333333333333329</v>
      </c>
      <c r="E161" s="12" t="s">
        <v>8219</v>
      </c>
      <c r="F161" s="13">
        <v>6</v>
      </c>
      <c r="G161" s="14">
        <v>1791.23</v>
      </c>
      <c r="H161" t="s">
        <v>166</v>
      </c>
      <c r="I161">
        <v>5</v>
      </c>
    </row>
    <row r="162" spans="1:9" ht="15.6" x14ac:dyDescent="0.3">
      <c r="A162" s="9">
        <v>161</v>
      </c>
      <c r="B162" s="2" t="s">
        <v>167</v>
      </c>
      <c r="C162" s="11">
        <v>32</v>
      </c>
      <c r="D162" s="12">
        <v>33.333333333333329</v>
      </c>
      <c r="E162" s="12" t="s">
        <v>8219</v>
      </c>
      <c r="F162" s="13">
        <v>6</v>
      </c>
      <c r="G162" s="14">
        <v>1849.3000000000002</v>
      </c>
      <c r="H162" t="s">
        <v>3942</v>
      </c>
      <c r="I162">
        <v>8</v>
      </c>
    </row>
    <row r="163" spans="1:9" ht="15.6" x14ac:dyDescent="0.3">
      <c r="A163" s="9">
        <v>162</v>
      </c>
      <c r="B163" s="2" t="s">
        <v>168</v>
      </c>
      <c r="C163" s="11">
        <v>30</v>
      </c>
      <c r="D163" s="12">
        <v>50</v>
      </c>
      <c r="E163" s="12" t="s">
        <v>8220</v>
      </c>
      <c r="F163" s="13">
        <v>6</v>
      </c>
      <c r="G163" s="14">
        <v>1825.27</v>
      </c>
      <c r="H163" t="s">
        <v>2918</v>
      </c>
      <c r="I163">
        <v>7</v>
      </c>
    </row>
    <row r="164" spans="1:9" ht="15.6" x14ac:dyDescent="0.3">
      <c r="A164" s="9">
        <v>163</v>
      </c>
      <c r="B164" s="2" t="s">
        <v>169</v>
      </c>
      <c r="C164" s="11">
        <v>30</v>
      </c>
      <c r="D164" s="12">
        <v>50</v>
      </c>
      <c r="E164" s="12" t="s">
        <v>8220</v>
      </c>
      <c r="F164" s="13">
        <v>6</v>
      </c>
      <c r="G164" s="14">
        <v>1865.3000000000002</v>
      </c>
      <c r="H164" t="s">
        <v>1894</v>
      </c>
      <c r="I164">
        <v>7</v>
      </c>
    </row>
    <row r="165" spans="1:9" ht="15.6" x14ac:dyDescent="0.3">
      <c r="A165" s="9">
        <v>164</v>
      </c>
      <c r="B165" s="2" t="s">
        <v>170</v>
      </c>
      <c r="C165" s="11">
        <v>24</v>
      </c>
      <c r="D165" s="12">
        <v>33.333333333333329</v>
      </c>
      <c r="E165" s="12" t="s">
        <v>8219</v>
      </c>
      <c r="F165" s="13">
        <v>6</v>
      </c>
      <c r="G165" s="14">
        <v>1840.2800000000002</v>
      </c>
      <c r="H165" t="s">
        <v>870</v>
      </c>
      <c r="I165">
        <v>6</v>
      </c>
    </row>
    <row r="166" spans="1:9" ht="15.6" x14ac:dyDescent="0.3">
      <c r="A166" s="9">
        <v>165</v>
      </c>
      <c r="B166" s="2" t="s">
        <v>171</v>
      </c>
      <c r="C166" s="11">
        <v>30</v>
      </c>
      <c r="D166" s="12">
        <v>50</v>
      </c>
      <c r="E166" s="12" t="s">
        <v>8220</v>
      </c>
      <c r="F166" s="13">
        <v>6</v>
      </c>
      <c r="G166" s="14">
        <v>1825.27</v>
      </c>
      <c r="H166" t="s">
        <v>3686</v>
      </c>
      <c r="I166">
        <v>7</v>
      </c>
    </row>
    <row r="167" spans="1:9" ht="15.6" x14ac:dyDescent="0.3">
      <c r="A167" s="9">
        <v>166</v>
      </c>
      <c r="B167" s="2" t="s">
        <v>172</v>
      </c>
      <c r="C167" s="11">
        <v>28</v>
      </c>
      <c r="D167" s="12">
        <v>66.666666666666657</v>
      </c>
      <c r="E167" s="12" t="s">
        <v>8220</v>
      </c>
      <c r="F167" s="13">
        <v>6</v>
      </c>
      <c r="G167" s="14">
        <v>1801.2399999999998</v>
      </c>
      <c r="H167" t="s">
        <v>2662</v>
      </c>
      <c r="I167">
        <v>7</v>
      </c>
    </row>
    <row r="168" spans="1:9" ht="15.6" x14ac:dyDescent="0.3">
      <c r="A168" s="9">
        <v>167</v>
      </c>
      <c r="B168" s="2" t="s">
        <v>173</v>
      </c>
      <c r="C168" s="11">
        <v>28</v>
      </c>
      <c r="D168" s="12">
        <v>66.666666666666657</v>
      </c>
      <c r="E168" s="12" t="s">
        <v>8220</v>
      </c>
      <c r="F168" s="13">
        <v>6</v>
      </c>
      <c r="G168" s="14">
        <v>1841.27</v>
      </c>
      <c r="H168" t="s">
        <v>1638</v>
      </c>
      <c r="I168">
        <v>7</v>
      </c>
    </row>
    <row r="169" spans="1:9" ht="15.6" x14ac:dyDescent="0.3">
      <c r="A169" s="9">
        <v>168</v>
      </c>
      <c r="B169" s="2" t="s">
        <v>174</v>
      </c>
      <c r="C169" s="11">
        <v>22</v>
      </c>
      <c r="D169" s="12">
        <v>50</v>
      </c>
      <c r="E169" s="12" t="s">
        <v>8220</v>
      </c>
      <c r="F169" s="13">
        <v>6</v>
      </c>
      <c r="G169" s="14">
        <v>1816.25</v>
      </c>
      <c r="H169" t="s">
        <v>614</v>
      </c>
      <c r="I169">
        <v>6</v>
      </c>
    </row>
    <row r="170" spans="1:9" ht="15.6" x14ac:dyDescent="0.3">
      <c r="A170" s="9">
        <v>169</v>
      </c>
      <c r="B170" s="2" t="s">
        <v>175</v>
      </c>
      <c r="C170" s="11">
        <v>30</v>
      </c>
      <c r="D170" s="12">
        <v>50</v>
      </c>
      <c r="E170" s="12" t="s">
        <v>8220</v>
      </c>
      <c r="F170" s="13">
        <v>6</v>
      </c>
      <c r="G170" s="14">
        <v>1865.3000000000002</v>
      </c>
      <c r="H170" t="s">
        <v>3430</v>
      </c>
      <c r="I170">
        <v>7</v>
      </c>
    </row>
    <row r="171" spans="1:9" ht="15.6" x14ac:dyDescent="0.3">
      <c r="A171" s="9">
        <v>170</v>
      </c>
      <c r="B171" s="2" t="s">
        <v>176</v>
      </c>
      <c r="C171" s="11">
        <v>28</v>
      </c>
      <c r="D171" s="12">
        <v>66.666666666666657</v>
      </c>
      <c r="E171" s="12" t="s">
        <v>8220</v>
      </c>
      <c r="F171" s="13">
        <v>6</v>
      </c>
      <c r="G171" s="14">
        <v>1841.27</v>
      </c>
      <c r="H171" t="s">
        <v>2406</v>
      </c>
      <c r="I171">
        <v>7</v>
      </c>
    </row>
    <row r="172" spans="1:9" ht="15.6" x14ac:dyDescent="0.3">
      <c r="A172" s="9">
        <v>171</v>
      </c>
      <c r="B172" s="2" t="s">
        <v>177</v>
      </c>
      <c r="C172" s="11">
        <v>28</v>
      </c>
      <c r="D172" s="12">
        <v>66.666666666666657</v>
      </c>
      <c r="E172" s="12" t="s">
        <v>8220</v>
      </c>
      <c r="F172" s="13">
        <v>6</v>
      </c>
      <c r="G172" s="14">
        <v>1881.3000000000002</v>
      </c>
      <c r="H172" t="s">
        <v>1382</v>
      </c>
      <c r="I172">
        <v>7</v>
      </c>
    </row>
    <row r="173" spans="1:9" ht="15.6" x14ac:dyDescent="0.3">
      <c r="A173" s="9">
        <v>172</v>
      </c>
      <c r="B173" s="18" t="s">
        <v>178</v>
      </c>
      <c r="C173" s="11">
        <v>22</v>
      </c>
      <c r="D173" s="12">
        <v>50</v>
      </c>
      <c r="E173" s="12" t="s">
        <v>8220</v>
      </c>
      <c r="F173" s="13">
        <v>6</v>
      </c>
      <c r="G173" s="14">
        <v>1856.2800000000002</v>
      </c>
      <c r="H173" t="s">
        <v>358</v>
      </c>
      <c r="I173">
        <v>6</v>
      </c>
    </row>
    <row r="174" spans="1:9" ht="15.6" x14ac:dyDescent="0.3">
      <c r="A174" s="9">
        <v>173</v>
      </c>
      <c r="B174" s="27" t="s">
        <v>179</v>
      </c>
      <c r="C174" s="11">
        <v>24</v>
      </c>
      <c r="D174" s="12">
        <v>33.333333333333329</v>
      </c>
      <c r="E174" s="12" t="s">
        <v>8219</v>
      </c>
      <c r="F174" s="13">
        <v>6</v>
      </c>
      <c r="G174" s="14">
        <v>1840.2800000000002</v>
      </c>
      <c r="H174" t="s">
        <v>3174</v>
      </c>
      <c r="I174">
        <v>6</v>
      </c>
    </row>
    <row r="175" spans="1:9" ht="15.6" x14ac:dyDescent="0.3">
      <c r="A175" s="9">
        <v>174</v>
      </c>
      <c r="B175" s="2" t="s">
        <v>180</v>
      </c>
      <c r="C175" s="11">
        <v>22</v>
      </c>
      <c r="D175" s="12">
        <v>50</v>
      </c>
      <c r="E175" s="12" t="s">
        <v>8220</v>
      </c>
      <c r="F175" s="13">
        <v>6</v>
      </c>
      <c r="G175" s="14">
        <v>1816.25</v>
      </c>
      <c r="H175" t="s">
        <v>2150</v>
      </c>
      <c r="I175">
        <v>6</v>
      </c>
    </row>
    <row r="176" spans="1:9" ht="15.6" x14ac:dyDescent="0.3">
      <c r="A176" s="9">
        <v>175</v>
      </c>
      <c r="B176" s="2" t="s">
        <v>181</v>
      </c>
      <c r="C176" s="11">
        <v>22</v>
      </c>
      <c r="D176" s="12">
        <v>50</v>
      </c>
      <c r="E176" s="12" t="s">
        <v>8220</v>
      </c>
      <c r="F176" s="13">
        <v>6</v>
      </c>
      <c r="G176" s="14">
        <v>1856.2800000000002</v>
      </c>
      <c r="H176" t="s">
        <v>1126</v>
      </c>
      <c r="I176">
        <v>6</v>
      </c>
    </row>
    <row r="177" spans="1:9" ht="15.6" x14ac:dyDescent="0.3">
      <c r="A177" s="9">
        <v>176</v>
      </c>
      <c r="B177" s="2" t="s">
        <v>182</v>
      </c>
      <c r="C177" s="11">
        <v>16</v>
      </c>
      <c r="D177" s="12">
        <v>33.333333333333329</v>
      </c>
      <c r="E177" s="12" t="s">
        <v>8219</v>
      </c>
      <c r="F177" s="13">
        <v>6</v>
      </c>
      <c r="G177" s="14">
        <v>1831.2600000000002</v>
      </c>
      <c r="H177" t="s">
        <v>102</v>
      </c>
      <c r="I177">
        <v>5</v>
      </c>
    </row>
    <row r="178" spans="1:9" ht="15.6" x14ac:dyDescent="0.3">
      <c r="A178" s="9">
        <v>177</v>
      </c>
      <c r="B178" s="2" t="s">
        <v>183</v>
      </c>
      <c r="C178" s="11">
        <v>26</v>
      </c>
      <c r="D178" s="12">
        <v>16.666666666666664</v>
      </c>
      <c r="E178" s="12" t="s">
        <v>8219</v>
      </c>
      <c r="F178" s="13">
        <v>6</v>
      </c>
      <c r="G178" s="14">
        <v>1824.2799999999997</v>
      </c>
      <c r="H178" t="s">
        <v>3878</v>
      </c>
      <c r="I178">
        <v>7</v>
      </c>
    </row>
    <row r="179" spans="1:9" ht="15.6" x14ac:dyDescent="0.3">
      <c r="A179" s="9">
        <v>178</v>
      </c>
      <c r="B179" s="2" t="s">
        <v>184</v>
      </c>
      <c r="C179" s="11">
        <v>24</v>
      </c>
      <c r="D179" s="12">
        <v>33.333333333333329</v>
      </c>
      <c r="E179" s="12" t="s">
        <v>8219</v>
      </c>
      <c r="F179" s="13">
        <v>6</v>
      </c>
      <c r="G179" s="14">
        <v>1800.25</v>
      </c>
      <c r="H179" t="s">
        <v>2854</v>
      </c>
      <c r="I179">
        <v>6</v>
      </c>
    </row>
    <row r="180" spans="1:9" ht="15.6" x14ac:dyDescent="0.3">
      <c r="A180" s="9">
        <v>179</v>
      </c>
      <c r="B180" s="2" t="s">
        <v>185</v>
      </c>
      <c r="C180" s="11">
        <v>24</v>
      </c>
      <c r="D180" s="12">
        <v>33.333333333333329</v>
      </c>
      <c r="E180" s="12" t="s">
        <v>8219</v>
      </c>
      <c r="F180" s="13">
        <v>6</v>
      </c>
      <c r="G180" s="14">
        <v>1840.2800000000002</v>
      </c>
      <c r="H180" t="s">
        <v>1830</v>
      </c>
      <c r="I180">
        <v>6</v>
      </c>
    </row>
    <row r="181" spans="1:9" ht="15.6" x14ac:dyDescent="0.3">
      <c r="A181" s="9">
        <v>180</v>
      </c>
      <c r="B181" s="2" t="s">
        <v>186</v>
      </c>
      <c r="C181" s="11">
        <v>18</v>
      </c>
      <c r="D181" s="12">
        <v>16.666666666666664</v>
      </c>
      <c r="E181" s="12" t="s">
        <v>8219</v>
      </c>
      <c r="F181" s="13">
        <v>6</v>
      </c>
      <c r="G181" s="14">
        <v>1815.2599999999998</v>
      </c>
      <c r="H181" t="s">
        <v>806</v>
      </c>
      <c r="I181">
        <v>5</v>
      </c>
    </row>
    <row r="182" spans="1:9" ht="15.6" x14ac:dyDescent="0.3">
      <c r="A182" s="9">
        <v>181</v>
      </c>
      <c r="B182" s="28" t="s">
        <v>187</v>
      </c>
      <c r="C182" s="11">
        <v>24</v>
      </c>
      <c r="D182" s="12">
        <v>33.333333333333329</v>
      </c>
      <c r="E182" s="12" t="s">
        <v>8219</v>
      </c>
      <c r="F182" s="13">
        <v>6</v>
      </c>
      <c r="G182" s="14">
        <v>1800.25</v>
      </c>
      <c r="H182" t="s">
        <v>3622</v>
      </c>
      <c r="I182">
        <v>6</v>
      </c>
    </row>
    <row r="183" spans="1:9" ht="15.6" x14ac:dyDescent="0.3">
      <c r="A183" s="9">
        <v>182</v>
      </c>
      <c r="B183" s="2" t="s">
        <v>188</v>
      </c>
      <c r="C183" s="11">
        <v>22</v>
      </c>
      <c r="D183" s="12">
        <v>50</v>
      </c>
      <c r="E183" s="12" t="s">
        <v>8220</v>
      </c>
      <c r="F183" s="13">
        <v>6</v>
      </c>
      <c r="G183" s="14">
        <v>1776.2199999999998</v>
      </c>
      <c r="H183" t="s">
        <v>2598</v>
      </c>
      <c r="I183">
        <v>6</v>
      </c>
    </row>
    <row r="184" spans="1:9" ht="15.6" x14ac:dyDescent="0.3">
      <c r="A184" s="9">
        <v>183</v>
      </c>
      <c r="B184" s="2" t="s">
        <v>189</v>
      </c>
      <c r="C184" s="11">
        <v>22</v>
      </c>
      <c r="D184" s="12">
        <v>50</v>
      </c>
      <c r="E184" s="12" t="s">
        <v>8220</v>
      </c>
      <c r="F184" s="13">
        <v>6</v>
      </c>
      <c r="G184" s="14">
        <v>1816.25</v>
      </c>
      <c r="H184" t="s">
        <v>1574</v>
      </c>
      <c r="I184">
        <v>6</v>
      </c>
    </row>
    <row r="185" spans="1:9" ht="15.6" x14ac:dyDescent="0.3">
      <c r="A185" s="9">
        <v>184</v>
      </c>
      <c r="B185" s="2" t="s">
        <v>190</v>
      </c>
      <c r="C185" s="11">
        <v>16</v>
      </c>
      <c r="D185" s="12">
        <v>33.333333333333329</v>
      </c>
      <c r="E185" s="12" t="s">
        <v>8219</v>
      </c>
      <c r="F185" s="13">
        <v>6</v>
      </c>
      <c r="G185" s="14">
        <v>1791.23</v>
      </c>
      <c r="H185" t="s">
        <v>550</v>
      </c>
      <c r="I185">
        <v>5</v>
      </c>
    </row>
    <row r="186" spans="1:9" ht="15.6" x14ac:dyDescent="0.3">
      <c r="A186" s="9">
        <v>185</v>
      </c>
      <c r="B186" s="2" t="s">
        <v>191</v>
      </c>
      <c r="C186" s="11">
        <v>24</v>
      </c>
      <c r="D186" s="12">
        <v>33.333333333333329</v>
      </c>
      <c r="E186" s="12" t="s">
        <v>8219</v>
      </c>
      <c r="F186" s="13">
        <v>6</v>
      </c>
      <c r="G186" s="14">
        <v>1840.2800000000002</v>
      </c>
      <c r="H186" t="s">
        <v>3366</v>
      </c>
      <c r="I186">
        <v>6</v>
      </c>
    </row>
    <row r="187" spans="1:9" ht="15.6" x14ac:dyDescent="0.3">
      <c r="A187" s="9">
        <v>186</v>
      </c>
      <c r="B187" s="2" t="s">
        <v>192</v>
      </c>
      <c r="C187" s="11">
        <v>22</v>
      </c>
      <c r="D187" s="12">
        <v>50</v>
      </c>
      <c r="E187" s="12" t="s">
        <v>8220</v>
      </c>
      <c r="F187" s="13">
        <v>6</v>
      </c>
      <c r="G187" s="14">
        <v>1816.25</v>
      </c>
      <c r="H187" t="s">
        <v>2342</v>
      </c>
      <c r="I187">
        <v>6</v>
      </c>
    </row>
    <row r="188" spans="1:9" ht="15.6" x14ac:dyDescent="0.3">
      <c r="A188" s="9">
        <v>187</v>
      </c>
      <c r="B188" s="2" t="s">
        <v>193</v>
      </c>
      <c r="C188" s="11">
        <v>22</v>
      </c>
      <c r="D188" s="12">
        <v>50</v>
      </c>
      <c r="E188" s="12" t="s">
        <v>8220</v>
      </c>
      <c r="F188" s="13">
        <v>6</v>
      </c>
      <c r="G188" s="14">
        <v>1856.2800000000002</v>
      </c>
      <c r="H188" t="s">
        <v>1318</v>
      </c>
      <c r="I188">
        <v>6</v>
      </c>
    </row>
    <row r="189" spans="1:9" ht="15.6" x14ac:dyDescent="0.3">
      <c r="A189" s="9">
        <v>188</v>
      </c>
      <c r="B189" s="2" t="s">
        <v>194</v>
      </c>
      <c r="C189" s="11">
        <v>16</v>
      </c>
      <c r="D189" s="12">
        <v>33.333333333333329</v>
      </c>
      <c r="E189" s="12" t="s">
        <v>8219</v>
      </c>
      <c r="F189" s="13">
        <v>6</v>
      </c>
      <c r="G189" s="14">
        <v>1831.2600000000002</v>
      </c>
      <c r="H189" t="s">
        <v>294</v>
      </c>
      <c r="I189">
        <v>5</v>
      </c>
    </row>
    <row r="190" spans="1:9" ht="15.6" x14ac:dyDescent="0.3">
      <c r="A190" s="9">
        <v>189</v>
      </c>
      <c r="B190" s="2" t="s">
        <v>195</v>
      </c>
      <c r="C190" s="11">
        <v>18</v>
      </c>
      <c r="D190" s="12">
        <v>16.666666666666664</v>
      </c>
      <c r="E190" s="12" t="s">
        <v>8219</v>
      </c>
      <c r="F190" s="13">
        <v>6</v>
      </c>
      <c r="G190" s="14">
        <v>1815.2599999999998</v>
      </c>
      <c r="H190" t="s">
        <v>3110</v>
      </c>
      <c r="I190">
        <v>5</v>
      </c>
    </row>
    <row r="191" spans="1:9" ht="15.6" x14ac:dyDescent="0.3">
      <c r="A191" s="9">
        <v>190</v>
      </c>
      <c r="B191" s="2" t="s">
        <v>196</v>
      </c>
      <c r="C191" s="11">
        <v>16</v>
      </c>
      <c r="D191" s="12">
        <v>33.333333333333329</v>
      </c>
      <c r="E191" s="12" t="s">
        <v>8219</v>
      </c>
      <c r="F191" s="13">
        <v>6</v>
      </c>
      <c r="G191" s="14">
        <v>1791.23</v>
      </c>
      <c r="H191" t="s">
        <v>2086</v>
      </c>
      <c r="I191">
        <v>5</v>
      </c>
    </row>
    <row r="192" spans="1:9" ht="15.6" x14ac:dyDescent="0.3">
      <c r="A192" s="9">
        <v>191</v>
      </c>
      <c r="B192" s="2" t="s">
        <v>197</v>
      </c>
      <c r="C192" s="11">
        <v>16</v>
      </c>
      <c r="D192" s="12">
        <v>33.333333333333329</v>
      </c>
      <c r="E192" s="12" t="s">
        <v>8219</v>
      </c>
      <c r="F192" s="13">
        <v>6</v>
      </c>
      <c r="G192" s="14">
        <v>1831.2600000000002</v>
      </c>
      <c r="H192" t="s">
        <v>1062</v>
      </c>
      <c r="I192">
        <v>5</v>
      </c>
    </row>
    <row r="193" spans="1:9" ht="15.6" x14ac:dyDescent="0.3">
      <c r="A193" s="9">
        <v>192</v>
      </c>
      <c r="B193" s="2" t="s">
        <v>198</v>
      </c>
      <c r="C193" s="11">
        <v>10</v>
      </c>
      <c r="D193" s="12">
        <v>16.666666666666664</v>
      </c>
      <c r="E193" s="12" t="s">
        <v>8219</v>
      </c>
      <c r="F193" s="13">
        <v>6</v>
      </c>
      <c r="G193" s="14">
        <v>1806.2399999999998</v>
      </c>
      <c r="H193" t="s">
        <v>38</v>
      </c>
      <c r="I193">
        <v>4</v>
      </c>
    </row>
    <row r="194" spans="1:9" ht="15.6" x14ac:dyDescent="0.3">
      <c r="A194" s="9">
        <v>193</v>
      </c>
      <c r="B194" s="2" t="s">
        <v>199</v>
      </c>
      <c r="C194" s="11">
        <v>28</v>
      </c>
      <c r="D194" s="12">
        <v>0</v>
      </c>
      <c r="E194" s="12" t="s">
        <v>8219</v>
      </c>
      <c r="F194" s="13">
        <v>6</v>
      </c>
      <c r="G194" s="14">
        <v>1808.2799999999997</v>
      </c>
      <c r="H194" t="s">
        <v>4054</v>
      </c>
      <c r="I194">
        <v>7</v>
      </c>
    </row>
    <row r="195" spans="1:9" ht="15.6" x14ac:dyDescent="0.3">
      <c r="A195" s="9">
        <v>194</v>
      </c>
      <c r="B195" s="2" t="s">
        <v>200</v>
      </c>
      <c r="C195" s="11">
        <v>26</v>
      </c>
      <c r="D195" s="12">
        <v>16.666666666666664</v>
      </c>
      <c r="E195" s="12" t="s">
        <v>8219</v>
      </c>
      <c r="F195" s="13">
        <v>6</v>
      </c>
      <c r="G195" s="14">
        <v>1784.25</v>
      </c>
      <c r="H195" t="s">
        <v>3030</v>
      </c>
      <c r="I195">
        <v>7</v>
      </c>
    </row>
    <row r="196" spans="1:9" ht="15.6" x14ac:dyDescent="0.3">
      <c r="A196" s="9">
        <v>195</v>
      </c>
      <c r="B196" s="2" t="s">
        <v>201</v>
      </c>
      <c r="C196" s="11">
        <v>26</v>
      </c>
      <c r="D196" s="12">
        <v>16.666666666666664</v>
      </c>
      <c r="E196" s="12" t="s">
        <v>8219</v>
      </c>
      <c r="F196" s="13">
        <v>6</v>
      </c>
      <c r="G196" s="14">
        <v>1824.2799999999997</v>
      </c>
      <c r="H196" t="s">
        <v>2006</v>
      </c>
      <c r="I196">
        <v>7</v>
      </c>
    </row>
    <row r="197" spans="1:9" ht="15.6" x14ac:dyDescent="0.3">
      <c r="A197" s="9">
        <v>196</v>
      </c>
      <c r="B197" s="2" t="s">
        <v>202</v>
      </c>
      <c r="C197" s="11">
        <v>20</v>
      </c>
      <c r="D197" s="12">
        <v>0</v>
      </c>
      <c r="E197" s="12" t="s">
        <v>8219</v>
      </c>
      <c r="F197" s="13">
        <v>6</v>
      </c>
      <c r="G197" s="14">
        <v>1799.2599999999998</v>
      </c>
      <c r="H197" t="s">
        <v>982</v>
      </c>
      <c r="I197">
        <v>6</v>
      </c>
    </row>
    <row r="198" spans="1:9" ht="15.6" x14ac:dyDescent="0.3">
      <c r="A198" s="9">
        <v>197</v>
      </c>
      <c r="B198" s="2" t="s">
        <v>203</v>
      </c>
      <c r="C198" s="11">
        <v>26</v>
      </c>
      <c r="D198" s="12">
        <v>16.666666666666664</v>
      </c>
      <c r="E198" s="12" t="s">
        <v>8219</v>
      </c>
      <c r="F198" s="13">
        <v>6</v>
      </c>
      <c r="G198" s="14">
        <v>1784.25</v>
      </c>
      <c r="H198" t="s">
        <v>3798</v>
      </c>
      <c r="I198">
        <v>7</v>
      </c>
    </row>
    <row r="199" spans="1:9" ht="15.6" x14ac:dyDescent="0.3">
      <c r="A199" s="9">
        <v>198</v>
      </c>
      <c r="B199" s="2" t="s">
        <v>204</v>
      </c>
      <c r="C199" s="11">
        <v>24</v>
      </c>
      <c r="D199" s="12">
        <v>33.333333333333329</v>
      </c>
      <c r="E199" s="12" t="s">
        <v>8219</v>
      </c>
      <c r="F199" s="13">
        <v>6</v>
      </c>
      <c r="G199" s="14">
        <v>1760.2199999999998</v>
      </c>
      <c r="H199" t="s">
        <v>2774</v>
      </c>
      <c r="I199">
        <v>6</v>
      </c>
    </row>
    <row r="200" spans="1:9" ht="15.6" x14ac:dyDescent="0.3">
      <c r="A200" s="9">
        <v>199</v>
      </c>
      <c r="B200" s="2" t="s">
        <v>205</v>
      </c>
      <c r="C200" s="11">
        <v>24</v>
      </c>
      <c r="D200" s="12">
        <v>33.333333333333329</v>
      </c>
      <c r="E200" s="12" t="s">
        <v>8219</v>
      </c>
      <c r="F200" s="13">
        <v>6</v>
      </c>
      <c r="G200" s="14">
        <v>1800.25</v>
      </c>
      <c r="H200" t="s">
        <v>1750</v>
      </c>
      <c r="I200">
        <v>6</v>
      </c>
    </row>
    <row r="201" spans="1:9" ht="15.6" x14ac:dyDescent="0.3">
      <c r="A201" s="9">
        <v>200</v>
      </c>
      <c r="B201" s="2" t="s">
        <v>206</v>
      </c>
      <c r="C201" s="11">
        <v>18</v>
      </c>
      <c r="D201" s="12">
        <v>16.666666666666664</v>
      </c>
      <c r="E201" s="12" t="s">
        <v>8219</v>
      </c>
      <c r="F201" s="13">
        <v>6</v>
      </c>
      <c r="G201" s="14">
        <v>1775.23</v>
      </c>
      <c r="H201" t="s">
        <v>726</v>
      </c>
      <c r="I201">
        <v>5</v>
      </c>
    </row>
    <row r="202" spans="1:9" ht="15.6" x14ac:dyDescent="0.3">
      <c r="A202" s="9">
        <v>201</v>
      </c>
      <c r="B202" s="2" t="s">
        <v>207</v>
      </c>
      <c r="C202" s="11">
        <v>26</v>
      </c>
      <c r="D202" s="12">
        <v>16.666666666666664</v>
      </c>
      <c r="E202" s="12" t="s">
        <v>8219</v>
      </c>
      <c r="F202" s="13">
        <v>6</v>
      </c>
      <c r="G202" s="14">
        <v>1824.2799999999997</v>
      </c>
      <c r="H202" t="s">
        <v>3542</v>
      </c>
      <c r="I202">
        <v>7</v>
      </c>
    </row>
    <row r="203" spans="1:9" ht="15.6" x14ac:dyDescent="0.3">
      <c r="A203" s="9">
        <v>202</v>
      </c>
      <c r="B203" s="2" t="s">
        <v>208</v>
      </c>
      <c r="C203" s="11">
        <v>24</v>
      </c>
      <c r="D203" s="12">
        <v>33.333333333333329</v>
      </c>
      <c r="E203" s="12" t="s">
        <v>8219</v>
      </c>
      <c r="F203" s="13">
        <v>6</v>
      </c>
      <c r="G203" s="14">
        <v>1800.25</v>
      </c>
      <c r="H203" t="s">
        <v>2518</v>
      </c>
      <c r="I203">
        <v>6</v>
      </c>
    </row>
    <row r="204" spans="1:9" ht="15.6" x14ac:dyDescent="0.3">
      <c r="A204" s="9">
        <v>203</v>
      </c>
      <c r="B204" s="2" t="s">
        <v>209</v>
      </c>
      <c r="C204" s="11">
        <v>24</v>
      </c>
      <c r="D204" s="12">
        <v>33.333333333333329</v>
      </c>
      <c r="E204" s="12" t="s">
        <v>8219</v>
      </c>
      <c r="F204" s="13">
        <v>6</v>
      </c>
      <c r="G204" s="14">
        <v>1840.2800000000002</v>
      </c>
      <c r="H204" t="s">
        <v>1494</v>
      </c>
      <c r="I204">
        <v>6</v>
      </c>
    </row>
    <row r="205" spans="1:9" ht="15.6" x14ac:dyDescent="0.3">
      <c r="A205" s="9">
        <v>204</v>
      </c>
      <c r="B205" s="2" t="s">
        <v>210</v>
      </c>
      <c r="C205" s="11">
        <v>18</v>
      </c>
      <c r="D205" s="12">
        <v>16.666666666666664</v>
      </c>
      <c r="E205" s="12" t="s">
        <v>8219</v>
      </c>
      <c r="F205" s="13">
        <v>6</v>
      </c>
      <c r="G205" s="14">
        <v>1815.2599999999998</v>
      </c>
      <c r="H205" t="s">
        <v>470</v>
      </c>
      <c r="I205">
        <v>5</v>
      </c>
    </row>
    <row r="206" spans="1:9" ht="15.6" x14ac:dyDescent="0.3">
      <c r="A206" s="9">
        <v>205</v>
      </c>
      <c r="B206" s="2" t="s">
        <v>211</v>
      </c>
      <c r="C206" s="11">
        <v>20</v>
      </c>
      <c r="D206" s="12">
        <v>0</v>
      </c>
      <c r="E206" s="12" t="s">
        <v>8219</v>
      </c>
      <c r="F206" s="13">
        <v>6</v>
      </c>
      <c r="G206" s="14">
        <v>1799.2599999999998</v>
      </c>
      <c r="H206" t="s">
        <v>3286</v>
      </c>
      <c r="I206">
        <v>6</v>
      </c>
    </row>
    <row r="207" spans="1:9" ht="15.6" x14ac:dyDescent="0.3">
      <c r="A207" s="9">
        <v>206</v>
      </c>
      <c r="B207" s="2" t="s">
        <v>212</v>
      </c>
      <c r="C207" s="11">
        <v>18</v>
      </c>
      <c r="D207" s="12">
        <v>16.666666666666664</v>
      </c>
      <c r="E207" s="12" t="s">
        <v>8219</v>
      </c>
      <c r="F207" s="13">
        <v>6</v>
      </c>
      <c r="G207" s="14">
        <v>1775.23</v>
      </c>
      <c r="H207" t="s">
        <v>2262</v>
      </c>
      <c r="I207">
        <v>5</v>
      </c>
    </row>
    <row r="208" spans="1:9" ht="15.6" x14ac:dyDescent="0.3">
      <c r="A208" s="9">
        <v>207</v>
      </c>
      <c r="B208" s="2" t="s">
        <v>213</v>
      </c>
      <c r="C208" s="11">
        <v>18</v>
      </c>
      <c r="D208" s="12">
        <v>16.666666666666664</v>
      </c>
      <c r="E208" s="12" t="s">
        <v>8219</v>
      </c>
      <c r="F208" s="13">
        <v>6</v>
      </c>
      <c r="G208" s="14">
        <v>1815.2599999999998</v>
      </c>
      <c r="H208" t="s">
        <v>1238</v>
      </c>
      <c r="I208">
        <v>5</v>
      </c>
    </row>
    <row r="209" spans="1:9" ht="15.6" x14ac:dyDescent="0.3">
      <c r="A209" s="9">
        <v>208</v>
      </c>
      <c r="B209" s="2" t="s">
        <v>214</v>
      </c>
      <c r="C209" s="11">
        <v>12</v>
      </c>
      <c r="D209" s="12">
        <v>0</v>
      </c>
      <c r="E209" s="12" t="s">
        <v>8219</v>
      </c>
      <c r="F209" s="13">
        <v>6</v>
      </c>
      <c r="G209" s="14">
        <v>1790.2399999999998</v>
      </c>
      <c r="H209" t="s">
        <v>214</v>
      </c>
      <c r="I209">
        <v>4</v>
      </c>
    </row>
    <row r="210" spans="1:9" ht="15.6" x14ac:dyDescent="0.3">
      <c r="A210" s="9">
        <v>209</v>
      </c>
      <c r="B210" s="2" t="s">
        <v>215</v>
      </c>
      <c r="C210" s="11">
        <v>26</v>
      </c>
      <c r="D210" s="12">
        <v>16.666666666666664</v>
      </c>
      <c r="E210" s="12" t="s">
        <v>8219</v>
      </c>
      <c r="F210" s="13">
        <v>6</v>
      </c>
      <c r="G210" s="14">
        <v>1784.25</v>
      </c>
      <c r="H210" t="s">
        <v>3990</v>
      </c>
      <c r="I210">
        <v>7</v>
      </c>
    </row>
    <row r="211" spans="1:9" ht="15.6" x14ac:dyDescent="0.3">
      <c r="A211" s="9">
        <v>210</v>
      </c>
      <c r="B211" s="2" t="s">
        <v>216</v>
      </c>
      <c r="C211" s="11">
        <v>24</v>
      </c>
      <c r="D211" s="12">
        <v>33.333333333333329</v>
      </c>
      <c r="E211" s="12" t="s">
        <v>8219</v>
      </c>
      <c r="F211" s="13">
        <v>6</v>
      </c>
      <c r="G211" s="14">
        <v>1760.2199999999998</v>
      </c>
      <c r="H211" t="s">
        <v>2966</v>
      </c>
      <c r="I211">
        <v>6</v>
      </c>
    </row>
    <row r="212" spans="1:9" ht="15.6" x14ac:dyDescent="0.3">
      <c r="A212" s="9">
        <v>211</v>
      </c>
      <c r="B212" s="2" t="s">
        <v>217</v>
      </c>
      <c r="C212" s="11">
        <v>24</v>
      </c>
      <c r="D212" s="12">
        <v>33.333333333333329</v>
      </c>
      <c r="E212" s="12" t="s">
        <v>8219</v>
      </c>
      <c r="F212" s="13">
        <v>6</v>
      </c>
      <c r="G212" s="14">
        <v>1800.25</v>
      </c>
      <c r="H212" t="s">
        <v>1942</v>
      </c>
      <c r="I212">
        <v>6</v>
      </c>
    </row>
    <row r="213" spans="1:9" ht="15.6" x14ac:dyDescent="0.3">
      <c r="A213" s="9">
        <v>212</v>
      </c>
      <c r="B213" s="2" t="s">
        <v>218</v>
      </c>
      <c r="C213" s="11">
        <v>18</v>
      </c>
      <c r="D213" s="12">
        <v>16.666666666666664</v>
      </c>
      <c r="E213" s="12" t="s">
        <v>8219</v>
      </c>
      <c r="F213" s="13">
        <v>6</v>
      </c>
      <c r="G213" s="14">
        <v>1775.23</v>
      </c>
      <c r="H213" t="s">
        <v>918</v>
      </c>
      <c r="I213">
        <v>5</v>
      </c>
    </row>
    <row r="214" spans="1:9" ht="15.6" x14ac:dyDescent="0.3">
      <c r="A214" s="9">
        <v>213</v>
      </c>
      <c r="B214" s="2" t="s">
        <v>219</v>
      </c>
      <c r="C214" s="11">
        <v>24</v>
      </c>
      <c r="D214" s="12">
        <v>33.333333333333329</v>
      </c>
      <c r="E214" s="12" t="s">
        <v>8219</v>
      </c>
      <c r="F214" s="13">
        <v>6</v>
      </c>
      <c r="G214" s="14">
        <v>1760.2199999999998</v>
      </c>
      <c r="H214" t="s">
        <v>3734</v>
      </c>
      <c r="I214">
        <v>6</v>
      </c>
    </row>
    <row r="215" spans="1:9" ht="15.6" x14ac:dyDescent="0.3">
      <c r="A215" s="9">
        <v>214</v>
      </c>
      <c r="B215" s="2" t="s">
        <v>220</v>
      </c>
      <c r="C215" s="11">
        <v>22</v>
      </c>
      <c r="D215" s="12">
        <v>50</v>
      </c>
      <c r="E215" s="12" t="s">
        <v>8220</v>
      </c>
      <c r="F215" s="13">
        <v>6</v>
      </c>
      <c r="G215" s="14">
        <v>1736.19</v>
      </c>
      <c r="H215" t="s">
        <v>2710</v>
      </c>
      <c r="I215">
        <v>6</v>
      </c>
    </row>
    <row r="216" spans="1:9" ht="15.6" x14ac:dyDescent="0.3">
      <c r="A216" s="9">
        <v>215</v>
      </c>
      <c r="B216" s="2" t="s">
        <v>221</v>
      </c>
      <c r="C216" s="11">
        <v>22</v>
      </c>
      <c r="D216" s="12">
        <v>50</v>
      </c>
      <c r="E216" s="12" t="s">
        <v>8220</v>
      </c>
      <c r="F216" s="13">
        <v>6</v>
      </c>
      <c r="G216" s="14">
        <v>1776.2199999999998</v>
      </c>
      <c r="H216" t="s">
        <v>1686</v>
      </c>
      <c r="I216">
        <v>6</v>
      </c>
    </row>
    <row r="217" spans="1:9" ht="15.6" x14ac:dyDescent="0.3">
      <c r="A217" s="9">
        <v>216</v>
      </c>
      <c r="B217" s="2" t="s">
        <v>222</v>
      </c>
      <c r="C217" s="11">
        <v>16</v>
      </c>
      <c r="D217" s="12">
        <v>33.333333333333329</v>
      </c>
      <c r="E217" s="12" t="s">
        <v>8219</v>
      </c>
      <c r="F217" s="13">
        <v>6</v>
      </c>
      <c r="G217" s="14">
        <v>1751.1999999999998</v>
      </c>
      <c r="H217" t="s">
        <v>662</v>
      </c>
      <c r="I217">
        <v>5</v>
      </c>
    </row>
    <row r="218" spans="1:9" ht="15.6" x14ac:dyDescent="0.3">
      <c r="A218" s="9">
        <v>217</v>
      </c>
      <c r="B218" s="2" t="s">
        <v>223</v>
      </c>
      <c r="C218" s="11">
        <v>24</v>
      </c>
      <c r="D218" s="12">
        <v>33.333333333333329</v>
      </c>
      <c r="E218" s="12" t="s">
        <v>8219</v>
      </c>
      <c r="F218" s="13">
        <v>6</v>
      </c>
      <c r="G218" s="14">
        <v>1800.25</v>
      </c>
      <c r="H218" t="s">
        <v>3478</v>
      </c>
      <c r="I218">
        <v>6</v>
      </c>
    </row>
    <row r="219" spans="1:9" ht="15.6" x14ac:dyDescent="0.3">
      <c r="A219" s="9">
        <v>218</v>
      </c>
      <c r="B219" s="2" t="s">
        <v>224</v>
      </c>
      <c r="C219" s="11">
        <v>22</v>
      </c>
      <c r="D219" s="12">
        <v>50</v>
      </c>
      <c r="E219" s="12" t="s">
        <v>8220</v>
      </c>
      <c r="F219" s="13">
        <v>6</v>
      </c>
      <c r="G219" s="14">
        <v>1776.2199999999998</v>
      </c>
      <c r="H219" t="s">
        <v>2454</v>
      </c>
      <c r="I219">
        <v>6</v>
      </c>
    </row>
    <row r="220" spans="1:9" ht="15.6" x14ac:dyDescent="0.3">
      <c r="A220" s="9">
        <v>219</v>
      </c>
      <c r="B220" s="2" t="s">
        <v>225</v>
      </c>
      <c r="C220" s="11">
        <v>22</v>
      </c>
      <c r="D220" s="12">
        <v>50</v>
      </c>
      <c r="E220" s="12" t="s">
        <v>8220</v>
      </c>
      <c r="F220" s="13">
        <v>6</v>
      </c>
      <c r="G220" s="14">
        <v>1816.25</v>
      </c>
      <c r="H220" t="s">
        <v>1430</v>
      </c>
      <c r="I220">
        <v>6</v>
      </c>
    </row>
    <row r="221" spans="1:9" ht="15.6" x14ac:dyDescent="0.3">
      <c r="A221" s="9">
        <v>220</v>
      </c>
      <c r="B221" s="2" t="s">
        <v>226</v>
      </c>
      <c r="C221" s="11">
        <v>16</v>
      </c>
      <c r="D221" s="12">
        <v>33.333333333333329</v>
      </c>
      <c r="E221" s="12" t="s">
        <v>8219</v>
      </c>
      <c r="F221" s="13">
        <v>6</v>
      </c>
      <c r="G221" s="14">
        <v>1791.23</v>
      </c>
      <c r="H221" t="s">
        <v>406</v>
      </c>
      <c r="I221">
        <v>5</v>
      </c>
    </row>
    <row r="222" spans="1:9" ht="15.6" x14ac:dyDescent="0.3">
      <c r="A222" s="9">
        <v>221</v>
      </c>
      <c r="B222" s="2" t="s">
        <v>227</v>
      </c>
      <c r="C222" s="11">
        <v>18</v>
      </c>
      <c r="D222" s="12">
        <v>16.666666666666664</v>
      </c>
      <c r="E222" s="12" t="s">
        <v>8219</v>
      </c>
      <c r="F222" s="13">
        <v>6</v>
      </c>
      <c r="G222" s="14">
        <v>1775.23</v>
      </c>
      <c r="H222" t="s">
        <v>3222</v>
      </c>
      <c r="I222">
        <v>5</v>
      </c>
    </row>
    <row r="223" spans="1:9" ht="15.6" x14ac:dyDescent="0.3">
      <c r="A223" s="9">
        <v>222</v>
      </c>
      <c r="B223" s="2" t="s">
        <v>228</v>
      </c>
      <c r="C223" s="11">
        <v>16</v>
      </c>
      <c r="D223" s="12">
        <v>33.333333333333329</v>
      </c>
      <c r="E223" s="12" t="s">
        <v>8219</v>
      </c>
      <c r="F223" s="13">
        <v>6</v>
      </c>
      <c r="G223" s="14">
        <v>1751.1999999999998</v>
      </c>
      <c r="H223" t="s">
        <v>2198</v>
      </c>
      <c r="I223">
        <v>5</v>
      </c>
    </row>
    <row r="224" spans="1:9" ht="15.6" x14ac:dyDescent="0.3">
      <c r="A224" s="9">
        <v>223</v>
      </c>
      <c r="B224" s="2" t="s">
        <v>229</v>
      </c>
      <c r="C224" s="11">
        <v>16</v>
      </c>
      <c r="D224" s="12">
        <v>33.333333333333329</v>
      </c>
      <c r="E224" s="12" t="s">
        <v>8219</v>
      </c>
      <c r="F224" s="13">
        <v>6</v>
      </c>
      <c r="G224" s="14">
        <v>1791.23</v>
      </c>
      <c r="H224" t="s">
        <v>1174</v>
      </c>
      <c r="I224">
        <v>5</v>
      </c>
    </row>
    <row r="225" spans="1:9" ht="15.6" x14ac:dyDescent="0.3">
      <c r="A225" s="9">
        <v>224</v>
      </c>
      <c r="B225" s="2" t="s">
        <v>230</v>
      </c>
      <c r="C225" s="11">
        <v>10</v>
      </c>
      <c r="D225" s="12">
        <v>16.666666666666664</v>
      </c>
      <c r="E225" s="12" t="s">
        <v>8219</v>
      </c>
      <c r="F225" s="13">
        <v>6</v>
      </c>
      <c r="G225" s="14">
        <v>1766.21</v>
      </c>
      <c r="H225" t="s">
        <v>150</v>
      </c>
      <c r="I225">
        <v>4</v>
      </c>
    </row>
    <row r="226" spans="1:9" ht="15.6" x14ac:dyDescent="0.3">
      <c r="A226" s="9">
        <v>225</v>
      </c>
      <c r="B226" s="2" t="s">
        <v>231</v>
      </c>
      <c r="C226" s="11">
        <v>26</v>
      </c>
      <c r="D226" s="12">
        <v>16.666666666666664</v>
      </c>
      <c r="E226" s="12" t="s">
        <v>8219</v>
      </c>
      <c r="F226" s="13">
        <v>6</v>
      </c>
      <c r="G226" s="14">
        <v>1824.2799999999997</v>
      </c>
      <c r="H226" t="s">
        <v>3926</v>
      </c>
      <c r="I226">
        <v>7</v>
      </c>
    </row>
    <row r="227" spans="1:9" ht="15.6" x14ac:dyDescent="0.3">
      <c r="A227" s="9">
        <v>226</v>
      </c>
      <c r="B227" s="2" t="s">
        <v>232</v>
      </c>
      <c r="C227" s="11">
        <v>24</v>
      </c>
      <c r="D227" s="12">
        <v>33.333333333333329</v>
      </c>
      <c r="E227" s="12" t="s">
        <v>8219</v>
      </c>
      <c r="F227" s="13">
        <v>6</v>
      </c>
      <c r="G227" s="14">
        <v>1800.25</v>
      </c>
      <c r="H227" t="s">
        <v>2902</v>
      </c>
      <c r="I227">
        <v>6</v>
      </c>
    </row>
    <row r="228" spans="1:9" ht="15.6" x14ac:dyDescent="0.3">
      <c r="A228" s="9">
        <v>227</v>
      </c>
      <c r="B228" s="2" t="s">
        <v>233</v>
      </c>
      <c r="C228" s="11">
        <v>24</v>
      </c>
      <c r="D228" s="12">
        <v>33.333333333333329</v>
      </c>
      <c r="E228" s="12" t="s">
        <v>8219</v>
      </c>
      <c r="F228" s="13">
        <v>6</v>
      </c>
      <c r="G228" s="14">
        <v>1840.2800000000002</v>
      </c>
      <c r="H228" t="s">
        <v>1878</v>
      </c>
      <c r="I228">
        <v>6</v>
      </c>
    </row>
    <row r="229" spans="1:9" ht="15.6" x14ac:dyDescent="0.3">
      <c r="A229" s="9">
        <v>228</v>
      </c>
      <c r="B229" s="2" t="s">
        <v>234</v>
      </c>
      <c r="C229" s="11">
        <v>18</v>
      </c>
      <c r="D229" s="12">
        <v>16.666666666666664</v>
      </c>
      <c r="E229" s="12" t="s">
        <v>8219</v>
      </c>
      <c r="F229" s="13">
        <v>6</v>
      </c>
      <c r="G229" s="14">
        <v>1815.2599999999998</v>
      </c>
      <c r="H229" t="s">
        <v>854</v>
      </c>
      <c r="I229">
        <v>5</v>
      </c>
    </row>
    <row r="230" spans="1:9" ht="15.6" x14ac:dyDescent="0.3">
      <c r="A230" s="9">
        <v>229</v>
      </c>
      <c r="B230" s="2" t="s">
        <v>235</v>
      </c>
      <c r="C230" s="11">
        <v>24</v>
      </c>
      <c r="D230" s="12">
        <v>33.333333333333329</v>
      </c>
      <c r="E230" s="12" t="s">
        <v>8219</v>
      </c>
      <c r="F230" s="13">
        <v>6</v>
      </c>
      <c r="G230" s="14">
        <v>1800.25</v>
      </c>
      <c r="H230" t="s">
        <v>3670</v>
      </c>
      <c r="I230">
        <v>6</v>
      </c>
    </row>
    <row r="231" spans="1:9" ht="15.6" x14ac:dyDescent="0.3">
      <c r="A231" s="9">
        <v>230</v>
      </c>
      <c r="B231" s="2" t="s">
        <v>236</v>
      </c>
      <c r="C231" s="11">
        <v>22</v>
      </c>
      <c r="D231" s="12">
        <v>50</v>
      </c>
      <c r="E231" s="12" t="s">
        <v>8220</v>
      </c>
      <c r="F231" s="13">
        <v>6</v>
      </c>
      <c r="G231" s="14">
        <v>1776.2199999999998</v>
      </c>
      <c r="H231" t="s">
        <v>2646</v>
      </c>
      <c r="I231">
        <v>6</v>
      </c>
    </row>
    <row r="232" spans="1:9" ht="15.6" x14ac:dyDescent="0.3">
      <c r="A232" s="9">
        <v>231</v>
      </c>
      <c r="B232" s="2" t="s">
        <v>237</v>
      </c>
      <c r="C232" s="11">
        <v>22</v>
      </c>
      <c r="D232" s="12">
        <v>50</v>
      </c>
      <c r="E232" s="12" t="s">
        <v>8220</v>
      </c>
      <c r="F232" s="13">
        <v>6</v>
      </c>
      <c r="G232" s="14">
        <v>1816.25</v>
      </c>
      <c r="H232" t="s">
        <v>1622</v>
      </c>
      <c r="I232">
        <v>6</v>
      </c>
    </row>
    <row r="233" spans="1:9" ht="15.6" x14ac:dyDescent="0.3">
      <c r="A233" s="9">
        <v>232</v>
      </c>
      <c r="B233" s="2" t="s">
        <v>238</v>
      </c>
      <c r="C233" s="11">
        <v>16</v>
      </c>
      <c r="D233" s="12">
        <v>33.333333333333329</v>
      </c>
      <c r="E233" s="12" t="s">
        <v>8219</v>
      </c>
      <c r="F233" s="13">
        <v>6</v>
      </c>
      <c r="G233" s="14">
        <v>1791.23</v>
      </c>
      <c r="H233" t="s">
        <v>598</v>
      </c>
      <c r="I233">
        <v>5</v>
      </c>
    </row>
    <row r="234" spans="1:9" ht="15.6" x14ac:dyDescent="0.3">
      <c r="A234" s="9">
        <v>233</v>
      </c>
      <c r="B234" s="2" t="s">
        <v>239</v>
      </c>
      <c r="C234" s="11">
        <v>24</v>
      </c>
      <c r="D234" s="12">
        <v>33.333333333333329</v>
      </c>
      <c r="E234" s="12" t="s">
        <v>8219</v>
      </c>
      <c r="F234" s="13">
        <v>6</v>
      </c>
      <c r="G234" s="14">
        <v>1840.2800000000002</v>
      </c>
      <c r="H234" t="s">
        <v>3414</v>
      </c>
      <c r="I234">
        <v>6</v>
      </c>
    </row>
    <row r="235" spans="1:9" ht="15.6" x14ac:dyDescent="0.3">
      <c r="A235" s="9">
        <v>234</v>
      </c>
      <c r="B235" s="2" t="s">
        <v>240</v>
      </c>
      <c r="C235" s="11">
        <v>22</v>
      </c>
      <c r="D235" s="12">
        <v>50</v>
      </c>
      <c r="E235" s="12" t="s">
        <v>8220</v>
      </c>
      <c r="F235" s="13">
        <v>6</v>
      </c>
      <c r="G235" s="14">
        <v>1816.25</v>
      </c>
      <c r="H235" t="s">
        <v>2390</v>
      </c>
      <c r="I235">
        <v>6</v>
      </c>
    </row>
    <row r="236" spans="1:9" ht="15.6" x14ac:dyDescent="0.3">
      <c r="A236" s="9">
        <v>235</v>
      </c>
      <c r="B236" s="2" t="s">
        <v>241</v>
      </c>
      <c r="C236" s="11">
        <v>22</v>
      </c>
      <c r="D236" s="12">
        <v>50</v>
      </c>
      <c r="E236" s="12" t="s">
        <v>8220</v>
      </c>
      <c r="F236" s="13">
        <v>6</v>
      </c>
      <c r="G236" s="14">
        <v>1856.2800000000002</v>
      </c>
      <c r="H236" t="s">
        <v>1366</v>
      </c>
      <c r="I236">
        <v>6</v>
      </c>
    </row>
    <row r="237" spans="1:9" ht="15.6" x14ac:dyDescent="0.3">
      <c r="A237" s="9">
        <v>236</v>
      </c>
      <c r="B237" s="2" t="s">
        <v>242</v>
      </c>
      <c r="C237" s="11">
        <v>16</v>
      </c>
      <c r="D237" s="12">
        <v>33.333333333333329</v>
      </c>
      <c r="E237" s="12" t="s">
        <v>8219</v>
      </c>
      <c r="F237" s="13">
        <v>6</v>
      </c>
      <c r="G237" s="14">
        <v>1831.2600000000002</v>
      </c>
      <c r="H237" t="s">
        <v>342</v>
      </c>
      <c r="I237">
        <v>5</v>
      </c>
    </row>
    <row r="238" spans="1:9" ht="15.6" x14ac:dyDescent="0.3">
      <c r="A238" s="9">
        <v>237</v>
      </c>
      <c r="B238" s="2" t="s">
        <v>243</v>
      </c>
      <c r="C238" s="11">
        <v>18</v>
      </c>
      <c r="D238" s="12">
        <v>16.666666666666664</v>
      </c>
      <c r="E238" s="12" t="s">
        <v>8219</v>
      </c>
      <c r="F238" s="13">
        <v>6</v>
      </c>
      <c r="G238" s="14">
        <v>1815.2599999999998</v>
      </c>
      <c r="H238" t="s">
        <v>3158</v>
      </c>
      <c r="I238">
        <v>5</v>
      </c>
    </row>
    <row r="239" spans="1:9" ht="15.6" x14ac:dyDescent="0.3">
      <c r="A239" s="9">
        <v>238</v>
      </c>
      <c r="B239" s="2" t="s">
        <v>244</v>
      </c>
      <c r="C239" s="11">
        <v>16</v>
      </c>
      <c r="D239" s="12">
        <v>33.333333333333329</v>
      </c>
      <c r="E239" s="12" t="s">
        <v>8219</v>
      </c>
      <c r="F239" s="13">
        <v>6</v>
      </c>
      <c r="G239" s="14">
        <v>1791.23</v>
      </c>
      <c r="H239" t="s">
        <v>2134</v>
      </c>
      <c r="I239">
        <v>5</v>
      </c>
    </row>
    <row r="240" spans="1:9" ht="15.6" x14ac:dyDescent="0.3">
      <c r="A240" s="9">
        <v>239</v>
      </c>
      <c r="B240" s="2" t="s">
        <v>245</v>
      </c>
      <c r="C240" s="11">
        <v>16</v>
      </c>
      <c r="D240" s="12">
        <v>33.333333333333329</v>
      </c>
      <c r="E240" s="12" t="s">
        <v>8219</v>
      </c>
      <c r="F240" s="13">
        <v>6</v>
      </c>
      <c r="G240" s="14">
        <v>1831.2600000000002</v>
      </c>
      <c r="H240" t="s">
        <v>1110</v>
      </c>
      <c r="I240">
        <v>5</v>
      </c>
    </row>
    <row r="241" spans="1:9" ht="15.6" x14ac:dyDescent="0.3">
      <c r="A241" s="9">
        <v>240</v>
      </c>
      <c r="B241" s="2" t="s">
        <v>246</v>
      </c>
      <c r="C241" s="11">
        <v>10</v>
      </c>
      <c r="D241" s="12">
        <v>16.666666666666664</v>
      </c>
      <c r="E241" s="12" t="s">
        <v>8219</v>
      </c>
      <c r="F241" s="13">
        <v>6</v>
      </c>
      <c r="G241" s="14">
        <v>1806.2399999999998</v>
      </c>
      <c r="H241" t="s">
        <v>86</v>
      </c>
      <c r="I241">
        <v>4</v>
      </c>
    </row>
    <row r="242" spans="1:9" ht="15.6" x14ac:dyDescent="0.3">
      <c r="A242" s="9">
        <v>241</v>
      </c>
      <c r="B242" s="2" t="s">
        <v>247</v>
      </c>
      <c r="C242" s="11">
        <v>20</v>
      </c>
      <c r="D242" s="12">
        <v>0</v>
      </c>
      <c r="E242" s="12" t="s">
        <v>8219</v>
      </c>
      <c r="F242" s="13">
        <v>6</v>
      </c>
      <c r="G242" s="14">
        <v>1799.2599999999998</v>
      </c>
      <c r="H242" t="s">
        <v>3862</v>
      </c>
      <c r="I242">
        <v>6</v>
      </c>
    </row>
    <row r="243" spans="1:9" ht="15.6" x14ac:dyDescent="0.3">
      <c r="A243" s="9">
        <v>242</v>
      </c>
      <c r="B243" s="2" t="s">
        <v>248</v>
      </c>
      <c r="C243" s="11">
        <v>18</v>
      </c>
      <c r="D243" s="12">
        <v>16.666666666666664</v>
      </c>
      <c r="E243" s="12" t="s">
        <v>8219</v>
      </c>
      <c r="F243" s="13">
        <v>6</v>
      </c>
      <c r="G243" s="14">
        <v>1775.23</v>
      </c>
      <c r="H243" t="s">
        <v>2838</v>
      </c>
      <c r="I243">
        <v>5</v>
      </c>
    </row>
    <row r="244" spans="1:9" ht="15.6" x14ac:dyDescent="0.3">
      <c r="A244" s="9">
        <v>243</v>
      </c>
      <c r="B244" s="2" t="s">
        <v>249</v>
      </c>
      <c r="C244" s="11">
        <v>18</v>
      </c>
      <c r="D244" s="12">
        <v>16.666666666666664</v>
      </c>
      <c r="E244" s="12" t="s">
        <v>8219</v>
      </c>
      <c r="F244" s="13">
        <v>6</v>
      </c>
      <c r="G244" s="14">
        <v>1815.2599999999998</v>
      </c>
      <c r="H244" t="s">
        <v>1814</v>
      </c>
      <c r="I244">
        <v>5</v>
      </c>
    </row>
    <row r="245" spans="1:9" ht="15.6" x14ac:dyDescent="0.3">
      <c r="A245" s="9">
        <v>244</v>
      </c>
      <c r="B245" s="2" t="s">
        <v>250</v>
      </c>
      <c r="C245" s="11">
        <v>12</v>
      </c>
      <c r="D245" s="12">
        <v>0</v>
      </c>
      <c r="E245" s="12" t="s">
        <v>8219</v>
      </c>
      <c r="F245" s="13">
        <v>6</v>
      </c>
      <c r="G245" s="14">
        <v>1790.2399999999998</v>
      </c>
      <c r="H245" t="s">
        <v>790</v>
      </c>
      <c r="I245">
        <v>4</v>
      </c>
    </row>
    <row r="246" spans="1:9" ht="15.6" x14ac:dyDescent="0.3">
      <c r="A246" s="9">
        <v>245</v>
      </c>
      <c r="B246" s="2" t="s">
        <v>251</v>
      </c>
      <c r="C246" s="11">
        <v>18</v>
      </c>
      <c r="D246" s="12">
        <v>16.666666666666664</v>
      </c>
      <c r="E246" s="12" t="s">
        <v>8219</v>
      </c>
      <c r="F246" s="13">
        <v>6</v>
      </c>
      <c r="G246" s="14">
        <v>1775.23</v>
      </c>
      <c r="H246" t="s">
        <v>3606</v>
      </c>
      <c r="I246">
        <v>5</v>
      </c>
    </row>
    <row r="247" spans="1:9" ht="15.6" x14ac:dyDescent="0.3">
      <c r="A247" s="9">
        <v>246</v>
      </c>
      <c r="B247" s="2" t="s">
        <v>252</v>
      </c>
      <c r="C247" s="11">
        <v>16</v>
      </c>
      <c r="D247" s="12">
        <v>33.333333333333329</v>
      </c>
      <c r="E247" s="12" t="s">
        <v>8219</v>
      </c>
      <c r="F247" s="13">
        <v>6</v>
      </c>
      <c r="G247" s="14">
        <v>1751.1999999999998</v>
      </c>
      <c r="H247" t="s">
        <v>2582</v>
      </c>
      <c r="I247">
        <v>5</v>
      </c>
    </row>
    <row r="248" spans="1:9" ht="15.6" x14ac:dyDescent="0.3">
      <c r="A248" s="9">
        <v>247</v>
      </c>
      <c r="B248" s="2" t="s">
        <v>253</v>
      </c>
      <c r="C248" s="11">
        <v>16</v>
      </c>
      <c r="D248" s="12">
        <v>33.333333333333329</v>
      </c>
      <c r="E248" s="12" t="s">
        <v>8219</v>
      </c>
      <c r="F248" s="13">
        <v>6</v>
      </c>
      <c r="G248" s="14">
        <v>1791.23</v>
      </c>
      <c r="H248" t="s">
        <v>1558</v>
      </c>
      <c r="I248">
        <v>5</v>
      </c>
    </row>
    <row r="249" spans="1:9" ht="15.6" x14ac:dyDescent="0.3">
      <c r="A249" s="9">
        <v>248</v>
      </c>
      <c r="B249" s="2" t="s">
        <v>254</v>
      </c>
      <c r="C249" s="11">
        <v>10</v>
      </c>
      <c r="D249" s="12">
        <v>16.666666666666664</v>
      </c>
      <c r="E249" s="12" t="s">
        <v>8219</v>
      </c>
      <c r="F249" s="13">
        <v>6</v>
      </c>
      <c r="G249" s="14">
        <v>1766.21</v>
      </c>
      <c r="H249" t="s">
        <v>534</v>
      </c>
      <c r="I249">
        <v>4</v>
      </c>
    </row>
    <row r="250" spans="1:9" ht="15.6" x14ac:dyDescent="0.3">
      <c r="A250" s="9">
        <v>249</v>
      </c>
      <c r="B250" s="2" t="s">
        <v>255</v>
      </c>
      <c r="C250" s="11">
        <v>18</v>
      </c>
      <c r="D250" s="12">
        <v>16.666666666666664</v>
      </c>
      <c r="E250" s="12" t="s">
        <v>8219</v>
      </c>
      <c r="F250" s="13">
        <v>6</v>
      </c>
      <c r="G250" s="14">
        <v>1815.2599999999998</v>
      </c>
      <c r="H250" t="s">
        <v>3350</v>
      </c>
      <c r="I250">
        <v>5</v>
      </c>
    </row>
    <row r="251" spans="1:9" ht="15.6" x14ac:dyDescent="0.3">
      <c r="A251" s="9">
        <v>250</v>
      </c>
      <c r="B251" s="2" t="s">
        <v>256</v>
      </c>
      <c r="C251" s="11">
        <v>16</v>
      </c>
      <c r="D251" s="12">
        <v>33.333333333333329</v>
      </c>
      <c r="E251" s="12" t="s">
        <v>8219</v>
      </c>
      <c r="F251" s="13">
        <v>6</v>
      </c>
      <c r="G251" s="14">
        <v>1791.23</v>
      </c>
      <c r="H251" t="s">
        <v>2326</v>
      </c>
      <c r="I251">
        <v>5</v>
      </c>
    </row>
    <row r="252" spans="1:9" ht="15.6" x14ac:dyDescent="0.3">
      <c r="A252" s="9">
        <v>251</v>
      </c>
      <c r="B252" s="2" t="s">
        <v>257</v>
      </c>
      <c r="C252" s="11">
        <v>16</v>
      </c>
      <c r="D252" s="12">
        <v>33.333333333333329</v>
      </c>
      <c r="E252" s="12" t="s">
        <v>8219</v>
      </c>
      <c r="F252" s="13">
        <v>6</v>
      </c>
      <c r="G252" s="14">
        <v>1831.2600000000002</v>
      </c>
      <c r="H252" t="s">
        <v>1302</v>
      </c>
      <c r="I252">
        <v>5</v>
      </c>
    </row>
    <row r="253" spans="1:9" ht="15.6" x14ac:dyDescent="0.3">
      <c r="A253" s="9">
        <v>252</v>
      </c>
      <c r="B253" s="2" t="s">
        <v>258</v>
      </c>
      <c r="C253" s="11">
        <v>10</v>
      </c>
      <c r="D253" s="12">
        <v>16.666666666666664</v>
      </c>
      <c r="E253" s="12" t="s">
        <v>8219</v>
      </c>
      <c r="F253" s="13">
        <v>6</v>
      </c>
      <c r="G253" s="14">
        <v>1806.2399999999998</v>
      </c>
      <c r="H253" t="s">
        <v>278</v>
      </c>
      <c r="I253">
        <v>4</v>
      </c>
    </row>
    <row r="254" spans="1:9" ht="15.6" x14ac:dyDescent="0.3">
      <c r="A254" s="9">
        <v>253</v>
      </c>
      <c r="B254" s="2" t="s">
        <v>259</v>
      </c>
      <c r="C254" s="11">
        <v>12</v>
      </c>
      <c r="D254" s="12">
        <v>0</v>
      </c>
      <c r="E254" s="12" t="s">
        <v>8219</v>
      </c>
      <c r="F254" s="13">
        <v>6</v>
      </c>
      <c r="G254" s="14">
        <v>1790.2399999999998</v>
      </c>
      <c r="H254" t="s">
        <v>3094</v>
      </c>
      <c r="I254">
        <v>4</v>
      </c>
    </row>
    <row r="255" spans="1:9" ht="15.6" x14ac:dyDescent="0.3">
      <c r="A255" s="9">
        <v>254</v>
      </c>
      <c r="B255" s="2" t="s">
        <v>260</v>
      </c>
      <c r="C255" s="11">
        <v>10</v>
      </c>
      <c r="D255" s="12">
        <v>16.666666666666664</v>
      </c>
      <c r="E255" s="12" t="s">
        <v>8219</v>
      </c>
      <c r="F255" s="13">
        <v>6</v>
      </c>
      <c r="G255" s="14">
        <v>1766.21</v>
      </c>
      <c r="H255" t="s">
        <v>2070</v>
      </c>
      <c r="I255">
        <v>4</v>
      </c>
    </row>
    <row r="256" spans="1:9" ht="15.6" x14ac:dyDescent="0.3">
      <c r="A256" s="9">
        <v>255</v>
      </c>
      <c r="B256" s="2" t="s">
        <v>261</v>
      </c>
      <c r="C256" s="11">
        <v>10</v>
      </c>
      <c r="D256" s="12">
        <v>16.666666666666664</v>
      </c>
      <c r="E256" s="12" t="s">
        <v>8219</v>
      </c>
      <c r="F256" s="13">
        <v>6</v>
      </c>
      <c r="G256" s="14">
        <v>1806.2399999999998</v>
      </c>
      <c r="H256" t="s">
        <v>1046</v>
      </c>
      <c r="I256">
        <v>4</v>
      </c>
    </row>
    <row r="257" spans="1:9" ht="15.6" x14ac:dyDescent="0.3">
      <c r="A257" s="9">
        <v>256</v>
      </c>
      <c r="B257" s="2" t="s">
        <v>262</v>
      </c>
      <c r="C257" s="11">
        <v>4</v>
      </c>
      <c r="D257" s="12">
        <v>0</v>
      </c>
      <c r="E257" s="12" t="s">
        <v>8219</v>
      </c>
      <c r="F257" s="13">
        <v>6</v>
      </c>
      <c r="G257" s="14">
        <v>1781.2199999999998</v>
      </c>
      <c r="H257" t="s">
        <v>22</v>
      </c>
      <c r="I257">
        <v>3</v>
      </c>
    </row>
    <row r="258" spans="1:9" ht="15.6" x14ac:dyDescent="0.3">
      <c r="A258" s="9">
        <v>257</v>
      </c>
      <c r="B258" s="2" t="s">
        <v>263</v>
      </c>
      <c r="C258" s="11">
        <v>34</v>
      </c>
      <c r="D258" s="12">
        <v>16.666666666666664</v>
      </c>
      <c r="E258" s="12" t="s">
        <v>8219</v>
      </c>
      <c r="F258" s="13">
        <v>6</v>
      </c>
      <c r="G258" s="14">
        <v>1793.27</v>
      </c>
      <c r="H258" t="s">
        <v>4098</v>
      </c>
      <c r="I258">
        <v>8</v>
      </c>
    </row>
    <row r="259" spans="1:9" ht="15.6" x14ac:dyDescent="0.3">
      <c r="A259" s="9">
        <v>258</v>
      </c>
      <c r="B259" s="2" t="s">
        <v>264</v>
      </c>
      <c r="C259" s="11">
        <v>32</v>
      </c>
      <c r="D259" s="12">
        <v>33.333333333333329</v>
      </c>
      <c r="E259" s="12" t="s">
        <v>8219</v>
      </c>
      <c r="F259" s="13">
        <v>6</v>
      </c>
      <c r="G259" s="14">
        <v>1769.2399999999998</v>
      </c>
      <c r="H259" t="s">
        <v>3074</v>
      </c>
      <c r="I259">
        <v>8</v>
      </c>
    </row>
    <row r="260" spans="1:9" ht="15.6" x14ac:dyDescent="0.3">
      <c r="A260" s="9">
        <v>259</v>
      </c>
      <c r="B260" s="2" t="s">
        <v>265</v>
      </c>
      <c r="C260" s="11">
        <v>32</v>
      </c>
      <c r="D260" s="12">
        <v>33.333333333333329</v>
      </c>
      <c r="E260" s="12" t="s">
        <v>8219</v>
      </c>
      <c r="F260" s="13">
        <v>6</v>
      </c>
      <c r="G260" s="14">
        <v>1809.27</v>
      </c>
      <c r="H260" t="s">
        <v>2050</v>
      </c>
      <c r="I260">
        <v>8</v>
      </c>
    </row>
    <row r="261" spans="1:9" ht="15.6" x14ac:dyDescent="0.3">
      <c r="A261" s="9">
        <v>260</v>
      </c>
      <c r="B261" s="2" t="s">
        <v>266</v>
      </c>
      <c r="C261" s="11">
        <v>26</v>
      </c>
      <c r="D261" s="12">
        <v>16.666666666666664</v>
      </c>
      <c r="E261" s="12" t="s">
        <v>8219</v>
      </c>
      <c r="F261" s="13">
        <v>6</v>
      </c>
      <c r="G261" s="14">
        <v>1784.25</v>
      </c>
      <c r="H261" t="s">
        <v>1026</v>
      </c>
      <c r="I261">
        <v>7</v>
      </c>
    </row>
    <row r="262" spans="1:9" ht="15.6" x14ac:dyDescent="0.3">
      <c r="A262" s="9">
        <v>261</v>
      </c>
      <c r="B262" s="2" t="s">
        <v>267</v>
      </c>
      <c r="C262" s="11">
        <v>32</v>
      </c>
      <c r="D262" s="12">
        <v>33.333333333333329</v>
      </c>
      <c r="E262" s="12" t="s">
        <v>8219</v>
      </c>
      <c r="F262" s="13">
        <v>6</v>
      </c>
      <c r="G262" s="14">
        <v>1769.2399999999998</v>
      </c>
      <c r="H262" t="s">
        <v>3842</v>
      </c>
      <c r="I262">
        <v>8</v>
      </c>
    </row>
    <row r="263" spans="1:9" ht="15.6" x14ac:dyDescent="0.3">
      <c r="A263" s="9">
        <v>262</v>
      </c>
      <c r="B263" s="2" t="s">
        <v>268</v>
      </c>
      <c r="C263" s="11">
        <v>30</v>
      </c>
      <c r="D263" s="12">
        <v>50</v>
      </c>
      <c r="E263" s="12" t="s">
        <v>8220</v>
      </c>
      <c r="F263" s="13">
        <v>6</v>
      </c>
      <c r="G263" s="14">
        <v>1745.21</v>
      </c>
      <c r="H263" t="s">
        <v>2818</v>
      </c>
      <c r="I263">
        <v>7</v>
      </c>
    </row>
    <row r="264" spans="1:9" ht="15.6" x14ac:dyDescent="0.3">
      <c r="A264" s="9">
        <v>263</v>
      </c>
      <c r="B264" s="2" t="s">
        <v>269</v>
      </c>
      <c r="C264" s="11">
        <v>30</v>
      </c>
      <c r="D264" s="12">
        <v>50</v>
      </c>
      <c r="E264" s="12" t="s">
        <v>8220</v>
      </c>
      <c r="F264" s="13">
        <v>6</v>
      </c>
      <c r="G264" s="14">
        <v>1785.2399999999998</v>
      </c>
      <c r="H264" t="s">
        <v>1794</v>
      </c>
      <c r="I264">
        <v>7</v>
      </c>
    </row>
    <row r="265" spans="1:9" ht="15.6" x14ac:dyDescent="0.3">
      <c r="A265" s="9">
        <v>264</v>
      </c>
      <c r="B265" s="2" t="s">
        <v>270</v>
      </c>
      <c r="C265" s="11">
        <v>24</v>
      </c>
      <c r="D265" s="12">
        <v>33.333333333333329</v>
      </c>
      <c r="E265" s="12" t="s">
        <v>8219</v>
      </c>
      <c r="F265" s="13">
        <v>6</v>
      </c>
      <c r="G265" s="14">
        <v>1760.2199999999998</v>
      </c>
      <c r="H265" t="s">
        <v>770</v>
      </c>
      <c r="I265">
        <v>6</v>
      </c>
    </row>
    <row r="266" spans="1:9" ht="15.6" x14ac:dyDescent="0.3">
      <c r="A266" s="9">
        <v>265</v>
      </c>
      <c r="B266" s="2" t="s">
        <v>271</v>
      </c>
      <c r="C266" s="11">
        <v>32</v>
      </c>
      <c r="D266" s="12">
        <v>33.333333333333329</v>
      </c>
      <c r="E266" s="12" t="s">
        <v>8219</v>
      </c>
      <c r="F266" s="13">
        <v>6</v>
      </c>
      <c r="G266" s="14">
        <v>1809.27</v>
      </c>
      <c r="H266" t="s">
        <v>3586</v>
      </c>
      <c r="I266">
        <v>8</v>
      </c>
    </row>
    <row r="267" spans="1:9" ht="15.6" x14ac:dyDescent="0.3">
      <c r="A267" s="9">
        <v>266</v>
      </c>
      <c r="B267" s="2" t="s">
        <v>272</v>
      </c>
      <c r="C267" s="11">
        <v>30</v>
      </c>
      <c r="D267" s="12">
        <v>50</v>
      </c>
      <c r="E267" s="12" t="s">
        <v>8220</v>
      </c>
      <c r="F267" s="13">
        <v>6</v>
      </c>
      <c r="G267" s="14">
        <v>1785.2399999999998</v>
      </c>
      <c r="H267" t="s">
        <v>2562</v>
      </c>
      <c r="I267">
        <v>7</v>
      </c>
    </row>
    <row r="268" spans="1:9" ht="15.6" x14ac:dyDescent="0.3">
      <c r="A268" s="9">
        <v>267</v>
      </c>
      <c r="B268" s="2" t="s">
        <v>273</v>
      </c>
      <c r="C268" s="11">
        <v>30</v>
      </c>
      <c r="D268" s="12">
        <v>50</v>
      </c>
      <c r="E268" s="12" t="s">
        <v>8220</v>
      </c>
      <c r="F268" s="13">
        <v>6</v>
      </c>
      <c r="G268" s="14">
        <v>1825.27</v>
      </c>
      <c r="H268" t="s">
        <v>1538</v>
      </c>
      <c r="I268">
        <v>7</v>
      </c>
    </row>
    <row r="269" spans="1:9" ht="15.6" x14ac:dyDescent="0.3">
      <c r="A269" s="9">
        <v>268</v>
      </c>
      <c r="B269" s="2" t="s">
        <v>274</v>
      </c>
      <c r="C269" s="11">
        <v>24</v>
      </c>
      <c r="D269" s="12">
        <v>33.333333333333329</v>
      </c>
      <c r="E269" s="12" t="s">
        <v>8219</v>
      </c>
      <c r="F269" s="13">
        <v>6</v>
      </c>
      <c r="G269" s="14">
        <v>1800.25</v>
      </c>
      <c r="H269" t="s">
        <v>514</v>
      </c>
      <c r="I269">
        <v>6</v>
      </c>
    </row>
    <row r="270" spans="1:9" ht="15.6" x14ac:dyDescent="0.3">
      <c r="A270" s="9">
        <v>269</v>
      </c>
      <c r="B270" s="2" t="s">
        <v>275</v>
      </c>
      <c r="C270" s="11">
        <v>26</v>
      </c>
      <c r="D270" s="12">
        <v>16.666666666666664</v>
      </c>
      <c r="E270" s="12" t="s">
        <v>8219</v>
      </c>
      <c r="F270" s="13">
        <v>6</v>
      </c>
      <c r="G270" s="14">
        <v>1784.25</v>
      </c>
      <c r="H270" t="s">
        <v>3330</v>
      </c>
      <c r="I270">
        <v>7</v>
      </c>
    </row>
    <row r="271" spans="1:9" ht="15.6" x14ac:dyDescent="0.3">
      <c r="A271" s="9">
        <v>270</v>
      </c>
      <c r="B271" s="2" t="s">
        <v>276</v>
      </c>
      <c r="C271" s="11">
        <v>24</v>
      </c>
      <c r="D271" s="12">
        <v>33.333333333333329</v>
      </c>
      <c r="E271" s="12" t="s">
        <v>8219</v>
      </c>
      <c r="F271" s="13">
        <v>6</v>
      </c>
      <c r="G271" s="14">
        <v>1760.2199999999998</v>
      </c>
      <c r="H271" t="s">
        <v>2306</v>
      </c>
      <c r="I271">
        <v>6</v>
      </c>
    </row>
    <row r="272" spans="1:9" ht="15.6" x14ac:dyDescent="0.3">
      <c r="A272" s="9">
        <v>271</v>
      </c>
      <c r="B272" s="2" t="s">
        <v>277</v>
      </c>
      <c r="C272" s="11">
        <v>24</v>
      </c>
      <c r="D272" s="12">
        <v>33.333333333333329</v>
      </c>
      <c r="E272" s="12" t="s">
        <v>8219</v>
      </c>
      <c r="F272" s="13">
        <v>6</v>
      </c>
      <c r="G272" s="14">
        <v>1800.25</v>
      </c>
      <c r="H272" t="s">
        <v>1282</v>
      </c>
      <c r="I272">
        <v>6</v>
      </c>
    </row>
    <row r="273" spans="1:9" ht="15.6" x14ac:dyDescent="0.3">
      <c r="A273" s="9">
        <v>272</v>
      </c>
      <c r="B273" s="2" t="s">
        <v>278</v>
      </c>
      <c r="C273" s="11">
        <v>18</v>
      </c>
      <c r="D273" s="12">
        <v>16.666666666666664</v>
      </c>
      <c r="E273" s="12" t="s">
        <v>8219</v>
      </c>
      <c r="F273" s="13">
        <v>6</v>
      </c>
      <c r="G273" s="14">
        <v>1775.23</v>
      </c>
      <c r="H273" t="s">
        <v>258</v>
      </c>
      <c r="I273">
        <v>5</v>
      </c>
    </row>
    <row r="274" spans="1:9" ht="15.6" x14ac:dyDescent="0.3">
      <c r="A274" s="9">
        <v>273</v>
      </c>
      <c r="B274" s="2" t="s">
        <v>279</v>
      </c>
      <c r="C274" s="11">
        <v>32</v>
      </c>
      <c r="D274" s="12">
        <v>33.333333333333329</v>
      </c>
      <c r="E274" s="12" t="s">
        <v>8219</v>
      </c>
      <c r="F274" s="13">
        <v>6</v>
      </c>
      <c r="G274" s="14">
        <v>1769.2399999999998</v>
      </c>
      <c r="H274" t="s">
        <v>4034</v>
      </c>
      <c r="I274">
        <v>8</v>
      </c>
    </row>
    <row r="275" spans="1:9" ht="15.6" x14ac:dyDescent="0.3">
      <c r="A275" s="9">
        <v>274</v>
      </c>
      <c r="B275" s="2" t="s">
        <v>280</v>
      </c>
      <c r="C275" s="11">
        <v>30</v>
      </c>
      <c r="D275" s="12">
        <v>50</v>
      </c>
      <c r="E275" s="12" t="s">
        <v>8220</v>
      </c>
      <c r="F275" s="13">
        <v>6</v>
      </c>
      <c r="G275" s="14">
        <v>1745.21</v>
      </c>
      <c r="H275" t="s">
        <v>3010</v>
      </c>
      <c r="I275">
        <v>7</v>
      </c>
    </row>
    <row r="276" spans="1:9" ht="15.6" x14ac:dyDescent="0.3">
      <c r="A276" s="9">
        <v>275</v>
      </c>
      <c r="B276" s="2" t="s">
        <v>281</v>
      </c>
      <c r="C276" s="11">
        <v>30</v>
      </c>
      <c r="D276" s="12">
        <v>50</v>
      </c>
      <c r="E276" s="12" t="s">
        <v>8220</v>
      </c>
      <c r="F276" s="13">
        <v>6</v>
      </c>
      <c r="G276" s="14">
        <v>1785.2399999999998</v>
      </c>
      <c r="H276" t="s">
        <v>1986</v>
      </c>
      <c r="I276">
        <v>7</v>
      </c>
    </row>
    <row r="277" spans="1:9" ht="15.6" x14ac:dyDescent="0.3">
      <c r="A277" s="9">
        <v>276</v>
      </c>
      <c r="B277" s="2" t="s">
        <v>282</v>
      </c>
      <c r="C277" s="11">
        <v>24</v>
      </c>
      <c r="D277" s="12">
        <v>33.333333333333329</v>
      </c>
      <c r="E277" s="12" t="s">
        <v>8219</v>
      </c>
      <c r="F277" s="13">
        <v>6</v>
      </c>
      <c r="G277" s="14">
        <v>1760.2199999999998</v>
      </c>
      <c r="H277" t="s">
        <v>962</v>
      </c>
      <c r="I277">
        <v>6</v>
      </c>
    </row>
    <row r="278" spans="1:9" ht="15.6" x14ac:dyDescent="0.3">
      <c r="A278" s="9">
        <v>277</v>
      </c>
      <c r="B278" s="2" t="s">
        <v>283</v>
      </c>
      <c r="C278" s="11">
        <v>30</v>
      </c>
      <c r="D278" s="12">
        <v>50</v>
      </c>
      <c r="E278" s="12" t="s">
        <v>8220</v>
      </c>
      <c r="F278" s="13">
        <v>6</v>
      </c>
      <c r="G278" s="14">
        <v>1745.21</v>
      </c>
      <c r="H278" t="s">
        <v>3778</v>
      </c>
      <c r="I278">
        <v>7</v>
      </c>
    </row>
    <row r="279" spans="1:9" ht="15.6" x14ac:dyDescent="0.3">
      <c r="A279" s="9">
        <v>278</v>
      </c>
      <c r="B279" s="2" t="s">
        <v>284</v>
      </c>
      <c r="C279" s="11">
        <v>28</v>
      </c>
      <c r="D279" s="12">
        <v>66.666666666666657</v>
      </c>
      <c r="E279" s="12" t="s">
        <v>8220</v>
      </c>
      <c r="F279" s="13">
        <v>6</v>
      </c>
      <c r="G279" s="14">
        <v>1721.1799999999998</v>
      </c>
      <c r="H279" t="s">
        <v>2754</v>
      </c>
      <c r="I279">
        <v>7</v>
      </c>
    </row>
    <row r="280" spans="1:9" ht="15.6" x14ac:dyDescent="0.3">
      <c r="A280" s="9">
        <v>279</v>
      </c>
      <c r="B280" s="2" t="s">
        <v>285</v>
      </c>
      <c r="C280" s="11">
        <v>28</v>
      </c>
      <c r="D280" s="12">
        <v>66.666666666666657</v>
      </c>
      <c r="E280" s="12" t="s">
        <v>8220</v>
      </c>
      <c r="F280" s="13">
        <v>6</v>
      </c>
      <c r="G280" s="14">
        <v>1761.21</v>
      </c>
      <c r="H280" t="s">
        <v>1730</v>
      </c>
      <c r="I280">
        <v>7</v>
      </c>
    </row>
    <row r="281" spans="1:9" ht="15.6" x14ac:dyDescent="0.3">
      <c r="A281" s="9">
        <v>280</v>
      </c>
      <c r="B281" s="2" t="s">
        <v>286</v>
      </c>
      <c r="C281" s="11">
        <v>22</v>
      </c>
      <c r="D281" s="12">
        <v>50</v>
      </c>
      <c r="E281" s="12" t="s">
        <v>8220</v>
      </c>
      <c r="F281" s="13">
        <v>6</v>
      </c>
      <c r="G281" s="14">
        <v>1736.19</v>
      </c>
      <c r="H281" t="s">
        <v>706</v>
      </c>
      <c r="I281">
        <v>6</v>
      </c>
    </row>
    <row r="282" spans="1:9" ht="15.6" x14ac:dyDescent="0.3">
      <c r="A282" s="9">
        <v>281</v>
      </c>
      <c r="B282" s="2" t="s">
        <v>287</v>
      </c>
      <c r="C282" s="11">
        <v>30</v>
      </c>
      <c r="D282" s="12">
        <v>50</v>
      </c>
      <c r="E282" s="12" t="s">
        <v>8220</v>
      </c>
      <c r="F282" s="13">
        <v>6</v>
      </c>
      <c r="G282" s="14">
        <v>1785.2399999999998</v>
      </c>
      <c r="H282" t="s">
        <v>3522</v>
      </c>
      <c r="I282">
        <v>7</v>
      </c>
    </row>
    <row r="283" spans="1:9" ht="15.6" x14ac:dyDescent="0.3">
      <c r="A283" s="9">
        <v>282</v>
      </c>
      <c r="B283" s="2" t="s">
        <v>288</v>
      </c>
      <c r="C283" s="11">
        <v>28</v>
      </c>
      <c r="D283" s="12">
        <v>66.666666666666657</v>
      </c>
      <c r="E283" s="12" t="s">
        <v>8220</v>
      </c>
      <c r="F283" s="13">
        <v>6</v>
      </c>
      <c r="G283" s="14">
        <v>1761.21</v>
      </c>
      <c r="H283" t="s">
        <v>2498</v>
      </c>
      <c r="I283">
        <v>7</v>
      </c>
    </row>
    <row r="284" spans="1:9" ht="15.6" x14ac:dyDescent="0.3">
      <c r="A284" s="9">
        <v>283</v>
      </c>
      <c r="B284" s="2" t="s">
        <v>289</v>
      </c>
      <c r="C284" s="11">
        <v>28</v>
      </c>
      <c r="D284" s="12">
        <v>66.666666666666657</v>
      </c>
      <c r="E284" s="12" t="s">
        <v>8220</v>
      </c>
      <c r="F284" s="13">
        <v>6</v>
      </c>
      <c r="G284" s="14">
        <v>1801.2399999999998</v>
      </c>
      <c r="H284" t="s">
        <v>1474</v>
      </c>
      <c r="I284">
        <v>7</v>
      </c>
    </row>
    <row r="285" spans="1:9" ht="15.6" x14ac:dyDescent="0.3">
      <c r="A285" s="9">
        <v>284</v>
      </c>
      <c r="B285" s="2" t="s">
        <v>290</v>
      </c>
      <c r="C285" s="11">
        <v>22</v>
      </c>
      <c r="D285" s="12">
        <v>50</v>
      </c>
      <c r="E285" s="12" t="s">
        <v>8220</v>
      </c>
      <c r="F285" s="13">
        <v>6</v>
      </c>
      <c r="G285" s="14">
        <v>1776.2199999999998</v>
      </c>
      <c r="H285" t="s">
        <v>450</v>
      </c>
      <c r="I285">
        <v>6</v>
      </c>
    </row>
    <row r="286" spans="1:9" ht="15.6" x14ac:dyDescent="0.3">
      <c r="A286" s="9">
        <v>285</v>
      </c>
      <c r="B286" s="2" t="s">
        <v>291</v>
      </c>
      <c r="C286" s="11">
        <v>24</v>
      </c>
      <c r="D286" s="12">
        <v>33.333333333333329</v>
      </c>
      <c r="E286" s="12" t="s">
        <v>8219</v>
      </c>
      <c r="F286" s="13">
        <v>6</v>
      </c>
      <c r="G286" s="14">
        <v>1760.2199999999998</v>
      </c>
      <c r="H286" t="s">
        <v>3266</v>
      </c>
      <c r="I286">
        <v>6</v>
      </c>
    </row>
    <row r="287" spans="1:9" ht="15.6" x14ac:dyDescent="0.3">
      <c r="A287" s="9">
        <v>286</v>
      </c>
      <c r="B287" s="2" t="s">
        <v>292</v>
      </c>
      <c r="C287" s="11">
        <v>22</v>
      </c>
      <c r="D287" s="12">
        <v>50</v>
      </c>
      <c r="E287" s="12" t="s">
        <v>8220</v>
      </c>
      <c r="F287" s="13">
        <v>6</v>
      </c>
      <c r="G287" s="14">
        <v>1736.19</v>
      </c>
      <c r="H287" t="s">
        <v>2242</v>
      </c>
      <c r="I287">
        <v>6</v>
      </c>
    </row>
    <row r="288" spans="1:9" ht="15.6" x14ac:dyDescent="0.3">
      <c r="A288" s="9">
        <v>287</v>
      </c>
      <c r="B288" s="2" t="s">
        <v>293</v>
      </c>
      <c r="C288" s="11">
        <v>22</v>
      </c>
      <c r="D288" s="12">
        <v>50</v>
      </c>
      <c r="E288" s="12" t="s">
        <v>8220</v>
      </c>
      <c r="F288" s="13">
        <v>6</v>
      </c>
      <c r="G288" s="14">
        <v>1776.2199999999998</v>
      </c>
      <c r="H288" t="s">
        <v>1218</v>
      </c>
      <c r="I288">
        <v>6</v>
      </c>
    </row>
    <row r="289" spans="1:9" ht="15.6" x14ac:dyDescent="0.3">
      <c r="A289" s="9">
        <v>288</v>
      </c>
      <c r="B289" s="2" t="s">
        <v>294</v>
      </c>
      <c r="C289" s="11">
        <v>16</v>
      </c>
      <c r="D289" s="12">
        <v>33.333333333333329</v>
      </c>
      <c r="E289" s="12" t="s">
        <v>8219</v>
      </c>
      <c r="F289" s="13">
        <v>6</v>
      </c>
      <c r="G289" s="14">
        <v>1751.1999999999998</v>
      </c>
      <c r="H289" t="s">
        <v>194</v>
      </c>
      <c r="I289">
        <v>5</v>
      </c>
    </row>
    <row r="290" spans="1:9" ht="15.6" x14ac:dyDescent="0.3">
      <c r="A290" s="9">
        <v>289</v>
      </c>
      <c r="B290" s="2" t="s">
        <v>295</v>
      </c>
      <c r="C290" s="11">
        <v>32</v>
      </c>
      <c r="D290" s="12">
        <v>33.333333333333329</v>
      </c>
      <c r="E290" s="12" t="s">
        <v>8219</v>
      </c>
      <c r="F290" s="13">
        <v>6</v>
      </c>
      <c r="G290" s="14">
        <v>1809.27</v>
      </c>
      <c r="H290" t="s">
        <v>3970</v>
      </c>
      <c r="I290">
        <v>8</v>
      </c>
    </row>
    <row r="291" spans="1:9" ht="15.6" x14ac:dyDescent="0.3">
      <c r="A291" s="9">
        <v>290</v>
      </c>
      <c r="B291" s="2" t="s">
        <v>296</v>
      </c>
      <c r="C291" s="11">
        <v>30</v>
      </c>
      <c r="D291" s="12">
        <v>50</v>
      </c>
      <c r="E291" s="12" t="s">
        <v>8220</v>
      </c>
      <c r="F291" s="13">
        <v>6</v>
      </c>
      <c r="G291" s="14">
        <v>1785.2399999999998</v>
      </c>
      <c r="H291" t="s">
        <v>2946</v>
      </c>
      <c r="I291">
        <v>7</v>
      </c>
    </row>
    <row r="292" spans="1:9" ht="15.6" x14ac:dyDescent="0.3">
      <c r="A292" s="9">
        <v>291</v>
      </c>
      <c r="B292" s="2" t="s">
        <v>297</v>
      </c>
      <c r="C292" s="11">
        <v>30</v>
      </c>
      <c r="D292" s="12">
        <v>50</v>
      </c>
      <c r="E292" s="12" t="s">
        <v>8220</v>
      </c>
      <c r="F292" s="13">
        <v>6</v>
      </c>
      <c r="G292" s="14">
        <v>1825.27</v>
      </c>
      <c r="H292" t="s">
        <v>1922</v>
      </c>
      <c r="I292">
        <v>7</v>
      </c>
    </row>
    <row r="293" spans="1:9" ht="15.6" x14ac:dyDescent="0.3">
      <c r="A293" s="9">
        <v>292</v>
      </c>
      <c r="B293" s="2" t="s">
        <v>298</v>
      </c>
      <c r="C293" s="11">
        <v>24</v>
      </c>
      <c r="D293" s="12">
        <v>33.333333333333329</v>
      </c>
      <c r="E293" s="12" t="s">
        <v>8219</v>
      </c>
      <c r="F293" s="13">
        <v>6</v>
      </c>
      <c r="G293" s="14">
        <v>1800.25</v>
      </c>
      <c r="H293" t="s">
        <v>898</v>
      </c>
      <c r="I293">
        <v>6</v>
      </c>
    </row>
    <row r="294" spans="1:9" ht="15.6" x14ac:dyDescent="0.3">
      <c r="A294" s="9">
        <v>293</v>
      </c>
      <c r="B294" s="2" t="s">
        <v>299</v>
      </c>
      <c r="C294" s="11">
        <v>30</v>
      </c>
      <c r="D294" s="12">
        <v>50</v>
      </c>
      <c r="E294" s="12" t="s">
        <v>8220</v>
      </c>
      <c r="F294" s="13">
        <v>6</v>
      </c>
      <c r="G294" s="14">
        <v>1785.2399999999998</v>
      </c>
      <c r="H294" t="s">
        <v>3714</v>
      </c>
      <c r="I294">
        <v>7</v>
      </c>
    </row>
    <row r="295" spans="1:9" ht="15.6" x14ac:dyDescent="0.3">
      <c r="A295" s="9">
        <v>294</v>
      </c>
      <c r="B295" s="2" t="s">
        <v>300</v>
      </c>
      <c r="C295" s="11">
        <v>28</v>
      </c>
      <c r="D295" s="12">
        <v>66.666666666666657</v>
      </c>
      <c r="E295" s="12" t="s">
        <v>8220</v>
      </c>
      <c r="F295" s="13">
        <v>6</v>
      </c>
      <c r="G295" s="14">
        <v>1761.21</v>
      </c>
      <c r="H295" t="s">
        <v>2690</v>
      </c>
      <c r="I295">
        <v>7</v>
      </c>
    </row>
    <row r="296" spans="1:9" ht="15.6" x14ac:dyDescent="0.3">
      <c r="A296" s="9">
        <v>295</v>
      </c>
      <c r="B296" s="2" t="s">
        <v>301</v>
      </c>
      <c r="C296" s="11">
        <v>28</v>
      </c>
      <c r="D296" s="12">
        <v>66.666666666666657</v>
      </c>
      <c r="E296" s="12" t="s">
        <v>8220</v>
      </c>
      <c r="F296" s="13">
        <v>6</v>
      </c>
      <c r="G296" s="14">
        <v>1801.2399999999998</v>
      </c>
      <c r="H296" t="s">
        <v>1666</v>
      </c>
      <c r="I296">
        <v>7</v>
      </c>
    </row>
    <row r="297" spans="1:9" ht="15.6" x14ac:dyDescent="0.3">
      <c r="A297" s="9">
        <v>296</v>
      </c>
      <c r="B297" s="2" t="s">
        <v>302</v>
      </c>
      <c r="C297" s="11">
        <v>22</v>
      </c>
      <c r="D297" s="12">
        <v>50</v>
      </c>
      <c r="E297" s="12" t="s">
        <v>8220</v>
      </c>
      <c r="F297" s="13">
        <v>6</v>
      </c>
      <c r="G297" s="14">
        <v>1776.2199999999998</v>
      </c>
      <c r="H297" t="s">
        <v>642</v>
      </c>
      <c r="I297">
        <v>6</v>
      </c>
    </row>
    <row r="298" spans="1:9" ht="15.6" x14ac:dyDescent="0.3">
      <c r="A298" s="9">
        <v>297</v>
      </c>
      <c r="B298" s="2" t="s">
        <v>303</v>
      </c>
      <c r="C298" s="11">
        <v>30</v>
      </c>
      <c r="D298" s="12">
        <v>50</v>
      </c>
      <c r="E298" s="12" t="s">
        <v>8220</v>
      </c>
      <c r="F298" s="13">
        <v>6</v>
      </c>
      <c r="G298" s="14">
        <v>1825.27</v>
      </c>
      <c r="H298" t="s">
        <v>3458</v>
      </c>
      <c r="I298">
        <v>7</v>
      </c>
    </row>
    <row r="299" spans="1:9" ht="15.6" x14ac:dyDescent="0.3">
      <c r="A299" s="9">
        <v>298</v>
      </c>
      <c r="B299" s="2" t="s">
        <v>304</v>
      </c>
      <c r="C299" s="11">
        <v>28</v>
      </c>
      <c r="D299" s="12">
        <v>66.666666666666657</v>
      </c>
      <c r="E299" s="12" t="s">
        <v>8220</v>
      </c>
      <c r="F299" s="13">
        <v>6</v>
      </c>
      <c r="G299" s="14">
        <v>1801.2399999999998</v>
      </c>
      <c r="H299" t="s">
        <v>2434</v>
      </c>
      <c r="I299">
        <v>7</v>
      </c>
    </row>
    <row r="300" spans="1:9" ht="15.6" x14ac:dyDescent="0.3">
      <c r="A300" s="9">
        <v>299</v>
      </c>
      <c r="B300" s="2" t="s">
        <v>305</v>
      </c>
      <c r="C300" s="11">
        <v>28</v>
      </c>
      <c r="D300" s="12">
        <v>66.666666666666657</v>
      </c>
      <c r="E300" s="12" t="s">
        <v>8220</v>
      </c>
      <c r="F300" s="13">
        <v>6</v>
      </c>
      <c r="G300" s="14">
        <v>1841.27</v>
      </c>
      <c r="H300" t="s">
        <v>1410</v>
      </c>
      <c r="I300">
        <v>7</v>
      </c>
    </row>
    <row r="301" spans="1:9" ht="15.6" x14ac:dyDescent="0.3">
      <c r="A301" s="9">
        <v>300</v>
      </c>
      <c r="B301" s="2" t="s">
        <v>306</v>
      </c>
      <c r="C301" s="11">
        <v>22</v>
      </c>
      <c r="D301" s="12">
        <v>50</v>
      </c>
      <c r="E301" s="12" t="s">
        <v>8220</v>
      </c>
      <c r="F301" s="13">
        <v>6</v>
      </c>
      <c r="G301" s="14">
        <v>1816.25</v>
      </c>
      <c r="H301" t="s">
        <v>386</v>
      </c>
      <c r="I301">
        <v>6</v>
      </c>
    </row>
    <row r="302" spans="1:9" ht="15.6" x14ac:dyDescent="0.3">
      <c r="A302" s="9">
        <v>301</v>
      </c>
      <c r="B302" s="2" t="s">
        <v>307</v>
      </c>
      <c r="C302" s="11">
        <v>24</v>
      </c>
      <c r="D302" s="12">
        <v>33.333333333333329</v>
      </c>
      <c r="E302" s="12" t="s">
        <v>8219</v>
      </c>
      <c r="F302" s="13">
        <v>6</v>
      </c>
      <c r="G302" s="14">
        <v>1800.25</v>
      </c>
      <c r="H302" t="s">
        <v>3202</v>
      </c>
      <c r="I302">
        <v>6</v>
      </c>
    </row>
    <row r="303" spans="1:9" ht="15.6" x14ac:dyDescent="0.3">
      <c r="A303" s="9">
        <v>302</v>
      </c>
      <c r="B303" s="2" t="s">
        <v>308</v>
      </c>
      <c r="C303" s="11">
        <v>22</v>
      </c>
      <c r="D303" s="12">
        <v>50</v>
      </c>
      <c r="E303" s="12" t="s">
        <v>8220</v>
      </c>
      <c r="F303" s="13">
        <v>6</v>
      </c>
      <c r="G303" s="14">
        <v>1776.2199999999998</v>
      </c>
      <c r="H303" t="s">
        <v>2178</v>
      </c>
      <c r="I303">
        <v>6</v>
      </c>
    </row>
    <row r="304" spans="1:9" ht="15.6" x14ac:dyDescent="0.3">
      <c r="A304" s="9">
        <v>303</v>
      </c>
      <c r="B304" s="2" t="s">
        <v>309</v>
      </c>
      <c r="C304" s="11">
        <v>22</v>
      </c>
      <c r="D304" s="12">
        <v>50</v>
      </c>
      <c r="E304" s="12" t="s">
        <v>8220</v>
      </c>
      <c r="F304" s="13">
        <v>6</v>
      </c>
      <c r="G304" s="14">
        <v>1816.25</v>
      </c>
      <c r="H304" t="s">
        <v>1154</v>
      </c>
      <c r="I304">
        <v>6</v>
      </c>
    </row>
    <row r="305" spans="1:9" ht="15.6" x14ac:dyDescent="0.3">
      <c r="A305" s="9">
        <v>304</v>
      </c>
      <c r="B305" s="2" t="s">
        <v>310</v>
      </c>
      <c r="C305" s="11">
        <v>16</v>
      </c>
      <c r="D305" s="12">
        <v>33.333333333333329</v>
      </c>
      <c r="E305" s="12" t="s">
        <v>8219</v>
      </c>
      <c r="F305" s="13">
        <v>6</v>
      </c>
      <c r="G305" s="14">
        <v>1791.23</v>
      </c>
      <c r="H305" t="s">
        <v>130</v>
      </c>
      <c r="I305">
        <v>5</v>
      </c>
    </row>
    <row r="306" spans="1:9" ht="15.6" x14ac:dyDescent="0.3">
      <c r="A306" s="9">
        <v>305</v>
      </c>
      <c r="B306" s="2" t="s">
        <v>311</v>
      </c>
      <c r="C306" s="11">
        <v>26</v>
      </c>
      <c r="D306" s="12">
        <v>16.666666666666664</v>
      </c>
      <c r="E306" s="12" t="s">
        <v>8219</v>
      </c>
      <c r="F306" s="13">
        <v>6</v>
      </c>
      <c r="G306" s="14">
        <v>1784.25</v>
      </c>
      <c r="H306" t="s">
        <v>3906</v>
      </c>
      <c r="I306">
        <v>7</v>
      </c>
    </row>
    <row r="307" spans="1:9" ht="15.6" x14ac:dyDescent="0.3">
      <c r="A307" s="9">
        <v>306</v>
      </c>
      <c r="B307" s="2" t="s">
        <v>312</v>
      </c>
      <c r="C307" s="11">
        <v>24</v>
      </c>
      <c r="D307" s="12">
        <v>33.333333333333329</v>
      </c>
      <c r="E307" s="12" t="s">
        <v>8219</v>
      </c>
      <c r="F307" s="13">
        <v>6</v>
      </c>
      <c r="G307" s="14">
        <v>1760.2199999999998</v>
      </c>
      <c r="H307" t="s">
        <v>2882</v>
      </c>
      <c r="I307">
        <v>6</v>
      </c>
    </row>
    <row r="308" spans="1:9" ht="15.6" x14ac:dyDescent="0.3">
      <c r="A308" s="9">
        <v>307</v>
      </c>
      <c r="B308" s="2" t="s">
        <v>313</v>
      </c>
      <c r="C308" s="11">
        <v>24</v>
      </c>
      <c r="D308" s="12">
        <v>33.333333333333329</v>
      </c>
      <c r="E308" s="12" t="s">
        <v>8219</v>
      </c>
      <c r="F308" s="13">
        <v>6</v>
      </c>
      <c r="G308" s="14">
        <v>1800.25</v>
      </c>
      <c r="H308" t="s">
        <v>1858</v>
      </c>
      <c r="I308">
        <v>6</v>
      </c>
    </row>
    <row r="309" spans="1:9" ht="15.6" x14ac:dyDescent="0.3">
      <c r="A309" s="9">
        <v>308</v>
      </c>
      <c r="B309" s="2" t="s">
        <v>314</v>
      </c>
      <c r="C309" s="11">
        <v>18</v>
      </c>
      <c r="D309" s="12">
        <v>16.666666666666664</v>
      </c>
      <c r="E309" s="12" t="s">
        <v>8219</v>
      </c>
      <c r="F309" s="13">
        <v>6</v>
      </c>
      <c r="G309" s="14">
        <v>1775.23</v>
      </c>
      <c r="H309" t="s">
        <v>834</v>
      </c>
      <c r="I309">
        <v>5</v>
      </c>
    </row>
    <row r="310" spans="1:9" ht="15.6" x14ac:dyDescent="0.3">
      <c r="A310" s="9">
        <v>309</v>
      </c>
      <c r="B310" s="2" t="s">
        <v>315</v>
      </c>
      <c r="C310" s="11">
        <v>24</v>
      </c>
      <c r="D310" s="12">
        <v>33.333333333333329</v>
      </c>
      <c r="E310" s="12" t="s">
        <v>8219</v>
      </c>
      <c r="F310" s="13">
        <v>6</v>
      </c>
      <c r="G310" s="14">
        <v>1760.2199999999998</v>
      </c>
      <c r="H310" t="s">
        <v>3650</v>
      </c>
      <c r="I310">
        <v>6</v>
      </c>
    </row>
    <row r="311" spans="1:9" ht="15.6" x14ac:dyDescent="0.3">
      <c r="A311" s="9">
        <v>310</v>
      </c>
      <c r="B311" s="2" t="s">
        <v>316</v>
      </c>
      <c r="C311" s="11">
        <v>22</v>
      </c>
      <c r="D311" s="12">
        <v>50</v>
      </c>
      <c r="E311" s="12" t="s">
        <v>8220</v>
      </c>
      <c r="F311" s="13">
        <v>6</v>
      </c>
      <c r="G311" s="14">
        <v>1736.19</v>
      </c>
      <c r="H311" t="s">
        <v>2626</v>
      </c>
      <c r="I311">
        <v>6</v>
      </c>
    </row>
    <row r="312" spans="1:9" ht="15.6" x14ac:dyDescent="0.3">
      <c r="A312" s="9">
        <v>311</v>
      </c>
      <c r="B312" s="2" t="s">
        <v>317</v>
      </c>
      <c r="C312" s="11">
        <v>22</v>
      </c>
      <c r="D312" s="12">
        <v>50</v>
      </c>
      <c r="E312" s="12" t="s">
        <v>8220</v>
      </c>
      <c r="F312" s="13">
        <v>6</v>
      </c>
      <c r="G312" s="14">
        <v>1776.2199999999998</v>
      </c>
      <c r="H312" t="s">
        <v>1602</v>
      </c>
      <c r="I312">
        <v>6</v>
      </c>
    </row>
    <row r="313" spans="1:9" ht="15.6" x14ac:dyDescent="0.3">
      <c r="A313" s="9">
        <v>312</v>
      </c>
      <c r="B313" s="2" t="s">
        <v>318</v>
      </c>
      <c r="C313" s="11">
        <v>16</v>
      </c>
      <c r="D313" s="12">
        <v>33.333333333333329</v>
      </c>
      <c r="E313" s="12" t="s">
        <v>8219</v>
      </c>
      <c r="F313" s="13">
        <v>6</v>
      </c>
      <c r="G313" s="14">
        <v>1751.1999999999998</v>
      </c>
      <c r="H313" t="s">
        <v>578</v>
      </c>
      <c r="I313">
        <v>5</v>
      </c>
    </row>
    <row r="314" spans="1:9" ht="15.6" x14ac:dyDescent="0.3">
      <c r="A314" s="9">
        <v>313</v>
      </c>
      <c r="B314" s="2" t="s">
        <v>319</v>
      </c>
      <c r="C314" s="11">
        <v>24</v>
      </c>
      <c r="D314" s="12">
        <v>33.333333333333329</v>
      </c>
      <c r="E314" s="12" t="s">
        <v>8219</v>
      </c>
      <c r="F314" s="13">
        <v>6</v>
      </c>
      <c r="G314" s="14">
        <v>1800.25</v>
      </c>
      <c r="H314" t="s">
        <v>3394</v>
      </c>
      <c r="I314">
        <v>6</v>
      </c>
    </row>
    <row r="315" spans="1:9" ht="15.6" x14ac:dyDescent="0.3">
      <c r="A315" s="9">
        <v>314</v>
      </c>
      <c r="B315" s="2" t="s">
        <v>320</v>
      </c>
      <c r="C315" s="11">
        <v>22</v>
      </c>
      <c r="D315" s="12">
        <v>50</v>
      </c>
      <c r="E315" s="12" t="s">
        <v>8220</v>
      </c>
      <c r="F315" s="13">
        <v>6</v>
      </c>
      <c r="G315" s="14">
        <v>1776.2199999999998</v>
      </c>
      <c r="H315" t="s">
        <v>2370</v>
      </c>
      <c r="I315">
        <v>6</v>
      </c>
    </row>
    <row r="316" spans="1:9" ht="15.6" x14ac:dyDescent="0.3">
      <c r="A316" s="9">
        <v>315</v>
      </c>
      <c r="B316" s="2" t="s">
        <v>321</v>
      </c>
      <c r="C316" s="11">
        <v>22</v>
      </c>
      <c r="D316" s="12">
        <v>50</v>
      </c>
      <c r="E316" s="12" t="s">
        <v>8220</v>
      </c>
      <c r="F316" s="13">
        <v>6</v>
      </c>
      <c r="G316" s="14">
        <v>1816.25</v>
      </c>
      <c r="H316" t="s">
        <v>1346</v>
      </c>
      <c r="I316">
        <v>6</v>
      </c>
    </row>
    <row r="317" spans="1:9" ht="15.6" x14ac:dyDescent="0.3">
      <c r="A317" s="9">
        <v>316</v>
      </c>
      <c r="B317" s="2" t="s">
        <v>322</v>
      </c>
      <c r="C317" s="11">
        <v>16</v>
      </c>
      <c r="D317" s="12">
        <v>33.333333333333329</v>
      </c>
      <c r="E317" s="12" t="s">
        <v>8219</v>
      </c>
      <c r="F317" s="13">
        <v>6</v>
      </c>
      <c r="G317" s="14">
        <v>1791.23</v>
      </c>
      <c r="H317" t="s">
        <v>322</v>
      </c>
      <c r="I317">
        <v>5</v>
      </c>
    </row>
    <row r="318" spans="1:9" ht="15.6" x14ac:dyDescent="0.3">
      <c r="A318" s="9">
        <v>317</v>
      </c>
      <c r="B318" s="2" t="s">
        <v>323</v>
      </c>
      <c r="C318" s="11">
        <v>18</v>
      </c>
      <c r="D318" s="12">
        <v>16.666666666666664</v>
      </c>
      <c r="E318" s="12" t="s">
        <v>8219</v>
      </c>
      <c r="F318" s="13">
        <v>6</v>
      </c>
      <c r="G318" s="14">
        <v>1775.23</v>
      </c>
      <c r="H318" t="s">
        <v>3138</v>
      </c>
      <c r="I318">
        <v>5</v>
      </c>
    </row>
    <row r="319" spans="1:9" ht="15.6" x14ac:dyDescent="0.3">
      <c r="A319" s="9">
        <v>318</v>
      </c>
      <c r="B319" s="2" t="s">
        <v>324</v>
      </c>
      <c r="C319" s="11">
        <v>16</v>
      </c>
      <c r="D319" s="12">
        <v>33.333333333333329</v>
      </c>
      <c r="E319" s="12" t="s">
        <v>8219</v>
      </c>
      <c r="F319" s="13">
        <v>6</v>
      </c>
      <c r="G319" s="14">
        <v>1751.1999999999998</v>
      </c>
      <c r="H319" t="s">
        <v>2114</v>
      </c>
      <c r="I319">
        <v>5</v>
      </c>
    </row>
    <row r="320" spans="1:9" ht="15.6" x14ac:dyDescent="0.3">
      <c r="A320" s="9">
        <v>319</v>
      </c>
      <c r="B320" s="2" t="s">
        <v>325</v>
      </c>
      <c r="C320" s="11">
        <v>16</v>
      </c>
      <c r="D320" s="12">
        <v>33.333333333333329</v>
      </c>
      <c r="E320" s="12" t="s">
        <v>8219</v>
      </c>
      <c r="F320" s="13">
        <v>6</v>
      </c>
      <c r="G320" s="14">
        <v>1791.23</v>
      </c>
      <c r="H320" t="s">
        <v>1090</v>
      </c>
      <c r="I320">
        <v>5</v>
      </c>
    </row>
    <row r="321" spans="1:9" ht="15.6" x14ac:dyDescent="0.3">
      <c r="A321" s="9">
        <v>320</v>
      </c>
      <c r="B321" s="2" t="s">
        <v>326</v>
      </c>
      <c r="C321" s="11">
        <v>10</v>
      </c>
      <c r="D321" s="12">
        <v>16.666666666666664</v>
      </c>
      <c r="E321" s="12" t="s">
        <v>8219</v>
      </c>
      <c r="F321" s="13">
        <v>6</v>
      </c>
      <c r="G321" s="14">
        <v>1766.21</v>
      </c>
      <c r="H321" t="s">
        <v>66</v>
      </c>
      <c r="I321">
        <v>4</v>
      </c>
    </row>
    <row r="322" spans="1:9" ht="15.6" x14ac:dyDescent="0.3">
      <c r="A322" s="9">
        <v>321</v>
      </c>
      <c r="B322" s="2" t="s">
        <v>327</v>
      </c>
      <c r="C322" s="11">
        <v>32</v>
      </c>
      <c r="D322" s="12">
        <v>33.333333333333329</v>
      </c>
      <c r="E322" s="12" t="s">
        <v>8219</v>
      </c>
      <c r="F322" s="13">
        <v>6</v>
      </c>
      <c r="G322" s="14">
        <v>1769.2399999999998</v>
      </c>
      <c r="H322" t="s">
        <v>4082</v>
      </c>
      <c r="I322">
        <v>8</v>
      </c>
    </row>
    <row r="323" spans="1:9" ht="15.6" x14ac:dyDescent="0.3">
      <c r="A323" s="9">
        <v>322</v>
      </c>
      <c r="B323" s="2" t="s">
        <v>328</v>
      </c>
      <c r="C323" s="11">
        <v>30</v>
      </c>
      <c r="D323" s="12">
        <v>50</v>
      </c>
      <c r="E323" s="12" t="s">
        <v>8220</v>
      </c>
      <c r="F323" s="13">
        <v>6</v>
      </c>
      <c r="G323" s="14">
        <v>1745.21</v>
      </c>
      <c r="H323" t="s">
        <v>3058</v>
      </c>
      <c r="I323">
        <v>7</v>
      </c>
    </row>
    <row r="324" spans="1:9" ht="15.6" x14ac:dyDescent="0.3">
      <c r="A324" s="9">
        <v>323</v>
      </c>
      <c r="B324" s="2" t="s">
        <v>329</v>
      </c>
      <c r="C324" s="11">
        <v>30</v>
      </c>
      <c r="D324" s="12">
        <v>50</v>
      </c>
      <c r="E324" s="12" t="s">
        <v>8220</v>
      </c>
      <c r="F324" s="13">
        <v>6</v>
      </c>
      <c r="G324" s="14">
        <v>1785.2399999999998</v>
      </c>
      <c r="H324" t="s">
        <v>2034</v>
      </c>
      <c r="I324">
        <v>7</v>
      </c>
    </row>
    <row r="325" spans="1:9" ht="15.6" x14ac:dyDescent="0.3">
      <c r="A325" s="9">
        <v>324</v>
      </c>
      <c r="B325" s="2" t="s">
        <v>330</v>
      </c>
      <c r="C325" s="11">
        <v>24</v>
      </c>
      <c r="D325" s="12">
        <v>33.333333333333329</v>
      </c>
      <c r="E325" s="12" t="s">
        <v>8219</v>
      </c>
      <c r="F325" s="13">
        <v>6</v>
      </c>
      <c r="G325" s="14">
        <v>1760.2199999999998</v>
      </c>
      <c r="H325" t="s">
        <v>1010</v>
      </c>
      <c r="I325">
        <v>6</v>
      </c>
    </row>
    <row r="326" spans="1:9" ht="15.6" x14ac:dyDescent="0.3">
      <c r="A326" s="9">
        <v>325</v>
      </c>
      <c r="B326" s="2" t="s">
        <v>331</v>
      </c>
      <c r="C326" s="11">
        <v>30</v>
      </c>
      <c r="D326" s="12">
        <v>50</v>
      </c>
      <c r="E326" s="12" t="s">
        <v>8220</v>
      </c>
      <c r="F326" s="13">
        <v>6</v>
      </c>
      <c r="G326" s="14">
        <v>1745.21</v>
      </c>
      <c r="H326" t="s">
        <v>3826</v>
      </c>
      <c r="I326">
        <v>7</v>
      </c>
    </row>
    <row r="327" spans="1:9" ht="15.6" x14ac:dyDescent="0.3">
      <c r="A327" s="9">
        <v>326</v>
      </c>
      <c r="B327" s="2" t="s">
        <v>332</v>
      </c>
      <c r="C327" s="11">
        <v>28</v>
      </c>
      <c r="D327" s="12">
        <v>66.666666666666657</v>
      </c>
      <c r="E327" s="12" t="s">
        <v>8220</v>
      </c>
      <c r="F327" s="13">
        <v>6</v>
      </c>
      <c r="G327" s="14">
        <v>1721.1799999999998</v>
      </c>
      <c r="H327" t="s">
        <v>2802</v>
      </c>
      <c r="I327">
        <v>7</v>
      </c>
    </row>
    <row r="328" spans="1:9" ht="15.6" x14ac:dyDescent="0.3">
      <c r="A328" s="9">
        <v>327</v>
      </c>
      <c r="B328" s="2" t="s">
        <v>333</v>
      </c>
      <c r="C328" s="11">
        <v>28</v>
      </c>
      <c r="D328" s="12">
        <v>66.666666666666657</v>
      </c>
      <c r="E328" s="12" t="s">
        <v>8220</v>
      </c>
      <c r="F328" s="13">
        <v>6</v>
      </c>
      <c r="G328" s="14">
        <v>1761.21</v>
      </c>
      <c r="H328" t="s">
        <v>1778</v>
      </c>
      <c r="I328">
        <v>7</v>
      </c>
    </row>
    <row r="329" spans="1:9" ht="15.6" x14ac:dyDescent="0.3">
      <c r="A329" s="9">
        <v>328</v>
      </c>
      <c r="B329" s="2" t="s">
        <v>334</v>
      </c>
      <c r="C329" s="11">
        <v>22</v>
      </c>
      <c r="D329" s="12">
        <v>50</v>
      </c>
      <c r="E329" s="12" t="s">
        <v>8220</v>
      </c>
      <c r="F329" s="13">
        <v>6</v>
      </c>
      <c r="G329" s="14">
        <v>1736.19</v>
      </c>
      <c r="H329" t="s">
        <v>754</v>
      </c>
      <c r="I329">
        <v>6</v>
      </c>
    </row>
    <row r="330" spans="1:9" ht="15.6" x14ac:dyDescent="0.3">
      <c r="A330" s="9">
        <v>329</v>
      </c>
      <c r="B330" s="2" t="s">
        <v>335</v>
      </c>
      <c r="C330" s="11">
        <v>30</v>
      </c>
      <c r="D330" s="12">
        <v>50</v>
      </c>
      <c r="E330" s="12" t="s">
        <v>8220</v>
      </c>
      <c r="F330" s="13">
        <v>6</v>
      </c>
      <c r="G330" s="14">
        <v>1785.2399999999998</v>
      </c>
      <c r="H330" t="s">
        <v>3570</v>
      </c>
      <c r="I330">
        <v>7</v>
      </c>
    </row>
    <row r="331" spans="1:9" ht="15.6" x14ac:dyDescent="0.3">
      <c r="A331" s="9">
        <v>330</v>
      </c>
      <c r="B331" s="2" t="s">
        <v>336</v>
      </c>
      <c r="C331" s="11">
        <v>28</v>
      </c>
      <c r="D331" s="12">
        <v>66.666666666666657</v>
      </c>
      <c r="E331" s="12" t="s">
        <v>8220</v>
      </c>
      <c r="F331" s="13">
        <v>6</v>
      </c>
      <c r="G331" s="14">
        <v>1761.21</v>
      </c>
      <c r="H331" t="s">
        <v>2546</v>
      </c>
      <c r="I331">
        <v>7</v>
      </c>
    </row>
    <row r="332" spans="1:9" ht="15.6" x14ac:dyDescent="0.3">
      <c r="A332" s="9">
        <v>331</v>
      </c>
      <c r="B332" s="2" t="s">
        <v>337</v>
      </c>
      <c r="C332" s="11">
        <v>28</v>
      </c>
      <c r="D332" s="12">
        <v>66.666666666666657</v>
      </c>
      <c r="E332" s="12" t="s">
        <v>8220</v>
      </c>
      <c r="F332" s="13">
        <v>6</v>
      </c>
      <c r="G332" s="14">
        <v>1801.2399999999998</v>
      </c>
      <c r="H332" t="s">
        <v>1522</v>
      </c>
      <c r="I332">
        <v>7</v>
      </c>
    </row>
    <row r="333" spans="1:9" ht="15.6" x14ac:dyDescent="0.3">
      <c r="A333" s="9">
        <v>332</v>
      </c>
      <c r="B333" s="2" t="s">
        <v>338</v>
      </c>
      <c r="C333" s="11">
        <v>22</v>
      </c>
      <c r="D333" s="12">
        <v>50</v>
      </c>
      <c r="E333" s="12" t="s">
        <v>8220</v>
      </c>
      <c r="F333" s="13">
        <v>6</v>
      </c>
      <c r="G333" s="14">
        <v>1776.2199999999998</v>
      </c>
      <c r="H333" t="s">
        <v>498</v>
      </c>
      <c r="I333">
        <v>6</v>
      </c>
    </row>
    <row r="334" spans="1:9" ht="15.6" x14ac:dyDescent="0.3">
      <c r="A334" s="9">
        <v>333</v>
      </c>
      <c r="B334" s="2" t="s">
        <v>339</v>
      </c>
      <c r="C334" s="11">
        <v>24</v>
      </c>
      <c r="D334" s="12">
        <v>33.333333333333329</v>
      </c>
      <c r="E334" s="12" t="s">
        <v>8219</v>
      </c>
      <c r="F334" s="13">
        <v>6</v>
      </c>
      <c r="G334" s="14">
        <v>1760.2199999999998</v>
      </c>
      <c r="H334" t="s">
        <v>3314</v>
      </c>
      <c r="I334">
        <v>6</v>
      </c>
    </row>
    <row r="335" spans="1:9" ht="15.6" x14ac:dyDescent="0.3">
      <c r="A335" s="9">
        <v>334</v>
      </c>
      <c r="B335" s="2" t="s">
        <v>340</v>
      </c>
      <c r="C335" s="11">
        <v>22</v>
      </c>
      <c r="D335" s="12">
        <v>50</v>
      </c>
      <c r="E335" s="12" t="s">
        <v>8220</v>
      </c>
      <c r="F335" s="13">
        <v>6</v>
      </c>
      <c r="G335" s="14">
        <v>1736.19</v>
      </c>
      <c r="H335" t="s">
        <v>2290</v>
      </c>
      <c r="I335">
        <v>6</v>
      </c>
    </row>
    <row r="336" spans="1:9" ht="15.6" x14ac:dyDescent="0.3">
      <c r="A336" s="9">
        <v>335</v>
      </c>
      <c r="B336" s="2" t="s">
        <v>341</v>
      </c>
      <c r="C336" s="11">
        <v>22</v>
      </c>
      <c r="D336" s="12">
        <v>50</v>
      </c>
      <c r="E336" s="12" t="s">
        <v>8220</v>
      </c>
      <c r="F336" s="13">
        <v>6</v>
      </c>
      <c r="G336" s="14">
        <v>1776.2199999999998</v>
      </c>
      <c r="H336" t="s">
        <v>1266</v>
      </c>
      <c r="I336">
        <v>6</v>
      </c>
    </row>
    <row r="337" spans="1:9" ht="15.6" x14ac:dyDescent="0.3">
      <c r="A337" s="9">
        <v>336</v>
      </c>
      <c r="B337" s="2" t="s">
        <v>342</v>
      </c>
      <c r="C337" s="11">
        <v>16</v>
      </c>
      <c r="D337" s="12">
        <v>33.333333333333329</v>
      </c>
      <c r="E337" s="12" t="s">
        <v>8219</v>
      </c>
      <c r="F337" s="13">
        <v>6</v>
      </c>
      <c r="G337" s="14">
        <v>1751.1999999999998</v>
      </c>
      <c r="H337" t="s">
        <v>242</v>
      </c>
      <c r="I337">
        <v>5</v>
      </c>
    </row>
    <row r="338" spans="1:9" ht="15.6" x14ac:dyDescent="0.3">
      <c r="A338" s="9">
        <v>337</v>
      </c>
      <c r="B338" s="2" t="s">
        <v>343</v>
      </c>
      <c r="C338" s="11">
        <v>30</v>
      </c>
      <c r="D338" s="12">
        <v>50</v>
      </c>
      <c r="E338" s="12" t="s">
        <v>8220</v>
      </c>
      <c r="F338" s="13">
        <v>6</v>
      </c>
      <c r="G338" s="14">
        <v>1745.21</v>
      </c>
      <c r="H338" t="s">
        <v>4018</v>
      </c>
      <c r="I338">
        <v>7</v>
      </c>
    </row>
    <row r="339" spans="1:9" ht="15.6" x14ac:dyDescent="0.3">
      <c r="A339" s="9">
        <v>338</v>
      </c>
      <c r="B339" s="2" t="s">
        <v>344</v>
      </c>
      <c r="C339" s="11">
        <v>28</v>
      </c>
      <c r="D339" s="12">
        <v>66.666666666666657</v>
      </c>
      <c r="E339" s="12" t="s">
        <v>8220</v>
      </c>
      <c r="F339" s="13">
        <v>6</v>
      </c>
      <c r="G339" s="14">
        <v>1721.1799999999998</v>
      </c>
      <c r="H339" t="s">
        <v>2994</v>
      </c>
      <c r="I339">
        <v>7</v>
      </c>
    </row>
    <row r="340" spans="1:9" ht="15.6" x14ac:dyDescent="0.3">
      <c r="A340" s="9">
        <v>339</v>
      </c>
      <c r="B340" s="2" t="s">
        <v>345</v>
      </c>
      <c r="C340" s="11">
        <v>28</v>
      </c>
      <c r="D340" s="12">
        <v>66.666666666666657</v>
      </c>
      <c r="E340" s="12" t="s">
        <v>8220</v>
      </c>
      <c r="F340" s="13">
        <v>6</v>
      </c>
      <c r="G340" s="14">
        <v>1761.21</v>
      </c>
      <c r="H340" t="s">
        <v>1970</v>
      </c>
      <c r="I340">
        <v>7</v>
      </c>
    </row>
    <row r="341" spans="1:9" ht="15.6" x14ac:dyDescent="0.3">
      <c r="A341" s="9">
        <v>340</v>
      </c>
      <c r="B341" s="2" t="s">
        <v>346</v>
      </c>
      <c r="C341" s="11">
        <v>22</v>
      </c>
      <c r="D341" s="12">
        <v>50</v>
      </c>
      <c r="E341" s="12" t="s">
        <v>8220</v>
      </c>
      <c r="F341" s="13">
        <v>6</v>
      </c>
      <c r="G341" s="14">
        <v>1736.19</v>
      </c>
      <c r="H341" t="s">
        <v>946</v>
      </c>
      <c r="I341">
        <v>6</v>
      </c>
    </row>
    <row r="342" spans="1:9" ht="15.6" x14ac:dyDescent="0.3">
      <c r="A342" s="9">
        <v>341</v>
      </c>
      <c r="B342" s="2" t="s">
        <v>347</v>
      </c>
      <c r="C342" s="11">
        <v>28</v>
      </c>
      <c r="D342" s="12">
        <v>66.666666666666657</v>
      </c>
      <c r="E342" s="12" t="s">
        <v>8220</v>
      </c>
      <c r="F342" s="13">
        <v>6</v>
      </c>
      <c r="G342" s="14">
        <v>1721.1799999999998</v>
      </c>
      <c r="H342" t="s">
        <v>3762</v>
      </c>
      <c r="I342">
        <v>7</v>
      </c>
    </row>
    <row r="343" spans="1:9" ht="15.6" x14ac:dyDescent="0.3">
      <c r="A343" s="9">
        <v>342</v>
      </c>
      <c r="B343" s="2" t="s">
        <v>348</v>
      </c>
      <c r="C343" s="11">
        <v>26</v>
      </c>
      <c r="D343" s="12">
        <v>83.333333333333343</v>
      </c>
      <c r="E343" s="12" t="s">
        <v>8220</v>
      </c>
      <c r="F343" s="13">
        <v>6</v>
      </c>
      <c r="G343" s="14">
        <v>1697.15</v>
      </c>
      <c r="H343" t="s">
        <v>2738</v>
      </c>
      <c r="I343">
        <v>7</v>
      </c>
    </row>
    <row r="344" spans="1:9" ht="15.6" x14ac:dyDescent="0.3">
      <c r="A344" s="9">
        <v>343</v>
      </c>
      <c r="B344" s="2" t="s">
        <v>349</v>
      </c>
      <c r="C344" s="11">
        <v>26</v>
      </c>
      <c r="D344" s="12">
        <v>83.333333333333343</v>
      </c>
      <c r="E344" s="12" t="s">
        <v>8220</v>
      </c>
      <c r="F344" s="13">
        <v>6</v>
      </c>
      <c r="G344" s="14">
        <v>1737.1799999999998</v>
      </c>
      <c r="H344" t="s">
        <v>1714</v>
      </c>
      <c r="I344">
        <v>7</v>
      </c>
    </row>
    <row r="345" spans="1:9" ht="15.6" x14ac:dyDescent="0.3">
      <c r="A345" s="9">
        <v>344</v>
      </c>
      <c r="B345" s="2" t="s">
        <v>350</v>
      </c>
      <c r="C345" s="11">
        <v>20</v>
      </c>
      <c r="D345" s="12">
        <v>66.666666666666657</v>
      </c>
      <c r="E345" s="12" t="s">
        <v>8220</v>
      </c>
      <c r="F345" s="13">
        <v>6</v>
      </c>
      <c r="G345" s="14">
        <v>1712.1599999999999</v>
      </c>
      <c r="H345" t="s">
        <v>690</v>
      </c>
      <c r="I345">
        <v>6</v>
      </c>
    </row>
    <row r="346" spans="1:9" ht="15.6" x14ac:dyDescent="0.3">
      <c r="A346" s="9">
        <v>345</v>
      </c>
      <c r="B346" s="2" t="s">
        <v>351</v>
      </c>
      <c r="C346" s="11">
        <v>28</v>
      </c>
      <c r="D346" s="12">
        <v>66.666666666666657</v>
      </c>
      <c r="E346" s="12" t="s">
        <v>8220</v>
      </c>
      <c r="F346" s="13">
        <v>6</v>
      </c>
      <c r="G346" s="14">
        <v>1761.21</v>
      </c>
      <c r="H346" t="s">
        <v>3506</v>
      </c>
      <c r="I346">
        <v>7</v>
      </c>
    </row>
    <row r="347" spans="1:9" ht="15.6" x14ac:dyDescent="0.3">
      <c r="A347" s="9">
        <v>346</v>
      </c>
      <c r="B347" s="2" t="s">
        <v>352</v>
      </c>
      <c r="C347" s="11">
        <v>26</v>
      </c>
      <c r="D347" s="12">
        <v>83.333333333333343</v>
      </c>
      <c r="E347" s="12" t="s">
        <v>8220</v>
      </c>
      <c r="F347" s="13">
        <v>6</v>
      </c>
      <c r="G347" s="14">
        <v>1737.1799999999998</v>
      </c>
      <c r="H347" t="s">
        <v>2482</v>
      </c>
      <c r="I347">
        <v>7</v>
      </c>
    </row>
    <row r="348" spans="1:9" ht="15.6" x14ac:dyDescent="0.3">
      <c r="A348" s="9">
        <v>347</v>
      </c>
      <c r="B348" s="2" t="s">
        <v>353</v>
      </c>
      <c r="C348" s="11">
        <v>26</v>
      </c>
      <c r="D348" s="12">
        <v>83.333333333333343</v>
      </c>
      <c r="E348" s="12" t="s">
        <v>8220</v>
      </c>
      <c r="F348" s="13">
        <v>6</v>
      </c>
      <c r="G348" s="14">
        <v>1777.21</v>
      </c>
      <c r="H348" t="s">
        <v>1458</v>
      </c>
      <c r="I348">
        <v>7</v>
      </c>
    </row>
    <row r="349" spans="1:9" ht="15.6" x14ac:dyDescent="0.3">
      <c r="A349" s="9">
        <v>348</v>
      </c>
      <c r="B349" s="2" t="s">
        <v>354</v>
      </c>
      <c r="C349" s="11">
        <v>20</v>
      </c>
      <c r="D349" s="12">
        <v>66.666666666666657</v>
      </c>
      <c r="E349" s="12" t="s">
        <v>8220</v>
      </c>
      <c r="F349" s="13">
        <v>6</v>
      </c>
      <c r="G349" s="14">
        <v>1752.19</v>
      </c>
      <c r="H349" t="s">
        <v>434</v>
      </c>
      <c r="I349">
        <v>6</v>
      </c>
    </row>
    <row r="350" spans="1:9" ht="15.6" x14ac:dyDescent="0.3">
      <c r="A350" s="9">
        <v>349</v>
      </c>
      <c r="B350" s="2" t="s">
        <v>355</v>
      </c>
      <c r="C350" s="11">
        <v>22</v>
      </c>
      <c r="D350" s="12">
        <v>50</v>
      </c>
      <c r="E350" s="12" t="s">
        <v>8220</v>
      </c>
      <c r="F350" s="13">
        <v>6</v>
      </c>
      <c r="G350" s="14">
        <v>1736.19</v>
      </c>
      <c r="H350" t="s">
        <v>3250</v>
      </c>
      <c r="I350">
        <v>6</v>
      </c>
    </row>
    <row r="351" spans="1:9" ht="15.6" x14ac:dyDescent="0.3">
      <c r="A351" s="9">
        <v>350</v>
      </c>
      <c r="B351" s="2" t="s">
        <v>356</v>
      </c>
      <c r="C351" s="11">
        <v>20</v>
      </c>
      <c r="D351" s="12">
        <v>66.666666666666657</v>
      </c>
      <c r="E351" s="12" t="s">
        <v>8220</v>
      </c>
      <c r="F351" s="13">
        <v>6</v>
      </c>
      <c r="G351" s="14">
        <v>1712.1599999999999</v>
      </c>
      <c r="H351" t="s">
        <v>2226</v>
      </c>
      <c r="I351">
        <v>6</v>
      </c>
    </row>
    <row r="352" spans="1:9" ht="15.6" x14ac:dyDescent="0.3">
      <c r="A352" s="9">
        <v>351</v>
      </c>
      <c r="B352" s="2" t="s">
        <v>357</v>
      </c>
      <c r="C352" s="11">
        <v>20</v>
      </c>
      <c r="D352" s="12">
        <v>66.666666666666657</v>
      </c>
      <c r="E352" s="12" t="s">
        <v>8220</v>
      </c>
      <c r="F352" s="13">
        <v>6</v>
      </c>
      <c r="G352" s="14">
        <v>1752.19</v>
      </c>
      <c r="H352" t="s">
        <v>1202</v>
      </c>
      <c r="I352">
        <v>6</v>
      </c>
    </row>
    <row r="353" spans="1:9" ht="15.6" x14ac:dyDescent="0.3">
      <c r="A353" s="9">
        <v>352</v>
      </c>
      <c r="B353" s="2" t="s">
        <v>358</v>
      </c>
      <c r="C353" s="11">
        <v>14</v>
      </c>
      <c r="D353" s="12">
        <v>50</v>
      </c>
      <c r="E353" s="12" t="s">
        <v>8220</v>
      </c>
      <c r="F353" s="13">
        <v>6</v>
      </c>
      <c r="G353" s="14">
        <v>1727.17</v>
      </c>
      <c r="H353" t="s">
        <v>178</v>
      </c>
      <c r="I353">
        <v>5</v>
      </c>
    </row>
    <row r="354" spans="1:9" ht="15.6" x14ac:dyDescent="0.3">
      <c r="A354" s="9">
        <v>353</v>
      </c>
      <c r="B354" s="2" t="s">
        <v>359</v>
      </c>
      <c r="C354" s="11">
        <v>30</v>
      </c>
      <c r="D354" s="12">
        <v>50</v>
      </c>
      <c r="E354" s="12" t="s">
        <v>8220</v>
      </c>
      <c r="F354" s="13">
        <v>6</v>
      </c>
      <c r="G354" s="14">
        <v>1785.2399999999998</v>
      </c>
      <c r="H354" t="s">
        <v>3954</v>
      </c>
      <c r="I354">
        <v>7</v>
      </c>
    </row>
    <row r="355" spans="1:9" ht="15.6" x14ac:dyDescent="0.3">
      <c r="A355" s="9">
        <v>354</v>
      </c>
      <c r="B355" s="2" t="s">
        <v>360</v>
      </c>
      <c r="C355" s="11">
        <v>28</v>
      </c>
      <c r="D355" s="12">
        <v>66.666666666666657</v>
      </c>
      <c r="E355" s="12" t="s">
        <v>8220</v>
      </c>
      <c r="F355" s="13">
        <v>6</v>
      </c>
      <c r="G355" s="14">
        <v>1761.21</v>
      </c>
      <c r="H355" t="s">
        <v>2930</v>
      </c>
      <c r="I355">
        <v>7</v>
      </c>
    </row>
    <row r="356" spans="1:9" ht="15.6" x14ac:dyDescent="0.3">
      <c r="A356" s="9">
        <v>355</v>
      </c>
      <c r="B356" s="2" t="s">
        <v>361</v>
      </c>
      <c r="C356" s="11">
        <v>28</v>
      </c>
      <c r="D356" s="12">
        <v>66.666666666666657</v>
      </c>
      <c r="E356" s="12" t="s">
        <v>8220</v>
      </c>
      <c r="F356" s="13">
        <v>6</v>
      </c>
      <c r="G356" s="14">
        <v>1801.2399999999998</v>
      </c>
      <c r="H356" t="s">
        <v>1906</v>
      </c>
      <c r="I356">
        <v>7</v>
      </c>
    </row>
    <row r="357" spans="1:9" ht="15.6" x14ac:dyDescent="0.3">
      <c r="A357" s="9">
        <v>356</v>
      </c>
      <c r="B357" s="2" t="s">
        <v>362</v>
      </c>
      <c r="C357" s="11">
        <v>22</v>
      </c>
      <c r="D357" s="12">
        <v>50</v>
      </c>
      <c r="E357" s="12" t="s">
        <v>8220</v>
      </c>
      <c r="F357" s="13">
        <v>6</v>
      </c>
      <c r="G357" s="14">
        <v>1776.2199999999998</v>
      </c>
      <c r="H357" t="s">
        <v>882</v>
      </c>
      <c r="I357">
        <v>6</v>
      </c>
    </row>
    <row r="358" spans="1:9" ht="15.6" x14ac:dyDescent="0.3">
      <c r="A358" s="9">
        <v>357</v>
      </c>
      <c r="B358" s="2" t="s">
        <v>363</v>
      </c>
      <c r="C358" s="11">
        <v>28</v>
      </c>
      <c r="D358" s="12">
        <v>66.666666666666657</v>
      </c>
      <c r="E358" s="12" t="s">
        <v>8220</v>
      </c>
      <c r="F358" s="13">
        <v>6</v>
      </c>
      <c r="G358" s="14">
        <v>1761.21</v>
      </c>
      <c r="H358" t="s">
        <v>3698</v>
      </c>
      <c r="I358">
        <v>7</v>
      </c>
    </row>
    <row r="359" spans="1:9" ht="15.6" x14ac:dyDescent="0.3">
      <c r="A359" s="9">
        <v>358</v>
      </c>
      <c r="B359" s="2" t="s">
        <v>364</v>
      </c>
      <c r="C359" s="11">
        <v>26</v>
      </c>
      <c r="D359" s="12">
        <v>83.333333333333343</v>
      </c>
      <c r="E359" s="12" t="s">
        <v>8220</v>
      </c>
      <c r="F359" s="13">
        <v>6</v>
      </c>
      <c r="G359" s="14">
        <v>1737.1799999999998</v>
      </c>
      <c r="H359" t="s">
        <v>2674</v>
      </c>
      <c r="I359">
        <v>7</v>
      </c>
    </row>
    <row r="360" spans="1:9" ht="15.6" x14ac:dyDescent="0.3">
      <c r="A360" s="9">
        <v>359</v>
      </c>
      <c r="B360" s="2" t="s">
        <v>365</v>
      </c>
      <c r="C360" s="11">
        <v>26</v>
      </c>
      <c r="D360" s="12">
        <v>83.333333333333343</v>
      </c>
      <c r="E360" s="12" t="s">
        <v>8220</v>
      </c>
      <c r="F360" s="13">
        <v>6</v>
      </c>
      <c r="G360" s="14">
        <v>1777.21</v>
      </c>
      <c r="H360" t="s">
        <v>1650</v>
      </c>
      <c r="I360">
        <v>7</v>
      </c>
    </row>
    <row r="361" spans="1:9" ht="15.6" x14ac:dyDescent="0.3">
      <c r="A361" s="9">
        <v>360</v>
      </c>
      <c r="B361" s="2" t="s">
        <v>366</v>
      </c>
      <c r="C361" s="11">
        <v>20</v>
      </c>
      <c r="D361" s="12">
        <v>66.666666666666657</v>
      </c>
      <c r="E361" s="12" t="s">
        <v>8220</v>
      </c>
      <c r="F361" s="13">
        <v>6</v>
      </c>
      <c r="G361" s="14">
        <v>1752.19</v>
      </c>
      <c r="H361" t="s">
        <v>626</v>
      </c>
      <c r="I361">
        <v>6</v>
      </c>
    </row>
    <row r="362" spans="1:9" ht="15.6" x14ac:dyDescent="0.3">
      <c r="A362" s="9">
        <v>361</v>
      </c>
      <c r="B362" s="2" t="s">
        <v>367</v>
      </c>
      <c r="C362" s="11">
        <v>28</v>
      </c>
      <c r="D362" s="12">
        <v>66.666666666666657</v>
      </c>
      <c r="E362" s="12" t="s">
        <v>8220</v>
      </c>
      <c r="F362" s="13">
        <v>6</v>
      </c>
      <c r="G362" s="14">
        <v>1801.2399999999998</v>
      </c>
      <c r="H362" t="s">
        <v>3442</v>
      </c>
      <c r="I362">
        <v>7</v>
      </c>
    </row>
    <row r="363" spans="1:9" ht="15.6" x14ac:dyDescent="0.3">
      <c r="A363" s="9">
        <v>362</v>
      </c>
      <c r="B363" s="2" t="s">
        <v>368</v>
      </c>
      <c r="C363" s="11">
        <v>26</v>
      </c>
      <c r="D363" s="12">
        <v>83.333333333333343</v>
      </c>
      <c r="E363" s="12" t="s">
        <v>8220</v>
      </c>
      <c r="F363" s="13">
        <v>6</v>
      </c>
      <c r="G363" s="14">
        <v>1777.21</v>
      </c>
      <c r="H363" t="s">
        <v>2418</v>
      </c>
      <c r="I363">
        <v>7</v>
      </c>
    </row>
    <row r="364" spans="1:9" ht="15.6" x14ac:dyDescent="0.3">
      <c r="A364" s="9">
        <v>363</v>
      </c>
      <c r="B364" s="2" t="s">
        <v>369</v>
      </c>
      <c r="C364" s="11">
        <v>26</v>
      </c>
      <c r="D364" s="12">
        <v>83.333333333333343</v>
      </c>
      <c r="E364" s="12" t="s">
        <v>8220</v>
      </c>
      <c r="F364" s="13">
        <v>6</v>
      </c>
      <c r="G364" s="14">
        <v>1817.2400000000002</v>
      </c>
      <c r="H364" t="s">
        <v>1394</v>
      </c>
      <c r="I364">
        <v>7</v>
      </c>
    </row>
    <row r="365" spans="1:9" ht="15.6" x14ac:dyDescent="0.3">
      <c r="A365" s="9">
        <v>364</v>
      </c>
      <c r="B365" s="2" t="s">
        <v>370</v>
      </c>
      <c r="C365" s="11">
        <v>20</v>
      </c>
      <c r="D365" s="12">
        <v>66.666666666666657</v>
      </c>
      <c r="E365" s="12" t="s">
        <v>8220</v>
      </c>
      <c r="F365" s="13">
        <v>6</v>
      </c>
      <c r="G365" s="14">
        <v>1792.2199999999998</v>
      </c>
      <c r="H365" t="s">
        <v>370</v>
      </c>
      <c r="I365">
        <v>6</v>
      </c>
    </row>
    <row r="366" spans="1:9" ht="15.6" x14ac:dyDescent="0.3">
      <c r="A366" s="9">
        <v>365</v>
      </c>
      <c r="B366" s="2" t="s">
        <v>371</v>
      </c>
      <c r="C366" s="11">
        <v>22</v>
      </c>
      <c r="D366" s="12">
        <v>50</v>
      </c>
      <c r="E366" s="12" t="s">
        <v>8220</v>
      </c>
      <c r="F366" s="13">
        <v>6</v>
      </c>
      <c r="G366" s="14">
        <v>1776.2199999999998</v>
      </c>
      <c r="H366" t="s">
        <v>3186</v>
      </c>
      <c r="I366">
        <v>6</v>
      </c>
    </row>
    <row r="367" spans="1:9" ht="15.6" x14ac:dyDescent="0.3">
      <c r="A367" s="9">
        <v>366</v>
      </c>
      <c r="B367" s="2" t="s">
        <v>372</v>
      </c>
      <c r="C367" s="11">
        <v>20</v>
      </c>
      <c r="D367" s="12">
        <v>66.666666666666657</v>
      </c>
      <c r="E367" s="12" t="s">
        <v>8220</v>
      </c>
      <c r="F367" s="13">
        <v>6</v>
      </c>
      <c r="G367" s="14">
        <v>1752.19</v>
      </c>
      <c r="H367" t="s">
        <v>2162</v>
      </c>
      <c r="I367">
        <v>6</v>
      </c>
    </row>
    <row r="368" spans="1:9" ht="15.6" x14ac:dyDescent="0.3">
      <c r="A368" s="9">
        <v>367</v>
      </c>
      <c r="B368" s="2" t="s">
        <v>373</v>
      </c>
      <c r="C368" s="11">
        <v>20</v>
      </c>
      <c r="D368" s="12">
        <v>66.666666666666657</v>
      </c>
      <c r="E368" s="12" t="s">
        <v>8220</v>
      </c>
      <c r="F368" s="13">
        <v>6</v>
      </c>
      <c r="G368" s="14">
        <v>1792.2199999999998</v>
      </c>
      <c r="H368" t="s">
        <v>1138</v>
      </c>
      <c r="I368">
        <v>6</v>
      </c>
    </row>
    <row r="369" spans="1:9" ht="15.6" x14ac:dyDescent="0.3">
      <c r="A369" s="9">
        <v>368</v>
      </c>
      <c r="B369" s="2" t="s">
        <v>374</v>
      </c>
      <c r="C369" s="11">
        <v>14</v>
      </c>
      <c r="D369" s="12">
        <v>50</v>
      </c>
      <c r="E369" s="12" t="s">
        <v>8220</v>
      </c>
      <c r="F369" s="13">
        <v>6</v>
      </c>
      <c r="G369" s="14">
        <v>1767.1999999999998</v>
      </c>
      <c r="H369" t="s">
        <v>114</v>
      </c>
      <c r="I369">
        <v>5</v>
      </c>
    </row>
    <row r="370" spans="1:9" ht="15.6" x14ac:dyDescent="0.3">
      <c r="A370" s="9">
        <v>369</v>
      </c>
      <c r="B370" s="2" t="s">
        <v>375</v>
      </c>
      <c r="C370" s="11">
        <v>24</v>
      </c>
      <c r="D370" s="12">
        <v>33.333333333333329</v>
      </c>
      <c r="E370" s="12" t="s">
        <v>8219</v>
      </c>
      <c r="F370" s="13">
        <v>6</v>
      </c>
      <c r="G370" s="14">
        <v>1760.2199999999998</v>
      </c>
      <c r="H370" t="s">
        <v>3890</v>
      </c>
      <c r="I370">
        <v>6</v>
      </c>
    </row>
    <row r="371" spans="1:9" ht="15.6" x14ac:dyDescent="0.3">
      <c r="A371" s="9">
        <v>370</v>
      </c>
      <c r="B371" s="2" t="s">
        <v>376</v>
      </c>
      <c r="C371" s="11">
        <v>22</v>
      </c>
      <c r="D371" s="12">
        <v>50</v>
      </c>
      <c r="E371" s="12" t="s">
        <v>8220</v>
      </c>
      <c r="F371" s="13">
        <v>6</v>
      </c>
      <c r="G371" s="14">
        <v>1736.19</v>
      </c>
      <c r="H371" t="s">
        <v>2866</v>
      </c>
      <c r="I371">
        <v>6</v>
      </c>
    </row>
    <row r="372" spans="1:9" ht="15.6" x14ac:dyDescent="0.3">
      <c r="A372" s="9">
        <v>371</v>
      </c>
      <c r="B372" s="2" t="s">
        <v>377</v>
      </c>
      <c r="C372" s="11">
        <v>22</v>
      </c>
      <c r="D372" s="12">
        <v>50</v>
      </c>
      <c r="E372" s="12" t="s">
        <v>8220</v>
      </c>
      <c r="F372" s="13">
        <v>6</v>
      </c>
      <c r="G372" s="14">
        <v>1776.2199999999998</v>
      </c>
      <c r="H372" t="s">
        <v>1842</v>
      </c>
      <c r="I372">
        <v>6</v>
      </c>
    </row>
    <row r="373" spans="1:9" ht="15.6" x14ac:dyDescent="0.3">
      <c r="A373" s="9">
        <v>372</v>
      </c>
      <c r="B373" s="2" t="s">
        <v>378</v>
      </c>
      <c r="C373" s="11">
        <v>16</v>
      </c>
      <c r="D373" s="12">
        <v>33.333333333333329</v>
      </c>
      <c r="E373" s="12" t="s">
        <v>8219</v>
      </c>
      <c r="F373" s="13">
        <v>6</v>
      </c>
      <c r="G373" s="14">
        <v>1751.1999999999998</v>
      </c>
      <c r="H373" t="s">
        <v>818</v>
      </c>
      <c r="I373">
        <v>5</v>
      </c>
    </row>
    <row r="374" spans="1:9" ht="15.6" x14ac:dyDescent="0.3">
      <c r="A374" s="9">
        <v>373</v>
      </c>
      <c r="B374" s="2" t="s">
        <v>379</v>
      </c>
      <c r="C374" s="11">
        <v>22</v>
      </c>
      <c r="D374" s="12">
        <v>50</v>
      </c>
      <c r="E374" s="12" t="s">
        <v>8220</v>
      </c>
      <c r="F374" s="13">
        <v>6</v>
      </c>
      <c r="G374" s="14">
        <v>1736.19</v>
      </c>
      <c r="H374" t="s">
        <v>3634</v>
      </c>
      <c r="I374">
        <v>6</v>
      </c>
    </row>
    <row r="375" spans="1:9" ht="15.6" x14ac:dyDescent="0.3">
      <c r="A375" s="9">
        <v>374</v>
      </c>
      <c r="B375" s="2" t="s">
        <v>380</v>
      </c>
      <c r="C375" s="11">
        <v>20</v>
      </c>
      <c r="D375" s="12">
        <v>66.666666666666657</v>
      </c>
      <c r="E375" s="12" t="s">
        <v>8220</v>
      </c>
      <c r="F375" s="13">
        <v>6</v>
      </c>
      <c r="G375" s="14">
        <v>1712.1599999999999</v>
      </c>
      <c r="H375" t="s">
        <v>2610</v>
      </c>
      <c r="I375">
        <v>6</v>
      </c>
    </row>
    <row r="376" spans="1:9" ht="15.6" x14ac:dyDescent="0.3">
      <c r="A376" s="9">
        <v>375</v>
      </c>
      <c r="B376" s="2" t="s">
        <v>381</v>
      </c>
      <c r="C376" s="11">
        <v>20</v>
      </c>
      <c r="D376" s="12">
        <v>66.666666666666657</v>
      </c>
      <c r="E376" s="12" t="s">
        <v>8220</v>
      </c>
      <c r="F376" s="13">
        <v>6</v>
      </c>
      <c r="G376" s="14">
        <v>1752.19</v>
      </c>
      <c r="H376" t="s">
        <v>1586</v>
      </c>
      <c r="I376">
        <v>6</v>
      </c>
    </row>
    <row r="377" spans="1:9" ht="15.6" x14ac:dyDescent="0.3">
      <c r="A377" s="9">
        <v>376</v>
      </c>
      <c r="B377" s="2" t="s">
        <v>382</v>
      </c>
      <c r="C377" s="11">
        <v>14</v>
      </c>
      <c r="D377" s="12">
        <v>50</v>
      </c>
      <c r="E377" s="12" t="s">
        <v>8220</v>
      </c>
      <c r="F377" s="13">
        <v>6</v>
      </c>
      <c r="G377" s="14">
        <v>1727.17</v>
      </c>
      <c r="H377" t="s">
        <v>562</v>
      </c>
      <c r="I377">
        <v>5</v>
      </c>
    </row>
    <row r="378" spans="1:9" ht="15.6" x14ac:dyDescent="0.3">
      <c r="A378" s="9">
        <v>377</v>
      </c>
      <c r="B378" s="2" t="s">
        <v>383</v>
      </c>
      <c r="C378" s="11">
        <v>22</v>
      </c>
      <c r="D378" s="12">
        <v>50</v>
      </c>
      <c r="E378" s="12" t="s">
        <v>8220</v>
      </c>
      <c r="F378" s="13">
        <v>6</v>
      </c>
      <c r="G378" s="14">
        <v>1776.2199999999998</v>
      </c>
      <c r="H378" t="s">
        <v>3378</v>
      </c>
      <c r="I378">
        <v>6</v>
      </c>
    </row>
    <row r="379" spans="1:9" ht="15.6" x14ac:dyDescent="0.3">
      <c r="A379" s="9">
        <v>378</v>
      </c>
      <c r="B379" s="2" t="s">
        <v>384</v>
      </c>
      <c r="C379" s="11">
        <v>20</v>
      </c>
      <c r="D379" s="12">
        <v>66.666666666666657</v>
      </c>
      <c r="E379" s="12" t="s">
        <v>8220</v>
      </c>
      <c r="F379" s="13">
        <v>6</v>
      </c>
      <c r="G379" s="14">
        <v>1752.19</v>
      </c>
      <c r="H379" t="s">
        <v>2354</v>
      </c>
      <c r="I379">
        <v>6</v>
      </c>
    </row>
    <row r="380" spans="1:9" ht="15.6" x14ac:dyDescent="0.3">
      <c r="A380" s="9">
        <v>379</v>
      </c>
      <c r="B380" s="2" t="s">
        <v>385</v>
      </c>
      <c r="C380" s="11">
        <v>20</v>
      </c>
      <c r="D380" s="12">
        <v>66.666666666666657</v>
      </c>
      <c r="E380" s="12" t="s">
        <v>8220</v>
      </c>
      <c r="F380" s="13">
        <v>6</v>
      </c>
      <c r="G380" s="14">
        <v>1792.2199999999998</v>
      </c>
      <c r="H380" t="s">
        <v>1330</v>
      </c>
      <c r="I380">
        <v>6</v>
      </c>
    </row>
    <row r="381" spans="1:9" ht="15.6" x14ac:dyDescent="0.3">
      <c r="A381" s="9">
        <v>380</v>
      </c>
      <c r="B381" s="2" t="s">
        <v>386</v>
      </c>
      <c r="C381" s="11">
        <v>14</v>
      </c>
      <c r="D381" s="12">
        <v>50</v>
      </c>
      <c r="E381" s="12" t="s">
        <v>8220</v>
      </c>
      <c r="F381" s="13">
        <v>6</v>
      </c>
      <c r="G381" s="14">
        <v>1767.1999999999998</v>
      </c>
      <c r="H381" t="s">
        <v>306</v>
      </c>
      <c r="I381">
        <v>5</v>
      </c>
    </row>
    <row r="382" spans="1:9" ht="15.6" x14ac:dyDescent="0.3">
      <c r="A382" s="9">
        <v>381</v>
      </c>
      <c r="B382" s="2" t="s">
        <v>387</v>
      </c>
      <c r="C382" s="11">
        <v>16</v>
      </c>
      <c r="D382" s="12">
        <v>33.333333333333329</v>
      </c>
      <c r="E382" s="12" t="s">
        <v>8219</v>
      </c>
      <c r="F382" s="13">
        <v>6</v>
      </c>
      <c r="G382" s="14">
        <v>1751.1999999999998</v>
      </c>
      <c r="H382" t="s">
        <v>3122</v>
      </c>
      <c r="I382">
        <v>5</v>
      </c>
    </row>
    <row r="383" spans="1:9" ht="15.6" x14ac:dyDescent="0.3">
      <c r="A383" s="9">
        <v>382</v>
      </c>
      <c r="B383" s="2" t="s">
        <v>388</v>
      </c>
      <c r="C383" s="11">
        <v>14</v>
      </c>
      <c r="D383" s="12">
        <v>50</v>
      </c>
      <c r="E383" s="12" t="s">
        <v>8220</v>
      </c>
      <c r="F383" s="13">
        <v>6</v>
      </c>
      <c r="G383" s="14">
        <v>1727.17</v>
      </c>
      <c r="H383" t="s">
        <v>2098</v>
      </c>
      <c r="I383">
        <v>5</v>
      </c>
    </row>
    <row r="384" spans="1:9" ht="15.6" x14ac:dyDescent="0.3">
      <c r="A384" s="9">
        <v>383</v>
      </c>
      <c r="B384" s="2" t="s">
        <v>389</v>
      </c>
      <c r="C384" s="11">
        <v>14</v>
      </c>
      <c r="D384" s="12">
        <v>50</v>
      </c>
      <c r="E384" s="12" t="s">
        <v>8220</v>
      </c>
      <c r="F384" s="13">
        <v>6</v>
      </c>
      <c r="G384" s="14">
        <v>1767.1999999999998</v>
      </c>
      <c r="H384" t="s">
        <v>1074</v>
      </c>
      <c r="I384">
        <v>5</v>
      </c>
    </row>
    <row r="385" spans="1:9" ht="15.6" x14ac:dyDescent="0.3">
      <c r="A385" s="9">
        <v>384</v>
      </c>
      <c r="B385" s="2" t="s">
        <v>390</v>
      </c>
      <c r="C385" s="11">
        <v>8</v>
      </c>
      <c r="D385" s="12">
        <v>33.333333333333329</v>
      </c>
      <c r="E385" s="12" t="s">
        <v>8219</v>
      </c>
      <c r="F385" s="13">
        <v>6</v>
      </c>
      <c r="G385" s="14">
        <v>1742.1799999999998</v>
      </c>
      <c r="H385" t="s">
        <v>50</v>
      </c>
      <c r="I385">
        <v>4</v>
      </c>
    </row>
    <row r="386" spans="1:9" ht="15.6" x14ac:dyDescent="0.3">
      <c r="A386" s="9">
        <v>385</v>
      </c>
      <c r="B386" s="2" t="s">
        <v>391</v>
      </c>
      <c r="C386" s="11">
        <v>32</v>
      </c>
      <c r="D386" s="12">
        <v>33.333333333333329</v>
      </c>
      <c r="E386" s="12" t="s">
        <v>8219</v>
      </c>
      <c r="F386" s="13">
        <v>6</v>
      </c>
      <c r="G386" s="14">
        <v>1809.27</v>
      </c>
      <c r="H386" t="s">
        <v>4066</v>
      </c>
      <c r="I386">
        <v>8</v>
      </c>
    </row>
    <row r="387" spans="1:9" ht="15.6" x14ac:dyDescent="0.3">
      <c r="A387" s="9">
        <v>386</v>
      </c>
      <c r="B387" s="2" t="s">
        <v>392</v>
      </c>
      <c r="C387" s="11">
        <v>30</v>
      </c>
      <c r="D387" s="12">
        <v>50</v>
      </c>
      <c r="E387" s="12" t="s">
        <v>8220</v>
      </c>
      <c r="F387" s="13">
        <v>6</v>
      </c>
      <c r="G387" s="14">
        <v>1785.2399999999998</v>
      </c>
      <c r="H387" t="s">
        <v>3042</v>
      </c>
      <c r="I387">
        <v>7</v>
      </c>
    </row>
    <row r="388" spans="1:9" ht="15.6" x14ac:dyDescent="0.3">
      <c r="A388" s="9">
        <v>387</v>
      </c>
      <c r="B388" s="2" t="s">
        <v>393</v>
      </c>
      <c r="C388" s="11">
        <v>30</v>
      </c>
      <c r="D388" s="12">
        <v>50</v>
      </c>
      <c r="E388" s="12" t="s">
        <v>8220</v>
      </c>
      <c r="F388" s="13">
        <v>6</v>
      </c>
      <c r="G388" s="14">
        <v>1825.27</v>
      </c>
      <c r="H388" t="s">
        <v>2018</v>
      </c>
      <c r="I388">
        <v>7</v>
      </c>
    </row>
    <row r="389" spans="1:9" ht="15.6" x14ac:dyDescent="0.3">
      <c r="A389" s="9">
        <v>388</v>
      </c>
      <c r="B389" s="2" t="s">
        <v>394</v>
      </c>
      <c r="C389" s="11">
        <v>24</v>
      </c>
      <c r="D389" s="12">
        <v>33.333333333333329</v>
      </c>
      <c r="E389" s="12" t="s">
        <v>8219</v>
      </c>
      <c r="F389" s="13">
        <v>6</v>
      </c>
      <c r="G389" s="14">
        <v>1800.25</v>
      </c>
      <c r="H389" t="s">
        <v>994</v>
      </c>
      <c r="I389">
        <v>6</v>
      </c>
    </row>
    <row r="390" spans="1:9" ht="15.6" x14ac:dyDescent="0.3">
      <c r="A390" s="9">
        <v>389</v>
      </c>
      <c r="B390" s="2" t="s">
        <v>395</v>
      </c>
      <c r="C390" s="11">
        <v>30</v>
      </c>
      <c r="D390" s="12">
        <v>50</v>
      </c>
      <c r="E390" s="12" t="s">
        <v>8220</v>
      </c>
      <c r="F390" s="13">
        <v>6</v>
      </c>
      <c r="G390" s="14">
        <v>1785.2399999999998</v>
      </c>
      <c r="H390" t="s">
        <v>3810</v>
      </c>
      <c r="I390">
        <v>7</v>
      </c>
    </row>
    <row r="391" spans="1:9" ht="15.6" x14ac:dyDescent="0.3">
      <c r="A391" s="9">
        <v>390</v>
      </c>
      <c r="B391" s="2" t="s">
        <v>396</v>
      </c>
      <c r="C391" s="11">
        <v>28</v>
      </c>
      <c r="D391" s="12">
        <v>66.666666666666657</v>
      </c>
      <c r="E391" s="12" t="s">
        <v>8220</v>
      </c>
      <c r="F391" s="13">
        <v>6</v>
      </c>
      <c r="G391" s="14">
        <v>1761.21</v>
      </c>
      <c r="H391" t="s">
        <v>2786</v>
      </c>
      <c r="I391">
        <v>7</v>
      </c>
    </row>
    <row r="392" spans="1:9" ht="15.6" x14ac:dyDescent="0.3">
      <c r="A392" s="9">
        <v>391</v>
      </c>
      <c r="B392" s="2" t="s">
        <v>397</v>
      </c>
      <c r="C392" s="11">
        <v>28</v>
      </c>
      <c r="D392" s="12">
        <v>66.666666666666657</v>
      </c>
      <c r="E392" s="12" t="s">
        <v>8220</v>
      </c>
      <c r="F392" s="13">
        <v>6</v>
      </c>
      <c r="G392" s="14">
        <v>1801.2399999999998</v>
      </c>
      <c r="H392" t="s">
        <v>1762</v>
      </c>
      <c r="I392">
        <v>7</v>
      </c>
    </row>
    <row r="393" spans="1:9" ht="15.6" x14ac:dyDescent="0.3">
      <c r="A393" s="9">
        <v>392</v>
      </c>
      <c r="B393" s="2" t="s">
        <v>398</v>
      </c>
      <c r="C393" s="11">
        <v>22</v>
      </c>
      <c r="D393" s="12">
        <v>50</v>
      </c>
      <c r="E393" s="12" t="s">
        <v>8220</v>
      </c>
      <c r="F393" s="13">
        <v>6</v>
      </c>
      <c r="G393" s="14">
        <v>1776.2199999999998</v>
      </c>
      <c r="H393" t="s">
        <v>738</v>
      </c>
      <c r="I393">
        <v>6</v>
      </c>
    </row>
    <row r="394" spans="1:9" ht="15.6" x14ac:dyDescent="0.3">
      <c r="A394" s="9">
        <v>393</v>
      </c>
      <c r="B394" s="2" t="s">
        <v>399</v>
      </c>
      <c r="C394" s="11">
        <v>30</v>
      </c>
      <c r="D394" s="12">
        <v>50</v>
      </c>
      <c r="E394" s="12" t="s">
        <v>8220</v>
      </c>
      <c r="F394" s="13">
        <v>6</v>
      </c>
      <c r="G394" s="14">
        <v>1825.27</v>
      </c>
      <c r="H394" t="s">
        <v>3554</v>
      </c>
      <c r="I394">
        <v>7</v>
      </c>
    </row>
    <row r="395" spans="1:9" ht="15.6" x14ac:dyDescent="0.3">
      <c r="A395" s="9">
        <v>394</v>
      </c>
      <c r="B395" s="2" t="s">
        <v>400</v>
      </c>
      <c r="C395" s="11">
        <v>28</v>
      </c>
      <c r="D395" s="12">
        <v>66.666666666666657</v>
      </c>
      <c r="E395" s="12" t="s">
        <v>8220</v>
      </c>
      <c r="F395" s="13">
        <v>6</v>
      </c>
      <c r="G395" s="14">
        <v>1801.2399999999998</v>
      </c>
      <c r="H395" t="s">
        <v>2530</v>
      </c>
      <c r="I395">
        <v>7</v>
      </c>
    </row>
    <row r="396" spans="1:9" ht="15.6" x14ac:dyDescent="0.3">
      <c r="A396" s="9">
        <v>395</v>
      </c>
      <c r="B396" s="2" t="s">
        <v>401</v>
      </c>
      <c r="C396" s="11">
        <v>28</v>
      </c>
      <c r="D396" s="12">
        <v>66.666666666666657</v>
      </c>
      <c r="E396" s="12" t="s">
        <v>8220</v>
      </c>
      <c r="F396" s="13">
        <v>6</v>
      </c>
      <c r="G396" s="14">
        <v>1841.27</v>
      </c>
      <c r="H396" t="s">
        <v>1506</v>
      </c>
      <c r="I396">
        <v>7</v>
      </c>
    </row>
    <row r="397" spans="1:9" ht="15.6" x14ac:dyDescent="0.3">
      <c r="A397" s="9">
        <v>396</v>
      </c>
      <c r="B397" s="2" t="s">
        <v>402</v>
      </c>
      <c r="C397" s="11">
        <v>22</v>
      </c>
      <c r="D397" s="12">
        <v>50</v>
      </c>
      <c r="E397" s="12" t="s">
        <v>8220</v>
      </c>
      <c r="F397" s="13">
        <v>6</v>
      </c>
      <c r="G397" s="14">
        <v>1816.25</v>
      </c>
      <c r="H397" t="s">
        <v>482</v>
      </c>
      <c r="I397">
        <v>6</v>
      </c>
    </row>
    <row r="398" spans="1:9" ht="15.6" x14ac:dyDescent="0.3">
      <c r="A398" s="9">
        <v>397</v>
      </c>
      <c r="B398" s="2" t="s">
        <v>403</v>
      </c>
      <c r="C398" s="11">
        <v>24</v>
      </c>
      <c r="D398" s="12">
        <v>33.333333333333329</v>
      </c>
      <c r="E398" s="12" t="s">
        <v>8219</v>
      </c>
      <c r="F398" s="13">
        <v>6</v>
      </c>
      <c r="G398" s="14">
        <v>1800.25</v>
      </c>
      <c r="H398" t="s">
        <v>3298</v>
      </c>
      <c r="I398">
        <v>6</v>
      </c>
    </row>
    <row r="399" spans="1:9" ht="15.6" x14ac:dyDescent="0.3">
      <c r="A399" s="9">
        <v>398</v>
      </c>
      <c r="B399" s="2" t="s">
        <v>404</v>
      </c>
      <c r="C399" s="11">
        <v>22</v>
      </c>
      <c r="D399" s="12">
        <v>50</v>
      </c>
      <c r="E399" s="12" t="s">
        <v>8220</v>
      </c>
      <c r="F399" s="13">
        <v>6</v>
      </c>
      <c r="G399" s="14">
        <v>1776.2199999999998</v>
      </c>
      <c r="H399" t="s">
        <v>2274</v>
      </c>
      <c r="I399">
        <v>6</v>
      </c>
    </row>
    <row r="400" spans="1:9" ht="15.6" x14ac:dyDescent="0.3">
      <c r="A400" s="9">
        <v>399</v>
      </c>
      <c r="B400" s="2" t="s">
        <v>405</v>
      </c>
      <c r="C400" s="11">
        <v>22</v>
      </c>
      <c r="D400" s="12">
        <v>50</v>
      </c>
      <c r="E400" s="12" t="s">
        <v>8220</v>
      </c>
      <c r="F400" s="13">
        <v>6</v>
      </c>
      <c r="G400" s="14">
        <v>1816.25</v>
      </c>
      <c r="H400" t="s">
        <v>1250</v>
      </c>
      <c r="I400">
        <v>6</v>
      </c>
    </row>
    <row r="401" spans="1:9" ht="15.6" x14ac:dyDescent="0.3">
      <c r="A401" s="9">
        <v>400</v>
      </c>
      <c r="B401" s="2" t="s">
        <v>406</v>
      </c>
      <c r="C401" s="11">
        <v>16</v>
      </c>
      <c r="D401" s="12">
        <v>33.333333333333329</v>
      </c>
      <c r="E401" s="12" t="s">
        <v>8219</v>
      </c>
      <c r="F401" s="13">
        <v>6</v>
      </c>
      <c r="G401" s="14">
        <v>1791.23</v>
      </c>
      <c r="H401" t="s">
        <v>226</v>
      </c>
      <c r="I401">
        <v>5</v>
      </c>
    </row>
    <row r="402" spans="1:9" ht="15.6" x14ac:dyDescent="0.3">
      <c r="A402" s="9">
        <v>401</v>
      </c>
      <c r="B402" s="2" t="s">
        <v>407</v>
      </c>
      <c r="C402" s="11">
        <v>30</v>
      </c>
      <c r="D402" s="12">
        <v>50</v>
      </c>
      <c r="E402" s="12" t="s">
        <v>8220</v>
      </c>
      <c r="F402" s="13">
        <v>6</v>
      </c>
      <c r="G402" s="14">
        <v>1785.2399999999998</v>
      </c>
      <c r="H402" t="s">
        <v>4002</v>
      </c>
      <c r="I402">
        <v>7</v>
      </c>
    </row>
    <row r="403" spans="1:9" ht="15.6" x14ac:dyDescent="0.3">
      <c r="A403" s="9">
        <v>402</v>
      </c>
      <c r="B403" s="2" t="s">
        <v>408</v>
      </c>
      <c r="C403" s="11">
        <v>28</v>
      </c>
      <c r="D403" s="12">
        <v>66.666666666666657</v>
      </c>
      <c r="E403" s="12" t="s">
        <v>8220</v>
      </c>
      <c r="F403" s="13">
        <v>6</v>
      </c>
      <c r="G403" s="14">
        <v>1761.21</v>
      </c>
      <c r="H403" t="s">
        <v>2978</v>
      </c>
      <c r="I403">
        <v>7</v>
      </c>
    </row>
    <row r="404" spans="1:9" ht="15.6" x14ac:dyDescent="0.3">
      <c r="A404" s="9">
        <v>403</v>
      </c>
      <c r="B404" s="2" t="s">
        <v>409</v>
      </c>
      <c r="C404" s="11">
        <v>28</v>
      </c>
      <c r="D404" s="12">
        <v>66.666666666666657</v>
      </c>
      <c r="E404" s="12" t="s">
        <v>8220</v>
      </c>
      <c r="F404" s="13">
        <v>6</v>
      </c>
      <c r="G404" s="14">
        <v>1801.2399999999998</v>
      </c>
      <c r="H404" t="s">
        <v>1954</v>
      </c>
      <c r="I404">
        <v>7</v>
      </c>
    </row>
    <row r="405" spans="1:9" ht="15.6" x14ac:dyDescent="0.3">
      <c r="A405" s="9">
        <v>404</v>
      </c>
      <c r="B405" s="2" t="s">
        <v>410</v>
      </c>
      <c r="C405" s="11">
        <v>22</v>
      </c>
      <c r="D405" s="12">
        <v>50</v>
      </c>
      <c r="E405" s="12" t="s">
        <v>8220</v>
      </c>
      <c r="F405" s="13">
        <v>6</v>
      </c>
      <c r="G405" s="14">
        <v>1776.2199999999998</v>
      </c>
      <c r="H405" t="s">
        <v>930</v>
      </c>
      <c r="I405">
        <v>6</v>
      </c>
    </row>
    <row r="406" spans="1:9" ht="15.6" x14ac:dyDescent="0.3">
      <c r="A406" s="9">
        <v>405</v>
      </c>
      <c r="B406" s="2" t="s">
        <v>411</v>
      </c>
      <c r="C406" s="11">
        <v>28</v>
      </c>
      <c r="D406" s="12">
        <v>66.666666666666657</v>
      </c>
      <c r="E406" s="12" t="s">
        <v>8220</v>
      </c>
      <c r="F406" s="13">
        <v>6</v>
      </c>
      <c r="G406" s="14">
        <v>1761.21</v>
      </c>
      <c r="H406" t="s">
        <v>3746</v>
      </c>
      <c r="I406">
        <v>7</v>
      </c>
    </row>
    <row r="407" spans="1:9" ht="15.6" x14ac:dyDescent="0.3">
      <c r="A407" s="9">
        <v>406</v>
      </c>
      <c r="B407" s="2" t="s">
        <v>412</v>
      </c>
      <c r="C407" s="11">
        <v>26</v>
      </c>
      <c r="D407" s="12">
        <v>83.333333333333343</v>
      </c>
      <c r="E407" s="12" t="s">
        <v>8220</v>
      </c>
      <c r="F407" s="13">
        <v>6</v>
      </c>
      <c r="G407" s="14">
        <v>1737.1799999999998</v>
      </c>
      <c r="H407" t="s">
        <v>2722</v>
      </c>
      <c r="I407">
        <v>7</v>
      </c>
    </row>
    <row r="408" spans="1:9" ht="15.6" x14ac:dyDescent="0.3">
      <c r="A408" s="9">
        <v>407</v>
      </c>
      <c r="B408" s="2" t="s">
        <v>413</v>
      </c>
      <c r="C408" s="11">
        <v>26</v>
      </c>
      <c r="D408" s="12">
        <v>83.333333333333343</v>
      </c>
      <c r="E408" s="12" t="s">
        <v>8220</v>
      </c>
      <c r="F408" s="13">
        <v>6</v>
      </c>
      <c r="G408" s="14">
        <v>1777.21</v>
      </c>
      <c r="H408" t="s">
        <v>1698</v>
      </c>
      <c r="I408">
        <v>7</v>
      </c>
    </row>
    <row r="409" spans="1:9" ht="15.6" x14ac:dyDescent="0.3">
      <c r="A409" s="9">
        <v>408</v>
      </c>
      <c r="B409" s="2" t="s">
        <v>414</v>
      </c>
      <c r="C409" s="11">
        <v>20</v>
      </c>
      <c r="D409" s="12">
        <v>66.666666666666657</v>
      </c>
      <c r="E409" s="12" t="s">
        <v>8220</v>
      </c>
      <c r="F409" s="13">
        <v>6</v>
      </c>
      <c r="G409" s="14">
        <v>1752.19</v>
      </c>
      <c r="H409" t="s">
        <v>674</v>
      </c>
      <c r="I409">
        <v>6</v>
      </c>
    </row>
    <row r="410" spans="1:9" ht="15.6" x14ac:dyDescent="0.3">
      <c r="A410" s="9">
        <v>409</v>
      </c>
      <c r="B410" s="2" t="s">
        <v>415</v>
      </c>
      <c r="C410" s="11">
        <v>28</v>
      </c>
      <c r="D410" s="12">
        <v>66.666666666666657</v>
      </c>
      <c r="E410" s="12" t="s">
        <v>8220</v>
      </c>
      <c r="F410" s="13">
        <v>6</v>
      </c>
      <c r="G410" s="14">
        <v>1801.2399999999998</v>
      </c>
      <c r="H410" t="s">
        <v>3490</v>
      </c>
      <c r="I410">
        <v>7</v>
      </c>
    </row>
    <row r="411" spans="1:9" ht="15.6" x14ac:dyDescent="0.3">
      <c r="A411" s="9">
        <v>410</v>
      </c>
      <c r="B411" s="2" t="s">
        <v>416</v>
      </c>
      <c r="C411" s="11">
        <v>26</v>
      </c>
      <c r="D411" s="12">
        <v>83.333333333333343</v>
      </c>
      <c r="E411" s="12" t="s">
        <v>8220</v>
      </c>
      <c r="F411" s="13">
        <v>6</v>
      </c>
      <c r="G411" s="14">
        <v>1777.21</v>
      </c>
      <c r="H411" t="s">
        <v>2466</v>
      </c>
      <c r="I411">
        <v>7</v>
      </c>
    </row>
    <row r="412" spans="1:9" ht="15.6" x14ac:dyDescent="0.3">
      <c r="A412" s="9">
        <v>411</v>
      </c>
      <c r="B412" s="2" t="s">
        <v>417</v>
      </c>
      <c r="C412" s="11">
        <v>26</v>
      </c>
      <c r="D412" s="12">
        <v>83.333333333333343</v>
      </c>
      <c r="E412" s="12" t="s">
        <v>8220</v>
      </c>
      <c r="F412" s="13">
        <v>6</v>
      </c>
      <c r="G412" s="14">
        <v>1817.2400000000002</v>
      </c>
      <c r="H412" t="s">
        <v>1442</v>
      </c>
      <c r="I412">
        <v>7</v>
      </c>
    </row>
    <row r="413" spans="1:9" ht="15.6" x14ac:dyDescent="0.3">
      <c r="A413" s="9">
        <v>412</v>
      </c>
      <c r="B413" s="2" t="s">
        <v>418</v>
      </c>
      <c r="C413" s="11">
        <v>20</v>
      </c>
      <c r="D413" s="12">
        <v>66.666666666666657</v>
      </c>
      <c r="E413" s="12" t="s">
        <v>8220</v>
      </c>
      <c r="F413" s="13">
        <v>6</v>
      </c>
      <c r="G413" s="14">
        <v>1792.2199999999998</v>
      </c>
      <c r="H413" t="s">
        <v>418</v>
      </c>
      <c r="I413">
        <v>6</v>
      </c>
    </row>
    <row r="414" spans="1:9" ht="15.6" x14ac:dyDescent="0.3">
      <c r="A414" s="9">
        <v>413</v>
      </c>
      <c r="B414" s="2" t="s">
        <v>419</v>
      </c>
      <c r="C414" s="11">
        <v>22</v>
      </c>
      <c r="D414" s="12">
        <v>50</v>
      </c>
      <c r="E414" s="12" t="s">
        <v>8220</v>
      </c>
      <c r="F414" s="13">
        <v>6</v>
      </c>
      <c r="G414" s="14">
        <v>1776.2199999999998</v>
      </c>
      <c r="H414" t="s">
        <v>3234</v>
      </c>
      <c r="I414">
        <v>6</v>
      </c>
    </row>
    <row r="415" spans="1:9" ht="15.6" x14ac:dyDescent="0.3">
      <c r="A415" s="9">
        <v>414</v>
      </c>
      <c r="B415" s="2" t="s">
        <v>420</v>
      </c>
      <c r="C415" s="11">
        <v>20</v>
      </c>
      <c r="D415" s="12">
        <v>66.666666666666657</v>
      </c>
      <c r="E415" s="12" t="s">
        <v>8220</v>
      </c>
      <c r="F415" s="13">
        <v>6</v>
      </c>
      <c r="G415" s="14">
        <v>1752.19</v>
      </c>
      <c r="H415" t="s">
        <v>2210</v>
      </c>
      <c r="I415">
        <v>6</v>
      </c>
    </row>
    <row r="416" spans="1:9" ht="15.6" x14ac:dyDescent="0.3">
      <c r="A416" s="9">
        <v>415</v>
      </c>
      <c r="B416" s="2" t="s">
        <v>421</v>
      </c>
      <c r="C416" s="11">
        <v>20</v>
      </c>
      <c r="D416" s="12">
        <v>66.666666666666657</v>
      </c>
      <c r="E416" s="12" t="s">
        <v>8220</v>
      </c>
      <c r="F416" s="13">
        <v>6</v>
      </c>
      <c r="G416" s="14">
        <v>1792.2199999999998</v>
      </c>
      <c r="H416" t="s">
        <v>1186</v>
      </c>
      <c r="I416">
        <v>6</v>
      </c>
    </row>
    <row r="417" spans="1:9" ht="15.6" x14ac:dyDescent="0.3">
      <c r="A417" s="9">
        <v>416</v>
      </c>
      <c r="B417" s="2" t="s">
        <v>422</v>
      </c>
      <c r="C417" s="11">
        <v>14</v>
      </c>
      <c r="D417" s="12">
        <v>50</v>
      </c>
      <c r="E417" s="12" t="s">
        <v>8220</v>
      </c>
      <c r="F417" s="13">
        <v>6</v>
      </c>
      <c r="G417" s="14">
        <v>1767.1999999999998</v>
      </c>
      <c r="H417" t="s">
        <v>162</v>
      </c>
      <c r="I417">
        <v>5</v>
      </c>
    </row>
    <row r="418" spans="1:9" ht="15.6" x14ac:dyDescent="0.3">
      <c r="A418" s="9">
        <v>417</v>
      </c>
      <c r="B418" s="2" t="s">
        <v>423</v>
      </c>
      <c r="C418" s="11">
        <v>30</v>
      </c>
      <c r="D418" s="12">
        <v>50</v>
      </c>
      <c r="E418" s="12" t="s">
        <v>8220</v>
      </c>
      <c r="F418" s="13">
        <v>6</v>
      </c>
      <c r="G418" s="14">
        <v>1825.27</v>
      </c>
      <c r="H418" t="s">
        <v>3938</v>
      </c>
      <c r="I418">
        <v>7</v>
      </c>
    </row>
    <row r="419" spans="1:9" ht="15.6" x14ac:dyDescent="0.3">
      <c r="A419" s="9">
        <v>418</v>
      </c>
      <c r="B419" s="2" t="s">
        <v>424</v>
      </c>
      <c r="C419" s="11">
        <v>28</v>
      </c>
      <c r="D419" s="12">
        <v>66.666666666666657</v>
      </c>
      <c r="E419" s="12" t="s">
        <v>8220</v>
      </c>
      <c r="F419" s="13">
        <v>6</v>
      </c>
      <c r="G419" s="14">
        <v>1801.2399999999998</v>
      </c>
      <c r="H419" t="s">
        <v>2914</v>
      </c>
      <c r="I419">
        <v>7</v>
      </c>
    </row>
    <row r="420" spans="1:9" ht="15.6" x14ac:dyDescent="0.3">
      <c r="A420" s="9">
        <v>419</v>
      </c>
      <c r="B420" s="2" t="s">
        <v>425</v>
      </c>
      <c r="C420" s="11">
        <v>28</v>
      </c>
      <c r="D420" s="12">
        <v>66.666666666666657</v>
      </c>
      <c r="E420" s="12" t="s">
        <v>8220</v>
      </c>
      <c r="F420" s="13">
        <v>6</v>
      </c>
      <c r="G420" s="14">
        <v>1841.27</v>
      </c>
      <c r="H420" t="s">
        <v>1890</v>
      </c>
      <c r="I420">
        <v>7</v>
      </c>
    </row>
    <row r="421" spans="1:9" ht="15.6" x14ac:dyDescent="0.3">
      <c r="A421" s="9">
        <v>420</v>
      </c>
      <c r="B421" s="2" t="s">
        <v>426</v>
      </c>
      <c r="C421" s="11">
        <v>22</v>
      </c>
      <c r="D421" s="12">
        <v>50</v>
      </c>
      <c r="E421" s="12" t="s">
        <v>8220</v>
      </c>
      <c r="F421" s="13">
        <v>6</v>
      </c>
      <c r="G421" s="14">
        <v>1816.25</v>
      </c>
      <c r="H421" t="s">
        <v>866</v>
      </c>
      <c r="I421">
        <v>6</v>
      </c>
    </row>
    <row r="422" spans="1:9" ht="15.6" x14ac:dyDescent="0.3">
      <c r="A422" s="9">
        <v>421</v>
      </c>
      <c r="B422" s="2" t="s">
        <v>427</v>
      </c>
      <c r="C422" s="11">
        <v>28</v>
      </c>
      <c r="D422" s="12">
        <v>66.666666666666657</v>
      </c>
      <c r="E422" s="12" t="s">
        <v>8220</v>
      </c>
      <c r="F422" s="13">
        <v>6</v>
      </c>
      <c r="G422" s="14">
        <v>1801.2399999999998</v>
      </c>
      <c r="H422" t="s">
        <v>3682</v>
      </c>
      <c r="I422">
        <v>7</v>
      </c>
    </row>
    <row r="423" spans="1:9" ht="15.6" x14ac:dyDescent="0.3">
      <c r="A423" s="9">
        <v>422</v>
      </c>
      <c r="B423" s="2" t="s">
        <v>428</v>
      </c>
      <c r="C423" s="11">
        <v>26</v>
      </c>
      <c r="D423" s="12">
        <v>83.333333333333343</v>
      </c>
      <c r="E423" s="12" t="s">
        <v>8220</v>
      </c>
      <c r="F423" s="13">
        <v>6</v>
      </c>
      <c r="G423" s="14">
        <v>1777.21</v>
      </c>
      <c r="H423" t="s">
        <v>2658</v>
      </c>
      <c r="I423">
        <v>7</v>
      </c>
    </row>
    <row r="424" spans="1:9" ht="15.6" x14ac:dyDescent="0.3">
      <c r="A424" s="9">
        <v>423</v>
      </c>
      <c r="B424" s="2" t="s">
        <v>429</v>
      </c>
      <c r="C424" s="11">
        <v>26</v>
      </c>
      <c r="D424" s="12">
        <v>83.333333333333343</v>
      </c>
      <c r="E424" s="12" t="s">
        <v>8220</v>
      </c>
      <c r="F424" s="13">
        <v>6</v>
      </c>
      <c r="G424" s="14">
        <v>1817.2400000000002</v>
      </c>
      <c r="H424" t="s">
        <v>1634</v>
      </c>
      <c r="I424">
        <v>7</v>
      </c>
    </row>
    <row r="425" spans="1:9" ht="15.6" x14ac:dyDescent="0.3">
      <c r="A425" s="9">
        <v>424</v>
      </c>
      <c r="B425" s="2" t="s">
        <v>430</v>
      </c>
      <c r="C425" s="11">
        <v>20</v>
      </c>
      <c r="D425" s="12">
        <v>66.666666666666657</v>
      </c>
      <c r="E425" s="12" t="s">
        <v>8220</v>
      </c>
      <c r="F425" s="13">
        <v>6</v>
      </c>
      <c r="G425" s="14">
        <v>1792.2199999999998</v>
      </c>
      <c r="H425" t="s">
        <v>610</v>
      </c>
      <c r="I425">
        <v>6</v>
      </c>
    </row>
    <row r="426" spans="1:9" ht="15.6" x14ac:dyDescent="0.3">
      <c r="A426" s="9">
        <v>425</v>
      </c>
      <c r="B426" s="2" t="s">
        <v>431</v>
      </c>
      <c r="C426" s="11">
        <v>28</v>
      </c>
      <c r="D426" s="12">
        <v>66.666666666666657</v>
      </c>
      <c r="E426" s="12" t="s">
        <v>8220</v>
      </c>
      <c r="F426" s="13">
        <v>6</v>
      </c>
      <c r="G426" s="14">
        <v>1841.27</v>
      </c>
      <c r="H426" t="s">
        <v>3426</v>
      </c>
      <c r="I426">
        <v>7</v>
      </c>
    </row>
    <row r="427" spans="1:9" ht="15.6" x14ac:dyDescent="0.3">
      <c r="A427" s="9">
        <v>426</v>
      </c>
      <c r="B427" s="2" t="s">
        <v>432</v>
      </c>
      <c r="C427" s="11">
        <v>26</v>
      </c>
      <c r="D427" s="12">
        <v>83.333333333333343</v>
      </c>
      <c r="E427" s="12" t="s">
        <v>8220</v>
      </c>
      <c r="F427" s="13">
        <v>6</v>
      </c>
      <c r="G427" s="14">
        <v>1817.2400000000002</v>
      </c>
      <c r="H427" t="s">
        <v>2402</v>
      </c>
      <c r="I427">
        <v>7</v>
      </c>
    </row>
    <row r="428" spans="1:9" ht="15.6" x14ac:dyDescent="0.3">
      <c r="A428" s="9">
        <v>427</v>
      </c>
      <c r="B428" s="2" t="s">
        <v>433</v>
      </c>
      <c r="C428" s="11">
        <v>26</v>
      </c>
      <c r="D428" s="12">
        <v>83.333333333333343</v>
      </c>
      <c r="E428" s="12" t="s">
        <v>8220</v>
      </c>
      <c r="F428" s="13">
        <v>6</v>
      </c>
      <c r="G428" s="14">
        <v>1857.27</v>
      </c>
      <c r="H428" t="s">
        <v>1378</v>
      </c>
      <c r="I428">
        <v>7</v>
      </c>
    </row>
    <row r="429" spans="1:9" ht="15.6" x14ac:dyDescent="0.3">
      <c r="A429" s="9">
        <v>428</v>
      </c>
      <c r="B429" s="2" t="s">
        <v>434</v>
      </c>
      <c r="C429" s="11">
        <v>20</v>
      </c>
      <c r="D429" s="12">
        <v>66.666666666666657</v>
      </c>
      <c r="E429" s="12" t="s">
        <v>8220</v>
      </c>
      <c r="F429" s="13">
        <v>6</v>
      </c>
      <c r="G429" s="14">
        <v>1832.25</v>
      </c>
      <c r="H429" t="s">
        <v>354</v>
      </c>
      <c r="I429">
        <v>6</v>
      </c>
    </row>
    <row r="430" spans="1:9" ht="15.6" x14ac:dyDescent="0.3">
      <c r="A430" s="9">
        <v>429</v>
      </c>
      <c r="B430" s="2" t="s">
        <v>435</v>
      </c>
      <c r="C430" s="11">
        <v>22</v>
      </c>
      <c r="D430" s="12">
        <v>50</v>
      </c>
      <c r="E430" s="12" t="s">
        <v>8220</v>
      </c>
      <c r="F430" s="13">
        <v>6</v>
      </c>
      <c r="G430" s="14">
        <v>1816.25</v>
      </c>
      <c r="H430" t="s">
        <v>3170</v>
      </c>
      <c r="I430">
        <v>6</v>
      </c>
    </row>
    <row r="431" spans="1:9" ht="15.6" x14ac:dyDescent="0.3">
      <c r="A431" s="9">
        <v>430</v>
      </c>
      <c r="B431" s="2" t="s">
        <v>436</v>
      </c>
      <c r="C431" s="11">
        <v>20</v>
      </c>
      <c r="D431" s="12">
        <v>66.666666666666657</v>
      </c>
      <c r="E431" s="12" t="s">
        <v>8220</v>
      </c>
      <c r="F431" s="13">
        <v>6</v>
      </c>
      <c r="G431" s="14">
        <v>1792.2199999999998</v>
      </c>
      <c r="H431" t="s">
        <v>2146</v>
      </c>
      <c r="I431">
        <v>6</v>
      </c>
    </row>
    <row r="432" spans="1:9" ht="15.6" x14ac:dyDescent="0.3">
      <c r="A432" s="9">
        <v>431</v>
      </c>
      <c r="B432" s="2" t="s">
        <v>437</v>
      </c>
      <c r="C432" s="11">
        <v>20</v>
      </c>
      <c r="D432" s="12">
        <v>66.666666666666657</v>
      </c>
      <c r="E432" s="12" t="s">
        <v>8220</v>
      </c>
      <c r="F432" s="13">
        <v>6</v>
      </c>
      <c r="G432" s="14">
        <v>1832.25</v>
      </c>
      <c r="H432" t="s">
        <v>1122</v>
      </c>
      <c r="I432">
        <v>6</v>
      </c>
    </row>
    <row r="433" spans="1:9" ht="15.6" x14ac:dyDescent="0.3">
      <c r="A433" s="9">
        <v>432</v>
      </c>
      <c r="B433" s="2" t="s">
        <v>438</v>
      </c>
      <c r="C433" s="11">
        <v>14</v>
      </c>
      <c r="D433" s="12">
        <v>50</v>
      </c>
      <c r="E433" s="12" t="s">
        <v>8220</v>
      </c>
      <c r="F433" s="13">
        <v>6</v>
      </c>
      <c r="G433" s="14">
        <v>1807.23</v>
      </c>
      <c r="H433" t="s">
        <v>98</v>
      </c>
      <c r="I433">
        <v>5</v>
      </c>
    </row>
    <row r="434" spans="1:9" ht="15.6" x14ac:dyDescent="0.3">
      <c r="A434" s="9">
        <v>433</v>
      </c>
      <c r="B434" s="2" t="s">
        <v>439</v>
      </c>
      <c r="C434" s="11">
        <v>24</v>
      </c>
      <c r="D434" s="12">
        <v>33.333333333333329</v>
      </c>
      <c r="E434" s="12" t="s">
        <v>8219</v>
      </c>
      <c r="F434" s="13">
        <v>6</v>
      </c>
      <c r="G434" s="14">
        <v>1800.25</v>
      </c>
      <c r="H434" t="s">
        <v>3874</v>
      </c>
      <c r="I434">
        <v>6</v>
      </c>
    </row>
    <row r="435" spans="1:9" ht="15.6" x14ac:dyDescent="0.3">
      <c r="A435" s="9">
        <v>434</v>
      </c>
      <c r="B435" s="2" t="s">
        <v>440</v>
      </c>
      <c r="C435" s="11">
        <v>22</v>
      </c>
      <c r="D435" s="12">
        <v>50</v>
      </c>
      <c r="E435" s="12" t="s">
        <v>8220</v>
      </c>
      <c r="F435" s="13">
        <v>6</v>
      </c>
      <c r="G435" s="14">
        <v>1776.2199999999998</v>
      </c>
      <c r="H435" t="s">
        <v>2850</v>
      </c>
      <c r="I435">
        <v>6</v>
      </c>
    </row>
    <row r="436" spans="1:9" ht="15.6" x14ac:dyDescent="0.3">
      <c r="A436" s="9">
        <v>435</v>
      </c>
      <c r="B436" s="2" t="s">
        <v>441</v>
      </c>
      <c r="C436" s="11">
        <v>22</v>
      </c>
      <c r="D436" s="12">
        <v>50</v>
      </c>
      <c r="E436" s="12" t="s">
        <v>8220</v>
      </c>
      <c r="F436" s="13">
        <v>6</v>
      </c>
      <c r="G436" s="14">
        <v>1816.25</v>
      </c>
      <c r="H436" t="s">
        <v>1826</v>
      </c>
      <c r="I436">
        <v>6</v>
      </c>
    </row>
    <row r="437" spans="1:9" ht="15.6" x14ac:dyDescent="0.3">
      <c r="A437" s="9">
        <v>436</v>
      </c>
      <c r="B437" s="2" t="s">
        <v>442</v>
      </c>
      <c r="C437" s="11">
        <v>16</v>
      </c>
      <c r="D437" s="12">
        <v>33.333333333333329</v>
      </c>
      <c r="E437" s="12" t="s">
        <v>8219</v>
      </c>
      <c r="F437" s="13">
        <v>6</v>
      </c>
      <c r="G437" s="14">
        <v>1791.23</v>
      </c>
      <c r="H437" t="s">
        <v>802</v>
      </c>
      <c r="I437">
        <v>5</v>
      </c>
    </row>
    <row r="438" spans="1:9" ht="15.6" x14ac:dyDescent="0.3">
      <c r="A438" s="9">
        <v>437</v>
      </c>
      <c r="B438" s="2" t="s">
        <v>443</v>
      </c>
      <c r="C438" s="11">
        <v>22</v>
      </c>
      <c r="D438" s="12">
        <v>50</v>
      </c>
      <c r="E438" s="12" t="s">
        <v>8220</v>
      </c>
      <c r="F438" s="13">
        <v>6</v>
      </c>
      <c r="G438" s="14">
        <v>1776.2199999999998</v>
      </c>
      <c r="H438" t="s">
        <v>3618</v>
      </c>
      <c r="I438">
        <v>6</v>
      </c>
    </row>
    <row r="439" spans="1:9" ht="15.6" x14ac:dyDescent="0.3">
      <c r="A439" s="9">
        <v>438</v>
      </c>
      <c r="B439" s="2" t="s">
        <v>444</v>
      </c>
      <c r="C439" s="11">
        <v>20</v>
      </c>
      <c r="D439" s="12">
        <v>66.666666666666657</v>
      </c>
      <c r="E439" s="12" t="s">
        <v>8220</v>
      </c>
      <c r="F439" s="13">
        <v>6</v>
      </c>
      <c r="G439" s="14">
        <v>1752.19</v>
      </c>
      <c r="H439" t="s">
        <v>2594</v>
      </c>
      <c r="I439">
        <v>6</v>
      </c>
    </row>
    <row r="440" spans="1:9" ht="15.6" x14ac:dyDescent="0.3">
      <c r="A440" s="9">
        <v>439</v>
      </c>
      <c r="B440" s="2" t="s">
        <v>445</v>
      </c>
      <c r="C440" s="11">
        <v>20</v>
      </c>
      <c r="D440" s="12">
        <v>66.666666666666657</v>
      </c>
      <c r="E440" s="12" t="s">
        <v>8220</v>
      </c>
      <c r="F440" s="13">
        <v>6</v>
      </c>
      <c r="G440" s="14">
        <v>1792.2199999999998</v>
      </c>
      <c r="H440" t="s">
        <v>1570</v>
      </c>
      <c r="I440">
        <v>6</v>
      </c>
    </row>
    <row r="441" spans="1:9" ht="15.6" x14ac:dyDescent="0.3">
      <c r="A441" s="9">
        <v>440</v>
      </c>
      <c r="B441" s="2" t="s">
        <v>446</v>
      </c>
      <c r="C441" s="11">
        <v>14</v>
      </c>
      <c r="D441" s="12">
        <v>50</v>
      </c>
      <c r="E441" s="12" t="s">
        <v>8220</v>
      </c>
      <c r="F441" s="13">
        <v>6</v>
      </c>
      <c r="G441" s="14">
        <v>1767.1999999999998</v>
      </c>
      <c r="H441" t="s">
        <v>546</v>
      </c>
      <c r="I441">
        <v>5</v>
      </c>
    </row>
    <row r="442" spans="1:9" ht="15.6" x14ac:dyDescent="0.3">
      <c r="A442" s="9">
        <v>441</v>
      </c>
      <c r="B442" s="2" t="s">
        <v>447</v>
      </c>
      <c r="C442" s="11">
        <v>22</v>
      </c>
      <c r="D442" s="12">
        <v>50</v>
      </c>
      <c r="E442" s="12" t="s">
        <v>8220</v>
      </c>
      <c r="F442" s="13">
        <v>6</v>
      </c>
      <c r="G442" s="14">
        <v>1816.25</v>
      </c>
      <c r="H442" t="s">
        <v>3362</v>
      </c>
      <c r="I442">
        <v>6</v>
      </c>
    </row>
    <row r="443" spans="1:9" ht="15.6" x14ac:dyDescent="0.3">
      <c r="A443" s="9">
        <v>442</v>
      </c>
      <c r="B443" s="2" t="s">
        <v>448</v>
      </c>
      <c r="C443" s="11">
        <v>20</v>
      </c>
      <c r="D443" s="12">
        <v>66.666666666666657</v>
      </c>
      <c r="E443" s="12" t="s">
        <v>8220</v>
      </c>
      <c r="F443" s="13">
        <v>6</v>
      </c>
      <c r="G443" s="14">
        <v>1792.2199999999998</v>
      </c>
      <c r="H443" t="s">
        <v>2338</v>
      </c>
      <c r="I443">
        <v>6</v>
      </c>
    </row>
    <row r="444" spans="1:9" ht="15.6" x14ac:dyDescent="0.3">
      <c r="A444" s="9">
        <v>443</v>
      </c>
      <c r="B444" s="2" t="s">
        <v>449</v>
      </c>
      <c r="C444" s="11">
        <v>20</v>
      </c>
      <c r="D444" s="12">
        <v>66.666666666666657</v>
      </c>
      <c r="E444" s="12" t="s">
        <v>8220</v>
      </c>
      <c r="F444" s="13">
        <v>6</v>
      </c>
      <c r="G444" s="14">
        <v>1832.25</v>
      </c>
      <c r="H444" t="s">
        <v>1314</v>
      </c>
      <c r="I444">
        <v>6</v>
      </c>
    </row>
    <row r="445" spans="1:9" ht="15.6" x14ac:dyDescent="0.3">
      <c r="A445" s="9">
        <v>444</v>
      </c>
      <c r="B445" s="2" t="s">
        <v>450</v>
      </c>
      <c r="C445" s="11">
        <v>14</v>
      </c>
      <c r="D445" s="12">
        <v>50</v>
      </c>
      <c r="E445" s="12" t="s">
        <v>8220</v>
      </c>
      <c r="F445" s="13">
        <v>6</v>
      </c>
      <c r="G445" s="14">
        <v>1807.23</v>
      </c>
      <c r="H445" t="s">
        <v>290</v>
      </c>
      <c r="I445">
        <v>5</v>
      </c>
    </row>
    <row r="446" spans="1:9" ht="15.6" x14ac:dyDescent="0.3">
      <c r="A446" s="9">
        <v>445</v>
      </c>
      <c r="B446" s="2" t="s">
        <v>451</v>
      </c>
      <c r="C446" s="11">
        <v>16</v>
      </c>
      <c r="D446" s="12">
        <v>33.333333333333329</v>
      </c>
      <c r="E446" s="12" t="s">
        <v>8219</v>
      </c>
      <c r="F446" s="13">
        <v>6</v>
      </c>
      <c r="G446" s="14">
        <v>1791.23</v>
      </c>
      <c r="H446" t="s">
        <v>3106</v>
      </c>
      <c r="I446">
        <v>5</v>
      </c>
    </row>
    <row r="447" spans="1:9" ht="15.6" x14ac:dyDescent="0.3">
      <c r="A447" s="9">
        <v>446</v>
      </c>
      <c r="B447" s="2" t="s">
        <v>452</v>
      </c>
      <c r="C447" s="11">
        <v>14</v>
      </c>
      <c r="D447" s="12">
        <v>50</v>
      </c>
      <c r="E447" s="12" t="s">
        <v>8220</v>
      </c>
      <c r="F447" s="13">
        <v>6</v>
      </c>
      <c r="G447" s="14">
        <v>1767.1999999999998</v>
      </c>
      <c r="H447" t="s">
        <v>2082</v>
      </c>
      <c r="I447">
        <v>5</v>
      </c>
    </row>
    <row r="448" spans="1:9" ht="15.6" x14ac:dyDescent="0.3">
      <c r="A448" s="9">
        <v>447</v>
      </c>
      <c r="B448" s="2" t="s">
        <v>453</v>
      </c>
      <c r="C448" s="11">
        <v>14</v>
      </c>
      <c r="D448" s="12">
        <v>50</v>
      </c>
      <c r="E448" s="12" t="s">
        <v>8220</v>
      </c>
      <c r="F448" s="13">
        <v>6</v>
      </c>
      <c r="G448" s="14">
        <v>1807.23</v>
      </c>
      <c r="H448" t="s">
        <v>1058</v>
      </c>
      <c r="I448">
        <v>5</v>
      </c>
    </row>
    <row r="449" spans="1:9" ht="15.6" x14ac:dyDescent="0.3">
      <c r="A449" s="9">
        <v>448</v>
      </c>
      <c r="B449" s="2" t="s">
        <v>454</v>
      </c>
      <c r="C449" s="11">
        <v>8</v>
      </c>
      <c r="D449" s="12">
        <v>33.333333333333329</v>
      </c>
      <c r="E449" s="12" t="s">
        <v>8219</v>
      </c>
      <c r="F449" s="13">
        <v>6</v>
      </c>
      <c r="G449" s="14">
        <v>1782.21</v>
      </c>
      <c r="H449" t="s">
        <v>34</v>
      </c>
      <c r="I449">
        <v>4</v>
      </c>
    </row>
    <row r="450" spans="1:9" ht="15.6" x14ac:dyDescent="0.3">
      <c r="A450" s="9">
        <v>449</v>
      </c>
      <c r="B450" s="2" t="s">
        <v>455</v>
      </c>
      <c r="C450" s="11">
        <v>26</v>
      </c>
      <c r="D450" s="12">
        <v>16.666666666666664</v>
      </c>
      <c r="E450" s="12" t="s">
        <v>8219</v>
      </c>
      <c r="F450" s="13">
        <v>6</v>
      </c>
      <c r="G450" s="14">
        <v>1784.25</v>
      </c>
      <c r="H450" t="s">
        <v>4050</v>
      </c>
      <c r="I450">
        <v>7</v>
      </c>
    </row>
    <row r="451" spans="1:9" ht="15.6" x14ac:dyDescent="0.3">
      <c r="A451" s="9">
        <v>450</v>
      </c>
      <c r="B451" s="2" t="s">
        <v>456</v>
      </c>
      <c r="C451" s="11">
        <v>24</v>
      </c>
      <c r="D451" s="12">
        <v>33.333333333333329</v>
      </c>
      <c r="E451" s="12" t="s">
        <v>8219</v>
      </c>
      <c r="F451" s="13">
        <v>6</v>
      </c>
      <c r="G451" s="14">
        <v>1760.2199999999998</v>
      </c>
      <c r="H451" t="s">
        <v>3026</v>
      </c>
      <c r="I451">
        <v>6</v>
      </c>
    </row>
    <row r="452" spans="1:9" ht="15.6" x14ac:dyDescent="0.3">
      <c r="A452" s="9">
        <v>451</v>
      </c>
      <c r="B452" s="2" t="s">
        <v>457</v>
      </c>
      <c r="C452" s="11">
        <v>24</v>
      </c>
      <c r="D452" s="12">
        <v>33.333333333333329</v>
      </c>
      <c r="E452" s="12" t="s">
        <v>8219</v>
      </c>
      <c r="F452" s="13">
        <v>6</v>
      </c>
      <c r="G452" s="14">
        <v>1800.25</v>
      </c>
      <c r="H452" t="s">
        <v>2002</v>
      </c>
      <c r="I452">
        <v>6</v>
      </c>
    </row>
    <row r="453" spans="1:9" ht="15.6" x14ac:dyDescent="0.3">
      <c r="A453" s="9">
        <v>452</v>
      </c>
      <c r="B453" s="2" t="s">
        <v>458</v>
      </c>
      <c r="C453" s="11">
        <v>18</v>
      </c>
      <c r="D453" s="12">
        <v>16.666666666666664</v>
      </c>
      <c r="E453" s="12" t="s">
        <v>8219</v>
      </c>
      <c r="F453" s="13">
        <v>6</v>
      </c>
      <c r="G453" s="14">
        <v>1775.23</v>
      </c>
      <c r="H453" t="s">
        <v>978</v>
      </c>
      <c r="I453">
        <v>5</v>
      </c>
    </row>
    <row r="454" spans="1:9" ht="15.6" x14ac:dyDescent="0.3">
      <c r="A454" s="9">
        <v>453</v>
      </c>
      <c r="B454" s="2" t="s">
        <v>459</v>
      </c>
      <c r="C454" s="11">
        <v>24</v>
      </c>
      <c r="D454" s="12">
        <v>33.333333333333329</v>
      </c>
      <c r="E454" s="12" t="s">
        <v>8219</v>
      </c>
      <c r="F454" s="13">
        <v>6</v>
      </c>
      <c r="G454" s="14">
        <v>1760.2199999999998</v>
      </c>
      <c r="H454" t="s">
        <v>3794</v>
      </c>
      <c r="I454">
        <v>6</v>
      </c>
    </row>
    <row r="455" spans="1:9" ht="15.6" x14ac:dyDescent="0.3">
      <c r="A455" s="9">
        <v>454</v>
      </c>
      <c r="B455" s="2" t="s">
        <v>460</v>
      </c>
      <c r="C455" s="11">
        <v>22</v>
      </c>
      <c r="D455" s="12">
        <v>50</v>
      </c>
      <c r="E455" s="12" t="s">
        <v>8220</v>
      </c>
      <c r="F455" s="13">
        <v>6</v>
      </c>
      <c r="G455" s="14">
        <v>1736.19</v>
      </c>
      <c r="H455" t="s">
        <v>2770</v>
      </c>
      <c r="I455">
        <v>6</v>
      </c>
    </row>
    <row r="456" spans="1:9" ht="15.6" x14ac:dyDescent="0.3">
      <c r="A456" s="9">
        <v>455</v>
      </c>
      <c r="B456" s="2" t="s">
        <v>461</v>
      </c>
      <c r="C456" s="11">
        <v>22</v>
      </c>
      <c r="D456" s="12">
        <v>50</v>
      </c>
      <c r="E456" s="12" t="s">
        <v>8220</v>
      </c>
      <c r="F456" s="13">
        <v>6</v>
      </c>
      <c r="G456" s="14">
        <v>1776.2199999999998</v>
      </c>
      <c r="H456" t="s">
        <v>1746</v>
      </c>
      <c r="I456">
        <v>6</v>
      </c>
    </row>
    <row r="457" spans="1:9" ht="15.6" x14ac:dyDescent="0.3">
      <c r="A457" s="9">
        <v>456</v>
      </c>
      <c r="B457" s="2" t="s">
        <v>462</v>
      </c>
      <c r="C457" s="11">
        <v>16</v>
      </c>
      <c r="D457" s="12">
        <v>33.333333333333329</v>
      </c>
      <c r="E457" s="12" t="s">
        <v>8219</v>
      </c>
      <c r="F457" s="13">
        <v>6</v>
      </c>
      <c r="G457" s="14">
        <v>1751.1999999999998</v>
      </c>
      <c r="H457" t="s">
        <v>722</v>
      </c>
      <c r="I457">
        <v>5</v>
      </c>
    </row>
    <row r="458" spans="1:9" ht="15.6" x14ac:dyDescent="0.3">
      <c r="A458" s="9">
        <v>457</v>
      </c>
      <c r="B458" s="2" t="s">
        <v>463</v>
      </c>
      <c r="C458" s="11">
        <v>24</v>
      </c>
      <c r="D458" s="12">
        <v>33.333333333333329</v>
      </c>
      <c r="E458" s="12" t="s">
        <v>8219</v>
      </c>
      <c r="F458" s="13">
        <v>6</v>
      </c>
      <c r="G458" s="14">
        <v>1800.25</v>
      </c>
      <c r="H458" t="s">
        <v>3538</v>
      </c>
      <c r="I458">
        <v>6</v>
      </c>
    </row>
    <row r="459" spans="1:9" ht="15.6" x14ac:dyDescent="0.3">
      <c r="A459" s="9">
        <v>458</v>
      </c>
      <c r="B459" s="2" t="s">
        <v>464</v>
      </c>
      <c r="C459" s="11">
        <v>22</v>
      </c>
      <c r="D459" s="12">
        <v>50</v>
      </c>
      <c r="E459" s="12" t="s">
        <v>8220</v>
      </c>
      <c r="F459" s="13">
        <v>6</v>
      </c>
      <c r="G459" s="14">
        <v>1776.2199999999998</v>
      </c>
      <c r="H459" t="s">
        <v>2514</v>
      </c>
      <c r="I459">
        <v>6</v>
      </c>
    </row>
    <row r="460" spans="1:9" ht="15.6" x14ac:dyDescent="0.3">
      <c r="A460" s="9">
        <v>459</v>
      </c>
      <c r="B460" s="2" t="s">
        <v>465</v>
      </c>
      <c r="C460" s="11">
        <v>22</v>
      </c>
      <c r="D460" s="12">
        <v>50</v>
      </c>
      <c r="E460" s="12" t="s">
        <v>8220</v>
      </c>
      <c r="F460" s="13">
        <v>6</v>
      </c>
      <c r="G460" s="14">
        <v>1816.25</v>
      </c>
      <c r="H460" t="s">
        <v>1490</v>
      </c>
      <c r="I460">
        <v>6</v>
      </c>
    </row>
    <row r="461" spans="1:9" ht="15.6" x14ac:dyDescent="0.3">
      <c r="A461" s="9">
        <v>460</v>
      </c>
      <c r="B461" s="2" t="s">
        <v>466</v>
      </c>
      <c r="C461" s="11">
        <v>16</v>
      </c>
      <c r="D461" s="12">
        <v>33.333333333333329</v>
      </c>
      <c r="E461" s="12" t="s">
        <v>8219</v>
      </c>
      <c r="F461" s="13">
        <v>6</v>
      </c>
      <c r="G461" s="14">
        <v>1791.23</v>
      </c>
      <c r="H461" t="s">
        <v>466</v>
      </c>
      <c r="I461">
        <v>5</v>
      </c>
    </row>
    <row r="462" spans="1:9" ht="15.6" x14ac:dyDescent="0.3">
      <c r="A462" s="9">
        <v>461</v>
      </c>
      <c r="B462" s="2" t="s">
        <v>467</v>
      </c>
      <c r="C462" s="11">
        <v>18</v>
      </c>
      <c r="D462" s="12">
        <v>16.666666666666664</v>
      </c>
      <c r="E462" s="12" t="s">
        <v>8219</v>
      </c>
      <c r="F462" s="13">
        <v>6</v>
      </c>
      <c r="G462" s="14">
        <v>1775.23</v>
      </c>
      <c r="H462" t="s">
        <v>3282</v>
      </c>
      <c r="I462">
        <v>5</v>
      </c>
    </row>
    <row r="463" spans="1:9" ht="15.6" x14ac:dyDescent="0.3">
      <c r="A463" s="9">
        <v>462</v>
      </c>
      <c r="B463" s="2" t="s">
        <v>468</v>
      </c>
      <c r="C463" s="11">
        <v>16</v>
      </c>
      <c r="D463" s="12">
        <v>33.333333333333329</v>
      </c>
      <c r="E463" s="12" t="s">
        <v>8219</v>
      </c>
      <c r="F463" s="13">
        <v>6</v>
      </c>
      <c r="G463" s="14">
        <v>1751.1999999999998</v>
      </c>
      <c r="H463" t="s">
        <v>2258</v>
      </c>
      <c r="I463">
        <v>5</v>
      </c>
    </row>
    <row r="464" spans="1:9" ht="15.6" x14ac:dyDescent="0.3">
      <c r="A464" s="9">
        <v>463</v>
      </c>
      <c r="B464" s="2" t="s">
        <v>469</v>
      </c>
      <c r="C464" s="11">
        <v>16</v>
      </c>
      <c r="D464" s="12">
        <v>33.333333333333329</v>
      </c>
      <c r="E464" s="12" t="s">
        <v>8219</v>
      </c>
      <c r="F464" s="13">
        <v>6</v>
      </c>
      <c r="G464" s="14">
        <v>1791.23</v>
      </c>
      <c r="H464" t="s">
        <v>1234</v>
      </c>
      <c r="I464">
        <v>5</v>
      </c>
    </row>
    <row r="465" spans="1:9" ht="15.6" x14ac:dyDescent="0.3">
      <c r="A465" s="9">
        <v>464</v>
      </c>
      <c r="B465" s="2" t="s">
        <v>470</v>
      </c>
      <c r="C465" s="11">
        <v>10</v>
      </c>
      <c r="D465" s="12">
        <v>16.666666666666664</v>
      </c>
      <c r="E465" s="12" t="s">
        <v>8219</v>
      </c>
      <c r="F465" s="13">
        <v>6</v>
      </c>
      <c r="G465" s="14">
        <v>1766.21</v>
      </c>
      <c r="H465" t="s">
        <v>210</v>
      </c>
      <c r="I465">
        <v>4</v>
      </c>
    </row>
    <row r="466" spans="1:9" ht="15.6" x14ac:dyDescent="0.3">
      <c r="A466" s="9">
        <v>465</v>
      </c>
      <c r="B466" s="2" t="s">
        <v>471</v>
      </c>
      <c r="C466" s="11">
        <v>24</v>
      </c>
      <c r="D466" s="12">
        <v>33.333333333333329</v>
      </c>
      <c r="E466" s="12" t="s">
        <v>8219</v>
      </c>
      <c r="F466" s="13">
        <v>6</v>
      </c>
      <c r="G466" s="14">
        <v>1760.2199999999998</v>
      </c>
      <c r="H466" t="s">
        <v>3986</v>
      </c>
      <c r="I466">
        <v>6</v>
      </c>
    </row>
    <row r="467" spans="1:9" ht="15.6" x14ac:dyDescent="0.3">
      <c r="A467" s="9">
        <v>466</v>
      </c>
      <c r="B467" s="2" t="s">
        <v>472</v>
      </c>
      <c r="C467" s="11">
        <v>22</v>
      </c>
      <c r="D467" s="12">
        <v>50</v>
      </c>
      <c r="E467" s="12" t="s">
        <v>8220</v>
      </c>
      <c r="F467" s="13">
        <v>6</v>
      </c>
      <c r="G467" s="14">
        <v>1736.19</v>
      </c>
      <c r="H467" t="s">
        <v>2962</v>
      </c>
      <c r="I467">
        <v>6</v>
      </c>
    </row>
    <row r="468" spans="1:9" ht="15.6" x14ac:dyDescent="0.3">
      <c r="A468" s="9">
        <v>467</v>
      </c>
      <c r="B468" s="2" t="s">
        <v>473</v>
      </c>
      <c r="C468" s="11">
        <v>22</v>
      </c>
      <c r="D468" s="12">
        <v>50</v>
      </c>
      <c r="E468" s="12" t="s">
        <v>8220</v>
      </c>
      <c r="F468" s="13">
        <v>6</v>
      </c>
      <c r="G468" s="14">
        <v>1776.2199999999998</v>
      </c>
      <c r="H468" t="s">
        <v>1938</v>
      </c>
      <c r="I468">
        <v>6</v>
      </c>
    </row>
    <row r="469" spans="1:9" ht="15.6" x14ac:dyDescent="0.3">
      <c r="A469" s="9">
        <v>468</v>
      </c>
      <c r="B469" s="2" t="s">
        <v>474</v>
      </c>
      <c r="C469" s="11">
        <v>16</v>
      </c>
      <c r="D469" s="12">
        <v>33.333333333333329</v>
      </c>
      <c r="E469" s="12" t="s">
        <v>8219</v>
      </c>
      <c r="F469" s="13">
        <v>6</v>
      </c>
      <c r="G469" s="14">
        <v>1751.1999999999998</v>
      </c>
      <c r="H469" t="s">
        <v>914</v>
      </c>
      <c r="I469">
        <v>5</v>
      </c>
    </row>
    <row r="470" spans="1:9" ht="15.6" x14ac:dyDescent="0.3">
      <c r="A470" s="9">
        <v>469</v>
      </c>
      <c r="B470" s="2" t="s">
        <v>475</v>
      </c>
      <c r="C470" s="11">
        <v>22</v>
      </c>
      <c r="D470" s="12">
        <v>50</v>
      </c>
      <c r="E470" s="12" t="s">
        <v>8220</v>
      </c>
      <c r="F470" s="13">
        <v>6</v>
      </c>
      <c r="G470" s="14">
        <v>1736.19</v>
      </c>
      <c r="H470" t="s">
        <v>3730</v>
      </c>
      <c r="I470">
        <v>6</v>
      </c>
    </row>
    <row r="471" spans="1:9" ht="15.6" x14ac:dyDescent="0.3">
      <c r="A471" s="9">
        <v>470</v>
      </c>
      <c r="B471" s="2" t="s">
        <v>476</v>
      </c>
      <c r="C471" s="11">
        <v>20</v>
      </c>
      <c r="D471" s="12">
        <v>66.666666666666657</v>
      </c>
      <c r="E471" s="12" t="s">
        <v>8220</v>
      </c>
      <c r="F471" s="13">
        <v>6</v>
      </c>
      <c r="G471" s="14">
        <v>1712.1599999999999</v>
      </c>
      <c r="H471" t="s">
        <v>2706</v>
      </c>
      <c r="I471">
        <v>6</v>
      </c>
    </row>
    <row r="472" spans="1:9" ht="15.6" x14ac:dyDescent="0.3">
      <c r="A472" s="9">
        <v>471</v>
      </c>
      <c r="B472" s="2" t="s">
        <v>477</v>
      </c>
      <c r="C472" s="11">
        <v>20</v>
      </c>
      <c r="D472" s="12">
        <v>66.666666666666657</v>
      </c>
      <c r="E472" s="12" t="s">
        <v>8220</v>
      </c>
      <c r="F472" s="13">
        <v>6</v>
      </c>
      <c r="G472" s="14">
        <v>1752.19</v>
      </c>
      <c r="H472" t="s">
        <v>1682</v>
      </c>
      <c r="I472">
        <v>6</v>
      </c>
    </row>
    <row r="473" spans="1:9" ht="15.6" x14ac:dyDescent="0.3">
      <c r="A473" s="9">
        <v>472</v>
      </c>
      <c r="B473" s="2" t="s">
        <v>478</v>
      </c>
      <c r="C473" s="11">
        <v>14</v>
      </c>
      <c r="D473" s="12">
        <v>50</v>
      </c>
      <c r="E473" s="12" t="s">
        <v>8220</v>
      </c>
      <c r="F473" s="13">
        <v>6</v>
      </c>
      <c r="G473" s="14">
        <v>1727.17</v>
      </c>
      <c r="H473" t="s">
        <v>658</v>
      </c>
      <c r="I473">
        <v>5</v>
      </c>
    </row>
    <row r="474" spans="1:9" ht="15.6" x14ac:dyDescent="0.3">
      <c r="A474" s="9">
        <v>473</v>
      </c>
      <c r="B474" s="2" t="s">
        <v>479</v>
      </c>
      <c r="C474" s="11">
        <v>22</v>
      </c>
      <c r="D474" s="12">
        <v>50</v>
      </c>
      <c r="E474" s="12" t="s">
        <v>8220</v>
      </c>
      <c r="F474" s="13">
        <v>6</v>
      </c>
      <c r="G474" s="14">
        <v>1776.2199999999998</v>
      </c>
      <c r="H474" t="s">
        <v>3474</v>
      </c>
      <c r="I474">
        <v>6</v>
      </c>
    </row>
    <row r="475" spans="1:9" ht="15.6" x14ac:dyDescent="0.3">
      <c r="A475" s="9">
        <v>474</v>
      </c>
      <c r="B475" s="2" t="s">
        <v>480</v>
      </c>
      <c r="C475" s="11">
        <v>20</v>
      </c>
      <c r="D475" s="12">
        <v>66.666666666666657</v>
      </c>
      <c r="E475" s="12" t="s">
        <v>8220</v>
      </c>
      <c r="F475" s="13">
        <v>6</v>
      </c>
      <c r="G475" s="14">
        <v>1752.19</v>
      </c>
      <c r="H475" t="s">
        <v>2450</v>
      </c>
      <c r="I475">
        <v>6</v>
      </c>
    </row>
    <row r="476" spans="1:9" ht="15.6" x14ac:dyDescent="0.3">
      <c r="A476" s="9">
        <v>475</v>
      </c>
      <c r="B476" s="2" t="s">
        <v>481</v>
      </c>
      <c r="C476" s="11">
        <v>20</v>
      </c>
      <c r="D476" s="12">
        <v>66.666666666666657</v>
      </c>
      <c r="E476" s="12" t="s">
        <v>8220</v>
      </c>
      <c r="F476" s="13">
        <v>6</v>
      </c>
      <c r="G476" s="14">
        <v>1792.2199999999998</v>
      </c>
      <c r="H476" t="s">
        <v>1426</v>
      </c>
      <c r="I476">
        <v>6</v>
      </c>
    </row>
    <row r="477" spans="1:9" ht="15.6" x14ac:dyDescent="0.3">
      <c r="A477" s="9">
        <v>476</v>
      </c>
      <c r="B477" s="2" t="s">
        <v>482</v>
      </c>
      <c r="C477" s="11">
        <v>14</v>
      </c>
      <c r="D477" s="12">
        <v>50</v>
      </c>
      <c r="E477" s="12" t="s">
        <v>8220</v>
      </c>
      <c r="F477" s="13">
        <v>6</v>
      </c>
      <c r="G477" s="14">
        <v>1767.1999999999998</v>
      </c>
      <c r="H477" t="s">
        <v>402</v>
      </c>
      <c r="I477">
        <v>5</v>
      </c>
    </row>
    <row r="478" spans="1:9" ht="15.6" x14ac:dyDescent="0.3">
      <c r="A478" s="9">
        <v>477</v>
      </c>
      <c r="B478" s="2" t="s">
        <v>483</v>
      </c>
      <c r="C478" s="11">
        <v>16</v>
      </c>
      <c r="D478" s="12">
        <v>33.333333333333329</v>
      </c>
      <c r="E478" s="12" t="s">
        <v>8219</v>
      </c>
      <c r="F478" s="13">
        <v>6</v>
      </c>
      <c r="G478" s="14">
        <v>1751.1999999999998</v>
      </c>
      <c r="H478" t="s">
        <v>3218</v>
      </c>
      <c r="I478">
        <v>5</v>
      </c>
    </row>
    <row r="479" spans="1:9" ht="15.6" x14ac:dyDescent="0.3">
      <c r="A479" s="9">
        <v>478</v>
      </c>
      <c r="B479" s="2" t="s">
        <v>484</v>
      </c>
      <c r="C479" s="11">
        <v>14</v>
      </c>
      <c r="D479" s="12">
        <v>50</v>
      </c>
      <c r="E479" s="12" t="s">
        <v>8220</v>
      </c>
      <c r="F479" s="13">
        <v>6</v>
      </c>
      <c r="G479" s="14">
        <v>1727.17</v>
      </c>
      <c r="H479" t="s">
        <v>2194</v>
      </c>
      <c r="I479">
        <v>5</v>
      </c>
    </row>
    <row r="480" spans="1:9" ht="15.6" x14ac:dyDescent="0.3">
      <c r="A480" s="9">
        <v>479</v>
      </c>
      <c r="B480" s="2" t="s">
        <v>485</v>
      </c>
      <c r="C480" s="11">
        <v>14</v>
      </c>
      <c r="D480" s="12">
        <v>50</v>
      </c>
      <c r="E480" s="12" t="s">
        <v>8220</v>
      </c>
      <c r="F480" s="13">
        <v>6</v>
      </c>
      <c r="G480" s="14">
        <v>1767.1999999999998</v>
      </c>
      <c r="H480" t="s">
        <v>1170</v>
      </c>
      <c r="I480">
        <v>5</v>
      </c>
    </row>
    <row r="481" spans="1:9" ht="15.6" x14ac:dyDescent="0.3">
      <c r="A481" s="9">
        <v>480</v>
      </c>
      <c r="B481" s="2" t="s">
        <v>486</v>
      </c>
      <c r="C481" s="11">
        <v>8</v>
      </c>
      <c r="D481" s="12">
        <v>33.333333333333329</v>
      </c>
      <c r="E481" s="12" t="s">
        <v>8219</v>
      </c>
      <c r="F481" s="13">
        <v>6</v>
      </c>
      <c r="G481" s="14">
        <v>1742.1799999999998</v>
      </c>
      <c r="H481" t="s">
        <v>146</v>
      </c>
      <c r="I481">
        <v>4</v>
      </c>
    </row>
    <row r="482" spans="1:9" ht="15.6" x14ac:dyDescent="0.3">
      <c r="A482" s="9">
        <v>481</v>
      </c>
      <c r="B482" s="2" t="s">
        <v>487</v>
      </c>
      <c r="C482" s="11">
        <v>24</v>
      </c>
      <c r="D482" s="12">
        <v>33.333333333333329</v>
      </c>
      <c r="E482" s="12" t="s">
        <v>8219</v>
      </c>
      <c r="F482" s="13">
        <v>6</v>
      </c>
      <c r="G482" s="14">
        <v>1800.25</v>
      </c>
      <c r="H482" t="s">
        <v>3922</v>
      </c>
      <c r="I482">
        <v>6</v>
      </c>
    </row>
    <row r="483" spans="1:9" ht="15.6" x14ac:dyDescent="0.3">
      <c r="A483" s="9">
        <v>482</v>
      </c>
      <c r="B483" s="2" t="s">
        <v>488</v>
      </c>
      <c r="C483" s="11">
        <v>22</v>
      </c>
      <c r="D483" s="12">
        <v>50</v>
      </c>
      <c r="E483" s="12" t="s">
        <v>8220</v>
      </c>
      <c r="F483" s="13">
        <v>6</v>
      </c>
      <c r="G483" s="14">
        <v>1776.2199999999998</v>
      </c>
      <c r="H483" t="s">
        <v>2898</v>
      </c>
      <c r="I483">
        <v>6</v>
      </c>
    </row>
    <row r="484" spans="1:9" ht="15.6" x14ac:dyDescent="0.3">
      <c r="A484" s="9">
        <v>483</v>
      </c>
      <c r="B484" s="2" t="s">
        <v>489</v>
      </c>
      <c r="C484" s="11">
        <v>22</v>
      </c>
      <c r="D484" s="12">
        <v>50</v>
      </c>
      <c r="E484" s="12" t="s">
        <v>8220</v>
      </c>
      <c r="F484" s="13">
        <v>6</v>
      </c>
      <c r="G484" s="14">
        <v>1816.25</v>
      </c>
      <c r="H484" t="s">
        <v>1874</v>
      </c>
      <c r="I484">
        <v>6</v>
      </c>
    </row>
    <row r="485" spans="1:9" ht="15.6" x14ac:dyDescent="0.3">
      <c r="A485" s="9">
        <v>484</v>
      </c>
      <c r="B485" s="2" t="s">
        <v>490</v>
      </c>
      <c r="C485" s="11">
        <v>16</v>
      </c>
      <c r="D485" s="12">
        <v>33.333333333333329</v>
      </c>
      <c r="E485" s="12" t="s">
        <v>8219</v>
      </c>
      <c r="F485" s="13">
        <v>6</v>
      </c>
      <c r="G485" s="14">
        <v>1791.23</v>
      </c>
      <c r="H485" t="s">
        <v>850</v>
      </c>
      <c r="I485">
        <v>5</v>
      </c>
    </row>
    <row r="486" spans="1:9" ht="15.6" x14ac:dyDescent="0.3">
      <c r="A486" s="9">
        <v>485</v>
      </c>
      <c r="B486" s="2" t="s">
        <v>491</v>
      </c>
      <c r="C486" s="11">
        <v>22</v>
      </c>
      <c r="D486" s="12">
        <v>50</v>
      </c>
      <c r="E486" s="12" t="s">
        <v>8220</v>
      </c>
      <c r="F486" s="13">
        <v>6</v>
      </c>
      <c r="G486" s="14">
        <v>1776.2199999999998</v>
      </c>
      <c r="H486" t="s">
        <v>3666</v>
      </c>
      <c r="I486">
        <v>6</v>
      </c>
    </row>
    <row r="487" spans="1:9" ht="15.6" x14ac:dyDescent="0.3">
      <c r="A487" s="9">
        <v>486</v>
      </c>
      <c r="B487" s="2" t="s">
        <v>492</v>
      </c>
      <c r="C487" s="11">
        <v>20</v>
      </c>
      <c r="D487" s="12">
        <v>66.666666666666657</v>
      </c>
      <c r="E487" s="12" t="s">
        <v>8220</v>
      </c>
      <c r="F487" s="13">
        <v>6</v>
      </c>
      <c r="G487" s="14">
        <v>1752.19</v>
      </c>
      <c r="H487" t="s">
        <v>2642</v>
      </c>
      <c r="I487">
        <v>6</v>
      </c>
    </row>
    <row r="488" spans="1:9" ht="15.6" x14ac:dyDescent="0.3">
      <c r="A488" s="9">
        <v>487</v>
      </c>
      <c r="B488" s="2" t="s">
        <v>493</v>
      </c>
      <c r="C488" s="11">
        <v>20</v>
      </c>
      <c r="D488" s="12">
        <v>66.666666666666657</v>
      </c>
      <c r="E488" s="12" t="s">
        <v>8220</v>
      </c>
      <c r="F488" s="13">
        <v>6</v>
      </c>
      <c r="G488" s="14">
        <v>1792.2199999999998</v>
      </c>
      <c r="H488" t="s">
        <v>1618</v>
      </c>
      <c r="I488">
        <v>6</v>
      </c>
    </row>
    <row r="489" spans="1:9" ht="15.6" x14ac:dyDescent="0.3">
      <c r="A489" s="9">
        <v>488</v>
      </c>
      <c r="B489" s="2" t="s">
        <v>494</v>
      </c>
      <c r="C489" s="11">
        <v>14</v>
      </c>
      <c r="D489" s="12">
        <v>50</v>
      </c>
      <c r="E489" s="12" t="s">
        <v>8220</v>
      </c>
      <c r="F489" s="13">
        <v>6</v>
      </c>
      <c r="G489" s="14">
        <v>1767.1999999999998</v>
      </c>
      <c r="H489" t="s">
        <v>594</v>
      </c>
      <c r="I489">
        <v>5</v>
      </c>
    </row>
    <row r="490" spans="1:9" ht="15.6" x14ac:dyDescent="0.3">
      <c r="A490" s="9">
        <v>489</v>
      </c>
      <c r="B490" s="2" t="s">
        <v>495</v>
      </c>
      <c r="C490" s="11">
        <v>22</v>
      </c>
      <c r="D490" s="12">
        <v>50</v>
      </c>
      <c r="E490" s="12" t="s">
        <v>8220</v>
      </c>
      <c r="F490" s="13">
        <v>6</v>
      </c>
      <c r="G490" s="14">
        <v>1816.25</v>
      </c>
      <c r="H490" t="s">
        <v>3410</v>
      </c>
      <c r="I490">
        <v>6</v>
      </c>
    </row>
    <row r="491" spans="1:9" ht="15.6" x14ac:dyDescent="0.3">
      <c r="A491" s="9">
        <v>490</v>
      </c>
      <c r="B491" s="2" t="s">
        <v>496</v>
      </c>
      <c r="C491" s="11">
        <v>20</v>
      </c>
      <c r="D491" s="12">
        <v>66.666666666666657</v>
      </c>
      <c r="E491" s="12" t="s">
        <v>8220</v>
      </c>
      <c r="F491" s="13">
        <v>6</v>
      </c>
      <c r="G491" s="14">
        <v>1792.2199999999998</v>
      </c>
      <c r="H491" t="s">
        <v>2386</v>
      </c>
      <c r="I491">
        <v>6</v>
      </c>
    </row>
    <row r="492" spans="1:9" ht="15.6" x14ac:dyDescent="0.3">
      <c r="A492" s="9">
        <v>491</v>
      </c>
      <c r="B492" s="2" t="s">
        <v>497</v>
      </c>
      <c r="C492" s="11">
        <v>20</v>
      </c>
      <c r="D492" s="12">
        <v>66.666666666666657</v>
      </c>
      <c r="E492" s="12" t="s">
        <v>8220</v>
      </c>
      <c r="F492" s="13">
        <v>6</v>
      </c>
      <c r="G492" s="14">
        <v>1832.25</v>
      </c>
      <c r="H492" t="s">
        <v>1362</v>
      </c>
      <c r="I492">
        <v>6</v>
      </c>
    </row>
    <row r="493" spans="1:9" ht="15.6" x14ac:dyDescent="0.3">
      <c r="A493" s="9">
        <v>492</v>
      </c>
      <c r="B493" s="2" t="s">
        <v>498</v>
      </c>
      <c r="C493" s="11">
        <v>14</v>
      </c>
      <c r="D493" s="12">
        <v>50</v>
      </c>
      <c r="E493" s="12" t="s">
        <v>8220</v>
      </c>
      <c r="F493" s="13">
        <v>6</v>
      </c>
      <c r="G493" s="14">
        <v>1807.23</v>
      </c>
      <c r="H493" t="s">
        <v>338</v>
      </c>
      <c r="I493">
        <v>5</v>
      </c>
    </row>
    <row r="494" spans="1:9" ht="15.6" x14ac:dyDescent="0.3">
      <c r="A494" s="9">
        <v>493</v>
      </c>
      <c r="B494" s="2" t="s">
        <v>499</v>
      </c>
      <c r="C494" s="11">
        <v>16</v>
      </c>
      <c r="D494" s="12">
        <v>33.333333333333329</v>
      </c>
      <c r="E494" s="12" t="s">
        <v>8219</v>
      </c>
      <c r="F494" s="13">
        <v>6</v>
      </c>
      <c r="G494" s="14">
        <v>1791.23</v>
      </c>
      <c r="H494" t="s">
        <v>3154</v>
      </c>
      <c r="I494">
        <v>5</v>
      </c>
    </row>
    <row r="495" spans="1:9" ht="15.6" x14ac:dyDescent="0.3">
      <c r="A495" s="9">
        <v>494</v>
      </c>
      <c r="B495" s="2" t="s">
        <v>500</v>
      </c>
      <c r="C495" s="11">
        <v>14</v>
      </c>
      <c r="D495" s="12">
        <v>50</v>
      </c>
      <c r="E495" s="12" t="s">
        <v>8220</v>
      </c>
      <c r="F495" s="13">
        <v>6</v>
      </c>
      <c r="G495" s="14">
        <v>1767.1999999999998</v>
      </c>
      <c r="H495" t="s">
        <v>2130</v>
      </c>
      <c r="I495">
        <v>5</v>
      </c>
    </row>
    <row r="496" spans="1:9" ht="15.6" x14ac:dyDescent="0.3">
      <c r="A496" s="9">
        <v>495</v>
      </c>
      <c r="B496" s="2" t="s">
        <v>501</v>
      </c>
      <c r="C496" s="11">
        <v>14</v>
      </c>
      <c r="D496" s="12">
        <v>50</v>
      </c>
      <c r="E496" s="12" t="s">
        <v>8220</v>
      </c>
      <c r="F496" s="13">
        <v>6</v>
      </c>
      <c r="G496" s="14">
        <v>1807.23</v>
      </c>
      <c r="H496" t="s">
        <v>1106</v>
      </c>
      <c r="I496">
        <v>5</v>
      </c>
    </row>
    <row r="497" spans="1:9" ht="15.6" x14ac:dyDescent="0.3">
      <c r="A497" s="9">
        <v>496</v>
      </c>
      <c r="B497" s="2" t="s">
        <v>502</v>
      </c>
      <c r="C497" s="11">
        <v>8</v>
      </c>
      <c r="D497" s="12">
        <v>33.333333333333329</v>
      </c>
      <c r="E497" s="12" t="s">
        <v>8219</v>
      </c>
      <c r="F497" s="13">
        <v>6</v>
      </c>
      <c r="G497" s="14">
        <v>1782.21</v>
      </c>
      <c r="H497" t="s">
        <v>82</v>
      </c>
      <c r="I497">
        <v>4</v>
      </c>
    </row>
    <row r="498" spans="1:9" ht="15.6" x14ac:dyDescent="0.3">
      <c r="A498" s="9">
        <v>497</v>
      </c>
      <c r="B498" s="2" t="s">
        <v>503</v>
      </c>
      <c r="C498" s="11">
        <v>18</v>
      </c>
      <c r="D498" s="12">
        <v>16.666666666666664</v>
      </c>
      <c r="E498" s="12" t="s">
        <v>8219</v>
      </c>
      <c r="F498" s="13">
        <v>6</v>
      </c>
      <c r="G498" s="14">
        <v>1775.23</v>
      </c>
      <c r="H498" t="s">
        <v>3858</v>
      </c>
      <c r="I498">
        <v>5</v>
      </c>
    </row>
    <row r="499" spans="1:9" ht="15.6" x14ac:dyDescent="0.3">
      <c r="A499" s="9">
        <v>498</v>
      </c>
      <c r="B499" s="2" t="s">
        <v>504</v>
      </c>
      <c r="C499" s="11">
        <v>16</v>
      </c>
      <c r="D499" s="12">
        <v>33.333333333333329</v>
      </c>
      <c r="E499" s="12" t="s">
        <v>8219</v>
      </c>
      <c r="F499" s="13">
        <v>6</v>
      </c>
      <c r="G499" s="14">
        <v>1751.1999999999998</v>
      </c>
      <c r="H499" t="s">
        <v>2834</v>
      </c>
      <c r="I499">
        <v>5</v>
      </c>
    </row>
    <row r="500" spans="1:9" ht="15.6" x14ac:dyDescent="0.3">
      <c r="A500" s="9">
        <v>499</v>
      </c>
      <c r="B500" s="2" t="s">
        <v>505</v>
      </c>
      <c r="C500" s="11">
        <v>16</v>
      </c>
      <c r="D500" s="12">
        <v>33.333333333333329</v>
      </c>
      <c r="E500" s="12" t="s">
        <v>8219</v>
      </c>
      <c r="F500" s="13">
        <v>6</v>
      </c>
      <c r="G500" s="14">
        <v>1791.23</v>
      </c>
      <c r="H500" t="s">
        <v>1810</v>
      </c>
      <c r="I500">
        <v>5</v>
      </c>
    </row>
    <row r="501" spans="1:9" ht="15.6" x14ac:dyDescent="0.3">
      <c r="A501" s="9">
        <v>500</v>
      </c>
      <c r="B501" s="2" t="s">
        <v>506</v>
      </c>
      <c r="C501" s="11">
        <v>10</v>
      </c>
      <c r="D501" s="12">
        <v>16.666666666666664</v>
      </c>
      <c r="E501" s="12" t="s">
        <v>8219</v>
      </c>
      <c r="F501" s="13">
        <v>6</v>
      </c>
      <c r="G501" s="14">
        <v>1766.21</v>
      </c>
      <c r="H501" t="s">
        <v>786</v>
      </c>
      <c r="I501">
        <v>4</v>
      </c>
    </row>
    <row r="502" spans="1:9" ht="15.6" x14ac:dyDescent="0.3">
      <c r="A502" s="9">
        <v>501</v>
      </c>
      <c r="B502" s="2" t="s">
        <v>507</v>
      </c>
      <c r="C502" s="11">
        <v>16</v>
      </c>
      <c r="D502" s="12">
        <v>33.333333333333329</v>
      </c>
      <c r="E502" s="12" t="s">
        <v>8219</v>
      </c>
      <c r="F502" s="13">
        <v>6</v>
      </c>
      <c r="G502" s="14">
        <v>1751.1999999999998</v>
      </c>
      <c r="H502" t="s">
        <v>3602</v>
      </c>
      <c r="I502">
        <v>5</v>
      </c>
    </row>
    <row r="503" spans="1:9" ht="15.6" x14ac:dyDescent="0.3">
      <c r="A503" s="9">
        <v>502</v>
      </c>
      <c r="B503" s="2" t="s">
        <v>508</v>
      </c>
      <c r="C503" s="11">
        <v>14</v>
      </c>
      <c r="D503" s="12">
        <v>50</v>
      </c>
      <c r="E503" s="12" t="s">
        <v>8220</v>
      </c>
      <c r="F503" s="13">
        <v>6</v>
      </c>
      <c r="G503" s="14">
        <v>1727.17</v>
      </c>
      <c r="H503" t="s">
        <v>2578</v>
      </c>
      <c r="I503">
        <v>5</v>
      </c>
    </row>
    <row r="504" spans="1:9" ht="15.6" x14ac:dyDescent="0.3">
      <c r="A504" s="9">
        <v>503</v>
      </c>
      <c r="B504" s="2" t="s">
        <v>509</v>
      </c>
      <c r="C504" s="11">
        <v>14</v>
      </c>
      <c r="D504" s="12">
        <v>50</v>
      </c>
      <c r="E504" s="12" t="s">
        <v>8220</v>
      </c>
      <c r="F504" s="13">
        <v>6</v>
      </c>
      <c r="G504" s="14">
        <v>1767.1999999999998</v>
      </c>
      <c r="H504" t="s">
        <v>1554</v>
      </c>
      <c r="I504">
        <v>5</v>
      </c>
    </row>
    <row r="505" spans="1:9" ht="15.6" x14ac:dyDescent="0.3">
      <c r="A505" s="9">
        <v>504</v>
      </c>
      <c r="B505" s="2" t="s">
        <v>510</v>
      </c>
      <c r="C505" s="11">
        <v>8</v>
      </c>
      <c r="D505" s="12">
        <v>33.333333333333329</v>
      </c>
      <c r="E505" s="12" t="s">
        <v>8219</v>
      </c>
      <c r="F505" s="13">
        <v>6</v>
      </c>
      <c r="G505" s="14">
        <v>1742.1799999999998</v>
      </c>
      <c r="H505" t="s">
        <v>530</v>
      </c>
      <c r="I505">
        <v>4</v>
      </c>
    </row>
    <row r="506" spans="1:9" ht="15.6" x14ac:dyDescent="0.3">
      <c r="A506" s="9">
        <v>505</v>
      </c>
      <c r="B506" s="2" t="s">
        <v>511</v>
      </c>
      <c r="C506" s="11">
        <v>16</v>
      </c>
      <c r="D506" s="12">
        <v>33.333333333333329</v>
      </c>
      <c r="E506" s="12" t="s">
        <v>8219</v>
      </c>
      <c r="F506" s="13">
        <v>6</v>
      </c>
      <c r="G506" s="14">
        <v>1791.23</v>
      </c>
      <c r="H506" t="s">
        <v>3346</v>
      </c>
      <c r="I506">
        <v>5</v>
      </c>
    </row>
    <row r="507" spans="1:9" ht="15.6" x14ac:dyDescent="0.3">
      <c r="A507" s="9">
        <v>506</v>
      </c>
      <c r="B507" s="2" t="s">
        <v>512</v>
      </c>
      <c r="C507" s="11">
        <v>14</v>
      </c>
      <c r="D507" s="12">
        <v>50</v>
      </c>
      <c r="E507" s="12" t="s">
        <v>8220</v>
      </c>
      <c r="F507" s="13">
        <v>6</v>
      </c>
      <c r="G507" s="14">
        <v>1767.1999999999998</v>
      </c>
      <c r="H507" t="s">
        <v>2322</v>
      </c>
      <c r="I507">
        <v>5</v>
      </c>
    </row>
    <row r="508" spans="1:9" ht="15.6" x14ac:dyDescent="0.3">
      <c r="A508" s="9">
        <v>507</v>
      </c>
      <c r="B508" s="2" t="s">
        <v>513</v>
      </c>
      <c r="C508" s="11">
        <v>14</v>
      </c>
      <c r="D508" s="12">
        <v>50</v>
      </c>
      <c r="E508" s="12" t="s">
        <v>8220</v>
      </c>
      <c r="F508" s="13">
        <v>6</v>
      </c>
      <c r="G508" s="14">
        <v>1807.23</v>
      </c>
      <c r="H508" t="s">
        <v>1298</v>
      </c>
      <c r="I508">
        <v>5</v>
      </c>
    </row>
    <row r="509" spans="1:9" ht="15.6" x14ac:dyDescent="0.3">
      <c r="A509" s="9">
        <v>508</v>
      </c>
      <c r="B509" s="2" t="s">
        <v>514</v>
      </c>
      <c r="C509" s="11">
        <v>8</v>
      </c>
      <c r="D509" s="12">
        <v>33.333333333333329</v>
      </c>
      <c r="E509" s="12" t="s">
        <v>8219</v>
      </c>
      <c r="F509" s="13">
        <v>6</v>
      </c>
      <c r="G509" s="14">
        <v>1782.21</v>
      </c>
      <c r="H509" t="s">
        <v>274</v>
      </c>
      <c r="I509">
        <v>4</v>
      </c>
    </row>
    <row r="510" spans="1:9" ht="15.6" x14ac:dyDescent="0.3">
      <c r="A510" s="9">
        <v>509</v>
      </c>
      <c r="B510" s="2" t="s">
        <v>515</v>
      </c>
      <c r="C510" s="11">
        <v>10</v>
      </c>
      <c r="D510" s="12">
        <v>16.666666666666664</v>
      </c>
      <c r="E510" s="12" t="s">
        <v>8219</v>
      </c>
      <c r="F510" s="13">
        <v>6</v>
      </c>
      <c r="G510" s="14">
        <v>1766.21</v>
      </c>
      <c r="H510" t="s">
        <v>3090</v>
      </c>
      <c r="I510">
        <v>4</v>
      </c>
    </row>
    <row r="511" spans="1:9" ht="15.6" x14ac:dyDescent="0.3">
      <c r="A511" s="9">
        <v>510</v>
      </c>
      <c r="B511" s="2" t="s">
        <v>516</v>
      </c>
      <c r="C511" s="11">
        <v>8</v>
      </c>
      <c r="D511" s="12">
        <v>33.333333333333329</v>
      </c>
      <c r="E511" s="12" t="s">
        <v>8219</v>
      </c>
      <c r="F511" s="13">
        <v>6</v>
      </c>
      <c r="G511" s="14">
        <v>1742.1799999999998</v>
      </c>
      <c r="H511" t="s">
        <v>2066</v>
      </c>
      <c r="I511">
        <v>4</v>
      </c>
    </row>
    <row r="512" spans="1:9" ht="15.6" x14ac:dyDescent="0.3">
      <c r="A512" s="9">
        <v>511</v>
      </c>
      <c r="B512" s="2" t="s">
        <v>517</v>
      </c>
      <c r="C512" s="11">
        <v>8</v>
      </c>
      <c r="D512" s="12">
        <v>33.333333333333329</v>
      </c>
      <c r="E512" s="12" t="s">
        <v>8219</v>
      </c>
      <c r="F512" s="13">
        <v>6</v>
      </c>
      <c r="G512" s="14">
        <v>1782.21</v>
      </c>
      <c r="H512" t="s">
        <v>1042</v>
      </c>
      <c r="I512">
        <v>4</v>
      </c>
    </row>
    <row r="513" spans="1:9" ht="15.6" x14ac:dyDescent="0.3">
      <c r="A513" s="9">
        <v>512</v>
      </c>
      <c r="B513" s="2" t="s">
        <v>518</v>
      </c>
      <c r="C513" s="11">
        <v>2</v>
      </c>
      <c r="D513" s="12">
        <v>16.666666666666664</v>
      </c>
      <c r="E513" s="12" t="s">
        <v>8219</v>
      </c>
      <c r="F513" s="13">
        <v>6</v>
      </c>
      <c r="G513" s="14">
        <v>1757.19</v>
      </c>
      <c r="H513" t="s">
        <v>18</v>
      </c>
      <c r="I513">
        <v>3</v>
      </c>
    </row>
    <row r="514" spans="1:9" ht="15.6" x14ac:dyDescent="0.3">
      <c r="A514" s="9">
        <v>513</v>
      </c>
      <c r="B514" s="2" t="s">
        <v>519</v>
      </c>
      <c r="C514" s="11">
        <v>34</v>
      </c>
      <c r="D514" s="12">
        <v>16.666666666666664</v>
      </c>
      <c r="E514" s="12" t="s">
        <v>8219</v>
      </c>
      <c r="F514" s="13">
        <v>6</v>
      </c>
      <c r="G514" s="14">
        <v>1833.2999999999997</v>
      </c>
      <c r="H514" t="s">
        <v>4094</v>
      </c>
      <c r="I514">
        <v>8</v>
      </c>
    </row>
    <row r="515" spans="1:9" ht="15.6" x14ac:dyDescent="0.3">
      <c r="A515" s="9">
        <v>514</v>
      </c>
      <c r="B515" s="2" t="s">
        <v>520</v>
      </c>
      <c r="C515" s="11">
        <v>32</v>
      </c>
      <c r="D515" s="12">
        <v>33.333333333333329</v>
      </c>
      <c r="E515" s="12" t="s">
        <v>8219</v>
      </c>
      <c r="F515" s="13">
        <v>6</v>
      </c>
      <c r="G515" s="14">
        <v>1809.27</v>
      </c>
      <c r="H515" t="s">
        <v>3070</v>
      </c>
      <c r="I515">
        <v>8</v>
      </c>
    </row>
    <row r="516" spans="1:9" ht="15.6" x14ac:dyDescent="0.3">
      <c r="A516" s="9">
        <v>515</v>
      </c>
      <c r="B516" s="2" t="s">
        <v>521</v>
      </c>
      <c r="C516" s="11">
        <v>32</v>
      </c>
      <c r="D516" s="12">
        <v>33.333333333333329</v>
      </c>
      <c r="E516" s="12" t="s">
        <v>8219</v>
      </c>
      <c r="F516" s="13">
        <v>6</v>
      </c>
      <c r="G516" s="14">
        <v>1849.3000000000002</v>
      </c>
      <c r="H516" t="s">
        <v>2046</v>
      </c>
      <c r="I516">
        <v>8</v>
      </c>
    </row>
    <row r="517" spans="1:9" ht="15.6" x14ac:dyDescent="0.3">
      <c r="A517" s="9">
        <v>516</v>
      </c>
      <c r="B517" s="2" t="s">
        <v>522</v>
      </c>
      <c r="C517" s="11">
        <v>26</v>
      </c>
      <c r="D517" s="12">
        <v>16.666666666666664</v>
      </c>
      <c r="E517" s="12" t="s">
        <v>8219</v>
      </c>
      <c r="F517" s="13">
        <v>6</v>
      </c>
      <c r="G517" s="14">
        <v>1824.2799999999997</v>
      </c>
      <c r="H517" t="s">
        <v>1022</v>
      </c>
      <c r="I517">
        <v>7</v>
      </c>
    </row>
    <row r="518" spans="1:9" ht="15.6" x14ac:dyDescent="0.3">
      <c r="A518" s="9">
        <v>517</v>
      </c>
      <c r="B518" s="2" t="s">
        <v>523</v>
      </c>
      <c r="C518" s="11">
        <v>32</v>
      </c>
      <c r="D518" s="12">
        <v>33.333333333333329</v>
      </c>
      <c r="E518" s="12" t="s">
        <v>8219</v>
      </c>
      <c r="F518" s="13">
        <v>6</v>
      </c>
      <c r="G518" s="14">
        <v>1809.27</v>
      </c>
      <c r="H518" t="s">
        <v>3838</v>
      </c>
      <c r="I518">
        <v>8</v>
      </c>
    </row>
    <row r="519" spans="1:9" ht="15.6" x14ac:dyDescent="0.3">
      <c r="A519" s="9">
        <v>518</v>
      </c>
      <c r="B519" s="2" t="s">
        <v>524</v>
      </c>
      <c r="C519" s="11">
        <v>30</v>
      </c>
      <c r="D519" s="12">
        <v>50</v>
      </c>
      <c r="E519" s="12" t="s">
        <v>8220</v>
      </c>
      <c r="F519" s="13">
        <v>6</v>
      </c>
      <c r="G519" s="14">
        <v>1785.2399999999998</v>
      </c>
      <c r="H519" t="s">
        <v>2814</v>
      </c>
      <c r="I519">
        <v>7</v>
      </c>
    </row>
    <row r="520" spans="1:9" ht="15.6" x14ac:dyDescent="0.3">
      <c r="A520" s="9">
        <v>519</v>
      </c>
      <c r="B520" s="2" t="s">
        <v>525</v>
      </c>
      <c r="C520" s="11">
        <v>30</v>
      </c>
      <c r="D520" s="12">
        <v>50</v>
      </c>
      <c r="E520" s="12" t="s">
        <v>8220</v>
      </c>
      <c r="F520" s="13">
        <v>6</v>
      </c>
      <c r="G520" s="14">
        <v>1825.27</v>
      </c>
      <c r="H520" t="s">
        <v>1790</v>
      </c>
      <c r="I520">
        <v>7</v>
      </c>
    </row>
    <row r="521" spans="1:9" ht="15.6" x14ac:dyDescent="0.3">
      <c r="A521" s="9">
        <v>520</v>
      </c>
      <c r="B521" s="2" t="s">
        <v>526</v>
      </c>
      <c r="C521" s="11">
        <v>24</v>
      </c>
      <c r="D521" s="12">
        <v>33.333333333333329</v>
      </c>
      <c r="E521" s="12" t="s">
        <v>8219</v>
      </c>
      <c r="F521" s="13">
        <v>6</v>
      </c>
      <c r="G521" s="14">
        <v>1800.25</v>
      </c>
      <c r="H521" t="s">
        <v>766</v>
      </c>
      <c r="I521">
        <v>6</v>
      </c>
    </row>
    <row r="522" spans="1:9" ht="15.6" x14ac:dyDescent="0.3">
      <c r="A522" s="9">
        <v>521</v>
      </c>
      <c r="B522" s="2" t="s">
        <v>527</v>
      </c>
      <c r="C522" s="11">
        <v>32</v>
      </c>
      <c r="D522" s="12">
        <v>33.333333333333329</v>
      </c>
      <c r="E522" s="12" t="s">
        <v>8219</v>
      </c>
      <c r="F522" s="13">
        <v>6</v>
      </c>
      <c r="G522" s="14">
        <v>1849.3000000000002</v>
      </c>
      <c r="H522" t="s">
        <v>3582</v>
      </c>
      <c r="I522">
        <v>8</v>
      </c>
    </row>
    <row r="523" spans="1:9" ht="15.6" x14ac:dyDescent="0.3">
      <c r="A523" s="9">
        <v>522</v>
      </c>
      <c r="B523" s="2" t="s">
        <v>528</v>
      </c>
      <c r="C523" s="11">
        <v>30</v>
      </c>
      <c r="D523" s="12">
        <v>50</v>
      </c>
      <c r="E523" s="12" t="s">
        <v>8220</v>
      </c>
      <c r="F523" s="13">
        <v>6</v>
      </c>
      <c r="G523" s="14">
        <v>1825.27</v>
      </c>
      <c r="H523" t="s">
        <v>2558</v>
      </c>
      <c r="I523">
        <v>7</v>
      </c>
    </row>
    <row r="524" spans="1:9" ht="15.6" x14ac:dyDescent="0.3">
      <c r="A524" s="9">
        <v>523</v>
      </c>
      <c r="B524" s="2" t="s">
        <v>529</v>
      </c>
      <c r="C524" s="11">
        <v>30</v>
      </c>
      <c r="D524" s="12">
        <v>50</v>
      </c>
      <c r="E524" s="12" t="s">
        <v>8220</v>
      </c>
      <c r="F524" s="13">
        <v>6</v>
      </c>
      <c r="G524" s="14">
        <v>1865.3000000000002</v>
      </c>
      <c r="H524" t="s">
        <v>1534</v>
      </c>
      <c r="I524">
        <v>7</v>
      </c>
    </row>
    <row r="525" spans="1:9" ht="15.6" x14ac:dyDescent="0.3">
      <c r="A525" s="9">
        <v>524</v>
      </c>
      <c r="B525" s="2" t="s">
        <v>530</v>
      </c>
      <c r="C525" s="11">
        <v>24</v>
      </c>
      <c r="D525" s="12">
        <v>33.333333333333329</v>
      </c>
      <c r="E525" s="12" t="s">
        <v>8219</v>
      </c>
      <c r="F525" s="13">
        <v>6</v>
      </c>
      <c r="G525" s="14">
        <v>1840.2800000000002</v>
      </c>
      <c r="H525" t="s">
        <v>510</v>
      </c>
      <c r="I525">
        <v>6</v>
      </c>
    </row>
    <row r="526" spans="1:9" ht="15.6" x14ac:dyDescent="0.3">
      <c r="A526" s="9">
        <v>525</v>
      </c>
      <c r="B526" s="2" t="s">
        <v>531</v>
      </c>
      <c r="C526" s="11">
        <v>26</v>
      </c>
      <c r="D526" s="12">
        <v>16.666666666666664</v>
      </c>
      <c r="E526" s="12" t="s">
        <v>8219</v>
      </c>
      <c r="F526" s="13">
        <v>6</v>
      </c>
      <c r="G526" s="14">
        <v>1824.2799999999997</v>
      </c>
      <c r="H526" t="s">
        <v>3326</v>
      </c>
      <c r="I526">
        <v>7</v>
      </c>
    </row>
    <row r="527" spans="1:9" ht="15.6" x14ac:dyDescent="0.3">
      <c r="A527" s="9">
        <v>526</v>
      </c>
      <c r="B527" s="2" t="s">
        <v>532</v>
      </c>
      <c r="C527" s="11">
        <v>24</v>
      </c>
      <c r="D527" s="12">
        <v>33.333333333333329</v>
      </c>
      <c r="E527" s="12" t="s">
        <v>8219</v>
      </c>
      <c r="F527" s="13">
        <v>6</v>
      </c>
      <c r="G527" s="14">
        <v>1800.25</v>
      </c>
      <c r="H527" t="s">
        <v>2302</v>
      </c>
      <c r="I527">
        <v>6</v>
      </c>
    </row>
    <row r="528" spans="1:9" ht="15.6" x14ac:dyDescent="0.3">
      <c r="A528" s="9">
        <v>527</v>
      </c>
      <c r="B528" s="2" t="s">
        <v>533</v>
      </c>
      <c r="C528" s="11">
        <v>24</v>
      </c>
      <c r="D528" s="12">
        <v>33.333333333333329</v>
      </c>
      <c r="E528" s="12" t="s">
        <v>8219</v>
      </c>
      <c r="F528" s="13">
        <v>6</v>
      </c>
      <c r="G528" s="14">
        <v>1840.2800000000002</v>
      </c>
      <c r="H528" t="s">
        <v>1278</v>
      </c>
      <c r="I528">
        <v>6</v>
      </c>
    </row>
    <row r="529" spans="1:9" ht="15.6" x14ac:dyDescent="0.3">
      <c r="A529" s="9">
        <v>528</v>
      </c>
      <c r="B529" s="2" t="s">
        <v>534</v>
      </c>
      <c r="C529" s="11">
        <v>18</v>
      </c>
      <c r="D529" s="12">
        <v>16.666666666666664</v>
      </c>
      <c r="E529" s="12" t="s">
        <v>8219</v>
      </c>
      <c r="F529" s="13">
        <v>6</v>
      </c>
      <c r="G529" s="14">
        <v>1815.2599999999998</v>
      </c>
      <c r="H529" t="s">
        <v>254</v>
      </c>
      <c r="I529">
        <v>5</v>
      </c>
    </row>
    <row r="530" spans="1:9" ht="15.6" x14ac:dyDescent="0.3">
      <c r="A530" s="9">
        <v>529</v>
      </c>
      <c r="B530" s="2" t="s">
        <v>535</v>
      </c>
      <c r="C530" s="11">
        <v>32</v>
      </c>
      <c r="D530" s="12">
        <v>33.333333333333329</v>
      </c>
      <c r="E530" s="12" t="s">
        <v>8219</v>
      </c>
      <c r="F530" s="13">
        <v>6</v>
      </c>
      <c r="G530" s="14">
        <v>1809.27</v>
      </c>
      <c r="H530" t="s">
        <v>4030</v>
      </c>
      <c r="I530">
        <v>8</v>
      </c>
    </row>
    <row r="531" spans="1:9" ht="15.6" x14ac:dyDescent="0.3">
      <c r="A531" s="9">
        <v>530</v>
      </c>
      <c r="B531" s="2" t="s">
        <v>536</v>
      </c>
      <c r="C531" s="11">
        <v>30</v>
      </c>
      <c r="D531" s="12">
        <v>50</v>
      </c>
      <c r="E531" s="12" t="s">
        <v>8220</v>
      </c>
      <c r="F531" s="13">
        <v>6</v>
      </c>
      <c r="G531" s="14">
        <v>1785.2399999999998</v>
      </c>
      <c r="H531" t="s">
        <v>3006</v>
      </c>
      <c r="I531">
        <v>7</v>
      </c>
    </row>
    <row r="532" spans="1:9" ht="15.6" x14ac:dyDescent="0.3">
      <c r="A532" s="9">
        <v>531</v>
      </c>
      <c r="B532" s="2" t="s">
        <v>537</v>
      </c>
      <c r="C532" s="11">
        <v>30</v>
      </c>
      <c r="D532" s="12">
        <v>50</v>
      </c>
      <c r="E532" s="12" t="s">
        <v>8220</v>
      </c>
      <c r="F532" s="13">
        <v>6</v>
      </c>
      <c r="G532" s="14">
        <v>1825.27</v>
      </c>
      <c r="H532" t="s">
        <v>1982</v>
      </c>
      <c r="I532">
        <v>7</v>
      </c>
    </row>
    <row r="533" spans="1:9" ht="15.6" x14ac:dyDescent="0.3">
      <c r="A533" s="9">
        <v>532</v>
      </c>
      <c r="B533" s="2" t="s">
        <v>538</v>
      </c>
      <c r="C533" s="11">
        <v>24</v>
      </c>
      <c r="D533" s="12">
        <v>33.333333333333329</v>
      </c>
      <c r="E533" s="12" t="s">
        <v>8219</v>
      </c>
      <c r="F533" s="13">
        <v>6</v>
      </c>
      <c r="G533" s="14">
        <v>1800.25</v>
      </c>
      <c r="H533" t="s">
        <v>958</v>
      </c>
      <c r="I533">
        <v>6</v>
      </c>
    </row>
    <row r="534" spans="1:9" ht="15.6" x14ac:dyDescent="0.3">
      <c r="A534" s="9">
        <v>533</v>
      </c>
      <c r="B534" s="2" t="s">
        <v>539</v>
      </c>
      <c r="C534" s="11">
        <v>30</v>
      </c>
      <c r="D534" s="12">
        <v>50</v>
      </c>
      <c r="E534" s="12" t="s">
        <v>8220</v>
      </c>
      <c r="F534" s="13">
        <v>6</v>
      </c>
      <c r="G534" s="14">
        <v>1785.2399999999998</v>
      </c>
      <c r="H534" t="s">
        <v>3774</v>
      </c>
      <c r="I534">
        <v>7</v>
      </c>
    </row>
    <row r="535" spans="1:9" ht="15.6" x14ac:dyDescent="0.3">
      <c r="A535" s="9">
        <v>534</v>
      </c>
      <c r="B535" s="2" t="s">
        <v>540</v>
      </c>
      <c r="C535" s="11">
        <v>28</v>
      </c>
      <c r="D535" s="12">
        <v>66.666666666666657</v>
      </c>
      <c r="E535" s="12" t="s">
        <v>8220</v>
      </c>
      <c r="F535" s="13">
        <v>6</v>
      </c>
      <c r="G535" s="14">
        <v>1761.21</v>
      </c>
      <c r="H535" t="s">
        <v>2750</v>
      </c>
      <c r="I535">
        <v>7</v>
      </c>
    </row>
    <row r="536" spans="1:9" ht="15.6" x14ac:dyDescent="0.3">
      <c r="A536" s="9">
        <v>535</v>
      </c>
      <c r="B536" s="2" t="s">
        <v>541</v>
      </c>
      <c r="C536" s="11">
        <v>28</v>
      </c>
      <c r="D536" s="12">
        <v>66.666666666666657</v>
      </c>
      <c r="E536" s="12" t="s">
        <v>8220</v>
      </c>
      <c r="F536" s="13">
        <v>6</v>
      </c>
      <c r="G536" s="14">
        <v>1801.2399999999998</v>
      </c>
      <c r="H536" t="s">
        <v>1726</v>
      </c>
      <c r="I536">
        <v>7</v>
      </c>
    </row>
    <row r="537" spans="1:9" ht="15.6" x14ac:dyDescent="0.3">
      <c r="A537" s="9">
        <v>536</v>
      </c>
      <c r="B537" s="2" t="s">
        <v>542</v>
      </c>
      <c r="C537" s="11">
        <v>22</v>
      </c>
      <c r="D537" s="12">
        <v>50</v>
      </c>
      <c r="E537" s="12" t="s">
        <v>8220</v>
      </c>
      <c r="F537" s="13">
        <v>6</v>
      </c>
      <c r="G537" s="14">
        <v>1776.2199999999998</v>
      </c>
      <c r="H537" t="s">
        <v>702</v>
      </c>
      <c r="I537">
        <v>6</v>
      </c>
    </row>
    <row r="538" spans="1:9" ht="15.6" x14ac:dyDescent="0.3">
      <c r="A538" s="9">
        <v>537</v>
      </c>
      <c r="B538" s="2" t="s">
        <v>543</v>
      </c>
      <c r="C538" s="11">
        <v>30</v>
      </c>
      <c r="D538" s="12">
        <v>50</v>
      </c>
      <c r="E538" s="12" t="s">
        <v>8220</v>
      </c>
      <c r="F538" s="13">
        <v>6</v>
      </c>
      <c r="G538" s="14">
        <v>1825.27</v>
      </c>
      <c r="H538" t="s">
        <v>3518</v>
      </c>
      <c r="I538">
        <v>7</v>
      </c>
    </row>
    <row r="539" spans="1:9" ht="15.6" x14ac:dyDescent="0.3">
      <c r="A539" s="9">
        <v>538</v>
      </c>
      <c r="B539" s="2" t="s">
        <v>544</v>
      </c>
      <c r="C539" s="11">
        <v>28</v>
      </c>
      <c r="D539" s="12">
        <v>66.666666666666657</v>
      </c>
      <c r="E539" s="12" t="s">
        <v>8220</v>
      </c>
      <c r="F539" s="13">
        <v>6</v>
      </c>
      <c r="G539" s="14">
        <v>1801.2399999999998</v>
      </c>
      <c r="H539" t="s">
        <v>2494</v>
      </c>
      <c r="I539">
        <v>7</v>
      </c>
    </row>
    <row r="540" spans="1:9" ht="15.6" x14ac:dyDescent="0.3">
      <c r="A540" s="9">
        <v>539</v>
      </c>
      <c r="B540" s="2" t="s">
        <v>545</v>
      </c>
      <c r="C540" s="11">
        <v>28</v>
      </c>
      <c r="D540" s="12">
        <v>66.666666666666657</v>
      </c>
      <c r="E540" s="12" t="s">
        <v>8220</v>
      </c>
      <c r="F540" s="13">
        <v>6</v>
      </c>
      <c r="G540" s="14">
        <v>1841.27</v>
      </c>
      <c r="H540" t="s">
        <v>1470</v>
      </c>
      <c r="I540">
        <v>7</v>
      </c>
    </row>
    <row r="541" spans="1:9" ht="15.6" x14ac:dyDescent="0.3">
      <c r="A541" s="9">
        <v>540</v>
      </c>
      <c r="B541" s="2" t="s">
        <v>546</v>
      </c>
      <c r="C541" s="11">
        <v>22</v>
      </c>
      <c r="D541" s="12">
        <v>50</v>
      </c>
      <c r="E541" s="12" t="s">
        <v>8220</v>
      </c>
      <c r="F541" s="13">
        <v>6</v>
      </c>
      <c r="G541" s="14">
        <v>1816.25</v>
      </c>
      <c r="H541" t="s">
        <v>446</v>
      </c>
      <c r="I541">
        <v>6</v>
      </c>
    </row>
    <row r="542" spans="1:9" ht="15.6" x14ac:dyDescent="0.3">
      <c r="A542" s="9">
        <v>541</v>
      </c>
      <c r="B542" s="2" t="s">
        <v>547</v>
      </c>
      <c r="C542" s="11">
        <v>24</v>
      </c>
      <c r="D542" s="12">
        <v>33.333333333333329</v>
      </c>
      <c r="E542" s="12" t="s">
        <v>8219</v>
      </c>
      <c r="F542" s="13">
        <v>6</v>
      </c>
      <c r="G542" s="14">
        <v>1800.25</v>
      </c>
      <c r="H542" t="s">
        <v>3262</v>
      </c>
      <c r="I542">
        <v>6</v>
      </c>
    </row>
    <row r="543" spans="1:9" ht="15.6" x14ac:dyDescent="0.3">
      <c r="A543" s="9">
        <v>542</v>
      </c>
      <c r="B543" s="2" t="s">
        <v>548</v>
      </c>
      <c r="C543" s="11">
        <v>22</v>
      </c>
      <c r="D543" s="12">
        <v>50</v>
      </c>
      <c r="E543" s="12" t="s">
        <v>8220</v>
      </c>
      <c r="F543" s="13">
        <v>6</v>
      </c>
      <c r="G543" s="14">
        <v>1776.2199999999998</v>
      </c>
      <c r="H543" t="s">
        <v>2238</v>
      </c>
      <c r="I543">
        <v>6</v>
      </c>
    </row>
    <row r="544" spans="1:9" ht="15.6" x14ac:dyDescent="0.3">
      <c r="A544" s="9">
        <v>543</v>
      </c>
      <c r="B544" s="2" t="s">
        <v>549</v>
      </c>
      <c r="C544" s="11">
        <v>22</v>
      </c>
      <c r="D544" s="12">
        <v>50</v>
      </c>
      <c r="E544" s="12" t="s">
        <v>8220</v>
      </c>
      <c r="F544" s="13">
        <v>6</v>
      </c>
      <c r="G544" s="14">
        <v>1816.25</v>
      </c>
      <c r="H544" t="s">
        <v>1214</v>
      </c>
      <c r="I544">
        <v>6</v>
      </c>
    </row>
    <row r="545" spans="1:9" ht="15.6" x14ac:dyDescent="0.3">
      <c r="A545" s="9">
        <v>544</v>
      </c>
      <c r="B545" s="2" t="s">
        <v>550</v>
      </c>
      <c r="C545" s="11">
        <v>16</v>
      </c>
      <c r="D545" s="12">
        <v>33.333333333333329</v>
      </c>
      <c r="E545" s="12" t="s">
        <v>8219</v>
      </c>
      <c r="F545" s="13">
        <v>6</v>
      </c>
      <c r="G545" s="14">
        <v>1791.23</v>
      </c>
      <c r="H545" t="s">
        <v>190</v>
      </c>
      <c r="I545">
        <v>5</v>
      </c>
    </row>
    <row r="546" spans="1:9" ht="15.6" x14ac:dyDescent="0.3">
      <c r="A546" s="9">
        <v>545</v>
      </c>
      <c r="B546" s="2" t="s">
        <v>551</v>
      </c>
      <c r="C546" s="11">
        <v>32</v>
      </c>
      <c r="D546" s="12">
        <v>33.333333333333329</v>
      </c>
      <c r="E546" s="12" t="s">
        <v>8219</v>
      </c>
      <c r="F546" s="13">
        <v>6</v>
      </c>
      <c r="G546" s="14">
        <v>1849.3000000000002</v>
      </c>
      <c r="H546" t="s">
        <v>3966</v>
      </c>
      <c r="I546">
        <v>8</v>
      </c>
    </row>
    <row r="547" spans="1:9" ht="15.6" x14ac:dyDescent="0.3">
      <c r="A547" s="9">
        <v>546</v>
      </c>
      <c r="B547" s="2" t="s">
        <v>552</v>
      </c>
      <c r="C547" s="11">
        <v>30</v>
      </c>
      <c r="D547" s="12">
        <v>50</v>
      </c>
      <c r="E547" s="12" t="s">
        <v>8220</v>
      </c>
      <c r="F547" s="13">
        <v>6</v>
      </c>
      <c r="G547" s="14">
        <v>1825.27</v>
      </c>
      <c r="H547" t="s">
        <v>2942</v>
      </c>
      <c r="I547">
        <v>7</v>
      </c>
    </row>
    <row r="548" spans="1:9" ht="15.6" x14ac:dyDescent="0.3">
      <c r="A548" s="9">
        <v>547</v>
      </c>
      <c r="B548" s="2" t="s">
        <v>553</v>
      </c>
      <c r="C548" s="11">
        <v>30</v>
      </c>
      <c r="D548" s="12">
        <v>50</v>
      </c>
      <c r="E548" s="12" t="s">
        <v>8220</v>
      </c>
      <c r="F548" s="13">
        <v>6</v>
      </c>
      <c r="G548" s="14">
        <v>1865.3000000000002</v>
      </c>
      <c r="H548" t="s">
        <v>1918</v>
      </c>
      <c r="I548">
        <v>7</v>
      </c>
    </row>
    <row r="549" spans="1:9" ht="15.6" x14ac:dyDescent="0.3">
      <c r="A549" s="9">
        <v>548</v>
      </c>
      <c r="B549" s="2" t="s">
        <v>554</v>
      </c>
      <c r="C549" s="11">
        <v>24</v>
      </c>
      <c r="D549" s="12">
        <v>33.333333333333329</v>
      </c>
      <c r="E549" s="12" t="s">
        <v>8219</v>
      </c>
      <c r="F549" s="13">
        <v>6</v>
      </c>
      <c r="G549" s="14">
        <v>1840.2800000000002</v>
      </c>
      <c r="H549" t="s">
        <v>894</v>
      </c>
      <c r="I549">
        <v>6</v>
      </c>
    </row>
    <row r="550" spans="1:9" ht="15.6" x14ac:dyDescent="0.3">
      <c r="A550" s="9">
        <v>549</v>
      </c>
      <c r="B550" s="2" t="s">
        <v>555</v>
      </c>
      <c r="C550" s="11">
        <v>30</v>
      </c>
      <c r="D550" s="12">
        <v>50</v>
      </c>
      <c r="E550" s="12" t="s">
        <v>8220</v>
      </c>
      <c r="F550" s="13">
        <v>6</v>
      </c>
      <c r="G550" s="14">
        <v>1825.27</v>
      </c>
      <c r="H550" t="s">
        <v>3710</v>
      </c>
      <c r="I550">
        <v>7</v>
      </c>
    </row>
    <row r="551" spans="1:9" ht="15.6" x14ac:dyDescent="0.3">
      <c r="A551" s="9">
        <v>550</v>
      </c>
      <c r="B551" s="2" t="s">
        <v>556</v>
      </c>
      <c r="C551" s="11">
        <v>28</v>
      </c>
      <c r="D551" s="12">
        <v>66.666666666666657</v>
      </c>
      <c r="E551" s="12" t="s">
        <v>8220</v>
      </c>
      <c r="F551" s="13">
        <v>6</v>
      </c>
      <c r="G551" s="14">
        <v>1801.2399999999998</v>
      </c>
      <c r="H551" t="s">
        <v>2686</v>
      </c>
      <c r="I551">
        <v>7</v>
      </c>
    </row>
    <row r="552" spans="1:9" ht="15.6" x14ac:dyDescent="0.3">
      <c r="A552" s="9">
        <v>551</v>
      </c>
      <c r="B552" s="2" t="s">
        <v>557</v>
      </c>
      <c r="C552" s="11">
        <v>28</v>
      </c>
      <c r="D552" s="12">
        <v>66.666666666666657</v>
      </c>
      <c r="E552" s="12" t="s">
        <v>8220</v>
      </c>
      <c r="F552" s="13">
        <v>6</v>
      </c>
      <c r="G552" s="14">
        <v>1841.27</v>
      </c>
      <c r="H552" t="s">
        <v>1662</v>
      </c>
      <c r="I552">
        <v>7</v>
      </c>
    </row>
    <row r="553" spans="1:9" ht="15.6" x14ac:dyDescent="0.3">
      <c r="A553" s="9">
        <v>552</v>
      </c>
      <c r="B553" s="2" t="s">
        <v>558</v>
      </c>
      <c r="C553" s="11">
        <v>22</v>
      </c>
      <c r="D553" s="12">
        <v>50</v>
      </c>
      <c r="E553" s="12" t="s">
        <v>8220</v>
      </c>
      <c r="F553" s="13">
        <v>6</v>
      </c>
      <c r="G553" s="14">
        <v>1816.25</v>
      </c>
      <c r="H553" t="s">
        <v>638</v>
      </c>
      <c r="I553">
        <v>6</v>
      </c>
    </row>
    <row r="554" spans="1:9" ht="15.6" x14ac:dyDescent="0.3">
      <c r="A554" s="9">
        <v>553</v>
      </c>
      <c r="B554" s="2" t="s">
        <v>559</v>
      </c>
      <c r="C554" s="11">
        <v>30</v>
      </c>
      <c r="D554" s="12">
        <v>50</v>
      </c>
      <c r="E554" s="12" t="s">
        <v>8220</v>
      </c>
      <c r="F554" s="13">
        <v>6</v>
      </c>
      <c r="G554" s="14">
        <v>1865.3000000000002</v>
      </c>
      <c r="H554" t="s">
        <v>3454</v>
      </c>
      <c r="I554">
        <v>7</v>
      </c>
    </row>
    <row r="555" spans="1:9" ht="15.6" x14ac:dyDescent="0.3">
      <c r="A555" s="9">
        <v>554</v>
      </c>
      <c r="B555" s="2" t="s">
        <v>560</v>
      </c>
      <c r="C555" s="11">
        <v>28</v>
      </c>
      <c r="D555" s="12">
        <v>66.666666666666657</v>
      </c>
      <c r="E555" s="12" t="s">
        <v>8220</v>
      </c>
      <c r="F555" s="13">
        <v>6</v>
      </c>
      <c r="G555" s="14">
        <v>1841.27</v>
      </c>
      <c r="H555" t="s">
        <v>2430</v>
      </c>
      <c r="I555">
        <v>7</v>
      </c>
    </row>
    <row r="556" spans="1:9" ht="15.6" x14ac:dyDescent="0.3">
      <c r="A556" s="9">
        <v>555</v>
      </c>
      <c r="B556" s="2" t="s">
        <v>561</v>
      </c>
      <c r="C556" s="11">
        <v>28</v>
      </c>
      <c r="D556" s="12">
        <v>66.666666666666657</v>
      </c>
      <c r="E556" s="12" t="s">
        <v>8220</v>
      </c>
      <c r="F556" s="13">
        <v>6</v>
      </c>
      <c r="G556" s="14">
        <v>1881.3000000000002</v>
      </c>
      <c r="H556" t="s">
        <v>1406</v>
      </c>
      <c r="I556">
        <v>7</v>
      </c>
    </row>
    <row r="557" spans="1:9" ht="15.6" x14ac:dyDescent="0.3">
      <c r="A557" s="9">
        <v>556</v>
      </c>
      <c r="B557" s="2" t="s">
        <v>562</v>
      </c>
      <c r="C557" s="11">
        <v>22</v>
      </c>
      <c r="D557" s="12">
        <v>50</v>
      </c>
      <c r="E557" s="12" t="s">
        <v>8220</v>
      </c>
      <c r="F557" s="13">
        <v>6</v>
      </c>
      <c r="G557" s="14">
        <v>1856.2800000000002</v>
      </c>
      <c r="H557" t="s">
        <v>382</v>
      </c>
      <c r="I557">
        <v>6</v>
      </c>
    </row>
    <row r="558" spans="1:9" ht="15.6" x14ac:dyDescent="0.3">
      <c r="A558" s="9">
        <v>557</v>
      </c>
      <c r="B558" s="2" t="s">
        <v>563</v>
      </c>
      <c r="C558" s="11">
        <v>24</v>
      </c>
      <c r="D558" s="12">
        <v>33.333333333333329</v>
      </c>
      <c r="E558" s="12" t="s">
        <v>8219</v>
      </c>
      <c r="F558" s="13">
        <v>6</v>
      </c>
      <c r="G558" s="14">
        <v>1840.2800000000002</v>
      </c>
      <c r="H558" t="s">
        <v>3198</v>
      </c>
      <c r="I558">
        <v>6</v>
      </c>
    </row>
    <row r="559" spans="1:9" ht="15.6" x14ac:dyDescent="0.3">
      <c r="A559" s="9">
        <v>558</v>
      </c>
      <c r="B559" s="2" t="s">
        <v>564</v>
      </c>
      <c r="C559" s="11">
        <v>22</v>
      </c>
      <c r="D559" s="12">
        <v>50</v>
      </c>
      <c r="E559" s="12" t="s">
        <v>8220</v>
      </c>
      <c r="F559" s="13">
        <v>6</v>
      </c>
      <c r="G559" s="14">
        <v>1816.25</v>
      </c>
      <c r="H559" t="s">
        <v>2174</v>
      </c>
      <c r="I559">
        <v>6</v>
      </c>
    </row>
    <row r="560" spans="1:9" ht="15.6" x14ac:dyDescent="0.3">
      <c r="A560" s="9">
        <v>559</v>
      </c>
      <c r="B560" s="2" t="s">
        <v>565</v>
      </c>
      <c r="C560" s="11">
        <v>22</v>
      </c>
      <c r="D560" s="12">
        <v>50</v>
      </c>
      <c r="E560" s="12" t="s">
        <v>8220</v>
      </c>
      <c r="F560" s="13">
        <v>6</v>
      </c>
      <c r="G560" s="14">
        <v>1856.2800000000002</v>
      </c>
      <c r="H560" t="s">
        <v>1150</v>
      </c>
      <c r="I560">
        <v>6</v>
      </c>
    </row>
    <row r="561" spans="1:9" ht="15.6" x14ac:dyDescent="0.3">
      <c r="A561" s="9">
        <v>560</v>
      </c>
      <c r="B561" s="2" t="s">
        <v>566</v>
      </c>
      <c r="C561" s="11">
        <v>16</v>
      </c>
      <c r="D561" s="12">
        <v>33.333333333333329</v>
      </c>
      <c r="E561" s="12" t="s">
        <v>8219</v>
      </c>
      <c r="F561" s="13">
        <v>6</v>
      </c>
      <c r="G561" s="14">
        <v>1831.2600000000002</v>
      </c>
      <c r="H561" t="s">
        <v>126</v>
      </c>
      <c r="I561">
        <v>5</v>
      </c>
    </row>
    <row r="562" spans="1:9" ht="15.6" x14ac:dyDescent="0.3">
      <c r="A562" s="9">
        <v>561</v>
      </c>
      <c r="B562" s="2" t="s">
        <v>567</v>
      </c>
      <c r="C562" s="11">
        <v>26</v>
      </c>
      <c r="D562" s="12">
        <v>16.666666666666664</v>
      </c>
      <c r="E562" s="12" t="s">
        <v>8219</v>
      </c>
      <c r="F562" s="13">
        <v>6</v>
      </c>
      <c r="G562" s="14">
        <v>1824.2799999999997</v>
      </c>
      <c r="H562" t="s">
        <v>3902</v>
      </c>
      <c r="I562">
        <v>7</v>
      </c>
    </row>
    <row r="563" spans="1:9" ht="15.6" x14ac:dyDescent="0.3">
      <c r="A563" s="9">
        <v>562</v>
      </c>
      <c r="B563" s="2" t="s">
        <v>568</v>
      </c>
      <c r="C563" s="11">
        <v>24</v>
      </c>
      <c r="D563" s="12">
        <v>33.333333333333329</v>
      </c>
      <c r="E563" s="12" t="s">
        <v>8219</v>
      </c>
      <c r="F563" s="13">
        <v>6</v>
      </c>
      <c r="G563" s="14">
        <v>1800.25</v>
      </c>
      <c r="H563" t="s">
        <v>2878</v>
      </c>
      <c r="I563">
        <v>6</v>
      </c>
    </row>
    <row r="564" spans="1:9" ht="15.6" x14ac:dyDescent="0.3">
      <c r="A564" s="9">
        <v>563</v>
      </c>
      <c r="B564" s="2" t="s">
        <v>569</v>
      </c>
      <c r="C564" s="11">
        <v>24</v>
      </c>
      <c r="D564" s="12">
        <v>33.333333333333329</v>
      </c>
      <c r="E564" s="12" t="s">
        <v>8219</v>
      </c>
      <c r="F564" s="13">
        <v>6</v>
      </c>
      <c r="G564" s="14">
        <v>1840.2800000000002</v>
      </c>
      <c r="H564" t="s">
        <v>1854</v>
      </c>
      <c r="I564">
        <v>6</v>
      </c>
    </row>
    <row r="565" spans="1:9" ht="15.6" x14ac:dyDescent="0.3">
      <c r="A565" s="9">
        <v>564</v>
      </c>
      <c r="B565" s="2" t="s">
        <v>570</v>
      </c>
      <c r="C565" s="11">
        <v>18</v>
      </c>
      <c r="D565" s="12">
        <v>16.666666666666664</v>
      </c>
      <c r="E565" s="12" t="s">
        <v>8219</v>
      </c>
      <c r="F565" s="13">
        <v>6</v>
      </c>
      <c r="G565" s="14">
        <v>1815.2599999999998</v>
      </c>
      <c r="H565" t="s">
        <v>830</v>
      </c>
      <c r="I565">
        <v>5</v>
      </c>
    </row>
    <row r="566" spans="1:9" ht="15.6" x14ac:dyDescent="0.3">
      <c r="A566" s="9">
        <v>565</v>
      </c>
      <c r="B566" s="2" t="s">
        <v>571</v>
      </c>
      <c r="C566" s="11">
        <v>24</v>
      </c>
      <c r="D566" s="12">
        <v>33.333333333333329</v>
      </c>
      <c r="E566" s="12" t="s">
        <v>8219</v>
      </c>
      <c r="F566" s="13">
        <v>6</v>
      </c>
      <c r="G566" s="14">
        <v>1800.25</v>
      </c>
      <c r="H566" t="s">
        <v>3646</v>
      </c>
      <c r="I566">
        <v>6</v>
      </c>
    </row>
    <row r="567" spans="1:9" ht="15.6" x14ac:dyDescent="0.3">
      <c r="A567" s="9">
        <v>566</v>
      </c>
      <c r="B567" s="2" t="s">
        <v>572</v>
      </c>
      <c r="C567" s="11">
        <v>22</v>
      </c>
      <c r="D567" s="12">
        <v>50</v>
      </c>
      <c r="E567" s="12" t="s">
        <v>8220</v>
      </c>
      <c r="F567" s="13">
        <v>6</v>
      </c>
      <c r="G567" s="14">
        <v>1776.2199999999998</v>
      </c>
      <c r="H567" t="s">
        <v>2622</v>
      </c>
      <c r="I567">
        <v>6</v>
      </c>
    </row>
    <row r="568" spans="1:9" ht="15.6" x14ac:dyDescent="0.3">
      <c r="A568" s="9">
        <v>567</v>
      </c>
      <c r="B568" s="2" t="s">
        <v>573</v>
      </c>
      <c r="C568" s="11">
        <v>22</v>
      </c>
      <c r="D568" s="12">
        <v>50</v>
      </c>
      <c r="E568" s="12" t="s">
        <v>8220</v>
      </c>
      <c r="F568" s="13">
        <v>6</v>
      </c>
      <c r="G568" s="14">
        <v>1816.25</v>
      </c>
      <c r="H568" t="s">
        <v>1598</v>
      </c>
      <c r="I568">
        <v>6</v>
      </c>
    </row>
    <row r="569" spans="1:9" ht="15.6" x14ac:dyDescent="0.3">
      <c r="A569" s="9">
        <v>568</v>
      </c>
      <c r="B569" s="2" t="s">
        <v>574</v>
      </c>
      <c r="C569" s="11">
        <v>16</v>
      </c>
      <c r="D569" s="12">
        <v>33.333333333333329</v>
      </c>
      <c r="E569" s="12" t="s">
        <v>8219</v>
      </c>
      <c r="F569" s="13">
        <v>6</v>
      </c>
      <c r="G569" s="14">
        <v>1791.23</v>
      </c>
      <c r="H569" t="s">
        <v>574</v>
      </c>
      <c r="I569">
        <v>5</v>
      </c>
    </row>
    <row r="570" spans="1:9" ht="15.6" x14ac:dyDescent="0.3">
      <c r="A570" s="9">
        <v>569</v>
      </c>
      <c r="B570" s="2" t="s">
        <v>575</v>
      </c>
      <c r="C570" s="11">
        <v>24</v>
      </c>
      <c r="D570" s="12">
        <v>33.333333333333329</v>
      </c>
      <c r="E570" s="12" t="s">
        <v>8219</v>
      </c>
      <c r="F570" s="13">
        <v>6</v>
      </c>
      <c r="G570" s="14">
        <v>1840.2800000000002</v>
      </c>
      <c r="H570" t="s">
        <v>3390</v>
      </c>
      <c r="I570">
        <v>6</v>
      </c>
    </row>
    <row r="571" spans="1:9" ht="15.6" x14ac:dyDescent="0.3">
      <c r="A571" s="9">
        <v>570</v>
      </c>
      <c r="B571" s="2" t="s">
        <v>576</v>
      </c>
      <c r="C571" s="11">
        <v>22</v>
      </c>
      <c r="D571" s="12">
        <v>50</v>
      </c>
      <c r="E571" s="12" t="s">
        <v>8220</v>
      </c>
      <c r="F571" s="13">
        <v>6</v>
      </c>
      <c r="G571" s="14">
        <v>1816.25</v>
      </c>
      <c r="H571" t="s">
        <v>2366</v>
      </c>
      <c r="I571">
        <v>6</v>
      </c>
    </row>
    <row r="572" spans="1:9" ht="15.6" x14ac:dyDescent="0.3">
      <c r="A572" s="9">
        <v>571</v>
      </c>
      <c r="B572" s="2" t="s">
        <v>577</v>
      </c>
      <c r="C572" s="11">
        <v>22</v>
      </c>
      <c r="D572" s="12">
        <v>50</v>
      </c>
      <c r="E572" s="12" t="s">
        <v>8220</v>
      </c>
      <c r="F572" s="13">
        <v>6</v>
      </c>
      <c r="G572" s="14">
        <v>1856.2800000000002</v>
      </c>
      <c r="H572" t="s">
        <v>1342</v>
      </c>
      <c r="I572">
        <v>6</v>
      </c>
    </row>
    <row r="573" spans="1:9" ht="15.6" x14ac:dyDescent="0.3">
      <c r="A573" s="9">
        <v>572</v>
      </c>
      <c r="B573" s="2" t="s">
        <v>578</v>
      </c>
      <c r="C573" s="11">
        <v>16</v>
      </c>
      <c r="D573" s="12">
        <v>33.333333333333329</v>
      </c>
      <c r="E573" s="12" t="s">
        <v>8219</v>
      </c>
      <c r="F573" s="13">
        <v>6</v>
      </c>
      <c r="G573" s="14">
        <v>1831.2600000000002</v>
      </c>
      <c r="H573" t="s">
        <v>318</v>
      </c>
      <c r="I573">
        <v>5</v>
      </c>
    </row>
    <row r="574" spans="1:9" ht="15.6" x14ac:dyDescent="0.3">
      <c r="A574" s="9">
        <v>573</v>
      </c>
      <c r="B574" s="2" t="s">
        <v>579</v>
      </c>
      <c r="C574" s="11">
        <v>18</v>
      </c>
      <c r="D574" s="12">
        <v>16.666666666666664</v>
      </c>
      <c r="E574" s="12" t="s">
        <v>8219</v>
      </c>
      <c r="F574" s="13">
        <v>6</v>
      </c>
      <c r="G574" s="14">
        <v>1815.2599999999998</v>
      </c>
      <c r="H574" t="s">
        <v>3134</v>
      </c>
      <c r="I574">
        <v>5</v>
      </c>
    </row>
    <row r="575" spans="1:9" ht="15.6" x14ac:dyDescent="0.3">
      <c r="A575" s="9">
        <v>574</v>
      </c>
      <c r="B575" s="2" t="s">
        <v>580</v>
      </c>
      <c r="C575" s="11">
        <v>16</v>
      </c>
      <c r="D575" s="12">
        <v>33.333333333333329</v>
      </c>
      <c r="E575" s="12" t="s">
        <v>8219</v>
      </c>
      <c r="F575" s="13">
        <v>6</v>
      </c>
      <c r="G575" s="14">
        <v>1791.23</v>
      </c>
      <c r="H575" t="s">
        <v>2110</v>
      </c>
      <c r="I575">
        <v>5</v>
      </c>
    </row>
    <row r="576" spans="1:9" ht="15.6" x14ac:dyDescent="0.3">
      <c r="A576" s="9">
        <v>575</v>
      </c>
      <c r="B576" s="2" t="s">
        <v>581</v>
      </c>
      <c r="C576" s="11">
        <v>16</v>
      </c>
      <c r="D576" s="12">
        <v>33.333333333333329</v>
      </c>
      <c r="E576" s="12" t="s">
        <v>8219</v>
      </c>
      <c r="F576" s="13">
        <v>6</v>
      </c>
      <c r="G576" s="14">
        <v>1831.2600000000002</v>
      </c>
      <c r="H576" t="s">
        <v>1086</v>
      </c>
      <c r="I576">
        <v>5</v>
      </c>
    </row>
    <row r="577" spans="1:9" ht="15.6" x14ac:dyDescent="0.3">
      <c r="A577" s="9">
        <v>576</v>
      </c>
      <c r="B577" s="2" t="s">
        <v>582</v>
      </c>
      <c r="C577" s="11">
        <v>10</v>
      </c>
      <c r="D577" s="12">
        <v>16.666666666666664</v>
      </c>
      <c r="E577" s="12" t="s">
        <v>8219</v>
      </c>
      <c r="F577" s="13">
        <v>6</v>
      </c>
      <c r="G577" s="14">
        <v>1806.2399999999998</v>
      </c>
      <c r="H577" t="s">
        <v>62</v>
      </c>
      <c r="I577">
        <v>4</v>
      </c>
    </row>
    <row r="578" spans="1:9" ht="15.6" x14ac:dyDescent="0.3">
      <c r="A578" s="9">
        <v>577</v>
      </c>
      <c r="B578" s="2" t="s">
        <v>583</v>
      </c>
      <c r="C578" s="11">
        <v>32</v>
      </c>
      <c r="D578" s="12">
        <v>33.333333333333329</v>
      </c>
      <c r="E578" s="12" t="s">
        <v>8219</v>
      </c>
      <c r="F578" s="13">
        <v>6</v>
      </c>
      <c r="G578" s="14">
        <v>1809.27</v>
      </c>
      <c r="H578" t="s">
        <v>4078</v>
      </c>
      <c r="I578">
        <v>8</v>
      </c>
    </row>
    <row r="579" spans="1:9" ht="15.6" x14ac:dyDescent="0.3">
      <c r="A579" s="9">
        <v>578</v>
      </c>
      <c r="B579" s="2" t="s">
        <v>584</v>
      </c>
      <c r="C579" s="11">
        <v>30</v>
      </c>
      <c r="D579" s="12">
        <v>50</v>
      </c>
      <c r="E579" s="12" t="s">
        <v>8220</v>
      </c>
      <c r="F579" s="13">
        <v>6</v>
      </c>
      <c r="G579" s="14">
        <v>1785.2399999999998</v>
      </c>
      <c r="H579" t="s">
        <v>3054</v>
      </c>
      <c r="I579">
        <v>7</v>
      </c>
    </row>
    <row r="580" spans="1:9" ht="15.6" x14ac:dyDescent="0.3">
      <c r="A580" s="9">
        <v>579</v>
      </c>
      <c r="B580" s="2" t="s">
        <v>585</v>
      </c>
      <c r="C580" s="11">
        <v>30</v>
      </c>
      <c r="D580" s="12">
        <v>50</v>
      </c>
      <c r="E580" s="12" t="s">
        <v>8220</v>
      </c>
      <c r="F580" s="13">
        <v>6</v>
      </c>
      <c r="G580" s="14">
        <v>1825.27</v>
      </c>
      <c r="H580" t="s">
        <v>2030</v>
      </c>
      <c r="I580">
        <v>7</v>
      </c>
    </row>
    <row r="581" spans="1:9" ht="15.6" x14ac:dyDescent="0.3">
      <c r="A581" s="9">
        <v>580</v>
      </c>
      <c r="B581" s="2" t="s">
        <v>586</v>
      </c>
      <c r="C581" s="11">
        <v>24</v>
      </c>
      <c r="D581" s="12">
        <v>33.333333333333329</v>
      </c>
      <c r="E581" s="12" t="s">
        <v>8219</v>
      </c>
      <c r="F581" s="13">
        <v>6</v>
      </c>
      <c r="G581" s="14">
        <v>1800.25</v>
      </c>
      <c r="H581" t="s">
        <v>1006</v>
      </c>
      <c r="I581">
        <v>6</v>
      </c>
    </row>
    <row r="582" spans="1:9" ht="15.6" x14ac:dyDescent="0.3">
      <c r="A582" s="9">
        <v>581</v>
      </c>
      <c r="B582" s="2" t="s">
        <v>587</v>
      </c>
      <c r="C582" s="11">
        <v>30</v>
      </c>
      <c r="D582" s="12">
        <v>50</v>
      </c>
      <c r="E582" s="12" t="s">
        <v>8220</v>
      </c>
      <c r="F582" s="13">
        <v>6</v>
      </c>
      <c r="G582" s="14">
        <v>1785.2399999999998</v>
      </c>
      <c r="H582" t="s">
        <v>3822</v>
      </c>
      <c r="I582">
        <v>7</v>
      </c>
    </row>
    <row r="583" spans="1:9" ht="15.6" x14ac:dyDescent="0.3">
      <c r="A583" s="9">
        <v>582</v>
      </c>
      <c r="B583" s="2" t="s">
        <v>588</v>
      </c>
      <c r="C583" s="11">
        <v>28</v>
      </c>
      <c r="D583" s="12">
        <v>66.666666666666657</v>
      </c>
      <c r="E583" s="12" t="s">
        <v>8220</v>
      </c>
      <c r="F583" s="13">
        <v>6</v>
      </c>
      <c r="G583" s="14">
        <v>1761.21</v>
      </c>
      <c r="H583" t="s">
        <v>2798</v>
      </c>
      <c r="I583">
        <v>7</v>
      </c>
    </row>
    <row r="584" spans="1:9" ht="15.6" x14ac:dyDescent="0.3">
      <c r="A584" s="9">
        <v>583</v>
      </c>
      <c r="B584" s="2" t="s">
        <v>589</v>
      </c>
      <c r="C584" s="11">
        <v>28</v>
      </c>
      <c r="D584" s="12">
        <v>66.666666666666657</v>
      </c>
      <c r="E584" s="12" t="s">
        <v>8220</v>
      </c>
      <c r="F584" s="13">
        <v>6</v>
      </c>
      <c r="G584" s="14">
        <v>1801.2399999999998</v>
      </c>
      <c r="H584" t="s">
        <v>1774</v>
      </c>
      <c r="I584">
        <v>7</v>
      </c>
    </row>
    <row r="585" spans="1:9" ht="15.6" x14ac:dyDescent="0.3">
      <c r="A585" s="9">
        <v>584</v>
      </c>
      <c r="B585" s="2" t="s">
        <v>590</v>
      </c>
      <c r="C585" s="11">
        <v>22</v>
      </c>
      <c r="D585" s="12">
        <v>50</v>
      </c>
      <c r="E585" s="12" t="s">
        <v>8220</v>
      </c>
      <c r="F585" s="13">
        <v>6</v>
      </c>
      <c r="G585" s="14">
        <v>1776.2199999999998</v>
      </c>
      <c r="H585" t="s">
        <v>750</v>
      </c>
      <c r="I585">
        <v>6</v>
      </c>
    </row>
    <row r="586" spans="1:9" ht="15.6" x14ac:dyDescent="0.3">
      <c r="A586" s="9">
        <v>585</v>
      </c>
      <c r="B586" s="2" t="s">
        <v>591</v>
      </c>
      <c r="C586" s="11">
        <v>30</v>
      </c>
      <c r="D586" s="12">
        <v>50</v>
      </c>
      <c r="E586" s="12" t="s">
        <v>8220</v>
      </c>
      <c r="F586" s="13">
        <v>6</v>
      </c>
      <c r="G586" s="14">
        <v>1825.27</v>
      </c>
      <c r="H586" t="s">
        <v>3566</v>
      </c>
      <c r="I586">
        <v>7</v>
      </c>
    </row>
    <row r="587" spans="1:9" ht="15.6" x14ac:dyDescent="0.3">
      <c r="A587" s="9">
        <v>586</v>
      </c>
      <c r="B587" s="2" t="s">
        <v>592</v>
      </c>
      <c r="C587" s="11">
        <v>28</v>
      </c>
      <c r="D587" s="12">
        <v>66.666666666666657</v>
      </c>
      <c r="E587" s="12" t="s">
        <v>8220</v>
      </c>
      <c r="F587" s="13">
        <v>6</v>
      </c>
      <c r="G587" s="14">
        <v>1801.2399999999998</v>
      </c>
      <c r="H587" t="s">
        <v>2542</v>
      </c>
      <c r="I587">
        <v>7</v>
      </c>
    </row>
    <row r="588" spans="1:9" ht="15.6" x14ac:dyDescent="0.3">
      <c r="A588" s="9">
        <v>587</v>
      </c>
      <c r="B588" s="2" t="s">
        <v>593</v>
      </c>
      <c r="C588" s="11">
        <v>28</v>
      </c>
      <c r="D588" s="12">
        <v>66.666666666666657</v>
      </c>
      <c r="E588" s="12" t="s">
        <v>8220</v>
      </c>
      <c r="F588" s="13">
        <v>6</v>
      </c>
      <c r="G588" s="14">
        <v>1841.27</v>
      </c>
      <c r="H588" t="s">
        <v>1518</v>
      </c>
      <c r="I588">
        <v>7</v>
      </c>
    </row>
    <row r="589" spans="1:9" ht="15.6" x14ac:dyDescent="0.3">
      <c r="A589" s="9">
        <v>588</v>
      </c>
      <c r="B589" s="2" t="s">
        <v>594</v>
      </c>
      <c r="C589" s="11">
        <v>22</v>
      </c>
      <c r="D589" s="12">
        <v>50</v>
      </c>
      <c r="E589" s="12" t="s">
        <v>8220</v>
      </c>
      <c r="F589" s="13">
        <v>6</v>
      </c>
      <c r="G589" s="14">
        <v>1816.25</v>
      </c>
      <c r="H589" t="s">
        <v>494</v>
      </c>
      <c r="I589">
        <v>6</v>
      </c>
    </row>
    <row r="590" spans="1:9" ht="15.6" x14ac:dyDescent="0.3">
      <c r="A590" s="9">
        <v>589</v>
      </c>
      <c r="B590" s="2" t="s">
        <v>595</v>
      </c>
      <c r="C590" s="11">
        <v>24</v>
      </c>
      <c r="D590" s="12">
        <v>33.333333333333329</v>
      </c>
      <c r="E590" s="12" t="s">
        <v>8219</v>
      </c>
      <c r="F590" s="13">
        <v>6</v>
      </c>
      <c r="G590" s="14">
        <v>1800.25</v>
      </c>
      <c r="H590" t="s">
        <v>3310</v>
      </c>
      <c r="I590">
        <v>6</v>
      </c>
    </row>
    <row r="591" spans="1:9" ht="15.6" x14ac:dyDescent="0.3">
      <c r="A591" s="9">
        <v>590</v>
      </c>
      <c r="B591" s="2" t="s">
        <v>596</v>
      </c>
      <c r="C591" s="11">
        <v>22</v>
      </c>
      <c r="D591" s="12">
        <v>50</v>
      </c>
      <c r="E591" s="12" t="s">
        <v>8220</v>
      </c>
      <c r="F591" s="13">
        <v>6</v>
      </c>
      <c r="G591" s="14">
        <v>1776.2199999999998</v>
      </c>
      <c r="H591" t="s">
        <v>2286</v>
      </c>
      <c r="I591">
        <v>6</v>
      </c>
    </row>
    <row r="592" spans="1:9" ht="15.6" x14ac:dyDescent="0.3">
      <c r="A592" s="9">
        <v>591</v>
      </c>
      <c r="B592" s="2" t="s">
        <v>597</v>
      </c>
      <c r="C592" s="11">
        <v>22</v>
      </c>
      <c r="D592" s="12">
        <v>50</v>
      </c>
      <c r="E592" s="12" t="s">
        <v>8220</v>
      </c>
      <c r="F592" s="13">
        <v>6</v>
      </c>
      <c r="G592" s="14">
        <v>1816.25</v>
      </c>
      <c r="H592" t="s">
        <v>1262</v>
      </c>
      <c r="I592">
        <v>6</v>
      </c>
    </row>
    <row r="593" spans="1:9" ht="15.6" x14ac:dyDescent="0.3">
      <c r="A593" s="9">
        <v>592</v>
      </c>
      <c r="B593" s="2" t="s">
        <v>598</v>
      </c>
      <c r="C593" s="11">
        <v>16</v>
      </c>
      <c r="D593" s="12">
        <v>33.333333333333329</v>
      </c>
      <c r="E593" s="12" t="s">
        <v>8219</v>
      </c>
      <c r="F593" s="13">
        <v>6</v>
      </c>
      <c r="G593" s="14">
        <v>1791.23</v>
      </c>
      <c r="H593" t="s">
        <v>238</v>
      </c>
      <c r="I593">
        <v>5</v>
      </c>
    </row>
    <row r="594" spans="1:9" ht="15.6" x14ac:dyDescent="0.3">
      <c r="A594" s="9">
        <v>593</v>
      </c>
      <c r="B594" s="2" t="s">
        <v>599</v>
      </c>
      <c r="C594" s="11">
        <v>30</v>
      </c>
      <c r="D594" s="12">
        <v>50</v>
      </c>
      <c r="E594" s="12" t="s">
        <v>8220</v>
      </c>
      <c r="F594" s="13">
        <v>6</v>
      </c>
      <c r="G594" s="14">
        <v>1785.2399999999998</v>
      </c>
      <c r="H594" t="s">
        <v>4014</v>
      </c>
      <c r="I594">
        <v>7</v>
      </c>
    </row>
    <row r="595" spans="1:9" ht="15.6" x14ac:dyDescent="0.3">
      <c r="A595" s="9">
        <v>594</v>
      </c>
      <c r="B595" s="2" t="s">
        <v>600</v>
      </c>
      <c r="C595" s="11">
        <v>28</v>
      </c>
      <c r="D595" s="12">
        <v>66.666666666666657</v>
      </c>
      <c r="E595" s="12" t="s">
        <v>8220</v>
      </c>
      <c r="F595" s="13">
        <v>6</v>
      </c>
      <c r="G595" s="14">
        <v>1761.21</v>
      </c>
      <c r="H595" t="s">
        <v>2990</v>
      </c>
      <c r="I595">
        <v>7</v>
      </c>
    </row>
    <row r="596" spans="1:9" ht="15.6" x14ac:dyDescent="0.3">
      <c r="A596" s="9">
        <v>595</v>
      </c>
      <c r="B596" s="2" t="s">
        <v>601</v>
      </c>
      <c r="C596" s="11">
        <v>28</v>
      </c>
      <c r="D596" s="12">
        <v>66.666666666666657</v>
      </c>
      <c r="E596" s="12" t="s">
        <v>8220</v>
      </c>
      <c r="F596" s="13">
        <v>6</v>
      </c>
      <c r="G596" s="14">
        <v>1801.2399999999998</v>
      </c>
      <c r="H596" t="s">
        <v>1966</v>
      </c>
      <c r="I596">
        <v>7</v>
      </c>
    </row>
    <row r="597" spans="1:9" ht="15.6" x14ac:dyDescent="0.3">
      <c r="A597" s="9">
        <v>596</v>
      </c>
      <c r="B597" s="2" t="s">
        <v>602</v>
      </c>
      <c r="C597" s="11">
        <v>22</v>
      </c>
      <c r="D597" s="12">
        <v>50</v>
      </c>
      <c r="E597" s="12" t="s">
        <v>8220</v>
      </c>
      <c r="F597" s="13">
        <v>6</v>
      </c>
      <c r="G597" s="14">
        <v>1776.2199999999998</v>
      </c>
      <c r="H597" t="s">
        <v>942</v>
      </c>
      <c r="I597">
        <v>6</v>
      </c>
    </row>
    <row r="598" spans="1:9" ht="15.6" x14ac:dyDescent="0.3">
      <c r="A598" s="9">
        <v>597</v>
      </c>
      <c r="B598" s="2" t="s">
        <v>603</v>
      </c>
      <c r="C598" s="11">
        <v>28</v>
      </c>
      <c r="D598" s="12">
        <v>66.666666666666657</v>
      </c>
      <c r="E598" s="12" t="s">
        <v>8220</v>
      </c>
      <c r="F598" s="13">
        <v>6</v>
      </c>
      <c r="G598" s="14">
        <v>1761.21</v>
      </c>
      <c r="H598" t="s">
        <v>3758</v>
      </c>
      <c r="I598">
        <v>7</v>
      </c>
    </row>
    <row r="599" spans="1:9" ht="15.6" x14ac:dyDescent="0.3">
      <c r="A599" s="9">
        <v>598</v>
      </c>
      <c r="B599" s="2" t="s">
        <v>604</v>
      </c>
      <c r="C599" s="11">
        <v>26</v>
      </c>
      <c r="D599" s="12">
        <v>83.333333333333343</v>
      </c>
      <c r="E599" s="12" t="s">
        <v>8220</v>
      </c>
      <c r="F599" s="13">
        <v>6</v>
      </c>
      <c r="G599" s="14">
        <v>1737.1799999999998</v>
      </c>
      <c r="H599" t="s">
        <v>2734</v>
      </c>
      <c r="I599">
        <v>7</v>
      </c>
    </row>
    <row r="600" spans="1:9" ht="15.6" x14ac:dyDescent="0.3">
      <c r="A600" s="9">
        <v>599</v>
      </c>
      <c r="B600" s="2" t="s">
        <v>605</v>
      </c>
      <c r="C600" s="11">
        <v>26</v>
      </c>
      <c r="D600" s="12">
        <v>83.333333333333343</v>
      </c>
      <c r="E600" s="12" t="s">
        <v>8220</v>
      </c>
      <c r="F600" s="13">
        <v>6</v>
      </c>
      <c r="G600" s="14">
        <v>1777.21</v>
      </c>
      <c r="H600" t="s">
        <v>1710</v>
      </c>
      <c r="I600">
        <v>7</v>
      </c>
    </row>
    <row r="601" spans="1:9" ht="15.6" x14ac:dyDescent="0.3">
      <c r="A601" s="9">
        <v>600</v>
      </c>
      <c r="B601" s="2" t="s">
        <v>606</v>
      </c>
      <c r="C601" s="11">
        <v>20</v>
      </c>
      <c r="D601" s="12">
        <v>66.666666666666657</v>
      </c>
      <c r="E601" s="12" t="s">
        <v>8220</v>
      </c>
      <c r="F601" s="13">
        <v>6</v>
      </c>
      <c r="G601" s="14">
        <v>1752.19</v>
      </c>
      <c r="H601" t="s">
        <v>686</v>
      </c>
      <c r="I601">
        <v>6</v>
      </c>
    </row>
    <row r="602" spans="1:9" ht="15.6" x14ac:dyDescent="0.3">
      <c r="A602" s="9">
        <v>601</v>
      </c>
      <c r="B602" s="2" t="s">
        <v>607</v>
      </c>
      <c r="C602" s="11">
        <v>28</v>
      </c>
      <c r="D602" s="12">
        <v>66.666666666666657</v>
      </c>
      <c r="E602" s="12" t="s">
        <v>8220</v>
      </c>
      <c r="F602" s="13">
        <v>6</v>
      </c>
      <c r="G602" s="14">
        <v>1801.2399999999998</v>
      </c>
      <c r="H602" t="s">
        <v>3502</v>
      </c>
      <c r="I602">
        <v>7</v>
      </c>
    </row>
    <row r="603" spans="1:9" ht="15.6" x14ac:dyDescent="0.3">
      <c r="A603" s="9">
        <v>602</v>
      </c>
      <c r="B603" s="2" t="s">
        <v>608</v>
      </c>
      <c r="C603" s="11">
        <v>26</v>
      </c>
      <c r="D603" s="12">
        <v>83.333333333333343</v>
      </c>
      <c r="E603" s="12" t="s">
        <v>8220</v>
      </c>
      <c r="F603" s="13">
        <v>6</v>
      </c>
      <c r="G603" s="14">
        <v>1777.21</v>
      </c>
      <c r="H603" t="s">
        <v>2478</v>
      </c>
      <c r="I603">
        <v>7</v>
      </c>
    </row>
    <row r="604" spans="1:9" ht="15.6" x14ac:dyDescent="0.3">
      <c r="A604" s="9">
        <v>603</v>
      </c>
      <c r="B604" s="2" t="s">
        <v>609</v>
      </c>
      <c r="C604" s="11">
        <v>26</v>
      </c>
      <c r="D604" s="12">
        <v>83.333333333333343</v>
      </c>
      <c r="E604" s="12" t="s">
        <v>8220</v>
      </c>
      <c r="F604" s="13">
        <v>6</v>
      </c>
      <c r="G604" s="14">
        <v>1817.2400000000002</v>
      </c>
      <c r="H604" t="s">
        <v>1454</v>
      </c>
      <c r="I604">
        <v>7</v>
      </c>
    </row>
    <row r="605" spans="1:9" ht="15.6" x14ac:dyDescent="0.3">
      <c r="A605" s="9">
        <v>604</v>
      </c>
      <c r="B605" s="2" t="s">
        <v>610</v>
      </c>
      <c r="C605" s="11">
        <v>20</v>
      </c>
      <c r="D605" s="12">
        <v>66.666666666666657</v>
      </c>
      <c r="E605" s="12" t="s">
        <v>8220</v>
      </c>
      <c r="F605" s="13">
        <v>6</v>
      </c>
      <c r="G605" s="14">
        <v>1792.2199999999998</v>
      </c>
      <c r="H605" t="s">
        <v>430</v>
      </c>
      <c r="I605">
        <v>6</v>
      </c>
    </row>
    <row r="606" spans="1:9" ht="15.6" x14ac:dyDescent="0.3">
      <c r="A606" s="9">
        <v>605</v>
      </c>
      <c r="B606" s="2" t="s">
        <v>611</v>
      </c>
      <c r="C606" s="11">
        <v>22</v>
      </c>
      <c r="D606" s="12">
        <v>50</v>
      </c>
      <c r="E606" s="12" t="s">
        <v>8220</v>
      </c>
      <c r="F606" s="13">
        <v>6</v>
      </c>
      <c r="G606" s="14">
        <v>1776.2199999999998</v>
      </c>
      <c r="H606" t="s">
        <v>3246</v>
      </c>
      <c r="I606">
        <v>6</v>
      </c>
    </row>
    <row r="607" spans="1:9" ht="15.6" x14ac:dyDescent="0.3">
      <c r="A607" s="9">
        <v>606</v>
      </c>
      <c r="B607" s="2" t="s">
        <v>612</v>
      </c>
      <c r="C607" s="11">
        <v>20</v>
      </c>
      <c r="D607" s="12">
        <v>66.666666666666657</v>
      </c>
      <c r="E607" s="12" t="s">
        <v>8220</v>
      </c>
      <c r="F607" s="13">
        <v>6</v>
      </c>
      <c r="G607" s="14">
        <v>1752.19</v>
      </c>
      <c r="H607" t="s">
        <v>2222</v>
      </c>
      <c r="I607">
        <v>6</v>
      </c>
    </row>
    <row r="608" spans="1:9" ht="15.6" x14ac:dyDescent="0.3">
      <c r="A608" s="9">
        <v>607</v>
      </c>
      <c r="B608" s="2" t="s">
        <v>613</v>
      </c>
      <c r="C608" s="11">
        <v>20</v>
      </c>
      <c r="D608" s="12">
        <v>66.666666666666657</v>
      </c>
      <c r="E608" s="12" t="s">
        <v>8220</v>
      </c>
      <c r="F608" s="13">
        <v>6</v>
      </c>
      <c r="G608" s="14">
        <v>1792.2199999999998</v>
      </c>
      <c r="H608" t="s">
        <v>1198</v>
      </c>
      <c r="I608">
        <v>6</v>
      </c>
    </row>
    <row r="609" spans="1:9" ht="15.6" x14ac:dyDescent="0.3">
      <c r="A609" s="9">
        <v>608</v>
      </c>
      <c r="B609" s="2" t="s">
        <v>614</v>
      </c>
      <c r="C609" s="11">
        <v>14</v>
      </c>
      <c r="D609" s="12">
        <v>50</v>
      </c>
      <c r="E609" s="12" t="s">
        <v>8220</v>
      </c>
      <c r="F609" s="13">
        <v>6</v>
      </c>
      <c r="G609" s="14">
        <v>1767.1999999999998</v>
      </c>
      <c r="H609" t="s">
        <v>174</v>
      </c>
      <c r="I609">
        <v>5</v>
      </c>
    </row>
    <row r="610" spans="1:9" ht="15.6" x14ac:dyDescent="0.3">
      <c r="A610" s="9">
        <v>609</v>
      </c>
      <c r="B610" s="2" t="s">
        <v>615</v>
      </c>
      <c r="C610" s="11">
        <v>30</v>
      </c>
      <c r="D610" s="12">
        <v>50</v>
      </c>
      <c r="E610" s="12" t="s">
        <v>8220</v>
      </c>
      <c r="F610" s="13">
        <v>6</v>
      </c>
      <c r="G610" s="14">
        <v>1825.27</v>
      </c>
      <c r="H610" t="s">
        <v>3950</v>
      </c>
      <c r="I610">
        <v>7</v>
      </c>
    </row>
    <row r="611" spans="1:9" ht="15.6" x14ac:dyDescent="0.3">
      <c r="A611" s="9">
        <v>610</v>
      </c>
      <c r="B611" s="2" t="s">
        <v>616</v>
      </c>
      <c r="C611" s="11">
        <v>28</v>
      </c>
      <c r="D611" s="12">
        <v>66.666666666666657</v>
      </c>
      <c r="E611" s="12" t="s">
        <v>8220</v>
      </c>
      <c r="F611" s="13">
        <v>6</v>
      </c>
      <c r="G611" s="14">
        <v>1801.2399999999998</v>
      </c>
      <c r="H611" t="s">
        <v>2926</v>
      </c>
      <c r="I611">
        <v>7</v>
      </c>
    </row>
    <row r="612" spans="1:9" ht="15.6" x14ac:dyDescent="0.3">
      <c r="A612" s="9">
        <v>611</v>
      </c>
      <c r="B612" s="2" t="s">
        <v>617</v>
      </c>
      <c r="C612" s="11">
        <v>28</v>
      </c>
      <c r="D612" s="12">
        <v>66.666666666666657</v>
      </c>
      <c r="E612" s="12" t="s">
        <v>8220</v>
      </c>
      <c r="F612" s="13">
        <v>6</v>
      </c>
      <c r="G612" s="14">
        <v>1841.27</v>
      </c>
      <c r="H612" t="s">
        <v>1902</v>
      </c>
      <c r="I612">
        <v>7</v>
      </c>
    </row>
    <row r="613" spans="1:9" ht="15.6" x14ac:dyDescent="0.3">
      <c r="A613" s="9">
        <v>612</v>
      </c>
      <c r="B613" s="2" t="s">
        <v>618</v>
      </c>
      <c r="C613" s="11">
        <v>22</v>
      </c>
      <c r="D613" s="12">
        <v>50</v>
      </c>
      <c r="E613" s="12" t="s">
        <v>8220</v>
      </c>
      <c r="F613" s="13">
        <v>6</v>
      </c>
      <c r="G613" s="14">
        <v>1816.25</v>
      </c>
      <c r="H613" t="s">
        <v>878</v>
      </c>
      <c r="I613">
        <v>6</v>
      </c>
    </row>
    <row r="614" spans="1:9" ht="15.6" x14ac:dyDescent="0.3">
      <c r="A614" s="9">
        <v>613</v>
      </c>
      <c r="B614" s="2" t="s">
        <v>619</v>
      </c>
      <c r="C614" s="11">
        <v>28</v>
      </c>
      <c r="D614" s="12">
        <v>66.666666666666657</v>
      </c>
      <c r="E614" s="12" t="s">
        <v>8220</v>
      </c>
      <c r="F614" s="13">
        <v>6</v>
      </c>
      <c r="G614" s="14">
        <v>1801.2399999999998</v>
      </c>
      <c r="H614" t="s">
        <v>3694</v>
      </c>
      <c r="I614">
        <v>7</v>
      </c>
    </row>
    <row r="615" spans="1:9" ht="15.6" x14ac:dyDescent="0.3">
      <c r="A615" s="9">
        <v>614</v>
      </c>
      <c r="B615" s="2" t="s">
        <v>620</v>
      </c>
      <c r="C615" s="11">
        <v>26</v>
      </c>
      <c r="D615" s="12">
        <v>83.333333333333343</v>
      </c>
      <c r="E615" s="12" t="s">
        <v>8220</v>
      </c>
      <c r="F615" s="13">
        <v>6</v>
      </c>
      <c r="G615" s="14">
        <v>1777.21</v>
      </c>
      <c r="H615" t="s">
        <v>2670</v>
      </c>
      <c r="I615">
        <v>7</v>
      </c>
    </row>
    <row r="616" spans="1:9" ht="15.6" x14ac:dyDescent="0.3">
      <c r="A616" s="9">
        <v>615</v>
      </c>
      <c r="B616" s="2" t="s">
        <v>621</v>
      </c>
      <c r="C616" s="11">
        <v>26</v>
      </c>
      <c r="D616" s="12">
        <v>83.333333333333343</v>
      </c>
      <c r="E616" s="12" t="s">
        <v>8220</v>
      </c>
      <c r="F616" s="13">
        <v>6</v>
      </c>
      <c r="G616" s="14">
        <v>1817.2400000000002</v>
      </c>
      <c r="H616" t="s">
        <v>1646</v>
      </c>
      <c r="I616">
        <v>7</v>
      </c>
    </row>
    <row r="617" spans="1:9" ht="15.6" x14ac:dyDescent="0.3">
      <c r="A617" s="9">
        <v>616</v>
      </c>
      <c r="B617" s="2" t="s">
        <v>622</v>
      </c>
      <c r="C617" s="11">
        <v>20</v>
      </c>
      <c r="D617" s="12">
        <v>66.666666666666657</v>
      </c>
      <c r="E617" s="12" t="s">
        <v>8220</v>
      </c>
      <c r="F617" s="13">
        <v>6</v>
      </c>
      <c r="G617" s="14">
        <v>1792.2199999999998</v>
      </c>
      <c r="H617" t="s">
        <v>622</v>
      </c>
      <c r="I617">
        <v>6</v>
      </c>
    </row>
    <row r="618" spans="1:9" ht="15.6" x14ac:dyDescent="0.3">
      <c r="A618" s="9">
        <v>617</v>
      </c>
      <c r="B618" s="2" t="s">
        <v>623</v>
      </c>
      <c r="C618" s="11">
        <v>28</v>
      </c>
      <c r="D618" s="12">
        <v>66.666666666666657</v>
      </c>
      <c r="E618" s="12" t="s">
        <v>8220</v>
      </c>
      <c r="F618" s="13">
        <v>6</v>
      </c>
      <c r="G618" s="14">
        <v>1841.27</v>
      </c>
      <c r="H618" t="s">
        <v>3438</v>
      </c>
      <c r="I618">
        <v>7</v>
      </c>
    </row>
    <row r="619" spans="1:9" ht="15.6" x14ac:dyDescent="0.3">
      <c r="A619" s="9">
        <v>618</v>
      </c>
      <c r="B619" s="2" t="s">
        <v>624</v>
      </c>
      <c r="C619" s="11">
        <v>26</v>
      </c>
      <c r="D619" s="12">
        <v>83.333333333333343</v>
      </c>
      <c r="E619" s="12" t="s">
        <v>8220</v>
      </c>
      <c r="F619" s="13">
        <v>6</v>
      </c>
      <c r="G619" s="14">
        <v>1817.2400000000002</v>
      </c>
      <c r="H619" t="s">
        <v>2414</v>
      </c>
      <c r="I619">
        <v>7</v>
      </c>
    </row>
    <row r="620" spans="1:9" ht="15.6" x14ac:dyDescent="0.3">
      <c r="A620" s="9">
        <v>619</v>
      </c>
      <c r="B620" s="2" t="s">
        <v>625</v>
      </c>
      <c r="C620" s="11">
        <v>26</v>
      </c>
      <c r="D620" s="12">
        <v>83.333333333333343</v>
      </c>
      <c r="E620" s="12" t="s">
        <v>8220</v>
      </c>
      <c r="F620" s="13">
        <v>6</v>
      </c>
      <c r="G620" s="14">
        <v>1857.27</v>
      </c>
      <c r="H620" t="s">
        <v>1390</v>
      </c>
      <c r="I620">
        <v>7</v>
      </c>
    </row>
    <row r="621" spans="1:9" ht="15.6" x14ac:dyDescent="0.3">
      <c r="A621" s="9">
        <v>620</v>
      </c>
      <c r="B621" s="2" t="s">
        <v>626</v>
      </c>
      <c r="C621" s="11">
        <v>20</v>
      </c>
      <c r="D621" s="12">
        <v>66.666666666666657</v>
      </c>
      <c r="E621" s="12" t="s">
        <v>8220</v>
      </c>
      <c r="F621" s="13">
        <v>6</v>
      </c>
      <c r="G621" s="14">
        <v>1832.25</v>
      </c>
      <c r="H621" t="s">
        <v>366</v>
      </c>
      <c r="I621">
        <v>6</v>
      </c>
    </row>
    <row r="622" spans="1:9" ht="15.6" x14ac:dyDescent="0.3">
      <c r="A622" s="9">
        <v>621</v>
      </c>
      <c r="B622" s="2" t="s">
        <v>627</v>
      </c>
      <c r="C622" s="11">
        <v>22</v>
      </c>
      <c r="D622" s="12">
        <v>50</v>
      </c>
      <c r="E622" s="12" t="s">
        <v>8220</v>
      </c>
      <c r="F622" s="13">
        <v>6</v>
      </c>
      <c r="G622" s="14">
        <v>1816.25</v>
      </c>
      <c r="H622" t="s">
        <v>3182</v>
      </c>
      <c r="I622">
        <v>6</v>
      </c>
    </row>
    <row r="623" spans="1:9" ht="15.6" x14ac:dyDescent="0.3">
      <c r="A623" s="9">
        <v>622</v>
      </c>
      <c r="B623" s="2" t="s">
        <v>628</v>
      </c>
      <c r="C623" s="11">
        <v>20</v>
      </c>
      <c r="D623" s="12">
        <v>66.666666666666657</v>
      </c>
      <c r="E623" s="12" t="s">
        <v>8220</v>
      </c>
      <c r="F623" s="13">
        <v>6</v>
      </c>
      <c r="G623" s="14">
        <v>1792.2199999999998</v>
      </c>
      <c r="H623" t="s">
        <v>2158</v>
      </c>
      <c r="I623">
        <v>6</v>
      </c>
    </row>
    <row r="624" spans="1:9" ht="15.6" x14ac:dyDescent="0.3">
      <c r="A624" s="9">
        <v>623</v>
      </c>
      <c r="B624" s="2" t="s">
        <v>629</v>
      </c>
      <c r="C624" s="11">
        <v>20</v>
      </c>
      <c r="D624" s="12">
        <v>66.666666666666657</v>
      </c>
      <c r="E624" s="12" t="s">
        <v>8220</v>
      </c>
      <c r="F624" s="13">
        <v>6</v>
      </c>
      <c r="G624" s="14">
        <v>1832.25</v>
      </c>
      <c r="H624" t="s">
        <v>1134</v>
      </c>
      <c r="I624">
        <v>6</v>
      </c>
    </row>
    <row r="625" spans="1:9" ht="15.6" x14ac:dyDescent="0.3">
      <c r="A625" s="9">
        <v>624</v>
      </c>
      <c r="B625" s="2" t="s">
        <v>630</v>
      </c>
      <c r="C625" s="11">
        <v>14</v>
      </c>
      <c r="D625" s="12">
        <v>50</v>
      </c>
      <c r="E625" s="12" t="s">
        <v>8220</v>
      </c>
      <c r="F625" s="13">
        <v>6</v>
      </c>
      <c r="G625" s="14">
        <v>1807.23</v>
      </c>
      <c r="H625" t="s">
        <v>110</v>
      </c>
      <c r="I625">
        <v>5</v>
      </c>
    </row>
    <row r="626" spans="1:9" ht="15.6" x14ac:dyDescent="0.3">
      <c r="A626" s="9">
        <v>625</v>
      </c>
      <c r="B626" s="2" t="s">
        <v>631</v>
      </c>
      <c r="C626" s="11">
        <v>24</v>
      </c>
      <c r="D626" s="12">
        <v>33.333333333333329</v>
      </c>
      <c r="E626" s="12" t="s">
        <v>8219</v>
      </c>
      <c r="F626" s="13">
        <v>6</v>
      </c>
      <c r="G626" s="14">
        <v>1800.25</v>
      </c>
      <c r="H626" t="s">
        <v>3886</v>
      </c>
      <c r="I626">
        <v>6</v>
      </c>
    </row>
    <row r="627" spans="1:9" ht="15.6" x14ac:dyDescent="0.3">
      <c r="A627" s="9">
        <v>626</v>
      </c>
      <c r="B627" s="2" t="s">
        <v>632</v>
      </c>
      <c r="C627" s="11">
        <v>22</v>
      </c>
      <c r="D627" s="12">
        <v>50</v>
      </c>
      <c r="E627" s="12" t="s">
        <v>8220</v>
      </c>
      <c r="F627" s="13">
        <v>6</v>
      </c>
      <c r="G627" s="14">
        <v>1776.2199999999998</v>
      </c>
      <c r="H627" t="s">
        <v>2862</v>
      </c>
      <c r="I627">
        <v>6</v>
      </c>
    </row>
    <row r="628" spans="1:9" ht="15.6" x14ac:dyDescent="0.3">
      <c r="A628" s="9">
        <v>627</v>
      </c>
      <c r="B628" s="2" t="s">
        <v>633</v>
      </c>
      <c r="C628" s="11">
        <v>22</v>
      </c>
      <c r="D628" s="12">
        <v>50</v>
      </c>
      <c r="E628" s="12" t="s">
        <v>8220</v>
      </c>
      <c r="F628" s="13">
        <v>6</v>
      </c>
      <c r="G628" s="14">
        <v>1816.25</v>
      </c>
      <c r="H628" t="s">
        <v>1838</v>
      </c>
      <c r="I628">
        <v>6</v>
      </c>
    </row>
    <row r="629" spans="1:9" ht="15.6" x14ac:dyDescent="0.3">
      <c r="A629" s="9">
        <v>628</v>
      </c>
      <c r="B629" s="2" t="s">
        <v>634</v>
      </c>
      <c r="C629" s="11">
        <v>16</v>
      </c>
      <c r="D629" s="12">
        <v>33.333333333333329</v>
      </c>
      <c r="E629" s="12" t="s">
        <v>8219</v>
      </c>
      <c r="F629" s="13">
        <v>6</v>
      </c>
      <c r="G629" s="14">
        <v>1791.23</v>
      </c>
      <c r="H629" t="s">
        <v>814</v>
      </c>
      <c r="I629">
        <v>5</v>
      </c>
    </row>
    <row r="630" spans="1:9" ht="15.6" x14ac:dyDescent="0.3">
      <c r="A630" s="9">
        <v>629</v>
      </c>
      <c r="B630" s="2" t="s">
        <v>635</v>
      </c>
      <c r="C630" s="11">
        <v>22</v>
      </c>
      <c r="D630" s="12">
        <v>50</v>
      </c>
      <c r="E630" s="12" t="s">
        <v>8220</v>
      </c>
      <c r="F630" s="13">
        <v>6</v>
      </c>
      <c r="G630" s="14">
        <v>1776.2199999999998</v>
      </c>
      <c r="H630" t="s">
        <v>3630</v>
      </c>
      <c r="I630">
        <v>6</v>
      </c>
    </row>
    <row r="631" spans="1:9" ht="15.6" x14ac:dyDescent="0.3">
      <c r="A631" s="9">
        <v>630</v>
      </c>
      <c r="B631" s="2" t="s">
        <v>636</v>
      </c>
      <c r="C631" s="11">
        <v>20</v>
      </c>
      <c r="D631" s="12">
        <v>66.666666666666657</v>
      </c>
      <c r="E631" s="12" t="s">
        <v>8220</v>
      </c>
      <c r="F631" s="13">
        <v>6</v>
      </c>
      <c r="G631" s="14">
        <v>1752.19</v>
      </c>
      <c r="H631" t="s">
        <v>2606</v>
      </c>
      <c r="I631">
        <v>6</v>
      </c>
    </row>
    <row r="632" spans="1:9" ht="15.6" x14ac:dyDescent="0.3">
      <c r="A632" s="9">
        <v>631</v>
      </c>
      <c r="B632" s="2" t="s">
        <v>637</v>
      </c>
      <c r="C632" s="11">
        <v>20</v>
      </c>
      <c r="D632" s="12">
        <v>66.666666666666657</v>
      </c>
      <c r="E632" s="12" t="s">
        <v>8220</v>
      </c>
      <c r="F632" s="13">
        <v>6</v>
      </c>
      <c r="G632" s="14">
        <v>1792.2199999999998</v>
      </c>
      <c r="H632" t="s">
        <v>1582</v>
      </c>
      <c r="I632">
        <v>6</v>
      </c>
    </row>
    <row r="633" spans="1:9" ht="15.6" x14ac:dyDescent="0.3">
      <c r="A633" s="9">
        <v>632</v>
      </c>
      <c r="B633" s="2" t="s">
        <v>638</v>
      </c>
      <c r="C633" s="11">
        <v>14</v>
      </c>
      <c r="D633" s="12">
        <v>50</v>
      </c>
      <c r="E633" s="12" t="s">
        <v>8220</v>
      </c>
      <c r="F633" s="13">
        <v>6</v>
      </c>
      <c r="G633" s="14">
        <v>1767.1999999999998</v>
      </c>
      <c r="H633" t="s">
        <v>558</v>
      </c>
      <c r="I633">
        <v>5</v>
      </c>
    </row>
    <row r="634" spans="1:9" ht="15.6" x14ac:dyDescent="0.3">
      <c r="A634" s="9">
        <v>633</v>
      </c>
      <c r="B634" s="2" t="s">
        <v>639</v>
      </c>
      <c r="C634" s="11">
        <v>22</v>
      </c>
      <c r="D634" s="12">
        <v>50</v>
      </c>
      <c r="E634" s="12" t="s">
        <v>8220</v>
      </c>
      <c r="F634" s="13">
        <v>6</v>
      </c>
      <c r="G634" s="14">
        <v>1816.25</v>
      </c>
      <c r="H634" t="s">
        <v>3374</v>
      </c>
      <c r="I634">
        <v>6</v>
      </c>
    </row>
    <row r="635" spans="1:9" ht="15.6" x14ac:dyDescent="0.3">
      <c r="A635" s="9">
        <v>634</v>
      </c>
      <c r="B635" s="2" t="s">
        <v>640</v>
      </c>
      <c r="C635" s="11">
        <v>20</v>
      </c>
      <c r="D635" s="12">
        <v>66.666666666666657</v>
      </c>
      <c r="E635" s="12" t="s">
        <v>8220</v>
      </c>
      <c r="F635" s="13">
        <v>6</v>
      </c>
      <c r="G635" s="14">
        <v>1792.2199999999998</v>
      </c>
      <c r="H635" t="s">
        <v>2350</v>
      </c>
      <c r="I635">
        <v>6</v>
      </c>
    </row>
    <row r="636" spans="1:9" ht="15.6" x14ac:dyDescent="0.3">
      <c r="A636" s="9">
        <v>635</v>
      </c>
      <c r="B636" s="2" t="s">
        <v>641</v>
      </c>
      <c r="C636" s="11">
        <v>20</v>
      </c>
      <c r="D636" s="12">
        <v>66.666666666666657</v>
      </c>
      <c r="E636" s="12" t="s">
        <v>8220</v>
      </c>
      <c r="F636" s="13">
        <v>6</v>
      </c>
      <c r="G636" s="14">
        <v>1832.25</v>
      </c>
      <c r="H636" t="s">
        <v>1326</v>
      </c>
      <c r="I636">
        <v>6</v>
      </c>
    </row>
    <row r="637" spans="1:9" ht="15.6" x14ac:dyDescent="0.3">
      <c r="A637" s="9">
        <v>636</v>
      </c>
      <c r="B637" s="2" t="s">
        <v>642</v>
      </c>
      <c r="C637" s="11">
        <v>14</v>
      </c>
      <c r="D637" s="12">
        <v>50</v>
      </c>
      <c r="E637" s="12" t="s">
        <v>8220</v>
      </c>
      <c r="F637" s="13">
        <v>6</v>
      </c>
      <c r="G637" s="14">
        <v>1807.23</v>
      </c>
      <c r="H637" t="s">
        <v>302</v>
      </c>
      <c r="I637">
        <v>5</v>
      </c>
    </row>
    <row r="638" spans="1:9" ht="15.6" x14ac:dyDescent="0.3">
      <c r="A638" s="9">
        <v>637</v>
      </c>
      <c r="B638" s="2" t="s">
        <v>643</v>
      </c>
      <c r="C638" s="11">
        <v>16</v>
      </c>
      <c r="D638" s="12">
        <v>33.333333333333329</v>
      </c>
      <c r="E638" s="12" t="s">
        <v>8219</v>
      </c>
      <c r="F638" s="13">
        <v>6</v>
      </c>
      <c r="G638" s="14">
        <v>1791.23</v>
      </c>
      <c r="H638" t="s">
        <v>3118</v>
      </c>
      <c r="I638">
        <v>5</v>
      </c>
    </row>
    <row r="639" spans="1:9" ht="15.6" x14ac:dyDescent="0.3">
      <c r="A639" s="9">
        <v>638</v>
      </c>
      <c r="B639" s="2" t="s">
        <v>644</v>
      </c>
      <c r="C639" s="11">
        <v>14</v>
      </c>
      <c r="D639" s="12">
        <v>50</v>
      </c>
      <c r="E639" s="12" t="s">
        <v>8220</v>
      </c>
      <c r="F639" s="13">
        <v>6</v>
      </c>
      <c r="G639" s="14">
        <v>1767.1999999999998</v>
      </c>
      <c r="H639" t="s">
        <v>2094</v>
      </c>
      <c r="I639">
        <v>5</v>
      </c>
    </row>
    <row r="640" spans="1:9" ht="15.6" x14ac:dyDescent="0.3">
      <c r="A640" s="9">
        <v>639</v>
      </c>
      <c r="B640" s="2" t="s">
        <v>645</v>
      </c>
      <c r="C640" s="11">
        <v>14</v>
      </c>
      <c r="D640" s="12">
        <v>50</v>
      </c>
      <c r="E640" s="12" t="s">
        <v>8220</v>
      </c>
      <c r="F640" s="13">
        <v>6</v>
      </c>
      <c r="G640" s="14">
        <v>1807.23</v>
      </c>
      <c r="H640" t="s">
        <v>1070</v>
      </c>
      <c r="I640">
        <v>5</v>
      </c>
    </row>
    <row r="641" spans="1:9" ht="15.6" x14ac:dyDescent="0.3">
      <c r="A641" s="9">
        <v>640</v>
      </c>
      <c r="B641" s="2" t="s">
        <v>646</v>
      </c>
      <c r="C641" s="11">
        <v>8</v>
      </c>
      <c r="D641" s="12">
        <v>33.333333333333329</v>
      </c>
      <c r="E641" s="12" t="s">
        <v>8219</v>
      </c>
      <c r="F641" s="13">
        <v>6</v>
      </c>
      <c r="G641" s="14">
        <v>1782.21</v>
      </c>
      <c r="H641" t="s">
        <v>46</v>
      </c>
      <c r="I641">
        <v>4</v>
      </c>
    </row>
    <row r="642" spans="1:9" ht="15.6" x14ac:dyDescent="0.3">
      <c r="A642" s="9">
        <v>641</v>
      </c>
      <c r="B642" s="2" t="s">
        <v>647</v>
      </c>
      <c r="C642" s="11">
        <v>32</v>
      </c>
      <c r="D642" s="12">
        <v>33.333333333333329</v>
      </c>
      <c r="E642" s="12" t="s">
        <v>8219</v>
      </c>
      <c r="F642" s="13">
        <v>6</v>
      </c>
      <c r="G642" s="14">
        <v>1849.3000000000002</v>
      </c>
      <c r="H642" t="s">
        <v>4062</v>
      </c>
      <c r="I642">
        <v>8</v>
      </c>
    </row>
    <row r="643" spans="1:9" ht="15.6" x14ac:dyDescent="0.3">
      <c r="A643" s="9">
        <v>642</v>
      </c>
      <c r="B643" s="2" t="s">
        <v>648</v>
      </c>
      <c r="C643" s="11">
        <v>30</v>
      </c>
      <c r="D643" s="12">
        <v>50</v>
      </c>
      <c r="E643" s="12" t="s">
        <v>8220</v>
      </c>
      <c r="F643" s="13">
        <v>6</v>
      </c>
      <c r="G643" s="14">
        <v>1825.27</v>
      </c>
      <c r="H643" t="s">
        <v>3038</v>
      </c>
      <c r="I643">
        <v>7</v>
      </c>
    </row>
    <row r="644" spans="1:9" ht="15.6" x14ac:dyDescent="0.3">
      <c r="A644" s="9">
        <v>643</v>
      </c>
      <c r="B644" s="2" t="s">
        <v>649</v>
      </c>
      <c r="C644" s="11">
        <v>30</v>
      </c>
      <c r="D644" s="12">
        <v>50</v>
      </c>
      <c r="E644" s="12" t="s">
        <v>8220</v>
      </c>
      <c r="F644" s="13">
        <v>6</v>
      </c>
      <c r="G644" s="14">
        <v>1865.3000000000002</v>
      </c>
      <c r="H644" t="s">
        <v>2014</v>
      </c>
      <c r="I644">
        <v>7</v>
      </c>
    </row>
    <row r="645" spans="1:9" ht="15.6" x14ac:dyDescent="0.3">
      <c r="A645" s="9">
        <v>644</v>
      </c>
      <c r="B645" s="2" t="s">
        <v>650</v>
      </c>
      <c r="C645" s="11">
        <v>24</v>
      </c>
      <c r="D645" s="12">
        <v>33.333333333333329</v>
      </c>
      <c r="E645" s="12" t="s">
        <v>8219</v>
      </c>
      <c r="F645" s="13">
        <v>6</v>
      </c>
      <c r="G645" s="14">
        <v>1840.2800000000002</v>
      </c>
      <c r="H645" t="s">
        <v>990</v>
      </c>
      <c r="I645">
        <v>6</v>
      </c>
    </row>
    <row r="646" spans="1:9" ht="15.6" x14ac:dyDescent="0.3">
      <c r="A646" s="9">
        <v>645</v>
      </c>
      <c r="B646" s="2" t="s">
        <v>651</v>
      </c>
      <c r="C646" s="11">
        <v>30</v>
      </c>
      <c r="D646" s="12">
        <v>50</v>
      </c>
      <c r="E646" s="12" t="s">
        <v>8220</v>
      </c>
      <c r="F646" s="13">
        <v>6</v>
      </c>
      <c r="G646" s="14">
        <v>1825.27</v>
      </c>
      <c r="H646" t="s">
        <v>3806</v>
      </c>
      <c r="I646">
        <v>7</v>
      </c>
    </row>
    <row r="647" spans="1:9" ht="15.6" x14ac:dyDescent="0.3">
      <c r="A647" s="9">
        <v>646</v>
      </c>
      <c r="B647" s="2" t="s">
        <v>652</v>
      </c>
      <c r="C647" s="11">
        <v>28</v>
      </c>
      <c r="D647" s="12">
        <v>66.666666666666657</v>
      </c>
      <c r="E647" s="12" t="s">
        <v>8220</v>
      </c>
      <c r="F647" s="13">
        <v>6</v>
      </c>
      <c r="G647" s="14">
        <v>1801.2399999999998</v>
      </c>
      <c r="H647" t="s">
        <v>2782</v>
      </c>
      <c r="I647">
        <v>7</v>
      </c>
    </row>
    <row r="648" spans="1:9" ht="15.6" x14ac:dyDescent="0.3">
      <c r="A648" s="9">
        <v>647</v>
      </c>
      <c r="B648" s="2" t="s">
        <v>653</v>
      </c>
      <c r="C648" s="11">
        <v>28</v>
      </c>
      <c r="D648" s="12">
        <v>66.666666666666657</v>
      </c>
      <c r="E648" s="12" t="s">
        <v>8220</v>
      </c>
      <c r="F648" s="13">
        <v>6</v>
      </c>
      <c r="G648" s="14">
        <v>1841.27</v>
      </c>
      <c r="H648" t="s">
        <v>1758</v>
      </c>
      <c r="I648">
        <v>7</v>
      </c>
    </row>
    <row r="649" spans="1:9" ht="15.6" x14ac:dyDescent="0.3">
      <c r="A649" s="9">
        <v>648</v>
      </c>
      <c r="B649" s="2" t="s">
        <v>654</v>
      </c>
      <c r="C649" s="11">
        <v>22</v>
      </c>
      <c r="D649" s="12">
        <v>50</v>
      </c>
      <c r="E649" s="12" t="s">
        <v>8220</v>
      </c>
      <c r="F649" s="13">
        <v>6</v>
      </c>
      <c r="G649" s="14">
        <v>1816.25</v>
      </c>
      <c r="H649" t="s">
        <v>734</v>
      </c>
      <c r="I649">
        <v>6</v>
      </c>
    </row>
    <row r="650" spans="1:9" ht="15.6" x14ac:dyDescent="0.3">
      <c r="A650" s="9">
        <v>649</v>
      </c>
      <c r="B650" s="2" t="s">
        <v>655</v>
      </c>
      <c r="C650" s="11">
        <v>30</v>
      </c>
      <c r="D650" s="12">
        <v>50</v>
      </c>
      <c r="E650" s="12" t="s">
        <v>8220</v>
      </c>
      <c r="F650" s="13">
        <v>6</v>
      </c>
      <c r="G650" s="14">
        <v>1865.3000000000002</v>
      </c>
      <c r="H650" t="s">
        <v>3550</v>
      </c>
      <c r="I650">
        <v>7</v>
      </c>
    </row>
    <row r="651" spans="1:9" ht="15.6" x14ac:dyDescent="0.3">
      <c r="A651" s="9">
        <v>650</v>
      </c>
      <c r="B651" s="2" t="s">
        <v>656</v>
      </c>
      <c r="C651" s="11">
        <v>28</v>
      </c>
      <c r="D651" s="12">
        <v>66.666666666666657</v>
      </c>
      <c r="E651" s="12" t="s">
        <v>8220</v>
      </c>
      <c r="F651" s="13">
        <v>6</v>
      </c>
      <c r="G651" s="14">
        <v>1841.27</v>
      </c>
      <c r="H651" t="s">
        <v>2526</v>
      </c>
      <c r="I651">
        <v>7</v>
      </c>
    </row>
    <row r="652" spans="1:9" ht="15.6" x14ac:dyDescent="0.3">
      <c r="A652" s="9">
        <v>651</v>
      </c>
      <c r="B652" s="2" t="s">
        <v>657</v>
      </c>
      <c r="C652" s="11">
        <v>28</v>
      </c>
      <c r="D652" s="12">
        <v>66.666666666666657</v>
      </c>
      <c r="E652" s="12" t="s">
        <v>8220</v>
      </c>
      <c r="F652" s="13">
        <v>6</v>
      </c>
      <c r="G652" s="14">
        <v>1881.3000000000002</v>
      </c>
      <c r="H652" t="s">
        <v>1502</v>
      </c>
      <c r="I652">
        <v>7</v>
      </c>
    </row>
    <row r="653" spans="1:9" ht="15.6" x14ac:dyDescent="0.3">
      <c r="A653" s="9">
        <v>652</v>
      </c>
      <c r="B653" s="2" t="s">
        <v>658</v>
      </c>
      <c r="C653" s="11">
        <v>22</v>
      </c>
      <c r="D653" s="12">
        <v>50</v>
      </c>
      <c r="E653" s="12" t="s">
        <v>8220</v>
      </c>
      <c r="F653" s="13">
        <v>6</v>
      </c>
      <c r="G653" s="14">
        <v>1856.2800000000002</v>
      </c>
      <c r="H653" t="s">
        <v>478</v>
      </c>
      <c r="I653">
        <v>6</v>
      </c>
    </row>
    <row r="654" spans="1:9" ht="15.6" x14ac:dyDescent="0.3">
      <c r="A654" s="9">
        <v>653</v>
      </c>
      <c r="B654" s="2" t="s">
        <v>659</v>
      </c>
      <c r="C654" s="11">
        <v>24</v>
      </c>
      <c r="D654" s="12">
        <v>33.333333333333329</v>
      </c>
      <c r="E654" s="12" t="s">
        <v>8219</v>
      </c>
      <c r="F654" s="13">
        <v>6</v>
      </c>
      <c r="G654" s="14">
        <v>1840.2800000000002</v>
      </c>
      <c r="H654" t="s">
        <v>3294</v>
      </c>
      <c r="I654">
        <v>6</v>
      </c>
    </row>
    <row r="655" spans="1:9" ht="15.6" x14ac:dyDescent="0.3">
      <c r="A655" s="9">
        <v>654</v>
      </c>
      <c r="B655" s="2" t="s">
        <v>660</v>
      </c>
      <c r="C655" s="11">
        <v>22</v>
      </c>
      <c r="D655" s="12">
        <v>50</v>
      </c>
      <c r="E655" s="12" t="s">
        <v>8220</v>
      </c>
      <c r="F655" s="13">
        <v>6</v>
      </c>
      <c r="G655" s="14">
        <v>1816.25</v>
      </c>
      <c r="H655" t="s">
        <v>2270</v>
      </c>
      <c r="I655">
        <v>6</v>
      </c>
    </row>
    <row r="656" spans="1:9" ht="15.6" x14ac:dyDescent="0.3">
      <c r="A656" s="9">
        <v>655</v>
      </c>
      <c r="B656" s="2" t="s">
        <v>661</v>
      </c>
      <c r="C656" s="11">
        <v>22</v>
      </c>
      <c r="D656" s="12">
        <v>50</v>
      </c>
      <c r="E656" s="12" t="s">
        <v>8220</v>
      </c>
      <c r="F656" s="13">
        <v>6</v>
      </c>
      <c r="G656" s="14">
        <v>1856.2800000000002</v>
      </c>
      <c r="H656" t="s">
        <v>1246</v>
      </c>
      <c r="I656">
        <v>6</v>
      </c>
    </row>
    <row r="657" spans="1:9" ht="15.6" x14ac:dyDescent="0.3">
      <c r="A657" s="9">
        <v>656</v>
      </c>
      <c r="B657" s="2" t="s">
        <v>662</v>
      </c>
      <c r="C657" s="11">
        <v>16</v>
      </c>
      <c r="D657" s="12">
        <v>33.333333333333329</v>
      </c>
      <c r="E657" s="12" t="s">
        <v>8219</v>
      </c>
      <c r="F657" s="13">
        <v>6</v>
      </c>
      <c r="G657" s="14">
        <v>1831.2600000000002</v>
      </c>
      <c r="H657" t="s">
        <v>222</v>
      </c>
      <c r="I657">
        <v>5</v>
      </c>
    </row>
    <row r="658" spans="1:9" ht="15.6" x14ac:dyDescent="0.3">
      <c r="A658" s="9">
        <v>657</v>
      </c>
      <c r="B658" s="2" t="s">
        <v>663</v>
      </c>
      <c r="C658" s="11">
        <v>30</v>
      </c>
      <c r="D658" s="12">
        <v>50</v>
      </c>
      <c r="E658" s="12" t="s">
        <v>8220</v>
      </c>
      <c r="F658" s="13">
        <v>6</v>
      </c>
      <c r="G658" s="14">
        <v>1825.27</v>
      </c>
      <c r="H658" t="s">
        <v>3998</v>
      </c>
      <c r="I658">
        <v>7</v>
      </c>
    </row>
    <row r="659" spans="1:9" ht="15.6" x14ac:dyDescent="0.3">
      <c r="A659" s="9">
        <v>658</v>
      </c>
      <c r="B659" s="2" t="s">
        <v>664</v>
      </c>
      <c r="C659" s="11">
        <v>28</v>
      </c>
      <c r="D659" s="12">
        <v>66.666666666666657</v>
      </c>
      <c r="E659" s="12" t="s">
        <v>8220</v>
      </c>
      <c r="F659" s="13">
        <v>6</v>
      </c>
      <c r="G659" s="14">
        <v>1801.2399999999998</v>
      </c>
      <c r="H659" t="s">
        <v>2974</v>
      </c>
      <c r="I659">
        <v>7</v>
      </c>
    </row>
    <row r="660" spans="1:9" ht="15.6" x14ac:dyDescent="0.3">
      <c r="A660" s="9">
        <v>659</v>
      </c>
      <c r="B660" s="2" t="s">
        <v>665</v>
      </c>
      <c r="C660" s="11">
        <v>28</v>
      </c>
      <c r="D660" s="12">
        <v>66.666666666666657</v>
      </c>
      <c r="E660" s="12" t="s">
        <v>8220</v>
      </c>
      <c r="F660" s="13">
        <v>6</v>
      </c>
      <c r="G660" s="14">
        <v>1841.27</v>
      </c>
      <c r="H660" t="s">
        <v>1950</v>
      </c>
      <c r="I660">
        <v>7</v>
      </c>
    </row>
    <row r="661" spans="1:9" ht="15.6" x14ac:dyDescent="0.3">
      <c r="A661" s="9">
        <v>660</v>
      </c>
      <c r="B661" s="2" t="s">
        <v>666</v>
      </c>
      <c r="C661" s="11">
        <v>22</v>
      </c>
      <c r="D661" s="12">
        <v>50</v>
      </c>
      <c r="E661" s="12" t="s">
        <v>8220</v>
      </c>
      <c r="F661" s="13">
        <v>6</v>
      </c>
      <c r="G661" s="14">
        <v>1816.25</v>
      </c>
      <c r="H661" t="s">
        <v>926</v>
      </c>
      <c r="I661">
        <v>6</v>
      </c>
    </row>
    <row r="662" spans="1:9" ht="15.6" x14ac:dyDescent="0.3">
      <c r="A662" s="9">
        <v>661</v>
      </c>
      <c r="B662" s="2" t="s">
        <v>667</v>
      </c>
      <c r="C662" s="11">
        <v>28</v>
      </c>
      <c r="D662" s="12">
        <v>66.666666666666657</v>
      </c>
      <c r="E662" s="12" t="s">
        <v>8220</v>
      </c>
      <c r="F662" s="13">
        <v>6</v>
      </c>
      <c r="G662" s="14">
        <v>1801.2399999999998</v>
      </c>
      <c r="H662" t="s">
        <v>3742</v>
      </c>
      <c r="I662">
        <v>7</v>
      </c>
    </row>
    <row r="663" spans="1:9" ht="15.6" x14ac:dyDescent="0.3">
      <c r="A663" s="9">
        <v>662</v>
      </c>
      <c r="B663" s="2" t="s">
        <v>668</v>
      </c>
      <c r="C663" s="11">
        <v>26</v>
      </c>
      <c r="D663" s="12">
        <v>83.333333333333343</v>
      </c>
      <c r="E663" s="12" t="s">
        <v>8220</v>
      </c>
      <c r="F663" s="13">
        <v>6</v>
      </c>
      <c r="G663" s="14">
        <v>1777.21</v>
      </c>
      <c r="H663" t="s">
        <v>2718</v>
      </c>
      <c r="I663">
        <v>7</v>
      </c>
    </row>
    <row r="664" spans="1:9" ht="15.6" x14ac:dyDescent="0.3">
      <c r="A664" s="9">
        <v>663</v>
      </c>
      <c r="B664" s="2" t="s">
        <v>669</v>
      </c>
      <c r="C664" s="11">
        <v>26</v>
      </c>
      <c r="D664" s="12">
        <v>83.333333333333343</v>
      </c>
      <c r="E664" s="12" t="s">
        <v>8220</v>
      </c>
      <c r="F664" s="13">
        <v>6</v>
      </c>
      <c r="G664" s="14">
        <v>1817.2400000000002</v>
      </c>
      <c r="H664" t="s">
        <v>1694</v>
      </c>
      <c r="I664">
        <v>7</v>
      </c>
    </row>
    <row r="665" spans="1:9" ht="15.6" x14ac:dyDescent="0.3">
      <c r="A665" s="9">
        <v>664</v>
      </c>
      <c r="B665" s="2" t="s">
        <v>670</v>
      </c>
      <c r="C665" s="11">
        <v>20</v>
      </c>
      <c r="D665" s="12">
        <v>66.666666666666657</v>
      </c>
      <c r="E665" s="12" t="s">
        <v>8220</v>
      </c>
      <c r="F665" s="13">
        <v>6</v>
      </c>
      <c r="G665" s="14">
        <v>1792.2199999999998</v>
      </c>
      <c r="H665" t="s">
        <v>670</v>
      </c>
      <c r="I665">
        <v>6</v>
      </c>
    </row>
    <row r="666" spans="1:9" ht="15.6" x14ac:dyDescent="0.3">
      <c r="A666" s="9">
        <v>665</v>
      </c>
      <c r="B666" s="2" t="s">
        <v>671</v>
      </c>
      <c r="C666" s="11">
        <v>28</v>
      </c>
      <c r="D666" s="12">
        <v>66.666666666666657</v>
      </c>
      <c r="E666" s="12" t="s">
        <v>8220</v>
      </c>
      <c r="F666" s="13">
        <v>6</v>
      </c>
      <c r="G666" s="14">
        <v>1841.27</v>
      </c>
      <c r="H666" t="s">
        <v>3486</v>
      </c>
      <c r="I666">
        <v>7</v>
      </c>
    </row>
    <row r="667" spans="1:9" ht="15.6" x14ac:dyDescent="0.3">
      <c r="A667" s="9">
        <v>666</v>
      </c>
      <c r="B667" s="2" t="s">
        <v>672</v>
      </c>
      <c r="C667" s="11">
        <v>26</v>
      </c>
      <c r="D667" s="12">
        <v>83.333333333333343</v>
      </c>
      <c r="E667" s="12" t="s">
        <v>8220</v>
      </c>
      <c r="F667" s="13">
        <v>6</v>
      </c>
      <c r="G667" s="14">
        <v>1817.2400000000002</v>
      </c>
      <c r="H667" t="s">
        <v>2462</v>
      </c>
      <c r="I667">
        <v>7</v>
      </c>
    </row>
    <row r="668" spans="1:9" ht="15.6" x14ac:dyDescent="0.3">
      <c r="A668" s="9">
        <v>667</v>
      </c>
      <c r="B668" s="2" t="s">
        <v>673</v>
      </c>
      <c r="C668" s="11">
        <v>26</v>
      </c>
      <c r="D668" s="12">
        <v>83.333333333333343</v>
      </c>
      <c r="E668" s="12" t="s">
        <v>8220</v>
      </c>
      <c r="F668" s="13">
        <v>6</v>
      </c>
      <c r="G668" s="14">
        <v>1857.27</v>
      </c>
      <c r="H668" t="s">
        <v>1438</v>
      </c>
      <c r="I668">
        <v>7</v>
      </c>
    </row>
    <row r="669" spans="1:9" ht="15.6" x14ac:dyDescent="0.3">
      <c r="A669" s="9">
        <v>668</v>
      </c>
      <c r="B669" s="2" t="s">
        <v>674</v>
      </c>
      <c r="C669" s="11">
        <v>20</v>
      </c>
      <c r="D669" s="12">
        <v>66.666666666666657</v>
      </c>
      <c r="E669" s="12" t="s">
        <v>8220</v>
      </c>
      <c r="F669" s="13">
        <v>6</v>
      </c>
      <c r="G669" s="14">
        <v>1832.25</v>
      </c>
      <c r="H669" t="s">
        <v>414</v>
      </c>
      <c r="I669">
        <v>6</v>
      </c>
    </row>
    <row r="670" spans="1:9" ht="15.6" x14ac:dyDescent="0.3">
      <c r="A670" s="9">
        <v>669</v>
      </c>
      <c r="B670" s="2" t="s">
        <v>675</v>
      </c>
      <c r="C670" s="11">
        <v>22</v>
      </c>
      <c r="D670" s="12">
        <v>50</v>
      </c>
      <c r="E670" s="12" t="s">
        <v>8220</v>
      </c>
      <c r="F670" s="13">
        <v>6</v>
      </c>
      <c r="G670" s="14">
        <v>1816.25</v>
      </c>
      <c r="H670" t="s">
        <v>3230</v>
      </c>
      <c r="I670">
        <v>6</v>
      </c>
    </row>
    <row r="671" spans="1:9" ht="15.6" x14ac:dyDescent="0.3">
      <c r="A671" s="9">
        <v>670</v>
      </c>
      <c r="B671" s="2" t="s">
        <v>676</v>
      </c>
      <c r="C671" s="11">
        <v>20</v>
      </c>
      <c r="D671" s="12">
        <v>66.666666666666657</v>
      </c>
      <c r="E671" s="12" t="s">
        <v>8220</v>
      </c>
      <c r="F671" s="13">
        <v>6</v>
      </c>
      <c r="G671" s="14">
        <v>1792.2199999999998</v>
      </c>
      <c r="H671" t="s">
        <v>2206</v>
      </c>
      <c r="I671">
        <v>6</v>
      </c>
    </row>
    <row r="672" spans="1:9" ht="15.6" x14ac:dyDescent="0.3">
      <c r="A672" s="9">
        <v>671</v>
      </c>
      <c r="B672" s="2" t="s">
        <v>677</v>
      </c>
      <c r="C672" s="11">
        <v>20</v>
      </c>
      <c r="D672" s="12">
        <v>66.666666666666657</v>
      </c>
      <c r="E672" s="12" t="s">
        <v>8220</v>
      </c>
      <c r="F672" s="13">
        <v>6</v>
      </c>
      <c r="G672" s="14">
        <v>1832.25</v>
      </c>
      <c r="H672" t="s">
        <v>1182</v>
      </c>
      <c r="I672">
        <v>6</v>
      </c>
    </row>
    <row r="673" spans="1:9" ht="15.6" x14ac:dyDescent="0.3">
      <c r="A673" s="9">
        <v>672</v>
      </c>
      <c r="B673" s="2" t="s">
        <v>678</v>
      </c>
      <c r="C673" s="11">
        <v>14</v>
      </c>
      <c r="D673" s="12">
        <v>50</v>
      </c>
      <c r="E673" s="12" t="s">
        <v>8220</v>
      </c>
      <c r="F673" s="13">
        <v>6</v>
      </c>
      <c r="G673" s="14">
        <v>1807.23</v>
      </c>
      <c r="H673" t="s">
        <v>158</v>
      </c>
      <c r="I673">
        <v>5</v>
      </c>
    </row>
    <row r="674" spans="1:9" ht="15.6" x14ac:dyDescent="0.3">
      <c r="A674" s="9">
        <v>673</v>
      </c>
      <c r="B674" s="2" t="s">
        <v>679</v>
      </c>
      <c r="C674" s="11">
        <v>30</v>
      </c>
      <c r="D674" s="12">
        <v>50</v>
      </c>
      <c r="E674" s="12" t="s">
        <v>8220</v>
      </c>
      <c r="F674" s="13">
        <v>6</v>
      </c>
      <c r="G674" s="14">
        <v>1865.3000000000002</v>
      </c>
      <c r="H674" t="s">
        <v>3934</v>
      </c>
      <c r="I674">
        <v>7</v>
      </c>
    </row>
    <row r="675" spans="1:9" ht="15.6" x14ac:dyDescent="0.3">
      <c r="A675" s="9">
        <v>674</v>
      </c>
      <c r="B675" s="2" t="s">
        <v>680</v>
      </c>
      <c r="C675" s="11">
        <v>28</v>
      </c>
      <c r="D675" s="12">
        <v>66.666666666666657</v>
      </c>
      <c r="E675" s="12" t="s">
        <v>8220</v>
      </c>
      <c r="F675" s="13">
        <v>6</v>
      </c>
      <c r="G675" s="14">
        <v>1841.27</v>
      </c>
      <c r="H675" t="s">
        <v>2910</v>
      </c>
      <c r="I675">
        <v>7</v>
      </c>
    </row>
    <row r="676" spans="1:9" ht="15.6" x14ac:dyDescent="0.3">
      <c r="A676" s="9">
        <v>675</v>
      </c>
      <c r="B676" s="2" t="s">
        <v>681</v>
      </c>
      <c r="C676" s="11">
        <v>28</v>
      </c>
      <c r="D676" s="12">
        <v>66.666666666666657</v>
      </c>
      <c r="E676" s="12" t="s">
        <v>8220</v>
      </c>
      <c r="F676" s="13">
        <v>6</v>
      </c>
      <c r="G676" s="14">
        <v>1881.3000000000002</v>
      </c>
      <c r="H676" t="s">
        <v>1886</v>
      </c>
      <c r="I676">
        <v>7</v>
      </c>
    </row>
    <row r="677" spans="1:9" ht="15.6" x14ac:dyDescent="0.3">
      <c r="A677" s="9">
        <v>676</v>
      </c>
      <c r="B677" s="2" t="s">
        <v>682</v>
      </c>
      <c r="C677" s="11">
        <v>22</v>
      </c>
      <c r="D677" s="12">
        <v>50</v>
      </c>
      <c r="E677" s="12" t="s">
        <v>8220</v>
      </c>
      <c r="F677" s="13">
        <v>6</v>
      </c>
      <c r="G677" s="14">
        <v>1856.2800000000002</v>
      </c>
      <c r="H677" t="s">
        <v>862</v>
      </c>
      <c r="I677">
        <v>6</v>
      </c>
    </row>
    <row r="678" spans="1:9" ht="15.6" x14ac:dyDescent="0.3">
      <c r="A678" s="9">
        <v>677</v>
      </c>
      <c r="B678" s="2" t="s">
        <v>683</v>
      </c>
      <c r="C678" s="11">
        <v>28</v>
      </c>
      <c r="D678" s="12">
        <v>66.666666666666657</v>
      </c>
      <c r="E678" s="12" t="s">
        <v>8220</v>
      </c>
      <c r="F678" s="13">
        <v>6</v>
      </c>
      <c r="G678" s="14">
        <v>1841.27</v>
      </c>
      <c r="H678" t="s">
        <v>3678</v>
      </c>
      <c r="I678">
        <v>7</v>
      </c>
    </row>
    <row r="679" spans="1:9" ht="15.6" x14ac:dyDescent="0.3">
      <c r="A679" s="9">
        <v>678</v>
      </c>
      <c r="B679" s="2" t="s">
        <v>684</v>
      </c>
      <c r="C679" s="11">
        <v>26</v>
      </c>
      <c r="D679" s="12">
        <v>83.333333333333343</v>
      </c>
      <c r="E679" s="12" t="s">
        <v>8220</v>
      </c>
      <c r="F679" s="13">
        <v>6</v>
      </c>
      <c r="G679" s="14">
        <v>1817.2400000000002</v>
      </c>
      <c r="H679" t="s">
        <v>2654</v>
      </c>
      <c r="I679">
        <v>7</v>
      </c>
    </row>
    <row r="680" spans="1:9" ht="15.6" x14ac:dyDescent="0.3">
      <c r="A680" s="9">
        <v>679</v>
      </c>
      <c r="B680" s="2" t="s">
        <v>685</v>
      </c>
      <c r="C680" s="11">
        <v>26</v>
      </c>
      <c r="D680" s="12">
        <v>83.333333333333343</v>
      </c>
      <c r="E680" s="12" t="s">
        <v>8220</v>
      </c>
      <c r="F680" s="13">
        <v>6</v>
      </c>
      <c r="G680" s="14">
        <v>1857.27</v>
      </c>
      <c r="H680" t="s">
        <v>1630</v>
      </c>
      <c r="I680">
        <v>7</v>
      </c>
    </row>
    <row r="681" spans="1:9" ht="15.6" x14ac:dyDescent="0.3">
      <c r="A681" s="9">
        <v>680</v>
      </c>
      <c r="B681" s="2" t="s">
        <v>686</v>
      </c>
      <c r="C681" s="11">
        <v>20</v>
      </c>
      <c r="D681" s="12">
        <v>66.666666666666657</v>
      </c>
      <c r="E681" s="12" t="s">
        <v>8220</v>
      </c>
      <c r="F681" s="13">
        <v>6</v>
      </c>
      <c r="G681" s="14">
        <v>1832.25</v>
      </c>
      <c r="H681" t="s">
        <v>606</v>
      </c>
      <c r="I681">
        <v>6</v>
      </c>
    </row>
    <row r="682" spans="1:9" ht="15.6" x14ac:dyDescent="0.3">
      <c r="A682" s="9">
        <v>681</v>
      </c>
      <c r="B682" s="2" t="s">
        <v>687</v>
      </c>
      <c r="C682" s="11">
        <v>28</v>
      </c>
      <c r="D682" s="12">
        <v>66.666666666666657</v>
      </c>
      <c r="E682" s="12" t="s">
        <v>8220</v>
      </c>
      <c r="F682" s="13">
        <v>6</v>
      </c>
      <c r="G682" s="14">
        <v>1881.3000000000002</v>
      </c>
      <c r="H682" t="s">
        <v>3422</v>
      </c>
      <c r="I682">
        <v>7</v>
      </c>
    </row>
    <row r="683" spans="1:9" ht="15.6" x14ac:dyDescent="0.3">
      <c r="A683" s="9">
        <v>682</v>
      </c>
      <c r="B683" s="2" t="s">
        <v>688</v>
      </c>
      <c r="C683" s="11">
        <v>26</v>
      </c>
      <c r="D683" s="12">
        <v>83.333333333333343</v>
      </c>
      <c r="E683" s="12" t="s">
        <v>8220</v>
      </c>
      <c r="F683" s="13">
        <v>6</v>
      </c>
      <c r="G683" s="14">
        <v>1857.27</v>
      </c>
      <c r="H683" t="s">
        <v>2398</v>
      </c>
      <c r="I683">
        <v>7</v>
      </c>
    </row>
    <row r="684" spans="1:9" ht="15.6" x14ac:dyDescent="0.3">
      <c r="A684" s="9">
        <v>683</v>
      </c>
      <c r="B684" s="2" t="s">
        <v>689</v>
      </c>
      <c r="C684" s="11">
        <v>26</v>
      </c>
      <c r="D684" s="12">
        <v>83.333333333333343</v>
      </c>
      <c r="E684" s="12" t="s">
        <v>8220</v>
      </c>
      <c r="F684" s="13">
        <v>6</v>
      </c>
      <c r="G684" s="14">
        <v>1897.3000000000002</v>
      </c>
      <c r="H684" t="s">
        <v>1374</v>
      </c>
      <c r="I684">
        <v>7</v>
      </c>
    </row>
    <row r="685" spans="1:9" ht="15.6" x14ac:dyDescent="0.3">
      <c r="A685" s="9">
        <v>684</v>
      </c>
      <c r="B685" s="2" t="s">
        <v>690</v>
      </c>
      <c r="C685" s="11">
        <v>20</v>
      </c>
      <c r="D685" s="12">
        <v>66.666666666666657</v>
      </c>
      <c r="E685" s="12" t="s">
        <v>8220</v>
      </c>
      <c r="F685" s="13">
        <v>6</v>
      </c>
      <c r="G685" s="14">
        <v>1872.2800000000002</v>
      </c>
      <c r="H685" t="s">
        <v>350</v>
      </c>
      <c r="I685">
        <v>6</v>
      </c>
    </row>
    <row r="686" spans="1:9" ht="15.6" x14ac:dyDescent="0.3">
      <c r="A686" s="9">
        <v>685</v>
      </c>
      <c r="B686" s="2" t="s">
        <v>691</v>
      </c>
      <c r="C686" s="11">
        <v>22</v>
      </c>
      <c r="D686" s="12">
        <v>50</v>
      </c>
      <c r="E686" s="12" t="s">
        <v>8220</v>
      </c>
      <c r="F686" s="13">
        <v>6</v>
      </c>
      <c r="G686" s="14">
        <v>1856.2800000000002</v>
      </c>
      <c r="H686" t="s">
        <v>3166</v>
      </c>
      <c r="I686">
        <v>6</v>
      </c>
    </row>
    <row r="687" spans="1:9" ht="15.6" x14ac:dyDescent="0.3">
      <c r="A687" s="9">
        <v>686</v>
      </c>
      <c r="B687" s="2" t="s">
        <v>692</v>
      </c>
      <c r="C687" s="11">
        <v>20</v>
      </c>
      <c r="D687" s="12">
        <v>66.666666666666657</v>
      </c>
      <c r="E687" s="12" t="s">
        <v>8220</v>
      </c>
      <c r="F687" s="13">
        <v>6</v>
      </c>
      <c r="G687" s="14">
        <v>1832.25</v>
      </c>
      <c r="H687" t="s">
        <v>2142</v>
      </c>
      <c r="I687">
        <v>6</v>
      </c>
    </row>
    <row r="688" spans="1:9" ht="15.6" x14ac:dyDescent="0.3">
      <c r="A688" s="9">
        <v>687</v>
      </c>
      <c r="B688" s="2" t="s">
        <v>693</v>
      </c>
      <c r="C688" s="11">
        <v>20</v>
      </c>
      <c r="D688" s="12">
        <v>66.666666666666657</v>
      </c>
      <c r="E688" s="12" t="s">
        <v>8220</v>
      </c>
      <c r="F688" s="13">
        <v>6</v>
      </c>
      <c r="G688" s="14">
        <v>1872.2800000000002</v>
      </c>
      <c r="H688" t="s">
        <v>1118</v>
      </c>
      <c r="I688">
        <v>6</v>
      </c>
    </row>
    <row r="689" spans="1:9" ht="15.6" x14ac:dyDescent="0.3">
      <c r="A689" s="9">
        <v>688</v>
      </c>
      <c r="B689" s="2" t="s">
        <v>694</v>
      </c>
      <c r="C689" s="11">
        <v>14</v>
      </c>
      <c r="D689" s="12">
        <v>50</v>
      </c>
      <c r="E689" s="12" t="s">
        <v>8220</v>
      </c>
      <c r="F689" s="13">
        <v>6</v>
      </c>
      <c r="G689" s="14">
        <v>1847.2600000000002</v>
      </c>
      <c r="H689" t="s">
        <v>94</v>
      </c>
      <c r="I689">
        <v>5</v>
      </c>
    </row>
    <row r="690" spans="1:9" ht="15.6" x14ac:dyDescent="0.3">
      <c r="A690" s="9">
        <v>689</v>
      </c>
      <c r="B690" s="2" t="s">
        <v>695</v>
      </c>
      <c r="C690" s="11">
        <v>24</v>
      </c>
      <c r="D690" s="12">
        <v>33.333333333333329</v>
      </c>
      <c r="E690" s="12" t="s">
        <v>8219</v>
      </c>
      <c r="F690" s="13">
        <v>6</v>
      </c>
      <c r="G690" s="14">
        <v>1840.2800000000002</v>
      </c>
      <c r="H690" t="s">
        <v>3870</v>
      </c>
      <c r="I690">
        <v>6</v>
      </c>
    </row>
    <row r="691" spans="1:9" ht="15.6" x14ac:dyDescent="0.3">
      <c r="A691" s="9">
        <v>690</v>
      </c>
      <c r="B691" s="2" t="s">
        <v>696</v>
      </c>
      <c r="C691" s="11">
        <v>22</v>
      </c>
      <c r="D691" s="12">
        <v>50</v>
      </c>
      <c r="E691" s="12" t="s">
        <v>8220</v>
      </c>
      <c r="F691" s="13">
        <v>6</v>
      </c>
      <c r="G691" s="14">
        <v>1816.25</v>
      </c>
      <c r="H691" t="s">
        <v>2846</v>
      </c>
      <c r="I691">
        <v>6</v>
      </c>
    </row>
    <row r="692" spans="1:9" ht="15.6" x14ac:dyDescent="0.3">
      <c r="A692" s="9">
        <v>691</v>
      </c>
      <c r="B692" s="2" t="s">
        <v>697</v>
      </c>
      <c r="C692" s="11">
        <v>22</v>
      </c>
      <c r="D692" s="12">
        <v>50</v>
      </c>
      <c r="E692" s="12" t="s">
        <v>8220</v>
      </c>
      <c r="F692" s="13">
        <v>6</v>
      </c>
      <c r="G692" s="14">
        <v>1856.2800000000002</v>
      </c>
      <c r="H692" t="s">
        <v>1822</v>
      </c>
      <c r="I692">
        <v>6</v>
      </c>
    </row>
    <row r="693" spans="1:9" ht="15.6" x14ac:dyDescent="0.3">
      <c r="A693" s="9">
        <v>692</v>
      </c>
      <c r="B693" s="2" t="s">
        <v>698</v>
      </c>
      <c r="C693" s="11">
        <v>16</v>
      </c>
      <c r="D693" s="12">
        <v>33.333333333333329</v>
      </c>
      <c r="E693" s="12" t="s">
        <v>8219</v>
      </c>
      <c r="F693" s="13">
        <v>6</v>
      </c>
      <c r="G693" s="14">
        <v>1831.2600000000002</v>
      </c>
      <c r="H693" t="s">
        <v>798</v>
      </c>
      <c r="I693">
        <v>5</v>
      </c>
    </row>
    <row r="694" spans="1:9" ht="15.6" x14ac:dyDescent="0.3">
      <c r="A694" s="9">
        <v>693</v>
      </c>
      <c r="B694" s="2" t="s">
        <v>699</v>
      </c>
      <c r="C694" s="11">
        <v>22</v>
      </c>
      <c r="D694" s="12">
        <v>50</v>
      </c>
      <c r="E694" s="12" t="s">
        <v>8220</v>
      </c>
      <c r="F694" s="13">
        <v>6</v>
      </c>
      <c r="G694" s="14">
        <v>1816.25</v>
      </c>
      <c r="H694" t="s">
        <v>3614</v>
      </c>
      <c r="I694">
        <v>6</v>
      </c>
    </row>
    <row r="695" spans="1:9" ht="15.6" x14ac:dyDescent="0.3">
      <c r="A695" s="9">
        <v>694</v>
      </c>
      <c r="B695" s="2" t="s">
        <v>700</v>
      </c>
      <c r="C695" s="11">
        <v>20</v>
      </c>
      <c r="D695" s="12">
        <v>66.666666666666657</v>
      </c>
      <c r="E695" s="12" t="s">
        <v>8220</v>
      </c>
      <c r="F695" s="13">
        <v>6</v>
      </c>
      <c r="G695" s="14">
        <v>1792.2199999999998</v>
      </c>
      <c r="H695" t="s">
        <v>2590</v>
      </c>
      <c r="I695">
        <v>6</v>
      </c>
    </row>
    <row r="696" spans="1:9" ht="15.6" x14ac:dyDescent="0.3">
      <c r="A696" s="9">
        <v>695</v>
      </c>
      <c r="B696" s="2" t="s">
        <v>701</v>
      </c>
      <c r="C696" s="11">
        <v>20</v>
      </c>
      <c r="D696" s="12">
        <v>66.666666666666657</v>
      </c>
      <c r="E696" s="12" t="s">
        <v>8220</v>
      </c>
      <c r="F696" s="13">
        <v>6</v>
      </c>
      <c r="G696" s="14">
        <v>1832.25</v>
      </c>
      <c r="H696" t="s">
        <v>1566</v>
      </c>
      <c r="I696">
        <v>6</v>
      </c>
    </row>
    <row r="697" spans="1:9" ht="15.6" x14ac:dyDescent="0.3">
      <c r="A697" s="9">
        <v>696</v>
      </c>
      <c r="B697" s="2" t="s">
        <v>702</v>
      </c>
      <c r="C697" s="11">
        <v>14</v>
      </c>
      <c r="D697" s="12">
        <v>50</v>
      </c>
      <c r="E697" s="12" t="s">
        <v>8220</v>
      </c>
      <c r="F697" s="13">
        <v>6</v>
      </c>
      <c r="G697" s="14">
        <v>1807.23</v>
      </c>
      <c r="H697" t="s">
        <v>542</v>
      </c>
      <c r="I697">
        <v>5</v>
      </c>
    </row>
    <row r="698" spans="1:9" ht="15.6" x14ac:dyDescent="0.3">
      <c r="A698" s="9">
        <v>697</v>
      </c>
      <c r="B698" s="2" t="s">
        <v>703</v>
      </c>
      <c r="C698" s="11">
        <v>22</v>
      </c>
      <c r="D698" s="12">
        <v>50</v>
      </c>
      <c r="E698" s="12" t="s">
        <v>8220</v>
      </c>
      <c r="F698" s="13">
        <v>6</v>
      </c>
      <c r="G698" s="14">
        <v>1856.2800000000002</v>
      </c>
      <c r="H698" t="s">
        <v>3358</v>
      </c>
      <c r="I698">
        <v>6</v>
      </c>
    </row>
    <row r="699" spans="1:9" ht="15.6" x14ac:dyDescent="0.3">
      <c r="A699" s="9">
        <v>698</v>
      </c>
      <c r="B699" s="2" t="s">
        <v>704</v>
      </c>
      <c r="C699" s="11">
        <v>20</v>
      </c>
      <c r="D699" s="12">
        <v>66.666666666666657</v>
      </c>
      <c r="E699" s="12" t="s">
        <v>8220</v>
      </c>
      <c r="F699" s="13">
        <v>6</v>
      </c>
      <c r="G699" s="14">
        <v>1832.25</v>
      </c>
      <c r="H699" t="s">
        <v>2334</v>
      </c>
      <c r="I699">
        <v>6</v>
      </c>
    </row>
    <row r="700" spans="1:9" ht="15.6" x14ac:dyDescent="0.3">
      <c r="A700" s="9">
        <v>699</v>
      </c>
      <c r="B700" s="2" t="s">
        <v>705</v>
      </c>
      <c r="C700" s="11">
        <v>20</v>
      </c>
      <c r="D700" s="12">
        <v>66.666666666666657</v>
      </c>
      <c r="E700" s="12" t="s">
        <v>8220</v>
      </c>
      <c r="F700" s="13">
        <v>6</v>
      </c>
      <c r="G700" s="14">
        <v>1872.2800000000002</v>
      </c>
      <c r="H700" t="s">
        <v>1310</v>
      </c>
      <c r="I700">
        <v>6</v>
      </c>
    </row>
    <row r="701" spans="1:9" ht="15.6" x14ac:dyDescent="0.3">
      <c r="A701" s="9">
        <v>700</v>
      </c>
      <c r="B701" s="2" t="s">
        <v>706</v>
      </c>
      <c r="C701" s="11">
        <v>14</v>
      </c>
      <c r="D701" s="12">
        <v>50</v>
      </c>
      <c r="E701" s="12" t="s">
        <v>8220</v>
      </c>
      <c r="F701" s="13">
        <v>6</v>
      </c>
      <c r="G701" s="14">
        <v>1847.2600000000002</v>
      </c>
      <c r="H701" t="s">
        <v>286</v>
      </c>
      <c r="I701">
        <v>5</v>
      </c>
    </row>
    <row r="702" spans="1:9" ht="15.6" x14ac:dyDescent="0.3">
      <c r="A702" s="9">
        <v>701</v>
      </c>
      <c r="B702" s="2" t="s">
        <v>707</v>
      </c>
      <c r="C702" s="11">
        <v>16</v>
      </c>
      <c r="D702" s="12">
        <v>33.333333333333329</v>
      </c>
      <c r="E702" s="12" t="s">
        <v>8219</v>
      </c>
      <c r="F702" s="13">
        <v>6</v>
      </c>
      <c r="G702" s="14">
        <v>1831.2600000000002</v>
      </c>
      <c r="H702" t="s">
        <v>3102</v>
      </c>
      <c r="I702">
        <v>5</v>
      </c>
    </row>
    <row r="703" spans="1:9" ht="15.6" x14ac:dyDescent="0.3">
      <c r="A703" s="9">
        <v>702</v>
      </c>
      <c r="B703" s="2" t="s">
        <v>708</v>
      </c>
      <c r="C703" s="11">
        <v>14</v>
      </c>
      <c r="D703" s="12">
        <v>50</v>
      </c>
      <c r="E703" s="12" t="s">
        <v>8220</v>
      </c>
      <c r="F703" s="13">
        <v>6</v>
      </c>
      <c r="G703" s="14">
        <v>1807.23</v>
      </c>
      <c r="H703" t="s">
        <v>2078</v>
      </c>
      <c r="I703">
        <v>5</v>
      </c>
    </row>
    <row r="704" spans="1:9" ht="15.6" x14ac:dyDescent="0.3">
      <c r="A704" s="9">
        <v>703</v>
      </c>
      <c r="B704" s="2" t="s">
        <v>709</v>
      </c>
      <c r="C704" s="11">
        <v>14</v>
      </c>
      <c r="D704" s="12">
        <v>50</v>
      </c>
      <c r="E704" s="12" t="s">
        <v>8220</v>
      </c>
      <c r="F704" s="13">
        <v>6</v>
      </c>
      <c r="G704" s="14">
        <v>1847.2600000000002</v>
      </c>
      <c r="H704" t="s">
        <v>1054</v>
      </c>
      <c r="I704">
        <v>5</v>
      </c>
    </row>
    <row r="705" spans="1:9" ht="15.6" x14ac:dyDescent="0.3">
      <c r="A705" s="9">
        <v>704</v>
      </c>
      <c r="B705" s="2" t="s">
        <v>710</v>
      </c>
      <c r="C705" s="11">
        <v>8</v>
      </c>
      <c r="D705" s="12">
        <v>33.333333333333329</v>
      </c>
      <c r="E705" s="12" t="s">
        <v>8219</v>
      </c>
      <c r="F705" s="13">
        <v>6</v>
      </c>
      <c r="G705" s="14">
        <v>1822.2400000000002</v>
      </c>
      <c r="H705" t="s">
        <v>30</v>
      </c>
      <c r="I705">
        <v>4</v>
      </c>
    </row>
    <row r="706" spans="1:9" ht="15.6" x14ac:dyDescent="0.3">
      <c r="A706" s="9">
        <v>705</v>
      </c>
      <c r="B706" s="2" t="s">
        <v>711</v>
      </c>
      <c r="C706" s="11">
        <v>26</v>
      </c>
      <c r="D706" s="12">
        <v>16.666666666666664</v>
      </c>
      <c r="E706" s="12" t="s">
        <v>8219</v>
      </c>
      <c r="F706" s="13">
        <v>6</v>
      </c>
      <c r="G706" s="14">
        <v>1824.2799999999997</v>
      </c>
      <c r="H706" t="s">
        <v>4046</v>
      </c>
      <c r="I706">
        <v>7</v>
      </c>
    </row>
    <row r="707" spans="1:9" ht="15.6" x14ac:dyDescent="0.3">
      <c r="A707" s="9">
        <v>706</v>
      </c>
      <c r="B707" s="2" t="s">
        <v>712</v>
      </c>
      <c r="C707" s="11">
        <v>24</v>
      </c>
      <c r="D707" s="12">
        <v>33.333333333333329</v>
      </c>
      <c r="E707" s="12" t="s">
        <v>8219</v>
      </c>
      <c r="F707" s="13">
        <v>6</v>
      </c>
      <c r="G707" s="14">
        <v>1800.25</v>
      </c>
      <c r="H707" t="s">
        <v>3022</v>
      </c>
      <c r="I707">
        <v>6</v>
      </c>
    </row>
    <row r="708" spans="1:9" ht="15.6" x14ac:dyDescent="0.3">
      <c r="A708" s="9">
        <v>707</v>
      </c>
      <c r="B708" s="2" t="s">
        <v>713</v>
      </c>
      <c r="C708" s="11">
        <v>24</v>
      </c>
      <c r="D708" s="12">
        <v>33.333333333333329</v>
      </c>
      <c r="E708" s="12" t="s">
        <v>8219</v>
      </c>
      <c r="F708" s="13">
        <v>6</v>
      </c>
      <c r="G708" s="14">
        <v>1840.2800000000002</v>
      </c>
      <c r="H708" t="s">
        <v>1998</v>
      </c>
      <c r="I708">
        <v>6</v>
      </c>
    </row>
    <row r="709" spans="1:9" ht="15.6" x14ac:dyDescent="0.3">
      <c r="A709" s="9">
        <v>708</v>
      </c>
      <c r="B709" s="2" t="s">
        <v>714</v>
      </c>
      <c r="C709" s="11">
        <v>18</v>
      </c>
      <c r="D709" s="12">
        <v>16.666666666666664</v>
      </c>
      <c r="E709" s="12" t="s">
        <v>8219</v>
      </c>
      <c r="F709" s="13">
        <v>6</v>
      </c>
      <c r="G709" s="14">
        <v>1815.2599999999998</v>
      </c>
      <c r="H709" t="s">
        <v>974</v>
      </c>
      <c r="I709">
        <v>5</v>
      </c>
    </row>
    <row r="710" spans="1:9" ht="15.6" x14ac:dyDescent="0.3">
      <c r="A710" s="9">
        <v>709</v>
      </c>
      <c r="B710" s="2" t="s">
        <v>715</v>
      </c>
      <c r="C710" s="11">
        <v>24</v>
      </c>
      <c r="D710" s="12">
        <v>33.333333333333329</v>
      </c>
      <c r="E710" s="12" t="s">
        <v>8219</v>
      </c>
      <c r="F710" s="13">
        <v>6</v>
      </c>
      <c r="G710" s="14">
        <v>1800.25</v>
      </c>
      <c r="H710" t="s">
        <v>3790</v>
      </c>
      <c r="I710">
        <v>6</v>
      </c>
    </row>
    <row r="711" spans="1:9" ht="15.6" x14ac:dyDescent="0.3">
      <c r="A711" s="9">
        <v>710</v>
      </c>
      <c r="B711" s="2" t="s">
        <v>716</v>
      </c>
      <c r="C711" s="11">
        <v>22</v>
      </c>
      <c r="D711" s="12">
        <v>50</v>
      </c>
      <c r="E711" s="12" t="s">
        <v>8220</v>
      </c>
      <c r="F711" s="13">
        <v>6</v>
      </c>
      <c r="G711" s="14">
        <v>1776.2199999999998</v>
      </c>
      <c r="H711" t="s">
        <v>2766</v>
      </c>
      <c r="I711">
        <v>6</v>
      </c>
    </row>
    <row r="712" spans="1:9" ht="15.6" x14ac:dyDescent="0.3">
      <c r="A712" s="9">
        <v>711</v>
      </c>
      <c r="B712" s="2" t="s">
        <v>717</v>
      </c>
      <c r="C712" s="11">
        <v>22</v>
      </c>
      <c r="D712" s="12">
        <v>50</v>
      </c>
      <c r="E712" s="12" t="s">
        <v>8220</v>
      </c>
      <c r="F712" s="13">
        <v>6</v>
      </c>
      <c r="G712" s="14">
        <v>1816.25</v>
      </c>
      <c r="H712" t="s">
        <v>1742</v>
      </c>
      <c r="I712">
        <v>6</v>
      </c>
    </row>
    <row r="713" spans="1:9" ht="15.6" x14ac:dyDescent="0.3">
      <c r="A713" s="9">
        <v>712</v>
      </c>
      <c r="B713" s="2" t="s">
        <v>718</v>
      </c>
      <c r="C713" s="11">
        <v>16</v>
      </c>
      <c r="D713" s="12">
        <v>33.333333333333329</v>
      </c>
      <c r="E713" s="12" t="s">
        <v>8219</v>
      </c>
      <c r="F713" s="13">
        <v>6</v>
      </c>
      <c r="G713" s="14">
        <v>1791.23</v>
      </c>
      <c r="H713" t="s">
        <v>718</v>
      </c>
      <c r="I713">
        <v>5</v>
      </c>
    </row>
    <row r="714" spans="1:9" ht="15.6" x14ac:dyDescent="0.3">
      <c r="A714" s="9">
        <v>713</v>
      </c>
      <c r="B714" s="2" t="s">
        <v>719</v>
      </c>
      <c r="C714" s="11">
        <v>24</v>
      </c>
      <c r="D714" s="12">
        <v>33.333333333333329</v>
      </c>
      <c r="E714" s="12" t="s">
        <v>8219</v>
      </c>
      <c r="F714" s="13">
        <v>6</v>
      </c>
      <c r="G714" s="14">
        <v>1840.2800000000002</v>
      </c>
      <c r="H714" t="s">
        <v>3534</v>
      </c>
      <c r="I714">
        <v>6</v>
      </c>
    </row>
    <row r="715" spans="1:9" ht="15.6" x14ac:dyDescent="0.3">
      <c r="A715" s="9">
        <v>714</v>
      </c>
      <c r="B715" s="2" t="s">
        <v>720</v>
      </c>
      <c r="C715" s="11">
        <v>22</v>
      </c>
      <c r="D715" s="12">
        <v>50</v>
      </c>
      <c r="E715" s="12" t="s">
        <v>8220</v>
      </c>
      <c r="F715" s="13">
        <v>6</v>
      </c>
      <c r="G715" s="14">
        <v>1816.25</v>
      </c>
      <c r="H715" t="s">
        <v>2510</v>
      </c>
      <c r="I715">
        <v>6</v>
      </c>
    </row>
    <row r="716" spans="1:9" ht="15.6" x14ac:dyDescent="0.3">
      <c r="A716" s="9">
        <v>715</v>
      </c>
      <c r="B716" s="2" t="s">
        <v>721</v>
      </c>
      <c r="C716" s="11">
        <v>22</v>
      </c>
      <c r="D716" s="12">
        <v>50</v>
      </c>
      <c r="E716" s="12" t="s">
        <v>8220</v>
      </c>
      <c r="F716" s="13">
        <v>6</v>
      </c>
      <c r="G716" s="14">
        <v>1856.2800000000002</v>
      </c>
      <c r="H716" t="s">
        <v>1486</v>
      </c>
      <c r="I716">
        <v>6</v>
      </c>
    </row>
    <row r="717" spans="1:9" ht="15.6" x14ac:dyDescent="0.3">
      <c r="A717" s="9">
        <v>716</v>
      </c>
      <c r="B717" s="2" t="s">
        <v>722</v>
      </c>
      <c r="C717" s="11">
        <v>16</v>
      </c>
      <c r="D717" s="12">
        <v>33.333333333333329</v>
      </c>
      <c r="E717" s="12" t="s">
        <v>8219</v>
      </c>
      <c r="F717" s="13">
        <v>6</v>
      </c>
      <c r="G717" s="14">
        <v>1831.2600000000002</v>
      </c>
      <c r="H717" t="s">
        <v>462</v>
      </c>
      <c r="I717">
        <v>5</v>
      </c>
    </row>
    <row r="718" spans="1:9" ht="15.6" x14ac:dyDescent="0.3">
      <c r="A718" s="9">
        <v>717</v>
      </c>
      <c r="B718" s="2" t="s">
        <v>723</v>
      </c>
      <c r="C718" s="11">
        <v>18</v>
      </c>
      <c r="D718" s="12">
        <v>16.666666666666664</v>
      </c>
      <c r="E718" s="12" t="s">
        <v>8219</v>
      </c>
      <c r="F718" s="13">
        <v>6</v>
      </c>
      <c r="G718" s="14">
        <v>1815.2599999999998</v>
      </c>
      <c r="H718" t="s">
        <v>3278</v>
      </c>
      <c r="I718">
        <v>5</v>
      </c>
    </row>
    <row r="719" spans="1:9" ht="15.6" x14ac:dyDescent="0.3">
      <c r="A719" s="9">
        <v>718</v>
      </c>
      <c r="B719" s="2" t="s">
        <v>724</v>
      </c>
      <c r="C719" s="11">
        <v>16</v>
      </c>
      <c r="D719" s="12">
        <v>33.333333333333329</v>
      </c>
      <c r="E719" s="12" t="s">
        <v>8219</v>
      </c>
      <c r="F719" s="13">
        <v>6</v>
      </c>
      <c r="G719" s="14">
        <v>1791.23</v>
      </c>
      <c r="H719" t="s">
        <v>2254</v>
      </c>
      <c r="I719">
        <v>5</v>
      </c>
    </row>
    <row r="720" spans="1:9" ht="15.6" x14ac:dyDescent="0.3">
      <c r="A720" s="9">
        <v>719</v>
      </c>
      <c r="B720" s="2" t="s">
        <v>725</v>
      </c>
      <c r="C720" s="11">
        <v>16</v>
      </c>
      <c r="D720" s="12">
        <v>33.333333333333329</v>
      </c>
      <c r="E720" s="12" t="s">
        <v>8219</v>
      </c>
      <c r="F720" s="13">
        <v>6</v>
      </c>
      <c r="G720" s="14">
        <v>1831.2600000000002</v>
      </c>
      <c r="H720" t="s">
        <v>1230</v>
      </c>
      <c r="I720">
        <v>5</v>
      </c>
    </row>
    <row r="721" spans="1:9" ht="15.6" x14ac:dyDescent="0.3">
      <c r="A721" s="9">
        <v>720</v>
      </c>
      <c r="B721" s="2" t="s">
        <v>726</v>
      </c>
      <c r="C721" s="11">
        <v>10</v>
      </c>
      <c r="D721" s="12">
        <v>16.666666666666664</v>
      </c>
      <c r="E721" s="12" t="s">
        <v>8219</v>
      </c>
      <c r="F721" s="13">
        <v>6</v>
      </c>
      <c r="G721" s="14">
        <v>1806.2399999999998</v>
      </c>
      <c r="H721" t="s">
        <v>206</v>
      </c>
      <c r="I721">
        <v>4</v>
      </c>
    </row>
    <row r="722" spans="1:9" ht="15.6" x14ac:dyDescent="0.3">
      <c r="A722" s="9">
        <v>721</v>
      </c>
      <c r="B722" s="2" t="s">
        <v>727</v>
      </c>
      <c r="C722" s="11">
        <v>24</v>
      </c>
      <c r="D722" s="12">
        <v>33.333333333333329</v>
      </c>
      <c r="E722" s="12" t="s">
        <v>8219</v>
      </c>
      <c r="F722" s="13">
        <v>6</v>
      </c>
      <c r="G722" s="14">
        <v>1800.25</v>
      </c>
      <c r="H722" t="s">
        <v>3982</v>
      </c>
      <c r="I722">
        <v>6</v>
      </c>
    </row>
    <row r="723" spans="1:9" ht="15.6" x14ac:dyDescent="0.3">
      <c r="A723" s="9">
        <v>722</v>
      </c>
      <c r="B723" s="2" t="s">
        <v>728</v>
      </c>
      <c r="C723" s="11">
        <v>22</v>
      </c>
      <c r="D723" s="12">
        <v>50</v>
      </c>
      <c r="E723" s="12" t="s">
        <v>8220</v>
      </c>
      <c r="F723" s="13">
        <v>6</v>
      </c>
      <c r="G723" s="14">
        <v>1776.2199999999998</v>
      </c>
      <c r="H723" t="s">
        <v>2958</v>
      </c>
      <c r="I723">
        <v>6</v>
      </c>
    </row>
    <row r="724" spans="1:9" ht="15.6" x14ac:dyDescent="0.3">
      <c r="A724" s="9">
        <v>723</v>
      </c>
      <c r="B724" s="2" t="s">
        <v>729</v>
      </c>
      <c r="C724" s="11">
        <v>22</v>
      </c>
      <c r="D724" s="12">
        <v>50</v>
      </c>
      <c r="E724" s="12" t="s">
        <v>8220</v>
      </c>
      <c r="F724" s="13">
        <v>6</v>
      </c>
      <c r="G724" s="14">
        <v>1816.25</v>
      </c>
      <c r="H724" t="s">
        <v>1934</v>
      </c>
      <c r="I724">
        <v>6</v>
      </c>
    </row>
    <row r="725" spans="1:9" ht="15.6" x14ac:dyDescent="0.3">
      <c r="A725" s="9">
        <v>724</v>
      </c>
      <c r="B725" s="2" t="s">
        <v>730</v>
      </c>
      <c r="C725" s="11">
        <v>16</v>
      </c>
      <c r="D725" s="12">
        <v>33.333333333333329</v>
      </c>
      <c r="E725" s="12" t="s">
        <v>8219</v>
      </c>
      <c r="F725" s="13">
        <v>6</v>
      </c>
      <c r="G725" s="14">
        <v>1791.23</v>
      </c>
      <c r="H725" t="s">
        <v>910</v>
      </c>
      <c r="I725">
        <v>5</v>
      </c>
    </row>
    <row r="726" spans="1:9" ht="15.6" x14ac:dyDescent="0.3">
      <c r="A726" s="9">
        <v>725</v>
      </c>
      <c r="B726" s="2" t="s">
        <v>731</v>
      </c>
      <c r="C726" s="11">
        <v>22</v>
      </c>
      <c r="D726" s="12">
        <v>50</v>
      </c>
      <c r="E726" s="12" t="s">
        <v>8220</v>
      </c>
      <c r="F726" s="13">
        <v>6</v>
      </c>
      <c r="G726" s="14">
        <v>1776.2199999999998</v>
      </c>
      <c r="H726" t="s">
        <v>3726</v>
      </c>
      <c r="I726">
        <v>6</v>
      </c>
    </row>
    <row r="727" spans="1:9" ht="15.6" x14ac:dyDescent="0.3">
      <c r="A727" s="9">
        <v>726</v>
      </c>
      <c r="B727" s="2" t="s">
        <v>732</v>
      </c>
      <c r="C727" s="11">
        <v>20</v>
      </c>
      <c r="D727" s="12">
        <v>66.666666666666657</v>
      </c>
      <c r="E727" s="12" t="s">
        <v>8220</v>
      </c>
      <c r="F727" s="13">
        <v>6</v>
      </c>
      <c r="G727" s="14">
        <v>1752.19</v>
      </c>
      <c r="H727" t="s">
        <v>2702</v>
      </c>
      <c r="I727">
        <v>6</v>
      </c>
    </row>
    <row r="728" spans="1:9" ht="15.6" x14ac:dyDescent="0.3">
      <c r="A728" s="9">
        <v>727</v>
      </c>
      <c r="B728" s="2" t="s">
        <v>733</v>
      </c>
      <c r="C728" s="11">
        <v>20</v>
      </c>
      <c r="D728" s="12">
        <v>66.666666666666657</v>
      </c>
      <c r="E728" s="12" t="s">
        <v>8220</v>
      </c>
      <c r="F728" s="13">
        <v>6</v>
      </c>
      <c r="G728" s="14">
        <v>1792.2199999999998</v>
      </c>
      <c r="H728" t="s">
        <v>1678</v>
      </c>
      <c r="I728">
        <v>6</v>
      </c>
    </row>
    <row r="729" spans="1:9" ht="15.6" x14ac:dyDescent="0.3">
      <c r="A729" s="9">
        <v>728</v>
      </c>
      <c r="B729" s="2" t="s">
        <v>734</v>
      </c>
      <c r="C729" s="11">
        <v>14</v>
      </c>
      <c r="D729" s="12">
        <v>50</v>
      </c>
      <c r="E729" s="12" t="s">
        <v>8220</v>
      </c>
      <c r="F729" s="13">
        <v>6</v>
      </c>
      <c r="G729" s="14">
        <v>1767.1999999999998</v>
      </c>
      <c r="H729" t="s">
        <v>654</v>
      </c>
      <c r="I729">
        <v>5</v>
      </c>
    </row>
    <row r="730" spans="1:9" ht="15.6" x14ac:dyDescent="0.3">
      <c r="A730" s="9">
        <v>729</v>
      </c>
      <c r="B730" s="2" t="s">
        <v>735</v>
      </c>
      <c r="C730" s="11">
        <v>22</v>
      </c>
      <c r="D730" s="12">
        <v>50</v>
      </c>
      <c r="E730" s="12" t="s">
        <v>8220</v>
      </c>
      <c r="F730" s="13">
        <v>6</v>
      </c>
      <c r="G730" s="14">
        <v>1816.25</v>
      </c>
      <c r="H730" t="s">
        <v>3470</v>
      </c>
      <c r="I730">
        <v>6</v>
      </c>
    </row>
    <row r="731" spans="1:9" ht="15.6" x14ac:dyDescent="0.3">
      <c r="A731" s="9">
        <v>730</v>
      </c>
      <c r="B731" s="2" t="s">
        <v>736</v>
      </c>
      <c r="C731" s="11">
        <v>20</v>
      </c>
      <c r="D731" s="12">
        <v>66.666666666666657</v>
      </c>
      <c r="E731" s="12" t="s">
        <v>8220</v>
      </c>
      <c r="F731" s="13">
        <v>6</v>
      </c>
      <c r="G731" s="14">
        <v>1792.2199999999998</v>
      </c>
      <c r="H731" t="s">
        <v>2446</v>
      </c>
      <c r="I731">
        <v>6</v>
      </c>
    </row>
    <row r="732" spans="1:9" ht="15.6" x14ac:dyDescent="0.3">
      <c r="A732" s="9">
        <v>731</v>
      </c>
      <c r="B732" s="2" t="s">
        <v>737</v>
      </c>
      <c r="C732" s="11">
        <v>20</v>
      </c>
      <c r="D732" s="12">
        <v>66.666666666666657</v>
      </c>
      <c r="E732" s="12" t="s">
        <v>8220</v>
      </c>
      <c r="F732" s="13">
        <v>6</v>
      </c>
      <c r="G732" s="14">
        <v>1832.25</v>
      </c>
      <c r="H732" t="s">
        <v>1422</v>
      </c>
      <c r="I732">
        <v>6</v>
      </c>
    </row>
    <row r="733" spans="1:9" ht="15.6" x14ac:dyDescent="0.3">
      <c r="A733" s="9">
        <v>732</v>
      </c>
      <c r="B733" s="2" t="s">
        <v>738</v>
      </c>
      <c r="C733" s="11">
        <v>14</v>
      </c>
      <c r="D733" s="12">
        <v>50</v>
      </c>
      <c r="E733" s="12" t="s">
        <v>8220</v>
      </c>
      <c r="F733" s="13">
        <v>6</v>
      </c>
      <c r="G733" s="14">
        <v>1807.23</v>
      </c>
      <c r="H733" t="s">
        <v>398</v>
      </c>
      <c r="I733">
        <v>5</v>
      </c>
    </row>
    <row r="734" spans="1:9" ht="15.6" x14ac:dyDescent="0.3">
      <c r="A734" s="9">
        <v>733</v>
      </c>
      <c r="B734" s="2" t="s">
        <v>739</v>
      </c>
      <c r="C734" s="11">
        <v>16</v>
      </c>
      <c r="D734" s="12">
        <v>33.333333333333329</v>
      </c>
      <c r="E734" s="12" t="s">
        <v>8219</v>
      </c>
      <c r="F734" s="13">
        <v>6</v>
      </c>
      <c r="G734" s="14">
        <v>1791.23</v>
      </c>
      <c r="H734" t="s">
        <v>3214</v>
      </c>
      <c r="I734">
        <v>5</v>
      </c>
    </row>
    <row r="735" spans="1:9" ht="15.6" x14ac:dyDescent="0.3">
      <c r="A735" s="9">
        <v>734</v>
      </c>
      <c r="B735" s="2" t="s">
        <v>740</v>
      </c>
      <c r="C735" s="11">
        <v>14</v>
      </c>
      <c r="D735" s="12">
        <v>50</v>
      </c>
      <c r="E735" s="12" t="s">
        <v>8220</v>
      </c>
      <c r="F735" s="13">
        <v>6</v>
      </c>
      <c r="G735" s="14">
        <v>1767.1999999999998</v>
      </c>
      <c r="H735" t="s">
        <v>2190</v>
      </c>
      <c r="I735">
        <v>5</v>
      </c>
    </row>
    <row r="736" spans="1:9" ht="15.6" x14ac:dyDescent="0.3">
      <c r="A736" s="9">
        <v>735</v>
      </c>
      <c r="B736" s="2" t="s">
        <v>741</v>
      </c>
      <c r="C736" s="11">
        <v>14</v>
      </c>
      <c r="D736" s="12">
        <v>50</v>
      </c>
      <c r="E736" s="12" t="s">
        <v>8220</v>
      </c>
      <c r="F736" s="13">
        <v>6</v>
      </c>
      <c r="G736" s="14">
        <v>1807.23</v>
      </c>
      <c r="H736" t="s">
        <v>1166</v>
      </c>
      <c r="I736">
        <v>5</v>
      </c>
    </row>
    <row r="737" spans="1:9" ht="15.6" x14ac:dyDescent="0.3">
      <c r="A737" s="9">
        <v>736</v>
      </c>
      <c r="B737" s="2" t="s">
        <v>742</v>
      </c>
      <c r="C737" s="11">
        <v>8</v>
      </c>
      <c r="D737" s="12">
        <v>33.333333333333329</v>
      </c>
      <c r="E737" s="12" t="s">
        <v>8219</v>
      </c>
      <c r="F737" s="13">
        <v>6</v>
      </c>
      <c r="G737" s="14">
        <v>1782.21</v>
      </c>
      <c r="H737" t="s">
        <v>142</v>
      </c>
      <c r="I737">
        <v>4</v>
      </c>
    </row>
    <row r="738" spans="1:9" ht="15.6" x14ac:dyDescent="0.3">
      <c r="A738" s="9">
        <v>737</v>
      </c>
      <c r="B738" s="2" t="s">
        <v>743</v>
      </c>
      <c r="C738" s="11">
        <v>24</v>
      </c>
      <c r="D738" s="12">
        <v>33.333333333333329</v>
      </c>
      <c r="E738" s="12" t="s">
        <v>8219</v>
      </c>
      <c r="F738" s="13">
        <v>6</v>
      </c>
      <c r="G738" s="14">
        <v>1840.2800000000002</v>
      </c>
      <c r="H738" t="s">
        <v>3918</v>
      </c>
      <c r="I738">
        <v>6</v>
      </c>
    </row>
    <row r="739" spans="1:9" ht="15.6" x14ac:dyDescent="0.3">
      <c r="A739" s="9">
        <v>738</v>
      </c>
      <c r="B739" s="2" t="s">
        <v>744</v>
      </c>
      <c r="C739" s="11">
        <v>22</v>
      </c>
      <c r="D739" s="12">
        <v>50</v>
      </c>
      <c r="E739" s="12" t="s">
        <v>8220</v>
      </c>
      <c r="F739" s="13">
        <v>6</v>
      </c>
      <c r="G739" s="14">
        <v>1816.25</v>
      </c>
      <c r="H739" t="s">
        <v>2894</v>
      </c>
      <c r="I739">
        <v>6</v>
      </c>
    </row>
    <row r="740" spans="1:9" ht="15.6" x14ac:dyDescent="0.3">
      <c r="A740" s="9">
        <v>739</v>
      </c>
      <c r="B740" s="2" t="s">
        <v>745</v>
      </c>
      <c r="C740" s="11">
        <v>22</v>
      </c>
      <c r="D740" s="12">
        <v>50</v>
      </c>
      <c r="E740" s="12" t="s">
        <v>8220</v>
      </c>
      <c r="F740" s="13">
        <v>6</v>
      </c>
      <c r="G740" s="14">
        <v>1856.2800000000002</v>
      </c>
      <c r="H740" t="s">
        <v>1870</v>
      </c>
      <c r="I740">
        <v>6</v>
      </c>
    </row>
    <row r="741" spans="1:9" ht="15.6" x14ac:dyDescent="0.3">
      <c r="A741" s="9">
        <v>740</v>
      </c>
      <c r="B741" s="2" t="s">
        <v>746</v>
      </c>
      <c r="C741" s="11">
        <v>16</v>
      </c>
      <c r="D741" s="12">
        <v>33.333333333333329</v>
      </c>
      <c r="E741" s="12" t="s">
        <v>8219</v>
      </c>
      <c r="F741" s="13">
        <v>6</v>
      </c>
      <c r="G741" s="14">
        <v>1831.2600000000002</v>
      </c>
      <c r="H741" t="s">
        <v>846</v>
      </c>
      <c r="I741">
        <v>5</v>
      </c>
    </row>
    <row r="742" spans="1:9" ht="15.6" x14ac:dyDescent="0.3">
      <c r="A742" s="9">
        <v>741</v>
      </c>
      <c r="B742" s="2" t="s">
        <v>747</v>
      </c>
      <c r="C742" s="11">
        <v>22</v>
      </c>
      <c r="D742" s="12">
        <v>50</v>
      </c>
      <c r="E742" s="12" t="s">
        <v>8220</v>
      </c>
      <c r="F742" s="13">
        <v>6</v>
      </c>
      <c r="G742" s="14">
        <v>1816.25</v>
      </c>
      <c r="H742" t="s">
        <v>3662</v>
      </c>
      <c r="I742">
        <v>6</v>
      </c>
    </row>
    <row r="743" spans="1:9" ht="15.6" x14ac:dyDescent="0.3">
      <c r="A743" s="9">
        <v>742</v>
      </c>
      <c r="B743" s="2" t="s">
        <v>748</v>
      </c>
      <c r="C743" s="11">
        <v>20</v>
      </c>
      <c r="D743" s="12">
        <v>66.666666666666657</v>
      </c>
      <c r="E743" s="12" t="s">
        <v>8220</v>
      </c>
      <c r="F743" s="13">
        <v>6</v>
      </c>
      <c r="G743" s="14">
        <v>1792.2199999999998</v>
      </c>
      <c r="H743" t="s">
        <v>2638</v>
      </c>
      <c r="I743">
        <v>6</v>
      </c>
    </row>
    <row r="744" spans="1:9" ht="15.6" x14ac:dyDescent="0.3">
      <c r="A744" s="9">
        <v>743</v>
      </c>
      <c r="B744" s="2" t="s">
        <v>749</v>
      </c>
      <c r="C744" s="11">
        <v>20</v>
      </c>
      <c r="D744" s="12">
        <v>66.666666666666657</v>
      </c>
      <c r="E744" s="12" t="s">
        <v>8220</v>
      </c>
      <c r="F744" s="13">
        <v>6</v>
      </c>
      <c r="G744" s="14">
        <v>1832.25</v>
      </c>
      <c r="H744" t="s">
        <v>1614</v>
      </c>
      <c r="I744">
        <v>6</v>
      </c>
    </row>
    <row r="745" spans="1:9" ht="15.6" x14ac:dyDescent="0.3">
      <c r="A745" s="9">
        <v>744</v>
      </c>
      <c r="B745" s="2" t="s">
        <v>750</v>
      </c>
      <c r="C745" s="11">
        <v>14</v>
      </c>
      <c r="D745" s="12">
        <v>50</v>
      </c>
      <c r="E745" s="12" t="s">
        <v>8220</v>
      </c>
      <c r="F745" s="13">
        <v>6</v>
      </c>
      <c r="G745" s="14">
        <v>1807.23</v>
      </c>
      <c r="H745" t="s">
        <v>590</v>
      </c>
      <c r="I745">
        <v>5</v>
      </c>
    </row>
    <row r="746" spans="1:9" ht="15.6" x14ac:dyDescent="0.3">
      <c r="A746" s="9">
        <v>745</v>
      </c>
      <c r="B746" s="2" t="s">
        <v>751</v>
      </c>
      <c r="C746" s="11">
        <v>22</v>
      </c>
      <c r="D746" s="12">
        <v>50</v>
      </c>
      <c r="E746" s="12" t="s">
        <v>8220</v>
      </c>
      <c r="F746" s="13">
        <v>6</v>
      </c>
      <c r="G746" s="14">
        <v>1856.2800000000002</v>
      </c>
      <c r="H746" t="s">
        <v>3406</v>
      </c>
      <c r="I746">
        <v>6</v>
      </c>
    </row>
    <row r="747" spans="1:9" ht="15.6" x14ac:dyDescent="0.3">
      <c r="A747" s="9">
        <v>746</v>
      </c>
      <c r="B747" s="2" t="s">
        <v>752</v>
      </c>
      <c r="C747" s="11">
        <v>20</v>
      </c>
      <c r="D747" s="12">
        <v>66.666666666666657</v>
      </c>
      <c r="E747" s="12" t="s">
        <v>8220</v>
      </c>
      <c r="F747" s="13">
        <v>6</v>
      </c>
      <c r="G747" s="14">
        <v>1832.25</v>
      </c>
      <c r="H747" t="s">
        <v>2382</v>
      </c>
      <c r="I747">
        <v>6</v>
      </c>
    </row>
    <row r="748" spans="1:9" ht="15.6" x14ac:dyDescent="0.3">
      <c r="A748" s="9">
        <v>747</v>
      </c>
      <c r="B748" s="2" t="s">
        <v>753</v>
      </c>
      <c r="C748" s="11">
        <v>20</v>
      </c>
      <c r="D748" s="12">
        <v>66.666666666666657</v>
      </c>
      <c r="E748" s="12" t="s">
        <v>8220</v>
      </c>
      <c r="F748" s="13">
        <v>6</v>
      </c>
      <c r="G748" s="14">
        <v>1872.2800000000002</v>
      </c>
      <c r="H748" t="s">
        <v>1358</v>
      </c>
      <c r="I748">
        <v>6</v>
      </c>
    </row>
    <row r="749" spans="1:9" ht="15.6" x14ac:dyDescent="0.3">
      <c r="A749" s="9">
        <v>748</v>
      </c>
      <c r="B749" s="2" t="s">
        <v>754</v>
      </c>
      <c r="C749" s="11">
        <v>14</v>
      </c>
      <c r="D749" s="12">
        <v>50</v>
      </c>
      <c r="E749" s="12" t="s">
        <v>8220</v>
      </c>
      <c r="F749" s="13">
        <v>6</v>
      </c>
      <c r="G749" s="14">
        <v>1847.2600000000002</v>
      </c>
      <c r="H749" t="s">
        <v>334</v>
      </c>
      <c r="I749">
        <v>5</v>
      </c>
    </row>
    <row r="750" spans="1:9" ht="15.6" x14ac:dyDescent="0.3">
      <c r="A750" s="9">
        <v>749</v>
      </c>
      <c r="B750" s="2" t="s">
        <v>755</v>
      </c>
      <c r="C750" s="11">
        <v>16</v>
      </c>
      <c r="D750" s="12">
        <v>33.333333333333329</v>
      </c>
      <c r="E750" s="12" t="s">
        <v>8219</v>
      </c>
      <c r="F750" s="13">
        <v>6</v>
      </c>
      <c r="G750" s="14">
        <v>1831.2600000000002</v>
      </c>
      <c r="H750" t="s">
        <v>3150</v>
      </c>
      <c r="I750">
        <v>5</v>
      </c>
    </row>
    <row r="751" spans="1:9" ht="15.6" x14ac:dyDescent="0.3">
      <c r="A751" s="9">
        <v>750</v>
      </c>
      <c r="B751" s="2" t="s">
        <v>756</v>
      </c>
      <c r="C751" s="11">
        <v>14</v>
      </c>
      <c r="D751" s="12">
        <v>50</v>
      </c>
      <c r="E751" s="12" t="s">
        <v>8220</v>
      </c>
      <c r="F751" s="13">
        <v>6</v>
      </c>
      <c r="G751" s="14">
        <v>1807.23</v>
      </c>
      <c r="H751" t="s">
        <v>2126</v>
      </c>
      <c r="I751">
        <v>5</v>
      </c>
    </row>
    <row r="752" spans="1:9" ht="15.6" x14ac:dyDescent="0.3">
      <c r="A752" s="9">
        <v>751</v>
      </c>
      <c r="B752" s="2" t="s">
        <v>757</v>
      </c>
      <c r="C752" s="11">
        <v>14</v>
      </c>
      <c r="D752" s="12">
        <v>50</v>
      </c>
      <c r="E752" s="12" t="s">
        <v>8220</v>
      </c>
      <c r="F752" s="13">
        <v>6</v>
      </c>
      <c r="G752" s="14">
        <v>1847.2600000000002</v>
      </c>
      <c r="H752" t="s">
        <v>1102</v>
      </c>
      <c r="I752">
        <v>5</v>
      </c>
    </row>
    <row r="753" spans="1:9" ht="15.6" x14ac:dyDescent="0.3">
      <c r="A753" s="9">
        <v>752</v>
      </c>
      <c r="B753" s="2" t="s">
        <v>758</v>
      </c>
      <c r="C753" s="11">
        <v>8</v>
      </c>
      <c r="D753" s="12">
        <v>33.333333333333329</v>
      </c>
      <c r="E753" s="12" t="s">
        <v>8219</v>
      </c>
      <c r="F753" s="13">
        <v>6</v>
      </c>
      <c r="G753" s="14">
        <v>1822.2400000000002</v>
      </c>
      <c r="H753" t="s">
        <v>78</v>
      </c>
      <c r="I753">
        <v>4</v>
      </c>
    </row>
    <row r="754" spans="1:9" ht="15.6" x14ac:dyDescent="0.3">
      <c r="A754" s="9">
        <v>753</v>
      </c>
      <c r="B754" s="2" t="s">
        <v>759</v>
      </c>
      <c r="C754" s="11">
        <v>18</v>
      </c>
      <c r="D754" s="12">
        <v>16.666666666666664</v>
      </c>
      <c r="E754" s="12" t="s">
        <v>8219</v>
      </c>
      <c r="F754" s="13">
        <v>6</v>
      </c>
      <c r="G754" s="14">
        <v>1815.2599999999998</v>
      </c>
      <c r="H754" t="s">
        <v>3854</v>
      </c>
      <c r="I754">
        <v>5</v>
      </c>
    </row>
    <row r="755" spans="1:9" ht="15.6" x14ac:dyDescent="0.3">
      <c r="A755" s="9">
        <v>754</v>
      </c>
      <c r="B755" s="2" t="s">
        <v>760</v>
      </c>
      <c r="C755" s="11">
        <v>16</v>
      </c>
      <c r="D755" s="12">
        <v>33.333333333333329</v>
      </c>
      <c r="E755" s="12" t="s">
        <v>8219</v>
      </c>
      <c r="F755" s="13">
        <v>6</v>
      </c>
      <c r="G755" s="14">
        <v>1791.23</v>
      </c>
      <c r="H755" t="s">
        <v>2830</v>
      </c>
      <c r="I755">
        <v>5</v>
      </c>
    </row>
    <row r="756" spans="1:9" ht="15.6" x14ac:dyDescent="0.3">
      <c r="A756" s="9">
        <v>755</v>
      </c>
      <c r="B756" s="2" t="s">
        <v>761</v>
      </c>
      <c r="C756" s="11">
        <v>16</v>
      </c>
      <c r="D756" s="12">
        <v>33.333333333333329</v>
      </c>
      <c r="E756" s="12" t="s">
        <v>8219</v>
      </c>
      <c r="F756" s="13">
        <v>6</v>
      </c>
      <c r="G756" s="14">
        <v>1831.2600000000002</v>
      </c>
      <c r="H756" t="s">
        <v>1806</v>
      </c>
      <c r="I756">
        <v>5</v>
      </c>
    </row>
    <row r="757" spans="1:9" ht="15.6" x14ac:dyDescent="0.3">
      <c r="A757" s="9">
        <v>756</v>
      </c>
      <c r="B757" s="2" t="s">
        <v>762</v>
      </c>
      <c r="C757" s="11">
        <v>10</v>
      </c>
      <c r="D757" s="12">
        <v>16.666666666666664</v>
      </c>
      <c r="E757" s="12" t="s">
        <v>8219</v>
      </c>
      <c r="F757" s="13">
        <v>6</v>
      </c>
      <c r="G757" s="14">
        <v>1806.2399999999998</v>
      </c>
      <c r="H757" t="s">
        <v>782</v>
      </c>
      <c r="I757">
        <v>4</v>
      </c>
    </row>
    <row r="758" spans="1:9" ht="15.6" x14ac:dyDescent="0.3">
      <c r="A758" s="9">
        <v>757</v>
      </c>
      <c r="B758" s="2" t="s">
        <v>763</v>
      </c>
      <c r="C758" s="11">
        <v>16</v>
      </c>
      <c r="D758" s="12">
        <v>33.333333333333329</v>
      </c>
      <c r="E758" s="12" t="s">
        <v>8219</v>
      </c>
      <c r="F758" s="13">
        <v>6</v>
      </c>
      <c r="G758" s="14">
        <v>1791.23</v>
      </c>
      <c r="H758" t="s">
        <v>3598</v>
      </c>
      <c r="I758">
        <v>5</v>
      </c>
    </row>
    <row r="759" spans="1:9" ht="15.6" x14ac:dyDescent="0.3">
      <c r="A759" s="9">
        <v>758</v>
      </c>
      <c r="B759" s="2" t="s">
        <v>764</v>
      </c>
      <c r="C759" s="11">
        <v>14</v>
      </c>
      <c r="D759" s="12">
        <v>50</v>
      </c>
      <c r="E759" s="12" t="s">
        <v>8220</v>
      </c>
      <c r="F759" s="13">
        <v>6</v>
      </c>
      <c r="G759" s="14">
        <v>1767.1999999999998</v>
      </c>
      <c r="H759" t="s">
        <v>2574</v>
      </c>
      <c r="I759">
        <v>5</v>
      </c>
    </row>
    <row r="760" spans="1:9" ht="15.6" x14ac:dyDescent="0.3">
      <c r="A760" s="9">
        <v>759</v>
      </c>
      <c r="B760" s="2" t="s">
        <v>765</v>
      </c>
      <c r="C760" s="11">
        <v>14</v>
      </c>
      <c r="D760" s="12">
        <v>50</v>
      </c>
      <c r="E760" s="12" t="s">
        <v>8220</v>
      </c>
      <c r="F760" s="13">
        <v>6</v>
      </c>
      <c r="G760" s="14">
        <v>1807.23</v>
      </c>
      <c r="H760" t="s">
        <v>1550</v>
      </c>
      <c r="I760">
        <v>5</v>
      </c>
    </row>
    <row r="761" spans="1:9" ht="15.6" x14ac:dyDescent="0.3">
      <c r="A761" s="9">
        <v>760</v>
      </c>
      <c r="B761" s="2" t="s">
        <v>766</v>
      </c>
      <c r="C761" s="11">
        <v>8</v>
      </c>
      <c r="D761" s="12">
        <v>33.333333333333329</v>
      </c>
      <c r="E761" s="12" t="s">
        <v>8219</v>
      </c>
      <c r="F761" s="13">
        <v>6</v>
      </c>
      <c r="G761" s="14">
        <v>1782.21</v>
      </c>
      <c r="H761" t="s">
        <v>526</v>
      </c>
      <c r="I761">
        <v>4</v>
      </c>
    </row>
    <row r="762" spans="1:9" ht="15.6" x14ac:dyDescent="0.3">
      <c r="A762" s="9">
        <v>761</v>
      </c>
      <c r="B762" s="2" t="s">
        <v>767</v>
      </c>
      <c r="C762" s="11">
        <v>16</v>
      </c>
      <c r="D762" s="12">
        <v>33.333333333333329</v>
      </c>
      <c r="E762" s="12" t="s">
        <v>8219</v>
      </c>
      <c r="F762" s="13">
        <v>6</v>
      </c>
      <c r="G762" s="14">
        <v>1831.2600000000002</v>
      </c>
      <c r="H762" t="s">
        <v>3342</v>
      </c>
      <c r="I762">
        <v>5</v>
      </c>
    </row>
    <row r="763" spans="1:9" ht="15.6" x14ac:dyDescent="0.3">
      <c r="A763" s="9">
        <v>762</v>
      </c>
      <c r="B763" s="2" t="s">
        <v>768</v>
      </c>
      <c r="C763" s="11">
        <v>14</v>
      </c>
      <c r="D763" s="12">
        <v>50</v>
      </c>
      <c r="E763" s="12" t="s">
        <v>8220</v>
      </c>
      <c r="F763" s="13">
        <v>6</v>
      </c>
      <c r="G763" s="14">
        <v>1807.23</v>
      </c>
      <c r="H763" t="s">
        <v>2318</v>
      </c>
      <c r="I763">
        <v>5</v>
      </c>
    </row>
    <row r="764" spans="1:9" ht="15.6" x14ac:dyDescent="0.3">
      <c r="A764" s="9">
        <v>763</v>
      </c>
      <c r="B764" s="2" t="s">
        <v>769</v>
      </c>
      <c r="C764" s="11">
        <v>14</v>
      </c>
      <c r="D764" s="12">
        <v>50</v>
      </c>
      <c r="E764" s="12" t="s">
        <v>8220</v>
      </c>
      <c r="F764" s="13">
        <v>6</v>
      </c>
      <c r="G764" s="14">
        <v>1847.2600000000002</v>
      </c>
      <c r="H764" t="s">
        <v>1294</v>
      </c>
      <c r="I764">
        <v>5</v>
      </c>
    </row>
    <row r="765" spans="1:9" ht="15.6" x14ac:dyDescent="0.3">
      <c r="A765" s="9">
        <v>764</v>
      </c>
      <c r="B765" s="2" t="s">
        <v>770</v>
      </c>
      <c r="C765" s="11">
        <v>8</v>
      </c>
      <c r="D765" s="12">
        <v>33.333333333333329</v>
      </c>
      <c r="E765" s="12" t="s">
        <v>8219</v>
      </c>
      <c r="F765" s="13">
        <v>6</v>
      </c>
      <c r="G765" s="14">
        <v>1822.2400000000002</v>
      </c>
      <c r="H765" t="s">
        <v>270</v>
      </c>
      <c r="I765">
        <v>4</v>
      </c>
    </row>
    <row r="766" spans="1:9" ht="15.6" x14ac:dyDescent="0.3">
      <c r="A766" s="9">
        <v>765</v>
      </c>
      <c r="B766" s="2" t="s">
        <v>771</v>
      </c>
      <c r="C766" s="11">
        <v>10</v>
      </c>
      <c r="D766" s="12">
        <v>16.666666666666664</v>
      </c>
      <c r="E766" s="12" t="s">
        <v>8219</v>
      </c>
      <c r="F766" s="13">
        <v>6</v>
      </c>
      <c r="G766" s="14">
        <v>1806.2399999999998</v>
      </c>
      <c r="H766" t="s">
        <v>3086</v>
      </c>
      <c r="I766">
        <v>4</v>
      </c>
    </row>
    <row r="767" spans="1:9" ht="15.6" x14ac:dyDescent="0.3">
      <c r="A767" s="9">
        <v>766</v>
      </c>
      <c r="B767" s="2" t="s">
        <v>772</v>
      </c>
      <c r="C767" s="11">
        <v>8</v>
      </c>
      <c r="D767" s="12">
        <v>33.333333333333329</v>
      </c>
      <c r="E767" s="12" t="s">
        <v>8219</v>
      </c>
      <c r="F767" s="13">
        <v>6</v>
      </c>
      <c r="G767" s="14">
        <v>1782.21</v>
      </c>
      <c r="H767" t="s">
        <v>2062</v>
      </c>
      <c r="I767">
        <v>4</v>
      </c>
    </row>
    <row r="768" spans="1:9" ht="15.6" x14ac:dyDescent="0.3">
      <c r="A768" s="9">
        <v>767</v>
      </c>
      <c r="B768" s="2" t="s">
        <v>773</v>
      </c>
      <c r="C768" s="11">
        <v>8</v>
      </c>
      <c r="D768" s="12">
        <v>33.333333333333329</v>
      </c>
      <c r="E768" s="12" t="s">
        <v>8219</v>
      </c>
      <c r="F768" s="13">
        <v>6</v>
      </c>
      <c r="G768" s="14">
        <v>1822.2400000000002</v>
      </c>
      <c r="H768" t="s">
        <v>1038</v>
      </c>
      <c r="I768">
        <v>4</v>
      </c>
    </row>
    <row r="769" spans="1:9" ht="15.6" x14ac:dyDescent="0.3">
      <c r="A769" s="9">
        <v>768</v>
      </c>
      <c r="B769" s="2" t="s">
        <v>774</v>
      </c>
      <c r="C769" s="11">
        <v>2</v>
      </c>
      <c r="D769" s="12">
        <v>16.666666666666664</v>
      </c>
      <c r="E769" s="12" t="s">
        <v>8219</v>
      </c>
      <c r="F769" s="13">
        <v>6</v>
      </c>
      <c r="G769" s="14">
        <v>1797.2199999999998</v>
      </c>
      <c r="H769" t="s">
        <v>14</v>
      </c>
      <c r="I769">
        <v>3</v>
      </c>
    </row>
    <row r="770" spans="1:9" ht="15.6" x14ac:dyDescent="0.3">
      <c r="A770" s="9">
        <v>769</v>
      </c>
      <c r="B770" s="2" t="s">
        <v>775</v>
      </c>
      <c r="C770" s="11">
        <v>28</v>
      </c>
      <c r="D770" s="12">
        <v>0</v>
      </c>
      <c r="E770" s="12" t="s">
        <v>8219</v>
      </c>
      <c r="F770" s="13">
        <v>6</v>
      </c>
      <c r="G770" s="14">
        <v>1808.2799999999997</v>
      </c>
      <c r="H770" t="s">
        <v>4090</v>
      </c>
      <c r="I770">
        <v>7</v>
      </c>
    </row>
    <row r="771" spans="1:9" ht="15.6" x14ac:dyDescent="0.3">
      <c r="A771" s="9">
        <v>770</v>
      </c>
      <c r="B771" s="2" t="s">
        <v>776</v>
      </c>
      <c r="C771" s="11">
        <v>26</v>
      </c>
      <c r="D771" s="12">
        <v>16.666666666666664</v>
      </c>
      <c r="E771" s="12" t="s">
        <v>8219</v>
      </c>
      <c r="F771" s="13">
        <v>6</v>
      </c>
      <c r="G771" s="14">
        <v>1784.25</v>
      </c>
      <c r="H771" t="s">
        <v>3066</v>
      </c>
      <c r="I771">
        <v>7</v>
      </c>
    </row>
    <row r="772" spans="1:9" ht="15.6" x14ac:dyDescent="0.3">
      <c r="A772" s="9">
        <v>771</v>
      </c>
      <c r="B772" s="2" t="s">
        <v>777</v>
      </c>
      <c r="C772" s="11">
        <v>26</v>
      </c>
      <c r="D772" s="12">
        <v>16.666666666666664</v>
      </c>
      <c r="E772" s="12" t="s">
        <v>8219</v>
      </c>
      <c r="F772" s="13">
        <v>6</v>
      </c>
      <c r="G772" s="14">
        <v>1824.2799999999997</v>
      </c>
      <c r="H772" t="s">
        <v>2042</v>
      </c>
      <c r="I772">
        <v>7</v>
      </c>
    </row>
    <row r="773" spans="1:9" ht="15.6" x14ac:dyDescent="0.3">
      <c r="A773" s="9">
        <v>772</v>
      </c>
      <c r="B773" s="2" t="s">
        <v>778</v>
      </c>
      <c r="C773" s="11">
        <v>20</v>
      </c>
      <c r="D773" s="12">
        <v>0</v>
      </c>
      <c r="E773" s="12" t="s">
        <v>8219</v>
      </c>
      <c r="F773" s="13">
        <v>6</v>
      </c>
      <c r="G773" s="14">
        <v>1799.2599999999998</v>
      </c>
      <c r="H773" t="s">
        <v>1018</v>
      </c>
      <c r="I773">
        <v>6</v>
      </c>
    </row>
    <row r="774" spans="1:9" ht="15.6" x14ac:dyDescent="0.3">
      <c r="A774" s="9">
        <v>773</v>
      </c>
      <c r="B774" s="2" t="s">
        <v>779</v>
      </c>
      <c r="C774" s="11">
        <v>26</v>
      </c>
      <c r="D774" s="12">
        <v>16.666666666666664</v>
      </c>
      <c r="E774" s="12" t="s">
        <v>8219</v>
      </c>
      <c r="F774" s="13">
        <v>6</v>
      </c>
      <c r="G774" s="14">
        <v>1784.25</v>
      </c>
      <c r="H774" t="s">
        <v>3834</v>
      </c>
      <c r="I774">
        <v>7</v>
      </c>
    </row>
    <row r="775" spans="1:9" ht="15.6" x14ac:dyDescent="0.3">
      <c r="A775" s="9">
        <v>774</v>
      </c>
      <c r="B775" s="2" t="s">
        <v>780</v>
      </c>
      <c r="C775" s="11">
        <v>24</v>
      </c>
      <c r="D775" s="12">
        <v>33.333333333333329</v>
      </c>
      <c r="E775" s="12" t="s">
        <v>8219</v>
      </c>
      <c r="F775" s="13">
        <v>6</v>
      </c>
      <c r="G775" s="14">
        <v>1760.2199999999998</v>
      </c>
      <c r="H775" t="s">
        <v>2810</v>
      </c>
      <c r="I775">
        <v>6</v>
      </c>
    </row>
    <row r="776" spans="1:9" ht="15.6" x14ac:dyDescent="0.3">
      <c r="A776" s="9">
        <v>775</v>
      </c>
      <c r="B776" s="2" t="s">
        <v>781</v>
      </c>
      <c r="C776" s="11">
        <v>24</v>
      </c>
      <c r="D776" s="12">
        <v>33.333333333333329</v>
      </c>
      <c r="E776" s="12" t="s">
        <v>8219</v>
      </c>
      <c r="F776" s="13">
        <v>6</v>
      </c>
      <c r="G776" s="14">
        <v>1800.25</v>
      </c>
      <c r="H776" t="s">
        <v>1786</v>
      </c>
      <c r="I776">
        <v>6</v>
      </c>
    </row>
    <row r="777" spans="1:9" ht="15.6" x14ac:dyDescent="0.3">
      <c r="A777" s="9">
        <v>776</v>
      </c>
      <c r="B777" s="2" t="s">
        <v>782</v>
      </c>
      <c r="C777" s="11">
        <v>18</v>
      </c>
      <c r="D777" s="12">
        <v>16.666666666666664</v>
      </c>
      <c r="E777" s="12" t="s">
        <v>8219</v>
      </c>
      <c r="F777" s="13">
        <v>6</v>
      </c>
      <c r="G777" s="14">
        <v>1775.23</v>
      </c>
      <c r="H777" t="s">
        <v>762</v>
      </c>
      <c r="I777">
        <v>5</v>
      </c>
    </row>
    <row r="778" spans="1:9" ht="15.6" x14ac:dyDescent="0.3">
      <c r="A778" s="9">
        <v>777</v>
      </c>
      <c r="B778" s="2" t="s">
        <v>783</v>
      </c>
      <c r="C778" s="11">
        <v>26</v>
      </c>
      <c r="D778" s="12">
        <v>16.666666666666664</v>
      </c>
      <c r="E778" s="12" t="s">
        <v>8219</v>
      </c>
      <c r="F778" s="13">
        <v>6</v>
      </c>
      <c r="G778" s="14">
        <v>1824.2799999999997</v>
      </c>
      <c r="H778" t="s">
        <v>3578</v>
      </c>
      <c r="I778">
        <v>7</v>
      </c>
    </row>
    <row r="779" spans="1:9" ht="15.6" x14ac:dyDescent="0.3">
      <c r="A779" s="9">
        <v>778</v>
      </c>
      <c r="B779" s="2" t="s">
        <v>784</v>
      </c>
      <c r="C779" s="11">
        <v>24</v>
      </c>
      <c r="D779" s="12">
        <v>33.333333333333329</v>
      </c>
      <c r="E779" s="12" t="s">
        <v>8219</v>
      </c>
      <c r="F779" s="13">
        <v>6</v>
      </c>
      <c r="G779" s="14">
        <v>1800.25</v>
      </c>
      <c r="H779" t="s">
        <v>2554</v>
      </c>
      <c r="I779">
        <v>6</v>
      </c>
    </row>
    <row r="780" spans="1:9" ht="15.6" x14ac:dyDescent="0.3">
      <c r="A780" s="9">
        <v>779</v>
      </c>
      <c r="B780" s="2" t="s">
        <v>785</v>
      </c>
      <c r="C780" s="11">
        <v>24</v>
      </c>
      <c r="D780" s="12">
        <v>33.333333333333329</v>
      </c>
      <c r="E780" s="12" t="s">
        <v>8219</v>
      </c>
      <c r="F780" s="13">
        <v>6</v>
      </c>
      <c r="G780" s="14">
        <v>1840.2800000000002</v>
      </c>
      <c r="H780" t="s">
        <v>1530</v>
      </c>
      <c r="I780">
        <v>6</v>
      </c>
    </row>
    <row r="781" spans="1:9" ht="15.6" x14ac:dyDescent="0.3">
      <c r="A781" s="9">
        <v>780</v>
      </c>
      <c r="B781" s="2" t="s">
        <v>786</v>
      </c>
      <c r="C781" s="11">
        <v>18</v>
      </c>
      <c r="D781" s="12">
        <v>16.666666666666664</v>
      </c>
      <c r="E781" s="12" t="s">
        <v>8219</v>
      </c>
      <c r="F781" s="13">
        <v>6</v>
      </c>
      <c r="G781" s="14">
        <v>1815.2599999999998</v>
      </c>
      <c r="H781" t="s">
        <v>506</v>
      </c>
      <c r="I781">
        <v>5</v>
      </c>
    </row>
    <row r="782" spans="1:9" ht="15.6" x14ac:dyDescent="0.3">
      <c r="A782" s="9">
        <v>781</v>
      </c>
      <c r="B782" s="2" t="s">
        <v>787</v>
      </c>
      <c r="C782" s="11">
        <v>20</v>
      </c>
      <c r="D782" s="12">
        <v>0</v>
      </c>
      <c r="E782" s="12" t="s">
        <v>8219</v>
      </c>
      <c r="F782" s="13">
        <v>6</v>
      </c>
      <c r="G782" s="14">
        <v>1799.2599999999998</v>
      </c>
      <c r="H782" t="s">
        <v>3322</v>
      </c>
      <c r="I782">
        <v>6</v>
      </c>
    </row>
    <row r="783" spans="1:9" ht="15.6" x14ac:dyDescent="0.3">
      <c r="A783" s="9">
        <v>782</v>
      </c>
      <c r="B783" s="2" t="s">
        <v>788</v>
      </c>
      <c r="C783" s="11">
        <v>18</v>
      </c>
      <c r="D783" s="12">
        <v>16.666666666666664</v>
      </c>
      <c r="E783" s="12" t="s">
        <v>8219</v>
      </c>
      <c r="F783" s="13">
        <v>6</v>
      </c>
      <c r="G783" s="14">
        <v>1775.23</v>
      </c>
      <c r="H783" t="s">
        <v>2298</v>
      </c>
      <c r="I783">
        <v>5</v>
      </c>
    </row>
    <row r="784" spans="1:9" ht="15.6" x14ac:dyDescent="0.3">
      <c r="A784" s="9">
        <v>783</v>
      </c>
      <c r="B784" s="2" t="s">
        <v>789</v>
      </c>
      <c r="C784" s="11">
        <v>18</v>
      </c>
      <c r="D784" s="12">
        <v>16.666666666666664</v>
      </c>
      <c r="E784" s="12" t="s">
        <v>8219</v>
      </c>
      <c r="F784" s="13">
        <v>6</v>
      </c>
      <c r="G784" s="14">
        <v>1815.2599999999998</v>
      </c>
      <c r="H784" t="s">
        <v>1274</v>
      </c>
      <c r="I784">
        <v>5</v>
      </c>
    </row>
    <row r="785" spans="1:9" ht="15.6" x14ac:dyDescent="0.3">
      <c r="A785" s="9">
        <v>784</v>
      </c>
      <c r="B785" s="2" t="s">
        <v>790</v>
      </c>
      <c r="C785" s="11">
        <v>12</v>
      </c>
      <c r="D785" s="12">
        <v>0</v>
      </c>
      <c r="E785" s="12" t="s">
        <v>8219</v>
      </c>
      <c r="F785" s="13">
        <v>6</v>
      </c>
      <c r="G785" s="14">
        <v>1790.2399999999998</v>
      </c>
      <c r="H785" t="s">
        <v>250</v>
      </c>
      <c r="I785">
        <v>4</v>
      </c>
    </row>
    <row r="786" spans="1:9" ht="15.6" x14ac:dyDescent="0.3">
      <c r="A786" s="9">
        <v>785</v>
      </c>
      <c r="B786" s="2" t="s">
        <v>791</v>
      </c>
      <c r="C786" s="11">
        <v>26</v>
      </c>
      <c r="D786" s="12">
        <v>16.666666666666664</v>
      </c>
      <c r="E786" s="12" t="s">
        <v>8219</v>
      </c>
      <c r="F786" s="13">
        <v>6</v>
      </c>
      <c r="G786" s="14">
        <v>1784.25</v>
      </c>
      <c r="H786" t="s">
        <v>4026</v>
      </c>
      <c r="I786">
        <v>7</v>
      </c>
    </row>
    <row r="787" spans="1:9" ht="15.6" x14ac:dyDescent="0.3">
      <c r="A787" s="9">
        <v>786</v>
      </c>
      <c r="B787" s="2" t="s">
        <v>792</v>
      </c>
      <c r="C787" s="11">
        <v>24</v>
      </c>
      <c r="D787" s="12">
        <v>33.333333333333329</v>
      </c>
      <c r="E787" s="12" t="s">
        <v>8219</v>
      </c>
      <c r="F787" s="13">
        <v>6</v>
      </c>
      <c r="G787" s="14">
        <v>1760.2199999999998</v>
      </c>
      <c r="H787" t="s">
        <v>3002</v>
      </c>
      <c r="I787">
        <v>6</v>
      </c>
    </row>
    <row r="788" spans="1:9" ht="15.6" x14ac:dyDescent="0.3">
      <c r="A788" s="9">
        <v>787</v>
      </c>
      <c r="B788" s="2" t="s">
        <v>793</v>
      </c>
      <c r="C788" s="11">
        <v>24</v>
      </c>
      <c r="D788" s="12">
        <v>33.333333333333329</v>
      </c>
      <c r="E788" s="12" t="s">
        <v>8219</v>
      </c>
      <c r="F788" s="13">
        <v>6</v>
      </c>
      <c r="G788" s="14">
        <v>1800.25</v>
      </c>
      <c r="H788" t="s">
        <v>1978</v>
      </c>
      <c r="I788">
        <v>6</v>
      </c>
    </row>
    <row r="789" spans="1:9" ht="15.6" x14ac:dyDescent="0.3">
      <c r="A789" s="9">
        <v>788</v>
      </c>
      <c r="B789" s="2" t="s">
        <v>794</v>
      </c>
      <c r="C789" s="11">
        <v>18</v>
      </c>
      <c r="D789" s="12">
        <v>16.666666666666664</v>
      </c>
      <c r="E789" s="12" t="s">
        <v>8219</v>
      </c>
      <c r="F789" s="13">
        <v>6</v>
      </c>
      <c r="G789" s="14">
        <v>1775.23</v>
      </c>
      <c r="H789" t="s">
        <v>954</v>
      </c>
      <c r="I789">
        <v>5</v>
      </c>
    </row>
    <row r="790" spans="1:9" ht="15.6" x14ac:dyDescent="0.3">
      <c r="A790" s="9">
        <v>789</v>
      </c>
      <c r="B790" s="2" t="s">
        <v>795</v>
      </c>
      <c r="C790" s="11">
        <v>24</v>
      </c>
      <c r="D790" s="12">
        <v>33.333333333333329</v>
      </c>
      <c r="E790" s="12" t="s">
        <v>8219</v>
      </c>
      <c r="F790" s="13">
        <v>6</v>
      </c>
      <c r="G790" s="14">
        <v>1760.2199999999998</v>
      </c>
      <c r="H790" t="s">
        <v>3770</v>
      </c>
      <c r="I790">
        <v>6</v>
      </c>
    </row>
    <row r="791" spans="1:9" ht="15.6" x14ac:dyDescent="0.3">
      <c r="A791" s="9">
        <v>790</v>
      </c>
      <c r="B791" s="2" t="s">
        <v>796</v>
      </c>
      <c r="C791" s="11">
        <v>22</v>
      </c>
      <c r="D791" s="12">
        <v>50</v>
      </c>
      <c r="E791" s="12" t="s">
        <v>8220</v>
      </c>
      <c r="F791" s="13">
        <v>6</v>
      </c>
      <c r="G791" s="14">
        <v>1736.19</v>
      </c>
      <c r="H791" t="s">
        <v>2746</v>
      </c>
      <c r="I791">
        <v>6</v>
      </c>
    </row>
    <row r="792" spans="1:9" ht="15.6" x14ac:dyDescent="0.3">
      <c r="A792" s="9">
        <v>791</v>
      </c>
      <c r="B792" s="2" t="s">
        <v>797</v>
      </c>
      <c r="C792" s="11">
        <v>22</v>
      </c>
      <c r="D792" s="12">
        <v>50</v>
      </c>
      <c r="E792" s="12" t="s">
        <v>8220</v>
      </c>
      <c r="F792" s="13">
        <v>6</v>
      </c>
      <c r="G792" s="14">
        <v>1776.2199999999998</v>
      </c>
      <c r="H792" t="s">
        <v>1722</v>
      </c>
      <c r="I792">
        <v>6</v>
      </c>
    </row>
    <row r="793" spans="1:9" ht="15.6" x14ac:dyDescent="0.3">
      <c r="A793" s="9">
        <v>792</v>
      </c>
      <c r="B793" s="2" t="s">
        <v>798</v>
      </c>
      <c r="C793" s="11">
        <v>16</v>
      </c>
      <c r="D793" s="12">
        <v>33.333333333333329</v>
      </c>
      <c r="E793" s="12" t="s">
        <v>8219</v>
      </c>
      <c r="F793" s="13">
        <v>6</v>
      </c>
      <c r="G793" s="14">
        <v>1751.1999999999998</v>
      </c>
      <c r="H793" t="s">
        <v>698</v>
      </c>
      <c r="I793">
        <v>5</v>
      </c>
    </row>
    <row r="794" spans="1:9" ht="15.6" x14ac:dyDescent="0.3">
      <c r="A794" s="9">
        <v>793</v>
      </c>
      <c r="B794" s="2" t="s">
        <v>799</v>
      </c>
      <c r="C794" s="11">
        <v>24</v>
      </c>
      <c r="D794" s="12">
        <v>33.333333333333329</v>
      </c>
      <c r="E794" s="12" t="s">
        <v>8219</v>
      </c>
      <c r="F794" s="13">
        <v>6</v>
      </c>
      <c r="G794" s="14">
        <v>1800.25</v>
      </c>
      <c r="H794" t="s">
        <v>3514</v>
      </c>
      <c r="I794">
        <v>6</v>
      </c>
    </row>
    <row r="795" spans="1:9" ht="15.6" x14ac:dyDescent="0.3">
      <c r="A795" s="9">
        <v>794</v>
      </c>
      <c r="B795" s="2" t="s">
        <v>800</v>
      </c>
      <c r="C795" s="11">
        <v>22</v>
      </c>
      <c r="D795" s="12">
        <v>50</v>
      </c>
      <c r="E795" s="12" t="s">
        <v>8220</v>
      </c>
      <c r="F795" s="13">
        <v>6</v>
      </c>
      <c r="G795" s="14">
        <v>1776.2199999999998</v>
      </c>
      <c r="H795" t="s">
        <v>2490</v>
      </c>
      <c r="I795">
        <v>6</v>
      </c>
    </row>
    <row r="796" spans="1:9" ht="15.6" x14ac:dyDescent="0.3">
      <c r="A796" s="9">
        <v>795</v>
      </c>
      <c r="B796" s="2" t="s">
        <v>801</v>
      </c>
      <c r="C796" s="11">
        <v>22</v>
      </c>
      <c r="D796" s="12">
        <v>50</v>
      </c>
      <c r="E796" s="12" t="s">
        <v>8220</v>
      </c>
      <c r="F796" s="13">
        <v>6</v>
      </c>
      <c r="G796" s="14">
        <v>1816.25</v>
      </c>
      <c r="H796" t="s">
        <v>1466</v>
      </c>
      <c r="I796">
        <v>6</v>
      </c>
    </row>
    <row r="797" spans="1:9" ht="15.6" x14ac:dyDescent="0.3">
      <c r="A797" s="9">
        <v>796</v>
      </c>
      <c r="B797" s="2" t="s">
        <v>802</v>
      </c>
      <c r="C797" s="11">
        <v>16</v>
      </c>
      <c r="D797" s="12">
        <v>33.333333333333329</v>
      </c>
      <c r="E797" s="12" t="s">
        <v>8219</v>
      </c>
      <c r="F797" s="13">
        <v>6</v>
      </c>
      <c r="G797" s="14">
        <v>1791.23</v>
      </c>
      <c r="H797" t="s">
        <v>442</v>
      </c>
      <c r="I797">
        <v>5</v>
      </c>
    </row>
    <row r="798" spans="1:9" ht="15.6" x14ac:dyDescent="0.3">
      <c r="A798" s="9">
        <v>797</v>
      </c>
      <c r="B798" s="2" t="s">
        <v>803</v>
      </c>
      <c r="C798" s="11">
        <v>18</v>
      </c>
      <c r="D798" s="12">
        <v>16.666666666666664</v>
      </c>
      <c r="E798" s="12" t="s">
        <v>8219</v>
      </c>
      <c r="F798" s="13">
        <v>6</v>
      </c>
      <c r="G798" s="14">
        <v>1775.23</v>
      </c>
      <c r="H798" t="s">
        <v>3258</v>
      </c>
      <c r="I798">
        <v>5</v>
      </c>
    </row>
    <row r="799" spans="1:9" ht="15.6" x14ac:dyDescent="0.3">
      <c r="A799" s="9">
        <v>798</v>
      </c>
      <c r="B799" s="2" t="s">
        <v>804</v>
      </c>
      <c r="C799" s="11">
        <v>16</v>
      </c>
      <c r="D799" s="12">
        <v>33.333333333333329</v>
      </c>
      <c r="E799" s="12" t="s">
        <v>8219</v>
      </c>
      <c r="F799" s="13">
        <v>6</v>
      </c>
      <c r="G799" s="14">
        <v>1751.1999999999998</v>
      </c>
      <c r="H799" t="s">
        <v>2234</v>
      </c>
      <c r="I799">
        <v>5</v>
      </c>
    </row>
    <row r="800" spans="1:9" ht="15.6" x14ac:dyDescent="0.3">
      <c r="A800" s="9">
        <v>799</v>
      </c>
      <c r="B800" s="2" t="s">
        <v>805</v>
      </c>
      <c r="C800" s="11">
        <v>16</v>
      </c>
      <c r="D800" s="12">
        <v>33.333333333333329</v>
      </c>
      <c r="E800" s="12" t="s">
        <v>8219</v>
      </c>
      <c r="F800" s="13">
        <v>6</v>
      </c>
      <c r="G800" s="14">
        <v>1791.23</v>
      </c>
      <c r="H800" t="s">
        <v>1210</v>
      </c>
      <c r="I800">
        <v>5</v>
      </c>
    </row>
    <row r="801" spans="1:9" ht="15.6" x14ac:dyDescent="0.3">
      <c r="A801" s="9">
        <v>800</v>
      </c>
      <c r="B801" s="2" t="s">
        <v>806</v>
      </c>
      <c r="C801" s="11">
        <v>10</v>
      </c>
      <c r="D801" s="12">
        <v>16.666666666666664</v>
      </c>
      <c r="E801" s="12" t="s">
        <v>8219</v>
      </c>
      <c r="F801" s="13">
        <v>6</v>
      </c>
      <c r="G801" s="14">
        <v>1766.21</v>
      </c>
      <c r="H801" t="s">
        <v>186</v>
      </c>
      <c r="I801">
        <v>4</v>
      </c>
    </row>
    <row r="802" spans="1:9" ht="15.6" x14ac:dyDescent="0.3">
      <c r="A802" s="9">
        <v>801</v>
      </c>
      <c r="B802" s="2" t="s">
        <v>807</v>
      </c>
      <c r="C802" s="11">
        <v>26</v>
      </c>
      <c r="D802" s="12">
        <v>16.666666666666664</v>
      </c>
      <c r="E802" s="12" t="s">
        <v>8219</v>
      </c>
      <c r="F802" s="13">
        <v>6</v>
      </c>
      <c r="G802" s="14">
        <v>1824.2799999999997</v>
      </c>
      <c r="H802" t="s">
        <v>3962</v>
      </c>
      <c r="I802">
        <v>7</v>
      </c>
    </row>
    <row r="803" spans="1:9" ht="15.6" x14ac:dyDescent="0.3">
      <c r="A803" s="9">
        <v>802</v>
      </c>
      <c r="B803" s="2" t="s">
        <v>808</v>
      </c>
      <c r="C803" s="11">
        <v>24</v>
      </c>
      <c r="D803" s="12">
        <v>33.333333333333329</v>
      </c>
      <c r="E803" s="12" t="s">
        <v>8219</v>
      </c>
      <c r="F803" s="13">
        <v>6</v>
      </c>
      <c r="G803" s="14">
        <v>1800.25</v>
      </c>
      <c r="H803" t="s">
        <v>2938</v>
      </c>
      <c r="I803">
        <v>6</v>
      </c>
    </row>
    <row r="804" spans="1:9" ht="15.6" x14ac:dyDescent="0.3">
      <c r="A804" s="9">
        <v>803</v>
      </c>
      <c r="B804" s="2" t="s">
        <v>809</v>
      </c>
      <c r="C804" s="11">
        <v>24</v>
      </c>
      <c r="D804" s="12">
        <v>33.333333333333329</v>
      </c>
      <c r="E804" s="12" t="s">
        <v>8219</v>
      </c>
      <c r="F804" s="13">
        <v>6</v>
      </c>
      <c r="G804" s="14">
        <v>1840.2800000000002</v>
      </c>
      <c r="H804" t="s">
        <v>1914</v>
      </c>
      <c r="I804">
        <v>6</v>
      </c>
    </row>
    <row r="805" spans="1:9" ht="15.6" x14ac:dyDescent="0.3">
      <c r="A805" s="9">
        <v>804</v>
      </c>
      <c r="B805" s="2" t="s">
        <v>810</v>
      </c>
      <c r="C805" s="11">
        <v>18</v>
      </c>
      <c r="D805" s="12">
        <v>16.666666666666664</v>
      </c>
      <c r="E805" s="12" t="s">
        <v>8219</v>
      </c>
      <c r="F805" s="13">
        <v>6</v>
      </c>
      <c r="G805" s="14">
        <v>1815.2599999999998</v>
      </c>
      <c r="H805" t="s">
        <v>890</v>
      </c>
      <c r="I805">
        <v>5</v>
      </c>
    </row>
    <row r="806" spans="1:9" ht="15.6" x14ac:dyDescent="0.3">
      <c r="A806" s="9">
        <v>805</v>
      </c>
      <c r="B806" s="2" t="s">
        <v>811</v>
      </c>
      <c r="C806" s="11">
        <v>24</v>
      </c>
      <c r="D806" s="12">
        <v>33.333333333333329</v>
      </c>
      <c r="E806" s="12" t="s">
        <v>8219</v>
      </c>
      <c r="F806" s="13">
        <v>6</v>
      </c>
      <c r="G806" s="14">
        <v>1800.25</v>
      </c>
      <c r="H806" t="s">
        <v>3706</v>
      </c>
      <c r="I806">
        <v>6</v>
      </c>
    </row>
    <row r="807" spans="1:9" ht="15.6" x14ac:dyDescent="0.3">
      <c r="A807" s="9">
        <v>806</v>
      </c>
      <c r="B807" s="2" t="s">
        <v>812</v>
      </c>
      <c r="C807" s="11">
        <v>22</v>
      </c>
      <c r="D807" s="12">
        <v>50</v>
      </c>
      <c r="E807" s="12" t="s">
        <v>8220</v>
      </c>
      <c r="F807" s="13">
        <v>6</v>
      </c>
      <c r="G807" s="14">
        <v>1776.2199999999998</v>
      </c>
      <c r="H807" t="s">
        <v>2682</v>
      </c>
      <c r="I807">
        <v>6</v>
      </c>
    </row>
    <row r="808" spans="1:9" ht="15.6" x14ac:dyDescent="0.3">
      <c r="A808" s="9">
        <v>807</v>
      </c>
      <c r="B808" s="2" t="s">
        <v>813</v>
      </c>
      <c r="C808" s="11">
        <v>22</v>
      </c>
      <c r="D808" s="12">
        <v>50</v>
      </c>
      <c r="E808" s="12" t="s">
        <v>8220</v>
      </c>
      <c r="F808" s="13">
        <v>6</v>
      </c>
      <c r="G808" s="14">
        <v>1816.25</v>
      </c>
      <c r="H808" t="s">
        <v>1658</v>
      </c>
      <c r="I808">
        <v>6</v>
      </c>
    </row>
    <row r="809" spans="1:9" ht="15.6" x14ac:dyDescent="0.3">
      <c r="A809" s="9">
        <v>808</v>
      </c>
      <c r="B809" s="2" t="s">
        <v>814</v>
      </c>
      <c r="C809" s="11">
        <v>16</v>
      </c>
      <c r="D809" s="12">
        <v>33.333333333333329</v>
      </c>
      <c r="E809" s="12" t="s">
        <v>8219</v>
      </c>
      <c r="F809" s="13">
        <v>6</v>
      </c>
      <c r="G809" s="14">
        <v>1791.23</v>
      </c>
      <c r="H809" t="s">
        <v>634</v>
      </c>
      <c r="I809">
        <v>5</v>
      </c>
    </row>
    <row r="810" spans="1:9" ht="15.6" x14ac:dyDescent="0.3">
      <c r="A810" s="9">
        <v>809</v>
      </c>
      <c r="B810" s="2" t="s">
        <v>815</v>
      </c>
      <c r="C810" s="11">
        <v>24</v>
      </c>
      <c r="D810" s="12">
        <v>33.333333333333329</v>
      </c>
      <c r="E810" s="12" t="s">
        <v>8219</v>
      </c>
      <c r="F810" s="13">
        <v>6</v>
      </c>
      <c r="G810" s="14">
        <v>1840.2800000000002</v>
      </c>
      <c r="H810" t="s">
        <v>3450</v>
      </c>
      <c r="I810">
        <v>6</v>
      </c>
    </row>
    <row r="811" spans="1:9" ht="15.6" x14ac:dyDescent="0.3">
      <c r="A811" s="9">
        <v>810</v>
      </c>
      <c r="B811" s="2" t="s">
        <v>816</v>
      </c>
      <c r="C811" s="11">
        <v>22</v>
      </c>
      <c r="D811" s="12">
        <v>50</v>
      </c>
      <c r="E811" s="12" t="s">
        <v>8220</v>
      </c>
      <c r="F811" s="13">
        <v>6</v>
      </c>
      <c r="G811" s="14">
        <v>1816.25</v>
      </c>
      <c r="H811" t="s">
        <v>2426</v>
      </c>
      <c r="I811">
        <v>6</v>
      </c>
    </row>
    <row r="812" spans="1:9" ht="15.6" x14ac:dyDescent="0.3">
      <c r="A812" s="9">
        <v>811</v>
      </c>
      <c r="B812" s="2" t="s">
        <v>817</v>
      </c>
      <c r="C812" s="11">
        <v>22</v>
      </c>
      <c r="D812" s="12">
        <v>50</v>
      </c>
      <c r="E812" s="12" t="s">
        <v>8220</v>
      </c>
      <c r="F812" s="13">
        <v>6</v>
      </c>
      <c r="G812" s="14">
        <v>1856.2800000000002</v>
      </c>
      <c r="H812" t="s">
        <v>1402</v>
      </c>
      <c r="I812">
        <v>6</v>
      </c>
    </row>
    <row r="813" spans="1:9" ht="15.6" x14ac:dyDescent="0.3">
      <c r="A813" s="9">
        <v>812</v>
      </c>
      <c r="B813" s="2" t="s">
        <v>818</v>
      </c>
      <c r="C813" s="11">
        <v>16</v>
      </c>
      <c r="D813" s="12">
        <v>33.333333333333329</v>
      </c>
      <c r="E813" s="12" t="s">
        <v>8219</v>
      </c>
      <c r="F813" s="13">
        <v>6</v>
      </c>
      <c r="G813" s="14">
        <v>1831.2600000000002</v>
      </c>
      <c r="H813" t="s">
        <v>378</v>
      </c>
      <c r="I813">
        <v>5</v>
      </c>
    </row>
    <row r="814" spans="1:9" ht="15.6" x14ac:dyDescent="0.3">
      <c r="A814" s="9">
        <v>813</v>
      </c>
      <c r="B814" s="2" t="s">
        <v>819</v>
      </c>
      <c r="C814" s="11">
        <v>18</v>
      </c>
      <c r="D814" s="12">
        <v>16.666666666666664</v>
      </c>
      <c r="E814" s="12" t="s">
        <v>8219</v>
      </c>
      <c r="F814" s="13">
        <v>6</v>
      </c>
      <c r="G814" s="14">
        <v>1815.2599999999998</v>
      </c>
      <c r="H814" t="s">
        <v>3194</v>
      </c>
      <c r="I814">
        <v>5</v>
      </c>
    </row>
    <row r="815" spans="1:9" ht="15.6" x14ac:dyDescent="0.3">
      <c r="A815" s="9">
        <v>814</v>
      </c>
      <c r="B815" s="2" t="s">
        <v>820</v>
      </c>
      <c r="C815" s="11">
        <v>16</v>
      </c>
      <c r="D815" s="12">
        <v>33.333333333333329</v>
      </c>
      <c r="E815" s="12" t="s">
        <v>8219</v>
      </c>
      <c r="F815" s="13">
        <v>6</v>
      </c>
      <c r="G815" s="14">
        <v>1791.23</v>
      </c>
      <c r="H815" t="s">
        <v>2170</v>
      </c>
      <c r="I815">
        <v>5</v>
      </c>
    </row>
    <row r="816" spans="1:9" ht="15.6" x14ac:dyDescent="0.3">
      <c r="A816" s="9">
        <v>815</v>
      </c>
      <c r="B816" s="2" t="s">
        <v>821</v>
      </c>
      <c r="C816" s="11">
        <v>16</v>
      </c>
      <c r="D816" s="12">
        <v>33.333333333333329</v>
      </c>
      <c r="E816" s="12" t="s">
        <v>8219</v>
      </c>
      <c r="F816" s="13">
        <v>6</v>
      </c>
      <c r="G816" s="14">
        <v>1831.2600000000002</v>
      </c>
      <c r="H816" t="s">
        <v>1146</v>
      </c>
      <c r="I816">
        <v>5</v>
      </c>
    </row>
    <row r="817" spans="1:9" ht="15.6" x14ac:dyDescent="0.3">
      <c r="A817" s="9">
        <v>816</v>
      </c>
      <c r="B817" s="2" t="s">
        <v>822</v>
      </c>
      <c r="C817" s="11">
        <v>10</v>
      </c>
      <c r="D817" s="12">
        <v>16.666666666666664</v>
      </c>
      <c r="E817" s="12" t="s">
        <v>8219</v>
      </c>
      <c r="F817" s="13">
        <v>6</v>
      </c>
      <c r="G817" s="14">
        <v>1806.2399999999998</v>
      </c>
      <c r="H817" t="s">
        <v>122</v>
      </c>
      <c r="I817">
        <v>4</v>
      </c>
    </row>
    <row r="818" spans="1:9" ht="15.6" x14ac:dyDescent="0.3">
      <c r="A818" s="9">
        <v>817</v>
      </c>
      <c r="B818" s="2" t="s">
        <v>823</v>
      </c>
      <c r="C818" s="11">
        <v>20</v>
      </c>
      <c r="D818" s="12">
        <v>0</v>
      </c>
      <c r="E818" s="12" t="s">
        <v>8219</v>
      </c>
      <c r="F818" s="13">
        <v>6</v>
      </c>
      <c r="G818" s="14">
        <v>1799.2599999999998</v>
      </c>
      <c r="H818" t="s">
        <v>3898</v>
      </c>
      <c r="I818">
        <v>6</v>
      </c>
    </row>
    <row r="819" spans="1:9" ht="15.6" x14ac:dyDescent="0.3">
      <c r="A819" s="9">
        <v>818</v>
      </c>
      <c r="B819" s="2" t="s">
        <v>824</v>
      </c>
      <c r="C819" s="11">
        <v>18</v>
      </c>
      <c r="D819" s="12">
        <v>16.666666666666664</v>
      </c>
      <c r="E819" s="12" t="s">
        <v>8219</v>
      </c>
      <c r="F819" s="13">
        <v>6</v>
      </c>
      <c r="G819" s="14">
        <v>1775.23</v>
      </c>
      <c r="H819" t="s">
        <v>2874</v>
      </c>
      <c r="I819">
        <v>5</v>
      </c>
    </row>
    <row r="820" spans="1:9" ht="15.6" x14ac:dyDescent="0.3">
      <c r="A820" s="9">
        <v>819</v>
      </c>
      <c r="B820" s="2" t="s">
        <v>825</v>
      </c>
      <c r="C820" s="11">
        <v>18</v>
      </c>
      <c r="D820" s="12">
        <v>16.666666666666664</v>
      </c>
      <c r="E820" s="12" t="s">
        <v>8219</v>
      </c>
      <c r="F820" s="13">
        <v>6</v>
      </c>
      <c r="G820" s="14">
        <v>1815.2599999999998</v>
      </c>
      <c r="H820" t="s">
        <v>1850</v>
      </c>
      <c r="I820">
        <v>5</v>
      </c>
    </row>
    <row r="821" spans="1:9" ht="15.6" x14ac:dyDescent="0.3">
      <c r="A821" s="9">
        <v>820</v>
      </c>
      <c r="B821" s="2" t="s">
        <v>826</v>
      </c>
      <c r="C821" s="11">
        <v>12</v>
      </c>
      <c r="D821" s="12">
        <v>0</v>
      </c>
      <c r="E821" s="12" t="s">
        <v>8219</v>
      </c>
      <c r="F821" s="13">
        <v>6</v>
      </c>
      <c r="G821" s="14">
        <v>1790.2399999999998</v>
      </c>
      <c r="H821" t="s">
        <v>826</v>
      </c>
      <c r="I821">
        <v>4</v>
      </c>
    </row>
    <row r="822" spans="1:9" ht="15.6" x14ac:dyDescent="0.3">
      <c r="A822" s="9">
        <v>821</v>
      </c>
      <c r="B822" s="2" t="s">
        <v>827</v>
      </c>
      <c r="C822" s="11">
        <v>18</v>
      </c>
      <c r="D822" s="12">
        <v>16.666666666666664</v>
      </c>
      <c r="E822" s="12" t="s">
        <v>8219</v>
      </c>
      <c r="F822" s="13">
        <v>6</v>
      </c>
      <c r="G822" s="14">
        <v>1775.23</v>
      </c>
      <c r="H822" t="s">
        <v>3642</v>
      </c>
      <c r="I822">
        <v>5</v>
      </c>
    </row>
    <row r="823" spans="1:9" ht="15.6" x14ac:dyDescent="0.3">
      <c r="A823" s="9">
        <v>822</v>
      </c>
      <c r="B823" s="2" t="s">
        <v>828</v>
      </c>
      <c r="C823" s="11">
        <v>16</v>
      </c>
      <c r="D823" s="12">
        <v>33.333333333333329</v>
      </c>
      <c r="E823" s="12" t="s">
        <v>8219</v>
      </c>
      <c r="F823" s="13">
        <v>6</v>
      </c>
      <c r="G823" s="14">
        <v>1751.1999999999998</v>
      </c>
      <c r="H823" t="s">
        <v>2618</v>
      </c>
      <c r="I823">
        <v>5</v>
      </c>
    </row>
    <row r="824" spans="1:9" ht="15.6" x14ac:dyDescent="0.3">
      <c r="A824" s="9">
        <v>823</v>
      </c>
      <c r="B824" s="2" t="s">
        <v>829</v>
      </c>
      <c r="C824" s="11">
        <v>16</v>
      </c>
      <c r="D824" s="12">
        <v>33.333333333333329</v>
      </c>
      <c r="E824" s="12" t="s">
        <v>8219</v>
      </c>
      <c r="F824" s="13">
        <v>6</v>
      </c>
      <c r="G824" s="14">
        <v>1791.23</v>
      </c>
      <c r="H824" t="s">
        <v>1594</v>
      </c>
      <c r="I824">
        <v>5</v>
      </c>
    </row>
    <row r="825" spans="1:9" ht="15.6" x14ac:dyDescent="0.3">
      <c r="A825" s="9">
        <v>824</v>
      </c>
      <c r="B825" s="2" t="s">
        <v>830</v>
      </c>
      <c r="C825" s="11">
        <v>10</v>
      </c>
      <c r="D825" s="12">
        <v>16.666666666666664</v>
      </c>
      <c r="E825" s="12" t="s">
        <v>8219</v>
      </c>
      <c r="F825" s="13">
        <v>6</v>
      </c>
      <c r="G825" s="14">
        <v>1766.21</v>
      </c>
      <c r="H825" t="s">
        <v>570</v>
      </c>
      <c r="I825">
        <v>4</v>
      </c>
    </row>
    <row r="826" spans="1:9" ht="15.6" x14ac:dyDescent="0.3">
      <c r="A826" s="9">
        <v>825</v>
      </c>
      <c r="B826" s="2" t="s">
        <v>831</v>
      </c>
      <c r="C826" s="11">
        <v>18</v>
      </c>
      <c r="D826" s="12">
        <v>16.666666666666664</v>
      </c>
      <c r="E826" s="12" t="s">
        <v>8219</v>
      </c>
      <c r="F826" s="13">
        <v>6</v>
      </c>
      <c r="G826" s="14">
        <v>1815.2599999999998</v>
      </c>
      <c r="H826" t="s">
        <v>3386</v>
      </c>
      <c r="I826">
        <v>5</v>
      </c>
    </row>
    <row r="827" spans="1:9" ht="15.6" x14ac:dyDescent="0.3">
      <c r="A827" s="9">
        <v>826</v>
      </c>
      <c r="B827" s="2" t="s">
        <v>832</v>
      </c>
      <c r="C827" s="11">
        <v>16</v>
      </c>
      <c r="D827" s="12">
        <v>33.333333333333329</v>
      </c>
      <c r="E827" s="12" t="s">
        <v>8219</v>
      </c>
      <c r="F827" s="13">
        <v>6</v>
      </c>
      <c r="G827" s="14">
        <v>1791.23</v>
      </c>
      <c r="H827" t="s">
        <v>2362</v>
      </c>
      <c r="I827">
        <v>5</v>
      </c>
    </row>
    <row r="828" spans="1:9" ht="15.6" x14ac:dyDescent="0.3">
      <c r="A828" s="9">
        <v>827</v>
      </c>
      <c r="B828" s="2" t="s">
        <v>833</v>
      </c>
      <c r="C828" s="11">
        <v>16</v>
      </c>
      <c r="D828" s="12">
        <v>33.333333333333329</v>
      </c>
      <c r="E828" s="12" t="s">
        <v>8219</v>
      </c>
      <c r="F828" s="13">
        <v>6</v>
      </c>
      <c r="G828" s="14">
        <v>1831.2600000000002</v>
      </c>
      <c r="H828" t="s">
        <v>1338</v>
      </c>
      <c r="I828">
        <v>5</v>
      </c>
    </row>
    <row r="829" spans="1:9" ht="15.6" x14ac:dyDescent="0.3">
      <c r="A829" s="9">
        <v>828</v>
      </c>
      <c r="B829" s="2" t="s">
        <v>834</v>
      </c>
      <c r="C829" s="11">
        <v>10</v>
      </c>
      <c r="D829" s="12">
        <v>16.666666666666664</v>
      </c>
      <c r="E829" s="12" t="s">
        <v>8219</v>
      </c>
      <c r="F829" s="13">
        <v>6</v>
      </c>
      <c r="G829" s="14">
        <v>1806.2399999999998</v>
      </c>
      <c r="H829" t="s">
        <v>314</v>
      </c>
      <c r="I829">
        <v>4</v>
      </c>
    </row>
    <row r="830" spans="1:9" ht="15.6" x14ac:dyDescent="0.3">
      <c r="A830" s="9">
        <v>829</v>
      </c>
      <c r="B830" s="2" t="s">
        <v>835</v>
      </c>
      <c r="C830" s="11">
        <v>12</v>
      </c>
      <c r="D830" s="12">
        <v>0</v>
      </c>
      <c r="E830" s="12" t="s">
        <v>8219</v>
      </c>
      <c r="F830" s="13">
        <v>6</v>
      </c>
      <c r="G830" s="14">
        <v>1790.2399999999998</v>
      </c>
      <c r="H830" t="s">
        <v>3130</v>
      </c>
      <c r="I830">
        <v>4</v>
      </c>
    </row>
    <row r="831" spans="1:9" ht="15.6" x14ac:dyDescent="0.3">
      <c r="A831" s="9">
        <v>830</v>
      </c>
      <c r="B831" s="2" t="s">
        <v>836</v>
      </c>
      <c r="C831" s="11">
        <v>10</v>
      </c>
      <c r="D831" s="12">
        <v>16.666666666666664</v>
      </c>
      <c r="E831" s="12" t="s">
        <v>8219</v>
      </c>
      <c r="F831" s="13">
        <v>6</v>
      </c>
      <c r="G831" s="14">
        <v>1766.21</v>
      </c>
      <c r="H831" t="s">
        <v>2106</v>
      </c>
      <c r="I831">
        <v>4</v>
      </c>
    </row>
    <row r="832" spans="1:9" ht="15.6" x14ac:dyDescent="0.3">
      <c r="A832" s="9">
        <v>831</v>
      </c>
      <c r="B832" s="2" t="s">
        <v>837</v>
      </c>
      <c r="C832" s="11">
        <v>10</v>
      </c>
      <c r="D832" s="12">
        <v>16.666666666666664</v>
      </c>
      <c r="E832" s="12" t="s">
        <v>8219</v>
      </c>
      <c r="F832" s="13">
        <v>6</v>
      </c>
      <c r="G832" s="14">
        <v>1806.2399999999998</v>
      </c>
      <c r="H832" t="s">
        <v>1082</v>
      </c>
      <c r="I832">
        <v>4</v>
      </c>
    </row>
    <row r="833" spans="1:9" ht="15.6" x14ac:dyDescent="0.3">
      <c r="A833" s="9">
        <v>832</v>
      </c>
      <c r="B833" s="2" t="s">
        <v>838</v>
      </c>
      <c r="C833" s="11">
        <v>4</v>
      </c>
      <c r="D833" s="12">
        <v>0</v>
      </c>
      <c r="E833" s="12" t="s">
        <v>8219</v>
      </c>
      <c r="F833" s="13">
        <v>6</v>
      </c>
      <c r="G833" s="14">
        <v>1781.2199999999998</v>
      </c>
      <c r="H833" t="s">
        <v>58</v>
      </c>
      <c r="I833">
        <v>3</v>
      </c>
    </row>
    <row r="834" spans="1:9" ht="15.6" x14ac:dyDescent="0.3">
      <c r="A834" s="9">
        <v>833</v>
      </c>
      <c r="B834" s="2" t="s">
        <v>839</v>
      </c>
      <c r="C834" s="11">
        <v>26</v>
      </c>
      <c r="D834" s="12">
        <v>16.666666666666664</v>
      </c>
      <c r="E834" s="12" t="s">
        <v>8219</v>
      </c>
      <c r="F834" s="13">
        <v>6</v>
      </c>
      <c r="G834" s="14">
        <v>1784.25</v>
      </c>
      <c r="H834" t="s">
        <v>4074</v>
      </c>
      <c r="I834">
        <v>7</v>
      </c>
    </row>
    <row r="835" spans="1:9" ht="15.6" x14ac:dyDescent="0.3">
      <c r="A835" s="9">
        <v>834</v>
      </c>
      <c r="B835" s="2" t="s">
        <v>840</v>
      </c>
      <c r="C835" s="11">
        <v>24</v>
      </c>
      <c r="D835" s="12">
        <v>33.333333333333329</v>
      </c>
      <c r="E835" s="12" t="s">
        <v>8219</v>
      </c>
      <c r="F835" s="13">
        <v>6</v>
      </c>
      <c r="G835" s="14">
        <v>1760.2199999999998</v>
      </c>
      <c r="H835" t="s">
        <v>3050</v>
      </c>
      <c r="I835">
        <v>6</v>
      </c>
    </row>
    <row r="836" spans="1:9" ht="15.6" x14ac:dyDescent="0.3">
      <c r="A836" s="9">
        <v>835</v>
      </c>
      <c r="B836" s="2" t="s">
        <v>841</v>
      </c>
      <c r="C836" s="11">
        <v>24</v>
      </c>
      <c r="D836" s="12">
        <v>33.333333333333329</v>
      </c>
      <c r="E836" s="12" t="s">
        <v>8219</v>
      </c>
      <c r="F836" s="13">
        <v>6</v>
      </c>
      <c r="G836" s="14">
        <v>1800.25</v>
      </c>
      <c r="H836" t="s">
        <v>2026</v>
      </c>
      <c r="I836">
        <v>6</v>
      </c>
    </row>
    <row r="837" spans="1:9" ht="15.6" x14ac:dyDescent="0.3">
      <c r="A837" s="9">
        <v>836</v>
      </c>
      <c r="B837" s="2" t="s">
        <v>842</v>
      </c>
      <c r="C837" s="11">
        <v>18</v>
      </c>
      <c r="D837" s="12">
        <v>16.666666666666664</v>
      </c>
      <c r="E837" s="12" t="s">
        <v>8219</v>
      </c>
      <c r="F837" s="13">
        <v>6</v>
      </c>
      <c r="G837" s="14">
        <v>1775.23</v>
      </c>
      <c r="H837" t="s">
        <v>1002</v>
      </c>
      <c r="I837">
        <v>5</v>
      </c>
    </row>
    <row r="838" spans="1:9" ht="15.6" x14ac:dyDescent="0.3">
      <c r="A838" s="9">
        <v>837</v>
      </c>
      <c r="B838" s="2" t="s">
        <v>843</v>
      </c>
      <c r="C838" s="11">
        <v>24</v>
      </c>
      <c r="D838" s="12">
        <v>33.333333333333329</v>
      </c>
      <c r="E838" s="12" t="s">
        <v>8219</v>
      </c>
      <c r="F838" s="13">
        <v>6</v>
      </c>
      <c r="G838" s="14">
        <v>1760.2199999999998</v>
      </c>
      <c r="H838" t="s">
        <v>3818</v>
      </c>
      <c r="I838">
        <v>6</v>
      </c>
    </row>
    <row r="839" spans="1:9" ht="15.6" x14ac:dyDescent="0.3">
      <c r="A839" s="9">
        <v>838</v>
      </c>
      <c r="B839" s="2" t="s">
        <v>844</v>
      </c>
      <c r="C839" s="11">
        <v>22</v>
      </c>
      <c r="D839" s="12">
        <v>50</v>
      </c>
      <c r="E839" s="12" t="s">
        <v>8220</v>
      </c>
      <c r="F839" s="13">
        <v>6</v>
      </c>
      <c r="G839" s="14">
        <v>1736.19</v>
      </c>
      <c r="H839" t="s">
        <v>2794</v>
      </c>
      <c r="I839">
        <v>6</v>
      </c>
    </row>
    <row r="840" spans="1:9" ht="15.6" x14ac:dyDescent="0.3">
      <c r="A840" s="9">
        <v>839</v>
      </c>
      <c r="B840" s="2" t="s">
        <v>845</v>
      </c>
      <c r="C840" s="11">
        <v>22</v>
      </c>
      <c r="D840" s="12">
        <v>50</v>
      </c>
      <c r="E840" s="12" t="s">
        <v>8220</v>
      </c>
      <c r="F840" s="13">
        <v>6</v>
      </c>
      <c r="G840" s="14">
        <v>1776.2199999999998</v>
      </c>
      <c r="H840" t="s">
        <v>1770</v>
      </c>
      <c r="I840">
        <v>6</v>
      </c>
    </row>
    <row r="841" spans="1:9" ht="15.6" x14ac:dyDescent="0.3">
      <c r="A841" s="9">
        <v>840</v>
      </c>
      <c r="B841" s="2" t="s">
        <v>846</v>
      </c>
      <c r="C841" s="11">
        <v>16</v>
      </c>
      <c r="D841" s="12">
        <v>33.333333333333329</v>
      </c>
      <c r="E841" s="12" t="s">
        <v>8219</v>
      </c>
      <c r="F841" s="13">
        <v>6</v>
      </c>
      <c r="G841" s="14">
        <v>1751.1999999999998</v>
      </c>
      <c r="H841" t="s">
        <v>746</v>
      </c>
      <c r="I841">
        <v>5</v>
      </c>
    </row>
    <row r="842" spans="1:9" ht="15.6" x14ac:dyDescent="0.3">
      <c r="A842" s="9">
        <v>841</v>
      </c>
      <c r="B842" s="2" t="s">
        <v>847</v>
      </c>
      <c r="C842" s="11">
        <v>24</v>
      </c>
      <c r="D842" s="12">
        <v>33.333333333333329</v>
      </c>
      <c r="E842" s="12" t="s">
        <v>8219</v>
      </c>
      <c r="F842" s="13">
        <v>6</v>
      </c>
      <c r="G842" s="14">
        <v>1800.25</v>
      </c>
      <c r="H842" t="s">
        <v>3562</v>
      </c>
      <c r="I842">
        <v>6</v>
      </c>
    </row>
    <row r="843" spans="1:9" ht="15.6" x14ac:dyDescent="0.3">
      <c r="A843" s="9">
        <v>842</v>
      </c>
      <c r="B843" s="2" t="s">
        <v>848</v>
      </c>
      <c r="C843" s="11">
        <v>22</v>
      </c>
      <c r="D843" s="12">
        <v>50</v>
      </c>
      <c r="E843" s="12" t="s">
        <v>8220</v>
      </c>
      <c r="F843" s="13">
        <v>6</v>
      </c>
      <c r="G843" s="14">
        <v>1776.2199999999998</v>
      </c>
      <c r="H843" t="s">
        <v>2538</v>
      </c>
      <c r="I843">
        <v>6</v>
      </c>
    </row>
    <row r="844" spans="1:9" ht="15.6" x14ac:dyDescent="0.3">
      <c r="A844" s="9">
        <v>843</v>
      </c>
      <c r="B844" s="2" t="s">
        <v>849</v>
      </c>
      <c r="C844" s="11">
        <v>22</v>
      </c>
      <c r="D844" s="12">
        <v>50</v>
      </c>
      <c r="E844" s="12" t="s">
        <v>8220</v>
      </c>
      <c r="F844" s="13">
        <v>6</v>
      </c>
      <c r="G844" s="14">
        <v>1816.25</v>
      </c>
      <c r="H844" t="s">
        <v>1514</v>
      </c>
      <c r="I844">
        <v>6</v>
      </c>
    </row>
    <row r="845" spans="1:9" ht="15.6" x14ac:dyDescent="0.3">
      <c r="A845" s="9">
        <v>844</v>
      </c>
      <c r="B845" s="2" t="s">
        <v>850</v>
      </c>
      <c r="C845" s="11">
        <v>16</v>
      </c>
      <c r="D845" s="12">
        <v>33.333333333333329</v>
      </c>
      <c r="E845" s="12" t="s">
        <v>8219</v>
      </c>
      <c r="F845" s="13">
        <v>6</v>
      </c>
      <c r="G845" s="14">
        <v>1791.23</v>
      </c>
      <c r="H845" t="s">
        <v>490</v>
      </c>
      <c r="I845">
        <v>5</v>
      </c>
    </row>
    <row r="846" spans="1:9" ht="15.6" x14ac:dyDescent="0.3">
      <c r="A846" s="9">
        <v>845</v>
      </c>
      <c r="B846" s="2" t="s">
        <v>851</v>
      </c>
      <c r="C846" s="11">
        <v>18</v>
      </c>
      <c r="D846" s="12">
        <v>16.666666666666664</v>
      </c>
      <c r="E846" s="12" t="s">
        <v>8219</v>
      </c>
      <c r="F846" s="13">
        <v>6</v>
      </c>
      <c r="G846" s="14">
        <v>1775.23</v>
      </c>
      <c r="H846" t="s">
        <v>3306</v>
      </c>
      <c r="I846">
        <v>5</v>
      </c>
    </row>
    <row r="847" spans="1:9" ht="15.6" x14ac:dyDescent="0.3">
      <c r="A847" s="9">
        <v>846</v>
      </c>
      <c r="B847" s="2" t="s">
        <v>852</v>
      </c>
      <c r="C847" s="11">
        <v>16</v>
      </c>
      <c r="D847" s="12">
        <v>33.333333333333329</v>
      </c>
      <c r="E847" s="12" t="s">
        <v>8219</v>
      </c>
      <c r="F847" s="13">
        <v>6</v>
      </c>
      <c r="G847" s="14">
        <v>1751.1999999999998</v>
      </c>
      <c r="H847" t="s">
        <v>2282</v>
      </c>
      <c r="I847">
        <v>5</v>
      </c>
    </row>
    <row r="848" spans="1:9" ht="15.6" x14ac:dyDescent="0.3">
      <c r="A848" s="9">
        <v>847</v>
      </c>
      <c r="B848" s="2" t="s">
        <v>853</v>
      </c>
      <c r="C848" s="11">
        <v>16</v>
      </c>
      <c r="D848" s="12">
        <v>33.333333333333329</v>
      </c>
      <c r="E848" s="12" t="s">
        <v>8219</v>
      </c>
      <c r="F848" s="13">
        <v>6</v>
      </c>
      <c r="G848" s="14">
        <v>1791.23</v>
      </c>
      <c r="H848" t="s">
        <v>1258</v>
      </c>
      <c r="I848">
        <v>5</v>
      </c>
    </row>
    <row r="849" spans="1:9" ht="15.6" x14ac:dyDescent="0.3">
      <c r="A849" s="9">
        <v>848</v>
      </c>
      <c r="B849" s="2" t="s">
        <v>854</v>
      </c>
      <c r="C849" s="11">
        <v>10</v>
      </c>
      <c r="D849" s="12">
        <v>16.666666666666664</v>
      </c>
      <c r="E849" s="12" t="s">
        <v>8219</v>
      </c>
      <c r="F849" s="13">
        <v>6</v>
      </c>
      <c r="G849" s="14">
        <v>1766.21</v>
      </c>
      <c r="H849" t="s">
        <v>234</v>
      </c>
      <c r="I849">
        <v>4</v>
      </c>
    </row>
    <row r="850" spans="1:9" ht="15.6" x14ac:dyDescent="0.3">
      <c r="A850" s="9">
        <v>849</v>
      </c>
      <c r="B850" s="2" t="s">
        <v>855</v>
      </c>
      <c r="C850" s="11">
        <v>24</v>
      </c>
      <c r="D850" s="12">
        <v>33.333333333333329</v>
      </c>
      <c r="E850" s="12" t="s">
        <v>8219</v>
      </c>
      <c r="F850" s="13">
        <v>6</v>
      </c>
      <c r="G850" s="14">
        <v>1760.2199999999998</v>
      </c>
      <c r="H850" t="s">
        <v>4010</v>
      </c>
      <c r="I850">
        <v>6</v>
      </c>
    </row>
    <row r="851" spans="1:9" ht="15.6" x14ac:dyDescent="0.3">
      <c r="A851" s="9">
        <v>850</v>
      </c>
      <c r="B851" s="2" t="s">
        <v>856</v>
      </c>
      <c r="C851" s="11">
        <v>22</v>
      </c>
      <c r="D851" s="12">
        <v>50</v>
      </c>
      <c r="E851" s="12" t="s">
        <v>8220</v>
      </c>
      <c r="F851" s="13">
        <v>6</v>
      </c>
      <c r="G851" s="14">
        <v>1736.19</v>
      </c>
      <c r="H851" t="s">
        <v>2986</v>
      </c>
      <c r="I851">
        <v>6</v>
      </c>
    </row>
    <row r="852" spans="1:9" ht="15.6" x14ac:dyDescent="0.3">
      <c r="A852" s="9">
        <v>851</v>
      </c>
      <c r="B852" s="2" t="s">
        <v>857</v>
      </c>
      <c r="C852" s="11">
        <v>22</v>
      </c>
      <c r="D852" s="12">
        <v>50</v>
      </c>
      <c r="E852" s="12" t="s">
        <v>8220</v>
      </c>
      <c r="F852" s="13">
        <v>6</v>
      </c>
      <c r="G852" s="14">
        <v>1776.2199999999998</v>
      </c>
      <c r="H852" t="s">
        <v>1962</v>
      </c>
      <c r="I852">
        <v>6</v>
      </c>
    </row>
    <row r="853" spans="1:9" ht="15.6" x14ac:dyDescent="0.3">
      <c r="A853" s="9">
        <v>852</v>
      </c>
      <c r="B853" s="2" t="s">
        <v>858</v>
      </c>
      <c r="C853" s="11">
        <v>16</v>
      </c>
      <c r="D853" s="12">
        <v>33.333333333333329</v>
      </c>
      <c r="E853" s="12" t="s">
        <v>8219</v>
      </c>
      <c r="F853" s="13">
        <v>6</v>
      </c>
      <c r="G853" s="14">
        <v>1751.1999999999998</v>
      </c>
      <c r="H853" t="s">
        <v>938</v>
      </c>
      <c r="I853">
        <v>5</v>
      </c>
    </row>
    <row r="854" spans="1:9" ht="15.6" x14ac:dyDescent="0.3">
      <c r="A854" s="9">
        <v>853</v>
      </c>
      <c r="B854" s="2" t="s">
        <v>859</v>
      </c>
      <c r="C854" s="11">
        <v>22</v>
      </c>
      <c r="D854" s="12">
        <v>50</v>
      </c>
      <c r="E854" s="12" t="s">
        <v>8220</v>
      </c>
      <c r="F854" s="13">
        <v>6</v>
      </c>
      <c r="G854" s="14">
        <v>1736.19</v>
      </c>
      <c r="H854" t="s">
        <v>3754</v>
      </c>
      <c r="I854">
        <v>6</v>
      </c>
    </row>
    <row r="855" spans="1:9" ht="15.6" x14ac:dyDescent="0.3">
      <c r="A855" s="9">
        <v>854</v>
      </c>
      <c r="B855" s="2" t="s">
        <v>860</v>
      </c>
      <c r="C855" s="11">
        <v>20</v>
      </c>
      <c r="D855" s="12">
        <v>66.666666666666657</v>
      </c>
      <c r="E855" s="12" t="s">
        <v>8220</v>
      </c>
      <c r="F855" s="13">
        <v>6</v>
      </c>
      <c r="G855" s="14">
        <v>1712.1599999999999</v>
      </c>
      <c r="H855" t="s">
        <v>2730</v>
      </c>
      <c r="I855">
        <v>6</v>
      </c>
    </row>
    <row r="856" spans="1:9" ht="15.6" x14ac:dyDescent="0.3">
      <c r="A856" s="9">
        <v>855</v>
      </c>
      <c r="B856" s="2" t="s">
        <v>861</v>
      </c>
      <c r="C856" s="11">
        <v>20</v>
      </c>
      <c r="D856" s="12">
        <v>66.666666666666657</v>
      </c>
      <c r="E856" s="12" t="s">
        <v>8220</v>
      </c>
      <c r="F856" s="13">
        <v>6</v>
      </c>
      <c r="G856" s="14">
        <v>1752.19</v>
      </c>
      <c r="H856" t="s">
        <v>1706</v>
      </c>
      <c r="I856">
        <v>6</v>
      </c>
    </row>
    <row r="857" spans="1:9" ht="15.6" x14ac:dyDescent="0.3">
      <c r="A857" s="9">
        <v>856</v>
      </c>
      <c r="B857" s="2" t="s">
        <v>862</v>
      </c>
      <c r="C857" s="11">
        <v>14</v>
      </c>
      <c r="D857" s="12">
        <v>50</v>
      </c>
      <c r="E857" s="12" t="s">
        <v>8220</v>
      </c>
      <c r="F857" s="13">
        <v>6</v>
      </c>
      <c r="G857" s="14">
        <v>1727.17</v>
      </c>
      <c r="H857" t="s">
        <v>682</v>
      </c>
      <c r="I857">
        <v>5</v>
      </c>
    </row>
    <row r="858" spans="1:9" ht="15.6" x14ac:dyDescent="0.3">
      <c r="A858" s="9">
        <v>857</v>
      </c>
      <c r="B858" s="2" t="s">
        <v>863</v>
      </c>
      <c r="C858" s="11">
        <v>22</v>
      </c>
      <c r="D858" s="12">
        <v>50</v>
      </c>
      <c r="E858" s="12" t="s">
        <v>8220</v>
      </c>
      <c r="F858" s="13">
        <v>6</v>
      </c>
      <c r="G858" s="14">
        <v>1776.2199999999998</v>
      </c>
      <c r="H858" t="s">
        <v>3498</v>
      </c>
      <c r="I858">
        <v>6</v>
      </c>
    </row>
    <row r="859" spans="1:9" ht="15.6" x14ac:dyDescent="0.3">
      <c r="A859" s="9">
        <v>858</v>
      </c>
      <c r="B859" s="2" t="s">
        <v>864</v>
      </c>
      <c r="C859" s="11">
        <v>20</v>
      </c>
      <c r="D859" s="12">
        <v>66.666666666666657</v>
      </c>
      <c r="E859" s="12" t="s">
        <v>8220</v>
      </c>
      <c r="F859" s="13">
        <v>6</v>
      </c>
      <c r="G859" s="14">
        <v>1752.19</v>
      </c>
      <c r="H859" t="s">
        <v>2474</v>
      </c>
      <c r="I859">
        <v>6</v>
      </c>
    </row>
    <row r="860" spans="1:9" ht="15.6" x14ac:dyDescent="0.3">
      <c r="A860" s="9">
        <v>859</v>
      </c>
      <c r="B860" s="2" t="s">
        <v>865</v>
      </c>
      <c r="C860" s="11">
        <v>20</v>
      </c>
      <c r="D860" s="12">
        <v>66.666666666666657</v>
      </c>
      <c r="E860" s="12" t="s">
        <v>8220</v>
      </c>
      <c r="F860" s="13">
        <v>6</v>
      </c>
      <c r="G860" s="14">
        <v>1792.2199999999998</v>
      </c>
      <c r="H860" t="s">
        <v>1450</v>
      </c>
      <c r="I860">
        <v>6</v>
      </c>
    </row>
    <row r="861" spans="1:9" ht="15.6" x14ac:dyDescent="0.3">
      <c r="A861" s="9">
        <v>860</v>
      </c>
      <c r="B861" s="2" t="s">
        <v>866</v>
      </c>
      <c r="C861" s="11">
        <v>14</v>
      </c>
      <c r="D861" s="12">
        <v>50</v>
      </c>
      <c r="E861" s="12" t="s">
        <v>8220</v>
      </c>
      <c r="F861" s="13">
        <v>6</v>
      </c>
      <c r="G861" s="14">
        <v>1767.1999999999998</v>
      </c>
      <c r="H861" t="s">
        <v>426</v>
      </c>
      <c r="I861">
        <v>5</v>
      </c>
    </row>
    <row r="862" spans="1:9" ht="15.6" x14ac:dyDescent="0.3">
      <c r="A862" s="9">
        <v>861</v>
      </c>
      <c r="B862" s="2" t="s">
        <v>867</v>
      </c>
      <c r="C862" s="11">
        <v>16</v>
      </c>
      <c r="D862" s="12">
        <v>33.333333333333329</v>
      </c>
      <c r="E862" s="12" t="s">
        <v>8219</v>
      </c>
      <c r="F862" s="13">
        <v>6</v>
      </c>
      <c r="G862" s="14">
        <v>1751.1999999999998</v>
      </c>
      <c r="H862" t="s">
        <v>3242</v>
      </c>
      <c r="I862">
        <v>5</v>
      </c>
    </row>
    <row r="863" spans="1:9" ht="15.6" x14ac:dyDescent="0.3">
      <c r="A863" s="9">
        <v>862</v>
      </c>
      <c r="B863" s="2" t="s">
        <v>868</v>
      </c>
      <c r="C863" s="11">
        <v>14</v>
      </c>
      <c r="D863" s="12">
        <v>50</v>
      </c>
      <c r="E863" s="12" t="s">
        <v>8220</v>
      </c>
      <c r="F863" s="13">
        <v>6</v>
      </c>
      <c r="G863" s="14">
        <v>1727.17</v>
      </c>
      <c r="H863" t="s">
        <v>2218</v>
      </c>
      <c r="I863">
        <v>5</v>
      </c>
    </row>
    <row r="864" spans="1:9" ht="15.6" x14ac:dyDescent="0.3">
      <c r="A864" s="9">
        <v>863</v>
      </c>
      <c r="B864" s="2" t="s">
        <v>869</v>
      </c>
      <c r="C864" s="11">
        <v>14</v>
      </c>
      <c r="D864" s="12">
        <v>50</v>
      </c>
      <c r="E864" s="12" t="s">
        <v>8220</v>
      </c>
      <c r="F864" s="13">
        <v>6</v>
      </c>
      <c r="G864" s="14">
        <v>1767.1999999999998</v>
      </c>
      <c r="H864" t="s">
        <v>1194</v>
      </c>
      <c r="I864">
        <v>5</v>
      </c>
    </row>
    <row r="865" spans="1:9" ht="15.6" x14ac:dyDescent="0.3">
      <c r="A865" s="9">
        <v>864</v>
      </c>
      <c r="B865" s="2" t="s">
        <v>870</v>
      </c>
      <c r="C865" s="11">
        <v>8</v>
      </c>
      <c r="D865" s="12">
        <v>33.333333333333329</v>
      </c>
      <c r="E865" s="12" t="s">
        <v>8219</v>
      </c>
      <c r="F865" s="13">
        <v>6</v>
      </c>
      <c r="G865" s="14">
        <v>1742.1799999999998</v>
      </c>
      <c r="H865" t="s">
        <v>170</v>
      </c>
      <c r="I865">
        <v>4</v>
      </c>
    </row>
    <row r="866" spans="1:9" ht="15.6" x14ac:dyDescent="0.3">
      <c r="A866" s="9">
        <v>865</v>
      </c>
      <c r="B866" s="2" t="s">
        <v>871</v>
      </c>
      <c r="C866" s="11">
        <v>24</v>
      </c>
      <c r="D866" s="12">
        <v>33.333333333333329</v>
      </c>
      <c r="E866" s="12" t="s">
        <v>8219</v>
      </c>
      <c r="F866" s="13">
        <v>6</v>
      </c>
      <c r="G866" s="14">
        <v>1800.25</v>
      </c>
      <c r="H866" t="s">
        <v>3946</v>
      </c>
      <c r="I866">
        <v>6</v>
      </c>
    </row>
    <row r="867" spans="1:9" ht="15.6" x14ac:dyDescent="0.3">
      <c r="A867" s="9">
        <v>866</v>
      </c>
      <c r="B867" s="2" t="s">
        <v>872</v>
      </c>
      <c r="C867" s="11">
        <v>22</v>
      </c>
      <c r="D867" s="12">
        <v>50</v>
      </c>
      <c r="E867" s="12" t="s">
        <v>8220</v>
      </c>
      <c r="F867" s="13">
        <v>6</v>
      </c>
      <c r="G867" s="14">
        <v>1776.2199999999998</v>
      </c>
      <c r="H867" t="s">
        <v>2922</v>
      </c>
      <c r="I867">
        <v>6</v>
      </c>
    </row>
    <row r="868" spans="1:9" ht="15.6" x14ac:dyDescent="0.3">
      <c r="A868" s="9">
        <v>867</v>
      </c>
      <c r="B868" s="2" t="s">
        <v>873</v>
      </c>
      <c r="C868" s="11">
        <v>22</v>
      </c>
      <c r="D868" s="12">
        <v>50</v>
      </c>
      <c r="E868" s="12" t="s">
        <v>8220</v>
      </c>
      <c r="F868" s="13">
        <v>6</v>
      </c>
      <c r="G868" s="14">
        <v>1816.25</v>
      </c>
      <c r="H868" t="s">
        <v>1898</v>
      </c>
      <c r="I868">
        <v>6</v>
      </c>
    </row>
    <row r="869" spans="1:9" ht="15.6" x14ac:dyDescent="0.3">
      <c r="A869" s="9">
        <v>868</v>
      </c>
      <c r="B869" s="2" t="s">
        <v>874</v>
      </c>
      <c r="C869" s="11">
        <v>16</v>
      </c>
      <c r="D869" s="12">
        <v>33.333333333333329</v>
      </c>
      <c r="E869" s="12" t="s">
        <v>8219</v>
      </c>
      <c r="F869" s="13">
        <v>6</v>
      </c>
      <c r="G869" s="14">
        <v>1791.23</v>
      </c>
      <c r="H869" t="s">
        <v>874</v>
      </c>
      <c r="I869">
        <v>5</v>
      </c>
    </row>
    <row r="870" spans="1:9" ht="15.6" x14ac:dyDescent="0.3">
      <c r="A870" s="9">
        <v>869</v>
      </c>
      <c r="B870" s="2" t="s">
        <v>875</v>
      </c>
      <c r="C870" s="11">
        <v>22</v>
      </c>
      <c r="D870" s="12">
        <v>50</v>
      </c>
      <c r="E870" s="12" t="s">
        <v>8220</v>
      </c>
      <c r="F870" s="13">
        <v>6</v>
      </c>
      <c r="G870" s="14">
        <v>1776.2199999999998</v>
      </c>
      <c r="H870" t="s">
        <v>3690</v>
      </c>
      <c r="I870">
        <v>6</v>
      </c>
    </row>
    <row r="871" spans="1:9" ht="15.6" x14ac:dyDescent="0.3">
      <c r="A871" s="9">
        <v>870</v>
      </c>
      <c r="B871" s="2" t="s">
        <v>876</v>
      </c>
      <c r="C871" s="11">
        <v>20</v>
      </c>
      <c r="D871" s="12">
        <v>66.666666666666657</v>
      </c>
      <c r="E871" s="12" t="s">
        <v>8220</v>
      </c>
      <c r="F871" s="13">
        <v>6</v>
      </c>
      <c r="G871" s="14">
        <v>1752.19</v>
      </c>
      <c r="H871" t="s">
        <v>2666</v>
      </c>
      <c r="I871">
        <v>6</v>
      </c>
    </row>
    <row r="872" spans="1:9" ht="15.6" x14ac:dyDescent="0.3">
      <c r="A872" s="9">
        <v>871</v>
      </c>
      <c r="B872" s="2" t="s">
        <v>877</v>
      </c>
      <c r="C872" s="11">
        <v>20</v>
      </c>
      <c r="D872" s="12">
        <v>66.666666666666657</v>
      </c>
      <c r="E872" s="12" t="s">
        <v>8220</v>
      </c>
      <c r="F872" s="13">
        <v>6</v>
      </c>
      <c r="G872" s="14">
        <v>1792.2199999999998</v>
      </c>
      <c r="H872" t="s">
        <v>1642</v>
      </c>
      <c r="I872">
        <v>6</v>
      </c>
    </row>
    <row r="873" spans="1:9" ht="15.6" x14ac:dyDescent="0.3">
      <c r="A873" s="9">
        <v>872</v>
      </c>
      <c r="B873" s="2" t="s">
        <v>878</v>
      </c>
      <c r="C873" s="11">
        <v>14</v>
      </c>
      <c r="D873" s="12">
        <v>50</v>
      </c>
      <c r="E873" s="12" t="s">
        <v>8220</v>
      </c>
      <c r="F873" s="13">
        <v>6</v>
      </c>
      <c r="G873" s="14">
        <v>1767.1999999999998</v>
      </c>
      <c r="H873" t="s">
        <v>618</v>
      </c>
      <c r="I873">
        <v>5</v>
      </c>
    </row>
    <row r="874" spans="1:9" ht="15.6" x14ac:dyDescent="0.3">
      <c r="A874" s="9">
        <v>873</v>
      </c>
      <c r="B874" s="2" t="s">
        <v>879</v>
      </c>
      <c r="C874" s="11">
        <v>22</v>
      </c>
      <c r="D874" s="12">
        <v>50</v>
      </c>
      <c r="E874" s="12" t="s">
        <v>8220</v>
      </c>
      <c r="F874" s="13">
        <v>6</v>
      </c>
      <c r="G874" s="14">
        <v>1816.25</v>
      </c>
      <c r="H874" t="s">
        <v>3434</v>
      </c>
      <c r="I874">
        <v>6</v>
      </c>
    </row>
    <row r="875" spans="1:9" ht="15.6" x14ac:dyDescent="0.3">
      <c r="A875" s="9">
        <v>874</v>
      </c>
      <c r="B875" s="2" t="s">
        <v>880</v>
      </c>
      <c r="C875" s="11">
        <v>20</v>
      </c>
      <c r="D875" s="12">
        <v>66.666666666666657</v>
      </c>
      <c r="E875" s="12" t="s">
        <v>8220</v>
      </c>
      <c r="F875" s="13">
        <v>6</v>
      </c>
      <c r="G875" s="14">
        <v>1792.2199999999998</v>
      </c>
      <c r="H875" t="s">
        <v>2410</v>
      </c>
      <c r="I875">
        <v>6</v>
      </c>
    </row>
    <row r="876" spans="1:9" ht="15.6" x14ac:dyDescent="0.3">
      <c r="A876" s="9">
        <v>875</v>
      </c>
      <c r="B876" s="2" t="s">
        <v>881</v>
      </c>
      <c r="C876" s="11">
        <v>20</v>
      </c>
      <c r="D876" s="12">
        <v>66.666666666666657</v>
      </c>
      <c r="E876" s="12" t="s">
        <v>8220</v>
      </c>
      <c r="F876" s="13">
        <v>6</v>
      </c>
      <c r="G876" s="14">
        <v>1832.25</v>
      </c>
      <c r="H876" t="s">
        <v>1386</v>
      </c>
      <c r="I876">
        <v>6</v>
      </c>
    </row>
    <row r="877" spans="1:9" ht="15.6" x14ac:dyDescent="0.3">
      <c r="A877" s="9">
        <v>876</v>
      </c>
      <c r="B877" s="2" t="s">
        <v>882</v>
      </c>
      <c r="C877" s="11">
        <v>14</v>
      </c>
      <c r="D877" s="12">
        <v>50</v>
      </c>
      <c r="E877" s="12" t="s">
        <v>8220</v>
      </c>
      <c r="F877" s="13">
        <v>6</v>
      </c>
      <c r="G877" s="14">
        <v>1807.23</v>
      </c>
      <c r="H877" t="s">
        <v>362</v>
      </c>
      <c r="I877">
        <v>5</v>
      </c>
    </row>
    <row r="878" spans="1:9" ht="15.6" x14ac:dyDescent="0.3">
      <c r="A878" s="9">
        <v>877</v>
      </c>
      <c r="B878" s="2" t="s">
        <v>883</v>
      </c>
      <c r="C878" s="11">
        <v>16</v>
      </c>
      <c r="D878" s="12">
        <v>33.333333333333329</v>
      </c>
      <c r="E878" s="12" t="s">
        <v>8219</v>
      </c>
      <c r="F878" s="13">
        <v>6</v>
      </c>
      <c r="G878" s="14">
        <v>1791.23</v>
      </c>
      <c r="H878" t="s">
        <v>3178</v>
      </c>
      <c r="I878">
        <v>5</v>
      </c>
    </row>
    <row r="879" spans="1:9" ht="15.6" x14ac:dyDescent="0.3">
      <c r="A879" s="9">
        <v>878</v>
      </c>
      <c r="B879" s="2" t="s">
        <v>884</v>
      </c>
      <c r="C879" s="11">
        <v>14</v>
      </c>
      <c r="D879" s="12">
        <v>50</v>
      </c>
      <c r="E879" s="12" t="s">
        <v>8220</v>
      </c>
      <c r="F879" s="13">
        <v>6</v>
      </c>
      <c r="G879" s="14">
        <v>1767.1999999999998</v>
      </c>
      <c r="H879" t="s">
        <v>2154</v>
      </c>
      <c r="I879">
        <v>5</v>
      </c>
    </row>
    <row r="880" spans="1:9" ht="15.6" x14ac:dyDescent="0.3">
      <c r="A880" s="9">
        <v>879</v>
      </c>
      <c r="B880" s="2" t="s">
        <v>885</v>
      </c>
      <c r="C880" s="11">
        <v>14</v>
      </c>
      <c r="D880" s="12">
        <v>50</v>
      </c>
      <c r="E880" s="12" t="s">
        <v>8220</v>
      </c>
      <c r="F880" s="13">
        <v>6</v>
      </c>
      <c r="G880" s="14">
        <v>1807.23</v>
      </c>
      <c r="H880" t="s">
        <v>1130</v>
      </c>
      <c r="I880">
        <v>5</v>
      </c>
    </row>
    <row r="881" spans="1:9" ht="15.6" x14ac:dyDescent="0.3">
      <c r="A881" s="9">
        <v>880</v>
      </c>
      <c r="B881" s="2" t="s">
        <v>886</v>
      </c>
      <c r="C881" s="11">
        <v>8</v>
      </c>
      <c r="D881" s="12">
        <v>33.333333333333329</v>
      </c>
      <c r="E881" s="12" t="s">
        <v>8219</v>
      </c>
      <c r="F881" s="13">
        <v>6</v>
      </c>
      <c r="G881" s="14">
        <v>1782.21</v>
      </c>
      <c r="H881" t="s">
        <v>106</v>
      </c>
      <c r="I881">
        <v>4</v>
      </c>
    </row>
    <row r="882" spans="1:9" ht="15.6" x14ac:dyDescent="0.3">
      <c r="A882" s="9">
        <v>881</v>
      </c>
      <c r="B882" s="2" t="s">
        <v>887</v>
      </c>
      <c r="C882" s="11">
        <v>18</v>
      </c>
      <c r="D882" s="12">
        <v>16.666666666666664</v>
      </c>
      <c r="E882" s="12" t="s">
        <v>8219</v>
      </c>
      <c r="F882" s="13">
        <v>6</v>
      </c>
      <c r="G882" s="14">
        <v>1775.23</v>
      </c>
      <c r="H882" t="s">
        <v>3882</v>
      </c>
      <c r="I882">
        <v>5</v>
      </c>
    </row>
    <row r="883" spans="1:9" ht="15.6" x14ac:dyDescent="0.3">
      <c r="A883" s="9">
        <v>882</v>
      </c>
      <c r="B883" s="2" t="s">
        <v>888</v>
      </c>
      <c r="C883" s="11">
        <v>16</v>
      </c>
      <c r="D883" s="12">
        <v>33.333333333333329</v>
      </c>
      <c r="E883" s="12" t="s">
        <v>8219</v>
      </c>
      <c r="F883" s="13">
        <v>6</v>
      </c>
      <c r="G883" s="14">
        <v>1751.1999999999998</v>
      </c>
      <c r="H883" t="s">
        <v>2858</v>
      </c>
      <c r="I883">
        <v>5</v>
      </c>
    </row>
    <row r="884" spans="1:9" ht="15.6" x14ac:dyDescent="0.3">
      <c r="A884" s="9">
        <v>883</v>
      </c>
      <c r="B884" s="2" t="s">
        <v>889</v>
      </c>
      <c r="C884" s="11">
        <v>16</v>
      </c>
      <c r="D884" s="12">
        <v>33.333333333333329</v>
      </c>
      <c r="E884" s="12" t="s">
        <v>8219</v>
      </c>
      <c r="F884" s="13">
        <v>6</v>
      </c>
      <c r="G884" s="14">
        <v>1791.23</v>
      </c>
      <c r="H884" t="s">
        <v>1834</v>
      </c>
      <c r="I884">
        <v>5</v>
      </c>
    </row>
    <row r="885" spans="1:9" ht="15.6" x14ac:dyDescent="0.3">
      <c r="A885" s="9">
        <v>884</v>
      </c>
      <c r="B885" s="2" t="s">
        <v>890</v>
      </c>
      <c r="C885" s="11">
        <v>10</v>
      </c>
      <c r="D885" s="12">
        <v>16.666666666666664</v>
      </c>
      <c r="E885" s="12" t="s">
        <v>8219</v>
      </c>
      <c r="F885" s="13">
        <v>6</v>
      </c>
      <c r="G885" s="14">
        <v>1766.21</v>
      </c>
      <c r="H885" t="s">
        <v>810</v>
      </c>
      <c r="I885">
        <v>4</v>
      </c>
    </row>
    <row r="886" spans="1:9" ht="15.6" x14ac:dyDescent="0.3">
      <c r="A886" s="9">
        <v>885</v>
      </c>
      <c r="B886" s="2" t="s">
        <v>891</v>
      </c>
      <c r="C886" s="11">
        <v>16</v>
      </c>
      <c r="D886" s="12">
        <v>33.333333333333329</v>
      </c>
      <c r="E886" s="12" t="s">
        <v>8219</v>
      </c>
      <c r="F886" s="13">
        <v>6</v>
      </c>
      <c r="G886" s="14">
        <v>1751.1999999999998</v>
      </c>
      <c r="H886" t="s">
        <v>3626</v>
      </c>
      <c r="I886">
        <v>5</v>
      </c>
    </row>
    <row r="887" spans="1:9" ht="15.6" x14ac:dyDescent="0.3">
      <c r="A887" s="9">
        <v>886</v>
      </c>
      <c r="B887" s="2" t="s">
        <v>892</v>
      </c>
      <c r="C887" s="11">
        <v>14</v>
      </c>
      <c r="D887" s="12">
        <v>50</v>
      </c>
      <c r="E887" s="12" t="s">
        <v>8220</v>
      </c>
      <c r="F887" s="13">
        <v>6</v>
      </c>
      <c r="G887" s="14">
        <v>1727.17</v>
      </c>
      <c r="H887" t="s">
        <v>2602</v>
      </c>
      <c r="I887">
        <v>5</v>
      </c>
    </row>
    <row r="888" spans="1:9" ht="15.6" x14ac:dyDescent="0.3">
      <c r="A888" s="9">
        <v>887</v>
      </c>
      <c r="B888" s="2" t="s">
        <v>893</v>
      </c>
      <c r="C888" s="11">
        <v>14</v>
      </c>
      <c r="D888" s="12">
        <v>50</v>
      </c>
      <c r="E888" s="12" t="s">
        <v>8220</v>
      </c>
      <c r="F888" s="13">
        <v>6</v>
      </c>
      <c r="G888" s="14">
        <v>1767.1999999999998</v>
      </c>
      <c r="H888" t="s">
        <v>1578</v>
      </c>
      <c r="I888">
        <v>5</v>
      </c>
    </row>
    <row r="889" spans="1:9" ht="15.6" x14ac:dyDescent="0.3">
      <c r="A889" s="9">
        <v>888</v>
      </c>
      <c r="B889" s="2" t="s">
        <v>894</v>
      </c>
      <c r="C889" s="11">
        <v>8</v>
      </c>
      <c r="D889" s="12">
        <v>33.333333333333329</v>
      </c>
      <c r="E889" s="12" t="s">
        <v>8219</v>
      </c>
      <c r="F889" s="13">
        <v>6</v>
      </c>
      <c r="G889" s="14">
        <v>1742.1799999999998</v>
      </c>
      <c r="H889" t="s">
        <v>554</v>
      </c>
      <c r="I889">
        <v>4</v>
      </c>
    </row>
    <row r="890" spans="1:9" ht="15.6" x14ac:dyDescent="0.3">
      <c r="A890" s="9">
        <v>889</v>
      </c>
      <c r="B890" s="2" t="s">
        <v>895</v>
      </c>
      <c r="C890" s="11">
        <v>16</v>
      </c>
      <c r="D890" s="12">
        <v>33.333333333333329</v>
      </c>
      <c r="E890" s="12" t="s">
        <v>8219</v>
      </c>
      <c r="F890" s="13">
        <v>6</v>
      </c>
      <c r="G890" s="14">
        <v>1791.23</v>
      </c>
      <c r="H890" t="s">
        <v>3370</v>
      </c>
      <c r="I890">
        <v>5</v>
      </c>
    </row>
    <row r="891" spans="1:9" ht="15.6" x14ac:dyDescent="0.3">
      <c r="A891" s="9">
        <v>890</v>
      </c>
      <c r="B891" s="2" t="s">
        <v>896</v>
      </c>
      <c r="C891" s="11">
        <v>14</v>
      </c>
      <c r="D891" s="12">
        <v>50</v>
      </c>
      <c r="E891" s="12" t="s">
        <v>8220</v>
      </c>
      <c r="F891" s="13">
        <v>6</v>
      </c>
      <c r="G891" s="14">
        <v>1767.1999999999998</v>
      </c>
      <c r="H891" t="s">
        <v>2346</v>
      </c>
      <c r="I891">
        <v>5</v>
      </c>
    </row>
    <row r="892" spans="1:9" ht="15.6" x14ac:dyDescent="0.3">
      <c r="A892" s="9">
        <v>891</v>
      </c>
      <c r="B892" s="2" t="s">
        <v>897</v>
      </c>
      <c r="C892" s="11">
        <v>14</v>
      </c>
      <c r="D892" s="12">
        <v>50</v>
      </c>
      <c r="E892" s="12" t="s">
        <v>8220</v>
      </c>
      <c r="F892" s="13">
        <v>6</v>
      </c>
      <c r="G892" s="14">
        <v>1807.23</v>
      </c>
      <c r="H892" t="s">
        <v>1322</v>
      </c>
      <c r="I892">
        <v>5</v>
      </c>
    </row>
    <row r="893" spans="1:9" ht="15.6" x14ac:dyDescent="0.3">
      <c r="A893" s="9">
        <v>892</v>
      </c>
      <c r="B893" s="2" t="s">
        <v>898</v>
      </c>
      <c r="C893" s="11">
        <v>8</v>
      </c>
      <c r="D893" s="12">
        <v>33.333333333333329</v>
      </c>
      <c r="E893" s="12" t="s">
        <v>8219</v>
      </c>
      <c r="F893" s="13">
        <v>6</v>
      </c>
      <c r="G893" s="14">
        <v>1782.21</v>
      </c>
      <c r="H893" t="s">
        <v>298</v>
      </c>
      <c r="I893">
        <v>4</v>
      </c>
    </row>
    <row r="894" spans="1:9" ht="15.6" x14ac:dyDescent="0.3">
      <c r="A894" s="9">
        <v>893</v>
      </c>
      <c r="B894" s="2" t="s">
        <v>899</v>
      </c>
      <c r="C894" s="11">
        <v>10</v>
      </c>
      <c r="D894" s="12">
        <v>16.666666666666664</v>
      </c>
      <c r="E894" s="12" t="s">
        <v>8219</v>
      </c>
      <c r="F894" s="13">
        <v>6</v>
      </c>
      <c r="G894" s="14">
        <v>1766.21</v>
      </c>
      <c r="H894" t="s">
        <v>3114</v>
      </c>
      <c r="I894">
        <v>4</v>
      </c>
    </row>
    <row r="895" spans="1:9" ht="15.6" x14ac:dyDescent="0.3">
      <c r="A895" s="9">
        <v>894</v>
      </c>
      <c r="B895" s="2" t="s">
        <v>900</v>
      </c>
      <c r="C895" s="11">
        <v>8</v>
      </c>
      <c r="D895" s="12">
        <v>33.333333333333329</v>
      </c>
      <c r="E895" s="12" t="s">
        <v>8219</v>
      </c>
      <c r="F895" s="13">
        <v>6</v>
      </c>
      <c r="G895" s="14">
        <v>1742.1799999999998</v>
      </c>
      <c r="H895" t="s">
        <v>2090</v>
      </c>
      <c r="I895">
        <v>4</v>
      </c>
    </row>
    <row r="896" spans="1:9" ht="15.6" x14ac:dyDescent="0.3">
      <c r="A896" s="9">
        <v>895</v>
      </c>
      <c r="B896" s="2" t="s">
        <v>901</v>
      </c>
      <c r="C896" s="11">
        <v>8</v>
      </c>
      <c r="D896" s="12">
        <v>33.333333333333329</v>
      </c>
      <c r="E896" s="12" t="s">
        <v>8219</v>
      </c>
      <c r="F896" s="13">
        <v>6</v>
      </c>
      <c r="G896" s="14">
        <v>1782.21</v>
      </c>
      <c r="H896" t="s">
        <v>1066</v>
      </c>
      <c r="I896">
        <v>4</v>
      </c>
    </row>
    <row r="897" spans="1:9" ht="15.6" x14ac:dyDescent="0.3">
      <c r="A897" s="9">
        <v>896</v>
      </c>
      <c r="B897" s="2" t="s">
        <v>902</v>
      </c>
      <c r="C897" s="11">
        <v>2</v>
      </c>
      <c r="D897" s="12">
        <v>16.666666666666664</v>
      </c>
      <c r="E897" s="12" t="s">
        <v>8219</v>
      </c>
      <c r="F897" s="13">
        <v>6</v>
      </c>
      <c r="G897" s="14">
        <v>1757.19</v>
      </c>
      <c r="H897" t="s">
        <v>42</v>
      </c>
      <c r="I897">
        <v>3</v>
      </c>
    </row>
    <row r="898" spans="1:9" ht="15.6" x14ac:dyDescent="0.3">
      <c r="A898" s="9">
        <v>897</v>
      </c>
      <c r="B898" s="2" t="s">
        <v>903</v>
      </c>
      <c r="C898" s="11">
        <v>26</v>
      </c>
      <c r="D898" s="12">
        <v>16.666666666666664</v>
      </c>
      <c r="E898" s="12" t="s">
        <v>8219</v>
      </c>
      <c r="F898" s="13">
        <v>6</v>
      </c>
      <c r="G898" s="14">
        <v>1824.2799999999997</v>
      </c>
      <c r="H898" t="s">
        <v>4058</v>
      </c>
      <c r="I898">
        <v>7</v>
      </c>
    </row>
    <row r="899" spans="1:9" ht="15.6" x14ac:dyDescent="0.3">
      <c r="A899" s="9">
        <v>898</v>
      </c>
      <c r="B899" s="2" t="s">
        <v>904</v>
      </c>
      <c r="C899" s="11">
        <v>24</v>
      </c>
      <c r="D899" s="12">
        <v>33.333333333333329</v>
      </c>
      <c r="E899" s="12" t="s">
        <v>8219</v>
      </c>
      <c r="F899" s="13">
        <v>6</v>
      </c>
      <c r="G899" s="14">
        <v>1800.25</v>
      </c>
      <c r="H899" t="s">
        <v>3034</v>
      </c>
      <c r="I899">
        <v>6</v>
      </c>
    </row>
    <row r="900" spans="1:9" ht="15.6" x14ac:dyDescent="0.3">
      <c r="A900" s="9">
        <v>899</v>
      </c>
      <c r="B900" s="2" t="s">
        <v>905</v>
      </c>
      <c r="C900" s="11">
        <v>24</v>
      </c>
      <c r="D900" s="12">
        <v>33.333333333333329</v>
      </c>
      <c r="E900" s="12" t="s">
        <v>8219</v>
      </c>
      <c r="F900" s="13">
        <v>6</v>
      </c>
      <c r="G900" s="14">
        <v>1840.2800000000002</v>
      </c>
      <c r="H900" t="s">
        <v>2010</v>
      </c>
      <c r="I900">
        <v>6</v>
      </c>
    </row>
    <row r="901" spans="1:9" ht="15.6" x14ac:dyDescent="0.3">
      <c r="A901" s="9">
        <v>900</v>
      </c>
      <c r="B901" s="2" t="s">
        <v>906</v>
      </c>
      <c r="C901" s="11">
        <v>18</v>
      </c>
      <c r="D901" s="12">
        <v>16.666666666666664</v>
      </c>
      <c r="E901" s="12" t="s">
        <v>8219</v>
      </c>
      <c r="F901" s="13">
        <v>6</v>
      </c>
      <c r="G901" s="14">
        <v>1815.2599999999998</v>
      </c>
      <c r="H901" t="s">
        <v>986</v>
      </c>
      <c r="I901">
        <v>5</v>
      </c>
    </row>
    <row r="902" spans="1:9" ht="15.6" x14ac:dyDescent="0.3">
      <c r="A902" s="9">
        <v>901</v>
      </c>
      <c r="B902" s="2" t="s">
        <v>907</v>
      </c>
      <c r="C902" s="11">
        <v>24</v>
      </c>
      <c r="D902" s="12">
        <v>33.333333333333329</v>
      </c>
      <c r="E902" s="12" t="s">
        <v>8219</v>
      </c>
      <c r="F902" s="13">
        <v>6</v>
      </c>
      <c r="G902" s="14">
        <v>1800.25</v>
      </c>
      <c r="H902" t="s">
        <v>3802</v>
      </c>
      <c r="I902">
        <v>6</v>
      </c>
    </row>
    <row r="903" spans="1:9" ht="15.6" x14ac:dyDescent="0.3">
      <c r="A903" s="9">
        <v>902</v>
      </c>
      <c r="B903" s="2" t="s">
        <v>908</v>
      </c>
      <c r="C903" s="11">
        <v>22</v>
      </c>
      <c r="D903" s="12">
        <v>50</v>
      </c>
      <c r="E903" s="12" t="s">
        <v>8220</v>
      </c>
      <c r="F903" s="13">
        <v>6</v>
      </c>
      <c r="G903" s="14">
        <v>1776.2199999999998</v>
      </c>
      <c r="H903" t="s">
        <v>2778</v>
      </c>
      <c r="I903">
        <v>6</v>
      </c>
    </row>
    <row r="904" spans="1:9" ht="15.6" x14ac:dyDescent="0.3">
      <c r="A904" s="9">
        <v>903</v>
      </c>
      <c r="B904" s="2" t="s">
        <v>909</v>
      </c>
      <c r="C904" s="11">
        <v>22</v>
      </c>
      <c r="D904" s="12">
        <v>50</v>
      </c>
      <c r="E904" s="12" t="s">
        <v>8220</v>
      </c>
      <c r="F904" s="13">
        <v>6</v>
      </c>
      <c r="G904" s="14">
        <v>1816.25</v>
      </c>
      <c r="H904" t="s">
        <v>1754</v>
      </c>
      <c r="I904">
        <v>6</v>
      </c>
    </row>
    <row r="905" spans="1:9" ht="15.6" x14ac:dyDescent="0.3">
      <c r="A905" s="9">
        <v>904</v>
      </c>
      <c r="B905" s="2" t="s">
        <v>910</v>
      </c>
      <c r="C905" s="11">
        <v>16</v>
      </c>
      <c r="D905" s="12">
        <v>33.333333333333329</v>
      </c>
      <c r="E905" s="12" t="s">
        <v>8219</v>
      </c>
      <c r="F905" s="13">
        <v>6</v>
      </c>
      <c r="G905" s="14">
        <v>1791.23</v>
      </c>
      <c r="H905" t="s">
        <v>730</v>
      </c>
      <c r="I905">
        <v>5</v>
      </c>
    </row>
    <row r="906" spans="1:9" ht="15.6" x14ac:dyDescent="0.3">
      <c r="A906" s="9">
        <v>905</v>
      </c>
      <c r="B906" s="2" t="s">
        <v>911</v>
      </c>
      <c r="C906" s="11">
        <v>24</v>
      </c>
      <c r="D906" s="12">
        <v>33.333333333333329</v>
      </c>
      <c r="E906" s="12" t="s">
        <v>8219</v>
      </c>
      <c r="F906" s="13">
        <v>6</v>
      </c>
      <c r="G906" s="14">
        <v>1840.2800000000002</v>
      </c>
      <c r="H906" t="s">
        <v>3546</v>
      </c>
      <c r="I906">
        <v>6</v>
      </c>
    </row>
    <row r="907" spans="1:9" ht="15.6" x14ac:dyDescent="0.3">
      <c r="A907" s="9">
        <v>906</v>
      </c>
      <c r="B907" s="2" t="s">
        <v>912</v>
      </c>
      <c r="C907" s="11">
        <v>22</v>
      </c>
      <c r="D907" s="12">
        <v>50</v>
      </c>
      <c r="E907" s="12" t="s">
        <v>8220</v>
      </c>
      <c r="F907" s="13">
        <v>6</v>
      </c>
      <c r="G907" s="14">
        <v>1816.25</v>
      </c>
      <c r="H907" t="s">
        <v>2522</v>
      </c>
      <c r="I907">
        <v>6</v>
      </c>
    </row>
    <row r="908" spans="1:9" ht="15.6" x14ac:dyDescent="0.3">
      <c r="A908" s="9">
        <v>907</v>
      </c>
      <c r="B908" s="2" t="s">
        <v>913</v>
      </c>
      <c r="C908" s="11">
        <v>22</v>
      </c>
      <c r="D908" s="12">
        <v>50</v>
      </c>
      <c r="E908" s="12" t="s">
        <v>8220</v>
      </c>
      <c r="F908" s="13">
        <v>6</v>
      </c>
      <c r="G908" s="14">
        <v>1856.2800000000002</v>
      </c>
      <c r="H908" t="s">
        <v>1498</v>
      </c>
      <c r="I908">
        <v>6</v>
      </c>
    </row>
    <row r="909" spans="1:9" ht="15.6" x14ac:dyDescent="0.3">
      <c r="A909" s="9">
        <v>908</v>
      </c>
      <c r="B909" s="2" t="s">
        <v>914</v>
      </c>
      <c r="C909" s="11">
        <v>16</v>
      </c>
      <c r="D909" s="12">
        <v>33.333333333333329</v>
      </c>
      <c r="E909" s="12" t="s">
        <v>8219</v>
      </c>
      <c r="F909" s="13">
        <v>6</v>
      </c>
      <c r="G909" s="14">
        <v>1831.2600000000002</v>
      </c>
      <c r="H909" t="s">
        <v>474</v>
      </c>
      <c r="I909">
        <v>5</v>
      </c>
    </row>
    <row r="910" spans="1:9" ht="15.6" x14ac:dyDescent="0.3">
      <c r="A910" s="9">
        <v>909</v>
      </c>
      <c r="B910" s="2" t="s">
        <v>915</v>
      </c>
      <c r="C910" s="11">
        <v>18</v>
      </c>
      <c r="D910" s="12">
        <v>16.666666666666664</v>
      </c>
      <c r="E910" s="12" t="s">
        <v>8219</v>
      </c>
      <c r="F910" s="13">
        <v>6</v>
      </c>
      <c r="G910" s="14">
        <v>1815.2599999999998</v>
      </c>
      <c r="H910" t="s">
        <v>3290</v>
      </c>
      <c r="I910">
        <v>5</v>
      </c>
    </row>
    <row r="911" spans="1:9" ht="15.6" x14ac:dyDescent="0.3">
      <c r="A911" s="9">
        <v>910</v>
      </c>
      <c r="B911" s="2" t="s">
        <v>916</v>
      </c>
      <c r="C911" s="11">
        <v>16</v>
      </c>
      <c r="D911" s="12">
        <v>33.333333333333329</v>
      </c>
      <c r="E911" s="12" t="s">
        <v>8219</v>
      </c>
      <c r="F911" s="13">
        <v>6</v>
      </c>
      <c r="G911" s="14">
        <v>1791.23</v>
      </c>
      <c r="H911" t="s">
        <v>2266</v>
      </c>
      <c r="I911">
        <v>5</v>
      </c>
    </row>
    <row r="912" spans="1:9" ht="15.6" x14ac:dyDescent="0.3">
      <c r="A912" s="9">
        <v>911</v>
      </c>
      <c r="B912" s="2" t="s">
        <v>917</v>
      </c>
      <c r="C912" s="11">
        <v>16</v>
      </c>
      <c r="D912" s="12">
        <v>33.333333333333329</v>
      </c>
      <c r="E912" s="12" t="s">
        <v>8219</v>
      </c>
      <c r="F912" s="13">
        <v>6</v>
      </c>
      <c r="G912" s="14">
        <v>1831.2600000000002</v>
      </c>
      <c r="H912" t="s">
        <v>1242</v>
      </c>
      <c r="I912">
        <v>5</v>
      </c>
    </row>
    <row r="913" spans="1:9" ht="15.6" x14ac:dyDescent="0.3">
      <c r="A913" s="9">
        <v>912</v>
      </c>
      <c r="B913" s="2" t="s">
        <v>918</v>
      </c>
      <c r="C913" s="11">
        <v>10</v>
      </c>
      <c r="D913" s="12">
        <v>16.666666666666664</v>
      </c>
      <c r="E913" s="12" t="s">
        <v>8219</v>
      </c>
      <c r="F913" s="13">
        <v>6</v>
      </c>
      <c r="G913" s="14">
        <v>1806.2399999999998</v>
      </c>
      <c r="H913" t="s">
        <v>218</v>
      </c>
      <c r="I913">
        <v>4</v>
      </c>
    </row>
    <row r="914" spans="1:9" ht="15.6" x14ac:dyDescent="0.3">
      <c r="A914" s="9">
        <v>913</v>
      </c>
      <c r="B914" s="2" t="s">
        <v>919</v>
      </c>
      <c r="C914" s="11">
        <v>24</v>
      </c>
      <c r="D914" s="12">
        <v>33.333333333333329</v>
      </c>
      <c r="E914" s="12" t="s">
        <v>8219</v>
      </c>
      <c r="F914" s="13">
        <v>6</v>
      </c>
      <c r="G914" s="14">
        <v>1800.25</v>
      </c>
      <c r="H914" t="s">
        <v>3994</v>
      </c>
      <c r="I914">
        <v>6</v>
      </c>
    </row>
    <row r="915" spans="1:9" ht="15.6" x14ac:dyDescent="0.3">
      <c r="A915" s="9">
        <v>914</v>
      </c>
      <c r="B915" s="2" t="s">
        <v>920</v>
      </c>
      <c r="C915" s="11">
        <v>22</v>
      </c>
      <c r="D915" s="12">
        <v>50</v>
      </c>
      <c r="E915" s="12" t="s">
        <v>8220</v>
      </c>
      <c r="F915" s="13">
        <v>6</v>
      </c>
      <c r="G915" s="14">
        <v>1776.2199999999998</v>
      </c>
      <c r="H915" t="s">
        <v>2970</v>
      </c>
      <c r="I915">
        <v>6</v>
      </c>
    </row>
    <row r="916" spans="1:9" ht="15.6" x14ac:dyDescent="0.3">
      <c r="A916" s="9">
        <v>915</v>
      </c>
      <c r="B916" s="2" t="s">
        <v>921</v>
      </c>
      <c r="C916" s="11">
        <v>22</v>
      </c>
      <c r="D916" s="12">
        <v>50</v>
      </c>
      <c r="E916" s="12" t="s">
        <v>8220</v>
      </c>
      <c r="F916" s="13">
        <v>6</v>
      </c>
      <c r="G916" s="14">
        <v>1816.25</v>
      </c>
      <c r="H916" t="s">
        <v>1946</v>
      </c>
      <c r="I916">
        <v>6</v>
      </c>
    </row>
    <row r="917" spans="1:9" ht="15.6" x14ac:dyDescent="0.3">
      <c r="A917" s="9">
        <v>916</v>
      </c>
      <c r="B917" s="2" t="s">
        <v>922</v>
      </c>
      <c r="C917" s="11">
        <v>16</v>
      </c>
      <c r="D917" s="12">
        <v>33.333333333333329</v>
      </c>
      <c r="E917" s="12" t="s">
        <v>8219</v>
      </c>
      <c r="F917" s="13">
        <v>6</v>
      </c>
      <c r="G917" s="14">
        <v>1791.23</v>
      </c>
      <c r="H917" t="s">
        <v>922</v>
      </c>
      <c r="I917">
        <v>5</v>
      </c>
    </row>
    <row r="918" spans="1:9" ht="15.6" x14ac:dyDescent="0.3">
      <c r="A918" s="9">
        <v>917</v>
      </c>
      <c r="B918" s="2" t="s">
        <v>923</v>
      </c>
      <c r="C918" s="11">
        <v>22</v>
      </c>
      <c r="D918" s="12">
        <v>50</v>
      </c>
      <c r="E918" s="12" t="s">
        <v>8220</v>
      </c>
      <c r="F918" s="13">
        <v>6</v>
      </c>
      <c r="G918" s="14">
        <v>1776.2199999999998</v>
      </c>
      <c r="H918" t="s">
        <v>3738</v>
      </c>
      <c r="I918">
        <v>6</v>
      </c>
    </row>
    <row r="919" spans="1:9" ht="15.6" x14ac:dyDescent="0.3">
      <c r="A919" s="9">
        <v>918</v>
      </c>
      <c r="B919" s="2" t="s">
        <v>924</v>
      </c>
      <c r="C919" s="11">
        <v>20</v>
      </c>
      <c r="D919" s="12">
        <v>66.666666666666657</v>
      </c>
      <c r="E919" s="12" t="s">
        <v>8220</v>
      </c>
      <c r="F919" s="13">
        <v>6</v>
      </c>
      <c r="G919" s="14">
        <v>1752.19</v>
      </c>
      <c r="H919" t="s">
        <v>2714</v>
      </c>
      <c r="I919">
        <v>6</v>
      </c>
    </row>
    <row r="920" spans="1:9" ht="15.6" x14ac:dyDescent="0.3">
      <c r="A920" s="9">
        <v>919</v>
      </c>
      <c r="B920" s="2" t="s">
        <v>925</v>
      </c>
      <c r="C920" s="11">
        <v>20</v>
      </c>
      <c r="D920" s="12">
        <v>66.666666666666657</v>
      </c>
      <c r="E920" s="12" t="s">
        <v>8220</v>
      </c>
      <c r="F920" s="13">
        <v>6</v>
      </c>
      <c r="G920" s="14">
        <v>1792.2199999999998</v>
      </c>
      <c r="H920" t="s">
        <v>1690</v>
      </c>
      <c r="I920">
        <v>6</v>
      </c>
    </row>
    <row r="921" spans="1:9" ht="15.6" x14ac:dyDescent="0.3">
      <c r="A921" s="9">
        <v>920</v>
      </c>
      <c r="B921" s="2" t="s">
        <v>926</v>
      </c>
      <c r="C921" s="11">
        <v>14</v>
      </c>
      <c r="D921" s="12">
        <v>50</v>
      </c>
      <c r="E921" s="12" t="s">
        <v>8220</v>
      </c>
      <c r="F921" s="13">
        <v>6</v>
      </c>
      <c r="G921" s="14">
        <v>1767.1999999999998</v>
      </c>
      <c r="H921" t="s">
        <v>666</v>
      </c>
      <c r="I921">
        <v>5</v>
      </c>
    </row>
    <row r="922" spans="1:9" ht="15.6" x14ac:dyDescent="0.3">
      <c r="A922" s="9">
        <v>921</v>
      </c>
      <c r="B922" s="2" t="s">
        <v>927</v>
      </c>
      <c r="C922" s="11">
        <v>22</v>
      </c>
      <c r="D922" s="12">
        <v>50</v>
      </c>
      <c r="E922" s="12" t="s">
        <v>8220</v>
      </c>
      <c r="F922" s="13">
        <v>6</v>
      </c>
      <c r="G922" s="14">
        <v>1816.25</v>
      </c>
      <c r="H922" t="s">
        <v>3482</v>
      </c>
      <c r="I922">
        <v>6</v>
      </c>
    </row>
    <row r="923" spans="1:9" ht="15.6" x14ac:dyDescent="0.3">
      <c r="A923" s="9">
        <v>922</v>
      </c>
      <c r="B923" s="2" t="s">
        <v>928</v>
      </c>
      <c r="C923" s="11">
        <v>20</v>
      </c>
      <c r="D923" s="12">
        <v>66.666666666666657</v>
      </c>
      <c r="E923" s="12" t="s">
        <v>8220</v>
      </c>
      <c r="F923" s="13">
        <v>6</v>
      </c>
      <c r="G923" s="14">
        <v>1792.2199999999998</v>
      </c>
      <c r="H923" t="s">
        <v>2458</v>
      </c>
      <c r="I923">
        <v>6</v>
      </c>
    </row>
    <row r="924" spans="1:9" ht="15.6" x14ac:dyDescent="0.3">
      <c r="A924" s="9">
        <v>923</v>
      </c>
      <c r="B924" s="2" t="s">
        <v>929</v>
      </c>
      <c r="C924" s="11">
        <v>20</v>
      </c>
      <c r="D924" s="12">
        <v>66.666666666666657</v>
      </c>
      <c r="E924" s="12" t="s">
        <v>8220</v>
      </c>
      <c r="F924" s="13">
        <v>6</v>
      </c>
      <c r="G924" s="14">
        <v>1832.25</v>
      </c>
      <c r="H924" t="s">
        <v>1434</v>
      </c>
      <c r="I924">
        <v>6</v>
      </c>
    </row>
    <row r="925" spans="1:9" ht="15.6" x14ac:dyDescent="0.3">
      <c r="A925" s="9">
        <v>924</v>
      </c>
      <c r="B925" s="2" t="s">
        <v>930</v>
      </c>
      <c r="C925" s="11">
        <v>14</v>
      </c>
      <c r="D925" s="12">
        <v>50</v>
      </c>
      <c r="E925" s="12" t="s">
        <v>8220</v>
      </c>
      <c r="F925" s="13">
        <v>6</v>
      </c>
      <c r="G925" s="14">
        <v>1807.23</v>
      </c>
      <c r="H925" t="s">
        <v>410</v>
      </c>
      <c r="I925">
        <v>5</v>
      </c>
    </row>
    <row r="926" spans="1:9" ht="15.6" x14ac:dyDescent="0.3">
      <c r="A926" s="9">
        <v>925</v>
      </c>
      <c r="B926" s="2" t="s">
        <v>931</v>
      </c>
      <c r="C926" s="11">
        <v>16</v>
      </c>
      <c r="D926" s="12">
        <v>33.333333333333329</v>
      </c>
      <c r="E926" s="12" t="s">
        <v>8219</v>
      </c>
      <c r="F926" s="13">
        <v>6</v>
      </c>
      <c r="G926" s="14">
        <v>1791.23</v>
      </c>
      <c r="H926" t="s">
        <v>3226</v>
      </c>
      <c r="I926">
        <v>5</v>
      </c>
    </row>
    <row r="927" spans="1:9" ht="15.6" x14ac:dyDescent="0.3">
      <c r="A927" s="9">
        <v>926</v>
      </c>
      <c r="B927" s="2" t="s">
        <v>932</v>
      </c>
      <c r="C927" s="11">
        <v>14</v>
      </c>
      <c r="D927" s="12">
        <v>50</v>
      </c>
      <c r="E927" s="12" t="s">
        <v>8220</v>
      </c>
      <c r="F927" s="13">
        <v>6</v>
      </c>
      <c r="G927" s="14">
        <v>1767.1999999999998</v>
      </c>
      <c r="H927" t="s">
        <v>2202</v>
      </c>
      <c r="I927">
        <v>5</v>
      </c>
    </row>
    <row r="928" spans="1:9" ht="15.6" x14ac:dyDescent="0.3">
      <c r="A928" s="9">
        <v>927</v>
      </c>
      <c r="B928" s="2" t="s">
        <v>933</v>
      </c>
      <c r="C928" s="11">
        <v>14</v>
      </c>
      <c r="D928" s="12">
        <v>50</v>
      </c>
      <c r="E928" s="12" t="s">
        <v>8220</v>
      </c>
      <c r="F928" s="13">
        <v>6</v>
      </c>
      <c r="G928" s="14">
        <v>1807.23</v>
      </c>
      <c r="H928" t="s">
        <v>1178</v>
      </c>
      <c r="I928">
        <v>5</v>
      </c>
    </row>
    <row r="929" spans="1:9" ht="15.6" x14ac:dyDescent="0.3">
      <c r="A929" s="9">
        <v>928</v>
      </c>
      <c r="B929" s="2" t="s">
        <v>934</v>
      </c>
      <c r="C929" s="11">
        <v>8</v>
      </c>
      <c r="D929" s="12">
        <v>33.333333333333329</v>
      </c>
      <c r="E929" s="12" t="s">
        <v>8219</v>
      </c>
      <c r="F929" s="13">
        <v>6</v>
      </c>
      <c r="G929" s="14">
        <v>1782.21</v>
      </c>
      <c r="H929" t="s">
        <v>154</v>
      </c>
      <c r="I929">
        <v>4</v>
      </c>
    </row>
    <row r="930" spans="1:9" ht="15.6" x14ac:dyDescent="0.3">
      <c r="A930" s="9">
        <v>929</v>
      </c>
      <c r="B930" s="2" t="s">
        <v>935</v>
      </c>
      <c r="C930" s="11">
        <v>24</v>
      </c>
      <c r="D930" s="12">
        <v>33.333333333333329</v>
      </c>
      <c r="E930" s="12" t="s">
        <v>8219</v>
      </c>
      <c r="F930" s="13">
        <v>6</v>
      </c>
      <c r="G930" s="14">
        <v>1840.2800000000002</v>
      </c>
      <c r="H930" t="s">
        <v>3930</v>
      </c>
      <c r="I930">
        <v>6</v>
      </c>
    </row>
    <row r="931" spans="1:9" ht="15.6" x14ac:dyDescent="0.3">
      <c r="A931" s="9">
        <v>930</v>
      </c>
      <c r="B931" s="2" t="s">
        <v>936</v>
      </c>
      <c r="C931" s="11">
        <v>22</v>
      </c>
      <c r="D931" s="12">
        <v>50</v>
      </c>
      <c r="E931" s="12" t="s">
        <v>8220</v>
      </c>
      <c r="F931" s="13">
        <v>6</v>
      </c>
      <c r="G931" s="14">
        <v>1816.25</v>
      </c>
      <c r="H931" t="s">
        <v>2906</v>
      </c>
      <c r="I931">
        <v>6</v>
      </c>
    </row>
    <row r="932" spans="1:9" ht="15.6" x14ac:dyDescent="0.3">
      <c r="A932" s="9">
        <v>931</v>
      </c>
      <c r="B932" s="2" t="s">
        <v>937</v>
      </c>
      <c r="C932" s="11">
        <v>22</v>
      </c>
      <c r="D932" s="12">
        <v>50</v>
      </c>
      <c r="E932" s="12" t="s">
        <v>8220</v>
      </c>
      <c r="F932" s="13">
        <v>6</v>
      </c>
      <c r="G932" s="14">
        <v>1856.2800000000002</v>
      </c>
      <c r="H932" t="s">
        <v>1882</v>
      </c>
      <c r="I932">
        <v>6</v>
      </c>
    </row>
    <row r="933" spans="1:9" ht="15.6" x14ac:dyDescent="0.3">
      <c r="A933" s="9">
        <v>932</v>
      </c>
      <c r="B933" s="2" t="s">
        <v>938</v>
      </c>
      <c r="C933" s="11">
        <v>16</v>
      </c>
      <c r="D933" s="12">
        <v>33.333333333333329</v>
      </c>
      <c r="E933" s="12" t="s">
        <v>8219</v>
      </c>
      <c r="F933" s="13">
        <v>6</v>
      </c>
      <c r="G933" s="14">
        <v>1831.2600000000002</v>
      </c>
      <c r="H933" t="s">
        <v>858</v>
      </c>
      <c r="I933">
        <v>5</v>
      </c>
    </row>
    <row r="934" spans="1:9" ht="15.6" x14ac:dyDescent="0.3">
      <c r="A934" s="9">
        <v>933</v>
      </c>
      <c r="B934" s="2" t="s">
        <v>939</v>
      </c>
      <c r="C934" s="11">
        <v>22</v>
      </c>
      <c r="D934" s="12">
        <v>50</v>
      </c>
      <c r="E934" s="12" t="s">
        <v>8220</v>
      </c>
      <c r="F934" s="13">
        <v>6</v>
      </c>
      <c r="G934" s="14">
        <v>1816.25</v>
      </c>
      <c r="H934" t="s">
        <v>3674</v>
      </c>
      <c r="I934">
        <v>6</v>
      </c>
    </row>
    <row r="935" spans="1:9" ht="15.6" x14ac:dyDescent="0.3">
      <c r="A935" s="9">
        <v>934</v>
      </c>
      <c r="B935" s="2" t="s">
        <v>940</v>
      </c>
      <c r="C935" s="11">
        <v>20</v>
      </c>
      <c r="D935" s="12">
        <v>66.666666666666657</v>
      </c>
      <c r="E935" s="12" t="s">
        <v>8220</v>
      </c>
      <c r="F935" s="13">
        <v>6</v>
      </c>
      <c r="G935" s="14">
        <v>1792.2199999999998</v>
      </c>
      <c r="H935" t="s">
        <v>2650</v>
      </c>
      <c r="I935">
        <v>6</v>
      </c>
    </row>
    <row r="936" spans="1:9" ht="15.6" x14ac:dyDescent="0.3">
      <c r="A936" s="9">
        <v>935</v>
      </c>
      <c r="B936" s="2" t="s">
        <v>941</v>
      </c>
      <c r="C936" s="11">
        <v>20</v>
      </c>
      <c r="D936" s="12">
        <v>66.666666666666657</v>
      </c>
      <c r="E936" s="12" t="s">
        <v>8220</v>
      </c>
      <c r="F936" s="13">
        <v>6</v>
      </c>
      <c r="G936" s="14">
        <v>1832.25</v>
      </c>
      <c r="H936" t="s">
        <v>1626</v>
      </c>
      <c r="I936">
        <v>6</v>
      </c>
    </row>
    <row r="937" spans="1:9" ht="15.6" x14ac:dyDescent="0.3">
      <c r="A937" s="9">
        <v>936</v>
      </c>
      <c r="B937" s="2" t="s">
        <v>942</v>
      </c>
      <c r="C937" s="11">
        <v>14</v>
      </c>
      <c r="D937" s="12">
        <v>50</v>
      </c>
      <c r="E937" s="12" t="s">
        <v>8220</v>
      </c>
      <c r="F937" s="13">
        <v>6</v>
      </c>
      <c r="G937" s="14">
        <v>1807.23</v>
      </c>
      <c r="H937" t="s">
        <v>602</v>
      </c>
      <c r="I937">
        <v>5</v>
      </c>
    </row>
    <row r="938" spans="1:9" ht="15.6" x14ac:dyDescent="0.3">
      <c r="A938" s="9">
        <v>937</v>
      </c>
      <c r="B938" s="2" t="s">
        <v>943</v>
      </c>
      <c r="C938" s="11">
        <v>22</v>
      </c>
      <c r="D938" s="12">
        <v>50</v>
      </c>
      <c r="E938" s="12" t="s">
        <v>8220</v>
      </c>
      <c r="F938" s="13">
        <v>6</v>
      </c>
      <c r="G938" s="14">
        <v>1856.2800000000002</v>
      </c>
      <c r="H938" t="s">
        <v>3418</v>
      </c>
      <c r="I938">
        <v>6</v>
      </c>
    </row>
    <row r="939" spans="1:9" ht="15.6" x14ac:dyDescent="0.3">
      <c r="A939" s="9">
        <v>938</v>
      </c>
      <c r="B939" s="2" t="s">
        <v>944</v>
      </c>
      <c r="C939" s="11">
        <v>20</v>
      </c>
      <c r="D939" s="12">
        <v>66.666666666666657</v>
      </c>
      <c r="E939" s="12" t="s">
        <v>8220</v>
      </c>
      <c r="F939" s="13">
        <v>6</v>
      </c>
      <c r="G939" s="14">
        <v>1832.25</v>
      </c>
      <c r="H939" t="s">
        <v>2394</v>
      </c>
      <c r="I939">
        <v>6</v>
      </c>
    </row>
    <row r="940" spans="1:9" ht="15.6" x14ac:dyDescent="0.3">
      <c r="A940" s="9">
        <v>939</v>
      </c>
      <c r="B940" s="2" t="s">
        <v>945</v>
      </c>
      <c r="C940" s="11">
        <v>20</v>
      </c>
      <c r="D940" s="12">
        <v>66.666666666666657</v>
      </c>
      <c r="E940" s="12" t="s">
        <v>8220</v>
      </c>
      <c r="F940" s="13">
        <v>6</v>
      </c>
      <c r="G940" s="14">
        <v>1872.2800000000002</v>
      </c>
      <c r="H940" t="s">
        <v>1370</v>
      </c>
      <c r="I940">
        <v>6</v>
      </c>
    </row>
    <row r="941" spans="1:9" ht="15.6" x14ac:dyDescent="0.3">
      <c r="A941" s="9">
        <v>940</v>
      </c>
      <c r="B941" s="2" t="s">
        <v>946</v>
      </c>
      <c r="C941" s="11">
        <v>14</v>
      </c>
      <c r="D941" s="12">
        <v>50</v>
      </c>
      <c r="E941" s="12" t="s">
        <v>8220</v>
      </c>
      <c r="F941" s="13">
        <v>6</v>
      </c>
      <c r="G941" s="14">
        <v>1847.2600000000002</v>
      </c>
      <c r="H941" t="s">
        <v>346</v>
      </c>
      <c r="I941">
        <v>5</v>
      </c>
    </row>
    <row r="942" spans="1:9" ht="15.6" x14ac:dyDescent="0.3">
      <c r="A942" s="9">
        <v>941</v>
      </c>
      <c r="B942" s="2" t="s">
        <v>947</v>
      </c>
      <c r="C942" s="11">
        <v>16</v>
      </c>
      <c r="D942" s="12">
        <v>33.333333333333329</v>
      </c>
      <c r="E942" s="12" t="s">
        <v>8219</v>
      </c>
      <c r="F942" s="13">
        <v>6</v>
      </c>
      <c r="G942" s="14">
        <v>1831.2600000000002</v>
      </c>
      <c r="H942" t="s">
        <v>3162</v>
      </c>
      <c r="I942">
        <v>5</v>
      </c>
    </row>
    <row r="943" spans="1:9" ht="15.6" x14ac:dyDescent="0.3">
      <c r="A943" s="9">
        <v>942</v>
      </c>
      <c r="B943" s="2" t="s">
        <v>948</v>
      </c>
      <c r="C943" s="11">
        <v>14</v>
      </c>
      <c r="D943" s="12">
        <v>50</v>
      </c>
      <c r="E943" s="12" t="s">
        <v>8220</v>
      </c>
      <c r="F943" s="13">
        <v>6</v>
      </c>
      <c r="G943" s="14">
        <v>1807.23</v>
      </c>
      <c r="H943" t="s">
        <v>2138</v>
      </c>
      <c r="I943">
        <v>5</v>
      </c>
    </row>
    <row r="944" spans="1:9" ht="15.6" x14ac:dyDescent="0.3">
      <c r="A944" s="9">
        <v>943</v>
      </c>
      <c r="B944" s="2" t="s">
        <v>949</v>
      </c>
      <c r="C944" s="11">
        <v>14</v>
      </c>
      <c r="D944" s="12">
        <v>50</v>
      </c>
      <c r="E944" s="12" t="s">
        <v>8220</v>
      </c>
      <c r="F944" s="13">
        <v>6</v>
      </c>
      <c r="G944" s="14">
        <v>1847.2600000000002</v>
      </c>
      <c r="H944" t="s">
        <v>1114</v>
      </c>
      <c r="I944">
        <v>5</v>
      </c>
    </row>
    <row r="945" spans="1:9" ht="15.6" x14ac:dyDescent="0.3">
      <c r="A945" s="9">
        <v>944</v>
      </c>
      <c r="B945" s="2" t="s">
        <v>950</v>
      </c>
      <c r="C945" s="11">
        <v>8</v>
      </c>
      <c r="D945" s="12">
        <v>33.333333333333329</v>
      </c>
      <c r="E945" s="12" t="s">
        <v>8219</v>
      </c>
      <c r="F945" s="13">
        <v>6</v>
      </c>
      <c r="G945" s="14">
        <v>1822.2400000000002</v>
      </c>
      <c r="H945" t="s">
        <v>90</v>
      </c>
      <c r="I945">
        <v>4</v>
      </c>
    </row>
    <row r="946" spans="1:9" ht="15.6" x14ac:dyDescent="0.3">
      <c r="A946" s="9">
        <v>945</v>
      </c>
      <c r="B946" s="2" t="s">
        <v>951</v>
      </c>
      <c r="C946" s="11">
        <v>18</v>
      </c>
      <c r="D946" s="12">
        <v>16.666666666666664</v>
      </c>
      <c r="E946" s="12" t="s">
        <v>8219</v>
      </c>
      <c r="F946" s="13">
        <v>6</v>
      </c>
      <c r="G946" s="14">
        <v>1815.2599999999998</v>
      </c>
      <c r="H946" t="s">
        <v>3866</v>
      </c>
      <c r="I946">
        <v>5</v>
      </c>
    </row>
    <row r="947" spans="1:9" ht="15.6" x14ac:dyDescent="0.3">
      <c r="A947" s="9">
        <v>946</v>
      </c>
      <c r="B947" s="2" t="s">
        <v>952</v>
      </c>
      <c r="C947" s="11">
        <v>16</v>
      </c>
      <c r="D947" s="12">
        <v>33.333333333333329</v>
      </c>
      <c r="E947" s="12" t="s">
        <v>8219</v>
      </c>
      <c r="F947" s="13">
        <v>6</v>
      </c>
      <c r="G947" s="14">
        <v>1791.23</v>
      </c>
      <c r="H947" t="s">
        <v>2842</v>
      </c>
      <c r="I947">
        <v>5</v>
      </c>
    </row>
    <row r="948" spans="1:9" ht="15.6" x14ac:dyDescent="0.3">
      <c r="A948" s="9">
        <v>947</v>
      </c>
      <c r="B948" s="2" t="s">
        <v>953</v>
      </c>
      <c r="C948" s="11">
        <v>16</v>
      </c>
      <c r="D948" s="12">
        <v>33.333333333333329</v>
      </c>
      <c r="E948" s="12" t="s">
        <v>8219</v>
      </c>
      <c r="F948" s="13">
        <v>6</v>
      </c>
      <c r="G948" s="14">
        <v>1831.2600000000002</v>
      </c>
      <c r="H948" t="s">
        <v>1818</v>
      </c>
      <c r="I948">
        <v>5</v>
      </c>
    </row>
    <row r="949" spans="1:9" ht="15.6" x14ac:dyDescent="0.3">
      <c r="A949" s="9">
        <v>948</v>
      </c>
      <c r="B949" s="2" t="s">
        <v>954</v>
      </c>
      <c r="C949" s="11">
        <v>10</v>
      </c>
      <c r="D949" s="12">
        <v>16.666666666666664</v>
      </c>
      <c r="E949" s="12" t="s">
        <v>8219</v>
      </c>
      <c r="F949" s="13">
        <v>6</v>
      </c>
      <c r="G949" s="14">
        <v>1806.2399999999998</v>
      </c>
      <c r="H949" t="s">
        <v>794</v>
      </c>
      <c r="I949">
        <v>4</v>
      </c>
    </row>
    <row r="950" spans="1:9" ht="15.6" x14ac:dyDescent="0.3">
      <c r="A950" s="9">
        <v>949</v>
      </c>
      <c r="B950" s="2" t="s">
        <v>955</v>
      </c>
      <c r="C950" s="11">
        <v>16</v>
      </c>
      <c r="D950" s="12">
        <v>33.333333333333329</v>
      </c>
      <c r="E950" s="12" t="s">
        <v>8219</v>
      </c>
      <c r="F950" s="13">
        <v>6</v>
      </c>
      <c r="G950" s="14">
        <v>1791.23</v>
      </c>
      <c r="H950" t="s">
        <v>3610</v>
      </c>
      <c r="I950">
        <v>5</v>
      </c>
    </row>
    <row r="951" spans="1:9" ht="15.6" x14ac:dyDescent="0.3">
      <c r="A951" s="9">
        <v>950</v>
      </c>
      <c r="B951" s="2" t="s">
        <v>956</v>
      </c>
      <c r="C951" s="11">
        <v>14</v>
      </c>
      <c r="D951" s="12">
        <v>50</v>
      </c>
      <c r="E951" s="12" t="s">
        <v>8220</v>
      </c>
      <c r="F951" s="13">
        <v>6</v>
      </c>
      <c r="G951" s="14">
        <v>1767.1999999999998</v>
      </c>
      <c r="H951" t="s">
        <v>2586</v>
      </c>
      <c r="I951">
        <v>5</v>
      </c>
    </row>
    <row r="952" spans="1:9" ht="15.6" x14ac:dyDescent="0.3">
      <c r="A952" s="9">
        <v>951</v>
      </c>
      <c r="B952" s="2" t="s">
        <v>957</v>
      </c>
      <c r="C952" s="11">
        <v>14</v>
      </c>
      <c r="D952" s="12">
        <v>50</v>
      </c>
      <c r="E952" s="12" t="s">
        <v>8220</v>
      </c>
      <c r="F952" s="13">
        <v>6</v>
      </c>
      <c r="G952" s="14">
        <v>1807.23</v>
      </c>
      <c r="H952" t="s">
        <v>1562</v>
      </c>
      <c r="I952">
        <v>5</v>
      </c>
    </row>
    <row r="953" spans="1:9" ht="15.6" x14ac:dyDescent="0.3">
      <c r="A953" s="9">
        <v>952</v>
      </c>
      <c r="B953" s="2" t="s">
        <v>958</v>
      </c>
      <c r="C953" s="11">
        <v>8</v>
      </c>
      <c r="D953" s="12">
        <v>33.333333333333329</v>
      </c>
      <c r="E953" s="12" t="s">
        <v>8219</v>
      </c>
      <c r="F953" s="13">
        <v>6</v>
      </c>
      <c r="G953" s="14">
        <v>1782.21</v>
      </c>
      <c r="H953" t="s">
        <v>538</v>
      </c>
      <c r="I953">
        <v>4</v>
      </c>
    </row>
    <row r="954" spans="1:9" ht="15.6" x14ac:dyDescent="0.3">
      <c r="A954" s="9">
        <v>953</v>
      </c>
      <c r="B954" s="2" t="s">
        <v>959</v>
      </c>
      <c r="C954" s="11">
        <v>16</v>
      </c>
      <c r="D954" s="12">
        <v>33.333333333333329</v>
      </c>
      <c r="E954" s="12" t="s">
        <v>8219</v>
      </c>
      <c r="F954" s="13">
        <v>6</v>
      </c>
      <c r="G954" s="14">
        <v>1831.2600000000002</v>
      </c>
      <c r="H954" t="s">
        <v>3354</v>
      </c>
      <c r="I954">
        <v>5</v>
      </c>
    </row>
    <row r="955" spans="1:9" ht="15.6" x14ac:dyDescent="0.3">
      <c r="A955" s="9">
        <v>954</v>
      </c>
      <c r="B955" s="2" t="s">
        <v>960</v>
      </c>
      <c r="C955" s="11">
        <v>14</v>
      </c>
      <c r="D955" s="12">
        <v>50</v>
      </c>
      <c r="E955" s="12" t="s">
        <v>8220</v>
      </c>
      <c r="F955" s="13">
        <v>6</v>
      </c>
      <c r="G955" s="14">
        <v>1807.23</v>
      </c>
      <c r="H955" t="s">
        <v>2330</v>
      </c>
      <c r="I955">
        <v>5</v>
      </c>
    </row>
    <row r="956" spans="1:9" ht="15.6" x14ac:dyDescent="0.3">
      <c r="A956" s="9">
        <v>955</v>
      </c>
      <c r="B956" s="2" t="s">
        <v>961</v>
      </c>
      <c r="C956" s="11">
        <v>14</v>
      </c>
      <c r="D956" s="12">
        <v>50</v>
      </c>
      <c r="E956" s="12" t="s">
        <v>8220</v>
      </c>
      <c r="F956" s="13">
        <v>6</v>
      </c>
      <c r="G956" s="14">
        <v>1847.2600000000002</v>
      </c>
      <c r="H956" t="s">
        <v>1306</v>
      </c>
      <c r="I956">
        <v>5</v>
      </c>
    </row>
    <row r="957" spans="1:9" ht="15.6" x14ac:dyDescent="0.3">
      <c r="A957" s="9">
        <v>956</v>
      </c>
      <c r="B957" s="2" t="s">
        <v>962</v>
      </c>
      <c r="C957" s="11">
        <v>8</v>
      </c>
      <c r="D957" s="12">
        <v>33.333333333333329</v>
      </c>
      <c r="E957" s="12" t="s">
        <v>8219</v>
      </c>
      <c r="F957" s="13">
        <v>6</v>
      </c>
      <c r="G957" s="14">
        <v>1822.2400000000002</v>
      </c>
      <c r="H957" t="s">
        <v>282</v>
      </c>
      <c r="I957">
        <v>4</v>
      </c>
    </row>
    <row r="958" spans="1:9" ht="15.6" x14ac:dyDescent="0.3">
      <c r="A958" s="9">
        <v>957</v>
      </c>
      <c r="B958" s="2" t="s">
        <v>963</v>
      </c>
      <c r="C958" s="11">
        <v>10</v>
      </c>
      <c r="D958" s="12">
        <v>16.666666666666664</v>
      </c>
      <c r="E958" s="12" t="s">
        <v>8219</v>
      </c>
      <c r="F958" s="13">
        <v>6</v>
      </c>
      <c r="G958" s="14">
        <v>1806.2399999999998</v>
      </c>
      <c r="H958" t="s">
        <v>3098</v>
      </c>
      <c r="I958">
        <v>4</v>
      </c>
    </row>
    <row r="959" spans="1:9" ht="15.6" x14ac:dyDescent="0.3">
      <c r="A959" s="9">
        <v>958</v>
      </c>
      <c r="B959" s="2" t="s">
        <v>964</v>
      </c>
      <c r="C959" s="11">
        <v>8</v>
      </c>
      <c r="D959" s="12">
        <v>33.333333333333329</v>
      </c>
      <c r="E959" s="12" t="s">
        <v>8219</v>
      </c>
      <c r="F959" s="13">
        <v>6</v>
      </c>
      <c r="G959" s="14">
        <v>1782.21</v>
      </c>
      <c r="H959" t="s">
        <v>2074</v>
      </c>
      <c r="I959">
        <v>4</v>
      </c>
    </row>
    <row r="960" spans="1:9" ht="15.6" x14ac:dyDescent="0.3">
      <c r="A960" s="9">
        <v>959</v>
      </c>
      <c r="B960" s="2" t="s">
        <v>965</v>
      </c>
      <c r="C960" s="11">
        <v>8</v>
      </c>
      <c r="D960" s="12">
        <v>33.333333333333329</v>
      </c>
      <c r="E960" s="12" t="s">
        <v>8219</v>
      </c>
      <c r="F960" s="13">
        <v>6</v>
      </c>
      <c r="G960" s="14">
        <v>1822.2400000000002</v>
      </c>
      <c r="H960" t="s">
        <v>1050</v>
      </c>
      <c r="I960">
        <v>4</v>
      </c>
    </row>
    <row r="961" spans="1:9" ht="15.6" x14ac:dyDescent="0.3">
      <c r="A961" s="9">
        <v>960</v>
      </c>
      <c r="B961" s="2" t="s">
        <v>966</v>
      </c>
      <c r="C961" s="11">
        <v>2</v>
      </c>
      <c r="D961" s="12">
        <v>16.666666666666664</v>
      </c>
      <c r="E961" s="12" t="s">
        <v>8219</v>
      </c>
      <c r="F961" s="13">
        <v>6</v>
      </c>
      <c r="G961" s="14">
        <v>1797.2199999999998</v>
      </c>
      <c r="H961" t="s">
        <v>26</v>
      </c>
      <c r="I961">
        <v>3</v>
      </c>
    </row>
    <row r="962" spans="1:9" ht="15.6" x14ac:dyDescent="0.3">
      <c r="A962" s="9">
        <v>961</v>
      </c>
      <c r="B962" s="2" t="s">
        <v>967</v>
      </c>
      <c r="C962" s="11">
        <v>20</v>
      </c>
      <c r="D962" s="12">
        <v>0</v>
      </c>
      <c r="E962" s="12" t="s">
        <v>8219</v>
      </c>
      <c r="F962" s="13">
        <v>6</v>
      </c>
      <c r="G962" s="14">
        <v>1799.2599999999998</v>
      </c>
      <c r="H962" t="s">
        <v>4042</v>
      </c>
      <c r="I962">
        <v>6</v>
      </c>
    </row>
    <row r="963" spans="1:9" ht="15.6" x14ac:dyDescent="0.3">
      <c r="A963" s="9">
        <v>962</v>
      </c>
      <c r="B963" s="2" t="s">
        <v>968</v>
      </c>
      <c r="C963" s="11">
        <v>18</v>
      </c>
      <c r="D963" s="12">
        <v>16.666666666666664</v>
      </c>
      <c r="E963" s="12" t="s">
        <v>8219</v>
      </c>
      <c r="F963" s="13">
        <v>6</v>
      </c>
      <c r="G963" s="14">
        <v>1775.23</v>
      </c>
      <c r="H963" t="s">
        <v>3018</v>
      </c>
      <c r="I963">
        <v>5</v>
      </c>
    </row>
    <row r="964" spans="1:9" ht="15.6" x14ac:dyDescent="0.3">
      <c r="A964" s="9">
        <v>963</v>
      </c>
      <c r="B964" s="2" t="s">
        <v>969</v>
      </c>
      <c r="C964" s="11">
        <v>18</v>
      </c>
      <c r="D964" s="12">
        <v>16.666666666666664</v>
      </c>
      <c r="E964" s="12" t="s">
        <v>8219</v>
      </c>
      <c r="F964" s="13">
        <v>6</v>
      </c>
      <c r="G964" s="14">
        <v>1815.2599999999998</v>
      </c>
      <c r="H964" t="s">
        <v>1994</v>
      </c>
      <c r="I964">
        <v>5</v>
      </c>
    </row>
    <row r="965" spans="1:9" ht="15.6" x14ac:dyDescent="0.3">
      <c r="A965" s="9">
        <v>964</v>
      </c>
      <c r="B965" s="2" t="s">
        <v>970</v>
      </c>
      <c r="C965" s="11">
        <v>12</v>
      </c>
      <c r="D965" s="12">
        <v>0</v>
      </c>
      <c r="E965" s="12" t="s">
        <v>8219</v>
      </c>
      <c r="F965" s="13">
        <v>6</v>
      </c>
      <c r="G965" s="14">
        <v>1790.2399999999998</v>
      </c>
      <c r="H965" t="s">
        <v>970</v>
      </c>
      <c r="I965">
        <v>4</v>
      </c>
    </row>
    <row r="966" spans="1:9" ht="15.6" x14ac:dyDescent="0.3">
      <c r="A966" s="9">
        <v>965</v>
      </c>
      <c r="B966" s="2" t="s">
        <v>971</v>
      </c>
      <c r="C966" s="11">
        <v>18</v>
      </c>
      <c r="D966" s="12">
        <v>16.666666666666664</v>
      </c>
      <c r="E966" s="12" t="s">
        <v>8219</v>
      </c>
      <c r="F966" s="13">
        <v>6</v>
      </c>
      <c r="G966" s="14">
        <v>1775.23</v>
      </c>
      <c r="H966" t="s">
        <v>3786</v>
      </c>
      <c r="I966">
        <v>5</v>
      </c>
    </row>
    <row r="967" spans="1:9" ht="15.6" x14ac:dyDescent="0.3">
      <c r="A967" s="9">
        <v>966</v>
      </c>
      <c r="B967" s="2" t="s">
        <v>972</v>
      </c>
      <c r="C967" s="11">
        <v>16</v>
      </c>
      <c r="D967" s="12">
        <v>33.333333333333329</v>
      </c>
      <c r="E967" s="12" t="s">
        <v>8219</v>
      </c>
      <c r="F967" s="13">
        <v>6</v>
      </c>
      <c r="G967" s="14">
        <v>1751.1999999999998</v>
      </c>
      <c r="H967" t="s">
        <v>2762</v>
      </c>
      <c r="I967">
        <v>5</v>
      </c>
    </row>
    <row r="968" spans="1:9" ht="15.6" x14ac:dyDescent="0.3">
      <c r="A968" s="9">
        <v>967</v>
      </c>
      <c r="B968" s="2" t="s">
        <v>973</v>
      </c>
      <c r="C968" s="11">
        <v>16</v>
      </c>
      <c r="D968" s="12">
        <v>33.333333333333329</v>
      </c>
      <c r="E968" s="12" t="s">
        <v>8219</v>
      </c>
      <c r="F968" s="13">
        <v>6</v>
      </c>
      <c r="G968" s="14">
        <v>1791.23</v>
      </c>
      <c r="H968" t="s">
        <v>1738</v>
      </c>
      <c r="I968">
        <v>5</v>
      </c>
    </row>
    <row r="969" spans="1:9" ht="15.6" x14ac:dyDescent="0.3">
      <c r="A969" s="9">
        <v>968</v>
      </c>
      <c r="B969" s="2" t="s">
        <v>974</v>
      </c>
      <c r="C969" s="11">
        <v>10</v>
      </c>
      <c r="D969" s="12">
        <v>16.666666666666664</v>
      </c>
      <c r="E969" s="12" t="s">
        <v>8219</v>
      </c>
      <c r="F969" s="13">
        <v>6</v>
      </c>
      <c r="G969" s="14">
        <v>1766.21</v>
      </c>
      <c r="H969" t="s">
        <v>714</v>
      </c>
      <c r="I969">
        <v>4</v>
      </c>
    </row>
    <row r="970" spans="1:9" ht="15.6" x14ac:dyDescent="0.3">
      <c r="A970" s="9">
        <v>969</v>
      </c>
      <c r="B970" s="2" t="s">
        <v>975</v>
      </c>
      <c r="C970" s="11">
        <v>18</v>
      </c>
      <c r="D970" s="12">
        <v>16.666666666666664</v>
      </c>
      <c r="E970" s="12" t="s">
        <v>8219</v>
      </c>
      <c r="F970" s="13">
        <v>6</v>
      </c>
      <c r="G970" s="14">
        <v>1815.2599999999998</v>
      </c>
      <c r="H970" t="s">
        <v>3530</v>
      </c>
      <c r="I970">
        <v>5</v>
      </c>
    </row>
    <row r="971" spans="1:9" ht="15.6" x14ac:dyDescent="0.3">
      <c r="A971" s="9">
        <v>970</v>
      </c>
      <c r="B971" s="2" t="s">
        <v>976</v>
      </c>
      <c r="C971" s="11">
        <v>16</v>
      </c>
      <c r="D971" s="12">
        <v>33.333333333333329</v>
      </c>
      <c r="E971" s="12" t="s">
        <v>8219</v>
      </c>
      <c r="F971" s="13">
        <v>6</v>
      </c>
      <c r="G971" s="14">
        <v>1791.23</v>
      </c>
      <c r="H971" t="s">
        <v>2506</v>
      </c>
      <c r="I971">
        <v>5</v>
      </c>
    </row>
    <row r="972" spans="1:9" ht="15.6" x14ac:dyDescent="0.3">
      <c r="A972" s="9">
        <v>971</v>
      </c>
      <c r="B972" s="2" t="s">
        <v>977</v>
      </c>
      <c r="C972" s="11">
        <v>16</v>
      </c>
      <c r="D972" s="12">
        <v>33.333333333333329</v>
      </c>
      <c r="E972" s="12" t="s">
        <v>8219</v>
      </c>
      <c r="F972" s="13">
        <v>6</v>
      </c>
      <c r="G972" s="14">
        <v>1831.2600000000002</v>
      </c>
      <c r="H972" t="s">
        <v>1482</v>
      </c>
      <c r="I972">
        <v>5</v>
      </c>
    </row>
    <row r="973" spans="1:9" ht="15.6" x14ac:dyDescent="0.3">
      <c r="A973" s="9">
        <v>972</v>
      </c>
      <c r="B973" s="2" t="s">
        <v>978</v>
      </c>
      <c r="C973" s="11">
        <v>10</v>
      </c>
      <c r="D973" s="12">
        <v>16.666666666666664</v>
      </c>
      <c r="E973" s="12" t="s">
        <v>8219</v>
      </c>
      <c r="F973" s="13">
        <v>6</v>
      </c>
      <c r="G973" s="14">
        <v>1806.2399999999998</v>
      </c>
      <c r="H973" t="s">
        <v>458</v>
      </c>
      <c r="I973">
        <v>4</v>
      </c>
    </row>
    <row r="974" spans="1:9" ht="15.6" x14ac:dyDescent="0.3">
      <c r="A974" s="9">
        <v>973</v>
      </c>
      <c r="B974" s="2" t="s">
        <v>979</v>
      </c>
      <c r="C974" s="11">
        <v>12</v>
      </c>
      <c r="D974" s="12">
        <v>0</v>
      </c>
      <c r="E974" s="12" t="s">
        <v>8219</v>
      </c>
      <c r="F974" s="13">
        <v>6</v>
      </c>
      <c r="G974" s="14">
        <v>1790.2399999999998</v>
      </c>
      <c r="H974" t="s">
        <v>3274</v>
      </c>
      <c r="I974">
        <v>4</v>
      </c>
    </row>
    <row r="975" spans="1:9" ht="15.6" x14ac:dyDescent="0.3">
      <c r="A975" s="9">
        <v>974</v>
      </c>
      <c r="B975" s="2" t="s">
        <v>980</v>
      </c>
      <c r="C975" s="11">
        <v>10</v>
      </c>
      <c r="D975" s="12">
        <v>16.666666666666664</v>
      </c>
      <c r="E975" s="12" t="s">
        <v>8219</v>
      </c>
      <c r="F975" s="13">
        <v>6</v>
      </c>
      <c r="G975" s="14">
        <v>1766.21</v>
      </c>
      <c r="H975" t="s">
        <v>2250</v>
      </c>
      <c r="I975">
        <v>4</v>
      </c>
    </row>
    <row r="976" spans="1:9" ht="15.6" x14ac:dyDescent="0.3">
      <c r="A976" s="9">
        <v>975</v>
      </c>
      <c r="B976" s="2" t="s">
        <v>981</v>
      </c>
      <c r="C976" s="11">
        <v>10</v>
      </c>
      <c r="D976" s="12">
        <v>16.666666666666664</v>
      </c>
      <c r="E976" s="12" t="s">
        <v>8219</v>
      </c>
      <c r="F976" s="13">
        <v>6</v>
      </c>
      <c r="G976" s="14">
        <v>1806.2399999999998</v>
      </c>
      <c r="H976" t="s">
        <v>1226</v>
      </c>
      <c r="I976">
        <v>4</v>
      </c>
    </row>
    <row r="977" spans="1:9" ht="15.6" x14ac:dyDescent="0.3">
      <c r="A977" s="9">
        <v>976</v>
      </c>
      <c r="B977" s="2" t="s">
        <v>982</v>
      </c>
      <c r="C977" s="11">
        <v>4</v>
      </c>
      <c r="D977" s="12">
        <v>0</v>
      </c>
      <c r="E977" s="12" t="s">
        <v>8219</v>
      </c>
      <c r="F977" s="13">
        <v>6</v>
      </c>
      <c r="G977" s="14">
        <v>1781.2199999999998</v>
      </c>
      <c r="H977" t="s">
        <v>202</v>
      </c>
      <c r="I977">
        <v>3</v>
      </c>
    </row>
    <row r="978" spans="1:9" ht="15.6" x14ac:dyDescent="0.3">
      <c r="A978" s="9">
        <v>977</v>
      </c>
      <c r="B978" s="2" t="s">
        <v>983</v>
      </c>
      <c r="C978" s="11">
        <v>18</v>
      </c>
      <c r="D978" s="12">
        <v>16.666666666666664</v>
      </c>
      <c r="E978" s="12" t="s">
        <v>8219</v>
      </c>
      <c r="F978" s="13">
        <v>6</v>
      </c>
      <c r="G978" s="14">
        <v>1775.23</v>
      </c>
      <c r="H978" t="s">
        <v>3978</v>
      </c>
      <c r="I978">
        <v>5</v>
      </c>
    </row>
    <row r="979" spans="1:9" ht="15.6" x14ac:dyDescent="0.3">
      <c r="A979" s="9">
        <v>978</v>
      </c>
      <c r="B979" s="2" t="s">
        <v>984</v>
      </c>
      <c r="C979" s="11">
        <v>16</v>
      </c>
      <c r="D979" s="12">
        <v>33.333333333333329</v>
      </c>
      <c r="E979" s="12" t="s">
        <v>8219</v>
      </c>
      <c r="F979" s="13">
        <v>6</v>
      </c>
      <c r="G979" s="14">
        <v>1751.1999999999998</v>
      </c>
      <c r="H979" t="s">
        <v>2954</v>
      </c>
      <c r="I979">
        <v>5</v>
      </c>
    </row>
    <row r="980" spans="1:9" ht="15.6" x14ac:dyDescent="0.3">
      <c r="A980" s="9">
        <v>979</v>
      </c>
      <c r="B980" s="2" t="s">
        <v>985</v>
      </c>
      <c r="C980" s="11">
        <v>16</v>
      </c>
      <c r="D980" s="12">
        <v>33.333333333333329</v>
      </c>
      <c r="E980" s="12" t="s">
        <v>8219</v>
      </c>
      <c r="F980" s="13">
        <v>6</v>
      </c>
      <c r="G980" s="14">
        <v>1791.23</v>
      </c>
      <c r="H980" t="s">
        <v>1930</v>
      </c>
      <c r="I980">
        <v>5</v>
      </c>
    </row>
    <row r="981" spans="1:9" ht="15.6" x14ac:dyDescent="0.3">
      <c r="A981" s="9">
        <v>980</v>
      </c>
      <c r="B981" s="2" t="s">
        <v>986</v>
      </c>
      <c r="C981" s="11">
        <v>10</v>
      </c>
      <c r="D981" s="12">
        <v>16.666666666666664</v>
      </c>
      <c r="E981" s="12" t="s">
        <v>8219</v>
      </c>
      <c r="F981" s="13">
        <v>6</v>
      </c>
      <c r="G981" s="14">
        <v>1766.21</v>
      </c>
      <c r="H981" t="s">
        <v>906</v>
      </c>
      <c r="I981">
        <v>4</v>
      </c>
    </row>
    <row r="982" spans="1:9" ht="15.6" x14ac:dyDescent="0.3">
      <c r="A982" s="9">
        <v>981</v>
      </c>
      <c r="B982" s="2" t="s">
        <v>987</v>
      </c>
      <c r="C982" s="11">
        <v>16</v>
      </c>
      <c r="D982" s="12">
        <v>33.333333333333329</v>
      </c>
      <c r="E982" s="12" t="s">
        <v>8219</v>
      </c>
      <c r="F982" s="13">
        <v>6</v>
      </c>
      <c r="G982" s="14">
        <v>1751.1999999999998</v>
      </c>
      <c r="H982" t="s">
        <v>3722</v>
      </c>
      <c r="I982">
        <v>5</v>
      </c>
    </row>
    <row r="983" spans="1:9" ht="15.6" x14ac:dyDescent="0.3">
      <c r="A983" s="9">
        <v>982</v>
      </c>
      <c r="B983" s="2" t="s">
        <v>988</v>
      </c>
      <c r="C983" s="11">
        <v>14</v>
      </c>
      <c r="D983" s="12">
        <v>50</v>
      </c>
      <c r="E983" s="12" t="s">
        <v>8220</v>
      </c>
      <c r="F983" s="13">
        <v>6</v>
      </c>
      <c r="G983" s="14">
        <v>1727.17</v>
      </c>
      <c r="H983" t="s">
        <v>2698</v>
      </c>
      <c r="I983">
        <v>5</v>
      </c>
    </row>
    <row r="984" spans="1:9" ht="15.6" x14ac:dyDescent="0.3">
      <c r="A984" s="9">
        <v>983</v>
      </c>
      <c r="B984" s="2" t="s">
        <v>989</v>
      </c>
      <c r="C984" s="11">
        <v>14</v>
      </c>
      <c r="D984" s="12">
        <v>50</v>
      </c>
      <c r="E984" s="12" t="s">
        <v>8220</v>
      </c>
      <c r="F984" s="13">
        <v>6</v>
      </c>
      <c r="G984" s="14">
        <v>1767.1999999999998</v>
      </c>
      <c r="H984" t="s">
        <v>1674</v>
      </c>
      <c r="I984">
        <v>5</v>
      </c>
    </row>
    <row r="985" spans="1:9" ht="15.6" x14ac:dyDescent="0.3">
      <c r="A985" s="9">
        <v>984</v>
      </c>
      <c r="B985" s="2" t="s">
        <v>990</v>
      </c>
      <c r="C985" s="11">
        <v>8</v>
      </c>
      <c r="D985" s="12">
        <v>33.333333333333329</v>
      </c>
      <c r="E985" s="12" t="s">
        <v>8219</v>
      </c>
      <c r="F985" s="13">
        <v>6</v>
      </c>
      <c r="G985" s="14">
        <v>1742.1799999999998</v>
      </c>
      <c r="H985" t="s">
        <v>650</v>
      </c>
      <c r="I985">
        <v>4</v>
      </c>
    </row>
    <row r="986" spans="1:9" ht="15.6" x14ac:dyDescent="0.3">
      <c r="A986" s="9">
        <v>985</v>
      </c>
      <c r="B986" s="2" t="s">
        <v>991</v>
      </c>
      <c r="C986" s="11">
        <v>16</v>
      </c>
      <c r="D986" s="12">
        <v>33.333333333333329</v>
      </c>
      <c r="E986" s="12" t="s">
        <v>8219</v>
      </c>
      <c r="F986" s="13">
        <v>6</v>
      </c>
      <c r="G986" s="14">
        <v>1791.23</v>
      </c>
      <c r="H986" t="s">
        <v>3466</v>
      </c>
      <c r="I986">
        <v>5</v>
      </c>
    </row>
    <row r="987" spans="1:9" ht="15.6" x14ac:dyDescent="0.3">
      <c r="A987" s="9">
        <v>986</v>
      </c>
      <c r="B987" s="2" t="s">
        <v>992</v>
      </c>
      <c r="C987" s="11">
        <v>14</v>
      </c>
      <c r="D987" s="12">
        <v>50</v>
      </c>
      <c r="E987" s="12" t="s">
        <v>8220</v>
      </c>
      <c r="F987" s="13">
        <v>6</v>
      </c>
      <c r="G987" s="14">
        <v>1767.1999999999998</v>
      </c>
      <c r="H987" t="s">
        <v>2442</v>
      </c>
      <c r="I987">
        <v>5</v>
      </c>
    </row>
    <row r="988" spans="1:9" ht="15.6" x14ac:dyDescent="0.3">
      <c r="A988" s="9">
        <v>987</v>
      </c>
      <c r="B988" s="2" t="s">
        <v>993</v>
      </c>
      <c r="C988" s="11">
        <v>14</v>
      </c>
      <c r="D988" s="12">
        <v>50</v>
      </c>
      <c r="E988" s="12" t="s">
        <v>8220</v>
      </c>
      <c r="F988" s="13">
        <v>6</v>
      </c>
      <c r="G988" s="14">
        <v>1807.23</v>
      </c>
      <c r="H988" t="s">
        <v>1418</v>
      </c>
      <c r="I988">
        <v>5</v>
      </c>
    </row>
    <row r="989" spans="1:9" ht="15.6" x14ac:dyDescent="0.3">
      <c r="A989" s="9">
        <v>988</v>
      </c>
      <c r="B989" s="2" t="s">
        <v>994</v>
      </c>
      <c r="C989" s="11">
        <v>8</v>
      </c>
      <c r="D989" s="12">
        <v>33.333333333333329</v>
      </c>
      <c r="E989" s="12" t="s">
        <v>8219</v>
      </c>
      <c r="F989" s="13">
        <v>6</v>
      </c>
      <c r="G989" s="14">
        <v>1782.21</v>
      </c>
      <c r="H989" t="s">
        <v>394</v>
      </c>
      <c r="I989">
        <v>4</v>
      </c>
    </row>
    <row r="990" spans="1:9" ht="15.6" x14ac:dyDescent="0.3">
      <c r="A990" s="9">
        <v>989</v>
      </c>
      <c r="B990" s="2" t="s">
        <v>995</v>
      </c>
      <c r="C990" s="11">
        <v>10</v>
      </c>
      <c r="D990" s="12">
        <v>16.666666666666664</v>
      </c>
      <c r="E990" s="12" t="s">
        <v>8219</v>
      </c>
      <c r="F990" s="13">
        <v>6</v>
      </c>
      <c r="G990" s="14">
        <v>1766.21</v>
      </c>
      <c r="H990" t="s">
        <v>3210</v>
      </c>
      <c r="I990">
        <v>4</v>
      </c>
    </row>
    <row r="991" spans="1:9" ht="15.6" x14ac:dyDescent="0.3">
      <c r="A991" s="9">
        <v>990</v>
      </c>
      <c r="B991" s="2" t="s">
        <v>996</v>
      </c>
      <c r="C991" s="11">
        <v>8</v>
      </c>
      <c r="D991" s="12">
        <v>33.333333333333329</v>
      </c>
      <c r="E991" s="12" t="s">
        <v>8219</v>
      </c>
      <c r="F991" s="13">
        <v>6</v>
      </c>
      <c r="G991" s="14">
        <v>1742.1799999999998</v>
      </c>
      <c r="H991" t="s">
        <v>2186</v>
      </c>
      <c r="I991">
        <v>4</v>
      </c>
    </row>
    <row r="992" spans="1:9" ht="15.6" x14ac:dyDescent="0.3">
      <c r="A992" s="9">
        <v>991</v>
      </c>
      <c r="B992" s="2" t="s">
        <v>997</v>
      </c>
      <c r="C992" s="11">
        <v>8</v>
      </c>
      <c r="D992" s="12">
        <v>33.333333333333329</v>
      </c>
      <c r="E992" s="12" t="s">
        <v>8219</v>
      </c>
      <c r="F992" s="13">
        <v>6</v>
      </c>
      <c r="G992" s="14">
        <v>1782.21</v>
      </c>
      <c r="H992" t="s">
        <v>1162</v>
      </c>
      <c r="I992">
        <v>4</v>
      </c>
    </row>
    <row r="993" spans="1:9" ht="15.6" x14ac:dyDescent="0.3">
      <c r="A993" s="9">
        <v>992</v>
      </c>
      <c r="B993" s="2" t="s">
        <v>998</v>
      </c>
      <c r="C993" s="11">
        <v>2</v>
      </c>
      <c r="D993" s="12">
        <v>16.666666666666664</v>
      </c>
      <c r="E993" s="12" t="s">
        <v>8219</v>
      </c>
      <c r="F993" s="13">
        <v>6</v>
      </c>
      <c r="G993" s="14">
        <v>1757.19</v>
      </c>
      <c r="H993" t="s">
        <v>138</v>
      </c>
      <c r="I993">
        <v>3</v>
      </c>
    </row>
    <row r="994" spans="1:9" ht="15.6" x14ac:dyDescent="0.3">
      <c r="A994" s="9">
        <v>993</v>
      </c>
      <c r="B994" s="2" t="s">
        <v>999</v>
      </c>
      <c r="C994" s="11">
        <v>18</v>
      </c>
      <c r="D994" s="12">
        <v>16.666666666666664</v>
      </c>
      <c r="E994" s="12" t="s">
        <v>8219</v>
      </c>
      <c r="F994" s="13">
        <v>6</v>
      </c>
      <c r="G994" s="14">
        <v>1815.2599999999998</v>
      </c>
      <c r="H994" t="s">
        <v>3914</v>
      </c>
      <c r="I994">
        <v>5</v>
      </c>
    </row>
    <row r="995" spans="1:9" ht="15.6" x14ac:dyDescent="0.3">
      <c r="A995" s="9">
        <v>994</v>
      </c>
      <c r="B995" s="2" t="s">
        <v>1000</v>
      </c>
      <c r="C995" s="11">
        <v>16</v>
      </c>
      <c r="D995" s="12">
        <v>33.333333333333329</v>
      </c>
      <c r="E995" s="12" t="s">
        <v>8219</v>
      </c>
      <c r="F995" s="13">
        <v>6</v>
      </c>
      <c r="G995" s="14">
        <v>1791.23</v>
      </c>
      <c r="H995" t="s">
        <v>2890</v>
      </c>
      <c r="I995">
        <v>5</v>
      </c>
    </row>
    <row r="996" spans="1:9" ht="15.6" x14ac:dyDescent="0.3">
      <c r="A996" s="9">
        <v>995</v>
      </c>
      <c r="B996" s="2" t="s">
        <v>1001</v>
      </c>
      <c r="C996" s="11">
        <v>16</v>
      </c>
      <c r="D996" s="12">
        <v>33.333333333333329</v>
      </c>
      <c r="E996" s="12" t="s">
        <v>8219</v>
      </c>
      <c r="F996" s="13">
        <v>6</v>
      </c>
      <c r="G996" s="14">
        <v>1831.2600000000002</v>
      </c>
      <c r="H996" t="s">
        <v>1866</v>
      </c>
      <c r="I996">
        <v>5</v>
      </c>
    </row>
    <row r="997" spans="1:9" ht="15.6" x14ac:dyDescent="0.3">
      <c r="A997" s="9">
        <v>996</v>
      </c>
      <c r="B997" s="2" t="s">
        <v>1002</v>
      </c>
      <c r="C997" s="11">
        <v>10</v>
      </c>
      <c r="D997" s="12">
        <v>16.666666666666664</v>
      </c>
      <c r="E997" s="12" t="s">
        <v>8219</v>
      </c>
      <c r="F997" s="13">
        <v>6</v>
      </c>
      <c r="G997" s="14">
        <v>1806.2399999999998</v>
      </c>
      <c r="H997" t="s">
        <v>842</v>
      </c>
      <c r="I997">
        <v>4</v>
      </c>
    </row>
    <row r="998" spans="1:9" ht="15.6" x14ac:dyDescent="0.3">
      <c r="A998" s="9">
        <v>997</v>
      </c>
      <c r="B998" s="2" t="s">
        <v>1003</v>
      </c>
      <c r="C998" s="11">
        <v>16</v>
      </c>
      <c r="D998" s="12">
        <v>33.333333333333329</v>
      </c>
      <c r="E998" s="12" t="s">
        <v>8219</v>
      </c>
      <c r="F998" s="13">
        <v>6</v>
      </c>
      <c r="G998" s="14">
        <v>1791.23</v>
      </c>
      <c r="H998" t="s">
        <v>3658</v>
      </c>
      <c r="I998">
        <v>5</v>
      </c>
    </row>
    <row r="999" spans="1:9" ht="15.6" x14ac:dyDescent="0.3">
      <c r="A999" s="9">
        <v>998</v>
      </c>
      <c r="B999" s="2" t="s">
        <v>1004</v>
      </c>
      <c r="C999" s="11">
        <v>14</v>
      </c>
      <c r="D999" s="12">
        <v>50</v>
      </c>
      <c r="E999" s="12" t="s">
        <v>8220</v>
      </c>
      <c r="F999" s="13">
        <v>6</v>
      </c>
      <c r="G999" s="14">
        <v>1767.1999999999998</v>
      </c>
      <c r="H999" t="s">
        <v>2634</v>
      </c>
      <c r="I999">
        <v>5</v>
      </c>
    </row>
    <row r="1000" spans="1:9" ht="15.6" x14ac:dyDescent="0.3">
      <c r="A1000" s="9">
        <v>999</v>
      </c>
      <c r="B1000" s="2" t="s">
        <v>1005</v>
      </c>
      <c r="C1000" s="11">
        <v>14</v>
      </c>
      <c r="D1000" s="12">
        <v>50</v>
      </c>
      <c r="E1000" s="12" t="s">
        <v>8220</v>
      </c>
      <c r="F1000" s="13">
        <v>6</v>
      </c>
      <c r="G1000" s="14">
        <v>1807.23</v>
      </c>
      <c r="H1000" t="s">
        <v>1610</v>
      </c>
      <c r="I1000">
        <v>5</v>
      </c>
    </row>
    <row r="1001" spans="1:9" ht="15.6" x14ac:dyDescent="0.3">
      <c r="A1001" s="9">
        <v>1000</v>
      </c>
      <c r="B1001" s="2" t="s">
        <v>1006</v>
      </c>
      <c r="C1001" s="11">
        <v>8</v>
      </c>
      <c r="D1001" s="12">
        <v>33.333333333333329</v>
      </c>
      <c r="E1001" s="12" t="s">
        <v>8219</v>
      </c>
      <c r="F1001" s="13">
        <v>6</v>
      </c>
      <c r="G1001" s="14">
        <v>1782.21</v>
      </c>
      <c r="H1001" t="s">
        <v>586</v>
      </c>
      <c r="I1001">
        <v>4</v>
      </c>
    </row>
    <row r="1002" spans="1:9" ht="15.6" x14ac:dyDescent="0.3">
      <c r="A1002" s="9">
        <v>1001</v>
      </c>
      <c r="B1002" s="2" t="s">
        <v>1007</v>
      </c>
      <c r="C1002" s="11">
        <v>16</v>
      </c>
      <c r="D1002" s="12">
        <v>33.333333333333329</v>
      </c>
      <c r="E1002" s="12" t="s">
        <v>8219</v>
      </c>
      <c r="F1002" s="13">
        <v>6</v>
      </c>
      <c r="G1002" s="14">
        <v>1831.2600000000002</v>
      </c>
      <c r="H1002" t="s">
        <v>3402</v>
      </c>
      <c r="I1002">
        <v>5</v>
      </c>
    </row>
    <row r="1003" spans="1:9" ht="15.6" x14ac:dyDescent="0.3">
      <c r="A1003" s="9">
        <v>1002</v>
      </c>
      <c r="B1003" s="2" t="s">
        <v>1008</v>
      </c>
      <c r="C1003" s="11">
        <v>14</v>
      </c>
      <c r="D1003" s="12">
        <v>50</v>
      </c>
      <c r="E1003" s="12" t="s">
        <v>8220</v>
      </c>
      <c r="F1003" s="13">
        <v>6</v>
      </c>
      <c r="G1003" s="14">
        <v>1807.23</v>
      </c>
      <c r="H1003" t="s">
        <v>2378</v>
      </c>
      <c r="I1003">
        <v>5</v>
      </c>
    </row>
    <row r="1004" spans="1:9" ht="15.6" x14ac:dyDescent="0.3">
      <c r="A1004" s="9">
        <v>1003</v>
      </c>
      <c r="B1004" s="2" t="s">
        <v>1009</v>
      </c>
      <c r="C1004" s="11">
        <v>14</v>
      </c>
      <c r="D1004" s="12">
        <v>50</v>
      </c>
      <c r="E1004" s="12" t="s">
        <v>8220</v>
      </c>
      <c r="F1004" s="13">
        <v>6</v>
      </c>
      <c r="G1004" s="14">
        <v>1847.2600000000002</v>
      </c>
      <c r="H1004" t="s">
        <v>1354</v>
      </c>
      <c r="I1004">
        <v>5</v>
      </c>
    </row>
    <row r="1005" spans="1:9" ht="15.6" x14ac:dyDescent="0.3">
      <c r="A1005" s="9">
        <v>1004</v>
      </c>
      <c r="B1005" s="2" t="s">
        <v>1010</v>
      </c>
      <c r="C1005" s="11">
        <v>8</v>
      </c>
      <c r="D1005" s="12">
        <v>33.333333333333329</v>
      </c>
      <c r="E1005" s="12" t="s">
        <v>8219</v>
      </c>
      <c r="F1005" s="13">
        <v>6</v>
      </c>
      <c r="G1005" s="14">
        <v>1822.2400000000002</v>
      </c>
      <c r="H1005" t="s">
        <v>330</v>
      </c>
      <c r="I1005">
        <v>4</v>
      </c>
    </row>
    <row r="1006" spans="1:9" ht="15.6" x14ac:dyDescent="0.3">
      <c r="A1006" s="9">
        <v>1005</v>
      </c>
      <c r="B1006" s="2" t="s">
        <v>1011</v>
      </c>
      <c r="C1006" s="11">
        <v>10</v>
      </c>
      <c r="D1006" s="12">
        <v>16.666666666666664</v>
      </c>
      <c r="E1006" s="12" t="s">
        <v>8219</v>
      </c>
      <c r="F1006" s="13">
        <v>6</v>
      </c>
      <c r="G1006" s="14">
        <v>1806.2399999999998</v>
      </c>
      <c r="H1006" t="s">
        <v>3146</v>
      </c>
      <c r="I1006">
        <v>4</v>
      </c>
    </row>
    <row r="1007" spans="1:9" ht="15.6" x14ac:dyDescent="0.3">
      <c r="A1007" s="9">
        <v>1006</v>
      </c>
      <c r="B1007" s="2" t="s">
        <v>1012</v>
      </c>
      <c r="C1007" s="11">
        <v>8</v>
      </c>
      <c r="D1007" s="12">
        <v>33.333333333333329</v>
      </c>
      <c r="E1007" s="12" t="s">
        <v>8219</v>
      </c>
      <c r="F1007" s="13">
        <v>6</v>
      </c>
      <c r="G1007" s="14">
        <v>1782.21</v>
      </c>
      <c r="H1007" t="s">
        <v>2122</v>
      </c>
      <c r="I1007">
        <v>4</v>
      </c>
    </row>
    <row r="1008" spans="1:9" ht="15.6" x14ac:dyDescent="0.3">
      <c r="A1008" s="9">
        <v>1007</v>
      </c>
      <c r="B1008" s="2" t="s">
        <v>1013</v>
      </c>
      <c r="C1008" s="11">
        <v>8</v>
      </c>
      <c r="D1008" s="12">
        <v>33.333333333333329</v>
      </c>
      <c r="E1008" s="12" t="s">
        <v>8219</v>
      </c>
      <c r="F1008" s="13">
        <v>6</v>
      </c>
      <c r="G1008" s="14">
        <v>1822.2400000000002</v>
      </c>
      <c r="H1008" t="s">
        <v>1098</v>
      </c>
      <c r="I1008">
        <v>4</v>
      </c>
    </row>
    <row r="1009" spans="1:9" ht="15.6" x14ac:dyDescent="0.3">
      <c r="A1009" s="9">
        <v>1008</v>
      </c>
      <c r="B1009" s="2" t="s">
        <v>1014</v>
      </c>
      <c r="C1009" s="11">
        <v>2</v>
      </c>
      <c r="D1009" s="12">
        <v>16.666666666666664</v>
      </c>
      <c r="E1009" s="12" t="s">
        <v>8219</v>
      </c>
      <c r="F1009" s="13">
        <v>6</v>
      </c>
      <c r="G1009" s="14">
        <v>1797.2199999999998</v>
      </c>
      <c r="H1009" t="s">
        <v>74</v>
      </c>
      <c r="I1009">
        <v>3</v>
      </c>
    </row>
    <row r="1010" spans="1:9" ht="15.6" x14ac:dyDescent="0.3">
      <c r="A1010" s="9">
        <v>1009</v>
      </c>
      <c r="B1010" s="2" t="s">
        <v>1015</v>
      </c>
      <c r="C1010" s="11">
        <v>12</v>
      </c>
      <c r="D1010" s="12">
        <v>0</v>
      </c>
      <c r="E1010" s="12" t="s">
        <v>8219</v>
      </c>
      <c r="F1010" s="13">
        <v>6</v>
      </c>
      <c r="G1010" s="14">
        <v>1790.2399999999998</v>
      </c>
      <c r="H1010" t="s">
        <v>3850</v>
      </c>
      <c r="I1010">
        <v>4</v>
      </c>
    </row>
    <row r="1011" spans="1:9" ht="15.6" x14ac:dyDescent="0.3">
      <c r="A1011" s="9">
        <v>1010</v>
      </c>
      <c r="B1011" s="2" t="s">
        <v>1016</v>
      </c>
      <c r="C1011" s="11">
        <v>10</v>
      </c>
      <c r="D1011" s="12">
        <v>16.666666666666664</v>
      </c>
      <c r="E1011" s="12" t="s">
        <v>8219</v>
      </c>
      <c r="F1011" s="13">
        <v>6</v>
      </c>
      <c r="G1011" s="14">
        <v>1766.21</v>
      </c>
      <c r="H1011" t="s">
        <v>2826</v>
      </c>
      <c r="I1011">
        <v>4</v>
      </c>
    </row>
    <row r="1012" spans="1:9" ht="15.6" x14ac:dyDescent="0.3">
      <c r="A1012" s="9">
        <v>1011</v>
      </c>
      <c r="B1012" s="2" t="s">
        <v>1017</v>
      </c>
      <c r="C1012" s="11">
        <v>10</v>
      </c>
      <c r="D1012" s="12">
        <v>16.666666666666664</v>
      </c>
      <c r="E1012" s="12" t="s">
        <v>8219</v>
      </c>
      <c r="F1012" s="13">
        <v>6</v>
      </c>
      <c r="G1012" s="14">
        <v>1806.2399999999998</v>
      </c>
      <c r="H1012" t="s">
        <v>1802</v>
      </c>
      <c r="I1012">
        <v>4</v>
      </c>
    </row>
    <row r="1013" spans="1:9" ht="15.6" x14ac:dyDescent="0.3">
      <c r="A1013" s="9">
        <v>1012</v>
      </c>
      <c r="B1013" s="2" t="s">
        <v>1018</v>
      </c>
      <c r="C1013" s="11">
        <v>4</v>
      </c>
      <c r="D1013" s="12">
        <v>0</v>
      </c>
      <c r="E1013" s="12" t="s">
        <v>8219</v>
      </c>
      <c r="F1013" s="13">
        <v>6</v>
      </c>
      <c r="G1013" s="14">
        <v>1781.2199999999998</v>
      </c>
      <c r="H1013" t="s">
        <v>778</v>
      </c>
      <c r="I1013">
        <v>3</v>
      </c>
    </row>
    <row r="1014" spans="1:9" ht="15.6" x14ac:dyDescent="0.3">
      <c r="A1014" s="9">
        <v>1013</v>
      </c>
      <c r="B1014" s="2" t="s">
        <v>1019</v>
      </c>
      <c r="C1014" s="11">
        <v>10</v>
      </c>
      <c r="D1014" s="12">
        <v>16.666666666666664</v>
      </c>
      <c r="E1014" s="12" t="s">
        <v>8219</v>
      </c>
      <c r="F1014" s="13">
        <v>6</v>
      </c>
      <c r="G1014" s="14">
        <v>1766.21</v>
      </c>
      <c r="H1014" t="s">
        <v>3594</v>
      </c>
      <c r="I1014">
        <v>4</v>
      </c>
    </row>
    <row r="1015" spans="1:9" ht="15.6" x14ac:dyDescent="0.3">
      <c r="A1015" s="9">
        <v>1014</v>
      </c>
      <c r="B1015" s="2" t="s">
        <v>1020</v>
      </c>
      <c r="C1015" s="11">
        <v>8</v>
      </c>
      <c r="D1015" s="12">
        <v>33.333333333333329</v>
      </c>
      <c r="E1015" s="12" t="s">
        <v>8219</v>
      </c>
      <c r="F1015" s="13">
        <v>6</v>
      </c>
      <c r="G1015" s="14">
        <v>1742.1799999999998</v>
      </c>
      <c r="H1015" t="s">
        <v>2570</v>
      </c>
      <c r="I1015">
        <v>4</v>
      </c>
    </row>
    <row r="1016" spans="1:9" ht="15.6" x14ac:dyDescent="0.3">
      <c r="A1016" s="9">
        <v>1015</v>
      </c>
      <c r="B1016" s="2" t="s">
        <v>1021</v>
      </c>
      <c r="C1016" s="11">
        <v>8</v>
      </c>
      <c r="D1016" s="12">
        <v>33.333333333333329</v>
      </c>
      <c r="E1016" s="12" t="s">
        <v>8219</v>
      </c>
      <c r="F1016" s="13">
        <v>6</v>
      </c>
      <c r="G1016" s="14">
        <v>1782.21</v>
      </c>
      <c r="H1016" t="s">
        <v>1546</v>
      </c>
      <c r="I1016">
        <v>4</v>
      </c>
    </row>
    <row r="1017" spans="1:9" ht="15.6" x14ac:dyDescent="0.3">
      <c r="A1017" s="9">
        <v>1016</v>
      </c>
      <c r="B1017" s="2" t="s">
        <v>1022</v>
      </c>
      <c r="C1017" s="11">
        <v>2</v>
      </c>
      <c r="D1017" s="12">
        <v>16.666666666666664</v>
      </c>
      <c r="E1017" s="12" t="s">
        <v>8219</v>
      </c>
      <c r="F1017" s="13">
        <v>6</v>
      </c>
      <c r="G1017" s="14">
        <v>1757.19</v>
      </c>
      <c r="H1017" t="s">
        <v>522</v>
      </c>
      <c r="I1017">
        <v>3</v>
      </c>
    </row>
    <row r="1018" spans="1:9" ht="15.6" x14ac:dyDescent="0.3">
      <c r="A1018" s="9">
        <v>1017</v>
      </c>
      <c r="B1018" s="2" t="s">
        <v>1023</v>
      </c>
      <c r="C1018" s="11">
        <v>10</v>
      </c>
      <c r="D1018" s="12">
        <v>16.666666666666664</v>
      </c>
      <c r="E1018" s="12" t="s">
        <v>8219</v>
      </c>
      <c r="F1018" s="13">
        <v>6</v>
      </c>
      <c r="G1018" s="14">
        <v>1806.2399999999998</v>
      </c>
      <c r="H1018" t="s">
        <v>3338</v>
      </c>
      <c r="I1018">
        <v>4</v>
      </c>
    </row>
    <row r="1019" spans="1:9" ht="15.6" x14ac:dyDescent="0.3">
      <c r="A1019" s="9">
        <v>1018</v>
      </c>
      <c r="B1019" s="2" t="s">
        <v>1024</v>
      </c>
      <c r="C1019" s="11">
        <v>8</v>
      </c>
      <c r="D1019" s="12">
        <v>33.333333333333329</v>
      </c>
      <c r="E1019" s="12" t="s">
        <v>8219</v>
      </c>
      <c r="F1019" s="13">
        <v>6</v>
      </c>
      <c r="G1019" s="14">
        <v>1782.21</v>
      </c>
      <c r="H1019" t="s">
        <v>2314</v>
      </c>
      <c r="I1019">
        <v>4</v>
      </c>
    </row>
    <row r="1020" spans="1:9" ht="15.6" x14ac:dyDescent="0.3">
      <c r="A1020" s="9">
        <v>1019</v>
      </c>
      <c r="B1020" s="2" t="s">
        <v>1025</v>
      </c>
      <c r="C1020" s="11">
        <v>8</v>
      </c>
      <c r="D1020" s="12">
        <v>33.333333333333329</v>
      </c>
      <c r="E1020" s="12" t="s">
        <v>8219</v>
      </c>
      <c r="F1020" s="13">
        <v>6</v>
      </c>
      <c r="G1020" s="14">
        <v>1822.2400000000002</v>
      </c>
      <c r="H1020" t="s">
        <v>1290</v>
      </c>
      <c r="I1020">
        <v>4</v>
      </c>
    </row>
    <row r="1021" spans="1:9" ht="15.6" x14ac:dyDescent="0.3">
      <c r="A1021" s="9">
        <v>1020</v>
      </c>
      <c r="B1021" s="2" t="s">
        <v>1026</v>
      </c>
      <c r="C1021" s="11">
        <v>2</v>
      </c>
      <c r="D1021" s="12">
        <v>16.666666666666664</v>
      </c>
      <c r="E1021" s="12" t="s">
        <v>8219</v>
      </c>
      <c r="F1021" s="13">
        <v>6</v>
      </c>
      <c r="G1021" s="14">
        <v>1797.2199999999998</v>
      </c>
      <c r="H1021" t="s">
        <v>266</v>
      </c>
      <c r="I1021">
        <v>3</v>
      </c>
    </row>
    <row r="1022" spans="1:9" ht="15.6" x14ac:dyDescent="0.3">
      <c r="A1022" s="9">
        <v>1021</v>
      </c>
      <c r="B1022" s="2" t="s">
        <v>1027</v>
      </c>
      <c r="C1022" s="11">
        <v>4</v>
      </c>
      <c r="D1022" s="12">
        <v>0</v>
      </c>
      <c r="E1022" s="12" t="s">
        <v>8219</v>
      </c>
      <c r="F1022" s="13">
        <v>6</v>
      </c>
      <c r="G1022" s="14">
        <v>1781.2199999999998</v>
      </c>
      <c r="H1022" t="s">
        <v>3082</v>
      </c>
      <c r="I1022">
        <v>3</v>
      </c>
    </row>
    <row r="1023" spans="1:9" ht="15.6" x14ac:dyDescent="0.3">
      <c r="A1023" s="9">
        <v>1022</v>
      </c>
      <c r="B1023" s="2" t="s">
        <v>1028</v>
      </c>
      <c r="C1023" s="11">
        <v>2</v>
      </c>
      <c r="D1023" s="12">
        <v>16.666666666666664</v>
      </c>
      <c r="E1023" s="12" t="s">
        <v>8219</v>
      </c>
      <c r="F1023" s="13">
        <v>6</v>
      </c>
      <c r="G1023" s="14">
        <v>1757.19</v>
      </c>
      <c r="H1023" t="s">
        <v>2058</v>
      </c>
      <c r="I1023">
        <v>3</v>
      </c>
    </row>
    <row r="1024" spans="1:9" ht="15.6" x14ac:dyDescent="0.3">
      <c r="A1024" s="9">
        <v>1023</v>
      </c>
      <c r="B1024" s="2" t="s">
        <v>1029</v>
      </c>
      <c r="C1024" s="11">
        <v>2</v>
      </c>
      <c r="D1024" s="12">
        <v>16.666666666666664</v>
      </c>
      <c r="E1024" s="12" t="s">
        <v>8219</v>
      </c>
      <c r="F1024" s="13">
        <v>6</v>
      </c>
      <c r="G1024" s="14">
        <v>1797.2199999999998</v>
      </c>
      <c r="H1024" t="s">
        <v>1034</v>
      </c>
      <c r="I1024">
        <v>3</v>
      </c>
    </row>
    <row r="1025" spans="1:9" ht="15.6" x14ac:dyDescent="0.3">
      <c r="A1025" s="9">
        <v>1024</v>
      </c>
      <c r="B1025" s="2" t="s">
        <v>1030</v>
      </c>
      <c r="C1025" s="11">
        <v>-4</v>
      </c>
      <c r="D1025" s="12">
        <v>0</v>
      </c>
      <c r="E1025" s="12" t="s">
        <v>8219</v>
      </c>
      <c r="F1025" s="13">
        <v>6</v>
      </c>
      <c r="G1025" s="14">
        <v>1772.1999999999998</v>
      </c>
      <c r="H1025" t="s">
        <v>10</v>
      </c>
      <c r="I1025">
        <v>2</v>
      </c>
    </row>
    <row r="1026" spans="1:9" ht="15.6" x14ac:dyDescent="0.3">
      <c r="A1026" s="9">
        <v>1025</v>
      </c>
      <c r="B1026" s="2" t="s">
        <v>1031</v>
      </c>
      <c r="C1026" s="11">
        <v>34</v>
      </c>
      <c r="D1026" s="12">
        <v>16.666666666666664</v>
      </c>
      <c r="E1026" s="12" t="s">
        <v>8219</v>
      </c>
      <c r="F1026" s="13">
        <v>6</v>
      </c>
      <c r="G1026" s="14">
        <v>1793.27</v>
      </c>
      <c r="H1026" t="s">
        <v>4101</v>
      </c>
      <c r="I1026">
        <v>8</v>
      </c>
    </row>
    <row r="1027" spans="1:9" ht="15.6" x14ac:dyDescent="0.3">
      <c r="A1027" s="9">
        <v>1026</v>
      </c>
      <c r="B1027" s="2" t="s">
        <v>1032</v>
      </c>
      <c r="C1027" s="11">
        <v>32</v>
      </c>
      <c r="D1027" s="12">
        <v>33.333333333333329</v>
      </c>
      <c r="E1027" s="12" t="s">
        <v>8219</v>
      </c>
      <c r="F1027" s="13">
        <v>6</v>
      </c>
      <c r="G1027" s="14">
        <v>1769.2399999999998</v>
      </c>
      <c r="H1027" t="s">
        <v>3077</v>
      </c>
      <c r="I1027">
        <v>8</v>
      </c>
    </row>
    <row r="1028" spans="1:9" ht="15.6" x14ac:dyDescent="0.3">
      <c r="A1028" s="9">
        <v>1027</v>
      </c>
      <c r="B1028" s="2" t="s">
        <v>1033</v>
      </c>
      <c r="C1028" s="11">
        <v>32</v>
      </c>
      <c r="D1028" s="12">
        <v>33.333333333333329</v>
      </c>
      <c r="E1028" s="12" t="s">
        <v>8219</v>
      </c>
      <c r="F1028" s="13">
        <v>6</v>
      </c>
      <c r="G1028" s="14">
        <v>1809.27</v>
      </c>
      <c r="H1028" t="s">
        <v>2053</v>
      </c>
      <c r="I1028">
        <v>8</v>
      </c>
    </row>
    <row r="1029" spans="1:9" ht="15.6" x14ac:dyDescent="0.3">
      <c r="A1029" s="9">
        <v>1028</v>
      </c>
      <c r="B1029" s="2" t="s">
        <v>1034</v>
      </c>
      <c r="C1029" s="11">
        <v>26</v>
      </c>
      <c r="D1029" s="12">
        <v>16.666666666666664</v>
      </c>
      <c r="E1029" s="12" t="s">
        <v>8219</v>
      </c>
      <c r="F1029" s="13">
        <v>6</v>
      </c>
      <c r="G1029" s="14">
        <v>1784.25</v>
      </c>
      <c r="H1029" t="s">
        <v>1029</v>
      </c>
      <c r="I1029">
        <v>7</v>
      </c>
    </row>
    <row r="1030" spans="1:9" ht="15.6" x14ac:dyDescent="0.3">
      <c r="A1030" s="9">
        <v>1029</v>
      </c>
      <c r="B1030" s="2" t="s">
        <v>1035</v>
      </c>
      <c r="C1030" s="11">
        <v>32</v>
      </c>
      <c r="D1030" s="12">
        <v>33.333333333333329</v>
      </c>
      <c r="E1030" s="12" t="s">
        <v>8219</v>
      </c>
      <c r="F1030" s="13">
        <v>6</v>
      </c>
      <c r="G1030" s="14">
        <v>1769.2399999999998</v>
      </c>
      <c r="H1030" t="s">
        <v>3845</v>
      </c>
      <c r="I1030">
        <v>8</v>
      </c>
    </row>
    <row r="1031" spans="1:9" ht="15.6" x14ac:dyDescent="0.3">
      <c r="A1031" s="9">
        <v>1030</v>
      </c>
      <c r="B1031" s="2" t="s">
        <v>1036</v>
      </c>
      <c r="C1031" s="11">
        <v>30</v>
      </c>
      <c r="D1031" s="12">
        <v>50</v>
      </c>
      <c r="E1031" s="12" t="s">
        <v>8219</v>
      </c>
      <c r="F1031" s="13">
        <v>6</v>
      </c>
      <c r="G1031" s="14">
        <v>1745.21</v>
      </c>
      <c r="H1031" t="s">
        <v>2821</v>
      </c>
      <c r="I1031">
        <v>7</v>
      </c>
    </row>
    <row r="1032" spans="1:9" ht="15.6" x14ac:dyDescent="0.3">
      <c r="A1032" s="9">
        <v>1031</v>
      </c>
      <c r="B1032" s="2" t="s">
        <v>1037</v>
      </c>
      <c r="C1032" s="11">
        <v>30</v>
      </c>
      <c r="D1032" s="12">
        <v>50</v>
      </c>
      <c r="E1032" s="12" t="s">
        <v>8219</v>
      </c>
      <c r="F1032" s="13">
        <v>6</v>
      </c>
      <c r="G1032" s="14">
        <v>1785.2399999999998</v>
      </c>
      <c r="H1032" t="s">
        <v>1797</v>
      </c>
      <c r="I1032">
        <v>7</v>
      </c>
    </row>
    <row r="1033" spans="1:9" ht="15.6" x14ac:dyDescent="0.3">
      <c r="A1033" s="9">
        <v>1032</v>
      </c>
      <c r="B1033" s="2" t="s">
        <v>1038</v>
      </c>
      <c r="C1033" s="11">
        <v>24</v>
      </c>
      <c r="D1033" s="12">
        <v>33.333333333333329</v>
      </c>
      <c r="E1033" s="12" t="s">
        <v>8219</v>
      </c>
      <c r="F1033" s="13">
        <v>6</v>
      </c>
      <c r="G1033" s="14">
        <v>1760.2199999999998</v>
      </c>
      <c r="H1033" t="s">
        <v>773</v>
      </c>
      <c r="I1033">
        <v>6</v>
      </c>
    </row>
    <row r="1034" spans="1:9" ht="15.6" x14ac:dyDescent="0.3">
      <c r="A1034" s="9">
        <v>1033</v>
      </c>
      <c r="B1034" s="2" t="s">
        <v>1039</v>
      </c>
      <c r="C1034" s="11">
        <v>32</v>
      </c>
      <c r="D1034" s="12">
        <v>33.333333333333329</v>
      </c>
      <c r="E1034" s="12" t="s">
        <v>8219</v>
      </c>
      <c r="F1034" s="13">
        <v>6</v>
      </c>
      <c r="G1034" s="14">
        <v>1809.27</v>
      </c>
      <c r="H1034" t="s">
        <v>3589</v>
      </c>
      <c r="I1034">
        <v>8</v>
      </c>
    </row>
    <row r="1035" spans="1:9" ht="15.6" x14ac:dyDescent="0.3">
      <c r="A1035" s="9">
        <v>1034</v>
      </c>
      <c r="B1035" s="2" t="s">
        <v>1040</v>
      </c>
      <c r="C1035" s="11">
        <v>30</v>
      </c>
      <c r="D1035" s="12">
        <v>50</v>
      </c>
      <c r="E1035" s="12" t="s">
        <v>8219</v>
      </c>
      <c r="F1035" s="13">
        <v>6</v>
      </c>
      <c r="G1035" s="14">
        <v>1785.2399999999998</v>
      </c>
      <c r="H1035" t="s">
        <v>2565</v>
      </c>
      <c r="I1035">
        <v>7</v>
      </c>
    </row>
    <row r="1036" spans="1:9" ht="15.6" x14ac:dyDescent="0.3">
      <c r="A1036" s="9">
        <v>1035</v>
      </c>
      <c r="B1036" s="2" t="s">
        <v>1041</v>
      </c>
      <c r="C1036" s="11">
        <v>30</v>
      </c>
      <c r="D1036" s="12">
        <v>50</v>
      </c>
      <c r="E1036" s="12" t="s">
        <v>8219</v>
      </c>
      <c r="F1036" s="13">
        <v>6</v>
      </c>
      <c r="G1036" s="14">
        <v>1825.27</v>
      </c>
      <c r="H1036" t="s">
        <v>1541</v>
      </c>
      <c r="I1036">
        <v>7</v>
      </c>
    </row>
    <row r="1037" spans="1:9" ht="15.6" x14ac:dyDescent="0.3">
      <c r="A1037" s="9">
        <v>1036</v>
      </c>
      <c r="B1037" s="2" t="s">
        <v>1042</v>
      </c>
      <c r="C1037" s="11">
        <v>24</v>
      </c>
      <c r="D1037" s="12">
        <v>33.333333333333329</v>
      </c>
      <c r="E1037" s="12" t="s">
        <v>8219</v>
      </c>
      <c r="F1037" s="13">
        <v>6</v>
      </c>
      <c r="G1037" s="14">
        <v>1800.25</v>
      </c>
      <c r="H1037" t="s">
        <v>517</v>
      </c>
      <c r="I1037">
        <v>6</v>
      </c>
    </row>
    <row r="1038" spans="1:9" ht="15.6" x14ac:dyDescent="0.3">
      <c r="A1038" s="9">
        <v>1037</v>
      </c>
      <c r="B1038" s="2" t="s">
        <v>1043</v>
      </c>
      <c r="C1038" s="11">
        <v>26</v>
      </c>
      <c r="D1038" s="12">
        <v>16.666666666666664</v>
      </c>
      <c r="E1038" s="12" t="s">
        <v>8219</v>
      </c>
      <c r="F1038" s="13">
        <v>6</v>
      </c>
      <c r="G1038" s="14">
        <v>1784.25</v>
      </c>
      <c r="H1038" t="s">
        <v>3333</v>
      </c>
      <c r="I1038">
        <v>7</v>
      </c>
    </row>
    <row r="1039" spans="1:9" ht="15.6" x14ac:dyDescent="0.3">
      <c r="A1039" s="9">
        <v>1038</v>
      </c>
      <c r="B1039" s="2" t="s">
        <v>1044</v>
      </c>
      <c r="C1039" s="11">
        <v>24</v>
      </c>
      <c r="D1039" s="12">
        <v>33.333333333333329</v>
      </c>
      <c r="E1039" s="12" t="s">
        <v>8219</v>
      </c>
      <c r="F1039" s="13">
        <v>6</v>
      </c>
      <c r="G1039" s="14">
        <v>1760.2199999999998</v>
      </c>
      <c r="H1039" t="s">
        <v>2309</v>
      </c>
      <c r="I1039">
        <v>6</v>
      </c>
    </row>
    <row r="1040" spans="1:9" ht="15.6" x14ac:dyDescent="0.3">
      <c r="A1040" s="9">
        <v>1039</v>
      </c>
      <c r="B1040" s="2" t="s">
        <v>1045</v>
      </c>
      <c r="C1040" s="11">
        <v>24</v>
      </c>
      <c r="D1040" s="12">
        <v>33.333333333333329</v>
      </c>
      <c r="E1040" s="12" t="s">
        <v>8219</v>
      </c>
      <c r="F1040" s="13">
        <v>6</v>
      </c>
      <c r="G1040" s="14">
        <v>1800.25</v>
      </c>
      <c r="H1040" t="s">
        <v>1285</v>
      </c>
      <c r="I1040">
        <v>6</v>
      </c>
    </row>
    <row r="1041" spans="1:9" ht="15.6" x14ac:dyDescent="0.3">
      <c r="A1041" s="9">
        <v>1040</v>
      </c>
      <c r="B1041" s="2" t="s">
        <v>1046</v>
      </c>
      <c r="C1041" s="11">
        <v>18</v>
      </c>
      <c r="D1041" s="12">
        <v>16.666666666666664</v>
      </c>
      <c r="E1041" s="12" t="s">
        <v>8219</v>
      </c>
      <c r="F1041" s="13">
        <v>6</v>
      </c>
      <c r="G1041" s="14">
        <v>1775.23</v>
      </c>
      <c r="H1041" t="s">
        <v>261</v>
      </c>
      <c r="I1041">
        <v>5</v>
      </c>
    </row>
    <row r="1042" spans="1:9" ht="15.6" x14ac:dyDescent="0.3">
      <c r="A1042" s="9">
        <v>1041</v>
      </c>
      <c r="B1042" s="2" t="s">
        <v>1047</v>
      </c>
      <c r="C1042" s="11">
        <v>32</v>
      </c>
      <c r="D1042" s="12">
        <v>33.333333333333329</v>
      </c>
      <c r="E1042" s="12" t="s">
        <v>8219</v>
      </c>
      <c r="F1042" s="13">
        <v>6</v>
      </c>
      <c r="G1042" s="14">
        <v>1769.2399999999998</v>
      </c>
      <c r="H1042" t="s">
        <v>4037</v>
      </c>
      <c r="I1042">
        <v>8</v>
      </c>
    </row>
    <row r="1043" spans="1:9" ht="15.6" x14ac:dyDescent="0.3">
      <c r="A1043" s="9">
        <v>1042</v>
      </c>
      <c r="B1043" s="2" t="s">
        <v>1048</v>
      </c>
      <c r="C1043" s="11">
        <v>30</v>
      </c>
      <c r="D1043" s="12">
        <v>50</v>
      </c>
      <c r="E1043" s="12" t="s">
        <v>8219</v>
      </c>
      <c r="F1043" s="13">
        <v>6</v>
      </c>
      <c r="G1043" s="14">
        <v>1745.21</v>
      </c>
      <c r="H1043" t="s">
        <v>3013</v>
      </c>
      <c r="I1043">
        <v>7</v>
      </c>
    </row>
    <row r="1044" spans="1:9" ht="15.6" x14ac:dyDescent="0.3">
      <c r="A1044" s="9">
        <v>1043</v>
      </c>
      <c r="B1044" s="2" t="s">
        <v>1049</v>
      </c>
      <c r="C1044" s="11">
        <v>30</v>
      </c>
      <c r="D1044" s="12">
        <v>50</v>
      </c>
      <c r="E1044" s="12" t="s">
        <v>8219</v>
      </c>
      <c r="F1044" s="13">
        <v>6</v>
      </c>
      <c r="G1044" s="14">
        <v>1785.2399999999998</v>
      </c>
      <c r="H1044" t="s">
        <v>1989</v>
      </c>
      <c r="I1044">
        <v>7</v>
      </c>
    </row>
    <row r="1045" spans="1:9" ht="15.6" x14ac:dyDescent="0.3">
      <c r="A1045" s="9">
        <v>1044</v>
      </c>
      <c r="B1045" s="2" t="s">
        <v>1050</v>
      </c>
      <c r="C1045" s="11">
        <v>24</v>
      </c>
      <c r="D1045" s="12">
        <v>33.333333333333329</v>
      </c>
      <c r="E1045" s="12" t="s">
        <v>8219</v>
      </c>
      <c r="F1045" s="13">
        <v>6</v>
      </c>
      <c r="G1045" s="14">
        <v>1760.2199999999998</v>
      </c>
      <c r="H1045" t="s">
        <v>965</v>
      </c>
      <c r="I1045">
        <v>6</v>
      </c>
    </row>
    <row r="1046" spans="1:9" ht="15.6" x14ac:dyDescent="0.3">
      <c r="A1046" s="9">
        <v>1045</v>
      </c>
      <c r="B1046" s="2" t="s">
        <v>1051</v>
      </c>
      <c r="C1046" s="11">
        <v>30</v>
      </c>
      <c r="D1046" s="12">
        <v>50</v>
      </c>
      <c r="E1046" s="12" t="s">
        <v>8219</v>
      </c>
      <c r="F1046" s="13">
        <v>6</v>
      </c>
      <c r="G1046" s="14">
        <v>1745.21</v>
      </c>
      <c r="H1046" t="s">
        <v>3781</v>
      </c>
      <c r="I1046">
        <v>7</v>
      </c>
    </row>
    <row r="1047" spans="1:9" ht="15.6" x14ac:dyDescent="0.3">
      <c r="A1047" s="9">
        <v>1046</v>
      </c>
      <c r="B1047" s="2" t="s">
        <v>1052</v>
      </c>
      <c r="C1047" s="11">
        <v>28</v>
      </c>
      <c r="D1047" s="12">
        <v>66.666666666666657</v>
      </c>
      <c r="E1047" s="12" t="s">
        <v>8220</v>
      </c>
      <c r="F1047" s="13">
        <v>6</v>
      </c>
      <c r="G1047" s="14">
        <v>1721.1799999999998</v>
      </c>
      <c r="H1047" t="s">
        <v>2757</v>
      </c>
      <c r="I1047">
        <v>7</v>
      </c>
    </row>
    <row r="1048" spans="1:9" ht="15.6" x14ac:dyDescent="0.3">
      <c r="A1048" s="9">
        <v>1047</v>
      </c>
      <c r="B1048" s="2" t="s">
        <v>1053</v>
      </c>
      <c r="C1048" s="11">
        <v>28</v>
      </c>
      <c r="D1048" s="12">
        <v>66.666666666666657</v>
      </c>
      <c r="E1048" s="12" t="s">
        <v>8220</v>
      </c>
      <c r="F1048" s="13">
        <v>6</v>
      </c>
      <c r="G1048" s="14">
        <v>1761.21</v>
      </c>
      <c r="H1048" t="s">
        <v>1733</v>
      </c>
      <c r="I1048">
        <v>7</v>
      </c>
    </row>
    <row r="1049" spans="1:9" ht="15.6" x14ac:dyDescent="0.3">
      <c r="A1049" s="9">
        <v>1048</v>
      </c>
      <c r="B1049" s="2" t="s">
        <v>1054</v>
      </c>
      <c r="C1049" s="11">
        <v>22</v>
      </c>
      <c r="D1049" s="12">
        <v>50</v>
      </c>
      <c r="E1049" s="12" t="s">
        <v>8219</v>
      </c>
      <c r="F1049" s="13">
        <v>6</v>
      </c>
      <c r="G1049" s="14">
        <v>1736.19</v>
      </c>
      <c r="H1049" t="s">
        <v>709</v>
      </c>
      <c r="I1049">
        <v>6</v>
      </c>
    </row>
    <row r="1050" spans="1:9" ht="15.6" x14ac:dyDescent="0.3">
      <c r="A1050" s="9">
        <v>1049</v>
      </c>
      <c r="B1050" s="2" t="s">
        <v>1055</v>
      </c>
      <c r="C1050" s="11">
        <v>30</v>
      </c>
      <c r="D1050" s="12">
        <v>50</v>
      </c>
      <c r="E1050" s="12" t="s">
        <v>8219</v>
      </c>
      <c r="F1050" s="13">
        <v>6</v>
      </c>
      <c r="G1050" s="14">
        <v>1785.2399999999998</v>
      </c>
      <c r="H1050" t="s">
        <v>3525</v>
      </c>
      <c r="I1050">
        <v>7</v>
      </c>
    </row>
    <row r="1051" spans="1:9" ht="15.6" x14ac:dyDescent="0.3">
      <c r="A1051" s="9">
        <v>1050</v>
      </c>
      <c r="B1051" s="2" t="s">
        <v>1056</v>
      </c>
      <c r="C1051" s="11">
        <v>28</v>
      </c>
      <c r="D1051" s="12">
        <v>66.666666666666657</v>
      </c>
      <c r="E1051" s="12" t="s">
        <v>8220</v>
      </c>
      <c r="F1051" s="13">
        <v>6</v>
      </c>
      <c r="G1051" s="14">
        <v>1761.21</v>
      </c>
      <c r="H1051" t="s">
        <v>2501</v>
      </c>
      <c r="I1051">
        <v>7</v>
      </c>
    </row>
    <row r="1052" spans="1:9" ht="15.6" x14ac:dyDescent="0.3">
      <c r="A1052" s="9">
        <v>1051</v>
      </c>
      <c r="B1052" s="2" t="s">
        <v>1057</v>
      </c>
      <c r="C1052" s="11">
        <v>28</v>
      </c>
      <c r="D1052" s="12">
        <v>66.666666666666657</v>
      </c>
      <c r="E1052" s="12" t="s">
        <v>8220</v>
      </c>
      <c r="F1052" s="13">
        <v>6</v>
      </c>
      <c r="G1052" s="14">
        <v>1801.2399999999998</v>
      </c>
      <c r="H1052" t="s">
        <v>1477</v>
      </c>
      <c r="I1052">
        <v>7</v>
      </c>
    </row>
    <row r="1053" spans="1:9" ht="15.6" x14ac:dyDescent="0.3">
      <c r="A1053" s="9">
        <v>1052</v>
      </c>
      <c r="B1053" s="2" t="s">
        <v>1058</v>
      </c>
      <c r="C1053" s="11">
        <v>22</v>
      </c>
      <c r="D1053" s="12">
        <v>50</v>
      </c>
      <c r="E1053" s="12" t="s">
        <v>8219</v>
      </c>
      <c r="F1053" s="13">
        <v>6</v>
      </c>
      <c r="G1053" s="14">
        <v>1776.2199999999998</v>
      </c>
      <c r="H1053" t="s">
        <v>453</v>
      </c>
      <c r="I1053">
        <v>6</v>
      </c>
    </row>
    <row r="1054" spans="1:9" ht="15.6" x14ac:dyDescent="0.3">
      <c r="A1054" s="9">
        <v>1053</v>
      </c>
      <c r="B1054" s="2" t="s">
        <v>1059</v>
      </c>
      <c r="C1054" s="11">
        <v>24</v>
      </c>
      <c r="D1054" s="12">
        <v>33.333333333333329</v>
      </c>
      <c r="E1054" s="12" t="s">
        <v>8219</v>
      </c>
      <c r="F1054" s="13">
        <v>6</v>
      </c>
      <c r="G1054" s="14">
        <v>1760.2199999999998</v>
      </c>
      <c r="H1054" t="s">
        <v>3269</v>
      </c>
      <c r="I1054">
        <v>6</v>
      </c>
    </row>
    <row r="1055" spans="1:9" ht="15.6" x14ac:dyDescent="0.3">
      <c r="A1055" s="9">
        <v>1054</v>
      </c>
      <c r="B1055" s="2" t="s">
        <v>1060</v>
      </c>
      <c r="C1055" s="11">
        <v>22</v>
      </c>
      <c r="D1055" s="12">
        <v>50</v>
      </c>
      <c r="E1055" s="12" t="s">
        <v>8219</v>
      </c>
      <c r="F1055" s="13">
        <v>6</v>
      </c>
      <c r="G1055" s="14">
        <v>1736.19</v>
      </c>
      <c r="H1055" t="s">
        <v>2245</v>
      </c>
      <c r="I1055">
        <v>6</v>
      </c>
    </row>
    <row r="1056" spans="1:9" ht="15.6" x14ac:dyDescent="0.3">
      <c r="A1056" s="9">
        <v>1055</v>
      </c>
      <c r="B1056" s="2" t="s">
        <v>1061</v>
      </c>
      <c r="C1056" s="11">
        <v>22</v>
      </c>
      <c r="D1056" s="12">
        <v>50</v>
      </c>
      <c r="E1056" s="12" t="s">
        <v>8219</v>
      </c>
      <c r="F1056" s="13">
        <v>6</v>
      </c>
      <c r="G1056" s="14">
        <v>1776.2199999999998</v>
      </c>
      <c r="H1056" t="s">
        <v>1221</v>
      </c>
      <c r="I1056">
        <v>6</v>
      </c>
    </row>
    <row r="1057" spans="1:9" ht="15.6" x14ac:dyDescent="0.3">
      <c r="A1057" s="9">
        <v>1056</v>
      </c>
      <c r="B1057" s="2" t="s">
        <v>1062</v>
      </c>
      <c r="C1057" s="11">
        <v>16</v>
      </c>
      <c r="D1057" s="12">
        <v>33.333333333333329</v>
      </c>
      <c r="E1057" s="12" t="s">
        <v>8219</v>
      </c>
      <c r="F1057" s="13">
        <v>6</v>
      </c>
      <c r="G1057" s="14">
        <v>1751.1999999999998</v>
      </c>
      <c r="H1057" t="s">
        <v>197</v>
      </c>
      <c r="I1057">
        <v>5</v>
      </c>
    </row>
    <row r="1058" spans="1:9" ht="15.6" x14ac:dyDescent="0.3">
      <c r="A1058" s="9">
        <v>1057</v>
      </c>
      <c r="B1058" s="2" t="s">
        <v>1063</v>
      </c>
      <c r="C1058" s="11">
        <v>32</v>
      </c>
      <c r="D1058" s="12">
        <v>33.333333333333329</v>
      </c>
      <c r="E1058" s="12" t="s">
        <v>8219</v>
      </c>
      <c r="F1058" s="13">
        <v>6</v>
      </c>
      <c r="G1058" s="14">
        <v>1809.27</v>
      </c>
      <c r="H1058" t="s">
        <v>3973</v>
      </c>
      <c r="I1058">
        <v>8</v>
      </c>
    </row>
    <row r="1059" spans="1:9" ht="15.6" x14ac:dyDescent="0.3">
      <c r="A1059" s="9">
        <v>1058</v>
      </c>
      <c r="B1059" s="2" t="s">
        <v>1064</v>
      </c>
      <c r="C1059" s="11">
        <v>30</v>
      </c>
      <c r="D1059" s="12">
        <v>50</v>
      </c>
      <c r="E1059" s="12" t="s">
        <v>8219</v>
      </c>
      <c r="F1059" s="13">
        <v>6</v>
      </c>
      <c r="G1059" s="14">
        <v>1785.2399999999998</v>
      </c>
      <c r="H1059" t="s">
        <v>2949</v>
      </c>
      <c r="I1059">
        <v>7</v>
      </c>
    </row>
    <row r="1060" spans="1:9" ht="15.6" x14ac:dyDescent="0.3">
      <c r="A1060" s="9">
        <v>1059</v>
      </c>
      <c r="B1060" s="2" t="s">
        <v>1065</v>
      </c>
      <c r="C1060" s="11">
        <v>30</v>
      </c>
      <c r="D1060" s="12">
        <v>50</v>
      </c>
      <c r="E1060" s="12" t="s">
        <v>8219</v>
      </c>
      <c r="F1060" s="13">
        <v>6</v>
      </c>
      <c r="G1060" s="14">
        <v>1825.27</v>
      </c>
      <c r="H1060" t="s">
        <v>1925</v>
      </c>
      <c r="I1060">
        <v>7</v>
      </c>
    </row>
    <row r="1061" spans="1:9" ht="15.6" x14ac:dyDescent="0.3">
      <c r="A1061" s="9">
        <v>1060</v>
      </c>
      <c r="B1061" s="2" t="s">
        <v>1066</v>
      </c>
      <c r="C1061" s="11">
        <v>24</v>
      </c>
      <c r="D1061" s="12">
        <v>33.333333333333329</v>
      </c>
      <c r="E1061" s="12" t="s">
        <v>8219</v>
      </c>
      <c r="F1061" s="13">
        <v>6</v>
      </c>
      <c r="G1061" s="14">
        <v>1800.25</v>
      </c>
      <c r="H1061" t="s">
        <v>901</v>
      </c>
      <c r="I1061">
        <v>6</v>
      </c>
    </row>
    <row r="1062" spans="1:9" ht="15.6" x14ac:dyDescent="0.3">
      <c r="A1062" s="9">
        <v>1061</v>
      </c>
      <c r="B1062" s="2" t="s">
        <v>1067</v>
      </c>
      <c r="C1062" s="11">
        <v>30</v>
      </c>
      <c r="D1062" s="12">
        <v>50</v>
      </c>
      <c r="E1062" s="12" t="s">
        <v>8219</v>
      </c>
      <c r="F1062" s="13">
        <v>6</v>
      </c>
      <c r="G1062" s="14">
        <v>1785.2399999999998</v>
      </c>
      <c r="H1062" t="s">
        <v>3717</v>
      </c>
      <c r="I1062">
        <v>7</v>
      </c>
    </row>
    <row r="1063" spans="1:9" ht="15.6" x14ac:dyDescent="0.3">
      <c r="A1063" s="9">
        <v>1062</v>
      </c>
      <c r="B1063" s="2" t="s">
        <v>1068</v>
      </c>
      <c r="C1063" s="11">
        <v>28</v>
      </c>
      <c r="D1063" s="12">
        <v>66.666666666666657</v>
      </c>
      <c r="E1063" s="12" t="s">
        <v>8220</v>
      </c>
      <c r="F1063" s="13">
        <v>6</v>
      </c>
      <c r="G1063" s="14">
        <v>1761.21</v>
      </c>
      <c r="H1063" t="s">
        <v>2693</v>
      </c>
      <c r="I1063">
        <v>7</v>
      </c>
    </row>
    <row r="1064" spans="1:9" ht="15.6" x14ac:dyDescent="0.3">
      <c r="A1064" s="9">
        <v>1063</v>
      </c>
      <c r="B1064" s="2" t="s">
        <v>1069</v>
      </c>
      <c r="C1064" s="11">
        <v>28</v>
      </c>
      <c r="D1064" s="12">
        <v>66.666666666666657</v>
      </c>
      <c r="E1064" s="12" t="s">
        <v>8220</v>
      </c>
      <c r="F1064" s="13">
        <v>6</v>
      </c>
      <c r="G1064" s="14">
        <v>1801.2399999999998</v>
      </c>
      <c r="H1064" t="s">
        <v>1669</v>
      </c>
      <c r="I1064">
        <v>7</v>
      </c>
    </row>
    <row r="1065" spans="1:9" ht="15.6" x14ac:dyDescent="0.3">
      <c r="A1065" s="9">
        <v>1064</v>
      </c>
      <c r="B1065" s="2" t="s">
        <v>1070</v>
      </c>
      <c r="C1065" s="11">
        <v>22</v>
      </c>
      <c r="D1065" s="12">
        <v>50</v>
      </c>
      <c r="E1065" s="12" t="s">
        <v>8219</v>
      </c>
      <c r="F1065" s="13">
        <v>6</v>
      </c>
      <c r="G1065" s="14">
        <v>1776.2199999999998</v>
      </c>
      <c r="H1065" t="s">
        <v>645</v>
      </c>
      <c r="I1065">
        <v>6</v>
      </c>
    </row>
    <row r="1066" spans="1:9" ht="15.6" x14ac:dyDescent="0.3">
      <c r="A1066" s="9">
        <v>1065</v>
      </c>
      <c r="B1066" s="2" t="s">
        <v>1071</v>
      </c>
      <c r="C1066" s="11">
        <v>30</v>
      </c>
      <c r="D1066" s="12">
        <v>50</v>
      </c>
      <c r="E1066" s="12" t="s">
        <v>8219</v>
      </c>
      <c r="F1066" s="13">
        <v>6</v>
      </c>
      <c r="G1066" s="14">
        <v>1825.27</v>
      </c>
      <c r="H1066" t="s">
        <v>3461</v>
      </c>
      <c r="I1066">
        <v>7</v>
      </c>
    </row>
    <row r="1067" spans="1:9" ht="15.6" x14ac:dyDescent="0.3">
      <c r="A1067" s="9">
        <v>1066</v>
      </c>
      <c r="B1067" s="2" t="s">
        <v>1072</v>
      </c>
      <c r="C1067" s="11">
        <v>28</v>
      </c>
      <c r="D1067" s="12">
        <v>66.666666666666657</v>
      </c>
      <c r="E1067" s="12" t="s">
        <v>8220</v>
      </c>
      <c r="F1067" s="13">
        <v>6</v>
      </c>
      <c r="G1067" s="14">
        <v>1801.2399999999998</v>
      </c>
      <c r="H1067" t="s">
        <v>2437</v>
      </c>
      <c r="I1067">
        <v>7</v>
      </c>
    </row>
    <row r="1068" spans="1:9" ht="15.6" x14ac:dyDescent="0.3">
      <c r="A1068" s="9">
        <v>1067</v>
      </c>
      <c r="B1068" s="2" t="s">
        <v>1073</v>
      </c>
      <c r="C1068" s="11">
        <v>28</v>
      </c>
      <c r="D1068" s="12">
        <v>66.666666666666657</v>
      </c>
      <c r="E1068" s="12" t="s">
        <v>8220</v>
      </c>
      <c r="F1068" s="13">
        <v>6</v>
      </c>
      <c r="G1068" s="14">
        <v>1841.27</v>
      </c>
      <c r="H1068" t="s">
        <v>1413</v>
      </c>
      <c r="I1068">
        <v>7</v>
      </c>
    </row>
    <row r="1069" spans="1:9" ht="15.6" x14ac:dyDescent="0.3">
      <c r="A1069" s="9">
        <v>1068</v>
      </c>
      <c r="B1069" s="2" t="s">
        <v>1074</v>
      </c>
      <c r="C1069" s="11">
        <v>22</v>
      </c>
      <c r="D1069" s="12">
        <v>50</v>
      </c>
      <c r="E1069" s="12" t="s">
        <v>8219</v>
      </c>
      <c r="F1069" s="13">
        <v>6</v>
      </c>
      <c r="G1069" s="14">
        <v>1816.25</v>
      </c>
      <c r="H1069" t="s">
        <v>389</v>
      </c>
      <c r="I1069">
        <v>6</v>
      </c>
    </row>
    <row r="1070" spans="1:9" ht="15.6" x14ac:dyDescent="0.3">
      <c r="A1070" s="9">
        <v>1069</v>
      </c>
      <c r="B1070" s="2" t="s">
        <v>1075</v>
      </c>
      <c r="C1070" s="11">
        <v>24</v>
      </c>
      <c r="D1070" s="12">
        <v>33.333333333333329</v>
      </c>
      <c r="E1070" s="12" t="s">
        <v>8219</v>
      </c>
      <c r="F1070" s="13">
        <v>6</v>
      </c>
      <c r="G1070" s="14">
        <v>1800.25</v>
      </c>
      <c r="H1070" t="s">
        <v>3205</v>
      </c>
      <c r="I1070">
        <v>6</v>
      </c>
    </row>
    <row r="1071" spans="1:9" ht="15.6" x14ac:dyDescent="0.3">
      <c r="A1071" s="9">
        <v>1070</v>
      </c>
      <c r="B1071" s="2" t="s">
        <v>1076</v>
      </c>
      <c r="C1071" s="11">
        <v>22</v>
      </c>
      <c r="D1071" s="12">
        <v>50</v>
      </c>
      <c r="E1071" s="12" t="s">
        <v>8219</v>
      </c>
      <c r="F1071" s="13">
        <v>6</v>
      </c>
      <c r="G1071" s="14">
        <v>1776.2199999999998</v>
      </c>
      <c r="H1071" t="s">
        <v>2181</v>
      </c>
      <c r="I1071">
        <v>6</v>
      </c>
    </row>
    <row r="1072" spans="1:9" ht="15.6" x14ac:dyDescent="0.3">
      <c r="A1072" s="9">
        <v>1071</v>
      </c>
      <c r="B1072" s="2" t="s">
        <v>1077</v>
      </c>
      <c r="C1072" s="11">
        <v>22</v>
      </c>
      <c r="D1072" s="12">
        <v>50</v>
      </c>
      <c r="E1072" s="12" t="s">
        <v>8219</v>
      </c>
      <c r="F1072" s="13">
        <v>6</v>
      </c>
      <c r="G1072" s="14">
        <v>1816.25</v>
      </c>
      <c r="H1072" t="s">
        <v>1157</v>
      </c>
      <c r="I1072">
        <v>6</v>
      </c>
    </row>
    <row r="1073" spans="1:9" ht="15.6" x14ac:dyDescent="0.3">
      <c r="A1073" s="9">
        <v>1072</v>
      </c>
      <c r="B1073" s="2" t="s">
        <v>1078</v>
      </c>
      <c r="C1073" s="11">
        <v>16</v>
      </c>
      <c r="D1073" s="12">
        <v>33.333333333333329</v>
      </c>
      <c r="E1073" s="12" t="s">
        <v>8219</v>
      </c>
      <c r="F1073" s="13">
        <v>6</v>
      </c>
      <c r="G1073" s="14">
        <v>1791.23</v>
      </c>
      <c r="H1073" t="s">
        <v>133</v>
      </c>
      <c r="I1073">
        <v>5</v>
      </c>
    </row>
    <row r="1074" spans="1:9" ht="15.6" x14ac:dyDescent="0.3">
      <c r="A1074" s="9">
        <v>1073</v>
      </c>
      <c r="B1074" s="2" t="s">
        <v>1079</v>
      </c>
      <c r="C1074" s="11">
        <v>26</v>
      </c>
      <c r="D1074" s="12">
        <v>16.666666666666664</v>
      </c>
      <c r="E1074" s="12" t="s">
        <v>8219</v>
      </c>
      <c r="F1074" s="13">
        <v>6</v>
      </c>
      <c r="G1074" s="14">
        <v>1784.25</v>
      </c>
      <c r="H1074" t="s">
        <v>3909</v>
      </c>
      <c r="I1074">
        <v>7</v>
      </c>
    </row>
    <row r="1075" spans="1:9" ht="15.6" x14ac:dyDescent="0.3">
      <c r="A1075" s="9">
        <v>1074</v>
      </c>
      <c r="B1075" s="2" t="s">
        <v>1080</v>
      </c>
      <c r="C1075" s="11">
        <v>24</v>
      </c>
      <c r="D1075" s="12">
        <v>33.333333333333329</v>
      </c>
      <c r="E1075" s="12" t="s">
        <v>8219</v>
      </c>
      <c r="F1075" s="13">
        <v>6</v>
      </c>
      <c r="G1075" s="14">
        <v>1760.2199999999998</v>
      </c>
      <c r="H1075" t="s">
        <v>2885</v>
      </c>
      <c r="I1075">
        <v>6</v>
      </c>
    </row>
    <row r="1076" spans="1:9" ht="15.6" x14ac:dyDescent="0.3">
      <c r="A1076" s="9">
        <v>1075</v>
      </c>
      <c r="B1076" s="2" t="s">
        <v>1081</v>
      </c>
      <c r="C1076" s="11">
        <v>24</v>
      </c>
      <c r="D1076" s="12">
        <v>33.333333333333329</v>
      </c>
      <c r="E1076" s="12" t="s">
        <v>8219</v>
      </c>
      <c r="F1076" s="13">
        <v>6</v>
      </c>
      <c r="G1076" s="14">
        <v>1800.25</v>
      </c>
      <c r="H1076" t="s">
        <v>1861</v>
      </c>
      <c r="I1076">
        <v>6</v>
      </c>
    </row>
    <row r="1077" spans="1:9" ht="15.6" x14ac:dyDescent="0.3">
      <c r="A1077" s="9">
        <v>1076</v>
      </c>
      <c r="B1077" s="2" t="s">
        <v>1082</v>
      </c>
      <c r="C1077" s="11">
        <v>18</v>
      </c>
      <c r="D1077" s="12">
        <v>16.666666666666664</v>
      </c>
      <c r="E1077" s="12" t="s">
        <v>8219</v>
      </c>
      <c r="F1077" s="13">
        <v>6</v>
      </c>
      <c r="G1077" s="14">
        <v>1775.23</v>
      </c>
      <c r="H1077" t="s">
        <v>837</v>
      </c>
      <c r="I1077">
        <v>5</v>
      </c>
    </row>
    <row r="1078" spans="1:9" ht="15.6" x14ac:dyDescent="0.3">
      <c r="A1078" s="9">
        <v>1077</v>
      </c>
      <c r="B1078" s="2" t="s">
        <v>1083</v>
      </c>
      <c r="C1078" s="11">
        <v>24</v>
      </c>
      <c r="D1078" s="12">
        <v>33.333333333333329</v>
      </c>
      <c r="E1078" s="12" t="s">
        <v>8219</v>
      </c>
      <c r="F1078" s="13">
        <v>6</v>
      </c>
      <c r="G1078" s="14">
        <v>1760.2199999999998</v>
      </c>
      <c r="H1078" t="s">
        <v>3653</v>
      </c>
      <c r="I1078">
        <v>6</v>
      </c>
    </row>
    <row r="1079" spans="1:9" ht="15.6" x14ac:dyDescent="0.3">
      <c r="A1079" s="9">
        <v>1078</v>
      </c>
      <c r="B1079" s="2" t="s">
        <v>1084</v>
      </c>
      <c r="C1079" s="11">
        <v>22</v>
      </c>
      <c r="D1079" s="12">
        <v>50</v>
      </c>
      <c r="E1079" s="12" t="s">
        <v>8219</v>
      </c>
      <c r="F1079" s="13">
        <v>6</v>
      </c>
      <c r="G1079" s="14">
        <v>1736.19</v>
      </c>
      <c r="H1079" t="s">
        <v>2629</v>
      </c>
      <c r="I1079">
        <v>6</v>
      </c>
    </row>
    <row r="1080" spans="1:9" ht="15.6" x14ac:dyDescent="0.3">
      <c r="A1080" s="9">
        <v>1079</v>
      </c>
      <c r="B1080" s="2" t="s">
        <v>1085</v>
      </c>
      <c r="C1080" s="11">
        <v>22</v>
      </c>
      <c r="D1080" s="12">
        <v>50</v>
      </c>
      <c r="E1080" s="12" t="s">
        <v>8219</v>
      </c>
      <c r="F1080" s="13">
        <v>6</v>
      </c>
      <c r="G1080" s="14">
        <v>1776.2199999999998</v>
      </c>
      <c r="H1080" t="s">
        <v>1605</v>
      </c>
      <c r="I1080">
        <v>6</v>
      </c>
    </row>
    <row r="1081" spans="1:9" ht="15.6" x14ac:dyDescent="0.3">
      <c r="A1081" s="9">
        <v>1080</v>
      </c>
      <c r="B1081" s="2" t="s">
        <v>1086</v>
      </c>
      <c r="C1081" s="11">
        <v>16</v>
      </c>
      <c r="D1081" s="12">
        <v>33.333333333333329</v>
      </c>
      <c r="E1081" s="12" t="s">
        <v>8219</v>
      </c>
      <c r="F1081" s="13">
        <v>6</v>
      </c>
      <c r="G1081" s="14">
        <v>1751.1999999999998</v>
      </c>
      <c r="H1081" t="s">
        <v>581</v>
      </c>
      <c r="I1081">
        <v>5</v>
      </c>
    </row>
    <row r="1082" spans="1:9" ht="15.6" x14ac:dyDescent="0.3">
      <c r="A1082" s="9">
        <v>1081</v>
      </c>
      <c r="B1082" s="2" t="s">
        <v>1087</v>
      </c>
      <c r="C1082" s="11">
        <v>24</v>
      </c>
      <c r="D1082" s="12">
        <v>33.333333333333329</v>
      </c>
      <c r="E1082" s="12" t="s">
        <v>8219</v>
      </c>
      <c r="F1082" s="13">
        <v>6</v>
      </c>
      <c r="G1082" s="14">
        <v>1800.25</v>
      </c>
      <c r="H1082" t="s">
        <v>3397</v>
      </c>
      <c r="I1082">
        <v>6</v>
      </c>
    </row>
    <row r="1083" spans="1:9" ht="15.6" x14ac:dyDescent="0.3">
      <c r="A1083" s="9">
        <v>1082</v>
      </c>
      <c r="B1083" s="2" t="s">
        <v>1088</v>
      </c>
      <c r="C1083" s="11">
        <v>22</v>
      </c>
      <c r="D1083" s="12">
        <v>50</v>
      </c>
      <c r="E1083" s="12" t="s">
        <v>8219</v>
      </c>
      <c r="F1083" s="13">
        <v>6</v>
      </c>
      <c r="G1083" s="14">
        <v>1776.2199999999998</v>
      </c>
      <c r="H1083" t="s">
        <v>2373</v>
      </c>
      <c r="I1083">
        <v>6</v>
      </c>
    </row>
    <row r="1084" spans="1:9" ht="15.6" x14ac:dyDescent="0.3">
      <c r="A1084" s="9">
        <v>1083</v>
      </c>
      <c r="B1084" s="2" t="s">
        <v>1089</v>
      </c>
      <c r="C1084" s="11">
        <v>22</v>
      </c>
      <c r="D1084" s="12">
        <v>50</v>
      </c>
      <c r="E1084" s="12" t="s">
        <v>8219</v>
      </c>
      <c r="F1084" s="13">
        <v>6</v>
      </c>
      <c r="G1084" s="14">
        <v>1816.25</v>
      </c>
      <c r="H1084" t="s">
        <v>1349</v>
      </c>
      <c r="I1084">
        <v>6</v>
      </c>
    </row>
    <row r="1085" spans="1:9" ht="15.6" x14ac:dyDescent="0.3">
      <c r="A1085" s="9">
        <v>1084</v>
      </c>
      <c r="B1085" s="2" t="s">
        <v>1090</v>
      </c>
      <c r="C1085" s="11">
        <v>16</v>
      </c>
      <c r="D1085" s="12">
        <v>33.333333333333329</v>
      </c>
      <c r="E1085" s="12" t="s">
        <v>8219</v>
      </c>
      <c r="F1085" s="13">
        <v>6</v>
      </c>
      <c r="G1085" s="14">
        <v>1791.23</v>
      </c>
      <c r="H1085" t="s">
        <v>325</v>
      </c>
      <c r="I1085">
        <v>5</v>
      </c>
    </row>
    <row r="1086" spans="1:9" ht="15.6" x14ac:dyDescent="0.3">
      <c r="A1086" s="9">
        <v>1085</v>
      </c>
      <c r="B1086" s="2" t="s">
        <v>1091</v>
      </c>
      <c r="C1086" s="11">
        <v>18</v>
      </c>
      <c r="D1086" s="12">
        <v>16.666666666666664</v>
      </c>
      <c r="E1086" s="12" t="s">
        <v>8219</v>
      </c>
      <c r="F1086" s="13">
        <v>6</v>
      </c>
      <c r="G1086" s="14">
        <v>1775.23</v>
      </c>
      <c r="H1086" t="s">
        <v>3141</v>
      </c>
      <c r="I1086">
        <v>5</v>
      </c>
    </row>
    <row r="1087" spans="1:9" ht="15.6" x14ac:dyDescent="0.3">
      <c r="A1087" s="9">
        <v>1086</v>
      </c>
      <c r="B1087" s="2" t="s">
        <v>1092</v>
      </c>
      <c r="C1087" s="11">
        <v>16</v>
      </c>
      <c r="D1087" s="12">
        <v>33.333333333333329</v>
      </c>
      <c r="E1087" s="12" t="s">
        <v>8219</v>
      </c>
      <c r="F1087" s="13">
        <v>6</v>
      </c>
      <c r="G1087" s="14">
        <v>1751.1999999999998</v>
      </c>
      <c r="H1087" t="s">
        <v>2117</v>
      </c>
      <c r="I1087">
        <v>5</v>
      </c>
    </row>
    <row r="1088" spans="1:9" ht="15.6" x14ac:dyDescent="0.3">
      <c r="A1088" s="9">
        <v>1087</v>
      </c>
      <c r="B1088" s="2" t="s">
        <v>1093</v>
      </c>
      <c r="C1088" s="11">
        <v>16</v>
      </c>
      <c r="D1088" s="12">
        <v>33.333333333333329</v>
      </c>
      <c r="E1088" s="12" t="s">
        <v>8219</v>
      </c>
      <c r="F1088" s="13">
        <v>6</v>
      </c>
      <c r="G1088" s="14">
        <v>1791.23</v>
      </c>
      <c r="H1088" t="s">
        <v>1093</v>
      </c>
      <c r="I1088">
        <v>5</v>
      </c>
    </row>
    <row r="1089" spans="1:9" ht="15.6" x14ac:dyDescent="0.3">
      <c r="A1089" s="9">
        <v>1088</v>
      </c>
      <c r="B1089" s="2" t="s">
        <v>1094</v>
      </c>
      <c r="C1089" s="11">
        <v>10</v>
      </c>
      <c r="D1089" s="12">
        <v>16.666666666666664</v>
      </c>
      <c r="E1089" s="12" t="s">
        <v>8219</v>
      </c>
      <c r="F1089" s="13">
        <v>6</v>
      </c>
      <c r="G1089" s="14">
        <v>1766.21</v>
      </c>
      <c r="H1089" t="s">
        <v>69</v>
      </c>
      <c r="I1089">
        <v>4</v>
      </c>
    </row>
    <row r="1090" spans="1:9" ht="15.6" x14ac:dyDescent="0.3">
      <c r="A1090" s="9">
        <v>1089</v>
      </c>
      <c r="B1090" s="2" t="s">
        <v>1095</v>
      </c>
      <c r="C1090" s="11">
        <v>32</v>
      </c>
      <c r="D1090" s="12">
        <v>33.333333333333329</v>
      </c>
      <c r="E1090" s="12" t="s">
        <v>8219</v>
      </c>
      <c r="F1090" s="13">
        <v>6</v>
      </c>
      <c r="G1090" s="14">
        <v>1769.2399999999998</v>
      </c>
      <c r="H1090" t="s">
        <v>4085</v>
      </c>
      <c r="I1090">
        <v>8</v>
      </c>
    </row>
    <row r="1091" spans="1:9" ht="15.6" x14ac:dyDescent="0.3">
      <c r="A1091" s="9">
        <v>1090</v>
      </c>
      <c r="B1091" s="2" t="s">
        <v>1096</v>
      </c>
      <c r="C1091" s="11">
        <v>30</v>
      </c>
      <c r="D1091" s="12">
        <v>50</v>
      </c>
      <c r="E1091" s="12" t="s">
        <v>8219</v>
      </c>
      <c r="F1091" s="13">
        <v>6</v>
      </c>
      <c r="G1091" s="14">
        <v>1745.21</v>
      </c>
      <c r="H1091" t="s">
        <v>3061</v>
      </c>
      <c r="I1091">
        <v>7</v>
      </c>
    </row>
    <row r="1092" spans="1:9" ht="15.6" x14ac:dyDescent="0.3">
      <c r="A1092" s="9">
        <v>1091</v>
      </c>
      <c r="B1092" s="2" t="s">
        <v>1097</v>
      </c>
      <c r="C1092" s="11">
        <v>30</v>
      </c>
      <c r="D1092" s="12">
        <v>50</v>
      </c>
      <c r="E1092" s="12" t="s">
        <v>8219</v>
      </c>
      <c r="F1092" s="13">
        <v>6</v>
      </c>
      <c r="G1092" s="14">
        <v>1785.2399999999998</v>
      </c>
      <c r="H1092" t="s">
        <v>2037</v>
      </c>
      <c r="I1092">
        <v>7</v>
      </c>
    </row>
    <row r="1093" spans="1:9" ht="15.6" x14ac:dyDescent="0.3">
      <c r="A1093" s="9">
        <v>1092</v>
      </c>
      <c r="B1093" s="2" t="s">
        <v>1098</v>
      </c>
      <c r="C1093" s="11">
        <v>24</v>
      </c>
      <c r="D1093" s="12">
        <v>33.333333333333329</v>
      </c>
      <c r="E1093" s="12" t="s">
        <v>8219</v>
      </c>
      <c r="F1093" s="13">
        <v>6</v>
      </c>
      <c r="G1093" s="14">
        <v>1760.2199999999998</v>
      </c>
      <c r="H1093" t="s">
        <v>1013</v>
      </c>
      <c r="I1093">
        <v>6</v>
      </c>
    </row>
    <row r="1094" spans="1:9" ht="15.6" x14ac:dyDescent="0.3">
      <c r="A1094" s="9">
        <v>1093</v>
      </c>
      <c r="B1094" s="2" t="s">
        <v>1099</v>
      </c>
      <c r="C1094" s="11">
        <v>30</v>
      </c>
      <c r="D1094" s="12">
        <v>50</v>
      </c>
      <c r="E1094" s="12" t="s">
        <v>8219</v>
      </c>
      <c r="F1094" s="13">
        <v>6</v>
      </c>
      <c r="G1094" s="14">
        <v>1745.21</v>
      </c>
      <c r="H1094" t="s">
        <v>3829</v>
      </c>
      <c r="I1094">
        <v>7</v>
      </c>
    </row>
    <row r="1095" spans="1:9" ht="15.6" x14ac:dyDescent="0.3">
      <c r="A1095" s="9">
        <v>1094</v>
      </c>
      <c r="B1095" s="2" t="s">
        <v>1100</v>
      </c>
      <c r="C1095" s="11">
        <v>28</v>
      </c>
      <c r="D1095" s="12">
        <v>66.666666666666657</v>
      </c>
      <c r="E1095" s="12" t="s">
        <v>8220</v>
      </c>
      <c r="F1095" s="13">
        <v>6</v>
      </c>
      <c r="G1095" s="14">
        <v>1721.1799999999998</v>
      </c>
      <c r="H1095" t="s">
        <v>2805</v>
      </c>
      <c r="I1095">
        <v>7</v>
      </c>
    </row>
    <row r="1096" spans="1:9" ht="15.6" x14ac:dyDescent="0.3">
      <c r="A1096" s="9">
        <v>1095</v>
      </c>
      <c r="B1096" s="2" t="s">
        <v>1101</v>
      </c>
      <c r="C1096" s="11">
        <v>28</v>
      </c>
      <c r="D1096" s="12">
        <v>66.666666666666657</v>
      </c>
      <c r="E1096" s="12" t="s">
        <v>8220</v>
      </c>
      <c r="F1096" s="13">
        <v>6</v>
      </c>
      <c r="G1096" s="14">
        <v>1761.21</v>
      </c>
      <c r="H1096" t="s">
        <v>1781</v>
      </c>
      <c r="I1096">
        <v>7</v>
      </c>
    </row>
    <row r="1097" spans="1:9" ht="15.6" x14ac:dyDescent="0.3">
      <c r="A1097" s="9">
        <v>1096</v>
      </c>
      <c r="B1097" s="2" t="s">
        <v>1102</v>
      </c>
      <c r="C1097" s="11">
        <v>22</v>
      </c>
      <c r="D1097" s="12">
        <v>50</v>
      </c>
      <c r="E1097" s="12" t="s">
        <v>8219</v>
      </c>
      <c r="F1097" s="13">
        <v>6</v>
      </c>
      <c r="G1097" s="14">
        <v>1736.19</v>
      </c>
      <c r="H1097" t="s">
        <v>757</v>
      </c>
      <c r="I1097">
        <v>6</v>
      </c>
    </row>
    <row r="1098" spans="1:9" ht="15.6" x14ac:dyDescent="0.3">
      <c r="A1098" s="9">
        <v>1097</v>
      </c>
      <c r="B1098" s="2" t="s">
        <v>1103</v>
      </c>
      <c r="C1098" s="11">
        <v>30</v>
      </c>
      <c r="D1098" s="12">
        <v>50</v>
      </c>
      <c r="E1098" s="12" t="s">
        <v>8219</v>
      </c>
      <c r="F1098" s="13">
        <v>6</v>
      </c>
      <c r="G1098" s="14">
        <v>1785.2399999999998</v>
      </c>
      <c r="H1098" t="s">
        <v>3573</v>
      </c>
      <c r="I1098">
        <v>7</v>
      </c>
    </row>
    <row r="1099" spans="1:9" ht="15.6" x14ac:dyDescent="0.3">
      <c r="A1099" s="9">
        <v>1098</v>
      </c>
      <c r="B1099" s="2" t="s">
        <v>1104</v>
      </c>
      <c r="C1099" s="11">
        <v>28</v>
      </c>
      <c r="D1099" s="12">
        <v>66.666666666666657</v>
      </c>
      <c r="E1099" s="12" t="s">
        <v>8220</v>
      </c>
      <c r="F1099" s="13">
        <v>6</v>
      </c>
      <c r="G1099" s="14">
        <v>1761.21</v>
      </c>
      <c r="H1099" t="s">
        <v>2549</v>
      </c>
      <c r="I1099">
        <v>7</v>
      </c>
    </row>
    <row r="1100" spans="1:9" ht="15.6" x14ac:dyDescent="0.3">
      <c r="A1100" s="9">
        <v>1099</v>
      </c>
      <c r="B1100" s="2" t="s">
        <v>1105</v>
      </c>
      <c r="C1100" s="11">
        <v>28</v>
      </c>
      <c r="D1100" s="12">
        <v>66.666666666666657</v>
      </c>
      <c r="E1100" s="12" t="s">
        <v>8220</v>
      </c>
      <c r="F1100" s="13">
        <v>6</v>
      </c>
      <c r="G1100" s="14">
        <v>1801.2399999999998</v>
      </c>
      <c r="H1100" t="s">
        <v>1525</v>
      </c>
      <c r="I1100">
        <v>7</v>
      </c>
    </row>
    <row r="1101" spans="1:9" ht="15.6" x14ac:dyDescent="0.3">
      <c r="A1101" s="9">
        <v>1100</v>
      </c>
      <c r="B1101" s="2" t="s">
        <v>1106</v>
      </c>
      <c r="C1101" s="11">
        <v>22</v>
      </c>
      <c r="D1101" s="12">
        <v>50</v>
      </c>
      <c r="E1101" s="12" t="s">
        <v>8219</v>
      </c>
      <c r="F1101" s="13">
        <v>6</v>
      </c>
      <c r="G1101" s="14">
        <v>1776.2199999999998</v>
      </c>
      <c r="H1101" t="s">
        <v>501</v>
      </c>
      <c r="I1101">
        <v>6</v>
      </c>
    </row>
    <row r="1102" spans="1:9" ht="15.6" x14ac:dyDescent="0.3">
      <c r="A1102" s="9">
        <v>1101</v>
      </c>
      <c r="B1102" s="2" t="s">
        <v>1107</v>
      </c>
      <c r="C1102" s="11">
        <v>24</v>
      </c>
      <c r="D1102" s="12">
        <v>33.333333333333329</v>
      </c>
      <c r="E1102" s="12" t="s">
        <v>8219</v>
      </c>
      <c r="F1102" s="13">
        <v>6</v>
      </c>
      <c r="G1102" s="14">
        <v>1760.2199999999998</v>
      </c>
      <c r="H1102" t="s">
        <v>3317</v>
      </c>
      <c r="I1102">
        <v>6</v>
      </c>
    </row>
    <row r="1103" spans="1:9" ht="15.6" x14ac:dyDescent="0.3">
      <c r="A1103" s="9">
        <v>1102</v>
      </c>
      <c r="B1103" s="2" t="s">
        <v>1108</v>
      </c>
      <c r="C1103" s="11">
        <v>22</v>
      </c>
      <c r="D1103" s="12">
        <v>50</v>
      </c>
      <c r="E1103" s="12" t="s">
        <v>8219</v>
      </c>
      <c r="F1103" s="13">
        <v>6</v>
      </c>
      <c r="G1103" s="14">
        <v>1736.19</v>
      </c>
      <c r="H1103" t="s">
        <v>2293</v>
      </c>
      <c r="I1103">
        <v>6</v>
      </c>
    </row>
    <row r="1104" spans="1:9" ht="15.6" x14ac:dyDescent="0.3">
      <c r="A1104" s="9">
        <v>1103</v>
      </c>
      <c r="B1104" s="2" t="s">
        <v>1109</v>
      </c>
      <c r="C1104" s="11">
        <v>22</v>
      </c>
      <c r="D1104" s="12">
        <v>50</v>
      </c>
      <c r="E1104" s="12" t="s">
        <v>8219</v>
      </c>
      <c r="F1104" s="13">
        <v>6</v>
      </c>
      <c r="G1104" s="14">
        <v>1776.2199999999998</v>
      </c>
      <c r="H1104" t="s">
        <v>1269</v>
      </c>
      <c r="I1104">
        <v>6</v>
      </c>
    </row>
    <row r="1105" spans="1:9" ht="15.6" x14ac:dyDescent="0.3">
      <c r="A1105" s="9">
        <v>1104</v>
      </c>
      <c r="B1105" s="2" t="s">
        <v>1110</v>
      </c>
      <c r="C1105" s="11">
        <v>16</v>
      </c>
      <c r="D1105" s="12">
        <v>33.333333333333329</v>
      </c>
      <c r="E1105" s="12" t="s">
        <v>8219</v>
      </c>
      <c r="F1105" s="13">
        <v>6</v>
      </c>
      <c r="G1105" s="14">
        <v>1751.1999999999998</v>
      </c>
      <c r="H1105" t="s">
        <v>245</v>
      </c>
      <c r="I1105">
        <v>5</v>
      </c>
    </row>
    <row r="1106" spans="1:9" ht="15.6" x14ac:dyDescent="0.3">
      <c r="A1106" s="9">
        <v>1105</v>
      </c>
      <c r="B1106" s="2" t="s">
        <v>1111</v>
      </c>
      <c r="C1106" s="11">
        <v>30</v>
      </c>
      <c r="D1106" s="12">
        <v>50</v>
      </c>
      <c r="E1106" s="12" t="s">
        <v>8219</v>
      </c>
      <c r="F1106" s="13">
        <v>6</v>
      </c>
      <c r="G1106" s="14">
        <v>1745.21</v>
      </c>
      <c r="H1106" t="s">
        <v>4021</v>
      </c>
      <c r="I1106">
        <v>7</v>
      </c>
    </row>
    <row r="1107" spans="1:9" ht="15.6" x14ac:dyDescent="0.3">
      <c r="A1107" s="9">
        <v>1106</v>
      </c>
      <c r="B1107" s="2" t="s">
        <v>1112</v>
      </c>
      <c r="C1107" s="11">
        <v>28</v>
      </c>
      <c r="D1107" s="12">
        <v>66.666666666666657</v>
      </c>
      <c r="E1107" s="12" t="s">
        <v>8220</v>
      </c>
      <c r="F1107" s="13">
        <v>6</v>
      </c>
      <c r="G1107" s="14">
        <v>1721.1799999999998</v>
      </c>
      <c r="H1107" t="s">
        <v>2997</v>
      </c>
      <c r="I1107">
        <v>7</v>
      </c>
    </row>
    <row r="1108" spans="1:9" ht="15.6" x14ac:dyDescent="0.3">
      <c r="A1108" s="9">
        <v>1107</v>
      </c>
      <c r="B1108" s="2" t="s">
        <v>1113</v>
      </c>
      <c r="C1108" s="11">
        <v>28</v>
      </c>
      <c r="D1108" s="12">
        <v>66.666666666666657</v>
      </c>
      <c r="E1108" s="12" t="s">
        <v>8220</v>
      </c>
      <c r="F1108" s="13">
        <v>6</v>
      </c>
      <c r="G1108" s="14">
        <v>1761.21</v>
      </c>
      <c r="H1108" t="s">
        <v>1973</v>
      </c>
      <c r="I1108">
        <v>7</v>
      </c>
    </row>
    <row r="1109" spans="1:9" ht="15.6" x14ac:dyDescent="0.3">
      <c r="A1109" s="9">
        <v>1108</v>
      </c>
      <c r="B1109" s="2" t="s">
        <v>1114</v>
      </c>
      <c r="C1109" s="11">
        <v>22</v>
      </c>
      <c r="D1109" s="12">
        <v>50</v>
      </c>
      <c r="E1109" s="12" t="s">
        <v>8219</v>
      </c>
      <c r="F1109" s="13">
        <v>6</v>
      </c>
      <c r="G1109" s="14">
        <v>1736.19</v>
      </c>
      <c r="H1109" t="s">
        <v>949</v>
      </c>
      <c r="I1109">
        <v>6</v>
      </c>
    </row>
    <row r="1110" spans="1:9" ht="15.6" x14ac:dyDescent="0.3">
      <c r="A1110" s="9">
        <v>1109</v>
      </c>
      <c r="B1110" s="2" t="s">
        <v>1115</v>
      </c>
      <c r="C1110" s="11">
        <v>28</v>
      </c>
      <c r="D1110" s="12">
        <v>66.666666666666657</v>
      </c>
      <c r="E1110" s="12" t="s">
        <v>8220</v>
      </c>
      <c r="F1110" s="13">
        <v>6</v>
      </c>
      <c r="G1110" s="14">
        <v>1721.1799999999998</v>
      </c>
      <c r="H1110" t="s">
        <v>3765</v>
      </c>
      <c r="I1110">
        <v>7</v>
      </c>
    </row>
    <row r="1111" spans="1:9" ht="15.6" x14ac:dyDescent="0.3">
      <c r="A1111" s="9">
        <v>1110</v>
      </c>
      <c r="B1111" s="2" t="s">
        <v>1116</v>
      </c>
      <c r="C1111" s="11">
        <v>26</v>
      </c>
      <c r="D1111" s="12">
        <v>83.333333333333343</v>
      </c>
      <c r="E1111" s="12" t="s">
        <v>8220</v>
      </c>
      <c r="F1111" s="13">
        <v>6</v>
      </c>
      <c r="G1111" s="14">
        <v>1697.15</v>
      </c>
      <c r="H1111" t="s">
        <v>2741</v>
      </c>
      <c r="I1111">
        <v>7</v>
      </c>
    </row>
    <row r="1112" spans="1:9" ht="15.6" x14ac:dyDescent="0.3">
      <c r="A1112" s="9">
        <v>1111</v>
      </c>
      <c r="B1112" s="2" t="s">
        <v>1117</v>
      </c>
      <c r="C1112" s="11">
        <v>26</v>
      </c>
      <c r="D1112" s="12">
        <v>83.333333333333343</v>
      </c>
      <c r="E1112" s="12" t="s">
        <v>8220</v>
      </c>
      <c r="F1112" s="13">
        <v>6</v>
      </c>
      <c r="G1112" s="14">
        <v>1737.1799999999998</v>
      </c>
      <c r="H1112" t="s">
        <v>1717</v>
      </c>
      <c r="I1112">
        <v>7</v>
      </c>
    </row>
    <row r="1113" spans="1:9" ht="15.6" x14ac:dyDescent="0.3">
      <c r="A1113" s="9">
        <v>1112</v>
      </c>
      <c r="B1113" s="2" t="s">
        <v>1118</v>
      </c>
      <c r="C1113" s="11">
        <v>20</v>
      </c>
      <c r="D1113" s="12">
        <v>66.666666666666657</v>
      </c>
      <c r="E1113" s="12" t="s">
        <v>8220</v>
      </c>
      <c r="F1113" s="13">
        <v>6</v>
      </c>
      <c r="G1113" s="14">
        <v>1712.1599999999999</v>
      </c>
      <c r="H1113" t="s">
        <v>693</v>
      </c>
      <c r="I1113">
        <v>6</v>
      </c>
    </row>
    <row r="1114" spans="1:9" ht="15.6" x14ac:dyDescent="0.3">
      <c r="A1114" s="9">
        <v>1113</v>
      </c>
      <c r="B1114" s="2" t="s">
        <v>1119</v>
      </c>
      <c r="C1114" s="11">
        <v>28</v>
      </c>
      <c r="D1114" s="12">
        <v>66.666666666666657</v>
      </c>
      <c r="E1114" s="12" t="s">
        <v>8220</v>
      </c>
      <c r="F1114" s="13">
        <v>6</v>
      </c>
      <c r="G1114" s="14">
        <v>1761.21</v>
      </c>
      <c r="H1114" t="s">
        <v>3509</v>
      </c>
      <c r="I1114">
        <v>7</v>
      </c>
    </row>
    <row r="1115" spans="1:9" ht="15.6" x14ac:dyDescent="0.3">
      <c r="A1115" s="9">
        <v>1114</v>
      </c>
      <c r="B1115" s="2" t="s">
        <v>1120</v>
      </c>
      <c r="C1115" s="11">
        <v>26</v>
      </c>
      <c r="D1115" s="12">
        <v>83.333333333333343</v>
      </c>
      <c r="E1115" s="12" t="s">
        <v>8220</v>
      </c>
      <c r="F1115" s="13">
        <v>6</v>
      </c>
      <c r="G1115" s="14">
        <v>1737.1799999999998</v>
      </c>
      <c r="H1115" t="s">
        <v>2485</v>
      </c>
      <c r="I1115">
        <v>7</v>
      </c>
    </row>
    <row r="1116" spans="1:9" ht="15.6" x14ac:dyDescent="0.3">
      <c r="A1116" s="9">
        <v>1115</v>
      </c>
      <c r="B1116" s="2" t="s">
        <v>1121</v>
      </c>
      <c r="C1116" s="11">
        <v>26</v>
      </c>
      <c r="D1116" s="12">
        <v>83.333333333333343</v>
      </c>
      <c r="E1116" s="12" t="s">
        <v>8220</v>
      </c>
      <c r="F1116" s="13">
        <v>6</v>
      </c>
      <c r="G1116" s="14">
        <v>1777.21</v>
      </c>
      <c r="H1116" t="s">
        <v>1461</v>
      </c>
      <c r="I1116">
        <v>7</v>
      </c>
    </row>
    <row r="1117" spans="1:9" ht="15.6" x14ac:dyDescent="0.3">
      <c r="A1117" s="9">
        <v>1116</v>
      </c>
      <c r="B1117" s="2" t="s">
        <v>1122</v>
      </c>
      <c r="C1117" s="11">
        <v>20</v>
      </c>
      <c r="D1117" s="12">
        <v>66.666666666666657</v>
      </c>
      <c r="E1117" s="12" t="s">
        <v>8220</v>
      </c>
      <c r="F1117" s="13">
        <v>6</v>
      </c>
      <c r="G1117" s="14">
        <v>1752.19</v>
      </c>
      <c r="H1117" t="s">
        <v>437</v>
      </c>
      <c r="I1117">
        <v>6</v>
      </c>
    </row>
    <row r="1118" spans="1:9" ht="15.6" x14ac:dyDescent="0.3">
      <c r="A1118" s="9">
        <v>1117</v>
      </c>
      <c r="B1118" s="2" t="s">
        <v>1123</v>
      </c>
      <c r="C1118" s="11">
        <v>22</v>
      </c>
      <c r="D1118" s="12">
        <v>50</v>
      </c>
      <c r="E1118" s="12" t="s">
        <v>8219</v>
      </c>
      <c r="F1118" s="13">
        <v>6</v>
      </c>
      <c r="G1118" s="14">
        <v>1736.19</v>
      </c>
      <c r="H1118" t="s">
        <v>3253</v>
      </c>
      <c r="I1118">
        <v>6</v>
      </c>
    </row>
    <row r="1119" spans="1:9" ht="15.6" x14ac:dyDescent="0.3">
      <c r="A1119" s="9">
        <v>1118</v>
      </c>
      <c r="B1119" s="2" t="s">
        <v>1124</v>
      </c>
      <c r="C1119" s="11">
        <v>20</v>
      </c>
      <c r="D1119" s="12">
        <v>66.666666666666657</v>
      </c>
      <c r="E1119" s="12" t="s">
        <v>8220</v>
      </c>
      <c r="F1119" s="13">
        <v>6</v>
      </c>
      <c r="G1119" s="14">
        <v>1712.1599999999999</v>
      </c>
      <c r="H1119" t="s">
        <v>2229</v>
      </c>
      <c r="I1119">
        <v>6</v>
      </c>
    </row>
    <row r="1120" spans="1:9" ht="15.6" x14ac:dyDescent="0.3">
      <c r="A1120" s="9">
        <v>1119</v>
      </c>
      <c r="B1120" s="2" t="s">
        <v>1125</v>
      </c>
      <c r="C1120" s="11">
        <v>20</v>
      </c>
      <c r="D1120" s="12">
        <v>66.666666666666657</v>
      </c>
      <c r="E1120" s="12" t="s">
        <v>8220</v>
      </c>
      <c r="F1120" s="13">
        <v>6</v>
      </c>
      <c r="G1120" s="14">
        <v>1752.19</v>
      </c>
      <c r="H1120" t="s">
        <v>1205</v>
      </c>
      <c r="I1120">
        <v>6</v>
      </c>
    </row>
    <row r="1121" spans="1:9" ht="15.6" x14ac:dyDescent="0.3">
      <c r="A1121" s="9">
        <v>1120</v>
      </c>
      <c r="B1121" s="2" t="s">
        <v>1126</v>
      </c>
      <c r="C1121" s="11">
        <v>14</v>
      </c>
      <c r="D1121" s="12">
        <v>50</v>
      </c>
      <c r="E1121" s="12" t="s">
        <v>8219</v>
      </c>
      <c r="F1121" s="13">
        <v>6</v>
      </c>
      <c r="G1121" s="14">
        <v>1727.17</v>
      </c>
      <c r="H1121" t="s">
        <v>181</v>
      </c>
      <c r="I1121">
        <v>5</v>
      </c>
    </row>
    <row r="1122" spans="1:9" ht="15.6" x14ac:dyDescent="0.3">
      <c r="A1122" s="9">
        <v>1121</v>
      </c>
      <c r="B1122" s="2" t="s">
        <v>1127</v>
      </c>
      <c r="C1122" s="11">
        <v>30</v>
      </c>
      <c r="D1122" s="12">
        <v>50</v>
      </c>
      <c r="E1122" s="12" t="s">
        <v>8219</v>
      </c>
      <c r="F1122" s="13">
        <v>6</v>
      </c>
      <c r="G1122" s="14">
        <v>1785.2399999999998</v>
      </c>
      <c r="H1122" t="s">
        <v>3957</v>
      </c>
      <c r="I1122">
        <v>7</v>
      </c>
    </row>
    <row r="1123" spans="1:9" ht="15.6" x14ac:dyDescent="0.3">
      <c r="A1123" s="9">
        <v>1122</v>
      </c>
      <c r="B1123" s="2" t="s">
        <v>1128</v>
      </c>
      <c r="C1123" s="11">
        <v>28</v>
      </c>
      <c r="D1123" s="12">
        <v>66.666666666666657</v>
      </c>
      <c r="E1123" s="12" t="s">
        <v>8220</v>
      </c>
      <c r="F1123" s="13">
        <v>6</v>
      </c>
      <c r="G1123" s="14">
        <v>1761.21</v>
      </c>
      <c r="H1123" t="s">
        <v>2933</v>
      </c>
      <c r="I1123">
        <v>7</v>
      </c>
    </row>
    <row r="1124" spans="1:9" ht="15.6" x14ac:dyDescent="0.3">
      <c r="A1124" s="9">
        <v>1123</v>
      </c>
      <c r="B1124" s="2" t="s">
        <v>1129</v>
      </c>
      <c r="C1124" s="11">
        <v>28</v>
      </c>
      <c r="D1124" s="12">
        <v>66.666666666666657</v>
      </c>
      <c r="E1124" s="12" t="s">
        <v>8220</v>
      </c>
      <c r="F1124" s="13">
        <v>6</v>
      </c>
      <c r="G1124" s="14">
        <v>1801.2399999999998</v>
      </c>
      <c r="H1124" t="s">
        <v>1909</v>
      </c>
      <c r="I1124">
        <v>7</v>
      </c>
    </row>
    <row r="1125" spans="1:9" ht="15.6" x14ac:dyDescent="0.3">
      <c r="A1125" s="9">
        <v>1124</v>
      </c>
      <c r="B1125" s="2" t="s">
        <v>1130</v>
      </c>
      <c r="C1125" s="11">
        <v>22</v>
      </c>
      <c r="D1125" s="12">
        <v>50</v>
      </c>
      <c r="E1125" s="12" t="s">
        <v>8219</v>
      </c>
      <c r="F1125" s="13">
        <v>6</v>
      </c>
      <c r="G1125" s="14">
        <v>1776.2199999999998</v>
      </c>
      <c r="H1125" t="s">
        <v>885</v>
      </c>
      <c r="I1125">
        <v>6</v>
      </c>
    </row>
    <row r="1126" spans="1:9" ht="15.6" x14ac:dyDescent="0.3">
      <c r="A1126" s="9">
        <v>1125</v>
      </c>
      <c r="B1126" s="2" t="s">
        <v>1131</v>
      </c>
      <c r="C1126" s="11">
        <v>28</v>
      </c>
      <c r="D1126" s="12">
        <v>66.666666666666657</v>
      </c>
      <c r="E1126" s="12" t="s">
        <v>8220</v>
      </c>
      <c r="F1126" s="13">
        <v>6</v>
      </c>
      <c r="G1126" s="14">
        <v>1761.21</v>
      </c>
      <c r="H1126" t="s">
        <v>3701</v>
      </c>
      <c r="I1126">
        <v>7</v>
      </c>
    </row>
    <row r="1127" spans="1:9" ht="15.6" x14ac:dyDescent="0.3">
      <c r="A1127" s="9">
        <v>1126</v>
      </c>
      <c r="B1127" s="2" t="s">
        <v>1132</v>
      </c>
      <c r="C1127" s="11">
        <v>26</v>
      </c>
      <c r="D1127" s="12">
        <v>83.333333333333343</v>
      </c>
      <c r="E1127" s="12" t="s">
        <v>8220</v>
      </c>
      <c r="F1127" s="13">
        <v>6</v>
      </c>
      <c r="G1127" s="14">
        <v>1737.1799999999998</v>
      </c>
      <c r="H1127" t="s">
        <v>2677</v>
      </c>
      <c r="I1127">
        <v>7</v>
      </c>
    </row>
    <row r="1128" spans="1:9" ht="15.6" x14ac:dyDescent="0.3">
      <c r="A1128" s="9">
        <v>1127</v>
      </c>
      <c r="B1128" s="2" t="s">
        <v>1133</v>
      </c>
      <c r="C1128" s="11">
        <v>26</v>
      </c>
      <c r="D1128" s="12">
        <v>83.333333333333343</v>
      </c>
      <c r="E1128" s="12" t="s">
        <v>8220</v>
      </c>
      <c r="F1128" s="13">
        <v>6</v>
      </c>
      <c r="G1128" s="14">
        <v>1777.21</v>
      </c>
      <c r="H1128" t="s">
        <v>1653</v>
      </c>
      <c r="I1128">
        <v>7</v>
      </c>
    </row>
    <row r="1129" spans="1:9" ht="15.6" x14ac:dyDescent="0.3">
      <c r="A1129" s="9">
        <v>1128</v>
      </c>
      <c r="B1129" s="2" t="s">
        <v>1134</v>
      </c>
      <c r="C1129" s="11">
        <v>20</v>
      </c>
      <c r="D1129" s="12">
        <v>66.666666666666657</v>
      </c>
      <c r="E1129" s="12" t="s">
        <v>8220</v>
      </c>
      <c r="F1129" s="13">
        <v>6</v>
      </c>
      <c r="G1129" s="14">
        <v>1752.19</v>
      </c>
      <c r="H1129" t="s">
        <v>629</v>
      </c>
      <c r="I1129">
        <v>6</v>
      </c>
    </row>
    <row r="1130" spans="1:9" ht="15.6" x14ac:dyDescent="0.3">
      <c r="A1130" s="9">
        <v>1129</v>
      </c>
      <c r="B1130" s="2" t="s">
        <v>1135</v>
      </c>
      <c r="C1130" s="11">
        <v>28</v>
      </c>
      <c r="D1130" s="12">
        <v>66.666666666666657</v>
      </c>
      <c r="E1130" s="12" t="s">
        <v>8220</v>
      </c>
      <c r="F1130" s="13">
        <v>6</v>
      </c>
      <c r="G1130" s="14">
        <v>1801.2399999999998</v>
      </c>
      <c r="H1130" t="s">
        <v>3445</v>
      </c>
      <c r="I1130">
        <v>7</v>
      </c>
    </row>
    <row r="1131" spans="1:9" ht="15.6" x14ac:dyDescent="0.3">
      <c r="A1131" s="9">
        <v>1130</v>
      </c>
      <c r="B1131" s="2" t="s">
        <v>1136</v>
      </c>
      <c r="C1131" s="11">
        <v>26</v>
      </c>
      <c r="D1131" s="12">
        <v>83.333333333333343</v>
      </c>
      <c r="E1131" s="12" t="s">
        <v>8220</v>
      </c>
      <c r="F1131" s="13">
        <v>6</v>
      </c>
      <c r="G1131" s="14">
        <v>1777.21</v>
      </c>
      <c r="H1131" t="s">
        <v>2421</v>
      </c>
      <c r="I1131">
        <v>7</v>
      </c>
    </row>
    <row r="1132" spans="1:9" ht="15.6" x14ac:dyDescent="0.3">
      <c r="A1132" s="9">
        <v>1131</v>
      </c>
      <c r="B1132" s="2" t="s">
        <v>1137</v>
      </c>
      <c r="C1132" s="11">
        <v>26</v>
      </c>
      <c r="D1132" s="12">
        <v>83.333333333333343</v>
      </c>
      <c r="E1132" s="12" t="s">
        <v>8220</v>
      </c>
      <c r="F1132" s="13">
        <v>6</v>
      </c>
      <c r="G1132" s="14">
        <v>1817.2400000000002</v>
      </c>
      <c r="H1132" t="s">
        <v>1397</v>
      </c>
      <c r="I1132">
        <v>7</v>
      </c>
    </row>
    <row r="1133" spans="1:9" ht="15.6" x14ac:dyDescent="0.3">
      <c r="A1133" s="9">
        <v>1132</v>
      </c>
      <c r="B1133" s="2" t="s">
        <v>1138</v>
      </c>
      <c r="C1133" s="11">
        <v>20</v>
      </c>
      <c r="D1133" s="12">
        <v>66.666666666666657</v>
      </c>
      <c r="E1133" s="12" t="s">
        <v>8220</v>
      </c>
      <c r="F1133" s="13">
        <v>6</v>
      </c>
      <c r="G1133" s="14">
        <v>1792.2199999999998</v>
      </c>
      <c r="H1133" t="s">
        <v>373</v>
      </c>
      <c r="I1133">
        <v>6</v>
      </c>
    </row>
    <row r="1134" spans="1:9" ht="15.6" x14ac:dyDescent="0.3">
      <c r="A1134" s="9">
        <v>1133</v>
      </c>
      <c r="B1134" s="2" t="s">
        <v>1139</v>
      </c>
      <c r="C1134" s="11">
        <v>22</v>
      </c>
      <c r="D1134" s="12">
        <v>50</v>
      </c>
      <c r="E1134" s="12" t="s">
        <v>8219</v>
      </c>
      <c r="F1134" s="13">
        <v>6</v>
      </c>
      <c r="G1134" s="14">
        <v>1776.2199999999998</v>
      </c>
      <c r="H1134" t="s">
        <v>3189</v>
      </c>
      <c r="I1134">
        <v>6</v>
      </c>
    </row>
    <row r="1135" spans="1:9" ht="15.6" x14ac:dyDescent="0.3">
      <c r="A1135" s="9">
        <v>1134</v>
      </c>
      <c r="B1135" s="2" t="s">
        <v>1140</v>
      </c>
      <c r="C1135" s="11">
        <v>20</v>
      </c>
      <c r="D1135" s="12">
        <v>66.666666666666657</v>
      </c>
      <c r="E1135" s="12" t="s">
        <v>8220</v>
      </c>
      <c r="F1135" s="13">
        <v>6</v>
      </c>
      <c r="G1135" s="14">
        <v>1752.19</v>
      </c>
      <c r="H1135" t="s">
        <v>2165</v>
      </c>
      <c r="I1135">
        <v>6</v>
      </c>
    </row>
    <row r="1136" spans="1:9" ht="15.6" x14ac:dyDescent="0.3">
      <c r="A1136" s="9">
        <v>1135</v>
      </c>
      <c r="B1136" s="2" t="s">
        <v>1141</v>
      </c>
      <c r="C1136" s="11">
        <v>20</v>
      </c>
      <c r="D1136" s="12">
        <v>66.666666666666657</v>
      </c>
      <c r="E1136" s="12" t="s">
        <v>8220</v>
      </c>
      <c r="F1136" s="13">
        <v>6</v>
      </c>
      <c r="G1136" s="14">
        <v>1792.2199999999998</v>
      </c>
      <c r="H1136" t="s">
        <v>1141</v>
      </c>
      <c r="I1136">
        <v>6</v>
      </c>
    </row>
    <row r="1137" spans="1:9" ht="15.6" x14ac:dyDescent="0.3">
      <c r="A1137" s="9">
        <v>1136</v>
      </c>
      <c r="B1137" s="2" t="s">
        <v>1142</v>
      </c>
      <c r="C1137" s="11">
        <v>14</v>
      </c>
      <c r="D1137" s="12">
        <v>50</v>
      </c>
      <c r="E1137" s="12" t="s">
        <v>8219</v>
      </c>
      <c r="F1137" s="13">
        <v>6</v>
      </c>
      <c r="G1137" s="14">
        <v>1767.1999999999998</v>
      </c>
      <c r="H1137" t="s">
        <v>117</v>
      </c>
      <c r="I1137">
        <v>5</v>
      </c>
    </row>
    <row r="1138" spans="1:9" ht="15.6" x14ac:dyDescent="0.3">
      <c r="A1138" s="9">
        <v>1137</v>
      </c>
      <c r="B1138" s="2" t="s">
        <v>1143</v>
      </c>
      <c r="C1138" s="11">
        <v>24</v>
      </c>
      <c r="D1138" s="12">
        <v>33.333333333333329</v>
      </c>
      <c r="E1138" s="12" t="s">
        <v>8219</v>
      </c>
      <c r="F1138" s="13">
        <v>6</v>
      </c>
      <c r="G1138" s="14">
        <v>1760.2199999999998</v>
      </c>
      <c r="H1138" t="s">
        <v>3893</v>
      </c>
      <c r="I1138">
        <v>6</v>
      </c>
    </row>
    <row r="1139" spans="1:9" ht="15.6" x14ac:dyDescent="0.3">
      <c r="A1139" s="9">
        <v>1138</v>
      </c>
      <c r="B1139" s="2" t="s">
        <v>1144</v>
      </c>
      <c r="C1139" s="11">
        <v>22</v>
      </c>
      <c r="D1139" s="12">
        <v>50</v>
      </c>
      <c r="E1139" s="12" t="s">
        <v>8219</v>
      </c>
      <c r="F1139" s="13">
        <v>6</v>
      </c>
      <c r="G1139" s="14">
        <v>1736.19</v>
      </c>
      <c r="H1139" t="s">
        <v>2869</v>
      </c>
      <c r="I1139">
        <v>6</v>
      </c>
    </row>
    <row r="1140" spans="1:9" ht="15.6" x14ac:dyDescent="0.3">
      <c r="A1140" s="9">
        <v>1139</v>
      </c>
      <c r="B1140" s="2" t="s">
        <v>1145</v>
      </c>
      <c r="C1140" s="11">
        <v>22</v>
      </c>
      <c r="D1140" s="12">
        <v>50</v>
      </c>
      <c r="E1140" s="12" t="s">
        <v>8219</v>
      </c>
      <c r="F1140" s="13">
        <v>6</v>
      </c>
      <c r="G1140" s="14">
        <v>1776.2199999999998</v>
      </c>
      <c r="H1140" t="s">
        <v>1845</v>
      </c>
      <c r="I1140">
        <v>6</v>
      </c>
    </row>
    <row r="1141" spans="1:9" ht="15.6" x14ac:dyDescent="0.3">
      <c r="A1141" s="9">
        <v>1140</v>
      </c>
      <c r="B1141" s="2" t="s">
        <v>1146</v>
      </c>
      <c r="C1141" s="11">
        <v>16</v>
      </c>
      <c r="D1141" s="12">
        <v>33.333333333333329</v>
      </c>
      <c r="E1141" s="12" t="s">
        <v>8219</v>
      </c>
      <c r="F1141" s="13">
        <v>6</v>
      </c>
      <c r="G1141" s="14">
        <v>1751.1999999999998</v>
      </c>
      <c r="H1141" t="s">
        <v>821</v>
      </c>
      <c r="I1141">
        <v>5</v>
      </c>
    </row>
    <row r="1142" spans="1:9" ht="15.6" x14ac:dyDescent="0.3">
      <c r="A1142" s="9">
        <v>1141</v>
      </c>
      <c r="B1142" s="2" t="s">
        <v>1147</v>
      </c>
      <c r="C1142" s="11">
        <v>22</v>
      </c>
      <c r="D1142" s="12">
        <v>50</v>
      </c>
      <c r="E1142" s="12" t="s">
        <v>8219</v>
      </c>
      <c r="F1142" s="13">
        <v>6</v>
      </c>
      <c r="G1142" s="14">
        <v>1736.19</v>
      </c>
      <c r="H1142" t="s">
        <v>3637</v>
      </c>
      <c r="I1142">
        <v>6</v>
      </c>
    </row>
    <row r="1143" spans="1:9" ht="15.6" x14ac:dyDescent="0.3">
      <c r="A1143" s="9">
        <v>1142</v>
      </c>
      <c r="B1143" s="2" t="s">
        <v>1148</v>
      </c>
      <c r="C1143" s="11">
        <v>20</v>
      </c>
      <c r="D1143" s="12">
        <v>66.666666666666657</v>
      </c>
      <c r="E1143" s="12" t="s">
        <v>8220</v>
      </c>
      <c r="F1143" s="13">
        <v>6</v>
      </c>
      <c r="G1143" s="14">
        <v>1712.1599999999999</v>
      </c>
      <c r="H1143" t="s">
        <v>2613</v>
      </c>
      <c r="I1143">
        <v>6</v>
      </c>
    </row>
    <row r="1144" spans="1:9" ht="15.6" x14ac:dyDescent="0.3">
      <c r="A1144" s="9">
        <v>1143</v>
      </c>
      <c r="B1144" s="2" t="s">
        <v>1149</v>
      </c>
      <c r="C1144" s="11">
        <v>20</v>
      </c>
      <c r="D1144" s="12">
        <v>66.666666666666657</v>
      </c>
      <c r="E1144" s="12" t="s">
        <v>8220</v>
      </c>
      <c r="F1144" s="13">
        <v>6</v>
      </c>
      <c r="G1144" s="14">
        <v>1752.19</v>
      </c>
      <c r="H1144" t="s">
        <v>1589</v>
      </c>
      <c r="I1144">
        <v>6</v>
      </c>
    </row>
    <row r="1145" spans="1:9" ht="15.6" x14ac:dyDescent="0.3">
      <c r="A1145" s="9">
        <v>1144</v>
      </c>
      <c r="B1145" s="2" t="s">
        <v>1150</v>
      </c>
      <c r="C1145" s="11">
        <v>14</v>
      </c>
      <c r="D1145" s="12">
        <v>50</v>
      </c>
      <c r="E1145" s="12" t="s">
        <v>8219</v>
      </c>
      <c r="F1145" s="13">
        <v>6</v>
      </c>
      <c r="G1145" s="14">
        <v>1727.17</v>
      </c>
      <c r="H1145" t="s">
        <v>565</v>
      </c>
      <c r="I1145">
        <v>5</v>
      </c>
    </row>
    <row r="1146" spans="1:9" ht="15.6" x14ac:dyDescent="0.3">
      <c r="A1146" s="9">
        <v>1145</v>
      </c>
      <c r="B1146" s="2" t="s">
        <v>1151</v>
      </c>
      <c r="C1146" s="11">
        <v>22</v>
      </c>
      <c r="D1146" s="12">
        <v>50</v>
      </c>
      <c r="E1146" s="12" t="s">
        <v>8219</v>
      </c>
      <c r="F1146" s="13">
        <v>6</v>
      </c>
      <c r="G1146" s="14">
        <v>1776.2199999999998</v>
      </c>
      <c r="H1146" t="s">
        <v>3381</v>
      </c>
      <c r="I1146">
        <v>6</v>
      </c>
    </row>
    <row r="1147" spans="1:9" ht="15.6" x14ac:dyDescent="0.3">
      <c r="A1147" s="9">
        <v>1146</v>
      </c>
      <c r="B1147" s="2" t="s">
        <v>1152</v>
      </c>
      <c r="C1147" s="11">
        <v>20</v>
      </c>
      <c r="D1147" s="12">
        <v>66.666666666666657</v>
      </c>
      <c r="E1147" s="12" t="s">
        <v>8220</v>
      </c>
      <c r="F1147" s="13">
        <v>6</v>
      </c>
      <c r="G1147" s="14">
        <v>1752.19</v>
      </c>
      <c r="H1147" t="s">
        <v>2357</v>
      </c>
      <c r="I1147">
        <v>6</v>
      </c>
    </row>
    <row r="1148" spans="1:9" ht="15.6" x14ac:dyDescent="0.3">
      <c r="A1148" s="9">
        <v>1147</v>
      </c>
      <c r="B1148" s="2" t="s">
        <v>1153</v>
      </c>
      <c r="C1148" s="11">
        <v>20</v>
      </c>
      <c r="D1148" s="12">
        <v>66.666666666666657</v>
      </c>
      <c r="E1148" s="12" t="s">
        <v>8220</v>
      </c>
      <c r="F1148" s="13">
        <v>6</v>
      </c>
      <c r="G1148" s="14">
        <v>1792.2199999999998</v>
      </c>
      <c r="H1148" t="s">
        <v>1333</v>
      </c>
      <c r="I1148">
        <v>6</v>
      </c>
    </row>
    <row r="1149" spans="1:9" ht="15.6" x14ac:dyDescent="0.3">
      <c r="A1149" s="9">
        <v>1148</v>
      </c>
      <c r="B1149" s="2" t="s">
        <v>1154</v>
      </c>
      <c r="C1149" s="11">
        <v>14</v>
      </c>
      <c r="D1149" s="12">
        <v>50</v>
      </c>
      <c r="E1149" s="12" t="s">
        <v>8219</v>
      </c>
      <c r="F1149" s="13">
        <v>6</v>
      </c>
      <c r="G1149" s="14">
        <v>1767.1999999999998</v>
      </c>
      <c r="H1149" t="s">
        <v>309</v>
      </c>
      <c r="I1149">
        <v>5</v>
      </c>
    </row>
    <row r="1150" spans="1:9" ht="15.6" x14ac:dyDescent="0.3">
      <c r="A1150" s="9">
        <v>1149</v>
      </c>
      <c r="B1150" s="2" t="s">
        <v>1155</v>
      </c>
      <c r="C1150" s="11">
        <v>16</v>
      </c>
      <c r="D1150" s="12">
        <v>33.333333333333329</v>
      </c>
      <c r="E1150" s="12" t="s">
        <v>8219</v>
      </c>
      <c r="F1150" s="13">
        <v>6</v>
      </c>
      <c r="G1150" s="14">
        <v>1751.1999999999998</v>
      </c>
      <c r="H1150" t="s">
        <v>3125</v>
      </c>
      <c r="I1150">
        <v>5</v>
      </c>
    </row>
    <row r="1151" spans="1:9" ht="15.6" x14ac:dyDescent="0.3">
      <c r="A1151" s="9">
        <v>1150</v>
      </c>
      <c r="B1151" s="2" t="s">
        <v>1156</v>
      </c>
      <c r="C1151" s="11">
        <v>14</v>
      </c>
      <c r="D1151" s="12">
        <v>50</v>
      </c>
      <c r="E1151" s="12" t="s">
        <v>8219</v>
      </c>
      <c r="F1151" s="13">
        <v>6</v>
      </c>
      <c r="G1151" s="14">
        <v>1727.17</v>
      </c>
      <c r="H1151" t="s">
        <v>2101</v>
      </c>
      <c r="I1151">
        <v>5</v>
      </c>
    </row>
    <row r="1152" spans="1:9" ht="15.6" x14ac:dyDescent="0.3">
      <c r="A1152" s="9">
        <v>1151</v>
      </c>
      <c r="B1152" s="2" t="s">
        <v>1157</v>
      </c>
      <c r="C1152" s="11">
        <v>14</v>
      </c>
      <c r="D1152" s="12">
        <v>50</v>
      </c>
      <c r="E1152" s="12" t="s">
        <v>8219</v>
      </c>
      <c r="F1152" s="13">
        <v>6</v>
      </c>
      <c r="G1152" s="14">
        <v>1767.1999999999998</v>
      </c>
      <c r="H1152" t="s">
        <v>1077</v>
      </c>
      <c r="I1152">
        <v>5</v>
      </c>
    </row>
    <row r="1153" spans="1:9" ht="15.6" x14ac:dyDescent="0.3">
      <c r="A1153" s="9">
        <v>1152</v>
      </c>
      <c r="B1153" s="2" t="s">
        <v>1158</v>
      </c>
      <c r="C1153" s="11">
        <v>8</v>
      </c>
      <c r="D1153" s="12">
        <v>33.333333333333329</v>
      </c>
      <c r="E1153" s="12" t="s">
        <v>8219</v>
      </c>
      <c r="F1153" s="13">
        <v>6</v>
      </c>
      <c r="G1153" s="14">
        <v>1742.1799999999998</v>
      </c>
      <c r="H1153" t="s">
        <v>53</v>
      </c>
      <c r="I1153">
        <v>4</v>
      </c>
    </row>
    <row r="1154" spans="1:9" ht="15.6" x14ac:dyDescent="0.3">
      <c r="A1154" s="9">
        <v>1153</v>
      </c>
      <c r="B1154" s="2" t="s">
        <v>1159</v>
      </c>
      <c r="C1154" s="11">
        <v>32</v>
      </c>
      <c r="D1154" s="12">
        <v>33.333333333333329</v>
      </c>
      <c r="E1154" s="12" t="s">
        <v>8219</v>
      </c>
      <c r="F1154" s="13">
        <v>6</v>
      </c>
      <c r="G1154" s="14">
        <v>1809.27</v>
      </c>
      <c r="H1154" t="s">
        <v>4069</v>
      </c>
      <c r="I1154">
        <v>8</v>
      </c>
    </row>
    <row r="1155" spans="1:9" ht="15.6" x14ac:dyDescent="0.3">
      <c r="A1155" s="9">
        <v>1154</v>
      </c>
      <c r="B1155" s="2" t="s">
        <v>1160</v>
      </c>
      <c r="C1155" s="11">
        <v>30</v>
      </c>
      <c r="D1155" s="12">
        <v>50</v>
      </c>
      <c r="E1155" s="12" t="s">
        <v>8219</v>
      </c>
      <c r="F1155" s="13">
        <v>6</v>
      </c>
      <c r="G1155" s="14">
        <v>1785.2399999999998</v>
      </c>
      <c r="H1155" t="s">
        <v>3045</v>
      </c>
      <c r="I1155">
        <v>7</v>
      </c>
    </row>
    <row r="1156" spans="1:9" ht="15.6" x14ac:dyDescent="0.3">
      <c r="A1156" s="9">
        <v>1155</v>
      </c>
      <c r="B1156" s="2" t="s">
        <v>1161</v>
      </c>
      <c r="C1156" s="11">
        <v>30</v>
      </c>
      <c r="D1156" s="12">
        <v>50</v>
      </c>
      <c r="E1156" s="12" t="s">
        <v>8219</v>
      </c>
      <c r="F1156" s="13">
        <v>6</v>
      </c>
      <c r="G1156" s="14">
        <v>1825.27</v>
      </c>
      <c r="H1156" t="s">
        <v>2021</v>
      </c>
      <c r="I1156">
        <v>7</v>
      </c>
    </row>
    <row r="1157" spans="1:9" ht="15.6" x14ac:dyDescent="0.3">
      <c r="A1157" s="9">
        <v>1156</v>
      </c>
      <c r="B1157" s="2" t="s">
        <v>1162</v>
      </c>
      <c r="C1157" s="11">
        <v>24</v>
      </c>
      <c r="D1157" s="12">
        <v>33.333333333333329</v>
      </c>
      <c r="E1157" s="12" t="s">
        <v>8219</v>
      </c>
      <c r="F1157" s="13">
        <v>6</v>
      </c>
      <c r="G1157" s="14">
        <v>1800.25</v>
      </c>
      <c r="H1157" t="s">
        <v>997</v>
      </c>
      <c r="I1157">
        <v>6</v>
      </c>
    </row>
    <row r="1158" spans="1:9" ht="15.6" x14ac:dyDescent="0.3">
      <c r="A1158" s="9">
        <v>1157</v>
      </c>
      <c r="B1158" s="2" t="s">
        <v>1163</v>
      </c>
      <c r="C1158" s="11">
        <v>30</v>
      </c>
      <c r="D1158" s="12">
        <v>50</v>
      </c>
      <c r="E1158" s="12" t="s">
        <v>8219</v>
      </c>
      <c r="F1158" s="13">
        <v>6</v>
      </c>
      <c r="G1158" s="14">
        <v>1785.2399999999998</v>
      </c>
      <c r="H1158" t="s">
        <v>3813</v>
      </c>
      <c r="I1158">
        <v>7</v>
      </c>
    </row>
    <row r="1159" spans="1:9" ht="15.6" x14ac:dyDescent="0.3">
      <c r="A1159" s="9">
        <v>1158</v>
      </c>
      <c r="B1159" s="2" t="s">
        <v>1164</v>
      </c>
      <c r="C1159" s="11">
        <v>28</v>
      </c>
      <c r="D1159" s="12">
        <v>66.666666666666657</v>
      </c>
      <c r="E1159" s="12" t="s">
        <v>8220</v>
      </c>
      <c r="F1159" s="13">
        <v>6</v>
      </c>
      <c r="G1159" s="14">
        <v>1761.21</v>
      </c>
      <c r="H1159" t="s">
        <v>2789</v>
      </c>
      <c r="I1159">
        <v>7</v>
      </c>
    </row>
    <row r="1160" spans="1:9" ht="15.6" x14ac:dyDescent="0.3">
      <c r="A1160" s="9">
        <v>1159</v>
      </c>
      <c r="B1160" s="2" t="s">
        <v>1165</v>
      </c>
      <c r="C1160" s="11">
        <v>28</v>
      </c>
      <c r="D1160" s="12">
        <v>66.666666666666657</v>
      </c>
      <c r="E1160" s="12" t="s">
        <v>8220</v>
      </c>
      <c r="F1160" s="13">
        <v>6</v>
      </c>
      <c r="G1160" s="14">
        <v>1801.2399999999998</v>
      </c>
      <c r="H1160" t="s">
        <v>1765</v>
      </c>
      <c r="I1160">
        <v>7</v>
      </c>
    </row>
    <row r="1161" spans="1:9" ht="15.6" x14ac:dyDescent="0.3">
      <c r="A1161" s="9">
        <v>1160</v>
      </c>
      <c r="B1161" s="2" t="s">
        <v>1166</v>
      </c>
      <c r="C1161" s="11">
        <v>22</v>
      </c>
      <c r="D1161" s="12">
        <v>50</v>
      </c>
      <c r="E1161" s="12" t="s">
        <v>8219</v>
      </c>
      <c r="F1161" s="13">
        <v>6</v>
      </c>
      <c r="G1161" s="14">
        <v>1776.2199999999998</v>
      </c>
      <c r="H1161" t="s">
        <v>741</v>
      </c>
      <c r="I1161">
        <v>6</v>
      </c>
    </row>
    <row r="1162" spans="1:9" ht="15.6" x14ac:dyDescent="0.3">
      <c r="A1162" s="9">
        <v>1161</v>
      </c>
      <c r="B1162" s="2" t="s">
        <v>1167</v>
      </c>
      <c r="C1162" s="11">
        <v>30</v>
      </c>
      <c r="D1162" s="12">
        <v>50</v>
      </c>
      <c r="E1162" s="12" t="s">
        <v>8219</v>
      </c>
      <c r="F1162" s="13">
        <v>6</v>
      </c>
      <c r="G1162" s="14">
        <v>1825.27</v>
      </c>
      <c r="H1162" t="s">
        <v>3557</v>
      </c>
      <c r="I1162">
        <v>7</v>
      </c>
    </row>
    <row r="1163" spans="1:9" ht="15.6" x14ac:dyDescent="0.3">
      <c r="A1163" s="9">
        <v>1162</v>
      </c>
      <c r="B1163" s="2" t="s">
        <v>1168</v>
      </c>
      <c r="C1163" s="11">
        <v>28</v>
      </c>
      <c r="D1163" s="12">
        <v>66.666666666666657</v>
      </c>
      <c r="E1163" s="12" t="s">
        <v>8220</v>
      </c>
      <c r="F1163" s="13">
        <v>6</v>
      </c>
      <c r="G1163" s="14">
        <v>1801.2399999999998</v>
      </c>
      <c r="H1163" t="s">
        <v>2533</v>
      </c>
      <c r="I1163">
        <v>7</v>
      </c>
    </row>
    <row r="1164" spans="1:9" ht="15.6" x14ac:dyDescent="0.3">
      <c r="A1164" s="9">
        <v>1163</v>
      </c>
      <c r="B1164" s="2" t="s">
        <v>1169</v>
      </c>
      <c r="C1164" s="11">
        <v>28</v>
      </c>
      <c r="D1164" s="12">
        <v>66.666666666666657</v>
      </c>
      <c r="E1164" s="12" t="s">
        <v>8220</v>
      </c>
      <c r="F1164" s="13">
        <v>6</v>
      </c>
      <c r="G1164" s="14">
        <v>1841.27</v>
      </c>
      <c r="H1164" t="s">
        <v>1509</v>
      </c>
      <c r="I1164">
        <v>7</v>
      </c>
    </row>
    <row r="1165" spans="1:9" ht="15.6" x14ac:dyDescent="0.3">
      <c r="A1165" s="9">
        <v>1164</v>
      </c>
      <c r="B1165" s="2" t="s">
        <v>1170</v>
      </c>
      <c r="C1165" s="11">
        <v>22</v>
      </c>
      <c r="D1165" s="12">
        <v>50</v>
      </c>
      <c r="E1165" s="12" t="s">
        <v>8219</v>
      </c>
      <c r="F1165" s="13">
        <v>6</v>
      </c>
      <c r="G1165" s="14">
        <v>1816.25</v>
      </c>
      <c r="H1165" t="s">
        <v>485</v>
      </c>
      <c r="I1165">
        <v>6</v>
      </c>
    </row>
    <row r="1166" spans="1:9" ht="15.6" x14ac:dyDescent="0.3">
      <c r="A1166" s="9">
        <v>1165</v>
      </c>
      <c r="B1166" s="2" t="s">
        <v>1171</v>
      </c>
      <c r="C1166" s="11">
        <v>24</v>
      </c>
      <c r="D1166" s="12">
        <v>33.333333333333329</v>
      </c>
      <c r="E1166" s="12" t="s">
        <v>8219</v>
      </c>
      <c r="F1166" s="13">
        <v>6</v>
      </c>
      <c r="G1166" s="14">
        <v>1800.25</v>
      </c>
      <c r="H1166" t="s">
        <v>3301</v>
      </c>
      <c r="I1166">
        <v>6</v>
      </c>
    </row>
    <row r="1167" spans="1:9" ht="15.6" x14ac:dyDescent="0.3">
      <c r="A1167" s="9">
        <v>1166</v>
      </c>
      <c r="B1167" s="2" t="s">
        <v>1172</v>
      </c>
      <c r="C1167" s="11">
        <v>22</v>
      </c>
      <c r="D1167" s="12">
        <v>50</v>
      </c>
      <c r="E1167" s="12" t="s">
        <v>8219</v>
      </c>
      <c r="F1167" s="13">
        <v>6</v>
      </c>
      <c r="G1167" s="14">
        <v>1776.2199999999998</v>
      </c>
      <c r="H1167" t="s">
        <v>2277</v>
      </c>
      <c r="I1167">
        <v>6</v>
      </c>
    </row>
    <row r="1168" spans="1:9" ht="15.6" x14ac:dyDescent="0.3">
      <c r="A1168" s="9">
        <v>1167</v>
      </c>
      <c r="B1168" s="2" t="s">
        <v>1173</v>
      </c>
      <c r="C1168" s="11">
        <v>22</v>
      </c>
      <c r="D1168" s="12">
        <v>50</v>
      </c>
      <c r="E1168" s="12" t="s">
        <v>8219</v>
      </c>
      <c r="F1168" s="13">
        <v>6</v>
      </c>
      <c r="G1168" s="14">
        <v>1816.25</v>
      </c>
      <c r="H1168" t="s">
        <v>1253</v>
      </c>
      <c r="I1168">
        <v>6</v>
      </c>
    </row>
    <row r="1169" spans="1:9" ht="15.6" x14ac:dyDescent="0.3">
      <c r="A1169" s="9">
        <v>1168</v>
      </c>
      <c r="B1169" s="2" t="s">
        <v>1174</v>
      </c>
      <c r="C1169" s="11">
        <v>16</v>
      </c>
      <c r="D1169" s="12">
        <v>33.333333333333329</v>
      </c>
      <c r="E1169" s="12" t="s">
        <v>8219</v>
      </c>
      <c r="F1169" s="13">
        <v>6</v>
      </c>
      <c r="G1169" s="14">
        <v>1791.23</v>
      </c>
      <c r="H1169" t="s">
        <v>229</v>
      </c>
      <c r="I1169">
        <v>5</v>
      </c>
    </row>
    <row r="1170" spans="1:9" ht="15.6" x14ac:dyDescent="0.3">
      <c r="A1170" s="9">
        <v>1169</v>
      </c>
      <c r="B1170" s="2" t="s">
        <v>1175</v>
      </c>
      <c r="C1170" s="11">
        <v>30</v>
      </c>
      <c r="D1170" s="12">
        <v>50</v>
      </c>
      <c r="E1170" s="12" t="s">
        <v>8219</v>
      </c>
      <c r="F1170" s="13">
        <v>6</v>
      </c>
      <c r="G1170" s="14">
        <v>1785.2399999999998</v>
      </c>
      <c r="H1170" t="s">
        <v>4005</v>
      </c>
      <c r="I1170">
        <v>7</v>
      </c>
    </row>
    <row r="1171" spans="1:9" ht="15.6" x14ac:dyDescent="0.3">
      <c r="A1171" s="9">
        <v>1170</v>
      </c>
      <c r="B1171" s="2" t="s">
        <v>1176</v>
      </c>
      <c r="C1171" s="11">
        <v>28</v>
      </c>
      <c r="D1171" s="12">
        <v>66.666666666666657</v>
      </c>
      <c r="E1171" s="12" t="s">
        <v>8220</v>
      </c>
      <c r="F1171" s="13">
        <v>6</v>
      </c>
      <c r="G1171" s="14">
        <v>1761.21</v>
      </c>
      <c r="H1171" t="s">
        <v>2981</v>
      </c>
      <c r="I1171">
        <v>7</v>
      </c>
    </row>
    <row r="1172" spans="1:9" ht="15.6" x14ac:dyDescent="0.3">
      <c r="A1172" s="9">
        <v>1171</v>
      </c>
      <c r="B1172" s="2" t="s">
        <v>1177</v>
      </c>
      <c r="C1172" s="11">
        <v>28</v>
      </c>
      <c r="D1172" s="12">
        <v>66.666666666666657</v>
      </c>
      <c r="E1172" s="12" t="s">
        <v>8220</v>
      </c>
      <c r="F1172" s="13">
        <v>6</v>
      </c>
      <c r="G1172" s="14">
        <v>1801.2399999999998</v>
      </c>
      <c r="H1172" t="s">
        <v>1957</v>
      </c>
      <c r="I1172">
        <v>7</v>
      </c>
    </row>
    <row r="1173" spans="1:9" ht="15.6" x14ac:dyDescent="0.3">
      <c r="A1173" s="9">
        <v>1172</v>
      </c>
      <c r="B1173" s="2" t="s">
        <v>1178</v>
      </c>
      <c r="C1173" s="11">
        <v>22</v>
      </c>
      <c r="D1173" s="12">
        <v>50</v>
      </c>
      <c r="E1173" s="12" t="s">
        <v>8219</v>
      </c>
      <c r="F1173" s="13">
        <v>6</v>
      </c>
      <c r="G1173" s="14">
        <v>1776.2199999999998</v>
      </c>
      <c r="H1173" t="s">
        <v>933</v>
      </c>
      <c r="I1173">
        <v>6</v>
      </c>
    </row>
    <row r="1174" spans="1:9" ht="15.6" x14ac:dyDescent="0.3">
      <c r="A1174" s="9">
        <v>1173</v>
      </c>
      <c r="B1174" s="2" t="s">
        <v>1179</v>
      </c>
      <c r="C1174" s="11">
        <v>28</v>
      </c>
      <c r="D1174" s="12">
        <v>66.666666666666657</v>
      </c>
      <c r="E1174" s="12" t="s">
        <v>8220</v>
      </c>
      <c r="F1174" s="13">
        <v>6</v>
      </c>
      <c r="G1174" s="14">
        <v>1761.21</v>
      </c>
      <c r="H1174" t="s">
        <v>3749</v>
      </c>
      <c r="I1174">
        <v>7</v>
      </c>
    </row>
    <row r="1175" spans="1:9" ht="15.6" x14ac:dyDescent="0.3">
      <c r="A1175" s="9">
        <v>1174</v>
      </c>
      <c r="B1175" s="2" t="s">
        <v>1180</v>
      </c>
      <c r="C1175" s="11">
        <v>26</v>
      </c>
      <c r="D1175" s="12">
        <v>83.333333333333343</v>
      </c>
      <c r="E1175" s="12" t="s">
        <v>8220</v>
      </c>
      <c r="F1175" s="13">
        <v>6</v>
      </c>
      <c r="G1175" s="14">
        <v>1737.1799999999998</v>
      </c>
      <c r="H1175" t="s">
        <v>2725</v>
      </c>
      <c r="I1175">
        <v>7</v>
      </c>
    </row>
    <row r="1176" spans="1:9" ht="15.6" x14ac:dyDescent="0.3">
      <c r="A1176" s="9">
        <v>1175</v>
      </c>
      <c r="B1176" s="2" t="s">
        <v>1181</v>
      </c>
      <c r="C1176" s="11">
        <v>26</v>
      </c>
      <c r="D1176" s="12">
        <v>83.333333333333343</v>
      </c>
      <c r="E1176" s="12" t="s">
        <v>8220</v>
      </c>
      <c r="F1176" s="13">
        <v>6</v>
      </c>
      <c r="G1176" s="14">
        <v>1777.21</v>
      </c>
      <c r="H1176" t="s">
        <v>1701</v>
      </c>
      <c r="I1176">
        <v>7</v>
      </c>
    </row>
    <row r="1177" spans="1:9" ht="15.6" x14ac:dyDescent="0.3">
      <c r="A1177" s="9">
        <v>1176</v>
      </c>
      <c r="B1177" s="2" t="s">
        <v>1182</v>
      </c>
      <c r="C1177" s="11">
        <v>20</v>
      </c>
      <c r="D1177" s="12">
        <v>66.666666666666657</v>
      </c>
      <c r="E1177" s="12" t="s">
        <v>8220</v>
      </c>
      <c r="F1177" s="13">
        <v>6</v>
      </c>
      <c r="G1177" s="14">
        <v>1752.19</v>
      </c>
      <c r="H1177" t="s">
        <v>677</v>
      </c>
      <c r="I1177">
        <v>6</v>
      </c>
    </row>
    <row r="1178" spans="1:9" ht="15.6" x14ac:dyDescent="0.3">
      <c r="A1178" s="9">
        <v>1177</v>
      </c>
      <c r="B1178" s="2" t="s">
        <v>1183</v>
      </c>
      <c r="C1178" s="11">
        <v>28</v>
      </c>
      <c r="D1178" s="12">
        <v>66.666666666666657</v>
      </c>
      <c r="E1178" s="12" t="s">
        <v>8220</v>
      </c>
      <c r="F1178" s="13">
        <v>6</v>
      </c>
      <c r="G1178" s="14">
        <v>1801.2399999999998</v>
      </c>
      <c r="H1178" t="s">
        <v>3493</v>
      </c>
      <c r="I1178">
        <v>7</v>
      </c>
    </row>
    <row r="1179" spans="1:9" ht="15.6" x14ac:dyDescent="0.3">
      <c r="A1179" s="9">
        <v>1178</v>
      </c>
      <c r="B1179" s="2" t="s">
        <v>1184</v>
      </c>
      <c r="C1179" s="11">
        <v>26</v>
      </c>
      <c r="D1179" s="12">
        <v>83.333333333333343</v>
      </c>
      <c r="E1179" s="12" t="s">
        <v>8220</v>
      </c>
      <c r="F1179" s="13">
        <v>6</v>
      </c>
      <c r="G1179" s="14">
        <v>1777.21</v>
      </c>
      <c r="H1179" t="s">
        <v>2469</v>
      </c>
      <c r="I1179">
        <v>7</v>
      </c>
    </row>
    <row r="1180" spans="1:9" ht="15.6" x14ac:dyDescent="0.3">
      <c r="A1180" s="9">
        <v>1179</v>
      </c>
      <c r="B1180" s="2" t="s">
        <v>1185</v>
      </c>
      <c r="C1180" s="11">
        <v>26</v>
      </c>
      <c r="D1180" s="12">
        <v>83.333333333333343</v>
      </c>
      <c r="E1180" s="12" t="s">
        <v>8220</v>
      </c>
      <c r="F1180" s="13">
        <v>6</v>
      </c>
      <c r="G1180" s="14">
        <v>1817.2400000000002</v>
      </c>
      <c r="H1180" t="s">
        <v>1445</v>
      </c>
      <c r="I1180">
        <v>7</v>
      </c>
    </row>
    <row r="1181" spans="1:9" ht="15.6" x14ac:dyDescent="0.3">
      <c r="A1181" s="9">
        <v>1180</v>
      </c>
      <c r="B1181" s="2" t="s">
        <v>1186</v>
      </c>
      <c r="C1181" s="11">
        <v>20</v>
      </c>
      <c r="D1181" s="12">
        <v>66.666666666666657</v>
      </c>
      <c r="E1181" s="12" t="s">
        <v>8220</v>
      </c>
      <c r="F1181" s="13">
        <v>6</v>
      </c>
      <c r="G1181" s="14">
        <v>1792.2199999999998</v>
      </c>
      <c r="H1181" t="s">
        <v>421</v>
      </c>
      <c r="I1181">
        <v>6</v>
      </c>
    </row>
    <row r="1182" spans="1:9" ht="15.6" x14ac:dyDescent="0.3">
      <c r="A1182" s="9">
        <v>1181</v>
      </c>
      <c r="B1182" s="2" t="s">
        <v>1187</v>
      </c>
      <c r="C1182" s="11">
        <v>22</v>
      </c>
      <c r="D1182" s="12">
        <v>50</v>
      </c>
      <c r="E1182" s="12" t="s">
        <v>8219</v>
      </c>
      <c r="F1182" s="13">
        <v>6</v>
      </c>
      <c r="G1182" s="14">
        <v>1776.2199999999998</v>
      </c>
      <c r="H1182" t="s">
        <v>3237</v>
      </c>
      <c r="I1182">
        <v>6</v>
      </c>
    </row>
    <row r="1183" spans="1:9" ht="15.6" x14ac:dyDescent="0.3">
      <c r="A1183" s="9">
        <v>1182</v>
      </c>
      <c r="B1183" s="2" t="s">
        <v>1188</v>
      </c>
      <c r="C1183" s="11">
        <v>20</v>
      </c>
      <c r="D1183" s="12">
        <v>66.666666666666657</v>
      </c>
      <c r="E1183" s="12" t="s">
        <v>8220</v>
      </c>
      <c r="F1183" s="13">
        <v>6</v>
      </c>
      <c r="G1183" s="14">
        <v>1752.19</v>
      </c>
      <c r="H1183" t="s">
        <v>2213</v>
      </c>
      <c r="I1183">
        <v>6</v>
      </c>
    </row>
    <row r="1184" spans="1:9" ht="15.6" x14ac:dyDescent="0.3">
      <c r="A1184" s="9">
        <v>1183</v>
      </c>
      <c r="B1184" s="2" t="s">
        <v>1189</v>
      </c>
      <c r="C1184" s="11">
        <v>20</v>
      </c>
      <c r="D1184" s="12">
        <v>66.666666666666657</v>
      </c>
      <c r="E1184" s="12" t="s">
        <v>8220</v>
      </c>
      <c r="F1184" s="13">
        <v>6</v>
      </c>
      <c r="G1184" s="14">
        <v>1792.2199999999998</v>
      </c>
      <c r="H1184" t="s">
        <v>1189</v>
      </c>
      <c r="I1184">
        <v>6</v>
      </c>
    </row>
    <row r="1185" spans="1:9" ht="15.6" x14ac:dyDescent="0.3">
      <c r="A1185" s="9">
        <v>1184</v>
      </c>
      <c r="B1185" s="2" t="s">
        <v>1190</v>
      </c>
      <c r="C1185" s="11">
        <v>14</v>
      </c>
      <c r="D1185" s="12">
        <v>50</v>
      </c>
      <c r="E1185" s="12" t="s">
        <v>8219</v>
      </c>
      <c r="F1185" s="13">
        <v>6</v>
      </c>
      <c r="G1185" s="14">
        <v>1767.1999999999998</v>
      </c>
      <c r="H1185" t="s">
        <v>165</v>
      </c>
      <c r="I1185">
        <v>5</v>
      </c>
    </row>
    <row r="1186" spans="1:9" ht="15.6" x14ac:dyDescent="0.3">
      <c r="A1186" s="9">
        <v>1185</v>
      </c>
      <c r="B1186" s="2" t="s">
        <v>1191</v>
      </c>
      <c r="C1186" s="11">
        <v>30</v>
      </c>
      <c r="D1186" s="12">
        <v>50</v>
      </c>
      <c r="E1186" s="12" t="s">
        <v>8219</v>
      </c>
      <c r="F1186" s="13">
        <v>6</v>
      </c>
      <c r="G1186" s="14">
        <v>1825.27</v>
      </c>
      <c r="H1186" t="s">
        <v>3941</v>
      </c>
      <c r="I1186">
        <v>7</v>
      </c>
    </row>
    <row r="1187" spans="1:9" ht="15.6" x14ac:dyDescent="0.3">
      <c r="A1187" s="9">
        <v>1186</v>
      </c>
      <c r="B1187" s="2" t="s">
        <v>1192</v>
      </c>
      <c r="C1187" s="11">
        <v>28</v>
      </c>
      <c r="D1187" s="12">
        <v>66.666666666666657</v>
      </c>
      <c r="E1187" s="12" t="s">
        <v>8220</v>
      </c>
      <c r="F1187" s="13">
        <v>6</v>
      </c>
      <c r="G1187" s="14">
        <v>1801.2399999999998</v>
      </c>
      <c r="H1187" t="s">
        <v>2917</v>
      </c>
      <c r="I1187">
        <v>7</v>
      </c>
    </row>
    <row r="1188" spans="1:9" ht="15.6" x14ac:dyDescent="0.3">
      <c r="A1188" s="9">
        <v>1187</v>
      </c>
      <c r="B1188" s="2" t="s">
        <v>1193</v>
      </c>
      <c r="C1188" s="11">
        <v>28</v>
      </c>
      <c r="D1188" s="12">
        <v>66.666666666666657</v>
      </c>
      <c r="E1188" s="12" t="s">
        <v>8220</v>
      </c>
      <c r="F1188" s="13">
        <v>6</v>
      </c>
      <c r="G1188" s="14">
        <v>1841.27</v>
      </c>
      <c r="H1188" t="s">
        <v>1893</v>
      </c>
      <c r="I1188">
        <v>7</v>
      </c>
    </row>
    <row r="1189" spans="1:9" ht="15.6" x14ac:dyDescent="0.3">
      <c r="A1189" s="9">
        <v>1188</v>
      </c>
      <c r="B1189" s="2" t="s">
        <v>1194</v>
      </c>
      <c r="C1189" s="11">
        <v>22</v>
      </c>
      <c r="D1189" s="12">
        <v>50</v>
      </c>
      <c r="E1189" s="12" t="s">
        <v>8219</v>
      </c>
      <c r="F1189" s="13">
        <v>6</v>
      </c>
      <c r="G1189" s="14">
        <v>1816.25</v>
      </c>
      <c r="H1189" t="s">
        <v>869</v>
      </c>
      <c r="I1189">
        <v>6</v>
      </c>
    </row>
    <row r="1190" spans="1:9" ht="15.6" x14ac:dyDescent="0.3">
      <c r="A1190" s="9">
        <v>1189</v>
      </c>
      <c r="B1190" s="2" t="s">
        <v>1195</v>
      </c>
      <c r="C1190" s="11">
        <v>28</v>
      </c>
      <c r="D1190" s="12">
        <v>66.666666666666657</v>
      </c>
      <c r="E1190" s="12" t="s">
        <v>8220</v>
      </c>
      <c r="F1190" s="13">
        <v>6</v>
      </c>
      <c r="G1190" s="14">
        <v>1801.2399999999998</v>
      </c>
      <c r="H1190" t="s">
        <v>3685</v>
      </c>
      <c r="I1190">
        <v>7</v>
      </c>
    </row>
    <row r="1191" spans="1:9" ht="15.6" x14ac:dyDescent="0.3">
      <c r="A1191" s="9">
        <v>1190</v>
      </c>
      <c r="B1191" s="2" t="s">
        <v>1196</v>
      </c>
      <c r="C1191" s="11">
        <v>26</v>
      </c>
      <c r="D1191" s="12">
        <v>83.333333333333343</v>
      </c>
      <c r="E1191" s="12" t="s">
        <v>8220</v>
      </c>
      <c r="F1191" s="13">
        <v>6</v>
      </c>
      <c r="G1191" s="14">
        <v>1777.21</v>
      </c>
      <c r="H1191" t="s">
        <v>2661</v>
      </c>
      <c r="I1191">
        <v>7</v>
      </c>
    </row>
    <row r="1192" spans="1:9" ht="15.6" x14ac:dyDescent="0.3">
      <c r="A1192" s="9">
        <v>1191</v>
      </c>
      <c r="B1192" s="2" t="s">
        <v>1197</v>
      </c>
      <c r="C1192" s="11">
        <v>26</v>
      </c>
      <c r="D1192" s="12">
        <v>83.333333333333343</v>
      </c>
      <c r="E1192" s="12" t="s">
        <v>8220</v>
      </c>
      <c r="F1192" s="13">
        <v>6</v>
      </c>
      <c r="G1192" s="14">
        <v>1817.2400000000002</v>
      </c>
      <c r="H1192" t="s">
        <v>1637</v>
      </c>
      <c r="I1192">
        <v>7</v>
      </c>
    </row>
    <row r="1193" spans="1:9" ht="15.6" x14ac:dyDescent="0.3">
      <c r="A1193" s="9">
        <v>1192</v>
      </c>
      <c r="B1193" s="2" t="s">
        <v>1198</v>
      </c>
      <c r="C1193" s="11">
        <v>20</v>
      </c>
      <c r="D1193" s="12">
        <v>66.666666666666657</v>
      </c>
      <c r="E1193" s="12" t="s">
        <v>8220</v>
      </c>
      <c r="F1193" s="13">
        <v>6</v>
      </c>
      <c r="G1193" s="14">
        <v>1792.2199999999998</v>
      </c>
      <c r="H1193" t="s">
        <v>613</v>
      </c>
      <c r="I1193">
        <v>6</v>
      </c>
    </row>
    <row r="1194" spans="1:9" ht="15.6" x14ac:dyDescent="0.3">
      <c r="A1194" s="9">
        <v>1193</v>
      </c>
      <c r="B1194" s="2" t="s">
        <v>1199</v>
      </c>
      <c r="C1194" s="11">
        <v>28</v>
      </c>
      <c r="D1194" s="12">
        <v>66.666666666666657</v>
      </c>
      <c r="E1194" s="12" t="s">
        <v>8220</v>
      </c>
      <c r="F1194" s="13">
        <v>6</v>
      </c>
      <c r="G1194" s="14">
        <v>1841.27</v>
      </c>
      <c r="H1194" t="s">
        <v>3429</v>
      </c>
      <c r="I1194">
        <v>7</v>
      </c>
    </row>
    <row r="1195" spans="1:9" ht="15.6" x14ac:dyDescent="0.3">
      <c r="A1195" s="9">
        <v>1194</v>
      </c>
      <c r="B1195" s="2" t="s">
        <v>1200</v>
      </c>
      <c r="C1195" s="11">
        <v>26</v>
      </c>
      <c r="D1195" s="12">
        <v>83.333333333333343</v>
      </c>
      <c r="E1195" s="12" t="s">
        <v>8220</v>
      </c>
      <c r="F1195" s="13">
        <v>6</v>
      </c>
      <c r="G1195" s="14">
        <v>1817.2400000000002</v>
      </c>
      <c r="H1195" t="s">
        <v>2405</v>
      </c>
      <c r="I1195">
        <v>7</v>
      </c>
    </row>
    <row r="1196" spans="1:9" ht="15.6" x14ac:dyDescent="0.3">
      <c r="A1196" s="9">
        <v>1195</v>
      </c>
      <c r="B1196" s="2" t="s">
        <v>1201</v>
      </c>
      <c r="C1196" s="11">
        <v>26</v>
      </c>
      <c r="D1196" s="12">
        <v>83.333333333333343</v>
      </c>
      <c r="E1196" s="12" t="s">
        <v>8220</v>
      </c>
      <c r="F1196" s="13">
        <v>6</v>
      </c>
      <c r="G1196" s="14">
        <v>1857.27</v>
      </c>
      <c r="H1196" t="s">
        <v>1381</v>
      </c>
      <c r="I1196">
        <v>7</v>
      </c>
    </row>
    <row r="1197" spans="1:9" ht="15.6" x14ac:dyDescent="0.3">
      <c r="A1197" s="9">
        <v>1196</v>
      </c>
      <c r="B1197" s="2" t="s">
        <v>1202</v>
      </c>
      <c r="C1197" s="11">
        <v>20</v>
      </c>
      <c r="D1197" s="12">
        <v>66.666666666666657</v>
      </c>
      <c r="E1197" s="12" t="s">
        <v>8220</v>
      </c>
      <c r="F1197" s="13">
        <v>6</v>
      </c>
      <c r="G1197" s="14">
        <v>1832.25</v>
      </c>
      <c r="H1197" t="s">
        <v>357</v>
      </c>
      <c r="I1197">
        <v>6</v>
      </c>
    </row>
    <row r="1198" spans="1:9" ht="15.6" x14ac:dyDescent="0.3">
      <c r="A1198" s="9">
        <v>1197</v>
      </c>
      <c r="B1198" s="2" t="s">
        <v>1203</v>
      </c>
      <c r="C1198" s="11">
        <v>22</v>
      </c>
      <c r="D1198" s="12">
        <v>50</v>
      </c>
      <c r="E1198" s="12" t="s">
        <v>8219</v>
      </c>
      <c r="F1198" s="13">
        <v>6</v>
      </c>
      <c r="G1198" s="14">
        <v>1816.25</v>
      </c>
      <c r="H1198" t="s">
        <v>3173</v>
      </c>
      <c r="I1198">
        <v>6</v>
      </c>
    </row>
    <row r="1199" spans="1:9" ht="15.6" x14ac:dyDescent="0.3">
      <c r="A1199" s="9">
        <v>1198</v>
      </c>
      <c r="B1199" s="2" t="s">
        <v>1204</v>
      </c>
      <c r="C1199" s="11">
        <v>20</v>
      </c>
      <c r="D1199" s="12">
        <v>66.666666666666657</v>
      </c>
      <c r="E1199" s="12" t="s">
        <v>8220</v>
      </c>
      <c r="F1199" s="13">
        <v>6</v>
      </c>
      <c r="G1199" s="14">
        <v>1792.2199999999998</v>
      </c>
      <c r="H1199" t="s">
        <v>2149</v>
      </c>
      <c r="I1199">
        <v>6</v>
      </c>
    </row>
    <row r="1200" spans="1:9" ht="15.6" x14ac:dyDescent="0.3">
      <c r="A1200" s="9">
        <v>1199</v>
      </c>
      <c r="B1200" s="2" t="s">
        <v>1205</v>
      </c>
      <c r="C1200" s="11">
        <v>20</v>
      </c>
      <c r="D1200" s="12">
        <v>66.666666666666657</v>
      </c>
      <c r="E1200" s="12" t="s">
        <v>8220</v>
      </c>
      <c r="F1200" s="13">
        <v>6</v>
      </c>
      <c r="G1200" s="14">
        <v>1832.25</v>
      </c>
      <c r="H1200" t="s">
        <v>1125</v>
      </c>
      <c r="I1200">
        <v>6</v>
      </c>
    </row>
    <row r="1201" spans="1:9" ht="15.6" x14ac:dyDescent="0.3">
      <c r="A1201" s="9">
        <v>1200</v>
      </c>
      <c r="B1201" s="2" t="s">
        <v>1206</v>
      </c>
      <c r="C1201" s="11">
        <v>14</v>
      </c>
      <c r="D1201" s="12">
        <v>50</v>
      </c>
      <c r="E1201" s="12" t="s">
        <v>8219</v>
      </c>
      <c r="F1201" s="13">
        <v>6</v>
      </c>
      <c r="G1201" s="14">
        <v>1807.23</v>
      </c>
      <c r="H1201" t="s">
        <v>101</v>
      </c>
      <c r="I1201">
        <v>5</v>
      </c>
    </row>
    <row r="1202" spans="1:9" ht="15.6" x14ac:dyDescent="0.3">
      <c r="A1202" s="9">
        <v>1201</v>
      </c>
      <c r="B1202" s="2" t="s">
        <v>1207</v>
      </c>
      <c r="C1202" s="11">
        <v>24</v>
      </c>
      <c r="D1202" s="12">
        <v>33.333333333333329</v>
      </c>
      <c r="E1202" s="12" t="s">
        <v>8219</v>
      </c>
      <c r="F1202" s="13">
        <v>6</v>
      </c>
      <c r="G1202" s="14">
        <v>1800.25</v>
      </c>
      <c r="H1202" t="s">
        <v>3877</v>
      </c>
      <c r="I1202">
        <v>6</v>
      </c>
    </row>
    <row r="1203" spans="1:9" ht="15.6" x14ac:dyDescent="0.3">
      <c r="A1203" s="9">
        <v>1202</v>
      </c>
      <c r="B1203" s="2" t="s">
        <v>1208</v>
      </c>
      <c r="C1203" s="11">
        <v>22</v>
      </c>
      <c r="D1203" s="12">
        <v>50</v>
      </c>
      <c r="E1203" s="12" t="s">
        <v>8219</v>
      </c>
      <c r="F1203" s="13">
        <v>6</v>
      </c>
      <c r="G1203" s="14">
        <v>1776.2199999999998</v>
      </c>
      <c r="H1203" t="s">
        <v>2853</v>
      </c>
      <c r="I1203">
        <v>6</v>
      </c>
    </row>
    <row r="1204" spans="1:9" ht="15.6" x14ac:dyDescent="0.3">
      <c r="A1204" s="9">
        <v>1203</v>
      </c>
      <c r="B1204" s="2" t="s">
        <v>1209</v>
      </c>
      <c r="C1204" s="11">
        <v>22</v>
      </c>
      <c r="D1204" s="12">
        <v>50</v>
      </c>
      <c r="E1204" s="12" t="s">
        <v>8219</v>
      </c>
      <c r="F1204" s="13">
        <v>6</v>
      </c>
      <c r="G1204" s="14">
        <v>1816.25</v>
      </c>
      <c r="H1204" t="s">
        <v>1829</v>
      </c>
      <c r="I1204">
        <v>6</v>
      </c>
    </row>
    <row r="1205" spans="1:9" ht="15.6" x14ac:dyDescent="0.3">
      <c r="A1205" s="9">
        <v>1204</v>
      </c>
      <c r="B1205" s="2" t="s">
        <v>1210</v>
      </c>
      <c r="C1205" s="11">
        <v>16</v>
      </c>
      <c r="D1205" s="12">
        <v>33.333333333333329</v>
      </c>
      <c r="E1205" s="12" t="s">
        <v>8219</v>
      </c>
      <c r="F1205" s="13">
        <v>6</v>
      </c>
      <c r="G1205" s="14">
        <v>1791.23</v>
      </c>
      <c r="H1205" t="s">
        <v>805</v>
      </c>
      <c r="I1205">
        <v>5</v>
      </c>
    </row>
    <row r="1206" spans="1:9" ht="15.6" x14ac:dyDescent="0.3">
      <c r="A1206" s="9">
        <v>1205</v>
      </c>
      <c r="B1206" s="2" t="s">
        <v>1211</v>
      </c>
      <c r="C1206" s="11">
        <v>22</v>
      </c>
      <c r="D1206" s="12">
        <v>50</v>
      </c>
      <c r="E1206" s="12" t="s">
        <v>8219</v>
      </c>
      <c r="F1206" s="13">
        <v>6</v>
      </c>
      <c r="G1206" s="14">
        <v>1776.2199999999998</v>
      </c>
      <c r="H1206" t="s">
        <v>3621</v>
      </c>
      <c r="I1206">
        <v>6</v>
      </c>
    </row>
    <row r="1207" spans="1:9" ht="15.6" x14ac:dyDescent="0.3">
      <c r="A1207" s="9">
        <v>1206</v>
      </c>
      <c r="B1207" s="2" t="s">
        <v>1212</v>
      </c>
      <c r="C1207" s="11">
        <v>20</v>
      </c>
      <c r="D1207" s="12">
        <v>66.666666666666657</v>
      </c>
      <c r="E1207" s="12" t="s">
        <v>8220</v>
      </c>
      <c r="F1207" s="13">
        <v>6</v>
      </c>
      <c r="G1207" s="14">
        <v>1752.19</v>
      </c>
      <c r="H1207" t="s">
        <v>2597</v>
      </c>
      <c r="I1207">
        <v>6</v>
      </c>
    </row>
    <row r="1208" spans="1:9" ht="15.6" x14ac:dyDescent="0.3">
      <c r="A1208" s="9">
        <v>1207</v>
      </c>
      <c r="B1208" s="2" t="s">
        <v>1213</v>
      </c>
      <c r="C1208" s="11">
        <v>20</v>
      </c>
      <c r="D1208" s="12">
        <v>66.666666666666657</v>
      </c>
      <c r="E1208" s="12" t="s">
        <v>8220</v>
      </c>
      <c r="F1208" s="13">
        <v>6</v>
      </c>
      <c r="G1208" s="14">
        <v>1792.2199999999998</v>
      </c>
      <c r="H1208" t="s">
        <v>1573</v>
      </c>
      <c r="I1208">
        <v>6</v>
      </c>
    </row>
    <row r="1209" spans="1:9" ht="15.6" x14ac:dyDescent="0.3">
      <c r="A1209" s="9">
        <v>1208</v>
      </c>
      <c r="B1209" s="2" t="s">
        <v>1214</v>
      </c>
      <c r="C1209" s="11">
        <v>14</v>
      </c>
      <c r="D1209" s="12">
        <v>50</v>
      </c>
      <c r="E1209" s="12" t="s">
        <v>8219</v>
      </c>
      <c r="F1209" s="13">
        <v>6</v>
      </c>
      <c r="G1209" s="14">
        <v>1767.1999999999998</v>
      </c>
      <c r="H1209" t="s">
        <v>549</v>
      </c>
      <c r="I1209">
        <v>5</v>
      </c>
    </row>
    <row r="1210" spans="1:9" ht="15.6" x14ac:dyDescent="0.3">
      <c r="A1210" s="9">
        <v>1209</v>
      </c>
      <c r="B1210" s="2" t="s">
        <v>1215</v>
      </c>
      <c r="C1210" s="11">
        <v>22</v>
      </c>
      <c r="D1210" s="12">
        <v>50</v>
      </c>
      <c r="E1210" s="12" t="s">
        <v>8219</v>
      </c>
      <c r="F1210" s="13">
        <v>6</v>
      </c>
      <c r="G1210" s="14">
        <v>1816.25</v>
      </c>
      <c r="H1210" t="s">
        <v>3365</v>
      </c>
      <c r="I1210">
        <v>6</v>
      </c>
    </row>
    <row r="1211" spans="1:9" ht="15.6" x14ac:dyDescent="0.3">
      <c r="A1211" s="9">
        <v>1210</v>
      </c>
      <c r="B1211" s="2" t="s">
        <v>1216</v>
      </c>
      <c r="C1211" s="11">
        <v>20</v>
      </c>
      <c r="D1211" s="12">
        <v>66.666666666666657</v>
      </c>
      <c r="E1211" s="12" t="s">
        <v>8220</v>
      </c>
      <c r="F1211" s="13">
        <v>6</v>
      </c>
      <c r="G1211" s="14">
        <v>1792.2199999999998</v>
      </c>
      <c r="H1211" t="s">
        <v>2341</v>
      </c>
      <c r="I1211">
        <v>6</v>
      </c>
    </row>
    <row r="1212" spans="1:9" ht="15.6" x14ac:dyDescent="0.3">
      <c r="A1212" s="9">
        <v>1211</v>
      </c>
      <c r="B1212" s="2" t="s">
        <v>1217</v>
      </c>
      <c r="C1212" s="11">
        <v>20</v>
      </c>
      <c r="D1212" s="12">
        <v>66.666666666666657</v>
      </c>
      <c r="E1212" s="12" t="s">
        <v>8220</v>
      </c>
      <c r="F1212" s="13">
        <v>6</v>
      </c>
      <c r="G1212" s="14">
        <v>1832.25</v>
      </c>
      <c r="H1212" t="s">
        <v>1317</v>
      </c>
      <c r="I1212">
        <v>6</v>
      </c>
    </row>
    <row r="1213" spans="1:9" ht="15.6" x14ac:dyDescent="0.3">
      <c r="A1213" s="9">
        <v>1212</v>
      </c>
      <c r="B1213" s="2" t="s">
        <v>1218</v>
      </c>
      <c r="C1213" s="11">
        <v>14</v>
      </c>
      <c r="D1213" s="12">
        <v>50</v>
      </c>
      <c r="E1213" s="12" t="s">
        <v>8219</v>
      </c>
      <c r="F1213" s="13">
        <v>6</v>
      </c>
      <c r="G1213" s="14">
        <v>1807.23</v>
      </c>
      <c r="H1213" t="s">
        <v>293</v>
      </c>
      <c r="I1213">
        <v>5</v>
      </c>
    </row>
    <row r="1214" spans="1:9" ht="15.6" x14ac:dyDescent="0.3">
      <c r="A1214" s="9">
        <v>1213</v>
      </c>
      <c r="B1214" s="2" t="s">
        <v>1219</v>
      </c>
      <c r="C1214" s="11">
        <v>16</v>
      </c>
      <c r="D1214" s="12">
        <v>33.333333333333329</v>
      </c>
      <c r="E1214" s="12" t="s">
        <v>8219</v>
      </c>
      <c r="F1214" s="13">
        <v>6</v>
      </c>
      <c r="G1214" s="14">
        <v>1791.23</v>
      </c>
      <c r="H1214" t="s">
        <v>3109</v>
      </c>
      <c r="I1214">
        <v>5</v>
      </c>
    </row>
    <row r="1215" spans="1:9" ht="15.6" x14ac:dyDescent="0.3">
      <c r="A1215" s="9">
        <v>1214</v>
      </c>
      <c r="B1215" s="2" t="s">
        <v>1220</v>
      </c>
      <c r="C1215" s="11">
        <v>14</v>
      </c>
      <c r="D1215" s="12">
        <v>50</v>
      </c>
      <c r="E1215" s="12" t="s">
        <v>8219</v>
      </c>
      <c r="F1215" s="13">
        <v>6</v>
      </c>
      <c r="G1215" s="14">
        <v>1767.1999999999998</v>
      </c>
      <c r="H1215" t="s">
        <v>2085</v>
      </c>
      <c r="I1215">
        <v>5</v>
      </c>
    </row>
    <row r="1216" spans="1:9" ht="15.6" x14ac:dyDescent="0.3">
      <c r="A1216" s="9">
        <v>1215</v>
      </c>
      <c r="B1216" s="2" t="s">
        <v>1221</v>
      </c>
      <c r="C1216" s="11">
        <v>14</v>
      </c>
      <c r="D1216" s="12">
        <v>50</v>
      </c>
      <c r="E1216" s="12" t="s">
        <v>8219</v>
      </c>
      <c r="F1216" s="13">
        <v>6</v>
      </c>
      <c r="G1216" s="14">
        <v>1807.23</v>
      </c>
      <c r="H1216" t="s">
        <v>1061</v>
      </c>
      <c r="I1216">
        <v>5</v>
      </c>
    </row>
    <row r="1217" spans="1:9" ht="15.6" x14ac:dyDescent="0.3">
      <c r="A1217" s="9">
        <v>1216</v>
      </c>
      <c r="B1217" s="2" t="s">
        <v>1222</v>
      </c>
      <c r="C1217" s="11">
        <v>8</v>
      </c>
      <c r="D1217" s="12">
        <v>33.333333333333329</v>
      </c>
      <c r="E1217" s="12" t="s">
        <v>8219</v>
      </c>
      <c r="F1217" s="13">
        <v>6</v>
      </c>
      <c r="G1217" s="14">
        <v>1782.21</v>
      </c>
      <c r="H1217" t="s">
        <v>37</v>
      </c>
      <c r="I1217">
        <v>4</v>
      </c>
    </row>
    <row r="1218" spans="1:9" ht="15.6" x14ac:dyDescent="0.3">
      <c r="A1218" s="9">
        <v>1217</v>
      </c>
      <c r="B1218" s="2" t="s">
        <v>1223</v>
      </c>
      <c r="C1218" s="11">
        <v>26</v>
      </c>
      <c r="D1218" s="12">
        <v>16.666666666666664</v>
      </c>
      <c r="E1218" s="12" t="s">
        <v>8219</v>
      </c>
      <c r="F1218" s="13">
        <v>6</v>
      </c>
      <c r="G1218" s="14">
        <v>1784.25</v>
      </c>
      <c r="H1218" t="s">
        <v>4053</v>
      </c>
      <c r="I1218">
        <v>7</v>
      </c>
    </row>
    <row r="1219" spans="1:9" ht="15.6" x14ac:dyDescent="0.3">
      <c r="A1219" s="9">
        <v>1218</v>
      </c>
      <c r="B1219" s="2" t="s">
        <v>1224</v>
      </c>
      <c r="C1219" s="11">
        <v>24</v>
      </c>
      <c r="D1219" s="12">
        <v>33.333333333333329</v>
      </c>
      <c r="E1219" s="12" t="s">
        <v>8219</v>
      </c>
      <c r="F1219" s="13">
        <v>6</v>
      </c>
      <c r="G1219" s="14">
        <v>1760.2199999999998</v>
      </c>
      <c r="H1219" t="s">
        <v>3029</v>
      </c>
      <c r="I1219">
        <v>6</v>
      </c>
    </row>
    <row r="1220" spans="1:9" ht="15.6" x14ac:dyDescent="0.3">
      <c r="A1220" s="9">
        <v>1219</v>
      </c>
      <c r="B1220" s="2" t="s">
        <v>1225</v>
      </c>
      <c r="C1220" s="11">
        <v>24</v>
      </c>
      <c r="D1220" s="12">
        <v>33.333333333333329</v>
      </c>
      <c r="E1220" s="12" t="s">
        <v>8219</v>
      </c>
      <c r="F1220" s="13">
        <v>6</v>
      </c>
      <c r="G1220" s="14">
        <v>1800.25</v>
      </c>
      <c r="H1220" t="s">
        <v>2005</v>
      </c>
      <c r="I1220">
        <v>6</v>
      </c>
    </row>
    <row r="1221" spans="1:9" ht="15.6" x14ac:dyDescent="0.3">
      <c r="A1221" s="9">
        <v>1220</v>
      </c>
      <c r="B1221" s="2" t="s">
        <v>1226</v>
      </c>
      <c r="C1221" s="11">
        <v>18</v>
      </c>
      <c r="D1221" s="12">
        <v>16.666666666666664</v>
      </c>
      <c r="E1221" s="12" t="s">
        <v>8219</v>
      </c>
      <c r="F1221" s="13">
        <v>6</v>
      </c>
      <c r="G1221" s="14">
        <v>1775.23</v>
      </c>
      <c r="H1221" t="s">
        <v>981</v>
      </c>
      <c r="I1221">
        <v>5</v>
      </c>
    </row>
    <row r="1222" spans="1:9" ht="15.6" x14ac:dyDescent="0.3">
      <c r="A1222" s="9">
        <v>1221</v>
      </c>
      <c r="B1222" s="2" t="s">
        <v>1227</v>
      </c>
      <c r="C1222" s="11">
        <v>24</v>
      </c>
      <c r="D1222" s="12">
        <v>33.333333333333329</v>
      </c>
      <c r="E1222" s="12" t="s">
        <v>8219</v>
      </c>
      <c r="F1222" s="13">
        <v>6</v>
      </c>
      <c r="G1222" s="14">
        <v>1760.2199999999998</v>
      </c>
      <c r="H1222" t="s">
        <v>3797</v>
      </c>
      <c r="I1222">
        <v>6</v>
      </c>
    </row>
    <row r="1223" spans="1:9" ht="15.6" x14ac:dyDescent="0.3">
      <c r="A1223" s="9">
        <v>1222</v>
      </c>
      <c r="B1223" s="2" t="s">
        <v>1228</v>
      </c>
      <c r="C1223" s="11">
        <v>22</v>
      </c>
      <c r="D1223" s="12">
        <v>50</v>
      </c>
      <c r="E1223" s="12" t="s">
        <v>8219</v>
      </c>
      <c r="F1223" s="13">
        <v>6</v>
      </c>
      <c r="G1223" s="14">
        <v>1736.19</v>
      </c>
      <c r="H1223" t="s">
        <v>2773</v>
      </c>
      <c r="I1223">
        <v>6</v>
      </c>
    </row>
    <row r="1224" spans="1:9" ht="15.6" x14ac:dyDescent="0.3">
      <c r="A1224" s="9">
        <v>1223</v>
      </c>
      <c r="B1224" s="2" t="s">
        <v>1229</v>
      </c>
      <c r="C1224" s="11">
        <v>22</v>
      </c>
      <c r="D1224" s="12">
        <v>50</v>
      </c>
      <c r="E1224" s="12" t="s">
        <v>8219</v>
      </c>
      <c r="F1224" s="13">
        <v>6</v>
      </c>
      <c r="G1224" s="14">
        <v>1776.2199999999998</v>
      </c>
      <c r="H1224" t="s">
        <v>1749</v>
      </c>
      <c r="I1224">
        <v>6</v>
      </c>
    </row>
    <row r="1225" spans="1:9" ht="15.6" x14ac:dyDescent="0.3">
      <c r="A1225" s="9">
        <v>1224</v>
      </c>
      <c r="B1225" s="2" t="s">
        <v>1230</v>
      </c>
      <c r="C1225" s="11">
        <v>16</v>
      </c>
      <c r="D1225" s="12">
        <v>33.333333333333329</v>
      </c>
      <c r="E1225" s="12" t="s">
        <v>8219</v>
      </c>
      <c r="F1225" s="13">
        <v>6</v>
      </c>
      <c r="G1225" s="14">
        <v>1751.1999999999998</v>
      </c>
      <c r="H1225" t="s">
        <v>725</v>
      </c>
      <c r="I1225">
        <v>5</v>
      </c>
    </row>
    <row r="1226" spans="1:9" ht="15.6" x14ac:dyDescent="0.3">
      <c r="A1226" s="9">
        <v>1225</v>
      </c>
      <c r="B1226" s="2" t="s">
        <v>1231</v>
      </c>
      <c r="C1226" s="11">
        <v>24</v>
      </c>
      <c r="D1226" s="12">
        <v>33.333333333333329</v>
      </c>
      <c r="E1226" s="12" t="s">
        <v>8219</v>
      </c>
      <c r="F1226" s="13">
        <v>6</v>
      </c>
      <c r="G1226" s="14">
        <v>1800.25</v>
      </c>
      <c r="H1226" t="s">
        <v>3541</v>
      </c>
      <c r="I1226">
        <v>6</v>
      </c>
    </row>
    <row r="1227" spans="1:9" ht="15.6" x14ac:dyDescent="0.3">
      <c r="A1227" s="9">
        <v>1226</v>
      </c>
      <c r="B1227" s="2" t="s">
        <v>1232</v>
      </c>
      <c r="C1227" s="11">
        <v>22</v>
      </c>
      <c r="D1227" s="12">
        <v>50</v>
      </c>
      <c r="E1227" s="12" t="s">
        <v>8219</v>
      </c>
      <c r="F1227" s="13">
        <v>6</v>
      </c>
      <c r="G1227" s="14">
        <v>1776.2199999999998</v>
      </c>
      <c r="H1227" t="s">
        <v>2517</v>
      </c>
      <c r="I1227">
        <v>6</v>
      </c>
    </row>
    <row r="1228" spans="1:9" ht="15.6" x14ac:dyDescent="0.3">
      <c r="A1228" s="9">
        <v>1227</v>
      </c>
      <c r="B1228" s="2" t="s">
        <v>1233</v>
      </c>
      <c r="C1228" s="11">
        <v>22</v>
      </c>
      <c r="D1228" s="12">
        <v>50</v>
      </c>
      <c r="E1228" s="12" t="s">
        <v>8219</v>
      </c>
      <c r="F1228" s="13">
        <v>6</v>
      </c>
      <c r="G1228" s="14">
        <v>1816.25</v>
      </c>
      <c r="H1228" t="s">
        <v>1493</v>
      </c>
      <c r="I1228">
        <v>6</v>
      </c>
    </row>
    <row r="1229" spans="1:9" ht="15.6" x14ac:dyDescent="0.3">
      <c r="A1229" s="9">
        <v>1228</v>
      </c>
      <c r="B1229" s="2" t="s">
        <v>1234</v>
      </c>
      <c r="C1229" s="11">
        <v>16</v>
      </c>
      <c r="D1229" s="12">
        <v>33.333333333333329</v>
      </c>
      <c r="E1229" s="12" t="s">
        <v>8219</v>
      </c>
      <c r="F1229" s="13">
        <v>6</v>
      </c>
      <c r="G1229" s="14">
        <v>1791.23</v>
      </c>
      <c r="H1229" t="s">
        <v>469</v>
      </c>
      <c r="I1229">
        <v>5</v>
      </c>
    </row>
    <row r="1230" spans="1:9" ht="15.6" x14ac:dyDescent="0.3">
      <c r="A1230" s="9">
        <v>1229</v>
      </c>
      <c r="B1230" s="2" t="s">
        <v>1235</v>
      </c>
      <c r="C1230" s="11">
        <v>18</v>
      </c>
      <c r="D1230" s="12">
        <v>16.666666666666664</v>
      </c>
      <c r="E1230" s="12" t="s">
        <v>8219</v>
      </c>
      <c r="F1230" s="13">
        <v>6</v>
      </c>
      <c r="G1230" s="14">
        <v>1775.23</v>
      </c>
      <c r="H1230" t="s">
        <v>3285</v>
      </c>
      <c r="I1230">
        <v>5</v>
      </c>
    </row>
    <row r="1231" spans="1:9" ht="15.6" x14ac:dyDescent="0.3">
      <c r="A1231" s="9">
        <v>1230</v>
      </c>
      <c r="B1231" s="2" t="s">
        <v>1236</v>
      </c>
      <c r="C1231" s="11">
        <v>16</v>
      </c>
      <c r="D1231" s="12">
        <v>33.333333333333329</v>
      </c>
      <c r="E1231" s="12" t="s">
        <v>8219</v>
      </c>
      <c r="F1231" s="13">
        <v>6</v>
      </c>
      <c r="G1231" s="14">
        <v>1751.1999999999998</v>
      </c>
      <c r="H1231" t="s">
        <v>2261</v>
      </c>
      <c r="I1231">
        <v>5</v>
      </c>
    </row>
    <row r="1232" spans="1:9" ht="15.6" x14ac:dyDescent="0.3">
      <c r="A1232" s="9">
        <v>1231</v>
      </c>
      <c r="B1232" s="2" t="s">
        <v>1237</v>
      </c>
      <c r="C1232" s="11">
        <v>16</v>
      </c>
      <c r="D1232" s="12">
        <v>33.333333333333329</v>
      </c>
      <c r="E1232" s="12" t="s">
        <v>8219</v>
      </c>
      <c r="F1232" s="13">
        <v>6</v>
      </c>
      <c r="G1232" s="14">
        <v>1791.23</v>
      </c>
      <c r="H1232" t="s">
        <v>1237</v>
      </c>
      <c r="I1232">
        <v>5</v>
      </c>
    </row>
    <row r="1233" spans="1:9" ht="15.6" x14ac:dyDescent="0.3">
      <c r="A1233" s="9">
        <v>1232</v>
      </c>
      <c r="B1233" s="2" t="s">
        <v>1238</v>
      </c>
      <c r="C1233" s="11">
        <v>10</v>
      </c>
      <c r="D1233" s="12">
        <v>16.666666666666664</v>
      </c>
      <c r="E1233" s="12" t="s">
        <v>8219</v>
      </c>
      <c r="F1233" s="13">
        <v>6</v>
      </c>
      <c r="G1233" s="14">
        <v>1766.21</v>
      </c>
      <c r="H1233" t="s">
        <v>213</v>
      </c>
      <c r="I1233">
        <v>4</v>
      </c>
    </row>
    <row r="1234" spans="1:9" ht="15.6" x14ac:dyDescent="0.3">
      <c r="A1234" s="9">
        <v>1233</v>
      </c>
      <c r="B1234" s="2" t="s">
        <v>1239</v>
      </c>
      <c r="C1234" s="11">
        <v>24</v>
      </c>
      <c r="D1234" s="12">
        <v>33.333333333333329</v>
      </c>
      <c r="E1234" s="12" t="s">
        <v>8219</v>
      </c>
      <c r="F1234" s="13">
        <v>6</v>
      </c>
      <c r="G1234" s="14">
        <v>1760.2199999999998</v>
      </c>
      <c r="H1234" t="s">
        <v>3989</v>
      </c>
      <c r="I1234">
        <v>6</v>
      </c>
    </row>
    <row r="1235" spans="1:9" ht="15.6" x14ac:dyDescent="0.3">
      <c r="A1235" s="9">
        <v>1234</v>
      </c>
      <c r="B1235" s="2" t="s">
        <v>1240</v>
      </c>
      <c r="C1235" s="11">
        <v>22</v>
      </c>
      <c r="D1235" s="12">
        <v>50</v>
      </c>
      <c r="E1235" s="12" t="s">
        <v>8219</v>
      </c>
      <c r="F1235" s="13">
        <v>6</v>
      </c>
      <c r="G1235" s="14">
        <v>1736.19</v>
      </c>
      <c r="H1235" t="s">
        <v>2965</v>
      </c>
      <c r="I1235">
        <v>6</v>
      </c>
    </row>
    <row r="1236" spans="1:9" ht="15.6" x14ac:dyDescent="0.3">
      <c r="A1236" s="9">
        <v>1235</v>
      </c>
      <c r="B1236" s="2" t="s">
        <v>1241</v>
      </c>
      <c r="C1236" s="11">
        <v>22</v>
      </c>
      <c r="D1236" s="12">
        <v>50</v>
      </c>
      <c r="E1236" s="12" t="s">
        <v>8219</v>
      </c>
      <c r="F1236" s="13">
        <v>6</v>
      </c>
      <c r="G1236" s="14">
        <v>1776.2199999999998</v>
      </c>
      <c r="H1236" t="s">
        <v>1941</v>
      </c>
      <c r="I1236">
        <v>6</v>
      </c>
    </row>
    <row r="1237" spans="1:9" ht="15.6" x14ac:dyDescent="0.3">
      <c r="A1237" s="9">
        <v>1236</v>
      </c>
      <c r="B1237" s="2" t="s">
        <v>1242</v>
      </c>
      <c r="C1237" s="11">
        <v>16</v>
      </c>
      <c r="D1237" s="12">
        <v>33.333333333333329</v>
      </c>
      <c r="E1237" s="12" t="s">
        <v>8219</v>
      </c>
      <c r="F1237" s="13">
        <v>6</v>
      </c>
      <c r="G1237" s="14">
        <v>1751.1999999999998</v>
      </c>
      <c r="H1237" t="s">
        <v>917</v>
      </c>
      <c r="I1237">
        <v>5</v>
      </c>
    </row>
    <row r="1238" spans="1:9" ht="15.6" x14ac:dyDescent="0.3">
      <c r="A1238" s="9">
        <v>1237</v>
      </c>
      <c r="B1238" s="2" t="s">
        <v>1243</v>
      </c>
      <c r="C1238" s="11">
        <v>22</v>
      </c>
      <c r="D1238" s="12">
        <v>50</v>
      </c>
      <c r="E1238" s="12" t="s">
        <v>8219</v>
      </c>
      <c r="F1238" s="13">
        <v>6</v>
      </c>
      <c r="G1238" s="14">
        <v>1736.19</v>
      </c>
      <c r="H1238" t="s">
        <v>3733</v>
      </c>
      <c r="I1238">
        <v>6</v>
      </c>
    </row>
    <row r="1239" spans="1:9" ht="15.6" x14ac:dyDescent="0.3">
      <c r="A1239" s="9">
        <v>1238</v>
      </c>
      <c r="B1239" s="2" t="s">
        <v>1244</v>
      </c>
      <c r="C1239" s="11">
        <v>20</v>
      </c>
      <c r="D1239" s="12">
        <v>66.666666666666657</v>
      </c>
      <c r="E1239" s="12" t="s">
        <v>8220</v>
      </c>
      <c r="F1239" s="13">
        <v>6</v>
      </c>
      <c r="G1239" s="14">
        <v>1712.1599999999999</v>
      </c>
      <c r="H1239" t="s">
        <v>2709</v>
      </c>
      <c r="I1239">
        <v>6</v>
      </c>
    </row>
    <row r="1240" spans="1:9" ht="15.6" x14ac:dyDescent="0.3">
      <c r="A1240" s="9">
        <v>1239</v>
      </c>
      <c r="B1240" s="2" t="s">
        <v>1245</v>
      </c>
      <c r="C1240" s="11">
        <v>20</v>
      </c>
      <c r="D1240" s="12">
        <v>66.666666666666657</v>
      </c>
      <c r="E1240" s="12" t="s">
        <v>8220</v>
      </c>
      <c r="F1240" s="13">
        <v>6</v>
      </c>
      <c r="G1240" s="14">
        <v>1752.19</v>
      </c>
      <c r="H1240" t="s">
        <v>1685</v>
      </c>
      <c r="I1240">
        <v>6</v>
      </c>
    </row>
    <row r="1241" spans="1:9" ht="15.6" x14ac:dyDescent="0.3">
      <c r="A1241" s="9">
        <v>1240</v>
      </c>
      <c r="B1241" s="2" t="s">
        <v>1246</v>
      </c>
      <c r="C1241" s="11">
        <v>14</v>
      </c>
      <c r="D1241" s="12">
        <v>50</v>
      </c>
      <c r="E1241" s="12" t="s">
        <v>8219</v>
      </c>
      <c r="F1241" s="13">
        <v>6</v>
      </c>
      <c r="G1241" s="14">
        <v>1727.17</v>
      </c>
      <c r="H1241" t="s">
        <v>661</v>
      </c>
      <c r="I1241">
        <v>5</v>
      </c>
    </row>
    <row r="1242" spans="1:9" ht="15.6" x14ac:dyDescent="0.3">
      <c r="A1242" s="9">
        <v>1241</v>
      </c>
      <c r="B1242" s="2" t="s">
        <v>1247</v>
      </c>
      <c r="C1242" s="11">
        <v>22</v>
      </c>
      <c r="D1242" s="12">
        <v>50</v>
      </c>
      <c r="E1242" s="12" t="s">
        <v>8219</v>
      </c>
      <c r="F1242" s="13">
        <v>6</v>
      </c>
      <c r="G1242" s="14">
        <v>1776.2199999999998</v>
      </c>
      <c r="H1242" t="s">
        <v>3477</v>
      </c>
      <c r="I1242">
        <v>6</v>
      </c>
    </row>
    <row r="1243" spans="1:9" ht="15.6" x14ac:dyDescent="0.3">
      <c r="A1243" s="9">
        <v>1242</v>
      </c>
      <c r="B1243" s="2" t="s">
        <v>1248</v>
      </c>
      <c r="C1243" s="11">
        <v>20</v>
      </c>
      <c r="D1243" s="12">
        <v>66.666666666666657</v>
      </c>
      <c r="E1243" s="12" t="s">
        <v>8220</v>
      </c>
      <c r="F1243" s="13">
        <v>6</v>
      </c>
      <c r="G1243" s="14">
        <v>1752.19</v>
      </c>
      <c r="H1243" t="s">
        <v>2453</v>
      </c>
      <c r="I1243">
        <v>6</v>
      </c>
    </row>
    <row r="1244" spans="1:9" ht="15.6" x14ac:dyDescent="0.3">
      <c r="A1244" s="9">
        <v>1243</v>
      </c>
      <c r="B1244" s="2" t="s">
        <v>1249</v>
      </c>
      <c r="C1244" s="11">
        <v>20</v>
      </c>
      <c r="D1244" s="12">
        <v>66.666666666666657</v>
      </c>
      <c r="E1244" s="12" t="s">
        <v>8220</v>
      </c>
      <c r="F1244" s="13">
        <v>6</v>
      </c>
      <c r="G1244" s="14">
        <v>1792.2199999999998</v>
      </c>
      <c r="H1244" t="s">
        <v>1429</v>
      </c>
      <c r="I1244">
        <v>6</v>
      </c>
    </row>
    <row r="1245" spans="1:9" ht="15.6" x14ac:dyDescent="0.3">
      <c r="A1245" s="9">
        <v>1244</v>
      </c>
      <c r="B1245" s="2" t="s">
        <v>1250</v>
      </c>
      <c r="C1245" s="11">
        <v>14</v>
      </c>
      <c r="D1245" s="12">
        <v>50</v>
      </c>
      <c r="E1245" s="12" t="s">
        <v>8219</v>
      </c>
      <c r="F1245" s="13">
        <v>6</v>
      </c>
      <c r="G1245" s="14">
        <v>1767.1999999999998</v>
      </c>
      <c r="H1245" t="s">
        <v>405</v>
      </c>
      <c r="I1245">
        <v>5</v>
      </c>
    </row>
    <row r="1246" spans="1:9" ht="15.6" x14ac:dyDescent="0.3">
      <c r="A1246" s="9">
        <v>1245</v>
      </c>
      <c r="B1246" s="2" t="s">
        <v>1251</v>
      </c>
      <c r="C1246" s="11">
        <v>16</v>
      </c>
      <c r="D1246" s="12">
        <v>33.333333333333329</v>
      </c>
      <c r="E1246" s="12" t="s">
        <v>8219</v>
      </c>
      <c r="F1246" s="13">
        <v>6</v>
      </c>
      <c r="G1246" s="14">
        <v>1751.1999999999998</v>
      </c>
      <c r="H1246" t="s">
        <v>3221</v>
      </c>
      <c r="I1246">
        <v>5</v>
      </c>
    </row>
    <row r="1247" spans="1:9" ht="15.6" x14ac:dyDescent="0.3">
      <c r="A1247" s="9">
        <v>1246</v>
      </c>
      <c r="B1247" s="2" t="s">
        <v>1252</v>
      </c>
      <c r="C1247" s="11">
        <v>14</v>
      </c>
      <c r="D1247" s="12">
        <v>50</v>
      </c>
      <c r="E1247" s="12" t="s">
        <v>8219</v>
      </c>
      <c r="F1247" s="13">
        <v>6</v>
      </c>
      <c r="G1247" s="14">
        <v>1727.17</v>
      </c>
      <c r="H1247" t="s">
        <v>2197</v>
      </c>
      <c r="I1247">
        <v>5</v>
      </c>
    </row>
    <row r="1248" spans="1:9" ht="15.6" x14ac:dyDescent="0.3">
      <c r="A1248" s="9">
        <v>1247</v>
      </c>
      <c r="B1248" s="2" t="s">
        <v>1253</v>
      </c>
      <c r="C1248" s="11">
        <v>14</v>
      </c>
      <c r="D1248" s="12">
        <v>50</v>
      </c>
      <c r="E1248" s="12" t="s">
        <v>8219</v>
      </c>
      <c r="F1248" s="13">
        <v>6</v>
      </c>
      <c r="G1248" s="14">
        <v>1767.1999999999998</v>
      </c>
      <c r="H1248" t="s">
        <v>1173</v>
      </c>
      <c r="I1248">
        <v>5</v>
      </c>
    </row>
    <row r="1249" spans="1:9" ht="15.6" x14ac:dyDescent="0.3">
      <c r="A1249" s="9">
        <v>1248</v>
      </c>
      <c r="B1249" s="2" t="s">
        <v>1254</v>
      </c>
      <c r="C1249" s="11">
        <v>8</v>
      </c>
      <c r="D1249" s="12">
        <v>33.333333333333329</v>
      </c>
      <c r="E1249" s="12" t="s">
        <v>8219</v>
      </c>
      <c r="F1249" s="13">
        <v>6</v>
      </c>
      <c r="G1249" s="14">
        <v>1742.1799999999998</v>
      </c>
      <c r="H1249" t="s">
        <v>149</v>
      </c>
      <c r="I1249">
        <v>4</v>
      </c>
    </row>
    <row r="1250" spans="1:9" ht="15.6" x14ac:dyDescent="0.3">
      <c r="A1250" s="9">
        <v>1249</v>
      </c>
      <c r="B1250" s="2" t="s">
        <v>1255</v>
      </c>
      <c r="C1250" s="11">
        <v>24</v>
      </c>
      <c r="D1250" s="12">
        <v>33.333333333333329</v>
      </c>
      <c r="E1250" s="12" t="s">
        <v>8219</v>
      </c>
      <c r="F1250" s="13">
        <v>6</v>
      </c>
      <c r="G1250" s="14">
        <v>1800.25</v>
      </c>
      <c r="H1250" t="s">
        <v>3925</v>
      </c>
      <c r="I1250">
        <v>6</v>
      </c>
    </row>
    <row r="1251" spans="1:9" ht="15.6" x14ac:dyDescent="0.3">
      <c r="A1251" s="9">
        <v>1250</v>
      </c>
      <c r="B1251" s="2" t="s">
        <v>1256</v>
      </c>
      <c r="C1251" s="11">
        <v>22</v>
      </c>
      <c r="D1251" s="12">
        <v>50</v>
      </c>
      <c r="E1251" s="12" t="s">
        <v>8219</v>
      </c>
      <c r="F1251" s="13">
        <v>6</v>
      </c>
      <c r="G1251" s="14">
        <v>1776.2199999999998</v>
      </c>
      <c r="H1251" t="s">
        <v>2901</v>
      </c>
      <c r="I1251">
        <v>6</v>
      </c>
    </row>
    <row r="1252" spans="1:9" ht="15.6" x14ac:dyDescent="0.3">
      <c r="A1252" s="9">
        <v>1251</v>
      </c>
      <c r="B1252" s="2" t="s">
        <v>1257</v>
      </c>
      <c r="C1252" s="11">
        <v>22</v>
      </c>
      <c r="D1252" s="12">
        <v>50</v>
      </c>
      <c r="E1252" s="12" t="s">
        <v>8219</v>
      </c>
      <c r="F1252" s="13">
        <v>6</v>
      </c>
      <c r="G1252" s="14">
        <v>1816.25</v>
      </c>
      <c r="H1252" t="s">
        <v>1877</v>
      </c>
      <c r="I1252">
        <v>6</v>
      </c>
    </row>
    <row r="1253" spans="1:9" ht="15.6" x14ac:dyDescent="0.3">
      <c r="A1253" s="9">
        <v>1252</v>
      </c>
      <c r="B1253" s="2" t="s">
        <v>1258</v>
      </c>
      <c r="C1253" s="11">
        <v>16</v>
      </c>
      <c r="D1253" s="12">
        <v>33.333333333333329</v>
      </c>
      <c r="E1253" s="12" t="s">
        <v>8219</v>
      </c>
      <c r="F1253" s="13">
        <v>6</v>
      </c>
      <c r="G1253" s="14">
        <v>1791.23</v>
      </c>
      <c r="H1253" t="s">
        <v>853</v>
      </c>
      <c r="I1253">
        <v>5</v>
      </c>
    </row>
    <row r="1254" spans="1:9" ht="15.6" x14ac:dyDescent="0.3">
      <c r="A1254" s="9">
        <v>1253</v>
      </c>
      <c r="B1254" s="2" t="s">
        <v>1259</v>
      </c>
      <c r="C1254" s="11">
        <v>22</v>
      </c>
      <c r="D1254" s="12">
        <v>50</v>
      </c>
      <c r="E1254" s="12" t="s">
        <v>8219</v>
      </c>
      <c r="F1254" s="13">
        <v>6</v>
      </c>
      <c r="G1254" s="14">
        <v>1776.2199999999998</v>
      </c>
      <c r="H1254" t="s">
        <v>3669</v>
      </c>
      <c r="I1254">
        <v>6</v>
      </c>
    </row>
    <row r="1255" spans="1:9" ht="15.6" x14ac:dyDescent="0.3">
      <c r="A1255" s="9">
        <v>1254</v>
      </c>
      <c r="B1255" s="2" t="s">
        <v>1260</v>
      </c>
      <c r="C1255" s="11">
        <v>20</v>
      </c>
      <c r="D1255" s="12">
        <v>66.666666666666657</v>
      </c>
      <c r="E1255" s="12" t="s">
        <v>8220</v>
      </c>
      <c r="F1255" s="13">
        <v>6</v>
      </c>
      <c r="G1255" s="14">
        <v>1752.19</v>
      </c>
      <c r="H1255" t="s">
        <v>2645</v>
      </c>
      <c r="I1255">
        <v>6</v>
      </c>
    </row>
    <row r="1256" spans="1:9" ht="15.6" x14ac:dyDescent="0.3">
      <c r="A1256" s="9">
        <v>1255</v>
      </c>
      <c r="B1256" s="2" t="s">
        <v>1261</v>
      </c>
      <c r="C1256" s="11">
        <v>20</v>
      </c>
      <c r="D1256" s="12">
        <v>66.666666666666657</v>
      </c>
      <c r="E1256" s="12" t="s">
        <v>8220</v>
      </c>
      <c r="F1256" s="13">
        <v>6</v>
      </c>
      <c r="G1256" s="14">
        <v>1792.2199999999998</v>
      </c>
      <c r="H1256" t="s">
        <v>1621</v>
      </c>
      <c r="I1256">
        <v>6</v>
      </c>
    </row>
    <row r="1257" spans="1:9" ht="15.6" x14ac:dyDescent="0.3">
      <c r="A1257" s="9">
        <v>1256</v>
      </c>
      <c r="B1257" s="2" t="s">
        <v>1262</v>
      </c>
      <c r="C1257" s="11">
        <v>14</v>
      </c>
      <c r="D1257" s="12">
        <v>50</v>
      </c>
      <c r="E1257" s="12" t="s">
        <v>8219</v>
      </c>
      <c r="F1257" s="13">
        <v>6</v>
      </c>
      <c r="G1257" s="14">
        <v>1767.1999999999998</v>
      </c>
      <c r="H1257" t="s">
        <v>597</v>
      </c>
      <c r="I1257">
        <v>5</v>
      </c>
    </row>
    <row r="1258" spans="1:9" ht="15.6" x14ac:dyDescent="0.3">
      <c r="A1258" s="9">
        <v>1257</v>
      </c>
      <c r="B1258" s="2" t="s">
        <v>1263</v>
      </c>
      <c r="C1258" s="11">
        <v>22</v>
      </c>
      <c r="D1258" s="12">
        <v>50</v>
      </c>
      <c r="E1258" s="12" t="s">
        <v>8219</v>
      </c>
      <c r="F1258" s="13">
        <v>6</v>
      </c>
      <c r="G1258" s="14">
        <v>1816.25</v>
      </c>
      <c r="H1258" t="s">
        <v>3413</v>
      </c>
      <c r="I1258">
        <v>6</v>
      </c>
    </row>
    <row r="1259" spans="1:9" ht="15.6" x14ac:dyDescent="0.3">
      <c r="A1259" s="9">
        <v>1258</v>
      </c>
      <c r="B1259" s="2" t="s">
        <v>1264</v>
      </c>
      <c r="C1259" s="11">
        <v>20</v>
      </c>
      <c r="D1259" s="12">
        <v>66.666666666666657</v>
      </c>
      <c r="E1259" s="12" t="s">
        <v>8220</v>
      </c>
      <c r="F1259" s="13">
        <v>6</v>
      </c>
      <c r="G1259" s="14">
        <v>1792.2199999999998</v>
      </c>
      <c r="H1259" t="s">
        <v>2389</v>
      </c>
      <c r="I1259">
        <v>6</v>
      </c>
    </row>
    <row r="1260" spans="1:9" ht="15.6" x14ac:dyDescent="0.3">
      <c r="A1260" s="9">
        <v>1259</v>
      </c>
      <c r="B1260" s="2" t="s">
        <v>1265</v>
      </c>
      <c r="C1260" s="11">
        <v>20</v>
      </c>
      <c r="D1260" s="12">
        <v>66.666666666666657</v>
      </c>
      <c r="E1260" s="12" t="s">
        <v>8220</v>
      </c>
      <c r="F1260" s="13">
        <v>6</v>
      </c>
      <c r="G1260" s="14">
        <v>1832.25</v>
      </c>
      <c r="H1260" t="s">
        <v>1365</v>
      </c>
      <c r="I1260">
        <v>6</v>
      </c>
    </row>
    <row r="1261" spans="1:9" ht="15.6" x14ac:dyDescent="0.3">
      <c r="A1261" s="9">
        <v>1260</v>
      </c>
      <c r="B1261" s="2" t="s">
        <v>1266</v>
      </c>
      <c r="C1261" s="11">
        <v>14</v>
      </c>
      <c r="D1261" s="12">
        <v>50</v>
      </c>
      <c r="E1261" s="12" t="s">
        <v>8219</v>
      </c>
      <c r="F1261" s="13">
        <v>6</v>
      </c>
      <c r="G1261" s="14">
        <v>1807.23</v>
      </c>
      <c r="H1261" t="s">
        <v>341</v>
      </c>
      <c r="I1261">
        <v>5</v>
      </c>
    </row>
    <row r="1262" spans="1:9" ht="15.6" x14ac:dyDescent="0.3">
      <c r="A1262" s="9">
        <v>1261</v>
      </c>
      <c r="B1262" s="2" t="s">
        <v>1267</v>
      </c>
      <c r="C1262" s="11">
        <v>16</v>
      </c>
      <c r="D1262" s="12">
        <v>33.333333333333329</v>
      </c>
      <c r="E1262" s="12" t="s">
        <v>8219</v>
      </c>
      <c r="F1262" s="13">
        <v>6</v>
      </c>
      <c r="G1262" s="14">
        <v>1791.23</v>
      </c>
      <c r="H1262" t="s">
        <v>3157</v>
      </c>
      <c r="I1262">
        <v>5</v>
      </c>
    </row>
    <row r="1263" spans="1:9" ht="15.6" x14ac:dyDescent="0.3">
      <c r="A1263" s="9">
        <v>1262</v>
      </c>
      <c r="B1263" s="2" t="s">
        <v>1268</v>
      </c>
      <c r="C1263" s="11">
        <v>14</v>
      </c>
      <c r="D1263" s="12">
        <v>50</v>
      </c>
      <c r="E1263" s="12" t="s">
        <v>8219</v>
      </c>
      <c r="F1263" s="13">
        <v>6</v>
      </c>
      <c r="G1263" s="14">
        <v>1767.1999999999998</v>
      </c>
      <c r="H1263" t="s">
        <v>2133</v>
      </c>
      <c r="I1263">
        <v>5</v>
      </c>
    </row>
    <row r="1264" spans="1:9" ht="15.6" x14ac:dyDescent="0.3">
      <c r="A1264" s="9">
        <v>1263</v>
      </c>
      <c r="B1264" s="2" t="s">
        <v>1269</v>
      </c>
      <c r="C1264" s="11">
        <v>14</v>
      </c>
      <c r="D1264" s="12">
        <v>50</v>
      </c>
      <c r="E1264" s="12" t="s">
        <v>8219</v>
      </c>
      <c r="F1264" s="13">
        <v>6</v>
      </c>
      <c r="G1264" s="14">
        <v>1807.23</v>
      </c>
      <c r="H1264" t="s">
        <v>1109</v>
      </c>
      <c r="I1264">
        <v>5</v>
      </c>
    </row>
    <row r="1265" spans="1:9" ht="15.6" x14ac:dyDescent="0.3">
      <c r="A1265" s="9">
        <v>1264</v>
      </c>
      <c r="B1265" s="2" t="s">
        <v>1270</v>
      </c>
      <c r="C1265" s="11">
        <v>8</v>
      </c>
      <c r="D1265" s="12">
        <v>33.333333333333329</v>
      </c>
      <c r="E1265" s="12" t="s">
        <v>8219</v>
      </c>
      <c r="F1265" s="13">
        <v>6</v>
      </c>
      <c r="G1265" s="14">
        <v>1782.21</v>
      </c>
      <c r="H1265" t="s">
        <v>85</v>
      </c>
      <c r="I1265">
        <v>4</v>
      </c>
    </row>
    <row r="1266" spans="1:9" ht="15.6" x14ac:dyDescent="0.3">
      <c r="A1266" s="9">
        <v>1265</v>
      </c>
      <c r="B1266" s="2" t="s">
        <v>1271</v>
      </c>
      <c r="C1266" s="11">
        <v>18</v>
      </c>
      <c r="D1266" s="12">
        <v>16.666666666666664</v>
      </c>
      <c r="E1266" s="12" t="s">
        <v>8219</v>
      </c>
      <c r="F1266" s="13">
        <v>6</v>
      </c>
      <c r="G1266" s="14">
        <v>1775.23</v>
      </c>
      <c r="H1266" t="s">
        <v>3861</v>
      </c>
      <c r="I1266">
        <v>5</v>
      </c>
    </row>
    <row r="1267" spans="1:9" ht="15.6" x14ac:dyDescent="0.3">
      <c r="A1267" s="9">
        <v>1266</v>
      </c>
      <c r="B1267" s="2" t="s">
        <v>1272</v>
      </c>
      <c r="C1267" s="11">
        <v>16</v>
      </c>
      <c r="D1267" s="12">
        <v>33.333333333333329</v>
      </c>
      <c r="E1267" s="12" t="s">
        <v>8219</v>
      </c>
      <c r="F1267" s="13">
        <v>6</v>
      </c>
      <c r="G1267" s="14">
        <v>1751.1999999999998</v>
      </c>
      <c r="H1267" t="s">
        <v>2837</v>
      </c>
      <c r="I1267">
        <v>5</v>
      </c>
    </row>
    <row r="1268" spans="1:9" ht="15.6" x14ac:dyDescent="0.3">
      <c r="A1268" s="9">
        <v>1267</v>
      </c>
      <c r="B1268" s="2" t="s">
        <v>1273</v>
      </c>
      <c r="C1268" s="11">
        <v>16</v>
      </c>
      <c r="D1268" s="12">
        <v>33.333333333333329</v>
      </c>
      <c r="E1268" s="12" t="s">
        <v>8219</v>
      </c>
      <c r="F1268" s="13">
        <v>6</v>
      </c>
      <c r="G1268" s="14">
        <v>1791.23</v>
      </c>
      <c r="H1268" t="s">
        <v>1813</v>
      </c>
      <c r="I1268">
        <v>5</v>
      </c>
    </row>
    <row r="1269" spans="1:9" ht="15.6" x14ac:dyDescent="0.3">
      <c r="A1269" s="9">
        <v>1268</v>
      </c>
      <c r="B1269" s="2" t="s">
        <v>1274</v>
      </c>
      <c r="C1269" s="11">
        <v>10</v>
      </c>
      <c r="D1269" s="12">
        <v>16.666666666666664</v>
      </c>
      <c r="E1269" s="12" t="s">
        <v>8219</v>
      </c>
      <c r="F1269" s="13">
        <v>6</v>
      </c>
      <c r="G1269" s="14">
        <v>1766.21</v>
      </c>
      <c r="H1269" t="s">
        <v>789</v>
      </c>
      <c r="I1269">
        <v>4</v>
      </c>
    </row>
    <row r="1270" spans="1:9" ht="15.6" x14ac:dyDescent="0.3">
      <c r="A1270" s="9">
        <v>1269</v>
      </c>
      <c r="B1270" s="2" t="s">
        <v>1275</v>
      </c>
      <c r="C1270" s="11">
        <v>16</v>
      </c>
      <c r="D1270" s="12">
        <v>33.333333333333329</v>
      </c>
      <c r="E1270" s="12" t="s">
        <v>8219</v>
      </c>
      <c r="F1270" s="13">
        <v>6</v>
      </c>
      <c r="G1270" s="14">
        <v>1751.1999999999998</v>
      </c>
      <c r="H1270" t="s">
        <v>3605</v>
      </c>
      <c r="I1270">
        <v>5</v>
      </c>
    </row>
    <row r="1271" spans="1:9" ht="15.6" x14ac:dyDescent="0.3">
      <c r="A1271" s="9">
        <v>1270</v>
      </c>
      <c r="B1271" s="2" t="s">
        <v>1276</v>
      </c>
      <c r="C1271" s="11">
        <v>14</v>
      </c>
      <c r="D1271" s="12">
        <v>50</v>
      </c>
      <c r="E1271" s="12" t="s">
        <v>8219</v>
      </c>
      <c r="F1271" s="13">
        <v>6</v>
      </c>
      <c r="G1271" s="14">
        <v>1727.17</v>
      </c>
      <c r="H1271" t="s">
        <v>2581</v>
      </c>
      <c r="I1271">
        <v>5</v>
      </c>
    </row>
    <row r="1272" spans="1:9" ht="15.6" x14ac:dyDescent="0.3">
      <c r="A1272" s="9">
        <v>1271</v>
      </c>
      <c r="B1272" s="2" t="s">
        <v>1277</v>
      </c>
      <c r="C1272" s="11">
        <v>14</v>
      </c>
      <c r="D1272" s="12">
        <v>50</v>
      </c>
      <c r="E1272" s="12" t="s">
        <v>8219</v>
      </c>
      <c r="F1272" s="13">
        <v>6</v>
      </c>
      <c r="G1272" s="14">
        <v>1767.1999999999998</v>
      </c>
      <c r="H1272" t="s">
        <v>1557</v>
      </c>
      <c r="I1272">
        <v>5</v>
      </c>
    </row>
    <row r="1273" spans="1:9" ht="15.6" x14ac:dyDescent="0.3">
      <c r="A1273" s="9">
        <v>1272</v>
      </c>
      <c r="B1273" s="2" t="s">
        <v>1278</v>
      </c>
      <c r="C1273" s="11">
        <v>8</v>
      </c>
      <c r="D1273" s="12">
        <v>33.333333333333329</v>
      </c>
      <c r="E1273" s="12" t="s">
        <v>8219</v>
      </c>
      <c r="F1273" s="13">
        <v>6</v>
      </c>
      <c r="G1273" s="14">
        <v>1742.1799999999998</v>
      </c>
      <c r="H1273" t="s">
        <v>533</v>
      </c>
      <c r="I1273">
        <v>4</v>
      </c>
    </row>
    <row r="1274" spans="1:9" ht="15.6" x14ac:dyDescent="0.3">
      <c r="A1274" s="9">
        <v>1273</v>
      </c>
      <c r="B1274" s="2" t="s">
        <v>1279</v>
      </c>
      <c r="C1274" s="11">
        <v>16</v>
      </c>
      <c r="D1274" s="12">
        <v>33.333333333333329</v>
      </c>
      <c r="E1274" s="12" t="s">
        <v>8219</v>
      </c>
      <c r="F1274" s="13">
        <v>6</v>
      </c>
      <c r="G1274" s="14">
        <v>1791.23</v>
      </c>
      <c r="H1274" t="s">
        <v>3349</v>
      </c>
      <c r="I1274">
        <v>5</v>
      </c>
    </row>
    <row r="1275" spans="1:9" ht="15.6" x14ac:dyDescent="0.3">
      <c r="A1275" s="9">
        <v>1274</v>
      </c>
      <c r="B1275" s="2" t="s">
        <v>1280</v>
      </c>
      <c r="C1275" s="11">
        <v>14</v>
      </c>
      <c r="D1275" s="12">
        <v>50</v>
      </c>
      <c r="E1275" s="12" t="s">
        <v>8219</v>
      </c>
      <c r="F1275" s="13">
        <v>6</v>
      </c>
      <c r="G1275" s="14">
        <v>1767.1999999999998</v>
      </c>
      <c r="H1275" t="s">
        <v>2325</v>
      </c>
      <c r="I1275">
        <v>5</v>
      </c>
    </row>
    <row r="1276" spans="1:9" ht="15.6" x14ac:dyDescent="0.3">
      <c r="A1276" s="9">
        <v>1275</v>
      </c>
      <c r="B1276" s="2" t="s">
        <v>1281</v>
      </c>
      <c r="C1276" s="11">
        <v>14</v>
      </c>
      <c r="D1276" s="12">
        <v>50</v>
      </c>
      <c r="E1276" s="12" t="s">
        <v>8219</v>
      </c>
      <c r="F1276" s="13">
        <v>6</v>
      </c>
      <c r="G1276" s="14">
        <v>1807.23</v>
      </c>
      <c r="H1276" t="s">
        <v>1301</v>
      </c>
      <c r="I1276">
        <v>5</v>
      </c>
    </row>
    <row r="1277" spans="1:9" ht="15.6" x14ac:dyDescent="0.3">
      <c r="A1277" s="9">
        <v>1276</v>
      </c>
      <c r="B1277" s="2" t="s">
        <v>1282</v>
      </c>
      <c r="C1277" s="11">
        <v>8</v>
      </c>
      <c r="D1277" s="12">
        <v>33.333333333333329</v>
      </c>
      <c r="E1277" s="12" t="s">
        <v>8219</v>
      </c>
      <c r="F1277" s="13">
        <v>6</v>
      </c>
      <c r="G1277" s="14">
        <v>1782.21</v>
      </c>
      <c r="H1277" t="s">
        <v>277</v>
      </c>
      <c r="I1277">
        <v>4</v>
      </c>
    </row>
    <row r="1278" spans="1:9" ht="15.6" x14ac:dyDescent="0.3">
      <c r="A1278" s="9">
        <v>1277</v>
      </c>
      <c r="B1278" s="2" t="s">
        <v>1283</v>
      </c>
      <c r="C1278" s="11">
        <v>10</v>
      </c>
      <c r="D1278" s="12">
        <v>16.666666666666664</v>
      </c>
      <c r="E1278" s="12" t="s">
        <v>8219</v>
      </c>
      <c r="F1278" s="13">
        <v>6</v>
      </c>
      <c r="G1278" s="14">
        <v>1766.21</v>
      </c>
      <c r="H1278" t="s">
        <v>3093</v>
      </c>
      <c r="I1278">
        <v>4</v>
      </c>
    </row>
    <row r="1279" spans="1:9" ht="15.6" x14ac:dyDescent="0.3">
      <c r="A1279" s="9">
        <v>1278</v>
      </c>
      <c r="B1279" s="2" t="s">
        <v>1284</v>
      </c>
      <c r="C1279" s="11">
        <v>8</v>
      </c>
      <c r="D1279" s="12">
        <v>33.333333333333329</v>
      </c>
      <c r="E1279" s="12" t="s">
        <v>8219</v>
      </c>
      <c r="F1279" s="13">
        <v>6</v>
      </c>
      <c r="G1279" s="14">
        <v>1742.1799999999998</v>
      </c>
      <c r="H1279" t="s">
        <v>2069</v>
      </c>
      <c r="I1279">
        <v>4</v>
      </c>
    </row>
    <row r="1280" spans="1:9" ht="15.6" x14ac:dyDescent="0.3">
      <c r="A1280" s="9">
        <v>1279</v>
      </c>
      <c r="B1280" s="2" t="s">
        <v>1285</v>
      </c>
      <c r="C1280" s="11">
        <v>8</v>
      </c>
      <c r="D1280" s="12">
        <v>33.333333333333329</v>
      </c>
      <c r="E1280" s="12" t="s">
        <v>8219</v>
      </c>
      <c r="F1280" s="13">
        <v>6</v>
      </c>
      <c r="G1280" s="14">
        <v>1782.21</v>
      </c>
      <c r="H1280" t="s">
        <v>1045</v>
      </c>
      <c r="I1280">
        <v>4</v>
      </c>
    </row>
    <row r="1281" spans="1:9" ht="15.6" x14ac:dyDescent="0.3">
      <c r="A1281" s="9">
        <v>1280</v>
      </c>
      <c r="B1281" s="2" t="s">
        <v>1286</v>
      </c>
      <c r="C1281" s="11">
        <v>2</v>
      </c>
      <c r="D1281" s="12">
        <v>16.666666666666664</v>
      </c>
      <c r="E1281" s="12" t="s">
        <v>8219</v>
      </c>
      <c r="F1281" s="13">
        <v>6</v>
      </c>
      <c r="G1281" s="14">
        <v>1757.19</v>
      </c>
      <c r="H1281" t="s">
        <v>21</v>
      </c>
      <c r="I1281">
        <v>3</v>
      </c>
    </row>
    <row r="1282" spans="1:9" ht="15.6" x14ac:dyDescent="0.3">
      <c r="A1282" s="9">
        <v>1281</v>
      </c>
      <c r="B1282" s="2" t="s">
        <v>1287</v>
      </c>
      <c r="C1282" s="11">
        <v>32</v>
      </c>
      <c r="D1282" s="12">
        <v>33.333333333333329</v>
      </c>
      <c r="E1282" s="12" t="s">
        <v>8219</v>
      </c>
      <c r="F1282" s="13">
        <v>6</v>
      </c>
      <c r="G1282" s="14">
        <v>1769.2399999999998</v>
      </c>
      <c r="H1282" t="s">
        <v>4097</v>
      </c>
      <c r="I1282">
        <v>8</v>
      </c>
    </row>
    <row r="1283" spans="1:9" ht="15.6" x14ac:dyDescent="0.3">
      <c r="A1283" s="9">
        <v>1282</v>
      </c>
      <c r="B1283" s="2" t="s">
        <v>1288</v>
      </c>
      <c r="C1283" s="11">
        <v>30</v>
      </c>
      <c r="D1283" s="12">
        <v>50</v>
      </c>
      <c r="E1283" s="12" t="s">
        <v>8219</v>
      </c>
      <c r="F1283" s="13">
        <v>6</v>
      </c>
      <c r="G1283" s="14">
        <v>1745.21</v>
      </c>
      <c r="H1283" t="s">
        <v>3073</v>
      </c>
      <c r="I1283">
        <v>7</v>
      </c>
    </row>
    <row r="1284" spans="1:9" ht="15.6" x14ac:dyDescent="0.3">
      <c r="A1284" s="9">
        <v>1283</v>
      </c>
      <c r="B1284" s="2" t="s">
        <v>1289</v>
      </c>
      <c r="C1284" s="11">
        <v>30</v>
      </c>
      <c r="D1284" s="12">
        <v>50</v>
      </c>
      <c r="E1284" s="12" t="s">
        <v>8219</v>
      </c>
      <c r="F1284" s="13">
        <v>6</v>
      </c>
      <c r="G1284" s="14">
        <v>1785.2399999999998</v>
      </c>
      <c r="H1284" t="s">
        <v>2049</v>
      </c>
      <c r="I1284">
        <v>7</v>
      </c>
    </row>
    <row r="1285" spans="1:9" ht="15.6" x14ac:dyDescent="0.3">
      <c r="A1285" s="9">
        <v>1284</v>
      </c>
      <c r="B1285" s="2" t="s">
        <v>1290</v>
      </c>
      <c r="C1285" s="11">
        <v>24</v>
      </c>
      <c r="D1285" s="12">
        <v>33.333333333333329</v>
      </c>
      <c r="E1285" s="12" t="s">
        <v>8219</v>
      </c>
      <c r="F1285" s="13">
        <v>6</v>
      </c>
      <c r="G1285" s="14">
        <v>1760.2199999999998</v>
      </c>
      <c r="H1285" t="s">
        <v>1025</v>
      </c>
      <c r="I1285">
        <v>6</v>
      </c>
    </row>
    <row r="1286" spans="1:9" ht="15.6" x14ac:dyDescent="0.3">
      <c r="A1286" s="9">
        <v>1285</v>
      </c>
      <c r="B1286" s="2" t="s">
        <v>1291</v>
      </c>
      <c r="C1286" s="11">
        <v>30</v>
      </c>
      <c r="D1286" s="12">
        <v>50</v>
      </c>
      <c r="E1286" s="12" t="s">
        <v>8219</v>
      </c>
      <c r="F1286" s="13">
        <v>6</v>
      </c>
      <c r="G1286" s="14">
        <v>1745.21</v>
      </c>
      <c r="H1286" t="s">
        <v>3841</v>
      </c>
      <c r="I1286">
        <v>7</v>
      </c>
    </row>
    <row r="1287" spans="1:9" ht="15.6" x14ac:dyDescent="0.3">
      <c r="A1287" s="9">
        <v>1286</v>
      </c>
      <c r="B1287" s="2" t="s">
        <v>1292</v>
      </c>
      <c r="C1287" s="11">
        <v>28</v>
      </c>
      <c r="D1287" s="12">
        <v>66.666666666666657</v>
      </c>
      <c r="E1287" s="12" t="s">
        <v>8220</v>
      </c>
      <c r="F1287" s="13">
        <v>6</v>
      </c>
      <c r="G1287" s="14">
        <v>1721.1799999999998</v>
      </c>
      <c r="H1287" t="s">
        <v>2817</v>
      </c>
      <c r="I1287">
        <v>7</v>
      </c>
    </row>
    <row r="1288" spans="1:9" ht="15.6" x14ac:dyDescent="0.3">
      <c r="A1288" s="9">
        <v>1287</v>
      </c>
      <c r="B1288" s="2" t="s">
        <v>1293</v>
      </c>
      <c r="C1288" s="11">
        <v>28</v>
      </c>
      <c r="D1288" s="12">
        <v>66.666666666666657</v>
      </c>
      <c r="E1288" s="12" t="s">
        <v>8220</v>
      </c>
      <c r="F1288" s="13">
        <v>6</v>
      </c>
      <c r="G1288" s="14">
        <v>1761.21</v>
      </c>
      <c r="H1288" t="s">
        <v>1793</v>
      </c>
      <c r="I1288">
        <v>7</v>
      </c>
    </row>
    <row r="1289" spans="1:9" ht="15.6" x14ac:dyDescent="0.3">
      <c r="A1289" s="9">
        <v>1288</v>
      </c>
      <c r="B1289" s="2" t="s">
        <v>1294</v>
      </c>
      <c r="C1289" s="11">
        <v>22</v>
      </c>
      <c r="D1289" s="12">
        <v>50</v>
      </c>
      <c r="E1289" s="12" t="s">
        <v>8219</v>
      </c>
      <c r="F1289" s="13">
        <v>6</v>
      </c>
      <c r="G1289" s="14">
        <v>1736.19</v>
      </c>
      <c r="H1289" t="s">
        <v>769</v>
      </c>
      <c r="I1289">
        <v>6</v>
      </c>
    </row>
    <row r="1290" spans="1:9" ht="15.6" x14ac:dyDescent="0.3">
      <c r="A1290" s="9">
        <v>1289</v>
      </c>
      <c r="B1290" s="2" t="s">
        <v>1295</v>
      </c>
      <c r="C1290" s="11">
        <v>30</v>
      </c>
      <c r="D1290" s="12">
        <v>50</v>
      </c>
      <c r="E1290" s="12" t="s">
        <v>8219</v>
      </c>
      <c r="F1290" s="13">
        <v>6</v>
      </c>
      <c r="G1290" s="14">
        <v>1785.2399999999998</v>
      </c>
      <c r="H1290" t="s">
        <v>3585</v>
      </c>
      <c r="I1290">
        <v>7</v>
      </c>
    </row>
    <row r="1291" spans="1:9" ht="15.6" x14ac:dyDescent="0.3">
      <c r="A1291" s="9">
        <v>1290</v>
      </c>
      <c r="B1291" s="2" t="s">
        <v>1296</v>
      </c>
      <c r="C1291" s="11">
        <v>28</v>
      </c>
      <c r="D1291" s="12">
        <v>66.666666666666657</v>
      </c>
      <c r="E1291" s="12" t="s">
        <v>8220</v>
      </c>
      <c r="F1291" s="13">
        <v>6</v>
      </c>
      <c r="G1291" s="14">
        <v>1761.21</v>
      </c>
      <c r="H1291" t="s">
        <v>2561</v>
      </c>
      <c r="I1291">
        <v>7</v>
      </c>
    </row>
    <row r="1292" spans="1:9" ht="15.6" x14ac:dyDescent="0.3">
      <c r="A1292" s="9">
        <v>1291</v>
      </c>
      <c r="B1292" s="2" t="s">
        <v>1297</v>
      </c>
      <c r="C1292" s="11">
        <v>28</v>
      </c>
      <c r="D1292" s="12">
        <v>66.666666666666657</v>
      </c>
      <c r="E1292" s="12" t="s">
        <v>8220</v>
      </c>
      <c r="F1292" s="13">
        <v>6</v>
      </c>
      <c r="G1292" s="14">
        <v>1801.2399999999998</v>
      </c>
      <c r="H1292" t="s">
        <v>1537</v>
      </c>
      <c r="I1292">
        <v>7</v>
      </c>
    </row>
    <row r="1293" spans="1:9" ht="15.6" x14ac:dyDescent="0.3">
      <c r="A1293" s="9">
        <v>1292</v>
      </c>
      <c r="B1293" s="2" t="s">
        <v>1298</v>
      </c>
      <c r="C1293" s="11">
        <v>22</v>
      </c>
      <c r="D1293" s="12">
        <v>50</v>
      </c>
      <c r="E1293" s="12" t="s">
        <v>8219</v>
      </c>
      <c r="F1293" s="13">
        <v>6</v>
      </c>
      <c r="G1293" s="14">
        <v>1776.2199999999998</v>
      </c>
      <c r="H1293" t="s">
        <v>513</v>
      </c>
      <c r="I1293">
        <v>6</v>
      </c>
    </row>
    <row r="1294" spans="1:9" ht="15.6" x14ac:dyDescent="0.3">
      <c r="A1294" s="9">
        <v>1293</v>
      </c>
      <c r="B1294" s="2" t="s">
        <v>1299</v>
      </c>
      <c r="C1294" s="11">
        <v>24</v>
      </c>
      <c r="D1294" s="12">
        <v>33.333333333333329</v>
      </c>
      <c r="E1294" s="12" t="s">
        <v>8219</v>
      </c>
      <c r="F1294" s="13">
        <v>6</v>
      </c>
      <c r="G1294" s="14">
        <v>1760.2199999999998</v>
      </c>
      <c r="H1294" t="s">
        <v>3329</v>
      </c>
      <c r="I1294">
        <v>6</v>
      </c>
    </row>
    <row r="1295" spans="1:9" ht="15.6" x14ac:dyDescent="0.3">
      <c r="A1295" s="9">
        <v>1294</v>
      </c>
      <c r="B1295" s="2" t="s">
        <v>1300</v>
      </c>
      <c r="C1295" s="11">
        <v>22</v>
      </c>
      <c r="D1295" s="12">
        <v>50</v>
      </c>
      <c r="E1295" s="12" t="s">
        <v>8219</v>
      </c>
      <c r="F1295" s="13">
        <v>6</v>
      </c>
      <c r="G1295" s="14">
        <v>1736.19</v>
      </c>
      <c r="H1295" t="s">
        <v>2305</v>
      </c>
      <c r="I1295">
        <v>6</v>
      </c>
    </row>
    <row r="1296" spans="1:9" ht="15.6" x14ac:dyDescent="0.3">
      <c r="A1296" s="9">
        <v>1295</v>
      </c>
      <c r="B1296" s="2" t="s">
        <v>1301</v>
      </c>
      <c r="C1296" s="11">
        <v>22</v>
      </c>
      <c r="D1296" s="12">
        <v>50</v>
      </c>
      <c r="E1296" s="12" t="s">
        <v>8219</v>
      </c>
      <c r="F1296" s="13">
        <v>6</v>
      </c>
      <c r="G1296" s="14">
        <v>1776.2199999999998</v>
      </c>
      <c r="H1296" t="s">
        <v>1281</v>
      </c>
      <c r="I1296">
        <v>6</v>
      </c>
    </row>
    <row r="1297" spans="1:9" ht="15.6" x14ac:dyDescent="0.3">
      <c r="A1297" s="9">
        <v>1296</v>
      </c>
      <c r="B1297" s="2" t="s">
        <v>1302</v>
      </c>
      <c r="C1297" s="11">
        <v>16</v>
      </c>
      <c r="D1297" s="12">
        <v>33.333333333333329</v>
      </c>
      <c r="E1297" s="12" t="s">
        <v>8219</v>
      </c>
      <c r="F1297" s="13">
        <v>6</v>
      </c>
      <c r="G1297" s="14">
        <v>1751.1999999999998</v>
      </c>
      <c r="H1297" t="s">
        <v>257</v>
      </c>
      <c r="I1297">
        <v>5</v>
      </c>
    </row>
    <row r="1298" spans="1:9" ht="15.6" x14ac:dyDescent="0.3">
      <c r="A1298" s="9">
        <v>1297</v>
      </c>
      <c r="B1298" s="2" t="s">
        <v>1303</v>
      </c>
      <c r="C1298" s="11">
        <v>30</v>
      </c>
      <c r="D1298" s="12">
        <v>50</v>
      </c>
      <c r="E1298" s="12" t="s">
        <v>8219</v>
      </c>
      <c r="F1298" s="13">
        <v>6</v>
      </c>
      <c r="G1298" s="14">
        <v>1745.21</v>
      </c>
      <c r="H1298" t="s">
        <v>4033</v>
      </c>
      <c r="I1298">
        <v>7</v>
      </c>
    </row>
    <row r="1299" spans="1:9" ht="15.6" x14ac:dyDescent="0.3">
      <c r="A1299" s="9">
        <v>1298</v>
      </c>
      <c r="B1299" s="2" t="s">
        <v>1304</v>
      </c>
      <c r="C1299" s="11">
        <v>28</v>
      </c>
      <c r="D1299" s="12">
        <v>66.666666666666657</v>
      </c>
      <c r="E1299" s="12" t="s">
        <v>8220</v>
      </c>
      <c r="F1299" s="13">
        <v>6</v>
      </c>
      <c r="G1299" s="14">
        <v>1721.1799999999998</v>
      </c>
      <c r="H1299" t="s">
        <v>3009</v>
      </c>
      <c r="I1299">
        <v>7</v>
      </c>
    </row>
    <row r="1300" spans="1:9" ht="15.6" x14ac:dyDescent="0.3">
      <c r="A1300" s="9">
        <v>1299</v>
      </c>
      <c r="B1300" s="2" t="s">
        <v>1305</v>
      </c>
      <c r="C1300" s="11">
        <v>28</v>
      </c>
      <c r="D1300" s="12">
        <v>66.666666666666657</v>
      </c>
      <c r="E1300" s="12" t="s">
        <v>8220</v>
      </c>
      <c r="F1300" s="13">
        <v>6</v>
      </c>
      <c r="G1300" s="14">
        <v>1761.21</v>
      </c>
      <c r="H1300" t="s">
        <v>1985</v>
      </c>
      <c r="I1300">
        <v>7</v>
      </c>
    </row>
    <row r="1301" spans="1:9" ht="15.6" x14ac:dyDescent="0.3">
      <c r="A1301" s="9">
        <v>1300</v>
      </c>
      <c r="B1301" s="2" t="s">
        <v>1306</v>
      </c>
      <c r="C1301" s="11">
        <v>22</v>
      </c>
      <c r="D1301" s="12">
        <v>50</v>
      </c>
      <c r="E1301" s="12" t="s">
        <v>8219</v>
      </c>
      <c r="F1301" s="13">
        <v>6</v>
      </c>
      <c r="G1301" s="14">
        <v>1736.19</v>
      </c>
      <c r="H1301" t="s">
        <v>961</v>
      </c>
      <c r="I1301">
        <v>6</v>
      </c>
    </row>
    <row r="1302" spans="1:9" ht="15.6" x14ac:dyDescent="0.3">
      <c r="A1302" s="9">
        <v>1301</v>
      </c>
      <c r="B1302" s="2" t="s">
        <v>1307</v>
      </c>
      <c r="C1302" s="11">
        <v>28</v>
      </c>
      <c r="D1302" s="12">
        <v>66.666666666666657</v>
      </c>
      <c r="E1302" s="12" t="s">
        <v>8220</v>
      </c>
      <c r="F1302" s="13">
        <v>6</v>
      </c>
      <c r="G1302" s="14">
        <v>1721.1799999999998</v>
      </c>
      <c r="H1302" t="s">
        <v>3777</v>
      </c>
      <c r="I1302">
        <v>7</v>
      </c>
    </row>
    <row r="1303" spans="1:9" ht="15.6" x14ac:dyDescent="0.3">
      <c r="A1303" s="9">
        <v>1302</v>
      </c>
      <c r="B1303" s="2" t="s">
        <v>1308</v>
      </c>
      <c r="C1303" s="11">
        <v>26</v>
      </c>
      <c r="D1303" s="12">
        <v>83.333333333333343</v>
      </c>
      <c r="E1303" s="12" t="s">
        <v>8220</v>
      </c>
      <c r="F1303" s="13">
        <v>6</v>
      </c>
      <c r="G1303" s="14">
        <v>1697.15</v>
      </c>
      <c r="H1303" t="s">
        <v>2753</v>
      </c>
      <c r="I1303">
        <v>7</v>
      </c>
    </row>
    <row r="1304" spans="1:9" ht="15.6" x14ac:dyDescent="0.3">
      <c r="A1304" s="9">
        <v>1303</v>
      </c>
      <c r="B1304" s="2" t="s">
        <v>1309</v>
      </c>
      <c r="C1304" s="11">
        <v>26</v>
      </c>
      <c r="D1304" s="12">
        <v>83.333333333333343</v>
      </c>
      <c r="E1304" s="12" t="s">
        <v>8220</v>
      </c>
      <c r="F1304" s="13">
        <v>6</v>
      </c>
      <c r="G1304" s="14">
        <v>1737.1799999999998</v>
      </c>
      <c r="H1304" t="s">
        <v>1729</v>
      </c>
      <c r="I1304">
        <v>7</v>
      </c>
    </row>
    <row r="1305" spans="1:9" ht="15.6" x14ac:dyDescent="0.3">
      <c r="A1305" s="9">
        <v>1304</v>
      </c>
      <c r="B1305" s="2" t="s">
        <v>1310</v>
      </c>
      <c r="C1305" s="11">
        <v>20</v>
      </c>
      <c r="D1305" s="12">
        <v>66.666666666666657</v>
      </c>
      <c r="E1305" s="12" t="s">
        <v>8220</v>
      </c>
      <c r="F1305" s="13">
        <v>6</v>
      </c>
      <c r="G1305" s="14">
        <v>1712.1599999999999</v>
      </c>
      <c r="H1305" t="s">
        <v>705</v>
      </c>
      <c r="I1305">
        <v>6</v>
      </c>
    </row>
    <row r="1306" spans="1:9" ht="15.6" x14ac:dyDescent="0.3">
      <c r="A1306" s="9">
        <v>1305</v>
      </c>
      <c r="B1306" s="2" t="s">
        <v>1311</v>
      </c>
      <c r="C1306" s="11">
        <v>28</v>
      </c>
      <c r="D1306" s="12">
        <v>66.666666666666657</v>
      </c>
      <c r="E1306" s="12" t="s">
        <v>8220</v>
      </c>
      <c r="F1306" s="13">
        <v>6</v>
      </c>
      <c r="G1306" s="14">
        <v>1761.21</v>
      </c>
      <c r="H1306" t="s">
        <v>3521</v>
      </c>
      <c r="I1306">
        <v>7</v>
      </c>
    </row>
    <row r="1307" spans="1:9" ht="15.6" x14ac:dyDescent="0.3">
      <c r="A1307" s="9">
        <v>1306</v>
      </c>
      <c r="B1307" s="2" t="s">
        <v>1312</v>
      </c>
      <c r="C1307" s="11">
        <v>26</v>
      </c>
      <c r="D1307" s="12">
        <v>83.333333333333343</v>
      </c>
      <c r="E1307" s="12" t="s">
        <v>8220</v>
      </c>
      <c r="F1307" s="13">
        <v>6</v>
      </c>
      <c r="G1307" s="14">
        <v>1737.1799999999998</v>
      </c>
      <c r="H1307" t="s">
        <v>2497</v>
      </c>
      <c r="I1307">
        <v>7</v>
      </c>
    </row>
    <row r="1308" spans="1:9" ht="15.6" x14ac:dyDescent="0.3">
      <c r="A1308" s="9">
        <v>1307</v>
      </c>
      <c r="B1308" s="2" t="s">
        <v>1313</v>
      </c>
      <c r="C1308" s="11">
        <v>26</v>
      </c>
      <c r="D1308" s="12">
        <v>83.333333333333343</v>
      </c>
      <c r="E1308" s="12" t="s">
        <v>8220</v>
      </c>
      <c r="F1308" s="13">
        <v>6</v>
      </c>
      <c r="G1308" s="14">
        <v>1777.21</v>
      </c>
      <c r="H1308" t="s">
        <v>1473</v>
      </c>
      <c r="I1308">
        <v>7</v>
      </c>
    </row>
    <row r="1309" spans="1:9" ht="15.6" x14ac:dyDescent="0.3">
      <c r="A1309" s="9">
        <v>1308</v>
      </c>
      <c r="B1309" s="2" t="s">
        <v>1314</v>
      </c>
      <c r="C1309" s="11">
        <v>20</v>
      </c>
      <c r="D1309" s="12">
        <v>66.666666666666657</v>
      </c>
      <c r="E1309" s="12" t="s">
        <v>8220</v>
      </c>
      <c r="F1309" s="13">
        <v>6</v>
      </c>
      <c r="G1309" s="14">
        <v>1752.19</v>
      </c>
      <c r="H1309" t="s">
        <v>449</v>
      </c>
      <c r="I1309">
        <v>6</v>
      </c>
    </row>
    <row r="1310" spans="1:9" ht="15.6" x14ac:dyDescent="0.3">
      <c r="A1310" s="9">
        <v>1309</v>
      </c>
      <c r="B1310" s="2" t="s">
        <v>1315</v>
      </c>
      <c r="C1310" s="11">
        <v>22</v>
      </c>
      <c r="D1310" s="12">
        <v>50</v>
      </c>
      <c r="E1310" s="12" t="s">
        <v>8219</v>
      </c>
      <c r="F1310" s="13">
        <v>6</v>
      </c>
      <c r="G1310" s="14">
        <v>1736.19</v>
      </c>
      <c r="H1310" t="s">
        <v>3265</v>
      </c>
      <c r="I1310">
        <v>6</v>
      </c>
    </row>
    <row r="1311" spans="1:9" ht="15.6" x14ac:dyDescent="0.3">
      <c r="A1311" s="9">
        <v>1310</v>
      </c>
      <c r="B1311" s="2" t="s">
        <v>1316</v>
      </c>
      <c r="C1311" s="11">
        <v>20</v>
      </c>
      <c r="D1311" s="12">
        <v>66.666666666666657</v>
      </c>
      <c r="E1311" s="12" t="s">
        <v>8220</v>
      </c>
      <c r="F1311" s="13">
        <v>6</v>
      </c>
      <c r="G1311" s="14">
        <v>1712.1599999999999</v>
      </c>
      <c r="H1311" t="s">
        <v>2241</v>
      </c>
      <c r="I1311">
        <v>6</v>
      </c>
    </row>
    <row r="1312" spans="1:9" ht="15.6" x14ac:dyDescent="0.3">
      <c r="A1312" s="9">
        <v>1311</v>
      </c>
      <c r="B1312" s="2" t="s">
        <v>1317</v>
      </c>
      <c r="C1312" s="11">
        <v>20</v>
      </c>
      <c r="D1312" s="12">
        <v>66.666666666666657</v>
      </c>
      <c r="E1312" s="12" t="s">
        <v>8220</v>
      </c>
      <c r="F1312" s="13">
        <v>6</v>
      </c>
      <c r="G1312" s="14">
        <v>1752.19</v>
      </c>
      <c r="H1312" t="s">
        <v>1217</v>
      </c>
      <c r="I1312">
        <v>6</v>
      </c>
    </row>
    <row r="1313" spans="1:9" ht="15.6" x14ac:dyDescent="0.3">
      <c r="A1313" s="9">
        <v>1312</v>
      </c>
      <c r="B1313" s="2" t="s">
        <v>1318</v>
      </c>
      <c r="C1313" s="11">
        <v>14</v>
      </c>
      <c r="D1313" s="12">
        <v>50</v>
      </c>
      <c r="E1313" s="12" t="s">
        <v>8219</v>
      </c>
      <c r="F1313" s="13">
        <v>6</v>
      </c>
      <c r="G1313" s="14">
        <v>1727.17</v>
      </c>
      <c r="H1313" t="s">
        <v>193</v>
      </c>
      <c r="I1313">
        <v>5</v>
      </c>
    </row>
    <row r="1314" spans="1:9" ht="15.6" x14ac:dyDescent="0.3">
      <c r="A1314" s="9">
        <v>1313</v>
      </c>
      <c r="B1314" s="2" t="s">
        <v>1319</v>
      </c>
      <c r="C1314" s="11">
        <v>30</v>
      </c>
      <c r="D1314" s="12">
        <v>50</v>
      </c>
      <c r="E1314" s="12" t="s">
        <v>8219</v>
      </c>
      <c r="F1314" s="13">
        <v>6</v>
      </c>
      <c r="G1314" s="14">
        <v>1785.2399999999998</v>
      </c>
      <c r="H1314" t="s">
        <v>3969</v>
      </c>
      <c r="I1314">
        <v>7</v>
      </c>
    </row>
    <row r="1315" spans="1:9" ht="15.6" x14ac:dyDescent="0.3">
      <c r="A1315" s="9">
        <v>1314</v>
      </c>
      <c r="B1315" s="2" t="s">
        <v>1320</v>
      </c>
      <c r="C1315" s="11">
        <v>28</v>
      </c>
      <c r="D1315" s="12">
        <v>66.666666666666657</v>
      </c>
      <c r="E1315" s="12" t="s">
        <v>8220</v>
      </c>
      <c r="F1315" s="13">
        <v>6</v>
      </c>
      <c r="G1315" s="14">
        <v>1761.21</v>
      </c>
      <c r="H1315" t="s">
        <v>2945</v>
      </c>
      <c r="I1315">
        <v>7</v>
      </c>
    </row>
    <row r="1316" spans="1:9" ht="15.6" x14ac:dyDescent="0.3">
      <c r="A1316" s="9">
        <v>1315</v>
      </c>
      <c r="B1316" s="2" t="s">
        <v>1321</v>
      </c>
      <c r="C1316" s="11">
        <v>28</v>
      </c>
      <c r="D1316" s="12">
        <v>66.666666666666657</v>
      </c>
      <c r="E1316" s="12" t="s">
        <v>8220</v>
      </c>
      <c r="F1316" s="13">
        <v>6</v>
      </c>
      <c r="G1316" s="14">
        <v>1801.2399999999998</v>
      </c>
      <c r="H1316" t="s">
        <v>1921</v>
      </c>
      <c r="I1316">
        <v>7</v>
      </c>
    </row>
    <row r="1317" spans="1:9" ht="15.6" x14ac:dyDescent="0.3">
      <c r="A1317" s="9">
        <v>1316</v>
      </c>
      <c r="B1317" s="2" t="s">
        <v>1322</v>
      </c>
      <c r="C1317" s="11">
        <v>22</v>
      </c>
      <c r="D1317" s="12">
        <v>50</v>
      </c>
      <c r="E1317" s="12" t="s">
        <v>8219</v>
      </c>
      <c r="F1317" s="13">
        <v>6</v>
      </c>
      <c r="G1317" s="14">
        <v>1776.2199999999998</v>
      </c>
      <c r="H1317" t="s">
        <v>897</v>
      </c>
      <c r="I1317">
        <v>6</v>
      </c>
    </row>
    <row r="1318" spans="1:9" ht="15.6" x14ac:dyDescent="0.3">
      <c r="A1318" s="9">
        <v>1317</v>
      </c>
      <c r="B1318" s="2" t="s">
        <v>1323</v>
      </c>
      <c r="C1318" s="11">
        <v>28</v>
      </c>
      <c r="D1318" s="12">
        <v>66.666666666666657</v>
      </c>
      <c r="E1318" s="12" t="s">
        <v>8220</v>
      </c>
      <c r="F1318" s="13">
        <v>6</v>
      </c>
      <c r="G1318" s="14">
        <v>1761.21</v>
      </c>
      <c r="H1318" t="s">
        <v>3713</v>
      </c>
      <c r="I1318">
        <v>7</v>
      </c>
    </row>
    <row r="1319" spans="1:9" ht="15.6" x14ac:dyDescent="0.3">
      <c r="A1319" s="9">
        <v>1318</v>
      </c>
      <c r="B1319" s="2" t="s">
        <v>1324</v>
      </c>
      <c r="C1319" s="11">
        <v>26</v>
      </c>
      <c r="D1319" s="12">
        <v>83.333333333333343</v>
      </c>
      <c r="E1319" s="12" t="s">
        <v>8220</v>
      </c>
      <c r="F1319" s="13">
        <v>6</v>
      </c>
      <c r="G1319" s="14">
        <v>1737.1799999999998</v>
      </c>
      <c r="H1319" t="s">
        <v>2689</v>
      </c>
      <c r="I1319">
        <v>7</v>
      </c>
    </row>
    <row r="1320" spans="1:9" ht="15.6" x14ac:dyDescent="0.3">
      <c r="A1320" s="9">
        <v>1319</v>
      </c>
      <c r="B1320" s="2" t="s">
        <v>1325</v>
      </c>
      <c r="C1320" s="11">
        <v>26</v>
      </c>
      <c r="D1320" s="12">
        <v>83.333333333333343</v>
      </c>
      <c r="E1320" s="12" t="s">
        <v>8220</v>
      </c>
      <c r="F1320" s="13">
        <v>6</v>
      </c>
      <c r="G1320" s="14">
        <v>1777.21</v>
      </c>
      <c r="H1320" t="s">
        <v>1665</v>
      </c>
      <c r="I1320">
        <v>7</v>
      </c>
    </row>
    <row r="1321" spans="1:9" ht="15.6" x14ac:dyDescent="0.3">
      <c r="A1321" s="9">
        <v>1320</v>
      </c>
      <c r="B1321" s="2" t="s">
        <v>1326</v>
      </c>
      <c r="C1321" s="11">
        <v>20</v>
      </c>
      <c r="D1321" s="12">
        <v>66.666666666666657</v>
      </c>
      <c r="E1321" s="12" t="s">
        <v>8220</v>
      </c>
      <c r="F1321" s="13">
        <v>6</v>
      </c>
      <c r="G1321" s="14">
        <v>1752.19</v>
      </c>
      <c r="H1321" t="s">
        <v>641</v>
      </c>
      <c r="I1321">
        <v>6</v>
      </c>
    </row>
    <row r="1322" spans="1:9" ht="15.6" x14ac:dyDescent="0.3">
      <c r="A1322" s="9">
        <v>1321</v>
      </c>
      <c r="B1322" s="2" t="s">
        <v>1327</v>
      </c>
      <c r="C1322" s="11">
        <v>28</v>
      </c>
      <c r="D1322" s="12">
        <v>66.666666666666657</v>
      </c>
      <c r="E1322" s="12" t="s">
        <v>8220</v>
      </c>
      <c r="F1322" s="13">
        <v>6</v>
      </c>
      <c r="G1322" s="14">
        <v>1801.2399999999998</v>
      </c>
      <c r="H1322" t="s">
        <v>3457</v>
      </c>
      <c r="I1322">
        <v>7</v>
      </c>
    </row>
    <row r="1323" spans="1:9" ht="15.6" x14ac:dyDescent="0.3">
      <c r="A1323" s="9">
        <v>1322</v>
      </c>
      <c r="B1323" s="2" t="s">
        <v>1328</v>
      </c>
      <c r="C1323" s="11">
        <v>26</v>
      </c>
      <c r="D1323" s="12">
        <v>83.333333333333343</v>
      </c>
      <c r="E1323" s="12" t="s">
        <v>8220</v>
      </c>
      <c r="F1323" s="13">
        <v>6</v>
      </c>
      <c r="G1323" s="14">
        <v>1777.21</v>
      </c>
      <c r="H1323" t="s">
        <v>2433</v>
      </c>
      <c r="I1323">
        <v>7</v>
      </c>
    </row>
    <row r="1324" spans="1:9" ht="15.6" x14ac:dyDescent="0.3">
      <c r="A1324" s="9">
        <v>1323</v>
      </c>
      <c r="B1324" s="2" t="s">
        <v>1329</v>
      </c>
      <c r="C1324" s="11">
        <v>26</v>
      </c>
      <c r="D1324" s="12">
        <v>83.333333333333343</v>
      </c>
      <c r="E1324" s="12" t="s">
        <v>8220</v>
      </c>
      <c r="F1324" s="13">
        <v>6</v>
      </c>
      <c r="G1324" s="14">
        <v>1817.2400000000002</v>
      </c>
      <c r="H1324" t="s">
        <v>1409</v>
      </c>
      <c r="I1324">
        <v>7</v>
      </c>
    </row>
    <row r="1325" spans="1:9" ht="15.6" x14ac:dyDescent="0.3">
      <c r="A1325" s="9">
        <v>1324</v>
      </c>
      <c r="B1325" s="2" t="s">
        <v>1330</v>
      </c>
      <c r="C1325" s="11">
        <v>20</v>
      </c>
      <c r="D1325" s="12">
        <v>66.666666666666657</v>
      </c>
      <c r="E1325" s="12" t="s">
        <v>8220</v>
      </c>
      <c r="F1325" s="13">
        <v>6</v>
      </c>
      <c r="G1325" s="14">
        <v>1792.2199999999998</v>
      </c>
      <c r="H1325" t="s">
        <v>385</v>
      </c>
      <c r="I1325">
        <v>6</v>
      </c>
    </row>
    <row r="1326" spans="1:9" ht="15.6" x14ac:dyDescent="0.3">
      <c r="A1326" s="9">
        <v>1325</v>
      </c>
      <c r="B1326" s="2" t="s">
        <v>1331</v>
      </c>
      <c r="C1326" s="11">
        <v>22</v>
      </c>
      <c r="D1326" s="12">
        <v>50</v>
      </c>
      <c r="E1326" s="12" t="s">
        <v>8219</v>
      </c>
      <c r="F1326" s="13">
        <v>6</v>
      </c>
      <c r="G1326" s="14">
        <v>1776.2199999999998</v>
      </c>
      <c r="H1326" t="s">
        <v>3201</v>
      </c>
      <c r="I1326">
        <v>6</v>
      </c>
    </row>
    <row r="1327" spans="1:9" ht="15.6" x14ac:dyDescent="0.3">
      <c r="A1327" s="9">
        <v>1326</v>
      </c>
      <c r="B1327" s="2" t="s">
        <v>1332</v>
      </c>
      <c r="C1327" s="11">
        <v>20</v>
      </c>
      <c r="D1327" s="12">
        <v>66.666666666666657</v>
      </c>
      <c r="E1327" s="12" t="s">
        <v>8220</v>
      </c>
      <c r="F1327" s="13">
        <v>6</v>
      </c>
      <c r="G1327" s="14">
        <v>1752.19</v>
      </c>
      <c r="H1327" t="s">
        <v>2177</v>
      </c>
      <c r="I1327">
        <v>6</v>
      </c>
    </row>
    <row r="1328" spans="1:9" ht="15.6" x14ac:dyDescent="0.3">
      <c r="A1328" s="9">
        <v>1327</v>
      </c>
      <c r="B1328" s="2" t="s">
        <v>1333</v>
      </c>
      <c r="C1328" s="11">
        <v>20</v>
      </c>
      <c r="D1328" s="12">
        <v>66.666666666666657</v>
      </c>
      <c r="E1328" s="12" t="s">
        <v>8220</v>
      </c>
      <c r="F1328" s="13">
        <v>6</v>
      </c>
      <c r="G1328" s="14">
        <v>1792.2199999999998</v>
      </c>
      <c r="H1328" t="s">
        <v>1153</v>
      </c>
      <c r="I1328">
        <v>6</v>
      </c>
    </row>
    <row r="1329" spans="1:9" ht="15.6" x14ac:dyDescent="0.3">
      <c r="A1329" s="9">
        <v>1328</v>
      </c>
      <c r="B1329" s="2" t="s">
        <v>1334</v>
      </c>
      <c r="C1329" s="11">
        <v>14</v>
      </c>
      <c r="D1329" s="12">
        <v>50</v>
      </c>
      <c r="E1329" s="12" t="s">
        <v>8219</v>
      </c>
      <c r="F1329" s="13">
        <v>6</v>
      </c>
      <c r="G1329" s="14">
        <v>1767.1999999999998</v>
      </c>
      <c r="H1329" t="s">
        <v>129</v>
      </c>
      <c r="I1329">
        <v>5</v>
      </c>
    </row>
    <row r="1330" spans="1:9" ht="15.6" x14ac:dyDescent="0.3">
      <c r="A1330" s="9">
        <v>1329</v>
      </c>
      <c r="B1330" s="2" t="s">
        <v>1335</v>
      </c>
      <c r="C1330" s="11">
        <v>24</v>
      </c>
      <c r="D1330" s="12">
        <v>33.333333333333329</v>
      </c>
      <c r="E1330" s="12" t="s">
        <v>8219</v>
      </c>
      <c r="F1330" s="13">
        <v>6</v>
      </c>
      <c r="G1330" s="14">
        <v>1760.2199999999998</v>
      </c>
      <c r="H1330" t="s">
        <v>3905</v>
      </c>
      <c r="I1330">
        <v>6</v>
      </c>
    </row>
    <row r="1331" spans="1:9" ht="15.6" x14ac:dyDescent="0.3">
      <c r="A1331" s="9">
        <v>1330</v>
      </c>
      <c r="B1331" s="2" t="s">
        <v>1336</v>
      </c>
      <c r="C1331" s="11">
        <v>22</v>
      </c>
      <c r="D1331" s="12">
        <v>50</v>
      </c>
      <c r="E1331" s="12" t="s">
        <v>8219</v>
      </c>
      <c r="F1331" s="13">
        <v>6</v>
      </c>
      <c r="G1331" s="14">
        <v>1736.19</v>
      </c>
      <c r="H1331" t="s">
        <v>2881</v>
      </c>
      <c r="I1331">
        <v>6</v>
      </c>
    </row>
    <row r="1332" spans="1:9" ht="15.6" x14ac:dyDescent="0.3">
      <c r="A1332" s="9">
        <v>1331</v>
      </c>
      <c r="B1332" s="2" t="s">
        <v>1337</v>
      </c>
      <c r="C1332" s="11">
        <v>22</v>
      </c>
      <c r="D1332" s="12">
        <v>50</v>
      </c>
      <c r="E1332" s="12" t="s">
        <v>8219</v>
      </c>
      <c r="F1332" s="13">
        <v>6</v>
      </c>
      <c r="G1332" s="14">
        <v>1776.2199999999998</v>
      </c>
      <c r="H1332" t="s">
        <v>1857</v>
      </c>
      <c r="I1332">
        <v>6</v>
      </c>
    </row>
    <row r="1333" spans="1:9" ht="15.6" x14ac:dyDescent="0.3">
      <c r="A1333" s="9">
        <v>1332</v>
      </c>
      <c r="B1333" s="2" t="s">
        <v>1338</v>
      </c>
      <c r="C1333" s="11">
        <v>16</v>
      </c>
      <c r="D1333" s="12">
        <v>33.333333333333329</v>
      </c>
      <c r="E1333" s="12" t="s">
        <v>8219</v>
      </c>
      <c r="F1333" s="13">
        <v>6</v>
      </c>
      <c r="G1333" s="14">
        <v>1751.1999999999998</v>
      </c>
      <c r="H1333" t="s">
        <v>833</v>
      </c>
      <c r="I1333">
        <v>5</v>
      </c>
    </row>
    <row r="1334" spans="1:9" ht="15.6" x14ac:dyDescent="0.3">
      <c r="A1334" s="9">
        <v>1333</v>
      </c>
      <c r="B1334" s="2" t="s">
        <v>1339</v>
      </c>
      <c r="C1334" s="11">
        <v>22</v>
      </c>
      <c r="D1334" s="12">
        <v>50</v>
      </c>
      <c r="E1334" s="12" t="s">
        <v>8219</v>
      </c>
      <c r="F1334" s="13">
        <v>6</v>
      </c>
      <c r="G1334" s="14">
        <v>1736.19</v>
      </c>
      <c r="H1334" t="s">
        <v>3649</v>
      </c>
      <c r="I1334">
        <v>6</v>
      </c>
    </row>
    <row r="1335" spans="1:9" ht="15.6" x14ac:dyDescent="0.3">
      <c r="A1335" s="9">
        <v>1334</v>
      </c>
      <c r="B1335" s="2" t="s">
        <v>1340</v>
      </c>
      <c r="C1335" s="11">
        <v>20</v>
      </c>
      <c r="D1335" s="12">
        <v>66.666666666666657</v>
      </c>
      <c r="E1335" s="12" t="s">
        <v>8220</v>
      </c>
      <c r="F1335" s="13">
        <v>6</v>
      </c>
      <c r="G1335" s="14">
        <v>1712.1599999999999</v>
      </c>
      <c r="H1335" t="s">
        <v>2625</v>
      </c>
      <c r="I1335">
        <v>6</v>
      </c>
    </row>
    <row r="1336" spans="1:9" ht="15.6" x14ac:dyDescent="0.3">
      <c r="A1336" s="9">
        <v>1335</v>
      </c>
      <c r="B1336" s="2" t="s">
        <v>1341</v>
      </c>
      <c r="C1336" s="11">
        <v>20</v>
      </c>
      <c r="D1336" s="12">
        <v>66.666666666666657</v>
      </c>
      <c r="E1336" s="12" t="s">
        <v>8220</v>
      </c>
      <c r="F1336" s="13">
        <v>6</v>
      </c>
      <c r="G1336" s="14">
        <v>1752.19</v>
      </c>
      <c r="H1336" t="s">
        <v>1601</v>
      </c>
      <c r="I1336">
        <v>6</v>
      </c>
    </row>
    <row r="1337" spans="1:9" ht="15.6" x14ac:dyDescent="0.3">
      <c r="A1337" s="9">
        <v>1336</v>
      </c>
      <c r="B1337" s="2" t="s">
        <v>1342</v>
      </c>
      <c r="C1337" s="11">
        <v>14</v>
      </c>
      <c r="D1337" s="12">
        <v>50</v>
      </c>
      <c r="E1337" s="12" t="s">
        <v>8219</v>
      </c>
      <c r="F1337" s="13">
        <v>6</v>
      </c>
      <c r="G1337" s="14">
        <v>1727.17</v>
      </c>
      <c r="H1337" t="s">
        <v>577</v>
      </c>
      <c r="I1337">
        <v>5</v>
      </c>
    </row>
    <row r="1338" spans="1:9" ht="15.6" x14ac:dyDescent="0.3">
      <c r="A1338" s="9">
        <v>1337</v>
      </c>
      <c r="B1338" s="2" t="s">
        <v>1343</v>
      </c>
      <c r="C1338" s="11">
        <v>22</v>
      </c>
      <c r="D1338" s="12">
        <v>50</v>
      </c>
      <c r="E1338" s="12" t="s">
        <v>8219</v>
      </c>
      <c r="F1338" s="13">
        <v>6</v>
      </c>
      <c r="G1338" s="14">
        <v>1776.2199999999998</v>
      </c>
      <c r="H1338" t="s">
        <v>3393</v>
      </c>
      <c r="I1338">
        <v>6</v>
      </c>
    </row>
    <row r="1339" spans="1:9" ht="15.6" x14ac:dyDescent="0.3">
      <c r="A1339" s="9">
        <v>1338</v>
      </c>
      <c r="B1339" s="2" t="s">
        <v>1344</v>
      </c>
      <c r="C1339" s="11">
        <v>20</v>
      </c>
      <c r="D1339" s="12">
        <v>66.666666666666657</v>
      </c>
      <c r="E1339" s="12" t="s">
        <v>8220</v>
      </c>
      <c r="F1339" s="13">
        <v>6</v>
      </c>
      <c r="G1339" s="14">
        <v>1752.19</v>
      </c>
      <c r="H1339" t="s">
        <v>2369</v>
      </c>
      <c r="I1339">
        <v>6</v>
      </c>
    </row>
    <row r="1340" spans="1:9" ht="15.6" x14ac:dyDescent="0.3">
      <c r="A1340" s="9">
        <v>1339</v>
      </c>
      <c r="B1340" s="2" t="s">
        <v>1345</v>
      </c>
      <c r="C1340" s="11">
        <v>20</v>
      </c>
      <c r="D1340" s="12">
        <v>66.666666666666657</v>
      </c>
      <c r="E1340" s="12" t="s">
        <v>8220</v>
      </c>
      <c r="F1340" s="13">
        <v>6</v>
      </c>
      <c r="G1340" s="14">
        <v>1792.2199999999998</v>
      </c>
      <c r="H1340" t="s">
        <v>1345</v>
      </c>
      <c r="I1340">
        <v>6</v>
      </c>
    </row>
    <row r="1341" spans="1:9" ht="15.6" x14ac:dyDescent="0.3">
      <c r="A1341" s="9">
        <v>1340</v>
      </c>
      <c r="B1341" s="2" t="s">
        <v>1346</v>
      </c>
      <c r="C1341" s="11">
        <v>14</v>
      </c>
      <c r="D1341" s="12">
        <v>50</v>
      </c>
      <c r="E1341" s="12" t="s">
        <v>8219</v>
      </c>
      <c r="F1341" s="13">
        <v>6</v>
      </c>
      <c r="G1341" s="14">
        <v>1767.1999999999998</v>
      </c>
      <c r="H1341" t="s">
        <v>321</v>
      </c>
      <c r="I1341">
        <v>5</v>
      </c>
    </row>
    <row r="1342" spans="1:9" ht="15.6" x14ac:dyDescent="0.3">
      <c r="A1342" s="9">
        <v>1341</v>
      </c>
      <c r="B1342" s="2" t="s">
        <v>1347</v>
      </c>
      <c r="C1342" s="11">
        <v>16</v>
      </c>
      <c r="D1342" s="12">
        <v>33.333333333333329</v>
      </c>
      <c r="E1342" s="12" t="s">
        <v>8219</v>
      </c>
      <c r="F1342" s="13">
        <v>6</v>
      </c>
      <c r="G1342" s="14">
        <v>1751.1999999999998</v>
      </c>
      <c r="H1342" t="s">
        <v>3137</v>
      </c>
      <c r="I1342">
        <v>5</v>
      </c>
    </row>
    <row r="1343" spans="1:9" ht="15.6" x14ac:dyDescent="0.3">
      <c r="A1343" s="9">
        <v>1342</v>
      </c>
      <c r="B1343" s="2" t="s">
        <v>1348</v>
      </c>
      <c r="C1343" s="11">
        <v>14</v>
      </c>
      <c r="D1343" s="12">
        <v>50</v>
      </c>
      <c r="E1343" s="12" t="s">
        <v>8219</v>
      </c>
      <c r="F1343" s="13">
        <v>6</v>
      </c>
      <c r="G1343" s="14">
        <v>1727.17</v>
      </c>
      <c r="H1343" t="s">
        <v>2113</v>
      </c>
      <c r="I1343">
        <v>5</v>
      </c>
    </row>
    <row r="1344" spans="1:9" ht="15.6" x14ac:dyDescent="0.3">
      <c r="A1344" s="9">
        <v>1343</v>
      </c>
      <c r="B1344" s="2" t="s">
        <v>1349</v>
      </c>
      <c r="C1344" s="11">
        <v>14</v>
      </c>
      <c r="D1344" s="12">
        <v>50</v>
      </c>
      <c r="E1344" s="12" t="s">
        <v>8219</v>
      </c>
      <c r="F1344" s="13">
        <v>6</v>
      </c>
      <c r="G1344" s="14">
        <v>1767.1999999999998</v>
      </c>
      <c r="H1344" t="s">
        <v>1089</v>
      </c>
      <c r="I1344">
        <v>5</v>
      </c>
    </row>
    <row r="1345" spans="1:9" ht="15.6" x14ac:dyDescent="0.3">
      <c r="A1345" s="9">
        <v>1344</v>
      </c>
      <c r="B1345" s="2" t="s">
        <v>1350</v>
      </c>
      <c r="C1345" s="11">
        <v>8</v>
      </c>
      <c r="D1345" s="12">
        <v>33.333333333333329</v>
      </c>
      <c r="E1345" s="12" t="s">
        <v>8219</v>
      </c>
      <c r="F1345" s="13">
        <v>6</v>
      </c>
      <c r="G1345" s="14">
        <v>1742.1799999999998</v>
      </c>
      <c r="H1345" t="s">
        <v>65</v>
      </c>
      <c r="I1345">
        <v>4</v>
      </c>
    </row>
    <row r="1346" spans="1:9" ht="15.6" x14ac:dyDescent="0.3">
      <c r="A1346" s="9">
        <v>1345</v>
      </c>
      <c r="B1346" s="2" t="s">
        <v>1351</v>
      </c>
      <c r="C1346" s="11">
        <v>30</v>
      </c>
      <c r="D1346" s="12">
        <v>50</v>
      </c>
      <c r="E1346" s="12" t="s">
        <v>8219</v>
      </c>
      <c r="F1346" s="13">
        <v>6</v>
      </c>
      <c r="G1346" s="14">
        <v>1745.21</v>
      </c>
      <c r="H1346" t="s">
        <v>4081</v>
      </c>
      <c r="I1346">
        <v>7</v>
      </c>
    </row>
    <row r="1347" spans="1:9" ht="15.6" x14ac:dyDescent="0.3">
      <c r="A1347" s="9">
        <v>1346</v>
      </c>
      <c r="B1347" s="2" t="s">
        <v>1352</v>
      </c>
      <c r="C1347" s="11">
        <v>28</v>
      </c>
      <c r="D1347" s="12">
        <v>66.666666666666657</v>
      </c>
      <c r="E1347" s="12" t="s">
        <v>8220</v>
      </c>
      <c r="F1347" s="13">
        <v>6</v>
      </c>
      <c r="G1347" s="14">
        <v>1721.1799999999998</v>
      </c>
      <c r="H1347" t="s">
        <v>3057</v>
      </c>
      <c r="I1347">
        <v>7</v>
      </c>
    </row>
    <row r="1348" spans="1:9" ht="15.6" x14ac:dyDescent="0.3">
      <c r="A1348" s="9">
        <v>1347</v>
      </c>
      <c r="B1348" s="2" t="s">
        <v>1353</v>
      </c>
      <c r="C1348" s="11">
        <v>28</v>
      </c>
      <c r="D1348" s="12">
        <v>66.666666666666657</v>
      </c>
      <c r="E1348" s="12" t="s">
        <v>8220</v>
      </c>
      <c r="F1348" s="13">
        <v>6</v>
      </c>
      <c r="G1348" s="14">
        <v>1761.21</v>
      </c>
      <c r="H1348" t="s">
        <v>2033</v>
      </c>
      <c r="I1348">
        <v>7</v>
      </c>
    </row>
    <row r="1349" spans="1:9" ht="15.6" x14ac:dyDescent="0.3">
      <c r="A1349" s="9">
        <v>1348</v>
      </c>
      <c r="B1349" s="2" t="s">
        <v>1354</v>
      </c>
      <c r="C1349" s="11">
        <v>22</v>
      </c>
      <c r="D1349" s="12">
        <v>50</v>
      </c>
      <c r="E1349" s="12" t="s">
        <v>8219</v>
      </c>
      <c r="F1349" s="13">
        <v>6</v>
      </c>
      <c r="G1349" s="14">
        <v>1736.19</v>
      </c>
      <c r="H1349" t="s">
        <v>1009</v>
      </c>
      <c r="I1349">
        <v>6</v>
      </c>
    </row>
    <row r="1350" spans="1:9" ht="15.6" x14ac:dyDescent="0.3">
      <c r="A1350" s="9">
        <v>1349</v>
      </c>
      <c r="B1350" s="2" t="s">
        <v>1355</v>
      </c>
      <c r="C1350" s="11">
        <v>28</v>
      </c>
      <c r="D1350" s="12">
        <v>66.666666666666657</v>
      </c>
      <c r="E1350" s="12" t="s">
        <v>8220</v>
      </c>
      <c r="F1350" s="13">
        <v>6</v>
      </c>
      <c r="G1350" s="14">
        <v>1721.1799999999998</v>
      </c>
      <c r="H1350" t="s">
        <v>3825</v>
      </c>
      <c r="I1350">
        <v>7</v>
      </c>
    </row>
    <row r="1351" spans="1:9" ht="15.6" x14ac:dyDescent="0.3">
      <c r="A1351" s="9">
        <v>1350</v>
      </c>
      <c r="B1351" s="2" t="s">
        <v>1356</v>
      </c>
      <c r="C1351" s="11">
        <v>26</v>
      </c>
      <c r="D1351" s="12">
        <v>83.333333333333343</v>
      </c>
      <c r="E1351" s="12" t="s">
        <v>8220</v>
      </c>
      <c r="F1351" s="13">
        <v>6</v>
      </c>
      <c r="G1351" s="14">
        <v>1697.15</v>
      </c>
      <c r="H1351" t="s">
        <v>2801</v>
      </c>
      <c r="I1351">
        <v>7</v>
      </c>
    </row>
    <row r="1352" spans="1:9" ht="15.6" x14ac:dyDescent="0.3">
      <c r="A1352" s="9">
        <v>1351</v>
      </c>
      <c r="B1352" s="2" t="s">
        <v>1357</v>
      </c>
      <c r="C1352" s="11">
        <v>26</v>
      </c>
      <c r="D1352" s="12">
        <v>83.333333333333343</v>
      </c>
      <c r="E1352" s="12" t="s">
        <v>8220</v>
      </c>
      <c r="F1352" s="13">
        <v>6</v>
      </c>
      <c r="G1352" s="14">
        <v>1737.1799999999998</v>
      </c>
      <c r="H1352" t="s">
        <v>1777</v>
      </c>
      <c r="I1352">
        <v>7</v>
      </c>
    </row>
    <row r="1353" spans="1:9" ht="15.6" x14ac:dyDescent="0.3">
      <c r="A1353" s="9">
        <v>1352</v>
      </c>
      <c r="B1353" s="2" t="s">
        <v>1358</v>
      </c>
      <c r="C1353" s="11">
        <v>20</v>
      </c>
      <c r="D1353" s="12">
        <v>66.666666666666657</v>
      </c>
      <c r="E1353" s="12" t="s">
        <v>8220</v>
      </c>
      <c r="F1353" s="13">
        <v>6</v>
      </c>
      <c r="G1353" s="14">
        <v>1712.1599999999999</v>
      </c>
      <c r="H1353" t="s">
        <v>753</v>
      </c>
      <c r="I1353">
        <v>6</v>
      </c>
    </row>
    <row r="1354" spans="1:9" ht="15.6" x14ac:dyDescent="0.3">
      <c r="A1354" s="9">
        <v>1353</v>
      </c>
      <c r="B1354" s="2" t="s">
        <v>1359</v>
      </c>
      <c r="C1354" s="11">
        <v>28</v>
      </c>
      <c r="D1354" s="12">
        <v>66.666666666666657</v>
      </c>
      <c r="E1354" s="12" t="s">
        <v>8220</v>
      </c>
      <c r="F1354" s="13">
        <v>6</v>
      </c>
      <c r="G1354" s="14">
        <v>1761.21</v>
      </c>
      <c r="H1354" t="s">
        <v>3569</v>
      </c>
      <c r="I1354">
        <v>7</v>
      </c>
    </row>
    <row r="1355" spans="1:9" ht="15.6" x14ac:dyDescent="0.3">
      <c r="A1355" s="9">
        <v>1354</v>
      </c>
      <c r="B1355" s="2" t="s">
        <v>1360</v>
      </c>
      <c r="C1355" s="11">
        <v>26</v>
      </c>
      <c r="D1355" s="12">
        <v>83.333333333333343</v>
      </c>
      <c r="E1355" s="12" t="s">
        <v>8220</v>
      </c>
      <c r="F1355" s="13">
        <v>6</v>
      </c>
      <c r="G1355" s="14">
        <v>1737.1799999999998</v>
      </c>
      <c r="H1355" t="s">
        <v>2545</v>
      </c>
      <c r="I1355">
        <v>7</v>
      </c>
    </row>
    <row r="1356" spans="1:9" ht="15.6" x14ac:dyDescent="0.3">
      <c r="A1356" s="9">
        <v>1355</v>
      </c>
      <c r="B1356" s="2" t="s">
        <v>1361</v>
      </c>
      <c r="C1356" s="11">
        <v>26</v>
      </c>
      <c r="D1356" s="12">
        <v>83.333333333333343</v>
      </c>
      <c r="E1356" s="12" t="s">
        <v>8220</v>
      </c>
      <c r="F1356" s="13">
        <v>6</v>
      </c>
      <c r="G1356" s="14">
        <v>1777.21</v>
      </c>
      <c r="H1356" t="s">
        <v>1521</v>
      </c>
      <c r="I1356">
        <v>7</v>
      </c>
    </row>
    <row r="1357" spans="1:9" ht="15.6" x14ac:dyDescent="0.3">
      <c r="A1357" s="9">
        <v>1356</v>
      </c>
      <c r="B1357" s="2" t="s">
        <v>1362</v>
      </c>
      <c r="C1357" s="11">
        <v>20</v>
      </c>
      <c r="D1357" s="12">
        <v>66.666666666666657</v>
      </c>
      <c r="E1357" s="12" t="s">
        <v>8220</v>
      </c>
      <c r="F1357" s="13">
        <v>6</v>
      </c>
      <c r="G1357" s="14">
        <v>1752.19</v>
      </c>
      <c r="H1357" t="s">
        <v>497</v>
      </c>
      <c r="I1357">
        <v>6</v>
      </c>
    </row>
    <row r="1358" spans="1:9" ht="15.6" x14ac:dyDescent="0.3">
      <c r="A1358" s="9">
        <v>1357</v>
      </c>
      <c r="B1358" s="2" t="s">
        <v>1363</v>
      </c>
      <c r="C1358" s="11">
        <v>22</v>
      </c>
      <c r="D1358" s="12">
        <v>50</v>
      </c>
      <c r="E1358" s="12" t="s">
        <v>8219</v>
      </c>
      <c r="F1358" s="13">
        <v>6</v>
      </c>
      <c r="G1358" s="14">
        <v>1736.19</v>
      </c>
      <c r="H1358" t="s">
        <v>3313</v>
      </c>
      <c r="I1358">
        <v>6</v>
      </c>
    </row>
    <row r="1359" spans="1:9" ht="15.6" x14ac:dyDescent="0.3">
      <c r="A1359" s="9">
        <v>1358</v>
      </c>
      <c r="B1359" s="2" t="s">
        <v>1364</v>
      </c>
      <c r="C1359" s="11">
        <v>20</v>
      </c>
      <c r="D1359" s="12">
        <v>66.666666666666657</v>
      </c>
      <c r="E1359" s="12" t="s">
        <v>8220</v>
      </c>
      <c r="F1359" s="13">
        <v>6</v>
      </c>
      <c r="G1359" s="14">
        <v>1712.1599999999999</v>
      </c>
      <c r="H1359" t="s">
        <v>2289</v>
      </c>
      <c r="I1359">
        <v>6</v>
      </c>
    </row>
    <row r="1360" spans="1:9" ht="15.6" x14ac:dyDescent="0.3">
      <c r="A1360" s="9">
        <v>1359</v>
      </c>
      <c r="B1360" s="2" t="s">
        <v>1365</v>
      </c>
      <c r="C1360" s="11">
        <v>20</v>
      </c>
      <c r="D1360" s="12">
        <v>66.666666666666657</v>
      </c>
      <c r="E1360" s="12" t="s">
        <v>8220</v>
      </c>
      <c r="F1360" s="13">
        <v>6</v>
      </c>
      <c r="G1360" s="14">
        <v>1752.19</v>
      </c>
      <c r="H1360" t="s">
        <v>1265</v>
      </c>
      <c r="I1360">
        <v>6</v>
      </c>
    </row>
    <row r="1361" spans="1:9" ht="15.6" x14ac:dyDescent="0.3">
      <c r="A1361" s="9">
        <v>1360</v>
      </c>
      <c r="B1361" s="2" t="s">
        <v>1366</v>
      </c>
      <c r="C1361" s="11">
        <v>14</v>
      </c>
      <c r="D1361" s="12">
        <v>50</v>
      </c>
      <c r="E1361" s="12" t="s">
        <v>8219</v>
      </c>
      <c r="F1361" s="13">
        <v>6</v>
      </c>
      <c r="G1361" s="14">
        <v>1727.17</v>
      </c>
      <c r="H1361" t="s">
        <v>241</v>
      </c>
      <c r="I1361">
        <v>5</v>
      </c>
    </row>
    <row r="1362" spans="1:9" ht="15.6" x14ac:dyDescent="0.3">
      <c r="A1362" s="9">
        <v>1361</v>
      </c>
      <c r="B1362" s="2" t="s">
        <v>1367</v>
      </c>
      <c r="C1362" s="11">
        <v>28</v>
      </c>
      <c r="D1362" s="12">
        <v>66.666666666666657</v>
      </c>
      <c r="E1362" s="12" t="s">
        <v>8220</v>
      </c>
      <c r="F1362" s="13">
        <v>6</v>
      </c>
      <c r="G1362" s="14">
        <v>1721.1799999999998</v>
      </c>
      <c r="H1362" t="s">
        <v>4017</v>
      </c>
      <c r="I1362">
        <v>7</v>
      </c>
    </row>
    <row r="1363" spans="1:9" ht="15.6" x14ac:dyDescent="0.3">
      <c r="A1363" s="9">
        <v>1362</v>
      </c>
      <c r="B1363" s="2" t="s">
        <v>1368</v>
      </c>
      <c r="C1363" s="11">
        <v>26</v>
      </c>
      <c r="D1363" s="12">
        <v>83.333333333333343</v>
      </c>
      <c r="E1363" s="12" t="s">
        <v>8220</v>
      </c>
      <c r="F1363" s="13">
        <v>6</v>
      </c>
      <c r="G1363" s="14">
        <v>1697.15</v>
      </c>
      <c r="H1363" t="s">
        <v>2993</v>
      </c>
      <c r="I1363">
        <v>7</v>
      </c>
    </row>
    <row r="1364" spans="1:9" ht="15.6" x14ac:dyDescent="0.3">
      <c r="A1364" s="9">
        <v>1363</v>
      </c>
      <c r="B1364" s="2" t="s">
        <v>1369</v>
      </c>
      <c r="C1364" s="11">
        <v>26</v>
      </c>
      <c r="D1364" s="12">
        <v>83.333333333333343</v>
      </c>
      <c r="E1364" s="12" t="s">
        <v>8220</v>
      </c>
      <c r="F1364" s="13">
        <v>6</v>
      </c>
      <c r="G1364" s="14">
        <v>1737.1799999999998</v>
      </c>
      <c r="H1364" t="s">
        <v>1969</v>
      </c>
      <c r="I1364">
        <v>7</v>
      </c>
    </row>
    <row r="1365" spans="1:9" ht="15.6" x14ac:dyDescent="0.3">
      <c r="A1365" s="9">
        <v>1364</v>
      </c>
      <c r="B1365" s="2" t="s">
        <v>1370</v>
      </c>
      <c r="C1365" s="11">
        <v>20</v>
      </c>
      <c r="D1365" s="12">
        <v>66.666666666666657</v>
      </c>
      <c r="E1365" s="12" t="s">
        <v>8220</v>
      </c>
      <c r="F1365" s="13">
        <v>6</v>
      </c>
      <c r="G1365" s="14">
        <v>1712.1599999999999</v>
      </c>
      <c r="H1365" t="s">
        <v>945</v>
      </c>
      <c r="I1365">
        <v>6</v>
      </c>
    </row>
    <row r="1366" spans="1:9" ht="15.6" x14ac:dyDescent="0.3">
      <c r="A1366" s="9">
        <v>1365</v>
      </c>
      <c r="B1366" s="2" t="s">
        <v>1371</v>
      </c>
      <c r="C1366" s="11">
        <v>26</v>
      </c>
      <c r="D1366" s="12">
        <v>83.333333333333343</v>
      </c>
      <c r="E1366" s="12" t="s">
        <v>8220</v>
      </c>
      <c r="F1366" s="13">
        <v>6</v>
      </c>
      <c r="G1366" s="14">
        <v>1697.15</v>
      </c>
      <c r="H1366" t="s">
        <v>3761</v>
      </c>
      <c r="I1366">
        <v>7</v>
      </c>
    </row>
    <row r="1367" spans="1:9" ht="15.6" x14ac:dyDescent="0.3">
      <c r="A1367" s="9">
        <v>1366</v>
      </c>
      <c r="B1367" s="2" t="s">
        <v>1372</v>
      </c>
      <c r="C1367" s="11">
        <v>24</v>
      </c>
      <c r="D1367" s="12">
        <v>100</v>
      </c>
      <c r="E1367" s="12" t="s">
        <v>8220</v>
      </c>
      <c r="F1367" s="13">
        <v>6</v>
      </c>
      <c r="G1367" s="14">
        <v>1673.12</v>
      </c>
      <c r="H1367" t="s">
        <v>2737</v>
      </c>
      <c r="I1367">
        <v>6</v>
      </c>
    </row>
    <row r="1368" spans="1:9" ht="15.6" x14ac:dyDescent="0.3">
      <c r="A1368" s="9">
        <v>1367</v>
      </c>
      <c r="B1368" s="2" t="s">
        <v>1373</v>
      </c>
      <c r="C1368" s="11">
        <v>24</v>
      </c>
      <c r="D1368" s="12">
        <v>100</v>
      </c>
      <c r="E1368" s="12" t="s">
        <v>8220</v>
      </c>
      <c r="F1368" s="13">
        <v>6</v>
      </c>
      <c r="G1368" s="14">
        <v>1713.15</v>
      </c>
      <c r="H1368" t="s">
        <v>1713</v>
      </c>
      <c r="I1368">
        <v>6</v>
      </c>
    </row>
    <row r="1369" spans="1:9" ht="15.6" x14ac:dyDescent="0.3">
      <c r="A1369" s="9">
        <v>1368</v>
      </c>
      <c r="B1369" s="2" t="s">
        <v>1374</v>
      </c>
      <c r="C1369" s="11">
        <v>18</v>
      </c>
      <c r="D1369" s="12">
        <v>83.333333333333343</v>
      </c>
      <c r="E1369" s="12" t="s">
        <v>8220</v>
      </c>
      <c r="F1369" s="13">
        <v>6</v>
      </c>
      <c r="G1369" s="14">
        <v>1688.13</v>
      </c>
      <c r="H1369" t="s">
        <v>689</v>
      </c>
      <c r="I1369">
        <v>5</v>
      </c>
    </row>
    <row r="1370" spans="1:9" ht="15.6" x14ac:dyDescent="0.3">
      <c r="A1370" s="9">
        <v>1369</v>
      </c>
      <c r="B1370" s="2" t="s">
        <v>1375</v>
      </c>
      <c r="C1370" s="11">
        <v>26</v>
      </c>
      <c r="D1370" s="12">
        <v>83.333333333333343</v>
      </c>
      <c r="E1370" s="12" t="s">
        <v>8220</v>
      </c>
      <c r="F1370" s="13">
        <v>6</v>
      </c>
      <c r="G1370" s="14">
        <v>1737.1799999999998</v>
      </c>
      <c r="H1370" t="s">
        <v>3505</v>
      </c>
      <c r="I1370">
        <v>7</v>
      </c>
    </row>
    <row r="1371" spans="1:9" ht="15.6" x14ac:dyDescent="0.3">
      <c r="A1371" s="9">
        <v>1370</v>
      </c>
      <c r="B1371" s="2" t="s">
        <v>1376</v>
      </c>
      <c r="C1371" s="11">
        <v>24</v>
      </c>
      <c r="D1371" s="12">
        <v>100</v>
      </c>
      <c r="E1371" s="12" t="s">
        <v>8220</v>
      </c>
      <c r="F1371" s="13">
        <v>6</v>
      </c>
      <c r="G1371" s="14">
        <v>1713.15</v>
      </c>
      <c r="H1371" t="s">
        <v>2481</v>
      </c>
      <c r="I1371">
        <v>6</v>
      </c>
    </row>
    <row r="1372" spans="1:9" ht="15.6" x14ac:dyDescent="0.3">
      <c r="A1372" s="9">
        <v>1371</v>
      </c>
      <c r="B1372" s="2" t="s">
        <v>1377</v>
      </c>
      <c r="C1372" s="11">
        <v>24</v>
      </c>
      <c r="D1372" s="12">
        <v>100</v>
      </c>
      <c r="E1372" s="12" t="s">
        <v>8220</v>
      </c>
      <c r="F1372" s="13">
        <v>6</v>
      </c>
      <c r="G1372" s="14">
        <v>1753.1799999999998</v>
      </c>
      <c r="H1372" t="s">
        <v>1457</v>
      </c>
      <c r="I1372">
        <v>6</v>
      </c>
    </row>
    <row r="1373" spans="1:9" ht="15.6" x14ac:dyDescent="0.3">
      <c r="A1373" s="9">
        <v>1372</v>
      </c>
      <c r="B1373" s="2" t="s">
        <v>1378</v>
      </c>
      <c r="C1373" s="11">
        <v>18</v>
      </c>
      <c r="D1373" s="12">
        <v>83.333333333333343</v>
      </c>
      <c r="E1373" s="12" t="s">
        <v>8220</v>
      </c>
      <c r="F1373" s="13">
        <v>6</v>
      </c>
      <c r="G1373" s="14">
        <v>1728.1599999999999</v>
      </c>
      <c r="H1373" t="s">
        <v>433</v>
      </c>
      <c r="I1373">
        <v>5</v>
      </c>
    </row>
    <row r="1374" spans="1:9" ht="15.6" x14ac:dyDescent="0.3">
      <c r="A1374" s="9">
        <v>1373</v>
      </c>
      <c r="B1374" s="2" t="s">
        <v>1379</v>
      </c>
      <c r="C1374" s="11">
        <v>20</v>
      </c>
      <c r="D1374" s="12">
        <v>66.666666666666657</v>
      </c>
      <c r="E1374" s="12" t="s">
        <v>8220</v>
      </c>
      <c r="F1374" s="13">
        <v>6</v>
      </c>
      <c r="G1374" s="14">
        <v>1712.1599999999999</v>
      </c>
      <c r="H1374" t="s">
        <v>3249</v>
      </c>
      <c r="I1374">
        <v>6</v>
      </c>
    </row>
    <row r="1375" spans="1:9" ht="15.6" x14ac:dyDescent="0.3">
      <c r="A1375" s="9">
        <v>1374</v>
      </c>
      <c r="B1375" s="2" t="s">
        <v>1380</v>
      </c>
      <c r="C1375" s="11">
        <v>18</v>
      </c>
      <c r="D1375" s="12">
        <v>83.333333333333343</v>
      </c>
      <c r="E1375" s="12" t="s">
        <v>8220</v>
      </c>
      <c r="F1375" s="13">
        <v>6</v>
      </c>
      <c r="G1375" s="14">
        <v>1688.13</v>
      </c>
      <c r="H1375" t="s">
        <v>2225</v>
      </c>
      <c r="I1375">
        <v>5</v>
      </c>
    </row>
    <row r="1376" spans="1:9" ht="15.6" x14ac:dyDescent="0.3">
      <c r="A1376" s="9">
        <v>1375</v>
      </c>
      <c r="B1376" s="2" t="s">
        <v>1381</v>
      </c>
      <c r="C1376" s="11">
        <v>18</v>
      </c>
      <c r="D1376" s="12">
        <v>83.333333333333343</v>
      </c>
      <c r="E1376" s="12" t="s">
        <v>8220</v>
      </c>
      <c r="F1376" s="13">
        <v>6</v>
      </c>
      <c r="G1376" s="14">
        <v>1728.1599999999999</v>
      </c>
      <c r="H1376" t="s">
        <v>1201</v>
      </c>
      <c r="I1376">
        <v>5</v>
      </c>
    </row>
    <row r="1377" spans="1:9" ht="15.6" x14ac:dyDescent="0.3">
      <c r="A1377" s="9">
        <v>1376</v>
      </c>
      <c r="B1377" s="2" t="s">
        <v>1382</v>
      </c>
      <c r="C1377" s="11">
        <v>12</v>
      </c>
      <c r="D1377" s="12">
        <v>66.666666666666657</v>
      </c>
      <c r="E1377" s="12" t="s">
        <v>8220</v>
      </c>
      <c r="F1377" s="13">
        <v>6</v>
      </c>
      <c r="G1377" s="14">
        <v>1703.1399999999999</v>
      </c>
      <c r="H1377" t="s">
        <v>177</v>
      </c>
      <c r="I1377">
        <v>4</v>
      </c>
    </row>
    <row r="1378" spans="1:9" ht="15.6" x14ac:dyDescent="0.3">
      <c r="A1378" s="9">
        <v>1377</v>
      </c>
      <c r="B1378" s="2" t="s">
        <v>1383</v>
      </c>
      <c r="C1378" s="11">
        <v>28</v>
      </c>
      <c r="D1378" s="12">
        <v>66.666666666666657</v>
      </c>
      <c r="E1378" s="12" t="s">
        <v>8220</v>
      </c>
      <c r="F1378" s="13">
        <v>6</v>
      </c>
      <c r="G1378" s="14">
        <v>1761.21</v>
      </c>
      <c r="H1378" t="s">
        <v>3953</v>
      </c>
      <c r="I1378">
        <v>7</v>
      </c>
    </row>
    <row r="1379" spans="1:9" ht="15.6" x14ac:dyDescent="0.3">
      <c r="A1379" s="9">
        <v>1378</v>
      </c>
      <c r="B1379" s="2" t="s">
        <v>1384</v>
      </c>
      <c r="C1379" s="11">
        <v>26</v>
      </c>
      <c r="D1379" s="12">
        <v>83.333333333333343</v>
      </c>
      <c r="E1379" s="12" t="s">
        <v>8220</v>
      </c>
      <c r="F1379" s="13">
        <v>6</v>
      </c>
      <c r="G1379" s="14">
        <v>1737.1799999999998</v>
      </c>
      <c r="H1379" t="s">
        <v>2929</v>
      </c>
      <c r="I1379">
        <v>7</v>
      </c>
    </row>
    <row r="1380" spans="1:9" ht="15.6" x14ac:dyDescent="0.3">
      <c r="A1380" s="9">
        <v>1379</v>
      </c>
      <c r="B1380" s="2" t="s">
        <v>1385</v>
      </c>
      <c r="C1380" s="11">
        <v>26</v>
      </c>
      <c r="D1380" s="12">
        <v>83.333333333333343</v>
      </c>
      <c r="E1380" s="12" t="s">
        <v>8220</v>
      </c>
      <c r="F1380" s="13">
        <v>6</v>
      </c>
      <c r="G1380" s="14">
        <v>1777.21</v>
      </c>
      <c r="H1380" t="s">
        <v>1905</v>
      </c>
      <c r="I1380">
        <v>7</v>
      </c>
    </row>
    <row r="1381" spans="1:9" ht="15.6" x14ac:dyDescent="0.3">
      <c r="A1381" s="9">
        <v>1380</v>
      </c>
      <c r="B1381" s="2" t="s">
        <v>1386</v>
      </c>
      <c r="C1381" s="11">
        <v>20</v>
      </c>
      <c r="D1381" s="12">
        <v>66.666666666666657</v>
      </c>
      <c r="E1381" s="12" t="s">
        <v>8220</v>
      </c>
      <c r="F1381" s="13">
        <v>6</v>
      </c>
      <c r="G1381" s="14">
        <v>1752.19</v>
      </c>
      <c r="H1381" t="s">
        <v>881</v>
      </c>
      <c r="I1381">
        <v>6</v>
      </c>
    </row>
    <row r="1382" spans="1:9" ht="15.6" x14ac:dyDescent="0.3">
      <c r="A1382" s="9">
        <v>1381</v>
      </c>
      <c r="B1382" s="2" t="s">
        <v>1387</v>
      </c>
      <c r="C1382" s="11">
        <v>26</v>
      </c>
      <c r="D1382" s="12">
        <v>83.333333333333343</v>
      </c>
      <c r="E1382" s="12" t="s">
        <v>8220</v>
      </c>
      <c r="F1382" s="13">
        <v>6</v>
      </c>
      <c r="G1382" s="14">
        <v>1737.1799999999998</v>
      </c>
      <c r="H1382" t="s">
        <v>3697</v>
      </c>
      <c r="I1382">
        <v>7</v>
      </c>
    </row>
    <row r="1383" spans="1:9" ht="15.6" x14ac:dyDescent="0.3">
      <c r="A1383" s="9">
        <v>1382</v>
      </c>
      <c r="B1383" s="2" t="s">
        <v>1388</v>
      </c>
      <c r="C1383" s="11">
        <v>24</v>
      </c>
      <c r="D1383" s="12">
        <v>100</v>
      </c>
      <c r="E1383" s="12" t="s">
        <v>8220</v>
      </c>
      <c r="F1383" s="13">
        <v>6</v>
      </c>
      <c r="G1383" s="14">
        <v>1713.15</v>
      </c>
      <c r="H1383" t="s">
        <v>2673</v>
      </c>
      <c r="I1383">
        <v>6</v>
      </c>
    </row>
    <row r="1384" spans="1:9" ht="15.6" x14ac:dyDescent="0.3">
      <c r="A1384" s="9">
        <v>1383</v>
      </c>
      <c r="B1384" s="2" t="s">
        <v>1389</v>
      </c>
      <c r="C1384" s="11">
        <v>24</v>
      </c>
      <c r="D1384" s="12">
        <v>100</v>
      </c>
      <c r="E1384" s="12" t="s">
        <v>8220</v>
      </c>
      <c r="F1384" s="13">
        <v>6</v>
      </c>
      <c r="G1384" s="14">
        <v>1753.1799999999998</v>
      </c>
      <c r="H1384" t="s">
        <v>1649</v>
      </c>
      <c r="I1384">
        <v>6</v>
      </c>
    </row>
    <row r="1385" spans="1:9" ht="15.6" x14ac:dyDescent="0.3">
      <c r="A1385" s="9">
        <v>1384</v>
      </c>
      <c r="B1385" s="2" t="s">
        <v>1390</v>
      </c>
      <c r="C1385" s="11">
        <v>18</v>
      </c>
      <c r="D1385" s="12">
        <v>83.333333333333343</v>
      </c>
      <c r="E1385" s="12" t="s">
        <v>8220</v>
      </c>
      <c r="F1385" s="13">
        <v>6</v>
      </c>
      <c r="G1385" s="14">
        <v>1728.1599999999999</v>
      </c>
      <c r="H1385" t="s">
        <v>625</v>
      </c>
      <c r="I1385">
        <v>5</v>
      </c>
    </row>
    <row r="1386" spans="1:9" ht="15.6" x14ac:dyDescent="0.3">
      <c r="A1386" s="9">
        <v>1385</v>
      </c>
      <c r="B1386" s="2" t="s">
        <v>1391</v>
      </c>
      <c r="C1386" s="11">
        <v>26</v>
      </c>
      <c r="D1386" s="12">
        <v>83.333333333333343</v>
      </c>
      <c r="E1386" s="12" t="s">
        <v>8220</v>
      </c>
      <c r="F1386" s="13">
        <v>6</v>
      </c>
      <c r="G1386" s="14">
        <v>1777.21</v>
      </c>
      <c r="H1386" t="s">
        <v>3441</v>
      </c>
      <c r="I1386">
        <v>7</v>
      </c>
    </row>
    <row r="1387" spans="1:9" ht="15.6" x14ac:dyDescent="0.3">
      <c r="A1387" s="9">
        <v>1386</v>
      </c>
      <c r="B1387" s="2" t="s">
        <v>1392</v>
      </c>
      <c r="C1387" s="11">
        <v>24</v>
      </c>
      <c r="D1387" s="12">
        <v>100</v>
      </c>
      <c r="E1387" s="12" t="s">
        <v>8220</v>
      </c>
      <c r="F1387" s="13">
        <v>6</v>
      </c>
      <c r="G1387" s="14">
        <v>1753.1799999999998</v>
      </c>
      <c r="H1387" t="s">
        <v>2417</v>
      </c>
      <c r="I1387">
        <v>6</v>
      </c>
    </row>
    <row r="1388" spans="1:9" ht="15.6" x14ac:dyDescent="0.3">
      <c r="A1388" s="9">
        <v>1387</v>
      </c>
      <c r="B1388" s="2" t="s">
        <v>1393</v>
      </c>
      <c r="C1388" s="11">
        <v>24</v>
      </c>
      <c r="D1388" s="12">
        <v>100</v>
      </c>
      <c r="E1388" s="12" t="s">
        <v>8220</v>
      </c>
      <c r="F1388" s="13">
        <v>6</v>
      </c>
      <c r="G1388" s="14">
        <v>1793.21</v>
      </c>
      <c r="H1388" t="s">
        <v>1393</v>
      </c>
      <c r="I1388">
        <v>6</v>
      </c>
    </row>
    <row r="1389" spans="1:9" ht="15.6" x14ac:dyDescent="0.3">
      <c r="A1389" s="9">
        <v>1388</v>
      </c>
      <c r="B1389" s="2" t="s">
        <v>1394</v>
      </c>
      <c r="C1389" s="11">
        <v>18</v>
      </c>
      <c r="D1389" s="12">
        <v>83.333333333333343</v>
      </c>
      <c r="E1389" s="12" t="s">
        <v>8220</v>
      </c>
      <c r="F1389" s="13">
        <v>6</v>
      </c>
      <c r="G1389" s="14">
        <v>1768.19</v>
      </c>
      <c r="H1389" t="s">
        <v>369</v>
      </c>
      <c r="I1389">
        <v>5</v>
      </c>
    </row>
    <row r="1390" spans="1:9" ht="15.6" x14ac:dyDescent="0.3">
      <c r="A1390" s="9">
        <v>1389</v>
      </c>
      <c r="B1390" s="2" t="s">
        <v>1395</v>
      </c>
      <c r="C1390" s="11">
        <v>20</v>
      </c>
      <c r="D1390" s="12">
        <v>66.666666666666657</v>
      </c>
      <c r="E1390" s="12" t="s">
        <v>8220</v>
      </c>
      <c r="F1390" s="13">
        <v>6</v>
      </c>
      <c r="G1390" s="14">
        <v>1752.19</v>
      </c>
      <c r="H1390" t="s">
        <v>3185</v>
      </c>
      <c r="I1390">
        <v>6</v>
      </c>
    </row>
    <row r="1391" spans="1:9" ht="15.6" x14ac:dyDescent="0.3">
      <c r="A1391" s="9">
        <v>1390</v>
      </c>
      <c r="B1391" s="2" t="s">
        <v>1396</v>
      </c>
      <c r="C1391" s="11">
        <v>18</v>
      </c>
      <c r="D1391" s="12">
        <v>83.333333333333343</v>
      </c>
      <c r="E1391" s="12" t="s">
        <v>8220</v>
      </c>
      <c r="F1391" s="13">
        <v>6</v>
      </c>
      <c r="G1391" s="14">
        <v>1728.1599999999999</v>
      </c>
      <c r="H1391" t="s">
        <v>2161</v>
      </c>
      <c r="I1391">
        <v>5</v>
      </c>
    </row>
    <row r="1392" spans="1:9" ht="15.6" x14ac:dyDescent="0.3">
      <c r="A1392" s="9">
        <v>1391</v>
      </c>
      <c r="B1392" s="2" t="s">
        <v>1397</v>
      </c>
      <c r="C1392" s="11">
        <v>18</v>
      </c>
      <c r="D1392" s="12">
        <v>83.333333333333343</v>
      </c>
      <c r="E1392" s="12" t="s">
        <v>8220</v>
      </c>
      <c r="F1392" s="13">
        <v>6</v>
      </c>
      <c r="G1392" s="14">
        <v>1768.19</v>
      </c>
      <c r="H1392" t="s">
        <v>1137</v>
      </c>
      <c r="I1392">
        <v>5</v>
      </c>
    </row>
    <row r="1393" spans="1:9" ht="15.6" x14ac:dyDescent="0.3">
      <c r="A1393" s="9">
        <v>1392</v>
      </c>
      <c r="B1393" s="2" t="s">
        <v>1398</v>
      </c>
      <c r="C1393" s="11">
        <v>12</v>
      </c>
      <c r="D1393" s="12">
        <v>66.666666666666657</v>
      </c>
      <c r="E1393" s="12" t="s">
        <v>8220</v>
      </c>
      <c r="F1393" s="13">
        <v>6</v>
      </c>
      <c r="G1393" s="14">
        <v>1743.17</v>
      </c>
      <c r="H1393" t="s">
        <v>113</v>
      </c>
      <c r="I1393">
        <v>4</v>
      </c>
    </row>
    <row r="1394" spans="1:9" ht="15.6" x14ac:dyDescent="0.3">
      <c r="A1394" s="9">
        <v>1393</v>
      </c>
      <c r="B1394" s="2" t="s">
        <v>1399</v>
      </c>
      <c r="C1394" s="11">
        <v>22</v>
      </c>
      <c r="D1394" s="12">
        <v>50</v>
      </c>
      <c r="E1394" s="12" t="s">
        <v>8219</v>
      </c>
      <c r="F1394" s="13">
        <v>6</v>
      </c>
      <c r="G1394" s="14">
        <v>1736.19</v>
      </c>
      <c r="H1394" t="s">
        <v>3889</v>
      </c>
      <c r="I1394">
        <v>6</v>
      </c>
    </row>
    <row r="1395" spans="1:9" ht="15.6" x14ac:dyDescent="0.3">
      <c r="A1395" s="9">
        <v>1394</v>
      </c>
      <c r="B1395" s="2" t="s">
        <v>1400</v>
      </c>
      <c r="C1395" s="11">
        <v>20</v>
      </c>
      <c r="D1395" s="12">
        <v>66.666666666666657</v>
      </c>
      <c r="E1395" s="12" t="s">
        <v>8220</v>
      </c>
      <c r="F1395" s="13">
        <v>6</v>
      </c>
      <c r="G1395" s="14">
        <v>1712.1599999999999</v>
      </c>
      <c r="H1395" t="s">
        <v>2865</v>
      </c>
      <c r="I1395">
        <v>6</v>
      </c>
    </row>
    <row r="1396" spans="1:9" ht="15.6" x14ac:dyDescent="0.3">
      <c r="A1396" s="9">
        <v>1395</v>
      </c>
      <c r="B1396" s="2" t="s">
        <v>1401</v>
      </c>
      <c r="C1396" s="11">
        <v>20</v>
      </c>
      <c r="D1396" s="12">
        <v>66.666666666666657</v>
      </c>
      <c r="E1396" s="12" t="s">
        <v>8220</v>
      </c>
      <c r="F1396" s="13">
        <v>6</v>
      </c>
      <c r="G1396" s="14">
        <v>1752.19</v>
      </c>
      <c r="H1396" t="s">
        <v>1841</v>
      </c>
      <c r="I1396">
        <v>6</v>
      </c>
    </row>
    <row r="1397" spans="1:9" ht="15.6" x14ac:dyDescent="0.3">
      <c r="A1397" s="9">
        <v>1396</v>
      </c>
      <c r="B1397" s="2" t="s">
        <v>1402</v>
      </c>
      <c r="C1397" s="11">
        <v>14</v>
      </c>
      <c r="D1397" s="12">
        <v>50</v>
      </c>
      <c r="E1397" s="12" t="s">
        <v>8219</v>
      </c>
      <c r="F1397" s="13">
        <v>6</v>
      </c>
      <c r="G1397" s="14">
        <v>1727.17</v>
      </c>
      <c r="H1397" t="s">
        <v>817</v>
      </c>
      <c r="I1397">
        <v>5</v>
      </c>
    </row>
    <row r="1398" spans="1:9" ht="15.6" x14ac:dyDescent="0.3">
      <c r="A1398" s="9">
        <v>1397</v>
      </c>
      <c r="B1398" s="2" t="s">
        <v>1403</v>
      </c>
      <c r="C1398" s="11">
        <v>20</v>
      </c>
      <c r="D1398" s="12">
        <v>66.666666666666657</v>
      </c>
      <c r="E1398" s="12" t="s">
        <v>8220</v>
      </c>
      <c r="F1398" s="13">
        <v>6</v>
      </c>
      <c r="G1398" s="14">
        <v>1712.1599999999999</v>
      </c>
      <c r="H1398" t="s">
        <v>3633</v>
      </c>
      <c r="I1398">
        <v>6</v>
      </c>
    </row>
    <row r="1399" spans="1:9" ht="15.6" x14ac:dyDescent="0.3">
      <c r="A1399" s="9">
        <v>1398</v>
      </c>
      <c r="B1399" s="2" t="s">
        <v>1404</v>
      </c>
      <c r="C1399" s="11">
        <v>18</v>
      </c>
      <c r="D1399" s="12">
        <v>83.333333333333343</v>
      </c>
      <c r="E1399" s="12" t="s">
        <v>8220</v>
      </c>
      <c r="F1399" s="13">
        <v>6</v>
      </c>
      <c r="G1399" s="14">
        <v>1688.13</v>
      </c>
      <c r="H1399" t="s">
        <v>2609</v>
      </c>
      <c r="I1399">
        <v>5</v>
      </c>
    </row>
    <row r="1400" spans="1:9" ht="15.6" x14ac:dyDescent="0.3">
      <c r="A1400" s="9">
        <v>1399</v>
      </c>
      <c r="B1400" s="2" t="s">
        <v>1405</v>
      </c>
      <c r="C1400" s="11">
        <v>18</v>
      </c>
      <c r="D1400" s="12">
        <v>83.333333333333343</v>
      </c>
      <c r="E1400" s="12" t="s">
        <v>8220</v>
      </c>
      <c r="F1400" s="13">
        <v>6</v>
      </c>
      <c r="G1400" s="14">
        <v>1728.1599999999999</v>
      </c>
      <c r="H1400" t="s">
        <v>1585</v>
      </c>
      <c r="I1400">
        <v>5</v>
      </c>
    </row>
    <row r="1401" spans="1:9" ht="15.6" x14ac:dyDescent="0.3">
      <c r="A1401" s="9">
        <v>1400</v>
      </c>
      <c r="B1401" s="2" t="s">
        <v>1406</v>
      </c>
      <c r="C1401" s="11">
        <v>12</v>
      </c>
      <c r="D1401" s="12">
        <v>66.666666666666657</v>
      </c>
      <c r="E1401" s="12" t="s">
        <v>8220</v>
      </c>
      <c r="F1401" s="13">
        <v>6</v>
      </c>
      <c r="G1401" s="14">
        <v>1703.1399999999999</v>
      </c>
      <c r="H1401" t="s">
        <v>561</v>
      </c>
      <c r="I1401">
        <v>4</v>
      </c>
    </row>
    <row r="1402" spans="1:9" ht="15.6" x14ac:dyDescent="0.3">
      <c r="A1402" s="9">
        <v>1401</v>
      </c>
      <c r="B1402" s="2" t="s">
        <v>1407</v>
      </c>
      <c r="C1402" s="11">
        <v>20</v>
      </c>
      <c r="D1402" s="12">
        <v>66.666666666666657</v>
      </c>
      <c r="E1402" s="12" t="s">
        <v>8220</v>
      </c>
      <c r="F1402" s="13">
        <v>6</v>
      </c>
      <c r="G1402" s="14">
        <v>1752.19</v>
      </c>
      <c r="H1402" t="s">
        <v>3377</v>
      </c>
      <c r="I1402">
        <v>6</v>
      </c>
    </row>
    <row r="1403" spans="1:9" ht="15.6" x14ac:dyDescent="0.3">
      <c r="A1403" s="9">
        <v>1402</v>
      </c>
      <c r="B1403" s="2" t="s">
        <v>1408</v>
      </c>
      <c r="C1403" s="11">
        <v>18</v>
      </c>
      <c r="D1403" s="12">
        <v>83.333333333333343</v>
      </c>
      <c r="E1403" s="12" t="s">
        <v>8220</v>
      </c>
      <c r="F1403" s="13">
        <v>6</v>
      </c>
      <c r="G1403" s="14">
        <v>1728.1599999999999</v>
      </c>
      <c r="H1403" t="s">
        <v>2353</v>
      </c>
      <c r="I1403">
        <v>5</v>
      </c>
    </row>
    <row r="1404" spans="1:9" ht="15.6" x14ac:dyDescent="0.3">
      <c r="A1404" s="9">
        <v>1403</v>
      </c>
      <c r="B1404" s="2" t="s">
        <v>1409</v>
      </c>
      <c r="C1404" s="11">
        <v>18</v>
      </c>
      <c r="D1404" s="12">
        <v>83.333333333333343</v>
      </c>
      <c r="E1404" s="12" t="s">
        <v>8220</v>
      </c>
      <c r="F1404" s="13">
        <v>6</v>
      </c>
      <c r="G1404" s="14">
        <v>1768.19</v>
      </c>
      <c r="H1404" t="s">
        <v>1329</v>
      </c>
      <c r="I1404">
        <v>5</v>
      </c>
    </row>
    <row r="1405" spans="1:9" ht="15.6" x14ac:dyDescent="0.3">
      <c r="A1405" s="9">
        <v>1404</v>
      </c>
      <c r="B1405" s="2" t="s">
        <v>1410</v>
      </c>
      <c r="C1405" s="11">
        <v>12</v>
      </c>
      <c r="D1405" s="12">
        <v>66.666666666666657</v>
      </c>
      <c r="E1405" s="12" t="s">
        <v>8220</v>
      </c>
      <c r="F1405" s="13">
        <v>6</v>
      </c>
      <c r="G1405" s="14">
        <v>1743.17</v>
      </c>
      <c r="H1405" t="s">
        <v>305</v>
      </c>
      <c r="I1405">
        <v>4</v>
      </c>
    </row>
    <row r="1406" spans="1:9" ht="15.6" x14ac:dyDescent="0.3">
      <c r="A1406" s="9">
        <v>1405</v>
      </c>
      <c r="B1406" s="2" t="s">
        <v>1411</v>
      </c>
      <c r="C1406" s="11">
        <v>14</v>
      </c>
      <c r="D1406" s="12">
        <v>50</v>
      </c>
      <c r="E1406" s="12" t="s">
        <v>8219</v>
      </c>
      <c r="F1406" s="13">
        <v>6</v>
      </c>
      <c r="G1406" s="14">
        <v>1727.17</v>
      </c>
      <c r="H1406" t="s">
        <v>3121</v>
      </c>
      <c r="I1406">
        <v>5</v>
      </c>
    </row>
    <row r="1407" spans="1:9" ht="15.6" x14ac:dyDescent="0.3">
      <c r="A1407" s="9">
        <v>1406</v>
      </c>
      <c r="B1407" s="2" t="s">
        <v>1412</v>
      </c>
      <c r="C1407" s="11">
        <v>12</v>
      </c>
      <c r="D1407" s="12">
        <v>66.666666666666657</v>
      </c>
      <c r="E1407" s="12" t="s">
        <v>8220</v>
      </c>
      <c r="F1407" s="13">
        <v>6</v>
      </c>
      <c r="G1407" s="14">
        <v>1703.1399999999999</v>
      </c>
      <c r="H1407" t="s">
        <v>2097</v>
      </c>
      <c r="I1407">
        <v>4</v>
      </c>
    </row>
    <row r="1408" spans="1:9" ht="15.6" x14ac:dyDescent="0.3">
      <c r="A1408" s="9">
        <v>1407</v>
      </c>
      <c r="B1408" s="2" t="s">
        <v>1413</v>
      </c>
      <c r="C1408" s="11">
        <v>12</v>
      </c>
      <c r="D1408" s="12">
        <v>66.666666666666657</v>
      </c>
      <c r="E1408" s="12" t="s">
        <v>8220</v>
      </c>
      <c r="F1408" s="13">
        <v>6</v>
      </c>
      <c r="G1408" s="14">
        <v>1743.17</v>
      </c>
      <c r="H1408" t="s">
        <v>1073</v>
      </c>
      <c r="I1408">
        <v>4</v>
      </c>
    </row>
    <row r="1409" spans="1:9" ht="15.6" x14ac:dyDescent="0.3">
      <c r="A1409" s="9">
        <v>1408</v>
      </c>
      <c r="B1409" s="2" t="s">
        <v>1414</v>
      </c>
      <c r="C1409" s="11">
        <v>6</v>
      </c>
      <c r="D1409" s="12">
        <v>50</v>
      </c>
      <c r="E1409" s="12" t="s">
        <v>8219</v>
      </c>
      <c r="F1409" s="13">
        <v>6</v>
      </c>
      <c r="G1409" s="14">
        <v>1718.15</v>
      </c>
      <c r="H1409" t="s">
        <v>49</v>
      </c>
      <c r="I1409">
        <v>3</v>
      </c>
    </row>
    <row r="1410" spans="1:9" ht="15.6" x14ac:dyDescent="0.3">
      <c r="A1410" s="9">
        <v>1409</v>
      </c>
      <c r="B1410" s="2" t="s">
        <v>1415</v>
      </c>
      <c r="C1410" s="11">
        <v>30</v>
      </c>
      <c r="D1410" s="12">
        <v>50</v>
      </c>
      <c r="E1410" s="12" t="s">
        <v>8219</v>
      </c>
      <c r="F1410" s="13">
        <v>6</v>
      </c>
      <c r="G1410" s="14">
        <v>1785.2399999999998</v>
      </c>
      <c r="H1410" t="s">
        <v>4065</v>
      </c>
      <c r="I1410">
        <v>7</v>
      </c>
    </row>
    <row r="1411" spans="1:9" ht="15.6" x14ac:dyDescent="0.3">
      <c r="A1411" s="9">
        <v>1410</v>
      </c>
      <c r="B1411" s="2" t="s">
        <v>1416</v>
      </c>
      <c r="C1411" s="11">
        <v>28</v>
      </c>
      <c r="D1411" s="12">
        <v>66.666666666666657</v>
      </c>
      <c r="E1411" s="12" t="s">
        <v>8220</v>
      </c>
      <c r="F1411" s="13">
        <v>6</v>
      </c>
      <c r="G1411" s="14">
        <v>1761.21</v>
      </c>
      <c r="H1411" t="s">
        <v>3041</v>
      </c>
      <c r="I1411">
        <v>7</v>
      </c>
    </row>
    <row r="1412" spans="1:9" ht="15.6" x14ac:dyDescent="0.3">
      <c r="A1412" s="9">
        <v>1411</v>
      </c>
      <c r="B1412" s="2" t="s">
        <v>1417</v>
      </c>
      <c r="C1412" s="11">
        <v>28</v>
      </c>
      <c r="D1412" s="12">
        <v>66.666666666666657</v>
      </c>
      <c r="E1412" s="12" t="s">
        <v>8220</v>
      </c>
      <c r="F1412" s="13">
        <v>6</v>
      </c>
      <c r="G1412" s="14">
        <v>1801.2399999999998</v>
      </c>
      <c r="H1412" t="s">
        <v>2017</v>
      </c>
      <c r="I1412">
        <v>7</v>
      </c>
    </row>
    <row r="1413" spans="1:9" ht="15.6" x14ac:dyDescent="0.3">
      <c r="A1413" s="9">
        <v>1412</v>
      </c>
      <c r="B1413" s="2" t="s">
        <v>1418</v>
      </c>
      <c r="C1413" s="11">
        <v>22</v>
      </c>
      <c r="D1413" s="12">
        <v>50</v>
      </c>
      <c r="E1413" s="12" t="s">
        <v>8219</v>
      </c>
      <c r="F1413" s="13">
        <v>6</v>
      </c>
      <c r="G1413" s="14">
        <v>1776.2199999999998</v>
      </c>
      <c r="H1413" t="s">
        <v>993</v>
      </c>
      <c r="I1413">
        <v>6</v>
      </c>
    </row>
    <row r="1414" spans="1:9" ht="15.6" x14ac:dyDescent="0.3">
      <c r="A1414" s="9">
        <v>1413</v>
      </c>
      <c r="B1414" s="2" t="s">
        <v>1419</v>
      </c>
      <c r="C1414" s="11">
        <v>28</v>
      </c>
      <c r="D1414" s="12">
        <v>66.666666666666657</v>
      </c>
      <c r="E1414" s="12" t="s">
        <v>8220</v>
      </c>
      <c r="F1414" s="13">
        <v>6</v>
      </c>
      <c r="G1414" s="14">
        <v>1761.21</v>
      </c>
      <c r="H1414" t="s">
        <v>3809</v>
      </c>
      <c r="I1414">
        <v>7</v>
      </c>
    </row>
    <row r="1415" spans="1:9" ht="15.6" x14ac:dyDescent="0.3">
      <c r="A1415" s="9">
        <v>1414</v>
      </c>
      <c r="B1415" s="2" t="s">
        <v>1420</v>
      </c>
      <c r="C1415" s="11">
        <v>26</v>
      </c>
      <c r="D1415" s="12">
        <v>83.333333333333343</v>
      </c>
      <c r="E1415" s="12" t="s">
        <v>8220</v>
      </c>
      <c r="F1415" s="13">
        <v>6</v>
      </c>
      <c r="G1415" s="14">
        <v>1737.1799999999998</v>
      </c>
      <c r="H1415" t="s">
        <v>2785</v>
      </c>
      <c r="I1415">
        <v>7</v>
      </c>
    </row>
    <row r="1416" spans="1:9" ht="15.6" x14ac:dyDescent="0.3">
      <c r="A1416" s="9">
        <v>1415</v>
      </c>
      <c r="B1416" s="2" t="s">
        <v>1421</v>
      </c>
      <c r="C1416" s="11">
        <v>26</v>
      </c>
      <c r="D1416" s="12">
        <v>83.333333333333343</v>
      </c>
      <c r="E1416" s="12" t="s">
        <v>8220</v>
      </c>
      <c r="F1416" s="13">
        <v>6</v>
      </c>
      <c r="G1416" s="14">
        <v>1777.21</v>
      </c>
      <c r="H1416" t="s">
        <v>1761</v>
      </c>
      <c r="I1416">
        <v>7</v>
      </c>
    </row>
    <row r="1417" spans="1:9" ht="15.6" x14ac:dyDescent="0.3">
      <c r="A1417" s="9">
        <v>1416</v>
      </c>
      <c r="B1417" s="2" t="s">
        <v>1422</v>
      </c>
      <c r="C1417" s="11">
        <v>20</v>
      </c>
      <c r="D1417" s="12">
        <v>66.666666666666657</v>
      </c>
      <c r="E1417" s="12" t="s">
        <v>8220</v>
      </c>
      <c r="F1417" s="13">
        <v>6</v>
      </c>
      <c r="G1417" s="14">
        <v>1752.19</v>
      </c>
      <c r="H1417" t="s">
        <v>737</v>
      </c>
      <c r="I1417">
        <v>6</v>
      </c>
    </row>
    <row r="1418" spans="1:9" ht="15.6" x14ac:dyDescent="0.3">
      <c r="A1418" s="9">
        <v>1417</v>
      </c>
      <c r="B1418" s="2" t="s">
        <v>1423</v>
      </c>
      <c r="C1418" s="11">
        <v>28</v>
      </c>
      <c r="D1418" s="12">
        <v>66.666666666666657</v>
      </c>
      <c r="E1418" s="12" t="s">
        <v>8220</v>
      </c>
      <c r="F1418" s="13">
        <v>6</v>
      </c>
      <c r="G1418" s="14">
        <v>1801.2399999999998</v>
      </c>
      <c r="H1418" t="s">
        <v>3553</v>
      </c>
      <c r="I1418">
        <v>7</v>
      </c>
    </row>
    <row r="1419" spans="1:9" ht="15.6" x14ac:dyDescent="0.3">
      <c r="A1419" s="9">
        <v>1418</v>
      </c>
      <c r="B1419" s="2" t="s">
        <v>1424</v>
      </c>
      <c r="C1419" s="11">
        <v>26</v>
      </c>
      <c r="D1419" s="12">
        <v>83.333333333333343</v>
      </c>
      <c r="E1419" s="12" t="s">
        <v>8220</v>
      </c>
      <c r="F1419" s="13">
        <v>6</v>
      </c>
      <c r="G1419" s="14">
        <v>1777.21</v>
      </c>
      <c r="H1419" t="s">
        <v>2529</v>
      </c>
      <c r="I1419">
        <v>7</v>
      </c>
    </row>
    <row r="1420" spans="1:9" ht="15.6" x14ac:dyDescent="0.3">
      <c r="A1420" s="9">
        <v>1419</v>
      </c>
      <c r="B1420" s="2" t="s">
        <v>1425</v>
      </c>
      <c r="C1420" s="11">
        <v>26</v>
      </c>
      <c r="D1420" s="12">
        <v>83.333333333333343</v>
      </c>
      <c r="E1420" s="12" t="s">
        <v>8220</v>
      </c>
      <c r="F1420" s="13">
        <v>6</v>
      </c>
      <c r="G1420" s="14">
        <v>1817.2400000000002</v>
      </c>
      <c r="H1420" t="s">
        <v>1505</v>
      </c>
      <c r="I1420">
        <v>7</v>
      </c>
    </row>
    <row r="1421" spans="1:9" ht="15.6" x14ac:dyDescent="0.3">
      <c r="A1421" s="9">
        <v>1420</v>
      </c>
      <c r="B1421" s="2" t="s">
        <v>1426</v>
      </c>
      <c r="C1421" s="11">
        <v>20</v>
      </c>
      <c r="D1421" s="12">
        <v>66.666666666666657</v>
      </c>
      <c r="E1421" s="12" t="s">
        <v>8220</v>
      </c>
      <c r="F1421" s="13">
        <v>6</v>
      </c>
      <c r="G1421" s="14">
        <v>1792.2199999999998</v>
      </c>
      <c r="H1421" t="s">
        <v>481</v>
      </c>
      <c r="I1421">
        <v>6</v>
      </c>
    </row>
    <row r="1422" spans="1:9" ht="15.6" x14ac:dyDescent="0.3">
      <c r="A1422" s="9">
        <v>1421</v>
      </c>
      <c r="B1422" s="2" t="s">
        <v>1427</v>
      </c>
      <c r="C1422" s="11">
        <v>22</v>
      </c>
      <c r="D1422" s="12">
        <v>50</v>
      </c>
      <c r="E1422" s="12" t="s">
        <v>8219</v>
      </c>
      <c r="F1422" s="13">
        <v>6</v>
      </c>
      <c r="G1422" s="14">
        <v>1776.2199999999998</v>
      </c>
      <c r="H1422" t="s">
        <v>3297</v>
      </c>
      <c r="I1422">
        <v>6</v>
      </c>
    </row>
    <row r="1423" spans="1:9" ht="15.6" x14ac:dyDescent="0.3">
      <c r="A1423" s="9">
        <v>1422</v>
      </c>
      <c r="B1423" s="2" t="s">
        <v>1428</v>
      </c>
      <c r="C1423" s="11">
        <v>20</v>
      </c>
      <c r="D1423" s="12">
        <v>66.666666666666657</v>
      </c>
      <c r="E1423" s="12" t="s">
        <v>8220</v>
      </c>
      <c r="F1423" s="13">
        <v>6</v>
      </c>
      <c r="G1423" s="14">
        <v>1752.19</v>
      </c>
      <c r="H1423" t="s">
        <v>2273</v>
      </c>
      <c r="I1423">
        <v>6</v>
      </c>
    </row>
    <row r="1424" spans="1:9" ht="15.6" x14ac:dyDescent="0.3">
      <c r="A1424" s="9">
        <v>1423</v>
      </c>
      <c r="B1424" s="2" t="s">
        <v>1429</v>
      </c>
      <c r="C1424" s="11">
        <v>20</v>
      </c>
      <c r="D1424" s="12">
        <v>66.666666666666657</v>
      </c>
      <c r="E1424" s="12" t="s">
        <v>8220</v>
      </c>
      <c r="F1424" s="13">
        <v>6</v>
      </c>
      <c r="G1424" s="14">
        <v>1792.2199999999998</v>
      </c>
      <c r="H1424" t="s">
        <v>1249</v>
      </c>
      <c r="I1424">
        <v>6</v>
      </c>
    </row>
    <row r="1425" spans="1:9" ht="15.6" x14ac:dyDescent="0.3">
      <c r="A1425" s="9">
        <v>1424</v>
      </c>
      <c r="B1425" s="2" t="s">
        <v>1430</v>
      </c>
      <c r="C1425" s="11">
        <v>14</v>
      </c>
      <c r="D1425" s="12">
        <v>50</v>
      </c>
      <c r="E1425" s="12" t="s">
        <v>8219</v>
      </c>
      <c r="F1425" s="13">
        <v>6</v>
      </c>
      <c r="G1425" s="14">
        <v>1767.1999999999998</v>
      </c>
      <c r="H1425" t="s">
        <v>225</v>
      </c>
      <c r="I1425">
        <v>5</v>
      </c>
    </row>
    <row r="1426" spans="1:9" ht="15.6" x14ac:dyDescent="0.3">
      <c r="A1426" s="9">
        <v>1425</v>
      </c>
      <c r="B1426" s="2" t="s">
        <v>1431</v>
      </c>
      <c r="C1426" s="11">
        <v>28</v>
      </c>
      <c r="D1426" s="12">
        <v>66.666666666666657</v>
      </c>
      <c r="E1426" s="12" t="s">
        <v>8220</v>
      </c>
      <c r="F1426" s="13">
        <v>6</v>
      </c>
      <c r="G1426" s="14">
        <v>1761.21</v>
      </c>
      <c r="H1426" t="s">
        <v>4001</v>
      </c>
      <c r="I1426">
        <v>7</v>
      </c>
    </row>
    <row r="1427" spans="1:9" ht="15.6" x14ac:dyDescent="0.3">
      <c r="A1427" s="9">
        <v>1426</v>
      </c>
      <c r="B1427" s="2" t="s">
        <v>1432</v>
      </c>
      <c r="C1427" s="11">
        <v>26</v>
      </c>
      <c r="D1427" s="12">
        <v>83.333333333333343</v>
      </c>
      <c r="E1427" s="12" t="s">
        <v>8220</v>
      </c>
      <c r="F1427" s="13">
        <v>6</v>
      </c>
      <c r="G1427" s="14">
        <v>1737.1799999999998</v>
      </c>
      <c r="H1427" t="s">
        <v>2977</v>
      </c>
      <c r="I1427">
        <v>7</v>
      </c>
    </row>
    <row r="1428" spans="1:9" ht="15.6" x14ac:dyDescent="0.3">
      <c r="A1428" s="9">
        <v>1427</v>
      </c>
      <c r="B1428" s="2" t="s">
        <v>1433</v>
      </c>
      <c r="C1428" s="11">
        <v>26</v>
      </c>
      <c r="D1428" s="12">
        <v>83.333333333333343</v>
      </c>
      <c r="E1428" s="12" t="s">
        <v>8220</v>
      </c>
      <c r="F1428" s="13">
        <v>6</v>
      </c>
      <c r="G1428" s="14">
        <v>1777.21</v>
      </c>
      <c r="H1428" t="s">
        <v>1953</v>
      </c>
      <c r="I1428">
        <v>7</v>
      </c>
    </row>
    <row r="1429" spans="1:9" ht="15.6" x14ac:dyDescent="0.3">
      <c r="A1429" s="9">
        <v>1428</v>
      </c>
      <c r="B1429" s="2" t="s">
        <v>1434</v>
      </c>
      <c r="C1429" s="11">
        <v>20</v>
      </c>
      <c r="D1429" s="12">
        <v>66.666666666666657</v>
      </c>
      <c r="E1429" s="12" t="s">
        <v>8220</v>
      </c>
      <c r="F1429" s="13">
        <v>6</v>
      </c>
      <c r="G1429" s="14">
        <v>1752.19</v>
      </c>
      <c r="H1429" t="s">
        <v>929</v>
      </c>
      <c r="I1429">
        <v>6</v>
      </c>
    </row>
    <row r="1430" spans="1:9" ht="15.6" x14ac:dyDescent="0.3">
      <c r="A1430" s="9">
        <v>1429</v>
      </c>
      <c r="B1430" s="2" t="s">
        <v>1435</v>
      </c>
      <c r="C1430" s="11">
        <v>26</v>
      </c>
      <c r="D1430" s="12">
        <v>83.333333333333343</v>
      </c>
      <c r="E1430" s="12" t="s">
        <v>8220</v>
      </c>
      <c r="F1430" s="13">
        <v>6</v>
      </c>
      <c r="G1430" s="14">
        <v>1737.1799999999998</v>
      </c>
      <c r="H1430" t="s">
        <v>3745</v>
      </c>
      <c r="I1430">
        <v>7</v>
      </c>
    </row>
    <row r="1431" spans="1:9" ht="15.6" x14ac:dyDescent="0.3">
      <c r="A1431" s="9">
        <v>1430</v>
      </c>
      <c r="B1431" s="2" t="s">
        <v>1436</v>
      </c>
      <c r="C1431" s="11">
        <v>24</v>
      </c>
      <c r="D1431" s="12">
        <v>100</v>
      </c>
      <c r="E1431" s="12" t="s">
        <v>8220</v>
      </c>
      <c r="F1431" s="13">
        <v>6</v>
      </c>
      <c r="G1431" s="14">
        <v>1713.15</v>
      </c>
      <c r="H1431" t="s">
        <v>2721</v>
      </c>
      <c r="I1431">
        <v>6</v>
      </c>
    </row>
    <row r="1432" spans="1:9" ht="15.6" x14ac:dyDescent="0.3">
      <c r="A1432" s="9">
        <v>1431</v>
      </c>
      <c r="B1432" s="2" t="s">
        <v>1437</v>
      </c>
      <c r="C1432" s="11">
        <v>24</v>
      </c>
      <c r="D1432" s="12">
        <v>100</v>
      </c>
      <c r="E1432" s="12" t="s">
        <v>8220</v>
      </c>
      <c r="F1432" s="13">
        <v>6</v>
      </c>
      <c r="G1432" s="14">
        <v>1753.1799999999998</v>
      </c>
      <c r="H1432" t="s">
        <v>1697</v>
      </c>
      <c r="I1432">
        <v>6</v>
      </c>
    </row>
    <row r="1433" spans="1:9" ht="15.6" x14ac:dyDescent="0.3">
      <c r="A1433" s="9">
        <v>1432</v>
      </c>
      <c r="B1433" s="2" t="s">
        <v>1438</v>
      </c>
      <c r="C1433" s="11">
        <v>18</v>
      </c>
      <c r="D1433" s="12">
        <v>83.333333333333343</v>
      </c>
      <c r="E1433" s="12" t="s">
        <v>8220</v>
      </c>
      <c r="F1433" s="13">
        <v>6</v>
      </c>
      <c r="G1433" s="14">
        <v>1728.1599999999999</v>
      </c>
      <c r="H1433" t="s">
        <v>673</v>
      </c>
      <c r="I1433">
        <v>5</v>
      </c>
    </row>
    <row r="1434" spans="1:9" ht="15.6" x14ac:dyDescent="0.3">
      <c r="A1434" s="9">
        <v>1433</v>
      </c>
      <c r="B1434" s="2" t="s">
        <v>1439</v>
      </c>
      <c r="C1434" s="11">
        <v>26</v>
      </c>
      <c r="D1434" s="12">
        <v>83.333333333333343</v>
      </c>
      <c r="E1434" s="12" t="s">
        <v>8220</v>
      </c>
      <c r="F1434" s="13">
        <v>6</v>
      </c>
      <c r="G1434" s="14">
        <v>1777.21</v>
      </c>
      <c r="H1434" t="s">
        <v>3489</v>
      </c>
      <c r="I1434">
        <v>7</v>
      </c>
    </row>
    <row r="1435" spans="1:9" ht="15.6" x14ac:dyDescent="0.3">
      <c r="A1435" s="9">
        <v>1434</v>
      </c>
      <c r="B1435" s="2" t="s">
        <v>1440</v>
      </c>
      <c r="C1435" s="11">
        <v>24</v>
      </c>
      <c r="D1435" s="12">
        <v>100</v>
      </c>
      <c r="E1435" s="12" t="s">
        <v>8220</v>
      </c>
      <c r="F1435" s="13">
        <v>6</v>
      </c>
      <c r="G1435" s="14">
        <v>1753.1799999999998</v>
      </c>
      <c r="H1435" t="s">
        <v>2465</v>
      </c>
      <c r="I1435">
        <v>6</v>
      </c>
    </row>
    <row r="1436" spans="1:9" ht="15.6" x14ac:dyDescent="0.3">
      <c r="A1436" s="9">
        <v>1435</v>
      </c>
      <c r="B1436" s="2" t="s">
        <v>1441</v>
      </c>
      <c r="C1436" s="11">
        <v>24</v>
      </c>
      <c r="D1436" s="12">
        <v>100</v>
      </c>
      <c r="E1436" s="12" t="s">
        <v>8220</v>
      </c>
      <c r="F1436" s="13">
        <v>6</v>
      </c>
      <c r="G1436" s="14">
        <v>1793.21</v>
      </c>
      <c r="H1436" t="s">
        <v>1441</v>
      </c>
      <c r="I1436">
        <v>6</v>
      </c>
    </row>
    <row r="1437" spans="1:9" ht="15.6" x14ac:dyDescent="0.3">
      <c r="A1437" s="9">
        <v>1436</v>
      </c>
      <c r="B1437" s="2" t="s">
        <v>1442</v>
      </c>
      <c r="C1437" s="11">
        <v>18</v>
      </c>
      <c r="D1437" s="12">
        <v>83.333333333333343</v>
      </c>
      <c r="E1437" s="12" t="s">
        <v>8220</v>
      </c>
      <c r="F1437" s="13">
        <v>6</v>
      </c>
      <c r="G1437" s="14">
        <v>1768.19</v>
      </c>
      <c r="H1437" t="s">
        <v>417</v>
      </c>
      <c r="I1437">
        <v>5</v>
      </c>
    </row>
    <row r="1438" spans="1:9" ht="15.6" x14ac:dyDescent="0.3">
      <c r="A1438" s="9">
        <v>1437</v>
      </c>
      <c r="B1438" s="2" t="s">
        <v>1443</v>
      </c>
      <c r="C1438" s="11">
        <v>20</v>
      </c>
      <c r="D1438" s="12">
        <v>66.666666666666657</v>
      </c>
      <c r="E1438" s="12" t="s">
        <v>8220</v>
      </c>
      <c r="F1438" s="13">
        <v>6</v>
      </c>
      <c r="G1438" s="14">
        <v>1752.19</v>
      </c>
      <c r="H1438" t="s">
        <v>3233</v>
      </c>
      <c r="I1438">
        <v>6</v>
      </c>
    </row>
    <row r="1439" spans="1:9" ht="15.6" x14ac:dyDescent="0.3">
      <c r="A1439" s="9">
        <v>1438</v>
      </c>
      <c r="B1439" s="2" t="s">
        <v>1444</v>
      </c>
      <c r="C1439" s="11">
        <v>18</v>
      </c>
      <c r="D1439" s="12">
        <v>83.333333333333343</v>
      </c>
      <c r="E1439" s="12" t="s">
        <v>8220</v>
      </c>
      <c r="F1439" s="13">
        <v>6</v>
      </c>
      <c r="G1439" s="14">
        <v>1728.1599999999999</v>
      </c>
      <c r="H1439" t="s">
        <v>2209</v>
      </c>
      <c r="I1439">
        <v>5</v>
      </c>
    </row>
    <row r="1440" spans="1:9" ht="15.6" x14ac:dyDescent="0.3">
      <c r="A1440" s="9">
        <v>1439</v>
      </c>
      <c r="B1440" s="2" t="s">
        <v>1445</v>
      </c>
      <c r="C1440" s="11">
        <v>18</v>
      </c>
      <c r="D1440" s="12">
        <v>83.333333333333343</v>
      </c>
      <c r="E1440" s="12" t="s">
        <v>8220</v>
      </c>
      <c r="F1440" s="13">
        <v>6</v>
      </c>
      <c r="G1440" s="14">
        <v>1768.19</v>
      </c>
      <c r="H1440" t="s">
        <v>1185</v>
      </c>
      <c r="I1440">
        <v>5</v>
      </c>
    </row>
    <row r="1441" spans="1:9" ht="15.6" x14ac:dyDescent="0.3">
      <c r="A1441" s="9">
        <v>1440</v>
      </c>
      <c r="B1441" s="2" t="s">
        <v>1446</v>
      </c>
      <c r="C1441" s="11">
        <v>12</v>
      </c>
      <c r="D1441" s="12">
        <v>66.666666666666657</v>
      </c>
      <c r="E1441" s="12" t="s">
        <v>8220</v>
      </c>
      <c r="F1441" s="13">
        <v>6</v>
      </c>
      <c r="G1441" s="14">
        <v>1743.17</v>
      </c>
      <c r="H1441" t="s">
        <v>161</v>
      </c>
      <c r="I1441">
        <v>4</v>
      </c>
    </row>
    <row r="1442" spans="1:9" ht="15.6" x14ac:dyDescent="0.3">
      <c r="A1442" s="9">
        <v>1441</v>
      </c>
      <c r="B1442" s="2" t="s">
        <v>1447</v>
      </c>
      <c r="C1442" s="11">
        <v>28</v>
      </c>
      <c r="D1442" s="12">
        <v>66.666666666666657</v>
      </c>
      <c r="E1442" s="12" t="s">
        <v>8220</v>
      </c>
      <c r="F1442" s="13">
        <v>6</v>
      </c>
      <c r="G1442" s="14">
        <v>1801.2399999999998</v>
      </c>
      <c r="H1442" t="s">
        <v>3937</v>
      </c>
      <c r="I1442">
        <v>7</v>
      </c>
    </row>
    <row r="1443" spans="1:9" ht="15.6" x14ac:dyDescent="0.3">
      <c r="A1443" s="9">
        <v>1442</v>
      </c>
      <c r="B1443" s="2" t="s">
        <v>1448</v>
      </c>
      <c r="C1443" s="11">
        <v>26</v>
      </c>
      <c r="D1443" s="12">
        <v>83.333333333333343</v>
      </c>
      <c r="E1443" s="12" t="s">
        <v>8220</v>
      </c>
      <c r="F1443" s="13">
        <v>6</v>
      </c>
      <c r="G1443" s="14">
        <v>1777.21</v>
      </c>
      <c r="H1443" t="s">
        <v>2913</v>
      </c>
      <c r="I1443">
        <v>7</v>
      </c>
    </row>
    <row r="1444" spans="1:9" ht="15.6" x14ac:dyDescent="0.3">
      <c r="A1444" s="9">
        <v>1443</v>
      </c>
      <c r="B1444" s="2" t="s">
        <v>1449</v>
      </c>
      <c r="C1444" s="11">
        <v>26</v>
      </c>
      <c r="D1444" s="12">
        <v>83.333333333333343</v>
      </c>
      <c r="E1444" s="12" t="s">
        <v>8220</v>
      </c>
      <c r="F1444" s="13">
        <v>6</v>
      </c>
      <c r="G1444" s="14">
        <v>1817.2400000000002</v>
      </c>
      <c r="H1444" t="s">
        <v>1889</v>
      </c>
      <c r="I1444">
        <v>7</v>
      </c>
    </row>
    <row r="1445" spans="1:9" ht="15.6" x14ac:dyDescent="0.3">
      <c r="A1445" s="9">
        <v>1444</v>
      </c>
      <c r="B1445" s="2" t="s">
        <v>1450</v>
      </c>
      <c r="C1445" s="11">
        <v>20</v>
      </c>
      <c r="D1445" s="12">
        <v>66.666666666666657</v>
      </c>
      <c r="E1445" s="12" t="s">
        <v>8220</v>
      </c>
      <c r="F1445" s="13">
        <v>6</v>
      </c>
      <c r="G1445" s="14">
        <v>1792.2199999999998</v>
      </c>
      <c r="H1445" t="s">
        <v>865</v>
      </c>
      <c r="I1445">
        <v>6</v>
      </c>
    </row>
    <row r="1446" spans="1:9" ht="15.6" x14ac:dyDescent="0.3">
      <c r="A1446" s="9">
        <v>1445</v>
      </c>
      <c r="B1446" s="2" t="s">
        <v>1451</v>
      </c>
      <c r="C1446" s="11">
        <v>26</v>
      </c>
      <c r="D1446" s="12">
        <v>83.333333333333343</v>
      </c>
      <c r="E1446" s="12" t="s">
        <v>8220</v>
      </c>
      <c r="F1446" s="13">
        <v>6</v>
      </c>
      <c r="G1446" s="14">
        <v>1777.21</v>
      </c>
      <c r="H1446" t="s">
        <v>3681</v>
      </c>
      <c r="I1446">
        <v>7</v>
      </c>
    </row>
    <row r="1447" spans="1:9" ht="15.6" x14ac:dyDescent="0.3">
      <c r="A1447" s="9">
        <v>1446</v>
      </c>
      <c r="B1447" s="2" t="s">
        <v>1452</v>
      </c>
      <c r="C1447" s="11">
        <v>24</v>
      </c>
      <c r="D1447" s="12">
        <v>100</v>
      </c>
      <c r="E1447" s="12" t="s">
        <v>8220</v>
      </c>
      <c r="F1447" s="13">
        <v>6</v>
      </c>
      <c r="G1447" s="14">
        <v>1753.1799999999998</v>
      </c>
      <c r="H1447" t="s">
        <v>2657</v>
      </c>
      <c r="I1447">
        <v>6</v>
      </c>
    </row>
    <row r="1448" spans="1:9" ht="15.6" x14ac:dyDescent="0.3">
      <c r="A1448" s="9">
        <v>1447</v>
      </c>
      <c r="B1448" s="2" t="s">
        <v>1453</v>
      </c>
      <c r="C1448" s="11">
        <v>24</v>
      </c>
      <c r="D1448" s="12">
        <v>100</v>
      </c>
      <c r="E1448" s="12" t="s">
        <v>8220</v>
      </c>
      <c r="F1448" s="13">
        <v>6</v>
      </c>
      <c r="G1448" s="14">
        <v>1793.21</v>
      </c>
      <c r="H1448" t="s">
        <v>1633</v>
      </c>
      <c r="I1448">
        <v>6</v>
      </c>
    </row>
    <row r="1449" spans="1:9" ht="15.6" x14ac:dyDescent="0.3">
      <c r="A1449" s="9">
        <v>1448</v>
      </c>
      <c r="B1449" s="2" t="s">
        <v>1454</v>
      </c>
      <c r="C1449" s="11">
        <v>18</v>
      </c>
      <c r="D1449" s="12">
        <v>83.333333333333343</v>
      </c>
      <c r="E1449" s="12" t="s">
        <v>8220</v>
      </c>
      <c r="F1449" s="13">
        <v>6</v>
      </c>
      <c r="G1449" s="14">
        <v>1768.19</v>
      </c>
      <c r="H1449" t="s">
        <v>609</v>
      </c>
      <c r="I1449">
        <v>5</v>
      </c>
    </row>
    <row r="1450" spans="1:9" ht="15.6" x14ac:dyDescent="0.3">
      <c r="A1450" s="9">
        <v>1449</v>
      </c>
      <c r="B1450" s="2" t="s">
        <v>1455</v>
      </c>
      <c r="C1450" s="11">
        <v>26</v>
      </c>
      <c r="D1450" s="12">
        <v>83.333333333333343</v>
      </c>
      <c r="E1450" s="12" t="s">
        <v>8220</v>
      </c>
      <c r="F1450" s="13">
        <v>6</v>
      </c>
      <c r="G1450" s="14">
        <v>1817.2400000000002</v>
      </c>
      <c r="H1450" t="s">
        <v>3425</v>
      </c>
      <c r="I1450">
        <v>7</v>
      </c>
    </row>
    <row r="1451" spans="1:9" ht="15.6" x14ac:dyDescent="0.3">
      <c r="A1451" s="9">
        <v>1450</v>
      </c>
      <c r="B1451" s="2" t="s">
        <v>1456</v>
      </c>
      <c r="C1451" s="11">
        <v>24</v>
      </c>
      <c r="D1451" s="12">
        <v>100</v>
      </c>
      <c r="E1451" s="12" t="s">
        <v>8220</v>
      </c>
      <c r="F1451" s="13">
        <v>6</v>
      </c>
      <c r="G1451" s="14">
        <v>1793.21</v>
      </c>
      <c r="H1451" t="s">
        <v>2401</v>
      </c>
      <c r="I1451">
        <v>6</v>
      </c>
    </row>
    <row r="1452" spans="1:9" ht="15.6" x14ac:dyDescent="0.3">
      <c r="A1452" s="9">
        <v>1451</v>
      </c>
      <c r="B1452" s="2" t="s">
        <v>1457</v>
      </c>
      <c r="C1452" s="11">
        <v>24</v>
      </c>
      <c r="D1452" s="12">
        <v>100</v>
      </c>
      <c r="E1452" s="12" t="s">
        <v>8220</v>
      </c>
      <c r="F1452" s="13">
        <v>6</v>
      </c>
      <c r="G1452" s="14">
        <v>1833.2400000000002</v>
      </c>
      <c r="H1452" t="s">
        <v>1377</v>
      </c>
      <c r="I1452">
        <v>6</v>
      </c>
    </row>
    <row r="1453" spans="1:9" ht="15.6" x14ac:dyDescent="0.3">
      <c r="A1453" s="9">
        <v>1452</v>
      </c>
      <c r="B1453" s="2" t="s">
        <v>1458</v>
      </c>
      <c r="C1453" s="11">
        <v>18</v>
      </c>
      <c r="D1453" s="12">
        <v>83.333333333333343</v>
      </c>
      <c r="E1453" s="12" t="s">
        <v>8220</v>
      </c>
      <c r="F1453" s="13">
        <v>6</v>
      </c>
      <c r="G1453" s="14">
        <v>1808.2200000000003</v>
      </c>
      <c r="H1453" t="s">
        <v>353</v>
      </c>
      <c r="I1453">
        <v>5</v>
      </c>
    </row>
    <row r="1454" spans="1:9" ht="15.6" x14ac:dyDescent="0.3">
      <c r="A1454" s="9">
        <v>1453</v>
      </c>
      <c r="B1454" s="2" t="s">
        <v>1459</v>
      </c>
      <c r="C1454" s="11">
        <v>20</v>
      </c>
      <c r="D1454" s="12">
        <v>66.666666666666657</v>
      </c>
      <c r="E1454" s="12" t="s">
        <v>8220</v>
      </c>
      <c r="F1454" s="13">
        <v>6</v>
      </c>
      <c r="G1454" s="14">
        <v>1792.2199999999998</v>
      </c>
      <c r="H1454" t="s">
        <v>3169</v>
      </c>
      <c r="I1454">
        <v>6</v>
      </c>
    </row>
    <row r="1455" spans="1:9" ht="15.6" x14ac:dyDescent="0.3">
      <c r="A1455" s="9">
        <v>1454</v>
      </c>
      <c r="B1455" s="2" t="s">
        <v>1460</v>
      </c>
      <c r="C1455" s="11">
        <v>18</v>
      </c>
      <c r="D1455" s="12">
        <v>83.333333333333343</v>
      </c>
      <c r="E1455" s="12" t="s">
        <v>8220</v>
      </c>
      <c r="F1455" s="13">
        <v>6</v>
      </c>
      <c r="G1455" s="14">
        <v>1768.19</v>
      </c>
      <c r="H1455" t="s">
        <v>2145</v>
      </c>
      <c r="I1455">
        <v>5</v>
      </c>
    </row>
    <row r="1456" spans="1:9" ht="15.6" x14ac:dyDescent="0.3">
      <c r="A1456" s="9">
        <v>1455</v>
      </c>
      <c r="B1456" s="2" t="s">
        <v>1461</v>
      </c>
      <c r="C1456" s="11">
        <v>18</v>
      </c>
      <c r="D1456" s="12">
        <v>83.333333333333343</v>
      </c>
      <c r="E1456" s="12" t="s">
        <v>8220</v>
      </c>
      <c r="F1456" s="13">
        <v>6</v>
      </c>
      <c r="G1456" s="14">
        <v>1808.2200000000003</v>
      </c>
      <c r="H1456" t="s">
        <v>1121</v>
      </c>
      <c r="I1456">
        <v>5</v>
      </c>
    </row>
    <row r="1457" spans="1:9" ht="15.6" x14ac:dyDescent="0.3">
      <c r="A1457" s="9">
        <v>1456</v>
      </c>
      <c r="B1457" s="2" t="s">
        <v>1462</v>
      </c>
      <c r="C1457" s="11">
        <v>12</v>
      </c>
      <c r="D1457" s="12">
        <v>66.666666666666657</v>
      </c>
      <c r="E1457" s="12" t="s">
        <v>8220</v>
      </c>
      <c r="F1457" s="13">
        <v>6</v>
      </c>
      <c r="G1457" s="14">
        <v>1783.1999999999998</v>
      </c>
      <c r="H1457" t="s">
        <v>97</v>
      </c>
      <c r="I1457">
        <v>4</v>
      </c>
    </row>
    <row r="1458" spans="1:9" ht="15.6" x14ac:dyDescent="0.3">
      <c r="A1458" s="9">
        <v>1457</v>
      </c>
      <c r="B1458" s="2" t="s">
        <v>1463</v>
      </c>
      <c r="C1458" s="11">
        <v>22</v>
      </c>
      <c r="D1458" s="12">
        <v>50</v>
      </c>
      <c r="E1458" s="12" t="s">
        <v>8219</v>
      </c>
      <c r="F1458" s="13">
        <v>6</v>
      </c>
      <c r="G1458" s="14">
        <v>1776.2199999999998</v>
      </c>
      <c r="H1458" t="s">
        <v>3873</v>
      </c>
      <c r="I1458">
        <v>6</v>
      </c>
    </row>
    <row r="1459" spans="1:9" ht="15.6" x14ac:dyDescent="0.3">
      <c r="A1459" s="9">
        <v>1458</v>
      </c>
      <c r="B1459" s="2" t="s">
        <v>1464</v>
      </c>
      <c r="C1459" s="11">
        <v>20</v>
      </c>
      <c r="D1459" s="12">
        <v>66.666666666666657</v>
      </c>
      <c r="E1459" s="12" t="s">
        <v>8220</v>
      </c>
      <c r="F1459" s="13">
        <v>6</v>
      </c>
      <c r="G1459" s="14">
        <v>1752.19</v>
      </c>
      <c r="H1459" t="s">
        <v>2849</v>
      </c>
      <c r="I1459">
        <v>6</v>
      </c>
    </row>
    <row r="1460" spans="1:9" ht="15.6" x14ac:dyDescent="0.3">
      <c r="A1460" s="9">
        <v>1459</v>
      </c>
      <c r="B1460" s="2" t="s">
        <v>1465</v>
      </c>
      <c r="C1460" s="11">
        <v>20</v>
      </c>
      <c r="D1460" s="12">
        <v>66.666666666666657</v>
      </c>
      <c r="E1460" s="12" t="s">
        <v>8220</v>
      </c>
      <c r="F1460" s="13">
        <v>6</v>
      </c>
      <c r="G1460" s="14">
        <v>1792.2199999999998</v>
      </c>
      <c r="H1460" t="s">
        <v>1825</v>
      </c>
      <c r="I1460">
        <v>6</v>
      </c>
    </row>
    <row r="1461" spans="1:9" ht="15.6" x14ac:dyDescent="0.3">
      <c r="A1461" s="9">
        <v>1460</v>
      </c>
      <c r="B1461" s="2" t="s">
        <v>1466</v>
      </c>
      <c r="C1461" s="11">
        <v>14</v>
      </c>
      <c r="D1461" s="12">
        <v>50</v>
      </c>
      <c r="E1461" s="12" t="s">
        <v>8219</v>
      </c>
      <c r="F1461" s="13">
        <v>6</v>
      </c>
      <c r="G1461" s="14">
        <v>1767.1999999999998</v>
      </c>
      <c r="H1461" t="s">
        <v>801</v>
      </c>
      <c r="I1461">
        <v>5</v>
      </c>
    </row>
    <row r="1462" spans="1:9" ht="15.6" x14ac:dyDescent="0.3">
      <c r="A1462" s="9">
        <v>1461</v>
      </c>
      <c r="B1462" s="2" t="s">
        <v>1467</v>
      </c>
      <c r="C1462" s="11">
        <v>20</v>
      </c>
      <c r="D1462" s="12">
        <v>66.666666666666657</v>
      </c>
      <c r="E1462" s="12" t="s">
        <v>8220</v>
      </c>
      <c r="F1462" s="13">
        <v>6</v>
      </c>
      <c r="G1462" s="14">
        <v>1752.19</v>
      </c>
      <c r="H1462" t="s">
        <v>3617</v>
      </c>
      <c r="I1462">
        <v>6</v>
      </c>
    </row>
    <row r="1463" spans="1:9" ht="15.6" x14ac:dyDescent="0.3">
      <c r="A1463" s="9">
        <v>1462</v>
      </c>
      <c r="B1463" s="2" t="s">
        <v>1468</v>
      </c>
      <c r="C1463" s="11">
        <v>18</v>
      </c>
      <c r="D1463" s="12">
        <v>83.333333333333343</v>
      </c>
      <c r="E1463" s="12" t="s">
        <v>8220</v>
      </c>
      <c r="F1463" s="13">
        <v>6</v>
      </c>
      <c r="G1463" s="14">
        <v>1728.1599999999999</v>
      </c>
      <c r="H1463" t="s">
        <v>2593</v>
      </c>
      <c r="I1463">
        <v>5</v>
      </c>
    </row>
    <row r="1464" spans="1:9" ht="15.6" x14ac:dyDescent="0.3">
      <c r="A1464" s="9">
        <v>1463</v>
      </c>
      <c r="B1464" s="2" t="s">
        <v>1469</v>
      </c>
      <c r="C1464" s="11">
        <v>18</v>
      </c>
      <c r="D1464" s="12">
        <v>83.333333333333343</v>
      </c>
      <c r="E1464" s="12" t="s">
        <v>8220</v>
      </c>
      <c r="F1464" s="13">
        <v>6</v>
      </c>
      <c r="G1464" s="14">
        <v>1768.19</v>
      </c>
      <c r="H1464" t="s">
        <v>1569</v>
      </c>
      <c r="I1464">
        <v>5</v>
      </c>
    </row>
    <row r="1465" spans="1:9" ht="15.6" x14ac:dyDescent="0.3">
      <c r="A1465" s="9">
        <v>1464</v>
      </c>
      <c r="B1465" s="2" t="s">
        <v>1470</v>
      </c>
      <c r="C1465" s="11">
        <v>12</v>
      </c>
      <c r="D1465" s="12">
        <v>66.666666666666657</v>
      </c>
      <c r="E1465" s="12" t="s">
        <v>8220</v>
      </c>
      <c r="F1465" s="13">
        <v>6</v>
      </c>
      <c r="G1465" s="14">
        <v>1743.17</v>
      </c>
      <c r="H1465" t="s">
        <v>545</v>
      </c>
      <c r="I1465">
        <v>4</v>
      </c>
    </row>
    <row r="1466" spans="1:9" ht="15.6" x14ac:dyDescent="0.3">
      <c r="A1466" s="9">
        <v>1465</v>
      </c>
      <c r="B1466" s="2" t="s">
        <v>1471</v>
      </c>
      <c r="C1466" s="11">
        <v>20</v>
      </c>
      <c r="D1466" s="12">
        <v>66.666666666666657</v>
      </c>
      <c r="E1466" s="12" t="s">
        <v>8220</v>
      </c>
      <c r="F1466" s="13">
        <v>6</v>
      </c>
      <c r="G1466" s="14">
        <v>1792.2199999999998</v>
      </c>
      <c r="H1466" t="s">
        <v>3361</v>
      </c>
      <c r="I1466">
        <v>6</v>
      </c>
    </row>
    <row r="1467" spans="1:9" ht="15.6" x14ac:dyDescent="0.3">
      <c r="A1467" s="9">
        <v>1466</v>
      </c>
      <c r="B1467" s="2" t="s">
        <v>1472</v>
      </c>
      <c r="C1467" s="11">
        <v>18</v>
      </c>
      <c r="D1467" s="12">
        <v>83.333333333333343</v>
      </c>
      <c r="E1467" s="12" t="s">
        <v>8220</v>
      </c>
      <c r="F1467" s="13">
        <v>6</v>
      </c>
      <c r="G1467" s="14">
        <v>1768.19</v>
      </c>
      <c r="H1467" t="s">
        <v>2337</v>
      </c>
      <c r="I1467">
        <v>5</v>
      </c>
    </row>
    <row r="1468" spans="1:9" ht="15.6" x14ac:dyDescent="0.3">
      <c r="A1468" s="9">
        <v>1467</v>
      </c>
      <c r="B1468" s="2" t="s">
        <v>1473</v>
      </c>
      <c r="C1468" s="11">
        <v>18</v>
      </c>
      <c r="D1468" s="12">
        <v>83.333333333333343</v>
      </c>
      <c r="E1468" s="12" t="s">
        <v>8220</v>
      </c>
      <c r="F1468" s="13">
        <v>6</v>
      </c>
      <c r="G1468" s="14">
        <v>1808.2200000000003</v>
      </c>
      <c r="H1468" t="s">
        <v>1313</v>
      </c>
      <c r="I1468">
        <v>5</v>
      </c>
    </row>
    <row r="1469" spans="1:9" ht="15.6" x14ac:dyDescent="0.3">
      <c r="A1469" s="9">
        <v>1468</v>
      </c>
      <c r="B1469" s="2" t="s">
        <v>1474</v>
      </c>
      <c r="C1469" s="11">
        <v>12</v>
      </c>
      <c r="D1469" s="12">
        <v>66.666666666666657</v>
      </c>
      <c r="E1469" s="12" t="s">
        <v>8220</v>
      </c>
      <c r="F1469" s="13">
        <v>6</v>
      </c>
      <c r="G1469" s="14">
        <v>1783.1999999999998</v>
      </c>
      <c r="H1469" t="s">
        <v>289</v>
      </c>
      <c r="I1469">
        <v>4</v>
      </c>
    </row>
    <row r="1470" spans="1:9" ht="15.6" x14ac:dyDescent="0.3">
      <c r="A1470" s="9">
        <v>1469</v>
      </c>
      <c r="B1470" s="2" t="s">
        <v>1475</v>
      </c>
      <c r="C1470" s="11">
        <v>14</v>
      </c>
      <c r="D1470" s="12">
        <v>50</v>
      </c>
      <c r="E1470" s="12" t="s">
        <v>8219</v>
      </c>
      <c r="F1470" s="13">
        <v>6</v>
      </c>
      <c r="G1470" s="14">
        <v>1767.1999999999998</v>
      </c>
      <c r="H1470" t="s">
        <v>3105</v>
      </c>
      <c r="I1470">
        <v>5</v>
      </c>
    </row>
    <row r="1471" spans="1:9" ht="15.6" x14ac:dyDescent="0.3">
      <c r="A1471" s="9">
        <v>1470</v>
      </c>
      <c r="B1471" s="2" t="s">
        <v>1476</v>
      </c>
      <c r="C1471" s="11">
        <v>12</v>
      </c>
      <c r="D1471" s="12">
        <v>66.666666666666657</v>
      </c>
      <c r="E1471" s="12" t="s">
        <v>8220</v>
      </c>
      <c r="F1471" s="13">
        <v>6</v>
      </c>
      <c r="G1471" s="14">
        <v>1743.17</v>
      </c>
      <c r="H1471" t="s">
        <v>2081</v>
      </c>
      <c r="I1471">
        <v>4</v>
      </c>
    </row>
    <row r="1472" spans="1:9" ht="15.6" x14ac:dyDescent="0.3">
      <c r="A1472" s="9">
        <v>1471</v>
      </c>
      <c r="B1472" s="2" t="s">
        <v>1477</v>
      </c>
      <c r="C1472" s="11">
        <v>12</v>
      </c>
      <c r="D1472" s="12">
        <v>66.666666666666657</v>
      </c>
      <c r="E1472" s="12" t="s">
        <v>8220</v>
      </c>
      <c r="F1472" s="13">
        <v>6</v>
      </c>
      <c r="G1472" s="14">
        <v>1783.1999999999998</v>
      </c>
      <c r="H1472" t="s">
        <v>1057</v>
      </c>
      <c r="I1472">
        <v>4</v>
      </c>
    </row>
    <row r="1473" spans="1:9" ht="15.6" x14ac:dyDescent="0.3">
      <c r="A1473" s="9">
        <v>1472</v>
      </c>
      <c r="B1473" s="2" t="s">
        <v>1478</v>
      </c>
      <c r="C1473" s="11">
        <v>6</v>
      </c>
      <c r="D1473" s="12">
        <v>50</v>
      </c>
      <c r="E1473" s="12" t="s">
        <v>8219</v>
      </c>
      <c r="F1473" s="13">
        <v>6</v>
      </c>
      <c r="G1473" s="14">
        <v>1758.1799999999998</v>
      </c>
      <c r="H1473" t="s">
        <v>33</v>
      </c>
      <c r="I1473">
        <v>3</v>
      </c>
    </row>
    <row r="1474" spans="1:9" ht="15.6" x14ac:dyDescent="0.3">
      <c r="A1474" s="9">
        <v>1473</v>
      </c>
      <c r="B1474" s="2" t="s">
        <v>1479</v>
      </c>
      <c r="C1474" s="11">
        <v>24</v>
      </c>
      <c r="D1474" s="12">
        <v>33.333333333333329</v>
      </c>
      <c r="E1474" s="12" t="s">
        <v>8219</v>
      </c>
      <c r="F1474" s="13">
        <v>6</v>
      </c>
      <c r="G1474" s="14">
        <v>1760.2199999999998</v>
      </c>
      <c r="H1474" t="s">
        <v>4049</v>
      </c>
      <c r="I1474">
        <v>6</v>
      </c>
    </row>
    <row r="1475" spans="1:9" ht="15.6" x14ac:dyDescent="0.3">
      <c r="A1475" s="9">
        <v>1474</v>
      </c>
      <c r="B1475" s="2" t="s">
        <v>1480</v>
      </c>
      <c r="C1475" s="11">
        <v>22</v>
      </c>
      <c r="D1475" s="12">
        <v>50</v>
      </c>
      <c r="E1475" s="12" t="s">
        <v>8219</v>
      </c>
      <c r="F1475" s="13">
        <v>6</v>
      </c>
      <c r="G1475" s="14">
        <v>1736.19</v>
      </c>
      <c r="H1475" t="s">
        <v>3025</v>
      </c>
      <c r="I1475">
        <v>6</v>
      </c>
    </row>
    <row r="1476" spans="1:9" ht="15.6" x14ac:dyDescent="0.3">
      <c r="A1476" s="9">
        <v>1475</v>
      </c>
      <c r="B1476" s="2" t="s">
        <v>1481</v>
      </c>
      <c r="C1476" s="11">
        <v>22</v>
      </c>
      <c r="D1476" s="12">
        <v>50</v>
      </c>
      <c r="E1476" s="12" t="s">
        <v>8219</v>
      </c>
      <c r="F1476" s="13">
        <v>6</v>
      </c>
      <c r="G1476" s="14">
        <v>1776.2199999999998</v>
      </c>
      <c r="H1476" t="s">
        <v>2001</v>
      </c>
      <c r="I1476">
        <v>6</v>
      </c>
    </row>
    <row r="1477" spans="1:9" ht="15.6" x14ac:dyDescent="0.3">
      <c r="A1477" s="9">
        <v>1476</v>
      </c>
      <c r="B1477" s="2" t="s">
        <v>1482</v>
      </c>
      <c r="C1477" s="11">
        <v>16</v>
      </c>
      <c r="D1477" s="12">
        <v>33.333333333333329</v>
      </c>
      <c r="E1477" s="12" t="s">
        <v>8219</v>
      </c>
      <c r="F1477" s="13">
        <v>6</v>
      </c>
      <c r="G1477" s="14">
        <v>1751.1999999999998</v>
      </c>
      <c r="H1477" t="s">
        <v>977</v>
      </c>
      <c r="I1477">
        <v>5</v>
      </c>
    </row>
    <row r="1478" spans="1:9" ht="15.6" x14ac:dyDescent="0.3">
      <c r="A1478" s="9">
        <v>1477</v>
      </c>
      <c r="B1478" s="2" t="s">
        <v>1483</v>
      </c>
      <c r="C1478" s="11">
        <v>22</v>
      </c>
      <c r="D1478" s="12">
        <v>50</v>
      </c>
      <c r="E1478" s="12" t="s">
        <v>8219</v>
      </c>
      <c r="F1478" s="13">
        <v>6</v>
      </c>
      <c r="G1478" s="14">
        <v>1736.19</v>
      </c>
      <c r="H1478" t="s">
        <v>3793</v>
      </c>
      <c r="I1478">
        <v>6</v>
      </c>
    </row>
    <row r="1479" spans="1:9" ht="15.6" x14ac:dyDescent="0.3">
      <c r="A1479" s="9">
        <v>1478</v>
      </c>
      <c r="B1479" s="2" t="s">
        <v>1484</v>
      </c>
      <c r="C1479" s="11">
        <v>20</v>
      </c>
      <c r="D1479" s="12">
        <v>66.666666666666657</v>
      </c>
      <c r="E1479" s="12" t="s">
        <v>8220</v>
      </c>
      <c r="F1479" s="13">
        <v>6</v>
      </c>
      <c r="G1479" s="14">
        <v>1712.1599999999999</v>
      </c>
      <c r="H1479" t="s">
        <v>2769</v>
      </c>
      <c r="I1479">
        <v>6</v>
      </c>
    </row>
    <row r="1480" spans="1:9" ht="15.6" x14ac:dyDescent="0.3">
      <c r="A1480" s="9">
        <v>1479</v>
      </c>
      <c r="B1480" s="2" t="s">
        <v>1485</v>
      </c>
      <c r="C1480" s="11">
        <v>20</v>
      </c>
      <c r="D1480" s="12">
        <v>66.666666666666657</v>
      </c>
      <c r="E1480" s="12" t="s">
        <v>8220</v>
      </c>
      <c r="F1480" s="13">
        <v>6</v>
      </c>
      <c r="G1480" s="14">
        <v>1752.19</v>
      </c>
      <c r="H1480" t="s">
        <v>1745</v>
      </c>
      <c r="I1480">
        <v>6</v>
      </c>
    </row>
    <row r="1481" spans="1:9" ht="15.6" x14ac:dyDescent="0.3">
      <c r="A1481" s="9">
        <v>1480</v>
      </c>
      <c r="B1481" s="2" t="s">
        <v>1486</v>
      </c>
      <c r="C1481" s="11">
        <v>14</v>
      </c>
      <c r="D1481" s="12">
        <v>50</v>
      </c>
      <c r="E1481" s="12" t="s">
        <v>8219</v>
      </c>
      <c r="F1481" s="13">
        <v>6</v>
      </c>
      <c r="G1481" s="14">
        <v>1727.17</v>
      </c>
      <c r="H1481" t="s">
        <v>721</v>
      </c>
      <c r="I1481">
        <v>5</v>
      </c>
    </row>
    <row r="1482" spans="1:9" ht="15.6" x14ac:dyDescent="0.3">
      <c r="A1482" s="9">
        <v>1481</v>
      </c>
      <c r="B1482" s="2" t="s">
        <v>1487</v>
      </c>
      <c r="C1482" s="11">
        <v>22</v>
      </c>
      <c r="D1482" s="12">
        <v>50</v>
      </c>
      <c r="E1482" s="12" t="s">
        <v>8219</v>
      </c>
      <c r="F1482" s="13">
        <v>6</v>
      </c>
      <c r="G1482" s="14">
        <v>1776.2199999999998</v>
      </c>
      <c r="H1482" t="s">
        <v>3537</v>
      </c>
      <c r="I1482">
        <v>6</v>
      </c>
    </row>
    <row r="1483" spans="1:9" ht="15.6" x14ac:dyDescent="0.3">
      <c r="A1483" s="9">
        <v>1482</v>
      </c>
      <c r="B1483" s="2" t="s">
        <v>1488</v>
      </c>
      <c r="C1483" s="11">
        <v>20</v>
      </c>
      <c r="D1483" s="12">
        <v>66.666666666666657</v>
      </c>
      <c r="E1483" s="12" t="s">
        <v>8220</v>
      </c>
      <c r="F1483" s="13">
        <v>6</v>
      </c>
      <c r="G1483" s="14">
        <v>1752.19</v>
      </c>
      <c r="H1483" t="s">
        <v>2513</v>
      </c>
      <c r="I1483">
        <v>6</v>
      </c>
    </row>
    <row r="1484" spans="1:9" ht="15.6" x14ac:dyDescent="0.3">
      <c r="A1484" s="9">
        <v>1483</v>
      </c>
      <c r="B1484" s="2" t="s">
        <v>1489</v>
      </c>
      <c r="C1484" s="11">
        <v>20</v>
      </c>
      <c r="D1484" s="12">
        <v>66.666666666666657</v>
      </c>
      <c r="E1484" s="12" t="s">
        <v>8220</v>
      </c>
      <c r="F1484" s="13">
        <v>6</v>
      </c>
      <c r="G1484" s="14">
        <v>1792.2199999999998</v>
      </c>
      <c r="H1484" t="s">
        <v>1489</v>
      </c>
      <c r="I1484">
        <v>6</v>
      </c>
    </row>
    <row r="1485" spans="1:9" ht="15.6" x14ac:dyDescent="0.3">
      <c r="A1485" s="9">
        <v>1484</v>
      </c>
      <c r="B1485" s="2" t="s">
        <v>1490</v>
      </c>
      <c r="C1485" s="11">
        <v>14</v>
      </c>
      <c r="D1485" s="12">
        <v>50</v>
      </c>
      <c r="E1485" s="12" t="s">
        <v>8219</v>
      </c>
      <c r="F1485" s="13">
        <v>6</v>
      </c>
      <c r="G1485" s="14">
        <v>1767.1999999999998</v>
      </c>
      <c r="H1485" t="s">
        <v>465</v>
      </c>
      <c r="I1485">
        <v>5</v>
      </c>
    </row>
    <row r="1486" spans="1:9" ht="15.6" x14ac:dyDescent="0.3">
      <c r="A1486" s="9">
        <v>1485</v>
      </c>
      <c r="B1486" s="2" t="s">
        <v>1491</v>
      </c>
      <c r="C1486" s="11">
        <v>16</v>
      </c>
      <c r="D1486" s="12">
        <v>33.333333333333329</v>
      </c>
      <c r="E1486" s="12" t="s">
        <v>8219</v>
      </c>
      <c r="F1486" s="13">
        <v>6</v>
      </c>
      <c r="G1486" s="14">
        <v>1751.1999999999998</v>
      </c>
      <c r="H1486" t="s">
        <v>3281</v>
      </c>
      <c r="I1486">
        <v>5</v>
      </c>
    </row>
    <row r="1487" spans="1:9" ht="15.6" x14ac:dyDescent="0.3">
      <c r="A1487" s="9">
        <v>1486</v>
      </c>
      <c r="B1487" s="2" t="s">
        <v>1492</v>
      </c>
      <c r="C1487" s="11">
        <v>14</v>
      </c>
      <c r="D1487" s="12">
        <v>50</v>
      </c>
      <c r="E1487" s="12" t="s">
        <v>8219</v>
      </c>
      <c r="F1487" s="13">
        <v>6</v>
      </c>
      <c r="G1487" s="14">
        <v>1727.17</v>
      </c>
      <c r="H1487" t="s">
        <v>2257</v>
      </c>
      <c r="I1487">
        <v>5</v>
      </c>
    </row>
    <row r="1488" spans="1:9" ht="15.6" x14ac:dyDescent="0.3">
      <c r="A1488" s="9">
        <v>1487</v>
      </c>
      <c r="B1488" s="2" t="s">
        <v>1493</v>
      </c>
      <c r="C1488" s="11">
        <v>14</v>
      </c>
      <c r="D1488" s="12">
        <v>50</v>
      </c>
      <c r="E1488" s="12" t="s">
        <v>8219</v>
      </c>
      <c r="F1488" s="13">
        <v>6</v>
      </c>
      <c r="G1488" s="14">
        <v>1767.1999999999998</v>
      </c>
      <c r="H1488" t="s">
        <v>1233</v>
      </c>
      <c r="I1488">
        <v>5</v>
      </c>
    </row>
    <row r="1489" spans="1:9" ht="15.6" x14ac:dyDescent="0.3">
      <c r="A1489" s="9">
        <v>1488</v>
      </c>
      <c r="B1489" s="2" t="s">
        <v>1494</v>
      </c>
      <c r="C1489" s="11">
        <v>8</v>
      </c>
      <c r="D1489" s="12">
        <v>33.333333333333329</v>
      </c>
      <c r="E1489" s="12" t="s">
        <v>8219</v>
      </c>
      <c r="F1489" s="13">
        <v>6</v>
      </c>
      <c r="G1489" s="14">
        <v>1742.1799999999998</v>
      </c>
      <c r="H1489" t="s">
        <v>209</v>
      </c>
      <c r="I1489">
        <v>4</v>
      </c>
    </row>
    <row r="1490" spans="1:9" ht="15.6" x14ac:dyDescent="0.3">
      <c r="A1490" s="9">
        <v>1489</v>
      </c>
      <c r="B1490" s="2" t="s">
        <v>1495</v>
      </c>
      <c r="C1490" s="11">
        <v>22</v>
      </c>
      <c r="D1490" s="12">
        <v>50</v>
      </c>
      <c r="E1490" s="12" t="s">
        <v>8219</v>
      </c>
      <c r="F1490" s="13">
        <v>6</v>
      </c>
      <c r="G1490" s="14">
        <v>1736.19</v>
      </c>
      <c r="H1490" t="s">
        <v>3985</v>
      </c>
      <c r="I1490">
        <v>6</v>
      </c>
    </row>
    <row r="1491" spans="1:9" ht="15.6" x14ac:dyDescent="0.3">
      <c r="A1491" s="9">
        <v>1490</v>
      </c>
      <c r="B1491" s="2" t="s">
        <v>1496</v>
      </c>
      <c r="C1491" s="11">
        <v>20</v>
      </c>
      <c r="D1491" s="12">
        <v>66.666666666666657</v>
      </c>
      <c r="E1491" s="12" t="s">
        <v>8220</v>
      </c>
      <c r="F1491" s="13">
        <v>6</v>
      </c>
      <c r="G1491" s="14">
        <v>1712.1599999999999</v>
      </c>
      <c r="H1491" t="s">
        <v>2961</v>
      </c>
      <c r="I1491">
        <v>6</v>
      </c>
    </row>
    <row r="1492" spans="1:9" ht="15.6" x14ac:dyDescent="0.3">
      <c r="A1492" s="9">
        <v>1491</v>
      </c>
      <c r="B1492" s="2" t="s">
        <v>1497</v>
      </c>
      <c r="C1492" s="11">
        <v>20</v>
      </c>
      <c r="D1492" s="12">
        <v>66.666666666666657</v>
      </c>
      <c r="E1492" s="12" t="s">
        <v>8220</v>
      </c>
      <c r="F1492" s="13">
        <v>6</v>
      </c>
      <c r="G1492" s="14">
        <v>1752.19</v>
      </c>
      <c r="H1492" t="s">
        <v>1937</v>
      </c>
      <c r="I1492">
        <v>6</v>
      </c>
    </row>
    <row r="1493" spans="1:9" ht="15.6" x14ac:dyDescent="0.3">
      <c r="A1493" s="9">
        <v>1492</v>
      </c>
      <c r="B1493" s="2" t="s">
        <v>1498</v>
      </c>
      <c r="C1493" s="11">
        <v>14</v>
      </c>
      <c r="D1493" s="12">
        <v>50</v>
      </c>
      <c r="E1493" s="12" t="s">
        <v>8219</v>
      </c>
      <c r="F1493" s="13">
        <v>6</v>
      </c>
      <c r="G1493" s="14">
        <v>1727.17</v>
      </c>
      <c r="H1493" t="s">
        <v>913</v>
      </c>
      <c r="I1493">
        <v>5</v>
      </c>
    </row>
    <row r="1494" spans="1:9" ht="15.6" x14ac:dyDescent="0.3">
      <c r="A1494" s="9">
        <v>1493</v>
      </c>
      <c r="B1494" s="2" t="s">
        <v>1499</v>
      </c>
      <c r="C1494" s="11">
        <v>20</v>
      </c>
      <c r="D1494" s="12">
        <v>66.666666666666657</v>
      </c>
      <c r="E1494" s="12" t="s">
        <v>8220</v>
      </c>
      <c r="F1494" s="13">
        <v>6</v>
      </c>
      <c r="G1494" s="14">
        <v>1712.1599999999999</v>
      </c>
      <c r="H1494" t="s">
        <v>3729</v>
      </c>
      <c r="I1494">
        <v>6</v>
      </c>
    </row>
    <row r="1495" spans="1:9" ht="15.6" x14ac:dyDescent="0.3">
      <c r="A1495" s="9">
        <v>1494</v>
      </c>
      <c r="B1495" s="2" t="s">
        <v>1500</v>
      </c>
      <c r="C1495" s="11">
        <v>18</v>
      </c>
      <c r="D1495" s="12">
        <v>83.333333333333343</v>
      </c>
      <c r="E1495" s="12" t="s">
        <v>8220</v>
      </c>
      <c r="F1495" s="13">
        <v>6</v>
      </c>
      <c r="G1495" s="14">
        <v>1688.13</v>
      </c>
      <c r="H1495" t="s">
        <v>2705</v>
      </c>
      <c r="I1495">
        <v>5</v>
      </c>
    </row>
    <row r="1496" spans="1:9" ht="15.6" x14ac:dyDescent="0.3">
      <c r="A1496" s="9">
        <v>1495</v>
      </c>
      <c r="B1496" s="2" t="s">
        <v>1501</v>
      </c>
      <c r="C1496" s="11">
        <v>18</v>
      </c>
      <c r="D1496" s="12">
        <v>83.333333333333343</v>
      </c>
      <c r="E1496" s="12" t="s">
        <v>8220</v>
      </c>
      <c r="F1496" s="13">
        <v>6</v>
      </c>
      <c r="G1496" s="14">
        <v>1728.1599999999999</v>
      </c>
      <c r="H1496" t="s">
        <v>1681</v>
      </c>
      <c r="I1496">
        <v>5</v>
      </c>
    </row>
    <row r="1497" spans="1:9" ht="15.6" x14ac:dyDescent="0.3">
      <c r="A1497" s="9">
        <v>1496</v>
      </c>
      <c r="B1497" s="2" t="s">
        <v>1502</v>
      </c>
      <c r="C1497" s="11">
        <v>12</v>
      </c>
      <c r="D1497" s="12">
        <v>66.666666666666657</v>
      </c>
      <c r="E1497" s="12" t="s">
        <v>8220</v>
      </c>
      <c r="F1497" s="13">
        <v>6</v>
      </c>
      <c r="G1497" s="14">
        <v>1703.1399999999999</v>
      </c>
      <c r="H1497" t="s">
        <v>657</v>
      </c>
      <c r="I1497">
        <v>4</v>
      </c>
    </row>
    <row r="1498" spans="1:9" ht="15.6" x14ac:dyDescent="0.3">
      <c r="A1498" s="9">
        <v>1497</v>
      </c>
      <c r="B1498" s="2" t="s">
        <v>1503</v>
      </c>
      <c r="C1498" s="11">
        <v>20</v>
      </c>
      <c r="D1498" s="12">
        <v>66.666666666666657</v>
      </c>
      <c r="E1498" s="12" t="s">
        <v>8220</v>
      </c>
      <c r="F1498" s="13">
        <v>6</v>
      </c>
      <c r="G1498" s="14">
        <v>1752.19</v>
      </c>
      <c r="H1498" t="s">
        <v>3473</v>
      </c>
      <c r="I1498">
        <v>6</v>
      </c>
    </row>
    <row r="1499" spans="1:9" ht="15.6" x14ac:dyDescent="0.3">
      <c r="A1499" s="9">
        <v>1498</v>
      </c>
      <c r="B1499" s="2" t="s">
        <v>1504</v>
      </c>
      <c r="C1499" s="11">
        <v>18</v>
      </c>
      <c r="D1499" s="12">
        <v>83.333333333333343</v>
      </c>
      <c r="E1499" s="12" t="s">
        <v>8220</v>
      </c>
      <c r="F1499" s="13">
        <v>6</v>
      </c>
      <c r="G1499" s="14">
        <v>1728.1599999999999</v>
      </c>
      <c r="H1499" t="s">
        <v>2449</v>
      </c>
      <c r="I1499">
        <v>5</v>
      </c>
    </row>
    <row r="1500" spans="1:9" ht="15.6" x14ac:dyDescent="0.3">
      <c r="A1500" s="9">
        <v>1499</v>
      </c>
      <c r="B1500" s="2" t="s">
        <v>1505</v>
      </c>
      <c r="C1500" s="11">
        <v>18</v>
      </c>
      <c r="D1500" s="12">
        <v>83.333333333333343</v>
      </c>
      <c r="E1500" s="12" t="s">
        <v>8220</v>
      </c>
      <c r="F1500" s="13">
        <v>6</v>
      </c>
      <c r="G1500" s="14">
        <v>1768.19</v>
      </c>
      <c r="H1500" t="s">
        <v>1425</v>
      </c>
      <c r="I1500">
        <v>5</v>
      </c>
    </row>
    <row r="1501" spans="1:9" ht="15.6" x14ac:dyDescent="0.3">
      <c r="A1501" s="9">
        <v>1500</v>
      </c>
      <c r="B1501" s="2" t="s">
        <v>1506</v>
      </c>
      <c r="C1501" s="11">
        <v>12</v>
      </c>
      <c r="D1501" s="12">
        <v>66.666666666666657</v>
      </c>
      <c r="E1501" s="12" t="s">
        <v>8220</v>
      </c>
      <c r="F1501" s="13">
        <v>6</v>
      </c>
      <c r="G1501" s="14">
        <v>1743.17</v>
      </c>
      <c r="H1501" t="s">
        <v>401</v>
      </c>
      <c r="I1501">
        <v>4</v>
      </c>
    </row>
    <row r="1502" spans="1:9" ht="15.6" x14ac:dyDescent="0.3">
      <c r="A1502" s="9">
        <v>1501</v>
      </c>
      <c r="B1502" s="2" t="s">
        <v>1507</v>
      </c>
      <c r="C1502" s="11">
        <v>14</v>
      </c>
      <c r="D1502" s="12">
        <v>50</v>
      </c>
      <c r="E1502" s="12" t="s">
        <v>8219</v>
      </c>
      <c r="F1502" s="13">
        <v>6</v>
      </c>
      <c r="G1502" s="14">
        <v>1727.17</v>
      </c>
      <c r="H1502" t="s">
        <v>3217</v>
      </c>
      <c r="I1502">
        <v>5</v>
      </c>
    </row>
    <row r="1503" spans="1:9" ht="15.6" x14ac:dyDescent="0.3">
      <c r="A1503" s="9">
        <v>1502</v>
      </c>
      <c r="B1503" s="2" t="s">
        <v>1508</v>
      </c>
      <c r="C1503" s="11">
        <v>12</v>
      </c>
      <c r="D1503" s="12">
        <v>66.666666666666657</v>
      </c>
      <c r="E1503" s="12" t="s">
        <v>8220</v>
      </c>
      <c r="F1503" s="13">
        <v>6</v>
      </c>
      <c r="G1503" s="14">
        <v>1703.1399999999999</v>
      </c>
      <c r="H1503" t="s">
        <v>2193</v>
      </c>
      <c r="I1503">
        <v>4</v>
      </c>
    </row>
    <row r="1504" spans="1:9" ht="15.6" x14ac:dyDescent="0.3">
      <c r="A1504" s="9">
        <v>1503</v>
      </c>
      <c r="B1504" s="2" t="s">
        <v>1509</v>
      </c>
      <c r="C1504" s="11">
        <v>12</v>
      </c>
      <c r="D1504" s="12">
        <v>66.666666666666657</v>
      </c>
      <c r="E1504" s="12" t="s">
        <v>8220</v>
      </c>
      <c r="F1504" s="13">
        <v>6</v>
      </c>
      <c r="G1504" s="14">
        <v>1743.17</v>
      </c>
      <c r="H1504" t="s">
        <v>1169</v>
      </c>
      <c r="I1504">
        <v>4</v>
      </c>
    </row>
    <row r="1505" spans="1:9" ht="15.6" x14ac:dyDescent="0.3">
      <c r="A1505" s="9">
        <v>1504</v>
      </c>
      <c r="B1505" s="2" t="s">
        <v>1510</v>
      </c>
      <c r="C1505" s="11">
        <v>6</v>
      </c>
      <c r="D1505" s="12">
        <v>50</v>
      </c>
      <c r="E1505" s="12" t="s">
        <v>8219</v>
      </c>
      <c r="F1505" s="13">
        <v>6</v>
      </c>
      <c r="G1505" s="14">
        <v>1718.15</v>
      </c>
      <c r="H1505" t="s">
        <v>145</v>
      </c>
      <c r="I1505">
        <v>3</v>
      </c>
    </row>
    <row r="1506" spans="1:9" ht="15.6" x14ac:dyDescent="0.3">
      <c r="A1506" s="9">
        <v>1505</v>
      </c>
      <c r="B1506" s="2" t="s">
        <v>1511</v>
      </c>
      <c r="C1506" s="11">
        <v>22</v>
      </c>
      <c r="D1506" s="12">
        <v>50</v>
      </c>
      <c r="E1506" s="12" t="s">
        <v>8219</v>
      </c>
      <c r="F1506" s="13">
        <v>6</v>
      </c>
      <c r="G1506" s="14">
        <v>1776.2199999999998</v>
      </c>
      <c r="H1506" t="s">
        <v>3921</v>
      </c>
      <c r="I1506">
        <v>6</v>
      </c>
    </row>
    <row r="1507" spans="1:9" ht="15.6" x14ac:dyDescent="0.3">
      <c r="A1507" s="9">
        <v>1506</v>
      </c>
      <c r="B1507" s="2" t="s">
        <v>1512</v>
      </c>
      <c r="C1507" s="11">
        <v>20</v>
      </c>
      <c r="D1507" s="12">
        <v>66.666666666666657</v>
      </c>
      <c r="E1507" s="12" t="s">
        <v>8220</v>
      </c>
      <c r="F1507" s="13">
        <v>6</v>
      </c>
      <c r="G1507" s="14">
        <v>1752.19</v>
      </c>
      <c r="H1507" t="s">
        <v>2897</v>
      </c>
      <c r="I1507">
        <v>6</v>
      </c>
    </row>
    <row r="1508" spans="1:9" ht="15.6" x14ac:dyDescent="0.3">
      <c r="A1508" s="9">
        <v>1507</v>
      </c>
      <c r="B1508" s="2" t="s">
        <v>1513</v>
      </c>
      <c r="C1508" s="11">
        <v>20</v>
      </c>
      <c r="D1508" s="12">
        <v>66.666666666666657</v>
      </c>
      <c r="E1508" s="12" t="s">
        <v>8220</v>
      </c>
      <c r="F1508" s="13">
        <v>6</v>
      </c>
      <c r="G1508" s="14">
        <v>1792.2199999999998</v>
      </c>
      <c r="H1508" t="s">
        <v>1873</v>
      </c>
      <c r="I1508">
        <v>6</v>
      </c>
    </row>
    <row r="1509" spans="1:9" ht="15.6" x14ac:dyDescent="0.3">
      <c r="A1509" s="9">
        <v>1508</v>
      </c>
      <c r="B1509" s="2" t="s">
        <v>1514</v>
      </c>
      <c r="C1509" s="11">
        <v>14</v>
      </c>
      <c r="D1509" s="12">
        <v>50</v>
      </c>
      <c r="E1509" s="12" t="s">
        <v>8219</v>
      </c>
      <c r="F1509" s="13">
        <v>6</v>
      </c>
      <c r="G1509" s="14">
        <v>1767.1999999999998</v>
      </c>
      <c r="H1509" t="s">
        <v>849</v>
      </c>
      <c r="I1509">
        <v>5</v>
      </c>
    </row>
    <row r="1510" spans="1:9" ht="15.6" x14ac:dyDescent="0.3">
      <c r="A1510" s="9">
        <v>1509</v>
      </c>
      <c r="B1510" s="2" t="s">
        <v>1515</v>
      </c>
      <c r="C1510" s="11">
        <v>20</v>
      </c>
      <c r="D1510" s="12">
        <v>66.666666666666657</v>
      </c>
      <c r="E1510" s="12" t="s">
        <v>8220</v>
      </c>
      <c r="F1510" s="13">
        <v>6</v>
      </c>
      <c r="G1510" s="14">
        <v>1752.19</v>
      </c>
      <c r="H1510" t="s">
        <v>3665</v>
      </c>
      <c r="I1510">
        <v>6</v>
      </c>
    </row>
    <row r="1511" spans="1:9" ht="15.6" x14ac:dyDescent="0.3">
      <c r="A1511" s="9">
        <v>1510</v>
      </c>
      <c r="B1511" s="2" t="s">
        <v>1516</v>
      </c>
      <c r="C1511" s="11">
        <v>18</v>
      </c>
      <c r="D1511" s="12">
        <v>83.333333333333343</v>
      </c>
      <c r="E1511" s="12" t="s">
        <v>8220</v>
      </c>
      <c r="F1511" s="13">
        <v>6</v>
      </c>
      <c r="G1511" s="14">
        <v>1728.1599999999999</v>
      </c>
      <c r="H1511" t="s">
        <v>2641</v>
      </c>
      <c r="I1511">
        <v>5</v>
      </c>
    </row>
    <row r="1512" spans="1:9" ht="15.6" x14ac:dyDescent="0.3">
      <c r="A1512" s="9">
        <v>1511</v>
      </c>
      <c r="B1512" s="2" t="s">
        <v>1517</v>
      </c>
      <c r="C1512" s="11">
        <v>18</v>
      </c>
      <c r="D1512" s="12">
        <v>83.333333333333343</v>
      </c>
      <c r="E1512" s="12" t="s">
        <v>8220</v>
      </c>
      <c r="F1512" s="13">
        <v>6</v>
      </c>
      <c r="G1512" s="14">
        <v>1768.19</v>
      </c>
      <c r="H1512" t="s">
        <v>1617</v>
      </c>
      <c r="I1512">
        <v>5</v>
      </c>
    </row>
    <row r="1513" spans="1:9" ht="15.6" x14ac:dyDescent="0.3">
      <c r="A1513" s="9">
        <v>1512</v>
      </c>
      <c r="B1513" s="2" t="s">
        <v>1518</v>
      </c>
      <c r="C1513" s="11">
        <v>12</v>
      </c>
      <c r="D1513" s="12">
        <v>66.666666666666657</v>
      </c>
      <c r="E1513" s="12" t="s">
        <v>8220</v>
      </c>
      <c r="F1513" s="13">
        <v>6</v>
      </c>
      <c r="G1513" s="14">
        <v>1743.17</v>
      </c>
      <c r="H1513" t="s">
        <v>593</v>
      </c>
      <c r="I1513">
        <v>4</v>
      </c>
    </row>
    <row r="1514" spans="1:9" ht="15.6" x14ac:dyDescent="0.3">
      <c r="A1514" s="9">
        <v>1513</v>
      </c>
      <c r="B1514" s="2" t="s">
        <v>1519</v>
      </c>
      <c r="C1514" s="11">
        <v>20</v>
      </c>
      <c r="D1514" s="12">
        <v>66.666666666666657</v>
      </c>
      <c r="E1514" s="12" t="s">
        <v>8220</v>
      </c>
      <c r="F1514" s="13">
        <v>6</v>
      </c>
      <c r="G1514" s="14">
        <v>1792.2199999999998</v>
      </c>
      <c r="H1514" t="s">
        <v>3409</v>
      </c>
      <c r="I1514">
        <v>6</v>
      </c>
    </row>
    <row r="1515" spans="1:9" ht="15.6" x14ac:dyDescent="0.3">
      <c r="A1515" s="9">
        <v>1514</v>
      </c>
      <c r="B1515" s="2" t="s">
        <v>1520</v>
      </c>
      <c r="C1515" s="11">
        <v>18</v>
      </c>
      <c r="D1515" s="12">
        <v>83.333333333333343</v>
      </c>
      <c r="E1515" s="12" t="s">
        <v>8220</v>
      </c>
      <c r="F1515" s="13">
        <v>6</v>
      </c>
      <c r="G1515" s="14">
        <v>1768.19</v>
      </c>
      <c r="H1515" t="s">
        <v>2385</v>
      </c>
      <c r="I1515">
        <v>5</v>
      </c>
    </row>
    <row r="1516" spans="1:9" ht="15.6" x14ac:dyDescent="0.3">
      <c r="A1516" s="9">
        <v>1515</v>
      </c>
      <c r="B1516" s="2" t="s">
        <v>1521</v>
      </c>
      <c r="C1516" s="11">
        <v>18</v>
      </c>
      <c r="D1516" s="12">
        <v>83.333333333333343</v>
      </c>
      <c r="E1516" s="12" t="s">
        <v>8220</v>
      </c>
      <c r="F1516" s="13">
        <v>6</v>
      </c>
      <c r="G1516" s="14">
        <v>1808.2200000000003</v>
      </c>
      <c r="H1516" t="s">
        <v>1361</v>
      </c>
      <c r="I1516">
        <v>5</v>
      </c>
    </row>
    <row r="1517" spans="1:9" ht="15.6" x14ac:dyDescent="0.3">
      <c r="A1517" s="9">
        <v>1516</v>
      </c>
      <c r="B1517" s="2" t="s">
        <v>1522</v>
      </c>
      <c r="C1517" s="11">
        <v>12</v>
      </c>
      <c r="D1517" s="12">
        <v>66.666666666666657</v>
      </c>
      <c r="E1517" s="12" t="s">
        <v>8220</v>
      </c>
      <c r="F1517" s="13">
        <v>6</v>
      </c>
      <c r="G1517" s="14">
        <v>1783.1999999999998</v>
      </c>
      <c r="H1517" t="s">
        <v>337</v>
      </c>
      <c r="I1517">
        <v>4</v>
      </c>
    </row>
    <row r="1518" spans="1:9" ht="15.6" x14ac:dyDescent="0.3">
      <c r="A1518" s="9">
        <v>1517</v>
      </c>
      <c r="B1518" s="2" t="s">
        <v>1523</v>
      </c>
      <c r="C1518" s="11">
        <v>14</v>
      </c>
      <c r="D1518" s="12">
        <v>50</v>
      </c>
      <c r="E1518" s="12" t="s">
        <v>8219</v>
      </c>
      <c r="F1518" s="13">
        <v>6</v>
      </c>
      <c r="G1518" s="14">
        <v>1767.1999999999998</v>
      </c>
      <c r="H1518" t="s">
        <v>3153</v>
      </c>
      <c r="I1518">
        <v>5</v>
      </c>
    </row>
    <row r="1519" spans="1:9" ht="15.6" x14ac:dyDescent="0.3">
      <c r="A1519" s="9">
        <v>1518</v>
      </c>
      <c r="B1519" s="2" t="s">
        <v>1524</v>
      </c>
      <c r="C1519" s="11">
        <v>12</v>
      </c>
      <c r="D1519" s="12">
        <v>66.666666666666657</v>
      </c>
      <c r="E1519" s="12" t="s">
        <v>8220</v>
      </c>
      <c r="F1519" s="13">
        <v>6</v>
      </c>
      <c r="G1519" s="14">
        <v>1743.17</v>
      </c>
      <c r="H1519" t="s">
        <v>2129</v>
      </c>
      <c r="I1519">
        <v>4</v>
      </c>
    </row>
    <row r="1520" spans="1:9" ht="15.6" x14ac:dyDescent="0.3">
      <c r="A1520" s="9">
        <v>1519</v>
      </c>
      <c r="B1520" s="2" t="s">
        <v>1525</v>
      </c>
      <c r="C1520" s="11">
        <v>12</v>
      </c>
      <c r="D1520" s="12">
        <v>66.666666666666657</v>
      </c>
      <c r="E1520" s="12" t="s">
        <v>8220</v>
      </c>
      <c r="F1520" s="13">
        <v>6</v>
      </c>
      <c r="G1520" s="14">
        <v>1783.1999999999998</v>
      </c>
      <c r="H1520" t="s">
        <v>1105</v>
      </c>
      <c r="I1520">
        <v>4</v>
      </c>
    </row>
    <row r="1521" spans="1:9" ht="15.6" x14ac:dyDescent="0.3">
      <c r="A1521" s="9">
        <v>1520</v>
      </c>
      <c r="B1521" s="2" t="s">
        <v>1526</v>
      </c>
      <c r="C1521" s="11">
        <v>6</v>
      </c>
      <c r="D1521" s="12">
        <v>50</v>
      </c>
      <c r="E1521" s="12" t="s">
        <v>8219</v>
      </c>
      <c r="F1521" s="13">
        <v>6</v>
      </c>
      <c r="G1521" s="14">
        <v>1758.1799999999998</v>
      </c>
      <c r="H1521" t="s">
        <v>81</v>
      </c>
      <c r="I1521">
        <v>3</v>
      </c>
    </row>
    <row r="1522" spans="1:9" ht="15.6" x14ac:dyDescent="0.3">
      <c r="A1522" s="9">
        <v>1521</v>
      </c>
      <c r="B1522" s="2" t="s">
        <v>1527</v>
      </c>
      <c r="C1522" s="11">
        <v>16</v>
      </c>
      <c r="D1522" s="12">
        <v>33.333333333333329</v>
      </c>
      <c r="E1522" s="12" t="s">
        <v>8219</v>
      </c>
      <c r="F1522" s="13">
        <v>6</v>
      </c>
      <c r="G1522" s="14">
        <v>1751.1999999999998</v>
      </c>
      <c r="H1522" t="s">
        <v>3857</v>
      </c>
      <c r="I1522">
        <v>5</v>
      </c>
    </row>
    <row r="1523" spans="1:9" ht="15.6" x14ac:dyDescent="0.3">
      <c r="A1523" s="9">
        <v>1522</v>
      </c>
      <c r="B1523" s="2" t="s">
        <v>1528</v>
      </c>
      <c r="C1523" s="11">
        <v>14</v>
      </c>
      <c r="D1523" s="12">
        <v>50</v>
      </c>
      <c r="E1523" s="12" t="s">
        <v>8219</v>
      </c>
      <c r="F1523" s="13">
        <v>6</v>
      </c>
      <c r="G1523" s="14">
        <v>1727.17</v>
      </c>
      <c r="H1523" t="s">
        <v>2833</v>
      </c>
      <c r="I1523">
        <v>5</v>
      </c>
    </row>
    <row r="1524" spans="1:9" ht="15.6" x14ac:dyDescent="0.3">
      <c r="A1524" s="9">
        <v>1523</v>
      </c>
      <c r="B1524" s="2" t="s">
        <v>1529</v>
      </c>
      <c r="C1524" s="11">
        <v>14</v>
      </c>
      <c r="D1524" s="12">
        <v>50</v>
      </c>
      <c r="E1524" s="12" t="s">
        <v>8219</v>
      </c>
      <c r="F1524" s="13">
        <v>6</v>
      </c>
      <c r="G1524" s="14">
        <v>1767.1999999999998</v>
      </c>
      <c r="H1524" t="s">
        <v>1809</v>
      </c>
      <c r="I1524">
        <v>5</v>
      </c>
    </row>
    <row r="1525" spans="1:9" ht="15.6" x14ac:dyDescent="0.3">
      <c r="A1525" s="9">
        <v>1524</v>
      </c>
      <c r="B1525" s="2" t="s">
        <v>1530</v>
      </c>
      <c r="C1525" s="11">
        <v>8</v>
      </c>
      <c r="D1525" s="12">
        <v>33.333333333333329</v>
      </c>
      <c r="E1525" s="12" t="s">
        <v>8219</v>
      </c>
      <c r="F1525" s="13">
        <v>6</v>
      </c>
      <c r="G1525" s="14">
        <v>1742.1799999999998</v>
      </c>
      <c r="H1525" t="s">
        <v>785</v>
      </c>
      <c r="I1525">
        <v>4</v>
      </c>
    </row>
    <row r="1526" spans="1:9" ht="15.6" x14ac:dyDescent="0.3">
      <c r="A1526" s="9">
        <v>1525</v>
      </c>
      <c r="B1526" s="2" t="s">
        <v>1531</v>
      </c>
      <c r="C1526" s="11">
        <v>14</v>
      </c>
      <c r="D1526" s="12">
        <v>50</v>
      </c>
      <c r="E1526" s="12" t="s">
        <v>8219</v>
      </c>
      <c r="F1526" s="13">
        <v>6</v>
      </c>
      <c r="G1526" s="14">
        <v>1727.17</v>
      </c>
      <c r="H1526" t="s">
        <v>3601</v>
      </c>
      <c r="I1526">
        <v>5</v>
      </c>
    </row>
    <row r="1527" spans="1:9" ht="15.6" x14ac:dyDescent="0.3">
      <c r="A1527" s="9">
        <v>1526</v>
      </c>
      <c r="B1527" s="2" t="s">
        <v>1532</v>
      </c>
      <c r="C1527" s="11">
        <v>12</v>
      </c>
      <c r="D1527" s="12">
        <v>66.666666666666657</v>
      </c>
      <c r="E1527" s="12" t="s">
        <v>8220</v>
      </c>
      <c r="F1527" s="13">
        <v>6</v>
      </c>
      <c r="G1527" s="14">
        <v>1703.1399999999999</v>
      </c>
      <c r="H1527" t="s">
        <v>2577</v>
      </c>
      <c r="I1527">
        <v>4</v>
      </c>
    </row>
    <row r="1528" spans="1:9" ht="15.6" x14ac:dyDescent="0.3">
      <c r="A1528" s="9">
        <v>1527</v>
      </c>
      <c r="B1528" s="2" t="s">
        <v>1533</v>
      </c>
      <c r="C1528" s="11">
        <v>12</v>
      </c>
      <c r="D1528" s="12">
        <v>66.666666666666657</v>
      </c>
      <c r="E1528" s="12" t="s">
        <v>8220</v>
      </c>
      <c r="F1528" s="13">
        <v>6</v>
      </c>
      <c r="G1528" s="14">
        <v>1743.17</v>
      </c>
      <c r="H1528" t="s">
        <v>1553</v>
      </c>
      <c r="I1528">
        <v>4</v>
      </c>
    </row>
    <row r="1529" spans="1:9" ht="15.6" x14ac:dyDescent="0.3">
      <c r="A1529" s="9">
        <v>1528</v>
      </c>
      <c r="B1529" s="2" t="s">
        <v>1534</v>
      </c>
      <c r="C1529" s="11">
        <v>6</v>
      </c>
      <c r="D1529" s="12">
        <v>50</v>
      </c>
      <c r="E1529" s="12" t="s">
        <v>8219</v>
      </c>
      <c r="F1529" s="13">
        <v>6</v>
      </c>
      <c r="G1529" s="14">
        <v>1718.15</v>
      </c>
      <c r="H1529" t="s">
        <v>529</v>
      </c>
      <c r="I1529">
        <v>3</v>
      </c>
    </row>
    <row r="1530" spans="1:9" ht="15.6" x14ac:dyDescent="0.3">
      <c r="A1530" s="9">
        <v>1529</v>
      </c>
      <c r="B1530" s="2" t="s">
        <v>1535</v>
      </c>
      <c r="C1530" s="11">
        <v>14</v>
      </c>
      <c r="D1530" s="12">
        <v>50</v>
      </c>
      <c r="E1530" s="12" t="s">
        <v>8219</v>
      </c>
      <c r="F1530" s="13">
        <v>6</v>
      </c>
      <c r="G1530" s="14">
        <v>1767.1999999999998</v>
      </c>
      <c r="H1530" t="s">
        <v>3345</v>
      </c>
      <c r="I1530">
        <v>5</v>
      </c>
    </row>
    <row r="1531" spans="1:9" ht="15.6" x14ac:dyDescent="0.3">
      <c r="A1531" s="9">
        <v>1530</v>
      </c>
      <c r="B1531" s="2" t="s">
        <v>1536</v>
      </c>
      <c r="C1531" s="11">
        <v>12</v>
      </c>
      <c r="D1531" s="12">
        <v>66.666666666666657</v>
      </c>
      <c r="E1531" s="12" t="s">
        <v>8220</v>
      </c>
      <c r="F1531" s="13">
        <v>6</v>
      </c>
      <c r="G1531" s="14">
        <v>1743.17</v>
      </c>
      <c r="H1531" t="s">
        <v>2321</v>
      </c>
      <c r="I1531">
        <v>4</v>
      </c>
    </row>
    <row r="1532" spans="1:9" ht="15.6" x14ac:dyDescent="0.3">
      <c r="A1532" s="9">
        <v>1531</v>
      </c>
      <c r="B1532" s="2" t="s">
        <v>1537</v>
      </c>
      <c r="C1532" s="11">
        <v>12</v>
      </c>
      <c r="D1532" s="12">
        <v>66.666666666666657</v>
      </c>
      <c r="E1532" s="12" t="s">
        <v>8220</v>
      </c>
      <c r="F1532" s="13">
        <v>6</v>
      </c>
      <c r="G1532" s="14">
        <v>1783.1999999999998</v>
      </c>
      <c r="H1532" t="s">
        <v>1297</v>
      </c>
      <c r="I1532">
        <v>4</v>
      </c>
    </row>
    <row r="1533" spans="1:9" ht="15.6" x14ac:dyDescent="0.3">
      <c r="A1533" s="9">
        <v>1532</v>
      </c>
      <c r="B1533" s="2" t="s">
        <v>1538</v>
      </c>
      <c r="C1533" s="11">
        <v>6</v>
      </c>
      <c r="D1533" s="12">
        <v>50</v>
      </c>
      <c r="E1533" s="12" t="s">
        <v>8219</v>
      </c>
      <c r="F1533" s="13">
        <v>6</v>
      </c>
      <c r="G1533" s="14">
        <v>1758.1799999999998</v>
      </c>
      <c r="H1533" t="s">
        <v>273</v>
      </c>
      <c r="I1533">
        <v>3</v>
      </c>
    </row>
    <row r="1534" spans="1:9" ht="15.6" x14ac:dyDescent="0.3">
      <c r="A1534" s="9">
        <v>1533</v>
      </c>
      <c r="B1534" s="2" t="s">
        <v>1539</v>
      </c>
      <c r="C1534" s="11">
        <v>8</v>
      </c>
      <c r="D1534" s="12">
        <v>33.333333333333329</v>
      </c>
      <c r="E1534" s="12" t="s">
        <v>8219</v>
      </c>
      <c r="F1534" s="13">
        <v>6</v>
      </c>
      <c r="G1534" s="14">
        <v>1742.1799999999998</v>
      </c>
      <c r="H1534" t="s">
        <v>3089</v>
      </c>
      <c r="I1534">
        <v>4</v>
      </c>
    </row>
    <row r="1535" spans="1:9" ht="15.6" x14ac:dyDescent="0.3">
      <c r="A1535" s="9">
        <v>1534</v>
      </c>
      <c r="B1535" s="2" t="s">
        <v>1540</v>
      </c>
      <c r="C1535" s="11">
        <v>6</v>
      </c>
      <c r="D1535" s="12">
        <v>50</v>
      </c>
      <c r="E1535" s="12" t="s">
        <v>8219</v>
      </c>
      <c r="F1535" s="13">
        <v>6</v>
      </c>
      <c r="G1535" s="14">
        <v>1718.15</v>
      </c>
      <c r="H1535" t="s">
        <v>2065</v>
      </c>
      <c r="I1535">
        <v>3</v>
      </c>
    </row>
    <row r="1536" spans="1:9" ht="15.6" x14ac:dyDescent="0.3">
      <c r="A1536" s="9">
        <v>1535</v>
      </c>
      <c r="B1536" s="2" t="s">
        <v>1541</v>
      </c>
      <c r="C1536" s="11">
        <v>6</v>
      </c>
      <c r="D1536" s="12">
        <v>50</v>
      </c>
      <c r="E1536" s="12" t="s">
        <v>8219</v>
      </c>
      <c r="F1536" s="13">
        <v>6</v>
      </c>
      <c r="G1536" s="14">
        <v>1758.1799999999998</v>
      </c>
      <c r="H1536" t="s">
        <v>1041</v>
      </c>
      <c r="I1536">
        <v>3</v>
      </c>
    </row>
    <row r="1537" spans="1:9" ht="15.6" x14ac:dyDescent="0.3">
      <c r="A1537" s="9">
        <v>1536</v>
      </c>
      <c r="B1537" s="2" t="s">
        <v>1542</v>
      </c>
      <c r="C1537" s="11">
        <v>0</v>
      </c>
      <c r="D1537" s="12">
        <v>33.333333333333329</v>
      </c>
      <c r="E1537" s="12" t="s">
        <v>8219</v>
      </c>
      <c r="F1537" s="13">
        <v>6</v>
      </c>
      <c r="G1537" s="14">
        <v>1733.1599999999999</v>
      </c>
      <c r="H1537" t="s">
        <v>17</v>
      </c>
      <c r="I1537">
        <v>2</v>
      </c>
    </row>
    <row r="1538" spans="1:9" ht="15.6" x14ac:dyDescent="0.3">
      <c r="A1538" s="9">
        <v>1537</v>
      </c>
      <c r="B1538" s="2" t="s">
        <v>1543</v>
      </c>
      <c r="C1538" s="11">
        <v>32</v>
      </c>
      <c r="D1538" s="12">
        <v>33.333333333333329</v>
      </c>
      <c r="E1538" s="12" t="s">
        <v>8219</v>
      </c>
      <c r="F1538" s="13">
        <v>6</v>
      </c>
      <c r="G1538" s="14">
        <v>1809.27</v>
      </c>
      <c r="H1538" t="s">
        <v>4093</v>
      </c>
      <c r="I1538">
        <v>8</v>
      </c>
    </row>
    <row r="1539" spans="1:9" ht="15.6" x14ac:dyDescent="0.3">
      <c r="A1539" s="9">
        <v>1538</v>
      </c>
      <c r="B1539" s="2" t="s">
        <v>1544</v>
      </c>
      <c r="C1539" s="11">
        <v>30</v>
      </c>
      <c r="D1539" s="12">
        <v>50</v>
      </c>
      <c r="E1539" s="12" t="s">
        <v>8219</v>
      </c>
      <c r="F1539" s="13">
        <v>6</v>
      </c>
      <c r="G1539" s="14">
        <v>1785.2399999999998</v>
      </c>
      <c r="H1539" t="s">
        <v>3069</v>
      </c>
      <c r="I1539">
        <v>7</v>
      </c>
    </row>
    <row r="1540" spans="1:9" ht="15.6" x14ac:dyDescent="0.3">
      <c r="A1540" s="9">
        <v>1539</v>
      </c>
      <c r="B1540" s="2" t="s">
        <v>1545</v>
      </c>
      <c r="C1540" s="11">
        <v>30</v>
      </c>
      <c r="D1540" s="12">
        <v>50</v>
      </c>
      <c r="E1540" s="12" t="s">
        <v>8219</v>
      </c>
      <c r="F1540" s="13">
        <v>6</v>
      </c>
      <c r="G1540" s="14">
        <v>1825.27</v>
      </c>
      <c r="H1540" t="s">
        <v>2045</v>
      </c>
      <c r="I1540">
        <v>7</v>
      </c>
    </row>
    <row r="1541" spans="1:9" ht="15.6" x14ac:dyDescent="0.3">
      <c r="A1541" s="9">
        <v>1540</v>
      </c>
      <c r="B1541" s="2" t="s">
        <v>1546</v>
      </c>
      <c r="C1541" s="11">
        <v>24</v>
      </c>
      <c r="D1541" s="12">
        <v>33.333333333333329</v>
      </c>
      <c r="E1541" s="12" t="s">
        <v>8219</v>
      </c>
      <c r="F1541" s="13">
        <v>6</v>
      </c>
      <c r="G1541" s="14">
        <v>1800.25</v>
      </c>
      <c r="H1541" t="s">
        <v>1021</v>
      </c>
      <c r="I1541">
        <v>6</v>
      </c>
    </row>
    <row r="1542" spans="1:9" ht="15.6" x14ac:dyDescent="0.3">
      <c r="A1542" s="9">
        <v>1541</v>
      </c>
      <c r="B1542" s="2" t="s">
        <v>1547</v>
      </c>
      <c r="C1542" s="11">
        <v>30</v>
      </c>
      <c r="D1542" s="12">
        <v>50</v>
      </c>
      <c r="E1542" s="12" t="s">
        <v>8219</v>
      </c>
      <c r="F1542" s="13">
        <v>6</v>
      </c>
      <c r="G1542" s="14">
        <v>1785.2399999999998</v>
      </c>
      <c r="H1542" t="s">
        <v>3837</v>
      </c>
      <c r="I1542">
        <v>7</v>
      </c>
    </row>
    <row r="1543" spans="1:9" ht="15.6" x14ac:dyDescent="0.3">
      <c r="A1543" s="9">
        <v>1542</v>
      </c>
      <c r="B1543" s="2" t="s">
        <v>1548</v>
      </c>
      <c r="C1543" s="11">
        <v>28</v>
      </c>
      <c r="D1543" s="12">
        <v>66.666666666666657</v>
      </c>
      <c r="E1543" s="12" t="s">
        <v>8220</v>
      </c>
      <c r="F1543" s="13">
        <v>6</v>
      </c>
      <c r="G1543" s="14">
        <v>1761.21</v>
      </c>
      <c r="H1543" t="s">
        <v>2813</v>
      </c>
      <c r="I1543">
        <v>7</v>
      </c>
    </row>
    <row r="1544" spans="1:9" ht="15.6" x14ac:dyDescent="0.3">
      <c r="A1544" s="9">
        <v>1543</v>
      </c>
      <c r="B1544" s="2" t="s">
        <v>1549</v>
      </c>
      <c r="C1544" s="11">
        <v>28</v>
      </c>
      <c r="D1544" s="12">
        <v>66.666666666666657</v>
      </c>
      <c r="E1544" s="12" t="s">
        <v>8220</v>
      </c>
      <c r="F1544" s="13">
        <v>6</v>
      </c>
      <c r="G1544" s="14">
        <v>1801.2399999999998</v>
      </c>
      <c r="H1544" t="s">
        <v>1789</v>
      </c>
      <c r="I1544">
        <v>7</v>
      </c>
    </row>
    <row r="1545" spans="1:9" ht="15.6" x14ac:dyDescent="0.3">
      <c r="A1545" s="9">
        <v>1544</v>
      </c>
      <c r="B1545" s="2" t="s">
        <v>1550</v>
      </c>
      <c r="C1545" s="11">
        <v>22</v>
      </c>
      <c r="D1545" s="12">
        <v>50</v>
      </c>
      <c r="E1545" s="12" t="s">
        <v>8219</v>
      </c>
      <c r="F1545" s="13">
        <v>6</v>
      </c>
      <c r="G1545" s="14">
        <v>1776.2199999999998</v>
      </c>
      <c r="H1545" t="s">
        <v>765</v>
      </c>
      <c r="I1545">
        <v>6</v>
      </c>
    </row>
    <row r="1546" spans="1:9" ht="15.6" x14ac:dyDescent="0.3">
      <c r="A1546" s="9">
        <v>1545</v>
      </c>
      <c r="B1546" s="2" t="s">
        <v>1551</v>
      </c>
      <c r="C1546" s="11">
        <v>30</v>
      </c>
      <c r="D1546" s="12">
        <v>50</v>
      </c>
      <c r="E1546" s="12" t="s">
        <v>8219</v>
      </c>
      <c r="F1546" s="13">
        <v>6</v>
      </c>
      <c r="G1546" s="14">
        <v>1825.27</v>
      </c>
      <c r="H1546" t="s">
        <v>3581</v>
      </c>
      <c r="I1546">
        <v>7</v>
      </c>
    </row>
    <row r="1547" spans="1:9" ht="15.6" x14ac:dyDescent="0.3">
      <c r="A1547" s="9">
        <v>1546</v>
      </c>
      <c r="B1547" s="2" t="s">
        <v>1552</v>
      </c>
      <c r="C1547" s="11">
        <v>28</v>
      </c>
      <c r="D1547" s="12">
        <v>66.666666666666657</v>
      </c>
      <c r="E1547" s="12" t="s">
        <v>8220</v>
      </c>
      <c r="F1547" s="13">
        <v>6</v>
      </c>
      <c r="G1547" s="14">
        <v>1801.2399999999998</v>
      </c>
      <c r="H1547" t="s">
        <v>2557</v>
      </c>
      <c r="I1547">
        <v>7</v>
      </c>
    </row>
    <row r="1548" spans="1:9" ht="15.6" x14ac:dyDescent="0.3">
      <c r="A1548" s="9">
        <v>1547</v>
      </c>
      <c r="B1548" s="2" t="s">
        <v>1553</v>
      </c>
      <c r="C1548" s="11">
        <v>28</v>
      </c>
      <c r="D1548" s="12">
        <v>66.666666666666657</v>
      </c>
      <c r="E1548" s="12" t="s">
        <v>8220</v>
      </c>
      <c r="F1548" s="13">
        <v>6</v>
      </c>
      <c r="G1548" s="14">
        <v>1841.27</v>
      </c>
      <c r="H1548" t="s">
        <v>1533</v>
      </c>
      <c r="I1548">
        <v>7</v>
      </c>
    </row>
    <row r="1549" spans="1:9" ht="15.6" x14ac:dyDescent="0.3">
      <c r="A1549" s="9">
        <v>1548</v>
      </c>
      <c r="B1549" s="2" t="s">
        <v>1554</v>
      </c>
      <c r="C1549" s="11">
        <v>22</v>
      </c>
      <c r="D1549" s="12">
        <v>50</v>
      </c>
      <c r="E1549" s="12" t="s">
        <v>8219</v>
      </c>
      <c r="F1549" s="13">
        <v>6</v>
      </c>
      <c r="G1549" s="14">
        <v>1816.25</v>
      </c>
      <c r="H1549" t="s">
        <v>509</v>
      </c>
      <c r="I1549">
        <v>6</v>
      </c>
    </row>
    <row r="1550" spans="1:9" ht="15.6" x14ac:dyDescent="0.3">
      <c r="A1550" s="9">
        <v>1549</v>
      </c>
      <c r="B1550" s="2" t="s">
        <v>1555</v>
      </c>
      <c r="C1550" s="11">
        <v>24</v>
      </c>
      <c r="D1550" s="12">
        <v>33.333333333333329</v>
      </c>
      <c r="E1550" s="12" t="s">
        <v>8219</v>
      </c>
      <c r="F1550" s="13">
        <v>6</v>
      </c>
      <c r="G1550" s="14">
        <v>1800.25</v>
      </c>
      <c r="H1550" t="s">
        <v>3325</v>
      </c>
      <c r="I1550">
        <v>6</v>
      </c>
    </row>
    <row r="1551" spans="1:9" ht="15.6" x14ac:dyDescent="0.3">
      <c r="A1551" s="9">
        <v>1550</v>
      </c>
      <c r="B1551" s="2" t="s">
        <v>1556</v>
      </c>
      <c r="C1551" s="11">
        <v>22</v>
      </c>
      <c r="D1551" s="12">
        <v>50</v>
      </c>
      <c r="E1551" s="12" t="s">
        <v>8219</v>
      </c>
      <c r="F1551" s="13">
        <v>6</v>
      </c>
      <c r="G1551" s="14">
        <v>1776.2199999999998</v>
      </c>
      <c r="H1551" t="s">
        <v>2301</v>
      </c>
      <c r="I1551">
        <v>6</v>
      </c>
    </row>
    <row r="1552" spans="1:9" ht="15.6" x14ac:dyDescent="0.3">
      <c r="A1552" s="9">
        <v>1551</v>
      </c>
      <c r="B1552" s="2" t="s">
        <v>1557</v>
      </c>
      <c r="C1552" s="11">
        <v>22</v>
      </c>
      <c r="D1552" s="12">
        <v>50</v>
      </c>
      <c r="E1552" s="12" t="s">
        <v>8219</v>
      </c>
      <c r="F1552" s="13">
        <v>6</v>
      </c>
      <c r="G1552" s="14">
        <v>1816.25</v>
      </c>
      <c r="H1552" t="s">
        <v>1277</v>
      </c>
      <c r="I1552">
        <v>6</v>
      </c>
    </row>
    <row r="1553" spans="1:9" ht="15.6" x14ac:dyDescent="0.3">
      <c r="A1553" s="9">
        <v>1552</v>
      </c>
      <c r="B1553" s="2" t="s">
        <v>1558</v>
      </c>
      <c r="C1553" s="11">
        <v>16</v>
      </c>
      <c r="D1553" s="12">
        <v>33.333333333333329</v>
      </c>
      <c r="E1553" s="12" t="s">
        <v>8219</v>
      </c>
      <c r="F1553" s="13">
        <v>6</v>
      </c>
      <c r="G1553" s="14">
        <v>1791.23</v>
      </c>
      <c r="H1553" t="s">
        <v>253</v>
      </c>
      <c r="I1553">
        <v>5</v>
      </c>
    </row>
    <row r="1554" spans="1:9" ht="15.6" x14ac:dyDescent="0.3">
      <c r="A1554" s="9">
        <v>1553</v>
      </c>
      <c r="B1554" s="2" t="s">
        <v>1559</v>
      </c>
      <c r="C1554" s="11">
        <v>30</v>
      </c>
      <c r="D1554" s="12">
        <v>50</v>
      </c>
      <c r="E1554" s="12" t="s">
        <v>8219</v>
      </c>
      <c r="F1554" s="13">
        <v>6</v>
      </c>
      <c r="G1554" s="14">
        <v>1785.2399999999998</v>
      </c>
      <c r="H1554" t="s">
        <v>4029</v>
      </c>
      <c r="I1554">
        <v>7</v>
      </c>
    </row>
    <row r="1555" spans="1:9" ht="15.6" x14ac:dyDescent="0.3">
      <c r="A1555" s="9">
        <v>1554</v>
      </c>
      <c r="B1555" s="2" t="s">
        <v>1560</v>
      </c>
      <c r="C1555" s="11">
        <v>28</v>
      </c>
      <c r="D1555" s="12">
        <v>66.666666666666657</v>
      </c>
      <c r="E1555" s="12" t="s">
        <v>8220</v>
      </c>
      <c r="F1555" s="13">
        <v>6</v>
      </c>
      <c r="G1555" s="14">
        <v>1761.21</v>
      </c>
      <c r="H1555" t="s">
        <v>3005</v>
      </c>
      <c r="I1555">
        <v>7</v>
      </c>
    </row>
    <row r="1556" spans="1:9" ht="15.6" x14ac:dyDescent="0.3">
      <c r="A1556" s="9">
        <v>1555</v>
      </c>
      <c r="B1556" s="2" t="s">
        <v>1561</v>
      </c>
      <c r="C1556" s="11">
        <v>28</v>
      </c>
      <c r="D1556" s="12">
        <v>66.666666666666657</v>
      </c>
      <c r="E1556" s="12" t="s">
        <v>8220</v>
      </c>
      <c r="F1556" s="13">
        <v>6</v>
      </c>
      <c r="G1556" s="14">
        <v>1801.2399999999998</v>
      </c>
      <c r="H1556" t="s">
        <v>1981</v>
      </c>
      <c r="I1556">
        <v>7</v>
      </c>
    </row>
    <row r="1557" spans="1:9" ht="15.6" x14ac:dyDescent="0.3">
      <c r="A1557" s="9">
        <v>1556</v>
      </c>
      <c r="B1557" s="2" t="s">
        <v>1562</v>
      </c>
      <c r="C1557" s="11">
        <v>22</v>
      </c>
      <c r="D1557" s="12">
        <v>50</v>
      </c>
      <c r="E1557" s="12" t="s">
        <v>8219</v>
      </c>
      <c r="F1557" s="13">
        <v>6</v>
      </c>
      <c r="G1557" s="14">
        <v>1776.2199999999998</v>
      </c>
      <c r="H1557" t="s">
        <v>957</v>
      </c>
      <c r="I1557">
        <v>6</v>
      </c>
    </row>
    <row r="1558" spans="1:9" ht="15.6" x14ac:dyDescent="0.3">
      <c r="A1558" s="9">
        <v>1557</v>
      </c>
      <c r="B1558" s="2" t="s">
        <v>1563</v>
      </c>
      <c r="C1558" s="11">
        <v>28</v>
      </c>
      <c r="D1558" s="12">
        <v>66.666666666666657</v>
      </c>
      <c r="E1558" s="12" t="s">
        <v>8220</v>
      </c>
      <c r="F1558" s="13">
        <v>6</v>
      </c>
      <c r="G1558" s="14">
        <v>1761.21</v>
      </c>
      <c r="H1558" t="s">
        <v>3773</v>
      </c>
      <c r="I1558">
        <v>7</v>
      </c>
    </row>
    <row r="1559" spans="1:9" ht="15.6" x14ac:dyDescent="0.3">
      <c r="A1559" s="9">
        <v>1558</v>
      </c>
      <c r="B1559" s="2" t="s">
        <v>1564</v>
      </c>
      <c r="C1559" s="11">
        <v>26</v>
      </c>
      <c r="D1559" s="12">
        <v>83.333333333333343</v>
      </c>
      <c r="E1559" s="12" t="s">
        <v>8220</v>
      </c>
      <c r="F1559" s="13">
        <v>6</v>
      </c>
      <c r="G1559" s="14">
        <v>1737.1799999999998</v>
      </c>
      <c r="H1559" t="s">
        <v>2749</v>
      </c>
      <c r="I1559">
        <v>7</v>
      </c>
    </row>
    <row r="1560" spans="1:9" ht="15.6" x14ac:dyDescent="0.3">
      <c r="A1560" s="9">
        <v>1559</v>
      </c>
      <c r="B1560" s="2" t="s">
        <v>1565</v>
      </c>
      <c r="C1560" s="11">
        <v>26</v>
      </c>
      <c r="D1560" s="12">
        <v>83.333333333333343</v>
      </c>
      <c r="E1560" s="12" t="s">
        <v>8220</v>
      </c>
      <c r="F1560" s="13">
        <v>6</v>
      </c>
      <c r="G1560" s="14">
        <v>1777.21</v>
      </c>
      <c r="H1560" t="s">
        <v>1725</v>
      </c>
      <c r="I1560">
        <v>7</v>
      </c>
    </row>
    <row r="1561" spans="1:9" ht="15.6" x14ac:dyDescent="0.3">
      <c r="A1561" s="9">
        <v>1560</v>
      </c>
      <c r="B1561" s="2" t="s">
        <v>1566</v>
      </c>
      <c r="C1561" s="11">
        <v>20</v>
      </c>
      <c r="D1561" s="12">
        <v>66.666666666666657</v>
      </c>
      <c r="E1561" s="12" t="s">
        <v>8220</v>
      </c>
      <c r="F1561" s="13">
        <v>6</v>
      </c>
      <c r="G1561" s="14">
        <v>1752.19</v>
      </c>
      <c r="H1561" t="s">
        <v>701</v>
      </c>
      <c r="I1561">
        <v>6</v>
      </c>
    </row>
    <row r="1562" spans="1:9" ht="15.6" x14ac:dyDescent="0.3">
      <c r="A1562" s="9">
        <v>1561</v>
      </c>
      <c r="B1562" s="2" t="s">
        <v>1567</v>
      </c>
      <c r="C1562" s="11">
        <v>28</v>
      </c>
      <c r="D1562" s="12">
        <v>66.666666666666657</v>
      </c>
      <c r="E1562" s="12" t="s">
        <v>8220</v>
      </c>
      <c r="F1562" s="13">
        <v>6</v>
      </c>
      <c r="G1562" s="14">
        <v>1801.2399999999998</v>
      </c>
      <c r="H1562" t="s">
        <v>3517</v>
      </c>
      <c r="I1562">
        <v>7</v>
      </c>
    </row>
    <row r="1563" spans="1:9" ht="15.6" x14ac:dyDescent="0.3">
      <c r="A1563" s="9">
        <v>1562</v>
      </c>
      <c r="B1563" s="2" t="s">
        <v>1568</v>
      </c>
      <c r="C1563" s="11">
        <v>26</v>
      </c>
      <c r="D1563" s="12">
        <v>83.333333333333343</v>
      </c>
      <c r="E1563" s="12" t="s">
        <v>8220</v>
      </c>
      <c r="F1563" s="13">
        <v>6</v>
      </c>
      <c r="G1563" s="14">
        <v>1777.21</v>
      </c>
      <c r="H1563" t="s">
        <v>2493</v>
      </c>
      <c r="I1563">
        <v>7</v>
      </c>
    </row>
    <row r="1564" spans="1:9" ht="15.6" x14ac:dyDescent="0.3">
      <c r="A1564" s="9">
        <v>1563</v>
      </c>
      <c r="B1564" s="2" t="s">
        <v>1569</v>
      </c>
      <c r="C1564" s="11">
        <v>26</v>
      </c>
      <c r="D1564" s="12">
        <v>83.333333333333343</v>
      </c>
      <c r="E1564" s="12" t="s">
        <v>8220</v>
      </c>
      <c r="F1564" s="13">
        <v>6</v>
      </c>
      <c r="G1564" s="14">
        <v>1817.2400000000002</v>
      </c>
      <c r="H1564" t="s">
        <v>1469</v>
      </c>
      <c r="I1564">
        <v>7</v>
      </c>
    </row>
    <row r="1565" spans="1:9" ht="15.6" x14ac:dyDescent="0.3">
      <c r="A1565" s="9">
        <v>1564</v>
      </c>
      <c r="B1565" s="2" t="s">
        <v>1570</v>
      </c>
      <c r="C1565" s="11">
        <v>20</v>
      </c>
      <c r="D1565" s="12">
        <v>66.666666666666657</v>
      </c>
      <c r="E1565" s="12" t="s">
        <v>8220</v>
      </c>
      <c r="F1565" s="13">
        <v>6</v>
      </c>
      <c r="G1565" s="14">
        <v>1792.2199999999998</v>
      </c>
      <c r="H1565" t="s">
        <v>445</v>
      </c>
      <c r="I1565">
        <v>6</v>
      </c>
    </row>
    <row r="1566" spans="1:9" ht="15.6" x14ac:dyDescent="0.3">
      <c r="A1566" s="9">
        <v>1565</v>
      </c>
      <c r="B1566" s="2" t="s">
        <v>1571</v>
      </c>
      <c r="C1566" s="11">
        <v>22</v>
      </c>
      <c r="D1566" s="12">
        <v>50</v>
      </c>
      <c r="E1566" s="12" t="s">
        <v>8219</v>
      </c>
      <c r="F1566" s="13">
        <v>6</v>
      </c>
      <c r="G1566" s="14">
        <v>1776.2199999999998</v>
      </c>
      <c r="H1566" t="s">
        <v>3261</v>
      </c>
      <c r="I1566">
        <v>6</v>
      </c>
    </row>
    <row r="1567" spans="1:9" ht="15.6" x14ac:dyDescent="0.3">
      <c r="A1567" s="9">
        <v>1566</v>
      </c>
      <c r="B1567" s="2" t="s">
        <v>1572</v>
      </c>
      <c r="C1567" s="11">
        <v>20</v>
      </c>
      <c r="D1567" s="12">
        <v>66.666666666666657</v>
      </c>
      <c r="E1567" s="12" t="s">
        <v>8220</v>
      </c>
      <c r="F1567" s="13">
        <v>6</v>
      </c>
      <c r="G1567" s="14">
        <v>1752.19</v>
      </c>
      <c r="H1567" t="s">
        <v>2237</v>
      </c>
      <c r="I1567">
        <v>6</v>
      </c>
    </row>
    <row r="1568" spans="1:9" ht="15.6" x14ac:dyDescent="0.3">
      <c r="A1568" s="9">
        <v>1567</v>
      </c>
      <c r="B1568" s="2" t="s">
        <v>1573</v>
      </c>
      <c r="C1568" s="11">
        <v>20</v>
      </c>
      <c r="D1568" s="12">
        <v>66.666666666666657</v>
      </c>
      <c r="E1568" s="12" t="s">
        <v>8220</v>
      </c>
      <c r="F1568" s="13">
        <v>6</v>
      </c>
      <c r="G1568" s="14">
        <v>1792.2199999999998</v>
      </c>
      <c r="H1568" t="s">
        <v>1213</v>
      </c>
      <c r="I1568">
        <v>6</v>
      </c>
    </row>
    <row r="1569" spans="1:9" ht="15.6" x14ac:dyDescent="0.3">
      <c r="A1569" s="9">
        <v>1568</v>
      </c>
      <c r="B1569" s="2" t="s">
        <v>1574</v>
      </c>
      <c r="C1569" s="11">
        <v>14</v>
      </c>
      <c r="D1569" s="12">
        <v>50</v>
      </c>
      <c r="E1569" s="12" t="s">
        <v>8219</v>
      </c>
      <c r="F1569" s="13">
        <v>6</v>
      </c>
      <c r="G1569" s="14">
        <v>1767.1999999999998</v>
      </c>
      <c r="H1569" t="s">
        <v>189</v>
      </c>
      <c r="I1569">
        <v>5</v>
      </c>
    </row>
    <row r="1570" spans="1:9" ht="15.6" x14ac:dyDescent="0.3">
      <c r="A1570" s="9">
        <v>1569</v>
      </c>
      <c r="B1570" s="2" t="s">
        <v>1575</v>
      </c>
      <c r="C1570" s="11">
        <v>30</v>
      </c>
      <c r="D1570" s="12">
        <v>50</v>
      </c>
      <c r="E1570" s="12" t="s">
        <v>8219</v>
      </c>
      <c r="F1570" s="13">
        <v>6</v>
      </c>
      <c r="G1570" s="14">
        <v>1825.27</v>
      </c>
      <c r="H1570" t="s">
        <v>3965</v>
      </c>
      <c r="I1570">
        <v>7</v>
      </c>
    </row>
    <row r="1571" spans="1:9" ht="15.6" x14ac:dyDescent="0.3">
      <c r="A1571" s="9">
        <v>1570</v>
      </c>
      <c r="B1571" s="2" t="s">
        <v>1576</v>
      </c>
      <c r="C1571" s="11">
        <v>28</v>
      </c>
      <c r="D1571" s="12">
        <v>66.666666666666657</v>
      </c>
      <c r="E1571" s="12" t="s">
        <v>8220</v>
      </c>
      <c r="F1571" s="13">
        <v>6</v>
      </c>
      <c r="G1571" s="14">
        <v>1801.2399999999998</v>
      </c>
      <c r="H1571" t="s">
        <v>2941</v>
      </c>
      <c r="I1571">
        <v>7</v>
      </c>
    </row>
    <row r="1572" spans="1:9" ht="15.6" x14ac:dyDescent="0.3">
      <c r="A1572" s="9">
        <v>1571</v>
      </c>
      <c r="B1572" s="2" t="s">
        <v>1577</v>
      </c>
      <c r="C1572" s="11">
        <v>28</v>
      </c>
      <c r="D1572" s="12">
        <v>66.666666666666657</v>
      </c>
      <c r="E1572" s="12" t="s">
        <v>8220</v>
      </c>
      <c r="F1572" s="13">
        <v>6</v>
      </c>
      <c r="G1572" s="14">
        <v>1841.27</v>
      </c>
      <c r="H1572" t="s">
        <v>1917</v>
      </c>
      <c r="I1572">
        <v>7</v>
      </c>
    </row>
    <row r="1573" spans="1:9" ht="15.6" x14ac:dyDescent="0.3">
      <c r="A1573" s="9">
        <v>1572</v>
      </c>
      <c r="B1573" s="2" t="s">
        <v>1578</v>
      </c>
      <c r="C1573" s="11">
        <v>22</v>
      </c>
      <c r="D1573" s="12">
        <v>50</v>
      </c>
      <c r="E1573" s="12" t="s">
        <v>8219</v>
      </c>
      <c r="F1573" s="13">
        <v>6</v>
      </c>
      <c r="G1573" s="14">
        <v>1816.25</v>
      </c>
      <c r="H1573" t="s">
        <v>893</v>
      </c>
      <c r="I1573">
        <v>6</v>
      </c>
    </row>
    <row r="1574" spans="1:9" ht="15.6" x14ac:dyDescent="0.3">
      <c r="A1574" s="9">
        <v>1573</v>
      </c>
      <c r="B1574" s="2" t="s">
        <v>1579</v>
      </c>
      <c r="C1574" s="11">
        <v>28</v>
      </c>
      <c r="D1574" s="12">
        <v>66.666666666666657</v>
      </c>
      <c r="E1574" s="12" t="s">
        <v>8220</v>
      </c>
      <c r="F1574" s="13">
        <v>6</v>
      </c>
      <c r="G1574" s="14">
        <v>1801.2399999999998</v>
      </c>
      <c r="H1574" t="s">
        <v>3709</v>
      </c>
      <c r="I1574">
        <v>7</v>
      </c>
    </row>
    <row r="1575" spans="1:9" ht="15.6" x14ac:dyDescent="0.3">
      <c r="A1575" s="9">
        <v>1574</v>
      </c>
      <c r="B1575" s="2" t="s">
        <v>1580</v>
      </c>
      <c r="C1575" s="11">
        <v>26</v>
      </c>
      <c r="D1575" s="12">
        <v>83.333333333333343</v>
      </c>
      <c r="E1575" s="12" t="s">
        <v>8220</v>
      </c>
      <c r="F1575" s="13">
        <v>6</v>
      </c>
      <c r="G1575" s="14">
        <v>1777.21</v>
      </c>
      <c r="H1575" t="s">
        <v>2685</v>
      </c>
      <c r="I1575">
        <v>7</v>
      </c>
    </row>
    <row r="1576" spans="1:9" ht="15.6" x14ac:dyDescent="0.3">
      <c r="A1576" s="9">
        <v>1575</v>
      </c>
      <c r="B1576" s="2" t="s">
        <v>1581</v>
      </c>
      <c r="C1576" s="11">
        <v>26</v>
      </c>
      <c r="D1576" s="12">
        <v>83.333333333333343</v>
      </c>
      <c r="E1576" s="12" t="s">
        <v>8220</v>
      </c>
      <c r="F1576" s="13">
        <v>6</v>
      </c>
      <c r="G1576" s="14">
        <v>1817.2400000000002</v>
      </c>
      <c r="H1576" t="s">
        <v>1661</v>
      </c>
      <c r="I1576">
        <v>7</v>
      </c>
    </row>
    <row r="1577" spans="1:9" ht="15.6" x14ac:dyDescent="0.3">
      <c r="A1577" s="9">
        <v>1576</v>
      </c>
      <c r="B1577" s="2" t="s">
        <v>1582</v>
      </c>
      <c r="C1577" s="11">
        <v>20</v>
      </c>
      <c r="D1577" s="12">
        <v>66.666666666666657</v>
      </c>
      <c r="E1577" s="12" t="s">
        <v>8220</v>
      </c>
      <c r="F1577" s="13">
        <v>6</v>
      </c>
      <c r="G1577" s="14">
        <v>1792.2199999999998</v>
      </c>
      <c r="H1577" t="s">
        <v>637</v>
      </c>
      <c r="I1577">
        <v>6</v>
      </c>
    </row>
    <row r="1578" spans="1:9" ht="15.6" x14ac:dyDescent="0.3">
      <c r="A1578" s="9">
        <v>1577</v>
      </c>
      <c r="B1578" s="2" t="s">
        <v>1583</v>
      </c>
      <c r="C1578" s="11">
        <v>28</v>
      </c>
      <c r="D1578" s="12">
        <v>66.666666666666657</v>
      </c>
      <c r="E1578" s="12" t="s">
        <v>8220</v>
      </c>
      <c r="F1578" s="13">
        <v>6</v>
      </c>
      <c r="G1578" s="14">
        <v>1841.27</v>
      </c>
      <c r="H1578" t="s">
        <v>3453</v>
      </c>
      <c r="I1578">
        <v>7</v>
      </c>
    </row>
    <row r="1579" spans="1:9" ht="15.6" x14ac:dyDescent="0.3">
      <c r="A1579" s="9">
        <v>1578</v>
      </c>
      <c r="B1579" s="2" t="s">
        <v>1584</v>
      </c>
      <c r="C1579" s="11">
        <v>26</v>
      </c>
      <c r="D1579" s="12">
        <v>83.333333333333343</v>
      </c>
      <c r="E1579" s="12" t="s">
        <v>8220</v>
      </c>
      <c r="F1579" s="13">
        <v>6</v>
      </c>
      <c r="G1579" s="14">
        <v>1817.2400000000002</v>
      </c>
      <c r="H1579" t="s">
        <v>2429</v>
      </c>
      <c r="I1579">
        <v>7</v>
      </c>
    </row>
    <row r="1580" spans="1:9" ht="15.6" x14ac:dyDescent="0.3">
      <c r="A1580" s="9">
        <v>1579</v>
      </c>
      <c r="B1580" s="2" t="s">
        <v>1585</v>
      </c>
      <c r="C1580" s="11">
        <v>26</v>
      </c>
      <c r="D1580" s="12">
        <v>83.333333333333343</v>
      </c>
      <c r="E1580" s="12" t="s">
        <v>8220</v>
      </c>
      <c r="F1580" s="13">
        <v>6</v>
      </c>
      <c r="G1580" s="14">
        <v>1857.27</v>
      </c>
      <c r="H1580" t="s">
        <v>1405</v>
      </c>
      <c r="I1580">
        <v>7</v>
      </c>
    </row>
    <row r="1581" spans="1:9" ht="15.6" x14ac:dyDescent="0.3">
      <c r="A1581" s="9">
        <v>1580</v>
      </c>
      <c r="B1581" s="2" t="s">
        <v>1586</v>
      </c>
      <c r="C1581" s="11">
        <v>20</v>
      </c>
      <c r="D1581" s="12">
        <v>66.666666666666657</v>
      </c>
      <c r="E1581" s="12" t="s">
        <v>8220</v>
      </c>
      <c r="F1581" s="13">
        <v>6</v>
      </c>
      <c r="G1581" s="14">
        <v>1832.25</v>
      </c>
      <c r="H1581" t="s">
        <v>381</v>
      </c>
      <c r="I1581">
        <v>6</v>
      </c>
    </row>
    <row r="1582" spans="1:9" ht="15.6" x14ac:dyDescent="0.3">
      <c r="A1582" s="9">
        <v>1581</v>
      </c>
      <c r="B1582" s="2" t="s">
        <v>1587</v>
      </c>
      <c r="C1582" s="11">
        <v>22</v>
      </c>
      <c r="D1582" s="12">
        <v>50</v>
      </c>
      <c r="E1582" s="12" t="s">
        <v>8219</v>
      </c>
      <c r="F1582" s="13">
        <v>6</v>
      </c>
      <c r="G1582" s="14">
        <v>1816.25</v>
      </c>
      <c r="H1582" t="s">
        <v>3197</v>
      </c>
      <c r="I1582">
        <v>6</v>
      </c>
    </row>
    <row r="1583" spans="1:9" ht="15.6" x14ac:dyDescent="0.3">
      <c r="A1583" s="9">
        <v>1582</v>
      </c>
      <c r="B1583" s="2" t="s">
        <v>1588</v>
      </c>
      <c r="C1583" s="11">
        <v>20</v>
      </c>
      <c r="D1583" s="12">
        <v>66.666666666666657</v>
      </c>
      <c r="E1583" s="12" t="s">
        <v>8220</v>
      </c>
      <c r="F1583" s="13">
        <v>6</v>
      </c>
      <c r="G1583" s="14">
        <v>1792.2199999999998</v>
      </c>
      <c r="H1583" t="s">
        <v>2173</v>
      </c>
      <c r="I1583">
        <v>6</v>
      </c>
    </row>
    <row r="1584" spans="1:9" ht="15.6" x14ac:dyDescent="0.3">
      <c r="A1584" s="9">
        <v>1583</v>
      </c>
      <c r="B1584" s="2" t="s">
        <v>1589</v>
      </c>
      <c r="C1584" s="11">
        <v>20</v>
      </c>
      <c r="D1584" s="12">
        <v>66.666666666666657</v>
      </c>
      <c r="E1584" s="12" t="s">
        <v>8220</v>
      </c>
      <c r="F1584" s="13">
        <v>6</v>
      </c>
      <c r="G1584" s="14">
        <v>1832.25</v>
      </c>
      <c r="H1584" t="s">
        <v>1149</v>
      </c>
      <c r="I1584">
        <v>6</v>
      </c>
    </row>
    <row r="1585" spans="1:9" ht="15.6" x14ac:dyDescent="0.3">
      <c r="A1585" s="9">
        <v>1584</v>
      </c>
      <c r="B1585" s="2" t="s">
        <v>1590</v>
      </c>
      <c r="C1585" s="11">
        <v>14</v>
      </c>
      <c r="D1585" s="12">
        <v>50</v>
      </c>
      <c r="E1585" s="12" t="s">
        <v>8219</v>
      </c>
      <c r="F1585" s="13">
        <v>6</v>
      </c>
      <c r="G1585" s="14">
        <v>1807.23</v>
      </c>
      <c r="H1585" t="s">
        <v>125</v>
      </c>
      <c r="I1585">
        <v>5</v>
      </c>
    </row>
    <row r="1586" spans="1:9" ht="15.6" x14ac:dyDescent="0.3">
      <c r="A1586" s="9">
        <v>1585</v>
      </c>
      <c r="B1586" s="2" t="s">
        <v>1591</v>
      </c>
      <c r="C1586" s="11">
        <v>24</v>
      </c>
      <c r="D1586" s="12">
        <v>33.333333333333329</v>
      </c>
      <c r="E1586" s="12" t="s">
        <v>8219</v>
      </c>
      <c r="F1586" s="13">
        <v>6</v>
      </c>
      <c r="G1586" s="14">
        <v>1800.25</v>
      </c>
      <c r="H1586" t="s">
        <v>3901</v>
      </c>
      <c r="I1586">
        <v>6</v>
      </c>
    </row>
    <row r="1587" spans="1:9" ht="15.6" x14ac:dyDescent="0.3">
      <c r="A1587" s="9">
        <v>1586</v>
      </c>
      <c r="B1587" s="2" t="s">
        <v>1592</v>
      </c>
      <c r="C1587" s="11">
        <v>22</v>
      </c>
      <c r="D1587" s="12">
        <v>50</v>
      </c>
      <c r="E1587" s="12" t="s">
        <v>8219</v>
      </c>
      <c r="F1587" s="13">
        <v>6</v>
      </c>
      <c r="G1587" s="14">
        <v>1776.2199999999998</v>
      </c>
      <c r="H1587" t="s">
        <v>2877</v>
      </c>
      <c r="I1587">
        <v>6</v>
      </c>
    </row>
    <row r="1588" spans="1:9" ht="15.6" x14ac:dyDescent="0.3">
      <c r="A1588" s="9">
        <v>1587</v>
      </c>
      <c r="B1588" s="2" t="s">
        <v>1593</v>
      </c>
      <c r="C1588" s="11">
        <v>22</v>
      </c>
      <c r="D1588" s="12">
        <v>50</v>
      </c>
      <c r="E1588" s="12" t="s">
        <v>8219</v>
      </c>
      <c r="F1588" s="13">
        <v>6</v>
      </c>
      <c r="G1588" s="14">
        <v>1816.25</v>
      </c>
      <c r="H1588" t="s">
        <v>1853</v>
      </c>
      <c r="I1588">
        <v>6</v>
      </c>
    </row>
    <row r="1589" spans="1:9" ht="15.6" x14ac:dyDescent="0.3">
      <c r="A1589" s="9">
        <v>1588</v>
      </c>
      <c r="B1589" s="2" t="s">
        <v>1594</v>
      </c>
      <c r="C1589" s="11">
        <v>16</v>
      </c>
      <c r="D1589" s="12">
        <v>33.333333333333329</v>
      </c>
      <c r="E1589" s="12" t="s">
        <v>8219</v>
      </c>
      <c r="F1589" s="13">
        <v>6</v>
      </c>
      <c r="G1589" s="14">
        <v>1791.23</v>
      </c>
      <c r="H1589" t="s">
        <v>829</v>
      </c>
      <c r="I1589">
        <v>5</v>
      </c>
    </row>
    <row r="1590" spans="1:9" ht="15.6" x14ac:dyDescent="0.3">
      <c r="A1590" s="9">
        <v>1589</v>
      </c>
      <c r="B1590" s="2" t="s">
        <v>1595</v>
      </c>
      <c r="C1590" s="11">
        <v>22</v>
      </c>
      <c r="D1590" s="12">
        <v>50</v>
      </c>
      <c r="E1590" s="12" t="s">
        <v>8219</v>
      </c>
      <c r="F1590" s="13">
        <v>6</v>
      </c>
      <c r="G1590" s="14">
        <v>1776.2199999999998</v>
      </c>
      <c r="H1590" t="s">
        <v>3645</v>
      </c>
      <c r="I1590">
        <v>6</v>
      </c>
    </row>
    <row r="1591" spans="1:9" ht="15.6" x14ac:dyDescent="0.3">
      <c r="A1591" s="9">
        <v>1590</v>
      </c>
      <c r="B1591" s="2" t="s">
        <v>1596</v>
      </c>
      <c r="C1591" s="11">
        <v>20</v>
      </c>
      <c r="D1591" s="12">
        <v>66.666666666666657</v>
      </c>
      <c r="E1591" s="12" t="s">
        <v>8220</v>
      </c>
      <c r="F1591" s="13">
        <v>6</v>
      </c>
      <c r="G1591" s="14">
        <v>1752.19</v>
      </c>
      <c r="H1591" t="s">
        <v>2621</v>
      </c>
      <c r="I1591">
        <v>6</v>
      </c>
    </row>
    <row r="1592" spans="1:9" ht="15.6" x14ac:dyDescent="0.3">
      <c r="A1592" s="9">
        <v>1591</v>
      </c>
      <c r="B1592" s="2" t="s">
        <v>1597</v>
      </c>
      <c r="C1592" s="11">
        <v>20</v>
      </c>
      <c r="D1592" s="12">
        <v>66.666666666666657</v>
      </c>
      <c r="E1592" s="12" t="s">
        <v>8220</v>
      </c>
      <c r="F1592" s="13">
        <v>6</v>
      </c>
      <c r="G1592" s="14">
        <v>1792.2199999999998</v>
      </c>
      <c r="H1592" t="s">
        <v>1597</v>
      </c>
      <c r="I1592">
        <v>6</v>
      </c>
    </row>
    <row r="1593" spans="1:9" ht="15.6" x14ac:dyDescent="0.3">
      <c r="A1593" s="9">
        <v>1592</v>
      </c>
      <c r="B1593" s="2" t="s">
        <v>1598</v>
      </c>
      <c r="C1593" s="11">
        <v>14</v>
      </c>
      <c r="D1593" s="12">
        <v>50</v>
      </c>
      <c r="E1593" s="12" t="s">
        <v>8219</v>
      </c>
      <c r="F1593" s="13">
        <v>6</v>
      </c>
      <c r="G1593" s="14">
        <v>1767.1999999999998</v>
      </c>
      <c r="H1593" t="s">
        <v>573</v>
      </c>
      <c r="I1593">
        <v>5</v>
      </c>
    </row>
    <row r="1594" spans="1:9" ht="15.6" x14ac:dyDescent="0.3">
      <c r="A1594" s="9">
        <v>1593</v>
      </c>
      <c r="B1594" s="2" t="s">
        <v>1599</v>
      </c>
      <c r="C1594" s="11">
        <v>22</v>
      </c>
      <c r="D1594" s="12">
        <v>50</v>
      </c>
      <c r="E1594" s="12" t="s">
        <v>8219</v>
      </c>
      <c r="F1594" s="13">
        <v>6</v>
      </c>
      <c r="G1594" s="14">
        <v>1816.25</v>
      </c>
      <c r="H1594" t="s">
        <v>3389</v>
      </c>
      <c r="I1594">
        <v>6</v>
      </c>
    </row>
    <row r="1595" spans="1:9" ht="15.6" x14ac:dyDescent="0.3">
      <c r="A1595" s="9">
        <v>1594</v>
      </c>
      <c r="B1595" s="2" t="s">
        <v>1600</v>
      </c>
      <c r="C1595" s="11">
        <v>20</v>
      </c>
      <c r="D1595" s="12">
        <v>66.666666666666657</v>
      </c>
      <c r="E1595" s="12" t="s">
        <v>8220</v>
      </c>
      <c r="F1595" s="13">
        <v>6</v>
      </c>
      <c r="G1595" s="14">
        <v>1792.2199999999998</v>
      </c>
      <c r="H1595" t="s">
        <v>2365</v>
      </c>
      <c r="I1595">
        <v>6</v>
      </c>
    </row>
    <row r="1596" spans="1:9" ht="15.6" x14ac:dyDescent="0.3">
      <c r="A1596" s="9">
        <v>1595</v>
      </c>
      <c r="B1596" s="2" t="s">
        <v>1601</v>
      </c>
      <c r="C1596" s="11">
        <v>20</v>
      </c>
      <c r="D1596" s="12">
        <v>66.666666666666657</v>
      </c>
      <c r="E1596" s="12" t="s">
        <v>8220</v>
      </c>
      <c r="F1596" s="13">
        <v>6</v>
      </c>
      <c r="G1596" s="14">
        <v>1832.25</v>
      </c>
      <c r="H1596" t="s">
        <v>1341</v>
      </c>
      <c r="I1596">
        <v>6</v>
      </c>
    </row>
    <row r="1597" spans="1:9" ht="15.6" x14ac:dyDescent="0.3">
      <c r="A1597" s="9">
        <v>1596</v>
      </c>
      <c r="B1597" s="2" t="s">
        <v>1602</v>
      </c>
      <c r="C1597" s="11">
        <v>14</v>
      </c>
      <c r="D1597" s="12">
        <v>50</v>
      </c>
      <c r="E1597" s="12" t="s">
        <v>8219</v>
      </c>
      <c r="F1597" s="13">
        <v>6</v>
      </c>
      <c r="G1597" s="14">
        <v>1807.23</v>
      </c>
      <c r="H1597" t="s">
        <v>317</v>
      </c>
      <c r="I1597">
        <v>5</v>
      </c>
    </row>
    <row r="1598" spans="1:9" ht="15.6" x14ac:dyDescent="0.3">
      <c r="A1598" s="9">
        <v>1597</v>
      </c>
      <c r="B1598" s="2" t="s">
        <v>1603</v>
      </c>
      <c r="C1598" s="11">
        <v>16</v>
      </c>
      <c r="D1598" s="12">
        <v>33.333333333333329</v>
      </c>
      <c r="E1598" s="12" t="s">
        <v>8219</v>
      </c>
      <c r="F1598" s="13">
        <v>6</v>
      </c>
      <c r="G1598" s="14">
        <v>1791.23</v>
      </c>
      <c r="H1598" t="s">
        <v>3133</v>
      </c>
      <c r="I1598">
        <v>5</v>
      </c>
    </row>
    <row r="1599" spans="1:9" ht="15.6" x14ac:dyDescent="0.3">
      <c r="A1599" s="9">
        <v>1598</v>
      </c>
      <c r="B1599" s="2" t="s">
        <v>1604</v>
      </c>
      <c r="C1599" s="11">
        <v>14</v>
      </c>
      <c r="D1599" s="12">
        <v>50</v>
      </c>
      <c r="E1599" s="12" t="s">
        <v>8219</v>
      </c>
      <c r="F1599" s="13">
        <v>6</v>
      </c>
      <c r="G1599" s="14">
        <v>1767.1999999999998</v>
      </c>
      <c r="H1599" t="s">
        <v>2109</v>
      </c>
      <c r="I1599">
        <v>5</v>
      </c>
    </row>
    <row r="1600" spans="1:9" ht="15.6" x14ac:dyDescent="0.3">
      <c r="A1600" s="9">
        <v>1599</v>
      </c>
      <c r="B1600" s="2" t="s">
        <v>1605</v>
      </c>
      <c r="C1600" s="11">
        <v>14</v>
      </c>
      <c r="D1600" s="12">
        <v>50</v>
      </c>
      <c r="E1600" s="12" t="s">
        <v>8219</v>
      </c>
      <c r="F1600" s="13">
        <v>6</v>
      </c>
      <c r="G1600" s="14">
        <v>1807.23</v>
      </c>
      <c r="H1600" t="s">
        <v>1085</v>
      </c>
      <c r="I1600">
        <v>5</v>
      </c>
    </row>
    <row r="1601" spans="1:9" ht="15.6" x14ac:dyDescent="0.3">
      <c r="A1601" s="9">
        <v>1600</v>
      </c>
      <c r="B1601" s="2" t="s">
        <v>1606</v>
      </c>
      <c r="C1601" s="11">
        <v>8</v>
      </c>
      <c r="D1601" s="12">
        <v>33.333333333333329</v>
      </c>
      <c r="E1601" s="12" t="s">
        <v>8219</v>
      </c>
      <c r="F1601" s="13">
        <v>6</v>
      </c>
      <c r="G1601" s="14">
        <v>1782.21</v>
      </c>
      <c r="H1601" t="s">
        <v>61</v>
      </c>
      <c r="I1601">
        <v>4</v>
      </c>
    </row>
    <row r="1602" spans="1:9" ht="15.6" x14ac:dyDescent="0.3">
      <c r="A1602" s="9">
        <v>1601</v>
      </c>
      <c r="B1602" s="2" t="s">
        <v>1607</v>
      </c>
      <c r="C1602" s="11">
        <v>30</v>
      </c>
      <c r="D1602" s="12">
        <v>50</v>
      </c>
      <c r="E1602" s="12" t="s">
        <v>8219</v>
      </c>
      <c r="F1602" s="13">
        <v>6</v>
      </c>
      <c r="G1602" s="14">
        <v>1785.2399999999998</v>
      </c>
      <c r="H1602" t="s">
        <v>4077</v>
      </c>
      <c r="I1602">
        <v>7</v>
      </c>
    </row>
    <row r="1603" spans="1:9" ht="15.6" x14ac:dyDescent="0.3">
      <c r="A1603" s="9">
        <v>1602</v>
      </c>
      <c r="B1603" s="2" t="s">
        <v>1608</v>
      </c>
      <c r="C1603" s="11">
        <v>28</v>
      </c>
      <c r="D1603" s="12">
        <v>66.666666666666657</v>
      </c>
      <c r="E1603" s="12" t="s">
        <v>8220</v>
      </c>
      <c r="F1603" s="13">
        <v>6</v>
      </c>
      <c r="G1603" s="14">
        <v>1761.21</v>
      </c>
      <c r="H1603" t="s">
        <v>3053</v>
      </c>
      <c r="I1603">
        <v>7</v>
      </c>
    </row>
    <row r="1604" spans="1:9" ht="15.6" x14ac:dyDescent="0.3">
      <c r="A1604" s="9">
        <v>1603</v>
      </c>
      <c r="B1604" s="2" t="s">
        <v>1609</v>
      </c>
      <c r="C1604" s="11">
        <v>28</v>
      </c>
      <c r="D1604" s="12">
        <v>66.666666666666657</v>
      </c>
      <c r="E1604" s="12" t="s">
        <v>8220</v>
      </c>
      <c r="F1604" s="13">
        <v>6</v>
      </c>
      <c r="G1604" s="14">
        <v>1801.2399999999998</v>
      </c>
      <c r="H1604" t="s">
        <v>2029</v>
      </c>
      <c r="I1604">
        <v>7</v>
      </c>
    </row>
    <row r="1605" spans="1:9" ht="15.6" x14ac:dyDescent="0.3">
      <c r="A1605" s="9">
        <v>1604</v>
      </c>
      <c r="B1605" s="2" t="s">
        <v>1610</v>
      </c>
      <c r="C1605" s="11">
        <v>22</v>
      </c>
      <c r="D1605" s="12">
        <v>50</v>
      </c>
      <c r="E1605" s="12" t="s">
        <v>8219</v>
      </c>
      <c r="F1605" s="13">
        <v>6</v>
      </c>
      <c r="G1605" s="14">
        <v>1776.2199999999998</v>
      </c>
      <c r="H1605" t="s">
        <v>1005</v>
      </c>
      <c r="I1605">
        <v>6</v>
      </c>
    </row>
    <row r="1606" spans="1:9" ht="15.6" x14ac:dyDescent="0.3">
      <c r="A1606" s="9">
        <v>1605</v>
      </c>
      <c r="B1606" s="2" t="s">
        <v>1611</v>
      </c>
      <c r="C1606" s="11">
        <v>28</v>
      </c>
      <c r="D1606" s="12">
        <v>66.666666666666657</v>
      </c>
      <c r="E1606" s="12" t="s">
        <v>8220</v>
      </c>
      <c r="F1606" s="13">
        <v>6</v>
      </c>
      <c r="G1606" s="14">
        <v>1761.21</v>
      </c>
      <c r="H1606" t="s">
        <v>3821</v>
      </c>
      <c r="I1606">
        <v>7</v>
      </c>
    </row>
    <row r="1607" spans="1:9" ht="15.6" x14ac:dyDescent="0.3">
      <c r="A1607" s="9">
        <v>1606</v>
      </c>
      <c r="B1607" s="2" t="s">
        <v>1612</v>
      </c>
      <c r="C1607" s="11">
        <v>26</v>
      </c>
      <c r="D1607" s="12">
        <v>83.333333333333343</v>
      </c>
      <c r="E1607" s="12" t="s">
        <v>8220</v>
      </c>
      <c r="F1607" s="13">
        <v>6</v>
      </c>
      <c r="G1607" s="14">
        <v>1737.1799999999998</v>
      </c>
      <c r="H1607" t="s">
        <v>2797</v>
      </c>
      <c r="I1607">
        <v>7</v>
      </c>
    </row>
    <row r="1608" spans="1:9" ht="15.6" x14ac:dyDescent="0.3">
      <c r="A1608" s="9">
        <v>1607</v>
      </c>
      <c r="B1608" s="2" t="s">
        <v>1613</v>
      </c>
      <c r="C1608" s="11">
        <v>26</v>
      </c>
      <c r="D1608" s="12">
        <v>83.333333333333343</v>
      </c>
      <c r="E1608" s="12" t="s">
        <v>8220</v>
      </c>
      <c r="F1608" s="13">
        <v>6</v>
      </c>
      <c r="G1608" s="14">
        <v>1777.21</v>
      </c>
      <c r="H1608" t="s">
        <v>1773</v>
      </c>
      <c r="I1608">
        <v>7</v>
      </c>
    </row>
    <row r="1609" spans="1:9" ht="15.6" x14ac:dyDescent="0.3">
      <c r="A1609" s="9">
        <v>1608</v>
      </c>
      <c r="B1609" s="2" t="s">
        <v>1614</v>
      </c>
      <c r="C1609" s="11">
        <v>20</v>
      </c>
      <c r="D1609" s="12">
        <v>66.666666666666657</v>
      </c>
      <c r="E1609" s="12" t="s">
        <v>8220</v>
      </c>
      <c r="F1609" s="13">
        <v>6</v>
      </c>
      <c r="G1609" s="14">
        <v>1752.19</v>
      </c>
      <c r="H1609" t="s">
        <v>749</v>
      </c>
      <c r="I1609">
        <v>6</v>
      </c>
    </row>
    <row r="1610" spans="1:9" ht="15.6" x14ac:dyDescent="0.3">
      <c r="A1610" s="9">
        <v>1609</v>
      </c>
      <c r="B1610" s="2" t="s">
        <v>1615</v>
      </c>
      <c r="C1610" s="11">
        <v>28</v>
      </c>
      <c r="D1610" s="12">
        <v>66.666666666666657</v>
      </c>
      <c r="E1610" s="12" t="s">
        <v>8220</v>
      </c>
      <c r="F1610" s="13">
        <v>6</v>
      </c>
      <c r="G1610" s="14">
        <v>1801.2399999999998</v>
      </c>
      <c r="H1610" t="s">
        <v>3565</v>
      </c>
      <c r="I1610">
        <v>7</v>
      </c>
    </row>
    <row r="1611" spans="1:9" ht="15.6" x14ac:dyDescent="0.3">
      <c r="A1611" s="9">
        <v>1610</v>
      </c>
      <c r="B1611" s="2" t="s">
        <v>1616</v>
      </c>
      <c r="C1611" s="11">
        <v>26</v>
      </c>
      <c r="D1611" s="12">
        <v>83.333333333333343</v>
      </c>
      <c r="E1611" s="12" t="s">
        <v>8220</v>
      </c>
      <c r="F1611" s="13">
        <v>6</v>
      </c>
      <c r="G1611" s="14">
        <v>1777.21</v>
      </c>
      <c r="H1611" t="s">
        <v>2541</v>
      </c>
      <c r="I1611">
        <v>7</v>
      </c>
    </row>
    <row r="1612" spans="1:9" ht="15.6" x14ac:dyDescent="0.3">
      <c r="A1612" s="9">
        <v>1611</v>
      </c>
      <c r="B1612" s="2" t="s">
        <v>1617</v>
      </c>
      <c r="C1612" s="11">
        <v>26</v>
      </c>
      <c r="D1612" s="12">
        <v>83.333333333333343</v>
      </c>
      <c r="E1612" s="12" t="s">
        <v>8220</v>
      </c>
      <c r="F1612" s="13">
        <v>6</v>
      </c>
      <c r="G1612" s="14">
        <v>1817.2400000000002</v>
      </c>
      <c r="H1612" t="s">
        <v>1517</v>
      </c>
      <c r="I1612">
        <v>7</v>
      </c>
    </row>
    <row r="1613" spans="1:9" ht="15.6" x14ac:dyDescent="0.3">
      <c r="A1613" s="9">
        <v>1612</v>
      </c>
      <c r="B1613" s="2" t="s">
        <v>1618</v>
      </c>
      <c r="C1613" s="11">
        <v>20</v>
      </c>
      <c r="D1613" s="12">
        <v>66.666666666666657</v>
      </c>
      <c r="E1613" s="12" t="s">
        <v>8220</v>
      </c>
      <c r="F1613" s="13">
        <v>6</v>
      </c>
      <c r="G1613" s="14">
        <v>1792.2199999999998</v>
      </c>
      <c r="H1613" t="s">
        <v>493</v>
      </c>
      <c r="I1613">
        <v>6</v>
      </c>
    </row>
    <row r="1614" spans="1:9" ht="15.6" x14ac:dyDescent="0.3">
      <c r="A1614" s="9">
        <v>1613</v>
      </c>
      <c r="B1614" s="2" t="s">
        <v>1619</v>
      </c>
      <c r="C1614" s="11">
        <v>22</v>
      </c>
      <c r="D1614" s="12">
        <v>50</v>
      </c>
      <c r="E1614" s="12" t="s">
        <v>8219</v>
      </c>
      <c r="F1614" s="13">
        <v>6</v>
      </c>
      <c r="G1614" s="14">
        <v>1776.2199999999998</v>
      </c>
      <c r="H1614" t="s">
        <v>3309</v>
      </c>
      <c r="I1614">
        <v>6</v>
      </c>
    </row>
    <row r="1615" spans="1:9" ht="15.6" x14ac:dyDescent="0.3">
      <c r="A1615" s="9">
        <v>1614</v>
      </c>
      <c r="B1615" s="2" t="s">
        <v>1620</v>
      </c>
      <c r="C1615" s="11">
        <v>20</v>
      </c>
      <c r="D1615" s="12">
        <v>66.666666666666657</v>
      </c>
      <c r="E1615" s="12" t="s">
        <v>8220</v>
      </c>
      <c r="F1615" s="13">
        <v>6</v>
      </c>
      <c r="G1615" s="14">
        <v>1752.19</v>
      </c>
      <c r="H1615" t="s">
        <v>2285</v>
      </c>
      <c r="I1615">
        <v>6</v>
      </c>
    </row>
    <row r="1616" spans="1:9" ht="15.6" x14ac:dyDescent="0.3">
      <c r="A1616" s="9">
        <v>1615</v>
      </c>
      <c r="B1616" s="2" t="s">
        <v>1621</v>
      </c>
      <c r="C1616" s="11">
        <v>20</v>
      </c>
      <c r="D1616" s="12">
        <v>66.666666666666657</v>
      </c>
      <c r="E1616" s="12" t="s">
        <v>8220</v>
      </c>
      <c r="F1616" s="13">
        <v>6</v>
      </c>
      <c r="G1616" s="14">
        <v>1792.2199999999998</v>
      </c>
      <c r="H1616" t="s">
        <v>1261</v>
      </c>
      <c r="I1616">
        <v>6</v>
      </c>
    </row>
    <row r="1617" spans="1:9" ht="15.6" x14ac:dyDescent="0.3">
      <c r="A1617" s="9">
        <v>1616</v>
      </c>
      <c r="B1617" s="2" t="s">
        <v>1622</v>
      </c>
      <c r="C1617" s="11">
        <v>14</v>
      </c>
      <c r="D1617" s="12">
        <v>50</v>
      </c>
      <c r="E1617" s="12" t="s">
        <v>8219</v>
      </c>
      <c r="F1617" s="13">
        <v>6</v>
      </c>
      <c r="G1617" s="14">
        <v>1767.1999999999998</v>
      </c>
      <c r="H1617" t="s">
        <v>237</v>
      </c>
      <c r="I1617">
        <v>5</v>
      </c>
    </row>
    <row r="1618" spans="1:9" ht="15.6" x14ac:dyDescent="0.3">
      <c r="A1618" s="9">
        <v>1617</v>
      </c>
      <c r="B1618" s="2" t="s">
        <v>1623</v>
      </c>
      <c r="C1618" s="11">
        <v>28</v>
      </c>
      <c r="D1618" s="12">
        <v>66.666666666666657</v>
      </c>
      <c r="E1618" s="12" t="s">
        <v>8220</v>
      </c>
      <c r="F1618" s="13">
        <v>6</v>
      </c>
      <c r="G1618" s="14">
        <v>1761.21</v>
      </c>
      <c r="H1618" t="s">
        <v>4013</v>
      </c>
      <c r="I1618">
        <v>7</v>
      </c>
    </row>
    <row r="1619" spans="1:9" ht="15.6" x14ac:dyDescent="0.3">
      <c r="A1619" s="9">
        <v>1618</v>
      </c>
      <c r="B1619" s="2" t="s">
        <v>1624</v>
      </c>
      <c r="C1619" s="11">
        <v>26</v>
      </c>
      <c r="D1619" s="12">
        <v>83.333333333333343</v>
      </c>
      <c r="E1619" s="12" t="s">
        <v>8220</v>
      </c>
      <c r="F1619" s="13">
        <v>6</v>
      </c>
      <c r="G1619" s="14">
        <v>1737.1799999999998</v>
      </c>
      <c r="H1619" t="s">
        <v>2989</v>
      </c>
      <c r="I1619">
        <v>7</v>
      </c>
    </row>
    <row r="1620" spans="1:9" ht="15.6" x14ac:dyDescent="0.3">
      <c r="A1620" s="9">
        <v>1619</v>
      </c>
      <c r="B1620" s="2" t="s">
        <v>1625</v>
      </c>
      <c r="C1620" s="11">
        <v>26</v>
      </c>
      <c r="D1620" s="12">
        <v>83.333333333333343</v>
      </c>
      <c r="E1620" s="12" t="s">
        <v>8220</v>
      </c>
      <c r="F1620" s="13">
        <v>6</v>
      </c>
      <c r="G1620" s="14">
        <v>1777.21</v>
      </c>
      <c r="H1620" t="s">
        <v>1965</v>
      </c>
      <c r="I1620">
        <v>7</v>
      </c>
    </row>
    <row r="1621" spans="1:9" ht="15.6" x14ac:dyDescent="0.3">
      <c r="A1621" s="9">
        <v>1620</v>
      </c>
      <c r="B1621" s="2" t="s">
        <v>1626</v>
      </c>
      <c r="C1621" s="11">
        <v>20</v>
      </c>
      <c r="D1621" s="12">
        <v>66.666666666666657</v>
      </c>
      <c r="E1621" s="12" t="s">
        <v>8220</v>
      </c>
      <c r="F1621" s="13">
        <v>6</v>
      </c>
      <c r="G1621" s="14">
        <v>1752.19</v>
      </c>
      <c r="H1621" t="s">
        <v>941</v>
      </c>
      <c r="I1621">
        <v>6</v>
      </c>
    </row>
    <row r="1622" spans="1:9" ht="15.6" x14ac:dyDescent="0.3">
      <c r="A1622" s="9">
        <v>1621</v>
      </c>
      <c r="B1622" s="2" t="s">
        <v>1627</v>
      </c>
      <c r="C1622" s="11">
        <v>26</v>
      </c>
      <c r="D1622" s="12">
        <v>83.333333333333343</v>
      </c>
      <c r="E1622" s="12" t="s">
        <v>8220</v>
      </c>
      <c r="F1622" s="13">
        <v>6</v>
      </c>
      <c r="G1622" s="14">
        <v>1737.1799999999998</v>
      </c>
      <c r="H1622" t="s">
        <v>3757</v>
      </c>
      <c r="I1622">
        <v>7</v>
      </c>
    </row>
    <row r="1623" spans="1:9" ht="15.6" x14ac:dyDescent="0.3">
      <c r="A1623" s="9">
        <v>1622</v>
      </c>
      <c r="B1623" s="2" t="s">
        <v>1628</v>
      </c>
      <c r="C1623" s="11">
        <v>24</v>
      </c>
      <c r="D1623" s="12">
        <v>100</v>
      </c>
      <c r="E1623" s="12" t="s">
        <v>8220</v>
      </c>
      <c r="F1623" s="13">
        <v>6</v>
      </c>
      <c r="G1623" s="14">
        <v>1713.15</v>
      </c>
      <c r="H1623" t="s">
        <v>2733</v>
      </c>
      <c r="I1623">
        <v>6</v>
      </c>
    </row>
    <row r="1624" spans="1:9" ht="15.6" x14ac:dyDescent="0.3">
      <c r="A1624" s="9">
        <v>1623</v>
      </c>
      <c r="B1624" s="2" t="s">
        <v>1629</v>
      </c>
      <c r="C1624" s="11">
        <v>24</v>
      </c>
      <c r="D1624" s="12">
        <v>100</v>
      </c>
      <c r="E1624" s="12" t="s">
        <v>8220</v>
      </c>
      <c r="F1624" s="13">
        <v>6</v>
      </c>
      <c r="G1624" s="14">
        <v>1753.1799999999998</v>
      </c>
      <c r="H1624" t="s">
        <v>1709</v>
      </c>
      <c r="I1624">
        <v>6</v>
      </c>
    </row>
    <row r="1625" spans="1:9" ht="15.6" x14ac:dyDescent="0.3">
      <c r="A1625" s="9">
        <v>1624</v>
      </c>
      <c r="B1625" s="2" t="s">
        <v>1630</v>
      </c>
      <c r="C1625" s="11">
        <v>18</v>
      </c>
      <c r="D1625" s="12">
        <v>83.333333333333343</v>
      </c>
      <c r="E1625" s="12" t="s">
        <v>8220</v>
      </c>
      <c r="F1625" s="13">
        <v>6</v>
      </c>
      <c r="G1625" s="14">
        <v>1728.1599999999999</v>
      </c>
      <c r="H1625" t="s">
        <v>685</v>
      </c>
      <c r="I1625">
        <v>5</v>
      </c>
    </row>
    <row r="1626" spans="1:9" ht="15.6" x14ac:dyDescent="0.3">
      <c r="A1626" s="9">
        <v>1625</v>
      </c>
      <c r="B1626" s="2" t="s">
        <v>1631</v>
      </c>
      <c r="C1626" s="11">
        <v>26</v>
      </c>
      <c r="D1626" s="12">
        <v>83.333333333333343</v>
      </c>
      <c r="E1626" s="12" t="s">
        <v>8220</v>
      </c>
      <c r="F1626" s="13">
        <v>6</v>
      </c>
      <c r="G1626" s="14">
        <v>1777.21</v>
      </c>
      <c r="H1626" t="s">
        <v>3501</v>
      </c>
      <c r="I1626">
        <v>7</v>
      </c>
    </row>
    <row r="1627" spans="1:9" ht="15.6" x14ac:dyDescent="0.3">
      <c r="A1627" s="9">
        <v>1626</v>
      </c>
      <c r="B1627" s="2" t="s">
        <v>1632</v>
      </c>
      <c r="C1627" s="11">
        <v>24</v>
      </c>
      <c r="D1627" s="12">
        <v>100</v>
      </c>
      <c r="E1627" s="12" t="s">
        <v>8220</v>
      </c>
      <c r="F1627" s="13">
        <v>6</v>
      </c>
      <c r="G1627" s="14">
        <v>1753.1799999999998</v>
      </c>
      <c r="H1627" t="s">
        <v>2477</v>
      </c>
      <c r="I1627">
        <v>6</v>
      </c>
    </row>
    <row r="1628" spans="1:9" ht="15.6" x14ac:dyDescent="0.3">
      <c r="A1628" s="9">
        <v>1627</v>
      </c>
      <c r="B1628" s="2" t="s">
        <v>1633</v>
      </c>
      <c r="C1628" s="11">
        <v>24</v>
      </c>
      <c r="D1628" s="12">
        <v>100</v>
      </c>
      <c r="E1628" s="12" t="s">
        <v>8220</v>
      </c>
      <c r="F1628" s="13">
        <v>6</v>
      </c>
      <c r="G1628" s="14">
        <v>1793.21</v>
      </c>
      <c r="H1628" t="s">
        <v>1453</v>
      </c>
      <c r="I1628">
        <v>6</v>
      </c>
    </row>
    <row r="1629" spans="1:9" ht="15.6" x14ac:dyDescent="0.3">
      <c r="A1629" s="9">
        <v>1628</v>
      </c>
      <c r="B1629" s="2" t="s">
        <v>1634</v>
      </c>
      <c r="C1629" s="11">
        <v>18</v>
      </c>
      <c r="D1629" s="12">
        <v>83.333333333333343</v>
      </c>
      <c r="E1629" s="12" t="s">
        <v>8220</v>
      </c>
      <c r="F1629" s="13">
        <v>6</v>
      </c>
      <c r="G1629" s="14">
        <v>1768.19</v>
      </c>
      <c r="H1629" t="s">
        <v>429</v>
      </c>
      <c r="I1629">
        <v>5</v>
      </c>
    </row>
    <row r="1630" spans="1:9" ht="15.6" x14ac:dyDescent="0.3">
      <c r="A1630" s="9">
        <v>1629</v>
      </c>
      <c r="B1630" s="2" t="s">
        <v>1635</v>
      </c>
      <c r="C1630" s="11">
        <v>20</v>
      </c>
      <c r="D1630" s="12">
        <v>66.666666666666657</v>
      </c>
      <c r="E1630" s="12" t="s">
        <v>8220</v>
      </c>
      <c r="F1630" s="13">
        <v>6</v>
      </c>
      <c r="G1630" s="14">
        <v>1752.19</v>
      </c>
      <c r="H1630" t="s">
        <v>3245</v>
      </c>
      <c r="I1630">
        <v>6</v>
      </c>
    </row>
    <row r="1631" spans="1:9" ht="15.6" x14ac:dyDescent="0.3">
      <c r="A1631" s="9">
        <v>1630</v>
      </c>
      <c r="B1631" s="2" t="s">
        <v>1636</v>
      </c>
      <c r="C1631" s="11">
        <v>18</v>
      </c>
      <c r="D1631" s="12">
        <v>83.333333333333343</v>
      </c>
      <c r="E1631" s="12" t="s">
        <v>8220</v>
      </c>
      <c r="F1631" s="13">
        <v>6</v>
      </c>
      <c r="G1631" s="14">
        <v>1728.1599999999999</v>
      </c>
      <c r="H1631" t="s">
        <v>2221</v>
      </c>
      <c r="I1631">
        <v>5</v>
      </c>
    </row>
    <row r="1632" spans="1:9" ht="15.6" x14ac:dyDescent="0.3">
      <c r="A1632" s="9">
        <v>1631</v>
      </c>
      <c r="B1632" s="2" t="s">
        <v>1637</v>
      </c>
      <c r="C1632" s="11">
        <v>18</v>
      </c>
      <c r="D1632" s="12">
        <v>83.333333333333343</v>
      </c>
      <c r="E1632" s="12" t="s">
        <v>8220</v>
      </c>
      <c r="F1632" s="13">
        <v>6</v>
      </c>
      <c r="G1632" s="14">
        <v>1768.19</v>
      </c>
      <c r="H1632" t="s">
        <v>1197</v>
      </c>
      <c r="I1632">
        <v>5</v>
      </c>
    </row>
    <row r="1633" spans="1:9" ht="15.6" x14ac:dyDescent="0.3">
      <c r="A1633" s="9">
        <v>1632</v>
      </c>
      <c r="B1633" s="2" t="s">
        <v>1638</v>
      </c>
      <c r="C1633" s="11">
        <v>12</v>
      </c>
      <c r="D1633" s="12">
        <v>66.666666666666657</v>
      </c>
      <c r="E1633" s="12" t="s">
        <v>8220</v>
      </c>
      <c r="F1633" s="13">
        <v>6</v>
      </c>
      <c r="G1633" s="14">
        <v>1743.17</v>
      </c>
      <c r="H1633" t="s">
        <v>173</v>
      </c>
      <c r="I1633">
        <v>4</v>
      </c>
    </row>
    <row r="1634" spans="1:9" ht="15.6" x14ac:dyDescent="0.3">
      <c r="A1634" s="9">
        <v>1633</v>
      </c>
      <c r="B1634" s="2" t="s">
        <v>1639</v>
      </c>
      <c r="C1634" s="11">
        <v>28</v>
      </c>
      <c r="D1634" s="12">
        <v>66.666666666666657</v>
      </c>
      <c r="E1634" s="12" t="s">
        <v>8220</v>
      </c>
      <c r="F1634" s="13">
        <v>6</v>
      </c>
      <c r="G1634" s="14">
        <v>1801.2399999999998</v>
      </c>
      <c r="H1634" t="s">
        <v>3949</v>
      </c>
      <c r="I1634">
        <v>7</v>
      </c>
    </row>
    <row r="1635" spans="1:9" ht="15.6" x14ac:dyDescent="0.3">
      <c r="A1635" s="9">
        <v>1634</v>
      </c>
      <c r="B1635" s="2" t="s">
        <v>1640</v>
      </c>
      <c r="C1635" s="11">
        <v>26</v>
      </c>
      <c r="D1635" s="12">
        <v>83.333333333333343</v>
      </c>
      <c r="E1635" s="12" t="s">
        <v>8220</v>
      </c>
      <c r="F1635" s="13">
        <v>6</v>
      </c>
      <c r="G1635" s="14">
        <v>1777.21</v>
      </c>
      <c r="H1635" t="s">
        <v>2925</v>
      </c>
      <c r="I1635">
        <v>7</v>
      </c>
    </row>
    <row r="1636" spans="1:9" ht="15.6" x14ac:dyDescent="0.3">
      <c r="A1636" s="9">
        <v>1635</v>
      </c>
      <c r="B1636" s="2" t="s">
        <v>1641</v>
      </c>
      <c r="C1636" s="11">
        <v>26</v>
      </c>
      <c r="D1636" s="12">
        <v>83.333333333333343</v>
      </c>
      <c r="E1636" s="12" t="s">
        <v>8220</v>
      </c>
      <c r="F1636" s="13">
        <v>6</v>
      </c>
      <c r="G1636" s="14">
        <v>1817.2400000000002</v>
      </c>
      <c r="H1636" t="s">
        <v>1901</v>
      </c>
      <c r="I1636">
        <v>7</v>
      </c>
    </row>
    <row r="1637" spans="1:9" ht="15.6" x14ac:dyDescent="0.3">
      <c r="A1637" s="9">
        <v>1636</v>
      </c>
      <c r="B1637" s="2" t="s">
        <v>1642</v>
      </c>
      <c r="C1637" s="11">
        <v>20</v>
      </c>
      <c r="D1637" s="12">
        <v>66.666666666666657</v>
      </c>
      <c r="E1637" s="12" t="s">
        <v>8220</v>
      </c>
      <c r="F1637" s="13">
        <v>6</v>
      </c>
      <c r="G1637" s="14">
        <v>1792.2199999999998</v>
      </c>
      <c r="H1637" t="s">
        <v>877</v>
      </c>
      <c r="I1637">
        <v>6</v>
      </c>
    </row>
    <row r="1638" spans="1:9" ht="15.6" x14ac:dyDescent="0.3">
      <c r="A1638" s="9">
        <v>1637</v>
      </c>
      <c r="B1638" s="2" t="s">
        <v>1643</v>
      </c>
      <c r="C1638" s="11">
        <v>26</v>
      </c>
      <c r="D1638" s="12">
        <v>83.333333333333343</v>
      </c>
      <c r="E1638" s="12" t="s">
        <v>8220</v>
      </c>
      <c r="F1638" s="13">
        <v>6</v>
      </c>
      <c r="G1638" s="14">
        <v>1777.21</v>
      </c>
      <c r="H1638" t="s">
        <v>3693</v>
      </c>
      <c r="I1638">
        <v>7</v>
      </c>
    </row>
    <row r="1639" spans="1:9" ht="15.6" x14ac:dyDescent="0.3">
      <c r="A1639" s="9">
        <v>1638</v>
      </c>
      <c r="B1639" s="2" t="s">
        <v>1644</v>
      </c>
      <c r="C1639" s="11">
        <v>24</v>
      </c>
      <c r="D1639" s="12">
        <v>100</v>
      </c>
      <c r="E1639" s="12" t="s">
        <v>8220</v>
      </c>
      <c r="F1639" s="13">
        <v>6</v>
      </c>
      <c r="G1639" s="14">
        <v>1753.1799999999998</v>
      </c>
      <c r="H1639" t="s">
        <v>2669</v>
      </c>
      <c r="I1639">
        <v>6</v>
      </c>
    </row>
    <row r="1640" spans="1:9" ht="15.6" x14ac:dyDescent="0.3">
      <c r="A1640" s="9">
        <v>1639</v>
      </c>
      <c r="B1640" s="2" t="s">
        <v>1645</v>
      </c>
      <c r="C1640" s="11">
        <v>24</v>
      </c>
      <c r="D1640" s="12">
        <v>100</v>
      </c>
      <c r="E1640" s="12" t="s">
        <v>8220</v>
      </c>
      <c r="F1640" s="13">
        <v>6</v>
      </c>
      <c r="G1640" s="14">
        <v>1793.21</v>
      </c>
      <c r="H1640" t="s">
        <v>1645</v>
      </c>
      <c r="I1640">
        <v>6</v>
      </c>
    </row>
    <row r="1641" spans="1:9" ht="15.6" x14ac:dyDescent="0.3">
      <c r="A1641" s="9">
        <v>1640</v>
      </c>
      <c r="B1641" s="2" t="s">
        <v>1646</v>
      </c>
      <c r="C1641" s="11">
        <v>18</v>
      </c>
      <c r="D1641" s="12">
        <v>83.333333333333343</v>
      </c>
      <c r="E1641" s="12" t="s">
        <v>8220</v>
      </c>
      <c r="F1641" s="13">
        <v>6</v>
      </c>
      <c r="G1641" s="14">
        <v>1768.19</v>
      </c>
      <c r="H1641" t="s">
        <v>621</v>
      </c>
      <c r="I1641">
        <v>5</v>
      </c>
    </row>
    <row r="1642" spans="1:9" ht="15.6" x14ac:dyDescent="0.3">
      <c r="A1642" s="9">
        <v>1641</v>
      </c>
      <c r="B1642" s="2" t="s">
        <v>1647</v>
      </c>
      <c r="C1642" s="11">
        <v>26</v>
      </c>
      <c r="D1642" s="12">
        <v>83.333333333333343</v>
      </c>
      <c r="E1642" s="12" t="s">
        <v>8220</v>
      </c>
      <c r="F1642" s="13">
        <v>6</v>
      </c>
      <c r="G1642" s="14">
        <v>1817.2400000000002</v>
      </c>
      <c r="H1642" t="s">
        <v>3437</v>
      </c>
      <c r="I1642">
        <v>7</v>
      </c>
    </row>
    <row r="1643" spans="1:9" ht="15.6" x14ac:dyDescent="0.3">
      <c r="A1643" s="9">
        <v>1642</v>
      </c>
      <c r="B1643" s="2" t="s">
        <v>1648</v>
      </c>
      <c r="C1643" s="11">
        <v>24</v>
      </c>
      <c r="D1643" s="12">
        <v>100</v>
      </c>
      <c r="E1643" s="12" t="s">
        <v>8220</v>
      </c>
      <c r="F1643" s="13">
        <v>6</v>
      </c>
      <c r="G1643" s="14">
        <v>1793.21</v>
      </c>
      <c r="H1643" t="s">
        <v>2413</v>
      </c>
      <c r="I1643">
        <v>6</v>
      </c>
    </row>
    <row r="1644" spans="1:9" ht="15.6" x14ac:dyDescent="0.3">
      <c r="A1644" s="9">
        <v>1643</v>
      </c>
      <c r="B1644" s="2" t="s">
        <v>1649</v>
      </c>
      <c r="C1644" s="11">
        <v>24</v>
      </c>
      <c r="D1644" s="12">
        <v>100</v>
      </c>
      <c r="E1644" s="12" t="s">
        <v>8220</v>
      </c>
      <c r="F1644" s="13">
        <v>6</v>
      </c>
      <c r="G1644" s="14">
        <v>1833.2400000000002</v>
      </c>
      <c r="H1644" t="s">
        <v>1389</v>
      </c>
      <c r="I1644">
        <v>6</v>
      </c>
    </row>
    <row r="1645" spans="1:9" ht="15.6" x14ac:dyDescent="0.3">
      <c r="A1645" s="9">
        <v>1644</v>
      </c>
      <c r="B1645" s="2" t="s">
        <v>1650</v>
      </c>
      <c r="C1645" s="11">
        <v>18</v>
      </c>
      <c r="D1645" s="12">
        <v>83.333333333333343</v>
      </c>
      <c r="E1645" s="12" t="s">
        <v>8220</v>
      </c>
      <c r="F1645" s="13">
        <v>6</v>
      </c>
      <c r="G1645" s="14">
        <v>1808.2200000000003</v>
      </c>
      <c r="H1645" t="s">
        <v>365</v>
      </c>
      <c r="I1645">
        <v>5</v>
      </c>
    </row>
    <row r="1646" spans="1:9" ht="15.6" x14ac:dyDescent="0.3">
      <c r="A1646" s="9">
        <v>1645</v>
      </c>
      <c r="B1646" s="2" t="s">
        <v>1651</v>
      </c>
      <c r="C1646" s="11">
        <v>20</v>
      </c>
      <c r="D1646" s="12">
        <v>66.666666666666657</v>
      </c>
      <c r="E1646" s="12" t="s">
        <v>8220</v>
      </c>
      <c r="F1646" s="13">
        <v>6</v>
      </c>
      <c r="G1646" s="14">
        <v>1792.2199999999998</v>
      </c>
      <c r="H1646" t="s">
        <v>3181</v>
      </c>
      <c r="I1646">
        <v>6</v>
      </c>
    </row>
    <row r="1647" spans="1:9" ht="15.6" x14ac:dyDescent="0.3">
      <c r="A1647" s="9">
        <v>1646</v>
      </c>
      <c r="B1647" s="2" t="s">
        <v>1652</v>
      </c>
      <c r="C1647" s="11">
        <v>18</v>
      </c>
      <c r="D1647" s="12">
        <v>83.333333333333343</v>
      </c>
      <c r="E1647" s="12" t="s">
        <v>8220</v>
      </c>
      <c r="F1647" s="13">
        <v>6</v>
      </c>
      <c r="G1647" s="14">
        <v>1768.19</v>
      </c>
      <c r="H1647" t="s">
        <v>2157</v>
      </c>
      <c r="I1647">
        <v>5</v>
      </c>
    </row>
    <row r="1648" spans="1:9" ht="15.6" x14ac:dyDescent="0.3">
      <c r="A1648" s="9">
        <v>1647</v>
      </c>
      <c r="B1648" s="2" t="s">
        <v>1653</v>
      </c>
      <c r="C1648" s="11">
        <v>18</v>
      </c>
      <c r="D1648" s="12">
        <v>83.333333333333343</v>
      </c>
      <c r="E1648" s="12" t="s">
        <v>8220</v>
      </c>
      <c r="F1648" s="13">
        <v>6</v>
      </c>
      <c r="G1648" s="14">
        <v>1808.2200000000003</v>
      </c>
      <c r="H1648" t="s">
        <v>1133</v>
      </c>
      <c r="I1648">
        <v>5</v>
      </c>
    </row>
    <row r="1649" spans="1:9" ht="15.6" x14ac:dyDescent="0.3">
      <c r="A1649" s="9">
        <v>1648</v>
      </c>
      <c r="B1649" s="2" t="s">
        <v>1654</v>
      </c>
      <c r="C1649" s="11">
        <v>12</v>
      </c>
      <c r="D1649" s="12">
        <v>66.666666666666657</v>
      </c>
      <c r="E1649" s="12" t="s">
        <v>8220</v>
      </c>
      <c r="F1649" s="13">
        <v>6</v>
      </c>
      <c r="G1649" s="14">
        <v>1783.1999999999998</v>
      </c>
      <c r="H1649" t="s">
        <v>109</v>
      </c>
      <c r="I1649">
        <v>4</v>
      </c>
    </row>
    <row r="1650" spans="1:9" ht="15.6" x14ac:dyDescent="0.3">
      <c r="A1650" s="9">
        <v>1649</v>
      </c>
      <c r="B1650" s="2" t="s">
        <v>1655</v>
      </c>
      <c r="C1650" s="11">
        <v>22</v>
      </c>
      <c r="D1650" s="12">
        <v>50</v>
      </c>
      <c r="E1650" s="12" t="s">
        <v>8219</v>
      </c>
      <c r="F1650" s="13">
        <v>6</v>
      </c>
      <c r="G1650" s="14">
        <v>1776.2199999999998</v>
      </c>
      <c r="H1650" t="s">
        <v>3885</v>
      </c>
      <c r="I1650">
        <v>6</v>
      </c>
    </row>
    <row r="1651" spans="1:9" ht="15.6" x14ac:dyDescent="0.3">
      <c r="A1651" s="9">
        <v>1650</v>
      </c>
      <c r="B1651" s="2" t="s">
        <v>1656</v>
      </c>
      <c r="C1651" s="11">
        <v>20</v>
      </c>
      <c r="D1651" s="12">
        <v>66.666666666666657</v>
      </c>
      <c r="E1651" s="12" t="s">
        <v>8220</v>
      </c>
      <c r="F1651" s="13">
        <v>6</v>
      </c>
      <c r="G1651" s="14">
        <v>1752.19</v>
      </c>
      <c r="H1651" t="s">
        <v>2861</v>
      </c>
      <c r="I1651">
        <v>6</v>
      </c>
    </row>
    <row r="1652" spans="1:9" ht="15.6" x14ac:dyDescent="0.3">
      <c r="A1652" s="9">
        <v>1651</v>
      </c>
      <c r="B1652" s="2" t="s">
        <v>1657</v>
      </c>
      <c r="C1652" s="11">
        <v>20</v>
      </c>
      <c r="D1652" s="12">
        <v>66.666666666666657</v>
      </c>
      <c r="E1652" s="12" t="s">
        <v>8220</v>
      </c>
      <c r="F1652" s="13">
        <v>6</v>
      </c>
      <c r="G1652" s="14">
        <v>1792.2199999999998</v>
      </c>
      <c r="H1652" t="s">
        <v>1837</v>
      </c>
      <c r="I1652">
        <v>6</v>
      </c>
    </row>
    <row r="1653" spans="1:9" ht="15.6" x14ac:dyDescent="0.3">
      <c r="A1653" s="9">
        <v>1652</v>
      </c>
      <c r="B1653" s="2" t="s">
        <v>1658</v>
      </c>
      <c r="C1653" s="11">
        <v>14</v>
      </c>
      <c r="D1653" s="12">
        <v>50</v>
      </c>
      <c r="E1653" s="12" t="s">
        <v>8219</v>
      </c>
      <c r="F1653" s="13">
        <v>6</v>
      </c>
      <c r="G1653" s="14">
        <v>1767.1999999999998</v>
      </c>
      <c r="H1653" t="s">
        <v>813</v>
      </c>
      <c r="I1653">
        <v>5</v>
      </c>
    </row>
    <row r="1654" spans="1:9" ht="15.6" x14ac:dyDescent="0.3">
      <c r="A1654" s="9">
        <v>1653</v>
      </c>
      <c r="B1654" s="2" t="s">
        <v>1659</v>
      </c>
      <c r="C1654" s="11">
        <v>20</v>
      </c>
      <c r="D1654" s="12">
        <v>66.666666666666657</v>
      </c>
      <c r="E1654" s="12" t="s">
        <v>8220</v>
      </c>
      <c r="F1654" s="13">
        <v>6</v>
      </c>
      <c r="G1654" s="14">
        <v>1752.19</v>
      </c>
      <c r="H1654" t="s">
        <v>3629</v>
      </c>
      <c r="I1654">
        <v>6</v>
      </c>
    </row>
    <row r="1655" spans="1:9" ht="15.6" x14ac:dyDescent="0.3">
      <c r="A1655" s="9">
        <v>1654</v>
      </c>
      <c r="B1655" s="2" t="s">
        <v>1660</v>
      </c>
      <c r="C1655" s="11">
        <v>18</v>
      </c>
      <c r="D1655" s="12">
        <v>83.333333333333343</v>
      </c>
      <c r="E1655" s="12" t="s">
        <v>8220</v>
      </c>
      <c r="F1655" s="13">
        <v>6</v>
      </c>
      <c r="G1655" s="14">
        <v>1728.1599999999999</v>
      </c>
      <c r="H1655" t="s">
        <v>2605</v>
      </c>
      <c r="I1655">
        <v>5</v>
      </c>
    </row>
    <row r="1656" spans="1:9" ht="15.6" x14ac:dyDescent="0.3">
      <c r="A1656" s="9">
        <v>1655</v>
      </c>
      <c r="B1656" s="2" t="s">
        <v>1661</v>
      </c>
      <c r="C1656" s="11">
        <v>18</v>
      </c>
      <c r="D1656" s="12">
        <v>83.333333333333343</v>
      </c>
      <c r="E1656" s="12" t="s">
        <v>8220</v>
      </c>
      <c r="F1656" s="13">
        <v>6</v>
      </c>
      <c r="G1656" s="14">
        <v>1768.19</v>
      </c>
      <c r="H1656" t="s">
        <v>1581</v>
      </c>
      <c r="I1656">
        <v>5</v>
      </c>
    </row>
    <row r="1657" spans="1:9" ht="15.6" x14ac:dyDescent="0.3">
      <c r="A1657" s="9">
        <v>1656</v>
      </c>
      <c r="B1657" s="2" t="s">
        <v>1662</v>
      </c>
      <c r="C1657" s="11">
        <v>12</v>
      </c>
      <c r="D1657" s="12">
        <v>66.666666666666657</v>
      </c>
      <c r="E1657" s="12" t="s">
        <v>8220</v>
      </c>
      <c r="F1657" s="13">
        <v>6</v>
      </c>
      <c r="G1657" s="14">
        <v>1743.17</v>
      </c>
      <c r="H1657" t="s">
        <v>557</v>
      </c>
      <c r="I1657">
        <v>4</v>
      </c>
    </row>
    <row r="1658" spans="1:9" ht="15.6" x14ac:dyDescent="0.3">
      <c r="A1658" s="9">
        <v>1657</v>
      </c>
      <c r="B1658" s="2" t="s">
        <v>1663</v>
      </c>
      <c r="C1658" s="11">
        <v>20</v>
      </c>
      <c r="D1658" s="12">
        <v>66.666666666666657</v>
      </c>
      <c r="E1658" s="12" t="s">
        <v>8220</v>
      </c>
      <c r="F1658" s="13">
        <v>6</v>
      </c>
      <c r="G1658" s="14">
        <v>1792.2199999999998</v>
      </c>
      <c r="H1658" t="s">
        <v>3373</v>
      </c>
      <c r="I1658">
        <v>6</v>
      </c>
    </row>
    <row r="1659" spans="1:9" ht="15.6" x14ac:dyDescent="0.3">
      <c r="A1659" s="9">
        <v>1658</v>
      </c>
      <c r="B1659" s="2" t="s">
        <v>1664</v>
      </c>
      <c r="C1659" s="11">
        <v>18</v>
      </c>
      <c r="D1659" s="12">
        <v>83.333333333333343</v>
      </c>
      <c r="E1659" s="12" t="s">
        <v>8220</v>
      </c>
      <c r="F1659" s="13">
        <v>6</v>
      </c>
      <c r="G1659" s="14">
        <v>1768.19</v>
      </c>
      <c r="H1659" t="s">
        <v>2349</v>
      </c>
      <c r="I1659">
        <v>5</v>
      </c>
    </row>
    <row r="1660" spans="1:9" ht="15.6" x14ac:dyDescent="0.3">
      <c r="A1660" s="9">
        <v>1659</v>
      </c>
      <c r="B1660" s="2" t="s">
        <v>1665</v>
      </c>
      <c r="C1660" s="11">
        <v>18</v>
      </c>
      <c r="D1660" s="12">
        <v>83.333333333333343</v>
      </c>
      <c r="E1660" s="12" t="s">
        <v>8220</v>
      </c>
      <c r="F1660" s="13">
        <v>6</v>
      </c>
      <c r="G1660" s="14">
        <v>1808.2200000000003</v>
      </c>
      <c r="H1660" t="s">
        <v>1325</v>
      </c>
      <c r="I1660">
        <v>5</v>
      </c>
    </row>
    <row r="1661" spans="1:9" ht="15.6" x14ac:dyDescent="0.3">
      <c r="A1661" s="9">
        <v>1660</v>
      </c>
      <c r="B1661" s="2" t="s">
        <v>1666</v>
      </c>
      <c r="C1661" s="11">
        <v>12</v>
      </c>
      <c r="D1661" s="12">
        <v>66.666666666666657</v>
      </c>
      <c r="E1661" s="12" t="s">
        <v>8220</v>
      </c>
      <c r="F1661" s="13">
        <v>6</v>
      </c>
      <c r="G1661" s="14">
        <v>1783.1999999999998</v>
      </c>
      <c r="H1661" t="s">
        <v>301</v>
      </c>
      <c r="I1661">
        <v>4</v>
      </c>
    </row>
    <row r="1662" spans="1:9" ht="15.6" x14ac:dyDescent="0.3">
      <c r="A1662" s="9">
        <v>1661</v>
      </c>
      <c r="B1662" s="2" t="s">
        <v>1667</v>
      </c>
      <c r="C1662" s="11">
        <v>14</v>
      </c>
      <c r="D1662" s="12">
        <v>50</v>
      </c>
      <c r="E1662" s="12" t="s">
        <v>8219</v>
      </c>
      <c r="F1662" s="13">
        <v>6</v>
      </c>
      <c r="G1662" s="14">
        <v>1767.1999999999998</v>
      </c>
      <c r="H1662" t="s">
        <v>3117</v>
      </c>
      <c r="I1662">
        <v>5</v>
      </c>
    </row>
    <row r="1663" spans="1:9" ht="15.6" x14ac:dyDescent="0.3">
      <c r="A1663" s="9">
        <v>1662</v>
      </c>
      <c r="B1663" s="2" t="s">
        <v>1668</v>
      </c>
      <c r="C1663" s="11">
        <v>12</v>
      </c>
      <c r="D1663" s="12">
        <v>66.666666666666657</v>
      </c>
      <c r="E1663" s="12" t="s">
        <v>8220</v>
      </c>
      <c r="F1663" s="13">
        <v>6</v>
      </c>
      <c r="G1663" s="14">
        <v>1743.17</v>
      </c>
      <c r="H1663" t="s">
        <v>2093</v>
      </c>
      <c r="I1663">
        <v>4</v>
      </c>
    </row>
    <row r="1664" spans="1:9" ht="15.6" x14ac:dyDescent="0.3">
      <c r="A1664" s="9">
        <v>1663</v>
      </c>
      <c r="B1664" s="2" t="s">
        <v>1669</v>
      </c>
      <c r="C1664" s="11">
        <v>12</v>
      </c>
      <c r="D1664" s="12">
        <v>66.666666666666657</v>
      </c>
      <c r="E1664" s="12" t="s">
        <v>8220</v>
      </c>
      <c r="F1664" s="13">
        <v>6</v>
      </c>
      <c r="G1664" s="14">
        <v>1783.1999999999998</v>
      </c>
      <c r="H1664" t="s">
        <v>1069</v>
      </c>
      <c r="I1664">
        <v>4</v>
      </c>
    </row>
    <row r="1665" spans="1:9" ht="15.6" x14ac:dyDescent="0.3">
      <c r="A1665" s="9">
        <v>1664</v>
      </c>
      <c r="B1665" s="2" t="s">
        <v>1670</v>
      </c>
      <c r="C1665" s="11">
        <v>6</v>
      </c>
      <c r="D1665" s="12">
        <v>50</v>
      </c>
      <c r="E1665" s="12" t="s">
        <v>8219</v>
      </c>
      <c r="F1665" s="13">
        <v>6</v>
      </c>
      <c r="G1665" s="14">
        <v>1758.1799999999998</v>
      </c>
      <c r="H1665" t="s">
        <v>45</v>
      </c>
      <c r="I1665">
        <v>3</v>
      </c>
    </row>
    <row r="1666" spans="1:9" ht="15.6" x14ac:dyDescent="0.3">
      <c r="A1666" s="9">
        <v>1665</v>
      </c>
      <c r="B1666" s="2" t="s">
        <v>1671</v>
      </c>
      <c r="C1666" s="11">
        <v>30</v>
      </c>
      <c r="D1666" s="12">
        <v>50</v>
      </c>
      <c r="E1666" s="12" t="s">
        <v>8219</v>
      </c>
      <c r="F1666" s="13">
        <v>6</v>
      </c>
      <c r="G1666" s="14">
        <v>1825.27</v>
      </c>
      <c r="H1666" t="s">
        <v>4061</v>
      </c>
      <c r="I1666">
        <v>7</v>
      </c>
    </row>
    <row r="1667" spans="1:9" ht="15.6" x14ac:dyDescent="0.3">
      <c r="A1667" s="9">
        <v>1666</v>
      </c>
      <c r="B1667" s="2" t="s">
        <v>1672</v>
      </c>
      <c r="C1667" s="11">
        <v>28</v>
      </c>
      <c r="D1667" s="12">
        <v>66.666666666666657</v>
      </c>
      <c r="E1667" s="12" t="s">
        <v>8220</v>
      </c>
      <c r="F1667" s="13">
        <v>6</v>
      </c>
      <c r="G1667" s="14">
        <v>1801.2399999999998</v>
      </c>
      <c r="H1667" t="s">
        <v>3037</v>
      </c>
      <c r="I1667">
        <v>7</v>
      </c>
    </row>
    <row r="1668" spans="1:9" ht="15.6" x14ac:dyDescent="0.3">
      <c r="A1668" s="9">
        <v>1667</v>
      </c>
      <c r="B1668" s="2" t="s">
        <v>1673</v>
      </c>
      <c r="C1668" s="11">
        <v>28</v>
      </c>
      <c r="D1668" s="12">
        <v>66.666666666666657</v>
      </c>
      <c r="E1668" s="12" t="s">
        <v>8220</v>
      </c>
      <c r="F1668" s="13">
        <v>6</v>
      </c>
      <c r="G1668" s="14">
        <v>1841.27</v>
      </c>
      <c r="H1668" t="s">
        <v>2013</v>
      </c>
      <c r="I1668">
        <v>7</v>
      </c>
    </row>
    <row r="1669" spans="1:9" ht="15.6" x14ac:dyDescent="0.3">
      <c r="A1669" s="9">
        <v>1668</v>
      </c>
      <c r="B1669" s="2" t="s">
        <v>1674</v>
      </c>
      <c r="C1669" s="11">
        <v>22</v>
      </c>
      <c r="D1669" s="12">
        <v>50</v>
      </c>
      <c r="E1669" s="12" t="s">
        <v>8219</v>
      </c>
      <c r="F1669" s="13">
        <v>6</v>
      </c>
      <c r="G1669" s="14">
        <v>1816.25</v>
      </c>
      <c r="H1669" t="s">
        <v>989</v>
      </c>
      <c r="I1669">
        <v>6</v>
      </c>
    </row>
    <row r="1670" spans="1:9" ht="15.6" x14ac:dyDescent="0.3">
      <c r="A1670" s="9">
        <v>1669</v>
      </c>
      <c r="B1670" s="2" t="s">
        <v>1675</v>
      </c>
      <c r="C1670" s="11">
        <v>28</v>
      </c>
      <c r="D1670" s="12">
        <v>66.666666666666657</v>
      </c>
      <c r="E1670" s="12" t="s">
        <v>8220</v>
      </c>
      <c r="F1670" s="13">
        <v>6</v>
      </c>
      <c r="G1670" s="14">
        <v>1801.2399999999998</v>
      </c>
      <c r="H1670" t="s">
        <v>3805</v>
      </c>
      <c r="I1670">
        <v>7</v>
      </c>
    </row>
    <row r="1671" spans="1:9" ht="15.6" x14ac:dyDescent="0.3">
      <c r="A1671" s="9">
        <v>1670</v>
      </c>
      <c r="B1671" s="2" t="s">
        <v>1676</v>
      </c>
      <c r="C1671" s="11">
        <v>26</v>
      </c>
      <c r="D1671" s="12">
        <v>83.333333333333343</v>
      </c>
      <c r="E1671" s="12" t="s">
        <v>8220</v>
      </c>
      <c r="F1671" s="13">
        <v>6</v>
      </c>
      <c r="G1671" s="14">
        <v>1777.21</v>
      </c>
      <c r="H1671" t="s">
        <v>2781</v>
      </c>
      <c r="I1671">
        <v>7</v>
      </c>
    </row>
    <row r="1672" spans="1:9" ht="15.6" x14ac:dyDescent="0.3">
      <c r="A1672" s="9">
        <v>1671</v>
      </c>
      <c r="B1672" s="2" t="s">
        <v>1677</v>
      </c>
      <c r="C1672" s="11">
        <v>26</v>
      </c>
      <c r="D1672" s="12">
        <v>83.333333333333343</v>
      </c>
      <c r="E1672" s="12" t="s">
        <v>8220</v>
      </c>
      <c r="F1672" s="13">
        <v>6</v>
      </c>
      <c r="G1672" s="14">
        <v>1817.2400000000002</v>
      </c>
      <c r="H1672" t="s">
        <v>1757</v>
      </c>
      <c r="I1672">
        <v>7</v>
      </c>
    </row>
    <row r="1673" spans="1:9" ht="15.6" x14ac:dyDescent="0.3">
      <c r="A1673" s="9">
        <v>1672</v>
      </c>
      <c r="B1673" s="2" t="s">
        <v>1678</v>
      </c>
      <c r="C1673" s="11">
        <v>20</v>
      </c>
      <c r="D1673" s="12">
        <v>66.666666666666657</v>
      </c>
      <c r="E1673" s="12" t="s">
        <v>8220</v>
      </c>
      <c r="F1673" s="13">
        <v>6</v>
      </c>
      <c r="G1673" s="14">
        <v>1792.2199999999998</v>
      </c>
      <c r="H1673" t="s">
        <v>733</v>
      </c>
      <c r="I1673">
        <v>6</v>
      </c>
    </row>
    <row r="1674" spans="1:9" ht="15.6" x14ac:dyDescent="0.3">
      <c r="A1674" s="9">
        <v>1673</v>
      </c>
      <c r="B1674" s="2" t="s">
        <v>1679</v>
      </c>
      <c r="C1674" s="11">
        <v>28</v>
      </c>
      <c r="D1674" s="12">
        <v>66.666666666666657</v>
      </c>
      <c r="E1674" s="12" t="s">
        <v>8220</v>
      </c>
      <c r="F1674" s="13">
        <v>6</v>
      </c>
      <c r="G1674" s="14">
        <v>1841.27</v>
      </c>
      <c r="H1674" t="s">
        <v>3549</v>
      </c>
      <c r="I1674">
        <v>7</v>
      </c>
    </row>
    <row r="1675" spans="1:9" ht="15.6" x14ac:dyDescent="0.3">
      <c r="A1675" s="9">
        <v>1674</v>
      </c>
      <c r="B1675" s="2" t="s">
        <v>1680</v>
      </c>
      <c r="C1675" s="11">
        <v>26</v>
      </c>
      <c r="D1675" s="12">
        <v>83.333333333333343</v>
      </c>
      <c r="E1675" s="12" t="s">
        <v>8220</v>
      </c>
      <c r="F1675" s="13">
        <v>6</v>
      </c>
      <c r="G1675" s="14">
        <v>1817.2400000000002</v>
      </c>
      <c r="H1675" t="s">
        <v>2525</v>
      </c>
      <c r="I1675">
        <v>7</v>
      </c>
    </row>
    <row r="1676" spans="1:9" ht="15.6" x14ac:dyDescent="0.3">
      <c r="A1676" s="9">
        <v>1675</v>
      </c>
      <c r="B1676" s="2" t="s">
        <v>1681</v>
      </c>
      <c r="C1676" s="11">
        <v>26</v>
      </c>
      <c r="D1676" s="12">
        <v>83.333333333333343</v>
      </c>
      <c r="E1676" s="12" t="s">
        <v>8220</v>
      </c>
      <c r="F1676" s="13">
        <v>6</v>
      </c>
      <c r="G1676" s="14">
        <v>1857.27</v>
      </c>
      <c r="H1676" t="s">
        <v>1501</v>
      </c>
      <c r="I1676">
        <v>7</v>
      </c>
    </row>
    <row r="1677" spans="1:9" ht="15.6" x14ac:dyDescent="0.3">
      <c r="A1677" s="9">
        <v>1676</v>
      </c>
      <c r="B1677" s="2" t="s">
        <v>1682</v>
      </c>
      <c r="C1677" s="11">
        <v>20</v>
      </c>
      <c r="D1677" s="12">
        <v>66.666666666666657</v>
      </c>
      <c r="E1677" s="12" t="s">
        <v>8220</v>
      </c>
      <c r="F1677" s="13">
        <v>6</v>
      </c>
      <c r="G1677" s="14">
        <v>1832.25</v>
      </c>
      <c r="H1677" t="s">
        <v>477</v>
      </c>
      <c r="I1677">
        <v>6</v>
      </c>
    </row>
    <row r="1678" spans="1:9" ht="15.6" x14ac:dyDescent="0.3">
      <c r="A1678" s="9">
        <v>1677</v>
      </c>
      <c r="B1678" s="2" t="s">
        <v>1683</v>
      </c>
      <c r="C1678" s="11">
        <v>22</v>
      </c>
      <c r="D1678" s="12">
        <v>50</v>
      </c>
      <c r="E1678" s="12" t="s">
        <v>8219</v>
      </c>
      <c r="F1678" s="13">
        <v>6</v>
      </c>
      <c r="G1678" s="14">
        <v>1816.25</v>
      </c>
      <c r="H1678" t="s">
        <v>3293</v>
      </c>
      <c r="I1678">
        <v>6</v>
      </c>
    </row>
    <row r="1679" spans="1:9" ht="15.6" x14ac:dyDescent="0.3">
      <c r="A1679" s="9">
        <v>1678</v>
      </c>
      <c r="B1679" s="2" t="s">
        <v>1684</v>
      </c>
      <c r="C1679" s="11">
        <v>20</v>
      </c>
      <c r="D1679" s="12">
        <v>66.666666666666657</v>
      </c>
      <c r="E1679" s="12" t="s">
        <v>8220</v>
      </c>
      <c r="F1679" s="13">
        <v>6</v>
      </c>
      <c r="G1679" s="14">
        <v>1792.2199999999998</v>
      </c>
      <c r="H1679" t="s">
        <v>2269</v>
      </c>
      <c r="I1679">
        <v>6</v>
      </c>
    </row>
    <row r="1680" spans="1:9" ht="15.6" x14ac:dyDescent="0.3">
      <c r="A1680" s="9">
        <v>1679</v>
      </c>
      <c r="B1680" s="2" t="s">
        <v>1685</v>
      </c>
      <c r="C1680" s="11">
        <v>20</v>
      </c>
      <c r="D1680" s="12">
        <v>66.666666666666657</v>
      </c>
      <c r="E1680" s="12" t="s">
        <v>8220</v>
      </c>
      <c r="F1680" s="13">
        <v>6</v>
      </c>
      <c r="G1680" s="14">
        <v>1832.25</v>
      </c>
      <c r="H1680" t="s">
        <v>1245</v>
      </c>
      <c r="I1680">
        <v>6</v>
      </c>
    </row>
    <row r="1681" spans="1:9" ht="15.6" x14ac:dyDescent="0.3">
      <c r="A1681" s="9">
        <v>1680</v>
      </c>
      <c r="B1681" s="2" t="s">
        <v>1686</v>
      </c>
      <c r="C1681" s="11">
        <v>14</v>
      </c>
      <c r="D1681" s="12">
        <v>50</v>
      </c>
      <c r="E1681" s="12" t="s">
        <v>8219</v>
      </c>
      <c r="F1681" s="13">
        <v>6</v>
      </c>
      <c r="G1681" s="14">
        <v>1807.23</v>
      </c>
      <c r="H1681" t="s">
        <v>221</v>
      </c>
      <c r="I1681">
        <v>5</v>
      </c>
    </row>
    <row r="1682" spans="1:9" ht="15.6" x14ac:dyDescent="0.3">
      <c r="A1682" s="9">
        <v>1681</v>
      </c>
      <c r="B1682" s="2" t="s">
        <v>1687</v>
      </c>
      <c r="C1682" s="11">
        <v>28</v>
      </c>
      <c r="D1682" s="12">
        <v>66.666666666666657</v>
      </c>
      <c r="E1682" s="12" t="s">
        <v>8220</v>
      </c>
      <c r="F1682" s="13">
        <v>6</v>
      </c>
      <c r="G1682" s="14">
        <v>1801.2399999999998</v>
      </c>
      <c r="H1682" t="s">
        <v>3997</v>
      </c>
      <c r="I1682">
        <v>7</v>
      </c>
    </row>
    <row r="1683" spans="1:9" ht="15.6" x14ac:dyDescent="0.3">
      <c r="A1683" s="9">
        <v>1682</v>
      </c>
      <c r="B1683" s="2" t="s">
        <v>1688</v>
      </c>
      <c r="C1683" s="11">
        <v>26</v>
      </c>
      <c r="D1683" s="12">
        <v>83.333333333333343</v>
      </c>
      <c r="E1683" s="12" t="s">
        <v>8220</v>
      </c>
      <c r="F1683" s="13">
        <v>6</v>
      </c>
      <c r="G1683" s="14">
        <v>1777.21</v>
      </c>
      <c r="H1683" t="s">
        <v>2973</v>
      </c>
      <c r="I1683">
        <v>7</v>
      </c>
    </row>
    <row r="1684" spans="1:9" ht="15.6" x14ac:dyDescent="0.3">
      <c r="A1684" s="9">
        <v>1683</v>
      </c>
      <c r="B1684" s="2" t="s">
        <v>1689</v>
      </c>
      <c r="C1684" s="11">
        <v>26</v>
      </c>
      <c r="D1684" s="12">
        <v>83.333333333333343</v>
      </c>
      <c r="E1684" s="12" t="s">
        <v>8220</v>
      </c>
      <c r="F1684" s="13">
        <v>6</v>
      </c>
      <c r="G1684" s="14">
        <v>1817.2400000000002</v>
      </c>
      <c r="H1684" t="s">
        <v>1949</v>
      </c>
      <c r="I1684">
        <v>7</v>
      </c>
    </row>
    <row r="1685" spans="1:9" ht="15.6" x14ac:dyDescent="0.3">
      <c r="A1685" s="9">
        <v>1684</v>
      </c>
      <c r="B1685" s="2" t="s">
        <v>1690</v>
      </c>
      <c r="C1685" s="11">
        <v>20</v>
      </c>
      <c r="D1685" s="12">
        <v>66.666666666666657</v>
      </c>
      <c r="E1685" s="12" t="s">
        <v>8220</v>
      </c>
      <c r="F1685" s="13">
        <v>6</v>
      </c>
      <c r="G1685" s="14">
        <v>1792.2199999999998</v>
      </c>
      <c r="H1685" t="s">
        <v>925</v>
      </c>
      <c r="I1685">
        <v>6</v>
      </c>
    </row>
    <row r="1686" spans="1:9" ht="15.6" x14ac:dyDescent="0.3">
      <c r="A1686" s="9">
        <v>1685</v>
      </c>
      <c r="B1686" s="2" t="s">
        <v>1691</v>
      </c>
      <c r="C1686" s="11">
        <v>26</v>
      </c>
      <c r="D1686" s="12">
        <v>83.333333333333343</v>
      </c>
      <c r="E1686" s="12" t="s">
        <v>8220</v>
      </c>
      <c r="F1686" s="13">
        <v>6</v>
      </c>
      <c r="G1686" s="14">
        <v>1777.21</v>
      </c>
      <c r="H1686" t="s">
        <v>3741</v>
      </c>
      <c r="I1686">
        <v>7</v>
      </c>
    </row>
    <row r="1687" spans="1:9" ht="15.6" x14ac:dyDescent="0.3">
      <c r="A1687" s="9">
        <v>1686</v>
      </c>
      <c r="B1687" s="2" t="s">
        <v>1692</v>
      </c>
      <c r="C1687" s="11">
        <v>24</v>
      </c>
      <c r="D1687" s="12">
        <v>100</v>
      </c>
      <c r="E1687" s="12" t="s">
        <v>8220</v>
      </c>
      <c r="F1687" s="13">
        <v>6</v>
      </c>
      <c r="G1687" s="14">
        <v>1753.1799999999998</v>
      </c>
      <c r="H1687" t="s">
        <v>2717</v>
      </c>
      <c r="I1687">
        <v>6</v>
      </c>
    </row>
    <row r="1688" spans="1:9" ht="15.6" x14ac:dyDescent="0.3">
      <c r="A1688" s="9">
        <v>1687</v>
      </c>
      <c r="B1688" s="2" t="s">
        <v>1693</v>
      </c>
      <c r="C1688" s="11">
        <v>24</v>
      </c>
      <c r="D1688" s="12">
        <v>100</v>
      </c>
      <c r="E1688" s="12" t="s">
        <v>8220</v>
      </c>
      <c r="F1688" s="13">
        <v>6</v>
      </c>
      <c r="G1688" s="14">
        <v>1793.21</v>
      </c>
      <c r="H1688" t="s">
        <v>1693</v>
      </c>
      <c r="I1688">
        <v>6</v>
      </c>
    </row>
    <row r="1689" spans="1:9" ht="15.6" x14ac:dyDescent="0.3">
      <c r="A1689" s="9">
        <v>1688</v>
      </c>
      <c r="B1689" s="2" t="s">
        <v>1694</v>
      </c>
      <c r="C1689" s="11">
        <v>18</v>
      </c>
      <c r="D1689" s="12">
        <v>83.333333333333343</v>
      </c>
      <c r="E1689" s="12" t="s">
        <v>8220</v>
      </c>
      <c r="F1689" s="13">
        <v>6</v>
      </c>
      <c r="G1689" s="14">
        <v>1768.19</v>
      </c>
      <c r="H1689" t="s">
        <v>669</v>
      </c>
      <c r="I1689">
        <v>5</v>
      </c>
    </row>
    <row r="1690" spans="1:9" ht="15.6" x14ac:dyDescent="0.3">
      <c r="A1690" s="9">
        <v>1689</v>
      </c>
      <c r="B1690" s="2" t="s">
        <v>1695</v>
      </c>
      <c r="C1690" s="11">
        <v>26</v>
      </c>
      <c r="D1690" s="12">
        <v>83.333333333333343</v>
      </c>
      <c r="E1690" s="12" t="s">
        <v>8220</v>
      </c>
      <c r="F1690" s="13">
        <v>6</v>
      </c>
      <c r="G1690" s="14">
        <v>1817.2400000000002</v>
      </c>
      <c r="H1690" t="s">
        <v>3485</v>
      </c>
      <c r="I1690">
        <v>7</v>
      </c>
    </row>
    <row r="1691" spans="1:9" ht="15.6" x14ac:dyDescent="0.3">
      <c r="A1691" s="9">
        <v>1690</v>
      </c>
      <c r="B1691" s="2" t="s">
        <v>1696</v>
      </c>
      <c r="C1691" s="11">
        <v>24</v>
      </c>
      <c r="D1691" s="12">
        <v>100</v>
      </c>
      <c r="E1691" s="12" t="s">
        <v>8220</v>
      </c>
      <c r="F1691" s="13">
        <v>6</v>
      </c>
      <c r="G1691" s="14">
        <v>1793.21</v>
      </c>
      <c r="H1691" t="s">
        <v>2461</v>
      </c>
      <c r="I1691">
        <v>6</v>
      </c>
    </row>
    <row r="1692" spans="1:9" ht="15.6" x14ac:dyDescent="0.3">
      <c r="A1692" s="9">
        <v>1691</v>
      </c>
      <c r="B1692" s="2" t="s">
        <v>1697</v>
      </c>
      <c r="C1692" s="11">
        <v>24</v>
      </c>
      <c r="D1692" s="12">
        <v>100</v>
      </c>
      <c r="E1692" s="12" t="s">
        <v>8220</v>
      </c>
      <c r="F1692" s="13">
        <v>6</v>
      </c>
      <c r="G1692" s="14">
        <v>1833.2400000000002</v>
      </c>
      <c r="H1692" t="s">
        <v>1437</v>
      </c>
      <c r="I1692">
        <v>6</v>
      </c>
    </row>
    <row r="1693" spans="1:9" ht="15.6" x14ac:dyDescent="0.3">
      <c r="A1693" s="9">
        <v>1692</v>
      </c>
      <c r="B1693" s="2" t="s">
        <v>1698</v>
      </c>
      <c r="C1693" s="11">
        <v>18</v>
      </c>
      <c r="D1693" s="12">
        <v>83.333333333333343</v>
      </c>
      <c r="E1693" s="12" t="s">
        <v>8220</v>
      </c>
      <c r="F1693" s="13">
        <v>6</v>
      </c>
      <c r="G1693" s="14">
        <v>1808.2200000000003</v>
      </c>
      <c r="H1693" t="s">
        <v>413</v>
      </c>
      <c r="I1693">
        <v>5</v>
      </c>
    </row>
    <row r="1694" spans="1:9" ht="15.6" x14ac:dyDescent="0.3">
      <c r="A1694" s="9">
        <v>1693</v>
      </c>
      <c r="B1694" s="2" t="s">
        <v>1699</v>
      </c>
      <c r="C1694" s="11">
        <v>20</v>
      </c>
      <c r="D1694" s="12">
        <v>66.666666666666657</v>
      </c>
      <c r="E1694" s="12" t="s">
        <v>8220</v>
      </c>
      <c r="F1694" s="13">
        <v>6</v>
      </c>
      <c r="G1694" s="14">
        <v>1792.2199999999998</v>
      </c>
      <c r="H1694" t="s">
        <v>3229</v>
      </c>
      <c r="I1694">
        <v>6</v>
      </c>
    </row>
    <row r="1695" spans="1:9" ht="15.6" x14ac:dyDescent="0.3">
      <c r="A1695" s="9">
        <v>1694</v>
      </c>
      <c r="B1695" s="2" t="s">
        <v>1700</v>
      </c>
      <c r="C1695" s="11">
        <v>18</v>
      </c>
      <c r="D1695" s="12">
        <v>83.333333333333343</v>
      </c>
      <c r="E1695" s="12" t="s">
        <v>8220</v>
      </c>
      <c r="F1695" s="13">
        <v>6</v>
      </c>
      <c r="G1695" s="14">
        <v>1768.19</v>
      </c>
      <c r="H1695" t="s">
        <v>2205</v>
      </c>
      <c r="I1695">
        <v>5</v>
      </c>
    </row>
    <row r="1696" spans="1:9" ht="15.6" x14ac:dyDescent="0.3">
      <c r="A1696" s="9">
        <v>1695</v>
      </c>
      <c r="B1696" s="2" t="s">
        <v>1701</v>
      </c>
      <c r="C1696" s="11">
        <v>18</v>
      </c>
      <c r="D1696" s="12">
        <v>83.333333333333343</v>
      </c>
      <c r="E1696" s="12" t="s">
        <v>8220</v>
      </c>
      <c r="F1696" s="13">
        <v>6</v>
      </c>
      <c r="G1696" s="14">
        <v>1808.2200000000003</v>
      </c>
      <c r="H1696" t="s">
        <v>1181</v>
      </c>
      <c r="I1696">
        <v>5</v>
      </c>
    </row>
    <row r="1697" spans="1:9" ht="15.6" x14ac:dyDescent="0.3">
      <c r="A1697" s="9">
        <v>1696</v>
      </c>
      <c r="B1697" s="2" t="s">
        <v>1702</v>
      </c>
      <c r="C1697" s="11">
        <v>12</v>
      </c>
      <c r="D1697" s="12">
        <v>66.666666666666657</v>
      </c>
      <c r="E1697" s="12" t="s">
        <v>8220</v>
      </c>
      <c r="F1697" s="13">
        <v>6</v>
      </c>
      <c r="G1697" s="14">
        <v>1783.1999999999998</v>
      </c>
      <c r="H1697" t="s">
        <v>157</v>
      </c>
      <c r="I1697">
        <v>4</v>
      </c>
    </row>
    <row r="1698" spans="1:9" ht="15.6" x14ac:dyDescent="0.3">
      <c r="A1698" s="9">
        <v>1697</v>
      </c>
      <c r="B1698" s="2" t="s">
        <v>1703</v>
      </c>
      <c r="C1698" s="11">
        <v>28</v>
      </c>
      <c r="D1698" s="12">
        <v>66.666666666666657</v>
      </c>
      <c r="E1698" s="12" t="s">
        <v>8220</v>
      </c>
      <c r="F1698" s="13">
        <v>6</v>
      </c>
      <c r="G1698" s="14">
        <v>1841.27</v>
      </c>
      <c r="H1698" t="s">
        <v>3933</v>
      </c>
      <c r="I1698">
        <v>7</v>
      </c>
    </row>
    <row r="1699" spans="1:9" ht="15.6" x14ac:dyDescent="0.3">
      <c r="A1699" s="9">
        <v>1698</v>
      </c>
      <c r="B1699" s="2" t="s">
        <v>1704</v>
      </c>
      <c r="C1699" s="11">
        <v>26</v>
      </c>
      <c r="D1699" s="12">
        <v>83.333333333333343</v>
      </c>
      <c r="E1699" s="12" t="s">
        <v>8220</v>
      </c>
      <c r="F1699" s="13">
        <v>6</v>
      </c>
      <c r="G1699" s="14">
        <v>1817.2400000000002</v>
      </c>
      <c r="H1699" t="s">
        <v>2909</v>
      </c>
      <c r="I1699">
        <v>7</v>
      </c>
    </row>
    <row r="1700" spans="1:9" ht="15.6" x14ac:dyDescent="0.3">
      <c r="A1700" s="9">
        <v>1699</v>
      </c>
      <c r="B1700" s="2" t="s">
        <v>1705</v>
      </c>
      <c r="C1700" s="11">
        <v>26</v>
      </c>
      <c r="D1700" s="12">
        <v>83.333333333333343</v>
      </c>
      <c r="E1700" s="12" t="s">
        <v>8220</v>
      </c>
      <c r="F1700" s="13">
        <v>6</v>
      </c>
      <c r="G1700" s="14">
        <v>1857.27</v>
      </c>
      <c r="H1700" t="s">
        <v>1885</v>
      </c>
      <c r="I1700">
        <v>7</v>
      </c>
    </row>
    <row r="1701" spans="1:9" ht="15.6" x14ac:dyDescent="0.3">
      <c r="A1701" s="9">
        <v>1700</v>
      </c>
      <c r="B1701" s="2" t="s">
        <v>1706</v>
      </c>
      <c r="C1701" s="11">
        <v>20</v>
      </c>
      <c r="D1701" s="12">
        <v>66.666666666666657</v>
      </c>
      <c r="E1701" s="12" t="s">
        <v>8220</v>
      </c>
      <c r="F1701" s="13">
        <v>6</v>
      </c>
      <c r="G1701" s="14">
        <v>1832.25</v>
      </c>
      <c r="H1701" t="s">
        <v>861</v>
      </c>
      <c r="I1701">
        <v>6</v>
      </c>
    </row>
    <row r="1702" spans="1:9" ht="15.6" x14ac:dyDescent="0.3">
      <c r="A1702" s="9">
        <v>1701</v>
      </c>
      <c r="B1702" s="2" t="s">
        <v>1707</v>
      </c>
      <c r="C1702" s="11">
        <v>26</v>
      </c>
      <c r="D1702" s="12">
        <v>83.333333333333343</v>
      </c>
      <c r="E1702" s="12" t="s">
        <v>8220</v>
      </c>
      <c r="F1702" s="13">
        <v>6</v>
      </c>
      <c r="G1702" s="14">
        <v>1817.2400000000002</v>
      </c>
      <c r="H1702" t="s">
        <v>3677</v>
      </c>
      <c r="I1702">
        <v>7</v>
      </c>
    </row>
    <row r="1703" spans="1:9" ht="15.6" x14ac:dyDescent="0.3">
      <c r="A1703" s="9">
        <v>1702</v>
      </c>
      <c r="B1703" s="2" t="s">
        <v>1708</v>
      </c>
      <c r="C1703" s="11">
        <v>24</v>
      </c>
      <c r="D1703" s="12">
        <v>100</v>
      </c>
      <c r="E1703" s="12" t="s">
        <v>8220</v>
      </c>
      <c r="F1703" s="13">
        <v>6</v>
      </c>
      <c r="G1703" s="14">
        <v>1793.21</v>
      </c>
      <c r="H1703" t="s">
        <v>2653</v>
      </c>
      <c r="I1703">
        <v>6</v>
      </c>
    </row>
    <row r="1704" spans="1:9" ht="15.6" x14ac:dyDescent="0.3">
      <c r="A1704" s="9">
        <v>1703</v>
      </c>
      <c r="B1704" s="2" t="s">
        <v>1709</v>
      </c>
      <c r="C1704" s="11">
        <v>24</v>
      </c>
      <c r="D1704" s="12">
        <v>100</v>
      </c>
      <c r="E1704" s="12" t="s">
        <v>8220</v>
      </c>
      <c r="F1704" s="13">
        <v>6</v>
      </c>
      <c r="G1704" s="14">
        <v>1833.2400000000002</v>
      </c>
      <c r="H1704" t="s">
        <v>1629</v>
      </c>
      <c r="I1704">
        <v>6</v>
      </c>
    </row>
    <row r="1705" spans="1:9" ht="15.6" x14ac:dyDescent="0.3">
      <c r="A1705" s="9">
        <v>1704</v>
      </c>
      <c r="B1705" s="2" t="s">
        <v>1710</v>
      </c>
      <c r="C1705" s="11">
        <v>18</v>
      </c>
      <c r="D1705" s="12">
        <v>83.333333333333343</v>
      </c>
      <c r="E1705" s="12" t="s">
        <v>8220</v>
      </c>
      <c r="F1705" s="13">
        <v>6</v>
      </c>
      <c r="G1705" s="14">
        <v>1808.2200000000003</v>
      </c>
      <c r="H1705" t="s">
        <v>605</v>
      </c>
      <c r="I1705">
        <v>5</v>
      </c>
    </row>
    <row r="1706" spans="1:9" ht="15.6" x14ac:dyDescent="0.3">
      <c r="A1706" s="9">
        <v>1705</v>
      </c>
      <c r="B1706" s="2" t="s">
        <v>1711</v>
      </c>
      <c r="C1706" s="11">
        <v>26</v>
      </c>
      <c r="D1706" s="12">
        <v>83.333333333333343</v>
      </c>
      <c r="E1706" s="12" t="s">
        <v>8220</v>
      </c>
      <c r="F1706" s="13">
        <v>6</v>
      </c>
      <c r="G1706" s="14">
        <v>1857.27</v>
      </c>
      <c r="H1706" t="s">
        <v>3421</v>
      </c>
      <c r="I1706">
        <v>7</v>
      </c>
    </row>
    <row r="1707" spans="1:9" ht="15.6" x14ac:dyDescent="0.3">
      <c r="A1707" s="9">
        <v>1706</v>
      </c>
      <c r="B1707" s="2" t="s">
        <v>1712</v>
      </c>
      <c r="C1707" s="11">
        <v>24</v>
      </c>
      <c r="D1707" s="12">
        <v>100</v>
      </c>
      <c r="E1707" s="12" t="s">
        <v>8220</v>
      </c>
      <c r="F1707" s="13">
        <v>6</v>
      </c>
      <c r="G1707" s="14">
        <v>1833.2400000000002</v>
      </c>
      <c r="H1707" t="s">
        <v>2397</v>
      </c>
      <c r="I1707">
        <v>6</v>
      </c>
    </row>
    <row r="1708" spans="1:9" ht="15.6" x14ac:dyDescent="0.3">
      <c r="A1708" s="9">
        <v>1707</v>
      </c>
      <c r="B1708" s="2" t="s">
        <v>1713</v>
      </c>
      <c r="C1708" s="11">
        <v>24</v>
      </c>
      <c r="D1708" s="12">
        <v>100</v>
      </c>
      <c r="E1708" s="12" t="s">
        <v>8220</v>
      </c>
      <c r="F1708" s="13">
        <v>6</v>
      </c>
      <c r="G1708" s="14">
        <v>1873.27</v>
      </c>
      <c r="H1708" t="s">
        <v>1373</v>
      </c>
      <c r="I1708">
        <v>6</v>
      </c>
    </row>
    <row r="1709" spans="1:9" ht="15.6" x14ac:dyDescent="0.3">
      <c r="A1709" s="9">
        <v>1708</v>
      </c>
      <c r="B1709" s="2" t="s">
        <v>1714</v>
      </c>
      <c r="C1709" s="11">
        <v>18</v>
      </c>
      <c r="D1709" s="12">
        <v>83.333333333333343</v>
      </c>
      <c r="E1709" s="12" t="s">
        <v>8220</v>
      </c>
      <c r="F1709" s="13">
        <v>6</v>
      </c>
      <c r="G1709" s="14">
        <v>1848.25</v>
      </c>
      <c r="H1709" t="s">
        <v>349</v>
      </c>
      <c r="I1709">
        <v>5</v>
      </c>
    </row>
    <row r="1710" spans="1:9" ht="15.6" x14ac:dyDescent="0.3">
      <c r="A1710" s="9">
        <v>1709</v>
      </c>
      <c r="B1710" s="2" t="s">
        <v>1715</v>
      </c>
      <c r="C1710" s="11">
        <v>20</v>
      </c>
      <c r="D1710" s="12">
        <v>66.666666666666657</v>
      </c>
      <c r="E1710" s="12" t="s">
        <v>8220</v>
      </c>
      <c r="F1710" s="13">
        <v>6</v>
      </c>
      <c r="G1710" s="14">
        <v>1832.25</v>
      </c>
      <c r="H1710" t="s">
        <v>3165</v>
      </c>
      <c r="I1710">
        <v>6</v>
      </c>
    </row>
    <row r="1711" spans="1:9" ht="15.6" x14ac:dyDescent="0.3">
      <c r="A1711" s="9">
        <v>1710</v>
      </c>
      <c r="B1711" s="2" t="s">
        <v>1716</v>
      </c>
      <c r="C1711" s="11">
        <v>18</v>
      </c>
      <c r="D1711" s="12">
        <v>83.333333333333343</v>
      </c>
      <c r="E1711" s="12" t="s">
        <v>8220</v>
      </c>
      <c r="F1711" s="13">
        <v>6</v>
      </c>
      <c r="G1711" s="14">
        <v>1808.2200000000003</v>
      </c>
      <c r="H1711" t="s">
        <v>2141</v>
      </c>
      <c r="I1711">
        <v>5</v>
      </c>
    </row>
    <row r="1712" spans="1:9" ht="15.6" x14ac:dyDescent="0.3">
      <c r="A1712" s="9">
        <v>1711</v>
      </c>
      <c r="B1712" s="2" t="s">
        <v>1717</v>
      </c>
      <c r="C1712" s="11">
        <v>18</v>
      </c>
      <c r="D1712" s="12">
        <v>83.333333333333343</v>
      </c>
      <c r="E1712" s="12" t="s">
        <v>8220</v>
      </c>
      <c r="F1712" s="13">
        <v>6</v>
      </c>
      <c r="G1712" s="14">
        <v>1848.25</v>
      </c>
      <c r="H1712" t="s">
        <v>1117</v>
      </c>
      <c r="I1712">
        <v>5</v>
      </c>
    </row>
    <row r="1713" spans="1:9" ht="15.6" x14ac:dyDescent="0.3">
      <c r="A1713" s="9">
        <v>1712</v>
      </c>
      <c r="B1713" s="2" t="s">
        <v>1718</v>
      </c>
      <c r="C1713" s="11">
        <v>12</v>
      </c>
      <c r="D1713" s="12">
        <v>66.666666666666657</v>
      </c>
      <c r="E1713" s="12" t="s">
        <v>8220</v>
      </c>
      <c r="F1713" s="13">
        <v>6</v>
      </c>
      <c r="G1713" s="14">
        <v>1823.23</v>
      </c>
      <c r="H1713" t="s">
        <v>93</v>
      </c>
      <c r="I1713">
        <v>4</v>
      </c>
    </row>
    <row r="1714" spans="1:9" ht="15.6" x14ac:dyDescent="0.3">
      <c r="A1714" s="9">
        <v>1713</v>
      </c>
      <c r="B1714" s="2" t="s">
        <v>1719</v>
      </c>
      <c r="C1714" s="11">
        <v>22</v>
      </c>
      <c r="D1714" s="12">
        <v>50</v>
      </c>
      <c r="E1714" s="12" t="s">
        <v>8219</v>
      </c>
      <c r="F1714" s="13">
        <v>6</v>
      </c>
      <c r="G1714" s="14">
        <v>1816.25</v>
      </c>
      <c r="H1714" t="s">
        <v>3869</v>
      </c>
      <c r="I1714">
        <v>6</v>
      </c>
    </row>
    <row r="1715" spans="1:9" ht="15.6" x14ac:dyDescent="0.3">
      <c r="A1715" s="9">
        <v>1714</v>
      </c>
      <c r="B1715" s="2" t="s">
        <v>1720</v>
      </c>
      <c r="C1715" s="11">
        <v>20</v>
      </c>
      <c r="D1715" s="12">
        <v>66.666666666666657</v>
      </c>
      <c r="E1715" s="12" t="s">
        <v>8220</v>
      </c>
      <c r="F1715" s="13">
        <v>6</v>
      </c>
      <c r="G1715" s="14">
        <v>1792.2199999999998</v>
      </c>
      <c r="H1715" t="s">
        <v>2845</v>
      </c>
      <c r="I1715">
        <v>6</v>
      </c>
    </row>
    <row r="1716" spans="1:9" ht="15.6" x14ac:dyDescent="0.3">
      <c r="A1716" s="9">
        <v>1715</v>
      </c>
      <c r="B1716" s="2" t="s">
        <v>1721</v>
      </c>
      <c r="C1716" s="11">
        <v>20</v>
      </c>
      <c r="D1716" s="12">
        <v>66.666666666666657</v>
      </c>
      <c r="E1716" s="12" t="s">
        <v>8220</v>
      </c>
      <c r="F1716" s="13">
        <v>6</v>
      </c>
      <c r="G1716" s="14">
        <v>1832.25</v>
      </c>
      <c r="H1716" t="s">
        <v>1821</v>
      </c>
      <c r="I1716">
        <v>6</v>
      </c>
    </row>
    <row r="1717" spans="1:9" ht="15.6" x14ac:dyDescent="0.3">
      <c r="A1717" s="9">
        <v>1716</v>
      </c>
      <c r="B1717" s="2" t="s">
        <v>1722</v>
      </c>
      <c r="C1717" s="11">
        <v>14</v>
      </c>
      <c r="D1717" s="12">
        <v>50</v>
      </c>
      <c r="E1717" s="12" t="s">
        <v>8219</v>
      </c>
      <c r="F1717" s="13">
        <v>6</v>
      </c>
      <c r="G1717" s="14">
        <v>1807.23</v>
      </c>
      <c r="H1717" t="s">
        <v>797</v>
      </c>
      <c r="I1717">
        <v>5</v>
      </c>
    </row>
    <row r="1718" spans="1:9" ht="15.6" x14ac:dyDescent="0.3">
      <c r="A1718" s="9">
        <v>1717</v>
      </c>
      <c r="B1718" s="2" t="s">
        <v>1723</v>
      </c>
      <c r="C1718" s="11">
        <v>20</v>
      </c>
      <c r="D1718" s="12">
        <v>66.666666666666657</v>
      </c>
      <c r="E1718" s="12" t="s">
        <v>8220</v>
      </c>
      <c r="F1718" s="13">
        <v>6</v>
      </c>
      <c r="G1718" s="14">
        <v>1792.2199999999998</v>
      </c>
      <c r="H1718" t="s">
        <v>3613</v>
      </c>
      <c r="I1718">
        <v>6</v>
      </c>
    </row>
    <row r="1719" spans="1:9" ht="15.6" x14ac:dyDescent="0.3">
      <c r="A1719" s="9">
        <v>1718</v>
      </c>
      <c r="B1719" s="2" t="s">
        <v>1724</v>
      </c>
      <c r="C1719" s="11">
        <v>18</v>
      </c>
      <c r="D1719" s="12">
        <v>83.333333333333343</v>
      </c>
      <c r="E1719" s="12" t="s">
        <v>8220</v>
      </c>
      <c r="F1719" s="13">
        <v>6</v>
      </c>
      <c r="G1719" s="14">
        <v>1768.19</v>
      </c>
      <c r="H1719" t="s">
        <v>2589</v>
      </c>
      <c r="I1719">
        <v>5</v>
      </c>
    </row>
    <row r="1720" spans="1:9" ht="15.6" x14ac:dyDescent="0.3">
      <c r="A1720" s="9">
        <v>1719</v>
      </c>
      <c r="B1720" s="2" t="s">
        <v>1725</v>
      </c>
      <c r="C1720" s="11">
        <v>18</v>
      </c>
      <c r="D1720" s="12">
        <v>83.333333333333343</v>
      </c>
      <c r="E1720" s="12" t="s">
        <v>8220</v>
      </c>
      <c r="F1720" s="13">
        <v>6</v>
      </c>
      <c r="G1720" s="14">
        <v>1808.2200000000003</v>
      </c>
      <c r="H1720" t="s">
        <v>1565</v>
      </c>
      <c r="I1720">
        <v>5</v>
      </c>
    </row>
    <row r="1721" spans="1:9" ht="15.6" x14ac:dyDescent="0.3">
      <c r="A1721" s="9">
        <v>1720</v>
      </c>
      <c r="B1721" s="2" t="s">
        <v>1726</v>
      </c>
      <c r="C1721" s="11">
        <v>12</v>
      </c>
      <c r="D1721" s="12">
        <v>66.666666666666657</v>
      </c>
      <c r="E1721" s="12" t="s">
        <v>8220</v>
      </c>
      <c r="F1721" s="13">
        <v>6</v>
      </c>
      <c r="G1721" s="14">
        <v>1783.1999999999998</v>
      </c>
      <c r="H1721" t="s">
        <v>541</v>
      </c>
      <c r="I1721">
        <v>4</v>
      </c>
    </row>
    <row r="1722" spans="1:9" ht="15.6" x14ac:dyDescent="0.3">
      <c r="A1722" s="9">
        <v>1721</v>
      </c>
      <c r="B1722" s="2" t="s">
        <v>1727</v>
      </c>
      <c r="C1722" s="11">
        <v>20</v>
      </c>
      <c r="D1722" s="12">
        <v>66.666666666666657</v>
      </c>
      <c r="E1722" s="12" t="s">
        <v>8220</v>
      </c>
      <c r="F1722" s="13">
        <v>6</v>
      </c>
      <c r="G1722" s="14">
        <v>1832.25</v>
      </c>
      <c r="H1722" t="s">
        <v>3357</v>
      </c>
      <c r="I1722">
        <v>6</v>
      </c>
    </row>
    <row r="1723" spans="1:9" ht="15.6" x14ac:dyDescent="0.3">
      <c r="A1723" s="9">
        <v>1722</v>
      </c>
      <c r="B1723" s="2" t="s">
        <v>1728</v>
      </c>
      <c r="C1723" s="11">
        <v>18</v>
      </c>
      <c r="D1723" s="12">
        <v>83.333333333333343</v>
      </c>
      <c r="E1723" s="12" t="s">
        <v>8220</v>
      </c>
      <c r="F1723" s="13">
        <v>6</v>
      </c>
      <c r="G1723" s="14">
        <v>1808.2200000000003</v>
      </c>
      <c r="H1723" t="s">
        <v>2333</v>
      </c>
      <c r="I1723">
        <v>5</v>
      </c>
    </row>
    <row r="1724" spans="1:9" ht="15.6" x14ac:dyDescent="0.3">
      <c r="A1724" s="9">
        <v>1723</v>
      </c>
      <c r="B1724" s="2" t="s">
        <v>1729</v>
      </c>
      <c r="C1724" s="11">
        <v>18</v>
      </c>
      <c r="D1724" s="12">
        <v>83.333333333333343</v>
      </c>
      <c r="E1724" s="12" t="s">
        <v>8220</v>
      </c>
      <c r="F1724" s="13">
        <v>6</v>
      </c>
      <c r="G1724" s="14">
        <v>1848.25</v>
      </c>
      <c r="H1724" t="s">
        <v>1309</v>
      </c>
      <c r="I1724">
        <v>5</v>
      </c>
    </row>
    <row r="1725" spans="1:9" ht="15.6" x14ac:dyDescent="0.3">
      <c r="A1725" s="9">
        <v>1724</v>
      </c>
      <c r="B1725" s="2" t="s">
        <v>1730</v>
      </c>
      <c r="C1725" s="11">
        <v>12</v>
      </c>
      <c r="D1725" s="12">
        <v>66.666666666666657</v>
      </c>
      <c r="E1725" s="12" t="s">
        <v>8220</v>
      </c>
      <c r="F1725" s="13">
        <v>6</v>
      </c>
      <c r="G1725" s="14">
        <v>1823.23</v>
      </c>
      <c r="H1725" t="s">
        <v>285</v>
      </c>
      <c r="I1725">
        <v>4</v>
      </c>
    </row>
    <row r="1726" spans="1:9" ht="15.6" x14ac:dyDescent="0.3">
      <c r="A1726" s="9">
        <v>1725</v>
      </c>
      <c r="B1726" s="2" t="s">
        <v>1731</v>
      </c>
      <c r="C1726" s="11">
        <v>14</v>
      </c>
      <c r="D1726" s="12">
        <v>50</v>
      </c>
      <c r="E1726" s="12" t="s">
        <v>8219</v>
      </c>
      <c r="F1726" s="13">
        <v>6</v>
      </c>
      <c r="G1726" s="14">
        <v>1807.23</v>
      </c>
      <c r="H1726" t="s">
        <v>3101</v>
      </c>
      <c r="I1726">
        <v>5</v>
      </c>
    </row>
    <row r="1727" spans="1:9" ht="15.6" x14ac:dyDescent="0.3">
      <c r="A1727" s="9">
        <v>1726</v>
      </c>
      <c r="B1727" s="2" t="s">
        <v>1732</v>
      </c>
      <c r="C1727" s="11">
        <v>12</v>
      </c>
      <c r="D1727" s="12">
        <v>66.666666666666657</v>
      </c>
      <c r="E1727" s="12" t="s">
        <v>8220</v>
      </c>
      <c r="F1727" s="13">
        <v>6</v>
      </c>
      <c r="G1727" s="14">
        <v>1783.1999999999998</v>
      </c>
      <c r="H1727" t="s">
        <v>2077</v>
      </c>
      <c r="I1727">
        <v>4</v>
      </c>
    </row>
    <row r="1728" spans="1:9" ht="15.6" x14ac:dyDescent="0.3">
      <c r="A1728" s="9">
        <v>1727</v>
      </c>
      <c r="B1728" s="2" t="s">
        <v>1733</v>
      </c>
      <c r="C1728" s="11">
        <v>12</v>
      </c>
      <c r="D1728" s="12">
        <v>66.666666666666657</v>
      </c>
      <c r="E1728" s="12" t="s">
        <v>8220</v>
      </c>
      <c r="F1728" s="13">
        <v>6</v>
      </c>
      <c r="G1728" s="14">
        <v>1823.23</v>
      </c>
      <c r="H1728" t="s">
        <v>1053</v>
      </c>
      <c r="I1728">
        <v>4</v>
      </c>
    </row>
    <row r="1729" spans="1:9" ht="15.6" x14ac:dyDescent="0.3">
      <c r="A1729" s="9">
        <v>1728</v>
      </c>
      <c r="B1729" s="2" t="s">
        <v>1734</v>
      </c>
      <c r="C1729" s="11">
        <v>6</v>
      </c>
      <c r="D1729" s="12">
        <v>50</v>
      </c>
      <c r="E1729" s="12" t="s">
        <v>8219</v>
      </c>
      <c r="F1729" s="13">
        <v>6</v>
      </c>
      <c r="G1729" s="14">
        <v>1798.21</v>
      </c>
      <c r="H1729" t="s">
        <v>29</v>
      </c>
      <c r="I1729">
        <v>3</v>
      </c>
    </row>
    <row r="1730" spans="1:9" ht="15.6" x14ac:dyDescent="0.3">
      <c r="A1730" s="9">
        <v>1729</v>
      </c>
      <c r="B1730" s="2" t="s">
        <v>1735</v>
      </c>
      <c r="C1730" s="11">
        <v>24</v>
      </c>
      <c r="D1730" s="12">
        <v>33.333333333333329</v>
      </c>
      <c r="E1730" s="12" t="s">
        <v>8219</v>
      </c>
      <c r="F1730" s="13">
        <v>6</v>
      </c>
      <c r="G1730" s="14">
        <v>1800.25</v>
      </c>
      <c r="H1730" t="s">
        <v>4045</v>
      </c>
      <c r="I1730">
        <v>6</v>
      </c>
    </row>
    <row r="1731" spans="1:9" ht="15.6" x14ac:dyDescent="0.3">
      <c r="A1731" s="9">
        <v>1730</v>
      </c>
      <c r="B1731" s="2" t="s">
        <v>1736</v>
      </c>
      <c r="C1731" s="11">
        <v>22</v>
      </c>
      <c r="D1731" s="12">
        <v>50</v>
      </c>
      <c r="E1731" s="12" t="s">
        <v>8219</v>
      </c>
      <c r="F1731" s="13">
        <v>6</v>
      </c>
      <c r="G1731" s="14">
        <v>1776.2199999999998</v>
      </c>
      <c r="H1731" t="s">
        <v>3021</v>
      </c>
      <c r="I1731">
        <v>6</v>
      </c>
    </row>
    <row r="1732" spans="1:9" ht="15.6" x14ac:dyDescent="0.3">
      <c r="A1732" s="9">
        <v>1731</v>
      </c>
      <c r="B1732" s="2" t="s">
        <v>1737</v>
      </c>
      <c r="C1732" s="11">
        <v>22</v>
      </c>
      <c r="D1732" s="12">
        <v>50</v>
      </c>
      <c r="E1732" s="12" t="s">
        <v>8219</v>
      </c>
      <c r="F1732" s="13">
        <v>6</v>
      </c>
      <c r="G1732" s="14">
        <v>1816.25</v>
      </c>
      <c r="H1732" t="s">
        <v>1997</v>
      </c>
      <c r="I1732">
        <v>6</v>
      </c>
    </row>
    <row r="1733" spans="1:9" ht="15.6" x14ac:dyDescent="0.3">
      <c r="A1733" s="9">
        <v>1732</v>
      </c>
      <c r="B1733" s="2" t="s">
        <v>1738</v>
      </c>
      <c r="C1733" s="11">
        <v>16</v>
      </c>
      <c r="D1733" s="12">
        <v>33.333333333333329</v>
      </c>
      <c r="E1733" s="12" t="s">
        <v>8219</v>
      </c>
      <c r="F1733" s="13">
        <v>6</v>
      </c>
      <c r="G1733" s="14">
        <v>1791.23</v>
      </c>
      <c r="H1733" t="s">
        <v>973</v>
      </c>
      <c r="I1733">
        <v>5</v>
      </c>
    </row>
    <row r="1734" spans="1:9" ht="15.6" x14ac:dyDescent="0.3">
      <c r="A1734" s="9">
        <v>1733</v>
      </c>
      <c r="B1734" s="2" t="s">
        <v>1739</v>
      </c>
      <c r="C1734" s="11">
        <v>22</v>
      </c>
      <c r="D1734" s="12">
        <v>50</v>
      </c>
      <c r="E1734" s="12" t="s">
        <v>8219</v>
      </c>
      <c r="F1734" s="13">
        <v>6</v>
      </c>
      <c r="G1734" s="14">
        <v>1776.2199999999998</v>
      </c>
      <c r="H1734" t="s">
        <v>3789</v>
      </c>
      <c r="I1734">
        <v>6</v>
      </c>
    </row>
    <row r="1735" spans="1:9" ht="15.6" x14ac:dyDescent="0.3">
      <c r="A1735" s="9">
        <v>1734</v>
      </c>
      <c r="B1735" s="2" t="s">
        <v>1740</v>
      </c>
      <c r="C1735" s="11">
        <v>20</v>
      </c>
      <c r="D1735" s="12">
        <v>66.666666666666657</v>
      </c>
      <c r="E1735" s="12" t="s">
        <v>8220</v>
      </c>
      <c r="F1735" s="13">
        <v>6</v>
      </c>
      <c r="G1735" s="14">
        <v>1752.19</v>
      </c>
      <c r="H1735" t="s">
        <v>2765</v>
      </c>
      <c r="I1735">
        <v>6</v>
      </c>
    </row>
    <row r="1736" spans="1:9" ht="15.6" x14ac:dyDescent="0.3">
      <c r="A1736" s="9">
        <v>1735</v>
      </c>
      <c r="B1736" s="2" t="s">
        <v>1741</v>
      </c>
      <c r="C1736" s="11">
        <v>20</v>
      </c>
      <c r="D1736" s="12">
        <v>66.666666666666657</v>
      </c>
      <c r="E1736" s="12" t="s">
        <v>8220</v>
      </c>
      <c r="F1736" s="13">
        <v>6</v>
      </c>
      <c r="G1736" s="14">
        <v>1792.2199999999998</v>
      </c>
      <c r="H1736" t="s">
        <v>1741</v>
      </c>
      <c r="I1736">
        <v>6</v>
      </c>
    </row>
    <row r="1737" spans="1:9" ht="15.6" x14ac:dyDescent="0.3">
      <c r="A1737" s="9">
        <v>1736</v>
      </c>
      <c r="B1737" s="2" t="s">
        <v>1742</v>
      </c>
      <c r="C1737" s="11">
        <v>14</v>
      </c>
      <c r="D1737" s="12">
        <v>50</v>
      </c>
      <c r="E1737" s="12" t="s">
        <v>8219</v>
      </c>
      <c r="F1737" s="13">
        <v>6</v>
      </c>
      <c r="G1737" s="14">
        <v>1767.1999999999998</v>
      </c>
      <c r="H1737" t="s">
        <v>717</v>
      </c>
      <c r="I1737">
        <v>5</v>
      </c>
    </row>
    <row r="1738" spans="1:9" ht="15.6" x14ac:dyDescent="0.3">
      <c r="A1738" s="9">
        <v>1737</v>
      </c>
      <c r="B1738" s="2" t="s">
        <v>1743</v>
      </c>
      <c r="C1738" s="11">
        <v>22</v>
      </c>
      <c r="D1738" s="12">
        <v>50</v>
      </c>
      <c r="E1738" s="12" t="s">
        <v>8219</v>
      </c>
      <c r="F1738" s="13">
        <v>6</v>
      </c>
      <c r="G1738" s="14">
        <v>1816.25</v>
      </c>
      <c r="H1738" t="s">
        <v>3533</v>
      </c>
      <c r="I1738">
        <v>6</v>
      </c>
    </row>
    <row r="1739" spans="1:9" ht="15.6" x14ac:dyDescent="0.3">
      <c r="A1739" s="9">
        <v>1738</v>
      </c>
      <c r="B1739" s="2" t="s">
        <v>1744</v>
      </c>
      <c r="C1739" s="11">
        <v>20</v>
      </c>
      <c r="D1739" s="12">
        <v>66.666666666666657</v>
      </c>
      <c r="E1739" s="12" t="s">
        <v>8220</v>
      </c>
      <c r="F1739" s="13">
        <v>6</v>
      </c>
      <c r="G1739" s="14">
        <v>1792.2199999999998</v>
      </c>
      <c r="H1739" t="s">
        <v>2509</v>
      </c>
      <c r="I1739">
        <v>6</v>
      </c>
    </row>
    <row r="1740" spans="1:9" ht="15.6" x14ac:dyDescent="0.3">
      <c r="A1740" s="9">
        <v>1739</v>
      </c>
      <c r="B1740" s="2" t="s">
        <v>1745</v>
      </c>
      <c r="C1740" s="11">
        <v>20</v>
      </c>
      <c r="D1740" s="12">
        <v>66.666666666666657</v>
      </c>
      <c r="E1740" s="12" t="s">
        <v>8220</v>
      </c>
      <c r="F1740" s="13">
        <v>6</v>
      </c>
      <c r="G1740" s="14">
        <v>1832.25</v>
      </c>
      <c r="H1740" t="s">
        <v>1485</v>
      </c>
      <c r="I1740">
        <v>6</v>
      </c>
    </row>
    <row r="1741" spans="1:9" ht="15.6" x14ac:dyDescent="0.3">
      <c r="A1741" s="9">
        <v>1740</v>
      </c>
      <c r="B1741" s="2" t="s">
        <v>1746</v>
      </c>
      <c r="C1741" s="11">
        <v>14</v>
      </c>
      <c r="D1741" s="12">
        <v>50</v>
      </c>
      <c r="E1741" s="12" t="s">
        <v>8219</v>
      </c>
      <c r="F1741" s="13">
        <v>6</v>
      </c>
      <c r="G1741" s="14">
        <v>1807.23</v>
      </c>
      <c r="H1741" t="s">
        <v>461</v>
      </c>
      <c r="I1741">
        <v>5</v>
      </c>
    </row>
    <row r="1742" spans="1:9" ht="15.6" x14ac:dyDescent="0.3">
      <c r="A1742" s="9">
        <v>1741</v>
      </c>
      <c r="B1742" s="2" t="s">
        <v>1747</v>
      </c>
      <c r="C1742" s="11">
        <v>16</v>
      </c>
      <c r="D1742" s="12">
        <v>33.333333333333329</v>
      </c>
      <c r="E1742" s="12" t="s">
        <v>8219</v>
      </c>
      <c r="F1742" s="13">
        <v>6</v>
      </c>
      <c r="G1742" s="14">
        <v>1791.23</v>
      </c>
      <c r="H1742" t="s">
        <v>3277</v>
      </c>
      <c r="I1742">
        <v>5</v>
      </c>
    </row>
    <row r="1743" spans="1:9" ht="15.6" x14ac:dyDescent="0.3">
      <c r="A1743" s="9">
        <v>1742</v>
      </c>
      <c r="B1743" s="2" t="s">
        <v>1748</v>
      </c>
      <c r="C1743" s="11">
        <v>14</v>
      </c>
      <c r="D1743" s="12">
        <v>50</v>
      </c>
      <c r="E1743" s="12" t="s">
        <v>8219</v>
      </c>
      <c r="F1743" s="13">
        <v>6</v>
      </c>
      <c r="G1743" s="14">
        <v>1767.1999999999998</v>
      </c>
      <c r="H1743" t="s">
        <v>2253</v>
      </c>
      <c r="I1743">
        <v>5</v>
      </c>
    </row>
    <row r="1744" spans="1:9" ht="15.6" x14ac:dyDescent="0.3">
      <c r="A1744" s="9">
        <v>1743</v>
      </c>
      <c r="B1744" s="2" t="s">
        <v>1749</v>
      </c>
      <c r="C1744" s="11">
        <v>14</v>
      </c>
      <c r="D1744" s="12">
        <v>50</v>
      </c>
      <c r="E1744" s="12" t="s">
        <v>8219</v>
      </c>
      <c r="F1744" s="13">
        <v>6</v>
      </c>
      <c r="G1744" s="14">
        <v>1807.23</v>
      </c>
      <c r="H1744" t="s">
        <v>1229</v>
      </c>
      <c r="I1744">
        <v>5</v>
      </c>
    </row>
    <row r="1745" spans="1:9" ht="15.6" x14ac:dyDescent="0.3">
      <c r="A1745" s="9">
        <v>1744</v>
      </c>
      <c r="B1745" s="2" t="s">
        <v>1750</v>
      </c>
      <c r="C1745" s="11">
        <v>8</v>
      </c>
      <c r="D1745" s="12">
        <v>33.333333333333329</v>
      </c>
      <c r="E1745" s="12" t="s">
        <v>8219</v>
      </c>
      <c r="F1745" s="13">
        <v>6</v>
      </c>
      <c r="G1745" s="14">
        <v>1782.21</v>
      </c>
      <c r="H1745" t="s">
        <v>205</v>
      </c>
      <c r="I1745">
        <v>4</v>
      </c>
    </row>
    <row r="1746" spans="1:9" ht="15.6" x14ac:dyDescent="0.3">
      <c r="A1746" s="9">
        <v>1745</v>
      </c>
      <c r="B1746" s="2" t="s">
        <v>1751</v>
      </c>
      <c r="C1746" s="11">
        <v>22</v>
      </c>
      <c r="D1746" s="12">
        <v>50</v>
      </c>
      <c r="E1746" s="12" t="s">
        <v>8219</v>
      </c>
      <c r="F1746" s="13">
        <v>6</v>
      </c>
      <c r="G1746" s="14">
        <v>1776.2199999999998</v>
      </c>
      <c r="H1746" t="s">
        <v>3981</v>
      </c>
      <c r="I1746">
        <v>6</v>
      </c>
    </row>
    <row r="1747" spans="1:9" ht="15.6" x14ac:dyDescent="0.3">
      <c r="A1747" s="9">
        <v>1746</v>
      </c>
      <c r="B1747" s="2" t="s">
        <v>1752</v>
      </c>
      <c r="C1747" s="11">
        <v>20</v>
      </c>
      <c r="D1747" s="12">
        <v>66.666666666666657</v>
      </c>
      <c r="E1747" s="12" t="s">
        <v>8220</v>
      </c>
      <c r="F1747" s="13">
        <v>6</v>
      </c>
      <c r="G1747" s="14">
        <v>1752.19</v>
      </c>
      <c r="H1747" t="s">
        <v>2957</v>
      </c>
      <c r="I1747">
        <v>6</v>
      </c>
    </row>
    <row r="1748" spans="1:9" ht="15.6" x14ac:dyDescent="0.3">
      <c r="A1748" s="9">
        <v>1747</v>
      </c>
      <c r="B1748" s="2" t="s">
        <v>1753</v>
      </c>
      <c r="C1748" s="11">
        <v>20</v>
      </c>
      <c r="D1748" s="12">
        <v>66.666666666666657</v>
      </c>
      <c r="E1748" s="12" t="s">
        <v>8220</v>
      </c>
      <c r="F1748" s="13">
        <v>6</v>
      </c>
      <c r="G1748" s="14">
        <v>1792.2199999999998</v>
      </c>
      <c r="H1748" t="s">
        <v>1933</v>
      </c>
      <c r="I1748">
        <v>6</v>
      </c>
    </row>
    <row r="1749" spans="1:9" ht="15.6" x14ac:dyDescent="0.3">
      <c r="A1749" s="9">
        <v>1748</v>
      </c>
      <c r="B1749" s="2" t="s">
        <v>1754</v>
      </c>
      <c r="C1749" s="11">
        <v>14</v>
      </c>
      <c r="D1749" s="12">
        <v>50</v>
      </c>
      <c r="E1749" s="12" t="s">
        <v>8219</v>
      </c>
      <c r="F1749" s="13">
        <v>6</v>
      </c>
      <c r="G1749" s="14">
        <v>1767.1999999999998</v>
      </c>
      <c r="H1749" t="s">
        <v>909</v>
      </c>
      <c r="I1749">
        <v>5</v>
      </c>
    </row>
    <row r="1750" spans="1:9" ht="15.6" x14ac:dyDescent="0.3">
      <c r="A1750" s="9">
        <v>1749</v>
      </c>
      <c r="B1750" s="2" t="s">
        <v>1755</v>
      </c>
      <c r="C1750" s="11">
        <v>20</v>
      </c>
      <c r="D1750" s="12">
        <v>66.666666666666657</v>
      </c>
      <c r="E1750" s="12" t="s">
        <v>8220</v>
      </c>
      <c r="F1750" s="13">
        <v>6</v>
      </c>
      <c r="G1750" s="14">
        <v>1752.19</v>
      </c>
      <c r="H1750" t="s">
        <v>3725</v>
      </c>
      <c r="I1750">
        <v>6</v>
      </c>
    </row>
    <row r="1751" spans="1:9" ht="15.6" x14ac:dyDescent="0.3">
      <c r="A1751" s="9">
        <v>1750</v>
      </c>
      <c r="B1751" s="2" t="s">
        <v>1756</v>
      </c>
      <c r="C1751" s="11">
        <v>18</v>
      </c>
      <c r="D1751" s="12">
        <v>83.333333333333343</v>
      </c>
      <c r="E1751" s="12" t="s">
        <v>8220</v>
      </c>
      <c r="F1751" s="13">
        <v>6</v>
      </c>
      <c r="G1751" s="14">
        <v>1728.1599999999999</v>
      </c>
      <c r="H1751" t="s">
        <v>2701</v>
      </c>
      <c r="I1751">
        <v>5</v>
      </c>
    </row>
    <row r="1752" spans="1:9" ht="15.6" x14ac:dyDescent="0.3">
      <c r="A1752" s="9">
        <v>1751</v>
      </c>
      <c r="B1752" s="2" t="s">
        <v>1757</v>
      </c>
      <c r="C1752" s="11">
        <v>18</v>
      </c>
      <c r="D1752" s="12">
        <v>83.333333333333343</v>
      </c>
      <c r="E1752" s="12" t="s">
        <v>8220</v>
      </c>
      <c r="F1752" s="13">
        <v>6</v>
      </c>
      <c r="G1752" s="14">
        <v>1768.19</v>
      </c>
      <c r="H1752" t="s">
        <v>1677</v>
      </c>
      <c r="I1752">
        <v>5</v>
      </c>
    </row>
    <row r="1753" spans="1:9" ht="15.6" x14ac:dyDescent="0.3">
      <c r="A1753" s="9">
        <v>1752</v>
      </c>
      <c r="B1753" s="2" t="s">
        <v>1758</v>
      </c>
      <c r="C1753" s="11">
        <v>12</v>
      </c>
      <c r="D1753" s="12">
        <v>66.666666666666657</v>
      </c>
      <c r="E1753" s="12" t="s">
        <v>8220</v>
      </c>
      <c r="F1753" s="13">
        <v>6</v>
      </c>
      <c r="G1753" s="14">
        <v>1743.17</v>
      </c>
      <c r="H1753" t="s">
        <v>653</v>
      </c>
      <c r="I1753">
        <v>4</v>
      </c>
    </row>
    <row r="1754" spans="1:9" ht="15.6" x14ac:dyDescent="0.3">
      <c r="A1754" s="9">
        <v>1753</v>
      </c>
      <c r="B1754" s="2" t="s">
        <v>1759</v>
      </c>
      <c r="C1754" s="11">
        <v>20</v>
      </c>
      <c r="D1754" s="12">
        <v>66.666666666666657</v>
      </c>
      <c r="E1754" s="12" t="s">
        <v>8220</v>
      </c>
      <c r="F1754" s="13">
        <v>6</v>
      </c>
      <c r="G1754" s="14">
        <v>1792.2199999999998</v>
      </c>
      <c r="H1754" t="s">
        <v>3469</v>
      </c>
      <c r="I1754">
        <v>6</v>
      </c>
    </row>
    <row r="1755" spans="1:9" ht="15.6" x14ac:dyDescent="0.3">
      <c r="A1755" s="9">
        <v>1754</v>
      </c>
      <c r="B1755" s="2" t="s">
        <v>1760</v>
      </c>
      <c r="C1755" s="11">
        <v>18</v>
      </c>
      <c r="D1755" s="12">
        <v>83.333333333333343</v>
      </c>
      <c r="E1755" s="12" t="s">
        <v>8220</v>
      </c>
      <c r="F1755" s="13">
        <v>6</v>
      </c>
      <c r="G1755" s="14">
        <v>1768.19</v>
      </c>
      <c r="H1755" t="s">
        <v>2445</v>
      </c>
      <c r="I1755">
        <v>5</v>
      </c>
    </row>
    <row r="1756" spans="1:9" ht="15.6" x14ac:dyDescent="0.3">
      <c r="A1756" s="9">
        <v>1755</v>
      </c>
      <c r="B1756" s="2" t="s">
        <v>1761</v>
      </c>
      <c r="C1756" s="11">
        <v>18</v>
      </c>
      <c r="D1756" s="12">
        <v>83.333333333333343</v>
      </c>
      <c r="E1756" s="12" t="s">
        <v>8220</v>
      </c>
      <c r="F1756" s="13">
        <v>6</v>
      </c>
      <c r="G1756" s="14">
        <v>1808.2200000000003</v>
      </c>
      <c r="H1756" t="s">
        <v>1421</v>
      </c>
      <c r="I1756">
        <v>5</v>
      </c>
    </row>
    <row r="1757" spans="1:9" ht="15.6" x14ac:dyDescent="0.3">
      <c r="A1757" s="9">
        <v>1756</v>
      </c>
      <c r="B1757" s="2" t="s">
        <v>1762</v>
      </c>
      <c r="C1757" s="11">
        <v>12</v>
      </c>
      <c r="D1757" s="12">
        <v>66.666666666666657</v>
      </c>
      <c r="E1757" s="12" t="s">
        <v>8220</v>
      </c>
      <c r="F1757" s="13">
        <v>6</v>
      </c>
      <c r="G1757" s="14">
        <v>1783.1999999999998</v>
      </c>
      <c r="H1757" t="s">
        <v>397</v>
      </c>
      <c r="I1757">
        <v>4</v>
      </c>
    </row>
    <row r="1758" spans="1:9" ht="15.6" x14ac:dyDescent="0.3">
      <c r="A1758" s="9">
        <v>1757</v>
      </c>
      <c r="B1758" s="2" t="s">
        <v>1763</v>
      </c>
      <c r="C1758" s="11">
        <v>14</v>
      </c>
      <c r="D1758" s="12">
        <v>50</v>
      </c>
      <c r="E1758" s="12" t="s">
        <v>8219</v>
      </c>
      <c r="F1758" s="13">
        <v>6</v>
      </c>
      <c r="G1758" s="14">
        <v>1767.1999999999998</v>
      </c>
      <c r="H1758" t="s">
        <v>3213</v>
      </c>
      <c r="I1758">
        <v>5</v>
      </c>
    </row>
    <row r="1759" spans="1:9" ht="15.6" x14ac:dyDescent="0.3">
      <c r="A1759" s="9">
        <v>1758</v>
      </c>
      <c r="B1759" s="2" t="s">
        <v>1764</v>
      </c>
      <c r="C1759" s="11">
        <v>12</v>
      </c>
      <c r="D1759" s="12">
        <v>66.666666666666657</v>
      </c>
      <c r="E1759" s="12" t="s">
        <v>8220</v>
      </c>
      <c r="F1759" s="13">
        <v>6</v>
      </c>
      <c r="G1759" s="14">
        <v>1743.17</v>
      </c>
      <c r="H1759" t="s">
        <v>2189</v>
      </c>
      <c r="I1759">
        <v>4</v>
      </c>
    </row>
    <row r="1760" spans="1:9" ht="15.6" x14ac:dyDescent="0.3">
      <c r="A1760" s="9">
        <v>1759</v>
      </c>
      <c r="B1760" s="2" t="s">
        <v>1765</v>
      </c>
      <c r="C1760" s="11">
        <v>12</v>
      </c>
      <c r="D1760" s="12">
        <v>66.666666666666657</v>
      </c>
      <c r="E1760" s="12" t="s">
        <v>8220</v>
      </c>
      <c r="F1760" s="13">
        <v>6</v>
      </c>
      <c r="G1760" s="14">
        <v>1783.1999999999998</v>
      </c>
      <c r="H1760" t="s">
        <v>1165</v>
      </c>
      <c r="I1760">
        <v>4</v>
      </c>
    </row>
    <row r="1761" spans="1:9" ht="15.6" x14ac:dyDescent="0.3">
      <c r="A1761" s="9">
        <v>1760</v>
      </c>
      <c r="B1761" s="2" t="s">
        <v>1766</v>
      </c>
      <c r="C1761" s="11">
        <v>6</v>
      </c>
      <c r="D1761" s="12">
        <v>50</v>
      </c>
      <c r="E1761" s="12" t="s">
        <v>8219</v>
      </c>
      <c r="F1761" s="13">
        <v>6</v>
      </c>
      <c r="G1761" s="14">
        <v>1758.1799999999998</v>
      </c>
      <c r="H1761" t="s">
        <v>141</v>
      </c>
      <c r="I1761">
        <v>3</v>
      </c>
    </row>
    <row r="1762" spans="1:9" ht="15.6" x14ac:dyDescent="0.3">
      <c r="A1762" s="9">
        <v>1761</v>
      </c>
      <c r="B1762" s="2" t="s">
        <v>1767</v>
      </c>
      <c r="C1762" s="11">
        <v>22</v>
      </c>
      <c r="D1762" s="12">
        <v>50</v>
      </c>
      <c r="E1762" s="12" t="s">
        <v>8219</v>
      </c>
      <c r="F1762" s="13">
        <v>6</v>
      </c>
      <c r="G1762" s="14">
        <v>1816.25</v>
      </c>
      <c r="H1762" t="s">
        <v>3917</v>
      </c>
      <c r="I1762">
        <v>6</v>
      </c>
    </row>
    <row r="1763" spans="1:9" ht="15.6" x14ac:dyDescent="0.3">
      <c r="A1763" s="9">
        <v>1762</v>
      </c>
      <c r="B1763" s="2" t="s">
        <v>1768</v>
      </c>
      <c r="C1763" s="11">
        <v>20</v>
      </c>
      <c r="D1763" s="12">
        <v>66.666666666666657</v>
      </c>
      <c r="E1763" s="12" t="s">
        <v>8220</v>
      </c>
      <c r="F1763" s="13">
        <v>6</v>
      </c>
      <c r="G1763" s="14">
        <v>1792.2199999999998</v>
      </c>
      <c r="H1763" t="s">
        <v>2893</v>
      </c>
      <c r="I1763">
        <v>6</v>
      </c>
    </row>
    <row r="1764" spans="1:9" ht="15.6" x14ac:dyDescent="0.3">
      <c r="A1764" s="9">
        <v>1763</v>
      </c>
      <c r="B1764" s="2" t="s">
        <v>1769</v>
      </c>
      <c r="C1764" s="11">
        <v>20</v>
      </c>
      <c r="D1764" s="12">
        <v>66.666666666666657</v>
      </c>
      <c r="E1764" s="12" t="s">
        <v>8220</v>
      </c>
      <c r="F1764" s="13">
        <v>6</v>
      </c>
      <c r="G1764" s="14">
        <v>1832.25</v>
      </c>
      <c r="H1764" t="s">
        <v>1869</v>
      </c>
      <c r="I1764">
        <v>6</v>
      </c>
    </row>
    <row r="1765" spans="1:9" ht="15.6" x14ac:dyDescent="0.3">
      <c r="A1765" s="9">
        <v>1764</v>
      </c>
      <c r="B1765" s="2" t="s">
        <v>1770</v>
      </c>
      <c r="C1765" s="11">
        <v>14</v>
      </c>
      <c r="D1765" s="12">
        <v>50</v>
      </c>
      <c r="E1765" s="12" t="s">
        <v>8219</v>
      </c>
      <c r="F1765" s="13">
        <v>6</v>
      </c>
      <c r="G1765" s="14">
        <v>1807.23</v>
      </c>
      <c r="H1765" t="s">
        <v>845</v>
      </c>
      <c r="I1765">
        <v>5</v>
      </c>
    </row>
    <row r="1766" spans="1:9" ht="15.6" x14ac:dyDescent="0.3">
      <c r="A1766" s="9">
        <v>1765</v>
      </c>
      <c r="B1766" s="2" t="s">
        <v>1771</v>
      </c>
      <c r="C1766" s="11">
        <v>20</v>
      </c>
      <c r="D1766" s="12">
        <v>66.666666666666657</v>
      </c>
      <c r="E1766" s="12" t="s">
        <v>8220</v>
      </c>
      <c r="F1766" s="13">
        <v>6</v>
      </c>
      <c r="G1766" s="14">
        <v>1792.2199999999998</v>
      </c>
      <c r="H1766" t="s">
        <v>3661</v>
      </c>
      <c r="I1766">
        <v>6</v>
      </c>
    </row>
    <row r="1767" spans="1:9" ht="15.6" x14ac:dyDescent="0.3">
      <c r="A1767" s="9">
        <v>1766</v>
      </c>
      <c r="B1767" s="2" t="s">
        <v>1772</v>
      </c>
      <c r="C1767" s="11">
        <v>18</v>
      </c>
      <c r="D1767" s="12">
        <v>83.333333333333343</v>
      </c>
      <c r="E1767" s="12" t="s">
        <v>8220</v>
      </c>
      <c r="F1767" s="13">
        <v>6</v>
      </c>
      <c r="G1767" s="14">
        <v>1768.19</v>
      </c>
      <c r="H1767" t="s">
        <v>2637</v>
      </c>
      <c r="I1767">
        <v>5</v>
      </c>
    </row>
    <row r="1768" spans="1:9" ht="15.6" x14ac:dyDescent="0.3">
      <c r="A1768" s="9">
        <v>1767</v>
      </c>
      <c r="B1768" s="2" t="s">
        <v>1773</v>
      </c>
      <c r="C1768" s="11">
        <v>18</v>
      </c>
      <c r="D1768" s="12">
        <v>83.333333333333343</v>
      </c>
      <c r="E1768" s="12" t="s">
        <v>8220</v>
      </c>
      <c r="F1768" s="13">
        <v>6</v>
      </c>
      <c r="G1768" s="14">
        <v>1808.2200000000003</v>
      </c>
      <c r="H1768" t="s">
        <v>1613</v>
      </c>
      <c r="I1768">
        <v>5</v>
      </c>
    </row>
    <row r="1769" spans="1:9" ht="15.6" x14ac:dyDescent="0.3">
      <c r="A1769" s="9">
        <v>1768</v>
      </c>
      <c r="B1769" s="2" t="s">
        <v>1774</v>
      </c>
      <c r="C1769" s="11">
        <v>12</v>
      </c>
      <c r="D1769" s="12">
        <v>66.666666666666657</v>
      </c>
      <c r="E1769" s="12" t="s">
        <v>8220</v>
      </c>
      <c r="F1769" s="13">
        <v>6</v>
      </c>
      <c r="G1769" s="14">
        <v>1783.1999999999998</v>
      </c>
      <c r="H1769" t="s">
        <v>589</v>
      </c>
      <c r="I1769">
        <v>4</v>
      </c>
    </row>
    <row r="1770" spans="1:9" ht="15.6" x14ac:dyDescent="0.3">
      <c r="A1770" s="9">
        <v>1769</v>
      </c>
      <c r="B1770" s="2" t="s">
        <v>1775</v>
      </c>
      <c r="C1770" s="11">
        <v>20</v>
      </c>
      <c r="D1770" s="12">
        <v>66.666666666666657</v>
      </c>
      <c r="E1770" s="12" t="s">
        <v>8220</v>
      </c>
      <c r="F1770" s="13">
        <v>6</v>
      </c>
      <c r="G1770" s="14">
        <v>1832.25</v>
      </c>
      <c r="H1770" t="s">
        <v>3405</v>
      </c>
      <c r="I1770">
        <v>6</v>
      </c>
    </row>
    <row r="1771" spans="1:9" ht="15.6" x14ac:dyDescent="0.3">
      <c r="A1771" s="9">
        <v>1770</v>
      </c>
      <c r="B1771" s="2" t="s">
        <v>1776</v>
      </c>
      <c r="C1771" s="11">
        <v>18</v>
      </c>
      <c r="D1771" s="12">
        <v>83.333333333333343</v>
      </c>
      <c r="E1771" s="12" t="s">
        <v>8220</v>
      </c>
      <c r="F1771" s="13">
        <v>6</v>
      </c>
      <c r="G1771" s="14">
        <v>1808.2200000000003</v>
      </c>
      <c r="H1771" t="s">
        <v>2381</v>
      </c>
      <c r="I1771">
        <v>5</v>
      </c>
    </row>
    <row r="1772" spans="1:9" ht="15.6" x14ac:dyDescent="0.3">
      <c r="A1772" s="9">
        <v>1771</v>
      </c>
      <c r="B1772" s="2" t="s">
        <v>1777</v>
      </c>
      <c r="C1772" s="11">
        <v>18</v>
      </c>
      <c r="D1772" s="12">
        <v>83.333333333333343</v>
      </c>
      <c r="E1772" s="12" t="s">
        <v>8220</v>
      </c>
      <c r="F1772" s="13">
        <v>6</v>
      </c>
      <c r="G1772" s="14">
        <v>1848.25</v>
      </c>
      <c r="H1772" t="s">
        <v>1357</v>
      </c>
      <c r="I1772">
        <v>5</v>
      </c>
    </row>
    <row r="1773" spans="1:9" ht="15.6" x14ac:dyDescent="0.3">
      <c r="A1773" s="9">
        <v>1772</v>
      </c>
      <c r="B1773" s="2" t="s">
        <v>1778</v>
      </c>
      <c r="C1773" s="11">
        <v>12</v>
      </c>
      <c r="D1773" s="12">
        <v>66.666666666666657</v>
      </c>
      <c r="E1773" s="12" t="s">
        <v>8220</v>
      </c>
      <c r="F1773" s="13">
        <v>6</v>
      </c>
      <c r="G1773" s="14">
        <v>1823.23</v>
      </c>
      <c r="H1773" t="s">
        <v>333</v>
      </c>
      <c r="I1773">
        <v>4</v>
      </c>
    </row>
    <row r="1774" spans="1:9" ht="15.6" x14ac:dyDescent="0.3">
      <c r="A1774" s="9">
        <v>1773</v>
      </c>
      <c r="B1774" s="2" t="s">
        <v>1779</v>
      </c>
      <c r="C1774" s="11">
        <v>14</v>
      </c>
      <c r="D1774" s="12">
        <v>50</v>
      </c>
      <c r="E1774" s="12" t="s">
        <v>8219</v>
      </c>
      <c r="F1774" s="13">
        <v>6</v>
      </c>
      <c r="G1774" s="14">
        <v>1807.23</v>
      </c>
      <c r="H1774" t="s">
        <v>3149</v>
      </c>
      <c r="I1774">
        <v>5</v>
      </c>
    </row>
    <row r="1775" spans="1:9" ht="15.6" x14ac:dyDescent="0.3">
      <c r="A1775" s="9">
        <v>1774</v>
      </c>
      <c r="B1775" s="2" t="s">
        <v>1780</v>
      </c>
      <c r="C1775" s="11">
        <v>12</v>
      </c>
      <c r="D1775" s="12">
        <v>66.666666666666657</v>
      </c>
      <c r="E1775" s="12" t="s">
        <v>8220</v>
      </c>
      <c r="F1775" s="13">
        <v>6</v>
      </c>
      <c r="G1775" s="14">
        <v>1783.1999999999998</v>
      </c>
      <c r="H1775" t="s">
        <v>2125</v>
      </c>
      <c r="I1775">
        <v>4</v>
      </c>
    </row>
    <row r="1776" spans="1:9" ht="15.6" x14ac:dyDescent="0.3">
      <c r="A1776" s="9">
        <v>1775</v>
      </c>
      <c r="B1776" s="2" t="s">
        <v>1781</v>
      </c>
      <c r="C1776" s="11">
        <v>12</v>
      </c>
      <c r="D1776" s="12">
        <v>66.666666666666657</v>
      </c>
      <c r="E1776" s="12" t="s">
        <v>8220</v>
      </c>
      <c r="F1776" s="13">
        <v>6</v>
      </c>
      <c r="G1776" s="14">
        <v>1823.23</v>
      </c>
      <c r="H1776" t="s">
        <v>1101</v>
      </c>
      <c r="I1776">
        <v>4</v>
      </c>
    </row>
    <row r="1777" spans="1:9" ht="15.6" x14ac:dyDescent="0.3">
      <c r="A1777" s="9">
        <v>1776</v>
      </c>
      <c r="B1777" s="2" t="s">
        <v>1782</v>
      </c>
      <c r="C1777" s="11">
        <v>6</v>
      </c>
      <c r="D1777" s="12">
        <v>50</v>
      </c>
      <c r="E1777" s="12" t="s">
        <v>8219</v>
      </c>
      <c r="F1777" s="13">
        <v>6</v>
      </c>
      <c r="G1777" s="14">
        <v>1798.21</v>
      </c>
      <c r="H1777" t="s">
        <v>77</v>
      </c>
      <c r="I1777">
        <v>3</v>
      </c>
    </row>
    <row r="1778" spans="1:9" ht="15.6" x14ac:dyDescent="0.3">
      <c r="A1778" s="9">
        <v>1777</v>
      </c>
      <c r="B1778" s="2" t="s">
        <v>1783</v>
      </c>
      <c r="C1778" s="11">
        <v>16</v>
      </c>
      <c r="D1778" s="12">
        <v>33.333333333333329</v>
      </c>
      <c r="E1778" s="12" t="s">
        <v>8219</v>
      </c>
      <c r="F1778" s="13">
        <v>6</v>
      </c>
      <c r="G1778" s="14">
        <v>1791.23</v>
      </c>
      <c r="H1778" t="s">
        <v>3853</v>
      </c>
      <c r="I1778">
        <v>5</v>
      </c>
    </row>
    <row r="1779" spans="1:9" ht="15.6" x14ac:dyDescent="0.3">
      <c r="A1779" s="9">
        <v>1778</v>
      </c>
      <c r="B1779" s="2" t="s">
        <v>1784</v>
      </c>
      <c r="C1779" s="11">
        <v>14</v>
      </c>
      <c r="D1779" s="12">
        <v>50</v>
      </c>
      <c r="E1779" s="12" t="s">
        <v>8219</v>
      </c>
      <c r="F1779" s="13">
        <v>6</v>
      </c>
      <c r="G1779" s="14">
        <v>1767.1999999999998</v>
      </c>
      <c r="H1779" t="s">
        <v>2829</v>
      </c>
      <c r="I1779">
        <v>5</v>
      </c>
    </row>
    <row r="1780" spans="1:9" ht="15.6" x14ac:dyDescent="0.3">
      <c r="A1780" s="9">
        <v>1779</v>
      </c>
      <c r="B1780" s="2" t="s">
        <v>1785</v>
      </c>
      <c r="C1780" s="11">
        <v>14</v>
      </c>
      <c r="D1780" s="12">
        <v>50</v>
      </c>
      <c r="E1780" s="12" t="s">
        <v>8219</v>
      </c>
      <c r="F1780" s="13">
        <v>6</v>
      </c>
      <c r="G1780" s="14">
        <v>1807.23</v>
      </c>
      <c r="H1780" t="s">
        <v>1805</v>
      </c>
      <c r="I1780">
        <v>5</v>
      </c>
    </row>
    <row r="1781" spans="1:9" ht="15.6" x14ac:dyDescent="0.3">
      <c r="A1781" s="9">
        <v>1780</v>
      </c>
      <c r="B1781" s="2" t="s">
        <v>1786</v>
      </c>
      <c r="C1781" s="11">
        <v>8</v>
      </c>
      <c r="D1781" s="12">
        <v>33.333333333333329</v>
      </c>
      <c r="E1781" s="12" t="s">
        <v>8219</v>
      </c>
      <c r="F1781" s="13">
        <v>6</v>
      </c>
      <c r="G1781" s="14">
        <v>1782.21</v>
      </c>
      <c r="H1781" t="s">
        <v>781</v>
      </c>
      <c r="I1781">
        <v>4</v>
      </c>
    </row>
    <row r="1782" spans="1:9" ht="15.6" x14ac:dyDescent="0.3">
      <c r="A1782" s="9">
        <v>1781</v>
      </c>
      <c r="B1782" s="2" t="s">
        <v>1787</v>
      </c>
      <c r="C1782" s="11">
        <v>14</v>
      </c>
      <c r="D1782" s="12">
        <v>50</v>
      </c>
      <c r="E1782" s="12" t="s">
        <v>8219</v>
      </c>
      <c r="F1782" s="13">
        <v>6</v>
      </c>
      <c r="G1782" s="14">
        <v>1767.1999999999998</v>
      </c>
      <c r="H1782" t="s">
        <v>3597</v>
      </c>
      <c r="I1782">
        <v>5</v>
      </c>
    </row>
    <row r="1783" spans="1:9" ht="15.6" x14ac:dyDescent="0.3">
      <c r="A1783" s="9">
        <v>1782</v>
      </c>
      <c r="B1783" s="2" t="s">
        <v>1788</v>
      </c>
      <c r="C1783" s="11">
        <v>12</v>
      </c>
      <c r="D1783" s="12">
        <v>66.666666666666657</v>
      </c>
      <c r="E1783" s="12" t="s">
        <v>8220</v>
      </c>
      <c r="F1783" s="13">
        <v>6</v>
      </c>
      <c r="G1783" s="14">
        <v>1743.17</v>
      </c>
      <c r="H1783" t="s">
        <v>2573</v>
      </c>
      <c r="I1783">
        <v>4</v>
      </c>
    </row>
    <row r="1784" spans="1:9" ht="15.6" x14ac:dyDescent="0.3">
      <c r="A1784" s="9">
        <v>1783</v>
      </c>
      <c r="B1784" s="2" t="s">
        <v>1789</v>
      </c>
      <c r="C1784" s="11">
        <v>12</v>
      </c>
      <c r="D1784" s="12">
        <v>66.666666666666657</v>
      </c>
      <c r="E1784" s="12" t="s">
        <v>8220</v>
      </c>
      <c r="F1784" s="13">
        <v>6</v>
      </c>
      <c r="G1784" s="14">
        <v>1783.1999999999998</v>
      </c>
      <c r="H1784" t="s">
        <v>1549</v>
      </c>
      <c r="I1784">
        <v>4</v>
      </c>
    </row>
    <row r="1785" spans="1:9" ht="15.6" x14ac:dyDescent="0.3">
      <c r="A1785" s="9">
        <v>1784</v>
      </c>
      <c r="B1785" s="2" t="s">
        <v>1790</v>
      </c>
      <c r="C1785" s="11">
        <v>6</v>
      </c>
      <c r="D1785" s="12">
        <v>50</v>
      </c>
      <c r="E1785" s="12" t="s">
        <v>8219</v>
      </c>
      <c r="F1785" s="13">
        <v>6</v>
      </c>
      <c r="G1785" s="14">
        <v>1758.1799999999998</v>
      </c>
      <c r="H1785" t="s">
        <v>525</v>
      </c>
      <c r="I1785">
        <v>3</v>
      </c>
    </row>
    <row r="1786" spans="1:9" ht="15.6" x14ac:dyDescent="0.3">
      <c r="A1786" s="9">
        <v>1785</v>
      </c>
      <c r="B1786" s="2" t="s">
        <v>1791</v>
      </c>
      <c r="C1786" s="11">
        <v>14</v>
      </c>
      <c r="D1786" s="12">
        <v>50</v>
      </c>
      <c r="E1786" s="12" t="s">
        <v>8219</v>
      </c>
      <c r="F1786" s="13">
        <v>6</v>
      </c>
      <c r="G1786" s="14">
        <v>1807.23</v>
      </c>
      <c r="H1786" t="s">
        <v>3341</v>
      </c>
      <c r="I1786">
        <v>5</v>
      </c>
    </row>
    <row r="1787" spans="1:9" ht="15.6" x14ac:dyDescent="0.3">
      <c r="A1787" s="9">
        <v>1786</v>
      </c>
      <c r="B1787" s="2" t="s">
        <v>1792</v>
      </c>
      <c r="C1787" s="11">
        <v>12</v>
      </c>
      <c r="D1787" s="12">
        <v>66.666666666666657</v>
      </c>
      <c r="E1787" s="12" t="s">
        <v>8220</v>
      </c>
      <c r="F1787" s="13">
        <v>6</v>
      </c>
      <c r="G1787" s="14">
        <v>1783.1999999999998</v>
      </c>
      <c r="H1787" t="s">
        <v>2317</v>
      </c>
      <c r="I1787">
        <v>4</v>
      </c>
    </row>
    <row r="1788" spans="1:9" ht="15.6" x14ac:dyDescent="0.3">
      <c r="A1788" s="9">
        <v>1787</v>
      </c>
      <c r="B1788" s="2" t="s">
        <v>1793</v>
      </c>
      <c r="C1788" s="11">
        <v>12</v>
      </c>
      <c r="D1788" s="12">
        <v>66.666666666666657</v>
      </c>
      <c r="E1788" s="12" t="s">
        <v>8220</v>
      </c>
      <c r="F1788" s="13">
        <v>6</v>
      </c>
      <c r="G1788" s="14">
        <v>1823.23</v>
      </c>
      <c r="H1788" t="s">
        <v>1293</v>
      </c>
      <c r="I1788">
        <v>4</v>
      </c>
    </row>
    <row r="1789" spans="1:9" ht="15.6" x14ac:dyDescent="0.3">
      <c r="A1789" s="9">
        <v>1788</v>
      </c>
      <c r="B1789" s="2" t="s">
        <v>1794</v>
      </c>
      <c r="C1789" s="11">
        <v>6</v>
      </c>
      <c r="D1789" s="12">
        <v>50</v>
      </c>
      <c r="E1789" s="12" t="s">
        <v>8219</v>
      </c>
      <c r="F1789" s="13">
        <v>6</v>
      </c>
      <c r="G1789" s="14">
        <v>1798.21</v>
      </c>
      <c r="H1789" t="s">
        <v>269</v>
      </c>
      <c r="I1789">
        <v>3</v>
      </c>
    </row>
    <row r="1790" spans="1:9" ht="15.6" x14ac:dyDescent="0.3">
      <c r="A1790" s="9">
        <v>1789</v>
      </c>
      <c r="B1790" s="2" t="s">
        <v>1795</v>
      </c>
      <c r="C1790" s="11">
        <v>8</v>
      </c>
      <c r="D1790" s="12">
        <v>33.333333333333329</v>
      </c>
      <c r="E1790" s="12" t="s">
        <v>8219</v>
      </c>
      <c r="F1790" s="13">
        <v>6</v>
      </c>
      <c r="G1790" s="14">
        <v>1782.21</v>
      </c>
      <c r="H1790" t="s">
        <v>3085</v>
      </c>
      <c r="I1790">
        <v>4</v>
      </c>
    </row>
    <row r="1791" spans="1:9" ht="15.6" x14ac:dyDescent="0.3">
      <c r="A1791" s="9">
        <v>1790</v>
      </c>
      <c r="B1791" s="2" t="s">
        <v>1796</v>
      </c>
      <c r="C1791" s="11">
        <v>6</v>
      </c>
      <c r="D1791" s="12">
        <v>50</v>
      </c>
      <c r="E1791" s="12" t="s">
        <v>8219</v>
      </c>
      <c r="F1791" s="13">
        <v>6</v>
      </c>
      <c r="G1791" s="14">
        <v>1758.1799999999998</v>
      </c>
      <c r="H1791" t="s">
        <v>2061</v>
      </c>
      <c r="I1791">
        <v>3</v>
      </c>
    </row>
    <row r="1792" spans="1:9" ht="15.6" x14ac:dyDescent="0.3">
      <c r="A1792" s="9">
        <v>1791</v>
      </c>
      <c r="B1792" s="2" t="s">
        <v>1797</v>
      </c>
      <c r="C1792" s="11">
        <v>6</v>
      </c>
      <c r="D1792" s="12">
        <v>50</v>
      </c>
      <c r="E1792" s="12" t="s">
        <v>8219</v>
      </c>
      <c r="F1792" s="13">
        <v>6</v>
      </c>
      <c r="G1792" s="14">
        <v>1798.21</v>
      </c>
      <c r="H1792" t="s">
        <v>1037</v>
      </c>
      <c r="I1792">
        <v>3</v>
      </c>
    </row>
    <row r="1793" spans="1:9" ht="15.6" x14ac:dyDescent="0.3">
      <c r="A1793" s="9">
        <v>1792</v>
      </c>
      <c r="B1793" s="2" t="s">
        <v>1798</v>
      </c>
      <c r="C1793" s="11">
        <v>0</v>
      </c>
      <c r="D1793" s="12">
        <v>33.333333333333329</v>
      </c>
      <c r="E1793" s="12" t="s">
        <v>8219</v>
      </c>
      <c r="F1793" s="13">
        <v>6</v>
      </c>
      <c r="G1793" s="14">
        <v>1773.19</v>
      </c>
      <c r="H1793" t="s">
        <v>13</v>
      </c>
      <c r="I1793">
        <v>2</v>
      </c>
    </row>
    <row r="1794" spans="1:9" ht="15.6" x14ac:dyDescent="0.3">
      <c r="A1794" s="9">
        <v>1793</v>
      </c>
      <c r="B1794" s="2" t="s">
        <v>1799</v>
      </c>
      <c r="C1794" s="11">
        <v>26</v>
      </c>
      <c r="D1794" s="12">
        <v>16.666666666666664</v>
      </c>
      <c r="E1794" s="12" t="s">
        <v>8219</v>
      </c>
      <c r="F1794" s="13">
        <v>6</v>
      </c>
      <c r="G1794" s="14">
        <v>1784.25</v>
      </c>
      <c r="H1794" t="s">
        <v>4089</v>
      </c>
      <c r="I1794">
        <v>7</v>
      </c>
    </row>
    <row r="1795" spans="1:9" ht="15.6" x14ac:dyDescent="0.3">
      <c r="A1795" s="9">
        <v>1794</v>
      </c>
      <c r="B1795" s="2" t="s">
        <v>1800</v>
      </c>
      <c r="C1795" s="11">
        <v>24</v>
      </c>
      <c r="D1795" s="12">
        <v>33.333333333333329</v>
      </c>
      <c r="E1795" s="12" t="s">
        <v>8219</v>
      </c>
      <c r="F1795" s="13">
        <v>6</v>
      </c>
      <c r="G1795" s="14">
        <v>1760.2199999999998</v>
      </c>
      <c r="H1795" t="s">
        <v>3065</v>
      </c>
      <c r="I1795">
        <v>6</v>
      </c>
    </row>
    <row r="1796" spans="1:9" ht="15.6" x14ac:dyDescent="0.3">
      <c r="A1796" s="9">
        <v>1795</v>
      </c>
      <c r="B1796" s="2" t="s">
        <v>1801</v>
      </c>
      <c r="C1796" s="11">
        <v>24</v>
      </c>
      <c r="D1796" s="12">
        <v>33.333333333333329</v>
      </c>
      <c r="E1796" s="12" t="s">
        <v>8219</v>
      </c>
      <c r="F1796" s="13">
        <v>6</v>
      </c>
      <c r="G1796" s="14">
        <v>1800.25</v>
      </c>
      <c r="H1796" t="s">
        <v>2041</v>
      </c>
      <c r="I1796">
        <v>6</v>
      </c>
    </row>
    <row r="1797" spans="1:9" ht="15.6" x14ac:dyDescent="0.3">
      <c r="A1797" s="9">
        <v>1796</v>
      </c>
      <c r="B1797" s="2" t="s">
        <v>1802</v>
      </c>
      <c r="C1797" s="11">
        <v>18</v>
      </c>
      <c r="D1797" s="12">
        <v>16.666666666666664</v>
      </c>
      <c r="E1797" s="12" t="s">
        <v>8219</v>
      </c>
      <c r="F1797" s="13">
        <v>6</v>
      </c>
      <c r="G1797" s="14">
        <v>1775.23</v>
      </c>
      <c r="H1797" t="s">
        <v>1017</v>
      </c>
      <c r="I1797">
        <v>5</v>
      </c>
    </row>
    <row r="1798" spans="1:9" ht="15.6" x14ac:dyDescent="0.3">
      <c r="A1798" s="9">
        <v>1797</v>
      </c>
      <c r="B1798" s="2" t="s">
        <v>1803</v>
      </c>
      <c r="C1798" s="11">
        <v>24</v>
      </c>
      <c r="D1798" s="12">
        <v>33.333333333333329</v>
      </c>
      <c r="E1798" s="12" t="s">
        <v>8219</v>
      </c>
      <c r="F1798" s="13">
        <v>6</v>
      </c>
      <c r="G1798" s="14">
        <v>1760.2199999999998</v>
      </c>
      <c r="H1798" t="s">
        <v>3833</v>
      </c>
      <c r="I1798">
        <v>6</v>
      </c>
    </row>
    <row r="1799" spans="1:9" ht="15.6" x14ac:dyDescent="0.3">
      <c r="A1799" s="9">
        <v>1798</v>
      </c>
      <c r="B1799" s="2" t="s">
        <v>1804</v>
      </c>
      <c r="C1799" s="11">
        <v>22</v>
      </c>
      <c r="D1799" s="12">
        <v>50</v>
      </c>
      <c r="E1799" s="12" t="s">
        <v>8219</v>
      </c>
      <c r="F1799" s="13">
        <v>6</v>
      </c>
      <c r="G1799" s="14">
        <v>1736.19</v>
      </c>
      <c r="H1799" t="s">
        <v>2809</v>
      </c>
      <c r="I1799">
        <v>6</v>
      </c>
    </row>
    <row r="1800" spans="1:9" ht="15.6" x14ac:dyDescent="0.3">
      <c r="A1800" s="9">
        <v>1799</v>
      </c>
      <c r="B1800" s="2" t="s">
        <v>1805</v>
      </c>
      <c r="C1800" s="11">
        <v>22</v>
      </c>
      <c r="D1800" s="12">
        <v>50</v>
      </c>
      <c r="E1800" s="12" t="s">
        <v>8219</v>
      </c>
      <c r="F1800" s="13">
        <v>6</v>
      </c>
      <c r="G1800" s="14">
        <v>1776.2199999999998</v>
      </c>
      <c r="H1800" t="s">
        <v>1785</v>
      </c>
      <c r="I1800">
        <v>6</v>
      </c>
    </row>
    <row r="1801" spans="1:9" ht="15.6" x14ac:dyDescent="0.3">
      <c r="A1801" s="9">
        <v>1800</v>
      </c>
      <c r="B1801" s="2" t="s">
        <v>1806</v>
      </c>
      <c r="C1801" s="11">
        <v>16</v>
      </c>
      <c r="D1801" s="12">
        <v>33.333333333333329</v>
      </c>
      <c r="E1801" s="12" t="s">
        <v>8219</v>
      </c>
      <c r="F1801" s="13">
        <v>6</v>
      </c>
      <c r="G1801" s="14">
        <v>1751.1999999999998</v>
      </c>
      <c r="H1801" t="s">
        <v>761</v>
      </c>
      <c r="I1801">
        <v>5</v>
      </c>
    </row>
    <row r="1802" spans="1:9" ht="15.6" x14ac:dyDescent="0.3">
      <c r="A1802" s="9">
        <v>1801</v>
      </c>
      <c r="B1802" s="2" t="s">
        <v>1807</v>
      </c>
      <c r="C1802" s="11">
        <v>24</v>
      </c>
      <c r="D1802" s="12">
        <v>33.333333333333329</v>
      </c>
      <c r="E1802" s="12" t="s">
        <v>8219</v>
      </c>
      <c r="F1802" s="13">
        <v>6</v>
      </c>
      <c r="G1802" s="14">
        <v>1800.25</v>
      </c>
      <c r="H1802" t="s">
        <v>3577</v>
      </c>
      <c r="I1802">
        <v>6</v>
      </c>
    </row>
    <row r="1803" spans="1:9" ht="15.6" x14ac:dyDescent="0.3">
      <c r="A1803" s="9">
        <v>1802</v>
      </c>
      <c r="B1803" s="2" t="s">
        <v>1808</v>
      </c>
      <c r="C1803" s="11">
        <v>22</v>
      </c>
      <c r="D1803" s="12">
        <v>50</v>
      </c>
      <c r="E1803" s="12" t="s">
        <v>8219</v>
      </c>
      <c r="F1803" s="13">
        <v>6</v>
      </c>
      <c r="G1803" s="14">
        <v>1776.2199999999998</v>
      </c>
      <c r="H1803" t="s">
        <v>2553</v>
      </c>
      <c r="I1803">
        <v>6</v>
      </c>
    </row>
    <row r="1804" spans="1:9" ht="15.6" x14ac:dyDescent="0.3">
      <c r="A1804" s="9">
        <v>1803</v>
      </c>
      <c r="B1804" s="2" t="s">
        <v>1809</v>
      </c>
      <c r="C1804" s="11">
        <v>22</v>
      </c>
      <c r="D1804" s="12">
        <v>50</v>
      </c>
      <c r="E1804" s="12" t="s">
        <v>8219</v>
      </c>
      <c r="F1804" s="13">
        <v>6</v>
      </c>
      <c r="G1804" s="14">
        <v>1816.25</v>
      </c>
      <c r="H1804" t="s">
        <v>1529</v>
      </c>
      <c r="I1804">
        <v>6</v>
      </c>
    </row>
    <row r="1805" spans="1:9" ht="15.6" x14ac:dyDescent="0.3">
      <c r="A1805" s="9">
        <v>1804</v>
      </c>
      <c r="B1805" s="2" t="s">
        <v>1810</v>
      </c>
      <c r="C1805" s="11">
        <v>16</v>
      </c>
      <c r="D1805" s="12">
        <v>33.333333333333329</v>
      </c>
      <c r="E1805" s="12" t="s">
        <v>8219</v>
      </c>
      <c r="F1805" s="13">
        <v>6</v>
      </c>
      <c r="G1805" s="14">
        <v>1791.23</v>
      </c>
      <c r="H1805" t="s">
        <v>505</v>
      </c>
      <c r="I1805">
        <v>5</v>
      </c>
    </row>
    <row r="1806" spans="1:9" ht="15.6" x14ac:dyDescent="0.3">
      <c r="A1806" s="9">
        <v>1805</v>
      </c>
      <c r="B1806" s="2" t="s">
        <v>1811</v>
      </c>
      <c r="C1806" s="11">
        <v>18</v>
      </c>
      <c r="D1806" s="12">
        <v>16.666666666666664</v>
      </c>
      <c r="E1806" s="12" t="s">
        <v>8219</v>
      </c>
      <c r="F1806" s="13">
        <v>6</v>
      </c>
      <c r="G1806" s="14">
        <v>1775.23</v>
      </c>
      <c r="H1806" t="s">
        <v>3321</v>
      </c>
      <c r="I1806">
        <v>5</v>
      </c>
    </row>
    <row r="1807" spans="1:9" ht="15.6" x14ac:dyDescent="0.3">
      <c r="A1807" s="9">
        <v>1806</v>
      </c>
      <c r="B1807" s="2" t="s">
        <v>1812</v>
      </c>
      <c r="C1807" s="11">
        <v>16</v>
      </c>
      <c r="D1807" s="12">
        <v>33.333333333333329</v>
      </c>
      <c r="E1807" s="12" t="s">
        <v>8219</v>
      </c>
      <c r="F1807" s="13">
        <v>6</v>
      </c>
      <c r="G1807" s="14">
        <v>1751.1999999999998</v>
      </c>
      <c r="H1807" t="s">
        <v>2297</v>
      </c>
      <c r="I1807">
        <v>5</v>
      </c>
    </row>
    <row r="1808" spans="1:9" ht="15.6" x14ac:dyDescent="0.3">
      <c r="A1808" s="9">
        <v>1807</v>
      </c>
      <c r="B1808" s="2" t="s">
        <v>1813</v>
      </c>
      <c r="C1808" s="11">
        <v>16</v>
      </c>
      <c r="D1808" s="12">
        <v>33.333333333333329</v>
      </c>
      <c r="E1808" s="12" t="s">
        <v>8219</v>
      </c>
      <c r="F1808" s="13">
        <v>6</v>
      </c>
      <c r="G1808" s="14">
        <v>1791.23</v>
      </c>
      <c r="H1808" t="s">
        <v>1273</v>
      </c>
      <c r="I1808">
        <v>5</v>
      </c>
    </row>
    <row r="1809" spans="1:9" ht="15.6" x14ac:dyDescent="0.3">
      <c r="A1809" s="9">
        <v>1808</v>
      </c>
      <c r="B1809" s="2" t="s">
        <v>1814</v>
      </c>
      <c r="C1809" s="11">
        <v>10</v>
      </c>
      <c r="D1809" s="12">
        <v>16.666666666666664</v>
      </c>
      <c r="E1809" s="12" t="s">
        <v>8219</v>
      </c>
      <c r="F1809" s="13">
        <v>6</v>
      </c>
      <c r="G1809" s="14">
        <v>1766.21</v>
      </c>
      <c r="H1809" t="s">
        <v>249</v>
      </c>
      <c r="I1809">
        <v>4</v>
      </c>
    </row>
    <row r="1810" spans="1:9" ht="15.6" x14ac:dyDescent="0.3">
      <c r="A1810" s="9">
        <v>1809</v>
      </c>
      <c r="B1810" s="2" t="s">
        <v>1815</v>
      </c>
      <c r="C1810" s="11">
        <v>24</v>
      </c>
      <c r="D1810" s="12">
        <v>33.333333333333329</v>
      </c>
      <c r="E1810" s="12" t="s">
        <v>8219</v>
      </c>
      <c r="F1810" s="13">
        <v>6</v>
      </c>
      <c r="G1810" s="14">
        <v>1760.2199999999998</v>
      </c>
      <c r="H1810" t="s">
        <v>4025</v>
      </c>
      <c r="I1810">
        <v>6</v>
      </c>
    </row>
    <row r="1811" spans="1:9" ht="15.6" x14ac:dyDescent="0.3">
      <c r="A1811" s="9">
        <v>1810</v>
      </c>
      <c r="B1811" s="2" t="s">
        <v>1816</v>
      </c>
      <c r="C1811" s="11">
        <v>22</v>
      </c>
      <c r="D1811" s="12">
        <v>50</v>
      </c>
      <c r="E1811" s="12" t="s">
        <v>8219</v>
      </c>
      <c r="F1811" s="13">
        <v>6</v>
      </c>
      <c r="G1811" s="14">
        <v>1736.19</v>
      </c>
      <c r="H1811" t="s">
        <v>3001</v>
      </c>
      <c r="I1811">
        <v>6</v>
      </c>
    </row>
    <row r="1812" spans="1:9" ht="15.6" x14ac:dyDescent="0.3">
      <c r="A1812" s="9">
        <v>1811</v>
      </c>
      <c r="B1812" s="2" t="s">
        <v>1817</v>
      </c>
      <c r="C1812" s="11">
        <v>22</v>
      </c>
      <c r="D1812" s="12">
        <v>50</v>
      </c>
      <c r="E1812" s="12" t="s">
        <v>8219</v>
      </c>
      <c r="F1812" s="13">
        <v>6</v>
      </c>
      <c r="G1812" s="14">
        <v>1776.2199999999998</v>
      </c>
      <c r="H1812" t="s">
        <v>1977</v>
      </c>
      <c r="I1812">
        <v>6</v>
      </c>
    </row>
    <row r="1813" spans="1:9" ht="15.6" x14ac:dyDescent="0.3">
      <c r="A1813" s="9">
        <v>1812</v>
      </c>
      <c r="B1813" s="2" t="s">
        <v>1818</v>
      </c>
      <c r="C1813" s="11">
        <v>16</v>
      </c>
      <c r="D1813" s="12">
        <v>33.333333333333329</v>
      </c>
      <c r="E1813" s="12" t="s">
        <v>8219</v>
      </c>
      <c r="F1813" s="13">
        <v>6</v>
      </c>
      <c r="G1813" s="14">
        <v>1751.1999999999998</v>
      </c>
      <c r="H1813" t="s">
        <v>953</v>
      </c>
      <c r="I1813">
        <v>5</v>
      </c>
    </row>
    <row r="1814" spans="1:9" ht="15.6" x14ac:dyDescent="0.3">
      <c r="A1814" s="9">
        <v>1813</v>
      </c>
      <c r="B1814" s="2" t="s">
        <v>1819</v>
      </c>
      <c r="C1814" s="11">
        <v>22</v>
      </c>
      <c r="D1814" s="12">
        <v>50</v>
      </c>
      <c r="E1814" s="12" t="s">
        <v>8219</v>
      </c>
      <c r="F1814" s="13">
        <v>6</v>
      </c>
      <c r="G1814" s="14">
        <v>1736.19</v>
      </c>
      <c r="H1814" t="s">
        <v>3769</v>
      </c>
      <c r="I1814">
        <v>6</v>
      </c>
    </row>
    <row r="1815" spans="1:9" ht="15.6" x14ac:dyDescent="0.3">
      <c r="A1815" s="9">
        <v>1814</v>
      </c>
      <c r="B1815" s="2" t="s">
        <v>1820</v>
      </c>
      <c r="C1815" s="11">
        <v>20</v>
      </c>
      <c r="D1815" s="12">
        <v>66.666666666666657</v>
      </c>
      <c r="E1815" s="12" t="s">
        <v>8220</v>
      </c>
      <c r="F1815" s="13">
        <v>6</v>
      </c>
      <c r="G1815" s="14">
        <v>1712.1599999999999</v>
      </c>
      <c r="H1815" t="s">
        <v>2745</v>
      </c>
      <c r="I1815">
        <v>6</v>
      </c>
    </row>
    <row r="1816" spans="1:9" ht="15.6" x14ac:dyDescent="0.3">
      <c r="A1816" s="9">
        <v>1815</v>
      </c>
      <c r="B1816" s="2" t="s">
        <v>1821</v>
      </c>
      <c r="C1816" s="11">
        <v>20</v>
      </c>
      <c r="D1816" s="12">
        <v>66.666666666666657</v>
      </c>
      <c r="E1816" s="12" t="s">
        <v>8220</v>
      </c>
      <c r="F1816" s="13">
        <v>6</v>
      </c>
      <c r="G1816" s="14">
        <v>1752.19</v>
      </c>
      <c r="H1816" t="s">
        <v>1721</v>
      </c>
      <c r="I1816">
        <v>6</v>
      </c>
    </row>
    <row r="1817" spans="1:9" ht="15.6" x14ac:dyDescent="0.3">
      <c r="A1817" s="9">
        <v>1816</v>
      </c>
      <c r="B1817" s="2" t="s">
        <v>1822</v>
      </c>
      <c r="C1817" s="11">
        <v>14</v>
      </c>
      <c r="D1817" s="12">
        <v>50</v>
      </c>
      <c r="E1817" s="12" t="s">
        <v>8219</v>
      </c>
      <c r="F1817" s="13">
        <v>6</v>
      </c>
      <c r="G1817" s="14">
        <v>1727.17</v>
      </c>
      <c r="H1817" t="s">
        <v>697</v>
      </c>
      <c r="I1817">
        <v>5</v>
      </c>
    </row>
    <row r="1818" spans="1:9" ht="15.6" x14ac:dyDescent="0.3">
      <c r="A1818" s="9">
        <v>1817</v>
      </c>
      <c r="B1818" s="2" t="s">
        <v>1823</v>
      </c>
      <c r="C1818" s="11">
        <v>22</v>
      </c>
      <c r="D1818" s="12">
        <v>50</v>
      </c>
      <c r="E1818" s="12" t="s">
        <v>8219</v>
      </c>
      <c r="F1818" s="13">
        <v>6</v>
      </c>
      <c r="G1818" s="14">
        <v>1776.2199999999998</v>
      </c>
      <c r="H1818" t="s">
        <v>3513</v>
      </c>
      <c r="I1818">
        <v>6</v>
      </c>
    </row>
    <row r="1819" spans="1:9" ht="15.6" x14ac:dyDescent="0.3">
      <c r="A1819" s="9">
        <v>1818</v>
      </c>
      <c r="B1819" s="2" t="s">
        <v>1824</v>
      </c>
      <c r="C1819" s="11">
        <v>20</v>
      </c>
      <c r="D1819" s="12">
        <v>66.666666666666657</v>
      </c>
      <c r="E1819" s="12" t="s">
        <v>8220</v>
      </c>
      <c r="F1819" s="13">
        <v>6</v>
      </c>
      <c r="G1819" s="14">
        <v>1752.19</v>
      </c>
      <c r="H1819" t="s">
        <v>2489</v>
      </c>
      <c r="I1819">
        <v>6</v>
      </c>
    </row>
    <row r="1820" spans="1:9" ht="15.6" x14ac:dyDescent="0.3">
      <c r="A1820" s="9">
        <v>1819</v>
      </c>
      <c r="B1820" s="2" t="s">
        <v>1825</v>
      </c>
      <c r="C1820" s="11">
        <v>20</v>
      </c>
      <c r="D1820" s="12">
        <v>66.666666666666657</v>
      </c>
      <c r="E1820" s="12" t="s">
        <v>8220</v>
      </c>
      <c r="F1820" s="13">
        <v>6</v>
      </c>
      <c r="G1820" s="14">
        <v>1792.2199999999998</v>
      </c>
      <c r="H1820" t="s">
        <v>1465</v>
      </c>
      <c r="I1820">
        <v>6</v>
      </c>
    </row>
    <row r="1821" spans="1:9" ht="15.6" x14ac:dyDescent="0.3">
      <c r="A1821" s="9">
        <v>1820</v>
      </c>
      <c r="B1821" s="2" t="s">
        <v>1826</v>
      </c>
      <c r="C1821" s="11">
        <v>14</v>
      </c>
      <c r="D1821" s="12">
        <v>50</v>
      </c>
      <c r="E1821" s="12" t="s">
        <v>8219</v>
      </c>
      <c r="F1821" s="13">
        <v>6</v>
      </c>
      <c r="G1821" s="14">
        <v>1767.1999999999998</v>
      </c>
      <c r="H1821" t="s">
        <v>441</v>
      </c>
      <c r="I1821">
        <v>5</v>
      </c>
    </row>
    <row r="1822" spans="1:9" ht="15.6" x14ac:dyDescent="0.3">
      <c r="A1822" s="9">
        <v>1821</v>
      </c>
      <c r="B1822" s="2" t="s">
        <v>1827</v>
      </c>
      <c r="C1822" s="11">
        <v>16</v>
      </c>
      <c r="D1822" s="12">
        <v>33.333333333333329</v>
      </c>
      <c r="E1822" s="12" t="s">
        <v>8219</v>
      </c>
      <c r="F1822" s="13">
        <v>6</v>
      </c>
      <c r="G1822" s="14">
        <v>1751.1999999999998</v>
      </c>
      <c r="H1822" t="s">
        <v>3257</v>
      </c>
      <c r="I1822">
        <v>5</v>
      </c>
    </row>
    <row r="1823" spans="1:9" ht="15.6" x14ac:dyDescent="0.3">
      <c r="A1823" s="9">
        <v>1822</v>
      </c>
      <c r="B1823" s="2" t="s">
        <v>1828</v>
      </c>
      <c r="C1823" s="11">
        <v>14</v>
      </c>
      <c r="D1823" s="12">
        <v>50</v>
      </c>
      <c r="E1823" s="12" t="s">
        <v>8219</v>
      </c>
      <c r="F1823" s="13">
        <v>6</v>
      </c>
      <c r="G1823" s="14">
        <v>1727.17</v>
      </c>
      <c r="H1823" t="s">
        <v>2233</v>
      </c>
      <c r="I1823">
        <v>5</v>
      </c>
    </row>
    <row r="1824" spans="1:9" ht="15.6" x14ac:dyDescent="0.3">
      <c r="A1824" s="9">
        <v>1823</v>
      </c>
      <c r="B1824" s="2" t="s">
        <v>1829</v>
      </c>
      <c r="C1824" s="11">
        <v>14</v>
      </c>
      <c r="D1824" s="12">
        <v>50</v>
      </c>
      <c r="E1824" s="12" t="s">
        <v>8219</v>
      </c>
      <c r="F1824" s="13">
        <v>6</v>
      </c>
      <c r="G1824" s="14">
        <v>1767.1999999999998</v>
      </c>
      <c r="H1824" t="s">
        <v>1209</v>
      </c>
      <c r="I1824">
        <v>5</v>
      </c>
    </row>
    <row r="1825" spans="1:9" ht="15.6" x14ac:dyDescent="0.3">
      <c r="A1825" s="9">
        <v>1824</v>
      </c>
      <c r="B1825" s="2" t="s">
        <v>1830</v>
      </c>
      <c r="C1825" s="11">
        <v>8</v>
      </c>
      <c r="D1825" s="12">
        <v>33.333333333333329</v>
      </c>
      <c r="E1825" s="12" t="s">
        <v>8219</v>
      </c>
      <c r="F1825" s="13">
        <v>6</v>
      </c>
      <c r="G1825" s="14">
        <v>1742.1799999999998</v>
      </c>
      <c r="H1825" t="s">
        <v>185</v>
      </c>
      <c r="I1825">
        <v>4</v>
      </c>
    </row>
    <row r="1826" spans="1:9" ht="15.6" x14ac:dyDescent="0.3">
      <c r="A1826" s="9">
        <v>1825</v>
      </c>
      <c r="B1826" s="2" t="s">
        <v>1831</v>
      </c>
      <c r="C1826" s="11">
        <v>24</v>
      </c>
      <c r="D1826" s="12">
        <v>33.333333333333329</v>
      </c>
      <c r="E1826" s="12" t="s">
        <v>8219</v>
      </c>
      <c r="F1826" s="13">
        <v>6</v>
      </c>
      <c r="G1826" s="14">
        <v>1800.25</v>
      </c>
      <c r="H1826" t="s">
        <v>3961</v>
      </c>
      <c r="I1826">
        <v>6</v>
      </c>
    </row>
    <row r="1827" spans="1:9" ht="15.6" x14ac:dyDescent="0.3">
      <c r="A1827" s="9">
        <v>1826</v>
      </c>
      <c r="B1827" s="2" t="s">
        <v>1832</v>
      </c>
      <c r="C1827" s="11">
        <v>22</v>
      </c>
      <c r="D1827" s="12">
        <v>50</v>
      </c>
      <c r="E1827" s="12" t="s">
        <v>8219</v>
      </c>
      <c r="F1827" s="13">
        <v>6</v>
      </c>
      <c r="G1827" s="14">
        <v>1776.2199999999998</v>
      </c>
      <c r="H1827" t="s">
        <v>2937</v>
      </c>
      <c r="I1827">
        <v>6</v>
      </c>
    </row>
    <row r="1828" spans="1:9" ht="15.6" x14ac:dyDescent="0.3">
      <c r="A1828" s="9">
        <v>1827</v>
      </c>
      <c r="B1828" s="2" t="s">
        <v>1833</v>
      </c>
      <c r="C1828" s="11">
        <v>22</v>
      </c>
      <c r="D1828" s="12">
        <v>50</v>
      </c>
      <c r="E1828" s="12" t="s">
        <v>8219</v>
      </c>
      <c r="F1828" s="13">
        <v>6</v>
      </c>
      <c r="G1828" s="14">
        <v>1816.25</v>
      </c>
      <c r="H1828" t="s">
        <v>1913</v>
      </c>
      <c r="I1828">
        <v>6</v>
      </c>
    </row>
    <row r="1829" spans="1:9" ht="15.6" x14ac:dyDescent="0.3">
      <c r="A1829" s="9">
        <v>1828</v>
      </c>
      <c r="B1829" s="2" t="s">
        <v>1834</v>
      </c>
      <c r="C1829" s="11">
        <v>16</v>
      </c>
      <c r="D1829" s="12">
        <v>33.333333333333329</v>
      </c>
      <c r="E1829" s="12" t="s">
        <v>8219</v>
      </c>
      <c r="F1829" s="13">
        <v>6</v>
      </c>
      <c r="G1829" s="14">
        <v>1791.23</v>
      </c>
      <c r="H1829" t="s">
        <v>889</v>
      </c>
      <c r="I1829">
        <v>5</v>
      </c>
    </row>
    <row r="1830" spans="1:9" ht="15.6" x14ac:dyDescent="0.3">
      <c r="A1830" s="9">
        <v>1829</v>
      </c>
      <c r="B1830" s="2" t="s">
        <v>1835</v>
      </c>
      <c r="C1830" s="11">
        <v>22</v>
      </c>
      <c r="D1830" s="12">
        <v>50</v>
      </c>
      <c r="E1830" s="12" t="s">
        <v>8219</v>
      </c>
      <c r="F1830" s="13">
        <v>6</v>
      </c>
      <c r="G1830" s="14">
        <v>1776.2199999999998</v>
      </c>
      <c r="H1830" t="s">
        <v>3705</v>
      </c>
      <c r="I1830">
        <v>6</v>
      </c>
    </row>
    <row r="1831" spans="1:9" ht="15.6" x14ac:dyDescent="0.3">
      <c r="A1831" s="9">
        <v>1830</v>
      </c>
      <c r="B1831" s="2" t="s">
        <v>1836</v>
      </c>
      <c r="C1831" s="11">
        <v>20</v>
      </c>
      <c r="D1831" s="12">
        <v>66.666666666666657</v>
      </c>
      <c r="E1831" s="12" t="s">
        <v>8220</v>
      </c>
      <c r="F1831" s="13">
        <v>6</v>
      </c>
      <c r="G1831" s="14">
        <v>1752.19</v>
      </c>
      <c r="H1831" t="s">
        <v>2681</v>
      </c>
      <c r="I1831">
        <v>6</v>
      </c>
    </row>
    <row r="1832" spans="1:9" ht="15.6" x14ac:dyDescent="0.3">
      <c r="A1832" s="9">
        <v>1831</v>
      </c>
      <c r="B1832" s="2" t="s">
        <v>1837</v>
      </c>
      <c r="C1832" s="11">
        <v>20</v>
      </c>
      <c r="D1832" s="12">
        <v>66.666666666666657</v>
      </c>
      <c r="E1832" s="12" t="s">
        <v>8220</v>
      </c>
      <c r="F1832" s="13">
        <v>6</v>
      </c>
      <c r="G1832" s="14">
        <v>1792.2199999999998</v>
      </c>
      <c r="H1832" t="s">
        <v>1657</v>
      </c>
      <c r="I1832">
        <v>6</v>
      </c>
    </row>
    <row r="1833" spans="1:9" ht="15.6" x14ac:dyDescent="0.3">
      <c r="A1833" s="9">
        <v>1832</v>
      </c>
      <c r="B1833" s="2" t="s">
        <v>1838</v>
      </c>
      <c r="C1833" s="11">
        <v>14</v>
      </c>
      <c r="D1833" s="12">
        <v>50</v>
      </c>
      <c r="E1833" s="12" t="s">
        <v>8219</v>
      </c>
      <c r="F1833" s="13">
        <v>6</v>
      </c>
      <c r="G1833" s="14">
        <v>1767.1999999999998</v>
      </c>
      <c r="H1833" t="s">
        <v>633</v>
      </c>
      <c r="I1833">
        <v>5</v>
      </c>
    </row>
    <row r="1834" spans="1:9" ht="15.6" x14ac:dyDescent="0.3">
      <c r="A1834" s="9">
        <v>1833</v>
      </c>
      <c r="B1834" s="2" t="s">
        <v>1839</v>
      </c>
      <c r="C1834" s="11">
        <v>22</v>
      </c>
      <c r="D1834" s="12">
        <v>50</v>
      </c>
      <c r="E1834" s="12" t="s">
        <v>8219</v>
      </c>
      <c r="F1834" s="13">
        <v>6</v>
      </c>
      <c r="G1834" s="14">
        <v>1816.25</v>
      </c>
      <c r="H1834" t="s">
        <v>3449</v>
      </c>
      <c r="I1834">
        <v>6</v>
      </c>
    </row>
    <row r="1835" spans="1:9" ht="15.6" x14ac:dyDescent="0.3">
      <c r="A1835" s="9">
        <v>1834</v>
      </c>
      <c r="B1835" s="2" t="s">
        <v>1840</v>
      </c>
      <c r="C1835" s="11">
        <v>20</v>
      </c>
      <c r="D1835" s="12">
        <v>66.666666666666657</v>
      </c>
      <c r="E1835" s="12" t="s">
        <v>8220</v>
      </c>
      <c r="F1835" s="13">
        <v>6</v>
      </c>
      <c r="G1835" s="14">
        <v>1792.2199999999998</v>
      </c>
      <c r="H1835" t="s">
        <v>2425</v>
      </c>
      <c r="I1835">
        <v>6</v>
      </c>
    </row>
    <row r="1836" spans="1:9" ht="15.6" x14ac:dyDescent="0.3">
      <c r="A1836" s="9">
        <v>1835</v>
      </c>
      <c r="B1836" s="2" t="s">
        <v>1841</v>
      </c>
      <c r="C1836" s="11">
        <v>20</v>
      </c>
      <c r="D1836" s="12">
        <v>66.666666666666657</v>
      </c>
      <c r="E1836" s="12" t="s">
        <v>8220</v>
      </c>
      <c r="F1836" s="13">
        <v>6</v>
      </c>
      <c r="G1836" s="14">
        <v>1832.25</v>
      </c>
      <c r="H1836" t="s">
        <v>1401</v>
      </c>
      <c r="I1836">
        <v>6</v>
      </c>
    </row>
    <row r="1837" spans="1:9" ht="15.6" x14ac:dyDescent="0.3">
      <c r="A1837" s="9">
        <v>1836</v>
      </c>
      <c r="B1837" s="2" t="s">
        <v>1842</v>
      </c>
      <c r="C1837" s="11">
        <v>14</v>
      </c>
      <c r="D1837" s="12">
        <v>50</v>
      </c>
      <c r="E1837" s="12" t="s">
        <v>8219</v>
      </c>
      <c r="F1837" s="13">
        <v>6</v>
      </c>
      <c r="G1837" s="14">
        <v>1807.23</v>
      </c>
      <c r="H1837" t="s">
        <v>377</v>
      </c>
      <c r="I1837">
        <v>5</v>
      </c>
    </row>
    <row r="1838" spans="1:9" ht="15.6" x14ac:dyDescent="0.3">
      <c r="A1838" s="9">
        <v>1837</v>
      </c>
      <c r="B1838" s="2" t="s">
        <v>1843</v>
      </c>
      <c r="C1838" s="11">
        <v>16</v>
      </c>
      <c r="D1838" s="12">
        <v>33.333333333333329</v>
      </c>
      <c r="E1838" s="12" t="s">
        <v>8219</v>
      </c>
      <c r="F1838" s="13">
        <v>6</v>
      </c>
      <c r="G1838" s="14">
        <v>1791.23</v>
      </c>
      <c r="H1838" t="s">
        <v>3193</v>
      </c>
      <c r="I1838">
        <v>5</v>
      </c>
    </row>
    <row r="1839" spans="1:9" ht="15.6" x14ac:dyDescent="0.3">
      <c r="A1839" s="9">
        <v>1838</v>
      </c>
      <c r="B1839" s="2" t="s">
        <v>1844</v>
      </c>
      <c r="C1839" s="11">
        <v>14</v>
      </c>
      <c r="D1839" s="12">
        <v>50</v>
      </c>
      <c r="E1839" s="12" t="s">
        <v>8219</v>
      </c>
      <c r="F1839" s="13">
        <v>6</v>
      </c>
      <c r="G1839" s="14">
        <v>1767.1999999999998</v>
      </c>
      <c r="H1839" t="s">
        <v>2169</v>
      </c>
      <c r="I1839">
        <v>5</v>
      </c>
    </row>
    <row r="1840" spans="1:9" ht="15.6" x14ac:dyDescent="0.3">
      <c r="A1840" s="9">
        <v>1839</v>
      </c>
      <c r="B1840" s="2" t="s">
        <v>1845</v>
      </c>
      <c r="C1840" s="11">
        <v>14</v>
      </c>
      <c r="D1840" s="12">
        <v>50</v>
      </c>
      <c r="E1840" s="12" t="s">
        <v>8219</v>
      </c>
      <c r="F1840" s="13">
        <v>6</v>
      </c>
      <c r="G1840" s="14">
        <v>1807.23</v>
      </c>
      <c r="H1840" t="s">
        <v>1145</v>
      </c>
      <c r="I1840">
        <v>5</v>
      </c>
    </row>
    <row r="1841" spans="1:9" ht="15.6" x14ac:dyDescent="0.3">
      <c r="A1841" s="9">
        <v>1840</v>
      </c>
      <c r="B1841" s="2" t="s">
        <v>1846</v>
      </c>
      <c r="C1841" s="11">
        <v>8</v>
      </c>
      <c r="D1841" s="12">
        <v>33.333333333333329</v>
      </c>
      <c r="E1841" s="12" t="s">
        <v>8219</v>
      </c>
      <c r="F1841" s="13">
        <v>6</v>
      </c>
      <c r="G1841" s="14">
        <v>1782.21</v>
      </c>
      <c r="H1841" t="s">
        <v>121</v>
      </c>
      <c r="I1841">
        <v>4</v>
      </c>
    </row>
    <row r="1842" spans="1:9" ht="15.6" x14ac:dyDescent="0.3">
      <c r="A1842" s="9">
        <v>1841</v>
      </c>
      <c r="B1842" s="2" t="s">
        <v>1847</v>
      </c>
      <c r="C1842" s="11">
        <v>18</v>
      </c>
      <c r="D1842" s="12">
        <v>16.666666666666664</v>
      </c>
      <c r="E1842" s="12" t="s">
        <v>8219</v>
      </c>
      <c r="F1842" s="13">
        <v>6</v>
      </c>
      <c r="G1842" s="14">
        <v>1775.23</v>
      </c>
      <c r="H1842" t="s">
        <v>3897</v>
      </c>
      <c r="I1842">
        <v>5</v>
      </c>
    </row>
    <row r="1843" spans="1:9" ht="15.6" x14ac:dyDescent="0.3">
      <c r="A1843" s="9">
        <v>1842</v>
      </c>
      <c r="B1843" s="2" t="s">
        <v>1848</v>
      </c>
      <c r="C1843" s="11">
        <v>16</v>
      </c>
      <c r="D1843" s="12">
        <v>33.333333333333329</v>
      </c>
      <c r="E1843" s="12" t="s">
        <v>8219</v>
      </c>
      <c r="F1843" s="13">
        <v>6</v>
      </c>
      <c r="G1843" s="14">
        <v>1751.1999999999998</v>
      </c>
      <c r="H1843" t="s">
        <v>2873</v>
      </c>
      <c r="I1843">
        <v>5</v>
      </c>
    </row>
    <row r="1844" spans="1:9" ht="15.6" x14ac:dyDescent="0.3">
      <c r="A1844" s="9">
        <v>1843</v>
      </c>
      <c r="B1844" s="2" t="s">
        <v>1849</v>
      </c>
      <c r="C1844" s="11">
        <v>16</v>
      </c>
      <c r="D1844" s="12">
        <v>33.333333333333329</v>
      </c>
      <c r="E1844" s="12" t="s">
        <v>8219</v>
      </c>
      <c r="F1844" s="13">
        <v>6</v>
      </c>
      <c r="G1844" s="14">
        <v>1791.23</v>
      </c>
      <c r="H1844" t="s">
        <v>1849</v>
      </c>
      <c r="I1844">
        <v>5</v>
      </c>
    </row>
    <row r="1845" spans="1:9" ht="15.6" x14ac:dyDescent="0.3">
      <c r="A1845" s="9">
        <v>1844</v>
      </c>
      <c r="B1845" s="2" t="s">
        <v>1850</v>
      </c>
      <c r="C1845" s="11">
        <v>10</v>
      </c>
      <c r="D1845" s="12">
        <v>16.666666666666664</v>
      </c>
      <c r="E1845" s="12" t="s">
        <v>8219</v>
      </c>
      <c r="F1845" s="13">
        <v>6</v>
      </c>
      <c r="G1845" s="14">
        <v>1766.21</v>
      </c>
      <c r="H1845" t="s">
        <v>825</v>
      </c>
      <c r="I1845">
        <v>4</v>
      </c>
    </row>
    <row r="1846" spans="1:9" ht="15.6" x14ac:dyDescent="0.3">
      <c r="A1846" s="9">
        <v>1845</v>
      </c>
      <c r="B1846" s="2" t="s">
        <v>1851</v>
      </c>
      <c r="C1846" s="11">
        <v>16</v>
      </c>
      <c r="D1846" s="12">
        <v>33.333333333333329</v>
      </c>
      <c r="E1846" s="12" t="s">
        <v>8219</v>
      </c>
      <c r="F1846" s="13">
        <v>6</v>
      </c>
      <c r="G1846" s="14">
        <v>1751.1999999999998</v>
      </c>
      <c r="H1846" t="s">
        <v>3641</v>
      </c>
      <c r="I1846">
        <v>5</v>
      </c>
    </row>
    <row r="1847" spans="1:9" ht="15.6" x14ac:dyDescent="0.3">
      <c r="A1847" s="9">
        <v>1846</v>
      </c>
      <c r="B1847" s="2" t="s">
        <v>1852</v>
      </c>
      <c r="C1847" s="11">
        <v>14</v>
      </c>
      <c r="D1847" s="12">
        <v>50</v>
      </c>
      <c r="E1847" s="12" t="s">
        <v>8219</v>
      </c>
      <c r="F1847" s="13">
        <v>6</v>
      </c>
      <c r="G1847" s="14">
        <v>1727.17</v>
      </c>
      <c r="H1847" t="s">
        <v>2617</v>
      </c>
      <c r="I1847">
        <v>5</v>
      </c>
    </row>
    <row r="1848" spans="1:9" ht="15.6" x14ac:dyDescent="0.3">
      <c r="A1848" s="9">
        <v>1847</v>
      </c>
      <c r="B1848" s="2" t="s">
        <v>1853</v>
      </c>
      <c r="C1848" s="11">
        <v>14</v>
      </c>
      <c r="D1848" s="12">
        <v>50</v>
      </c>
      <c r="E1848" s="12" t="s">
        <v>8219</v>
      </c>
      <c r="F1848" s="13">
        <v>6</v>
      </c>
      <c r="G1848" s="14">
        <v>1767.1999999999998</v>
      </c>
      <c r="H1848" t="s">
        <v>1593</v>
      </c>
      <c r="I1848">
        <v>5</v>
      </c>
    </row>
    <row r="1849" spans="1:9" ht="15.6" x14ac:dyDescent="0.3">
      <c r="A1849" s="9">
        <v>1848</v>
      </c>
      <c r="B1849" s="2" t="s">
        <v>1854</v>
      </c>
      <c r="C1849" s="11">
        <v>8</v>
      </c>
      <c r="D1849" s="12">
        <v>33.333333333333329</v>
      </c>
      <c r="E1849" s="12" t="s">
        <v>8219</v>
      </c>
      <c r="F1849" s="13">
        <v>6</v>
      </c>
      <c r="G1849" s="14">
        <v>1742.1799999999998</v>
      </c>
      <c r="H1849" t="s">
        <v>569</v>
      </c>
      <c r="I1849">
        <v>4</v>
      </c>
    </row>
    <row r="1850" spans="1:9" ht="15.6" x14ac:dyDescent="0.3">
      <c r="A1850" s="9">
        <v>1849</v>
      </c>
      <c r="B1850" s="2" t="s">
        <v>1855</v>
      </c>
      <c r="C1850" s="11">
        <v>16</v>
      </c>
      <c r="D1850" s="12">
        <v>33.333333333333329</v>
      </c>
      <c r="E1850" s="12" t="s">
        <v>8219</v>
      </c>
      <c r="F1850" s="13">
        <v>6</v>
      </c>
      <c r="G1850" s="14">
        <v>1791.23</v>
      </c>
      <c r="H1850" t="s">
        <v>3385</v>
      </c>
      <c r="I1850">
        <v>5</v>
      </c>
    </row>
    <row r="1851" spans="1:9" ht="15.6" x14ac:dyDescent="0.3">
      <c r="A1851" s="9">
        <v>1850</v>
      </c>
      <c r="B1851" s="2" t="s">
        <v>1856</v>
      </c>
      <c r="C1851" s="11">
        <v>14</v>
      </c>
      <c r="D1851" s="12">
        <v>50</v>
      </c>
      <c r="E1851" s="12" t="s">
        <v>8219</v>
      </c>
      <c r="F1851" s="13">
        <v>6</v>
      </c>
      <c r="G1851" s="14">
        <v>1767.1999999999998</v>
      </c>
      <c r="H1851" t="s">
        <v>2361</v>
      </c>
      <c r="I1851">
        <v>5</v>
      </c>
    </row>
    <row r="1852" spans="1:9" ht="15.6" x14ac:dyDescent="0.3">
      <c r="A1852" s="9">
        <v>1851</v>
      </c>
      <c r="B1852" s="2" t="s">
        <v>1857</v>
      </c>
      <c r="C1852" s="11">
        <v>14</v>
      </c>
      <c r="D1852" s="12">
        <v>50</v>
      </c>
      <c r="E1852" s="12" t="s">
        <v>8219</v>
      </c>
      <c r="F1852" s="13">
        <v>6</v>
      </c>
      <c r="G1852" s="14">
        <v>1807.23</v>
      </c>
      <c r="H1852" t="s">
        <v>1337</v>
      </c>
      <c r="I1852">
        <v>5</v>
      </c>
    </row>
    <row r="1853" spans="1:9" ht="15.6" x14ac:dyDescent="0.3">
      <c r="A1853" s="9">
        <v>1852</v>
      </c>
      <c r="B1853" s="2" t="s">
        <v>1858</v>
      </c>
      <c r="C1853" s="11">
        <v>8</v>
      </c>
      <c r="D1853" s="12">
        <v>33.333333333333329</v>
      </c>
      <c r="E1853" s="12" t="s">
        <v>8219</v>
      </c>
      <c r="F1853" s="13">
        <v>6</v>
      </c>
      <c r="G1853" s="14">
        <v>1782.21</v>
      </c>
      <c r="H1853" t="s">
        <v>313</v>
      </c>
      <c r="I1853">
        <v>4</v>
      </c>
    </row>
    <row r="1854" spans="1:9" ht="15.6" x14ac:dyDescent="0.3">
      <c r="A1854" s="9">
        <v>1853</v>
      </c>
      <c r="B1854" s="2" t="s">
        <v>1859</v>
      </c>
      <c r="C1854" s="11">
        <v>10</v>
      </c>
      <c r="D1854" s="12">
        <v>16.666666666666664</v>
      </c>
      <c r="E1854" s="12" t="s">
        <v>8219</v>
      </c>
      <c r="F1854" s="13">
        <v>6</v>
      </c>
      <c r="G1854" s="14">
        <v>1766.21</v>
      </c>
      <c r="H1854" t="s">
        <v>3129</v>
      </c>
      <c r="I1854">
        <v>4</v>
      </c>
    </row>
    <row r="1855" spans="1:9" ht="15.6" x14ac:dyDescent="0.3">
      <c r="A1855" s="9">
        <v>1854</v>
      </c>
      <c r="B1855" s="2" t="s">
        <v>1860</v>
      </c>
      <c r="C1855" s="11">
        <v>8</v>
      </c>
      <c r="D1855" s="12">
        <v>33.333333333333329</v>
      </c>
      <c r="E1855" s="12" t="s">
        <v>8219</v>
      </c>
      <c r="F1855" s="13">
        <v>6</v>
      </c>
      <c r="G1855" s="14">
        <v>1742.1799999999998</v>
      </c>
      <c r="H1855" t="s">
        <v>2105</v>
      </c>
      <c r="I1855">
        <v>4</v>
      </c>
    </row>
    <row r="1856" spans="1:9" ht="15.6" x14ac:dyDescent="0.3">
      <c r="A1856" s="9">
        <v>1855</v>
      </c>
      <c r="B1856" s="2" t="s">
        <v>1861</v>
      </c>
      <c r="C1856" s="11">
        <v>8</v>
      </c>
      <c r="D1856" s="12">
        <v>33.333333333333329</v>
      </c>
      <c r="E1856" s="12" t="s">
        <v>8219</v>
      </c>
      <c r="F1856" s="13">
        <v>6</v>
      </c>
      <c r="G1856" s="14">
        <v>1782.21</v>
      </c>
      <c r="H1856" t="s">
        <v>1081</v>
      </c>
      <c r="I1856">
        <v>4</v>
      </c>
    </row>
    <row r="1857" spans="1:9" ht="15.6" x14ac:dyDescent="0.3">
      <c r="A1857" s="9">
        <v>1856</v>
      </c>
      <c r="B1857" s="2" t="s">
        <v>1862</v>
      </c>
      <c r="C1857" s="11">
        <v>2</v>
      </c>
      <c r="D1857" s="12">
        <v>16.666666666666664</v>
      </c>
      <c r="E1857" s="12" t="s">
        <v>8219</v>
      </c>
      <c r="F1857" s="13">
        <v>6</v>
      </c>
      <c r="G1857" s="14">
        <v>1757.19</v>
      </c>
      <c r="H1857" t="s">
        <v>57</v>
      </c>
      <c r="I1857">
        <v>3</v>
      </c>
    </row>
    <row r="1858" spans="1:9" ht="15.6" x14ac:dyDescent="0.3">
      <c r="A1858" s="9">
        <v>1857</v>
      </c>
      <c r="B1858" s="2" t="s">
        <v>1863</v>
      </c>
      <c r="C1858" s="11">
        <v>24</v>
      </c>
      <c r="D1858" s="12">
        <v>33.333333333333329</v>
      </c>
      <c r="E1858" s="12" t="s">
        <v>8219</v>
      </c>
      <c r="F1858" s="13">
        <v>6</v>
      </c>
      <c r="G1858" s="14">
        <v>1760.2199999999998</v>
      </c>
      <c r="H1858" t="s">
        <v>4073</v>
      </c>
      <c r="I1858">
        <v>6</v>
      </c>
    </row>
    <row r="1859" spans="1:9" ht="15.6" x14ac:dyDescent="0.3">
      <c r="A1859" s="9">
        <v>1858</v>
      </c>
      <c r="B1859" s="2" t="s">
        <v>1864</v>
      </c>
      <c r="C1859" s="11">
        <v>22</v>
      </c>
      <c r="D1859" s="12">
        <v>50</v>
      </c>
      <c r="E1859" s="12" t="s">
        <v>8219</v>
      </c>
      <c r="F1859" s="13">
        <v>6</v>
      </c>
      <c r="G1859" s="14">
        <v>1736.19</v>
      </c>
      <c r="H1859" t="s">
        <v>3049</v>
      </c>
      <c r="I1859">
        <v>6</v>
      </c>
    </row>
    <row r="1860" spans="1:9" ht="15.6" x14ac:dyDescent="0.3">
      <c r="A1860" s="9">
        <v>1859</v>
      </c>
      <c r="B1860" s="2" t="s">
        <v>1865</v>
      </c>
      <c r="C1860" s="11">
        <v>22</v>
      </c>
      <c r="D1860" s="12">
        <v>50</v>
      </c>
      <c r="E1860" s="12" t="s">
        <v>8219</v>
      </c>
      <c r="F1860" s="13">
        <v>6</v>
      </c>
      <c r="G1860" s="14">
        <v>1776.2199999999998</v>
      </c>
      <c r="H1860" t="s">
        <v>2025</v>
      </c>
      <c r="I1860">
        <v>6</v>
      </c>
    </row>
    <row r="1861" spans="1:9" ht="15.6" x14ac:dyDescent="0.3">
      <c r="A1861" s="9">
        <v>1860</v>
      </c>
      <c r="B1861" s="2" t="s">
        <v>1866</v>
      </c>
      <c r="C1861" s="11">
        <v>16</v>
      </c>
      <c r="D1861" s="12">
        <v>33.333333333333329</v>
      </c>
      <c r="E1861" s="12" t="s">
        <v>8219</v>
      </c>
      <c r="F1861" s="13">
        <v>6</v>
      </c>
      <c r="G1861" s="14">
        <v>1751.1999999999998</v>
      </c>
      <c r="H1861" t="s">
        <v>1001</v>
      </c>
      <c r="I1861">
        <v>5</v>
      </c>
    </row>
    <row r="1862" spans="1:9" ht="15.6" x14ac:dyDescent="0.3">
      <c r="A1862" s="9">
        <v>1861</v>
      </c>
      <c r="B1862" s="2" t="s">
        <v>1867</v>
      </c>
      <c r="C1862" s="11">
        <v>22</v>
      </c>
      <c r="D1862" s="12">
        <v>50</v>
      </c>
      <c r="E1862" s="12" t="s">
        <v>8219</v>
      </c>
      <c r="F1862" s="13">
        <v>6</v>
      </c>
      <c r="G1862" s="14">
        <v>1736.19</v>
      </c>
      <c r="H1862" t="s">
        <v>3817</v>
      </c>
      <c r="I1862">
        <v>6</v>
      </c>
    </row>
    <row r="1863" spans="1:9" ht="15.6" x14ac:dyDescent="0.3">
      <c r="A1863" s="9">
        <v>1862</v>
      </c>
      <c r="B1863" s="2" t="s">
        <v>1868</v>
      </c>
      <c r="C1863" s="11">
        <v>20</v>
      </c>
      <c r="D1863" s="12">
        <v>66.666666666666657</v>
      </c>
      <c r="E1863" s="12" t="s">
        <v>8220</v>
      </c>
      <c r="F1863" s="13">
        <v>6</v>
      </c>
      <c r="G1863" s="14">
        <v>1712.1599999999999</v>
      </c>
      <c r="H1863" t="s">
        <v>2793</v>
      </c>
      <c r="I1863">
        <v>6</v>
      </c>
    </row>
    <row r="1864" spans="1:9" ht="15.6" x14ac:dyDescent="0.3">
      <c r="A1864" s="9">
        <v>1863</v>
      </c>
      <c r="B1864" s="2" t="s">
        <v>1869</v>
      </c>
      <c r="C1864" s="11">
        <v>20</v>
      </c>
      <c r="D1864" s="12">
        <v>66.666666666666657</v>
      </c>
      <c r="E1864" s="12" t="s">
        <v>8220</v>
      </c>
      <c r="F1864" s="13">
        <v>6</v>
      </c>
      <c r="G1864" s="14">
        <v>1752.19</v>
      </c>
      <c r="H1864" t="s">
        <v>1769</v>
      </c>
      <c r="I1864">
        <v>6</v>
      </c>
    </row>
    <row r="1865" spans="1:9" ht="15.6" x14ac:dyDescent="0.3">
      <c r="A1865" s="9">
        <v>1864</v>
      </c>
      <c r="B1865" s="2" t="s">
        <v>1870</v>
      </c>
      <c r="C1865" s="11">
        <v>14</v>
      </c>
      <c r="D1865" s="12">
        <v>50</v>
      </c>
      <c r="E1865" s="12" t="s">
        <v>8219</v>
      </c>
      <c r="F1865" s="13">
        <v>6</v>
      </c>
      <c r="G1865" s="14">
        <v>1727.17</v>
      </c>
      <c r="H1865" t="s">
        <v>745</v>
      </c>
      <c r="I1865">
        <v>5</v>
      </c>
    </row>
    <row r="1866" spans="1:9" ht="15.6" x14ac:dyDescent="0.3">
      <c r="A1866" s="9">
        <v>1865</v>
      </c>
      <c r="B1866" s="2" t="s">
        <v>1871</v>
      </c>
      <c r="C1866" s="11">
        <v>22</v>
      </c>
      <c r="D1866" s="12">
        <v>50</v>
      </c>
      <c r="E1866" s="12" t="s">
        <v>8219</v>
      </c>
      <c r="F1866" s="13">
        <v>6</v>
      </c>
      <c r="G1866" s="14">
        <v>1776.2199999999998</v>
      </c>
      <c r="H1866" t="s">
        <v>3561</v>
      </c>
      <c r="I1866">
        <v>6</v>
      </c>
    </row>
    <row r="1867" spans="1:9" ht="15.6" x14ac:dyDescent="0.3">
      <c r="A1867" s="9">
        <v>1866</v>
      </c>
      <c r="B1867" s="2" t="s">
        <v>1872</v>
      </c>
      <c r="C1867" s="11">
        <v>20</v>
      </c>
      <c r="D1867" s="12">
        <v>66.666666666666657</v>
      </c>
      <c r="E1867" s="12" t="s">
        <v>8220</v>
      </c>
      <c r="F1867" s="13">
        <v>6</v>
      </c>
      <c r="G1867" s="14">
        <v>1752.19</v>
      </c>
      <c r="H1867" t="s">
        <v>2537</v>
      </c>
      <c r="I1867">
        <v>6</v>
      </c>
    </row>
    <row r="1868" spans="1:9" ht="15.6" x14ac:dyDescent="0.3">
      <c r="A1868" s="9">
        <v>1867</v>
      </c>
      <c r="B1868" s="2" t="s">
        <v>1873</v>
      </c>
      <c r="C1868" s="11">
        <v>20</v>
      </c>
      <c r="D1868" s="12">
        <v>66.666666666666657</v>
      </c>
      <c r="E1868" s="12" t="s">
        <v>8220</v>
      </c>
      <c r="F1868" s="13">
        <v>6</v>
      </c>
      <c r="G1868" s="14">
        <v>1792.2199999999998</v>
      </c>
      <c r="H1868" t="s">
        <v>1513</v>
      </c>
      <c r="I1868">
        <v>6</v>
      </c>
    </row>
    <row r="1869" spans="1:9" ht="15.6" x14ac:dyDescent="0.3">
      <c r="A1869" s="9">
        <v>1868</v>
      </c>
      <c r="B1869" s="2" t="s">
        <v>1874</v>
      </c>
      <c r="C1869" s="11">
        <v>14</v>
      </c>
      <c r="D1869" s="12">
        <v>50</v>
      </c>
      <c r="E1869" s="12" t="s">
        <v>8219</v>
      </c>
      <c r="F1869" s="13">
        <v>6</v>
      </c>
      <c r="G1869" s="14">
        <v>1767.1999999999998</v>
      </c>
      <c r="H1869" t="s">
        <v>489</v>
      </c>
      <c r="I1869">
        <v>5</v>
      </c>
    </row>
    <row r="1870" spans="1:9" ht="15.6" x14ac:dyDescent="0.3">
      <c r="A1870" s="9">
        <v>1869</v>
      </c>
      <c r="B1870" s="2" t="s">
        <v>1875</v>
      </c>
      <c r="C1870" s="11">
        <v>16</v>
      </c>
      <c r="D1870" s="12">
        <v>33.333333333333329</v>
      </c>
      <c r="E1870" s="12" t="s">
        <v>8219</v>
      </c>
      <c r="F1870" s="13">
        <v>6</v>
      </c>
      <c r="G1870" s="14">
        <v>1751.1999999999998</v>
      </c>
      <c r="H1870" t="s">
        <v>3305</v>
      </c>
      <c r="I1870">
        <v>5</v>
      </c>
    </row>
    <row r="1871" spans="1:9" ht="15.6" x14ac:dyDescent="0.3">
      <c r="A1871" s="9">
        <v>1870</v>
      </c>
      <c r="B1871" s="2" t="s">
        <v>1876</v>
      </c>
      <c r="C1871" s="11">
        <v>14</v>
      </c>
      <c r="D1871" s="12">
        <v>50</v>
      </c>
      <c r="E1871" s="12" t="s">
        <v>8219</v>
      </c>
      <c r="F1871" s="13">
        <v>6</v>
      </c>
      <c r="G1871" s="14">
        <v>1727.17</v>
      </c>
      <c r="H1871" t="s">
        <v>2281</v>
      </c>
      <c r="I1871">
        <v>5</v>
      </c>
    </row>
    <row r="1872" spans="1:9" ht="15.6" x14ac:dyDescent="0.3">
      <c r="A1872" s="9">
        <v>1871</v>
      </c>
      <c r="B1872" s="2" t="s">
        <v>1877</v>
      </c>
      <c r="C1872" s="11">
        <v>14</v>
      </c>
      <c r="D1872" s="12">
        <v>50</v>
      </c>
      <c r="E1872" s="12" t="s">
        <v>8219</v>
      </c>
      <c r="F1872" s="13">
        <v>6</v>
      </c>
      <c r="G1872" s="14">
        <v>1767.1999999999998</v>
      </c>
      <c r="H1872" t="s">
        <v>1257</v>
      </c>
      <c r="I1872">
        <v>5</v>
      </c>
    </row>
    <row r="1873" spans="1:9" ht="15.6" x14ac:dyDescent="0.3">
      <c r="A1873" s="9">
        <v>1872</v>
      </c>
      <c r="B1873" s="2" t="s">
        <v>1878</v>
      </c>
      <c r="C1873" s="11">
        <v>8</v>
      </c>
      <c r="D1873" s="12">
        <v>33.333333333333329</v>
      </c>
      <c r="E1873" s="12" t="s">
        <v>8219</v>
      </c>
      <c r="F1873" s="13">
        <v>6</v>
      </c>
      <c r="G1873" s="14">
        <v>1742.1799999999998</v>
      </c>
      <c r="H1873" t="s">
        <v>233</v>
      </c>
      <c r="I1873">
        <v>4</v>
      </c>
    </row>
    <row r="1874" spans="1:9" ht="15.6" x14ac:dyDescent="0.3">
      <c r="A1874" s="9">
        <v>1873</v>
      </c>
      <c r="B1874" s="2" t="s">
        <v>1879</v>
      </c>
      <c r="C1874" s="11">
        <v>22</v>
      </c>
      <c r="D1874" s="12">
        <v>50</v>
      </c>
      <c r="E1874" s="12" t="s">
        <v>8219</v>
      </c>
      <c r="F1874" s="13">
        <v>6</v>
      </c>
      <c r="G1874" s="14">
        <v>1736.19</v>
      </c>
      <c r="H1874" t="s">
        <v>4009</v>
      </c>
      <c r="I1874">
        <v>6</v>
      </c>
    </row>
    <row r="1875" spans="1:9" ht="15.6" x14ac:dyDescent="0.3">
      <c r="A1875" s="9">
        <v>1874</v>
      </c>
      <c r="B1875" s="2" t="s">
        <v>1880</v>
      </c>
      <c r="C1875" s="11">
        <v>20</v>
      </c>
      <c r="D1875" s="12">
        <v>66.666666666666657</v>
      </c>
      <c r="E1875" s="12" t="s">
        <v>8220</v>
      </c>
      <c r="F1875" s="13">
        <v>6</v>
      </c>
      <c r="G1875" s="14">
        <v>1712.1599999999999</v>
      </c>
      <c r="H1875" t="s">
        <v>2985</v>
      </c>
      <c r="I1875">
        <v>6</v>
      </c>
    </row>
    <row r="1876" spans="1:9" ht="15.6" x14ac:dyDescent="0.3">
      <c r="A1876" s="9">
        <v>1875</v>
      </c>
      <c r="B1876" s="2" t="s">
        <v>1881</v>
      </c>
      <c r="C1876" s="11">
        <v>20</v>
      </c>
      <c r="D1876" s="12">
        <v>66.666666666666657</v>
      </c>
      <c r="E1876" s="12" t="s">
        <v>8220</v>
      </c>
      <c r="F1876" s="13">
        <v>6</v>
      </c>
      <c r="G1876" s="14">
        <v>1752.19</v>
      </c>
      <c r="H1876" t="s">
        <v>1961</v>
      </c>
      <c r="I1876">
        <v>6</v>
      </c>
    </row>
    <row r="1877" spans="1:9" ht="15.6" x14ac:dyDescent="0.3">
      <c r="A1877" s="9">
        <v>1876</v>
      </c>
      <c r="B1877" s="2" t="s">
        <v>1882</v>
      </c>
      <c r="C1877" s="11">
        <v>14</v>
      </c>
      <c r="D1877" s="12">
        <v>50</v>
      </c>
      <c r="E1877" s="12" t="s">
        <v>8219</v>
      </c>
      <c r="F1877" s="13">
        <v>6</v>
      </c>
      <c r="G1877" s="14">
        <v>1727.17</v>
      </c>
      <c r="H1877" t="s">
        <v>937</v>
      </c>
      <c r="I1877">
        <v>5</v>
      </c>
    </row>
    <row r="1878" spans="1:9" ht="15.6" x14ac:dyDescent="0.3">
      <c r="A1878" s="9">
        <v>1877</v>
      </c>
      <c r="B1878" s="2" t="s">
        <v>1883</v>
      </c>
      <c r="C1878" s="11">
        <v>20</v>
      </c>
      <c r="D1878" s="12">
        <v>66.666666666666657</v>
      </c>
      <c r="E1878" s="12" t="s">
        <v>8220</v>
      </c>
      <c r="F1878" s="13">
        <v>6</v>
      </c>
      <c r="G1878" s="14">
        <v>1712.1599999999999</v>
      </c>
      <c r="H1878" t="s">
        <v>3753</v>
      </c>
      <c r="I1878">
        <v>6</v>
      </c>
    </row>
    <row r="1879" spans="1:9" ht="15.6" x14ac:dyDescent="0.3">
      <c r="A1879" s="9">
        <v>1878</v>
      </c>
      <c r="B1879" s="2" t="s">
        <v>1884</v>
      </c>
      <c r="C1879" s="11">
        <v>18</v>
      </c>
      <c r="D1879" s="12">
        <v>83.333333333333343</v>
      </c>
      <c r="E1879" s="12" t="s">
        <v>8220</v>
      </c>
      <c r="F1879" s="13">
        <v>6</v>
      </c>
      <c r="G1879" s="14">
        <v>1688.13</v>
      </c>
      <c r="H1879" t="s">
        <v>2729</v>
      </c>
      <c r="I1879">
        <v>5</v>
      </c>
    </row>
    <row r="1880" spans="1:9" ht="15.6" x14ac:dyDescent="0.3">
      <c r="A1880" s="9">
        <v>1879</v>
      </c>
      <c r="B1880" s="2" t="s">
        <v>1885</v>
      </c>
      <c r="C1880" s="11">
        <v>18</v>
      </c>
      <c r="D1880" s="12">
        <v>83.333333333333343</v>
      </c>
      <c r="E1880" s="12" t="s">
        <v>8220</v>
      </c>
      <c r="F1880" s="13">
        <v>6</v>
      </c>
      <c r="G1880" s="14">
        <v>1728.1599999999999</v>
      </c>
      <c r="H1880" t="s">
        <v>1705</v>
      </c>
      <c r="I1880">
        <v>5</v>
      </c>
    </row>
    <row r="1881" spans="1:9" ht="15.6" x14ac:dyDescent="0.3">
      <c r="A1881" s="9">
        <v>1880</v>
      </c>
      <c r="B1881" s="2" t="s">
        <v>1886</v>
      </c>
      <c r="C1881" s="11">
        <v>12</v>
      </c>
      <c r="D1881" s="12">
        <v>66.666666666666657</v>
      </c>
      <c r="E1881" s="12" t="s">
        <v>8220</v>
      </c>
      <c r="F1881" s="13">
        <v>6</v>
      </c>
      <c r="G1881" s="14">
        <v>1703.1399999999999</v>
      </c>
      <c r="H1881" t="s">
        <v>681</v>
      </c>
      <c r="I1881">
        <v>4</v>
      </c>
    </row>
    <row r="1882" spans="1:9" ht="15.6" x14ac:dyDescent="0.3">
      <c r="A1882" s="9">
        <v>1881</v>
      </c>
      <c r="B1882" s="2" t="s">
        <v>1887</v>
      </c>
      <c r="C1882" s="11">
        <v>20</v>
      </c>
      <c r="D1882" s="12">
        <v>66.666666666666657</v>
      </c>
      <c r="E1882" s="12" t="s">
        <v>8220</v>
      </c>
      <c r="F1882" s="13">
        <v>6</v>
      </c>
      <c r="G1882" s="14">
        <v>1752.19</v>
      </c>
      <c r="H1882" t="s">
        <v>3497</v>
      </c>
      <c r="I1882">
        <v>6</v>
      </c>
    </row>
    <row r="1883" spans="1:9" ht="15.6" x14ac:dyDescent="0.3">
      <c r="A1883" s="9">
        <v>1882</v>
      </c>
      <c r="B1883" s="2" t="s">
        <v>1888</v>
      </c>
      <c r="C1883" s="11">
        <v>18</v>
      </c>
      <c r="D1883" s="12">
        <v>83.333333333333343</v>
      </c>
      <c r="E1883" s="12" t="s">
        <v>8220</v>
      </c>
      <c r="F1883" s="13">
        <v>6</v>
      </c>
      <c r="G1883" s="14">
        <v>1728.1599999999999</v>
      </c>
      <c r="H1883" t="s">
        <v>2473</v>
      </c>
      <c r="I1883">
        <v>5</v>
      </c>
    </row>
    <row r="1884" spans="1:9" ht="15.6" x14ac:dyDescent="0.3">
      <c r="A1884" s="9">
        <v>1883</v>
      </c>
      <c r="B1884" s="2" t="s">
        <v>1889</v>
      </c>
      <c r="C1884" s="11">
        <v>18</v>
      </c>
      <c r="D1884" s="12">
        <v>83.333333333333343</v>
      </c>
      <c r="E1884" s="12" t="s">
        <v>8220</v>
      </c>
      <c r="F1884" s="13">
        <v>6</v>
      </c>
      <c r="G1884" s="14">
        <v>1768.19</v>
      </c>
      <c r="H1884" t="s">
        <v>1449</v>
      </c>
      <c r="I1884">
        <v>5</v>
      </c>
    </row>
    <row r="1885" spans="1:9" ht="15.6" x14ac:dyDescent="0.3">
      <c r="A1885" s="9">
        <v>1884</v>
      </c>
      <c r="B1885" s="2" t="s">
        <v>1890</v>
      </c>
      <c r="C1885" s="11">
        <v>12</v>
      </c>
      <c r="D1885" s="12">
        <v>66.666666666666657</v>
      </c>
      <c r="E1885" s="12" t="s">
        <v>8220</v>
      </c>
      <c r="F1885" s="13">
        <v>6</v>
      </c>
      <c r="G1885" s="14">
        <v>1743.17</v>
      </c>
      <c r="H1885" t="s">
        <v>425</v>
      </c>
      <c r="I1885">
        <v>4</v>
      </c>
    </row>
    <row r="1886" spans="1:9" ht="15.6" x14ac:dyDescent="0.3">
      <c r="A1886" s="9">
        <v>1885</v>
      </c>
      <c r="B1886" s="2" t="s">
        <v>1891</v>
      </c>
      <c r="C1886" s="11">
        <v>14</v>
      </c>
      <c r="D1886" s="12">
        <v>50</v>
      </c>
      <c r="E1886" s="12" t="s">
        <v>8219</v>
      </c>
      <c r="F1886" s="13">
        <v>6</v>
      </c>
      <c r="G1886" s="14">
        <v>1727.17</v>
      </c>
      <c r="H1886" t="s">
        <v>3241</v>
      </c>
      <c r="I1886">
        <v>5</v>
      </c>
    </row>
    <row r="1887" spans="1:9" ht="15.6" x14ac:dyDescent="0.3">
      <c r="A1887" s="9">
        <v>1886</v>
      </c>
      <c r="B1887" s="2" t="s">
        <v>1892</v>
      </c>
      <c r="C1887" s="11">
        <v>12</v>
      </c>
      <c r="D1887" s="12">
        <v>66.666666666666657</v>
      </c>
      <c r="E1887" s="12" t="s">
        <v>8220</v>
      </c>
      <c r="F1887" s="13">
        <v>6</v>
      </c>
      <c r="G1887" s="14">
        <v>1703.1399999999999</v>
      </c>
      <c r="H1887" t="s">
        <v>2217</v>
      </c>
      <c r="I1887">
        <v>4</v>
      </c>
    </row>
    <row r="1888" spans="1:9" ht="15.6" x14ac:dyDescent="0.3">
      <c r="A1888" s="9">
        <v>1887</v>
      </c>
      <c r="B1888" s="2" t="s">
        <v>1893</v>
      </c>
      <c r="C1888" s="11">
        <v>12</v>
      </c>
      <c r="D1888" s="12">
        <v>66.666666666666657</v>
      </c>
      <c r="E1888" s="12" t="s">
        <v>8220</v>
      </c>
      <c r="F1888" s="13">
        <v>6</v>
      </c>
      <c r="G1888" s="14">
        <v>1743.17</v>
      </c>
      <c r="H1888" t="s">
        <v>1193</v>
      </c>
      <c r="I1888">
        <v>4</v>
      </c>
    </row>
    <row r="1889" spans="1:9" ht="15.6" x14ac:dyDescent="0.3">
      <c r="A1889" s="9">
        <v>1888</v>
      </c>
      <c r="B1889" s="2" t="s">
        <v>1894</v>
      </c>
      <c r="C1889" s="11">
        <v>6</v>
      </c>
      <c r="D1889" s="12">
        <v>50</v>
      </c>
      <c r="E1889" s="12" t="s">
        <v>8219</v>
      </c>
      <c r="F1889" s="13">
        <v>6</v>
      </c>
      <c r="G1889" s="14">
        <v>1718.15</v>
      </c>
      <c r="H1889" t="s">
        <v>169</v>
      </c>
      <c r="I1889">
        <v>3</v>
      </c>
    </row>
    <row r="1890" spans="1:9" ht="15.6" x14ac:dyDescent="0.3">
      <c r="A1890" s="9">
        <v>1889</v>
      </c>
      <c r="B1890" s="2" t="s">
        <v>1895</v>
      </c>
      <c r="C1890" s="11">
        <v>22</v>
      </c>
      <c r="D1890" s="12">
        <v>50</v>
      </c>
      <c r="E1890" s="12" t="s">
        <v>8219</v>
      </c>
      <c r="F1890" s="13">
        <v>6</v>
      </c>
      <c r="G1890" s="14">
        <v>1776.2199999999998</v>
      </c>
      <c r="H1890" t="s">
        <v>3945</v>
      </c>
      <c r="I1890">
        <v>6</v>
      </c>
    </row>
    <row r="1891" spans="1:9" ht="15.6" x14ac:dyDescent="0.3">
      <c r="A1891" s="9">
        <v>1890</v>
      </c>
      <c r="B1891" s="2" t="s">
        <v>1896</v>
      </c>
      <c r="C1891" s="11">
        <v>20</v>
      </c>
      <c r="D1891" s="12">
        <v>66.666666666666657</v>
      </c>
      <c r="E1891" s="12" t="s">
        <v>8220</v>
      </c>
      <c r="F1891" s="13">
        <v>6</v>
      </c>
      <c r="G1891" s="14">
        <v>1752.19</v>
      </c>
      <c r="H1891" t="s">
        <v>2921</v>
      </c>
      <c r="I1891">
        <v>6</v>
      </c>
    </row>
    <row r="1892" spans="1:9" ht="15.6" x14ac:dyDescent="0.3">
      <c r="A1892" s="9">
        <v>1891</v>
      </c>
      <c r="B1892" s="2" t="s">
        <v>1897</v>
      </c>
      <c r="C1892" s="11">
        <v>20</v>
      </c>
      <c r="D1892" s="12">
        <v>66.666666666666657</v>
      </c>
      <c r="E1892" s="12" t="s">
        <v>8220</v>
      </c>
      <c r="F1892" s="13">
        <v>6</v>
      </c>
      <c r="G1892" s="14">
        <v>1792.2199999999998</v>
      </c>
      <c r="H1892" t="s">
        <v>1897</v>
      </c>
      <c r="I1892">
        <v>6</v>
      </c>
    </row>
    <row r="1893" spans="1:9" ht="15.6" x14ac:dyDescent="0.3">
      <c r="A1893" s="9">
        <v>1892</v>
      </c>
      <c r="B1893" s="2" t="s">
        <v>1898</v>
      </c>
      <c r="C1893" s="11">
        <v>14</v>
      </c>
      <c r="D1893" s="12">
        <v>50</v>
      </c>
      <c r="E1893" s="12" t="s">
        <v>8219</v>
      </c>
      <c r="F1893" s="13">
        <v>6</v>
      </c>
      <c r="G1893" s="14">
        <v>1767.1999999999998</v>
      </c>
      <c r="H1893" t="s">
        <v>873</v>
      </c>
      <c r="I1893">
        <v>5</v>
      </c>
    </row>
    <row r="1894" spans="1:9" ht="15.6" x14ac:dyDescent="0.3">
      <c r="A1894" s="9">
        <v>1893</v>
      </c>
      <c r="B1894" s="2" t="s">
        <v>1899</v>
      </c>
      <c r="C1894" s="11">
        <v>20</v>
      </c>
      <c r="D1894" s="12">
        <v>66.666666666666657</v>
      </c>
      <c r="E1894" s="12" t="s">
        <v>8220</v>
      </c>
      <c r="F1894" s="13">
        <v>6</v>
      </c>
      <c r="G1894" s="14">
        <v>1752.19</v>
      </c>
      <c r="H1894" t="s">
        <v>3689</v>
      </c>
      <c r="I1894">
        <v>6</v>
      </c>
    </row>
    <row r="1895" spans="1:9" ht="15.6" x14ac:dyDescent="0.3">
      <c r="A1895" s="9">
        <v>1894</v>
      </c>
      <c r="B1895" s="2" t="s">
        <v>1900</v>
      </c>
      <c r="C1895" s="11">
        <v>18</v>
      </c>
      <c r="D1895" s="12">
        <v>83.333333333333343</v>
      </c>
      <c r="E1895" s="12" t="s">
        <v>8220</v>
      </c>
      <c r="F1895" s="13">
        <v>6</v>
      </c>
      <c r="G1895" s="14">
        <v>1728.1599999999999</v>
      </c>
      <c r="H1895" t="s">
        <v>2665</v>
      </c>
      <c r="I1895">
        <v>5</v>
      </c>
    </row>
    <row r="1896" spans="1:9" ht="15.6" x14ac:dyDescent="0.3">
      <c r="A1896" s="9">
        <v>1895</v>
      </c>
      <c r="B1896" s="2" t="s">
        <v>1901</v>
      </c>
      <c r="C1896" s="11">
        <v>18</v>
      </c>
      <c r="D1896" s="12">
        <v>83.333333333333343</v>
      </c>
      <c r="E1896" s="12" t="s">
        <v>8220</v>
      </c>
      <c r="F1896" s="13">
        <v>6</v>
      </c>
      <c r="G1896" s="14">
        <v>1768.19</v>
      </c>
      <c r="H1896" t="s">
        <v>1641</v>
      </c>
      <c r="I1896">
        <v>5</v>
      </c>
    </row>
    <row r="1897" spans="1:9" ht="15.6" x14ac:dyDescent="0.3">
      <c r="A1897" s="9">
        <v>1896</v>
      </c>
      <c r="B1897" s="2" t="s">
        <v>1902</v>
      </c>
      <c r="C1897" s="11">
        <v>12</v>
      </c>
      <c r="D1897" s="12">
        <v>66.666666666666657</v>
      </c>
      <c r="E1897" s="12" t="s">
        <v>8220</v>
      </c>
      <c r="F1897" s="13">
        <v>6</v>
      </c>
      <c r="G1897" s="14">
        <v>1743.17</v>
      </c>
      <c r="H1897" t="s">
        <v>617</v>
      </c>
      <c r="I1897">
        <v>4</v>
      </c>
    </row>
    <row r="1898" spans="1:9" ht="15.6" x14ac:dyDescent="0.3">
      <c r="A1898" s="9">
        <v>1897</v>
      </c>
      <c r="B1898" s="2" t="s">
        <v>1903</v>
      </c>
      <c r="C1898" s="11">
        <v>20</v>
      </c>
      <c r="D1898" s="12">
        <v>66.666666666666657</v>
      </c>
      <c r="E1898" s="12" t="s">
        <v>8220</v>
      </c>
      <c r="F1898" s="13">
        <v>6</v>
      </c>
      <c r="G1898" s="14">
        <v>1792.2199999999998</v>
      </c>
      <c r="H1898" t="s">
        <v>3433</v>
      </c>
      <c r="I1898">
        <v>6</v>
      </c>
    </row>
    <row r="1899" spans="1:9" ht="15.6" x14ac:dyDescent="0.3">
      <c r="A1899" s="9">
        <v>1898</v>
      </c>
      <c r="B1899" s="2" t="s">
        <v>1904</v>
      </c>
      <c r="C1899" s="11">
        <v>18</v>
      </c>
      <c r="D1899" s="12">
        <v>83.333333333333343</v>
      </c>
      <c r="E1899" s="12" t="s">
        <v>8220</v>
      </c>
      <c r="F1899" s="13">
        <v>6</v>
      </c>
      <c r="G1899" s="14">
        <v>1768.19</v>
      </c>
      <c r="H1899" t="s">
        <v>2409</v>
      </c>
      <c r="I1899">
        <v>5</v>
      </c>
    </row>
    <row r="1900" spans="1:9" ht="15.6" x14ac:dyDescent="0.3">
      <c r="A1900" s="9">
        <v>1899</v>
      </c>
      <c r="B1900" s="2" t="s">
        <v>1905</v>
      </c>
      <c r="C1900" s="11">
        <v>18</v>
      </c>
      <c r="D1900" s="12">
        <v>83.333333333333343</v>
      </c>
      <c r="E1900" s="12" t="s">
        <v>8220</v>
      </c>
      <c r="F1900" s="13">
        <v>6</v>
      </c>
      <c r="G1900" s="14">
        <v>1808.2200000000003</v>
      </c>
      <c r="H1900" t="s">
        <v>1385</v>
      </c>
      <c r="I1900">
        <v>5</v>
      </c>
    </row>
    <row r="1901" spans="1:9" ht="15.6" x14ac:dyDescent="0.3">
      <c r="A1901" s="9">
        <v>1900</v>
      </c>
      <c r="B1901" s="2" t="s">
        <v>1906</v>
      </c>
      <c r="C1901" s="11">
        <v>12</v>
      </c>
      <c r="D1901" s="12">
        <v>66.666666666666657</v>
      </c>
      <c r="E1901" s="12" t="s">
        <v>8220</v>
      </c>
      <c r="F1901" s="13">
        <v>6</v>
      </c>
      <c r="G1901" s="14">
        <v>1783.1999999999998</v>
      </c>
      <c r="H1901" t="s">
        <v>361</v>
      </c>
      <c r="I1901">
        <v>4</v>
      </c>
    </row>
    <row r="1902" spans="1:9" ht="15.6" x14ac:dyDescent="0.3">
      <c r="A1902" s="9">
        <v>1901</v>
      </c>
      <c r="B1902" s="2" t="s">
        <v>1907</v>
      </c>
      <c r="C1902" s="11">
        <v>14</v>
      </c>
      <c r="D1902" s="12">
        <v>50</v>
      </c>
      <c r="E1902" s="12" t="s">
        <v>8219</v>
      </c>
      <c r="F1902" s="13">
        <v>6</v>
      </c>
      <c r="G1902" s="14">
        <v>1767.1999999999998</v>
      </c>
      <c r="H1902" t="s">
        <v>3177</v>
      </c>
      <c r="I1902">
        <v>5</v>
      </c>
    </row>
    <row r="1903" spans="1:9" ht="15.6" x14ac:dyDescent="0.3">
      <c r="A1903" s="9">
        <v>1902</v>
      </c>
      <c r="B1903" s="2" t="s">
        <v>1908</v>
      </c>
      <c r="C1903" s="11">
        <v>12</v>
      </c>
      <c r="D1903" s="12">
        <v>66.666666666666657</v>
      </c>
      <c r="E1903" s="12" t="s">
        <v>8220</v>
      </c>
      <c r="F1903" s="13">
        <v>6</v>
      </c>
      <c r="G1903" s="14">
        <v>1743.17</v>
      </c>
      <c r="H1903" t="s">
        <v>2153</v>
      </c>
      <c r="I1903">
        <v>4</v>
      </c>
    </row>
    <row r="1904" spans="1:9" ht="15.6" x14ac:dyDescent="0.3">
      <c r="A1904" s="9">
        <v>1903</v>
      </c>
      <c r="B1904" s="2" t="s">
        <v>1909</v>
      </c>
      <c r="C1904" s="11">
        <v>12</v>
      </c>
      <c r="D1904" s="12">
        <v>66.666666666666657</v>
      </c>
      <c r="E1904" s="12" t="s">
        <v>8220</v>
      </c>
      <c r="F1904" s="13">
        <v>6</v>
      </c>
      <c r="G1904" s="14">
        <v>1783.1999999999998</v>
      </c>
      <c r="H1904" t="s">
        <v>1129</v>
      </c>
      <c r="I1904">
        <v>4</v>
      </c>
    </row>
    <row r="1905" spans="1:9" ht="15.6" x14ac:dyDescent="0.3">
      <c r="A1905" s="9">
        <v>1904</v>
      </c>
      <c r="B1905" s="2" t="s">
        <v>1910</v>
      </c>
      <c r="C1905" s="11">
        <v>6</v>
      </c>
      <c r="D1905" s="12">
        <v>50</v>
      </c>
      <c r="E1905" s="12" t="s">
        <v>8219</v>
      </c>
      <c r="F1905" s="13">
        <v>6</v>
      </c>
      <c r="G1905" s="14">
        <v>1758.1799999999998</v>
      </c>
      <c r="H1905" t="s">
        <v>105</v>
      </c>
      <c r="I1905">
        <v>3</v>
      </c>
    </row>
    <row r="1906" spans="1:9" ht="15.6" x14ac:dyDescent="0.3">
      <c r="A1906" s="9">
        <v>1905</v>
      </c>
      <c r="B1906" s="2" t="s">
        <v>1911</v>
      </c>
      <c r="C1906" s="11">
        <v>16</v>
      </c>
      <c r="D1906" s="12">
        <v>33.333333333333329</v>
      </c>
      <c r="E1906" s="12" t="s">
        <v>8219</v>
      </c>
      <c r="F1906" s="13">
        <v>6</v>
      </c>
      <c r="G1906" s="14">
        <v>1751.1999999999998</v>
      </c>
      <c r="H1906" t="s">
        <v>3881</v>
      </c>
      <c r="I1906">
        <v>5</v>
      </c>
    </row>
    <row r="1907" spans="1:9" ht="15.6" x14ac:dyDescent="0.3">
      <c r="A1907" s="9">
        <v>1906</v>
      </c>
      <c r="B1907" s="2" t="s">
        <v>1912</v>
      </c>
      <c r="C1907" s="11">
        <v>14</v>
      </c>
      <c r="D1907" s="12">
        <v>50</v>
      </c>
      <c r="E1907" s="12" t="s">
        <v>8219</v>
      </c>
      <c r="F1907" s="13">
        <v>6</v>
      </c>
      <c r="G1907" s="14">
        <v>1727.17</v>
      </c>
      <c r="H1907" t="s">
        <v>2857</v>
      </c>
      <c r="I1907">
        <v>5</v>
      </c>
    </row>
    <row r="1908" spans="1:9" ht="15.6" x14ac:dyDescent="0.3">
      <c r="A1908" s="9">
        <v>1907</v>
      </c>
      <c r="B1908" s="2" t="s">
        <v>1913</v>
      </c>
      <c r="C1908" s="11">
        <v>14</v>
      </c>
      <c r="D1908" s="12">
        <v>50</v>
      </c>
      <c r="E1908" s="12" t="s">
        <v>8219</v>
      </c>
      <c r="F1908" s="13">
        <v>6</v>
      </c>
      <c r="G1908" s="14">
        <v>1767.1999999999998</v>
      </c>
      <c r="H1908" t="s">
        <v>1833</v>
      </c>
      <c r="I1908">
        <v>5</v>
      </c>
    </row>
    <row r="1909" spans="1:9" ht="15.6" x14ac:dyDescent="0.3">
      <c r="A1909" s="9">
        <v>1908</v>
      </c>
      <c r="B1909" s="2" t="s">
        <v>1914</v>
      </c>
      <c r="C1909" s="11">
        <v>8</v>
      </c>
      <c r="D1909" s="12">
        <v>33.333333333333329</v>
      </c>
      <c r="E1909" s="12" t="s">
        <v>8219</v>
      </c>
      <c r="F1909" s="13">
        <v>6</v>
      </c>
      <c r="G1909" s="14">
        <v>1742.1799999999998</v>
      </c>
      <c r="H1909" t="s">
        <v>809</v>
      </c>
      <c r="I1909">
        <v>4</v>
      </c>
    </row>
    <row r="1910" spans="1:9" ht="15.6" x14ac:dyDescent="0.3">
      <c r="A1910" s="9">
        <v>1909</v>
      </c>
      <c r="B1910" s="2" t="s">
        <v>1915</v>
      </c>
      <c r="C1910" s="11">
        <v>14</v>
      </c>
      <c r="D1910" s="12">
        <v>50</v>
      </c>
      <c r="E1910" s="12" t="s">
        <v>8219</v>
      </c>
      <c r="F1910" s="13">
        <v>6</v>
      </c>
      <c r="G1910" s="14">
        <v>1727.17</v>
      </c>
      <c r="H1910" t="s">
        <v>3625</v>
      </c>
      <c r="I1910">
        <v>5</v>
      </c>
    </row>
    <row r="1911" spans="1:9" ht="15.6" x14ac:dyDescent="0.3">
      <c r="A1911" s="9">
        <v>1910</v>
      </c>
      <c r="B1911" s="2" t="s">
        <v>1916</v>
      </c>
      <c r="C1911" s="11">
        <v>12</v>
      </c>
      <c r="D1911" s="12">
        <v>66.666666666666657</v>
      </c>
      <c r="E1911" s="12" t="s">
        <v>8220</v>
      </c>
      <c r="F1911" s="13">
        <v>6</v>
      </c>
      <c r="G1911" s="14">
        <v>1703.1399999999999</v>
      </c>
      <c r="H1911" t="s">
        <v>2601</v>
      </c>
      <c r="I1911">
        <v>4</v>
      </c>
    </row>
    <row r="1912" spans="1:9" ht="15.6" x14ac:dyDescent="0.3">
      <c r="A1912" s="9">
        <v>1911</v>
      </c>
      <c r="B1912" s="2" t="s">
        <v>1917</v>
      </c>
      <c r="C1912" s="11">
        <v>12</v>
      </c>
      <c r="D1912" s="12">
        <v>66.666666666666657</v>
      </c>
      <c r="E1912" s="12" t="s">
        <v>8220</v>
      </c>
      <c r="F1912" s="13">
        <v>6</v>
      </c>
      <c r="G1912" s="14">
        <v>1743.17</v>
      </c>
      <c r="H1912" t="s">
        <v>1577</v>
      </c>
      <c r="I1912">
        <v>4</v>
      </c>
    </row>
    <row r="1913" spans="1:9" ht="15.6" x14ac:dyDescent="0.3">
      <c r="A1913" s="9">
        <v>1912</v>
      </c>
      <c r="B1913" s="2" t="s">
        <v>1918</v>
      </c>
      <c r="C1913" s="11">
        <v>6</v>
      </c>
      <c r="D1913" s="12">
        <v>50</v>
      </c>
      <c r="E1913" s="12" t="s">
        <v>8219</v>
      </c>
      <c r="F1913" s="13">
        <v>6</v>
      </c>
      <c r="G1913" s="14">
        <v>1718.15</v>
      </c>
      <c r="H1913" t="s">
        <v>553</v>
      </c>
      <c r="I1913">
        <v>3</v>
      </c>
    </row>
    <row r="1914" spans="1:9" ht="15.6" x14ac:dyDescent="0.3">
      <c r="A1914" s="9">
        <v>1913</v>
      </c>
      <c r="B1914" s="2" t="s">
        <v>1919</v>
      </c>
      <c r="C1914" s="11">
        <v>14</v>
      </c>
      <c r="D1914" s="12">
        <v>50</v>
      </c>
      <c r="E1914" s="12" t="s">
        <v>8219</v>
      </c>
      <c r="F1914" s="13">
        <v>6</v>
      </c>
      <c r="G1914" s="14">
        <v>1767.1999999999998</v>
      </c>
      <c r="H1914" t="s">
        <v>3369</v>
      </c>
      <c r="I1914">
        <v>5</v>
      </c>
    </row>
    <row r="1915" spans="1:9" ht="15.6" x14ac:dyDescent="0.3">
      <c r="A1915" s="9">
        <v>1914</v>
      </c>
      <c r="B1915" s="2" t="s">
        <v>1920</v>
      </c>
      <c r="C1915" s="11">
        <v>12</v>
      </c>
      <c r="D1915" s="12">
        <v>66.666666666666657</v>
      </c>
      <c r="E1915" s="12" t="s">
        <v>8220</v>
      </c>
      <c r="F1915" s="13">
        <v>6</v>
      </c>
      <c r="G1915" s="14">
        <v>1743.17</v>
      </c>
      <c r="H1915" t="s">
        <v>2345</v>
      </c>
      <c r="I1915">
        <v>4</v>
      </c>
    </row>
    <row r="1916" spans="1:9" ht="15.6" x14ac:dyDescent="0.3">
      <c r="A1916" s="9">
        <v>1915</v>
      </c>
      <c r="B1916" s="2" t="s">
        <v>1921</v>
      </c>
      <c r="C1916" s="11">
        <v>12</v>
      </c>
      <c r="D1916" s="12">
        <v>66.666666666666657</v>
      </c>
      <c r="E1916" s="12" t="s">
        <v>8220</v>
      </c>
      <c r="F1916" s="13">
        <v>6</v>
      </c>
      <c r="G1916" s="14">
        <v>1783.1999999999998</v>
      </c>
      <c r="H1916" t="s">
        <v>1321</v>
      </c>
      <c r="I1916">
        <v>4</v>
      </c>
    </row>
    <row r="1917" spans="1:9" ht="15.6" x14ac:dyDescent="0.3">
      <c r="A1917" s="9">
        <v>1916</v>
      </c>
      <c r="B1917" s="2" t="s">
        <v>1922</v>
      </c>
      <c r="C1917" s="11">
        <v>6</v>
      </c>
      <c r="D1917" s="12">
        <v>50</v>
      </c>
      <c r="E1917" s="12" t="s">
        <v>8219</v>
      </c>
      <c r="F1917" s="13">
        <v>6</v>
      </c>
      <c r="G1917" s="14">
        <v>1758.1799999999998</v>
      </c>
      <c r="H1917" t="s">
        <v>297</v>
      </c>
      <c r="I1917">
        <v>3</v>
      </c>
    </row>
    <row r="1918" spans="1:9" ht="15.6" x14ac:dyDescent="0.3">
      <c r="A1918" s="9">
        <v>1917</v>
      </c>
      <c r="B1918" s="2" t="s">
        <v>1923</v>
      </c>
      <c r="C1918" s="11">
        <v>8</v>
      </c>
      <c r="D1918" s="12">
        <v>33.333333333333329</v>
      </c>
      <c r="E1918" s="12" t="s">
        <v>8219</v>
      </c>
      <c r="F1918" s="13">
        <v>6</v>
      </c>
      <c r="G1918" s="14">
        <v>1742.1799999999998</v>
      </c>
      <c r="H1918" t="s">
        <v>3113</v>
      </c>
      <c r="I1918">
        <v>4</v>
      </c>
    </row>
    <row r="1919" spans="1:9" ht="15.6" x14ac:dyDescent="0.3">
      <c r="A1919" s="9">
        <v>1918</v>
      </c>
      <c r="B1919" s="2" t="s">
        <v>1924</v>
      </c>
      <c r="C1919" s="11">
        <v>6</v>
      </c>
      <c r="D1919" s="12">
        <v>50</v>
      </c>
      <c r="E1919" s="12" t="s">
        <v>8219</v>
      </c>
      <c r="F1919" s="13">
        <v>6</v>
      </c>
      <c r="G1919" s="14">
        <v>1718.15</v>
      </c>
      <c r="H1919" t="s">
        <v>2089</v>
      </c>
      <c r="I1919">
        <v>3</v>
      </c>
    </row>
    <row r="1920" spans="1:9" ht="15.6" x14ac:dyDescent="0.3">
      <c r="A1920" s="9">
        <v>1919</v>
      </c>
      <c r="B1920" s="2" t="s">
        <v>1925</v>
      </c>
      <c r="C1920" s="11">
        <v>6</v>
      </c>
      <c r="D1920" s="12">
        <v>50</v>
      </c>
      <c r="E1920" s="12" t="s">
        <v>8219</v>
      </c>
      <c r="F1920" s="13">
        <v>6</v>
      </c>
      <c r="G1920" s="14">
        <v>1758.1799999999998</v>
      </c>
      <c r="H1920" t="s">
        <v>1065</v>
      </c>
      <c r="I1920">
        <v>3</v>
      </c>
    </row>
    <row r="1921" spans="1:9" ht="15.6" x14ac:dyDescent="0.3">
      <c r="A1921" s="9">
        <v>1920</v>
      </c>
      <c r="B1921" s="2" t="s">
        <v>1926</v>
      </c>
      <c r="C1921" s="11">
        <v>0</v>
      </c>
      <c r="D1921" s="12">
        <v>33.333333333333329</v>
      </c>
      <c r="E1921" s="12" t="s">
        <v>8219</v>
      </c>
      <c r="F1921" s="13">
        <v>6</v>
      </c>
      <c r="G1921" s="14">
        <v>1733.1599999999999</v>
      </c>
      <c r="H1921" t="s">
        <v>41</v>
      </c>
      <c r="I1921">
        <v>2</v>
      </c>
    </row>
    <row r="1922" spans="1:9" ht="15.6" x14ac:dyDescent="0.3">
      <c r="A1922" s="9">
        <v>1921</v>
      </c>
      <c r="B1922" s="2" t="s">
        <v>1927</v>
      </c>
      <c r="C1922" s="11">
        <v>24</v>
      </c>
      <c r="D1922" s="12">
        <v>33.333333333333329</v>
      </c>
      <c r="E1922" s="12" t="s">
        <v>8219</v>
      </c>
      <c r="F1922" s="13">
        <v>6</v>
      </c>
      <c r="G1922" s="14">
        <v>1800.25</v>
      </c>
      <c r="H1922" t="s">
        <v>4057</v>
      </c>
      <c r="I1922">
        <v>6</v>
      </c>
    </row>
    <row r="1923" spans="1:9" ht="15.6" x14ac:dyDescent="0.3">
      <c r="A1923" s="9">
        <v>1922</v>
      </c>
      <c r="B1923" s="2" t="s">
        <v>1928</v>
      </c>
      <c r="C1923" s="11">
        <v>22</v>
      </c>
      <c r="D1923" s="12">
        <v>50</v>
      </c>
      <c r="E1923" s="12" t="s">
        <v>8219</v>
      </c>
      <c r="F1923" s="13">
        <v>6</v>
      </c>
      <c r="G1923" s="14">
        <v>1776.2199999999998</v>
      </c>
      <c r="H1923" t="s">
        <v>3033</v>
      </c>
      <c r="I1923">
        <v>6</v>
      </c>
    </row>
    <row r="1924" spans="1:9" ht="15.6" x14ac:dyDescent="0.3">
      <c r="A1924" s="9">
        <v>1923</v>
      </c>
      <c r="B1924" s="2" t="s">
        <v>1929</v>
      </c>
      <c r="C1924" s="11">
        <v>22</v>
      </c>
      <c r="D1924" s="12">
        <v>50</v>
      </c>
      <c r="E1924" s="12" t="s">
        <v>8219</v>
      </c>
      <c r="F1924" s="13">
        <v>6</v>
      </c>
      <c r="G1924" s="14">
        <v>1816.25</v>
      </c>
      <c r="H1924" t="s">
        <v>2009</v>
      </c>
      <c r="I1924">
        <v>6</v>
      </c>
    </row>
    <row r="1925" spans="1:9" ht="15.6" x14ac:dyDescent="0.3">
      <c r="A1925" s="9">
        <v>1924</v>
      </c>
      <c r="B1925" s="2" t="s">
        <v>1930</v>
      </c>
      <c r="C1925" s="11">
        <v>16</v>
      </c>
      <c r="D1925" s="12">
        <v>33.333333333333329</v>
      </c>
      <c r="E1925" s="12" t="s">
        <v>8219</v>
      </c>
      <c r="F1925" s="13">
        <v>6</v>
      </c>
      <c r="G1925" s="14">
        <v>1791.23</v>
      </c>
      <c r="H1925" t="s">
        <v>985</v>
      </c>
      <c r="I1925">
        <v>5</v>
      </c>
    </row>
    <row r="1926" spans="1:9" ht="15.6" x14ac:dyDescent="0.3">
      <c r="A1926" s="9">
        <v>1925</v>
      </c>
      <c r="B1926" s="2" t="s">
        <v>1931</v>
      </c>
      <c r="C1926" s="11">
        <v>22</v>
      </c>
      <c r="D1926" s="12">
        <v>50</v>
      </c>
      <c r="E1926" s="12" t="s">
        <v>8219</v>
      </c>
      <c r="F1926" s="13">
        <v>6</v>
      </c>
      <c r="G1926" s="14">
        <v>1776.2199999999998</v>
      </c>
      <c r="H1926" t="s">
        <v>3801</v>
      </c>
      <c r="I1926">
        <v>6</v>
      </c>
    </row>
    <row r="1927" spans="1:9" ht="15.6" x14ac:dyDescent="0.3">
      <c r="A1927" s="9">
        <v>1926</v>
      </c>
      <c r="B1927" s="2" t="s">
        <v>1932</v>
      </c>
      <c r="C1927" s="11">
        <v>20</v>
      </c>
      <c r="D1927" s="12">
        <v>66.666666666666657</v>
      </c>
      <c r="E1927" s="12" t="s">
        <v>8220</v>
      </c>
      <c r="F1927" s="13">
        <v>6</v>
      </c>
      <c r="G1927" s="14">
        <v>1752.19</v>
      </c>
      <c r="H1927" t="s">
        <v>2777</v>
      </c>
      <c r="I1927">
        <v>6</v>
      </c>
    </row>
    <row r="1928" spans="1:9" ht="15.6" x14ac:dyDescent="0.3">
      <c r="A1928" s="9">
        <v>1927</v>
      </c>
      <c r="B1928" s="2" t="s">
        <v>1933</v>
      </c>
      <c r="C1928" s="11">
        <v>20</v>
      </c>
      <c r="D1928" s="12">
        <v>66.666666666666657</v>
      </c>
      <c r="E1928" s="12" t="s">
        <v>8220</v>
      </c>
      <c r="F1928" s="13">
        <v>6</v>
      </c>
      <c r="G1928" s="14">
        <v>1792.2199999999998</v>
      </c>
      <c r="H1928" t="s">
        <v>1753</v>
      </c>
      <c r="I1928">
        <v>6</v>
      </c>
    </row>
    <row r="1929" spans="1:9" ht="15.6" x14ac:dyDescent="0.3">
      <c r="A1929" s="9">
        <v>1928</v>
      </c>
      <c r="B1929" s="2" t="s">
        <v>1934</v>
      </c>
      <c r="C1929" s="11">
        <v>14</v>
      </c>
      <c r="D1929" s="12">
        <v>50</v>
      </c>
      <c r="E1929" s="12" t="s">
        <v>8219</v>
      </c>
      <c r="F1929" s="13">
        <v>6</v>
      </c>
      <c r="G1929" s="14">
        <v>1767.1999999999998</v>
      </c>
      <c r="H1929" t="s">
        <v>729</v>
      </c>
      <c r="I1929">
        <v>5</v>
      </c>
    </row>
    <row r="1930" spans="1:9" ht="15.6" x14ac:dyDescent="0.3">
      <c r="A1930" s="9">
        <v>1929</v>
      </c>
      <c r="B1930" s="2" t="s">
        <v>1935</v>
      </c>
      <c r="C1930" s="11">
        <v>22</v>
      </c>
      <c r="D1930" s="12">
        <v>50</v>
      </c>
      <c r="E1930" s="12" t="s">
        <v>8219</v>
      </c>
      <c r="F1930" s="13">
        <v>6</v>
      </c>
      <c r="G1930" s="14">
        <v>1816.25</v>
      </c>
      <c r="H1930" t="s">
        <v>3545</v>
      </c>
      <c r="I1930">
        <v>6</v>
      </c>
    </row>
    <row r="1931" spans="1:9" ht="15.6" x14ac:dyDescent="0.3">
      <c r="A1931" s="9">
        <v>1930</v>
      </c>
      <c r="B1931" s="2" t="s">
        <v>1936</v>
      </c>
      <c r="C1931" s="11">
        <v>20</v>
      </c>
      <c r="D1931" s="12">
        <v>66.666666666666657</v>
      </c>
      <c r="E1931" s="12" t="s">
        <v>8220</v>
      </c>
      <c r="F1931" s="13">
        <v>6</v>
      </c>
      <c r="G1931" s="14">
        <v>1792.2199999999998</v>
      </c>
      <c r="H1931" t="s">
        <v>2521</v>
      </c>
      <c r="I1931">
        <v>6</v>
      </c>
    </row>
    <row r="1932" spans="1:9" ht="15.6" x14ac:dyDescent="0.3">
      <c r="A1932" s="9">
        <v>1931</v>
      </c>
      <c r="B1932" s="2" t="s">
        <v>1937</v>
      </c>
      <c r="C1932" s="11">
        <v>20</v>
      </c>
      <c r="D1932" s="12">
        <v>66.666666666666657</v>
      </c>
      <c r="E1932" s="12" t="s">
        <v>8220</v>
      </c>
      <c r="F1932" s="13">
        <v>6</v>
      </c>
      <c r="G1932" s="14">
        <v>1832.25</v>
      </c>
      <c r="H1932" t="s">
        <v>1497</v>
      </c>
      <c r="I1932">
        <v>6</v>
      </c>
    </row>
    <row r="1933" spans="1:9" ht="15.6" x14ac:dyDescent="0.3">
      <c r="A1933" s="9">
        <v>1932</v>
      </c>
      <c r="B1933" s="2" t="s">
        <v>1938</v>
      </c>
      <c r="C1933" s="11">
        <v>14</v>
      </c>
      <c r="D1933" s="12">
        <v>50</v>
      </c>
      <c r="E1933" s="12" t="s">
        <v>8219</v>
      </c>
      <c r="F1933" s="13">
        <v>6</v>
      </c>
      <c r="G1933" s="14">
        <v>1807.23</v>
      </c>
      <c r="H1933" t="s">
        <v>473</v>
      </c>
      <c r="I1933">
        <v>5</v>
      </c>
    </row>
    <row r="1934" spans="1:9" ht="15.6" x14ac:dyDescent="0.3">
      <c r="A1934" s="9">
        <v>1933</v>
      </c>
      <c r="B1934" s="2" t="s">
        <v>1939</v>
      </c>
      <c r="C1934" s="11">
        <v>16</v>
      </c>
      <c r="D1934" s="12">
        <v>33.333333333333329</v>
      </c>
      <c r="E1934" s="12" t="s">
        <v>8219</v>
      </c>
      <c r="F1934" s="13">
        <v>6</v>
      </c>
      <c r="G1934" s="14">
        <v>1791.23</v>
      </c>
      <c r="H1934" t="s">
        <v>3289</v>
      </c>
      <c r="I1934">
        <v>5</v>
      </c>
    </row>
    <row r="1935" spans="1:9" ht="15.6" x14ac:dyDescent="0.3">
      <c r="A1935" s="9">
        <v>1934</v>
      </c>
      <c r="B1935" s="2" t="s">
        <v>1940</v>
      </c>
      <c r="C1935" s="11">
        <v>14</v>
      </c>
      <c r="D1935" s="12">
        <v>50</v>
      </c>
      <c r="E1935" s="12" t="s">
        <v>8219</v>
      </c>
      <c r="F1935" s="13">
        <v>6</v>
      </c>
      <c r="G1935" s="14">
        <v>1767.1999999999998</v>
      </c>
      <c r="H1935" t="s">
        <v>2265</v>
      </c>
      <c r="I1935">
        <v>5</v>
      </c>
    </row>
    <row r="1936" spans="1:9" ht="15.6" x14ac:dyDescent="0.3">
      <c r="A1936" s="9">
        <v>1935</v>
      </c>
      <c r="B1936" s="2" t="s">
        <v>1941</v>
      </c>
      <c r="C1936" s="11">
        <v>14</v>
      </c>
      <c r="D1936" s="12">
        <v>50</v>
      </c>
      <c r="E1936" s="12" t="s">
        <v>8219</v>
      </c>
      <c r="F1936" s="13">
        <v>6</v>
      </c>
      <c r="G1936" s="14">
        <v>1807.23</v>
      </c>
      <c r="H1936" t="s">
        <v>1241</v>
      </c>
      <c r="I1936">
        <v>5</v>
      </c>
    </row>
    <row r="1937" spans="1:9" ht="15.6" x14ac:dyDescent="0.3">
      <c r="A1937" s="9">
        <v>1936</v>
      </c>
      <c r="B1937" s="2" t="s">
        <v>1942</v>
      </c>
      <c r="C1937" s="11">
        <v>8</v>
      </c>
      <c r="D1937" s="12">
        <v>33.333333333333329</v>
      </c>
      <c r="E1937" s="12" t="s">
        <v>8219</v>
      </c>
      <c r="F1937" s="13">
        <v>6</v>
      </c>
      <c r="G1937" s="14">
        <v>1782.21</v>
      </c>
      <c r="H1937" t="s">
        <v>217</v>
      </c>
      <c r="I1937">
        <v>4</v>
      </c>
    </row>
    <row r="1938" spans="1:9" ht="15.6" x14ac:dyDescent="0.3">
      <c r="A1938" s="9">
        <v>1937</v>
      </c>
      <c r="B1938" s="2" t="s">
        <v>1943</v>
      </c>
      <c r="C1938" s="11">
        <v>22</v>
      </c>
      <c r="D1938" s="12">
        <v>50</v>
      </c>
      <c r="E1938" s="12" t="s">
        <v>8219</v>
      </c>
      <c r="F1938" s="13">
        <v>6</v>
      </c>
      <c r="G1938" s="14">
        <v>1776.2199999999998</v>
      </c>
      <c r="H1938" t="s">
        <v>3993</v>
      </c>
      <c r="I1938">
        <v>6</v>
      </c>
    </row>
    <row r="1939" spans="1:9" ht="15.6" x14ac:dyDescent="0.3">
      <c r="A1939" s="9">
        <v>1938</v>
      </c>
      <c r="B1939" s="2" t="s">
        <v>1944</v>
      </c>
      <c r="C1939" s="11">
        <v>20</v>
      </c>
      <c r="D1939" s="12">
        <v>66.666666666666657</v>
      </c>
      <c r="E1939" s="12" t="s">
        <v>8220</v>
      </c>
      <c r="F1939" s="13">
        <v>6</v>
      </c>
      <c r="G1939" s="14">
        <v>1752.19</v>
      </c>
      <c r="H1939" t="s">
        <v>2969</v>
      </c>
      <c r="I1939">
        <v>6</v>
      </c>
    </row>
    <row r="1940" spans="1:9" ht="15.6" x14ac:dyDescent="0.3">
      <c r="A1940" s="9">
        <v>1939</v>
      </c>
      <c r="B1940" s="2" t="s">
        <v>1945</v>
      </c>
      <c r="C1940" s="11">
        <v>20</v>
      </c>
      <c r="D1940" s="12">
        <v>66.666666666666657</v>
      </c>
      <c r="E1940" s="12" t="s">
        <v>8220</v>
      </c>
      <c r="F1940" s="13">
        <v>6</v>
      </c>
      <c r="G1940" s="14">
        <v>1792.2199999999998</v>
      </c>
      <c r="H1940" t="s">
        <v>1945</v>
      </c>
      <c r="I1940">
        <v>6</v>
      </c>
    </row>
    <row r="1941" spans="1:9" ht="15.6" x14ac:dyDescent="0.3">
      <c r="A1941" s="9">
        <v>1940</v>
      </c>
      <c r="B1941" s="2" t="s">
        <v>1946</v>
      </c>
      <c r="C1941" s="11">
        <v>14</v>
      </c>
      <c r="D1941" s="12">
        <v>50</v>
      </c>
      <c r="E1941" s="12" t="s">
        <v>8219</v>
      </c>
      <c r="F1941" s="13">
        <v>6</v>
      </c>
      <c r="G1941" s="14">
        <v>1767.1999999999998</v>
      </c>
      <c r="H1941" t="s">
        <v>921</v>
      </c>
      <c r="I1941">
        <v>5</v>
      </c>
    </row>
    <row r="1942" spans="1:9" ht="15.6" x14ac:dyDescent="0.3">
      <c r="A1942" s="9">
        <v>1941</v>
      </c>
      <c r="B1942" s="2" t="s">
        <v>1947</v>
      </c>
      <c r="C1942" s="11">
        <v>20</v>
      </c>
      <c r="D1942" s="12">
        <v>66.666666666666657</v>
      </c>
      <c r="E1942" s="12" t="s">
        <v>8220</v>
      </c>
      <c r="F1942" s="13">
        <v>6</v>
      </c>
      <c r="G1942" s="14">
        <v>1752.19</v>
      </c>
      <c r="H1942" t="s">
        <v>3737</v>
      </c>
      <c r="I1942">
        <v>6</v>
      </c>
    </row>
    <row r="1943" spans="1:9" ht="15.6" x14ac:dyDescent="0.3">
      <c r="A1943" s="9">
        <v>1942</v>
      </c>
      <c r="B1943" s="2" t="s">
        <v>1948</v>
      </c>
      <c r="C1943" s="11">
        <v>18</v>
      </c>
      <c r="D1943" s="12">
        <v>83.333333333333343</v>
      </c>
      <c r="E1943" s="12" t="s">
        <v>8220</v>
      </c>
      <c r="F1943" s="13">
        <v>6</v>
      </c>
      <c r="G1943" s="14">
        <v>1728.1599999999999</v>
      </c>
      <c r="H1943" t="s">
        <v>2713</v>
      </c>
      <c r="I1943">
        <v>5</v>
      </c>
    </row>
    <row r="1944" spans="1:9" ht="15.6" x14ac:dyDescent="0.3">
      <c r="A1944" s="9">
        <v>1943</v>
      </c>
      <c r="B1944" s="2" t="s">
        <v>1949</v>
      </c>
      <c r="C1944" s="11">
        <v>18</v>
      </c>
      <c r="D1944" s="12">
        <v>83.333333333333343</v>
      </c>
      <c r="E1944" s="12" t="s">
        <v>8220</v>
      </c>
      <c r="F1944" s="13">
        <v>6</v>
      </c>
      <c r="G1944" s="14">
        <v>1768.19</v>
      </c>
      <c r="H1944" t="s">
        <v>1689</v>
      </c>
      <c r="I1944">
        <v>5</v>
      </c>
    </row>
    <row r="1945" spans="1:9" ht="15.6" x14ac:dyDescent="0.3">
      <c r="A1945" s="9">
        <v>1944</v>
      </c>
      <c r="B1945" s="2" t="s">
        <v>1950</v>
      </c>
      <c r="C1945" s="11">
        <v>12</v>
      </c>
      <c r="D1945" s="12">
        <v>66.666666666666657</v>
      </c>
      <c r="E1945" s="12" t="s">
        <v>8220</v>
      </c>
      <c r="F1945" s="13">
        <v>6</v>
      </c>
      <c r="G1945" s="14">
        <v>1743.17</v>
      </c>
      <c r="H1945" t="s">
        <v>665</v>
      </c>
      <c r="I1945">
        <v>4</v>
      </c>
    </row>
    <row r="1946" spans="1:9" ht="15.6" x14ac:dyDescent="0.3">
      <c r="A1946" s="9">
        <v>1945</v>
      </c>
      <c r="B1946" s="2" t="s">
        <v>1951</v>
      </c>
      <c r="C1946" s="11">
        <v>20</v>
      </c>
      <c r="D1946" s="12">
        <v>66.666666666666657</v>
      </c>
      <c r="E1946" s="12" t="s">
        <v>8220</v>
      </c>
      <c r="F1946" s="13">
        <v>6</v>
      </c>
      <c r="G1946" s="14">
        <v>1792.2199999999998</v>
      </c>
      <c r="H1946" t="s">
        <v>3481</v>
      </c>
      <c r="I1946">
        <v>6</v>
      </c>
    </row>
    <row r="1947" spans="1:9" ht="15.6" x14ac:dyDescent="0.3">
      <c r="A1947" s="9">
        <v>1946</v>
      </c>
      <c r="B1947" s="2" t="s">
        <v>1952</v>
      </c>
      <c r="C1947" s="11">
        <v>18</v>
      </c>
      <c r="D1947" s="12">
        <v>83.333333333333343</v>
      </c>
      <c r="E1947" s="12" t="s">
        <v>8220</v>
      </c>
      <c r="F1947" s="13">
        <v>6</v>
      </c>
      <c r="G1947" s="14">
        <v>1768.19</v>
      </c>
      <c r="H1947" t="s">
        <v>2457</v>
      </c>
      <c r="I1947">
        <v>5</v>
      </c>
    </row>
    <row r="1948" spans="1:9" ht="15.6" x14ac:dyDescent="0.3">
      <c r="A1948" s="9">
        <v>1947</v>
      </c>
      <c r="B1948" s="2" t="s">
        <v>1953</v>
      </c>
      <c r="C1948" s="11">
        <v>18</v>
      </c>
      <c r="D1948" s="12">
        <v>83.333333333333343</v>
      </c>
      <c r="E1948" s="12" t="s">
        <v>8220</v>
      </c>
      <c r="F1948" s="13">
        <v>6</v>
      </c>
      <c r="G1948" s="14">
        <v>1808.2200000000003</v>
      </c>
      <c r="H1948" t="s">
        <v>1433</v>
      </c>
      <c r="I1948">
        <v>5</v>
      </c>
    </row>
    <row r="1949" spans="1:9" ht="15.6" x14ac:dyDescent="0.3">
      <c r="A1949" s="9">
        <v>1948</v>
      </c>
      <c r="B1949" s="2" t="s">
        <v>1954</v>
      </c>
      <c r="C1949" s="11">
        <v>12</v>
      </c>
      <c r="D1949" s="12">
        <v>66.666666666666657</v>
      </c>
      <c r="E1949" s="12" t="s">
        <v>8220</v>
      </c>
      <c r="F1949" s="13">
        <v>6</v>
      </c>
      <c r="G1949" s="14">
        <v>1783.1999999999998</v>
      </c>
      <c r="H1949" t="s">
        <v>409</v>
      </c>
      <c r="I1949">
        <v>4</v>
      </c>
    </row>
    <row r="1950" spans="1:9" ht="15.6" x14ac:dyDescent="0.3">
      <c r="A1950" s="9">
        <v>1949</v>
      </c>
      <c r="B1950" s="2" t="s">
        <v>1955</v>
      </c>
      <c r="C1950" s="11">
        <v>14</v>
      </c>
      <c r="D1950" s="12">
        <v>50</v>
      </c>
      <c r="E1950" s="12" t="s">
        <v>8219</v>
      </c>
      <c r="F1950" s="13">
        <v>6</v>
      </c>
      <c r="G1950" s="14">
        <v>1767.1999999999998</v>
      </c>
      <c r="H1950" t="s">
        <v>3225</v>
      </c>
      <c r="I1950">
        <v>5</v>
      </c>
    </row>
    <row r="1951" spans="1:9" ht="15.6" x14ac:dyDescent="0.3">
      <c r="A1951" s="9">
        <v>1950</v>
      </c>
      <c r="B1951" s="2" t="s">
        <v>1956</v>
      </c>
      <c r="C1951" s="11">
        <v>12</v>
      </c>
      <c r="D1951" s="12">
        <v>66.666666666666657</v>
      </c>
      <c r="E1951" s="12" t="s">
        <v>8220</v>
      </c>
      <c r="F1951" s="13">
        <v>6</v>
      </c>
      <c r="G1951" s="14">
        <v>1743.17</v>
      </c>
      <c r="H1951" t="s">
        <v>2201</v>
      </c>
      <c r="I1951">
        <v>4</v>
      </c>
    </row>
    <row r="1952" spans="1:9" ht="15.6" x14ac:dyDescent="0.3">
      <c r="A1952" s="9">
        <v>1951</v>
      </c>
      <c r="B1952" s="2" t="s">
        <v>1957</v>
      </c>
      <c r="C1952" s="11">
        <v>12</v>
      </c>
      <c r="D1952" s="12">
        <v>66.666666666666657</v>
      </c>
      <c r="E1952" s="12" t="s">
        <v>8220</v>
      </c>
      <c r="F1952" s="13">
        <v>6</v>
      </c>
      <c r="G1952" s="14">
        <v>1783.1999999999998</v>
      </c>
      <c r="H1952" t="s">
        <v>1177</v>
      </c>
      <c r="I1952">
        <v>4</v>
      </c>
    </row>
    <row r="1953" spans="1:9" ht="15.6" x14ac:dyDescent="0.3">
      <c r="A1953" s="9">
        <v>1952</v>
      </c>
      <c r="B1953" s="2" t="s">
        <v>1958</v>
      </c>
      <c r="C1953" s="11">
        <v>6</v>
      </c>
      <c r="D1953" s="12">
        <v>50</v>
      </c>
      <c r="E1953" s="12" t="s">
        <v>8219</v>
      </c>
      <c r="F1953" s="13">
        <v>6</v>
      </c>
      <c r="G1953" s="14">
        <v>1758.1799999999998</v>
      </c>
      <c r="H1953" t="s">
        <v>153</v>
      </c>
      <c r="I1953">
        <v>3</v>
      </c>
    </row>
    <row r="1954" spans="1:9" ht="15.6" x14ac:dyDescent="0.3">
      <c r="A1954" s="9">
        <v>1953</v>
      </c>
      <c r="B1954" s="2" t="s">
        <v>1959</v>
      </c>
      <c r="C1954" s="11">
        <v>22</v>
      </c>
      <c r="D1954" s="12">
        <v>50</v>
      </c>
      <c r="E1954" s="12" t="s">
        <v>8219</v>
      </c>
      <c r="F1954" s="13">
        <v>6</v>
      </c>
      <c r="G1954" s="14">
        <v>1816.25</v>
      </c>
      <c r="H1954" t="s">
        <v>3929</v>
      </c>
      <c r="I1954">
        <v>6</v>
      </c>
    </row>
    <row r="1955" spans="1:9" ht="15.6" x14ac:dyDescent="0.3">
      <c r="A1955" s="9">
        <v>1954</v>
      </c>
      <c r="B1955" s="2" t="s">
        <v>1960</v>
      </c>
      <c r="C1955" s="11">
        <v>20</v>
      </c>
      <c r="D1955" s="12">
        <v>66.666666666666657</v>
      </c>
      <c r="E1955" s="12" t="s">
        <v>8220</v>
      </c>
      <c r="F1955" s="13">
        <v>6</v>
      </c>
      <c r="G1955" s="14">
        <v>1792.2199999999998</v>
      </c>
      <c r="H1955" t="s">
        <v>2905</v>
      </c>
      <c r="I1955">
        <v>6</v>
      </c>
    </row>
    <row r="1956" spans="1:9" ht="15.6" x14ac:dyDescent="0.3">
      <c r="A1956" s="9">
        <v>1955</v>
      </c>
      <c r="B1956" s="2" t="s">
        <v>1961</v>
      </c>
      <c r="C1956" s="11">
        <v>20</v>
      </c>
      <c r="D1956" s="12">
        <v>66.666666666666657</v>
      </c>
      <c r="E1956" s="12" t="s">
        <v>8220</v>
      </c>
      <c r="F1956" s="13">
        <v>6</v>
      </c>
      <c r="G1956" s="14">
        <v>1832.25</v>
      </c>
      <c r="H1956" t="s">
        <v>1881</v>
      </c>
      <c r="I1956">
        <v>6</v>
      </c>
    </row>
    <row r="1957" spans="1:9" ht="15.6" x14ac:dyDescent="0.3">
      <c r="A1957" s="9">
        <v>1956</v>
      </c>
      <c r="B1957" s="2" t="s">
        <v>1962</v>
      </c>
      <c r="C1957" s="11">
        <v>14</v>
      </c>
      <c r="D1957" s="12">
        <v>50</v>
      </c>
      <c r="E1957" s="12" t="s">
        <v>8219</v>
      </c>
      <c r="F1957" s="13">
        <v>6</v>
      </c>
      <c r="G1957" s="14">
        <v>1807.23</v>
      </c>
      <c r="H1957" t="s">
        <v>857</v>
      </c>
      <c r="I1957">
        <v>5</v>
      </c>
    </row>
    <row r="1958" spans="1:9" ht="15.6" x14ac:dyDescent="0.3">
      <c r="A1958" s="9">
        <v>1957</v>
      </c>
      <c r="B1958" s="2" t="s">
        <v>1963</v>
      </c>
      <c r="C1958" s="11">
        <v>20</v>
      </c>
      <c r="D1958" s="12">
        <v>66.666666666666657</v>
      </c>
      <c r="E1958" s="12" t="s">
        <v>8220</v>
      </c>
      <c r="F1958" s="13">
        <v>6</v>
      </c>
      <c r="G1958" s="14">
        <v>1792.2199999999998</v>
      </c>
      <c r="H1958" t="s">
        <v>3673</v>
      </c>
      <c r="I1958">
        <v>6</v>
      </c>
    </row>
    <row r="1959" spans="1:9" ht="15.6" x14ac:dyDescent="0.3">
      <c r="A1959" s="9">
        <v>1958</v>
      </c>
      <c r="B1959" s="2" t="s">
        <v>1964</v>
      </c>
      <c r="C1959" s="11">
        <v>18</v>
      </c>
      <c r="D1959" s="12">
        <v>83.333333333333343</v>
      </c>
      <c r="E1959" s="12" t="s">
        <v>8220</v>
      </c>
      <c r="F1959" s="13">
        <v>6</v>
      </c>
      <c r="G1959" s="14">
        <v>1768.19</v>
      </c>
      <c r="H1959" t="s">
        <v>2649</v>
      </c>
      <c r="I1959">
        <v>5</v>
      </c>
    </row>
    <row r="1960" spans="1:9" ht="15.6" x14ac:dyDescent="0.3">
      <c r="A1960" s="9">
        <v>1959</v>
      </c>
      <c r="B1960" s="2" t="s">
        <v>1965</v>
      </c>
      <c r="C1960" s="11">
        <v>18</v>
      </c>
      <c r="D1960" s="12">
        <v>83.333333333333343</v>
      </c>
      <c r="E1960" s="12" t="s">
        <v>8220</v>
      </c>
      <c r="F1960" s="13">
        <v>6</v>
      </c>
      <c r="G1960" s="14">
        <v>1808.2200000000003</v>
      </c>
      <c r="H1960" t="s">
        <v>1625</v>
      </c>
      <c r="I1960">
        <v>5</v>
      </c>
    </row>
    <row r="1961" spans="1:9" ht="15.6" x14ac:dyDescent="0.3">
      <c r="A1961" s="9">
        <v>1960</v>
      </c>
      <c r="B1961" s="2" t="s">
        <v>1966</v>
      </c>
      <c r="C1961" s="11">
        <v>12</v>
      </c>
      <c r="D1961" s="12">
        <v>66.666666666666657</v>
      </c>
      <c r="E1961" s="12" t="s">
        <v>8220</v>
      </c>
      <c r="F1961" s="13">
        <v>6</v>
      </c>
      <c r="G1961" s="14">
        <v>1783.1999999999998</v>
      </c>
      <c r="H1961" t="s">
        <v>601</v>
      </c>
      <c r="I1961">
        <v>4</v>
      </c>
    </row>
    <row r="1962" spans="1:9" ht="15.6" x14ac:dyDescent="0.3">
      <c r="A1962" s="9">
        <v>1961</v>
      </c>
      <c r="B1962" s="2" t="s">
        <v>1967</v>
      </c>
      <c r="C1962" s="11">
        <v>20</v>
      </c>
      <c r="D1962" s="12">
        <v>66.666666666666657</v>
      </c>
      <c r="E1962" s="12" t="s">
        <v>8220</v>
      </c>
      <c r="F1962" s="13">
        <v>6</v>
      </c>
      <c r="G1962" s="14">
        <v>1832.25</v>
      </c>
      <c r="H1962" t="s">
        <v>3417</v>
      </c>
      <c r="I1962">
        <v>6</v>
      </c>
    </row>
    <row r="1963" spans="1:9" ht="15.6" x14ac:dyDescent="0.3">
      <c r="A1963" s="9">
        <v>1962</v>
      </c>
      <c r="B1963" s="2" t="s">
        <v>1968</v>
      </c>
      <c r="C1963" s="11">
        <v>18</v>
      </c>
      <c r="D1963" s="12">
        <v>83.333333333333343</v>
      </c>
      <c r="E1963" s="12" t="s">
        <v>8220</v>
      </c>
      <c r="F1963" s="13">
        <v>6</v>
      </c>
      <c r="G1963" s="14">
        <v>1808.2200000000003</v>
      </c>
      <c r="H1963" t="s">
        <v>2393</v>
      </c>
      <c r="I1963">
        <v>5</v>
      </c>
    </row>
    <row r="1964" spans="1:9" ht="15.6" x14ac:dyDescent="0.3">
      <c r="A1964" s="9">
        <v>1963</v>
      </c>
      <c r="B1964" s="2" t="s">
        <v>1969</v>
      </c>
      <c r="C1964" s="11">
        <v>18</v>
      </c>
      <c r="D1964" s="12">
        <v>83.333333333333343</v>
      </c>
      <c r="E1964" s="12" t="s">
        <v>8220</v>
      </c>
      <c r="F1964" s="13">
        <v>6</v>
      </c>
      <c r="G1964" s="14">
        <v>1848.25</v>
      </c>
      <c r="H1964" t="s">
        <v>1369</v>
      </c>
      <c r="I1964">
        <v>5</v>
      </c>
    </row>
    <row r="1965" spans="1:9" ht="15.6" x14ac:dyDescent="0.3">
      <c r="A1965" s="9">
        <v>1964</v>
      </c>
      <c r="B1965" s="2" t="s">
        <v>1970</v>
      </c>
      <c r="C1965" s="11">
        <v>12</v>
      </c>
      <c r="D1965" s="12">
        <v>66.666666666666657</v>
      </c>
      <c r="E1965" s="12" t="s">
        <v>8220</v>
      </c>
      <c r="F1965" s="13">
        <v>6</v>
      </c>
      <c r="G1965" s="14">
        <v>1823.23</v>
      </c>
      <c r="H1965" t="s">
        <v>345</v>
      </c>
      <c r="I1965">
        <v>4</v>
      </c>
    </row>
    <row r="1966" spans="1:9" ht="15.6" x14ac:dyDescent="0.3">
      <c r="A1966" s="9">
        <v>1965</v>
      </c>
      <c r="B1966" s="2" t="s">
        <v>1971</v>
      </c>
      <c r="C1966" s="11">
        <v>14</v>
      </c>
      <c r="D1966" s="12">
        <v>50</v>
      </c>
      <c r="E1966" s="12" t="s">
        <v>8219</v>
      </c>
      <c r="F1966" s="13">
        <v>6</v>
      </c>
      <c r="G1966" s="14">
        <v>1807.23</v>
      </c>
      <c r="H1966" t="s">
        <v>3161</v>
      </c>
      <c r="I1966">
        <v>5</v>
      </c>
    </row>
    <row r="1967" spans="1:9" ht="15.6" x14ac:dyDescent="0.3">
      <c r="A1967" s="9">
        <v>1966</v>
      </c>
      <c r="B1967" s="2" t="s">
        <v>1972</v>
      </c>
      <c r="C1967" s="11">
        <v>12</v>
      </c>
      <c r="D1967" s="12">
        <v>66.666666666666657</v>
      </c>
      <c r="E1967" s="12" t="s">
        <v>8220</v>
      </c>
      <c r="F1967" s="13">
        <v>6</v>
      </c>
      <c r="G1967" s="14">
        <v>1783.1999999999998</v>
      </c>
      <c r="H1967" t="s">
        <v>2137</v>
      </c>
      <c r="I1967">
        <v>4</v>
      </c>
    </row>
    <row r="1968" spans="1:9" ht="15.6" x14ac:dyDescent="0.3">
      <c r="A1968" s="9">
        <v>1967</v>
      </c>
      <c r="B1968" s="2" t="s">
        <v>1973</v>
      </c>
      <c r="C1968" s="11">
        <v>12</v>
      </c>
      <c r="D1968" s="12">
        <v>66.666666666666657</v>
      </c>
      <c r="E1968" s="12" t="s">
        <v>8220</v>
      </c>
      <c r="F1968" s="13">
        <v>6</v>
      </c>
      <c r="G1968" s="14">
        <v>1823.23</v>
      </c>
      <c r="H1968" t="s">
        <v>1113</v>
      </c>
      <c r="I1968">
        <v>4</v>
      </c>
    </row>
    <row r="1969" spans="1:9" ht="15.6" x14ac:dyDescent="0.3">
      <c r="A1969" s="9">
        <v>1968</v>
      </c>
      <c r="B1969" s="2" t="s">
        <v>1974</v>
      </c>
      <c r="C1969" s="11">
        <v>6</v>
      </c>
      <c r="D1969" s="12">
        <v>50</v>
      </c>
      <c r="E1969" s="12" t="s">
        <v>8219</v>
      </c>
      <c r="F1969" s="13">
        <v>6</v>
      </c>
      <c r="G1969" s="14">
        <v>1798.21</v>
      </c>
      <c r="H1969" t="s">
        <v>89</v>
      </c>
      <c r="I1969">
        <v>3</v>
      </c>
    </row>
    <row r="1970" spans="1:9" ht="15.6" x14ac:dyDescent="0.3">
      <c r="A1970" s="9">
        <v>1969</v>
      </c>
      <c r="B1970" s="2" t="s">
        <v>1975</v>
      </c>
      <c r="C1970" s="11">
        <v>16</v>
      </c>
      <c r="D1970" s="12">
        <v>33.333333333333329</v>
      </c>
      <c r="E1970" s="12" t="s">
        <v>8219</v>
      </c>
      <c r="F1970" s="13">
        <v>6</v>
      </c>
      <c r="G1970" s="14">
        <v>1791.23</v>
      </c>
      <c r="H1970" t="s">
        <v>3865</v>
      </c>
      <c r="I1970">
        <v>5</v>
      </c>
    </row>
    <row r="1971" spans="1:9" ht="15.6" x14ac:dyDescent="0.3">
      <c r="A1971" s="9">
        <v>1970</v>
      </c>
      <c r="B1971" s="2" t="s">
        <v>1976</v>
      </c>
      <c r="C1971" s="11">
        <v>14</v>
      </c>
      <c r="D1971" s="12">
        <v>50</v>
      </c>
      <c r="E1971" s="12" t="s">
        <v>8219</v>
      </c>
      <c r="F1971" s="13">
        <v>6</v>
      </c>
      <c r="G1971" s="14">
        <v>1767.1999999999998</v>
      </c>
      <c r="H1971" t="s">
        <v>2841</v>
      </c>
      <c r="I1971">
        <v>5</v>
      </c>
    </row>
    <row r="1972" spans="1:9" ht="15.6" x14ac:dyDescent="0.3">
      <c r="A1972" s="9">
        <v>1971</v>
      </c>
      <c r="B1972" s="2" t="s">
        <v>1977</v>
      </c>
      <c r="C1972" s="11">
        <v>14</v>
      </c>
      <c r="D1972" s="12">
        <v>50</v>
      </c>
      <c r="E1972" s="12" t="s">
        <v>8219</v>
      </c>
      <c r="F1972" s="13">
        <v>6</v>
      </c>
      <c r="G1972" s="14">
        <v>1807.23</v>
      </c>
      <c r="H1972" t="s">
        <v>1817</v>
      </c>
      <c r="I1972">
        <v>5</v>
      </c>
    </row>
    <row r="1973" spans="1:9" ht="15.6" x14ac:dyDescent="0.3">
      <c r="A1973" s="9">
        <v>1972</v>
      </c>
      <c r="B1973" s="2" t="s">
        <v>1978</v>
      </c>
      <c r="C1973" s="11">
        <v>8</v>
      </c>
      <c r="D1973" s="12">
        <v>33.333333333333329</v>
      </c>
      <c r="E1973" s="12" t="s">
        <v>8219</v>
      </c>
      <c r="F1973" s="13">
        <v>6</v>
      </c>
      <c r="G1973" s="14">
        <v>1782.21</v>
      </c>
      <c r="H1973" t="s">
        <v>793</v>
      </c>
      <c r="I1973">
        <v>4</v>
      </c>
    </row>
    <row r="1974" spans="1:9" ht="15.6" x14ac:dyDescent="0.3">
      <c r="A1974" s="9">
        <v>1973</v>
      </c>
      <c r="B1974" s="2" t="s">
        <v>1979</v>
      </c>
      <c r="C1974" s="11">
        <v>14</v>
      </c>
      <c r="D1974" s="12">
        <v>50</v>
      </c>
      <c r="E1974" s="12" t="s">
        <v>8219</v>
      </c>
      <c r="F1974" s="13">
        <v>6</v>
      </c>
      <c r="G1974" s="14">
        <v>1767.1999999999998</v>
      </c>
      <c r="H1974" t="s">
        <v>3609</v>
      </c>
      <c r="I1974">
        <v>5</v>
      </c>
    </row>
    <row r="1975" spans="1:9" ht="15.6" x14ac:dyDescent="0.3">
      <c r="A1975" s="9">
        <v>1974</v>
      </c>
      <c r="B1975" s="2" t="s">
        <v>1980</v>
      </c>
      <c r="C1975" s="11">
        <v>12</v>
      </c>
      <c r="D1975" s="12">
        <v>66.666666666666657</v>
      </c>
      <c r="E1975" s="12" t="s">
        <v>8220</v>
      </c>
      <c r="F1975" s="13">
        <v>6</v>
      </c>
      <c r="G1975" s="14">
        <v>1743.17</v>
      </c>
      <c r="H1975" t="s">
        <v>2585</v>
      </c>
      <c r="I1975">
        <v>4</v>
      </c>
    </row>
    <row r="1976" spans="1:9" ht="15.6" x14ac:dyDescent="0.3">
      <c r="A1976" s="9">
        <v>1975</v>
      </c>
      <c r="B1976" s="2" t="s">
        <v>1981</v>
      </c>
      <c r="C1976" s="11">
        <v>12</v>
      </c>
      <c r="D1976" s="12">
        <v>66.666666666666657</v>
      </c>
      <c r="E1976" s="12" t="s">
        <v>8220</v>
      </c>
      <c r="F1976" s="13">
        <v>6</v>
      </c>
      <c r="G1976" s="14">
        <v>1783.1999999999998</v>
      </c>
      <c r="H1976" t="s">
        <v>1561</v>
      </c>
      <c r="I1976">
        <v>4</v>
      </c>
    </row>
    <row r="1977" spans="1:9" ht="15.6" x14ac:dyDescent="0.3">
      <c r="A1977" s="9">
        <v>1976</v>
      </c>
      <c r="B1977" s="2" t="s">
        <v>1982</v>
      </c>
      <c r="C1977" s="11">
        <v>6</v>
      </c>
      <c r="D1977" s="12">
        <v>50</v>
      </c>
      <c r="E1977" s="12" t="s">
        <v>8219</v>
      </c>
      <c r="F1977" s="13">
        <v>6</v>
      </c>
      <c r="G1977" s="14">
        <v>1758.1799999999998</v>
      </c>
      <c r="H1977" t="s">
        <v>537</v>
      </c>
      <c r="I1977">
        <v>3</v>
      </c>
    </row>
    <row r="1978" spans="1:9" ht="15.6" x14ac:dyDescent="0.3">
      <c r="A1978" s="9">
        <v>1977</v>
      </c>
      <c r="B1978" s="2" t="s">
        <v>1983</v>
      </c>
      <c r="C1978" s="11">
        <v>14</v>
      </c>
      <c r="D1978" s="12">
        <v>50</v>
      </c>
      <c r="E1978" s="12" t="s">
        <v>8219</v>
      </c>
      <c r="F1978" s="13">
        <v>6</v>
      </c>
      <c r="G1978" s="14">
        <v>1807.23</v>
      </c>
      <c r="H1978" t="s">
        <v>3353</v>
      </c>
      <c r="I1978">
        <v>5</v>
      </c>
    </row>
    <row r="1979" spans="1:9" ht="15.6" x14ac:dyDescent="0.3">
      <c r="A1979" s="9">
        <v>1978</v>
      </c>
      <c r="B1979" s="2" t="s">
        <v>1984</v>
      </c>
      <c r="C1979" s="11">
        <v>12</v>
      </c>
      <c r="D1979" s="12">
        <v>66.666666666666657</v>
      </c>
      <c r="E1979" s="12" t="s">
        <v>8220</v>
      </c>
      <c r="F1979" s="13">
        <v>6</v>
      </c>
      <c r="G1979" s="14">
        <v>1783.1999999999998</v>
      </c>
      <c r="H1979" t="s">
        <v>2329</v>
      </c>
      <c r="I1979">
        <v>4</v>
      </c>
    </row>
    <row r="1980" spans="1:9" ht="15.6" x14ac:dyDescent="0.3">
      <c r="A1980" s="9">
        <v>1979</v>
      </c>
      <c r="B1980" s="2" t="s">
        <v>1985</v>
      </c>
      <c r="C1980" s="11">
        <v>12</v>
      </c>
      <c r="D1980" s="12">
        <v>66.666666666666657</v>
      </c>
      <c r="E1980" s="12" t="s">
        <v>8220</v>
      </c>
      <c r="F1980" s="13">
        <v>6</v>
      </c>
      <c r="G1980" s="14">
        <v>1823.23</v>
      </c>
      <c r="H1980" t="s">
        <v>1305</v>
      </c>
      <c r="I1980">
        <v>4</v>
      </c>
    </row>
    <row r="1981" spans="1:9" ht="15.6" x14ac:dyDescent="0.3">
      <c r="A1981" s="9">
        <v>1980</v>
      </c>
      <c r="B1981" s="2" t="s">
        <v>1986</v>
      </c>
      <c r="C1981" s="11">
        <v>6</v>
      </c>
      <c r="D1981" s="12">
        <v>50</v>
      </c>
      <c r="E1981" s="12" t="s">
        <v>8219</v>
      </c>
      <c r="F1981" s="13">
        <v>6</v>
      </c>
      <c r="G1981" s="14">
        <v>1798.21</v>
      </c>
      <c r="H1981" t="s">
        <v>281</v>
      </c>
      <c r="I1981">
        <v>3</v>
      </c>
    </row>
    <row r="1982" spans="1:9" ht="15.6" x14ac:dyDescent="0.3">
      <c r="A1982" s="9">
        <v>1981</v>
      </c>
      <c r="B1982" s="2" t="s">
        <v>1987</v>
      </c>
      <c r="C1982" s="11">
        <v>8</v>
      </c>
      <c r="D1982" s="12">
        <v>33.333333333333329</v>
      </c>
      <c r="E1982" s="12" t="s">
        <v>8219</v>
      </c>
      <c r="F1982" s="13">
        <v>6</v>
      </c>
      <c r="G1982" s="14">
        <v>1782.21</v>
      </c>
      <c r="H1982" t="s">
        <v>3097</v>
      </c>
      <c r="I1982">
        <v>4</v>
      </c>
    </row>
    <row r="1983" spans="1:9" ht="15.6" x14ac:dyDescent="0.3">
      <c r="A1983" s="9">
        <v>1982</v>
      </c>
      <c r="B1983" s="2" t="s">
        <v>1988</v>
      </c>
      <c r="C1983" s="11">
        <v>6</v>
      </c>
      <c r="D1983" s="12">
        <v>50</v>
      </c>
      <c r="E1983" s="12" t="s">
        <v>8219</v>
      </c>
      <c r="F1983" s="13">
        <v>6</v>
      </c>
      <c r="G1983" s="14">
        <v>1758.1799999999998</v>
      </c>
      <c r="H1983" t="s">
        <v>2073</v>
      </c>
      <c r="I1983">
        <v>3</v>
      </c>
    </row>
    <row r="1984" spans="1:9" ht="15.6" x14ac:dyDescent="0.3">
      <c r="A1984" s="9">
        <v>1983</v>
      </c>
      <c r="B1984" s="2" t="s">
        <v>1989</v>
      </c>
      <c r="C1984" s="11">
        <v>6</v>
      </c>
      <c r="D1984" s="12">
        <v>50</v>
      </c>
      <c r="E1984" s="12" t="s">
        <v>8219</v>
      </c>
      <c r="F1984" s="13">
        <v>6</v>
      </c>
      <c r="G1984" s="14">
        <v>1798.21</v>
      </c>
      <c r="H1984" t="s">
        <v>1049</v>
      </c>
      <c r="I1984">
        <v>3</v>
      </c>
    </row>
    <row r="1985" spans="1:9" ht="15.6" x14ac:dyDescent="0.3">
      <c r="A1985" s="9">
        <v>1984</v>
      </c>
      <c r="B1985" s="2" t="s">
        <v>1990</v>
      </c>
      <c r="C1985" s="11">
        <v>0</v>
      </c>
      <c r="D1985" s="12">
        <v>33.333333333333329</v>
      </c>
      <c r="E1985" s="12" t="s">
        <v>8219</v>
      </c>
      <c r="F1985" s="13">
        <v>6</v>
      </c>
      <c r="G1985" s="14">
        <v>1773.19</v>
      </c>
      <c r="H1985" t="s">
        <v>25</v>
      </c>
      <c r="I1985">
        <v>2</v>
      </c>
    </row>
    <row r="1986" spans="1:9" ht="15.6" x14ac:dyDescent="0.3">
      <c r="A1986" s="9">
        <v>1985</v>
      </c>
      <c r="B1986" s="2" t="s">
        <v>1991</v>
      </c>
      <c r="C1986" s="11">
        <v>18</v>
      </c>
      <c r="D1986" s="12">
        <v>16.666666666666664</v>
      </c>
      <c r="E1986" s="12" t="s">
        <v>8219</v>
      </c>
      <c r="F1986" s="13">
        <v>6</v>
      </c>
      <c r="G1986" s="14">
        <v>1775.23</v>
      </c>
      <c r="H1986" t="s">
        <v>4041</v>
      </c>
      <c r="I1986">
        <v>5</v>
      </c>
    </row>
    <row r="1987" spans="1:9" ht="15.6" x14ac:dyDescent="0.3">
      <c r="A1987" s="9">
        <v>1986</v>
      </c>
      <c r="B1987" s="2" t="s">
        <v>1992</v>
      </c>
      <c r="C1987" s="11">
        <v>16</v>
      </c>
      <c r="D1987" s="12">
        <v>33.333333333333329</v>
      </c>
      <c r="E1987" s="12" t="s">
        <v>8219</v>
      </c>
      <c r="F1987" s="13">
        <v>6</v>
      </c>
      <c r="G1987" s="14">
        <v>1751.1999999999998</v>
      </c>
      <c r="H1987" t="s">
        <v>3017</v>
      </c>
      <c r="I1987">
        <v>5</v>
      </c>
    </row>
    <row r="1988" spans="1:9" ht="15.6" x14ac:dyDescent="0.3">
      <c r="A1988" s="9">
        <v>1987</v>
      </c>
      <c r="B1988" s="2" t="s">
        <v>1993</v>
      </c>
      <c r="C1988" s="11">
        <v>16</v>
      </c>
      <c r="D1988" s="12">
        <v>33.333333333333329</v>
      </c>
      <c r="E1988" s="12" t="s">
        <v>8219</v>
      </c>
      <c r="F1988" s="13">
        <v>6</v>
      </c>
      <c r="G1988" s="14">
        <v>1791.23</v>
      </c>
      <c r="H1988" t="s">
        <v>1993</v>
      </c>
      <c r="I1988">
        <v>5</v>
      </c>
    </row>
    <row r="1989" spans="1:9" ht="15.6" x14ac:dyDescent="0.3">
      <c r="A1989" s="9">
        <v>1988</v>
      </c>
      <c r="B1989" s="2" t="s">
        <v>1994</v>
      </c>
      <c r="C1989" s="11">
        <v>10</v>
      </c>
      <c r="D1989" s="12">
        <v>16.666666666666664</v>
      </c>
      <c r="E1989" s="12" t="s">
        <v>8219</v>
      </c>
      <c r="F1989" s="13">
        <v>6</v>
      </c>
      <c r="G1989" s="14">
        <v>1766.21</v>
      </c>
      <c r="H1989" t="s">
        <v>969</v>
      </c>
      <c r="I1989">
        <v>4</v>
      </c>
    </row>
    <row r="1990" spans="1:9" ht="15.6" x14ac:dyDescent="0.3">
      <c r="A1990" s="9">
        <v>1989</v>
      </c>
      <c r="B1990" s="2" t="s">
        <v>1995</v>
      </c>
      <c r="C1990" s="11">
        <v>16</v>
      </c>
      <c r="D1990" s="12">
        <v>33.333333333333329</v>
      </c>
      <c r="E1990" s="12" t="s">
        <v>8219</v>
      </c>
      <c r="F1990" s="13">
        <v>6</v>
      </c>
      <c r="G1990" s="14">
        <v>1751.1999999999998</v>
      </c>
      <c r="H1990" t="s">
        <v>3785</v>
      </c>
      <c r="I1990">
        <v>5</v>
      </c>
    </row>
    <row r="1991" spans="1:9" ht="15.6" x14ac:dyDescent="0.3">
      <c r="A1991" s="9">
        <v>1990</v>
      </c>
      <c r="B1991" s="2" t="s">
        <v>1996</v>
      </c>
      <c r="C1991" s="11">
        <v>14</v>
      </c>
      <c r="D1991" s="12">
        <v>50</v>
      </c>
      <c r="E1991" s="12" t="s">
        <v>8219</v>
      </c>
      <c r="F1991" s="13">
        <v>6</v>
      </c>
      <c r="G1991" s="14">
        <v>1727.17</v>
      </c>
      <c r="H1991" t="s">
        <v>2761</v>
      </c>
      <c r="I1991">
        <v>5</v>
      </c>
    </row>
    <row r="1992" spans="1:9" ht="15.6" x14ac:dyDescent="0.3">
      <c r="A1992" s="9">
        <v>1991</v>
      </c>
      <c r="B1992" s="2" t="s">
        <v>1997</v>
      </c>
      <c r="C1992" s="11">
        <v>14</v>
      </c>
      <c r="D1992" s="12">
        <v>50</v>
      </c>
      <c r="E1992" s="12" t="s">
        <v>8219</v>
      </c>
      <c r="F1992" s="13">
        <v>6</v>
      </c>
      <c r="G1992" s="14">
        <v>1767.1999999999998</v>
      </c>
      <c r="H1992" t="s">
        <v>1737</v>
      </c>
      <c r="I1992">
        <v>5</v>
      </c>
    </row>
    <row r="1993" spans="1:9" ht="15.6" x14ac:dyDescent="0.3">
      <c r="A1993" s="9">
        <v>1992</v>
      </c>
      <c r="B1993" s="2" t="s">
        <v>1998</v>
      </c>
      <c r="C1993" s="11">
        <v>8</v>
      </c>
      <c r="D1993" s="12">
        <v>33.333333333333329</v>
      </c>
      <c r="E1993" s="12" t="s">
        <v>8219</v>
      </c>
      <c r="F1993" s="13">
        <v>6</v>
      </c>
      <c r="G1993" s="14">
        <v>1742.1799999999998</v>
      </c>
      <c r="H1993" t="s">
        <v>713</v>
      </c>
      <c r="I1993">
        <v>4</v>
      </c>
    </row>
    <row r="1994" spans="1:9" ht="15.6" x14ac:dyDescent="0.3">
      <c r="A1994" s="9">
        <v>1993</v>
      </c>
      <c r="B1994" s="2" t="s">
        <v>1999</v>
      </c>
      <c r="C1994" s="11">
        <v>16</v>
      </c>
      <c r="D1994" s="12">
        <v>33.333333333333329</v>
      </c>
      <c r="E1994" s="12" t="s">
        <v>8219</v>
      </c>
      <c r="F1994" s="13">
        <v>6</v>
      </c>
      <c r="G1994" s="14">
        <v>1791.23</v>
      </c>
      <c r="H1994" t="s">
        <v>3529</v>
      </c>
      <c r="I1994">
        <v>5</v>
      </c>
    </row>
    <row r="1995" spans="1:9" ht="15.6" x14ac:dyDescent="0.3">
      <c r="A1995" s="9">
        <v>1994</v>
      </c>
      <c r="B1995" s="2" t="s">
        <v>2000</v>
      </c>
      <c r="C1995" s="11">
        <v>14</v>
      </c>
      <c r="D1995" s="12">
        <v>50</v>
      </c>
      <c r="E1995" s="12" t="s">
        <v>8219</v>
      </c>
      <c r="F1995" s="13">
        <v>6</v>
      </c>
      <c r="G1995" s="14">
        <v>1767.1999999999998</v>
      </c>
      <c r="H1995" t="s">
        <v>2505</v>
      </c>
      <c r="I1995">
        <v>5</v>
      </c>
    </row>
    <row r="1996" spans="1:9" ht="15.6" x14ac:dyDescent="0.3">
      <c r="A1996" s="9">
        <v>1995</v>
      </c>
      <c r="B1996" s="2" t="s">
        <v>2001</v>
      </c>
      <c r="C1996" s="11">
        <v>14</v>
      </c>
      <c r="D1996" s="12">
        <v>50</v>
      </c>
      <c r="E1996" s="12" t="s">
        <v>8219</v>
      </c>
      <c r="F1996" s="13">
        <v>6</v>
      </c>
      <c r="G1996" s="14">
        <v>1807.23</v>
      </c>
      <c r="H1996" t="s">
        <v>1481</v>
      </c>
      <c r="I1996">
        <v>5</v>
      </c>
    </row>
    <row r="1997" spans="1:9" ht="15.6" x14ac:dyDescent="0.3">
      <c r="A1997" s="9">
        <v>1996</v>
      </c>
      <c r="B1997" s="2" t="s">
        <v>2002</v>
      </c>
      <c r="C1997" s="11">
        <v>8</v>
      </c>
      <c r="D1997" s="12">
        <v>33.333333333333329</v>
      </c>
      <c r="E1997" s="12" t="s">
        <v>8219</v>
      </c>
      <c r="F1997" s="13">
        <v>6</v>
      </c>
      <c r="G1997" s="14">
        <v>1782.21</v>
      </c>
      <c r="H1997" t="s">
        <v>457</v>
      </c>
      <c r="I1997">
        <v>4</v>
      </c>
    </row>
    <row r="1998" spans="1:9" ht="15.6" x14ac:dyDescent="0.3">
      <c r="A1998" s="9">
        <v>1997</v>
      </c>
      <c r="B1998" s="2" t="s">
        <v>2003</v>
      </c>
      <c r="C1998" s="11">
        <v>10</v>
      </c>
      <c r="D1998" s="12">
        <v>16.666666666666664</v>
      </c>
      <c r="E1998" s="12" t="s">
        <v>8219</v>
      </c>
      <c r="F1998" s="13">
        <v>6</v>
      </c>
      <c r="G1998" s="14">
        <v>1766.21</v>
      </c>
      <c r="H1998" t="s">
        <v>3273</v>
      </c>
      <c r="I1998">
        <v>4</v>
      </c>
    </row>
    <row r="1999" spans="1:9" ht="15.6" x14ac:dyDescent="0.3">
      <c r="A1999" s="9">
        <v>1998</v>
      </c>
      <c r="B1999" s="2" t="s">
        <v>2004</v>
      </c>
      <c r="C1999" s="11">
        <v>8</v>
      </c>
      <c r="D1999" s="12">
        <v>33.333333333333329</v>
      </c>
      <c r="E1999" s="12" t="s">
        <v>8219</v>
      </c>
      <c r="F1999" s="13">
        <v>6</v>
      </c>
      <c r="G1999" s="14">
        <v>1742.1799999999998</v>
      </c>
      <c r="H1999" t="s">
        <v>2249</v>
      </c>
      <c r="I1999">
        <v>4</v>
      </c>
    </row>
    <row r="2000" spans="1:9" ht="15.6" x14ac:dyDescent="0.3">
      <c r="A2000" s="9">
        <v>1999</v>
      </c>
      <c r="B2000" s="2" t="s">
        <v>2005</v>
      </c>
      <c r="C2000" s="11">
        <v>8</v>
      </c>
      <c r="D2000" s="12">
        <v>33.333333333333329</v>
      </c>
      <c r="E2000" s="12" t="s">
        <v>8219</v>
      </c>
      <c r="F2000" s="13">
        <v>6</v>
      </c>
      <c r="G2000" s="14">
        <v>1782.21</v>
      </c>
      <c r="H2000" t="s">
        <v>1225</v>
      </c>
      <c r="I2000">
        <v>4</v>
      </c>
    </row>
    <row r="2001" spans="1:9" ht="15.6" x14ac:dyDescent="0.3">
      <c r="A2001" s="9">
        <v>2000</v>
      </c>
      <c r="B2001" s="2" t="s">
        <v>2006</v>
      </c>
      <c r="C2001" s="11">
        <v>2</v>
      </c>
      <c r="D2001" s="12">
        <v>16.666666666666664</v>
      </c>
      <c r="E2001" s="12" t="s">
        <v>8219</v>
      </c>
      <c r="F2001" s="13">
        <v>6</v>
      </c>
      <c r="G2001" s="14">
        <v>1757.19</v>
      </c>
      <c r="H2001" t="s">
        <v>201</v>
      </c>
      <c r="I2001">
        <v>3</v>
      </c>
    </row>
    <row r="2002" spans="1:9" ht="15.6" x14ac:dyDescent="0.3">
      <c r="A2002" s="9">
        <v>2001</v>
      </c>
      <c r="B2002" s="2" t="s">
        <v>2007</v>
      </c>
      <c r="C2002" s="11">
        <v>16</v>
      </c>
      <c r="D2002" s="12">
        <v>33.333333333333329</v>
      </c>
      <c r="E2002" s="12" t="s">
        <v>8219</v>
      </c>
      <c r="F2002" s="13">
        <v>6</v>
      </c>
      <c r="G2002" s="14">
        <v>1751.1999999999998</v>
      </c>
      <c r="H2002" t="s">
        <v>3977</v>
      </c>
      <c r="I2002">
        <v>5</v>
      </c>
    </row>
    <row r="2003" spans="1:9" ht="15.6" x14ac:dyDescent="0.3">
      <c r="A2003" s="9">
        <v>2002</v>
      </c>
      <c r="B2003" s="2" t="s">
        <v>2008</v>
      </c>
      <c r="C2003" s="11">
        <v>14</v>
      </c>
      <c r="D2003" s="12">
        <v>50</v>
      </c>
      <c r="E2003" s="12" t="s">
        <v>8219</v>
      </c>
      <c r="F2003" s="13">
        <v>6</v>
      </c>
      <c r="G2003" s="14">
        <v>1727.17</v>
      </c>
      <c r="H2003" t="s">
        <v>2953</v>
      </c>
      <c r="I2003">
        <v>5</v>
      </c>
    </row>
    <row r="2004" spans="1:9" ht="15.6" x14ac:dyDescent="0.3">
      <c r="A2004" s="9">
        <v>2003</v>
      </c>
      <c r="B2004" s="2" t="s">
        <v>2009</v>
      </c>
      <c r="C2004" s="11">
        <v>14</v>
      </c>
      <c r="D2004" s="12">
        <v>50</v>
      </c>
      <c r="E2004" s="12" t="s">
        <v>8219</v>
      </c>
      <c r="F2004" s="13">
        <v>6</v>
      </c>
      <c r="G2004" s="14">
        <v>1767.1999999999998</v>
      </c>
      <c r="H2004" t="s">
        <v>1929</v>
      </c>
      <c r="I2004">
        <v>5</v>
      </c>
    </row>
    <row r="2005" spans="1:9" ht="15.6" x14ac:dyDescent="0.3">
      <c r="A2005" s="9">
        <v>2004</v>
      </c>
      <c r="B2005" s="2" t="s">
        <v>2010</v>
      </c>
      <c r="C2005" s="11">
        <v>8</v>
      </c>
      <c r="D2005" s="12">
        <v>33.333333333333329</v>
      </c>
      <c r="E2005" s="12" t="s">
        <v>8219</v>
      </c>
      <c r="F2005" s="13">
        <v>6</v>
      </c>
      <c r="G2005" s="14">
        <v>1742.1799999999998</v>
      </c>
      <c r="H2005" t="s">
        <v>905</v>
      </c>
      <c r="I2005">
        <v>4</v>
      </c>
    </row>
    <row r="2006" spans="1:9" ht="15.6" x14ac:dyDescent="0.3">
      <c r="A2006" s="9">
        <v>2005</v>
      </c>
      <c r="B2006" s="2" t="s">
        <v>2011</v>
      </c>
      <c r="C2006" s="11">
        <v>14</v>
      </c>
      <c r="D2006" s="12">
        <v>50</v>
      </c>
      <c r="E2006" s="12" t="s">
        <v>8219</v>
      </c>
      <c r="F2006" s="13">
        <v>6</v>
      </c>
      <c r="G2006" s="14">
        <v>1727.17</v>
      </c>
      <c r="H2006" t="s">
        <v>3721</v>
      </c>
      <c r="I2006">
        <v>5</v>
      </c>
    </row>
    <row r="2007" spans="1:9" ht="15.6" x14ac:dyDescent="0.3">
      <c r="A2007" s="9">
        <v>2006</v>
      </c>
      <c r="B2007" s="2" t="s">
        <v>2012</v>
      </c>
      <c r="C2007" s="11">
        <v>12</v>
      </c>
      <c r="D2007" s="12">
        <v>66.666666666666657</v>
      </c>
      <c r="E2007" s="12" t="s">
        <v>8220</v>
      </c>
      <c r="F2007" s="13">
        <v>6</v>
      </c>
      <c r="G2007" s="14">
        <v>1703.1399999999999</v>
      </c>
      <c r="H2007" t="s">
        <v>2697</v>
      </c>
      <c r="I2007">
        <v>4</v>
      </c>
    </row>
    <row r="2008" spans="1:9" ht="15.6" x14ac:dyDescent="0.3">
      <c r="A2008" s="9">
        <v>2007</v>
      </c>
      <c r="B2008" s="2" t="s">
        <v>2013</v>
      </c>
      <c r="C2008" s="11">
        <v>12</v>
      </c>
      <c r="D2008" s="12">
        <v>66.666666666666657</v>
      </c>
      <c r="E2008" s="12" t="s">
        <v>8220</v>
      </c>
      <c r="F2008" s="13">
        <v>6</v>
      </c>
      <c r="G2008" s="14">
        <v>1743.17</v>
      </c>
      <c r="H2008" t="s">
        <v>1673</v>
      </c>
      <c r="I2008">
        <v>4</v>
      </c>
    </row>
    <row r="2009" spans="1:9" ht="15.6" x14ac:dyDescent="0.3">
      <c r="A2009" s="9">
        <v>2008</v>
      </c>
      <c r="B2009" s="2" t="s">
        <v>2014</v>
      </c>
      <c r="C2009" s="11">
        <v>6</v>
      </c>
      <c r="D2009" s="12">
        <v>50</v>
      </c>
      <c r="E2009" s="12" t="s">
        <v>8219</v>
      </c>
      <c r="F2009" s="13">
        <v>6</v>
      </c>
      <c r="G2009" s="14">
        <v>1718.15</v>
      </c>
      <c r="H2009" t="s">
        <v>649</v>
      </c>
      <c r="I2009">
        <v>3</v>
      </c>
    </row>
    <row r="2010" spans="1:9" ht="15.6" x14ac:dyDescent="0.3">
      <c r="A2010" s="9">
        <v>2009</v>
      </c>
      <c r="B2010" s="2" t="s">
        <v>2015</v>
      </c>
      <c r="C2010" s="11">
        <v>14</v>
      </c>
      <c r="D2010" s="12">
        <v>50</v>
      </c>
      <c r="E2010" s="12" t="s">
        <v>8219</v>
      </c>
      <c r="F2010" s="13">
        <v>6</v>
      </c>
      <c r="G2010" s="14">
        <v>1767.1999999999998</v>
      </c>
      <c r="H2010" t="s">
        <v>3465</v>
      </c>
      <c r="I2010">
        <v>5</v>
      </c>
    </row>
    <row r="2011" spans="1:9" ht="15.6" x14ac:dyDescent="0.3">
      <c r="A2011" s="9">
        <v>2010</v>
      </c>
      <c r="B2011" s="2" t="s">
        <v>2016</v>
      </c>
      <c r="C2011" s="11">
        <v>12</v>
      </c>
      <c r="D2011" s="12">
        <v>66.666666666666657</v>
      </c>
      <c r="E2011" s="12" t="s">
        <v>8220</v>
      </c>
      <c r="F2011" s="13">
        <v>6</v>
      </c>
      <c r="G2011" s="14">
        <v>1743.17</v>
      </c>
      <c r="H2011" t="s">
        <v>2441</v>
      </c>
      <c r="I2011">
        <v>4</v>
      </c>
    </row>
    <row r="2012" spans="1:9" ht="15.6" x14ac:dyDescent="0.3">
      <c r="A2012" s="9">
        <v>2011</v>
      </c>
      <c r="B2012" s="2" t="s">
        <v>2017</v>
      </c>
      <c r="C2012" s="11">
        <v>12</v>
      </c>
      <c r="D2012" s="12">
        <v>66.666666666666657</v>
      </c>
      <c r="E2012" s="12" t="s">
        <v>8220</v>
      </c>
      <c r="F2012" s="13">
        <v>6</v>
      </c>
      <c r="G2012" s="14">
        <v>1783.1999999999998</v>
      </c>
      <c r="H2012" t="s">
        <v>1417</v>
      </c>
      <c r="I2012">
        <v>4</v>
      </c>
    </row>
    <row r="2013" spans="1:9" ht="15.6" x14ac:dyDescent="0.3">
      <c r="A2013" s="9">
        <v>2012</v>
      </c>
      <c r="B2013" s="2" t="s">
        <v>2018</v>
      </c>
      <c r="C2013" s="11">
        <v>6</v>
      </c>
      <c r="D2013" s="12">
        <v>50</v>
      </c>
      <c r="E2013" s="12" t="s">
        <v>8219</v>
      </c>
      <c r="F2013" s="13">
        <v>6</v>
      </c>
      <c r="G2013" s="14">
        <v>1758.1799999999998</v>
      </c>
      <c r="H2013" t="s">
        <v>393</v>
      </c>
      <c r="I2013">
        <v>3</v>
      </c>
    </row>
    <row r="2014" spans="1:9" ht="15.6" x14ac:dyDescent="0.3">
      <c r="A2014" s="9">
        <v>2013</v>
      </c>
      <c r="B2014" s="2" t="s">
        <v>2019</v>
      </c>
      <c r="C2014" s="11">
        <v>8</v>
      </c>
      <c r="D2014" s="12">
        <v>33.333333333333329</v>
      </c>
      <c r="E2014" s="12" t="s">
        <v>8219</v>
      </c>
      <c r="F2014" s="13">
        <v>6</v>
      </c>
      <c r="G2014" s="14">
        <v>1742.1799999999998</v>
      </c>
      <c r="H2014" t="s">
        <v>3209</v>
      </c>
      <c r="I2014">
        <v>4</v>
      </c>
    </row>
    <row r="2015" spans="1:9" ht="15.6" x14ac:dyDescent="0.3">
      <c r="A2015" s="9">
        <v>2014</v>
      </c>
      <c r="B2015" s="2" t="s">
        <v>2020</v>
      </c>
      <c r="C2015" s="11">
        <v>6</v>
      </c>
      <c r="D2015" s="12">
        <v>50</v>
      </c>
      <c r="E2015" s="12" t="s">
        <v>8219</v>
      </c>
      <c r="F2015" s="13">
        <v>6</v>
      </c>
      <c r="G2015" s="14">
        <v>1718.15</v>
      </c>
      <c r="H2015" t="s">
        <v>2185</v>
      </c>
      <c r="I2015">
        <v>3</v>
      </c>
    </row>
    <row r="2016" spans="1:9" ht="15.6" x14ac:dyDescent="0.3">
      <c r="A2016" s="9">
        <v>2015</v>
      </c>
      <c r="B2016" s="2" t="s">
        <v>2021</v>
      </c>
      <c r="C2016" s="11">
        <v>6</v>
      </c>
      <c r="D2016" s="12">
        <v>50</v>
      </c>
      <c r="E2016" s="12" t="s">
        <v>8219</v>
      </c>
      <c r="F2016" s="13">
        <v>6</v>
      </c>
      <c r="G2016" s="14">
        <v>1758.1799999999998</v>
      </c>
      <c r="H2016" t="s">
        <v>1161</v>
      </c>
      <c r="I2016">
        <v>3</v>
      </c>
    </row>
    <row r="2017" spans="1:9" ht="15.6" x14ac:dyDescent="0.3">
      <c r="A2017" s="9">
        <v>2016</v>
      </c>
      <c r="B2017" s="2" t="s">
        <v>2022</v>
      </c>
      <c r="C2017" s="11">
        <v>0</v>
      </c>
      <c r="D2017" s="12">
        <v>33.333333333333329</v>
      </c>
      <c r="E2017" s="12" t="s">
        <v>8219</v>
      </c>
      <c r="F2017" s="13">
        <v>6</v>
      </c>
      <c r="G2017" s="14">
        <v>1733.1599999999999</v>
      </c>
      <c r="H2017" t="s">
        <v>137</v>
      </c>
      <c r="I2017">
        <v>2</v>
      </c>
    </row>
    <row r="2018" spans="1:9" ht="15.6" x14ac:dyDescent="0.3">
      <c r="A2018" s="9">
        <v>2017</v>
      </c>
      <c r="B2018" s="2" t="s">
        <v>2023</v>
      </c>
      <c r="C2018" s="11">
        <v>16</v>
      </c>
      <c r="D2018" s="12">
        <v>33.333333333333329</v>
      </c>
      <c r="E2018" s="12" t="s">
        <v>8219</v>
      </c>
      <c r="F2018" s="13">
        <v>6</v>
      </c>
      <c r="G2018" s="14">
        <v>1791.23</v>
      </c>
      <c r="H2018" t="s">
        <v>3913</v>
      </c>
      <c r="I2018">
        <v>5</v>
      </c>
    </row>
    <row r="2019" spans="1:9" ht="15.6" x14ac:dyDescent="0.3">
      <c r="A2019" s="9">
        <v>2018</v>
      </c>
      <c r="B2019" s="2" t="s">
        <v>2024</v>
      </c>
      <c r="C2019" s="11">
        <v>14</v>
      </c>
      <c r="D2019" s="12">
        <v>50</v>
      </c>
      <c r="E2019" s="12" t="s">
        <v>8219</v>
      </c>
      <c r="F2019" s="13">
        <v>6</v>
      </c>
      <c r="G2019" s="14">
        <v>1767.1999999999998</v>
      </c>
      <c r="H2019" t="s">
        <v>2889</v>
      </c>
      <c r="I2019">
        <v>5</v>
      </c>
    </row>
    <row r="2020" spans="1:9" ht="15.6" x14ac:dyDescent="0.3">
      <c r="A2020" s="9">
        <v>2019</v>
      </c>
      <c r="B2020" s="2" t="s">
        <v>2025</v>
      </c>
      <c r="C2020" s="11">
        <v>14</v>
      </c>
      <c r="D2020" s="12">
        <v>50</v>
      </c>
      <c r="E2020" s="12" t="s">
        <v>8219</v>
      </c>
      <c r="F2020" s="13">
        <v>6</v>
      </c>
      <c r="G2020" s="14">
        <v>1807.23</v>
      </c>
      <c r="H2020" t="s">
        <v>1865</v>
      </c>
      <c r="I2020">
        <v>5</v>
      </c>
    </row>
    <row r="2021" spans="1:9" ht="15.6" x14ac:dyDescent="0.3">
      <c r="A2021" s="9">
        <v>2020</v>
      </c>
      <c r="B2021" s="2" t="s">
        <v>2026</v>
      </c>
      <c r="C2021" s="11">
        <v>8</v>
      </c>
      <c r="D2021" s="12">
        <v>33.333333333333329</v>
      </c>
      <c r="E2021" s="12" t="s">
        <v>8219</v>
      </c>
      <c r="F2021" s="13">
        <v>6</v>
      </c>
      <c r="G2021" s="14">
        <v>1782.21</v>
      </c>
      <c r="H2021" t="s">
        <v>841</v>
      </c>
      <c r="I2021">
        <v>4</v>
      </c>
    </row>
    <row r="2022" spans="1:9" ht="15.6" x14ac:dyDescent="0.3">
      <c r="A2022" s="9">
        <v>2021</v>
      </c>
      <c r="B2022" s="2" t="s">
        <v>2027</v>
      </c>
      <c r="C2022" s="11">
        <v>14</v>
      </c>
      <c r="D2022" s="12">
        <v>50</v>
      </c>
      <c r="E2022" s="12" t="s">
        <v>8219</v>
      </c>
      <c r="F2022" s="13">
        <v>6</v>
      </c>
      <c r="G2022" s="14">
        <v>1767.1999999999998</v>
      </c>
      <c r="H2022" t="s">
        <v>3657</v>
      </c>
      <c r="I2022">
        <v>5</v>
      </c>
    </row>
    <row r="2023" spans="1:9" ht="15.6" x14ac:dyDescent="0.3">
      <c r="A2023" s="9">
        <v>2022</v>
      </c>
      <c r="B2023" s="2" t="s">
        <v>2028</v>
      </c>
      <c r="C2023" s="11">
        <v>12</v>
      </c>
      <c r="D2023" s="12">
        <v>66.666666666666657</v>
      </c>
      <c r="E2023" s="12" t="s">
        <v>8220</v>
      </c>
      <c r="F2023" s="13">
        <v>6</v>
      </c>
      <c r="G2023" s="14">
        <v>1743.17</v>
      </c>
      <c r="H2023" t="s">
        <v>2633</v>
      </c>
      <c r="I2023">
        <v>4</v>
      </c>
    </row>
    <row r="2024" spans="1:9" ht="15.6" x14ac:dyDescent="0.3">
      <c r="A2024" s="9">
        <v>2023</v>
      </c>
      <c r="B2024" s="2" t="s">
        <v>2029</v>
      </c>
      <c r="C2024" s="11">
        <v>12</v>
      </c>
      <c r="D2024" s="12">
        <v>66.666666666666657</v>
      </c>
      <c r="E2024" s="12" t="s">
        <v>8220</v>
      </c>
      <c r="F2024" s="13">
        <v>6</v>
      </c>
      <c r="G2024" s="14">
        <v>1783.1999999999998</v>
      </c>
      <c r="H2024" t="s">
        <v>1609</v>
      </c>
      <c r="I2024">
        <v>4</v>
      </c>
    </row>
    <row r="2025" spans="1:9" ht="15.6" x14ac:dyDescent="0.3">
      <c r="A2025" s="9">
        <v>2024</v>
      </c>
      <c r="B2025" s="2" t="s">
        <v>2030</v>
      </c>
      <c r="C2025" s="11">
        <v>6</v>
      </c>
      <c r="D2025" s="12">
        <v>50</v>
      </c>
      <c r="E2025" s="12" t="s">
        <v>8219</v>
      </c>
      <c r="F2025" s="13">
        <v>6</v>
      </c>
      <c r="G2025" s="14">
        <v>1758.1799999999998</v>
      </c>
      <c r="H2025" t="s">
        <v>585</v>
      </c>
      <c r="I2025">
        <v>3</v>
      </c>
    </row>
    <row r="2026" spans="1:9" ht="15.6" x14ac:dyDescent="0.3">
      <c r="A2026" s="9">
        <v>2025</v>
      </c>
      <c r="B2026" s="2" t="s">
        <v>2031</v>
      </c>
      <c r="C2026" s="11">
        <v>14</v>
      </c>
      <c r="D2026" s="12">
        <v>50</v>
      </c>
      <c r="E2026" s="12" t="s">
        <v>8219</v>
      </c>
      <c r="F2026" s="13">
        <v>6</v>
      </c>
      <c r="G2026" s="14">
        <v>1807.23</v>
      </c>
      <c r="H2026" t="s">
        <v>3401</v>
      </c>
      <c r="I2026">
        <v>5</v>
      </c>
    </row>
    <row r="2027" spans="1:9" ht="15.6" x14ac:dyDescent="0.3">
      <c r="A2027" s="9">
        <v>2026</v>
      </c>
      <c r="B2027" s="2" t="s">
        <v>2032</v>
      </c>
      <c r="C2027" s="11">
        <v>12</v>
      </c>
      <c r="D2027" s="12">
        <v>66.666666666666657</v>
      </c>
      <c r="E2027" s="12" t="s">
        <v>8220</v>
      </c>
      <c r="F2027" s="13">
        <v>6</v>
      </c>
      <c r="G2027" s="14">
        <v>1783.1999999999998</v>
      </c>
      <c r="H2027" t="s">
        <v>2377</v>
      </c>
      <c r="I2027">
        <v>4</v>
      </c>
    </row>
    <row r="2028" spans="1:9" ht="15.6" x14ac:dyDescent="0.3">
      <c r="A2028" s="9">
        <v>2027</v>
      </c>
      <c r="B2028" s="2" t="s">
        <v>2033</v>
      </c>
      <c r="C2028" s="11">
        <v>12</v>
      </c>
      <c r="D2028" s="12">
        <v>66.666666666666657</v>
      </c>
      <c r="E2028" s="12" t="s">
        <v>8220</v>
      </c>
      <c r="F2028" s="13">
        <v>6</v>
      </c>
      <c r="G2028" s="14">
        <v>1823.23</v>
      </c>
      <c r="H2028" t="s">
        <v>1353</v>
      </c>
      <c r="I2028">
        <v>4</v>
      </c>
    </row>
    <row r="2029" spans="1:9" ht="15.6" x14ac:dyDescent="0.3">
      <c r="A2029" s="9">
        <v>2028</v>
      </c>
      <c r="B2029" s="2" t="s">
        <v>2034</v>
      </c>
      <c r="C2029" s="11">
        <v>6</v>
      </c>
      <c r="D2029" s="12">
        <v>50</v>
      </c>
      <c r="E2029" s="12" t="s">
        <v>8219</v>
      </c>
      <c r="F2029" s="13">
        <v>6</v>
      </c>
      <c r="G2029" s="14">
        <v>1798.21</v>
      </c>
      <c r="H2029" t="s">
        <v>329</v>
      </c>
      <c r="I2029">
        <v>3</v>
      </c>
    </row>
    <row r="2030" spans="1:9" ht="15.6" x14ac:dyDescent="0.3">
      <c r="A2030" s="9">
        <v>2029</v>
      </c>
      <c r="B2030" s="2" t="s">
        <v>2035</v>
      </c>
      <c r="C2030" s="11">
        <v>8</v>
      </c>
      <c r="D2030" s="12">
        <v>33.333333333333329</v>
      </c>
      <c r="E2030" s="12" t="s">
        <v>8219</v>
      </c>
      <c r="F2030" s="13">
        <v>6</v>
      </c>
      <c r="G2030" s="14">
        <v>1782.21</v>
      </c>
      <c r="H2030" t="s">
        <v>3145</v>
      </c>
      <c r="I2030">
        <v>4</v>
      </c>
    </row>
    <row r="2031" spans="1:9" ht="15.6" x14ac:dyDescent="0.3">
      <c r="A2031" s="9">
        <v>2030</v>
      </c>
      <c r="B2031" s="2" t="s">
        <v>2036</v>
      </c>
      <c r="C2031" s="11">
        <v>6</v>
      </c>
      <c r="D2031" s="12">
        <v>50</v>
      </c>
      <c r="E2031" s="12" t="s">
        <v>8219</v>
      </c>
      <c r="F2031" s="13">
        <v>6</v>
      </c>
      <c r="G2031" s="14">
        <v>1758.1799999999998</v>
      </c>
      <c r="H2031" t="s">
        <v>2121</v>
      </c>
      <c r="I2031">
        <v>3</v>
      </c>
    </row>
    <row r="2032" spans="1:9" ht="15.6" x14ac:dyDescent="0.3">
      <c r="A2032" s="9">
        <v>2031</v>
      </c>
      <c r="B2032" s="2" t="s">
        <v>2037</v>
      </c>
      <c r="C2032" s="11">
        <v>6</v>
      </c>
      <c r="D2032" s="12">
        <v>50</v>
      </c>
      <c r="E2032" s="12" t="s">
        <v>8219</v>
      </c>
      <c r="F2032" s="13">
        <v>6</v>
      </c>
      <c r="G2032" s="14">
        <v>1798.21</v>
      </c>
      <c r="H2032" t="s">
        <v>1097</v>
      </c>
      <c r="I2032">
        <v>3</v>
      </c>
    </row>
    <row r="2033" spans="1:9" ht="15.6" x14ac:dyDescent="0.3">
      <c r="A2033" s="9">
        <v>2032</v>
      </c>
      <c r="B2033" s="2" t="s">
        <v>2038</v>
      </c>
      <c r="C2033" s="11">
        <v>0</v>
      </c>
      <c r="D2033" s="12">
        <v>33.333333333333329</v>
      </c>
      <c r="E2033" s="12" t="s">
        <v>8219</v>
      </c>
      <c r="F2033" s="13">
        <v>6</v>
      </c>
      <c r="G2033" s="14">
        <v>1773.19</v>
      </c>
      <c r="H2033" t="s">
        <v>73</v>
      </c>
      <c r="I2033">
        <v>2</v>
      </c>
    </row>
    <row r="2034" spans="1:9" ht="15.6" x14ac:dyDescent="0.3">
      <c r="A2034" s="9">
        <v>2033</v>
      </c>
      <c r="B2034" s="2" t="s">
        <v>2039</v>
      </c>
      <c r="C2034" s="11">
        <v>10</v>
      </c>
      <c r="D2034" s="12">
        <v>16.666666666666664</v>
      </c>
      <c r="E2034" s="12" t="s">
        <v>8219</v>
      </c>
      <c r="F2034" s="13">
        <v>6</v>
      </c>
      <c r="G2034" s="14">
        <v>1766.21</v>
      </c>
      <c r="H2034" t="s">
        <v>3849</v>
      </c>
      <c r="I2034">
        <v>4</v>
      </c>
    </row>
    <row r="2035" spans="1:9" ht="15.6" x14ac:dyDescent="0.3">
      <c r="A2035" s="9">
        <v>2034</v>
      </c>
      <c r="B2035" s="2" t="s">
        <v>2040</v>
      </c>
      <c r="C2035" s="11">
        <v>8</v>
      </c>
      <c r="D2035" s="12">
        <v>33.333333333333329</v>
      </c>
      <c r="E2035" s="12" t="s">
        <v>8219</v>
      </c>
      <c r="F2035" s="13">
        <v>6</v>
      </c>
      <c r="G2035" s="14">
        <v>1742.1799999999998</v>
      </c>
      <c r="H2035" t="s">
        <v>2825</v>
      </c>
      <c r="I2035">
        <v>4</v>
      </c>
    </row>
    <row r="2036" spans="1:9" ht="15.6" x14ac:dyDescent="0.3">
      <c r="A2036" s="9">
        <v>2035</v>
      </c>
      <c r="B2036" s="2" t="s">
        <v>2041</v>
      </c>
      <c r="C2036" s="11">
        <v>8</v>
      </c>
      <c r="D2036" s="12">
        <v>33.333333333333329</v>
      </c>
      <c r="E2036" s="12" t="s">
        <v>8219</v>
      </c>
      <c r="F2036" s="13">
        <v>6</v>
      </c>
      <c r="G2036" s="14">
        <v>1782.21</v>
      </c>
      <c r="H2036" t="s">
        <v>1801</v>
      </c>
      <c r="I2036">
        <v>4</v>
      </c>
    </row>
    <row r="2037" spans="1:9" ht="15.6" x14ac:dyDescent="0.3">
      <c r="A2037" s="9">
        <v>2036</v>
      </c>
      <c r="B2037" s="2" t="s">
        <v>2042</v>
      </c>
      <c r="C2037" s="11">
        <v>2</v>
      </c>
      <c r="D2037" s="12">
        <v>16.666666666666664</v>
      </c>
      <c r="E2037" s="12" t="s">
        <v>8219</v>
      </c>
      <c r="F2037" s="13">
        <v>6</v>
      </c>
      <c r="G2037" s="14">
        <v>1757.19</v>
      </c>
      <c r="H2037" t="s">
        <v>777</v>
      </c>
      <c r="I2037">
        <v>3</v>
      </c>
    </row>
    <row r="2038" spans="1:9" ht="15.6" x14ac:dyDescent="0.3">
      <c r="A2038" s="9">
        <v>2037</v>
      </c>
      <c r="B2038" s="2" t="s">
        <v>2043</v>
      </c>
      <c r="C2038" s="11">
        <v>8</v>
      </c>
      <c r="D2038" s="12">
        <v>33.333333333333329</v>
      </c>
      <c r="E2038" s="12" t="s">
        <v>8219</v>
      </c>
      <c r="F2038" s="13">
        <v>6</v>
      </c>
      <c r="G2038" s="14">
        <v>1742.1799999999998</v>
      </c>
      <c r="H2038" t="s">
        <v>3593</v>
      </c>
      <c r="I2038">
        <v>4</v>
      </c>
    </row>
    <row r="2039" spans="1:9" ht="15.6" x14ac:dyDescent="0.3">
      <c r="A2039" s="9">
        <v>2038</v>
      </c>
      <c r="B2039" s="2" t="s">
        <v>2044</v>
      </c>
      <c r="C2039" s="11">
        <v>6</v>
      </c>
      <c r="D2039" s="12">
        <v>50</v>
      </c>
      <c r="E2039" s="12" t="s">
        <v>8219</v>
      </c>
      <c r="F2039" s="13">
        <v>6</v>
      </c>
      <c r="G2039" s="14">
        <v>1718.15</v>
      </c>
      <c r="H2039" t="s">
        <v>2569</v>
      </c>
      <c r="I2039">
        <v>3</v>
      </c>
    </row>
    <row r="2040" spans="1:9" ht="15.6" x14ac:dyDescent="0.3">
      <c r="A2040" s="9">
        <v>2039</v>
      </c>
      <c r="B2040" s="2" t="s">
        <v>2045</v>
      </c>
      <c r="C2040" s="11">
        <v>6</v>
      </c>
      <c r="D2040" s="12">
        <v>50</v>
      </c>
      <c r="E2040" s="12" t="s">
        <v>8219</v>
      </c>
      <c r="F2040" s="13">
        <v>6</v>
      </c>
      <c r="G2040" s="14">
        <v>1758.1799999999998</v>
      </c>
      <c r="H2040" t="s">
        <v>1545</v>
      </c>
      <c r="I2040">
        <v>3</v>
      </c>
    </row>
    <row r="2041" spans="1:9" ht="15.6" x14ac:dyDescent="0.3">
      <c r="A2041" s="9">
        <v>2040</v>
      </c>
      <c r="B2041" s="2" t="s">
        <v>2046</v>
      </c>
      <c r="C2041" s="11">
        <v>0</v>
      </c>
      <c r="D2041" s="12">
        <v>33.333333333333329</v>
      </c>
      <c r="E2041" s="12" t="s">
        <v>8219</v>
      </c>
      <c r="F2041" s="13">
        <v>6</v>
      </c>
      <c r="G2041" s="14">
        <v>1733.1599999999999</v>
      </c>
      <c r="H2041" t="s">
        <v>521</v>
      </c>
      <c r="I2041">
        <v>2</v>
      </c>
    </row>
    <row r="2042" spans="1:9" ht="15.6" x14ac:dyDescent="0.3">
      <c r="A2042" s="9">
        <v>2041</v>
      </c>
      <c r="B2042" s="2" t="s">
        <v>2047</v>
      </c>
      <c r="C2042" s="11">
        <v>8</v>
      </c>
      <c r="D2042" s="12">
        <v>33.333333333333329</v>
      </c>
      <c r="E2042" s="12" t="s">
        <v>8219</v>
      </c>
      <c r="F2042" s="13">
        <v>6</v>
      </c>
      <c r="G2042" s="14">
        <v>1782.21</v>
      </c>
      <c r="H2042" t="s">
        <v>3337</v>
      </c>
      <c r="I2042">
        <v>4</v>
      </c>
    </row>
    <row r="2043" spans="1:9" ht="15.6" x14ac:dyDescent="0.3">
      <c r="A2043" s="9">
        <v>2042</v>
      </c>
      <c r="B2043" s="2" t="s">
        <v>2048</v>
      </c>
      <c r="C2043" s="11">
        <v>6</v>
      </c>
      <c r="D2043" s="12">
        <v>50</v>
      </c>
      <c r="E2043" s="12" t="s">
        <v>8219</v>
      </c>
      <c r="F2043" s="13">
        <v>6</v>
      </c>
      <c r="G2043" s="14">
        <v>1758.1799999999998</v>
      </c>
      <c r="H2043" t="s">
        <v>2313</v>
      </c>
      <c r="I2043">
        <v>3</v>
      </c>
    </row>
    <row r="2044" spans="1:9" ht="15.6" x14ac:dyDescent="0.3">
      <c r="A2044" s="9">
        <v>2043</v>
      </c>
      <c r="B2044" s="2" t="s">
        <v>2049</v>
      </c>
      <c r="C2044" s="11">
        <v>6</v>
      </c>
      <c r="D2044" s="12">
        <v>50</v>
      </c>
      <c r="E2044" s="12" t="s">
        <v>8219</v>
      </c>
      <c r="F2044" s="13">
        <v>6</v>
      </c>
      <c r="G2044" s="14">
        <v>1798.21</v>
      </c>
      <c r="H2044" t="s">
        <v>1289</v>
      </c>
      <c r="I2044">
        <v>3</v>
      </c>
    </row>
    <row r="2045" spans="1:9" ht="15.6" x14ac:dyDescent="0.3">
      <c r="A2045" s="9">
        <v>2044</v>
      </c>
      <c r="B2045" s="2" t="s">
        <v>2050</v>
      </c>
      <c r="C2045" s="11">
        <v>0</v>
      </c>
      <c r="D2045" s="12">
        <v>33.333333333333329</v>
      </c>
      <c r="E2045" s="12" t="s">
        <v>8219</v>
      </c>
      <c r="F2045" s="13">
        <v>6</v>
      </c>
      <c r="G2045" s="14">
        <v>1773.19</v>
      </c>
      <c r="H2045" t="s">
        <v>265</v>
      </c>
      <c r="I2045">
        <v>2</v>
      </c>
    </row>
    <row r="2046" spans="1:9" ht="15.6" x14ac:dyDescent="0.3">
      <c r="A2046" s="9">
        <v>2045</v>
      </c>
      <c r="B2046" s="2" t="s">
        <v>2051</v>
      </c>
      <c r="C2046" s="11">
        <v>2</v>
      </c>
      <c r="D2046" s="12">
        <v>16.666666666666664</v>
      </c>
      <c r="E2046" s="12" t="s">
        <v>8219</v>
      </c>
      <c r="F2046" s="13">
        <v>6</v>
      </c>
      <c r="G2046" s="14">
        <v>1757.19</v>
      </c>
      <c r="H2046" t="s">
        <v>3081</v>
      </c>
      <c r="I2046">
        <v>3</v>
      </c>
    </row>
    <row r="2047" spans="1:9" ht="15.6" x14ac:dyDescent="0.3">
      <c r="A2047" s="9">
        <v>2046</v>
      </c>
      <c r="B2047" s="2" t="s">
        <v>2052</v>
      </c>
      <c r="C2047" s="11">
        <v>0</v>
      </c>
      <c r="D2047" s="12">
        <v>33.333333333333329</v>
      </c>
      <c r="E2047" s="12" t="s">
        <v>8219</v>
      </c>
      <c r="F2047" s="13">
        <v>6</v>
      </c>
      <c r="G2047" s="14">
        <v>1733.1599999999999</v>
      </c>
      <c r="H2047" t="s">
        <v>2057</v>
      </c>
      <c r="I2047">
        <v>2</v>
      </c>
    </row>
    <row r="2048" spans="1:9" ht="15.6" x14ac:dyDescent="0.3">
      <c r="A2048" s="9">
        <v>2047</v>
      </c>
      <c r="B2048" s="2" t="s">
        <v>2053</v>
      </c>
      <c r="C2048" s="11">
        <v>0</v>
      </c>
      <c r="D2048" s="12">
        <v>33.333333333333329</v>
      </c>
      <c r="E2048" s="12" t="s">
        <v>8219</v>
      </c>
      <c r="F2048" s="13">
        <v>6</v>
      </c>
      <c r="G2048" s="14">
        <v>1773.19</v>
      </c>
      <c r="H2048" t="s">
        <v>1033</v>
      </c>
      <c r="I2048">
        <v>2</v>
      </c>
    </row>
    <row r="2049" spans="1:9" ht="15.6" x14ac:dyDescent="0.3">
      <c r="A2049" s="9">
        <v>2048</v>
      </c>
      <c r="B2049" s="2" t="s">
        <v>2054</v>
      </c>
      <c r="C2049" s="11">
        <v>-6</v>
      </c>
      <c r="D2049" s="12">
        <v>16.666666666666664</v>
      </c>
      <c r="E2049" s="12" t="s">
        <v>8219</v>
      </c>
      <c r="F2049" s="13">
        <v>6</v>
      </c>
      <c r="G2049" s="14">
        <v>1748.17</v>
      </c>
      <c r="H2049" t="s">
        <v>9</v>
      </c>
      <c r="I2049">
        <v>1</v>
      </c>
    </row>
    <row r="2050" spans="1:9" ht="15.6" x14ac:dyDescent="0.3">
      <c r="A2050" s="9">
        <v>2049</v>
      </c>
      <c r="B2050" s="2" t="s">
        <v>2055</v>
      </c>
      <c r="C2050" s="11">
        <v>34</v>
      </c>
      <c r="D2050" s="12">
        <v>16.666666666666664</v>
      </c>
      <c r="E2050" s="12" t="s">
        <v>8219</v>
      </c>
      <c r="F2050" s="13">
        <v>6</v>
      </c>
      <c r="G2050" s="14">
        <v>1833.2999999999997</v>
      </c>
      <c r="H2050" t="s">
        <v>4100</v>
      </c>
      <c r="I2050">
        <v>8</v>
      </c>
    </row>
    <row r="2051" spans="1:9" ht="15.6" x14ac:dyDescent="0.3">
      <c r="A2051" s="9">
        <v>2050</v>
      </c>
      <c r="B2051" s="2" t="s">
        <v>2056</v>
      </c>
      <c r="C2051" s="11">
        <v>32</v>
      </c>
      <c r="D2051" s="12">
        <v>33.333333333333329</v>
      </c>
      <c r="E2051" s="12" t="s">
        <v>8219</v>
      </c>
      <c r="F2051" s="13">
        <v>6</v>
      </c>
      <c r="G2051" s="14">
        <v>1809.27</v>
      </c>
      <c r="H2051" t="s">
        <v>3076</v>
      </c>
      <c r="I2051">
        <v>8</v>
      </c>
    </row>
    <row r="2052" spans="1:9" ht="15.6" x14ac:dyDescent="0.3">
      <c r="A2052" s="9">
        <v>2051</v>
      </c>
      <c r="B2052" s="2" t="s">
        <v>2057</v>
      </c>
      <c r="C2052" s="11">
        <v>32</v>
      </c>
      <c r="D2052" s="12">
        <v>33.333333333333329</v>
      </c>
      <c r="E2052" s="12" t="s">
        <v>8219</v>
      </c>
      <c r="F2052" s="13">
        <v>6</v>
      </c>
      <c r="G2052" s="14">
        <v>1849.3000000000002</v>
      </c>
      <c r="H2052" t="s">
        <v>2052</v>
      </c>
      <c r="I2052">
        <v>8</v>
      </c>
    </row>
    <row r="2053" spans="1:9" ht="15.6" x14ac:dyDescent="0.3">
      <c r="A2053" s="9">
        <v>2052</v>
      </c>
      <c r="B2053" s="2" t="s">
        <v>2058</v>
      </c>
      <c r="C2053" s="11">
        <v>26</v>
      </c>
      <c r="D2053" s="12">
        <v>16.666666666666664</v>
      </c>
      <c r="E2053" s="12" t="s">
        <v>8219</v>
      </c>
      <c r="F2053" s="13">
        <v>6</v>
      </c>
      <c r="G2053" s="14">
        <v>1824.2799999999997</v>
      </c>
      <c r="H2053" t="s">
        <v>1028</v>
      </c>
      <c r="I2053">
        <v>7</v>
      </c>
    </row>
    <row r="2054" spans="1:9" ht="15.6" x14ac:dyDescent="0.3">
      <c r="A2054" s="9">
        <v>2053</v>
      </c>
      <c r="B2054" s="2" t="s">
        <v>2059</v>
      </c>
      <c r="C2054" s="11">
        <v>32</v>
      </c>
      <c r="D2054" s="12">
        <v>33.333333333333329</v>
      </c>
      <c r="E2054" s="12" t="s">
        <v>8219</v>
      </c>
      <c r="F2054" s="13">
        <v>6</v>
      </c>
      <c r="G2054" s="14">
        <v>1809.27</v>
      </c>
      <c r="H2054" t="s">
        <v>3844</v>
      </c>
      <c r="I2054">
        <v>8</v>
      </c>
    </row>
    <row r="2055" spans="1:9" ht="15.6" x14ac:dyDescent="0.3">
      <c r="A2055" s="9">
        <v>2054</v>
      </c>
      <c r="B2055" s="2" t="s">
        <v>2060</v>
      </c>
      <c r="C2055" s="11">
        <v>30</v>
      </c>
      <c r="D2055" s="12">
        <v>50</v>
      </c>
      <c r="E2055" s="12" t="s">
        <v>8219</v>
      </c>
      <c r="F2055" s="13">
        <v>6</v>
      </c>
      <c r="G2055" s="14">
        <v>1785.2399999999998</v>
      </c>
      <c r="H2055" t="s">
        <v>2820</v>
      </c>
      <c r="I2055">
        <v>7</v>
      </c>
    </row>
    <row r="2056" spans="1:9" ht="15.6" x14ac:dyDescent="0.3">
      <c r="A2056" s="9">
        <v>2055</v>
      </c>
      <c r="B2056" s="2" t="s">
        <v>2061</v>
      </c>
      <c r="C2056" s="11">
        <v>30</v>
      </c>
      <c r="D2056" s="12">
        <v>50</v>
      </c>
      <c r="E2056" s="12" t="s">
        <v>8219</v>
      </c>
      <c r="F2056" s="13">
        <v>6</v>
      </c>
      <c r="G2056" s="14">
        <v>1825.27</v>
      </c>
      <c r="H2056" t="s">
        <v>1796</v>
      </c>
      <c r="I2056">
        <v>7</v>
      </c>
    </row>
    <row r="2057" spans="1:9" ht="15.6" x14ac:dyDescent="0.3">
      <c r="A2057" s="9">
        <v>2056</v>
      </c>
      <c r="B2057" s="2" t="s">
        <v>2062</v>
      </c>
      <c r="C2057" s="11">
        <v>24</v>
      </c>
      <c r="D2057" s="12">
        <v>33.333333333333329</v>
      </c>
      <c r="E2057" s="12" t="s">
        <v>8219</v>
      </c>
      <c r="F2057" s="13">
        <v>6</v>
      </c>
      <c r="G2057" s="14">
        <v>1800.25</v>
      </c>
      <c r="H2057" t="s">
        <v>772</v>
      </c>
      <c r="I2057">
        <v>6</v>
      </c>
    </row>
    <row r="2058" spans="1:9" ht="15.6" x14ac:dyDescent="0.3">
      <c r="A2058" s="9">
        <v>2057</v>
      </c>
      <c r="B2058" s="2" t="s">
        <v>2063</v>
      </c>
      <c r="C2058" s="11">
        <v>32</v>
      </c>
      <c r="D2058" s="12">
        <v>33.333333333333329</v>
      </c>
      <c r="E2058" s="12" t="s">
        <v>8219</v>
      </c>
      <c r="F2058" s="13">
        <v>6</v>
      </c>
      <c r="G2058" s="14">
        <v>1849.3000000000002</v>
      </c>
      <c r="H2058" t="s">
        <v>3588</v>
      </c>
      <c r="I2058">
        <v>8</v>
      </c>
    </row>
    <row r="2059" spans="1:9" ht="15.6" x14ac:dyDescent="0.3">
      <c r="A2059" s="9">
        <v>2058</v>
      </c>
      <c r="B2059" s="2" t="s">
        <v>2064</v>
      </c>
      <c r="C2059" s="11">
        <v>30</v>
      </c>
      <c r="D2059" s="12">
        <v>50</v>
      </c>
      <c r="E2059" s="12" t="s">
        <v>8219</v>
      </c>
      <c r="F2059" s="13">
        <v>6</v>
      </c>
      <c r="G2059" s="14">
        <v>1825.27</v>
      </c>
      <c r="H2059" t="s">
        <v>2564</v>
      </c>
      <c r="I2059">
        <v>7</v>
      </c>
    </row>
    <row r="2060" spans="1:9" ht="15.6" x14ac:dyDescent="0.3">
      <c r="A2060" s="9">
        <v>2059</v>
      </c>
      <c r="B2060" s="2" t="s">
        <v>2065</v>
      </c>
      <c r="C2060" s="11">
        <v>30</v>
      </c>
      <c r="D2060" s="12">
        <v>50</v>
      </c>
      <c r="E2060" s="12" t="s">
        <v>8219</v>
      </c>
      <c r="F2060" s="13">
        <v>6</v>
      </c>
      <c r="G2060" s="14">
        <v>1865.3000000000002</v>
      </c>
      <c r="H2060" t="s">
        <v>1540</v>
      </c>
      <c r="I2060">
        <v>7</v>
      </c>
    </row>
    <row r="2061" spans="1:9" ht="15.6" x14ac:dyDescent="0.3">
      <c r="A2061" s="9">
        <v>2060</v>
      </c>
      <c r="B2061" s="2" t="s">
        <v>2066</v>
      </c>
      <c r="C2061" s="11">
        <v>24</v>
      </c>
      <c r="D2061" s="12">
        <v>33.333333333333329</v>
      </c>
      <c r="E2061" s="12" t="s">
        <v>8219</v>
      </c>
      <c r="F2061" s="13">
        <v>6</v>
      </c>
      <c r="G2061" s="14">
        <v>1840.2800000000002</v>
      </c>
      <c r="H2061" t="s">
        <v>516</v>
      </c>
      <c r="I2061">
        <v>6</v>
      </c>
    </row>
    <row r="2062" spans="1:9" ht="15.6" x14ac:dyDescent="0.3">
      <c r="A2062" s="9">
        <v>2061</v>
      </c>
      <c r="B2062" s="2" t="s">
        <v>2067</v>
      </c>
      <c r="C2062" s="11">
        <v>26</v>
      </c>
      <c r="D2062" s="12">
        <v>16.666666666666664</v>
      </c>
      <c r="E2062" s="12" t="s">
        <v>8219</v>
      </c>
      <c r="F2062" s="13">
        <v>6</v>
      </c>
      <c r="G2062" s="14">
        <v>1824.2799999999997</v>
      </c>
      <c r="H2062" t="s">
        <v>3332</v>
      </c>
      <c r="I2062">
        <v>7</v>
      </c>
    </row>
    <row r="2063" spans="1:9" ht="15.6" x14ac:dyDescent="0.3">
      <c r="A2063" s="9">
        <v>2062</v>
      </c>
      <c r="B2063" s="2" t="s">
        <v>2068</v>
      </c>
      <c r="C2063" s="11">
        <v>24</v>
      </c>
      <c r="D2063" s="12">
        <v>33.333333333333329</v>
      </c>
      <c r="E2063" s="12" t="s">
        <v>8219</v>
      </c>
      <c r="F2063" s="13">
        <v>6</v>
      </c>
      <c r="G2063" s="14">
        <v>1800.25</v>
      </c>
      <c r="H2063" t="s">
        <v>2308</v>
      </c>
      <c r="I2063">
        <v>6</v>
      </c>
    </row>
    <row r="2064" spans="1:9" ht="15.6" x14ac:dyDescent="0.3">
      <c r="A2064" s="9">
        <v>2063</v>
      </c>
      <c r="B2064" s="2" t="s">
        <v>2069</v>
      </c>
      <c r="C2064" s="11">
        <v>24</v>
      </c>
      <c r="D2064" s="12">
        <v>33.333333333333329</v>
      </c>
      <c r="E2064" s="12" t="s">
        <v>8219</v>
      </c>
      <c r="F2064" s="13">
        <v>6</v>
      </c>
      <c r="G2064" s="14">
        <v>1840.2800000000002</v>
      </c>
      <c r="H2064" t="s">
        <v>1284</v>
      </c>
      <c r="I2064">
        <v>6</v>
      </c>
    </row>
    <row r="2065" spans="1:9" ht="15.6" x14ac:dyDescent="0.3">
      <c r="A2065" s="9">
        <v>2064</v>
      </c>
      <c r="B2065" s="2" t="s">
        <v>2070</v>
      </c>
      <c r="C2065" s="11">
        <v>18</v>
      </c>
      <c r="D2065" s="12">
        <v>16.666666666666664</v>
      </c>
      <c r="E2065" s="12" t="s">
        <v>8219</v>
      </c>
      <c r="F2065" s="13">
        <v>6</v>
      </c>
      <c r="G2065" s="14">
        <v>1815.2599999999998</v>
      </c>
      <c r="H2065" t="s">
        <v>260</v>
      </c>
      <c r="I2065">
        <v>5</v>
      </c>
    </row>
    <row r="2066" spans="1:9" ht="15.6" x14ac:dyDescent="0.3">
      <c r="A2066" s="9">
        <v>2065</v>
      </c>
      <c r="B2066" s="2" t="s">
        <v>2071</v>
      </c>
      <c r="C2066" s="11">
        <v>32</v>
      </c>
      <c r="D2066" s="12">
        <v>33.333333333333329</v>
      </c>
      <c r="E2066" s="12" t="s">
        <v>8219</v>
      </c>
      <c r="F2066" s="13">
        <v>6</v>
      </c>
      <c r="G2066" s="14">
        <v>1809.27</v>
      </c>
      <c r="H2066" t="s">
        <v>4036</v>
      </c>
      <c r="I2066">
        <v>8</v>
      </c>
    </row>
    <row r="2067" spans="1:9" ht="15.6" x14ac:dyDescent="0.3">
      <c r="A2067" s="9">
        <v>2066</v>
      </c>
      <c r="B2067" s="2" t="s">
        <v>2072</v>
      </c>
      <c r="C2067" s="11">
        <v>30</v>
      </c>
      <c r="D2067" s="12">
        <v>50</v>
      </c>
      <c r="E2067" s="12" t="s">
        <v>8219</v>
      </c>
      <c r="F2067" s="13">
        <v>6</v>
      </c>
      <c r="G2067" s="14">
        <v>1785.2399999999998</v>
      </c>
      <c r="H2067" t="s">
        <v>3012</v>
      </c>
      <c r="I2067">
        <v>7</v>
      </c>
    </row>
    <row r="2068" spans="1:9" ht="15.6" x14ac:dyDescent="0.3">
      <c r="A2068" s="9">
        <v>2067</v>
      </c>
      <c r="B2068" s="2" t="s">
        <v>2073</v>
      </c>
      <c r="C2068" s="11">
        <v>30</v>
      </c>
      <c r="D2068" s="12">
        <v>50</v>
      </c>
      <c r="E2068" s="12" t="s">
        <v>8219</v>
      </c>
      <c r="F2068" s="13">
        <v>6</v>
      </c>
      <c r="G2068" s="14">
        <v>1825.27</v>
      </c>
      <c r="H2068" t="s">
        <v>1988</v>
      </c>
      <c r="I2068">
        <v>7</v>
      </c>
    </row>
    <row r="2069" spans="1:9" ht="15.6" x14ac:dyDescent="0.3">
      <c r="A2069" s="9">
        <v>2068</v>
      </c>
      <c r="B2069" s="2" t="s">
        <v>2074</v>
      </c>
      <c r="C2069" s="11">
        <v>24</v>
      </c>
      <c r="D2069" s="12">
        <v>33.333333333333329</v>
      </c>
      <c r="E2069" s="12" t="s">
        <v>8219</v>
      </c>
      <c r="F2069" s="13">
        <v>6</v>
      </c>
      <c r="G2069" s="14">
        <v>1800.25</v>
      </c>
      <c r="H2069" t="s">
        <v>964</v>
      </c>
      <c r="I2069">
        <v>6</v>
      </c>
    </row>
    <row r="2070" spans="1:9" ht="15.6" x14ac:dyDescent="0.3">
      <c r="A2070" s="9">
        <v>2069</v>
      </c>
      <c r="B2070" s="2" t="s">
        <v>2075</v>
      </c>
      <c r="C2070" s="11">
        <v>30</v>
      </c>
      <c r="D2070" s="12">
        <v>50</v>
      </c>
      <c r="E2070" s="12" t="s">
        <v>8219</v>
      </c>
      <c r="F2070" s="13">
        <v>6</v>
      </c>
      <c r="G2070" s="14">
        <v>1785.2399999999998</v>
      </c>
      <c r="H2070" t="s">
        <v>3780</v>
      </c>
      <c r="I2070">
        <v>7</v>
      </c>
    </row>
    <row r="2071" spans="1:9" ht="15.6" x14ac:dyDescent="0.3">
      <c r="A2071" s="9">
        <v>2070</v>
      </c>
      <c r="B2071" s="2" t="s">
        <v>2076</v>
      </c>
      <c r="C2071" s="11">
        <v>28</v>
      </c>
      <c r="D2071" s="12">
        <v>66.666666666666657</v>
      </c>
      <c r="E2071" s="12" t="s">
        <v>8220</v>
      </c>
      <c r="F2071" s="13">
        <v>6</v>
      </c>
      <c r="G2071" s="14">
        <v>1761.21</v>
      </c>
      <c r="H2071" t="s">
        <v>2756</v>
      </c>
      <c r="I2071">
        <v>7</v>
      </c>
    </row>
    <row r="2072" spans="1:9" ht="15.6" x14ac:dyDescent="0.3">
      <c r="A2072" s="9">
        <v>2071</v>
      </c>
      <c r="B2072" s="2" t="s">
        <v>2077</v>
      </c>
      <c r="C2072" s="11">
        <v>28</v>
      </c>
      <c r="D2072" s="12">
        <v>66.666666666666657</v>
      </c>
      <c r="E2072" s="12" t="s">
        <v>8220</v>
      </c>
      <c r="F2072" s="13">
        <v>6</v>
      </c>
      <c r="G2072" s="14">
        <v>1801.2399999999998</v>
      </c>
      <c r="H2072" t="s">
        <v>1732</v>
      </c>
      <c r="I2072">
        <v>7</v>
      </c>
    </row>
    <row r="2073" spans="1:9" ht="15.6" x14ac:dyDescent="0.3">
      <c r="A2073" s="9">
        <v>2072</v>
      </c>
      <c r="B2073" s="2" t="s">
        <v>2078</v>
      </c>
      <c r="C2073" s="11">
        <v>22</v>
      </c>
      <c r="D2073" s="12">
        <v>50</v>
      </c>
      <c r="E2073" s="12" t="s">
        <v>8219</v>
      </c>
      <c r="F2073" s="13">
        <v>6</v>
      </c>
      <c r="G2073" s="14">
        <v>1776.2199999999998</v>
      </c>
      <c r="H2073" t="s">
        <v>708</v>
      </c>
      <c r="I2073">
        <v>6</v>
      </c>
    </row>
    <row r="2074" spans="1:9" ht="15.6" x14ac:dyDescent="0.3">
      <c r="A2074" s="9">
        <v>2073</v>
      </c>
      <c r="B2074" s="2" t="s">
        <v>2079</v>
      </c>
      <c r="C2074" s="11">
        <v>30</v>
      </c>
      <c r="D2074" s="12">
        <v>50</v>
      </c>
      <c r="E2074" s="12" t="s">
        <v>8219</v>
      </c>
      <c r="F2074" s="13">
        <v>6</v>
      </c>
      <c r="G2074" s="14">
        <v>1825.27</v>
      </c>
      <c r="H2074" t="s">
        <v>3524</v>
      </c>
      <c r="I2074">
        <v>7</v>
      </c>
    </row>
    <row r="2075" spans="1:9" ht="15.6" x14ac:dyDescent="0.3">
      <c r="A2075" s="9">
        <v>2074</v>
      </c>
      <c r="B2075" s="2" t="s">
        <v>2080</v>
      </c>
      <c r="C2075" s="11">
        <v>28</v>
      </c>
      <c r="D2075" s="12">
        <v>66.666666666666657</v>
      </c>
      <c r="E2075" s="12" t="s">
        <v>8220</v>
      </c>
      <c r="F2075" s="13">
        <v>6</v>
      </c>
      <c r="G2075" s="14">
        <v>1801.2399999999998</v>
      </c>
      <c r="H2075" t="s">
        <v>2500</v>
      </c>
      <c r="I2075">
        <v>7</v>
      </c>
    </row>
    <row r="2076" spans="1:9" ht="15.6" x14ac:dyDescent="0.3">
      <c r="A2076" s="9">
        <v>2075</v>
      </c>
      <c r="B2076" s="2" t="s">
        <v>2081</v>
      </c>
      <c r="C2076" s="11">
        <v>28</v>
      </c>
      <c r="D2076" s="12">
        <v>66.666666666666657</v>
      </c>
      <c r="E2076" s="12" t="s">
        <v>8220</v>
      </c>
      <c r="F2076" s="13">
        <v>6</v>
      </c>
      <c r="G2076" s="14">
        <v>1841.27</v>
      </c>
      <c r="H2076" t="s">
        <v>1476</v>
      </c>
      <c r="I2076">
        <v>7</v>
      </c>
    </row>
    <row r="2077" spans="1:9" ht="15.6" x14ac:dyDescent="0.3">
      <c r="A2077" s="9">
        <v>2076</v>
      </c>
      <c r="B2077" s="2" t="s">
        <v>2082</v>
      </c>
      <c r="C2077" s="11">
        <v>22</v>
      </c>
      <c r="D2077" s="12">
        <v>50</v>
      </c>
      <c r="E2077" s="12" t="s">
        <v>8219</v>
      </c>
      <c r="F2077" s="13">
        <v>6</v>
      </c>
      <c r="G2077" s="14">
        <v>1816.25</v>
      </c>
      <c r="H2077" t="s">
        <v>452</v>
      </c>
      <c r="I2077">
        <v>6</v>
      </c>
    </row>
    <row r="2078" spans="1:9" ht="15.6" x14ac:dyDescent="0.3">
      <c r="A2078" s="9">
        <v>2077</v>
      </c>
      <c r="B2078" s="2" t="s">
        <v>2083</v>
      </c>
      <c r="C2078" s="11">
        <v>24</v>
      </c>
      <c r="D2078" s="12">
        <v>33.333333333333329</v>
      </c>
      <c r="E2078" s="12" t="s">
        <v>8219</v>
      </c>
      <c r="F2078" s="13">
        <v>6</v>
      </c>
      <c r="G2078" s="14">
        <v>1800.25</v>
      </c>
      <c r="H2078" t="s">
        <v>3268</v>
      </c>
      <c r="I2078">
        <v>6</v>
      </c>
    </row>
    <row r="2079" spans="1:9" ht="15.6" x14ac:dyDescent="0.3">
      <c r="A2079" s="9">
        <v>2078</v>
      </c>
      <c r="B2079" s="2" t="s">
        <v>2084</v>
      </c>
      <c r="C2079" s="11">
        <v>22</v>
      </c>
      <c r="D2079" s="12">
        <v>50</v>
      </c>
      <c r="E2079" s="12" t="s">
        <v>8219</v>
      </c>
      <c r="F2079" s="13">
        <v>6</v>
      </c>
      <c r="G2079" s="14">
        <v>1776.2199999999998</v>
      </c>
      <c r="H2079" t="s">
        <v>2244</v>
      </c>
      <c r="I2079">
        <v>6</v>
      </c>
    </row>
    <row r="2080" spans="1:9" ht="15.6" x14ac:dyDescent="0.3">
      <c r="A2080" s="9">
        <v>2079</v>
      </c>
      <c r="B2080" s="2" t="s">
        <v>2085</v>
      </c>
      <c r="C2080" s="11">
        <v>22</v>
      </c>
      <c r="D2080" s="12">
        <v>50</v>
      </c>
      <c r="E2080" s="12" t="s">
        <v>8219</v>
      </c>
      <c r="F2080" s="13">
        <v>6</v>
      </c>
      <c r="G2080" s="14">
        <v>1816.25</v>
      </c>
      <c r="H2080" t="s">
        <v>1220</v>
      </c>
      <c r="I2080">
        <v>6</v>
      </c>
    </row>
    <row r="2081" spans="1:9" ht="15.6" x14ac:dyDescent="0.3">
      <c r="A2081" s="9">
        <v>2080</v>
      </c>
      <c r="B2081" s="2" t="s">
        <v>2086</v>
      </c>
      <c r="C2081" s="11">
        <v>16</v>
      </c>
      <c r="D2081" s="12">
        <v>33.333333333333329</v>
      </c>
      <c r="E2081" s="12" t="s">
        <v>8219</v>
      </c>
      <c r="F2081" s="13">
        <v>6</v>
      </c>
      <c r="G2081" s="14">
        <v>1791.23</v>
      </c>
      <c r="H2081" t="s">
        <v>196</v>
      </c>
      <c r="I2081">
        <v>5</v>
      </c>
    </row>
    <row r="2082" spans="1:9" ht="15.6" x14ac:dyDescent="0.3">
      <c r="A2082" s="9">
        <v>2081</v>
      </c>
      <c r="B2082" s="2" t="s">
        <v>2087</v>
      </c>
      <c r="C2082" s="11">
        <v>32</v>
      </c>
      <c r="D2082" s="12">
        <v>33.333333333333329</v>
      </c>
      <c r="E2082" s="12" t="s">
        <v>8219</v>
      </c>
      <c r="F2082" s="13">
        <v>6</v>
      </c>
      <c r="G2082" s="14">
        <v>1849.3000000000002</v>
      </c>
      <c r="H2082" t="s">
        <v>3972</v>
      </c>
      <c r="I2082">
        <v>8</v>
      </c>
    </row>
    <row r="2083" spans="1:9" ht="15.6" x14ac:dyDescent="0.3">
      <c r="A2083" s="9">
        <v>2082</v>
      </c>
      <c r="B2083" s="2" t="s">
        <v>2088</v>
      </c>
      <c r="C2083" s="11">
        <v>30</v>
      </c>
      <c r="D2083" s="12">
        <v>50</v>
      </c>
      <c r="E2083" s="12" t="s">
        <v>8219</v>
      </c>
      <c r="F2083" s="13">
        <v>6</v>
      </c>
      <c r="G2083" s="14">
        <v>1825.27</v>
      </c>
      <c r="H2083" t="s">
        <v>2948</v>
      </c>
      <c r="I2083">
        <v>7</v>
      </c>
    </row>
    <row r="2084" spans="1:9" ht="15.6" x14ac:dyDescent="0.3">
      <c r="A2084" s="9">
        <v>2083</v>
      </c>
      <c r="B2084" s="2" t="s">
        <v>2089</v>
      </c>
      <c r="C2084" s="11">
        <v>30</v>
      </c>
      <c r="D2084" s="12">
        <v>50</v>
      </c>
      <c r="E2084" s="12" t="s">
        <v>8219</v>
      </c>
      <c r="F2084" s="13">
        <v>6</v>
      </c>
      <c r="G2084" s="14">
        <v>1865.3000000000002</v>
      </c>
      <c r="H2084" t="s">
        <v>1924</v>
      </c>
      <c r="I2084">
        <v>7</v>
      </c>
    </row>
    <row r="2085" spans="1:9" ht="15.6" x14ac:dyDescent="0.3">
      <c r="A2085" s="9">
        <v>2084</v>
      </c>
      <c r="B2085" s="2" t="s">
        <v>2090</v>
      </c>
      <c r="C2085" s="11">
        <v>24</v>
      </c>
      <c r="D2085" s="12">
        <v>33.333333333333329</v>
      </c>
      <c r="E2085" s="12" t="s">
        <v>8219</v>
      </c>
      <c r="F2085" s="13">
        <v>6</v>
      </c>
      <c r="G2085" s="14">
        <v>1840.2800000000002</v>
      </c>
      <c r="H2085" t="s">
        <v>900</v>
      </c>
      <c r="I2085">
        <v>6</v>
      </c>
    </row>
    <row r="2086" spans="1:9" ht="15.6" x14ac:dyDescent="0.3">
      <c r="A2086" s="9">
        <v>2085</v>
      </c>
      <c r="B2086" s="2" t="s">
        <v>2091</v>
      </c>
      <c r="C2086" s="11">
        <v>30</v>
      </c>
      <c r="D2086" s="12">
        <v>50</v>
      </c>
      <c r="E2086" s="12" t="s">
        <v>8219</v>
      </c>
      <c r="F2086" s="13">
        <v>6</v>
      </c>
      <c r="G2086" s="14">
        <v>1825.27</v>
      </c>
      <c r="H2086" t="s">
        <v>3716</v>
      </c>
      <c r="I2086">
        <v>7</v>
      </c>
    </row>
    <row r="2087" spans="1:9" ht="15.6" x14ac:dyDescent="0.3">
      <c r="A2087" s="9">
        <v>2086</v>
      </c>
      <c r="B2087" s="2" t="s">
        <v>2092</v>
      </c>
      <c r="C2087" s="11">
        <v>28</v>
      </c>
      <c r="D2087" s="12">
        <v>66.666666666666657</v>
      </c>
      <c r="E2087" s="12" t="s">
        <v>8220</v>
      </c>
      <c r="F2087" s="13">
        <v>6</v>
      </c>
      <c r="G2087" s="14">
        <v>1801.2399999999998</v>
      </c>
      <c r="H2087" t="s">
        <v>2692</v>
      </c>
      <c r="I2087">
        <v>7</v>
      </c>
    </row>
    <row r="2088" spans="1:9" ht="15.6" x14ac:dyDescent="0.3">
      <c r="A2088" s="9">
        <v>2087</v>
      </c>
      <c r="B2088" s="2" t="s">
        <v>2093</v>
      </c>
      <c r="C2088" s="11">
        <v>28</v>
      </c>
      <c r="D2088" s="12">
        <v>66.666666666666657</v>
      </c>
      <c r="E2088" s="12" t="s">
        <v>8220</v>
      </c>
      <c r="F2088" s="13">
        <v>6</v>
      </c>
      <c r="G2088" s="14">
        <v>1841.27</v>
      </c>
      <c r="H2088" t="s">
        <v>1668</v>
      </c>
      <c r="I2088">
        <v>7</v>
      </c>
    </row>
    <row r="2089" spans="1:9" ht="15.6" x14ac:dyDescent="0.3">
      <c r="A2089" s="9">
        <v>2088</v>
      </c>
      <c r="B2089" s="2" t="s">
        <v>2094</v>
      </c>
      <c r="C2089" s="11">
        <v>22</v>
      </c>
      <c r="D2089" s="12">
        <v>50</v>
      </c>
      <c r="E2089" s="12" t="s">
        <v>8219</v>
      </c>
      <c r="F2089" s="13">
        <v>6</v>
      </c>
      <c r="G2089" s="14">
        <v>1816.25</v>
      </c>
      <c r="H2089" t="s">
        <v>644</v>
      </c>
      <c r="I2089">
        <v>6</v>
      </c>
    </row>
    <row r="2090" spans="1:9" ht="15.6" x14ac:dyDescent="0.3">
      <c r="A2090" s="9">
        <v>2089</v>
      </c>
      <c r="B2090" s="2" t="s">
        <v>2095</v>
      </c>
      <c r="C2090" s="11">
        <v>30</v>
      </c>
      <c r="D2090" s="12">
        <v>50</v>
      </c>
      <c r="E2090" s="12" t="s">
        <v>8219</v>
      </c>
      <c r="F2090" s="13">
        <v>6</v>
      </c>
      <c r="G2090" s="14">
        <v>1865.3000000000002</v>
      </c>
      <c r="H2090" t="s">
        <v>3460</v>
      </c>
      <c r="I2090">
        <v>7</v>
      </c>
    </row>
    <row r="2091" spans="1:9" ht="15.6" x14ac:dyDescent="0.3">
      <c r="A2091" s="9">
        <v>2090</v>
      </c>
      <c r="B2091" s="2" t="s">
        <v>2096</v>
      </c>
      <c r="C2091" s="11">
        <v>28</v>
      </c>
      <c r="D2091" s="12">
        <v>66.666666666666657</v>
      </c>
      <c r="E2091" s="12" t="s">
        <v>8220</v>
      </c>
      <c r="F2091" s="13">
        <v>6</v>
      </c>
      <c r="G2091" s="14">
        <v>1841.27</v>
      </c>
      <c r="H2091" t="s">
        <v>2436</v>
      </c>
      <c r="I2091">
        <v>7</v>
      </c>
    </row>
    <row r="2092" spans="1:9" ht="15.6" x14ac:dyDescent="0.3">
      <c r="A2092" s="9">
        <v>2091</v>
      </c>
      <c r="B2092" s="2" t="s">
        <v>2097</v>
      </c>
      <c r="C2092" s="11">
        <v>28</v>
      </c>
      <c r="D2092" s="12">
        <v>66.666666666666657</v>
      </c>
      <c r="E2092" s="12" t="s">
        <v>8220</v>
      </c>
      <c r="F2092" s="13">
        <v>6</v>
      </c>
      <c r="G2092" s="14">
        <v>1881.3000000000002</v>
      </c>
      <c r="H2092" t="s">
        <v>1412</v>
      </c>
      <c r="I2092">
        <v>7</v>
      </c>
    </row>
    <row r="2093" spans="1:9" ht="15.6" x14ac:dyDescent="0.3">
      <c r="A2093" s="9">
        <v>2092</v>
      </c>
      <c r="B2093" s="2" t="s">
        <v>2098</v>
      </c>
      <c r="C2093" s="11">
        <v>22</v>
      </c>
      <c r="D2093" s="12">
        <v>50</v>
      </c>
      <c r="E2093" s="12" t="s">
        <v>8219</v>
      </c>
      <c r="F2093" s="13">
        <v>6</v>
      </c>
      <c r="G2093" s="14">
        <v>1856.2800000000002</v>
      </c>
      <c r="H2093" t="s">
        <v>388</v>
      </c>
      <c r="I2093">
        <v>6</v>
      </c>
    </row>
    <row r="2094" spans="1:9" ht="15.6" x14ac:dyDescent="0.3">
      <c r="A2094" s="9">
        <v>2093</v>
      </c>
      <c r="B2094" s="2" t="s">
        <v>2099</v>
      </c>
      <c r="C2094" s="11">
        <v>24</v>
      </c>
      <c r="D2094" s="12">
        <v>33.333333333333329</v>
      </c>
      <c r="E2094" s="12" t="s">
        <v>8219</v>
      </c>
      <c r="F2094" s="13">
        <v>6</v>
      </c>
      <c r="G2094" s="14">
        <v>1840.2800000000002</v>
      </c>
      <c r="H2094" t="s">
        <v>3204</v>
      </c>
      <c r="I2094">
        <v>6</v>
      </c>
    </row>
    <row r="2095" spans="1:9" ht="15.6" x14ac:dyDescent="0.3">
      <c r="A2095" s="9">
        <v>2094</v>
      </c>
      <c r="B2095" s="2" t="s">
        <v>2100</v>
      </c>
      <c r="C2095" s="11">
        <v>22</v>
      </c>
      <c r="D2095" s="12">
        <v>50</v>
      </c>
      <c r="E2095" s="12" t="s">
        <v>8219</v>
      </c>
      <c r="F2095" s="13">
        <v>6</v>
      </c>
      <c r="G2095" s="14">
        <v>1816.25</v>
      </c>
      <c r="H2095" t="s">
        <v>2180</v>
      </c>
      <c r="I2095">
        <v>6</v>
      </c>
    </row>
    <row r="2096" spans="1:9" ht="15.6" x14ac:dyDescent="0.3">
      <c r="A2096" s="9">
        <v>2095</v>
      </c>
      <c r="B2096" s="2" t="s">
        <v>2101</v>
      </c>
      <c r="C2096" s="11">
        <v>22</v>
      </c>
      <c r="D2096" s="12">
        <v>50</v>
      </c>
      <c r="E2096" s="12" t="s">
        <v>8219</v>
      </c>
      <c r="F2096" s="13">
        <v>6</v>
      </c>
      <c r="G2096" s="14">
        <v>1856.2800000000002</v>
      </c>
      <c r="H2096" t="s">
        <v>1156</v>
      </c>
      <c r="I2096">
        <v>6</v>
      </c>
    </row>
    <row r="2097" spans="1:9" ht="15.6" x14ac:dyDescent="0.3">
      <c r="A2097" s="9">
        <v>2096</v>
      </c>
      <c r="B2097" s="2" t="s">
        <v>2102</v>
      </c>
      <c r="C2097" s="11">
        <v>16</v>
      </c>
      <c r="D2097" s="12">
        <v>33.333333333333329</v>
      </c>
      <c r="E2097" s="12" t="s">
        <v>8219</v>
      </c>
      <c r="F2097" s="13">
        <v>6</v>
      </c>
      <c r="G2097" s="14">
        <v>1831.2600000000002</v>
      </c>
      <c r="H2097" t="s">
        <v>132</v>
      </c>
      <c r="I2097">
        <v>5</v>
      </c>
    </row>
    <row r="2098" spans="1:9" ht="15.6" x14ac:dyDescent="0.3">
      <c r="A2098" s="9">
        <v>2097</v>
      </c>
      <c r="B2098" s="2" t="s">
        <v>2103</v>
      </c>
      <c r="C2098" s="11">
        <v>26</v>
      </c>
      <c r="D2098" s="12">
        <v>16.666666666666664</v>
      </c>
      <c r="E2098" s="12" t="s">
        <v>8219</v>
      </c>
      <c r="F2098" s="13">
        <v>6</v>
      </c>
      <c r="G2098" s="14">
        <v>1824.2799999999997</v>
      </c>
      <c r="H2098" t="s">
        <v>3908</v>
      </c>
      <c r="I2098">
        <v>7</v>
      </c>
    </row>
    <row r="2099" spans="1:9" ht="15.6" x14ac:dyDescent="0.3">
      <c r="A2099" s="9">
        <v>2098</v>
      </c>
      <c r="B2099" s="2" t="s">
        <v>2104</v>
      </c>
      <c r="C2099" s="11">
        <v>24</v>
      </c>
      <c r="D2099" s="12">
        <v>33.333333333333329</v>
      </c>
      <c r="E2099" s="12" t="s">
        <v>8219</v>
      </c>
      <c r="F2099" s="13">
        <v>6</v>
      </c>
      <c r="G2099" s="14">
        <v>1800.25</v>
      </c>
      <c r="H2099" t="s">
        <v>2884</v>
      </c>
      <c r="I2099">
        <v>6</v>
      </c>
    </row>
    <row r="2100" spans="1:9" ht="15.6" x14ac:dyDescent="0.3">
      <c r="A2100" s="9">
        <v>2099</v>
      </c>
      <c r="B2100" s="2" t="s">
        <v>2105</v>
      </c>
      <c r="C2100" s="11">
        <v>24</v>
      </c>
      <c r="D2100" s="12">
        <v>33.333333333333329</v>
      </c>
      <c r="E2100" s="12" t="s">
        <v>8219</v>
      </c>
      <c r="F2100" s="13">
        <v>6</v>
      </c>
      <c r="G2100" s="14">
        <v>1840.2800000000002</v>
      </c>
      <c r="H2100" t="s">
        <v>1860</v>
      </c>
      <c r="I2100">
        <v>6</v>
      </c>
    </row>
    <row r="2101" spans="1:9" ht="15.6" x14ac:dyDescent="0.3">
      <c r="A2101" s="9">
        <v>2100</v>
      </c>
      <c r="B2101" s="2" t="s">
        <v>2106</v>
      </c>
      <c r="C2101" s="11">
        <v>18</v>
      </c>
      <c r="D2101" s="12">
        <v>16.666666666666664</v>
      </c>
      <c r="E2101" s="12" t="s">
        <v>8219</v>
      </c>
      <c r="F2101" s="13">
        <v>6</v>
      </c>
      <c r="G2101" s="14">
        <v>1815.2599999999998</v>
      </c>
      <c r="H2101" t="s">
        <v>836</v>
      </c>
      <c r="I2101">
        <v>5</v>
      </c>
    </row>
    <row r="2102" spans="1:9" ht="15.6" x14ac:dyDescent="0.3">
      <c r="A2102" s="9">
        <v>2101</v>
      </c>
      <c r="B2102" s="2" t="s">
        <v>2107</v>
      </c>
      <c r="C2102" s="11">
        <v>24</v>
      </c>
      <c r="D2102" s="12">
        <v>33.333333333333329</v>
      </c>
      <c r="E2102" s="12" t="s">
        <v>8219</v>
      </c>
      <c r="F2102" s="13">
        <v>6</v>
      </c>
      <c r="G2102" s="14">
        <v>1800.25</v>
      </c>
      <c r="H2102" t="s">
        <v>3652</v>
      </c>
      <c r="I2102">
        <v>6</v>
      </c>
    </row>
    <row r="2103" spans="1:9" ht="15.6" x14ac:dyDescent="0.3">
      <c r="A2103" s="9">
        <v>2102</v>
      </c>
      <c r="B2103" s="2" t="s">
        <v>2108</v>
      </c>
      <c r="C2103" s="11">
        <v>22</v>
      </c>
      <c r="D2103" s="12">
        <v>50</v>
      </c>
      <c r="E2103" s="12" t="s">
        <v>8219</v>
      </c>
      <c r="F2103" s="13">
        <v>6</v>
      </c>
      <c r="G2103" s="14">
        <v>1776.2199999999998</v>
      </c>
      <c r="H2103" t="s">
        <v>2628</v>
      </c>
      <c r="I2103">
        <v>6</v>
      </c>
    </row>
    <row r="2104" spans="1:9" ht="15.6" x14ac:dyDescent="0.3">
      <c r="A2104" s="9">
        <v>2103</v>
      </c>
      <c r="B2104" s="2" t="s">
        <v>2109</v>
      </c>
      <c r="C2104" s="11">
        <v>22</v>
      </c>
      <c r="D2104" s="12">
        <v>50</v>
      </c>
      <c r="E2104" s="12" t="s">
        <v>8219</v>
      </c>
      <c r="F2104" s="13">
        <v>6</v>
      </c>
      <c r="G2104" s="14">
        <v>1816.25</v>
      </c>
      <c r="H2104" t="s">
        <v>1604</v>
      </c>
      <c r="I2104">
        <v>6</v>
      </c>
    </row>
    <row r="2105" spans="1:9" ht="15.6" x14ac:dyDescent="0.3">
      <c r="A2105" s="9">
        <v>2104</v>
      </c>
      <c r="B2105" s="2" t="s">
        <v>2110</v>
      </c>
      <c r="C2105" s="11">
        <v>16</v>
      </c>
      <c r="D2105" s="12">
        <v>33.333333333333329</v>
      </c>
      <c r="E2105" s="12" t="s">
        <v>8219</v>
      </c>
      <c r="F2105" s="13">
        <v>6</v>
      </c>
      <c r="G2105" s="14">
        <v>1791.23</v>
      </c>
      <c r="H2105" t="s">
        <v>580</v>
      </c>
      <c r="I2105">
        <v>5</v>
      </c>
    </row>
    <row r="2106" spans="1:9" ht="15.6" x14ac:dyDescent="0.3">
      <c r="A2106" s="9">
        <v>2105</v>
      </c>
      <c r="B2106" s="2" t="s">
        <v>2111</v>
      </c>
      <c r="C2106" s="11">
        <v>24</v>
      </c>
      <c r="D2106" s="12">
        <v>33.333333333333329</v>
      </c>
      <c r="E2106" s="12" t="s">
        <v>8219</v>
      </c>
      <c r="F2106" s="13">
        <v>6</v>
      </c>
      <c r="G2106" s="14">
        <v>1840.2800000000002</v>
      </c>
      <c r="H2106" t="s">
        <v>3396</v>
      </c>
      <c r="I2106">
        <v>6</v>
      </c>
    </row>
    <row r="2107" spans="1:9" ht="15.6" x14ac:dyDescent="0.3">
      <c r="A2107" s="9">
        <v>2106</v>
      </c>
      <c r="B2107" s="2" t="s">
        <v>2112</v>
      </c>
      <c r="C2107" s="11">
        <v>22</v>
      </c>
      <c r="D2107" s="12">
        <v>50</v>
      </c>
      <c r="E2107" s="12" t="s">
        <v>8219</v>
      </c>
      <c r="F2107" s="13">
        <v>6</v>
      </c>
      <c r="G2107" s="14">
        <v>1816.25</v>
      </c>
      <c r="H2107" t="s">
        <v>2372</v>
      </c>
      <c r="I2107">
        <v>6</v>
      </c>
    </row>
    <row r="2108" spans="1:9" ht="15.6" x14ac:dyDescent="0.3">
      <c r="A2108" s="9">
        <v>2107</v>
      </c>
      <c r="B2108" s="2" t="s">
        <v>2113</v>
      </c>
      <c r="C2108" s="11">
        <v>22</v>
      </c>
      <c r="D2108" s="12">
        <v>50</v>
      </c>
      <c r="E2108" s="12" t="s">
        <v>8219</v>
      </c>
      <c r="F2108" s="13">
        <v>6</v>
      </c>
      <c r="G2108" s="14">
        <v>1856.2800000000002</v>
      </c>
      <c r="H2108" t="s">
        <v>1348</v>
      </c>
      <c r="I2108">
        <v>6</v>
      </c>
    </row>
    <row r="2109" spans="1:9" ht="15.6" x14ac:dyDescent="0.3">
      <c r="A2109" s="9">
        <v>2108</v>
      </c>
      <c r="B2109" s="2" t="s">
        <v>2114</v>
      </c>
      <c r="C2109" s="11">
        <v>16</v>
      </c>
      <c r="D2109" s="12">
        <v>33.333333333333329</v>
      </c>
      <c r="E2109" s="12" t="s">
        <v>8219</v>
      </c>
      <c r="F2109" s="13">
        <v>6</v>
      </c>
      <c r="G2109" s="14">
        <v>1831.2600000000002</v>
      </c>
      <c r="H2109" t="s">
        <v>324</v>
      </c>
      <c r="I2109">
        <v>5</v>
      </c>
    </row>
    <row r="2110" spans="1:9" ht="15.6" x14ac:dyDescent="0.3">
      <c r="A2110" s="9">
        <v>2109</v>
      </c>
      <c r="B2110" s="2" t="s">
        <v>2115</v>
      </c>
      <c r="C2110" s="11">
        <v>18</v>
      </c>
      <c r="D2110" s="12">
        <v>16.666666666666664</v>
      </c>
      <c r="E2110" s="12" t="s">
        <v>8219</v>
      </c>
      <c r="F2110" s="13">
        <v>6</v>
      </c>
      <c r="G2110" s="14">
        <v>1815.2599999999998</v>
      </c>
      <c r="H2110" t="s">
        <v>3140</v>
      </c>
      <c r="I2110">
        <v>5</v>
      </c>
    </row>
    <row r="2111" spans="1:9" ht="15.6" x14ac:dyDescent="0.3">
      <c r="A2111" s="9">
        <v>2110</v>
      </c>
      <c r="B2111" s="2" t="s">
        <v>2116</v>
      </c>
      <c r="C2111" s="11">
        <v>16</v>
      </c>
      <c r="D2111" s="12">
        <v>33.333333333333329</v>
      </c>
      <c r="E2111" s="12" t="s">
        <v>8219</v>
      </c>
      <c r="F2111" s="13">
        <v>6</v>
      </c>
      <c r="G2111" s="14">
        <v>1791.23</v>
      </c>
      <c r="H2111" t="s">
        <v>2116</v>
      </c>
      <c r="I2111">
        <v>5</v>
      </c>
    </row>
    <row r="2112" spans="1:9" ht="15.6" x14ac:dyDescent="0.3">
      <c r="A2112" s="9">
        <v>2111</v>
      </c>
      <c r="B2112" s="2" t="s">
        <v>2117</v>
      </c>
      <c r="C2112" s="11">
        <v>16</v>
      </c>
      <c r="D2112" s="12">
        <v>33.333333333333329</v>
      </c>
      <c r="E2112" s="12" t="s">
        <v>8219</v>
      </c>
      <c r="F2112" s="13">
        <v>6</v>
      </c>
      <c r="G2112" s="14">
        <v>1831.2600000000002</v>
      </c>
      <c r="H2112" t="s">
        <v>1092</v>
      </c>
      <c r="I2112">
        <v>5</v>
      </c>
    </row>
    <row r="2113" spans="1:9" ht="15.6" x14ac:dyDescent="0.3">
      <c r="A2113" s="9">
        <v>2112</v>
      </c>
      <c r="B2113" s="2" t="s">
        <v>2118</v>
      </c>
      <c r="C2113" s="11">
        <v>10</v>
      </c>
      <c r="D2113" s="12">
        <v>16.666666666666664</v>
      </c>
      <c r="E2113" s="12" t="s">
        <v>8219</v>
      </c>
      <c r="F2113" s="13">
        <v>6</v>
      </c>
      <c r="G2113" s="14">
        <v>1806.2399999999998</v>
      </c>
      <c r="H2113" t="s">
        <v>68</v>
      </c>
      <c r="I2113">
        <v>4</v>
      </c>
    </row>
    <row r="2114" spans="1:9" ht="15.6" x14ac:dyDescent="0.3">
      <c r="A2114" s="9">
        <v>2113</v>
      </c>
      <c r="B2114" s="2" t="s">
        <v>2119</v>
      </c>
      <c r="C2114" s="11">
        <v>32</v>
      </c>
      <c r="D2114" s="12">
        <v>33.333333333333329</v>
      </c>
      <c r="E2114" s="12" t="s">
        <v>8219</v>
      </c>
      <c r="F2114" s="13">
        <v>6</v>
      </c>
      <c r="G2114" s="14">
        <v>1809.27</v>
      </c>
      <c r="H2114" t="s">
        <v>4084</v>
      </c>
      <c r="I2114">
        <v>8</v>
      </c>
    </row>
    <row r="2115" spans="1:9" ht="15.6" x14ac:dyDescent="0.3">
      <c r="A2115" s="9">
        <v>2114</v>
      </c>
      <c r="B2115" s="2" t="s">
        <v>2120</v>
      </c>
      <c r="C2115" s="11">
        <v>30</v>
      </c>
      <c r="D2115" s="12">
        <v>50</v>
      </c>
      <c r="E2115" s="12" t="s">
        <v>8219</v>
      </c>
      <c r="F2115" s="13">
        <v>6</v>
      </c>
      <c r="G2115" s="14">
        <v>1785.2399999999998</v>
      </c>
      <c r="H2115" t="s">
        <v>3060</v>
      </c>
      <c r="I2115">
        <v>7</v>
      </c>
    </row>
    <row r="2116" spans="1:9" ht="15.6" x14ac:dyDescent="0.3">
      <c r="A2116" s="9">
        <v>2115</v>
      </c>
      <c r="B2116" s="2" t="s">
        <v>2121</v>
      </c>
      <c r="C2116" s="11">
        <v>30</v>
      </c>
      <c r="D2116" s="12">
        <v>50</v>
      </c>
      <c r="E2116" s="12" t="s">
        <v>8219</v>
      </c>
      <c r="F2116" s="13">
        <v>6</v>
      </c>
      <c r="G2116" s="14">
        <v>1825.27</v>
      </c>
      <c r="H2116" t="s">
        <v>2036</v>
      </c>
      <c r="I2116">
        <v>7</v>
      </c>
    </row>
    <row r="2117" spans="1:9" ht="15.6" x14ac:dyDescent="0.3">
      <c r="A2117" s="9">
        <v>2116</v>
      </c>
      <c r="B2117" s="2" t="s">
        <v>2122</v>
      </c>
      <c r="C2117" s="11">
        <v>24</v>
      </c>
      <c r="D2117" s="12">
        <v>33.333333333333329</v>
      </c>
      <c r="E2117" s="12" t="s">
        <v>8219</v>
      </c>
      <c r="F2117" s="13">
        <v>6</v>
      </c>
      <c r="G2117" s="14">
        <v>1800.25</v>
      </c>
      <c r="H2117" t="s">
        <v>1012</v>
      </c>
      <c r="I2117">
        <v>6</v>
      </c>
    </row>
    <row r="2118" spans="1:9" ht="15.6" x14ac:dyDescent="0.3">
      <c r="A2118" s="9">
        <v>2117</v>
      </c>
      <c r="B2118" s="2" t="s">
        <v>2123</v>
      </c>
      <c r="C2118" s="11">
        <v>30</v>
      </c>
      <c r="D2118" s="12">
        <v>50</v>
      </c>
      <c r="E2118" s="12" t="s">
        <v>8219</v>
      </c>
      <c r="F2118" s="13">
        <v>6</v>
      </c>
      <c r="G2118" s="14">
        <v>1785.2399999999998</v>
      </c>
      <c r="H2118" t="s">
        <v>3828</v>
      </c>
      <c r="I2118">
        <v>7</v>
      </c>
    </row>
    <row r="2119" spans="1:9" ht="15.6" x14ac:dyDescent="0.3">
      <c r="A2119" s="9">
        <v>2118</v>
      </c>
      <c r="B2119" s="2" t="s">
        <v>2124</v>
      </c>
      <c r="C2119" s="11">
        <v>28</v>
      </c>
      <c r="D2119" s="12">
        <v>66.666666666666657</v>
      </c>
      <c r="E2119" s="12" t="s">
        <v>8220</v>
      </c>
      <c r="F2119" s="13">
        <v>6</v>
      </c>
      <c r="G2119" s="14">
        <v>1761.21</v>
      </c>
      <c r="H2119" t="s">
        <v>2804</v>
      </c>
      <c r="I2119">
        <v>7</v>
      </c>
    </row>
    <row r="2120" spans="1:9" ht="15.6" x14ac:dyDescent="0.3">
      <c r="A2120" s="9">
        <v>2119</v>
      </c>
      <c r="B2120" s="2" t="s">
        <v>2125</v>
      </c>
      <c r="C2120" s="11">
        <v>28</v>
      </c>
      <c r="D2120" s="12">
        <v>66.666666666666657</v>
      </c>
      <c r="E2120" s="12" t="s">
        <v>8220</v>
      </c>
      <c r="F2120" s="13">
        <v>6</v>
      </c>
      <c r="G2120" s="14">
        <v>1801.2399999999998</v>
      </c>
      <c r="H2120" t="s">
        <v>1780</v>
      </c>
      <c r="I2120">
        <v>7</v>
      </c>
    </row>
    <row r="2121" spans="1:9" ht="15.6" x14ac:dyDescent="0.3">
      <c r="A2121" s="9">
        <v>2120</v>
      </c>
      <c r="B2121" s="2" t="s">
        <v>2126</v>
      </c>
      <c r="C2121" s="11">
        <v>22</v>
      </c>
      <c r="D2121" s="12">
        <v>50</v>
      </c>
      <c r="E2121" s="12" t="s">
        <v>8219</v>
      </c>
      <c r="F2121" s="13">
        <v>6</v>
      </c>
      <c r="G2121" s="14">
        <v>1776.2199999999998</v>
      </c>
      <c r="H2121" t="s">
        <v>756</v>
      </c>
      <c r="I2121">
        <v>6</v>
      </c>
    </row>
    <row r="2122" spans="1:9" ht="15.6" x14ac:dyDescent="0.3">
      <c r="A2122" s="9">
        <v>2121</v>
      </c>
      <c r="B2122" s="2" t="s">
        <v>2127</v>
      </c>
      <c r="C2122" s="11">
        <v>30</v>
      </c>
      <c r="D2122" s="12">
        <v>50</v>
      </c>
      <c r="E2122" s="12" t="s">
        <v>8219</v>
      </c>
      <c r="F2122" s="13">
        <v>6</v>
      </c>
      <c r="G2122" s="14">
        <v>1825.27</v>
      </c>
      <c r="H2122" t="s">
        <v>3572</v>
      </c>
      <c r="I2122">
        <v>7</v>
      </c>
    </row>
    <row r="2123" spans="1:9" ht="15.6" x14ac:dyDescent="0.3">
      <c r="A2123" s="9">
        <v>2122</v>
      </c>
      <c r="B2123" s="2" t="s">
        <v>2128</v>
      </c>
      <c r="C2123" s="11">
        <v>28</v>
      </c>
      <c r="D2123" s="12">
        <v>66.666666666666657</v>
      </c>
      <c r="E2123" s="12" t="s">
        <v>8220</v>
      </c>
      <c r="F2123" s="13">
        <v>6</v>
      </c>
      <c r="G2123" s="14">
        <v>1801.2399999999998</v>
      </c>
      <c r="H2123" t="s">
        <v>2548</v>
      </c>
      <c r="I2123">
        <v>7</v>
      </c>
    </row>
    <row r="2124" spans="1:9" ht="15.6" x14ac:dyDescent="0.3">
      <c r="A2124" s="9">
        <v>2123</v>
      </c>
      <c r="B2124" s="2" t="s">
        <v>2129</v>
      </c>
      <c r="C2124" s="11">
        <v>28</v>
      </c>
      <c r="D2124" s="12">
        <v>66.666666666666657</v>
      </c>
      <c r="E2124" s="12" t="s">
        <v>8220</v>
      </c>
      <c r="F2124" s="13">
        <v>6</v>
      </c>
      <c r="G2124" s="14">
        <v>1841.27</v>
      </c>
      <c r="H2124" t="s">
        <v>1524</v>
      </c>
      <c r="I2124">
        <v>7</v>
      </c>
    </row>
    <row r="2125" spans="1:9" ht="15.6" x14ac:dyDescent="0.3">
      <c r="A2125" s="9">
        <v>2124</v>
      </c>
      <c r="B2125" s="2" t="s">
        <v>2130</v>
      </c>
      <c r="C2125" s="11">
        <v>22</v>
      </c>
      <c r="D2125" s="12">
        <v>50</v>
      </c>
      <c r="E2125" s="12" t="s">
        <v>8219</v>
      </c>
      <c r="F2125" s="13">
        <v>6</v>
      </c>
      <c r="G2125" s="14">
        <v>1816.25</v>
      </c>
      <c r="H2125" t="s">
        <v>500</v>
      </c>
      <c r="I2125">
        <v>6</v>
      </c>
    </row>
    <row r="2126" spans="1:9" ht="15.6" x14ac:dyDescent="0.3">
      <c r="A2126" s="9">
        <v>2125</v>
      </c>
      <c r="B2126" s="2" t="s">
        <v>2131</v>
      </c>
      <c r="C2126" s="11">
        <v>24</v>
      </c>
      <c r="D2126" s="12">
        <v>33.333333333333329</v>
      </c>
      <c r="E2126" s="12" t="s">
        <v>8219</v>
      </c>
      <c r="F2126" s="13">
        <v>6</v>
      </c>
      <c r="G2126" s="14">
        <v>1800.25</v>
      </c>
      <c r="H2126" t="s">
        <v>3316</v>
      </c>
      <c r="I2126">
        <v>6</v>
      </c>
    </row>
    <row r="2127" spans="1:9" ht="15.6" x14ac:dyDescent="0.3">
      <c r="A2127" s="9">
        <v>2126</v>
      </c>
      <c r="B2127" s="2" t="s">
        <v>2132</v>
      </c>
      <c r="C2127" s="11">
        <v>22</v>
      </c>
      <c r="D2127" s="12">
        <v>50</v>
      </c>
      <c r="E2127" s="12" t="s">
        <v>8219</v>
      </c>
      <c r="F2127" s="13">
        <v>6</v>
      </c>
      <c r="G2127" s="14">
        <v>1776.2199999999998</v>
      </c>
      <c r="H2127" t="s">
        <v>2292</v>
      </c>
      <c r="I2127">
        <v>6</v>
      </c>
    </row>
    <row r="2128" spans="1:9" ht="15.6" x14ac:dyDescent="0.3">
      <c r="A2128" s="9">
        <v>2127</v>
      </c>
      <c r="B2128" s="2" t="s">
        <v>2133</v>
      </c>
      <c r="C2128" s="11">
        <v>22</v>
      </c>
      <c r="D2128" s="12">
        <v>50</v>
      </c>
      <c r="E2128" s="12" t="s">
        <v>8219</v>
      </c>
      <c r="F2128" s="13">
        <v>6</v>
      </c>
      <c r="G2128" s="14">
        <v>1816.25</v>
      </c>
      <c r="H2128" t="s">
        <v>1268</v>
      </c>
      <c r="I2128">
        <v>6</v>
      </c>
    </row>
    <row r="2129" spans="1:9" ht="15.6" x14ac:dyDescent="0.3">
      <c r="A2129" s="9">
        <v>2128</v>
      </c>
      <c r="B2129" s="2" t="s">
        <v>2134</v>
      </c>
      <c r="C2129" s="11">
        <v>16</v>
      </c>
      <c r="D2129" s="12">
        <v>33.333333333333329</v>
      </c>
      <c r="E2129" s="12" t="s">
        <v>8219</v>
      </c>
      <c r="F2129" s="13">
        <v>6</v>
      </c>
      <c r="G2129" s="14">
        <v>1791.23</v>
      </c>
      <c r="H2129" t="s">
        <v>244</v>
      </c>
      <c r="I2129">
        <v>5</v>
      </c>
    </row>
    <row r="2130" spans="1:9" ht="15.6" x14ac:dyDescent="0.3">
      <c r="A2130" s="9">
        <v>2129</v>
      </c>
      <c r="B2130" s="2" t="s">
        <v>2135</v>
      </c>
      <c r="C2130" s="11">
        <v>30</v>
      </c>
      <c r="D2130" s="12">
        <v>50</v>
      </c>
      <c r="E2130" s="12" t="s">
        <v>8219</v>
      </c>
      <c r="F2130" s="13">
        <v>6</v>
      </c>
      <c r="G2130" s="14">
        <v>1785.2399999999998</v>
      </c>
      <c r="H2130" t="s">
        <v>4020</v>
      </c>
      <c r="I2130">
        <v>7</v>
      </c>
    </row>
    <row r="2131" spans="1:9" ht="15.6" x14ac:dyDescent="0.3">
      <c r="A2131" s="9">
        <v>2130</v>
      </c>
      <c r="B2131" s="2" t="s">
        <v>2136</v>
      </c>
      <c r="C2131" s="11">
        <v>28</v>
      </c>
      <c r="D2131" s="12">
        <v>66.666666666666657</v>
      </c>
      <c r="E2131" s="12" t="s">
        <v>8220</v>
      </c>
      <c r="F2131" s="13">
        <v>6</v>
      </c>
      <c r="G2131" s="14">
        <v>1761.21</v>
      </c>
      <c r="H2131" t="s">
        <v>2996</v>
      </c>
      <c r="I2131">
        <v>7</v>
      </c>
    </row>
    <row r="2132" spans="1:9" ht="15.6" x14ac:dyDescent="0.3">
      <c r="A2132" s="9">
        <v>2131</v>
      </c>
      <c r="B2132" s="2" t="s">
        <v>2137</v>
      </c>
      <c r="C2132" s="11">
        <v>28</v>
      </c>
      <c r="D2132" s="12">
        <v>66.666666666666657</v>
      </c>
      <c r="E2132" s="12" t="s">
        <v>8220</v>
      </c>
      <c r="F2132" s="13">
        <v>6</v>
      </c>
      <c r="G2132" s="14">
        <v>1801.2399999999998</v>
      </c>
      <c r="H2132" t="s">
        <v>1972</v>
      </c>
      <c r="I2132">
        <v>7</v>
      </c>
    </row>
    <row r="2133" spans="1:9" ht="15.6" x14ac:dyDescent="0.3">
      <c r="A2133" s="9">
        <v>2132</v>
      </c>
      <c r="B2133" s="2" t="s">
        <v>2138</v>
      </c>
      <c r="C2133" s="11">
        <v>22</v>
      </c>
      <c r="D2133" s="12">
        <v>50</v>
      </c>
      <c r="E2133" s="12" t="s">
        <v>8219</v>
      </c>
      <c r="F2133" s="13">
        <v>6</v>
      </c>
      <c r="G2133" s="14">
        <v>1776.2199999999998</v>
      </c>
      <c r="H2133" t="s">
        <v>948</v>
      </c>
      <c r="I2133">
        <v>6</v>
      </c>
    </row>
    <row r="2134" spans="1:9" ht="15.6" x14ac:dyDescent="0.3">
      <c r="A2134" s="9">
        <v>2133</v>
      </c>
      <c r="B2134" s="2" t="s">
        <v>2139</v>
      </c>
      <c r="C2134" s="11">
        <v>28</v>
      </c>
      <c r="D2134" s="12">
        <v>66.666666666666657</v>
      </c>
      <c r="E2134" s="12" t="s">
        <v>8220</v>
      </c>
      <c r="F2134" s="13">
        <v>6</v>
      </c>
      <c r="G2134" s="14">
        <v>1761.21</v>
      </c>
      <c r="H2134" t="s">
        <v>3764</v>
      </c>
      <c r="I2134">
        <v>7</v>
      </c>
    </row>
    <row r="2135" spans="1:9" ht="15.6" x14ac:dyDescent="0.3">
      <c r="A2135" s="9">
        <v>2134</v>
      </c>
      <c r="B2135" s="2" t="s">
        <v>2140</v>
      </c>
      <c r="C2135" s="11">
        <v>26</v>
      </c>
      <c r="D2135" s="12">
        <v>83.333333333333343</v>
      </c>
      <c r="E2135" s="12" t="s">
        <v>8220</v>
      </c>
      <c r="F2135" s="13">
        <v>6</v>
      </c>
      <c r="G2135" s="14">
        <v>1737.1799999999998</v>
      </c>
      <c r="H2135" t="s">
        <v>2740</v>
      </c>
      <c r="I2135">
        <v>7</v>
      </c>
    </row>
    <row r="2136" spans="1:9" ht="15.6" x14ac:dyDescent="0.3">
      <c r="A2136" s="9">
        <v>2135</v>
      </c>
      <c r="B2136" s="2" t="s">
        <v>2141</v>
      </c>
      <c r="C2136" s="11">
        <v>26</v>
      </c>
      <c r="D2136" s="12">
        <v>83.333333333333343</v>
      </c>
      <c r="E2136" s="12" t="s">
        <v>8220</v>
      </c>
      <c r="F2136" s="13">
        <v>6</v>
      </c>
      <c r="G2136" s="14">
        <v>1777.21</v>
      </c>
      <c r="H2136" t="s">
        <v>1716</v>
      </c>
      <c r="I2136">
        <v>7</v>
      </c>
    </row>
    <row r="2137" spans="1:9" ht="15.6" x14ac:dyDescent="0.3">
      <c r="A2137" s="9">
        <v>2136</v>
      </c>
      <c r="B2137" s="2" t="s">
        <v>2142</v>
      </c>
      <c r="C2137" s="11">
        <v>20</v>
      </c>
      <c r="D2137" s="12">
        <v>66.666666666666657</v>
      </c>
      <c r="E2137" s="12" t="s">
        <v>8220</v>
      </c>
      <c r="F2137" s="13">
        <v>6</v>
      </c>
      <c r="G2137" s="14">
        <v>1752.19</v>
      </c>
      <c r="H2137" t="s">
        <v>692</v>
      </c>
      <c r="I2137">
        <v>6</v>
      </c>
    </row>
    <row r="2138" spans="1:9" ht="15.6" x14ac:dyDescent="0.3">
      <c r="A2138" s="9">
        <v>2137</v>
      </c>
      <c r="B2138" s="2" t="s">
        <v>2143</v>
      </c>
      <c r="C2138" s="11">
        <v>28</v>
      </c>
      <c r="D2138" s="12">
        <v>66.666666666666657</v>
      </c>
      <c r="E2138" s="12" t="s">
        <v>8220</v>
      </c>
      <c r="F2138" s="13">
        <v>6</v>
      </c>
      <c r="G2138" s="14">
        <v>1801.2399999999998</v>
      </c>
      <c r="H2138" t="s">
        <v>3508</v>
      </c>
      <c r="I2138">
        <v>7</v>
      </c>
    </row>
    <row r="2139" spans="1:9" ht="15.6" x14ac:dyDescent="0.3">
      <c r="A2139" s="9">
        <v>2138</v>
      </c>
      <c r="B2139" s="2" t="s">
        <v>2144</v>
      </c>
      <c r="C2139" s="11">
        <v>26</v>
      </c>
      <c r="D2139" s="12">
        <v>83.333333333333343</v>
      </c>
      <c r="E2139" s="12" t="s">
        <v>8220</v>
      </c>
      <c r="F2139" s="13">
        <v>6</v>
      </c>
      <c r="G2139" s="14">
        <v>1777.21</v>
      </c>
      <c r="H2139" t="s">
        <v>2484</v>
      </c>
      <c r="I2139">
        <v>7</v>
      </c>
    </row>
    <row r="2140" spans="1:9" ht="15.6" x14ac:dyDescent="0.3">
      <c r="A2140" s="9">
        <v>2139</v>
      </c>
      <c r="B2140" s="2" t="s">
        <v>2145</v>
      </c>
      <c r="C2140" s="11">
        <v>26</v>
      </c>
      <c r="D2140" s="12">
        <v>83.333333333333343</v>
      </c>
      <c r="E2140" s="12" t="s">
        <v>8220</v>
      </c>
      <c r="F2140" s="13">
        <v>6</v>
      </c>
      <c r="G2140" s="14">
        <v>1817.2400000000002</v>
      </c>
      <c r="H2140" t="s">
        <v>1460</v>
      </c>
      <c r="I2140">
        <v>7</v>
      </c>
    </row>
    <row r="2141" spans="1:9" ht="15.6" x14ac:dyDescent="0.3">
      <c r="A2141" s="9">
        <v>2140</v>
      </c>
      <c r="B2141" s="2" t="s">
        <v>2146</v>
      </c>
      <c r="C2141" s="11">
        <v>20</v>
      </c>
      <c r="D2141" s="12">
        <v>66.666666666666657</v>
      </c>
      <c r="E2141" s="12" t="s">
        <v>8220</v>
      </c>
      <c r="F2141" s="13">
        <v>6</v>
      </c>
      <c r="G2141" s="14">
        <v>1792.2199999999998</v>
      </c>
      <c r="H2141" t="s">
        <v>436</v>
      </c>
      <c r="I2141">
        <v>6</v>
      </c>
    </row>
    <row r="2142" spans="1:9" ht="15.6" x14ac:dyDescent="0.3">
      <c r="A2142" s="9">
        <v>2141</v>
      </c>
      <c r="B2142" s="2" t="s">
        <v>2147</v>
      </c>
      <c r="C2142" s="11">
        <v>22</v>
      </c>
      <c r="D2142" s="12">
        <v>50</v>
      </c>
      <c r="E2142" s="12" t="s">
        <v>8219</v>
      </c>
      <c r="F2142" s="13">
        <v>6</v>
      </c>
      <c r="G2142" s="14">
        <v>1776.2199999999998</v>
      </c>
      <c r="H2142" t="s">
        <v>3252</v>
      </c>
      <c r="I2142">
        <v>6</v>
      </c>
    </row>
    <row r="2143" spans="1:9" ht="15.6" x14ac:dyDescent="0.3">
      <c r="A2143" s="9">
        <v>2142</v>
      </c>
      <c r="B2143" s="2" t="s">
        <v>2148</v>
      </c>
      <c r="C2143" s="11">
        <v>20</v>
      </c>
      <c r="D2143" s="12">
        <v>66.666666666666657</v>
      </c>
      <c r="E2143" s="12" t="s">
        <v>8220</v>
      </c>
      <c r="F2143" s="13">
        <v>6</v>
      </c>
      <c r="G2143" s="14">
        <v>1752.19</v>
      </c>
      <c r="H2143" t="s">
        <v>2228</v>
      </c>
      <c r="I2143">
        <v>6</v>
      </c>
    </row>
    <row r="2144" spans="1:9" ht="15.6" x14ac:dyDescent="0.3">
      <c r="A2144" s="9">
        <v>2143</v>
      </c>
      <c r="B2144" s="2" t="s">
        <v>2149</v>
      </c>
      <c r="C2144" s="11">
        <v>20</v>
      </c>
      <c r="D2144" s="12">
        <v>66.666666666666657</v>
      </c>
      <c r="E2144" s="12" t="s">
        <v>8220</v>
      </c>
      <c r="F2144" s="13">
        <v>6</v>
      </c>
      <c r="G2144" s="14">
        <v>1792.2199999999998</v>
      </c>
      <c r="H2144" t="s">
        <v>1204</v>
      </c>
      <c r="I2144">
        <v>6</v>
      </c>
    </row>
    <row r="2145" spans="1:9" ht="15.6" x14ac:dyDescent="0.3">
      <c r="A2145" s="9">
        <v>2144</v>
      </c>
      <c r="B2145" s="2" t="s">
        <v>2150</v>
      </c>
      <c r="C2145" s="11">
        <v>14</v>
      </c>
      <c r="D2145" s="12">
        <v>50</v>
      </c>
      <c r="E2145" s="12" t="s">
        <v>8219</v>
      </c>
      <c r="F2145" s="13">
        <v>6</v>
      </c>
      <c r="G2145" s="14">
        <v>1767.1999999999998</v>
      </c>
      <c r="H2145" t="s">
        <v>180</v>
      </c>
      <c r="I2145">
        <v>5</v>
      </c>
    </row>
    <row r="2146" spans="1:9" ht="15.6" x14ac:dyDescent="0.3">
      <c r="A2146" s="9">
        <v>2145</v>
      </c>
      <c r="B2146" s="2" t="s">
        <v>2151</v>
      </c>
      <c r="C2146" s="11">
        <v>30</v>
      </c>
      <c r="D2146" s="12">
        <v>50</v>
      </c>
      <c r="E2146" s="12" t="s">
        <v>8219</v>
      </c>
      <c r="F2146" s="13">
        <v>6</v>
      </c>
      <c r="G2146" s="14">
        <v>1825.27</v>
      </c>
      <c r="H2146" t="s">
        <v>3956</v>
      </c>
      <c r="I2146">
        <v>7</v>
      </c>
    </row>
    <row r="2147" spans="1:9" ht="15.6" x14ac:dyDescent="0.3">
      <c r="A2147" s="9">
        <v>2146</v>
      </c>
      <c r="B2147" s="2" t="s">
        <v>2152</v>
      </c>
      <c r="C2147" s="11">
        <v>28</v>
      </c>
      <c r="D2147" s="12">
        <v>66.666666666666657</v>
      </c>
      <c r="E2147" s="12" t="s">
        <v>8220</v>
      </c>
      <c r="F2147" s="13">
        <v>6</v>
      </c>
      <c r="G2147" s="14">
        <v>1801.2399999999998</v>
      </c>
      <c r="H2147" t="s">
        <v>2932</v>
      </c>
      <c r="I2147">
        <v>7</v>
      </c>
    </row>
    <row r="2148" spans="1:9" ht="15.6" x14ac:dyDescent="0.3">
      <c r="A2148" s="9">
        <v>2147</v>
      </c>
      <c r="B2148" s="2" t="s">
        <v>2153</v>
      </c>
      <c r="C2148" s="11">
        <v>28</v>
      </c>
      <c r="D2148" s="12">
        <v>66.666666666666657</v>
      </c>
      <c r="E2148" s="12" t="s">
        <v>8220</v>
      </c>
      <c r="F2148" s="13">
        <v>6</v>
      </c>
      <c r="G2148" s="14">
        <v>1841.27</v>
      </c>
      <c r="H2148" t="s">
        <v>1908</v>
      </c>
      <c r="I2148">
        <v>7</v>
      </c>
    </row>
    <row r="2149" spans="1:9" ht="15.6" x14ac:dyDescent="0.3">
      <c r="A2149" s="9">
        <v>2148</v>
      </c>
      <c r="B2149" s="2" t="s">
        <v>2154</v>
      </c>
      <c r="C2149" s="11">
        <v>22</v>
      </c>
      <c r="D2149" s="12">
        <v>50</v>
      </c>
      <c r="E2149" s="12" t="s">
        <v>8219</v>
      </c>
      <c r="F2149" s="13">
        <v>6</v>
      </c>
      <c r="G2149" s="14">
        <v>1816.25</v>
      </c>
      <c r="H2149" t="s">
        <v>884</v>
      </c>
      <c r="I2149">
        <v>6</v>
      </c>
    </row>
    <row r="2150" spans="1:9" ht="15.6" x14ac:dyDescent="0.3">
      <c r="A2150" s="9">
        <v>2149</v>
      </c>
      <c r="B2150" s="2" t="s">
        <v>2155</v>
      </c>
      <c r="C2150" s="11">
        <v>28</v>
      </c>
      <c r="D2150" s="12">
        <v>66.666666666666657</v>
      </c>
      <c r="E2150" s="12" t="s">
        <v>8220</v>
      </c>
      <c r="F2150" s="13">
        <v>6</v>
      </c>
      <c r="G2150" s="14">
        <v>1801.2399999999998</v>
      </c>
      <c r="H2150" t="s">
        <v>3700</v>
      </c>
      <c r="I2150">
        <v>7</v>
      </c>
    </row>
    <row r="2151" spans="1:9" ht="15.6" x14ac:dyDescent="0.3">
      <c r="A2151" s="9">
        <v>2150</v>
      </c>
      <c r="B2151" s="2" t="s">
        <v>2156</v>
      </c>
      <c r="C2151" s="11">
        <v>26</v>
      </c>
      <c r="D2151" s="12">
        <v>83.333333333333343</v>
      </c>
      <c r="E2151" s="12" t="s">
        <v>8220</v>
      </c>
      <c r="F2151" s="13">
        <v>6</v>
      </c>
      <c r="G2151" s="14">
        <v>1777.21</v>
      </c>
      <c r="H2151" t="s">
        <v>2676</v>
      </c>
      <c r="I2151">
        <v>7</v>
      </c>
    </row>
    <row r="2152" spans="1:9" ht="15.6" x14ac:dyDescent="0.3">
      <c r="A2152" s="9">
        <v>2151</v>
      </c>
      <c r="B2152" s="2" t="s">
        <v>2157</v>
      </c>
      <c r="C2152" s="11">
        <v>26</v>
      </c>
      <c r="D2152" s="12">
        <v>83.333333333333343</v>
      </c>
      <c r="E2152" s="12" t="s">
        <v>8220</v>
      </c>
      <c r="F2152" s="13">
        <v>6</v>
      </c>
      <c r="G2152" s="14">
        <v>1817.2400000000002</v>
      </c>
      <c r="H2152" t="s">
        <v>1652</v>
      </c>
      <c r="I2152">
        <v>7</v>
      </c>
    </row>
    <row r="2153" spans="1:9" ht="15.6" x14ac:dyDescent="0.3">
      <c r="A2153" s="9">
        <v>2152</v>
      </c>
      <c r="B2153" s="2" t="s">
        <v>2158</v>
      </c>
      <c r="C2153" s="11">
        <v>20</v>
      </c>
      <c r="D2153" s="12">
        <v>66.666666666666657</v>
      </c>
      <c r="E2153" s="12" t="s">
        <v>8220</v>
      </c>
      <c r="F2153" s="13">
        <v>6</v>
      </c>
      <c r="G2153" s="14">
        <v>1792.2199999999998</v>
      </c>
      <c r="H2153" t="s">
        <v>628</v>
      </c>
      <c r="I2153">
        <v>6</v>
      </c>
    </row>
    <row r="2154" spans="1:9" ht="15.6" x14ac:dyDescent="0.3">
      <c r="A2154" s="9">
        <v>2153</v>
      </c>
      <c r="B2154" s="2" t="s">
        <v>2159</v>
      </c>
      <c r="C2154" s="11">
        <v>28</v>
      </c>
      <c r="D2154" s="12">
        <v>66.666666666666657</v>
      </c>
      <c r="E2154" s="12" t="s">
        <v>8220</v>
      </c>
      <c r="F2154" s="13">
        <v>6</v>
      </c>
      <c r="G2154" s="14">
        <v>1841.27</v>
      </c>
      <c r="H2154" t="s">
        <v>3444</v>
      </c>
      <c r="I2154">
        <v>7</v>
      </c>
    </row>
    <row r="2155" spans="1:9" ht="15.6" x14ac:dyDescent="0.3">
      <c r="A2155" s="9">
        <v>2154</v>
      </c>
      <c r="B2155" s="2" t="s">
        <v>2160</v>
      </c>
      <c r="C2155" s="11">
        <v>26</v>
      </c>
      <c r="D2155" s="12">
        <v>83.333333333333343</v>
      </c>
      <c r="E2155" s="12" t="s">
        <v>8220</v>
      </c>
      <c r="F2155" s="13">
        <v>6</v>
      </c>
      <c r="G2155" s="14">
        <v>1817.2400000000002</v>
      </c>
      <c r="H2155" t="s">
        <v>2420</v>
      </c>
      <c r="I2155">
        <v>7</v>
      </c>
    </row>
    <row r="2156" spans="1:9" ht="15.6" x14ac:dyDescent="0.3">
      <c r="A2156" s="9">
        <v>2155</v>
      </c>
      <c r="B2156" s="2" t="s">
        <v>2161</v>
      </c>
      <c r="C2156" s="11">
        <v>26</v>
      </c>
      <c r="D2156" s="12">
        <v>83.333333333333343</v>
      </c>
      <c r="E2156" s="12" t="s">
        <v>8220</v>
      </c>
      <c r="F2156" s="13">
        <v>6</v>
      </c>
      <c r="G2156" s="14">
        <v>1857.27</v>
      </c>
      <c r="H2156" t="s">
        <v>1396</v>
      </c>
      <c r="I2156">
        <v>7</v>
      </c>
    </row>
    <row r="2157" spans="1:9" ht="15.6" x14ac:dyDescent="0.3">
      <c r="A2157" s="9">
        <v>2156</v>
      </c>
      <c r="B2157" s="2" t="s">
        <v>2162</v>
      </c>
      <c r="C2157" s="11">
        <v>20</v>
      </c>
      <c r="D2157" s="12">
        <v>66.666666666666657</v>
      </c>
      <c r="E2157" s="12" t="s">
        <v>8220</v>
      </c>
      <c r="F2157" s="13">
        <v>6</v>
      </c>
      <c r="G2157" s="14">
        <v>1832.25</v>
      </c>
      <c r="H2157" t="s">
        <v>372</v>
      </c>
      <c r="I2157">
        <v>6</v>
      </c>
    </row>
    <row r="2158" spans="1:9" ht="15.6" x14ac:dyDescent="0.3">
      <c r="A2158" s="9">
        <v>2157</v>
      </c>
      <c r="B2158" s="2" t="s">
        <v>2163</v>
      </c>
      <c r="C2158" s="11">
        <v>22</v>
      </c>
      <c r="D2158" s="12">
        <v>50</v>
      </c>
      <c r="E2158" s="12" t="s">
        <v>8219</v>
      </c>
      <c r="F2158" s="13">
        <v>6</v>
      </c>
      <c r="G2158" s="14">
        <v>1816.25</v>
      </c>
      <c r="H2158" t="s">
        <v>3188</v>
      </c>
      <c r="I2158">
        <v>6</v>
      </c>
    </row>
    <row r="2159" spans="1:9" ht="15.6" x14ac:dyDescent="0.3">
      <c r="A2159" s="9">
        <v>2158</v>
      </c>
      <c r="B2159" s="2" t="s">
        <v>2164</v>
      </c>
      <c r="C2159" s="11">
        <v>20</v>
      </c>
      <c r="D2159" s="12">
        <v>66.666666666666657</v>
      </c>
      <c r="E2159" s="12" t="s">
        <v>8220</v>
      </c>
      <c r="F2159" s="13">
        <v>6</v>
      </c>
      <c r="G2159" s="14">
        <v>1792.2199999999998</v>
      </c>
      <c r="H2159" t="s">
        <v>2164</v>
      </c>
      <c r="I2159">
        <v>6</v>
      </c>
    </row>
    <row r="2160" spans="1:9" ht="15.6" x14ac:dyDescent="0.3">
      <c r="A2160" s="9">
        <v>2159</v>
      </c>
      <c r="B2160" s="2" t="s">
        <v>2165</v>
      </c>
      <c r="C2160" s="11">
        <v>20</v>
      </c>
      <c r="D2160" s="12">
        <v>66.666666666666657</v>
      </c>
      <c r="E2160" s="12" t="s">
        <v>8220</v>
      </c>
      <c r="F2160" s="13">
        <v>6</v>
      </c>
      <c r="G2160" s="14">
        <v>1832.25</v>
      </c>
      <c r="H2160" t="s">
        <v>1140</v>
      </c>
      <c r="I2160">
        <v>6</v>
      </c>
    </row>
    <row r="2161" spans="1:9" ht="15.6" x14ac:dyDescent="0.3">
      <c r="A2161" s="9">
        <v>2160</v>
      </c>
      <c r="B2161" s="2" t="s">
        <v>2166</v>
      </c>
      <c r="C2161" s="11">
        <v>14</v>
      </c>
      <c r="D2161" s="12">
        <v>50</v>
      </c>
      <c r="E2161" s="12" t="s">
        <v>8219</v>
      </c>
      <c r="F2161" s="13">
        <v>6</v>
      </c>
      <c r="G2161" s="14">
        <v>1807.23</v>
      </c>
      <c r="H2161" t="s">
        <v>116</v>
      </c>
      <c r="I2161">
        <v>5</v>
      </c>
    </row>
    <row r="2162" spans="1:9" ht="15.6" x14ac:dyDescent="0.3">
      <c r="A2162" s="9">
        <v>2161</v>
      </c>
      <c r="B2162" s="2" t="s">
        <v>2167</v>
      </c>
      <c r="C2162" s="11">
        <v>24</v>
      </c>
      <c r="D2162" s="12">
        <v>33.333333333333329</v>
      </c>
      <c r="E2162" s="12" t="s">
        <v>8219</v>
      </c>
      <c r="F2162" s="13">
        <v>6</v>
      </c>
      <c r="G2162" s="14">
        <v>1800.25</v>
      </c>
      <c r="H2162" t="s">
        <v>3892</v>
      </c>
      <c r="I2162">
        <v>6</v>
      </c>
    </row>
    <row r="2163" spans="1:9" ht="15.6" x14ac:dyDescent="0.3">
      <c r="A2163" s="9">
        <v>2162</v>
      </c>
      <c r="B2163" s="2" t="s">
        <v>2168</v>
      </c>
      <c r="C2163" s="11">
        <v>22</v>
      </c>
      <c r="D2163" s="12">
        <v>50</v>
      </c>
      <c r="E2163" s="12" t="s">
        <v>8219</v>
      </c>
      <c r="F2163" s="13">
        <v>6</v>
      </c>
      <c r="G2163" s="14">
        <v>1776.2199999999998</v>
      </c>
      <c r="H2163" t="s">
        <v>2868</v>
      </c>
      <c r="I2163">
        <v>6</v>
      </c>
    </row>
    <row r="2164" spans="1:9" ht="15.6" x14ac:dyDescent="0.3">
      <c r="A2164" s="9">
        <v>2163</v>
      </c>
      <c r="B2164" s="2" t="s">
        <v>2169</v>
      </c>
      <c r="C2164" s="11">
        <v>22</v>
      </c>
      <c r="D2164" s="12">
        <v>50</v>
      </c>
      <c r="E2164" s="12" t="s">
        <v>8219</v>
      </c>
      <c r="F2164" s="13">
        <v>6</v>
      </c>
      <c r="G2164" s="14">
        <v>1816.25</v>
      </c>
      <c r="H2164" t="s">
        <v>1844</v>
      </c>
      <c r="I2164">
        <v>6</v>
      </c>
    </row>
    <row r="2165" spans="1:9" ht="15.6" x14ac:dyDescent="0.3">
      <c r="A2165" s="9">
        <v>2164</v>
      </c>
      <c r="B2165" s="2" t="s">
        <v>2170</v>
      </c>
      <c r="C2165" s="11">
        <v>16</v>
      </c>
      <c r="D2165" s="12">
        <v>33.333333333333329</v>
      </c>
      <c r="E2165" s="12" t="s">
        <v>8219</v>
      </c>
      <c r="F2165" s="13">
        <v>6</v>
      </c>
      <c r="G2165" s="14">
        <v>1791.23</v>
      </c>
      <c r="H2165" t="s">
        <v>820</v>
      </c>
      <c r="I2165">
        <v>5</v>
      </c>
    </row>
    <row r="2166" spans="1:9" ht="15.6" x14ac:dyDescent="0.3">
      <c r="A2166" s="9">
        <v>2165</v>
      </c>
      <c r="B2166" s="2" t="s">
        <v>2171</v>
      </c>
      <c r="C2166" s="11">
        <v>22</v>
      </c>
      <c r="D2166" s="12">
        <v>50</v>
      </c>
      <c r="E2166" s="12" t="s">
        <v>8219</v>
      </c>
      <c r="F2166" s="13">
        <v>6</v>
      </c>
      <c r="G2166" s="14">
        <v>1776.2199999999998</v>
      </c>
      <c r="H2166" t="s">
        <v>3636</v>
      </c>
      <c r="I2166">
        <v>6</v>
      </c>
    </row>
    <row r="2167" spans="1:9" ht="15.6" x14ac:dyDescent="0.3">
      <c r="A2167" s="9">
        <v>2166</v>
      </c>
      <c r="B2167" s="2" t="s">
        <v>2172</v>
      </c>
      <c r="C2167" s="11">
        <v>20</v>
      </c>
      <c r="D2167" s="12">
        <v>66.666666666666657</v>
      </c>
      <c r="E2167" s="12" t="s">
        <v>8220</v>
      </c>
      <c r="F2167" s="13">
        <v>6</v>
      </c>
      <c r="G2167" s="14">
        <v>1752.19</v>
      </c>
      <c r="H2167" t="s">
        <v>2612</v>
      </c>
      <c r="I2167">
        <v>6</v>
      </c>
    </row>
    <row r="2168" spans="1:9" ht="15.6" x14ac:dyDescent="0.3">
      <c r="A2168" s="9">
        <v>2167</v>
      </c>
      <c r="B2168" s="2" t="s">
        <v>2173</v>
      </c>
      <c r="C2168" s="11">
        <v>20</v>
      </c>
      <c r="D2168" s="12">
        <v>66.666666666666657</v>
      </c>
      <c r="E2168" s="12" t="s">
        <v>8220</v>
      </c>
      <c r="F2168" s="13">
        <v>6</v>
      </c>
      <c r="G2168" s="14">
        <v>1792.2199999999998</v>
      </c>
      <c r="H2168" t="s">
        <v>1588</v>
      </c>
      <c r="I2168">
        <v>6</v>
      </c>
    </row>
    <row r="2169" spans="1:9" ht="15.6" x14ac:dyDescent="0.3">
      <c r="A2169" s="9">
        <v>2168</v>
      </c>
      <c r="B2169" s="2" t="s">
        <v>2174</v>
      </c>
      <c r="C2169" s="11">
        <v>14</v>
      </c>
      <c r="D2169" s="12">
        <v>50</v>
      </c>
      <c r="E2169" s="12" t="s">
        <v>8219</v>
      </c>
      <c r="F2169" s="13">
        <v>6</v>
      </c>
      <c r="G2169" s="14">
        <v>1767.1999999999998</v>
      </c>
      <c r="H2169" t="s">
        <v>564</v>
      </c>
      <c r="I2169">
        <v>5</v>
      </c>
    </row>
    <row r="2170" spans="1:9" ht="15.6" x14ac:dyDescent="0.3">
      <c r="A2170" s="9">
        <v>2169</v>
      </c>
      <c r="B2170" s="2" t="s">
        <v>2175</v>
      </c>
      <c r="C2170" s="11">
        <v>22</v>
      </c>
      <c r="D2170" s="12">
        <v>50</v>
      </c>
      <c r="E2170" s="12" t="s">
        <v>8219</v>
      </c>
      <c r="F2170" s="13">
        <v>6</v>
      </c>
      <c r="G2170" s="14">
        <v>1816.25</v>
      </c>
      <c r="H2170" t="s">
        <v>3380</v>
      </c>
      <c r="I2170">
        <v>6</v>
      </c>
    </row>
    <row r="2171" spans="1:9" ht="15.6" x14ac:dyDescent="0.3">
      <c r="A2171" s="9">
        <v>2170</v>
      </c>
      <c r="B2171" s="2" t="s">
        <v>2176</v>
      </c>
      <c r="C2171" s="11">
        <v>20</v>
      </c>
      <c r="D2171" s="12">
        <v>66.666666666666657</v>
      </c>
      <c r="E2171" s="12" t="s">
        <v>8220</v>
      </c>
      <c r="F2171" s="13">
        <v>6</v>
      </c>
      <c r="G2171" s="14">
        <v>1792.2199999999998</v>
      </c>
      <c r="H2171" t="s">
        <v>2356</v>
      </c>
      <c r="I2171">
        <v>6</v>
      </c>
    </row>
    <row r="2172" spans="1:9" ht="15.6" x14ac:dyDescent="0.3">
      <c r="A2172" s="9">
        <v>2171</v>
      </c>
      <c r="B2172" s="2" t="s">
        <v>2177</v>
      </c>
      <c r="C2172" s="11">
        <v>20</v>
      </c>
      <c r="D2172" s="12">
        <v>66.666666666666657</v>
      </c>
      <c r="E2172" s="12" t="s">
        <v>8220</v>
      </c>
      <c r="F2172" s="13">
        <v>6</v>
      </c>
      <c r="G2172" s="14">
        <v>1832.25</v>
      </c>
      <c r="H2172" t="s">
        <v>1332</v>
      </c>
      <c r="I2172">
        <v>6</v>
      </c>
    </row>
    <row r="2173" spans="1:9" ht="15.6" x14ac:dyDescent="0.3">
      <c r="A2173" s="9">
        <v>2172</v>
      </c>
      <c r="B2173" s="2" t="s">
        <v>2178</v>
      </c>
      <c r="C2173" s="11">
        <v>14</v>
      </c>
      <c r="D2173" s="12">
        <v>50</v>
      </c>
      <c r="E2173" s="12" t="s">
        <v>8219</v>
      </c>
      <c r="F2173" s="13">
        <v>6</v>
      </c>
      <c r="G2173" s="14">
        <v>1807.23</v>
      </c>
      <c r="H2173" t="s">
        <v>308</v>
      </c>
      <c r="I2173">
        <v>5</v>
      </c>
    </row>
    <row r="2174" spans="1:9" ht="15.6" x14ac:dyDescent="0.3">
      <c r="A2174" s="9">
        <v>2173</v>
      </c>
      <c r="B2174" s="2" t="s">
        <v>2179</v>
      </c>
      <c r="C2174" s="11">
        <v>16</v>
      </c>
      <c r="D2174" s="12">
        <v>33.333333333333329</v>
      </c>
      <c r="E2174" s="12" t="s">
        <v>8219</v>
      </c>
      <c r="F2174" s="13">
        <v>6</v>
      </c>
      <c r="G2174" s="14">
        <v>1791.23</v>
      </c>
      <c r="H2174" t="s">
        <v>3124</v>
      </c>
      <c r="I2174">
        <v>5</v>
      </c>
    </row>
    <row r="2175" spans="1:9" ht="15.6" x14ac:dyDescent="0.3">
      <c r="A2175" s="9">
        <v>2174</v>
      </c>
      <c r="B2175" s="2" t="s">
        <v>2180</v>
      </c>
      <c r="C2175" s="11">
        <v>14</v>
      </c>
      <c r="D2175" s="12">
        <v>50</v>
      </c>
      <c r="E2175" s="12" t="s">
        <v>8219</v>
      </c>
      <c r="F2175" s="13">
        <v>6</v>
      </c>
      <c r="G2175" s="14">
        <v>1767.1999999999998</v>
      </c>
      <c r="H2175" t="s">
        <v>2100</v>
      </c>
      <c r="I2175">
        <v>5</v>
      </c>
    </row>
    <row r="2176" spans="1:9" ht="15.6" x14ac:dyDescent="0.3">
      <c r="A2176" s="9">
        <v>2175</v>
      </c>
      <c r="B2176" s="2" t="s">
        <v>2181</v>
      </c>
      <c r="C2176" s="11">
        <v>14</v>
      </c>
      <c r="D2176" s="12">
        <v>50</v>
      </c>
      <c r="E2176" s="12" t="s">
        <v>8219</v>
      </c>
      <c r="F2176" s="13">
        <v>6</v>
      </c>
      <c r="G2176" s="14">
        <v>1807.23</v>
      </c>
      <c r="H2176" t="s">
        <v>1076</v>
      </c>
      <c r="I2176">
        <v>5</v>
      </c>
    </row>
    <row r="2177" spans="1:9" ht="15.6" x14ac:dyDescent="0.3">
      <c r="A2177" s="9">
        <v>2176</v>
      </c>
      <c r="B2177" s="2" t="s">
        <v>2182</v>
      </c>
      <c r="C2177" s="11">
        <v>8</v>
      </c>
      <c r="D2177" s="12">
        <v>33.333333333333329</v>
      </c>
      <c r="E2177" s="12" t="s">
        <v>8219</v>
      </c>
      <c r="F2177" s="13">
        <v>6</v>
      </c>
      <c r="G2177" s="14">
        <v>1782.21</v>
      </c>
      <c r="H2177" t="s">
        <v>52</v>
      </c>
      <c r="I2177">
        <v>4</v>
      </c>
    </row>
    <row r="2178" spans="1:9" ht="15.6" x14ac:dyDescent="0.3">
      <c r="A2178" s="9">
        <v>2177</v>
      </c>
      <c r="B2178" s="2" t="s">
        <v>2183</v>
      </c>
      <c r="C2178" s="11">
        <v>32</v>
      </c>
      <c r="D2178" s="12">
        <v>33.333333333333329</v>
      </c>
      <c r="E2178" s="12" t="s">
        <v>8219</v>
      </c>
      <c r="F2178" s="13">
        <v>6</v>
      </c>
      <c r="G2178" s="14">
        <v>1849.3000000000002</v>
      </c>
      <c r="H2178" t="s">
        <v>4068</v>
      </c>
      <c r="I2178">
        <v>8</v>
      </c>
    </row>
    <row r="2179" spans="1:9" ht="15.6" x14ac:dyDescent="0.3">
      <c r="A2179" s="9">
        <v>2178</v>
      </c>
      <c r="B2179" s="2" t="s">
        <v>2184</v>
      </c>
      <c r="C2179" s="11">
        <v>30</v>
      </c>
      <c r="D2179" s="12">
        <v>50</v>
      </c>
      <c r="E2179" s="12" t="s">
        <v>8219</v>
      </c>
      <c r="F2179" s="13">
        <v>6</v>
      </c>
      <c r="G2179" s="14">
        <v>1825.27</v>
      </c>
      <c r="H2179" t="s">
        <v>3044</v>
      </c>
      <c r="I2179">
        <v>7</v>
      </c>
    </row>
    <row r="2180" spans="1:9" ht="15.6" x14ac:dyDescent="0.3">
      <c r="A2180" s="9">
        <v>2179</v>
      </c>
      <c r="B2180" s="2" t="s">
        <v>2185</v>
      </c>
      <c r="C2180" s="11">
        <v>30</v>
      </c>
      <c r="D2180" s="12">
        <v>50</v>
      </c>
      <c r="E2180" s="12" t="s">
        <v>8219</v>
      </c>
      <c r="F2180" s="13">
        <v>6</v>
      </c>
      <c r="G2180" s="14">
        <v>1865.3000000000002</v>
      </c>
      <c r="H2180" t="s">
        <v>2020</v>
      </c>
      <c r="I2180">
        <v>7</v>
      </c>
    </row>
    <row r="2181" spans="1:9" ht="15.6" x14ac:dyDescent="0.3">
      <c r="A2181" s="9">
        <v>2180</v>
      </c>
      <c r="B2181" s="2" t="s">
        <v>2186</v>
      </c>
      <c r="C2181" s="11">
        <v>24</v>
      </c>
      <c r="D2181" s="12">
        <v>33.333333333333329</v>
      </c>
      <c r="E2181" s="12" t="s">
        <v>8219</v>
      </c>
      <c r="F2181" s="13">
        <v>6</v>
      </c>
      <c r="G2181" s="14">
        <v>1840.2800000000002</v>
      </c>
      <c r="H2181" t="s">
        <v>996</v>
      </c>
      <c r="I2181">
        <v>6</v>
      </c>
    </row>
    <row r="2182" spans="1:9" ht="15.6" x14ac:dyDescent="0.3">
      <c r="A2182" s="9">
        <v>2181</v>
      </c>
      <c r="B2182" s="2" t="s">
        <v>2187</v>
      </c>
      <c r="C2182" s="11">
        <v>30</v>
      </c>
      <c r="D2182" s="12">
        <v>50</v>
      </c>
      <c r="E2182" s="12" t="s">
        <v>8219</v>
      </c>
      <c r="F2182" s="13">
        <v>6</v>
      </c>
      <c r="G2182" s="14">
        <v>1825.27</v>
      </c>
      <c r="H2182" t="s">
        <v>3812</v>
      </c>
      <c r="I2182">
        <v>7</v>
      </c>
    </row>
    <row r="2183" spans="1:9" ht="15.6" x14ac:dyDescent="0.3">
      <c r="A2183" s="9">
        <v>2182</v>
      </c>
      <c r="B2183" s="2" t="s">
        <v>2188</v>
      </c>
      <c r="C2183" s="11">
        <v>28</v>
      </c>
      <c r="D2183" s="12">
        <v>66.666666666666657</v>
      </c>
      <c r="E2183" s="12" t="s">
        <v>8220</v>
      </c>
      <c r="F2183" s="13">
        <v>6</v>
      </c>
      <c r="G2183" s="14">
        <v>1801.2399999999998</v>
      </c>
      <c r="H2183" t="s">
        <v>2788</v>
      </c>
      <c r="I2183">
        <v>7</v>
      </c>
    </row>
    <row r="2184" spans="1:9" ht="15.6" x14ac:dyDescent="0.3">
      <c r="A2184" s="9">
        <v>2183</v>
      </c>
      <c r="B2184" s="2" t="s">
        <v>2189</v>
      </c>
      <c r="C2184" s="11">
        <v>28</v>
      </c>
      <c r="D2184" s="12">
        <v>66.666666666666657</v>
      </c>
      <c r="E2184" s="12" t="s">
        <v>8220</v>
      </c>
      <c r="F2184" s="13">
        <v>6</v>
      </c>
      <c r="G2184" s="14">
        <v>1841.27</v>
      </c>
      <c r="H2184" t="s">
        <v>1764</v>
      </c>
      <c r="I2184">
        <v>7</v>
      </c>
    </row>
    <row r="2185" spans="1:9" ht="15.6" x14ac:dyDescent="0.3">
      <c r="A2185" s="9">
        <v>2184</v>
      </c>
      <c r="B2185" s="2" t="s">
        <v>2190</v>
      </c>
      <c r="C2185" s="11">
        <v>22</v>
      </c>
      <c r="D2185" s="12">
        <v>50</v>
      </c>
      <c r="E2185" s="12" t="s">
        <v>8219</v>
      </c>
      <c r="F2185" s="13">
        <v>6</v>
      </c>
      <c r="G2185" s="14">
        <v>1816.25</v>
      </c>
      <c r="H2185" t="s">
        <v>740</v>
      </c>
      <c r="I2185">
        <v>6</v>
      </c>
    </row>
    <row r="2186" spans="1:9" ht="15.6" x14ac:dyDescent="0.3">
      <c r="A2186" s="9">
        <v>2185</v>
      </c>
      <c r="B2186" s="2" t="s">
        <v>2191</v>
      </c>
      <c r="C2186" s="11">
        <v>30</v>
      </c>
      <c r="D2186" s="12">
        <v>50</v>
      </c>
      <c r="E2186" s="12" t="s">
        <v>8219</v>
      </c>
      <c r="F2186" s="13">
        <v>6</v>
      </c>
      <c r="G2186" s="14">
        <v>1865.3000000000002</v>
      </c>
      <c r="H2186" t="s">
        <v>3556</v>
      </c>
      <c r="I2186">
        <v>7</v>
      </c>
    </row>
    <row r="2187" spans="1:9" ht="15.6" x14ac:dyDescent="0.3">
      <c r="A2187" s="9">
        <v>2186</v>
      </c>
      <c r="B2187" s="2" t="s">
        <v>2192</v>
      </c>
      <c r="C2187" s="11">
        <v>28</v>
      </c>
      <c r="D2187" s="12">
        <v>66.666666666666657</v>
      </c>
      <c r="E2187" s="12" t="s">
        <v>8220</v>
      </c>
      <c r="F2187" s="13">
        <v>6</v>
      </c>
      <c r="G2187" s="14">
        <v>1841.27</v>
      </c>
      <c r="H2187" t="s">
        <v>2532</v>
      </c>
      <c r="I2187">
        <v>7</v>
      </c>
    </row>
    <row r="2188" spans="1:9" ht="15.6" x14ac:dyDescent="0.3">
      <c r="A2188" s="9">
        <v>2187</v>
      </c>
      <c r="B2188" s="2" t="s">
        <v>2193</v>
      </c>
      <c r="C2188" s="11">
        <v>28</v>
      </c>
      <c r="D2188" s="12">
        <v>66.666666666666657</v>
      </c>
      <c r="E2188" s="12" t="s">
        <v>8220</v>
      </c>
      <c r="F2188" s="13">
        <v>6</v>
      </c>
      <c r="G2188" s="14">
        <v>1881.3000000000002</v>
      </c>
      <c r="H2188" t="s">
        <v>1508</v>
      </c>
      <c r="I2188">
        <v>7</v>
      </c>
    </row>
    <row r="2189" spans="1:9" ht="15.6" x14ac:dyDescent="0.3">
      <c r="A2189" s="9">
        <v>2188</v>
      </c>
      <c r="B2189" s="2" t="s">
        <v>2194</v>
      </c>
      <c r="C2189" s="11">
        <v>22</v>
      </c>
      <c r="D2189" s="12">
        <v>50</v>
      </c>
      <c r="E2189" s="12" t="s">
        <v>8219</v>
      </c>
      <c r="F2189" s="13">
        <v>6</v>
      </c>
      <c r="G2189" s="14">
        <v>1856.2800000000002</v>
      </c>
      <c r="H2189" t="s">
        <v>484</v>
      </c>
      <c r="I2189">
        <v>6</v>
      </c>
    </row>
    <row r="2190" spans="1:9" ht="15.6" x14ac:dyDescent="0.3">
      <c r="A2190" s="9">
        <v>2189</v>
      </c>
      <c r="B2190" s="2" t="s">
        <v>2195</v>
      </c>
      <c r="C2190" s="11">
        <v>24</v>
      </c>
      <c r="D2190" s="12">
        <v>33.333333333333329</v>
      </c>
      <c r="E2190" s="12" t="s">
        <v>8219</v>
      </c>
      <c r="F2190" s="13">
        <v>6</v>
      </c>
      <c r="G2190" s="14">
        <v>1840.2800000000002</v>
      </c>
      <c r="H2190" t="s">
        <v>3300</v>
      </c>
      <c r="I2190">
        <v>6</v>
      </c>
    </row>
    <row r="2191" spans="1:9" ht="15.6" x14ac:dyDescent="0.3">
      <c r="A2191" s="9">
        <v>2190</v>
      </c>
      <c r="B2191" s="2" t="s">
        <v>2196</v>
      </c>
      <c r="C2191" s="11">
        <v>22</v>
      </c>
      <c r="D2191" s="12">
        <v>50</v>
      </c>
      <c r="E2191" s="12" t="s">
        <v>8219</v>
      </c>
      <c r="F2191" s="13">
        <v>6</v>
      </c>
      <c r="G2191" s="14">
        <v>1816.25</v>
      </c>
      <c r="H2191" t="s">
        <v>2276</v>
      </c>
      <c r="I2191">
        <v>6</v>
      </c>
    </row>
    <row r="2192" spans="1:9" ht="15.6" x14ac:dyDescent="0.3">
      <c r="A2192" s="9">
        <v>2191</v>
      </c>
      <c r="B2192" s="2" t="s">
        <v>2197</v>
      </c>
      <c r="C2192" s="11">
        <v>22</v>
      </c>
      <c r="D2192" s="12">
        <v>50</v>
      </c>
      <c r="E2192" s="12" t="s">
        <v>8219</v>
      </c>
      <c r="F2192" s="13">
        <v>6</v>
      </c>
      <c r="G2192" s="14">
        <v>1856.2800000000002</v>
      </c>
      <c r="H2192" t="s">
        <v>1252</v>
      </c>
      <c r="I2192">
        <v>6</v>
      </c>
    </row>
    <row r="2193" spans="1:9" ht="15.6" x14ac:dyDescent="0.3">
      <c r="A2193" s="9">
        <v>2192</v>
      </c>
      <c r="B2193" s="2" t="s">
        <v>2198</v>
      </c>
      <c r="C2193" s="11">
        <v>16</v>
      </c>
      <c r="D2193" s="12">
        <v>33.333333333333329</v>
      </c>
      <c r="E2193" s="12" t="s">
        <v>8219</v>
      </c>
      <c r="F2193" s="13">
        <v>6</v>
      </c>
      <c r="G2193" s="14">
        <v>1831.2600000000002</v>
      </c>
      <c r="H2193" t="s">
        <v>228</v>
      </c>
      <c r="I2193">
        <v>5</v>
      </c>
    </row>
    <row r="2194" spans="1:9" ht="15.6" x14ac:dyDescent="0.3">
      <c r="A2194" s="9">
        <v>2193</v>
      </c>
      <c r="B2194" s="2" t="s">
        <v>2199</v>
      </c>
      <c r="C2194" s="11">
        <v>30</v>
      </c>
      <c r="D2194" s="12">
        <v>50</v>
      </c>
      <c r="E2194" s="12" t="s">
        <v>8219</v>
      </c>
      <c r="F2194" s="13">
        <v>6</v>
      </c>
      <c r="G2194" s="14">
        <v>1825.27</v>
      </c>
      <c r="H2194" t="s">
        <v>4004</v>
      </c>
      <c r="I2194">
        <v>7</v>
      </c>
    </row>
    <row r="2195" spans="1:9" ht="15.6" x14ac:dyDescent="0.3">
      <c r="A2195" s="9">
        <v>2194</v>
      </c>
      <c r="B2195" s="2" t="s">
        <v>2200</v>
      </c>
      <c r="C2195" s="11">
        <v>28</v>
      </c>
      <c r="D2195" s="12">
        <v>66.666666666666657</v>
      </c>
      <c r="E2195" s="12" t="s">
        <v>8220</v>
      </c>
      <c r="F2195" s="13">
        <v>6</v>
      </c>
      <c r="G2195" s="14">
        <v>1801.2399999999998</v>
      </c>
      <c r="H2195" t="s">
        <v>2980</v>
      </c>
      <c r="I2195">
        <v>7</v>
      </c>
    </row>
    <row r="2196" spans="1:9" ht="15.6" x14ac:dyDescent="0.3">
      <c r="A2196" s="9">
        <v>2195</v>
      </c>
      <c r="B2196" s="2" t="s">
        <v>2201</v>
      </c>
      <c r="C2196" s="11">
        <v>28</v>
      </c>
      <c r="D2196" s="12">
        <v>66.666666666666657</v>
      </c>
      <c r="E2196" s="12" t="s">
        <v>8220</v>
      </c>
      <c r="F2196" s="13">
        <v>6</v>
      </c>
      <c r="G2196" s="14">
        <v>1841.27</v>
      </c>
      <c r="H2196" t="s">
        <v>1956</v>
      </c>
      <c r="I2196">
        <v>7</v>
      </c>
    </row>
    <row r="2197" spans="1:9" ht="15.6" x14ac:dyDescent="0.3">
      <c r="A2197" s="9">
        <v>2196</v>
      </c>
      <c r="B2197" s="2" t="s">
        <v>2202</v>
      </c>
      <c r="C2197" s="11">
        <v>22</v>
      </c>
      <c r="D2197" s="12">
        <v>50</v>
      </c>
      <c r="E2197" s="12" t="s">
        <v>8219</v>
      </c>
      <c r="F2197" s="13">
        <v>6</v>
      </c>
      <c r="G2197" s="14">
        <v>1816.25</v>
      </c>
      <c r="H2197" t="s">
        <v>932</v>
      </c>
      <c r="I2197">
        <v>6</v>
      </c>
    </row>
    <row r="2198" spans="1:9" ht="15.6" x14ac:dyDescent="0.3">
      <c r="A2198" s="9">
        <v>2197</v>
      </c>
      <c r="B2198" s="2" t="s">
        <v>2203</v>
      </c>
      <c r="C2198" s="11">
        <v>28</v>
      </c>
      <c r="D2198" s="12">
        <v>66.666666666666657</v>
      </c>
      <c r="E2198" s="12" t="s">
        <v>8220</v>
      </c>
      <c r="F2198" s="13">
        <v>6</v>
      </c>
      <c r="G2198" s="14">
        <v>1801.2399999999998</v>
      </c>
      <c r="H2198" t="s">
        <v>3748</v>
      </c>
      <c r="I2198">
        <v>7</v>
      </c>
    </row>
    <row r="2199" spans="1:9" ht="15.6" x14ac:dyDescent="0.3">
      <c r="A2199" s="9">
        <v>2198</v>
      </c>
      <c r="B2199" s="2" t="s">
        <v>2204</v>
      </c>
      <c r="C2199" s="11">
        <v>26</v>
      </c>
      <c r="D2199" s="12">
        <v>83.333333333333343</v>
      </c>
      <c r="E2199" s="12" t="s">
        <v>8220</v>
      </c>
      <c r="F2199" s="13">
        <v>6</v>
      </c>
      <c r="G2199" s="14">
        <v>1777.21</v>
      </c>
      <c r="H2199" t="s">
        <v>2724</v>
      </c>
      <c r="I2199">
        <v>7</v>
      </c>
    </row>
    <row r="2200" spans="1:9" ht="15.6" x14ac:dyDescent="0.3">
      <c r="A2200" s="9">
        <v>2199</v>
      </c>
      <c r="B2200" s="2" t="s">
        <v>2205</v>
      </c>
      <c r="C2200" s="11">
        <v>26</v>
      </c>
      <c r="D2200" s="12">
        <v>83.333333333333343</v>
      </c>
      <c r="E2200" s="12" t="s">
        <v>8220</v>
      </c>
      <c r="F2200" s="13">
        <v>6</v>
      </c>
      <c r="G2200" s="14">
        <v>1817.2400000000002</v>
      </c>
      <c r="H2200" t="s">
        <v>1700</v>
      </c>
      <c r="I2200">
        <v>7</v>
      </c>
    </row>
    <row r="2201" spans="1:9" ht="15.6" x14ac:dyDescent="0.3">
      <c r="A2201" s="9">
        <v>2200</v>
      </c>
      <c r="B2201" s="2" t="s">
        <v>2206</v>
      </c>
      <c r="C2201" s="11">
        <v>20</v>
      </c>
      <c r="D2201" s="12">
        <v>66.666666666666657</v>
      </c>
      <c r="E2201" s="12" t="s">
        <v>8220</v>
      </c>
      <c r="F2201" s="13">
        <v>6</v>
      </c>
      <c r="G2201" s="14">
        <v>1792.2199999999998</v>
      </c>
      <c r="H2201" t="s">
        <v>676</v>
      </c>
      <c r="I2201">
        <v>6</v>
      </c>
    </row>
    <row r="2202" spans="1:9" ht="15.6" x14ac:dyDescent="0.3">
      <c r="A2202" s="9">
        <v>2201</v>
      </c>
      <c r="B2202" s="2" t="s">
        <v>2207</v>
      </c>
      <c r="C2202" s="11">
        <v>28</v>
      </c>
      <c r="D2202" s="12">
        <v>66.666666666666657</v>
      </c>
      <c r="E2202" s="12" t="s">
        <v>8220</v>
      </c>
      <c r="F2202" s="13">
        <v>6</v>
      </c>
      <c r="G2202" s="14">
        <v>1841.27</v>
      </c>
      <c r="H2202" t="s">
        <v>3492</v>
      </c>
      <c r="I2202">
        <v>7</v>
      </c>
    </row>
    <row r="2203" spans="1:9" ht="15.6" x14ac:dyDescent="0.3">
      <c r="A2203" s="9">
        <v>2202</v>
      </c>
      <c r="B2203" s="2" t="s">
        <v>2208</v>
      </c>
      <c r="C2203" s="11">
        <v>26</v>
      </c>
      <c r="D2203" s="12">
        <v>83.333333333333343</v>
      </c>
      <c r="E2203" s="12" t="s">
        <v>8220</v>
      </c>
      <c r="F2203" s="13">
        <v>6</v>
      </c>
      <c r="G2203" s="14">
        <v>1817.2400000000002</v>
      </c>
      <c r="H2203" t="s">
        <v>2468</v>
      </c>
      <c r="I2203">
        <v>7</v>
      </c>
    </row>
    <row r="2204" spans="1:9" ht="15.6" x14ac:dyDescent="0.3">
      <c r="A2204" s="9">
        <v>2203</v>
      </c>
      <c r="B2204" s="2" t="s">
        <v>2209</v>
      </c>
      <c r="C2204" s="11">
        <v>26</v>
      </c>
      <c r="D2204" s="12">
        <v>83.333333333333343</v>
      </c>
      <c r="E2204" s="12" t="s">
        <v>8220</v>
      </c>
      <c r="F2204" s="13">
        <v>6</v>
      </c>
      <c r="G2204" s="14">
        <v>1857.27</v>
      </c>
      <c r="H2204" t="s">
        <v>1444</v>
      </c>
      <c r="I2204">
        <v>7</v>
      </c>
    </row>
    <row r="2205" spans="1:9" ht="15.6" x14ac:dyDescent="0.3">
      <c r="A2205" s="9">
        <v>2204</v>
      </c>
      <c r="B2205" s="2" t="s">
        <v>2210</v>
      </c>
      <c r="C2205" s="11">
        <v>20</v>
      </c>
      <c r="D2205" s="12">
        <v>66.666666666666657</v>
      </c>
      <c r="E2205" s="12" t="s">
        <v>8220</v>
      </c>
      <c r="F2205" s="13">
        <v>6</v>
      </c>
      <c r="G2205" s="14">
        <v>1832.25</v>
      </c>
      <c r="H2205" t="s">
        <v>420</v>
      </c>
      <c r="I2205">
        <v>6</v>
      </c>
    </row>
    <row r="2206" spans="1:9" ht="15.6" x14ac:dyDescent="0.3">
      <c r="A2206" s="9">
        <v>2205</v>
      </c>
      <c r="B2206" s="2" t="s">
        <v>2211</v>
      </c>
      <c r="C2206" s="11">
        <v>22</v>
      </c>
      <c r="D2206" s="12">
        <v>50</v>
      </c>
      <c r="E2206" s="12" t="s">
        <v>8219</v>
      </c>
      <c r="F2206" s="13">
        <v>6</v>
      </c>
      <c r="G2206" s="14">
        <v>1816.25</v>
      </c>
      <c r="H2206" t="s">
        <v>3236</v>
      </c>
      <c r="I2206">
        <v>6</v>
      </c>
    </row>
    <row r="2207" spans="1:9" ht="15.6" x14ac:dyDescent="0.3">
      <c r="A2207" s="9">
        <v>2206</v>
      </c>
      <c r="B2207" s="2" t="s">
        <v>2212</v>
      </c>
      <c r="C2207" s="11">
        <v>20</v>
      </c>
      <c r="D2207" s="12">
        <v>66.666666666666657</v>
      </c>
      <c r="E2207" s="12" t="s">
        <v>8220</v>
      </c>
      <c r="F2207" s="13">
        <v>6</v>
      </c>
      <c r="G2207" s="14">
        <v>1792.2199999999998</v>
      </c>
      <c r="H2207" t="s">
        <v>2212</v>
      </c>
      <c r="I2207">
        <v>6</v>
      </c>
    </row>
    <row r="2208" spans="1:9" ht="15.6" x14ac:dyDescent="0.3">
      <c r="A2208" s="9">
        <v>2207</v>
      </c>
      <c r="B2208" s="2" t="s">
        <v>2213</v>
      </c>
      <c r="C2208" s="11">
        <v>20</v>
      </c>
      <c r="D2208" s="12">
        <v>66.666666666666657</v>
      </c>
      <c r="E2208" s="12" t="s">
        <v>8220</v>
      </c>
      <c r="F2208" s="13">
        <v>6</v>
      </c>
      <c r="G2208" s="14">
        <v>1832.25</v>
      </c>
      <c r="H2208" t="s">
        <v>1188</v>
      </c>
      <c r="I2208">
        <v>6</v>
      </c>
    </row>
    <row r="2209" spans="1:9" ht="15.6" x14ac:dyDescent="0.3">
      <c r="A2209" s="9">
        <v>2208</v>
      </c>
      <c r="B2209" s="2" t="s">
        <v>2214</v>
      </c>
      <c r="C2209" s="11">
        <v>14</v>
      </c>
      <c r="D2209" s="12">
        <v>50</v>
      </c>
      <c r="E2209" s="12" t="s">
        <v>8219</v>
      </c>
      <c r="F2209" s="13">
        <v>6</v>
      </c>
      <c r="G2209" s="14">
        <v>1807.23</v>
      </c>
      <c r="H2209" t="s">
        <v>164</v>
      </c>
      <c r="I2209">
        <v>5</v>
      </c>
    </row>
    <row r="2210" spans="1:9" ht="15.6" x14ac:dyDescent="0.3">
      <c r="A2210" s="9">
        <v>2209</v>
      </c>
      <c r="B2210" s="2" t="s">
        <v>2215</v>
      </c>
      <c r="C2210" s="11">
        <v>30</v>
      </c>
      <c r="D2210" s="12">
        <v>50</v>
      </c>
      <c r="E2210" s="12" t="s">
        <v>8219</v>
      </c>
      <c r="F2210" s="13">
        <v>6</v>
      </c>
      <c r="G2210" s="14">
        <v>1865.3000000000002</v>
      </c>
      <c r="H2210" t="s">
        <v>3940</v>
      </c>
      <c r="I2210">
        <v>7</v>
      </c>
    </row>
    <row r="2211" spans="1:9" ht="15.6" x14ac:dyDescent="0.3">
      <c r="A2211" s="9">
        <v>2210</v>
      </c>
      <c r="B2211" s="2" t="s">
        <v>2216</v>
      </c>
      <c r="C2211" s="11">
        <v>28</v>
      </c>
      <c r="D2211" s="12">
        <v>66.666666666666657</v>
      </c>
      <c r="E2211" s="12" t="s">
        <v>8220</v>
      </c>
      <c r="F2211" s="13">
        <v>6</v>
      </c>
      <c r="G2211" s="14">
        <v>1841.27</v>
      </c>
      <c r="H2211" t="s">
        <v>2916</v>
      </c>
      <c r="I2211">
        <v>7</v>
      </c>
    </row>
    <row r="2212" spans="1:9" ht="15.6" x14ac:dyDescent="0.3">
      <c r="A2212" s="9">
        <v>2211</v>
      </c>
      <c r="B2212" s="2" t="s">
        <v>2217</v>
      </c>
      <c r="C2212" s="11">
        <v>28</v>
      </c>
      <c r="D2212" s="12">
        <v>66.666666666666657</v>
      </c>
      <c r="E2212" s="12" t="s">
        <v>8220</v>
      </c>
      <c r="F2212" s="13">
        <v>6</v>
      </c>
      <c r="G2212" s="14">
        <v>1881.3000000000002</v>
      </c>
      <c r="H2212" t="s">
        <v>1892</v>
      </c>
      <c r="I2212">
        <v>7</v>
      </c>
    </row>
    <row r="2213" spans="1:9" ht="15.6" x14ac:dyDescent="0.3">
      <c r="A2213" s="9">
        <v>2212</v>
      </c>
      <c r="B2213" s="2" t="s">
        <v>2218</v>
      </c>
      <c r="C2213" s="11">
        <v>22</v>
      </c>
      <c r="D2213" s="12">
        <v>50</v>
      </c>
      <c r="E2213" s="12" t="s">
        <v>8219</v>
      </c>
      <c r="F2213" s="13">
        <v>6</v>
      </c>
      <c r="G2213" s="14">
        <v>1856.2800000000002</v>
      </c>
      <c r="H2213" t="s">
        <v>868</v>
      </c>
      <c r="I2213">
        <v>6</v>
      </c>
    </row>
    <row r="2214" spans="1:9" ht="15.6" x14ac:dyDescent="0.3">
      <c r="A2214" s="9">
        <v>2213</v>
      </c>
      <c r="B2214" s="2" t="s">
        <v>2219</v>
      </c>
      <c r="C2214" s="11">
        <v>28</v>
      </c>
      <c r="D2214" s="12">
        <v>66.666666666666657</v>
      </c>
      <c r="E2214" s="12" t="s">
        <v>8220</v>
      </c>
      <c r="F2214" s="13">
        <v>6</v>
      </c>
      <c r="G2214" s="14">
        <v>1841.27</v>
      </c>
      <c r="H2214" t="s">
        <v>3684</v>
      </c>
      <c r="I2214">
        <v>7</v>
      </c>
    </row>
    <row r="2215" spans="1:9" ht="15.6" x14ac:dyDescent="0.3">
      <c r="A2215" s="9">
        <v>2214</v>
      </c>
      <c r="B2215" s="2" t="s">
        <v>2220</v>
      </c>
      <c r="C2215" s="11">
        <v>26</v>
      </c>
      <c r="D2215" s="12">
        <v>83.333333333333343</v>
      </c>
      <c r="E2215" s="12" t="s">
        <v>8220</v>
      </c>
      <c r="F2215" s="13">
        <v>6</v>
      </c>
      <c r="G2215" s="14">
        <v>1817.2400000000002</v>
      </c>
      <c r="H2215" t="s">
        <v>2660</v>
      </c>
      <c r="I2215">
        <v>7</v>
      </c>
    </row>
    <row r="2216" spans="1:9" ht="15.6" x14ac:dyDescent="0.3">
      <c r="A2216" s="9">
        <v>2215</v>
      </c>
      <c r="B2216" s="2" t="s">
        <v>2221</v>
      </c>
      <c r="C2216" s="11">
        <v>26</v>
      </c>
      <c r="D2216" s="12">
        <v>83.333333333333343</v>
      </c>
      <c r="E2216" s="12" t="s">
        <v>8220</v>
      </c>
      <c r="F2216" s="13">
        <v>6</v>
      </c>
      <c r="G2216" s="14">
        <v>1857.27</v>
      </c>
      <c r="H2216" t="s">
        <v>1636</v>
      </c>
      <c r="I2216">
        <v>7</v>
      </c>
    </row>
    <row r="2217" spans="1:9" ht="15.6" x14ac:dyDescent="0.3">
      <c r="A2217" s="9">
        <v>2216</v>
      </c>
      <c r="B2217" s="2" t="s">
        <v>2222</v>
      </c>
      <c r="C2217" s="11">
        <v>20</v>
      </c>
      <c r="D2217" s="12">
        <v>66.666666666666657</v>
      </c>
      <c r="E2217" s="12" t="s">
        <v>8220</v>
      </c>
      <c r="F2217" s="13">
        <v>6</v>
      </c>
      <c r="G2217" s="14">
        <v>1832.25</v>
      </c>
      <c r="H2217" t="s">
        <v>612</v>
      </c>
      <c r="I2217">
        <v>6</v>
      </c>
    </row>
    <row r="2218" spans="1:9" ht="15.6" x14ac:dyDescent="0.3">
      <c r="A2218" s="9">
        <v>2217</v>
      </c>
      <c r="B2218" s="2" t="s">
        <v>2223</v>
      </c>
      <c r="C2218" s="11">
        <v>28</v>
      </c>
      <c r="D2218" s="12">
        <v>66.666666666666657</v>
      </c>
      <c r="E2218" s="12" t="s">
        <v>8220</v>
      </c>
      <c r="F2218" s="13">
        <v>6</v>
      </c>
      <c r="G2218" s="14">
        <v>1881.3000000000002</v>
      </c>
      <c r="H2218" t="s">
        <v>3428</v>
      </c>
      <c r="I2218">
        <v>7</v>
      </c>
    </row>
    <row r="2219" spans="1:9" ht="15.6" x14ac:dyDescent="0.3">
      <c r="A2219" s="9">
        <v>2218</v>
      </c>
      <c r="B2219" s="2" t="s">
        <v>2224</v>
      </c>
      <c r="C2219" s="11">
        <v>26</v>
      </c>
      <c r="D2219" s="12">
        <v>83.333333333333343</v>
      </c>
      <c r="E2219" s="12" t="s">
        <v>8220</v>
      </c>
      <c r="F2219" s="13">
        <v>6</v>
      </c>
      <c r="G2219" s="14">
        <v>1857.27</v>
      </c>
      <c r="H2219" t="s">
        <v>2404</v>
      </c>
      <c r="I2219">
        <v>7</v>
      </c>
    </row>
    <row r="2220" spans="1:9" ht="15.6" x14ac:dyDescent="0.3">
      <c r="A2220" s="9">
        <v>2219</v>
      </c>
      <c r="B2220" s="2" t="s">
        <v>2225</v>
      </c>
      <c r="C2220" s="11">
        <v>26</v>
      </c>
      <c r="D2220" s="12">
        <v>83.333333333333343</v>
      </c>
      <c r="E2220" s="12" t="s">
        <v>8220</v>
      </c>
      <c r="F2220" s="13">
        <v>6</v>
      </c>
      <c r="G2220" s="14">
        <v>1897.3000000000002</v>
      </c>
      <c r="H2220" t="s">
        <v>1380</v>
      </c>
      <c r="I2220">
        <v>7</v>
      </c>
    </row>
    <row r="2221" spans="1:9" ht="15.6" x14ac:dyDescent="0.3">
      <c r="A2221" s="9">
        <v>2220</v>
      </c>
      <c r="B2221" s="2" t="s">
        <v>2226</v>
      </c>
      <c r="C2221" s="11">
        <v>20</v>
      </c>
      <c r="D2221" s="12">
        <v>66.666666666666657</v>
      </c>
      <c r="E2221" s="12" t="s">
        <v>8220</v>
      </c>
      <c r="F2221" s="13">
        <v>6</v>
      </c>
      <c r="G2221" s="14">
        <v>1872.2800000000002</v>
      </c>
      <c r="H2221" t="s">
        <v>356</v>
      </c>
      <c r="I2221">
        <v>6</v>
      </c>
    </row>
    <row r="2222" spans="1:9" ht="15.6" x14ac:dyDescent="0.3">
      <c r="A2222" s="9">
        <v>2221</v>
      </c>
      <c r="B2222" s="2" t="s">
        <v>2227</v>
      </c>
      <c r="C2222" s="11">
        <v>22</v>
      </c>
      <c r="D2222" s="12">
        <v>50</v>
      </c>
      <c r="E2222" s="12" t="s">
        <v>8219</v>
      </c>
      <c r="F2222" s="13">
        <v>6</v>
      </c>
      <c r="G2222" s="14">
        <v>1856.2800000000002</v>
      </c>
      <c r="H2222" t="s">
        <v>3172</v>
      </c>
      <c r="I2222">
        <v>6</v>
      </c>
    </row>
    <row r="2223" spans="1:9" ht="15.6" x14ac:dyDescent="0.3">
      <c r="A2223" s="9">
        <v>2222</v>
      </c>
      <c r="B2223" s="2" t="s">
        <v>2228</v>
      </c>
      <c r="C2223" s="11">
        <v>20</v>
      </c>
      <c r="D2223" s="12">
        <v>66.666666666666657</v>
      </c>
      <c r="E2223" s="12" t="s">
        <v>8220</v>
      </c>
      <c r="F2223" s="13">
        <v>6</v>
      </c>
      <c r="G2223" s="14">
        <v>1832.25</v>
      </c>
      <c r="H2223" t="s">
        <v>2148</v>
      </c>
      <c r="I2223">
        <v>6</v>
      </c>
    </row>
    <row r="2224" spans="1:9" ht="15.6" x14ac:dyDescent="0.3">
      <c r="A2224" s="9">
        <v>2223</v>
      </c>
      <c r="B2224" s="2" t="s">
        <v>2229</v>
      </c>
      <c r="C2224" s="11">
        <v>20</v>
      </c>
      <c r="D2224" s="12">
        <v>66.666666666666657</v>
      </c>
      <c r="E2224" s="12" t="s">
        <v>8220</v>
      </c>
      <c r="F2224" s="13">
        <v>6</v>
      </c>
      <c r="G2224" s="14">
        <v>1872.2800000000002</v>
      </c>
      <c r="H2224" t="s">
        <v>1124</v>
      </c>
      <c r="I2224">
        <v>6</v>
      </c>
    </row>
    <row r="2225" spans="1:9" ht="15.6" x14ac:dyDescent="0.3">
      <c r="A2225" s="9">
        <v>2224</v>
      </c>
      <c r="B2225" s="2" t="s">
        <v>2230</v>
      </c>
      <c r="C2225" s="11">
        <v>14</v>
      </c>
      <c r="D2225" s="12">
        <v>50</v>
      </c>
      <c r="E2225" s="12" t="s">
        <v>8219</v>
      </c>
      <c r="F2225" s="13">
        <v>6</v>
      </c>
      <c r="G2225" s="14">
        <v>1847.2600000000002</v>
      </c>
      <c r="H2225" t="s">
        <v>100</v>
      </c>
      <c r="I2225">
        <v>5</v>
      </c>
    </row>
    <row r="2226" spans="1:9" ht="15.6" x14ac:dyDescent="0.3">
      <c r="A2226" s="9">
        <v>2225</v>
      </c>
      <c r="B2226" s="2" t="s">
        <v>2231</v>
      </c>
      <c r="C2226" s="11">
        <v>24</v>
      </c>
      <c r="D2226" s="12">
        <v>33.333333333333329</v>
      </c>
      <c r="E2226" s="12" t="s">
        <v>8219</v>
      </c>
      <c r="F2226" s="13">
        <v>6</v>
      </c>
      <c r="G2226" s="14">
        <v>1840.2800000000002</v>
      </c>
      <c r="H2226" t="s">
        <v>3876</v>
      </c>
      <c r="I2226">
        <v>6</v>
      </c>
    </row>
    <row r="2227" spans="1:9" ht="15.6" x14ac:dyDescent="0.3">
      <c r="A2227" s="9">
        <v>2226</v>
      </c>
      <c r="B2227" s="2" t="s">
        <v>2232</v>
      </c>
      <c r="C2227" s="11">
        <v>22</v>
      </c>
      <c r="D2227" s="12">
        <v>50</v>
      </c>
      <c r="E2227" s="12" t="s">
        <v>8219</v>
      </c>
      <c r="F2227" s="13">
        <v>6</v>
      </c>
      <c r="G2227" s="14">
        <v>1816.25</v>
      </c>
      <c r="H2227" t="s">
        <v>2852</v>
      </c>
      <c r="I2227">
        <v>6</v>
      </c>
    </row>
    <row r="2228" spans="1:9" ht="15.6" x14ac:dyDescent="0.3">
      <c r="A2228" s="9">
        <v>2227</v>
      </c>
      <c r="B2228" s="2" t="s">
        <v>2233</v>
      </c>
      <c r="C2228" s="11">
        <v>22</v>
      </c>
      <c r="D2228" s="12">
        <v>50</v>
      </c>
      <c r="E2228" s="12" t="s">
        <v>8219</v>
      </c>
      <c r="F2228" s="13">
        <v>6</v>
      </c>
      <c r="G2228" s="14">
        <v>1856.2800000000002</v>
      </c>
      <c r="H2228" t="s">
        <v>1828</v>
      </c>
      <c r="I2228">
        <v>6</v>
      </c>
    </row>
    <row r="2229" spans="1:9" ht="15.6" x14ac:dyDescent="0.3">
      <c r="A2229" s="9">
        <v>2228</v>
      </c>
      <c r="B2229" s="2" t="s">
        <v>2234</v>
      </c>
      <c r="C2229" s="11">
        <v>16</v>
      </c>
      <c r="D2229" s="12">
        <v>33.333333333333329</v>
      </c>
      <c r="E2229" s="12" t="s">
        <v>8219</v>
      </c>
      <c r="F2229" s="13">
        <v>6</v>
      </c>
      <c r="G2229" s="14">
        <v>1831.2600000000002</v>
      </c>
      <c r="H2229" t="s">
        <v>804</v>
      </c>
      <c r="I2229">
        <v>5</v>
      </c>
    </row>
    <row r="2230" spans="1:9" ht="15.6" x14ac:dyDescent="0.3">
      <c r="A2230" s="9">
        <v>2229</v>
      </c>
      <c r="B2230" s="2" t="s">
        <v>2235</v>
      </c>
      <c r="C2230" s="11">
        <v>22</v>
      </c>
      <c r="D2230" s="12">
        <v>50</v>
      </c>
      <c r="E2230" s="12" t="s">
        <v>8219</v>
      </c>
      <c r="F2230" s="13">
        <v>6</v>
      </c>
      <c r="G2230" s="14">
        <v>1816.25</v>
      </c>
      <c r="H2230" t="s">
        <v>3620</v>
      </c>
      <c r="I2230">
        <v>6</v>
      </c>
    </row>
    <row r="2231" spans="1:9" ht="15.6" x14ac:dyDescent="0.3">
      <c r="A2231" s="9">
        <v>2230</v>
      </c>
      <c r="B2231" s="2" t="s">
        <v>2236</v>
      </c>
      <c r="C2231" s="11">
        <v>20</v>
      </c>
      <c r="D2231" s="12">
        <v>66.666666666666657</v>
      </c>
      <c r="E2231" s="12" t="s">
        <v>8220</v>
      </c>
      <c r="F2231" s="13">
        <v>6</v>
      </c>
      <c r="G2231" s="14">
        <v>1792.2199999999998</v>
      </c>
      <c r="H2231" t="s">
        <v>2596</v>
      </c>
      <c r="I2231">
        <v>6</v>
      </c>
    </row>
    <row r="2232" spans="1:9" ht="15.6" x14ac:dyDescent="0.3">
      <c r="A2232" s="9">
        <v>2231</v>
      </c>
      <c r="B2232" s="2" t="s">
        <v>2237</v>
      </c>
      <c r="C2232" s="11">
        <v>20</v>
      </c>
      <c r="D2232" s="12">
        <v>66.666666666666657</v>
      </c>
      <c r="E2232" s="12" t="s">
        <v>8220</v>
      </c>
      <c r="F2232" s="13">
        <v>6</v>
      </c>
      <c r="G2232" s="14">
        <v>1832.25</v>
      </c>
      <c r="H2232" t="s">
        <v>1572</v>
      </c>
      <c r="I2232">
        <v>6</v>
      </c>
    </row>
    <row r="2233" spans="1:9" ht="15.6" x14ac:dyDescent="0.3">
      <c r="A2233" s="9">
        <v>2232</v>
      </c>
      <c r="B2233" s="2" t="s">
        <v>2238</v>
      </c>
      <c r="C2233" s="11">
        <v>14</v>
      </c>
      <c r="D2233" s="12">
        <v>50</v>
      </c>
      <c r="E2233" s="12" t="s">
        <v>8219</v>
      </c>
      <c r="F2233" s="13">
        <v>6</v>
      </c>
      <c r="G2233" s="14">
        <v>1807.23</v>
      </c>
      <c r="H2233" t="s">
        <v>548</v>
      </c>
      <c r="I2233">
        <v>5</v>
      </c>
    </row>
    <row r="2234" spans="1:9" ht="15.6" x14ac:dyDescent="0.3">
      <c r="A2234" s="9">
        <v>2233</v>
      </c>
      <c r="B2234" s="2" t="s">
        <v>2239</v>
      </c>
      <c r="C2234" s="11">
        <v>22</v>
      </c>
      <c r="D2234" s="12">
        <v>50</v>
      </c>
      <c r="E2234" s="12" t="s">
        <v>8219</v>
      </c>
      <c r="F2234" s="13">
        <v>6</v>
      </c>
      <c r="G2234" s="14">
        <v>1856.2800000000002</v>
      </c>
      <c r="H2234" t="s">
        <v>3364</v>
      </c>
      <c r="I2234">
        <v>6</v>
      </c>
    </row>
    <row r="2235" spans="1:9" ht="15.6" x14ac:dyDescent="0.3">
      <c r="A2235" s="9">
        <v>2234</v>
      </c>
      <c r="B2235" s="2" t="s">
        <v>2240</v>
      </c>
      <c r="C2235" s="11">
        <v>20</v>
      </c>
      <c r="D2235" s="12">
        <v>66.666666666666657</v>
      </c>
      <c r="E2235" s="12" t="s">
        <v>8220</v>
      </c>
      <c r="F2235" s="13">
        <v>6</v>
      </c>
      <c r="G2235" s="14">
        <v>1832.25</v>
      </c>
      <c r="H2235" t="s">
        <v>2340</v>
      </c>
      <c r="I2235">
        <v>6</v>
      </c>
    </row>
    <row r="2236" spans="1:9" ht="15.6" x14ac:dyDescent="0.3">
      <c r="A2236" s="9">
        <v>2235</v>
      </c>
      <c r="B2236" s="2" t="s">
        <v>2241</v>
      </c>
      <c r="C2236" s="11">
        <v>20</v>
      </c>
      <c r="D2236" s="12">
        <v>66.666666666666657</v>
      </c>
      <c r="E2236" s="12" t="s">
        <v>8220</v>
      </c>
      <c r="F2236" s="13">
        <v>6</v>
      </c>
      <c r="G2236" s="14">
        <v>1872.2800000000002</v>
      </c>
      <c r="H2236" t="s">
        <v>1316</v>
      </c>
      <c r="I2236">
        <v>6</v>
      </c>
    </row>
    <row r="2237" spans="1:9" ht="15.6" x14ac:dyDescent="0.3">
      <c r="A2237" s="9">
        <v>2236</v>
      </c>
      <c r="B2237" s="2" t="s">
        <v>2242</v>
      </c>
      <c r="C2237" s="11">
        <v>14</v>
      </c>
      <c r="D2237" s="12">
        <v>50</v>
      </c>
      <c r="E2237" s="12" t="s">
        <v>8219</v>
      </c>
      <c r="F2237" s="13">
        <v>6</v>
      </c>
      <c r="G2237" s="14">
        <v>1847.2600000000002</v>
      </c>
      <c r="H2237" t="s">
        <v>292</v>
      </c>
      <c r="I2237">
        <v>5</v>
      </c>
    </row>
    <row r="2238" spans="1:9" ht="15.6" x14ac:dyDescent="0.3">
      <c r="A2238" s="9">
        <v>2237</v>
      </c>
      <c r="B2238" s="2" t="s">
        <v>2243</v>
      </c>
      <c r="C2238" s="11">
        <v>16</v>
      </c>
      <c r="D2238" s="12">
        <v>33.333333333333329</v>
      </c>
      <c r="E2238" s="12" t="s">
        <v>8219</v>
      </c>
      <c r="F2238" s="13">
        <v>6</v>
      </c>
      <c r="G2238" s="14">
        <v>1831.2600000000002</v>
      </c>
      <c r="H2238" t="s">
        <v>3108</v>
      </c>
      <c r="I2238">
        <v>5</v>
      </c>
    </row>
    <row r="2239" spans="1:9" ht="15.6" x14ac:dyDescent="0.3">
      <c r="A2239" s="9">
        <v>2238</v>
      </c>
      <c r="B2239" s="2" t="s">
        <v>2244</v>
      </c>
      <c r="C2239" s="11">
        <v>14</v>
      </c>
      <c r="D2239" s="12">
        <v>50</v>
      </c>
      <c r="E2239" s="12" t="s">
        <v>8219</v>
      </c>
      <c r="F2239" s="13">
        <v>6</v>
      </c>
      <c r="G2239" s="14">
        <v>1807.23</v>
      </c>
      <c r="H2239" t="s">
        <v>2084</v>
      </c>
      <c r="I2239">
        <v>5</v>
      </c>
    </row>
    <row r="2240" spans="1:9" ht="15.6" x14ac:dyDescent="0.3">
      <c r="A2240" s="9">
        <v>2239</v>
      </c>
      <c r="B2240" s="2" t="s">
        <v>2245</v>
      </c>
      <c r="C2240" s="11">
        <v>14</v>
      </c>
      <c r="D2240" s="12">
        <v>50</v>
      </c>
      <c r="E2240" s="12" t="s">
        <v>8219</v>
      </c>
      <c r="F2240" s="13">
        <v>6</v>
      </c>
      <c r="G2240" s="14">
        <v>1847.2600000000002</v>
      </c>
      <c r="H2240" t="s">
        <v>1060</v>
      </c>
      <c r="I2240">
        <v>5</v>
      </c>
    </row>
    <row r="2241" spans="1:9" ht="15.6" x14ac:dyDescent="0.3">
      <c r="A2241" s="9">
        <v>2240</v>
      </c>
      <c r="B2241" s="2" t="s">
        <v>2246</v>
      </c>
      <c r="C2241" s="11">
        <v>8</v>
      </c>
      <c r="D2241" s="12">
        <v>33.333333333333329</v>
      </c>
      <c r="E2241" s="12" t="s">
        <v>8219</v>
      </c>
      <c r="F2241" s="13">
        <v>6</v>
      </c>
      <c r="G2241" s="14">
        <v>1822.2400000000002</v>
      </c>
      <c r="H2241" t="s">
        <v>36</v>
      </c>
      <c r="I2241">
        <v>4</v>
      </c>
    </row>
    <row r="2242" spans="1:9" ht="15.6" x14ac:dyDescent="0.3">
      <c r="A2242" s="9">
        <v>2241</v>
      </c>
      <c r="B2242" s="2" t="s">
        <v>2247</v>
      </c>
      <c r="C2242" s="11">
        <v>26</v>
      </c>
      <c r="D2242" s="12">
        <v>16.666666666666664</v>
      </c>
      <c r="E2242" s="12" t="s">
        <v>8219</v>
      </c>
      <c r="F2242" s="13">
        <v>6</v>
      </c>
      <c r="G2242" s="14">
        <v>1824.2799999999997</v>
      </c>
      <c r="H2242" t="s">
        <v>4052</v>
      </c>
      <c r="I2242">
        <v>7</v>
      </c>
    </row>
    <row r="2243" spans="1:9" ht="15.6" x14ac:dyDescent="0.3">
      <c r="A2243" s="9">
        <v>2242</v>
      </c>
      <c r="B2243" s="2" t="s">
        <v>2248</v>
      </c>
      <c r="C2243" s="11">
        <v>24</v>
      </c>
      <c r="D2243" s="12">
        <v>33.333333333333329</v>
      </c>
      <c r="E2243" s="12" t="s">
        <v>8219</v>
      </c>
      <c r="F2243" s="13">
        <v>6</v>
      </c>
      <c r="G2243" s="14">
        <v>1800.25</v>
      </c>
      <c r="H2243" t="s">
        <v>3028</v>
      </c>
      <c r="I2243">
        <v>6</v>
      </c>
    </row>
    <row r="2244" spans="1:9" ht="15.6" x14ac:dyDescent="0.3">
      <c r="A2244" s="9">
        <v>2243</v>
      </c>
      <c r="B2244" s="2" t="s">
        <v>2249</v>
      </c>
      <c r="C2244" s="11">
        <v>24</v>
      </c>
      <c r="D2244" s="12">
        <v>33.333333333333329</v>
      </c>
      <c r="E2244" s="12" t="s">
        <v>8219</v>
      </c>
      <c r="F2244" s="13">
        <v>6</v>
      </c>
      <c r="G2244" s="14">
        <v>1840.2800000000002</v>
      </c>
      <c r="H2244" t="s">
        <v>2004</v>
      </c>
      <c r="I2244">
        <v>6</v>
      </c>
    </row>
    <row r="2245" spans="1:9" ht="15.6" x14ac:dyDescent="0.3">
      <c r="A2245" s="9">
        <v>2244</v>
      </c>
      <c r="B2245" s="2" t="s">
        <v>2250</v>
      </c>
      <c r="C2245" s="11">
        <v>18</v>
      </c>
      <c r="D2245" s="12">
        <v>16.666666666666664</v>
      </c>
      <c r="E2245" s="12" t="s">
        <v>8219</v>
      </c>
      <c r="F2245" s="13">
        <v>6</v>
      </c>
      <c r="G2245" s="14">
        <v>1815.2599999999998</v>
      </c>
      <c r="H2245" t="s">
        <v>980</v>
      </c>
      <c r="I2245">
        <v>5</v>
      </c>
    </row>
    <row r="2246" spans="1:9" ht="15.6" x14ac:dyDescent="0.3">
      <c r="A2246" s="9">
        <v>2245</v>
      </c>
      <c r="B2246" s="2" t="s">
        <v>2251</v>
      </c>
      <c r="C2246" s="11">
        <v>24</v>
      </c>
      <c r="D2246" s="12">
        <v>33.333333333333329</v>
      </c>
      <c r="E2246" s="12" t="s">
        <v>8219</v>
      </c>
      <c r="F2246" s="13">
        <v>6</v>
      </c>
      <c r="G2246" s="14">
        <v>1800.25</v>
      </c>
      <c r="H2246" t="s">
        <v>3796</v>
      </c>
      <c r="I2246">
        <v>6</v>
      </c>
    </row>
    <row r="2247" spans="1:9" ht="15.6" x14ac:dyDescent="0.3">
      <c r="A2247" s="9">
        <v>2246</v>
      </c>
      <c r="B2247" s="2" t="s">
        <v>2252</v>
      </c>
      <c r="C2247" s="11">
        <v>22</v>
      </c>
      <c r="D2247" s="12">
        <v>50</v>
      </c>
      <c r="E2247" s="12" t="s">
        <v>8219</v>
      </c>
      <c r="F2247" s="13">
        <v>6</v>
      </c>
      <c r="G2247" s="14">
        <v>1776.2199999999998</v>
      </c>
      <c r="H2247" t="s">
        <v>2772</v>
      </c>
      <c r="I2247">
        <v>6</v>
      </c>
    </row>
    <row r="2248" spans="1:9" ht="15.6" x14ac:dyDescent="0.3">
      <c r="A2248" s="9">
        <v>2247</v>
      </c>
      <c r="B2248" s="2" t="s">
        <v>2253</v>
      </c>
      <c r="C2248" s="11">
        <v>22</v>
      </c>
      <c r="D2248" s="12">
        <v>50</v>
      </c>
      <c r="E2248" s="12" t="s">
        <v>8219</v>
      </c>
      <c r="F2248" s="13">
        <v>6</v>
      </c>
      <c r="G2248" s="14">
        <v>1816.25</v>
      </c>
      <c r="H2248" t="s">
        <v>1748</v>
      </c>
      <c r="I2248">
        <v>6</v>
      </c>
    </row>
    <row r="2249" spans="1:9" ht="15.6" x14ac:dyDescent="0.3">
      <c r="A2249" s="9">
        <v>2248</v>
      </c>
      <c r="B2249" s="2" t="s">
        <v>2254</v>
      </c>
      <c r="C2249" s="11">
        <v>16</v>
      </c>
      <c r="D2249" s="12">
        <v>33.333333333333329</v>
      </c>
      <c r="E2249" s="12" t="s">
        <v>8219</v>
      </c>
      <c r="F2249" s="13">
        <v>6</v>
      </c>
      <c r="G2249" s="14">
        <v>1791.23</v>
      </c>
      <c r="H2249" t="s">
        <v>724</v>
      </c>
      <c r="I2249">
        <v>5</v>
      </c>
    </row>
    <row r="2250" spans="1:9" ht="15.6" x14ac:dyDescent="0.3">
      <c r="A2250" s="9">
        <v>2249</v>
      </c>
      <c r="B2250" s="2" t="s">
        <v>2255</v>
      </c>
      <c r="C2250" s="11">
        <v>24</v>
      </c>
      <c r="D2250" s="12">
        <v>33.333333333333329</v>
      </c>
      <c r="E2250" s="12" t="s">
        <v>8219</v>
      </c>
      <c r="F2250" s="13">
        <v>6</v>
      </c>
      <c r="G2250" s="14">
        <v>1840.2800000000002</v>
      </c>
      <c r="H2250" t="s">
        <v>3540</v>
      </c>
      <c r="I2250">
        <v>6</v>
      </c>
    </row>
    <row r="2251" spans="1:9" ht="15.6" x14ac:dyDescent="0.3">
      <c r="A2251" s="9">
        <v>2250</v>
      </c>
      <c r="B2251" s="2" t="s">
        <v>2256</v>
      </c>
      <c r="C2251" s="11">
        <v>22</v>
      </c>
      <c r="D2251" s="12">
        <v>50</v>
      </c>
      <c r="E2251" s="12" t="s">
        <v>8219</v>
      </c>
      <c r="F2251" s="13">
        <v>6</v>
      </c>
      <c r="G2251" s="14">
        <v>1816.25</v>
      </c>
      <c r="H2251" t="s">
        <v>2516</v>
      </c>
      <c r="I2251">
        <v>6</v>
      </c>
    </row>
    <row r="2252" spans="1:9" ht="15.6" x14ac:dyDescent="0.3">
      <c r="A2252" s="9">
        <v>2251</v>
      </c>
      <c r="B2252" s="2" t="s">
        <v>2257</v>
      </c>
      <c r="C2252" s="11">
        <v>22</v>
      </c>
      <c r="D2252" s="12">
        <v>50</v>
      </c>
      <c r="E2252" s="12" t="s">
        <v>8219</v>
      </c>
      <c r="F2252" s="13">
        <v>6</v>
      </c>
      <c r="G2252" s="14">
        <v>1856.2800000000002</v>
      </c>
      <c r="H2252" t="s">
        <v>1492</v>
      </c>
      <c r="I2252">
        <v>6</v>
      </c>
    </row>
    <row r="2253" spans="1:9" ht="15.6" x14ac:dyDescent="0.3">
      <c r="A2253" s="9">
        <v>2252</v>
      </c>
      <c r="B2253" s="2" t="s">
        <v>2258</v>
      </c>
      <c r="C2253" s="11">
        <v>16</v>
      </c>
      <c r="D2253" s="12">
        <v>33.333333333333329</v>
      </c>
      <c r="E2253" s="12" t="s">
        <v>8219</v>
      </c>
      <c r="F2253" s="13">
        <v>6</v>
      </c>
      <c r="G2253" s="14">
        <v>1831.2600000000002</v>
      </c>
      <c r="H2253" t="s">
        <v>468</v>
      </c>
      <c r="I2253">
        <v>5</v>
      </c>
    </row>
    <row r="2254" spans="1:9" ht="15.6" x14ac:dyDescent="0.3">
      <c r="A2254" s="9">
        <v>2253</v>
      </c>
      <c r="B2254" s="2" t="s">
        <v>2259</v>
      </c>
      <c r="C2254" s="11">
        <v>18</v>
      </c>
      <c r="D2254" s="12">
        <v>16.666666666666664</v>
      </c>
      <c r="E2254" s="12" t="s">
        <v>8219</v>
      </c>
      <c r="F2254" s="13">
        <v>6</v>
      </c>
      <c r="G2254" s="14">
        <v>1815.2599999999998</v>
      </c>
      <c r="H2254" t="s">
        <v>3284</v>
      </c>
      <c r="I2254">
        <v>5</v>
      </c>
    </row>
    <row r="2255" spans="1:9" ht="15.6" x14ac:dyDescent="0.3">
      <c r="A2255" s="9">
        <v>2254</v>
      </c>
      <c r="B2255" s="2" t="s">
        <v>2260</v>
      </c>
      <c r="C2255" s="11">
        <v>16</v>
      </c>
      <c r="D2255" s="12">
        <v>33.333333333333329</v>
      </c>
      <c r="E2255" s="12" t="s">
        <v>8219</v>
      </c>
      <c r="F2255" s="13">
        <v>6</v>
      </c>
      <c r="G2255" s="14">
        <v>1791.23</v>
      </c>
      <c r="H2255" t="s">
        <v>2260</v>
      </c>
      <c r="I2255">
        <v>5</v>
      </c>
    </row>
    <row r="2256" spans="1:9" ht="15.6" x14ac:dyDescent="0.3">
      <c r="A2256" s="9">
        <v>2255</v>
      </c>
      <c r="B2256" s="2" t="s">
        <v>2261</v>
      </c>
      <c r="C2256" s="11">
        <v>16</v>
      </c>
      <c r="D2256" s="12">
        <v>33.333333333333329</v>
      </c>
      <c r="E2256" s="12" t="s">
        <v>8219</v>
      </c>
      <c r="F2256" s="13">
        <v>6</v>
      </c>
      <c r="G2256" s="14">
        <v>1831.2600000000002</v>
      </c>
      <c r="H2256" t="s">
        <v>1236</v>
      </c>
      <c r="I2256">
        <v>5</v>
      </c>
    </row>
    <row r="2257" spans="1:9" ht="15.6" x14ac:dyDescent="0.3">
      <c r="A2257" s="9">
        <v>2256</v>
      </c>
      <c r="B2257" s="2" t="s">
        <v>2262</v>
      </c>
      <c r="C2257" s="11">
        <v>10</v>
      </c>
      <c r="D2257" s="12">
        <v>16.666666666666664</v>
      </c>
      <c r="E2257" s="12" t="s">
        <v>8219</v>
      </c>
      <c r="F2257" s="13">
        <v>6</v>
      </c>
      <c r="G2257" s="14">
        <v>1806.2399999999998</v>
      </c>
      <c r="H2257" t="s">
        <v>212</v>
      </c>
      <c r="I2257">
        <v>4</v>
      </c>
    </row>
    <row r="2258" spans="1:9" ht="15.6" x14ac:dyDescent="0.3">
      <c r="A2258" s="9">
        <v>2257</v>
      </c>
      <c r="B2258" s="2" t="s">
        <v>2263</v>
      </c>
      <c r="C2258" s="11">
        <v>24</v>
      </c>
      <c r="D2258" s="12">
        <v>33.333333333333329</v>
      </c>
      <c r="E2258" s="12" t="s">
        <v>8219</v>
      </c>
      <c r="F2258" s="13">
        <v>6</v>
      </c>
      <c r="G2258" s="14">
        <v>1800.25</v>
      </c>
      <c r="H2258" t="s">
        <v>3988</v>
      </c>
      <c r="I2258">
        <v>6</v>
      </c>
    </row>
    <row r="2259" spans="1:9" ht="15.6" x14ac:dyDescent="0.3">
      <c r="A2259" s="9">
        <v>2258</v>
      </c>
      <c r="B2259" s="2" t="s">
        <v>2264</v>
      </c>
      <c r="C2259" s="11">
        <v>22</v>
      </c>
      <c r="D2259" s="12">
        <v>50</v>
      </c>
      <c r="E2259" s="12" t="s">
        <v>8219</v>
      </c>
      <c r="F2259" s="13">
        <v>6</v>
      </c>
      <c r="G2259" s="14">
        <v>1776.2199999999998</v>
      </c>
      <c r="H2259" t="s">
        <v>2964</v>
      </c>
      <c r="I2259">
        <v>6</v>
      </c>
    </row>
    <row r="2260" spans="1:9" ht="15.6" x14ac:dyDescent="0.3">
      <c r="A2260" s="9">
        <v>2259</v>
      </c>
      <c r="B2260" s="2" t="s">
        <v>2265</v>
      </c>
      <c r="C2260" s="11">
        <v>22</v>
      </c>
      <c r="D2260" s="12">
        <v>50</v>
      </c>
      <c r="E2260" s="12" t="s">
        <v>8219</v>
      </c>
      <c r="F2260" s="13">
        <v>6</v>
      </c>
      <c r="G2260" s="14">
        <v>1816.25</v>
      </c>
      <c r="H2260" t="s">
        <v>1940</v>
      </c>
      <c r="I2260">
        <v>6</v>
      </c>
    </row>
    <row r="2261" spans="1:9" ht="15.6" x14ac:dyDescent="0.3">
      <c r="A2261" s="9">
        <v>2260</v>
      </c>
      <c r="B2261" s="2" t="s">
        <v>2266</v>
      </c>
      <c r="C2261" s="11">
        <v>16</v>
      </c>
      <c r="D2261" s="12">
        <v>33.333333333333329</v>
      </c>
      <c r="E2261" s="12" t="s">
        <v>8219</v>
      </c>
      <c r="F2261" s="13">
        <v>6</v>
      </c>
      <c r="G2261" s="14">
        <v>1791.23</v>
      </c>
      <c r="H2261" t="s">
        <v>916</v>
      </c>
      <c r="I2261">
        <v>5</v>
      </c>
    </row>
    <row r="2262" spans="1:9" ht="15.6" x14ac:dyDescent="0.3">
      <c r="A2262" s="9">
        <v>2261</v>
      </c>
      <c r="B2262" s="2" t="s">
        <v>2267</v>
      </c>
      <c r="C2262" s="11">
        <v>22</v>
      </c>
      <c r="D2262" s="12">
        <v>50</v>
      </c>
      <c r="E2262" s="12" t="s">
        <v>8219</v>
      </c>
      <c r="F2262" s="13">
        <v>6</v>
      </c>
      <c r="G2262" s="14">
        <v>1776.2199999999998</v>
      </c>
      <c r="H2262" t="s">
        <v>3732</v>
      </c>
      <c r="I2262">
        <v>6</v>
      </c>
    </row>
    <row r="2263" spans="1:9" ht="15.6" x14ac:dyDescent="0.3">
      <c r="A2263" s="9">
        <v>2262</v>
      </c>
      <c r="B2263" s="2" t="s">
        <v>2268</v>
      </c>
      <c r="C2263" s="11">
        <v>20</v>
      </c>
      <c r="D2263" s="12">
        <v>66.666666666666657</v>
      </c>
      <c r="E2263" s="12" t="s">
        <v>8220</v>
      </c>
      <c r="F2263" s="13">
        <v>6</v>
      </c>
      <c r="G2263" s="14">
        <v>1752.19</v>
      </c>
      <c r="H2263" t="s">
        <v>2708</v>
      </c>
      <c r="I2263">
        <v>6</v>
      </c>
    </row>
    <row r="2264" spans="1:9" ht="15.6" x14ac:dyDescent="0.3">
      <c r="A2264" s="9">
        <v>2263</v>
      </c>
      <c r="B2264" s="2" t="s">
        <v>2269</v>
      </c>
      <c r="C2264" s="11">
        <v>20</v>
      </c>
      <c r="D2264" s="12">
        <v>66.666666666666657</v>
      </c>
      <c r="E2264" s="12" t="s">
        <v>8220</v>
      </c>
      <c r="F2264" s="13">
        <v>6</v>
      </c>
      <c r="G2264" s="14">
        <v>1792.2199999999998</v>
      </c>
      <c r="H2264" t="s">
        <v>1684</v>
      </c>
      <c r="I2264">
        <v>6</v>
      </c>
    </row>
    <row r="2265" spans="1:9" ht="15.6" x14ac:dyDescent="0.3">
      <c r="A2265" s="9">
        <v>2264</v>
      </c>
      <c r="B2265" s="2" t="s">
        <v>2270</v>
      </c>
      <c r="C2265" s="11">
        <v>14</v>
      </c>
      <c r="D2265" s="12">
        <v>50</v>
      </c>
      <c r="E2265" s="12" t="s">
        <v>8219</v>
      </c>
      <c r="F2265" s="13">
        <v>6</v>
      </c>
      <c r="G2265" s="14">
        <v>1767.1999999999998</v>
      </c>
      <c r="H2265" t="s">
        <v>660</v>
      </c>
      <c r="I2265">
        <v>5</v>
      </c>
    </row>
    <row r="2266" spans="1:9" ht="15.6" x14ac:dyDescent="0.3">
      <c r="A2266" s="9">
        <v>2265</v>
      </c>
      <c r="B2266" s="2" t="s">
        <v>2271</v>
      </c>
      <c r="C2266" s="11">
        <v>22</v>
      </c>
      <c r="D2266" s="12">
        <v>50</v>
      </c>
      <c r="E2266" s="12" t="s">
        <v>8219</v>
      </c>
      <c r="F2266" s="13">
        <v>6</v>
      </c>
      <c r="G2266" s="14">
        <v>1816.25</v>
      </c>
      <c r="H2266" t="s">
        <v>3476</v>
      </c>
      <c r="I2266">
        <v>6</v>
      </c>
    </row>
    <row r="2267" spans="1:9" ht="15.6" x14ac:dyDescent="0.3">
      <c r="A2267" s="9">
        <v>2266</v>
      </c>
      <c r="B2267" s="2" t="s">
        <v>2272</v>
      </c>
      <c r="C2267" s="11">
        <v>20</v>
      </c>
      <c r="D2267" s="12">
        <v>66.666666666666657</v>
      </c>
      <c r="E2267" s="12" t="s">
        <v>8220</v>
      </c>
      <c r="F2267" s="13">
        <v>6</v>
      </c>
      <c r="G2267" s="14">
        <v>1792.2199999999998</v>
      </c>
      <c r="H2267" t="s">
        <v>2452</v>
      </c>
      <c r="I2267">
        <v>6</v>
      </c>
    </row>
    <row r="2268" spans="1:9" ht="15.6" x14ac:dyDescent="0.3">
      <c r="A2268" s="9">
        <v>2267</v>
      </c>
      <c r="B2268" s="2" t="s">
        <v>2273</v>
      </c>
      <c r="C2268" s="11">
        <v>20</v>
      </c>
      <c r="D2268" s="12">
        <v>66.666666666666657</v>
      </c>
      <c r="E2268" s="12" t="s">
        <v>8220</v>
      </c>
      <c r="F2268" s="13">
        <v>6</v>
      </c>
      <c r="G2268" s="14">
        <v>1832.25</v>
      </c>
      <c r="H2268" t="s">
        <v>1428</v>
      </c>
      <c r="I2268">
        <v>6</v>
      </c>
    </row>
    <row r="2269" spans="1:9" ht="15.6" x14ac:dyDescent="0.3">
      <c r="A2269" s="9">
        <v>2268</v>
      </c>
      <c r="B2269" s="2" t="s">
        <v>2274</v>
      </c>
      <c r="C2269" s="11">
        <v>14</v>
      </c>
      <c r="D2269" s="12">
        <v>50</v>
      </c>
      <c r="E2269" s="12" t="s">
        <v>8219</v>
      </c>
      <c r="F2269" s="13">
        <v>6</v>
      </c>
      <c r="G2269" s="14">
        <v>1807.23</v>
      </c>
      <c r="H2269" t="s">
        <v>404</v>
      </c>
      <c r="I2269">
        <v>5</v>
      </c>
    </row>
    <row r="2270" spans="1:9" ht="15.6" x14ac:dyDescent="0.3">
      <c r="A2270" s="9">
        <v>2269</v>
      </c>
      <c r="B2270" s="2" t="s">
        <v>2275</v>
      </c>
      <c r="C2270" s="11">
        <v>16</v>
      </c>
      <c r="D2270" s="12">
        <v>33.333333333333329</v>
      </c>
      <c r="E2270" s="12" t="s">
        <v>8219</v>
      </c>
      <c r="F2270" s="13">
        <v>6</v>
      </c>
      <c r="G2270" s="14">
        <v>1791.23</v>
      </c>
      <c r="H2270" t="s">
        <v>3220</v>
      </c>
      <c r="I2270">
        <v>5</v>
      </c>
    </row>
    <row r="2271" spans="1:9" ht="15.6" x14ac:dyDescent="0.3">
      <c r="A2271" s="9">
        <v>2270</v>
      </c>
      <c r="B2271" s="2" t="s">
        <v>2276</v>
      </c>
      <c r="C2271" s="11">
        <v>14</v>
      </c>
      <c r="D2271" s="12">
        <v>50</v>
      </c>
      <c r="E2271" s="12" t="s">
        <v>8219</v>
      </c>
      <c r="F2271" s="13">
        <v>6</v>
      </c>
      <c r="G2271" s="14">
        <v>1767.1999999999998</v>
      </c>
      <c r="H2271" t="s">
        <v>2196</v>
      </c>
      <c r="I2271">
        <v>5</v>
      </c>
    </row>
    <row r="2272" spans="1:9" ht="15.6" x14ac:dyDescent="0.3">
      <c r="A2272" s="9">
        <v>2271</v>
      </c>
      <c r="B2272" s="2" t="s">
        <v>2277</v>
      </c>
      <c r="C2272" s="11">
        <v>14</v>
      </c>
      <c r="D2272" s="12">
        <v>50</v>
      </c>
      <c r="E2272" s="12" t="s">
        <v>8219</v>
      </c>
      <c r="F2272" s="13">
        <v>6</v>
      </c>
      <c r="G2272" s="14">
        <v>1807.23</v>
      </c>
      <c r="H2272" t="s">
        <v>1172</v>
      </c>
      <c r="I2272">
        <v>5</v>
      </c>
    </row>
    <row r="2273" spans="1:9" ht="15.6" x14ac:dyDescent="0.3">
      <c r="A2273" s="9">
        <v>2272</v>
      </c>
      <c r="B2273" s="2" t="s">
        <v>2278</v>
      </c>
      <c r="C2273" s="11">
        <v>8</v>
      </c>
      <c r="D2273" s="12">
        <v>33.333333333333329</v>
      </c>
      <c r="E2273" s="12" t="s">
        <v>8219</v>
      </c>
      <c r="F2273" s="13">
        <v>6</v>
      </c>
      <c r="G2273" s="14">
        <v>1782.21</v>
      </c>
      <c r="H2273" t="s">
        <v>148</v>
      </c>
      <c r="I2273">
        <v>4</v>
      </c>
    </row>
    <row r="2274" spans="1:9" ht="15.6" x14ac:dyDescent="0.3">
      <c r="A2274" s="9">
        <v>2273</v>
      </c>
      <c r="B2274" s="2" t="s">
        <v>2279</v>
      </c>
      <c r="C2274" s="11">
        <v>24</v>
      </c>
      <c r="D2274" s="12">
        <v>33.333333333333329</v>
      </c>
      <c r="E2274" s="12" t="s">
        <v>8219</v>
      </c>
      <c r="F2274" s="13">
        <v>6</v>
      </c>
      <c r="G2274" s="14">
        <v>1840.2800000000002</v>
      </c>
      <c r="H2274" t="s">
        <v>3924</v>
      </c>
      <c r="I2274">
        <v>6</v>
      </c>
    </row>
    <row r="2275" spans="1:9" ht="15.6" x14ac:dyDescent="0.3">
      <c r="A2275" s="9">
        <v>2274</v>
      </c>
      <c r="B2275" s="2" t="s">
        <v>2280</v>
      </c>
      <c r="C2275" s="11">
        <v>22</v>
      </c>
      <c r="D2275" s="12">
        <v>50</v>
      </c>
      <c r="E2275" s="12" t="s">
        <v>8219</v>
      </c>
      <c r="F2275" s="13">
        <v>6</v>
      </c>
      <c r="G2275" s="14">
        <v>1816.25</v>
      </c>
      <c r="H2275" t="s">
        <v>2900</v>
      </c>
      <c r="I2275">
        <v>6</v>
      </c>
    </row>
    <row r="2276" spans="1:9" ht="15.6" x14ac:dyDescent="0.3">
      <c r="A2276" s="9">
        <v>2275</v>
      </c>
      <c r="B2276" s="2" t="s">
        <v>2281</v>
      </c>
      <c r="C2276" s="11">
        <v>22</v>
      </c>
      <c r="D2276" s="12">
        <v>50</v>
      </c>
      <c r="E2276" s="12" t="s">
        <v>8219</v>
      </c>
      <c r="F2276" s="13">
        <v>6</v>
      </c>
      <c r="G2276" s="14">
        <v>1856.2800000000002</v>
      </c>
      <c r="H2276" t="s">
        <v>1876</v>
      </c>
      <c r="I2276">
        <v>6</v>
      </c>
    </row>
    <row r="2277" spans="1:9" ht="15.6" x14ac:dyDescent="0.3">
      <c r="A2277" s="9">
        <v>2276</v>
      </c>
      <c r="B2277" s="2" t="s">
        <v>2282</v>
      </c>
      <c r="C2277" s="11">
        <v>16</v>
      </c>
      <c r="D2277" s="12">
        <v>33.333333333333329</v>
      </c>
      <c r="E2277" s="12" t="s">
        <v>8219</v>
      </c>
      <c r="F2277" s="13">
        <v>6</v>
      </c>
      <c r="G2277" s="14">
        <v>1831.2600000000002</v>
      </c>
      <c r="H2277" t="s">
        <v>852</v>
      </c>
      <c r="I2277">
        <v>5</v>
      </c>
    </row>
    <row r="2278" spans="1:9" ht="15.6" x14ac:dyDescent="0.3">
      <c r="A2278" s="9">
        <v>2277</v>
      </c>
      <c r="B2278" s="2" t="s">
        <v>2283</v>
      </c>
      <c r="C2278" s="11">
        <v>22</v>
      </c>
      <c r="D2278" s="12">
        <v>50</v>
      </c>
      <c r="E2278" s="12" t="s">
        <v>8219</v>
      </c>
      <c r="F2278" s="13">
        <v>6</v>
      </c>
      <c r="G2278" s="14">
        <v>1816.25</v>
      </c>
      <c r="H2278" t="s">
        <v>3668</v>
      </c>
      <c r="I2278">
        <v>6</v>
      </c>
    </row>
    <row r="2279" spans="1:9" ht="15.6" x14ac:dyDescent="0.3">
      <c r="A2279" s="9">
        <v>2278</v>
      </c>
      <c r="B2279" s="2" t="s">
        <v>2284</v>
      </c>
      <c r="C2279" s="11">
        <v>20</v>
      </c>
      <c r="D2279" s="12">
        <v>66.666666666666657</v>
      </c>
      <c r="E2279" s="12" t="s">
        <v>8220</v>
      </c>
      <c r="F2279" s="13">
        <v>6</v>
      </c>
      <c r="G2279" s="14">
        <v>1792.2199999999998</v>
      </c>
      <c r="H2279" t="s">
        <v>2644</v>
      </c>
      <c r="I2279">
        <v>6</v>
      </c>
    </row>
    <row r="2280" spans="1:9" ht="15.6" x14ac:dyDescent="0.3">
      <c r="A2280" s="9">
        <v>2279</v>
      </c>
      <c r="B2280" s="2" t="s">
        <v>2285</v>
      </c>
      <c r="C2280" s="11">
        <v>20</v>
      </c>
      <c r="D2280" s="12">
        <v>66.666666666666657</v>
      </c>
      <c r="E2280" s="12" t="s">
        <v>8220</v>
      </c>
      <c r="F2280" s="13">
        <v>6</v>
      </c>
      <c r="G2280" s="14">
        <v>1832.25</v>
      </c>
      <c r="H2280" t="s">
        <v>1620</v>
      </c>
      <c r="I2280">
        <v>6</v>
      </c>
    </row>
    <row r="2281" spans="1:9" ht="15.6" x14ac:dyDescent="0.3">
      <c r="A2281" s="9">
        <v>2280</v>
      </c>
      <c r="B2281" s="2" t="s">
        <v>2286</v>
      </c>
      <c r="C2281" s="11">
        <v>14</v>
      </c>
      <c r="D2281" s="12">
        <v>50</v>
      </c>
      <c r="E2281" s="12" t="s">
        <v>8219</v>
      </c>
      <c r="F2281" s="13">
        <v>6</v>
      </c>
      <c r="G2281" s="14">
        <v>1807.23</v>
      </c>
      <c r="H2281" t="s">
        <v>596</v>
      </c>
      <c r="I2281">
        <v>5</v>
      </c>
    </row>
    <row r="2282" spans="1:9" ht="15.6" x14ac:dyDescent="0.3">
      <c r="A2282" s="9">
        <v>2281</v>
      </c>
      <c r="B2282" s="2" t="s">
        <v>2287</v>
      </c>
      <c r="C2282" s="11">
        <v>22</v>
      </c>
      <c r="D2282" s="12">
        <v>50</v>
      </c>
      <c r="E2282" s="12" t="s">
        <v>8219</v>
      </c>
      <c r="F2282" s="13">
        <v>6</v>
      </c>
      <c r="G2282" s="14">
        <v>1856.2800000000002</v>
      </c>
      <c r="H2282" t="s">
        <v>3412</v>
      </c>
      <c r="I2282">
        <v>6</v>
      </c>
    </row>
    <row r="2283" spans="1:9" ht="15.6" x14ac:dyDescent="0.3">
      <c r="A2283" s="9">
        <v>2282</v>
      </c>
      <c r="B2283" s="2" t="s">
        <v>2288</v>
      </c>
      <c r="C2283" s="11">
        <v>20</v>
      </c>
      <c r="D2283" s="12">
        <v>66.666666666666657</v>
      </c>
      <c r="E2283" s="12" t="s">
        <v>8220</v>
      </c>
      <c r="F2283" s="13">
        <v>6</v>
      </c>
      <c r="G2283" s="14">
        <v>1832.25</v>
      </c>
      <c r="H2283" t="s">
        <v>2388</v>
      </c>
      <c r="I2283">
        <v>6</v>
      </c>
    </row>
    <row r="2284" spans="1:9" ht="15.6" x14ac:dyDescent="0.3">
      <c r="A2284" s="9">
        <v>2283</v>
      </c>
      <c r="B2284" s="2" t="s">
        <v>2289</v>
      </c>
      <c r="C2284" s="11">
        <v>20</v>
      </c>
      <c r="D2284" s="12">
        <v>66.666666666666657</v>
      </c>
      <c r="E2284" s="12" t="s">
        <v>8220</v>
      </c>
      <c r="F2284" s="13">
        <v>6</v>
      </c>
      <c r="G2284" s="14">
        <v>1872.2800000000002</v>
      </c>
      <c r="H2284" t="s">
        <v>1364</v>
      </c>
      <c r="I2284">
        <v>6</v>
      </c>
    </row>
    <row r="2285" spans="1:9" ht="15.6" x14ac:dyDescent="0.3">
      <c r="A2285" s="9">
        <v>2284</v>
      </c>
      <c r="B2285" s="2" t="s">
        <v>2290</v>
      </c>
      <c r="C2285" s="11">
        <v>14</v>
      </c>
      <c r="D2285" s="12">
        <v>50</v>
      </c>
      <c r="E2285" s="12" t="s">
        <v>8219</v>
      </c>
      <c r="F2285" s="13">
        <v>6</v>
      </c>
      <c r="G2285" s="14">
        <v>1847.2600000000002</v>
      </c>
      <c r="H2285" t="s">
        <v>340</v>
      </c>
      <c r="I2285">
        <v>5</v>
      </c>
    </row>
    <row r="2286" spans="1:9" ht="15.6" x14ac:dyDescent="0.3">
      <c r="A2286" s="9">
        <v>2285</v>
      </c>
      <c r="B2286" s="2" t="s">
        <v>2291</v>
      </c>
      <c r="C2286" s="11">
        <v>16</v>
      </c>
      <c r="D2286" s="12">
        <v>33.333333333333329</v>
      </c>
      <c r="E2286" s="12" t="s">
        <v>8219</v>
      </c>
      <c r="F2286" s="13">
        <v>6</v>
      </c>
      <c r="G2286" s="14">
        <v>1831.2600000000002</v>
      </c>
      <c r="H2286" t="s">
        <v>3156</v>
      </c>
      <c r="I2286">
        <v>5</v>
      </c>
    </row>
    <row r="2287" spans="1:9" ht="15.6" x14ac:dyDescent="0.3">
      <c r="A2287" s="9">
        <v>2286</v>
      </c>
      <c r="B2287" s="2" t="s">
        <v>2292</v>
      </c>
      <c r="C2287" s="11">
        <v>14</v>
      </c>
      <c r="D2287" s="12">
        <v>50</v>
      </c>
      <c r="E2287" s="12" t="s">
        <v>8219</v>
      </c>
      <c r="F2287" s="13">
        <v>6</v>
      </c>
      <c r="G2287" s="14">
        <v>1807.23</v>
      </c>
      <c r="H2287" t="s">
        <v>2132</v>
      </c>
      <c r="I2287">
        <v>5</v>
      </c>
    </row>
    <row r="2288" spans="1:9" ht="15.6" x14ac:dyDescent="0.3">
      <c r="A2288" s="9">
        <v>2287</v>
      </c>
      <c r="B2288" s="2" t="s">
        <v>2293</v>
      </c>
      <c r="C2288" s="11">
        <v>14</v>
      </c>
      <c r="D2288" s="12">
        <v>50</v>
      </c>
      <c r="E2288" s="12" t="s">
        <v>8219</v>
      </c>
      <c r="F2288" s="13">
        <v>6</v>
      </c>
      <c r="G2288" s="14">
        <v>1847.2600000000002</v>
      </c>
      <c r="H2288" t="s">
        <v>1108</v>
      </c>
      <c r="I2288">
        <v>5</v>
      </c>
    </row>
    <row r="2289" spans="1:9" ht="15.6" x14ac:dyDescent="0.3">
      <c r="A2289" s="9">
        <v>2288</v>
      </c>
      <c r="B2289" s="2" t="s">
        <v>2294</v>
      </c>
      <c r="C2289" s="11">
        <v>8</v>
      </c>
      <c r="D2289" s="12">
        <v>33.333333333333329</v>
      </c>
      <c r="E2289" s="12" t="s">
        <v>8219</v>
      </c>
      <c r="F2289" s="13">
        <v>6</v>
      </c>
      <c r="G2289" s="14">
        <v>1822.2400000000002</v>
      </c>
      <c r="H2289" t="s">
        <v>84</v>
      </c>
      <c r="I2289">
        <v>4</v>
      </c>
    </row>
    <row r="2290" spans="1:9" ht="15.6" x14ac:dyDescent="0.3">
      <c r="A2290" s="9">
        <v>2289</v>
      </c>
      <c r="B2290" s="2" t="s">
        <v>2295</v>
      </c>
      <c r="C2290" s="11">
        <v>18</v>
      </c>
      <c r="D2290" s="12">
        <v>16.666666666666664</v>
      </c>
      <c r="E2290" s="12" t="s">
        <v>8219</v>
      </c>
      <c r="F2290" s="13">
        <v>6</v>
      </c>
      <c r="G2290" s="14">
        <v>1815.2599999999998</v>
      </c>
      <c r="H2290" t="s">
        <v>3860</v>
      </c>
      <c r="I2290">
        <v>5</v>
      </c>
    </row>
    <row r="2291" spans="1:9" ht="15.6" x14ac:dyDescent="0.3">
      <c r="A2291" s="9">
        <v>2290</v>
      </c>
      <c r="B2291" s="2" t="s">
        <v>2296</v>
      </c>
      <c r="C2291" s="11">
        <v>16</v>
      </c>
      <c r="D2291" s="12">
        <v>33.333333333333329</v>
      </c>
      <c r="E2291" s="12" t="s">
        <v>8219</v>
      </c>
      <c r="F2291" s="13">
        <v>6</v>
      </c>
      <c r="G2291" s="14">
        <v>1791.23</v>
      </c>
      <c r="H2291" t="s">
        <v>2836</v>
      </c>
      <c r="I2291">
        <v>5</v>
      </c>
    </row>
    <row r="2292" spans="1:9" ht="15.6" x14ac:dyDescent="0.3">
      <c r="A2292" s="9">
        <v>2291</v>
      </c>
      <c r="B2292" s="2" t="s">
        <v>2297</v>
      </c>
      <c r="C2292" s="11">
        <v>16</v>
      </c>
      <c r="D2292" s="12">
        <v>33.333333333333329</v>
      </c>
      <c r="E2292" s="12" t="s">
        <v>8219</v>
      </c>
      <c r="F2292" s="13">
        <v>6</v>
      </c>
      <c r="G2292" s="14">
        <v>1831.2600000000002</v>
      </c>
      <c r="H2292" t="s">
        <v>1812</v>
      </c>
      <c r="I2292">
        <v>5</v>
      </c>
    </row>
    <row r="2293" spans="1:9" ht="15.6" x14ac:dyDescent="0.3">
      <c r="A2293" s="9">
        <v>2292</v>
      </c>
      <c r="B2293" s="2" t="s">
        <v>2298</v>
      </c>
      <c r="C2293" s="11">
        <v>10</v>
      </c>
      <c r="D2293" s="12">
        <v>16.666666666666664</v>
      </c>
      <c r="E2293" s="12" t="s">
        <v>8219</v>
      </c>
      <c r="F2293" s="13">
        <v>6</v>
      </c>
      <c r="G2293" s="14">
        <v>1806.2399999999998</v>
      </c>
      <c r="H2293" t="s">
        <v>788</v>
      </c>
      <c r="I2293">
        <v>4</v>
      </c>
    </row>
    <row r="2294" spans="1:9" ht="15.6" x14ac:dyDescent="0.3">
      <c r="A2294" s="9">
        <v>2293</v>
      </c>
      <c r="B2294" s="2" t="s">
        <v>2299</v>
      </c>
      <c r="C2294" s="11">
        <v>16</v>
      </c>
      <c r="D2294" s="12">
        <v>33.333333333333329</v>
      </c>
      <c r="E2294" s="12" t="s">
        <v>8219</v>
      </c>
      <c r="F2294" s="13">
        <v>6</v>
      </c>
      <c r="G2294" s="14">
        <v>1791.23</v>
      </c>
      <c r="H2294" t="s">
        <v>3604</v>
      </c>
      <c r="I2294">
        <v>5</v>
      </c>
    </row>
    <row r="2295" spans="1:9" ht="15.6" x14ac:dyDescent="0.3">
      <c r="A2295" s="9">
        <v>2294</v>
      </c>
      <c r="B2295" s="2" t="s">
        <v>2300</v>
      </c>
      <c r="C2295" s="11">
        <v>14</v>
      </c>
      <c r="D2295" s="12">
        <v>50</v>
      </c>
      <c r="E2295" s="12" t="s">
        <v>8219</v>
      </c>
      <c r="F2295" s="13">
        <v>6</v>
      </c>
      <c r="G2295" s="14">
        <v>1767.1999999999998</v>
      </c>
      <c r="H2295" t="s">
        <v>2580</v>
      </c>
      <c r="I2295">
        <v>5</v>
      </c>
    </row>
    <row r="2296" spans="1:9" ht="15.6" x14ac:dyDescent="0.3">
      <c r="A2296" s="9">
        <v>2295</v>
      </c>
      <c r="B2296" s="2" t="s">
        <v>2301</v>
      </c>
      <c r="C2296" s="11">
        <v>14</v>
      </c>
      <c r="D2296" s="12">
        <v>50</v>
      </c>
      <c r="E2296" s="12" t="s">
        <v>8219</v>
      </c>
      <c r="F2296" s="13">
        <v>6</v>
      </c>
      <c r="G2296" s="14">
        <v>1807.23</v>
      </c>
      <c r="H2296" t="s">
        <v>1556</v>
      </c>
      <c r="I2296">
        <v>5</v>
      </c>
    </row>
    <row r="2297" spans="1:9" ht="15.6" x14ac:dyDescent="0.3">
      <c r="A2297" s="9">
        <v>2296</v>
      </c>
      <c r="B2297" s="2" t="s">
        <v>2302</v>
      </c>
      <c r="C2297" s="11">
        <v>8</v>
      </c>
      <c r="D2297" s="12">
        <v>33.333333333333329</v>
      </c>
      <c r="E2297" s="12" t="s">
        <v>8219</v>
      </c>
      <c r="F2297" s="13">
        <v>6</v>
      </c>
      <c r="G2297" s="14">
        <v>1782.21</v>
      </c>
      <c r="H2297" t="s">
        <v>532</v>
      </c>
      <c r="I2297">
        <v>4</v>
      </c>
    </row>
    <row r="2298" spans="1:9" ht="15.6" x14ac:dyDescent="0.3">
      <c r="A2298" s="9">
        <v>2297</v>
      </c>
      <c r="B2298" s="2" t="s">
        <v>2303</v>
      </c>
      <c r="C2298" s="11">
        <v>16</v>
      </c>
      <c r="D2298" s="12">
        <v>33.333333333333329</v>
      </c>
      <c r="E2298" s="12" t="s">
        <v>8219</v>
      </c>
      <c r="F2298" s="13">
        <v>6</v>
      </c>
      <c r="G2298" s="14">
        <v>1831.2600000000002</v>
      </c>
      <c r="H2298" t="s">
        <v>3348</v>
      </c>
      <c r="I2298">
        <v>5</v>
      </c>
    </row>
    <row r="2299" spans="1:9" ht="15.6" x14ac:dyDescent="0.3">
      <c r="A2299" s="9">
        <v>2298</v>
      </c>
      <c r="B2299" s="2" t="s">
        <v>2304</v>
      </c>
      <c r="C2299" s="11">
        <v>14</v>
      </c>
      <c r="D2299" s="12">
        <v>50</v>
      </c>
      <c r="E2299" s="12" t="s">
        <v>8219</v>
      </c>
      <c r="F2299" s="13">
        <v>6</v>
      </c>
      <c r="G2299" s="14">
        <v>1807.23</v>
      </c>
      <c r="H2299" t="s">
        <v>2324</v>
      </c>
      <c r="I2299">
        <v>5</v>
      </c>
    </row>
    <row r="2300" spans="1:9" ht="15.6" x14ac:dyDescent="0.3">
      <c r="A2300" s="9">
        <v>2299</v>
      </c>
      <c r="B2300" s="2" t="s">
        <v>2305</v>
      </c>
      <c r="C2300" s="11">
        <v>14</v>
      </c>
      <c r="D2300" s="12">
        <v>50</v>
      </c>
      <c r="E2300" s="12" t="s">
        <v>8219</v>
      </c>
      <c r="F2300" s="13">
        <v>6</v>
      </c>
      <c r="G2300" s="14">
        <v>1847.2600000000002</v>
      </c>
      <c r="H2300" t="s">
        <v>1300</v>
      </c>
      <c r="I2300">
        <v>5</v>
      </c>
    </row>
    <row r="2301" spans="1:9" ht="15.6" x14ac:dyDescent="0.3">
      <c r="A2301" s="9">
        <v>2300</v>
      </c>
      <c r="B2301" s="2" t="s">
        <v>2306</v>
      </c>
      <c r="C2301" s="11">
        <v>8</v>
      </c>
      <c r="D2301" s="12">
        <v>33.333333333333329</v>
      </c>
      <c r="E2301" s="12" t="s">
        <v>8219</v>
      </c>
      <c r="F2301" s="13">
        <v>6</v>
      </c>
      <c r="G2301" s="14">
        <v>1822.2400000000002</v>
      </c>
      <c r="H2301" t="s">
        <v>276</v>
      </c>
      <c r="I2301">
        <v>4</v>
      </c>
    </row>
    <row r="2302" spans="1:9" ht="15.6" x14ac:dyDescent="0.3">
      <c r="A2302" s="9">
        <v>2301</v>
      </c>
      <c r="B2302" s="2" t="s">
        <v>2307</v>
      </c>
      <c r="C2302" s="11">
        <v>10</v>
      </c>
      <c r="D2302" s="12">
        <v>16.666666666666664</v>
      </c>
      <c r="E2302" s="12" t="s">
        <v>8219</v>
      </c>
      <c r="F2302" s="13">
        <v>6</v>
      </c>
      <c r="G2302" s="14">
        <v>1806.2399999999998</v>
      </c>
      <c r="H2302" t="s">
        <v>3092</v>
      </c>
      <c r="I2302">
        <v>4</v>
      </c>
    </row>
    <row r="2303" spans="1:9" ht="15.6" x14ac:dyDescent="0.3">
      <c r="A2303" s="9">
        <v>2302</v>
      </c>
      <c r="B2303" s="2" t="s">
        <v>2308</v>
      </c>
      <c r="C2303" s="11">
        <v>8</v>
      </c>
      <c r="D2303" s="12">
        <v>33.333333333333329</v>
      </c>
      <c r="E2303" s="12" t="s">
        <v>8219</v>
      </c>
      <c r="F2303" s="13">
        <v>6</v>
      </c>
      <c r="G2303" s="14">
        <v>1782.21</v>
      </c>
      <c r="H2303" t="s">
        <v>2068</v>
      </c>
      <c r="I2303">
        <v>4</v>
      </c>
    </row>
    <row r="2304" spans="1:9" ht="15.6" x14ac:dyDescent="0.3">
      <c r="A2304" s="9">
        <v>2303</v>
      </c>
      <c r="B2304" s="2" t="s">
        <v>2309</v>
      </c>
      <c r="C2304" s="11">
        <v>8</v>
      </c>
      <c r="D2304" s="12">
        <v>33.333333333333329</v>
      </c>
      <c r="E2304" s="12" t="s">
        <v>8219</v>
      </c>
      <c r="F2304" s="13">
        <v>6</v>
      </c>
      <c r="G2304" s="14">
        <v>1822.2400000000002</v>
      </c>
      <c r="H2304" t="s">
        <v>1044</v>
      </c>
      <c r="I2304">
        <v>4</v>
      </c>
    </row>
    <row r="2305" spans="1:9" ht="15.6" x14ac:dyDescent="0.3">
      <c r="A2305" s="9">
        <v>2304</v>
      </c>
      <c r="B2305" s="2" t="s">
        <v>2310</v>
      </c>
      <c r="C2305" s="11">
        <v>2</v>
      </c>
      <c r="D2305" s="12">
        <v>16.666666666666664</v>
      </c>
      <c r="E2305" s="12" t="s">
        <v>8219</v>
      </c>
      <c r="F2305" s="13">
        <v>6</v>
      </c>
      <c r="G2305" s="14">
        <v>1797.2199999999998</v>
      </c>
      <c r="H2305" t="s">
        <v>20</v>
      </c>
      <c r="I2305">
        <v>3</v>
      </c>
    </row>
    <row r="2306" spans="1:9" ht="15.6" x14ac:dyDescent="0.3">
      <c r="A2306" s="9">
        <v>2305</v>
      </c>
      <c r="B2306" s="2" t="s">
        <v>2311</v>
      </c>
      <c r="C2306" s="11">
        <v>32</v>
      </c>
      <c r="D2306" s="12">
        <v>33.333333333333329</v>
      </c>
      <c r="E2306" s="12" t="s">
        <v>8219</v>
      </c>
      <c r="F2306" s="13">
        <v>6</v>
      </c>
      <c r="G2306" s="14">
        <v>1809.27</v>
      </c>
      <c r="H2306" t="s">
        <v>4096</v>
      </c>
      <c r="I2306">
        <v>8</v>
      </c>
    </row>
    <row r="2307" spans="1:9" ht="15.6" x14ac:dyDescent="0.3">
      <c r="A2307" s="9">
        <v>2306</v>
      </c>
      <c r="B2307" s="2" t="s">
        <v>2312</v>
      </c>
      <c r="C2307" s="11">
        <v>30</v>
      </c>
      <c r="D2307" s="12">
        <v>50</v>
      </c>
      <c r="E2307" s="12" t="s">
        <v>8219</v>
      </c>
      <c r="F2307" s="13">
        <v>6</v>
      </c>
      <c r="G2307" s="14">
        <v>1785.2399999999998</v>
      </c>
      <c r="H2307" t="s">
        <v>3072</v>
      </c>
      <c r="I2307">
        <v>7</v>
      </c>
    </row>
    <row r="2308" spans="1:9" ht="15.6" x14ac:dyDescent="0.3">
      <c r="A2308" s="9">
        <v>2307</v>
      </c>
      <c r="B2308" s="2" t="s">
        <v>2313</v>
      </c>
      <c r="C2308" s="11">
        <v>30</v>
      </c>
      <c r="D2308" s="12">
        <v>50</v>
      </c>
      <c r="E2308" s="12" t="s">
        <v>8219</v>
      </c>
      <c r="F2308" s="13">
        <v>6</v>
      </c>
      <c r="G2308" s="14">
        <v>1825.27</v>
      </c>
      <c r="H2308" t="s">
        <v>2048</v>
      </c>
      <c r="I2308">
        <v>7</v>
      </c>
    </row>
    <row r="2309" spans="1:9" ht="15.6" x14ac:dyDescent="0.3">
      <c r="A2309" s="9">
        <v>2308</v>
      </c>
      <c r="B2309" s="2" t="s">
        <v>2314</v>
      </c>
      <c r="C2309" s="11">
        <v>24</v>
      </c>
      <c r="D2309" s="12">
        <v>33.333333333333329</v>
      </c>
      <c r="E2309" s="12" t="s">
        <v>8219</v>
      </c>
      <c r="F2309" s="13">
        <v>6</v>
      </c>
      <c r="G2309" s="14">
        <v>1800.25</v>
      </c>
      <c r="H2309" t="s">
        <v>1024</v>
      </c>
      <c r="I2309">
        <v>6</v>
      </c>
    </row>
    <row r="2310" spans="1:9" ht="15.6" x14ac:dyDescent="0.3">
      <c r="A2310" s="9">
        <v>2309</v>
      </c>
      <c r="B2310" s="2" t="s">
        <v>2315</v>
      </c>
      <c r="C2310" s="11">
        <v>30</v>
      </c>
      <c r="D2310" s="12">
        <v>50</v>
      </c>
      <c r="E2310" s="12" t="s">
        <v>8219</v>
      </c>
      <c r="F2310" s="13">
        <v>6</v>
      </c>
      <c r="G2310" s="14">
        <v>1785.2399999999998</v>
      </c>
      <c r="H2310" t="s">
        <v>3840</v>
      </c>
      <c r="I2310">
        <v>7</v>
      </c>
    </row>
    <row r="2311" spans="1:9" ht="15.6" x14ac:dyDescent="0.3">
      <c r="A2311" s="9">
        <v>2310</v>
      </c>
      <c r="B2311" s="2" t="s">
        <v>2316</v>
      </c>
      <c r="C2311" s="11">
        <v>28</v>
      </c>
      <c r="D2311" s="12">
        <v>66.666666666666657</v>
      </c>
      <c r="E2311" s="12" t="s">
        <v>8220</v>
      </c>
      <c r="F2311" s="13">
        <v>6</v>
      </c>
      <c r="G2311" s="14">
        <v>1761.21</v>
      </c>
      <c r="H2311" t="s">
        <v>2816</v>
      </c>
      <c r="I2311">
        <v>7</v>
      </c>
    </row>
    <row r="2312" spans="1:9" ht="15.6" x14ac:dyDescent="0.3">
      <c r="A2312" s="9">
        <v>2311</v>
      </c>
      <c r="B2312" s="2" t="s">
        <v>2317</v>
      </c>
      <c r="C2312" s="11">
        <v>28</v>
      </c>
      <c r="D2312" s="12">
        <v>66.666666666666657</v>
      </c>
      <c r="E2312" s="12" t="s">
        <v>8220</v>
      </c>
      <c r="F2312" s="13">
        <v>6</v>
      </c>
      <c r="G2312" s="14">
        <v>1801.2399999999998</v>
      </c>
      <c r="H2312" t="s">
        <v>1792</v>
      </c>
      <c r="I2312">
        <v>7</v>
      </c>
    </row>
    <row r="2313" spans="1:9" ht="15.6" x14ac:dyDescent="0.3">
      <c r="A2313" s="9">
        <v>2312</v>
      </c>
      <c r="B2313" s="2" t="s">
        <v>2318</v>
      </c>
      <c r="C2313" s="11">
        <v>22</v>
      </c>
      <c r="D2313" s="12">
        <v>50</v>
      </c>
      <c r="E2313" s="12" t="s">
        <v>8219</v>
      </c>
      <c r="F2313" s="13">
        <v>6</v>
      </c>
      <c r="G2313" s="14">
        <v>1776.2199999999998</v>
      </c>
      <c r="H2313" t="s">
        <v>768</v>
      </c>
      <c r="I2313">
        <v>6</v>
      </c>
    </row>
    <row r="2314" spans="1:9" ht="15.6" x14ac:dyDescent="0.3">
      <c r="A2314" s="9">
        <v>2313</v>
      </c>
      <c r="B2314" s="2" t="s">
        <v>2319</v>
      </c>
      <c r="C2314" s="11">
        <v>30</v>
      </c>
      <c r="D2314" s="12">
        <v>50</v>
      </c>
      <c r="E2314" s="12" t="s">
        <v>8219</v>
      </c>
      <c r="F2314" s="13">
        <v>6</v>
      </c>
      <c r="G2314" s="14">
        <v>1825.27</v>
      </c>
      <c r="H2314" t="s">
        <v>3584</v>
      </c>
      <c r="I2314">
        <v>7</v>
      </c>
    </row>
    <row r="2315" spans="1:9" ht="15.6" x14ac:dyDescent="0.3">
      <c r="A2315" s="9">
        <v>2314</v>
      </c>
      <c r="B2315" s="2" t="s">
        <v>2320</v>
      </c>
      <c r="C2315" s="11">
        <v>28</v>
      </c>
      <c r="D2315" s="12">
        <v>66.666666666666657</v>
      </c>
      <c r="E2315" s="12" t="s">
        <v>8220</v>
      </c>
      <c r="F2315" s="13">
        <v>6</v>
      </c>
      <c r="G2315" s="14">
        <v>1801.2399999999998</v>
      </c>
      <c r="H2315" t="s">
        <v>2560</v>
      </c>
      <c r="I2315">
        <v>7</v>
      </c>
    </row>
    <row r="2316" spans="1:9" ht="15.6" x14ac:dyDescent="0.3">
      <c r="A2316" s="9">
        <v>2315</v>
      </c>
      <c r="B2316" s="2" t="s">
        <v>2321</v>
      </c>
      <c r="C2316" s="11">
        <v>28</v>
      </c>
      <c r="D2316" s="12">
        <v>66.666666666666657</v>
      </c>
      <c r="E2316" s="12" t="s">
        <v>8220</v>
      </c>
      <c r="F2316" s="13">
        <v>6</v>
      </c>
      <c r="G2316" s="14">
        <v>1841.27</v>
      </c>
      <c r="H2316" t="s">
        <v>1536</v>
      </c>
      <c r="I2316">
        <v>7</v>
      </c>
    </row>
    <row r="2317" spans="1:9" ht="15.6" x14ac:dyDescent="0.3">
      <c r="A2317" s="9">
        <v>2316</v>
      </c>
      <c r="B2317" s="2" t="s">
        <v>2322</v>
      </c>
      <c r="C2317" s="11">
        <v>22</v>
      </c>
      <c r="D2317" s="12">
        <v>50</v>
      </c>
      <c r="E2317" s="12" t="s">
        <v>8219</v>
      </c>
      <c r="F2317" s="13">
        <v>6</v>
      </c>
      <c r="G2317" s="14">
        <v>1816.25</v>
      </c>
      <c r="H2317" t="s">
        <v>512</v>
      </c>
      <c r="I2317">
        <v>6</v>
      </c>
    </row>
    <row r="2318" spans="1:9" ht="15.6" x14ac:dyDescent="0.3">
      <c r="A2318" s="9">
        <v>2317</v>
      </c>
      <c r="B2318" s="2" t="s">
        <v>2323</v>
      </c>
      <c r="C2318" s="11">
        <v>24</v>
      </c>
      <c r="D2318" s="12">
        <v>33.333333333333329</v>
      </c>
      <c r="E2318" s="12" t="s">
        <v>8219</v>
      </c>
      <c r="F2318" s="13">
        <v>6</v>
      </c>
      <c r="G2318" s="14">
        <v>1800.25</v>
      </c>
      <c r="H2318" t="s">
        <v>3328</v>
      </c>
      <c r="I2318">
        <v>6</v>
      </c>
    </row>
    <row r="2319" spans="1:9" ht="15.6" x14ac:dyDescent="0.3">
      <c r="A2319" s="9">
        <v>2318</v>
      </c>
      <c r="B2319" s="2" t="s">
        <v>2324</v>
      </c>
      <c r="C2319" s="11">
        <v>22</v>
      </c>
      <c r="D2319" s="12">
        <v>50</v>
      </c>
      <c r="E2319" s="12" t="s">
        <v>8219</v>
      </c>
      <c r="F2319" s="13">
        <v>6</v>
      </c>
      <c r="G2319" s="14">
        <v>1776.2199999999998</v>
      </c>
      <c r="H2319" t="s">
        <v>2304</v>
      </c>
      <c r="I2319">
        <v>6</v>
      </c>
    </row>
    <row r="2320" spans="1:9" ht="15.6" x14ac:dyDescent="0.3">
      <c r="A2320" s="9">
        <v>2319</v>
      </c>
      <c r="B2320" s="2" t="s">
        <v>2325</v>
      </c>
      <c r="C2320" s="11">
        <v>22</v>
      </c>
      <c r="D2320" s="12">
        <v>50</v>
      </c>
      <c r="E2320" s="12" t="s">
        <v>8219</v>
      </c>
      <c r="F2320" s="13">
        <v>6</v>
      </c>
      <c r="G2320" s="14">
        <v>1816.25</v>
      </c>
      <c r="H2320" t="s">
        <v>1280</v>
      </c>
      <c r="I2320">
        <v>6</v>
      </c>
    </row>
    <row r="2321" spans="1:9" ht="15.6" x14ac:dyDescent="0.3">
      <c r="A2321" s="9">
        <v>2320</v>
      </c>
      <c r="B2321" s="2" t="s">
        <v>2326</v>
      </c>
      <c r="C2321" s="11">
        <v>16</v>
      </c>
      <c r="D2321" s="12">
        <v>33.333333333333329</v>
      </c>
      <c r="E2321" s="12" t="s">
        <v>8219</v>
      </c>
      <c r="F2321" s="13">
        <v>6</v>
      </c>
      <c r="G2321" s="14">
        <v>1791.23</v>
      </c>
      <c r="H2321" t="s">
        <v>256</v>
      </c>
      <c r="I2321">
        <v>5</v>
      </c>
    </row>
    <row r="2322" spans="1:9" ht="15.6" x14ac:dyDescent="0.3">
      <c r="A2322" s="9">
        <v>2321</v>
      </c>
      <c r="B2322" s="2" t="s">
        <v>2327</v>
      </c>
      <c r="C2322" s="11">
        <v>30</v>
      </c>
      <c r="D2322" s="12">
        <v>50</v>
      </c>
      <c r="E2322" s="12" t="s">
        <v>8219</v>
      </c>
      <c r="F2322" s="13">
        <v>6</v>
      </c>
      <c r="G2322" s="14">
        <v>1785.2399999999998</v>
      </c>
      <c r="H2322" t="s">
        <v>4032</v>
      </c>
      <c r="I2322">
        <v>7</v>
      </c>
    </row>
    <row r="2323" spans="1:9" ht="15.6" x14ac:dyDescent="0.3">
      <c r="A2323" s="9">
        <v>2322</v>
      </c>
      <c r="B2323" s="2" t="s">
        <v>2328</v>
      </c>
      <c r="C2323" s="11">
        <v>28</v>
      </c>
      <c r="D2323" s="12">
        <v>66.666666666666657</v>
      </c>
      <c r="E2323" s="12" t="s">
        <v>8220</v>
      </c>
      <c r="F2323" s="13">
        <v>6</v>
      </c>
      <c r="G2323" s="14">
        <v>1761.21</v>
      </c>
      <c r="H2323" t="s">
        <v>3008</v>
      </c>
      <c r="I2323">
        <v>7</v>
      </c>
    </row>
    <row r="2324" spans="1:9" ht="15.6" x14ac:dyDescent="0.3">
      <c r="A2324" s="9">
        <v>2323</v>
      </c>
      <c r="B2324" s="2" t="s">
        <v>2329</v>
      </c>
      <c r="C2324" s="11">
        <v>28</v>
      </c>
      <c r="D2324" s="12">
        <v>66.666666666666657</v>
      </c>
      <c r="E2324" s="12" t="s">
        <v>8220</v>
      </c>
      <c r="F2324" s="13">
        <v>6</v>
      </c>
      <c r="G2324" s="14">
        <v>1801.2399999999998</v>
      </c>
      <c r="H2324" t="s">
        <v>1984</v>
      </c>
      <c r="I2324">
        <v>7</v>
      </c>
    </row>
    <row r="2325" spans="1:9" ht="15.6" x14ac:dyDescent="0.3">
      <c r="A2325" s="9">
        <v>2324</v>
      </c>
      <c r="B2325" s="2" t="s">
        <v>2330</v>
      </c>
      <c r="C2325" s="11">
        <v>22</v>
      </c>
      <c r="D2325" s="12">
        <v>50</v>
      </c>
      <c r="E2325" s="12" t="s">
        <v>8219</v>
      </c>
      <c r="F2325" s="13">
        <v>6</v>
      </c>
      <c r="G2325" s="14">
        <v>1776.2199999999998</v>
      </c>
      <c r="H2325" t="s">
        <v>960</v>
      </c>
      <c r="I2325">
        <v>6</v>
      </c>
    </row>
    <row r="2326" spans="1:9" ht="15.6" x14ac:dyDescent="0.3">
      <c r="A2326" s="9">
        <v>2325</v>
      </c>
      <c r="B2326" s="2" t="s">
        <v>2331</v>
      </c>
      <c r="C2326" s="11">
        <v>28</v>
      </c>
      <c r="D2326" s="12">
        <v>66.666666666666657</v>
      </c>
      <c r="E2326" s="12" t="s">
        <v>8220</v>
      </c>
      <c r="F2326" s="13">
        <v>6</v>
      </c>
      <c r="G2326" s="14">
        <v>1761.21</v>
      </c>
      <c r="H2326" t="s">
        <v>3776</v>
      </c>
      <c r="I2326">
        <v>7</v>
      </c>
    </row>
    <row r="2327" spans="1:9" ht="15.6" x14ac:dyDescent="0.3">
      <c r="A2327" s="9">
        <v>2326</v>
      </c>
      <c r="B2327" s="2" t="s">
        <v>2332</v>
      </c>
      <c r="C2327" s="11">
        <v>26</v>
      </c>
      <c r="D2327" s="12">
        <v>83.333333333333343</v>
      </c>
      <c r="E2327" s="12" t="s">
        <v>8220</v>
      </c>
      <c r="F2327" s="13">
        <v>6</v>
      </c>
      <c r="G2327" s="14">
        <v>1737.1799999999998</v>
      </c>
      <c r="H2327" t="s">
        <v>2752</v>
      </c>
      <c r="I2327">
        <v>7</v>
      </c>
    </row>
    <row r="2328" spans="1:9" ht="15.6" x14ac:dyDescent="0.3">
      <c r="A2328" s="9">
        <v>2327</v>
      </c>
      <c r="B2328" s="2" t="s">
        <v>2333</v>
      </c>
      <c r="C2328" s="11">
        <v>26</v>
      </c>
      <c r="D2328" s="12">
        <v>83.333333333333343</v>
      </c>
      <c r="E2328" s="12" t="s">
        <v>8220</v>
      </c>
      <c r="F2328" s="13">
        <v>6</v>
      </c>
      <c r="G2328" s="14">
        <v>1777.21</v>
      </c>
      <c r="H2328" t="s">
        <v>1728</v>
      </c>
      <c r="I2328">
        <v>7</v>
      </c>
    </row>
    <row r="2329" spans="1:9" ht="15.6" x14ac:dyDescent="0.3">
      <c r="A2329" s="9">
        <v>2328</v>
      </c>
      <c r="B2329" s="2" t="s">
        <v>2334</v>
      </c>
      <c r="C2329" s="11">
        <v>20</v>
      </c>
      <c r="D2329" s="12">
        <v>66.666666666666657</v>
      </c>
      <c r="E2329" s="12" t="s">
        <v>8220</v>
      </c>
      <c r="F2329" s="13">
        <v>6</v>
      </c>
      <c r="G2329" s="14">
        <v>1752.19</v>
      </c>
      <c r="H2329" t="s">
        <v>704</v>
      </c>
      <c r="I2329">
        <v>6</v>
      </c>
    </row>
    <row r="2330" spans="1:9" ht="15.6" x14ac:dyDescent="0.3">
      <c r="A2330" s="9">
        <v>2329</v>
      </c>
      <c r="B2330" s="2" t="s">
        <v>2335</v>
      </c>
      <c r="C2330" s="11">
        <v>28</v>
      </c>
      <c r="D2330" s="12">
        <v>66.666666666666657</v>
      </c>
      <c r="E2330" s="12" t="s">
        <v>8220</v>
      </c>
      <c r="F2330" s="13">
        <v>6</v>
      </c>
      <c r="G2330" s="14">
        <v>1801.2399999999998</v>
      </c>
      <c r="H2330" t="s">
        <v>3520</v>
      </c>
      <c r="I2330">
        <v>7</v>
      </c>
    </row>
    <row r="2331" spans="1:9" ht="15.6" x14ac:dyDescent="0.3">
      <c r="A2331" s="9">
        <v>2330</v>
      </c>
      <c r="B2331" s="2" t="s">
        <v>2336</v>
      </c>
      <c r="C2331" s="11">
        <v>26</v>
      </c>
      <c r="D2331" s="12">
        <v>83.333333333333343</v>
      </c>
      <c r="E2331" s="12" t="s">
        <v>8220</v>
      </c>
      <c r="F2331" s="13">
        <v>6</v>
      </c>
      <c r="G2331" s="14">
        <v>1777.21</v>
      </c>
      <c r="H2331" t="s">
        <v>2496</v>
      </c>
      <c r="I2331">
        <v>7</v>
      </c>
    </row>
    <row r="2332" spans="1:9" ht="15.6" x14ac:dyDescent="0.3">
      <c r="A2332" s="9">
        <v>2331</v>
      </c>
      <c r="B2332" s="2" t="s">
        <v>2337</v>
      </c>
      <c r="C2332" s="11">
        <v>26</v>
      </c>
      <c r="D2332" s="12">
        <v>83.333333333333343</v>
      </c>
      <c r="E2332" s="12" t="s">
        <v>8220</v>
      </c>
      <c r="F2332" s="13">
        <v>6</v>
      </c>
      <c r="G2332" s="14">
        <v>1817.2400000000002</v>
      </c>
      <c r="H2332" t="s">
        <v>1472</v>
      </c>
      <c r="I2332">
        <v>7</v>
      </c>
    </row>
    <row r="2333" spans="1:9" ht="15.6" x14ac:dyDescent="0.3">
      <c r="A2333" s="9">
        <v>2332</v>
      </c>
      <c r="B2333" s="2" t="s">
        <v>2338</v>
      </c>
      <c r="C2333" s="11">
        <v>20</v>
      </c>
      <c r="D2333" s="12">
        <v>66.666666666666657</v>
      </c>
      <c r="E2333" s="12" t="s">
        <v>8220</v>
      </c>
      <c r="F2333" s="13">
        <v>6</v>
      </c>
      <c r="G2333" s="14">
        <v>1792.2199999999998</v>
      </c>
      <c r="H2333" t="s">
        <v>448</v>
      </c>
      <c r="I2333">
        <v>6</v>
      </c>
    </row>
    <row r="2334" spans="1:9" ht="15.6" x14ac:dyDescent="0.3">
      <c r="A2334" s="9">
        <v>2333</v>
      </c>
      <c r="B2334" s="2" t="s">
        <v>2339</v>
      </c>
      <c r="C2334" s="11">
        <v>22</v>
      </c>
      <c r="D2334" s="12">
        <v>50</v>
      </c>
      <c r="E2334" s="12" t="s">
        <v>8219</v>
      </c>
      <c r="F2334" s="13">
        <v>6</v>
      </c>
      <c r="G2334" s="14">
        <v>1776.2199999999998</v>
      </c>
      <c r="H2334" t="s">
        <v>3264</v>
      </c>
      <c r="I2334">
        <v>6</v>
      </c>
    </row>
    <row r="2335" spans="1:9" ht="15.6" x14ac:dyDescent="0.3">
      <c r="A2335" s="9">
        <v>2334</v>
      </c>
      <c r="B2335" s="2" t="s">
        <v>2340</v>
      </c>
      <c r="C2335" s="11">
        <v>20</v>
      </c>
      <c r="D2335" s="12">
        <v>66.666666666666657</v>
      </c>
      <c r="E2335" s="12" t="s">
        <v>8220</v>
      </c>
      <c r="F2335" s="13">
        <v>6</v>
      </c>
      <c r="G2335" s="14">
        <v>1752.19</v>
      </c>
      <c r="H2335" t="s">
        <v>2240</v>
      </c>
      <c r="I2335">
        <v>6</v>
      </c>
    </row>
    <row r="2336" spans="1:9" ht="15.6" x14ac:dyDescent="0.3">
      <c r="A2336" s="9">
        <v>2335</v>
      </c>
      <c r="B2336" s="2" t="s">
        <v>2341</v>
      </c>
      <c r="C2336" s="11">
        <v>20</v>
      </c>
      <c r="D2336" s="12">
        <v>66.666666666666657</v>
      </c>
      <c r="E2336" s="12" t="s">
        <v>8220</v>
      </c>
      <c r="F2336" s="13">
        <v>6</v>
      </c>
      <c r="G2336" s="14">
        <v>1792.2199999999998</v>
      </c>
      <c r="H2336" t="s">
        <v>1216</v>
      </c>
      <c r="I2336">
        <v>6</v>
      </c>
    </row>
    <row r="2337" spans="1:9" ht="15.6" x14ac:dyDescent="0.3">
      <c r="A2337" s="9">
        <v>2336</v>
      </c>
      <c r="B2337" s="2" t="s">
        <v>2342</v>
      </c>
      <c r="C2337" s="11">
        <v>14</v>
      </c>
      <c r="D2337" s="12">
        <v>50</v>
      </c>
      <c r="E2337" s="12" t="s">
        <v>8219</v>
      </c>
      <c r="F2337" s="13">
        <v>6</v>
      </c>
      <c r="G2337" s="14">
        <v>1767.1999999999998</v>
      </c>
      <c r="H2337" t="s">
        <v>192</v>
      </c>
      <c r="I2337">
        <v>5</v>
      </c>
    </row>
    <row r="2338" spans="1:9" ht="15.6" x14ac:dyDescent="0.3">
      <c r="A2338" s="9">
        <v>2337</v>
      </c>
      <c r="B2338" s="2" t="s">
        <v>2343</v>
      </c>
      <c r="C2338" s="11">
        <v>30</v>
      </c>
      <c r="D2338" s="12">
        <v>50</v>
      </c>
      <c r="E2338" s="12" t="s">
        <v>8219</v>
      </c>
      <c r="F2338" s="13">
        <v>6</v>
      </c>
      <c r="G2338" s="14">
        <v>1825.27</v>
      </c>
      <c r="H2338" t="s">
        <v>3968</v>
      </c>
      <c r="I2338">
        <v>7</v>
      </c>
    </row>
    <row r="2339" spans="1:9" ht="15.6" x14ac:dyDescent="0.3">
      <c r="A2339" s="9">
        <v>2338</v>
      </c>
      <c r="B2339" s="2" t="s">
        <v>2344</v>
      </c>
      <c r="C2339" s="11">
        <v>28</v>
      </c>
      <c r="D2339" s="12">
        <v>66.666666666666657</v>
      </c>
      <c r="E2339" s="12" t="s">
        <v>8220</v>
      </c>
      <c r="F2339" s="13">
        <v>6</v>
      </c>
      <c r="G2339" s="14">
        <v>1801.2399999999998</v>
      </c>
      <c r="H2339" t="s">
        <v>2944</v>
      </c>
      <c r="I2339">
        <v>7</v>
      </c>
    </row>
    <row r="2340" spans="1:9" ht="15.6" x14ac:dyDescent="0.3">
      <c r="A2340" s="9">
        <v>2339</v>
      </c>
      <c r="B2340" s="2" t="s">
        <v>2345</v>
      </c>
      <c r="C2340" s="11">
        <v>28</v>
      </c>
      <c r="D2340" s="12">
        <v>66.666666666666657</v>
      </c>
      <c r="E2340" s="12" t="s">
        <v>8220</v>
      </c>
      <c r="F2340" s="13">
        <v>6</v>
      </c>
      <c r="G2340" s="14">
        <v>1841.27</v>
      </c>
      <c r="H2340" t="s">
        <v>1920</v>
      </c>
      <c r="I2340">
        <v>7</v>
      </c>
    </row>
    <row r="2341" spans="1:9" ht="15.6" x14ac:dyDescent="0.3">
      <c r="A2341" s="9">
        <v>2340</v>
      </c>
      <c r="B2341" s="2" t="s">
        <v>2346</v>
      </c>
      <c r="C2341" s="11">
        <v>22</v>
      </c>
      <c r="D2341" s="12">
        <v>50</v>
      </c>
      <c r="E2341" s="12" t="s">
        <v>8219</v>
      </c>
      <c r="F2341" s="13">
        <v>6</v>
      </c>
      <c r="G2341" s="14">
        <v>1816.25</v>
      </c>
      <c r="H2341" t="s">
        <v>896</v>
      </c>
      <c r="I2341">
        <v>6</v>
      </c>
    </row>
    <row r="2342" spans="1:9" ht="15.6" x14ac:dyDescent="0.3">
      <c r="A2342" s="9">
        <v>2341</v>
      </c>
      <c r="B2342" s="2" t="s">
        <v>2347</v>
      </c>
      <c r="C2342" s="11">
        <v>28</v>
      </c>
      <c r="D2342" s="12">
        <v>66.666666666666657</v>
      </c>
      <c r="E2342" s="12" t="s">
        <v>8220</v>
      </c>
      <c r="F2342" s="13">
        <v>6</v>
      </c>
      <c r="G2342" s="14">
        <v>1801.2399999999998</v>
      </c>
      <c r="H2342" t="s">
        <v>3712</v>
      </c>
      <c r="I2342">
        <v>7</v>
      </c>
    </row>
    <row r="2343" spans="1:9" ht="15.6" x14ac:dyDescent="0.3">
      <c r="A2343" s="9">
        <v>2342</v>
      </c>
      <c r="B2343" s="2" t="s">
        <v>2348</v>
      </c>
      <c r="C2343" s="11">
        <v>26</v>
      </c>
      <c r="D2343" s="12">
        <v>83.333333333333343</v>
      </c>
      <c r="E2343" s="12" t="s">
        <v>8220</v>
      </c>
      <c r="F2343" s="13">
        <v>6</v>
      </c>
      <c r="G2343" s="14">
        <v>1777.21</v>
      </c>
      <c r="H2343" t="s">
        <v>2688</v>
      </c>
      <c r="I2343">
        <v>7</v>
      </c>
    </row>
    <row r="2344" spans="1:9" ht="15.6" x14ac:dyDescent="0.3">
      <c r="A2344" s="9">
        <v>2343</v>
      </c>
      <c r="B2344" s="2" t="s">
        <v>2349</v>
      </c>
      <c r="C2344" s="11">
        <v>26</v>
      </c>
      <c r="D2344" s="12">
        <v>83.333333333333343</v>
      </c>
      <c r="E2344" s="12" t="s">
        <v>8220</v>
      </c>
      <c r="F2344" s="13">
        <v>6</v>
      </c>
      <c r="G2344" s="14">
        <v>1817.2400000000002</v>
      </c>
      <c r="H2344" t="s">
        <v>1664</v>
      </c>
      <c r="I2344">
        <v>7</v>
      </c>
    </row>
    <row r="2345" spans="1:9" ht="15.6" x14ac:dyDescent="0.3">
      <c r="A2345" s="9">
        <v>2344</v>
      </c>
      <c r="B2345" s="2" t="s">
        <v>2350</v>
      </c>
      <c r="C2345" s="11">
        <v>20</v>
      </c>
      <c r="D2345" s="12">
        <v>66.666666666666657</v>
      </c>
      <c r="E2345" s="12" t="s">
        <v>8220</v>
      </c>
      <c r="F2345" s="13">
        <v>6</v>
      </c>
      <c r="G2345" s="14">
        <v>1792.2199999999998</v>
      </c>
      <c r="H2345" t="s">
        <v>640</v>
      </c>
      <c r="I2345">
        <v>6</v>
      </c>
    </row>
    <row r="2346" spans="1:9" ht="15.6" x14ac:dyDescent="0.3">
      <c r="A2346" s="9">
        <v>2345</v>
      </c>
      <c r="B2346" s="2" t="s">
        <v>2351</v>
      </c>
      <c r="C2346" s="11">
        <v>28</v>
      </c>
      <c r="D2346" s="12">
        <v>66.666666666666657</v>
      </c>
      <c r="E2346" s="12" t="s">
        <v>8220</v>
      </c>
      <c r="F2346" s="13">
        <v>6</v>
      </c>
      <c r="G2346" s="14">
        <v>1841.27</v>
      </c>
      <c r="H2346" t="s">
        <v>3456</v>
      </c>
      <c r="I2346">
        <v>7</v>
      </c>
    </row>
    <row r="2347" spans="1:9" ht="15.6" x14ac:dyDescent="0.3">
      <c r="A2347" s="9">
        <v>2346</v>
      </c>
      <c r="B2347" s="2" t="s">
        <v>2352</v>
      </c>
      <c r="C2347" s="11">
        <v>26</v>
      </c>
      <c r="D2347" s="12">
        <v>83.333333333333343</v>
      </c>
      <c r="E2347" s="12" t="s">
        <v>8220</v>
      </c>
      <c r="F2347" s="13">
        <v>6</v>
      </c>
      <c r="G2347" s="14">
        <v>1817.2400000000002</v>
      </c>
      <c r="H2347" t="s">
        <v>2432</v>
      </c>
      <c r="I2347">
        <v>7</v>
      </c>
    </row>
    <row r="2348" spans="1:9" ht="15.6" x14ac:dyDescent="0.3">
      <c r="A2348" s="9">
        <v>2347</v>
      </c>
      <c r="B2348" s="2" t="s">
        <v>2353</v>
      </c>
      <c r="C2348" s="11">
        <v>26</v>
      </c>
      <c r="D2348" s="12">
        <v>83.333333333333343</v>
      </c>
      <c r="E2348" s="12" t="s">
        <v>8220</v>
      </c>
      <c r="F2348" s="13">
        <v>6</v>
      </c>
      <c r="G2348" s="14">
        <v>1857.27</v>
      </c>
      <c r="H2348" t="s">
        <v>1408</v>
      </c>
      <c r="I2348">
        <v>7</v>
      </c>
    </row>
    <row r="2349" spans="1:9" ht="15.6" x14ac:dyDescent="0.3">
      <c r="A2349" s="9">
        <v>2348</v>
      </c>
      <c r="B2349" s="2" t="s">
        <v>2354</v>
      </c>
      <c r="C2349" s="11">
        <v>20</v>
      </c>
      <c r="D2349" s="12">
        <v>66.666666666666657</v>
      </c>
      <c r="E2349" s="12" t="s">
        <v>8220</v>
      </c>
      <c r="F2349" s="13">
        <v>6</v>
      </c>
      <c r="G2349" s="14">
        <v>1832.25</v>
      </c>
      <c r="H2349" t="s">
        <v>384</v>
      </c>
      <c r="I2349">
        <v>6</v>
      </c>
    </row>
    <row r="2350" spans="1:9" ht="15.6" x14ac:dyDescent="0.3">
      <c r="A2350" s="9">
        <v>2349</v>
      </c>
      <c r="B2350" s="2" t="s">
        <v>2355</v>
      </c>
      <c r="C2350" s="11">
        <v>22</v>
      </c>
      <c r="D2350" s="12">
        <v>50</v>
      </c>
      <c r="E2350" s="12" t="s">
        <v>8219</v>
      </c>
      <c r="F2350" s="13">
        <v>6</v>
      </c>
      <c r="G2350" s="14">
        <v>1816.25</v>
      </c>
      <c r="H2350" t="s">
        <v>3200</v>
      </c>
      <c r="I2350">
        <v>6</v>
      </c>
    </row>
    <row r="2351" spans="1:9" ht="15.6" x14ac:dyDescent="0.3">
      <c r="A2351" s="9">
        <v>2350</v>
      </c>
      <c r="B2351" s="2" t="s">
        <v>2356</v>
      </c>
      <c r="C2351" s="11">
        <v>20</v>
      </c>
      <c r="D2351" s="12">
        <v>66.666666666666657</v>
      </c>
      <c r="E2351" s="12" t="s">
        <v>8220</v>
      </c>
      <c r="F2351" s="13">
        <v>6</v>
      </c>
      <c r="G2351" s="14">
        <v>1792.2199999999998</v>
      </c>
      <c r="H2351" t="s">
        <v>2176</v>
      </c>
      <c r="I2351">
        <v>6</v>
      </c>
    </row>
    <row r="2352" spans="1:9" ht="15.6" x14ac:dyDescent="0.3">
      <c r="A2352" s="9">
        <v>2351</v>
      </c>
      <c r="B2352" s="2" t="s">
        <v>2357</v>
      </c>
      <c r="C2352" s="11">
        <v>20</v>
      </c>
      <c r="D2352" s="12">
        <v>66.666666666666657</v>
      </c>
      <c r="E2352" s="12" t="s">
        <v>8220</v>
      </c>
      <c r="F2352" s="13">
        <v>6</v>
      </c>
      <c r="G2352" s="14">
        <v>1832.25</v>
      </c>
      <c r="H2352" t="s">
        <v>1152</v>
      </c>
      <c r="I2352">
        <v>6</v>
      </c>
    </row>
    <row r="2353" spans="1:9" ht="15.6" x14ac:dyDescent="0.3">
      <c r="A2353" s="9">
        <v>2352</v>
      </c>
      <c r="B2353" s="2" t="s">
        <v>2358</v>
      </c>
      <c r="C2353" s="11">
        <v>14</v>
      </c>
      <c r="D2353" s="12">
        <v>50</v>
      </c>
      <c r="E2353" s="12" t="s">
        <v>8219</v>
      </c>
      <c r="F2353" s="13">
        <v>6</v>
      </c>
      <c r="G2353" s="14">
        <v>1807.23</v>
      </c>
      <c r="H2353" t="s">
        <v>128</v>
      </c>
      <c r="I2353">
        <v>5</v>
      </c>
    </row>
    <row r="2354" spans="1:9" ht="15.6" x14ac:dyDescent="0.3">
      <c r="A2354" s="9">
        <v>2353</v>
      </c>
      <c r="B2354" s="2" t="s">
        <v>2359</v>
      </c>
      <c r="C2354" s="11">
        <v>24</v>
      </c>
      <c r="D2354" s="12">
        <v>33.333333333333329</v>
      </c>
      <c r="E2354" s="12" t="s">
        <v>8219</v>
      </c>
      <c r="F2354" s="13">
        <v>6</v>
      </c>
      <c r="G2354" s="14">
        <v>1800.25</v>
      </c>
      <c r="H2354" t="s">
        <v>3904</v>
      </c>
      <c r="I2354">
        <v>6</v>
      </c>
    </row>
    <row r="2355" spans="1:9" ht="15.6" x14ac:dyDescent="0.3">
      <c r="A2355" s="9">
        <v>2354</v>
      </c>
      <c r="B2355" s="2" t="s">
        <v>2360</v>
      </c>
      <c r="C2355" s="11">
        <v>22</v>
      </c>
      <c r="D2355" s="12">
        <v>50</v>
      </c>
      <c r="E2355" s="12" t="s">
        <v>8219</v>
      </c>
      <c r="F2355" s="13">
        <v>6</v>
      </c>
      <c r="G2355" s="14">
        <v>1776.2199999999998</v>
      </c>
      <c r="H2355" t="s">
        <v>2880</v>
      </c>
      <c r="I2355">
        <v>6</v>
      </c>
    </row>
    <row r="2356" spans="1:9" ht="15.6" x14ac:dyDescent="0.3">
      <c r="A2356" s="9">
        <v>2355</v>
      </c>
      <c r="B2356" s="2" t="s">
        <v>2361</v>
      </c>
      <c r="C2356" s="11">
        <v>22</v>
      </c>
      <c r="D2356" s="12">
        <v>50</v>
      </c>
      <c r="E2356" s="12" t="s">
        <v>8219</v>
      </c>
      <c r="F2356" s="13">
        <v>6</v>
      </c>
      <c r="G2356" s="14">
        <v>1816.25</v>
      </c>
      <c r="H2356" t="s">
        <v>1856</v>
      </c>
      <c r="I2356">
        <v>6</v>
      </c>
    </row>
    <row r="2357" spans="1:9" ht="15.6" x14ac:dyDescent="0.3">
      <c r="A2357" s="9">
        <v>2356</v>
      </c>
      <c r="B2357" s="2" t="s">
        <v>2362</v>
      </c>
      <c r="C2357" s="11">
        <v>16</v>
      </c>
      <c r="D2357" s="12">
        <v>33.333333333333329</v>
      </c>
      <c r="E2357" s="12" t="s">
        <v>8219</v>
      </c>
      <c r="F2357" s="13">
        <v>6</v>
      </c>
      <c r="G2357" s="14">
        <v>1791.23</v>
      </c>
      <c r="H2357" t="s">
        <v>832</v>
      </c>
      <c r="I2357">
        <v>5</v>
      </c>
    </row>
    <row r="2358" spans="1:9" ht="15.6" x14ac:dyDescent="0.3">
      <c r="A2358" s="9">
        <v>2357</v>
      </c>
      <c r="B2358" s="2" t="s">
        <v>2363</v>
      </c>
      <c r="C2358" s="11">
        <v>22</v>
      </c>
      <c r="D2358" s="12">
        <v>50</v>
      </c>
      <c r="E2358" s="12" t="s">
        <v>8219</v>
      </c>
      <c r="F2358" s="13">
        <v>6</v>
      </c>
      <c r="G2358" s="14">
        <v>1776.2199999999998</v>
      </c>
      <c r="H2358" t="s">
        <v>3648</v>
      </c>
      <c r="I2358">
        <v>6</v>
      </c>
    </row>
    <row r="2359" spans="1:9" ht="15.6" x14ac:dyDescent="0.3">
      <c r="A2359" s="9">
        <v>2358</v>
      </c>
      <c r="B2359" s="2" t="s">
        <v>2364</v>
      </c>
      <c r="C2359" s="11">
        <v>20</v>
      </c>
      <c r="D2359" s="12">
        <v>66.666666666666657</v>
      </c>
      <c r="E2359" s="12" t="s">
        <v>8220</v>
      </c>
      <c r="F2359" s="13">
        <v>6</v>
      </c>
      <c r="G2359" s="14">
        <v>1752.19</v>
      </c>
      <c r="H2359" t="s">
        <v>2624</v>
      </c>
      <c r="I2359">
        <v>6</v>
      </c>
    </row>
    <row r="2360" spans="1:9" ht="15.6" x14ac:dyDescent="0.3">
      <c r="A2360" s="9">
        <v>2359</v>
      </c>
      <c r="B2360" s="2" t="s">
        <v>2365</v>
      </c>
      <c r="C2360" s="11">
        <v>20</v>
      </c>
      <c r="D2360" s="12">
        <v>66.666666666666657</v>
      </c>
      <c r="E2360" s="12" t="s">
        <v>8220</v>
      </c>
      <c r="F2360" s="13">
        <v>6</v>
      </c>
      <c r="G2360" s="14">
        <v>1792.2199999999998</v>
      </c>
      <c r="H2360" t="s">
        <v>1600</v>
      </c>
      <c r="I2360">
        <v>6</v>
      </c>
    </row>
    <row r="2361" spans="1:9" ht="15.6" x14ac:dyDescent="0.3">
      <c r="A2361" s="9">
        <v>2360</v>
      </c>
      <c r="B2361" s="2" t="s">
        <v>2366</v>
      </c>
      <c r="C2361" s="11">
        <v>14</v>
      </c>
      <c r="D2361" s="12">
        <v>50</v>
      </c>
      <c r="E2361" s="12" t="s">
        <v>8219</v>
      </c>
      <c r="F2361" s="13">
        <v>6</v>
      </c>
      <c r="G2361" s="14">
        <v>1767.1999999999998</v>
      </c>
      <c r="H2361" t="s">
        <v>576</v>
      </c>
      <c r="I2361">
        <v>5</v>
      </c>
    </row>
    <row r="2362" spans="1:9" ht="15.6" x14ac:dyDescent="0.3">
      <c r="A2362" s="9">
        <v>2361</v>
      </c>
      <c r="B2362" s="2" t="s">
        <v>2367</v>
      </c>
      <c r="C2362" s="11">
        <v>22</v>
      </c>
      <c r="D2362" s="12">
        <v>50</v>
      </c>
      <c r="E2362" s="12" t="s">
        <v>8219</v>
      </c>
      <c r="F2362" s="13">
        <v>6</v>
      </c>
      <c r="G2362" s="14">
        <v>1816.25</v>
      </c>
      <c r="H2362" t="s">
        <v>3392</v>
      </c>
      <c r="I2362">
        <v>6</v>
      </c>
    </row>
    <row r="2363" spans="1:9" ht="15.6" x14ac:dyDescent="0.3">
      <c r="A2363" s="9">
        <v>2362</v>
      </c>
      <c r="B2363" s="2" t="s">
        <v>2368</v>
      </c>
      <c r="C2363" s="11">
        <v>20</v>
      </c>
      <c r="D2363" s="12">
        <v>66.666666666666657</v>
      </c>
      <c r="E2363" s="12" t="s">
        <v>8220</v>
      </c>
      <c r="F2363" s="13">
        <v>6</v>
      </c>
      <c r="G2363" s="14">
        <v>1792.2199999999998</v>
      </c>
      <c r="H2363" t="s">
        <v>2368</v>
      </c>
      <c r="I2363">
        <v>6</v>
      </c>
    </row>
    <row r="2364" spans="1:9" ht="15.6" x14ac:dyDescent="0.3">
      <c r="A2364" s="9">
        <v>2363</v>
      </c>
      <c r="B2364" s="2" t="s">
        <v>2369</v>
      </c>
      <c r="C2364" s="11">
        <v>20</v>
      </c>
      <c r="D2364" s="12">
        <v>66.666666666666657</v>
      </c>
      <c r="E2364" s="12" t="s">
        <v>8220</v>
      </c>
      <c r="F2364" s="13">
        <v>6</v>
      </c>
      <c r="G2364" s="14">
        <v>1832.25</v>
      </c>
      <c r="H2364" t="s">
        <v>1344</v>
      </c>
      <c r="I2364">
        <v>6</v>
      </c>
    </row>
    <row r="2365" spans="1:9" ht="15.6" x14ac:dyDescent="0.3">
      <c r="A2365" s="9">
        <v>2364</v>
      </c>
      <c r="B2365" s="2" t="s">
        <v>2370</v>
      </c>
      <c r="C2365" s="11">
        <v>14</v>
      </c>
      <c r="D2365" s="12">
        <v>50</v>
      </c>
      <c r="E2365" s="12" t="s">
        <v>8219</v>
      </c>
      <c r="F2365" s="13">
        <v>6</v>
      </c>
      <c r="G2365" s="14">
        <v>1807.23</v>
      </c>
      <c r="H2365" t="s">
        <v>320</v>
      </c>
      <c r="I2365">
        <v>5</v>
      </c>
    </row>
    <row r="2366" spans="1:9" ht="15.6" x14ac:dyDescent="0.3">
      <c r="A2366" s="9">
        <v>2365</v>
      </c>
      <c r="B2366" s="2" t="s">
        <v>2371</v>
      </c>
      <c r="C2366" s="11">
        <v>16</v>
      </c>
      <c r="D2366" s="12">
        <v>33.333333333333329</v>
      </c>
      <c r="E2366" s="12" t="s">
        <v>8219</v>
      </c>
      <c r="F2366" s="13">
        <v>6</v>
      </c>
      <c r="G2366" s="14">
        <v>1791.23</v>
      </c>
      <c r="H2366" t="s">
        <v>3136</v>
      </c>
      <c r="I2366">
        <v>5</v>
      </c>
    </row>
    <row r="2367" spans="1:9" ht="15.6" x14ac:dyDescent="0.3">
      <c r="A2367" s="9">
        <v>2366</v>
      </c>
      <c r="B2367" s="2" t="s">
        <v>2372</v>
      </c>
      <c r="C2367" s="11">
        <v>14</v>
      </c>
      <c r="D2367" s="12">
        <v>50</v>
      </c>
      <c r="E2367" s="12" t="s">
        <v>8219</v>
      </c>
      <c r="F2367" s="13">
        <v>6</v>
      </c>
      <c r="G2367" s="14">
        <v>1767.1999999999998</v>
      </c>
      <c r="H2367" t="s">
        <v>2112</v>
      </c>
      <c r="I2367">
        <v>5</v>
      </c>
    </row>
    <row r="2368" spans="1:9" ht="15.6" x14ac:dyDescent="0.3">
      <c r="A2368" s="9">
        <v>2367</v>
      </c>
      <c r="B2368" s="2" t="s">
        <v>2373</v>
      </c>
      <c r="C2368" s="11">
        <v>14</v>
      </c>
      <c r="D2368" s="12">
        <v>50</v>
      </c>
      <c r="E2368" s="12" t="s">
        <v>8219</v>
      </c>
      <c r="F2368" s="13">
        <v>6</v>
      </c>
      <c r="G2368" s="14">
        <v>1807.23</v>
      </c>
      <c r="H2368" t="s">
        <v>1088</v>
      </c>
      <c r="I2368">
        <v>5</v>
      </c>
    </row>
    <row r="2369" spans="1:9" ht="15.6" x14ac:dyDescent="0.3">
      <c r="A2369" s="9">
        <v>2368</v>
      </c>
      <c r="B2369" s="2" t="s">
        <v>2374</v>
      </c>
      <c r="C2369" s="11">
        <v>8</v>
      </c>
      <c r="D2369" s="12">
        <v>33.333333333333329</v>
      </c>
      <c r="E2369" s="12" t="s">
        <v>8219</v>
      </c>
      <c r="F2369" s="13">
        <v>6</v>
      </c>
      <c r="G2369" s="14">
        <v>1782.21</v>
      </c>
      <c r="H2369" t="s">
        <v>64</v>
      </c>
      <c r="I2369">
        <v>4</v>
      </c>
    </row>
    <row r="2370" spans="1:9" ht="15.6" x14ac:dyDescent="0.3">
      <c r="A2370" s="9">
        <v>2369</v>
      </c>
      <c r="B2370" s="2" t="s">
        <v>2375</v>
      </c>
      <c r="C2370" s="11">
        <v>30</v>
      </c>
      <c r="D2370" s="12">
        <v>50</v>
      </c>
      <c r="E2370" s="12" t="s">
        <v>8219</v>
      </c>
      <c r="F2370" s="13">
        <v>6</v>
      </c>
      <c r="G2370" s="14">
        <v>1785.2399999999998</v>
      </c>
      <c r="H2370" t="s">
        <v>4080</v>
      </c>
      <c r="I2370">
        <v>7</v>
      </c>
    </row>
    <row r="2371" spans="1:9" ht="15.6" x14ac:dyDescent="0.3">
      <c r="A2371" s="9">
        <v>2370</v>
      </c>
      <c r="B2371" s="2" t="s">
        <v>2376</v>
      </c>
      <c r="C2371" s="11">
        <v>28</v>
      </c>
      <c r="D2371" s="12">
        <v>66.666666666666657</v>
      </c>
      <c r="E2371" s="12" t="s">
        <v>8220</v>
      </c>
      <c r="F2371" s="13">
        <v>6</v>
      </c>
      <c r="G2371" s="14">
        <v>1761.21</v>
      </c>
      <c r="H2371" t="s">
        <v>3056</v>
      </c>
      <c r="I2371">
        <v>7</v>
      </c>
    </row>
    <row r="2372" spans="1:9" ht="15.6" x14ac:dyDescent="0.3">
      <c r="A2372" s="9">
        <v>2371</v>
      </c>
      <c r="B2372" s="2" t="s">
        <v>2377</v>
      </c>
      <c r="C2372" s="11">
        <v>28</v>
      </c>
      <c r="D2372" s="12">
        <v>66.666666666666657</v>
      </c>
      <c r="E2372" s="12" t="s">
        <v>8220</v>
      </c>
      <c r="F2372" s="13">
        <v>6</v>
      </c>
      <c r="G2372" s="14">
        <v>1801.2399999999998</v>
      </c>
      <c r="H2372" t="s">
        <v>2032</v>
      </c>
      <c r="I2372">
        <v>7</v>
      </c>
    </row>
    <row r="2373" spans="1:9" ht="15.6" x14ac:dyDescent="0.3">
      <c r="A2373" s="9">
        <v>2372</v>
      </c>
      <c r="B2373" s="2" t="s">
        <v>2378</v>
      </c>
      <c r="C2373" s="11">
        <v>22</v>
      </c>
      <c r="D2373" s="12">
        <v>50</v>
      </c>
      <c r="E2373" s="12" t="s">
        <v>8219</v>
      </c>
      <c r="F2373" s="13">
        <v>6</v>
      </c>
      <c r="G2373" s="14">
        <v>1776.2199999999998</v>
      </c>
      <c r="H2373" t="s">
        <v>1008</v>
      </c>
      <c r="I2373">
        <v>6</v>
      </c>
    </row>
    <row r="2374" spans="1:9" ht="15.6" x14ac:dyDescent="0.3">
      <c r="A2374" s="9">
        <v>2373</v>
      </c>
      <c r="B2374" s="2" t="s">
        <v>2379</v>
      </c>
      <c r="C2374" s="11">
        <v>28</v>
      </c>
      <c r="D2374" s="12">
        <v>66.666666666666657</v>
      </c>
      <c r="E2374" s="12" t="s">
        <v>8220</v>
      </c>
      <c r="F2374" s="13">
        <v>6</v>
      </c>
      <c r="G2374" s="14">
        <v>1761.21</v>
      </c>
      <c r="H2374" t="s">
        <v>3824</v>
      </c>
      <c r="I2374">
        <v>7</v>
      </c>
    </row>
    <row r="2375" spans="1:9" ht="15.6" x14ac:dyDescent="0.3">
      <c r="A2375" s="9">
        <v>2374</v>
      </c>
      <c r="B2375" s="2" t="s">
        <v>2380</v>
      </c>
      <c r="C2375" s="11">
        <v>26</v>
      </c>
      <c r="D2375" s="12">
        <v>83.333333333333343</v>
      </c>
      <c r="E2375" s="12" t="s">
        <v>8220</v>
      </c>
      <c r="F2375" s="13">
        <v>6</v>
      </c>
      <c r="G2375" s="14">
        <v>1737.1799999999998</v>
      </c>
      <c r="H2375" t="s">
        <v>2800</v>
      </c>
      <c r="I2375">
        <v>7</v>
      </c>
    </row>
    <row r="2376" spans="1:9" ht="15.6" x14ac:dyDescent="0.3">
      <c r="A2376" s="9">
        <v>2375</v>
      </c>
      <c r="B2376" s="2" t="s">
        <v>2381</v>
      </c>
      <c r="C2376" s="11">
        <v>26</v>
      </c>
      <c r="D2376" s="12">
        <v>83.333333333333343</v>
      </c>
      <c r="E2376" s="12" t="s">
        <v>8220</v>
      </c>
      <c r="F2376" s="13">
        <v>6</v>
      </c>
      <c r="G2376" s="14">
        <v>1777.21</v>
      </c>
      <c r="H2376" t="s">
        <v>1776</v>
      </c>
      <c r="I2376">
        <v>7</v>
      </c>
    </row>
    <row r="2377" spans="1:9" ht="15.6" x14ac:dyDescent="0.3">
      <c r="A2377" s="9">
        <v>2376</v>
      </c>
      <c r="B2377" s="2" t="s">
        <v>2382</v>
      </c>
      <c r="C2377" s="11">
        <v>20</v>
      </c>
      <c r="D2377" s="12">
        <v>66.666666666666657</v>
      </c>
      <c r="E2377" s="12" t="s">
        <v>8220</v>
      </c>
      <c r="F2377" s="13">
        <v>6</v>
      </c>
      <c r="G2377" s="14">
        <v>1752.19</v>
      </c>
      <c r="H2377" t="s">
        <v>752</v>
      </c>
      <c r="I2377">
        <v>6</v>
      </c>
    </row>
    <row r="2378" spans="1:9" ht="15.6" x14ac:dyDescent="0.3">
      <c r="A2378" s="9">
        <v>2377</v>
      </c>
      <c r="B2378" s="2" t="s">
        <v>2383</v>
      </c>
      <c r="C2378" s="11">
        <v>28</v>
      </c>
      <c r="D2378" s="12">
        <v>66.666666666666657</v>
      </c>
      <c r="E2378" s="12" t="s">
        <v>8220</v>
      </c>
      <c r="F2378" s="13">
        <v>6</v>
      </c>
      <c r="G2378" s="14">
        <v>1801.2399999999998</v>
      </c>
      <c r="H2378" t="s">
        <v>3568</v>
      </c>
      <c r="I2378">
        <v>7</v>
      </c>
    </row>
    <row r="2379" spans="1:9" ht="15.6" x14ac:dyDescent="0.3">
      <c r="A2379" s="9">
        <v>2378</v>
      </c>
      <c r="B2379" s="2" t="s">
        <v>2384</v>
      </c>
      <c r="C2379" s="11">
        <v>26</v>
      </c>
      <c r="D2379" s="12">
        <v>83.333333333333343</v>
      </c>
      <c r="E2379" s="12" t="s">
        <v>8220</v>
      </c>
      <c r="F2379" s="13">
        <v>6</v>
      </c>
      <c r="G2379" s="14">
        <v>1777.21</v>
      </c>
      <c r="H2379" t="s">
        <v>2544</v>
      </c>
      <c r="I2379">
        <v>7</v>
      </c>
    </row>
    <row r="2380" spans="1:9" ht="15.6" x14ac:dyDescent="0.3">
      <c r="A2380" s="9">
        <v>2379</v>
      </c>
      <c r="B2380" s="2" t="s">
        <v>2385</v>
      </c>
      <c r="C2380" s="11">
        <v>26</v>
      </c>
      <c r="D2380" s="12">
        <v>83.333333333333343</v>
      </c>
      <c r="E2380" s="12" t="s">
        <v>8220</v>
      </c>
      <c r="F2380" s="13">
        <v>6</v>
      </c>
      <c r="G2380" s="14">
        <v>1817.2400000000002</v>
      </c>
      <c r="H2380" t="s">
        <v>1520</v>
      </c>
      <c r="I2380">
        <v>7</v>
      </c>
    </row>
    <row r="2381" spans="1:9" ht="15.6" x14ac:dyDescent="0.3">
      <c r="A2381" s="9">
        <v>2380</v>
      </c>
      <c r="B2381" s="2" t="s">
        <v>2386</v>
      </c>
      <c r="C2381" s="11">
        <v>20</v>
      </c>
      <c r="D2381" s="12">
        <v>66.666666666666657</v>
      </c>
      <c r="E2381" s="12" t="s">
        <v>8220</v>
      </c>
      <c r="F2381" s="13">
        <v>6</v>
      </c>
      <c r="G2381" s="14">
        <v>1792.2199999999998</v>
      </c>
      <c r="H2381" t="s">
        <v>496</v>
      </c>
      <c r="I2381">
        <v>6</v>
      </c>
    </row>
    <row r="2382" spans="1:9" ht="15.6" x14ac:dyDescent="0.3">
      <c r="A2382" s="9">
        <v>2381</v>
      </c>
      <c r="B2382" s="2" t="s">
        <v>2387</v>
      </c>
      <c r="C2382" s="11">
        <v>22</v>
      </c>
      <c r="D2382" s="12">
        <v>50</v>
      </c>
      <c r="E2382" s="12" t="s">
        <v>8219</v>
      </c>
      <c r="F2382" s="13">
        <v>6</v>
      </c>
      <c r="G2382" s="14">
        <v>1776.2199999999998</v>
      </c>
      <c r="H2382" t="s">
        <v>3312</v>
      </c>
      <c r="I2382">
        <v>6</v>
      </c>
    </row>
    <row r="2383" spans="1:9" ht="15.6" x14ac:dyDescent="0.3">
      <c r="A2383" s="9">
        <v>2382</v>
      </c>
      <c r="B2383" s="2" t="s">
        <v>2388</v>
      </c>
      <c r="C2383" s="11">
        <v>20</v>
      </c>
      <c r="D2383" s="12">
        <v>66.666666666666657</v>
      </c>
      <c r="E2383" s="12" t="s">
        <v>8220</v>
      </c>
      <c r="F2383" s="13">
        <v>6</v>
      </c>
      <c r="G2383" s="14">
        <v>1752.19</v>
      </c>
      <c r="H2383" t="s">
        <v>2288</v>
      </c>
      <c r="I2383">
        <v>6</v>
      </c>
    </row>
    <row r="2384" spans="1:9" ht="15.6" x14ac:dyDescent="0.3">
      <c r="A2384" s="9">
        <v>2383</v>
      </c>
      <c r="B2384" s="2" t="s">
        <v>2389</v>
      </c>
      <c r="C2384" s="11">
        <v>20</v>
      </c>
      <c r="D2384" s="12">
        <v>66.666666666666657</v>
      </c>
      <c r="E2384" s="12" t="s">
        <v>8220</v>
      </c>
      <c r="F2384" s="13">
        <v>6</v>
      </c>
      <c r="G2384" s="14">
        <v>1792.2199999999998</v>
      </c>
      <c r="H2384" t="s">
        <v>1264</v>
      </c>
      <c r="I2384">
        <v>6</v>
      </c>
    </row>
    <row r="2385" spans="1:9" ht="15.6" x14ac:dyDescent="0.3">
      <c r="A2385" s="9">
        <v>2384</v>
      </c>
      <c r="B2385" s="2" t="s">
        <v>2390</v>
      </c>
      <c r="C2385" s="11">
        <v>14</v>
      </c>
      <c r="D2385" s="12">
        <v>50</v>
      </c>
      <c r="E2385" s="12" t="s">
        <v>8219</v>
      </c>
      <c r="F2385" s="13">
        <v>6</v>
      </c>
      <c r="G2385" s="14">
        <v>1767.1999999999998</v>
      </c>
      <c r="H2385" t="s">
        <v>240</v>
      </c>
      <c r="I2385">
        <v>5</v>
      </c>
    </row>
    <row r="2386" spans="1:9" ht="15.6" x14ac:dyDescent="0.3">
      <c r="A2386" s="9">
        <v>2385</v>
      </c>
      <c r="B2386" s="2" t="s">
        <v>2391</v>
      </c>
      <c r="C2386" s="11">
        <v>28</v>
      </c>
      <c r="D2386" s="12">
        <v>66.666666666666657</v>
      </c>
      <c r="E2386" s="12" t="s">
        <v>8220</v>
      </c>
      <c r="F2386" s="13">
        <v>6</v>
      </c>
      <c r="G2386" s="14">
        <v>1761.21</v>
      </c>
      <c r="H2386" t="s">
        <v>4016</v>
      </c>
      <c r="I2386">
        <v>7</v>
      </c>
    </row>
    <row r="2387" spans="1:9" ht="15.6" x14ac:dyDescent="0.3">
      <c r="A2387" s="9">
        <v>2386</v>
      </c>
      <c r="B2387" s="2" t="s">
        <v>2392</v>
      </c>
      <c r="C2387" s="11">
        <v>26</v>
      </c>
      <c r="D2387" s="12">
        <v>83.333333333333343</v>
      </c>
      <c r="E2387" s="12" t="s">
        <v>8220</v>
      </c>
      <c r="F2387" s="13">
        <v>6</v>
      </c>
      <c r="G2387" s="14">
        <v>1737.1799999999998</v>
      </c>
      <c r="H2387" t="s">
        <v>2992</v>
      </c>
      <c r="I2387">
        <v>7</v>
      </c>
    </row>
    <row r="2388" spans="1:9" ht="15.6" x14ac:dyDescent="0.3">
      <c r="A2388" s="9">
        <v>2387</v>
      </c>
      <c r="B2388" s="2" t="s">
        <v>2393</v>
      </c>
      <c r="C2388" s="11">
        <v>26</v>
      </c>
      <c r="D2388" s="12">
        <v>83.333333333333343</v>
      </c>
      <c r="E2388" s="12" t="s">
        <v>8220</v>
      </c>
      <c r="F2388" s="13">
        <v>6</v>
      </c>
      <c r="G2388" s="14">
        <v>1777.21</v>
      </c>
      <c r="H2388" t="s">
        <v>1968</v>
      </c>
      <c r="I2388">
        <v>7</v>
      </c>
    </row>
    <row r="2389" spans="1:9" ht="15.6" x14ac:dyDescent="0.3">
      <c r="A2389" s="9">
        <v>2388</v>
      </c>
      <c r="B2389" s="2" t="s">
        <v>2394</v>
      </c>
      <c r="C2389" s="11">
        <v>20</v>
      </c>
      <c r="D2389" s="12">
        <v>66.666666666666657</v>
      </c>
      <c r="E2389" s="12" t="s">
        <v>8220</v>
      </c>
      <c r="F2389" s="13">
        <v>6</v>
      </c>
      <c r="G2389" s="14">
        <v>1752.19</v>
      </c>
      <c r="H2389" t="s">
        <v>944</v>
      </c>
      <c r="I2389">
        <v>6</v>
      </c>
    </row>
    <row r="2390" spans="1:9" ht="15.6" x14ac:dyDescent="0.3">
      <c r="A2390" s="9">
        <v>2389</v>
      </c>
      <c r="B2390" s="2" t="s">
        <v>2395</v>
      </c>
      <c r="C2390" s="11">
        <v>26</v>
      </c>
      <c r="D2390" s="12">
        <v>83.333333333333343</v>
      </c>
      <c r="E2390" s="12" t="s">
        <v>8220</v>
      </c>
      <c r="F2390" s="13">
        <v>6</v>
      </c>
      <c r="G2390" s="14">
        <v>1737.1799999999998</v>
      </c>
      <c r="H2390" t="s">
        <v>3760</v>
      </c>
      <c r="I2390">
        <v>7</v>
      </c>
    </row>
    <row r="2391" spans="1:9" ht="15.6" x14ac:dyDescent="0.3">
      <c r="A2391" s="9">
        <v>2390</v>
      </c>
      <c r="B2391" s="2" t="s">
        <v>2396</v>
      </c>
      <c r="C2391" s="11">
        <v>24</v>
      </c>
      <c r="D2391" s="12">
        <v>100</v>
      </c>
      <c r="E2391" s="12" t="s">
        <v>8220</v>
      </c>
      <c r="F2391" s="13">
        <v>6</v>
      </c>
      <c r="G2391" s="14">
        <v>1713.15</v>
      </c>
      <c r="H2391" t="s">
        <v>2736</v>
      </c>
      <c r="I2391">
        <v>6</v>
      </c>
    </row>
    <row r="2392" spans="1:9" ht="15.6" x14ac:dyDescent="0.3">
      <c r="A2392" s="9">
        <v>2391</v>
      </c>
      <c r="B2392" s="2" t="s">
        <v>2397</v>
      </c>
      <c r="C2392" s="11">
        <v>24</v>
      </c>
      <c r="D2392" s="12">
        <v>100</v>
      </c>
      <c r="E2392" s="12" t="s">
        <v>8220</v>
      </c>
      <c r="F2392" s="13">
        <v>6</v>
      </c>
      <c r="G2392" s="14">
        <v>1753.1799999999998</v>
      </c>
      <c r="H2392" t="s">
        <v>1712</v>
      </c>
      <c r="I2392">
        <v>6</v>
      </c>
    </row>
    <row r="2393" spans="1:9" ht="15.6" x14ac:dyDescent="0.3">
      <c r="A2393" s="9">
        <v>2392</v>
      </c>
      <c r="B2393" s="2" t="s">
        <v>2398</v>
      </c>
      <c r="C2393" s="11">
        <v>18</v>
      </c>
      <c r="D2393" s="12">
        <v>83.333333333333343</v>
      </c>
      <c r="E2393" s="12" t="s">
        <v>8220</v>
      </c>
      <c r="F2393" s="13">
        <v>6</v>
      </c>
      <c r="G2393" s="14">
        <v>1728.1599999999999</v>
      </c>
      <c r="H2393" t="s">
        <v>688</v>
      </c>
      <c r="I2393">
        <v>5</v>
      </c>
    </row>
    <row r="2394" spans="1:9" ht="15.6" x14ac:dyDescent="0.3">
      <c r="A2394" s="9">
        <v>2393</v>
      </c>
      <c r="B2394" s="2" t="s">
        <v>2399</v>
      </c>
      <c r="C2394" s="11">
        <v>26</v>
      </c>
      <c r="D2394" s="12">
        <v>83.333333333333343</v>
      </c>
      <c r="E2394" s="12" t="s">
        <v>8220</v>
      </c>
      <c r="F2394" s="13">
        <v>6</v>
      </c>
      <c r="G2394" s="14">
        <v>1777.21</v>
      </c>
      <c r="H2394" t="s">
        <v>3504</v>
      </c>
      <c r="I2394">
        <v>7</v>
      </c>
    </row>
    <row r="2395" spans="1:9" ht="15.6" x14ac:dyDescent="0.3">
      <c r="A2395" s="9">
        <v>2394</v>
      </c>
      <c r="B2395" s="2" t="s">
        <v>2400</v>
      </c>
      <c r="C2395" s="11">
        <v>24</v>
      </c>
      <c r="D2395" s="12">
        <v>100</v>
      </c>
      <c r="E2395" s="12" t="s">
        <v>8220</v>
      </c>
      <c r="F2395" s="13">
        <v>6</v>
      </c>
      <c r="G2395" s="14">
        <v>1753.1799999999998</v>
      </c>
      <c r="H2395" t="s">
        <v>2480</v>
      </c>
      <c r="I2395">
        <v>6</v>
      </c>
    </row>
    <row r="2396" spans="1:9" ht="15.6" x14ac:dyDescent="0.3">
      <c r="A2396" s="9">
        <v>2395</v>
      </c>
      <c r="B2396" s="2" t="s">
        <v>2401</v>
      </c>
      <c r="C2396" s="11">
        <v>24</v>
      </c>
      <c r="D2396" s="12">
        <v>100</v>
      </c>
      <c r="E2396" s="12" t="s">
        <v>8220</v>
      </c>
      <c r="F2396" s="13">
        <v>6</v>
      </c>
      <c r="G2396" s="14">
        <v>1793.21</v>
      </c>
      <c r="H2396" t="s">
        <v>1456</v>
      </c>
      <c r="I2396">
        <v>6</v>
      </c>
    </row>
    <row r="2397" spans="1:9" ht="15.6" x14ac:dyDescent="0.3">
      <c r="A2397" s="9">
        <v>2396</v>
      </c>
      <c r="B2397" s="2" t="s">
        <v>2402</v>
      </c>
      <c r="C2397" s="11">
        <v>18</v>
      </c>
      <c r="D2397" s="12">
        <v>83.333333333333343</v>
      </c>
      <c r="E2397" s="12" t="s">
        <v>8220</v>
      </c>
      <c r="F2397" s="13">
        <v>6</v>
      </c>
      <c r="G2397" s="14">
        <v>1768.19</v>
      </c>
      <c r="H2397" t="s">
        <v>432</v>
      </c>
      <c r="I2397">
        <v>5</v>
      </c>
    </row>
    <row r="2398" spans="1:9" ht="15.6" x14ac:dyDescent="0.3">
      <c r="A2398" s="9">
        <v>2397</v>
      </c>
      <c r="B2398" s="2" t="s">
        <v>2403</v>
      </c>
      <c r="C2398" s="11">
        <v>20</v>
      </c>
      <c r="D2398" s="12">
        <v>66.666666666666657</v>
      </c>
      <c r="E2398" s="12" t="s">
        <v>8220</v>
      </c>
      <c r="F2398" s="13">
        <v>6</v>
      </c>
      <c r="G2398" s="14">
        <v>1752.19</v>
      </c>
      <c r="H2398" t="s">
        <v>3248</v>
      </c>
      <c r="I2398">
        <v>6</v>
      </c>
    </row>
    <row r="2399" spans="1:9" ht="15.6" x14ac:dyDescent="0.3">
      <c r="A2399" s="9">
        <v>2398</v>
      </c>
      <c r="B2399" s="2" t="s">
        <v>2404</v>
      </c>
      <c r="C2399" s="11">
        <v>18</v>
      </c>
      <c r="D2399" s="12">
        <v>83.333333333333343</v>
      </c>
      <c r="E2399" s="12" t="s">
        <v>8220</v>
      </c>
      <c r="F2399" s="13">
        <v>6</v>
      </c>
      <c r="G2399" s="14">
        <v>1728.1599999999999</v>
      </c>
      <c r="H2399" t="s">
        <v>2224</v>
      </c>
      <c r="I2399">
        <v>5</v>
      </c>
    </row>
    <row r="2400" spans="1:9" ht="15.6" x14ac:dyDescent="0.3">
      <c r="A2400" s="9">
        <v>2399</v>
      </c>
      <c r="B2400" s="2" t="s">
        <v>2405</v>
      </c>
      <c r="C2400" s="11">
        <v>18</v>
      </c>
      <c r="D2400" s="12">
        <v>83.333333333333343</v>
      </c>
      <c r="E2400" s="12" t="s">
        <v>8220</v>
      </c>
      <c r="F2400" s="13">
        <v>6</v>
      </c>
      <c r="G2400" s="14">
        <v>1768.19</v>
      </c>
      <c r="H2400" t="s">
        <v>1200</v>
      </c>
      <c r="I2400">
        <v>5</v>
      </c>
    </row>
    <row r="2401" spans="1:9" ht="15.6" x14ac:dyDescent="0.3">
      <c r="A2401" s="9">
        <v>2400</v>
      </c>
      <c r="B2401" s="2" t="s">
        <v>2406</v>
      </c>
      <c r="C2401" s="11">
        <v>12</v>
      </c>
      <c r="D2401" s="12">
        <v>66.666666666666657</v>
      </c>
      <c r="E2401" s="12" t="s">
        <v>8220</v>
      </c>
      <c r="F2401" s="13">
        <v>6</v>
      </c>
      <c r="G2401" s="14">
        <v>1743.17</v>
      </c>
      <c r="H2401" t="s">
        <v>176</v>
      </c>
      <c r="I2401">
        <v>4</v>
      </c>
    </row>
    <row r="2402" spans="1:9" ht="15.6" x14ac:dyDescent="0.3">
      <c r="A2402" s="9">
        <v>2401</v>
      </c>
      <c r="B2402" s="2" t="s">
        <v>2407</v>
      </c>
      <c r="C2402" s="11">
        <v>28</v>
      </c>
      <c r="D2402" s="12">
        <v>66.666666666666657</v>
      </c>
      <c r="E2402" s="12" t="s">
        <v>8220</v>
      </c>
      <c r="F2402" s="13">
        <v>6</v>
      </c>
      <c r="G2402" s="14">
        <v>1801.2399999999998</v>
      </c>
      <c r="H2402" t="s">
        <v>3952</v>
      </c>
      <c r="I2402">
        <v>7</v>
      </c>
    </row>
    <row r="2403" spans="1:9" ht="15.6" x14ac:dyDescent="0.3">
      <c r="A2403" s="9">
        <v>2402</v>
      </c>
      <c r="B2403" s="2" t="s">
        <v>2408</v>
      </c>
      <c r="C2403" s="11">
        <v>26</v>
      </c>
      <c r="D2403" s="12">
        <v>83.333333333333343</v>
      </c>
      <c r="E2403" s="12" t="s">
        <v>8220</v>
      </c>
      <c r="F2403" s="13">
        <v>6</v>
      </c>
      <c r="G2403" s="14">
        <v>1777.21</v>
      </c>
      <c r="H2403" t="s">
        <v>2928</v>
      </c>
      <c r="I2403">
        <v>7</v>
      </c>
    </row>
    <row r="2404" spans="1:9" ht="15.6" x14ac:dyDescent="0.3">
      <c r="A2404" s="9">
        <v>2403</v>
      </c>
      <c r="B2404" s="2" t="s">
        <v>2409</v>
      </c>
      <c r="C2404" s="11">
        <v>26</v>
      </c>
      <c r="D2404" s="12">
        <v>83.333333333333343</v>
      </c>
      <c r="E2404" s="12" t="s">
        <v>8220</v>
      </c>
      <c r="F2404" s="13">
        <v>6</v>
      </c>
      <c r="G2404" s="14">
        <v>1817.2400000000002</v>
      </c>
      <c r="H2404" t="s">
        <v>1904</v>
      </c>
      <c r="I2404">
        <v>7</v>
      </c>
    </row>
    <row r="2405" spans="1:9" ht="15.6" x14ac:dyDescent="0.3">
      <c r="A2405" s="9">
        <v>2404</v>
      </c>
      <c r="B2405" s="2" t="s">
        <v>2410</v>
      </c>
      <c r="C2405" s="11">
        <v>20</v>
      </c>
      <c r="D2405" s="12">
        <v>66.666666666666657</v>
      </c>
      <c r="E2405" s="12" t="s">
        <v>8220</v>
      </c>
      <c r="F2405" s="13">
        <v>6</v>
      </c>
      <c r="G2405" s="14">
        <v>1792.2199999999998</v>
      </c>
      <c r="H2405" t="s">
        <v>880</v>
      </c>
      <c r="I2405">
        <v>6</v>
      </c>
    </row>
    <row r="2406" spans="1:9" ht="15.6" x14ac:dyDescent="0.3">
      <c r="A2406" s="9">
        <v>2405</v>
      </c>
      <c r="B2406" s="2" t="s">
        <v>2411</v>
      </c>
      <c r="C2406" s="11">
        <v>26</v>
      </c>
      <c r="D2406" s="12">
        <v>83.333333333333343</v>
      </c>
      <c r="E2406" s="12" t="s">
        <v>8220</v>
      </c>
      <c r="F2406" s="13">
        <v>6</v>
      </c>
      <c r="G2406" s="14">
        <v>1777.21</v>
      </c>
      <c r="H2406" t="s">
        <v>3696</v>
      </c>
      <c r="I2406">
        <v>7</v>
      </c>
    </row>
    <row r="2407" spans="1:9" ht="15.6" x14ac:dyDescent="0.3">
      <c r="A2407" s="9">
        <v>2406</v>
      </c>
      <c r="B2407" s="2" t="s">
        <v>2412</v>
      </c>
      <c r="C2407" s="11">
        <v>24</v>
      </c>
      <c r="D2407" s="12">
        <v>100</v>
      </c>
      <c r="E2407" s="12" t="s">
        <v>8220</v>
      </c>
      <c r="F2407" s="13">
        <v>6</v>
      </c>
      <c r="G2407" s="14">
        <v>1753.1799999999998</v>
      </c>
      <c r="H2407" t="s">
        <v>2672</v>
      </c>
      <c r="I2407">
        <v>6</v>
      </c>
    </row>
    <row r="2408" spans="1:9" ht="15.6" x14ac:dyDescent="0.3">
      <c r="A2408" s="9">
        <v>2407</v>
      </c>
      <c r="B2408" s="2" t="s">
        <v>2413</v>
      </c>
      <c r="C2408" s="11">
        <v>24</v>
      </c>
      <c r="D2408" s="12">
        <v>100</v>
      </c>
      <c r="E2408" s="12" t="s">
        <v>8220</v>
      </c>
      <c r="F2408" s="13">
        <v>6</v>
      </c>
      <c r="G2408" s="14">
        <v>1793.21</v>
      </c>
      <c r="H2408" t="s">
        <v>1648</v>
      </c>
      <c r="I2408">
        <v>6</v>
      </c>
    </row>
    <row r="2409" spans="1:9" ht="15.6" x14ac:dyDescent="0.3">
      <c r="A2409" s="9">
        <v>2408</v>
      </c>
      <c r="B2409" s="2" t="s">
        <v>2414</v>
      </c>
      <c r="C2409" s="11">
        <v>18</v>
      </c>
      <c r="D2409" s="12">
        <v>83.333333333333343</v>
      </c>
      <c r="E2409" s="12" t="s">
        <v>8220</v>
      </c>
      <c r="F2409" s="13">
        <v>6</v>
      </c>
      <c r="G2409" s="14">
        <v>1768.19</v>
      </c>
      <c r="H2409" t="s">
        <v>624</v>
      </c>
      <c r="I2409">
        <v>5</v>
      </c>
    </row>
    <row r="2410" spans="1:9" ht="15.6" x14ac:dyDescent="0.3">
      <c r="A2410" s="9">
        <v>2409</v>
      </c>
      <c r="B2410" s="2" t="s">
        <v>2415</v>
      </c>
      <c r="C2410" s="11">
        <v>26</v>
      </c>
      <c r="D2410" s="12">
        <v>83.333333333333343</v>
      </c>
      <c r="E2410" s="12" t="s">
        <v>8220</v>
      </c>
      <c r="F2410" s="13">
        <v>6</v>
      </c>
      <c r="G2410" s="14">
        <v>1817.2400000000002</v>
      </c>
      <c r="H2410" t="s">
        <v>3440</v>
      </c>
      <c r="I2410">
        <v>7</v>
      </c>
    </row>
    <row r="2411" spans="1:9" ht="15.6" x14ac:dyDescent="0.3">
      <c r="A2411" s="9">
        <v>2410</v>
      </c>
      <c r="B2411" s="2" t="s">
        <v>2416</v>
      </c>
      <c r="C2411" s="11">
        <v>24</v>
      </c>
      <c r="D2411" s="12">
        <v>100</v>
      </c>
      <c r="E2411" s="12" t="s">
        <v>8220</v>
      </c>
      <c r="F2411" s="13">
        <v>6</v>
      </c>
      <c r="G2411" s="14">
        <v>1793.21</v>
      </c>
      <c r="H2411" t="s">
        <v>2416</v>
      </c>
      <c r="I2411">
        <v>6</v>
      </c>
    </row>
    <row r="2412" spans="1:9" ht="15.6" x14ac:dyDescent="0.3">
      <c r="A2412" s="9">
        <v>2411</v>
      </c>
      <c r="B2412" s="2" t="s">
        <v>2417</v>
      </c>
      <c r="C2412" s="11">
        <v>24</v>
      </c>
      <c r="D2412" s="12">
        <v>100</v>
      </c>
      <c r="E2412" s="12" t="s">
        <v>8220</v>
      </c>
      <c r="F2412" s="13">
        <v>6</v>
      </c>
      <c r="G2412" s="14">
        <v>1833.2400000000002</v>
      </c>
      <c r="H2412" t="s">
        <v>1392</v>
      </c>
      <c r="I2412">
        <v>6</v>
      </c>
    </row>
    <row r="2413" spans="1:9" ht="15.6" x14ac:dyDescent="0.3">
      <c r="A2413" s="9">
        <v>2412</v>
      </c>
      <c r="B2413" s="2" t="s">
        <v>2418</v>
      </c>
      <c r="C2413" s="11">
        <v>18</v>
      </c>
      <c r="D2413" s="12">
        <v>83.333333333333343</v>
      </c>
      <c r="E2413" s="12" t="s">
        <v>8220</v>
      </c>
      <c r="F2413" s="13">
        <v>6</v>
      </c>
      <c r="G2413" s="14">
        <v>1808.2200000000003</v>
      </c>
      <c r="H2413" t="s">
        <v>368</v>
      </c>
      <c r="I2413">
        <v>5</v>
      </c>
    </row>
    <row r="2414" spans="1:9" ht="15.6" x14ac:dyDescent="0.3">
      <c r="A2414" s="9">
        <v>2413</v>
      </c>
      <c r="B2414" s="2" t="s">
        <v>2419</v>
      </c>
      <c r="C2414" s="11">
        <v>20</v>
      </c>
      <c r="D2414" s="12">
        <v>66.666666666666657</v>
      </c>
      <c r="E2414" s="12" t="s">
        <v>8220</v>
      </c>
      <c r="F2414" s="13">
        <v>6</v>
      </c>
      <c r="G2414" s="14">
        <v>1792.2199999999998</v>
      </c>
      <c r="H2414" t="s">
        <v>3184</v>
      </c>
      <c r="I2414">
        <v>6</v>
      </c>
    </row>
    <row r="2415" spans="1:9" ht="15.6" x14ac:dyDescent="0.3">
      <c r="A2415" s="9">
        <v>2414</v>
      </c>
      <c r="B2415" s="2" t="s">
        <v>2420</v>
      </c>
      <c r="C2415" s="11">
        <v>18</v>
      </c>
      <c r="D2415" s="12">
        <v>83.333333333333343</v>
      </c>
      <c r="E2415" s="12" t="s">
        <v>8220</v>
      </c>
      <c r="F2415" s="13">
        <v>6</v>
      </c>
      <c r="G2415" s="14">
        <v>1768.19</v>
      </c>
      <c r="H2415" t="s">
        <v>2160</v>
      </c>
      <c r="I2415">
        <v>5</v>
      </c>
    </row>
    <row r="2416" spans="1:9" ht="15.6" x14ac:dyDescent="0.3">
      <c r="A2416" s="9">
        <v>2415</v>
      </c>
      <c r="B2416" s="2" t="s">
        <v>2421</v>
      </c>
      <c r="C2416" s="11">
        <v>18</v>
      </c>
      <c r="D2416" s="12">
        <v>83.333333333333343</v>
      </c>
      <c r="E2416" s="12" t="s">
        <v>8220</v>
      </c>
      <c r="F2416" s="13">
        <v>6</v>
      </c>
      <c r="G2416" s="14">
        <v>1808.2200000000003</v>
      </c>
      <c r="H2416" t="s">
        <v>1136</v>
      </c>
      <c r="I2416">
        <v>5</v>
      </c>
    </row>
    <row r="2417" spans="1:9" ht="15.6" x14ac:dyDescent="0.3">
      <c r="A2417" s="9">
        <v>2416</v>
      </c>
      <c r="B2417" s="2" t="s">
        <v>2422</v>
      </c>
      <c r="C2417" s="11">
        <v>12</v>
      </c>
      <c r="D2417" s="12">
        <v>66.666666666666657</v>
      </c>
      <c r="E2417" s="12" t="s">
        <v>8220</v>
      </c>
      <c r="F2417" s="13">
        <v>6</v>
      </c>
      <c r="G2417" s="14">
        <v>1783.1999999999998</v>
      </c>
      <c r="H2417" t="s">
        <v>112</v>
      </c>
      <c r="I2417">
        <v>4</v>
      </c>
    </row>
    <row r="2418" spans="1:9" ht="15.6" x14ac:dyDescent="0.3">
      <c r="A2418" s="9">
        <v>2417</v>
      </c>
      <c r="B2418" s="2" t="s">
        <v>2423</v>
      </c>
      <c r="C2418" s="11">
        <v>22</v>
      </c>
      <c r="D2418" s="12">
        <v>50</v>
      </c>
      <c r="E2418" s="12" t="s">
        <v>8219</v>
      </c>
      <c r="F2418" s="13">
        <v>6</v>
      </c>
      <c r="G2418" s="14">
        <v>1776.2199999999998</v>
      </c>
      <c r="H2418" t="s">
        <v>3888</v>
      </c>
      <c r="I2418">
        <v>6</v>
      </c>
    </row>
    <row r="2419" spans="1:9" ht="15.6" x14ac:dyDescent="0.3">
      <c r="A2419" s="9">
        <v>2418</v>
      </c>
      <c r="B2419" s="2" t="s">
        <v>2424</v>
      </c>
      <c r="C2419" s="11">
        <v>20</v>
      </c>
      <c r="D2419" s="12">
        <v>66.666666666666657</v>
      </c>
      <c r="E2419" s="12" t="s">
        <v>8220</v>
      </c>
      <c r="F2419" s="13">
        <v>6</v>
      </c>
      <c r="G2419" s="14">
        <v>1752.19</v>
      </c>
      <c r="H2419" t="s">
        <v>2864</v>
      </c>
      <c r="I2419">
        <v>6</v>
      </c>
    </row>
    <row r="2420" spans="1:9" ht="15.6" x14ac:dyDescent="0.3">
      <c r="A2420" s="9">
        <v>2419</v>
      </c>
      <c r="B2420" s="2" t="s">
        <v>2425</v>
      </c>
      <c r="C2420" s="11">
        <v>20</v>
      </c>
      <c r="D2420" s="12">
        <v>66.666666666666657</v>
      </c>
      <c r="E2420" s="12" t="s">
        <v>8220</v>
      </c>
      <c r="F2420" s="13">
        <v>6</v>
      </c>
      <c r="G2420" s="14">
        <v>1792.2199999999998</v>
      </c>
      <c r="H2420" t="s">
        <v>1840</v>
      </c>
      <c r="I2420">
        <v>6</v>
      </c>
    </row>
    <row r="2421" spans="1:9" ht="15.6" x14ac:dyDescent="0.3">
      <c r="A2421" s="9">
        <v>2420</v>
      </c>
      <c r="B2421" s="2" t="s">
        <v>2426</v>
      </c>
      <c r="C2421" s="11">
        <v>14</v>
      </c>
      <c r="D2421" s="12">
        <v>50</v>
      </c>
      <c r="E2421" s="12" t="s">
        <v>8219</v>
      </c>
      <c r="F2421" s="13">
        <v>6</v>
      </c>
      <c r="G2421" s="14">
        <v>1767.1999999999998</v>
      </c>
      <c r="H2421" t="s">
        <v>816</v>
      </c>
      <c r="I2421">
        <v>5</v>
      </c>
    </row>
    <row r="2422" spans="1:9" ht="15.6" x14ac:dyDescent="0.3">
      <c r="A2422" s="9">
        <v>2421</v>
      </c>
      <c r="B2422" s="2" t="s">
        <v>2427</v>
      </c>
      <c r="C2422" s="11">
        <v>20</v>
      </c>
      <c r="D2422" s="12">
        <v>66.666666666666657</v>
      </c>
      <c r="E2422" s="12" t="s">
        <v>8220</v>
      </c>
      <c r="F2422" s="13">
        <v>6</v>
      </c>
      <c r="G2422" s="14">
        <v>1752.19</v>
      </c>
      <c r="H2422" t="s">
        <v>3632</v>
      </c>
      <c r="I2422">
        <v>6</v>
      </c>
    </row>
    <row r="2423" spans="1:9" ht="15.6" x14ac:dyDescent="0.3">
      <c r="A2423" s="9">
        <v>2422</v>
      </c>
      <c r="B2423" s="2" t="s">
        <v>2428</v>
      </c>
      <c r="C2423" s="11">
        <v>18</v>
      </c>
      <c r="D2423" s="12">
        <v>83.333333333333343</v>
      </c>
      <c r="E2423" s="12" t="s">
        <v>8220</v>
      </c>
      <c r="F2423" s="13">
        <v>6</v>
      </c>
      <c r="G2423" s="14">
        <v>1728.1599999999999</v>
      </c>
      <c r="H2423" t="s">
        <v>2608</v>
      </c>
      <c r="I2423">
        <v>5</v>
      </c>
    </row>
    <row r="2424" spans="1:9" ht="15.6" x14ac:dyDescent="0.3">
      <c r="A2424" s="9">
        <v>2423</v>
      </c>
      <c r="B2424" s="2" t="s">
        <v>2429</v>
      </c>
      <c r="C2424" s="11">
        <v>18</v>
      </c>
      <c r="D2424" s="12">
        <v>83.333333333333343</v>
      </c>
      <c r="E2424" s="12" t="s">
        <v>8220</v>
      </c>
      <c r="F2424" s="13">
        <v>6</v>
      </c>
      <c r="G2424" s="14">
        <v>1768.19</v>
      </c>
      <c r="H2424" t="s">
        <v>1584</v>
      </c>
      <c r="I2424">
        <v>5</v>
      </c>
    </row>
    <row r="2425" spans="1:9" ht="15.6" x14ac:dyDescent="0.3">
      <c r="A2425" s="9">
        <v>2424</v>
      </c>
      <c r="B2425" s="2" t="s">
        <v>2430</v>
      </c>
      <c r="C2425" s="11">
        <v>12</v>
      </c>
      <c r="D2425" s="12">
        <v>66.666666666666657</v>
      </c>
      <c r="E2425" s="12" t="s">
        <v>8220</v>
      </c>
      <c r="F2425" s="13">
        <v>6</v>
      </c>
      <c r="G2425" s="14">
        <v>1743.17</v>
      </c>
      <c r="H2425" t="s">
        <v>560</v>
      </c>
      <c r="I2425">
        <v>4</v>
      </c>
    </row>
    <row r="2426" spans="1:9" ht="15.6" x14ac:dyDescent="0.3">
      <c r="A2426" s="9">
        <v>2425</v>
      </c>
      <c r="B2426" s="2" t="s">
        <v>2431</v>
      </c>
      <c r="C2426" s="11">
        <v>20</v>
      </c>
      <c r="D2426" s="12">
        <v>66.666666666666657</v>
      </c>
      <c r="E2426" s="12" t="s">
        <v>8220</v>
      </c>
      <c r="F2426" s="13">
        <v>6</v>
      </c>
      <c r="G2426" s="14">
        <v>1792.2199999999998</v>
      </c>
      <c r="H2426" t="s">
        <v>3376</v>
      </c>
      <c r="I2426">
        <v>6</v>
      </c>
    </row>
    <row r="2427" spans="1:9" ht="15.6" x14ac:dyDescent="0.3">
      <c r="A2427" s="9">
        <v>2426</v>
      </c>
      <c r="B2427" s="2" t="s">
        <v>2432</v>
      </c>
      <c r="C2427" s="11">
        <v>18</v>
      </c>
      <c r="D2427" s="12">
        <v>83.333333333333343</v>
      </c>
      <c r="E2427" s="12" t="s">
        <v>8220</v>
      </c>
      <c r="F2427" s="13">
        <v>6</v>
      </c>
      <c r="G2427" s="14">
        <v>1768.19</v>
      </c>
      <c r="H2427" t="s">
        <v>2352</v>
      </c>
      <c r="I2427">
        <v>5</v>
      </c>
    </row>
    <row r="2428" spans="1:9" ht="15.6" x14ac:dyDescent="0.3">
      <c r="A2428" s="9">
        <v>2427</v>
      </c>
      <c r="B2428" s="2" t="s">
        <v>2433</v>
      </c>
      <c r="C2428" s="11">
        <v>18</v>
      </c>
      <c r="D2428" s="12">
        <v>83.333333333333343</v>
      </c>
      <c r="E2428" s="12" t="s">
        <v>8220</v>
      </c>
      <c r="F2428" s="13">
        <v>6</v>
      </c>
      <c r="G2428" s="14">
        <v>1808.2200000000003</v>
      </c>
      <c r="H2428" t="s">
        <v>1328</v>
      </c>
      <c r="I2428">
        <v>5</v>
      </c>
    </row>
    <row r="2429" spans="1:9" ht="15.6" x14ac:dyDescent="0.3">
      <c r="A2429" s="9">
        <v>2428</v>
      </c>
      <c r="B2429" s="2" t="s">
        <v>2434</v>
      </c>
      <c r="C2429" s="11">
        <v>12</v>
      </c>
      <c r="D2429" s="12">
        <v>66.666666666666657</v>
      </c>
      <c r="E2429" s="12" t="s">
        <v>8220</v>
      </c>
      <c r="F2429" s="13">
        <v>6</v>
      </c>
      <c r="G2429" s="14">
        <v>1783.1999999999998</v>
      </c>
      <c r="H2429" t="s">
        <v>304</v>
      </c>
      <c r="I2429">
        <v>4</v>
      </c>
    </row>
    <row r="2430" spans="1:9" ht="15.6" x14ac:dyDescent="0.3">
      <c r="A2430" s="9">
        <v>2429</v>
      </c>
      <c r="B2430" s="2" t="s">
        <v>2435</v>
      </c>
      <c r="C2430" s="11">
        <v>14</v>
      </c>
      <c r="D2430" s="12">
        <v>50</v>
      </c>
      <c r="E2430" s="12" t="s">
        <v>8219</v>
      </c>
      <c r="F2430" s="13">
        <v>6</v>
      </c>
      <c r="G2430" s="14">
        <v>1767.1999999999998</v>
      </c>
      <c r="H2430" t="s">
        <v>3120</v>
      </c>
      <c r="I2430">
        <v>5</v>
      </c>
    </row>
    <row r="2431" spans="1:9" ht="15.6" x14ac:dyDescent="0.3">
      <c r="A2431" s="9">
        <v>2430</v>
      </c>
      <c r="B2431" s="2" t="s">
        <v>2436</v>
      </c>
      <c r="C2431" s="11">
        <v>12</v>
      </c>
      <c r="D2431" s="12">
        <v>66.666666666666657</v>
      </c>
      <c r="E2431" s="12" t="s">
        <v>8220</v>
      </c>
      <c r="F2431" s="13">
        <v>6</v>
      </c>
      <c r="G2431" s="14">
        <v>1743.17</v>
      </c>
      <c r="H2431" t="s">
        <v>2096</v>
      </c>
      <c r="I2431">
        <v>4</v>
      </c>
    </row>
    <row r="2432" spans="1:9" ht="15.6" x14ac:dyDescent="0.3">
      <c r="A2432" s="9">
        <v>2431</v>
      </c>
      <c r="B2432" s="2" t="s">
        <v>2437</v>
      </c>
      <c r="C2432" s="11">
        <v>12</v>
      </c>
      <c r="D2432" s="12">
        <v>66.666666666666657</v>
      </c>
      <c r="E2432" s="12" t="s">
        <v>8220</v>
      </c>
      <c r="F2432" s="13">
        <v>6</v>
      </c>
      <c r="G2432" s="14">
        <v>1783.1999999999998</v>
      </c>
      <c r="H2432" t="s">
        <v>1072</v>
      </c>
      <c r="I2432">
        <v>4</v>
      </c>
    </row>
    <row r="2433" spans="1:9" ht="15.6" x14ac:dyDescent="0.3">
      <c r="A2433" s="9">
        <v>2432</v>
      </c>
      <c r="B2433" s="2" t="s">
        <v>2438</v>
      </c>
      <c r="C2433" s="11">
        <v>6</v>
      </c>
      <c r="D2433" s="12">
        <v>50</v>
      </c>
      <c r="E2433" s="12" t="s">
        <v>8219</v>
      </c>
      <c r="F2433" s="13">
        <v>6</v>
      </c>
      <c r="G2433" s="14">
        <v>1758.1799999999998</v>
      </c>
      <c r="H2433" t="s">
        <v>48</v>
      </c>
      <c r="I2433">
        <v>3</v>
      </c>
    </row>
    <row r="2434" spans="1:9" ht="15.6" x14ac:dyDescent="0.3">
      <c r="A2434" s="9">
        <v>2433</v>
      </c>
      <c r="B2434" s="2" t="s">
        <v>2439</v>
      </c>
      <c r="C2434" s="11">
        <v>30</v>
      </c>
      <c r="D2434" s="12">
        <v>50</v>
      </c>
      <c r="E2434" s="12" t="s">
        <v>8219</v>
      </c>
      <c r="F2434" s="13">
        <v>6</v>
      </c>
      <c r="G2434" s="14">
        <v>1825.27</v>
      </c>
      <c r="H2434" t="s">
        <v>4064</v>
      </c>
      <c r="I2434">
        <v>7</v>
      </c>
    </row>
    <row r="2435" spans="1:9" ht="15.6" x14ac:dyDescent="0.3">
      <c r="A2435" s="9">
        <v>2434</v>
      </c>
      <c r="B2435" s="2" t="s">
        <v>2440</v>
      </c>
      <c r="C2435" s="11">
        <v>28</v>
      </c>
      <c r="D2435" s="12">
        <v>66.666666666666657</v>
      </c>
      <c r="E2435" s="12" t="s">
        <v>8220</v>
      </c>
      <c r="F2435" s="13">
        <v>6</v>
      </c>
      <c r="G2435" s="14">
        <v>1801.2399999999998</v>
      </c>
      <c r="H2435" t="s">
        <v>3040</v>
      </c>
      <c r="I2435">
        <v>7</v>
      </c>
    </row>
    <row r="2436" spans="1:9" ht="15.6" x14ac:dyDescent="0.3">
      <c r="A2436" s="9">
        <v>2435</v>
      </c>
      <c r="B2436" s="2" t="s">
        <v>2441</v>
      </c>
      <c r="C2436" s="11">
        <v>28</v>
      </c>
      <c r="D2436" s="12">
        <v>66.666666666666657</v>
      </c>
      <c r="E2436" s="12" t="s">
        <v>8220</v>
      </c>
      <c r="F2436" s="13">
        <v>6</v>
      </c>
      <c r="G2436" s="14">
        <v>1841.27</v>
      </c>
      <c r="H2436" t="s">
        <v>2016</v>
      </c>
      <c r="I2436">
        <v>7</v>
      </c>
    </row>
    <row r="2437" spans="1:9" ht="15.6" x14ac:dyDescent="0.3">
      <c r="A2437" s="9">
        <v>2436</v>
      </c>
      <c r="B2437" s="2" t="s">
        <v>2442</v>
      </c>
      <c r="C2437" s="11">
        <v>22</v>
      </c>
      <c r="D2437" s="12">
        <v>50</v>
      </c>
      <c r="E2437" s="12" t="s">
        <v>8219</v>
      </c>
      <c r="F2437" s="13">
        <v>6</v>
      </c>
      <c r="G2437" s="14">
        <v>1816.25</v>
      </c>
      <c r="H2437" t="s">
        <v>992</v>
      </c>
      <c r="I2437">
        <v>6</v>
      </c>
    </row>
    <row r="2438" spans="1:9" ht="15.6" x14ac:dyDescent="0.3">
      <c r="A2438" s="9">
        <v>2437</v>
      </c>
      <c r="B2438" s="2" t="s">
        <v>2443</v>
      </c>
      <c r="C2438" s="11">
        <v>28</v>
      </c>
      <c r="D2438" s="12">
        <v>66.666666666666657</v>
      </c>
      <c r="E2438" s="12" t="s">
        <v>8220</v>
      </c>
      <c r="F2438" s="13">
        <v>6</v>
      </c>
      <c r="G2438" s="14">
        <v>1801.2399999999998</v>
      </c>
      <c r="H2438" t="s">
        <v>3808</v>
      </c>
      <c r="I2438">
        <v>7</v>
      </c>
    </row>
    <row r="2439" spans="1:9" ht="15.6" x14ac:dyDescent="0.3">
      <c r="A2439" s="9">
        <v>2438</v>
      </c>
      <c r="B2439" s="2" t="s">
        <v>2444</v>
      </c>
      <c r="C2439" s="11">
        <v>26</v>
      </c>
      <c r="D2439" s="12">
        <v>83.333333333333343</v>
      </c>
      <c r="E2439" s="12" t="s">
        <v>8220</v>
      </c>
      <c r="F2439" s="13">
        <v>6</v>
      </c>
      <c r="G2439" s="14">
        <v>1777.21</v>
      </c>
      <c r="H2439" t="s">
        <v>2784</v>
      </c>
      <c r="I2439">
        <v>7</v>
      </c>
    </row>
    <row r="2440" spans="1:9" ht="15.6" x14ac:dyDescent="0.3">
      <c r="A2440" s="9">
        <v>2439</v>
      </c>
      <c r="B2440" s="2" t="s">
        <v>2445</v>
      </c>
      <c r="C2440" s="11">
        <v>26</v>
      </c>
      <c r="D2440" s="12">
        <v>83.333333333333343</v>
      </c>
      <c r="E2440" s="12" t="s">
        <v>8220</v>
      </c>
      <c r="F2440" s="13">
        <v>6</v>
      </c>
      <c r="G2440" s="14">
        <v>1817.2400000000002</v>
      </c>
      <c r="H2440" t="s">
        <v>1760</v>
      </c>
      <c r="I2440">
        <v>7</v>
      </c>
    </row>
    <row r="2441" spans="1:9" ht="15.6" x14ac:dyDescent="0.3">
      <c r="A2441" s="9">
        <v>2440</v>
      </c>
      <c r="B2441" s="2" t="s">
        <v>2446</v>
      </c>
      <c r="C2441" s="11">
        <v>20</v>
      </c>
      <c r="D2441" s="12">
        <v>66.666666666666657</v>
      </c>
      <c r="E2441" s="12" t="s">
        <v>8220</v>
      </c>
      <c r="F2441" s="13">
        <v>6</v>
      </c>
      <c r="G2441" s="14">
        <v>1792.2199999999998</v>
      </c>
      <c r="H2441" t="s">
        <v>736</v>
      </c>
      <c r="I2441">
        <v>6</v>
      </c>
    </row>
    <row r="2442" spans="1:9" ht="15.6" x14ac:dyDescent="0.3">
      <c r="A2442" s="9">
        <v>2441</v>
      </c>
      <c r="B2442" s="2" t="s">
        <v>2447</v>
      </c>
      <c r="C2442" s="11">
        <v>28</v>
      </c>
      <c r="D2442" s="12">
        <v>66.666666666666657</v>
      </c>
      <c r="E2442" s="12" t="s">
        <v>8220</v>
      </c>
      <c r="F2442" s="13">
        <v>6</v>
      </c>
      <c r="G2442" s="14">
        <v>1841.27</v>
      </c>
      <c r="H2442" t="s">
        <v>3552</v>
      </c>
      <c r="I2442">
        <v>7</v>
      </c>
    </row>
    <row r="2443" spans="1:9" ht="15.6" x14ac:dyDescent="0.3">
      <c r="A2443" s="9">
        <v>2442</v>
      </c>
      <c r="B2443" s="2" t="s">
        <v>2448</v>
      </c>
      <c r="C2443" s="11">
        <v>26</v>
      </c>
      <c r="D2443" s="12">
        <v>83.333333333333343</v>
      </c>
      <c r="E2443" s="12" t="s">
        <v>8220</v>
      </c>
      <c r="F2443" s="13">
        <v>6</v>
      </c>
      <c r="G2443" s="14">
        <v>1817.2400000000002</v>
      </c>
      <c r="H2443" t="s">
        <v>2528</v>
      </c>
      <c r="I2443">
        <v>7</v>
      </c>
    </row>
    <row r="2444" spans="1:9" ht="15.6" x14ac:dyDescent="0.3">
      <c r="A2444" s="9">
        <v>2443</v>
      </c>
      <c r="B2444" s="2" t="s">
        <v>2449</v>
      </c>
      <c r="C2444" s="11">
        <v>26</v>
      </c>
      <c r="D2444" s="12">
        <v>83.333333333333343</v>
      </c>
      <c r="E2444" s="12" t="s">
        <v>8220</v>
      </c>
      <c r="F2444" s="13">
        <v>6</v>
      </c>
      <c r="G2444" s="14">
        <v>1857.27</v>
      </c>
      <c r="H2444" t="s">
        <v>1504</v>
      </c>
      <c r="I2444">
        <v>7</v>
      </c>
    </row>
    <row r="2445" spans="1:9" ht="15.6" x14ac:dyDescent="0.3">
      <c r="A2445" s="9">
        <v>2444</v>
      </c>
      <c r="B2445" s="2" t="s">
        <v>2450</v>
      </c>
      <c r="C2445" s="11">
        <v>20</v>
      </c>
      <c r="D2445" s="12">
        <v>66.666666666666657</v>
      </c>
      <c r="E2445" s="12" t="s">
        <v>8220</v>
      </c>
      <c r="F2445" s="13">
        <v>6</v>
      </c>
      <c r="G2445" s="14">
        <v>1832.25</v>
      </c>
      <c r="H2445" t="s">
        <v>480</v>
      </c>
      <c r="I2445">
        <v>6</v>
      </c>
    </row>
    <row r="2446" spans="1:9" ht="15.6" x14ac:dyDescent="0.3">
      <c r="A2446" s="9">
        <v>2445</v>
      </c>
      <c r="B2446" s="2" t="s">
        <v>2451</v>
      </c>
      <c r="C2446" s="11">
        <v>22</v>
      </c>
      <c r="D2446" s="12">
        <v>50</v>
      </c>
      <c r="E2446" s="12" t="s">
        <v>8219</v>
      </c>
      <c r="F2446" s="13">
        <v>6</v>
      </c>
      <c r="G2446" s="14">
        <v>1816.25</v>
      </c>
      <c r="H2446" t="s">
        <v>3296</v>
      </c>
      <c r="I2446">
        <v>6</v>
      </c>
    </row>
    <row r="2447" spans="1:9" ht="15.6" x14ac:dyDescent="0.3">
      <c r="A2447" s="9">
        <v>2446</v>
      </c>
      <c r="B2447" s="2" t="s">
        <v>2452</v>
      </c>
      <c r="C2447" s="11">
        <v>20</v>
      </c>
      <c r="D2447" s="12">
        <v>66.666666666666657</v>
      </c>
      <c r="E2447" s="12" t="s">
        <v>8220</v>
      </c>
      <c r="F2447" s="13">
        <v>6</v>
      </c>
      <c r="G2447" s="14">
        <v>1792.2199999999998</v>
      </c>
      <c r="H2447" t="s">
        <v>2272</v>
      </c>
      <c r="I2447">
        <v>6</v>
      </c>
    </row>
    <row r="2448" spans="1:9" ht="15.6" x14ac:dyDescent="0.3">
      <c r="A2448" s="9">
        <v>2447</v>
      </c>
      <c r="B2448" s="2" t="s">
        <v>2453</v>
      </c>
      <c r="C2448" s="11">
        <v>20</v>
      </c>
      <c r="D2448" s="12">
        <v>66.666666666666657</v>
      </c>
      <c r="E2448" s="12" t="s">
        <v>8220</v>
      </c>
      <c r="F2448" s="13">
        <v>6</v>
      </c>
      <c r="G2448" s="14">
        <v>1832.25</v>
      </c>
      <c r="H2448" t="s">
        <v>1248</v>
      </c>
      <c r="I2448">
        <v>6</v>
      </c>
    </row>
    <row r="2449" spans="1:9" ht="15.6" x14ac:dyDescent="0.3">
      <c r="A2449" s="9">
        <v>2448</v>
      </c>
      <c r="B2449" s="2" t="s">
        <v>2454</v>
      </c>
      <c r="C2449" s="11">
        <v>14</v>
      </c>
      <c r="D2449" s="12">
        <v>50</v>
      </c>
      <c r="E2449" s="12" t="s">
        <v>8219</v>
      </c>
      <c r="F2449" s="13">
        <v>6</v>
      </c>
      <c r="G2449" s="14">
        <v>1807.23</v>
      </c>
      <c r="H2449" t="s">
        <v>224</v>
      </c>
      <c r="I2449">
        <v>5</v>
      </c>
    </row>
    <row r="2450" spans="1:9" ht="15.6" x14ac:dyDescent="0.3">
      <c r="A2450" s="9">
        <v>2449</v>
      </c>
      <c r="B2450" s="2" t="s">
        <v>2455</v>
      </c>
      <c r="C2450" s="11">
        <v>28</v>
      </c>
      <c r="D2450" s="12">
        <v>66.666666666666657</v>
      </c>
      <c r="E2450" s="12" t="s">
        <v>8220</v>
      </c>
      <c r="F2450" s="13">
        <v>6</v>
      </c>
      <c r="G2450" s="14">
        <v>1801.2399999999998</v>
      </c>
      <c r="H2450" t="s">
        <v>4000</v>
      </c>
      <c r="I2450">
        <v>7</v>
      </c>
    </row>
    <row r="2451" spans="1:9" ht="15.6" x14ac:dyDescent="0.3">
      <c r="A2451" s="9">
        <v>2450</v>
      </c>
      <c r="B2451" s="2" t="s">
        <v>2456</v>
      </c>
      <c r="C2451" s="11">
        <v>26</v>
      </c>
      <c r="D2451" s="12">
        <v>83.333333333333343</v>
      </c>
      <c r="E2451" s="12" t="s">
        <v>8220</v>
      </c>
      <c r="F2451" s="13">
        <v>6</v>
      </c>
      <c r="G2451" s="14">
        <v>1777.21</v>
      </c>
      <c r="H2451" t="s">
        <v>2976</v>
      </c>
      <c r="I2451">
        <v>7</v>
      </c>
    </row>
    <row r="2452" spans="1:9" ht="15.6" x14ac:dyDescent="0.3">
      <c r="A2452" s="9">
        <v>2451</v>
      </c>
      <c r="B2452" s="2" t="s">
        <v>2457</v>
      </c>
      <c r="C2452" s="11">
        <v>26</v>
      </c>
      <c r="D2452" s="12">
        <v>83.333333333333343</v>
      </c>
      <c r="E2452" s="12" t="s">
        <v>8220</v>
      </c>
      <c r="F2452" s="13">
        <v>6</v>
      </c>
      <c r="G2452" s="14">
        <v>1817.2400000000002</v>
      </c>
      <c r="H2452" t="s">
        <v>1952</v>
      </c>
      <c r="I2452">
        <v>7</v>
      </c>
    </row>
    <row r="2453" spans="1:9" ht="15.6" x14ac:dyDescent="0.3">
      <c r="A2453" s="9">
        <v>2452</v>
      </c>
      <c r="B2453" s="2" t="s">
        <v>2458</v>
      </c>
      <c r="C2453" s="11">
        <v>20</v>
      </c>
      <c r="D2453" s="12">
        <v>66.666666666666657</v>
      </c>
      <c r="E2453" s="12" t="s">
        <v>8220</v>
      </c>
      <c r="F2453" s="13">
        <v>6</v>
      </c>
      <c r="G2453" s="14">
        <v>1792.2199999999998</v>
      </c>
      <c r="H2453" t="s">
        <v>928</v>
      </c>
      <c r="I2453">
        <v>6</v>
      </c>
    </row>
    <row r="2454" spans="1:9" ht="15.6" x14ac:dyDescent="0.3">
      <c r="A2454" s="9">
        <v>2453</v>
      </c>
      <c r="B2454" s="2" t="s">
        <v>2459</v>
      </c>
      <c r="C2454" s="11">
        <v>26</v>
      </c>
      <c r="D2454" s="12">
        <v>83.333333333333343</v>
      </c>
      <c r="E2454" s="12" t="s">
        <v>8220</v>
      </c>
      <c r="F2454" s="13">
        <v>6</v>
      </c>
      <c r="G2454" s="14">
        <v>1777.21</v>
      </c>
      <c r="H2454" t="s">
        <v>3744</v>
      </c>
      <c r="I2454">
        <v>7</v>
      </c>
    </row>
    <row r="2455" spans="1:9" ht="15.6" x14ac:dyDescent="0.3">
      <c r="A2455" s="9">
        <v>2454</v>
      </c>
      <c r="B2455" s="2" t="s">
        <v>2460</v>
      </c>
      <c r="C2455" s="11">
        <v>24</v>
      </c>
      <c r="D2455" s="12">
        <v>100</v>
      </c>
      <c r="E2455" s="12" t="s">
        <v>8220</v>
      </c>
      <c r="F2455" s="13">
        <v>6</v>
      </c>
      <c r="G2455" s="14">
        <v>1753.1799999999998</v>
      </c>
      <c r="H2455" t="s">
        <v>2720</v>
      </c>
      <c r="I2455">
        <v>6</v>
      </c>
    </row>
    <row r="2456" spans="1:9" ht="15.6" x14ac:dyDescent="0.3">
      <c r="A2456" s="9">
        <v>2455</v>
      </c>
      <c r="B2456" s="2" t="s">
        <v>2461</v>
      </c>
      <c r="C2456" s="11">
        <v>24</v>
      </c>
      <c r="D2456" s="12">
        <v>100</v>
      </c>
      <c r="E2456" s="12" t="s">
        <v>8220</v>
      </c>
      <c r="F2456" s="13">
        <v>6</v>
      </c>
      <c r="G2456" s="14">
        <v>1793.21</v>
      </c>
      <c r="H2456" t="s">
        <v>1696</v>
      </c>
      <c r="I2456">
        <v>6</v>
      </c>
    </row>
    <row r="2457" spans="1:9" ht="15.6" x14ac:dyDescent="0.3">
      <c r="A2457" s="9">
        <v>2456</v>
      </c>
      <c r="B2457" s="2" t="s">
        <v>2462</v>
      </c>
      <c r="C2457" s="11">
        <v>18</v>
      </c>
      <c r="D2457" s="12">
        <v>83.333333333333343</v>
      </c>
      <c r="E2457" s="12" t="s">
        <v>8220</v>
      </c>
      <c r="F2457" s="13">
        <v>6</v>
      </c>
      <c r="G2457" s="14">
        <v>1768.19</v>
      </c>
      <c r="H2457" t="s">
        <v>672</v>
      </c>
      <c r="I2457">
        <v>5</v>
      </c>
    </row>
    <row r="2458" spans="1:9" ht="15.6" x14ac:dyDescent="0.3">
      <c r="A2458" s="9">
        <v>2457</v>
      </c>
      <c r="B2458" s="2" t="s">
        <v>2463</v>
      </c>
      <c r="C2458" s="11">
        <v>26</v>
      </c>
      <c r="D2458" s="12">
        <v>83.333333333333343</v>
      </c>
      <c r="E2458" s="12" t="s">
        <v>8220</v>
      </c>
      <c r="F2458" s="13">
        <v>6</v>
      </c>
      <c r="G2458" s="14">
        <v>1817.2400000000002</v>
      </c>
      <c r="H2458" t="s">
        <v>3488</v>
      </c>
      <c r="I2458">
        <v>7</v>
      </c>
    </row>
    <row r="2459" spans="1:9" ht="15.6" x14ac:dyDescent="0.3">
      <c r="A2459" s="9">
        <v>2458</v>
      </c>
      <c r="B2459" s="2" t="s">
        <v>2464</v>
      </c>
      <c r="C2459" s="11">
        <v>24</v>
      </c>
      <c r="D2459" s="12">
        <v>100</v>
      </c>
      <c r="E2459" s="12" t="s">
        <v>8220</v>
      </c>
      <c r="F2459" s="13">
        <v>6</v>
      </c>
      <c r="G2459" s="14">
        <v>1793.21</v>
      </c>
      <c r="H2459" t="s">
        <v>2464</v>
      </c>
      <c r="I2459">
        <v>6</v>
      </c>
    </row>
    <row r="2460" spans="1:9" ht="15.6" x14ac:dyDescent="0.3">
      <c r="A2460" s="9">
        <v>2459</v>
      </c>
      <c r="B2460" s="2" t="s">
        <v>2465</v>
      </c>
      <c r="C2460" s="11">
        <v>24</v>
      </c>
      <c r="D2460" s="12">
        <v>100</v>
      </c>
      <c r="E2460" s="12" t="s">
        <v>8220</v>
      </c>
      <c r="F2460" s="13">
        <v>6</v>
      </c>
      <c r="G2460" s="14">
        <v>1833.2400000000002</v>
      </c>
      <c r="H2460" t="s">
        <v>1440</v>
      </c>
      <c r="I2460">
        <v>6</v>
      </c>
    </row>
    <row r="2461" spans="1:9" ht="15.6" x14ac:dyDescent="0.3">
      <c r="A2461" s="9">
        <v>2460</v>
      </c>
      <c r="B2461" s="2" t="s">
        <v>2466</v>
      </c>
      <c r="C2461" s="11">
        <v>18</v>
      </c>
      <c r="D2461" s="12">
        <v>83.333333333333343</v>
      </c>
      <c r="E2461" s="12" t="s">
        <v>8220</v>
      </c>
      <c r="F2461" s="13">
        <v>6</v>
      </c>
      <c r="G2461" s="14">
        <v>1808.2200000000003</v>
      </c>
      <c r="H2461" t="s">
        <v>416</v>
      </c>
      <c r="I2461">
        <v>5</v>
      </c>
    </row>
    <row r="2462" spans="1:9" ht="15.6" x14ac:dyDescent="0.3">
      <c r="A2462" s="9">
        <v>2461</v>
      </c>
      <c r="B2462" s="2" t="s">
        <v>2467</v>
      </c>
      <c r="C2462" s="11">
        <v>20</v>
      </c>
      <c r="D2462" s="12">
        <v>66.666666666666657</v>
      </c>
      <c r="E2462" s="12" t="s">
        <v>8220</v>
      </c>
      <c r="F2462" s="13">
        <v>6</v>
      </c>
      <c r="G2462" s="14">
        <v>1792.2199999999998</v>
      </c>
      <c r="H2462" t="s">
        <v>3232</v>
      </c>
      <c r="I2462">
        <v>6</v>
      </c>
    </row>
    <row r="2463" spans="1:9" ht="15.6" x14ac:dyDescent="0.3">
      <c r="A2463" s="9">
        <v>2462</v>
      </c>
      <c r="B2463" s="2" t="s">
        <v>2468</v>
      </c>
      <c r="C2463" s="11">
        <v>18</v>
      </c>
      <c r="D2463" s="12">
        <v>83.333333333333343</v>
      </c>
      <c r="E2463" s="12" t="s">
        <v>8220</v>
      </c>
      <c r="F2463" s="13">
        <v>6</v>
      </c>
      <c r="G2463" s="14">
        <v>1768.19</v>
      </c>
      <c r="H2463" t="s">
        <v>2208</v>
      </c>
      <c r="I2463">
        <v>5</v>
      </c>
    </row>
    <row r="2464" spans="1:9" ht="15.6" x14ac:dyDescent="0.3">
      <c r="A2464" s="9">
        <v>2463</v>
      </c>
      <c r="B2464" s="2" t="s">
        <v>2469</v>
      </c>
      <c r="C2464" s="11">
        <v>18</v>
      </c>
      <c r="D2464" s="12">
        <v>83.333333333333343</v>
      </c>
      <c r="E2464" s="12" t="s">
        <v>8220</v>
      </c>
      <c r="F2464" s="13">
        <v>6</v>
      </c>
      <c r="G2464" s="14">
        <v>1808.2200000000003</v>
      </c>
      <c r="H2464" t="s">
        <v>1184</v>
      </c>
      <c r="I2464">
        <v>5</v>
      </c>
    </row>
    <row r="2465" spans="1:9" ht="15.6" x14ac:dyDescent="0.3">
      <c r="A2465" s="9">
        <v>2464</v>
      </c>
      <c r="B2465" s="2" t="s">
        <v>2470</v>
      </c>
      <c r="C2465" s="11">
        <v>12</v>
      </c>
      <c r="D2465" s="12">
        <v>66.666666666666657</v>
      </c>
      <c r="E2465" s="12" t="s">
        <v>8220</v>
      </c>
      <c r="F2465" s="13">
        <v>6</v>
      </c>
      <c r="G2465" s="14">
        <v>1783.1999999999998</v>
      </c>
      <c r="H2465" t="s">
        <v>160</v>
      </c>
      <c r="I2465">
        <v>4</v>
      </c>
    </row>
    <row r="2466" spans="1:9" ht="15.6" x14ac:dyDescent="0.3">
      <c r="A2466" s="9">
        <v>2465</v>
      </c>
      <c r="B2466" s="2" t="s">
        <v>2471</v>
      </c>
      <c r="C2466" s="11">
        <v>28</v>
      </c>
      <c r="D2466" s="12">
        <v>66.666666666666657</v>
      </c>
      <c r="E2466" s="12" t="s">
        <v>8220</v>
      </c>
      <c r="F2466" s="13">
        <v>6</v>
      </c>
      <c r="G2466" s="14">
        <v>1841.27</v>
      </c>
      <c r="H2466" t="s">
        <v>3936</v>
      </c>
      <c r="I2466">
        <v>7</v>
      </c>
    </row>
    <row r="2467" spans="1:9" ht="15.6" x14ac:dyDescent="0.3">
      <c r="A2467" s="9">
        <v>2466</v>
      </c>
      <c r="B2467" s="2" t="s">
        <v>2472</v>
      </c>
      <c r="C2467" s="11">
        <v>26</v>
      </c>
      <c r="D2467" s="12">
        <v>83.333333333333343</v>
      </c>
      <c r="E2467" s="12" t="s">
        <v>8220</v>
      </c>
      <c r="F2467" s="13">
        <v>6</v>
      </c>
      <c r="G2467" s="14">
        <v>1817.2400000000002</v>
      </c>
      <c r="H2467" t="s">
        <v>2912</v>
      </c>
      <c r="I2467">
        <v>7</v>
      </c>
    </row>
    <row r="2468" spans="1:9" ht="15.6" x14ac:dyDescent="0.3">
      <c r="A2468" s="9">
        <v>2467</v>
      </c>
      <c r="B2468" s="2" t="s">
        <v>2473</v>
      </c>
      <c r="C2468" s="11">
        <v>26</v>
      </c>
      <c r="D2468" s="12">
        <v>83.333333333333343</v>
      </c>
      <c r="E2468" s="12" t="s">
        <v>8220</v>
      </c>
      <c r="F2468" s="13">
        <v>6</v>
      </c>
      <c r="G2468" s="14">
        <v>1857.27</v>
      </c>
      <c r="H2468" t="s">
        <v>1888</v>
      </c>
      <c r="I2468">
        <v>7</v>
      </c>
    </row>
    <row r="2469" spans="1:9" ht="15.6" x14ac:dyDescent="0.3">
      <c r="A2469" s="9">
        <v>2468</v>
      </c>
      <c r="B2469" s="2" t="s">
        <v>2474</v>
      </c>
      <c r="C2469" s="11">
        <v>20</v>
      </c>
      <c r="D2469" s="12">
        <v>66.666666666666657</v>
      </c>
      <c r="E2469" s="12" t="s">
        <v>8220</v>
      </c>
      <c r="F2469" s="13">
        <v>6</v>
      </c>
      <c r="G2469" s="14">
        <v>1832.25</v>
      </c>
      <c r="H2469" t="s">
        <v>864</v>
      </c>
      <c r="I2469">
        <v>6</v>
      </c>
    </row>
    <row r="2470" spans="1:9" ht="15.6" x14ac:dyDescent="0.3">
      <c r="A2470" s="9">
        <v>2469</v>
      </c>
      <c r="B2470" s="2" t="s">
        <v>2475</v>
      </c>
      <c r="C2470" s="11">
        <v>26</v>
      </c>
      <c r="D2470" s="12">
        <v>83.333333333333343</v>
      </c>
      <c r="E2470" s="12" t="s">
        <v>8220</v>
      </c>
      <c r="F2470" s="13">
        <v>6</v>
      </c>
      <c r="G2470" s="14">
        <v>1817.2400000000002</v>
      </c>
      <c r="H2470" t="s">
        <v>3680</v>
      </c>
      <c r="I2470">
        <v>7</v>
      </c>
    </row>
    <row r="2471" spans="1:9" ht="15.6" x14ac:dyDescent="0.3">
      <c r="A2471" s="9">
        <v>2470</v>
      </c>
      <c r="B2471" s="2" t="s">
        <v>2476</v>
      </c>
      <c r="C2471" s="11">
        <v>24</v>
      </c>
      <c r="D2471" s="12">
        <v>100</v>
      </c>
      <c r="E2471" s="12" t="s">
        <v>8220</v>
      </c>
      <c r="F2471" s="13">
        <v>6</v>
      </c>
      <c r="G2471" s="14">
        <v>1793.21</v>
      </c>
      <c r="H2471" t="s">
        <v>2656</v>
      </c>
      <c r="I2471">
        <v>6</v>
      </c>
    </row>
    <row r="2472" spans="1:9" ht="15.6" x14ac:dyDescent="0.3">
      <c r="A2472" s="9">
        <v>2471</v>
      </c>
      <c r="B2472" s="2" t="s">
        <v>2477</v>
      </c>
      <c r="C2472" s="11">
        <v>24</v>
      </c>
      <c r="D2472" s="12">
        <v>100</v>
      </c>
      <c r="E2472" s="12" t="s">
        <v>8220</v>
      </c>
      <c r="F2472" s="13">
        <v>6</v>
      </c>
      <c r="G2472" s="14">
        <v>1833.2400000000002</v>
      </c>
      <c r="H2472" t="s">
        <v>1632</v>
      </c>
      <c r="I2472">
        <v>6</v>
      </c>
    </row>
    <row r="2473" spans="1:9" ht="15.6" x14ac:dyDescent="0.3">
      <c r="A2473" s="9">
        <v>2472</v>
      </c>
      <c r="B2473" s="2" t="s">
        <v>2478</v>
      </c>
      <c r="C2473" s="11">
        <v>18</v>
      </c>
      <c r="D2473" s="12">
        <v>83.333333333333343</v>
      </c>
      <c r="E2473" s="12" t="s">
        <v>8220</v>
      </c>
      <c r="F2473" s="13">
        <v>6</v>
      </c>
      <c r="G2473" s="14">
        <v>1808.2200000000003</v>
      </c>
      <c r="H2473" t="s">
        <v>608</v>
      </c>
      <c r="I2473">
        <v>5</v>
      </c>
    </row>
    <row r="2474" spans="1:9" ht="15.6" x14ac:dyDescent="0.3">
      <c r="A2474" s="9">
        <v>2473</v>
      </c>
      <c r="B2474" s="2" t="s">
        <v>2479</v>
      </c>
      <c r="C2474" s="11">
        <v>26</v>
      </c>
      <c r="D2474" s="12">
        <v>83.333333333333343</v>
      </c>
      <c r="E2474" s="12" t="s">
        <v>8220</v>
      </c>
      <c r="F2474" s="13">
        <v>6</v>
      </c>
      <c r="G2474" s="14">
        <v>1857.27</v>
      </c>
      <c r="H2474" t="s">
        <v>3424</v>
      </c>
      <c r="I2474">
        <v>7</v>
      </c>
    </row>
    <row r="2475" spans="1:9" ht="15.6" x14ac:dyDescent="0.3">
      <c r="A2475" s="9">
        <v>2474</v>
      </c>
      <c r="B2475" s="2" t="s">
        <v>2480</v>
      </c>
      <c r="C2475" s="11">
        <v>24</v>
      </c>
      <c r="D2475" s="12">
        <v>100</v>
      </c>
      <c r="E2475" s="12" t="s">
        <v>8220</v>
      </c>
      <c r="F2475" s="13">
        <v>6</v>
      </c>
      <c r="G2475" s="14">
        <v>1833.2400000000002</v>
      </c>
      <c r="H2475" t="s">
        <v>2400</v>
      </c>
      <c r="I2475">
        <v>6</v>
      </c>
    </row>
    <row r="2476" spans="1:9" ht="15.6" x14ac:dyDescent="0.3">
      <c r="A2476" s="9">
        <v>2475</v>
      </c>
      <c r="B2476" s="2" t="s">
        <v>2481</v>
      </c>
      <c r="C2476" s="11">
        <v>24</v>
      </c>
      <c r="D2476" s="12">
        <v>100</v>
      </c>
      <c r="E2476" s="12" t="s">
        <v>8220</v>
      </c>
      <c r="F2476" s="13">
        <v>6</v>
      </c>
      <c r="G2476" s="14">
        <v>1873.27</v>
      </c>
      <c r="H2476" t="s">
        <v>1376</v>
      </c>
      <c r="I2476">
        <v>6</v>
      </c>
    </row>
    <row r="2477" spans="1:9" ht="15.6" x14ac:dyDescent="0.3">
      <c r="A2477" s="9">
        <v>2476</v>
      </c>
      <c r="B2477" s="2" t="s">
        <v>2482</v>
      </c>
      <c r="C2477" s="11">
        <v>18</v>
      </c>
      <c r="D2477" s="12">
        <v>83.333333333333343</v>
      </c>
      <c r="E2477" s="12" t="s">
        <v>8220</v>
      </c>
      <c r="F2477" s="13">
        <v>6</v>
      </c>
      <c r="G2477" s="14">
        <v>1848.25</v>
      </c>
      <c r="H2477" t="s">
        <v>352</v>
      </c>
      <c r="I2477">
        <v>5</v>
      </c>
    </row>
    <row r="2478" spans="1:9" ht="15.6" x14ac:dyDescent="0.3">
      <c r="A2478" s="9">
        <v>2477</v>
      </c>
      <c r="B2478" s="2" t="s">
        <v>2483</v>
      </c>
      <c r="C2478" s="11">
        <v>20</v>
      </c>
      <c r="D2478" s="12">
        <v>66.666666666666657</v>
      </c>
      <c r="E2478" s="12" t="s">
        <v>8220</v>
      </c>
      <c r="F2478" s="13">
        <v>6</v>
      </c>
      <c r="G2478" s="14">
        <v>1832.25</v>
      </c>
      <c r="H2478" t="s">
        <v>3168</v>
      </c>
      <c r="I2478">
        <v>6</v>
      </c>
    </row>
    <row r="2479" spans="1:9" ht="15.6" x14ac:dyDescent="0.3">
      <c r="A2479" s="9">
        <v>2478</v>
      </c>
      <c r="B2479" s="2" t="s">
        <v>2484</v>
      </c>
      <c r="C2479" s="11">
        <v>18</v>
      </c>
      <c r="D2479" s="12">
        <v>83.333333333333343</v>
      </c>
      <c r="E2479" s="12" t="s">
        <v>8220</v>
      </c>
      <c r="F2479" s="13">
        <v>6</v>
      </c>
      <c r="G2479" s="14">
        <v>1808.2200000000003</v>
      </c>
      <c r="H2479" t="s">
        <v>2144</v>
      </c>
      <c r="I2479">
        <v>5</v>
      </c>
    </row>
    <row r="2480" spans="1:9" ht="15.6" x14ac:dyDescent="0.3">
      <c r="A2480" s="9">
        <v>2479</v>
      </c>
      <c r="B2480" s="2" t="s">
        <v>2485</v>
      </c>
      <c r="C2480" s="11">
        <v>18</v>
      </c>
      <c r="D2480" s="12">
        <v>83.333333333333343</v>
      </c>
      <c r="E2480" s="12" t="s">
        <v>8220</v>
      </c>
      <c r="F2480" s="13">
        <v>6</v>
      </c>
      <c r="G2480" s="14">
        <v>1848.25</v>
      </c>
      <c r="H2480" t="s">
        <v>1120</v>
      </c>
      <c r="I2480">
        <v>5</v>
      </c>
    </row>
    <row r="2481" spans="1:9" ht="15.6" x14ac:dyDescent="0.3">
      <c r="A2481" s="9">
        <v>2480</v>
      </c>
      <c r="B2481" s="2" t="s">
        <v>2486</v>
      </c>
      <c r="C2481" s="11">
        <v>12</v>
      </c>
      <c r="D2481" s="12">
        <v>66.666666666666657</v>
      </c>
      <c r="E2481" s="12" t="s">
        <v>8220</v>
      </c>
      <c r="F2481" s="13">
        <v>6</v>
      </c>
      <c r="G2481" s="14">
        <v>1823.23</v>
      </c>
      <c r="H2481" t="s">
        <v>96</v>
      </c>
      <c r="I2481">
        <v>4</v>
      </c>
    </row>
    <row r="2482" spans="1:9" ht="15.6" x14ac:dyDescent="0.3">
      <c r="A2482" s="9">
        <v>2481</v>
      </c>
      <c r="B2482" s="2" t="s">
        <v>2487</v>
      </c>
      <c r="C2482" s="11">
        <v>22</v>
      </c>
      <c r="D2482" s="12">
        <v>50</v>
      </c>
      <c r="E2482" s="12" t="s">
        <v>8219</v>
      </c>
      <c r="F2482" s="13">
        <v>6</v>
      </c>
      <c r="G2482" s="14">
        <v>1816.25</v>
      </c>
      <c r="H2482" t="s">
        <v>3872</v>
      </c>
      <c r="I2482">
        <v>6</v>
      </c>
    </row>
    <row r="2483" spans="1:9" ht="15.6" x14ac:dyDescent="0.3">
      <c r="A2483" s="9">
        <v>2482</v>
      </c>
      <c r="B2483" s="2" t="s">
        <v>2488</v>
      </c>
      <c r="C2483" s="11">
        <v>20</v>
      </c>
      <c r="D2483" s="12">
        <v>66.666666666666657</v>
      </c>
      <c r="E2483" s="12" t="s">
        <v>8220</v>
      </c>
      <c r="F2483" s="13">
        <v>6</v>
      </c>
      <c r="G2483" s="14">
        <v>1792.2199999999998</v>
      </c>
      <c r="H2483" t="s">
        <v>2848</v>
      </c>
      <c r="I2483">
        <v>6</v>
      </c>
    </row>
    <row r="2484" spans="1:9" ht="15.6" x14ac:dyDescent="0.3">
      <c r="A2484" s="9">
        <v>2483</v>
      </c>
      <c r="B2484" s="2" t="s">
        <v>2489</v>
      </c>
      <c r="C2484" s="11">
        <v>20</v>
      </c>
      <c r="D2484" s="12">
        <v>66.666666666666657</v>
      </c>
      <c r="E2484" s="12" t="s">
        <v>8220</v>
      </c>
      <c r="F2484" s="13">
        <v>6</v>
      </c>
      <c r="G2484" s="14">
        <v>1832.25</v>
      </c>
      <c r="H2484" t="s">
        <v>1824</v>
      </c>
      <c r="I2484">
        <v>6</v>
      </c>
    </row>
    <row r="2485" spans="1:9" ht="15.6" x14ac:dyDescent="0.3">
      <c r="A2485" s="9">
        <v>2484</v>
      </c>
      <c r="B2485" s="2" t="s">
        <v>2490</v>
      </c>
      <c r="C2485" s="11">
        <v>14</v>
      </c>
      <c r="D2485" s="12">
        <v>50</v>
      </c>
      <c r="E2485" s="12" t="s">
        <v>8219</v>
      </c>
      <c r="F2485" s="13">
        <v>6</v>
      </c>
      <c r="G2485" s="14">
        <v>1807.23</v>
      </c>
      <c r="H2485" t="s">
        <v>800</v>
      </c>
      <c r="I2485">
        <v>5</v>
      </c>
    </row>
    <row r="2486" spans="1:9" ht="15.6" x14ac:dyDescent="0.3">
      <c r="A2486" s="9">
        <v>2485</v>
      </c>
      <c r="B2486" s="2" t="s">
        <v>2491</v>
      </c>
      <c r="C2486" s="11">
        <v>20</v>
      </c>
      <c r="D2486" s="12">
        <v>66.666666666666657</v>
      </c>
      <c r="E2486" s="12" t="s">
        <v>8220</v>
      </c>
      <c r="F2486" s="13">
        <v>6</v>
      </c>
      <c r="G2486" s="14">
        <v>1792.2199999999998</v>
      </c>
      <c r="H2486" t="s">
        <v>3616</v>
      </c>
      <c r="I2486">
        <v>6</v>
      </c>
    </row>
    <row r="2487" spans="1:9" ht="15.6" x14ac:dyDescent="0.3">
      <c r="A2487" s="9">
        <v>2486</v>
      </c>
      <c r="B2487" s="2" t="s">
        <v>2492</v>
      </c>
      <c r="C2487" s="11">
        <v>18</v>
      </c>
      <c r="D2487" s="12">
        <v>83.333333333333343</v>
      </c>
      <c r="E2487" s="12" t="s">
        <v>8220</v>
      </c>
      <c r="F2487" s="13">
        <v>6</v>
      </c>
      <c r="G2487" s="14">
        <v>1768.19</v>
      </c>
      <c r="H2487" t="s">
        <v>2592</v>
      </c>
      <c r="I2487">
        <v>5</v>
      </c>
    </row>
    <row r="2488" spans="1:9" ht="15.6" x14ac:dyDescent="0.3">
      <c r="A2488" s="9">
        <v>2487</v>
      </c>
      <c r="B2488" s="2" t="s">
        <v>2493</v>
      </c>
      <c r="C2488" s="11">
        <v>18</v>
      </c>
      <c r="D2488" s="12">
        <v>83.333333333333343</v>
      </c>
      <c r="E2488" s="12" t="s">
        <v>8220</v>
      </c>
      <c r="F2488" s="13">
        <v>6</v>
      </c>
      <c r="G2488" s="14">
        <v>1808.2200000000003</v>
      </c>
      <c r="H2488" t="s">
        <v>1568</v>
      </c>
      <c r="I2488">
        <v>5</v>
      </c>
    </row>
    <row r="2489" spans="1:9" ht="15.6" x14ac:dyDescent="0.3">
      <c r="A2489" s="9">
        <v>2488</v>
      </c>
      <c r="B2489" s="2" t="s">
        <v>2494</v>
      </c>
      <c r="C2489" s="11">
        <v>12</v>
      </c>
      <c r="D2489" s="12">
        <v>66.666666666666657</v>
      </c>
      <c r="E2489" s="12" t="s">
        <v>8220</v>
      </c>
      <c r="F2489" s="13">
        <v>6</v>
      </c>
      <c r="G2489" s="14">
        <v>1783.1999999999998</v>
      </c>
      <c r="H2489" t="s">
        <v>544</v>
      </c>
      <c r="I2489">
        <v>4</v>
      </c>
    </row>
    <row r="2490" spans="1:9" ht="15.6" x14ac:dyDescent="0.3">
      <c r="A2490" s="9">
        <v>2489</v>
      </c>
      <c r="B2490" s="2" t="s">
        <v>2495</v>
      </c>
      <c r="C2490" s="11">
        <v>20</v>
      </c>
      <c r="D2490" s="12">
        <v>66.666666666666657</v>
      </c>
      <c r="E2490" s="12" t="s">
        <v>8220</v>
      </c>
      <c r="F2490" s="13">
        <v>6</v>
      </c>
      <c r="G2490" s="14">
        <v>1832.25</v>
      </c>
      <c r="H2490" t="s">
        <v>3360</v>
      </c>
      <c r="I2490">
        <v>6</v>
      </c>
    </row>
    <row r="2491" spans="1:9" ht="15.6" x14ac:dyDescent="0.3">
      <c r="A2491" s="9">
        <v>2490</v>
      </c>
      <c r="B2491" s="2" t="s">
        <v>2496</v>
      </c>
      <c r="C2491" s="11">
        <v>18</v>
      </c>
      <c r="D2491" s="12">
        <v>83.333333333333343</v>
      </c>
      <c r="E2491" s="12" t="s">
        <v>8220</v>
      </c>
      <c r="F2491" s="13">
        <v>6</v>
      </c>
      <c r="G2491" s="14">
        <v>1808.2200000000003</v>
      </c>
      <c r="H2491" t="s">
        <v>2336</v>
      </c>
      <c r="I2491">
        <v>5</v>
      </c>
    </row>
    <row r="2492" spans="1:9" ht="15.6" x14ac:dyDescent="0.3">
      <c r="A2492" s="9">
        <v>2491</v>
      </c>
      <c r="B2492" s="2" t="s">
        <v>2497</v>
      </c>
      <c r="C2492" s="11">
        <v>18</v>
      </c>
      <c r="D2492" s="12">
        <v>83.333333333333343</v>
      </c>
      <c r="E2492" s="12" t="s">
        <v>8220</v>
      </c>
      <c r="F2492" s="13">
        <v>6</v>
      </c>
      <c r="G2492" s="14">
        <v>1848.25</v>
      </c>
      <c r="H2492" t="s">
        <v>1312</v>
      </c>
      <c r="I2492">
        <v>5</v>
      </c>
    </row>
    <row r="2493" spans="1:9" ht="15.6" x14ac:dyDescent="0.3">
      <c r="A2493" s="9">
        <v>2492</v>
      </c>
      <c r="B2493" s="2" t="s">
        <v>2498</v>
      </c>
      <c r="C2493" s="11">
        <v>12</v>
      </c>
      <c r="D2493" s="12">
        <v>66.666666666666657</v>
      </c>
      <c r="E2493" s="12" t="s">
        <v>8220</v>
      </c>
      <c r="F2493" s="13">
        <v>6</v>
      </c>
      <c r="G2493" s="14">
        <v>1823.23</v>
      </c>
      <c r="H2493" t="s">
        <v>288</v>
      </c>
      <c r="I2493">
        <v>4</v>
      </c>
    </row>
    <row r="2494" spans="1:9" ht="15.6" x14ac:dyDescent="0.3">
      <c r="A2494" s="9">
        <v>2493</v>
      </c>
      <c r="B2494" s="2" t="s">
        <v>2499</v>
      </c>
      <c r="C2494" s="11">
        <v>14</v>
      </c>
      <c r="D2494" s="12">
        <v>50</v>
      </c>
      <c r="E2494" s="12" t="s">
        <v>8219</v>
      </c>
      <c r="F2494" s="13">
        <v>6</v>
      </c>
      <c r="G2494" s="14">
        <v>1807.23</v>
      </c>
      <c r="H2494" t="s">
        <v>3104</v>
      </c>
      <c r="I2494">
        <v>5</v>
      </c>
    </row>
    <row r="2495" spans="1:9" ht="15.6" x14ac:dyDescent="0.3">
      <c r="A2495" s="9">
        <v>2494</v>
      </c>
      <c r="B2495" s="2" t="s">
        <v>2500</v>
      </c>
      <c r="C2495" s="11">
        <v>12</v>
      </c>
      <c r="D2495" s="12">
        <v>66.666666666666657</v>
      </c>
      <c r="E2495" s="12" t="s">
        <v>8220</v>
      </c>
      <c r="F2495" s="13">
        <v>6</v>
      </c>
      <c r="G2495" s="14">
        <v>1783.1999999999998</v>
      </c>
      <c r="H2495" t="s">
        <v>2080</v>
      </c>
      <c r="I2495">
        <v>4</v>
      </c>
    </row>
    <row r="2496" spans="1:9" ht="15.6" x14ac:dyDescent="0.3">
      <c r="A2496" s="9">
        <v>2495</v>
      </c>
      <c r="B2496" s="2" t="s">
        <v>2501</v>
      </c>
      <c r="C2496" s="11">
        <v>12</v>
      </c>
      <c r="D2496" s="12">
        <v>66.666666666666657</v>
      </c>
      <c r="E2496" s="12" t="s">
        <v>8220</v>
      </c>
      <c r="F2496" s="13">
        <v>6</v>
      </c>
      <c r="G2496" s="14">
        <v>1823.23</v>
      </c>
      <c r="H2496" t="s">
        <v>1056</v>
      </c>
      <c r="I2496">
        <v>4</v>
      </c>
    </row>
    <row r="2497" spans="1:9" ht="15.6" x14ac:dyDescent="0.3">
      <c r="A2497" s="9">
        <v>2496</v>
      </c>
      <c r="B2497" s="2" t="s">
        <v>2502</v>
      </c>
      <c r="C2497" s="11">
        <v>6</v>
      </c>
      <c r="D2497" s="12">
        <v>50</v>
      </c>
      <c r="E2497" s="12" t="s">
        <v>8219</v>
      </c>
      <c r="F2497" s="13">
        <v>6</v>
      </c>
      <c r="G2497" s="14">
        <v>1798.21</v>
      </c>
      <c r="H2497" t="s">
        <v>32</v>
      </c>
      <c r="I2497">
        <v>3</v>
      </c>
    </row>
    <row r="2498" spans="1:9" ht="15.6" x14ac:dyDescent="0.3">
      <c r="A2498" s="9">
        <v>2497</v>
      </c>
      <c r="B2498" s="2" t="s">
        <v>2503</v>
      </c>
      <c r="C2498" s="11">
        <v>24</v>
      </c>
      <c r="D2498" s="12">
        <v>33.333333333333329</v>
      </c>
      <c r="E2498" s="12" t="s">
        <v>8219</v>
      </c>
      <c r="F2498" s="13">
        <v>6</v>
      </c>
      <c r="G2498" s="14">
        <v>1800.25</v>
      </c>
      <c r="H2498" t="s">
        <v>4048</v>
      </c>
      <c r="I2498">
        <v>6</v>
      </c>
    </row>
    <row r="2499" spans="1:9" ht="15.6" x14ac:dyDescent="0.3">
      <c r="A2499" s="9">
        <v>2498</v>
      </c>
      <c r="B2499" s="2" t="s">
        <v>2504</v>
      </c>
      <c r="C2499" s="11">
        <v>22</v>
      </c>
      <c r="D2499" s="12">
        <v>50</v>
      </c>
      <c r="E2499" s="12" t="s">
        <v>8219</v>
      </c>
      <c r="F2499" s="13">
        <v>6</v>
      </c>
      <c r="G2499" s="14">
        <v>1776.2199999999998</v>
      </c>
      <c r="H2499" t="s">
        <v>3024</v>
      </c>
      <c r="I2499">
        <v>6</v>
      </c>
    </row>
    <row r="2500" spans="1:9" ht="15.6" x14ac:dyDescent="0.3">
      <c r="A2500" s="9">
        <v>2499</v>
      </c>
      <c r="B2500" s="2" t="s">
        <v>2505</v>
      </c>
      <c r="C2500" s="11">
        <v>22</v>
      </c>
      <c r="D2500" s="12">
        <v>50</v>
      </c>
      <c r="E2500" s="12" t="s">
        <v>8219</v>
      </c>
      <c r="F2500" s="13">
        <v>6</v>
      </c>
      <c r="G2500" s="14">
        <v>1816.25</v>
      </c>
      <c r="H2500" t="s">
        <v>2000</v>
      </c>
      <c r="I2500">
        <v>6</v>
      </c>
    </row>
    <row r="2501" spans="1:9" ht="15.6" x14ac:dyDescent="0.3">
      <c r="A2501" s="9">
        <v>2500</v>
      </c>
      <c r="B2501" s="2" t="s">
        <v>2506</v>
      </c>
      <c r="C2501" s="11">
        <v>16</v>
      </c>
      <c r="D2501" s="12">
        <v>33.333333333333329</v>
      </c>
      <c r="E2501" s="12" t="s">
        <v>8219</v>
      </c>
      <c r="F2501" s="13">
        <v>6</v>
      </c>
      <c r="G2501" s="14">
        <v>1791.23</v>
      </c>
      <c r="H2501" t="s">
        <v>976</v>
      </c>
      <c r="I2501">
        <v>5</v>
      </c>
    </row>
    <row r="2502" spans="1:9" ht="15.6" x14ac:dyDescent="0.3">
      <c r="A2502" s="9">
        <v>2501</v>
      </c>
      <c r="B2502" s="2" t="s">
        <v>2507</v>
      </c>
      <c r="C2502" s="11">
        <v>22</v>
      </c>
      <c r="D2502" s="12">
        <v>50</v>
      </c>
      <c r="E2502" s="12" t="s">
        <v>8219</v>
      </c>
      <c r="F2502" s="13">
        <v>6</v>
      </c>
      <c r="G2502" s="14">
        <v>1776.2199999999998</v>
      </c>
      <c r="H2502" t="s">
        <v>3792</v>
      </c>
      <c r="I2502">
        <v>6</v>
      </c>
    </row>
    <row r="2503" spans="1:9" ht="15.6" x14ac:dyDescent="0.3">
      <c r="A2503" s="9">
        <v>2502</v>
      </c>
      <c r="B2503" s="2" t="s">
        <v>2508</v>
      </c>
      <c r="C2503" s="11">
        <v>20</v>
      </c>
      <c r="D2503" s="12">
        <v>66.666666666666657</v>
      </c>
      <c r="E2503" s="12" t="s">
        <v>8220</v>
      </c>
      <c r="F2503" s="13">
        <v>6</v>
      </c>
      <c r="G2503" s="14">
        <v>1752.19</v>
      </c>
      <c r="H2503" t="s">
        <v>2768</v>
      </c>
      <c r="I2503">
        <v>6</v>
      </c>
    </row>
    <row r="2504" spans="1:9" ht="15.6" x14ac:dyDescent="0.3">
      <c r="A2504" s="9">
        <v>2503</v>
      </c>
      <c r="B2504" s="2" t="s">
        <v>2509</v>
      </c>
      <c r="C2504" s="11">
        <v>20</v>
      </c>
      <c r="D2504" s="12">
        <v>66.666666666666657</v>
      </c>
      <c r="E2504" s="12" t="s">
        <v>8220</v>
      </c>
      <c r="F2504" s="13">
        <v>6</v>
      </c>
      <c r="G2504" s="14">
        <v>1792.2199999999998</v>
      </c>
      <c r="H2504" t="s">
        <v>1744</v>
      </c>
      <c r="I2504">
        <v>6</v>
      </c>
    </row>
    <row r="2505" spans="1:9" ht="15.6" x14ac:dyDescent="0.3">
      <c r="A2505" s="9">
        <v>2504</v>
      </c>
      <c r="B2505" s="2" t="s">
        <v>2510</v>
      </c>
      <c r="C2505" s="11">
        <v>14</v>
      </c>
      <c r="D2505" s="12">
        <v>50</v>
      </c>
      <c r="E2505" s="12" t="s">
        <v>8219</v>
      </c>
      <c r="F2505" s="13">
        <v>6</v>
      </c>
      <c r="G2505" s="14">
        <v>1767.1999999999998</v>
      </c>
      <c r="H2505" t="s">
        <v>720</v>
      </c>
      <c r="I2505">
        <v>5</v>
      </c>
    </row>
    <row r="2506" spans="1:9" ht="15.6" x14ac:dyDescent="0.3">
      <c r="A2506" s="9">
        <v>2505</v>
      </c>
      <c r="B2506" s="2" t="s">
        <v>2511</v>
      </c>
      <c r="C2506" s="11">
        <v>22</v>
      </c>
      <c r="D2506" s="12">
        <v>50</v>
      </c>
      <c r="E2506" s="12" t="s">
        <v>8219</v>
      </c>
      <c r="F2506" s="13">
        <v>6</v>
      </c>
      <c r="G2506" s="14">
        <v>1816.25</v>
      </c>
      <c r="H2506" t="s">
        <v>3536</v>
      </c>
      <c r="I2506">
        <v>6</v>
      </c>
    </row>
    <row r="2507" spans="1:9" ht="15.6" x14ac:dyDescent="0.3">
      <c r="A2507" s="9">
        <v>2506</v>
      </c>
      <c r="B2507" s="2" t="s">
        <v>2512</v>
      </c>
      <c r="C2507" s="11">
        <v>20</v>
      </c>
      <c r="D2507" s="12">
        <v>66.666666666666657</v>
      </c>
      <c r="E2507" s="12" t="s">
        <v>8220</v>
      </c>
      <c r="F2507" s="13">
        <v>6</v>
      </c>
      <c r="G2507" s="14">
        <v>1792.2199999999998</v>
      </c>
      <c r="H2507" t="s">
        <v>2512</v>
      </c>
      <c r="I2507">
        <v>6</v>
      </c>
    </row>
    <row r="2508" spans="1:9" ht="15.6" x14ac:dyDescent="0.3">
      <c r="A2508" s="9">
        <v>2507</v>
      </c>
      <c r="B2508" s="2" t="s">
        <v>2513</v>
      </c>
      <c r="C2508" s="11">
        <v>20</v>
      </c>
      <c r="D2508" s="12">
        <v>66.666666666666657</v>
      </c>
      <c r="E2508" s="12" t="s">
        <v>8220</v>
      </c>
      <c r="F2508" s="13">
        <v>6</v>
      </c>
      <c r="G2508" s="14">
        <v>1832.25</v>
      </c>
      <c r="H2508" t="s">
        <v>1488</v>
      </c>
      <c r="I2508">
        <v>6</v>
      </c>
    </row>
    <row r="2509" spans="1:9" ht="15.6" x14ac:dyDescent="0.3">
      <c r="A2509" s="9">
        <v>2508</v>
      </c>
      <c r="B2509" s="2" t="s">
        <v>2514</v>
      </c>
      <c r="C2509" s="11">
        <v>14</v>
      </c>
      <c r="D2509" s="12">
        <v>50</v>
      </c>
      <c r="E2509" s="12" t="s">
        <v>8219</v>
      </c>
      <c r="F2509" s="13">
        <v>6</v>
      </c>
      <c r="G2509" s="14">
        <v>1807.23</v>
      </c>
      <c r="H2509" t="s">
        <v>464</v>
      </c>
      <c r="I2509">
        <v>5</v>
      </c>
    </row>
    <row r="2510" spans="1:9" ht="15.6" x14ac:dyDescent="0.3">
      <c r="A2510" s="9">
        <v>2509</v>
      </c>
      <c r="B2510" s="2" t="s">
        <v>2515</v>
      </c>
      <c r="C2510" s="11">
        <v>16</v>
      </c>
      <c r="D2510" s="12">
        <v>33.333333333333329</v>
      </c>
      <c r="E2510" s="12" t="s">
        <v>8219</v>
      </c>
      <c r="F2510" s="13">
        <v>6</v>
      </c>
      <c r="G2510" s="14">
        <v>1791.23</v>
      </c>
      <c r="H2510" t="s">
        <v>3280</v>
      </c>
      <c r="I2510">
        <v>5</v>
      </c>
    </row>
    <row r="2511" spans="1:9" ht="15.6" x14ac:dyDescent="0.3">
      <c r="A2511" s="9">
        <v>2510</v>
      </c>
      <c r="B2511" s="2" t="s">
        <v>2516</v>
      </c>
      <c r="C2511" s="11">
        <v>14</v>
      </c>
      <c r="D2511" s="12">
        <v>50</v>
      </c>
      <c r="E2511" s="12" t="s">
        <v>8219</v>
      </c>
      <c r="F2511" s="13">
        <v>6</v>
      </c>
      <c r="G2511" s="14">
        <v>1767.1999999999998</v>
      </c>
      <c r="H2511" t="s">
        <v>2256</v>
      </c>
      <c r="I2511">
        <v>5</v>
      </c>
    </row>
    <row r="2512" spans="1:9" ht="15.6" x14ac:dyDescent="0.3">
      <c r="A2512" s="9">
        <v>2511</v>
      </c>
      <c r="B2512" s="2" t="s">
        <v>2517</v>
      </c>
      <c r="C2512" s="11">
        <v>14</v>
      </c>
      <c r="D2512" s="12">
        <v>50</v>
      </c>
      <c r="E2512" s="12" t="s">
        <v>8219</v>
      </c>
      <c r="F2512" s="13">
        <v>6</v>
      </c>
      <c r="G2512" s="14">
        <v>1807.23</v>
      </c>
      <c r="H2512" t="s">
        <v>1232</v>
      </c>
      <c r="I2512">
        <v>5</v>
      </c>
    </row>
    <row r="2513" spans="1:9" ht="15.6" x14ac:dyDescent="0.3">
      <c r="A2513" s="9">
        <v>2512</v>
      </c>
      <c r="B2513" s="2" t="s">
        <v>2518</v>
      </c>
      <c r="C2513" s="11">
        <v>8</v>
      </c>
      <c r="D2513" s="12">
        <v>33.333333333333329</v>
      </c>
      <c r="E2513" s="12" t="s">
        <v>8219</v>
      </c>
      <c r="F2513" s="13">
        <v>6</v>
      </c>
      <c r="G2513" s="14">
        <v>1782.21</v>
      </c>
      <c r="H2513" t="s">
        <v>208</v>
      </c>
      <c r="I2513">
        <v>4</v>
      </c>
    </row>
    <row r="2514" spans="1:9" ht="15.6" x14ac:dyDescent="0.3">
      <c r="A2514" s="9">
        <v>2513</v>
      </c>
      <c r="B2514" s="2" t="s">
        <v>2519</v>
      </c>
      <c r="C2514" s="11">
        <v>22</v>
      </c>
      <c r="D2514" s="12">
        <v>50</v>
      </c>
      <c r="E2514" s="12" t="s">
        <v>8219</v>
      </c>
      <c r="F2514" s="13">
        <v>6</v>
      </c>
      <c r="G2514" s="14">
        <v>1776.2199999999998</v>
      </c>
      <c r="H2514" t="s">
        <v>3984</v>
      </c>
      <c r="I2514">
        <v>6</v>
      </c>
    </row>
    <row r="2515" spans="1:9" ht="15.6" x14ac:dyDescent="0.3">
      <c r="A2515" s="9">
        <v>2514</v>
      </c>
      <c r="B2515" s="2" t="s">
        <v>2520</v>
      </c>
      <c r="C2515" s="11">
        <v>20</v>
      </c>
      <c r="D2515" s="12">
        <v>66.666666666666657</v>
      </c>
      <c r="E2515" s="12" t="s">
        <v>8220</v>
      </c>
      <c r="F2515" s="13">
        <v>6</v>
      </c>
      <c r="G2515" s="14">
        <v>1752.19</v>
      </c>
      <c r="H2515" t="s">
        <v>2960</v>
      </c>
      <c r="I2515">
        <v>6</v>
      </c>
    </row>
    <row r="2516" spans="1:9" ht="15.6" x14ac:dyDescent="0.3">
      <c r="A2516" s="9">
        <v>2515</v>
      </c>
      <c r="B2516" s="2" t="s">
        <v>2521</v>
      </c>
      <c r="C2516" s="11">
        <v>20</v>
      </c>
      <c r="D2516" s="12">
        <v>66.666666666666657</v>
      </c>
      <c r="E2516" s="12" t="s">
        <v>8220</v>
      </c>
      <c r="F2516" s="13">
        <v>6</v>
      </c>
      <c r="G2516" s="14">
        <v>1792.2199999999998</v>
      </c>
      <c r="H2516" t="s">
        <v>1936</v>
      </c>
      <c r="I2516">
        <v>6</v>
      </c>
    </row>
    <row r="2517" spans="1:9" ht="15.6" x14ac:dyDescent="0.3">
      <c r="A2517" s="9">
        <v>2516</v>
      </c>
      <c r="B2517" s="2" t="s">
        <v>2522</v>
      </c>
      <c r="C2517" s="11">
        <v>14</v>
      </c>
      <c r="D2517" s="12">
        <v>50</v>
      </c>
      <c r="E2517" s="12" t="s">
        <v>8219</v>
      </c>
      <c r="F2517" s="13">
        <v>6</v>
      </c>
      <c r="G2517" s="14">
        <v>1767.1999999999998</v>
      </c>
      <c r="H2517" t="s">
        <v>912</v>
      </c>
      <c r="I2517">
        <v>5</v>
      </c>
    </row>
    <row r="2518" spans="1:9" ht="15.6" x14ac:dyDescent="0.3">
      <c r="A2518" s="9">
        <v>2517</v>
      </c>
      <c r="B2518" s="2" t="s">
        <v>2523</v>
      </c>
      <c r="C2518" s="11">
        <v>20</v>
      </c>
      <c r="D2518" s="12">
        <v>66.666666666666657</v>
      </c>
      <c r="E2518" s="12" t="s">
        <v>8220</v>
      </c>
      <c r="F2518" s="13">
        <v>6</v>
      </c>
      <c r="G2518" s="14">
        <v>1752.19</v>
      </c>
      <c r="H2518" t="s">
        <v>3728</v>
      </c>
      <c r="I2518">
        <v>6</v>
      </c>
    </row>
    <row r="2519" spans="1:9" ht="15.6" x14ac:dyDescent="0.3">
      <c r="A2519" s="9">
        <v>2518</v>
      </c>
      <c r="B2519" s="2" t="s">
        <v>2524</v>
      </c>
      <c r="C2519" s="11">
        <v>18</v>
      </c>
      <c r="D2519" s="12">
        <v>83.333333333333343</v>
      </c>
      <c r="E2519" s="12" t="s">
        <v>8220</v>
      </c>
      <c r="F2519" s="13">
        <v>6</v>
      </c>
      <c r="G2519" s="14">
        <v>1728.1599999999999</v>
      </c>
      <c r="H2519" t="s">
        <v>2704</v>
      </c>
      <c r="I2519">
        <v>5</v>
      </c>
    </row>
    <row r="2520" spans="1:9" ht="15.6" x14ac:dyDescent="0.3">
      <c r="A2520" s="9">
        <v>2519</v>
      </c>
      <c r="B2520" s="2" t="s">
        <v>2525</v>
      </c>
      <c r="C2520" s="11">
        <v>18</v>
      </c>
      <c r="D2520" s="12">
        <v>83.333333333333343</v>
      </c>
      <c r="E2520" s="12" t="s">
        <v>8220</v>
      </c>
      <c r="F2520" s="13">
        <v>6</v>
      </c>
      <c r="G2520" s="14">
        <v>1768.19</v>
      </c>
      <c r="H2520" t="s">
        <v>1680</v>
      </c>
      <c r="I2520">
        <v>5</v>
      </c>
    </row>
    <row r="2521" spans="1:9" ht="15.6" x14ac:dyDescent="0.3">
      <c r="A2521" s="9">
        <v>2520</v>
      </c>
      <c r="B2521" s="2" t="s">
        <v>2526</v>
      </c>
      <c r="C2521" s="11">
        <v>12</v>
      </c>
      <c r="D2521" s="12">
        <v>66.666666666666657</v>
      </c>
      <c r="E2521" s="12" t="s">
        <v>8220</v>
      </c>
      <c r="F2521" s="13">
        <v>6</v>
      </c>
      <c r="G2521" s="14">
        <v>1743.17</v>
      </c>
      <c r="H2521" t="s">
        <v>656</v>
      </c>
      <c r="I2521">
        <v>4</v>
      </c>
    </row>
    <row r="2522" spans="1:9" ht="15.6" x14ac:dyDescent="0.3">
      <c r="A2522" s="9">
        <v>2521</v>
      </c>
      <c r="B2522" s="2" t="s">
        <v>2527</v>
      </c>
      <c r="C2522" s="11">
        <v>20</v>
      </c>
      <c r="D2522" s="12">
        <v>66.666666666666657</v>
      </c>
      <c r="E2522" s="12" t="s">
        <v>8220</v>
      </c>
      <c r="F2522" s="13">
        <v>6</v>
      </c>
      <c r="G2522" s="14">
        <v>1792.2199999999998</v>
      </c>
      <c r="H2522" t="s">
        <v>3472</v>
      </c>
      <c r="I2522">
        <v>6</v>
      </c>
    </row>
    <row r="2523" spans="1:9" ht="15.6" x14ac:dyDescent="0.3">
      <c r="A2523" s="9">
        <v>2522</v>
      </c>
      <c r="B2523" s="2" t="s">
        <v>2528</v>
      </c>
      <c r="C2523" s="11">
        <v>18</v>
      </c>
      <c r="D2523" s="12">
        <v>83.333333333333343</v>
      </c>
      <c r="E2523" s="12" t="s">
        <v>8220</v>
      </c>
      <c r="F2523" s="13">
        <v>6</v>
      </c>
      <c r="G2523" s="14">
        <v>1768.19</v>
      </c>
      <c r="H2523" t="s">
        <v>2448</v>
      </c>
      <c r="I2523">
        <v>5</v>
      </c>
    </row>
    <row r="2524" spans="1:9" ht="15.6" x14ac:dyDescent="0.3">
      <c r="A2524" s="9">
        <v>2523</v>
      </c>
      <c r="B2524" s="2" t="s">
        <v>2529</v>
      </c>
      <c r="C2524" s="11">
        <v>18</v>
      </c>
      <c r="D2524" s="12">
        <v>83.333333333333343</v>
      </c>
      <c r="E2524" s="12" t="s">
        <v>8220</v>
      </c>
      <c r="F2524" s="13">
        <v>6</v>
      </c>
      <c r="G2524" s="14">
        <v>1808.2200000000003</v>
      </c>
      <c r="H2524" t="s">
        <v>1424</v>
      </c>
      <c r="I2524">
        <v>5</v>
      </c>
    </row>
    <row r="2525" spans="1:9" ht="15.6" x14ac:dyDescent="0.3">
      <c r="A2525" s="9">
        <v>2524</v>
      </c>
      <c r="B2525" s="2" t="s">
        <v>2530</v>
      </c>
      <c r="C2525" s="11">
        <v>12</v>
      </c>
      <c r="D2525" s="12">
        <v>66.666666666666657</v>
      </c>
      <c r="E2525" s="12" t="s">
        <v>8220</v>
      </c>
      <c r="F2525" s="13">
        <v>6</v>
      </c>
      <c r="G2525" s="14">
        <v>1783.1999999999998</v>
      </c>
      <c r="H2525" t="s">
        <v>400</v>
      </c>
      <c r="I2525">
        <v>4</v>
      </c>
    </row>
    <row r="2526" spans="1:9" ht="15.6" x14ac:dyDescent="0.3">
      <c r="A2526" s="9">
        <v>2525</v>
      </c>
      <c r="B2526" s="2" t="s">
        <v>2531</v>
      </c>
      <c r="C2526" s="11">
        <v>14</v>
      </c>
      <c r="D2526" s="12">
        <v>50</v>
      </c>
      <c r="E2526" s="12" t="s">
        <v>8219</v>
      </c>
      <c r="F2526" s="13">
        <v>6</v>
      </c>
      <c r="G2526" s="14">
        <v>1767.1999999999998</v>
      </c>
      <c r="H2526" t="s">
        <v>3216</v>
      </c>
      <c r="I2526">
        <v>5</v>
      </c>
    </row>
    <row r="2527" spans="1:9" ht="15.6" x14ac:dyDescent="0.3">
      <c r="A2527" s="9">
        <v>2526</v>
      </c>
      <c r="B2527" s="2" t="s">
        <v>2532</v>
      </c>
      <c r="C2527" s="11">
        <v>12</v>
      </c>
      <c r="D2527" s="12">
        <v>66.666666666666657</v>
      </c>
      <c r="E2527" s="12" t="s">
        <v>8220</v>
      </c>
      <c r="F2527" s="13">
        <v>6</v>
      </c>
      <c r="G2527" s="14">
        <v>1743.17</v>
      </c>
      <c r="H2527" t="s">
        <v>2192</v>
      </c>
      <c r="I2527">
        <v>4</v>
      </c>
    </row>
    <row r="2528" spans="1:9" ht="15.6" x14ac:dyDescent="0.3">
      <c r="A2528" s="9">
        <v>2527</v>
      </c>
      <c r="B2528" s="2" t="s">
        <v>2533</v>
      </c>
      <c r="C2528" s="11">
        <v>12</v>
      </c>
      <c r="D2528" s="12">
        <v>66.666666666666657</v>
      </c>
      <c r="E2528" s="12" t="s">
        <v>8220</v>
      </c>
      <c r="F2528" s="13">
        <v>6</v>
      </c>
      <c r="G2528" s="14">
        <v>1783.1999999999998</v>
      </c>
      <c r="H2528" t="s">
        <v>1168</v>
      </c>
      <c r="I2528">
        <v>4</v>
      </c>
    </row>
    <row r="2529" spans="1:9" ht="15.6" x14ac:dyDescent="0.3">
      <c r="A2529" s="9">
        <v>2528</v>
      </c>
      <c r="B2529" s="2" t="s">
        <v>2534</v>
      </c>
      <c r="C2529" s="11">
        <v>6</v>
      </c>
      <c r="D2529" s="12">
        <v>50</v>
      </c>
      <c r="E2529" s="12" t="s">
        <v>8219</v>
      </c>
      <c r="F2529" s="13">
        <v>6</v>
      </c>
      <c r="G2529" s="14">
        <v>1758.1799999999998</v>
      </c>
      <c r="H2529" t="s">
        <v>144</v>
      </c>
      <c r="I2529">
        <v>3</v>
      </c>
    </row>
    <row r="2530" spans="1:9" ht="15.6" x14ac:dyDescent="0.3">
      <c r="A2530" s="9">
        <v>2529</v>
      </c>
      <c r="B2530" s="2" t="s">
        <v>2535</v>
      </c>
      <c r="C2530" s="11">
        <v>22</v>
      </c>
      <c r="D2530" s="12">
        <v>50</v>
      </c>
      <c r="E2530" s="12" t="s">
        <v>8219</v>
      </c>
      <c r="F2530" s="13">
        <v>6</v>
      </c>
      <c r="G2530" s="14">
        <v>1816.25</v>
      </c>
      <c r="H2530" t="s">
        <v>3920</v>
      </c>
      <c r="I2530">
        <v>6</v>
      </c>
    </row>
    <row r="2531" spans="1:9" ht="15.6" x14ac:dyDescent="0.3">
      <c r="A2531" s="9">
        <v>2530</v>
      </c>
      <c r="B2531" s="2" t="s">
        <v>2536</v>
      </c>
      <c r="C2531" s="11">
        <v>20</v>
      </c>
      <c r="D2531" s="12">
        <v>66.666666666666657</v>
      </c>
      <c r="E2531" s="12" t="s">
        <v>8220</v>
      </c>
      <c r="F2531" s="13">
        <v>6</v>
      </c>
      <c r="G2531" s="14">
        <v>1792.2199999999998</v>
      </c>
      <c r="H2531" t="s">
        <v>2896</v>
      </c>
      <c r="I2531">
        <v>6</v>
      </c>
    </row>
    <row r="2532" spans="1:9" ht="15.6" x14ac:dyDescent="0.3">
      <c r="A2532" s="9">
        <v>2531</v>
      </c>
      <c r="B2532" s="2" t="s">
        <v>2537</v>
      </c>
      <c r="C2532" s="11">
        <v>20</v>
      </c>
      <c r="D2532" s="12">
        <v>66.666666666666657</v>
      </c>
      <c r="E2532" s="12" t="s">
        <v>8220</v>
      </c>
      <c r="F2532" s="13">
        <v>6</v>
      </c>
      <c r="G2532" s="14">
        <v>1832.25</v>
      </c>
      <c r="H2532" t="s">
        <v>1872</v>
      </c>
      <c r="I2532">
        <v>6</v>
      </c>
    </row>
    <row r="2533" spans="1:9" ht="15.6" x14ac:dyDescent="0.3">
      <c r="A2533" s="9">
        <v>2532</v>
      </c>
      <c r="B2533" s="2" t="s">
        <v>2538</v>
      </c>
      <c r="C2533" s="11">
        <v>14</v>
      </c>
      <c r="D2533" s="12">
        <v>50</v>
      </c>
      <c r="E2533" s="12" t="s">
        <v>8219</v>
      </c>
      <c r="F2533" s="13">
        <v>6</v>
      </c>
      <c r="G2533" s="14">
        <v>1807.23</v>
      </c>
      <c r="H2533" t="s">
        <v>848</v>
      </c>
      <c r="I2533">
        <v>5</v>
      </c>
    </row>
    <row r="2534" spans="1:9" ht="15.6" x14ac:dyDescent="0.3">
      <c r="A2534" s="9">
        <v>2533</v>
      </c>
      <c r="B2534" s="2" t="s">
        <v>2539</v>
      </c>
      <c r="C2534" s="11">
        <v>20</v>
      </c>
      <c r="D2534" s="12">
        <v>66.666666666666657</v>
      </c>
      <c r="E2534" s="12" t="s">
        <v>8220</v>
      </c>
      <c r="F2534" s="13">
        <v>6</v>
      </c>
      <c r="G2534" s="14">
        <v>1792.2199999999998</v>
      </c>
      <c r="H2534" t="s">
        <v>3664</v>
      </c>
      <c r="I2534">
        <v>6</v>
      </c>
    </row>
    <row r="2535" spans="1:9" ht="15.6" x14ac:dyDescent="0.3">
      <c r="A2535" s="9">
        <v>2534</v>
      </c>
      <c r="B2535" s="2" t="s">
        <v>2540</v>
      </c>
      <c r="C2535" s="11">
        <v>18</v>
      </c>
      <c r="D2535" s="12">
        <v>83.333333333333343</v>
      </c>
      <c r="E2535" s="12" t="s">
        <v>8220</v>
      </c>
      <c r="F2535" s="13">
        <v>6</v>
      </c>
      <c r="G2535" s="14">
        <v>1768.19</v>
      </c>
      <c r="H2535" t="s">
        <v>2640</v>
      </c>
      <c r="I2535">
        <v>5</v>
      </c>
    </row>
    <row r="2536" spans="1:9" ht="15.6" x14ac:dyDescent="0.3">
      <c r="A2536" s="9">
        <v>2535</v>
      </c>
      <c r="B2536" s="2" t="s">
        <v>2541</v>
      </c>
      <c r="C2536" s="11">
        <v>18</v>
      </c>
      <c r="D2536" s="12">
        <v>83.333333333333343</v>
      </c>
      <c r="E2536" s="12" t="s">
        <v>8220</v>
      </c>
      <c r="F2536" s="13">
        <v>6</v>
      </c>
      <c r="G2536" s="14">
        <v>1808.2200000000003</v>
      </c>
      <c r="H2536" t="s">
        <v>1616</v>
      </c>
      <c r="I2536">
        <v>5</v>
      </c>
    </row>
    <row r="2537" spans="1:9" ht="15.6" x14ac:dyDescent="0.3">
      <c r="A2537" s="9">
        <v>2536</v>
      </c>
      <c r="B2537" s="2" t="s">
        <v>2542</v>
      </c>
      <c r="C2537" s="11">
        <v>12</v>
      </c>
      <c r="D2537" s="12">
        <v>66.666666666666657</v>
      </c>
      <c r="E2537" s="12" t="s">
        <v>8220</v>
      </c>
      <c r="F2537" s="13">
        <v>6</v>
      </c>
      <c r="G2537" s="14">
        <v>1783.1999999999998</v>
      </c>
      <c r="H2537" t="s">
        <v>592</v>
      </c>
      <c r="I2537">
        <v>4</v>
      </c>
    </row>
    <row r="2538" spans="1:9" ht="15.6" x14ac:dyDescent="0.3">
      <c r="A2538" s="9">
        <v>2537</v>
      </c>
      <c r="B2538" s="2" t="s">
        <v>2543</v>
      </c>
      <c r="C2538" s="11">
        <v>20</v>
      </c>
      <c r="D2538" s="12">
        <v>66.666666666666657</v>
      </c>
      <c r="E2538" s="12" t="s">
        <v>8220</v>
      </c>
      <c r="F2538" s="13">
        <v>6</v>
      </c>
      <c r="G2538" s="14">
        <v>1832.25</v>
      </c>
      <c r="H2538" t="s">
        <v>3408</v>
      </c>
      <c r="I2538">
        <v>6</v>
      </c>
    </row>
    <row r="2539" spans="1:9" ht="15.6" x14ac:dyDescent="0.3">
      <c r="A2539" s="9">
        <v>2538</v>
      </c>
      <c r="B2539" s="2" t="s">
        <v>2544</v>
      </c>
      <c r="C2539" s="11">
        <v>18</v>
      </c>
      <c r="D2539" s="12">
        <v>83.333333333333343</v>
      </c>
      <c r="E2539" s="12" t="s">
        <v>8220</v>
      </c>
      <c r="F2539" s="13">
        <v>6</v>
      </c>
      <c r="G2539" s="14">
        <v>1808.2200000000003</v>
      </c>
      <c r="H2539" t="s">
        <v>2384</v>
      </c>
      <c r="I2539">
        <v>5</v>
      </c>
    </row>
    <row r="2540" spans="1:9" ht="15.6" x14ac:dyDescent="0.3">
      <c r="A2540" s="9">
        <v>2539</v>
      </c>
      <c r="B2540" s="2" t="s">
        <v>2545</v>
      </c>
      <c r="C2540" s="11">
        <v>18</v>
      </c>
      <c r="D2540" s="12">
        <v>83.333333333333343</v>
      </c>
      <c r="E2540" s="12" t="s">
        <v>8220</v>
      </c>
      <c r="F2540" s="13">
        <v>6</v>
      </c>
      <c r="G2540" s="14">
        <v>1848.25</v>
      </c>
      <c r="H2540" t="s">
        <v>1360</v>
      </c>
      <c r="I2540">
        <v>5</v>
      </c>
    </row>
    <row r="2541" spans="1:9" ht="15.6" x14ac:dyDescent="0.3">
      <c r="A2541" s="9">
        <v>2540</v>
      </c>
      <c r="B2541" s="2" t="s">
        <v>2546</v>
      </c>
      <c r="C2541" s="11">
        <v>12</v>
      </c>
      <c r="D2541" s="12">
        <v>66.666666666666657</v>
      </c>
      <c r="E2541" s="12" t="s">
        <v>8220</v>
      </c>
      <c r="F2541" s="13">
        <v>6</v>
      </c>
      <c r="G2541" s="14">
        <v>1823.23</v>
      </c>
      <c r="H2541" t="s">
        <v>336</v>
      </c>
      <c r="I2541">
        <v>4</v>
      </c>
    </row>
    <row r="2542" spans="1:9" ht="15.6" x14ac:dyDescent="0.3">
      <c r="A2542" s="9">
        <v>2541</v>
      </c>
      <c r="B2542" s="2" t="s">
        <v>2547</v>
      </c>
      <c r="C2542" s="11">
        <v>14</v>
      </c>
      <c r="D2542" s="12">
        <v>50</v>
      </c>
      <c r="E2542" s="12" t="s">
        <v>8219</v>
      </c>
      <c r="F2542" s="13">
        <v>6</v>
      </c>
      <c r="G2542" s="14">
        <v>1807.23</v>
      </c>
      <c r="H2542" t="s">
        <v>3152</v>
      </c>
      <c r="I2542">
        <v>5</v>
      </c>
    </row>
    <row r="2543" spans="1:9" ht="15.6" x14ac:dyDescent="0.3">
      <c r="A2543" s="9">
        <v>2542</v>
      </c>
      <c r="B2543" s="2" t="s">
        <v>2548</v>
      </c>
      <c r="C2543" s="11">
        <v>12</v>
      </c>
      <c r="D2543" s="12">
        <v>66.666666666666657</v>
      </c>
      <c r="E2543" s="12" t="s">
        <v>8220</v>
      </c>
      <c r="F2543" s="13">
        <v>6</v>
      </c>
      <c r="G2543" s="14">
        <v>1783.1999999999998</v>
      </c>
      <c r="H2543" t="s">
        <v>2128</v>
      </c>
      <c r="I2543">
        <v>4</v>
      </c>
    </row>
    <row r="2544" spans="1:9" ht="15.6" x14ac:dyDescent="0.3">
      <c r="A2544" s="9">
        <v>2543</v>
      </c>
      <c r="B2544" s="2" t="s">
        <v>2549</v>
      </c>
      <c r="C2544" s="11">
        <v>12</v>
      </c>
      <c r="D2544" s="12">
        <v>66.666666666666657</v>
      </c>
      <c r="E2544" s="12" t="s">
        <v>8220</v>
      </c>
      <c r="F2544" s="13">
        <v>6</v>
      </c>
      <c r="G2544" s="14">
        <v>1823.23</v>
      </c>
      <c r="H2544" t="s">
        <v>1104</v>
      </c>
      <c r="I2544">
        <v>4</v>
      </c>
    </row>
    <row r="2545" spans="1:9" ht="15.6" x14ac:dyDescent="0.3">
      <c r="A2545" s="9">
        <v>2544</v>
      </c>
      <c r="B2545" s="2" t="s">
        <v>2550</v>
      </c>
      <c r="C2545" s="11">
        <v>6</v>
      </c>
      <c r="D2545" s="12">
        <v>50</v>
      </c>
      <c r="E2545" s="12" t="s">
        <v>8219</v>
      </c>
      <c r="F2545" s="13">
        <v>6</v>
      </c>
      <c r="G2545" s="14">
        <v>1798.21</v>
      </c>
      <c r="H2545" t="s">
        <v>80</v>
      </c>
      <c r="I2545">
        <v>3</v>
      </c>
    </row>
    <row r="2546" spans="1:9" ht="15.6" x14ac:dyDescent="0.3">
      <c r="A2546" s="9">
        <v>2545</v>
      </c>
      <c r="B2546" s="2" t="s">
        <v>2551</v>
      </c>
      <c r="C2546" s="11">
        <v>16</v>
      </c>
      <c r="D2546" s="12">
        <v>33.333333333333329</v>
      </c>
      <c r="E2546" s="12" t="s">
        <v>8219</v>
      </c>
      <c r="F2546" s="13">
        <v>6</v>
      </c>
      <c r="G2546" s="14">
        <v>1791.23</v>
      </c>
      <c r="H2546" t="s">
        <v>3856</v>
      </c>
      <c r="I2546">
        <v>5</v>
      </c>
    </row>
    <row r="2547" spans="1:9" ht="15.6" x14ac:dyDescent="0.3">
      <c r="A2547" s="9">
        <v>2546</v>
      </c>
      <c r="B2547" s="2" t="s">
        <v>2552</v>
      </c>
      <c r="C2547" s="11">
        <v>14</v>
      </c>
      <c r="D2547" s="12">
        <v>50</v>
      </c>
      <c r="E2547" s="12" t="s">
        <v>8219</v>
      </c>
      <c r="F2547" s="13">
        <v>6</v>
      </c>
      <c r="G2547" s="14">
        <v>1767.1999999999998</v>
      </c>
      <c r="H2547" t="s">
        <v>2832</v>
      </c>
      <c r="I2547">
        <v>5</v>
      </c>
    </row>
    <row r="2548" spans="1:9" ht="15.6" x14ac:dyDescent="0.3">
      <c r="A2548" s="9">
        <v>2547</v>
      </c>
      <c r="B2548" s="2" t="s">
        <v>2553</v>
      </c>
      <c r="C2548" s="11">
        <v>14</v>
      </c>
      <c r="D2548" s="12">
        <v>50</v>
      </c>
      <c r="E2548" s="12" t="s">
        <v>8219</v>
      </c>
      <c r="F2548" s="13">
        <v>6</v>
      </c>
      <c r="G2548" s="14">
        <v>1807.23</v>
      </c>
      <c r="H2548" t="s">
        <v>1808</v>
      </c>
      <c r="I2548">
        <v>5</v>
      </c>
    </row>
    <row r="2549" spans="1:9" ht="15.6" x14ac:dyDescent="0.3">
      <c r="A2549" s="9">
        <v>2548</v>
      </c>
      <c r="B2549" s="2" t="s">
        <v>2554</v>
      </c>
      <c r="C2549" s="11">
        <v>8</v>
      </c>
      <c r="D2549" s="12">
        <v>33.333333333333329</v>
      </c>
      <c r="E2549" s="12" t="s">
        <v>8219</v>
      </c>
      <c r="F2549" s="13">
        <v>6</v>
      </c>
      <c r="G2549" s="14">
        <v>1782.21</v>
      </c>
      <c r="H2549" t="s">
        <v>784</v>
      </c>
      <c r="I2549">
        <v>4</v>
      </c>
    </row>
    <row r="2550" spans="1:9" ht="15.6" x14ac:dyDescent="0.3">
      <c r="A2550" s="9">
        <v>2549</v>
      </c>
      <c r="B2550" s="2" t="s">
        <v>2555</v>
      </c>
      <c r="C2550" s="11">
        <v>14</v>
      </c>
      <c r="D2550" s="12">
        <v>50</v>
      </c>
      <c r="E2550" s="12" t="s">
        <v>8219</v>
      </c>
      <c r="F2550" s="13">
        <v>6</v>
      </c>
      <c r="G2550" s="14">
        <v>1767.1999999999998</v>
      </c>
      <c r="H2550" t="s">
        <v>3600</v>
      </c>
      <c r="I2550">
        <v>5</v>
      </c>
    </row>
    <row r="2551" spans="1:9" ht="15.6" x14ac:dyDescent="0.3">
      <c r="A2551" s="9">
        <v>2550</v>
      </c>
      <c r="B2551" s="2" t="s">
        <v>2556</v>
      </c>
      <c r="C2551" s="11">
        <v>12</v>
      </c>
      <c r="D2551" s="12">
        <v>66.666666666666657</v>
      </c>
      <c r="E2551" s="12" t="s">
        <v>8220</v>
      </c>
      <c r="F2551" s="13">
        <v>6</v>
      </c>
      <c r="G2551" s="14">
        <v>1743.17</v>
      </c>
      <c r="H2551" t="s">
        <v>2576</v>
      </c>
      <c r="I2551">
        <v>4</v>
      </c>
    </row>
    <row r="2552" spans="1:9" ht="15.6" x14ac:dyDescent="0.3">
      <c r="A2552" s="9">
        <v>2551</v>
      </c>
      <c r="B2552" s="2" t="s">
        <v>2557</v>
      </c>
      <c r="C2552" s="11">
        <v>12</v>
      </c>
      <c r="D2552" s="12">
        <v>66.666666666666657</v>
      </c>
      <c r="E2552" s="12" t="s">
        <v>8220</v>
      </c>
      <c r="F2552" s="13">
        <v>6</v>
      </c>
      <c r="G2552" s="14">
        <v>1783.1999999999998</v>
      </c>
      <c r="H2552" t="s">
        <v>1552</v>
      </c>
      <c r="I2552">
        <v>4</v>
      </c>
    </row>
    <row r="2553" spans="1:9" ht="15.6" x14ac:dyDescent="0.3">
      <c r="A2553" s="9">
        <v>2552</v>
      </c>
      <c r="B2553" s="2" t="s">
        <v>2558</v>
      </c>
      <c r="C2553" s="11">
        <v>6</v>
      </c>
      <c r="D2553" s="12">
        <v>50</v>
      </c>
      <c r="E2553" s="12" t="s">
        <v>8219</v>
      </c>
      <c r="F2553" s="13">
        <v>6</v>
      </c>
      <c r="G2553" s="14">
        <v>1758.1799999999998</v>
      </c>
      <c r="H2553" t="s">
        <v>528</v>
      </c>
      <c r="I2553">
        <v>3</v>
      </c>
    </row>
    <row r="2554" spans="1:9" ht="15.6" x14ac:dyDescent="0.3">
      <c r="A2554" s="9">
        <v>2553</v>
      </c>
      <c r="B2554" s="2" t="s">
        <v>2559</v>
      </c>
      <c r="C2554" s="11">
        <v>14</v>
      </c>
      <c r="D2554" s="12">
        <v>50</v>
      </c>
      <c r="E2554" s="12" t="s">
        <v>8219</v>
      </c>
      <c r="F2554" s="13">
        <v>6</v>
      </c>
      <c r="G2554" s="14">
        <v>1807.23</v>
      </c>
      <c r="H2554" t="s">
        <v>3344</v>
      </c>
      <c r="I2554">
        <v>5</v>
      </c>
    </row>
    <row r="2555" spans="1:9" ht="15.6" x14ac:dyDescent="0.3">
      <c r="A2555" s="9">
        <v>2554</v>
      </c>
      <c r="B2555" s="2" t="s">
        <v>2560</v>
      </c>
      <c r="C2555" s="11">
        <v>12</v>
      </c>
      <c r="D2555" s="12">
        <v>66.666666666666657</v>
      </c>
      <c r="E2555" s="12" t="s">
        <v>8220</v>
      </c>
      <c r="F2555" s="13">
        <v>6</v>
      </c>
      <c r="G2555" s="14">
        <v>1783.1999999999998</v>
      </c>
      <c r="H2555" t="s">
        <v>2320</v>
      </c>
      <c r="I2555">
        <v>4</v>
      </c>
    </row>
    <row r="2556" spans="1:9" ht="15.6" x14ac:dyDescent="0.3">
      <c r="A2556" s="9">
        <v>2555</v>
      </c>
      <c r="B2556" s="2" t="s">
        <v>2561</v>
      </c>
      <c r="C2556" s="11">
        <v>12</v>
      </c>
      <c r="D2556" s="12">
        <v>66.666666666666657</v>
      </c>
      <c r="E2556" s="12" t="s">
        <v>8220</v>
      </c>
      <c r="F2556" s="13">
        <v>6</v>
      </c>
      <c r="G2556" s="14">
        <v>1823.23</v>
      </c>
      <c r="H2556" t="s">
        <v>1296</v>
      </c>
      <c r="I2556">
        <v>4</v>
      </c>
    </row>
    <row r="2557" spans="1:9" ht="15.6" x14ac:dyDescent="0.3">
      <c r="A2557" s="9">
        <v>2556</v>
      </c>
      <c r="B2557" s="2" t="s">
        <v>2562</v>
      </c>
      <c r="C2557" s="11">
        <v>6</v>
      </c>
      <c r="D2557" s="12">
        <v>50</v>
      </c>
      <c r="E2557" s="12" t="s">
        <v>8219</v>
      </c>
      <c r="F2557" s="13">
        <v>6</v>
      </c>
      <c r="G2557" s="14">
        <v>1798.21</v>
      </c>
      <c r="H2557" t="s">
        <v>272</v>
      </c>
      <c r="I2557">
        <v>3</v>
      </c>
    </row>
    <row r="2558" spans="1:9" ht="15.6" x14ac:dyDescent="0.3">
      <c r="A2558" s="9">
        <v>2557</v>
      </c>
      <c r="B2558" s="2" t="s">
        <v>2563</v>
      </c>
      <c r="C2558" s="11">
        <v>8</v>
      </c>
      <c r="D2558" s="12">
        <v>33.333333333333329</v>
      </c>
      <c r="E2558" s="12" t="s">
        <v>8219</v>
      </c>
      <c r="F2558" s="13">
        <v>6</v>
      </c>
      <c r="G2558" s="14">
        <v>1782.21</v>
      </c>
      <c r="H2558" t="s">
        <v>3088</v>
      </c>
      <c r="I2558">
        <v>4</v>
      </c>
    </row>
    <row r="2559" spans="1:9" ht="15.6" x14ac:dyDescent="0.3">
      <c r="A2559" s="9">
        <v>2558</v>
      </c>
      <c r="B2559" s="2" t="s">
        <v>2564</v>
      </c>
      <c r="C2559" s="11">
        <v>6</v>
      </c>
      <c r="D2559" s="12">
        <v>50</v>
      </c>
      <c r="E2559" s="12" t="s">
        <v>8219</v>
      </c>
      <c r="F2559" s="13">
        <v>6</v>
      </c>
      <c r="G2559" s="14">
        <v>1758.1799999999998</v>
      </c>
      <c r="H2559" t="s">
        <v>2064</v>
      </c>
      <c r="I2559">
        <v>3</v>
      </c>
    </row>
    <row r="2560" spans="1:9" ht="15.6" x14ac:dyDescent="0.3">
      <c r="A2560" s="9">
        <v>2559</v>
      </c>
      <c r="B2560" s="2" t="s">
        <v>2565</v>
      </c>
      <c r="C2560" s="11">
        <v>6</v>
      </c>
      <c r="D2560" s="12">
        <v>50</v>
      </c>
      <c r="E2560" s="12" t="s">
        <v>8219</v>
      </c>
      <c r="F2560" s="13">
        <v>6</v>
      </c>
      <c r="G2560" s="14">
        <v>1798.21</v>
      </c>
      <c r="H2560" t="s">
        <v>1040</v>
      </c>
      <c r="I2560">
        <v>3</v>
      </c>
    </row>
    <row r="2561" spans="1:9" ht="15.6" x14ac:dyDescent="0.3">
      <c r="A2561" s="9">
        <v>2560</v>
      </c>
      <c r="B2561" s="2" t="s">
        <v>2566</v>
      </c>
      <c r="C2561" s="11">
        <v>0</v>
      </c>
      <c r="D2561" s="12">
        <v>33.333333333333329</v>
      </c>
      <c r="E2561" s="12" t="s">
        <v>8219</v>
      </c>
      <c r="F2561" s="13">
        <v>6</v>
      </c>
      <c r="G2561" s="14">
        <v>1773.19</v>
      </c>
      <c r="H2561" t="s">
        <v>16</v>
      </c>
      <c r="I2561">
        <v>2</v>
      </c>
    </row>
    <row r="2562" spans="1:9" ht="15.6" x14ac:dyDescent="0.3">
      <c r="A2562" s="9">
        <v>2561</v>
      </c>
      <c r="B2562" s="2" t="s">
        <v>2567</v>
      </c>
      <c r="C2562" s="11">
        <v>32</v>
      </c>
      <c r="D2562" s="12">
        <v>33.333333333333329</v>
      </c>
      <c r="E2562" s="12" t="s">
        <v>8219</v>
      </c>
      <c r="F2562" s="13">
        <v>6</v>
      </c>
      <c r="G2562" s="14">
        <v>1849.3000000000002</v>
      </c>
      <c r="H2562" t="s">
        <v>4092</v>
      </c>
      <c r="I2562">
        <v>8</v>
      </c>
    </row>
    <row r="2563" spans="1:9" ht="15.6" x14ac:dyDescent="0.3">
      <c r="A2563" s="9">
        <v>2562</v>
      </c>
      <c r="B2563" s="2" t="s">
        <v>2568</v>
      </c>
      <c r="C2563" s="11">
        <v>30</v>
      </c>
      <c r="D2563" s="12">
        <v>50</v>
      </c>
      <c r="E2563" s="12" t="s">
        <v>8219</v>
      </c>
      <c r="F2563" s="13">
        <v>6</v>
      </c>
      <c r="G2563" s="14">
        <v>1825.27</v>
      </c>
      <c r="H2563" t="s">
        <v>3068</v>
      </c>
      <c r="I2563">
        <v>7</v>
      </c>
    </row>
    <row r="2564" spans="1:9" ht="15.6" x14ac:dyDescent="0.3">
      <c r="A2564" s="9">
        <v>2563</v>
      </c>
      <c r="B2564" s="2" t="s">
        <v>2569</v>
      </c>
      <c r="C2564" s="11">
        <v>30</v>
      </c>
      <c r="D2564" s="12">
        <v>50</v>
      </c>
      <c r="E2564" s="12" t="s">
        <v>8219</v>
      </c>
      <c r="F2564" s="13">
        <v>6</v>
      </c>
      <c r="G2564" s="14">
        <v>1865.3000000000002</v>
      </c>
      <c r="H2564" t="s">
        <v>2044</v>
      </c>
      <c r="I2564">
        <v>7</v>
      </c>
    </row>
    <row r="2565" spans="1:9" ht="15.6" x14ac:dyDescent="0.3">
      <c r="A2565" s="9">
        <v>2564</v>
      </c>
      <c r="B2565" s="2" t="s">
        <v>2570</v>
      </c>
      <c r="C2565" s="11">
        <v>24</v>
      </c>
      <c r="D2565" s="12">
        <v>33.333333333333329</v>
      </c>
      <c r="E2565" s="12" t="s">
        <v>8219</v>
      </c>
      <c r="F2565" s="13">
        <v>6</v>
      </c>
      <c r="G2565" s="14">
        <v>1840.2800000000002</v>
      </c>
      <c r="H2565" t="s">
        <v>1020</v>
      </c>
      <c r="I2565">
        <v>6</v>
      </c>
    </row>
    <row r="2566" spans="1:9" ht="15.6" x14ac:dyDescent="0.3">
      <c r="A2566" s="9">
        <v>2565</v>
      </c>
      <c r="B2566" s="2" t="s">
        <v>2571</v>
      </c>
      <c r="C2566" s="11">
        <v>30</v>
      </c>
      <c r="D2566" s="12">
        <v>50</v>
      </c>
      <c r="E2566" s="12" t="s">
        <v>8219</v>
      </c>
      <c r="F2566" s="13">
        <v>6</v>
      </c>
      <c r="G2566" s="14">
        <v>1825.27</v>
      </c>
      <c r="H2566" t="s">
        <v>3836</v>
      </c>
      <c r="I2566">
        <v>7</v>
      </c>
    </row>
    <row r="2567" spans="1:9" ht="15.6" x14ac:dyDescent="0.3">
      <c r="A2567" s="9">
        <v>2566</v>
      </c>
      <c r="B2567" s="2" t="s">
        <v>2572</v>
      </c>
      <c r="C2567" s="11">
        <v>28</v>
      </c>
      <c r="D2567" s="12">
        <v>66.666666666666657</v>
      </c>
      <c r="E2567" s="12" t="s">
        <v>8220</v>
      </c>
      <c r="F2567" s="13">
        <v>6</v>
      </c>
      <c r="G2567" s="14">
        <v>1801.2399999999998</v>
      </c>
      <c r="H2567" t="s">
        <v>2812</v>
      </c>
      <c r="I2567">
        <v>7</v>
      </c>
    </row>
    <row r="2568" spans="1:9" ht="15.6" x14ac:dyDescent="0.3">
      <c r="A2568" s="9">
        <v>2567</v>
      </c>
      <c r="B2568" s="2" t="s">
        <v>2573</v>
      </c>
      <c r="C2568" s="11">
        <v>28</v>
      </c>
      <c r="D2568" s="12">
        <v>66.666666666666657</v>
      </c>
      <c r="E2568" s="12" t="s">
        <v>8220</v>
      </c>
      <c r="F2568" s="13">
        <v>6</v>
      </c>
      <c r="G2568" s="14">
        <v>1841.27</v>
      </c>
      <c r="H2568" t="s">
        <v>1788</v>
      </c>
      <c r="I2568">
        <v>7</v>
      </c>
    </row>
    <row r="2569" spans="1:9" ht="15.6" x14ac:dyDescent="0.3">
      <c r="A2569" s="9">
        <v>2568</v>
      </c>
      <c r="B2569" s="2" t="s">
        <v>2574</v>
      </c>
      <c r="C2569" s="11">
        <v>22</v>
      </c>
      <c r="D2569" s="12">
        <v>50</v>
      </c>
      <c r="E2569" s="12" t="s">
        <v>8219</v>
      </c>
      <c r="F2569" s="13">
        <v>6</v>
      </c>
      <c r="G2569" s="14">
        <v>1816.25</v>
      </c>
      <c r="H2569" t="s">
        <v>764</v>
      </c>
      <c r="I2569">
        <v>6</v>
      </c>
    </row>
    <row r="2570" spans="1:9" ht="15.6" x14ac:dyDescent="0.3">
      <c r="A2570" s="9">
        <v>2569</v>
      </c>
      <c r="B2570" s="2" t="s">
        <v>2575</v>
      </c>
      <c r="C2570" s="11">
        <v>30</v>
      </c>
      <c r="D2570" s="12">
        <v>50</v>
      </c>
      <c r="E2570" s="12" t="s">
        <v>8219</v>
      </c>
      <c r="F2570" s="13">
        <v>6</v>
      </c>
      <c r="G2570" s="14">
        <v>1865.3000000000002</v>
      </c>
      <c r="H2570" t="s">
        <v>3580</v>
      </c>
      <c r="I2570">
        <v>7</v>
      </c>
    </row>
    <row r="2571" spans="1:9" ht="15.6" x14ac:dyDescent="0.3">
      <c r="A2571" s="9">
        <v>2570</v>
      </c>
      <c r="B2571" s="2" t="s">
        <v>2576</v>
      </c>
      <c r="C2571" s="11">
        <v>28</v>
      </c>
      <c r="D2571" s="12">
        <v>66.666666666666657</v>
      </c>
      <c r="E2571" s="12" t="s">
        <v>8220</v>
      </c>
      <c r="F2571" s="13">
        <v>6</v>
      </c>
      <c r="G2571" s="14">
        <v>1841.27</v>
      </c>
      <c r="H2571" t="s">
        <v>2556</v>
      </c>
      <c r="I2571">
        <v>7</v>
      </c>
    </row>
    <row r="2572" spans="1:9" ht="15.6" x14ac:dyDescent="0.3">
      <c r="A2572" s="9">
        <v>2571</v>
      </c>
      <c r="B2572" s="2" t="s">
        <v>2577</v>
      </c>
      <c r="C2572" s="11">
        <v>28</v>
      </c>
      <c r="D2572" s="12">
        <v>66.666666666666657</v>
      </c>
      <c r="E2572" s="12" t="s">
        <v>8220</v>
      </c>
      <c r="F2572" s="13">
        <v>6</v>
      </c>
      <c r="G2572" s="14">
        <v>1881.3000000000002</v>
      </c>
      <c r="H2572" t="s">
        <v>1532</v>
      </c>
      <c r="I2572">
        <v>7</v>
      </c>
    </row>
    <row r="2573" spans="1:9" ht="15.6" x14ac:dyDescent="0.3">
      <c r="A2573" s="9">
        <v>2572</v>
      </c>
      <c r="B2573" s="2" t="s">
        <v>2578</v>
      </c>
      <c r="C2573" s="11">
        <v>22</v>
      </c>
      <c r="D2573" s="12">
        <v>50</v>
      </c>
      <c r="E2573" s="12" t="s">
        <v>8219</v>
      </c>
      <c r="F2573" s="13">
        <v>6</v>
      </c>
      <c r="G2573" s="14">
        <v>1856.2800000000002</v>
      </c>
      <c r="H2573" t="s">
        <v>508</v>
      </c>
      <c r="I2573">
        <v>6</v>
      </c>
    </row>
    <row r="2574" spans="1:9" ht="15.6" x14ac:dyDescent="0.3">
      <c r="A2574" s="9">
        <v>2573</v>
      </c>
      <c r="B2574" s="2" t="s">
        <v>2579</v>
      </c>
      <c r="C2574" s="11">
        <v>24</v>
      </c>
      <c r="D2574" s="12">
        <v>33.333333333333329</v>
      </c>
      <c r="E2574" s="12" t="s">
        <v>8219</v>
      </c>
      <c r="F2574" s="13">
        <v>6</v>
      </c>
      <c r="G2574" s="14">
        <v>1840.2800000000002</v>
      </c>
      <c r="H2574" t="s">
        <v>3324</v>
      </c>
      <c r="I2574">
        <v>6</v>
      </c>
    </row>
    <row r="2575" spans="1:9" ht="15.6" x14ac:dyDescent="0.3">
      <c r="A2575" s="9">
        <v>2574</v>
      </c>
      <c r="B2575" s="2" t="s">
        <v>2580</v>
      </c>
      <c r="C2575" s="11">
        <v>22</v>
      </c>
      <c r="D2575" s="12">
        <v>50</v>
      </c>
      <c r="E2575" s="12" t="s">
        <v>8219</v>
      </c>
      <c r="F2575" s="13">
        <v>6</v>
      </c>
      <c r="G2575" s="14">
        <v>1816.25</v>
      </c>
      <c r="H2575" t="s">
        <v>2300</v>
      </c>
      <c r="I2575">
        <v>6</v>
      </c>
    </row>
    <row r="2576" spans="1:9" ht="15.6" x14ac:dyDescent="0.3">
      <c r="A2576" s="9">
        <v>2575</v>
      </c>
      <c r="B2576" s="2" t="s">
        <v>2581</v>
      </c>
      <c r="C2576" s="11">
        <v>22</v>
      </c>
      <c r="D2576" s="12">
        <v>50</v>
      </c>
      <c r="E2576" s="12" t="s">
        <v>8219</v>
      </c>
      <c r="F2576" s="13">
        <v>6</v>
      </c>
      <c r="G2576" s="14">
        <v>1856.2800000000002</v>
      </c>
      <c r="H2576" t="s">
        <v>1276</v>
      </c>
      <c r="I2576">
        <v>6</v>
      </c>
    </row>
    <row r="2577" spans="1:9" ht="15.6" x14ac:dyDescent="0.3">
      <c r="A2577" s="9">
        <v>2576</v>
      </c>
      <c r="B2577" s="2" t="s">
        <v>2582</v>
      </c>
      <c r="C2577" s="11">
        <v>16</v>
      </c>
      <c r="D2577" s="12">
        <v>33.333333333333329</v>
      </c>
      <c r="E2577" s="12" t="s">
        <v>8219</v>
      </c>
      <c r="F2577" s="13">
        <v>6</v>
      </c>
      <c r="G2577" s="14">
        <v>1831.2600000000002</v>
      </c>
      <c r="H2577" t="s">
        <v>252</v>
      </c>
      <c r="I2577">
        <v>5</v>
      </c>
    </row>
    <row r="2578" spans="1:9" ht="15.6" x14ac:dyDescent="0.3">
      <c r="A2578" s="9">
        <v>2577</v>
      </c>
      <c r="B2578" s="2" t="s">
        <v>2583</v>
      </c>
      <c r="C2578" s="11">
        <v>30</v>
      </c>
      <c r="D2578" s="12">
        <v>50</v>
      </c>
      <c r="E2578" s="12" t="s">
        <v>8219</v>
      </c>
      <c r="F2578" s="13">
        <v>6</v>
      </c>
      <c r="G2578" s="14">
        <v>1825.27</v>
      </c>
      <c r="H2578" t="s">
        <v>4028</v>
      </c>
      <c r="I2578">
        <v>7</v>
      </c>
    </row>
    <row r="2579" spans="1:9" ht="15.6" x14ac:dyDescent="0.3">
      <c r="A2579" s="9">
        <v>2578</v>
      </c>
      <c r="B2579" s="2" t="s">
        <v>2584</v>
      </c>
      <c r="C2579" s="11">
        <v>28</v>
      </c>
      <c r="D2579" s="12">
        <v>66.666666666666657</v>
      </c>
      <c r="E2579" s="12" t="s">
        <v>8220</v>
      </c>
      <c r="F2579" s="13">
        <v>6</v>
      </c>
      <c r="G2579" s="14">
        <v>1801.2399999999998</v>
      </c>
      <c r="H2579" t="s">
        <v>3004</v>
      </c>
      <c r="I2579">
        <v>7</v>
      </c>
    </row>
    <row r="2580" spans="1:9" ht="15.6" x14ac:dyDescent="0.3">
      <c r="A2580" s="9">
        <v>2579</v>
      </c>
      <c r="B2580" s="2" t="s">
        <v>2585</v>
      </c>
      <c r="C2580" s="11">
        <v>28</v>
      </c>
      <c r="D2580" s="12">
        <v>66.666666666666657</v>
      </c>
      <c r="E2580" s="12" t="s">
        <v>8220</v>
      </c>
      <c r="F2580" s="13">
        <v>6</v>
      </c>
      <c r="G2580" s="14">
        <v>1841.27</v>
      </c>
      <c r="H2580" t="s">
        <v>1980</v>
      </c>
      <c r="I2580">
        <v>7</v>
      </c>
    </row>
    <row r="2581" spans="1:9" ht="15.6" x14ac:dyDescent="0.3">
      <c r="A2581" s="9">
        <v>2580</v>
      </c>
      <c r="B2581" s="2" t="s">
        <v>2586</v>
      </c>
      <c r="C2581" s="11">
        <v>22</v>
      </c>
      <c r="D2581" s="12">
        <v>50</v>
      </c>
      <c r="E2581" s="12" t="s">
        <v>8219</v>
      </c>
      <c r="F2581" s="13">
        <v>6</v>
      </c>
      <c r="G2581" s="14">
        <v>1816.25</v>
      </c>
      <c r="H2581" t="s">
        <v>956</v>
      </c>
      <c r="I2581">
        <v>6</v>
      </c>
    </row>
    <row r="2582" spans="1:9" ht="15.6" x14ac:dyDescent="0.3">
      <c r="A2582" s="9">
        <v>2581</v>
      </c>
      <c r="B2582" s="2" t="s">
        <v>2587</v>
      </c>
      <c r="C2582" s="11">
        <v>28</v>
      </c>
      <c r="D2582" s="12">
        <v>66.666666666666657</v>
      </c>
      <c r="E2582" s="12" t="s">
        <v>8220</v>
      </c>
      <c r="F2582" s="13">
        <v>6</v>
      </c>
      <c r="G2582" s="14">
        <v>1801.2399999999998</v>
      </c>
      <c r="H2582" t="s">
        <v>3772</v>
      </c>
      <c r="I2582">
        <v>7</v>
      </c>
    </row>
    <row r="2583" spans="1:9" ht="15.6" x14ac:dyDescent="0.3">
      <c r="A2583" s="9">
        <v>2582</v>
      </c>
      <c r="B2583" s="2" t="s">
        <v>2588</v>
      </c>
      <c r="C2583" s="11">
        <v>26</v>
      </c>
      <c r="D2583" s="12">
        <v>83.333333333333343</v>
      </c>
      <c r="E2583" s="12" t="s">
        <v>8220</v>
      </c>
      <c r="F2583" s="13">
        <v>6</v>
      </c>
      <c r="G2583" s="14">
        <v>1777.21</v>
      </c>
      <c r="H2583" t="s">
        <v>2748</v>
      </c>
      <c r="I2583">
        <v>7</v>
      </c>
    </row>
    <row r="2584" spans="1:9" ht="15.6" x14ac:dyDescent="0.3">
      <c r="A2584" s="9">
        <v>2583</v>
      </c>
      <c r="B2584" s="2" t="s">
        <v>2589</v>
      </c>
      <c r="C2584" s="11">
        <v>26</v>
      </c>
      <c r="D2584" s="12">
        <v>83.333333333333343</v>
      </c>
      <c r="E2584" s="12" t="s">
        <v>8220</v>
      </c>
      <c r="F2584" s="13">
        <v>6</v>
      </c>
      <c r="G2584" s="14">
        <v>1817.2400000000002</v>
      </c>
      <c r="H2584" t="s">
        <v>1724</v>
      </c>
      <c r="I2584">
        <v>7</v>
      </c>
    </row>
    <row r="2585" spans="1:9" ht="15.6" x14ac:dyDescent="0.3">
      <c r="A2585" s="9">
        <v>2584</v>
      </c>
      <c r="B2585" s="2" t="s">
        <v>2590</v>
      </c>
      <c r="C2585" s="11">
        <v>20</v>
      </c>
      <c r="D2585" s="12">
        <v>66.666666666666657</v>
      </c>
      <c r="E2585" s="12" t="s">
        <v>8220</v>
      </c>
      <c r="F2585" s="13">
        <v>6</v>
      </c>
      <c r="G2585" s="14">
        <v>1792.2199999999998</v>
      </c>
      <c r="H2585" t="s">
        <v>700</v>
      </c>
      <c r="I2585">
        <v>6</v>
      </c>
    </row>
    <row r="2586" spans="1:9" ht="15.6" x14ac:dyDescent="0.3">
      <c r="A2586" s="9">
        <v>2585</v>
      </c>
      <c r="B2586" s="2" t="s">
        <v>2591</v>
      </c>
      <c r="C2586" s="11">
        <v>28</v>
      </c>
      <c r="D2586" s="12">
        <v>66.666666666666657</v>
      </c>
      <c r="E2586" s="12" t="s">
        <v>8220</v>
      </c>
      <c r="F2586" s="13">
        <v>6</v>
      </c>
      <c r="G2586" s="14">
        <v>1841.27</v>
      </c>
      <c r="H2586" t="s">
        <v>3516</v>
      </c>
      <c r="I2586">
        <v>7</v>
      </c>
    </row>
    <row r="2587" spans="1:9" ht="15.6" x14ac:dyDescent="0.3">
      <c r="A2587" s="9">
        <v>2586</v>
      </c>
      <c r="B2587" s="2" t="s">
        <v>2592</v>
      </c>
      <c r="C2587" s="11">
        <v>26</v>
      </c>
      <c r="D2587" s="12">
        <v>83.333333333333343</v>
      </c>
      <c r="E2587" s="12" t="s">
        <v>8220</v>
      </c>
      <c r="F2587" s="13">
        <v>6</v>
      </c>
      <c r="G2587" s="14">
        <v>1817.2400000000002</v>
      </c>
      <c r="H2587" t="s">
        <v>2492</v>
      </c>
      <c r="I2587">
        <v>7</v>
      </c>
    </row>
    <row r="2588" spans="1:9" ht="15.6" x14ac:dyDescent="0.3">
      <c r="A2588" s="9">
        <v>2587</v>
      </c>
      <c r="B2588" s="2" t="s">
        <v>2593</v>
      </c>
      <c r="C2588" s="11">
        <v>26</v>
      </c>
      <c r="D2588" s="12">
        <v>83.333333333333343</v>
      </c>
      <c r="E2588" s="12" t="s">
        <v>8220</v>
      </c>
      <c r="F2588" s="13">
        <v>6</v>
      </c>
      <c r="G2588" s="14">
        <v>1857.27</v>
      </c>
      <c r="H2588" t="s">
        <v>1468</v>
      </c>
      <c r="I2588">
        <v>7</v>
      </c>
    </row>
    <row r="2589" spans="1:9" ht="15.6" x14ac:dyDescent="0.3">
      <c r="A2589" s="9">
        <v>2588</v>
      </c>
      <c r="B2589" s="2" t="s">
        <v>2594</v>
      </c>
      <c r="C2589" s="11">
        <v>20</v>
      </c>
      <c r="D2589" s="12">
        <v>66.666666666666657</v>
      </c>
      <c r="E2589" s="12" t="s">
        <v>8220</v>
      </c>
      <c r="F2589" s="13">
        <v>6</v>
      </c>
      <c r="G2589" s="14">
        <v>1832.25</v>
      </c>
      <c r="H2589" t="s">
        <v>444</v>
      </c>
      <c r="I2589">
        <v>6</v>
      </c>
    </row>
    <row r="2590" spans="1:9" ht="15.6" x14ac:dyDescent="0.3">
      <c r="A2590" s="9">
        <v>2589</v>
      </c>
      <c r="B2590" s="2" t="s">
        <v>2595</v>
      </c>
      <c r="C2590" s="11">
        <v>22</v>
      </c>
      <c r="D2590" s="12">
        <v>50</v>
      </c>
      <c r="E2590" s="12" t="s">
        <v>8219</v>
      </c>
      <c r="F2590" s="13">
        <v>6</v>
      </c>
      <c r="G2590" s="14">
        <v>1816.25</v>
      </c>
      <c r="H2590" t="s">
        <v>3260</v>
      </c>
      <c r="I2590">
        <v>6</v>
      </c>
    </row>
    <row r="2591" spans="1:9" ht="15.6" x14ac:dyDescent="0.3">
      <c r="A2591" s="9">
        <v>2590</v>
      </c>
      <c r="B2591" s="2" t="s">
        <v>2596</v>
      </c>
      <c r="C2591" s="11">
        <v>20</v>
      </c>
      <c r="D2591" s="12">
        <v>66.666666666666657</v>
      </c>
      <c r="E2591" s="12" t="s">
        <v>8220</v>
      </c>
      <c r="F2591" s="13">
        <v>6</v>
      </c>
      <c r="G2591" s="14">
        <v>1792.2199999999998</v>
      </c>
      <c r="H2591" t="s">
        <v>2236</v>
      </c>
      <c r="I2591">
        <v>6</v>
      </c>
    </row>
    <row r="2592" spans="1:9" ht="15.6" x14ac:dyDescent="0.3">
      <c r="A2592" s="9">
        <v>2591</v>
      </c>
      <c r="B2592" s="2" t="s">
        <v>2597</v>
      </c>
      <c r="C2592" s="11">
        <v>20</v>
      </c>
      <c r="D2592" s="12">
        <v>66.666666666666657</v>
      </c>
      <c r="E2592" s="12" t="s">
        <v>8220</v>
      </c>
      <c r="F2592" s="13">
        <v>6</v>
      </c>
      <c r="G2592" s="14">
        <v>1832.25</v>
      </c>
      <c r="H2592" t="s">
        <v>1212</v>
      </c>
      <c r="I2592">
        <v>6</v>
      </c>
    </row>
    <row r="2593" spans="1:9" ht="15.6" x14ac:dyDescent="0.3">
      <c r="A2593" s="9">
        <v>2592</v>
      </c>
      <c r="B2593" s="2" t="s">
        <v>2598</v>
      </c>
      <c r="C2593" s="11">
        <v>14</v>
      </c>
      <c r="D2593" s="12">
        <v>50</v>
      </c>
      <c r="E2593" s="12" t="s">
        <v>8219</v>
      </c>
      <c r="F2593" s="13">
        <v>6</v>
      </c>
      <c r="G2593" s="14">
        <v>1807.23</v>
      </c>
      <c r="H2593" t="s">
        <v>188</v>
      </c>
      <c r="I2593">
        <v>5</v>
      </c>
    </row>
    <row r="2594" spans="1:9" ht="15.6" x14ac:dyDescent="0.3">
      <c r="A2594" s="9">
        <v>2593</v>
      </c>
      <c r="B2594" s="2" t="s">
        <v>2599</v>
      </c>
      <c r="C2594" s="11">
        <v>30</v>
      </c>
      <c r="D2594" s="12">
        <v>50</v>
      </c>
      <c r="E2594" s="12" t="s">
        <v>8219</v>
      </c>
      <c r="F2594" s="13">
        <v>6</v>
      </c>
      <c r="G2594" s="14">
        <v>1865.3000000000002</v>
      </c>
      <c r="H2594" t="s">
        <v>3964</v>
      </c>
      <c r="I2594">
        <v>7</v>
      </c>
    </row>
    <row r="2595" spans="1:9" ht="15.6" x14ac:dyDescent="0.3">
      <c r="A2595" s="9">
        <v>2594</v>
      </c>
      <c r="B2595" s="2" t="s">
        <v>2600</v>
      </c>
      <c r="C2595" s="11">
        <v>28</v>
      </c>
      <c r="D2595" s="12">
        <v>66.666666666666657</v>
      </c>
      <c r="E2595" s="12" t="s">
        <v>8220</v>
      </c>
      <c r="F2595" s="13">
        <v>6</v>
      </c>
      <c r="G2595" s="14">
        <v>1841.27</v>
      </c>
      <c r="H2595" t="s">
        <v>2940</v>
      </c>
      <c r="I2595">
        <v>7</v>
      </c>
    </row>
    <row r="2596" spans="1:9" ht="15.6" x14ac:dyDescent="0.3">
      <c r="A2596" s="9">
        <v>2595</v>
      </c>
      <c r="B2596" s="2" t="s">
        <v>2601</v>
      </c>
      <c r="C2596" s="11">
        <v>28</v>
      </c>
      <c r="D2596" s="12">
        <v>66.666666666666657</v>
      </c>
      <c r="E2596" s="12" t="s">
        <v>8220</v>
      </c>
      <c r="F2596" s="13">
        <v>6</v>
      </c>
      <c r="G2596" s="14">
        <v>1881.3000000000002</v>
      </c>
      <c r="H2596" t="s">
        <v>1916</v>
      </c>
      <c r="I2596">
        <v>7</v>
      </c>
    </row>
    <row r="2597" spans="1:9" ht="15.6" x14ac:dyDescent="0.3">
      <c r="A2597" s="9">
        <v>2596</v>
      </c>
      <c r="B2597" s="2" t="s">
        <v>2602</v>
      </c>
      <c r="C2597" s="11">
        <v>22</v>
      </c>
      <c r="D2597" s="12">
        <v>50</v>
      </c>
      <c r="E2597" s="12" t="s">
        <v>8219</v>
      </c>
      <c r="F2597" s="13">
        <v>6</v>
      </c>
      <c r="G2597" s="14">
        <v>1856.2800000000002</v>
      </c>
      <c r="H2597" t="s">
        <v>892</v>
      </c>
      <c r="I2597">
        <v>6</v>
      </c>
    </row>
    <row r="2598" spans="1:9" ht="15.6" x14ac:dyDescent="0.3">
      <c r="A2598" s="9">
        <v>2597</v>
      </c>
      <c r="B2598" s="2" t="s">
        <v>2603</v>
      </c>
      <c r="C2598" s="11">
        <v>28</v>
      </c>
      <c r="D2598" s="12">
        <v>66.666666666666657</v>
      </c>
      <c r="E2598" s="12" t="s">
        <v>8220</v>
      </c>
      <c r="F2598" s="13">
        <v>6</v>
      </c>
      <c r="G2598" s="14">
        <v>1841.27</v>
      </c>
      <c r="H2598" t="s">
        <v>3708</v>
      </c>
      <c r="I2598">
        <v>7</v>
      </c>
    </row>
    <row r="2599" spans="1:9" ht="15.6" x14ac:dyDescent="0.3">
      <c r="A2599" s="9">
        <v>2598</v>
      </c>
      <c r="B2599" s="2" t="s">
        <v>2604</v>
      </c>
      <c r="C2599" s="11">
        <v>26</v>
      </c>
      <c r="D2599" s="12">
        <v>83.333333333333343</v>
      </c>
      <c r="E2599" s="12" t="s">
        <v>8220</v>
      </c>
      <c r="F2599" s="13">
        <v>6</v>
      </c>
      <c r="G2599" s="14">
        <v>1817.2400000000002</v>
      </c>
      <c r="H2599" t="s">
        <v>2684</v>
      </c>
      <c r="I2599">
        <v>7</v>
      </c>
    </row>
    <row r="2600" spans="1:9" ht="15.6" x14ac:dyDescent="0.3">
      <c r="A2600" s="9">
        <v>2599</v>
      </c>
      <c r="B2600" s="2" t="s">
        <v>2605</v>
      </c>
      <c r="C2600" s="11">
        <v>26</v>
      </c>
      <c r="D2600" s="12">
        <v>83.333333333333343</v>
      </c>
      <c r="E2600" s="12" t="s">
        <v>8220</v>
      </c>
      <c r="F2600" s="13">
        <v>6</v>
      </c>
      <c r="G2600" s="14">
        <v>1857.27</v>
      </c>
      <c r="H2600" t="s">
        <v>1660</v>
      </c>
      <c r="I2600">
        <v>7</v>
      </c>
    </row>
    <row r="2601" spans="1:9" ht="15.6" x14ac:dyDescent="0.3">
      <c r="A2601" s="9">
        <v>2600</v>
      </c>
      <c r="B2601" s="2" t="s">
        <v>2606</v>
      </c>
      <c r="C2601" s="11">
        <v>20</v>
      </c>
      <c r="D2601" s="12">
        <v>66.666666666666657</v>
      </c>
      <c r="E2601" s="12" t="s">
        <v>8220</v>
      </c>
      <c r="F2601" s="13">
        <v>6</v>
      </c>
      <c r="G2601" s="14">
        <v>1832.25</v>
      </c>
      <c r="H2601" t="s">
        <v>636</v>
      </c>
      <c r="I2601">
        <v>6</v>
      </c>
    </row>
    <row r="2602" spans="1:9" ht="15.6" x14ac:dyDescent="0.3">
      <c r="A2602" s="9">
        <v>2601</v>
      </c>
      <c r="B2602" s="2" t="s">
        <v>2607</v>
      </c>
      <c r="C2602" s="11">
        <v>28</v>
      </c>
      <c r="D2602" s="12">
        <v>66.666666666666657</v>
      </c>
      <c r="E2602" s="12" t="s">
        <v>8220</v>
      </c>
      <c r="F2602" s="13">
        <v>6</v>
      </c>
      <c r="G2602" s="14">
        <v>1881.3000000000002</v>
      </c>
      <c r="H2602" t="s">
        <v>3452</v>
      </c>
      <c r="I2602">
        <v>7</v>
      </c>
    </row>
    <row r="2603" spans="1:9" ht="15.6" x14ac:dyDescent="0.3">
      <c r="A2603" s="9">
        <v>2602</v>
      </c>
      <c r="B2603" s="2" t="s">
        <v>2608</v>
      </c>
      <c r="C2603" s="11">
        <v>26</v>
      </c>
      <c r="D2603" s="12">
        <v>83.333333333333343</v>
      </c>
      <c r="E2603" s="12" t="s">
        <v>8220</v>
      </c>
      <c r="F2603" s="13">
        <v>6</v>
      </c>
      <c r="G2603" s="14">
        <v>1857.27</v>
      </c>
      <c r="H2603" t="s">
        <v>2428</v>
      </c>
      <c r="I2603">
        <v>7</v>
      </c>
    </row>
    <row r="2604" spans="1:9" ht="15.6" x14ac:dyDescent="0.3">
      <c r="A2604" s="9">
        <v>2603</v>
      </c>
      <c r="B2604" s="2" t="s">
        <v>2609</v>
      </c>
      <c r="C2604" s="11">
        <v>26</v>
      </c>
      <c r="D2604" s="12">
        <v>83.333333333333343</v>
      </c>
      <c r="E2604" s="12" t="s">
        <v>8220</v>
      </c>
      <c r="F2604" s="13">
        <v>6</v>
      </c>
      <c r="G2604" s="14">
        <v>1897.3000000000002</v>
      </c>
      <c r="H2604" t="s">
        <v>1404</v>
      </c>
      <c r="I2604">
        <v>7</v>
      </c>
    </row>
    <row r="2605" spans="1:9" ht="15.6" x14ac:dyDescent="0.3">
      <c r="A2605" s="9">
        <v>2604</v>
      </c>
      <c r="B2605" s="2" t="s">
        <v>2610</v>
      </c>
      <c r="C2605" s="11">
        <v>20</v>
      </c>
      <c r="D2605" s="12">
        <v>66.666666666666657</v>
      </c>
      <c r="E2605" s="12" t="s">
        <v>8220</v>
      </c>
      <c r="F2605" s="13">
        <v>6</v>
      </c>
      <c r="G2605" s="14">
        <v>1872.2800000000002</v>
      </c>
      <c r="H2605" t="s">
        <v>380</v>
      </c>
      <c r="I2605">
        <v>6</v>
      </c>
    </row>
    <row r="2606" spans="1:9" ht="15.6" x14ac:dyDescent="0.3">
      <c r="A2606" s="9">
        <v>2605</v>
      </c>
      <c r="B2606" s="2" t="s">
        <v>2611</v>
      </c>
      <c r="C2606" s="11">
        <v>22</v>
      </c>
      <c r="D2606" s="12">
        <v>50</v>
      </c>
      <c r="E2606" s="12" t="s">
        <v>8219</v>
      </c>
      <c r="F2606" s="13">
        <v>6</v>
      </c>
      <c r="G2606" s="14">
        <v>1856.2800000000002</v>
      </c>
      <c r="H2606" t="s">
        <v>3196</v>
      </c>
      <c r="I2606">
        <v>6</v>
      </c>
    </row>
    <row r="2607" spans="1:9" ht="15.6" x14ac:dyDescent="0.3">
      <c r="A2607" s="9">
        <v>2606</v>
      </c>
      <c r="B2607" s="2" t="s">
        <v>2612</v>
      </c>
      <c r="C2607" s="11">
        <v>20</v>
      </c>
      <c r="D2607" s="12">
        <v>66.666666666666657</v>
      </c>
      <c r="E2607" s="12" t="s">
        <v>8220</v>
      </c>
      <c r="F2607" s="13">
        <v>6</v>
      </c>
      <c r="G2607" s="14">
        <v>1832.25</v>
      </c>
      <c r="H2607" t="s">
        <v>2172</v>
      </c>
      <c r="I2607">
        <v>6</v>
      </c>
    </row>
    <row r="2608" spans="1:9" ht="15.6" x14ac:dyDescent="0.3">
      <c r="A2608" s="9">
        <v>2607</v>
      </c>
      <c r="B2608" s="2" t="s">
        <v>2613</v>
      </c>
      <c r="C2608" s="11">
        <v>20</v>
      </c>
      <c r="D2608" s="12">
        <v>66.666666666666657</v>
      </c>
      <c r="E2608" s="12" t="s">
        <v>8220</v>
      </c>
      <c r="F2608" s="13">
        <v>6</v>
      </c>
      <c r="G2608" s="14">
        <v>1872.2800000000002</v>
      </c>
      <c r="H2608" t="s">
        <v>1148</v>
      </c>
      <c r="I2608">
        <v>6</v>
      </c>
    </row>
    <row r="2609" spans="1:9" ht="15.6" x14ac:dyDescent="0.3">
      <c r="A2609" s="9">
        <v>2608</v>
      </c>
      <c r="B2609" s="2" t="s">
        <v>2614</v>
      </c>
      <c r="C2609" s="11">
        <v>14</v>
      </c>
      <c r="D2609" s="12">
        <v>50</v>
      </c>
      <c r="E2609" s="12" t="s">
        <v>8219</v>
      </c>
      <c r="F2609" s="13">
        <v>6</v>
      </c>
      <c r="G2609" s="14">
        <v>1847.2600000000002</v>
      </c>
      <c r="H2609" t="s">
        <v>124</v>
      </c>
      <c r="I2609">
        <v>5</v>
      </c>
    </row>
    <row r="2610" spans="1:9" ht="15.6" x14ac:dyDescent="0.3">
      <c r="A2610" s="9">
        <v>2609</v>
      </c>
      <c r="B2610" s="2" t="s">
        <v>2615</v>
      </c>
      <c r="C2610" s="11">
        <v>24</v>
      </c>
      <c r="D2610" s="12">
        <v>33.333333333333329</v>
      </c>
      <c r="E2610" s="12" t="s">
        <v>8219</v>
      </c>
      <c r="F2610" s="13">
        <v>6</v>
      </c>
      <c r="G2610" s="14">
        <v>1840.2800000000002</v>
      </c>
      <c r="H2610" t="s">
        <v>3900</v>
      </c>
      <c r="I2610">
        <v>6</v>
      </c>
    </row>
    <row r="2611" spans="1:9" ht="15.6" x14ac:dyDescent="0.3">
      <c r="A2611" s="9">
        <v>2610</v>
      </c>
      <c r="B2611" s="2" t="s">
        <v>2616</v>
      </c>
      <c r="C2611" s="11">
        <v>22</v>
      </c>
      <c r="D2611" s="12">
        <v>50</v>
      </c>
      <c r="E2611" s="12" t="s">
        <v>8219</v>
      </c>
      <c r="F2611" s="13">
        <v>6</v>
      </c>
      <c r="G2611" s="14">
        <v>1816.25</v>
      </c>
      <c r="H2611" t="s">
        <v>2876</v>
      </c>
      <c r="I2611">
        <v>6</v>
      </c>
    </row>
    <row r="2612" spans="1:9" ht="15.6" x14ac:dyDescent="0.3">
      <c r="A2612" s="9">
        <v>2611</v>
      </c>
      <c r="B2612" s="2" t="s">
        <v>2617</v>
      </c>
      <c r="C2612" s="11">
        <v>22</v>
      </c>
      <c r="D2612" s="12">
        <v>50</v>
      </c>
      <c r="E2612" s="12" t="s">
        <v>8219</v>
      </c>
      <c r="F2612" s="13">
        <v>6</v>
      </c>
      <c r="G2612" s="14">
        <v>1856.2800000000002</v>
      </c>
      <c r="H2612" t="s">
        <v>1852</v>
      </c>
      <c r="I2612">
        <v>6</v>
      </c>
    </row>
    <row r="2613" spans="1:9" ht="15.6" x14ac:dyDescent="0.3">
      <c r="A2613" s="9">
        <v>2612</v>
      </c>
      <c r="B2613" s="2" t="s">
        <v>2618</v>
      </c>
      <c r="C2613" s="11">
        <v>16</v>
      </c>
      <c r="D2613" s="12">
        <v>33.333333333333329</v>
      </c>
      <c r="E2613" s="12" t="s">
        <v>8219</v>
      </c>
      <c r="F2613" s="13">
        <v>6</v>
      </c>
      <c r="G2613" s="14">
        <v>1831.2600000000002</v>
      </c>
      <c r="H2613" t="s">
        <v>828</v>
      </c>
      <c r="I2613">
        <v>5</v>
      </c>
    </row>
    <row r="2614" spans="1:9" ht="15.6" x14ac:dyDescent="0.3">
      <c r="A2614" s="9">
        <v>2613</v>
      </c>
      <c r="B2614" s="2" t="s">
        <v>2619</v>
      </c>
      <c r="C2614" s="11">
        <v>22</v>
      </c>
      <c r="D2614" s="12">
        <v>50</v>
      </c>
      <c r="E2614" s="12" t="s">
        <v>8219</v>
      </c>
      <c r="F2614" s="13">
        <v>6</v>
      </c>
      <c r="G2614" s="14">
        <v>1816.25</v>
      </c>
      <c r="H2614" t="s">
        <v>3644</v>
      </c>
      <c r="I2614">
        <v>6</v>
      </c>
    </row>
    <row r="2615" spans="1:9" ht="15.6" x14ac:dyDescent="0.3">
      <c r="A2615" s="9">
        <v>2614</v>
      </c>
      <c r="B2615" s="2" t="s">
        <v>2620</v>
      </c>
      <c r="C2615" s="11">
        <v>20</v>
      </c>
      <c r="D2615" s="12">
        <v>66.666666666666657</v>
      </c>
      <c r="E2615" s="12" t="s">
        <v>8220</v>
      </c>
      <c r="F2615" s="13">
        <v>6</v>
      </c>
      <c r="G2615" s="14">
        <v>1792.2199999999998</v>
      </c>
      <c r="H2615" t="s">
        <v>2620</v>
      </c>
      <c r="I2615">
        <v>6</v>
      </c>
    </row>
    <row r="2616" spans="1:9" ht="15.6" x14ac:dyDescent="0.3">
      <c r="A2616" s="9">
        <v>2615</v>
      </c>
      <c r="B2616" s="2" t="s">
        <v>2621</v>
      </c>
      <c r="C2616" s="11">
        <v>20</v>
      </c>
      <c r="D2616" s="12">
        <v>66.666666666666657</v>
      </c>
      <c r="E2616" s="12" t="s">
        <v>8220</v>
      </c>
      <c r="F2616" s="13">
        <v>6</v>
      </c>
      <c r="G2616" s="14">
        <v>1832.25</v>
      </c>
      <c r="H2616" t="s">
        <v>1596</v>
      </c>
      <c r="I2616">
        <v>6</v>
      </c>
    </row>
    <row r="2617" spans="1:9" ht="15.6" x14ac:dyDescent="0.3">
      <c r="A2617" s="9">
        <v>2616</v>
      </c>
      <c r="B2617" s="2" t="s">
        <v>2622</v>
      </c>
      <c r="C2617" s="11">
        <v>14</v>
      </c>
      <c r="D2617" s="12">
        <v>50</v>
      </c>
      <c r="E2617" s="12" t="s">
        <v>8219</v>
      </c>
      <c r="F2617" s="13">
        <v>6</v>
      </c>
      <c r="G2617" s="14">
        <v>1807.23</v>
      </c>
      <c r="H2617" t="s">
        <v>572</v>
      </c>
      <c r="I2617">
        <v>5</v>
      </c>
    </row>
    <row r="2618" spans="1:9" ht="15.6" x14ac:dyDescent="0.3">
      <c r="A2618" s="9">
        <v>2617</v>
      </c>
      <c r="B2618" s="2" t="s">
        <v>2623</v>
      </c>
      <c r="C2618" s="11">
        <v>22</v>
      </c>
      <c r="D2618" s="12">
        <v>50</v>
      </c>
      <c r="E2618" s="12" t="s">
        <v>8219</v>
      </c>
      <c r="F2618" s="13">
        <v>6</v>
      </c>
      <c r="G2618" s="14">
        <v>1856.2800000000002</v>
      </c>
      <c r="H2618" t="s">
        <v>3388</v>
      </c>
      <c r="I2618">
        <v>6</v>
      </c>
    </row>
    <row r="2619" spans="1:9" ht="15.6" x14ac:dyDescent="0.3">
      <c r="A2619" s="9">
        <v>2618</v>
      </c>
      <c r="B2619" s="2" t="s">
        <v>2624</v>
      </c>
      <c r="C2619" s="11">
        <v>20</v>
      </c>
      <c r="D2619" s="12">
        <v>66.666666666666657</v>
      </c>
      <c r="E2619" s="12" t="s">
        <v>8220</v>
      </c>
      <c r="F2619" s="13">
        <v>6</v>
      </c>
      <c r="G2619" s="14">
        <v>1832.25</v>
      </c>
      <c r="H2619" t="s">
        <v>2364</v>
      </c>
      <c r="I2619">
        <v>6</v>
      </c>
    </row>
    <row r="2620" spans="1:9" ht="15.6" x14ac:dyDescent="0.3">
      <c r="A2620" s="9">
        <v>2619</v>
      </c>
      <c r="B2620" s="2" t="s">
        <v>2625</v>
      </c>
      <c r="C2620" s="11">
        <v>20</v>
      </c>
      <c r="D2620" s="12">
        <v>66.666666666666657</v>
      </c>
      <c r="E2620" s="12" t="s">
        <v>8220</v>
      </c>
      <c r="F2620" s="13">
        <v>6</v>
      </c>
      <c r="G2620" s="14">
        <v>1872.2800000000002</v>
      </c>
      <c r="H2620" t="s">
        <v>1340</v>
      </c>
      <c r="I2620">
        <v>6</v>
      </c>
    </row>
    <row r="2621" spans="1:9" ht="15.6" x14ac:dyDescent="0.3">
      <c r="A2621" s="9">
        <v>2620</v>
      </c>
      <c r="B2621" s="2" t="s">
        <v>2626</v>
      </c>
      <c r="C2621" s="11">
        <v>14</v>
      </c>
      <c r="D2621" s="12">
        <v>50</v>
      </c>
      <c r="E2621" s="12" t="s">
        <v>8219</v>
      </c>
      <c r="F2621" s="13">
        <v>6</v>
      </c>
      <c r="G2621" s="14">
        <v>1847.2600000000002</v>
      </c>
      <c r="H2621" t="s">
        <v>316</v>
      </c>
      <c r="I2621">
        <v>5</v>
      </c>
    </row>
    <row r="2622" spans="1:9" ht="15.6" x14ac:dyDescent="0.3">
      <c r="A2622" s="9">
        <v>2621</v>
      </c>
      <c r="B2622" s="2" t="s">
        <v>2627</v>
      </c>
      <c r="C2622" s="11">
        <v>16</v>
      </c>
      <c r="D2622" s="12">
        <v>33.333333333333329</v>
      </c>
      <c r="E2622" s="12" t="s">
        <v>8219</v>
      </c>
      <c r="F2622" s="13">
        <v>6</v>
      </c>
      <c r="G2622" s="14">
        <v>1831.2600000000002</v>
      </c>
      <c r="H2622" t="s">
        <v>3132</v>
      </c>
      <c r="I2622">
        <v>5</v>
      </c>
    </row>
    <row r="2623" spans="1:9" ht="15.6" x14ac:dyDescent="0.3">
      <c r="A2623" s="9">
        <v>2622</v>
      </c>
      <c r="B2623" s="2" t="s">
        <v>2628</v>
      </c>
      <c r="C2623" s="11">
        <v>14</v>
      </c>
      <c r="D2623" s="12">
        <v>50</v>
      </c>
      <c r="E2623" s="12" t="s">
        <v>8219</v>
      </c>
      <c r="F2623" s="13">
        <v>6</v>
      </c>
      <c r="G2623" s="14">
        <v>1807.23</v>
      </c>
      <c r="H2623" t="s">
        <v>2108</v>
      </c>
      <c r="I2623">
        <v>5</v>
      </c>
    </row>
    <row r="2624" spans="1:9" ht="15.6" x14ac:dyDescent="0.3">
      <c r="A2624" s="9">
        <v>2623</v>
      </c>
      <c r="B2624" s="2" t="s">
        <v>2629</v>
      </c>
      <c r="C2624" s="11">
        <v>14</v>
      </c>
      <c r="D2624" s="12">
        <v>50</v>
      </c>
      <c r="E2624" s="12" t="s">
        <v>8219</v>
      </c>
      <c r="F2624" s="13">
        <v>6</v>
      </c>
      <c r="G2624" s="14">
        <v>1847.2600000000002</v>
      </c>
      <c r="H2624" t="s">
        <v>1084</v>
      </c>
      <c r="I2624">
        <v>5</v>
      </c>
    </row>
    <row r="2625" spans="1:9" ht="15.6" x14ac:dyDescent="0.3">
      <c r="A2625" s="9">
        <v>2624</v>
      </c>
      <c r="B2625" s="2" t="s">
        <v>2630</v>
      </c>
      <c r="C2625" s="11">
        <v>8</v>
      </c>
      <c r="D2625" s="12">
        <v>33.333333333333329</v>
      </c>
      <c r="E2625" s="12" t="s">
        <v>8219</v>
      </c>
      <c r="F2625" s="13">
        <v>6</v>
      </c>
      <c r="G2625" s="14">
        <v>1822.2400000000002</v>
      </c>
      <c r="H2625" t="s">
        <v>60</v>
      </c>
      <c r="I2625">
        <v>4</v>
      </c>
    </row>
    <row r="2626" spans="1:9" ht="15.6" x14ac:dyDescent="0.3">
      <c r="A2626" s="9">
        <v>2625</v>
      </c>
      <c r="B2626" s="2" t="s">
        <v>2631</v>
      </c>
      <c r="C2626" s="11">
        <v>30</v>
      </c>
      <c r="D2626" s="12">
        <v>50</v>
      </c>
      <c r="E2626" s="12" t="s">
        <v>8219</v>
      </c>
      <c r="F2626" s="13">
        <v>6</v>
      </c>
      <c r="G2626" s="14">
        <v>1825.27</v>
      </c>
      <c r="H2626" t="s">
        <v>4076</v>
      </c>
      <c r="I2626">
        <v>7</v>
      </c>
    </row>
    <row r="2627" spans="1:9" ht="15.6" x14ac:dyDescent="0.3">
      <c r="A2627" s="9">
        <v>2626</v>
      </c>
      <c r="B2627" s="2" t="s">
        <v>2632</v>
      </c>
      <c r="C2627" s="11">
        <v>28</v>
      </c>
      <c r="D2627" s="12">
        <v>66.666666666666657</v>
      </c>
      <c r="E2627" s="12" t="s">
        <v>8220</v>
      </c>
      <c r="F2627" s="13">
        <v>6</v>
      </c>
      <c r="G2627" s="14">
        <v>1801.2399999999998</v>
      </c>
      <c r="H2627" t="s">
        <v>3052</v>
      </c>
      <c r="I2627">
        <v>7</v>
      </c>
    </row>
    <row r="2628" spans="1:9" ht="15.6" x14ac:dyDescent="0.3">
      <c r="A2628" s="9">
        <v>2627</v>
      </c>
      <c r="B2628" s="2" t="s">
        <v>2633</v>
      </c>
      <c r="C2628" s="11">
        <v>28</v>
      </c>
      <c r="D2628" s="12">
        <v>66.666666666666657</v>
      </c>
      <c r="E2628" s="12" t="s">
        <v>8220</v>
      </c>
      <c r="F2628" s="13">
        <v>6</v>
      </c>
      <c r="G2628" s="14">
        <v>1841.27</v>
      </c>
      <c r="H2628" t="s">
        <v>2028</v>
      </c>
      <c r="I2628">
        <v>7</v>
      </c>
    </row>
    <row r="2629" spans="1:9" ht="15.6" x14ac:dyDescent="0.3">
      <c r="A2629" s="9">
        <v>2628</v>
      </c>
      <c r="B2629" s="2" t="s">
        <v>2634</v>
      </c>
      <c r="C2629" s="11">
        <v>22</v>
      </c>
      <c r="D2629" s="12">
        <v>50</v>
      </c>
      <c r="E2629" s="12" t="s">
        <v>8219</v>
      </c>
      <c r="F2629" s="13">
        <v>6</v>
      </c>
      <c r="G2629" s="14">
        <v>1816.25</v>
      </c>
      <c r="H2629" t="s">
        <v>1004</v>
      </c>
      <c r="I2629">
        <v>6</v>
      </c>
    </row>
    <row r="2630" spans="1:9" ht="15.6" x14ac:dyDescent="0.3">
      <c r="A2630" s="9">
        <v>2629</v>
      </c>
      <c r="B2630" s="2" t="s">
        <v>2635</v>
      </c>
      <c r="C2630" s="11">
        <v>28</v>
      </c>
      <c r="D2630" s="12">
        <v>66.666666666666657</v>
      </c>
      <c r="E2630" s="12" t="s">
        <v>8220</v>
      </c>
      <c r="F2630" s="13">
        <v>6</v>
      </c>
      <c r="G2630" s="14">
        <v>1801.2399999999998</v>
      </c>
      <c r="H2630" t="s">
        <v>3820</v>
      </c>
      <c r="I2630">
        <v>7</v>
      </c>
    </row>
    <row r="2631" spans="1:9" ht="15.6" x14ac:dyDescent="0.3">
      <c r="A2631" s="9">
        <v>2630</v>
      </c>
      <c r="B2631" s="2" t="s">
        <v>2636</v>
      </c>
      <c r="C2631" s="11">
        <v>26</v>
      </c>
      <c r="D2631" s="12">
        <v>83.333333333333343</v>
      </c>
      <c r="E2631" s="12" t="s">
        <v>8220</v>
      </c>
      <c r="F2631" s="13">
        <v>6</v>
      </c>
      <c r="G2631" s="14">
        <v>1777.21</v>
      </c>
      <c r="H2631" t="s">
        <v>2796</v>
      </c>
      <c r="I2631">
        <v>7</v>
      </c>
    </row>
    <row r="2632" spans="1:9" ht="15.6" x14ac:dyDescent="0.3">
      <c r="A2632" s="9">
        <v>2631</v>
      </c>
      <c r="B2632" s="2" t="s">
        <v>2637</v>
      </c>
      <c r="C2632" s="11">
        <v>26</v>
      </c>
      <c r="D2632" s="12">
        <v>83.333333333333343</v>
      </c>
      <c r="E2632" s="12" t="s">
        <v>8220</v>
      </c>
      <c r="F2632" s="13">
        <v>6</v>
      </c>
      <c r="G2632" s="14">
        <v>1817.2400000000002</v>
      </c>
      <c r="H2632" t="s">
        <v>1772</v>
      </c>
      <c r="I2632">
        <v>7</v>
      </c>
    </row>
    <row r="2633" spans="1:9" ht="15.6" x14ac:dyDescent="0.3">
      <c r="A2633" s="9">
        <v>2632</v>
      </c>
      <c r="B2633" s="2" t="s">
        <v>2638</v>
      </c>
      <c r="C2633" s="11">
        <v>20</v>
      </c>
      <c r="D2633" s="12">
        <v>66.666666666666657</v>
      </c>
      <c r="E2633" s="12" t="s">
        <v>8220</v>
      </c>
      <c r="F2633" s="13">
        <v>6</v>
      </c>
      <c r="G2633" s="14">
        <v>1792.2199999999998</v>
      </c>
      <c r="H2633" t="s">
        <v>748</v>
      </c>
      <c r="I2633">
        <v>6</v>
      </c>
    </row>
    <row r="2634" spans="1:9" ht="15.6" x14ac:dyDescent="0.3">
      <c r="A2634" s="9">
        <v>2633</v>
      </c>
      <c r="B2634" s="2" t="s">
        <v>2639</v>
      </c>
      <c r="C2634" s="11">
        <v>28</v>
      </c>
      <c r="D2634" s="12">
        <v>66.666666666666657</v>
      </c>
      <c r="E2634" s="12" t="s">
        <v>8220</v>
      </c>
      <c r="F2634" s="13">
        <v>6</v>
      </c>
      <c r="G2634" s="14">
        <v>1841.27</v>
      </c>
      <c r="H2634" t="s">
        <v>3564</v>
      </c>
      <c r="I2634">
        <v>7</v>
      </c>
    </row>
    <row r="2635" spans="1:9" ht="15.6" x14ac:dyDescent="0.3">
      <c r="A2635" s="9">
        <v>2634</v>
      </c>
      <c r="B2635" s="2" t="s">
        <v>2640</v>
      </c>
      <c r="C2635" s="11">
        <v>26</v>
      </c>
      <c r="D2635" s="12">
        <v>83.333333333333343</v>
      </c>
      <c r="E2635" s="12" t="s">
        <v>8220</v>
      </c>
      <c r="F2635" s="13">
        <v>6</v>
      </c>
      <c r="G2635" s="14">
        <v>1817.2400000000002</v>
      </c>
      <c r="H2635" t="s">
        <v>2540</v>
      </c>
      <c r="I2635">
        <v>7</v>
      </c>
    </row>
    <row r="2636" spans="1:9" ht="15.6" x14ac:dyDescent="0.3">
      <c r="A2636" s="9">
        <v>2635</v>
      </c>
      <c r="B2636" s="2" t="s">
        <v>2641</v>
      </c>
      <c r="C2636" s="11">
        <v>26</v>
      </c>
      <c r="D2636" s="12">
        <v>83.333333333333343</v>
      </c>
      <c r="E2636" s="12" t="s">
        <v>8220</v>
      </c>
      <c r="F2636" s="13">
        <v>6</v>
      </c>
      <c r="G2636" s="14">
        <v>1857.27</v>
      </c>
      <c r="H2636" t="s">
        <v>1516</v>
      </c>
      <c r="I2636">
        <v>7</v>
      </c>
    </row>
    <row r="2637" spans="1:9" ht="15.6" x14ac:dyDescent="0.3">
      <c r="A2637" s="9">
        <v>2636</v>
      </c>
      <c r="B2637" s="2" t="s">
        <v>2642</v>
      </c>
      <c r="C2637" s="11">
        <v>20</v>
      </c>
      <c r="D2637" s="12">
        <v>66.666666666666657</v>
      </c>
      <c r="E2637" s="12" t="s">
        <v>8220</v>
      </c>
      <c r="F2637" s="13">
        <v>6</v>
      </c>
      <c r="G2637" s="14">
        <v>1832.25</v>
      </c>
      <c r="H2637" t="s">
        <v>492</v>
      </c>
      <c r="I2637">
        <v>6</v>
      </c>
    </row>
    <row r="2638" spans="1:9" ht="15.6" x14ac:dyDescent="0.3">
      <c r="A2638" s="9">
        <v>2637</v>
      </c>
      <c r="B2638" s="2" t="s">
        <v>2643</v>
      </c>
      <c r="C2638" s="11">
        <v>22</v>
      </c>
      <c r="D2638" s="12">
        <v>50</v>
      </c>
      <c r="E2638" s="12" t="s">
        <v>8219</v>
      </c>
      <c r="F2638" s="13">
        <v>6</v>
      </c>
      <c r="G2638" s="14">
        <v>1816.25</v>
      </c>
      <c r="H2638" t="s">
        <v>3308</v>
      </c>
      <c r="I2638">
        <v>6</v>
      </c>
    </row>
    <row r="2639" spans="1:9" ht="15.6" x14ac:dyDescent="0.3">
      <c r="A2639" s="9">
        <v>2638</v>
      </c>
      <c r="B2639" s="2" t="s">
        <v>2644</v>
      </c>
      <c r="C2639" s="11">
        <v>20</v>
      </c>
      <c r="D2639" s="12">
        <v>66.666666666666657</v>
      </c>
      <c r="E2639" s="12" t="s">
        <v>8220</v>
      </c>
      <c r="F2639" s="13">
        <v>6</v>
      </c>
      <c r="G2639" s="14">
        <v>1792.2199999999998</v>
      </c>
      <c r="H2639" t="s">
        <v>2284</v>
      </c>
      <c r="I2639">
        <v>6</v>
      </c>
    </row>
    <row r="2640" spans="1:9" ht="15.6" x14ac:dyDescent="0.3">
      <c r="A2640" s="9">
        <v>2639</v>
      </c>
      <c r="B2640" s="2" t="s">
        <v>2645</v>
      </c>
      <c r="C2640" s="11">
        <v>20</v>
      </c>
      <c r="D2640" s="12">
        <v>66.666666666666657</v>
      </c>
      <c r="E2640" s="12" t="s">
        <v>8220</v>
      </c>
      <c r="F2640" s="13">
        <v>6</v>
      </c>
      <c r="G2640" s="14">
        <v>1832.25</v>
      </c>
      <c r="H2640" t="s">
        <v>1260</v>
      </c>
      <c r="I2640">
        <v>6</v>
      </c>
    </row>
    <row r="2641" spans="1:9" ht="15.6" x14ac:dyDescent="0.3">
      <c r="A2641" s="9">
        <v>2640</v>
      </c>
      <c r="B2641" s="2" t="s">
        <v>2646</v>
      </c>
      <c r="C2641" s="11">
        <v>14</v>
      </c>
      <c r="D2641" s="12">
        <v>50</v>
      </c>
      <c r="E2641" s="12" t="s">
        <v>8219</v>
      </c>
      <c r="F2641" s="13">
        <v>6</v>
      </c>
      <c r="G2641" s="14">
        <v>1807.23</v>
      </c>
      <c r="H2641" t="s">
        <v>236</v>
      </c>
      <c r="I2641">
        <v>5</v>
      </c>
    </row>
    <row r="2642" spans="1:9" ht="15.6" x14ac:dyDescent="0.3">
      <c r="A2642" s="9">
        <v>2641</v>
      </c>
      <c r="B2642" s="2" t="s">
        <v>2647</v>
      </c>
      <c r="C2642" s="11">
        <v>28</v>
      </c>
      <c r="D2642" s="12">
        <v>66.666666666666657</v>
      </c>
      <c r="E2642" s="12" t="s">
        <v>8220</v>
      </c>
      <c r="F2642" s="13">
        <v>6</v>
      </c>
      <c r="G2642" s="14">
        <v>1801.2399999999998</v>
      </c>
      <c r="H2642" t="s">
        <v>4012</v>
      </c>
      <c r="I2642">
        <v>7</v>
      </c>
    </row>
    <row r="2643" spans="1:9" ht="15.6" x14ac:dyDescent="0.3">
      <c r="A2643" s="9">
        <v>2642</v>
      </c>
      <c r="B2643" s="2" t="s">
        <v>2648</v>
      </c>
      <c r="C2643" s="11">
        <v>26</v>
      </c>
      <c r="D2643" s="12">
        <v>83.333333333333343</v>
      </c>
      <c r="E2643" s="12" t="s">
        <v>8220</v>
      </c>
      <c r="F2643" s="13">
        <v>6</v>
      </c>
      <c r="G2643" s="14">
        <v>1777.21</v>
      </c>
      <c r="H2643" t="s">
        <v>2988</v>
      </c>
      <c r="I2643">
        <v>7</v>
      </c>
    </row>
    <row r="2644" spans="1:9" ht="15.6" x14ac:dyDescent="0.3">
      <c r="A2644" s="9">
        <v>2643</v>
      </c>
      <c r="B2644" s="2" t="s">
        <v>2649</v>
      </c>
      <c r="C2644" s="11">
        <v>26</v>
      </c>
      <c r="D2644" s="12">
        <v>83.333333333333343</v>
      </c>
      <c r="E2644" s="12" t="s">
        <v>8220</v>
      </c>
      <c r="F2644" s="13">
        <v>6</v>
      </c>
      <c r="G2644" s="14">
        <v>1817.2400000000002</v>
      </c>
      <c r="H2644" t="s">
        <v>1964</v>
      </c>
      <c r="I2644">
        <v>7</v>
      </c>
    </row>
    <row r="2645" spans="1:9" ht="15.6" x14ac:dyDescent="0.3">
      <c r="A2645" s="9">
        <v>2644</v>
      </c>
      <c r="B2645" s="2" t="s">
        <v>2650</v>
      </c>
      <c r="C2645" s="11">
        <v>20</v>
      </c>
      <c r="D2645" s="12">
        <v>66.666666666666657</v>
      </c>
      <c r="E2645" s="12" t="s">
        <v>8220</v>
      </c>
      <c r="F2645" s="13">
        <v>6</v>
      </c>
      <c r="G2645" s="14">
        <v>1792.2199999999998</v>
      </c>
      <c r="H2645" t="s">
        <v>940</v>
      </c>
      <c r="I2645">
        <v>6</v>
      </c>
    </row>
    <row r="2646" spans="1:9" ht="15.6" x14ac:dyDescent="0.3">
      <c r="A2646" s="9">
        <v>2645</v>
      </c>
      <c r="B2646" s="2" t="s">
        <v>2651</v>
      </c>
      <c r="C2646" s="11">
        <v>26</v>
      </c>
      <c r="D2646" s="12">
        <v>83.333333333333343</v>
      </c>
      <c r="E2646" s="12" t="s">
        <v>8220</v>
      </c>
      <c r="F2646" s="13">
        <v>6</v>
      </c>
      <c r="G2646" s="14">
        <v>1777.21</v>
      </c>
      <c r="H2646" t="s">
        <v>3756</v>
      </c>
      <c r="I2646">
        <v>7</v>
      </c>
    </row>
    <row r="2647" spans="1:9" ht="15.6" x14ac:dyDescent="0.3">
      <c r="A2647" s="9">
        <v>2646</v>
      </c>
      <c r="B2647" s="2" t="s">
        <v>2652</v>
      </c>
      <c r="C2647" s="11">
        <v>24</v>
      </c>
      <c r="D2647" s="12">
        <v>100</v>
      </c>
      <c r="E2647" s="12" t="s">
        <v>8220</v>
      </c>
      <c r="F2647" s="13">
        <v>6</v>
      </c>
      <c r="G2647" s="14">
        <v>1753.1799999999998</v>
      </c>
      <c r="H2647" t="s">
        <v>2732</v>
      </c>
      <c r="I2647">
        <v>6</v>
      </c>
    </row>
    <row r="2648" spans="1:9" ht="15.6" x14ac:dyDescent="0.3">
      <c r="A2648" s="9">
        <v>2647</v>
      </c>
      <c r="B2648" s="2" t="s">
        <v>2653</v>
      </c>
      <c r="C2648" s="11">
        <v>24</v>
      </c>
      <c r="D2648" s="12">
        <v>100</v>
      </c>
      <c r="E2648" s="12" t="s">
        <v>8220</v>
      </c>
      <c r="F2648" s="13">
        <v>6</v>
      </c>
      <c r="G2648" s="14">
        <v>1793.21</v>
      </c>
      <c r="H2648" t="s">
        <v>1708</v>
      </c>
      <c r="I2648">
        <v>6</v>
      </c>
    </row>
    <row r="2649" spans="1:9" ht="15.6" x14ac:dyDescent="0.3">
      <c r="A2649" s="9">
        <v>2648</v>
      </c>
      <c r="B2649" s="2" t="s">
        <v>2654</v>
      </c>
      <c r="C2649" s="11">
        <v>18</v>
      </c>
      <c r="D2649" s="12">
        <v>83.333333333333343</v>
      </c>
      <c r="E2649" s="12" t="s">
        <v>8220</v>
      </c>
      <c r="F2649" s="13">
        <v>6</v>
      </c>
      <c r="G2649" s="14">
        <v>1768.19</v>
      </c>
      <c r="H2649" t="s">
        <v>684</v>
      </c>
      <c r="I2649">
        <v>5</v>
      </c>
    </row>
    <row r="2650" spans="1:9" ht="15.6" x14ac:dyDescent="0.3">
      <c r="A2650" s="9">
        <v>2649</v>
      </c>
      <c r="B2650" s="2" t="s">
        <v>2655</v>
      </c>
      <c r="C2650" s="11">
        <v>26</v>
      </c>
      <c r="D2650" s="12">
        <v>83.333333333333343</v>
      </c>
      <c r="E2650" s="12" t="s">
        <v>8220</v>
      </c>
      <c r="F2650" s="13">
        <v>6</v>
      </c>
      <c r="G2650" s="14">
        <v>1817.2400000000002</v>
      </c>
      <c r="H2650" t="s">
        <v>3500</v>
      </c>
      <c r="I2650">
        <v>7</v>
      </c>
    </row>
    <row r="2651" spans="1:9" ht="15.6" x14ac:dyDescent="0.3">
      <c r="A2651" s="9">
        <v>2650</v>
      </c>
      <c r="B2651" s="2" t="s">
        <v>2656</v>
      </c>
      <c r="C2651" s="11">
        <v>24</v>
      </c>
      <c r="D2651" s="12">
        <v>100</v>
      </c>
      <c r="E2651" s="12" t="s">
        <v>8220</v>
      </c>
      <c r="F2651" s="13">
        <v>6</v>
      </c>
      <c r="G2651" s="14">
        <v>1793.21</v>
      </c>
      <c r="H2651" t="s">
        <v>2476</v>
      </c>
      <c r="I2651">
        <v>6</v>
      </c>
    </row>
    <row r="2652" spans="1:9" ht="15.6" x14ac:dyDescent="0.3">
      <c r="A2652" s="9">
        <v>2651</v>
      </c>
      <c r="B2652" s="2" t="s">
        <v>2657</v>
      </c>
      <c r="C2652" s="11">
        <v>24</v>
      </c>
      <c r="D2652" s="12">
        <v>100</v>
      </c>
      <c r="E2652" s="12" t="s">
        <v>8220</v>
      </c>
      <c r="F2652" s="13">
        <v>6</v>
      </c>
      <c r="G2652" s="14">
        <v>1833.2400000000002</v>
      </c>
      <c r="H2652" t="s">
        <v>1452</v>
      </c>
      <c r="I2652">
        <v>6</v>
      </c>
    </row>
    <row r="2653" spans="1:9" ht="15.6" x14ac:dyDescent="0.3">
      <c r="A2653" s="9">
        <v>2652</v>
      </c>
      <c r="B2653" s="2" t="s">
        <v>2658</v>
      </c>
      <c r="C2653" s="11">
        <v>18</v>
      </c>
      <c r="D2653" s="12">
        <v>83.333333333333343</v>
      </c>
      <c r="E2653" s="12" t="s">
        <v>8220</v>
      </c>
      <c r="F2653" s="13">
        <v>6</v>
      </c>
      <c r="G2653" s="14">
        <v>1808.2200000000003</v>
      </c>
      <c r="H2653" t="s">
        <v>428</v>
      </c>
      <c r="I2653">
        <v>5</v>
      </c>
    </row>
    <row r="2654" spans="1:9" ht="15.6" x14ac:dyDescent="0.3">
      <c r="A2654" s="9">
        <v>2653</v>
      </c>
      <c r="B2654" s="2" t="s">
        <v>2659</v>
      </c>
      <c r="C2654" s="11">
        <v>20</v>
      </c>
      <c r="D2654" s="12">
        <v>66.666666666666657</v>
      </c>
      <c r="E2654" s="12" t="s">
        <v>8220</v>
      </c>
      <c r="F2654" s="13">
        <v>6</v>
      </c>
      <c r="G2654" s="14">
        <v>1792.2199999999998</v>
      </c>
      <c r="H2654" t="s">
        <v>3244</v>
      </c>
      <c r="I2654">
        <v>6</v>
      </c>
    </row>
    <row r="2655" spans="1:9" ht="15.6" x14ac:dyDescent="0.3">
      <c r="A2655" s="9">
        <v>2654</v>
      </c>
      <c r="B2655" s="2" t="s">
        <v>2660</v>
      </c>
      <c r="C2655" s="11">
        <v>18</v>
      </c>
      <c r="D2655" s="12">
        <v>83.333333333333343</v>
      </c>
      <c r="E2655" s="12" t="s">
        <v>8220</v>
      </c>
      <c r="F2655" s="13">
        <v>6</v>
      </c>
      <c r="G2655" s="14">
        <v>1768.19</v>
      </c>
      <c r="H2655" t="s">
        <v>2220</v>
      </c>
      <c r="I2655">
        <v>5</v>
      </c>
    </row>
    <row r="2656" spans="1:9" ht="15.6" x14ac:dyDescent="0.3">
      <c r="A2656" s="9">
        <v>2655</v>
      </c>
      <c r="B2656" s="2" t="s">
        <v>2661</v>
      </c>
      <c r="C2656" s="11">
        <v>18</v>
      </c>
      <c r="D2656" s="12">
        <v>83.333333333333343</v>
      </c>
      <c r="E2656" s="12" t="s">
        <v>8220</v>
      </c>
      <c r="F2656" s="13">
        <v>6</v>
      </c>
      <c r="G2656" s="14">
        <v>1808.2200000000003</v>
      </c>
      <c r="H2656" t="s">
        <v>1196</v>
      </c>
      <c r="I2656">
        <v>5</v>
      </c>
    </row>
    <row r="2657" spans="1:9" ht="15.6" x14ac:dyDescent="0.3">
      <c r="A2657" s="9">
        <v>2656</v>
      </c>
      <c r="B2657" s="2" t="s">
        <v>2662</v>
      </c>
      <c r="C2657" s="11">
        <v>12</v>
      </c>
      <c r="D2657" s="12">
        <v>66.666666666666657</v>
      </c>
      <c r="E2657" s="12" t="s">
        <v>8220</v>
      </c>
      <c r="F2657" s="13">
        <v>6</v>
      </c>
      <c r="G2657" s="14">
        <v>1783.1999999999998</v>
      </c>
      <c r="H2657" t="s">
        <v>172</v>
      </c>
      <c r="I2657">
        <v>4</v>
      </c>
    </row>
    <row r="2658" spans="1:9" ht="15.6" x14ac:dyDescent="0.3">
      <c r="A2658" s="9">
        <v>2657</v>
      </c>
      <c r="B2658" s="2" t="s">
        <v>2663</v>
      </c>
      <c r="C2658" s="11">
        <v>28</v>
      </c>
      <c r="D2658" s="12">
        <v>66.666666666666657</v>
      </c>
      <c r="E2658" s="12" t="s">
        <v>8220</v>
      </c>
      <c r="F2658" s="13">
        <v>6</v>
      </c>
      <c r="G2658" s="14">
        <v>1841.27</v>
      </c>
      <c r="H2658" t="s">
        <v>3948</v>
      </c>
      <c r="I2658">
        <v>7</v>
      </c>
    </row>
    <row r="2659" spans="1:9" ht="15.6" x14ac:dyDescent="0.3">
      <c r="A2659" s="9">
        <v>2658</v>
      </c>
      <c r="B2659" s="2" t="s">
        <v>2664</v>
      </c>
      <c r="C2659" s="11">
        <v>26</v>
      </c>
      <c r="D2659" s="12">
        <v>83.333333333333343</v>
      </c>
      <c r="E2659" s="12" t="s">
        <v>8220</v>
      </c>
      <c r="F2659" s="13">
        <v>6</v>
      </c>
      <c r="G2659" s="14">
        <v>1817.2400000000002</v>
      </c>
      <c r="H2659" t="s">
        <v>2924</v>
      </c>
      <c r="I2659">
        <v>7</v>
      </c>
    </row>
    <row r="2660" spans="1:9" ht="15.6" x14ac:dyDescent="0.3">
      <c r="A2660" s="9">
        <v>2659</v>
      </c>
      <c r="B2660" s="2" t="s">
        <v>2665</v>
      </c>
      <c r="C2660" s="11">
        <v>26</v>
      </c>
      <c r="D2660" s="12">
        <v>83.333333333333343</v>
      </c>
      <c r="E2660" s="12" t="s">
        <v>8220</v>
      </c>
      <c r="F2660" s="13">
        <v>6</v>
      </c>
      <c r="G2660" s="14">
        <v>1857.27</v>
      </c>
      <c r="H2660" t="s">
        <v>1900</v>
      </c>
      <c r="I2660">
        <v>7</v>
      </c>
    </row>
    <row r="2661" spans="1:9" ht="15.6" x14ac:dyDescent="0.3">
      <c r="A2661" s="9">
        <v>2660</v>
      </c>
      <c r="B2661" s="2" t="s">
        <v>2666</v>
      </c>
      <c r="C2661" s="11">
        <v>20</v>
      </c>
      <c r="D2661" s="12">
        <v>66.666666666666657</v>
      </c>
      <c r="E2661" s="12" t="s">
        <v>8220</v>
      </c>
      <c r="F2661" s="13">
        <v>6</v>
      </c>
      <c r="G2661" s="14">
        <v>1832.25</v>
      </c>
      <c r="H2661" t="s">
        <v>876</v>
      </c>
      <c r="I2661">
        <v>6</v>
      </c>
    </row>
    <row r="2662" spans="1:9" ht="15.6" x14ac:dyDescent="0.3">
      <c r="A2662" s="9">
        <v>2661</v>
      </c>
      <c r="B2662" s="2" t="s">
        <v>2667</v>
      </c>
      <c r="C2662" s="11">
        <v>26</v>
      </c>
      <c r="D2662" s="12">
        <v>83.333333333333343</v>
      </c>
      <c r="E2662" s="12" t="s">
        <v>8220</v>
      </c>
      <c r="F2662" s="13">
        <v>6</v>
      </c>
      <c r="G2662" s="14">
        <v>1817.2400000000002</v>
      </c>
      <c r="H2662" t="s">
        <v>3692</v>
      </c>
      <c r="I2662">
        <v>7</v>
      </c>
    </row>
    <row r="2663" spans="1:9" ht="15.6" x14ac:dyDescent="0.3">
      <c r="A2663" s="9">
        <v>2662</v>
      </c>
      <c r="B2663" s="2" t="s">
        <v>2668</v>
      </c>
      <c r="C2663" s="11">
        <v>24</v>
      </c>
      <c r="D2663" s="12">
        <v>100</v>
      </c>
      <c r="E2663" s="12" t="s">
        <v>8220</v>
      </c>
      <c r="F2663" s="13">
        <v>6</v>
      </c>
      <c r="G2663" s="14">
        <v>1793.21</v>
      </c>
      <c r="H2663" t="s">
        <v>2668</v>
      </c>
      <c r="I2663">
        <v>6</v>
      </c>
    </row>
    <row r="2664" spans="1:9" ht="15.6" x14ac:dyDescent="0.3">
      <c r="A2664" s="9">
        <v>2663</v>
      </c>
      <c r="B2664" s="2" t="s">
        <v>2669</v>
      </c>
      <c r="C2664" s="11">
        <v>24</v>
      </c>
      <c r="D2664" s="12">
        <v>100</v>
      </c>
      <c r="E2664" s="12" t="s">
        <v>8220</v>
      </c>
      <c r="F2664" s="13">
        <v>6</v>
      </c>
      <c r="G2664" s="14">
        <v>1833.2400000000002</v>
      </c>
      <c r="H2664" t="s">
        <v>1644</v>
      </c>
      <c r="I2664">
        <v>6</v>
      </c>
    </row>
    <row r="2665" spans="1:9" ht="15.6" x14ac:dyDescent="0.3">
      <c r="A2665" s="9">
        <v>2664</v>
      </c>
      <c r="B2665" s="2" t="s">
        <v>2670</v>
      </c>
      <c r="C2665" s="11">
        <v>18</v>
      </c>
      <c r="D2665" s="12">
        <v>83.333333333333343</v>
      </c>
      <c r="E2665" s="12" t="s">
        <v>8220</v>
      </c>
      <c r="F2665" s="13">
        <v>6</v>
      </c>
      <c r="G2665" s="14">
        <v>1808.2200000000003</v>
      </c>
      <c r="H2665" t="s">
        <v>620</v>
      </c>
      <c r="I2665">
        <v>5</v>
      </c>
    </row>
    <row r="2666" spans="1:9" ht="15.6" x14ac:dyDescent="0.3">
      <c r="A2666" s="9">
        <v>2665</v>
      </c>
      <c r="B2666" s="2" t="s">
        <v>2671</v>
      </c>
      <c r="C2666" s="11">
        <v>26</v>
      </c>
      <c r="D2666" s="12">
        <v>83.333333333333343</v>
      </c>
      <c r="E2666" s="12" t="s">
        <v>8220</v>
      </c>
      <c r="F2666" s="13">
        <v>6</v>
      </c>
      <c r="G2666" s="14">
        <v>1857.27</v>
      </c>
      <c r="H2666" t="s">
        <v>3436</v>
      </c>
      <c r="I2666">
        <v>7</v>
      </c>
    </row>
    <row r="2667" spans="1:9" ht="15.6" x14ac:dyDescent="0.3">
      <c r="A2667" s="9">
        <v>2666</v>
      </c>
      <c r="B2667" s="2" t="s">
        <v>2672</v>
      </c>
      <c r="C2667" s="11">
        <v>24</v>
      </c>
      <c r="D2667" s="12">
        <v>100</v>
      </c>
      <c r="E2667" s="12" t="s">
        <v>8220</v>
      </c>
      <c r="F2667" s="13">
        <v>6</v>
      </c>
      <c r="G2667" s="14">
        <v>1833.2400000000002</v>
      </c>
      <c r="H2667" t="s">
        <v>2412</v>
      </c>
      <c r="I2667">
        <v>6</v>
      </c>
    </row>
    <row r="2668" spans="1:9" ht="15.6" x14ac:dyDescent="0.3">
      <c r="A2668" s="9">
        <v>2667</v>
      </c>
      <c r="B2668" s="2" t="s">
        <v>2673</v>
      </c>
      <c r="C2668" s="11">
        <v>24</v>
      </c>
      <c r="D2668" s="12">
        <v>100</v>
      </c>
      <c r="E2668" s="12" t="s">
        <v>8220</v>
      </c>
      <c r="F2668" s="13">
        <v>6</v>
      </c>
      <c r="G2668" s="14">
        <v>1873.27</v>
      </c>
      <c r="H2668" t="s">
        <v>1388</v>
      </c>
      <c r="I2668">
        <v>6</v>
      </c>
    </row>
    <row r="2669" spans="1:9" ht="15.6" x14ac:dyDescent="0.3">
      <c r="A2669" s="9">
        <v>2668</v>
      </c>
      <c r="B2669" s="2" t="s">
        <v>2674</v>
      </c>
      <c r="C2669" s="11">
        <v>18</v>
      </c>
      <c r="D2669" s="12">
        <v>83.333333333333343</v>
      </c>
      <c r="E2669" s="12" t="s">
        <v>8220</v>
      </c>
      <c r="F2669" s="13">
        <v>6</v>
      </c>
      <c r="G2669" s="14">
        <v>1848.25</v>
      </c>
      <c r="H2669" t="s">
        <v>364</v>
      </c>
      <c r="I2669">
        <v>5</v>
      </c>
    </row>
    <row r="2670" spans="1:9" ht="15.6" x14ac:dyDescent="0.3">
      <c r="A2670" s="9">
        <v>2669</v>
      </c>
      <c r="B2670" s="2" t="s">
        <v>2675</v>
      </c>
      <c r="C2670" s="11">
        <v>20</v>
      </c>
      <c r="D2670" s="12">
        <v>66.666666666666657</v>
      </c>
      <c r="E2670" s="12" t="s">
        <v>8220</v>
      </c>
      <c r="F2670" s="13">
        <v>6</v>
      </c>
      <c r="G2670" s="14">
        <v>1832.25</v>
      </c>
      <c r="H2670" t="s">
        <v>3180</v>
      </c>
      <c r="I2670">
        <v>6</v>
      </c>
    </row>
    <row r="2671" spans="1:9" ht="15.6" x14ac:dyDescent="0.3">
      <c r="A2671" s="9">
        <v>2670</v>
      </c>
      <c r="B2671" s="2" t="s">
        <v>2676</v>
      </c>
      <c r="C2671" s="11">
        <v>18</v>
      </c>
      <c r="D2671" s="12">
        <v>83.333333333333343</v>
      </c>
      <c r="E2671" s="12" t="s">
        <v>8220</v>
      </c>
      <c r="F2671" s="13">
        <v>6</v>
      </c>
      <c r="G2671" s="14">
        <v>1808.2200000000003</v>
      </c>
      <c r="H2671" t="s">
        <v>2156</v>
      </c>
      <c r="I2671">
        <v>5</v>
      </c>
    </row>
    <row r="2672" spans="1:9" ht="15.6" x14ac:dyDescent="0.3">
      <c r="A2672" s="9">
        <v>2671</v>
      </c>
      <c r="B2672" s="2" t="s">
        <v>2677</v>
      </c>
      <c r="C2672" s="11">
        <v>18</v>
      </c>
      <c r="D2672" s="12">
        <v>83.333333333333343</v>
      </c>
      <c r="E2672" s="12" t="s">
        <v>8220</v>
      </c>
      <c r="F2672" s="13">
        <v>6</v>
      </c>
      <c r="G2672" s="14">
        <v>1848.25</v>
      </c>
      <c r="H2672" t="s">
        <v>1132</v>
      </c>
      <c r="I2672">
        <v>5</v>
      </c>
    </row>
    <row r="2673" spans="1:9" ht="15.6" x14ac:dyDescent="0.3">
      <c r="A2673" s="9">
        <v>2672</v>
      </c>
      <c r="B2673" s="2" t="s">
        <v>2678</v>
      </c>
      <c r="C2673" s="11">
        <v>12</v>
      </c>
      <c r="D2673" s="12">
        <v>66.666666666666657</v>
      </c>
      <c r="E2673" s="12" t="s">
        <v>8220</v>
      </c>
      <c r="F2673" s="13">
        <v>6</v>
      </c>
      <c r="G2673" s="14">
        <v>1823.23</v>
      </c>
      <c r="H2673" t="s">
        <v>108</v>
      </c>
      <c r="I2673">
        <v>4</v>
      </c>
    </row>
    <row r="2674" spans="1:9" ht="15.6" x14ac:dyDescent="0.3">
      <c r="A2674" s="9">
        <v>2673</v>
      </c>
      <c r="B2674" s="2" t="s">
        <v>2679</v>
      </c>
      <c r="C2674" s="11">
        <v>22</v>
      </c>
      <c r="D2674" s="12">
        <v>50</v>
      </c>
      <c r="E2674" s="12" t="s">
        <v>8219</v>
      </c>
      <c r="F2674" s="13">
        <v>6</v>
      </c>
      <c r="G2674" s="14">
        <v>1816.25</v>
      </c>
      <c r="H2674" t="s">
        <v>3884</v>
      </c>
      <c r="I2674">
        <v>6</v>
      </c>
    </row>
    <row r="2675" spans="1:9" ht="15.6" x14ac:dyDescent="0.3">
      <c r="A2675" s="9">
        <v>2674</v>
      </c>
      <c r="B2675" s="2" t="s">
        <v>2680</v>
      </c>
      <c r="C2675" s="11">
        <v>20</v>
      </c>
      <c r="D2675" s="12">
        <v>66.666666666666657</v>
      </c>
      <c r="E2675" s="12" t="s">
        <v>8220</v>
      </c>
      <c r="F2675" s="13">
        <v>6</v>
      </c>
      <c r="G2675" s="14">
        <v>1792.2199999999998</v>
      </c>
      <c r="H2675" t="s">
        <v>2860</v>
      </c>
      <c r="I2675">
        <v>6</v>
      </c>
    </row>
    <row r="2676" spans="1:9" ht="15.6" x14ac:dyDescent="0.3">
      <c r="A2676" s="9">
        <v>2675</v>
      </c>
      <c r="B2676" s="2" t="s">
        <v>2681</v>
      </c>
      <c r="C2676" s="11">
        <v>20</v>
      </c>
      <c r="D2676" s="12">
        <v>66.666666666666657</v>
      </c>
      <c r="E2676" s="12" t="s">
        <v>8220</v>
      </c>
      <c r="F2676" s="13">
        <v>6</v>
      </c>
      <c r="G2676" s="14">
        <v>1832.25</v>
      </c>
      <c r="H2676" t="s">
        <v>1836</v>
      </c>
      <c r="I2676">
        <v>6</v>
      </c>
    </row>
    <row r="2677" spans="1:9" ht="15.6" x14ac:dyDescent="0.3">
      <c r="A2677" s="9">
        <v>2676</v>
      </c>
      <c r="B2677" s="2" t="s">
        <v>2682</v>
      </c>
      <c r="C2677" s="11">
        <v>14</v>
      </c>
      <c r="D2677" s="12">
        <v>50</v>
      </c>
      <c r="E2677" s="12" t="s">
        <v>8219</v>
      </c>
      <c r="F2677" s="13">
        <v>6</v>
      </c>
      <c r="G2677" s="14">
        <v>1807.23</v>
      </c>
      <c r="H2677" t="s">
        <v>812</v>
      </c>
      <c r="I2677">
        <v>5</v>
      </c>
    </row>
    <row r="2678" spans="1:9" ht="15.6" x14ac:dyDescent="0.3">
      <c r="A2678" s="9">
        <v>2677</v>
      </c>
      <c r="B2678" s="2" t="s">
        <v>2683</v>
      </c>
      <c r="C2678" s="11">
        <v>20</v>
      </c>
      <c r="D2678" s="12">
        <v>66.666666666666657</v>
      </c>
      <c r="E2678" s="12" t="s">
        <v>8220</v>
      </c>
      <c r="F2678" s="13">
        <v>6</v>
      </c>
      <c r="G2678" s="14">
        <v>1792.2199999999998</v>
      </c>
      <c r="H2678" t="s">
        <v>3628</v>
      </c>
      <c r="I2678">
        <v>6</v>
      </c>
    </row>
    <row r="2679" spans="1:9" ht="15.6" x14ac:dyDescent="0.3">
      <c r="A2679" s="9">
        <v>2678</v>
      </c>
      <c r="B2679" s="2" t="s">
        <v>2684</v>
      </c>
      <c r="C2679" s="11">
        <v>18</v>
      </c>
      <c r="D2679" s="12">
        <v>83.333333333333343</v>
      </c>
      <c r="E2679" s="12" t="s">
        <v>8220</v>
      </c>
      <c r="F2679" s="13">
        <v>6</v>
      </c>
      <c r="G2679" s="14">
        <v>1768.19</v>
      </c>
      <c r="H2679" t="s">
        <v>2604</v>
      </c>
      <c r="I2679">
        <v>5</v>
      </c>
    </row>
    <row r="2680" spans="1:9" ht="15.6" x14ac:dyDescent="0.3">
      <c r="A2680" s="9">
        <v>2679</v>
      </c>
      <c r="B2680" s="2" t="s">
        <v>2685</v>
      </c>
      <c r="C2680" s="11">
        <v>18</v>
      </c>
      <c r="D2680" s="12">
        <v>83.333333333333343</v>
      </c>
      <c r="E2680" s="12" t="s">
        <v>8220</v>
      </c>
      <c r="F2680" s="13">
        <v>6</v>
      </c>
      <c r="G2680" s="14">
        <v>1808.2200000000003</v>
      </c>
      <c r="H2680" t="s">
        <v>1580</v>
      </c>
      <c r="I2680">
        <v>5</v>
      </c>
    </row>
    <row r="2681" spans="1:9" ht="15.6" x14ac:dyDescent="0.3">
      <c r="A2681" s="9">
        <v>2680</v>
      </c>
      <c r="B2681" s="2" t="s">
        <v>2686</v>
      </c>
      <c r="C2681" s="11">
        <v>12</v>
      </c>
      <c r="D2681" s="12">
        <v>66.666666666666657</v>
      </c>
      <c r="E2681" s="12" t="s">
        <v>8220</v>
      </c>
      <c r="F2681" s="13">
        <v>6</v>
      </c>
      <c r="G2681" s="14">
        <v>1783.1999999999998</v>
      </c>
      <c r="H2681" t="s">
        <v>556</v>
      </c>
      <c r="I2681">
        <v>4</v>
      </c>
    </row>
    <row r="2682" spans="1:9" ht="15.6" x14ac:dyDescent="0.3">
      <c r="A2682" s="9">
        <v>2681</v>
      </c>
      <c r="B2682" s="2" t="s">
        <v>2687</v>
      </c>
      <c r="C2682" s="11">
        <v>20</v>
      </c>
      <c r="D2682" s="12">
        <v>66.666666666666657</v>
      </c>
      <c r="E2682" s="12" t="s">
        <v>8220</v>
      </c>
      <c r="F2682" s="13">
        <v>6</v>
      </c>
      <c r="G2682" s="14">
        <v>1832.25</v>
      </c>
      <c r="H2682" t="s">
        <v>3372</v>
      </c>
      <c r="I2682">
        <v>6</v>
      </c>
    </row>
    <row r="2683" spans="1:9" ht="15.6" x14ac:dyDescent="0.3">
      <c r="A2683" s="9">
        <v>2682</v>
      </c>
      <c r="B2683" s="2" t="s">
        <v>2688</v>
      </c>
      <c r="C2683" s="11">
        <v>18</v>
      </c>
      <c r="D2683" s="12">
        <v>83.333333333333343</v>
      </c>
      <c r="E2683" s="12" t="s">
        <v>8220</v>
      </c>
      <c r="F2683" s="13">
        <v>6</v>
      </c>
      <c r="G2683" s="14">
        <v>1808.2200000000003</v>
      </c>
      <c r="H2683" t="s">
        <v>2348</v>
      </c>
      <c r="I2683">
        <v>5</v>
      </c>
    </row>
    <row r="2684" spans="1:9" ht="15.6" x14ac:dyDescent="0.3">
      <c r="A2684" s="9">
        <v>2683</v>
      </c>
      <c r="B2684" s="2" t="s">
        <v>2689</v>
      </c>
      <c r="C2684" s="11">
        <v>18</v>
      </c>
      <c r="D2684" s="12">
        <v>83.333333333333343</v>
      </c>
      <c r="E2684" s="12" t="s">
        <v>8220</v>
      </c>
      <c r="F2684" s="13">
        <v>6</v>
      </c>
      <c r="G2684" s="14">
        <v>1848.25</v>
      </c>
      <c r="H2684" t="s">
        <v>1324</v>
      </c>
      <c r="I2684">
        <v>5</v>
      </c>
    </row>
    <row r="2685" spans="1:9" ht="15.6" x14ac:dyDescent="0.3">
      <c r="A2685" s="9">
        <v>2684</v>
      </c>
      <c r="B2685" s="2" t="s">
        <v>2690</v>
      </c>
      <c r="C2685" s="11">
        <v>12</v>
      </c>
      <c r="D2685" s="12">
        <v>66.666666666666657</v>
      </c>
      <c r="E2685" s="12" t="s">
        <v>8220</v>
      </c>
      <c r="F2685" s="13">
        <v>6</v>
      </c>
      <c r="G2685" s="14">
        <v>1823.23</v>
      </c>
      <c r="H2685" t="s">
        <v>300</v>
      </c>
      <c r="I2685">
        <v>4</v>
      </c>
    </row>
    <row r="2686" spans="1:9" ht="15.6" x14ac:dyDescent="0.3">
      <c r="A2686" s="9">
        <v>2685</v>
      </c>
      <c r="B2686" s="2" t="s">
        <v>2691</v>
      </c>
      <c r="C2686" s="11">
        <v>14</v>
      </c>
      <c r="D2686" s="12">
        <v>50</v>
      </c>
      <c r="E2686" s="12" t="s">
        <v>8219</v>
      </c>
      <c r="F2686" s="13">
        <v>6</v>
      </c>
      <c r="G2686" s="14">
        <v>1807.23</v>
      </c>
      <c r="H2686" t="s">
        <v>3116</v>
      </c>
      <c r="I2686">
        <v>5</v>
      </c>
    </row>
    <row r="2687" spans="1:9" ht="15.6" x14ac:dyDescent="0.3">
      <c r="A2687" s="9">
        <v>2686</v>
      </c>
      <c r="B2687" s="2" t="s">
        <v>2692</v>
      </c>
      <c r="C2687" s="11">
        <v>12</v>
      </c>
      <c r="D2687" s="12">
        <v>66.666666666666657</v>
      </c>
      <c r="E2687" s="12" t="s">
        <v>8220</v>
      </c>
      <c r="F2687" s="13">
        <v>6</v>
      </c>
      <c r="G2687" s="14">
        <v>1783.1999999999998</v>
      </c>
      <c r="H2687" t="s">
        <v>2092</v>
      </c>
      <c r="I2687">
        <v>4</v>
      </c>
    </row>
    <row r="2688" spans="1:9" ht="15.6" x14ac:dyDescent="0.3">
      <c r="A2688" s="9">
        <v>2687</v>
      </c>
      <c r="B2688" s="2" t="s">
        <v>2693</v>
      </c>
      <c r="C2688" s="11">
        <v>12</v>
      </c>
      <c r="D2688" s="12">
        <v>66.666666666666657</v>
      </c>
      <c r="E2688" s="12" t="s">
        <v>8220</v>
      </c>
      <c r="F2688" s="13">
        <v>6</v>
      </c>
      <c r="G2688" s="14">
        <v>1823.23</v>
      </c>
      <c r="H2688" t="s">
        <v>1068</v>
      </c>
      <c r="I2688">
        <v>4</v>
      </c>
    </row>
    <row r="2689" spans="1:9" ht="15.6" x14ac:dyDescent="0.3">
      <c r="A2689" s="9">
        <v>2688</v>
      </c>
      <c r="B2689" s="2" t="s">
        <v>2694</v>
      </c>
      <c r="C2689" s="11">
        <v>6</v>
      </c>
      <c r="D2689" s="12">
        <v>50</v>
      </c>
      <c r="E2689" s="12" t="s">
        <v>8219</v>
      </c>
      <c r="F2689" s="13">
        <v>6</v>
      </c>
      <c r="G2689" s="14">
        <v>1798.21</v>
      </c>
      <c r="H2689" t="s">
        <v>44</v>
      </c>
      <c r="I2689">
        <v>3</v>
      </c>
    </row>
    <row r="2690" spans="1:9" ht="15.6" x14ac:dyDescent="0.3">
      <c r="A2690" s="9">
        <v>2689</v>
      </c>
      <c r="B2690" s="2" t="s">
        <v>2695</v>
      </c>
      <c r="C2690" s="11">
        <v>30</v>
      </c>
      <c r="D2690" s="12">
        <v>50</v>
      </c>
      <c r="E2690" s="12" t="s">
        <v>8219</v>
      </c>
      <c r="F2690" s="13">
        <v>6</v>
      </c>
      <c r="G2690" s="14">
        <v>1865.3000000000002</v>
      </c>
      <c r="H2690" t="s">
        <v>4060</v>
      </c>
      <c r="I2690">
        <v>7</v>
      </c>
    </row>
    <row r="2691" spans="1:9" ht="15.6" x14ac:dyDescent="0.3">
      <c r="A2691" s="9">
        <v>2690</v>
      </c>
      <c r="B2691" s="2" t="s">
        <v>2696</v>
      </c>
      <c r="C2691" s="11">
        <v>28</v>
      </c>
      <c r="D2691" s="12">
        <v>66.666666666666657</v>
      </c>
      <c r="E2691" s="12" t="s">
        <v>8220</v>
      </c>
      <c r="F2691" s="13">
        <v>6</v>
      </c>
      <c r="G2691" s="14">
        <v>1841.27</v>
      </c>
      <c r="H2691" t="s">
        <v>3036</v>
      </c>
      <c r="I2691">
        <v>7</v>
      </c>
    </row>
    <row r="2692" spans="1:9" ht="15.6" x14ac:dyDescent="0.3">
      <c r="A2692" s="9">
        <v>2691</v>
      </c>
      <c r="B2692" s="2" t="s">
        <v>2697</v>
      </c>
      <c r="C2692" s="11">
        <v>28</v>
      </c>
      <c r="D2692" s="12">
        <v>66.666666666666657</v>
      </c>
      <c r="E2692" s="12" t="s">
        <v>8220</v>
      </c>
      <c r="F2692" s="13">
        <v>6</v>
      </c>
      <c r="G2692" s="14">
        <v>1881.3000000000002</v>
      </c>
      <c r="H2692" t="s">
        <v>2012</v>
      </c>
      <c r="I2692">
        <v>7</v>
      </c>
    </row>
    <row r="2693" spans="1:9" ht="15.6" x14ac:dyDescent="0.3">
      <c r="A2693" s="9">
        <v>2692</v>
      </c>
      <c r="B2693" s="2" t="s">
        <v>2698</v>
      </c>
      <c r="C2693" s="11">
        <v>22</v>
      </c>
      <c r="D2693" s="12">
        <v>50</v>
      </c>
      <c r="E2693" s="12" t="s">
        <v>8219</v>
      </c>
      <c r="F2693" s="13">
        <v>6</v>
      </c>
      <c r="G2693" s="14">
        <v>1856.2800000000002</v>
      </c>
      <c r="H2693" t="s">
        <v>988</v>
      </c>
      <c r="I2693">
        <v>6</v>
      </c>
    </row>
    <row r="2694" spans="1:9" ht="15.6" x14ac:dyDescent="0.3">
      <c r="A2694" s="9">
        <v>2693</v>
      </c>
      <c r="B2694" s="2" t="s">
        <v>2699</v>
      </c>
      <c r="C2694" s="11">
        <v>28</v>
      </c>
      <c r="D2694" s="12">
        <v>66.666666666666657</v>
      </c>
      <c r="E2694" s="12" t="s">
        <v>8220</v>
      </c>
      <c r="F2694" s="13">
        <v>6</v>
      </c>
      <c r="G2694" s="14">
        <v>1841.27</v>
      </c>
      <c r="H2694" t="s">
        <v>3804</v>
      </c>
      <c r="I2694">
        <v>7</v>
      </c>
    </row>
    <row r="2695" spans="1:9" ht="15.6" x14ac:dyDescent="0.3">
      <c r="A2695" s="9">
        <v>2694</v>
      </c>
      <c r="B2695" s="2" t="s">
        <v>2700</v>
      </c>
      <c r="C2695" s="11">
        <v>26</v>
      </c>
      <c r="D2695" s="12">
        <v>83.333333333333343</v>
      </c>
      <c r="E2695" s="12" t="s">
        <v>8220</v>
      </c>
      <c r="F2695" s="13">
        <v>6</v>
      </c>
      <c r="G2695" s="14">
        <v>1817.2400000000002</v>
      </c>
      <c r="H2695" t="s">
        <v>2780</v>
      </c>
      <c r="I2695">
        <v>7</v>
      </c>
    </row>
    <row r="2696" spans="1:9" ht="15.6" x14ac:dyDescent="0.3">
      <c r="A2696" s="9">
        <v>2695</v>
      </c>
      <c r="B2696" s="2" t="s">
        <v>2701</v>
      </c>
      <c r="C2696" s="11">
        <v>26</v>
      </c>
      <c r="D2696" s="12">
        <v>83.333333333333343</v>
      </c>
      <c r="E2696" s="12" t="s">
        <v>8220</v>
      </c>
      <c r="F2696" s="13">
        <v>6</v>
      </c>
      <c r="G2696" s="14">
        <v>1857.27</v>
      </c>
      <c r="H2696" t="s">
        <v>1756</v>
      </c>
      <c r="I2696">
        <v>7</v>
      </c>
    </row>
    <row r="2697" spans="1:9" ht="15.6" x14ac:dyDescent="0.3">
      <c r="A2697" s="9">
        <v>2696</v>
      </c>
      <c r="B2697" s="2" t="s">
        <v>2702</v>
      </c>
      <c r="C2697" s="11">
        <v>20</v>
      </c>
      <c r="D2697" s="12">
        <v>66.666666666666657</v>
      </c>
      <c r="E2697" s="12" t="s">
        <v>8220</v>
      </c>
      <c r="F2697" s="13">
        <v>6</v>
      </c>
      <c r="G2697" s="14">
        <v>1832.25</v>
      </c>
      <c r="H2697" t="s">
        <v>732</v>
      </c>
      <c r="I2697">
        <v>6</v>
      </c>
    </row>
    <row r="2698" spans="1:9" ht="15.6" x14ac:dyDescent="0.3">
      <c r="A2698" s="9">
        <v>2697</v>
      </c>
      <c r="B2698" s="2" t="s">
        <v>2703</v>
      </c>
      <c r="C2698" s="11">
        <v>28</v>
      </c>
      <c r="D2698" s="12">
        <v>66.666666666666657</v>
      </c>
      <c r="E2698" s="12" t="s">
        <v>8220</v>
      </c>
      <c r="F2698" s="13">
        <v>6</v>
      </c>
      <c r="G2698" s="14">
        <v>1881.3000000000002</v>
      </c>
      <c r="H2698" t="s">
        <v>3548</v>
      </c>
      <c r="I2698">
        <v>7</v>
      </c>
    </row>
    <row r="2699" spans="1:9" ht="15.6" x14ac:dyDescent="0.3">
      <c r="A2699" s="9">
        <v>2698</v>
      </c>
      <c r="B2699" s="2" t="s">
        <v>2704</v>
      </c>
      <c r="C2699" s="11">
        <v>26</v>
      </c>
      <c r="D2699" s="12">
        <v>83.333333333333343</v>
      </c>
      <c r="E2699" s="12" t="s">
        <v>8220</v>
      </c>
      <c r="F2699" s="13">
        <v>6</v>
      </c>
      <c r="G2699" s="14">
        <v>1857.27</v>
      </c>
      <c r="H2699" t="s">
        <v>2524</v>
      </c>
      <c r="I2699">
        <v>7</v>
      </c>
    </row>
    <row r="2700" spans="1:9" ht="15.6" x14ac:dyDescent="0.3">
      <c r="A2700" s="9">
        <v>2699</v>
      </c>
      <c r="B2700" s="2" t="s">
        <v>2705</v>
      </c>
      <c r="C2700" s="11">
        <v>26</v>
      </c>
      <c r="D2700" s="12">
        <v>83.333333333333343</v>
      </c>
      <c r="E2700" s="12" t="s">
        <v>8220</v>
      </c>
      <c r="F2700" s="13">
        <v>6</v>
      </c>
      <c r="G2700" s="14">
        <v>1897.3000000000002</v>
      </c>
      <c r="H2700" t="s">
        <v>1500</v>
      </c>
      <c r="I2700">
        <v>7</v>
      </c>
    </row>
    <row r="2701" spans="1:9" ht="15.6" x14ac:dyDescent="0.3">
      <c r="A2701" s="9">
        <v>2700</v>
      </c>
      <c r="B2701" s="2" t="s">
        <v>2706</v>
      </c>
      <c r="C2701" s="11">
        <v>20</v>
      </c>
      <c r="D2701" s="12">
        <v>66.666666666666657</v>
      </c>
      <c r="E2701" s="12" t="s">
        <v>8220</v>
      </c>
      <c r="F2701" s="13">
        <v>6</v>
      </c>
      <c r="G2701" s="14">
        <v>1872.2800000000002</v>
      </c>
      <c r="H2701" t="s">
        <v>476</v>
      </c>
      <c r="I2701">
        <v>6</v>
      </c>
    </row>
    <row r="2702" spans="1:9" ht="15.6" x14ac:dyDescent="0.3">
      <c r="A2702" s="9">
        <v>2701</v>
      </c>
      <c r="B2702" s="2" t="s">
        <v>2707</v>
      </c>
      <c r="C2702" s="11">
        <v>22</v>
      </c>
      <c r="D2702" s="12">
        <v>50</v>
      </c>
      <c r="E2702" s="12" t="s">
        <v>8219</v>
      </c>
      <c r="F2702" s="13">
        <v>6</v>
      </c>
      <c r="G2702" s="14">
        <v>1856.2800000000002</v>
      </c>
      <c r="H2702" t="s">
        <v>3292</v>
      </c>
      <c r="I2702">
        <v>6</v>
      </c>
    </row>
    <row r="2703" spans="1:9" ht="15.6" x14ac:dyDescent="0.3">
      <c r="A2703" s="9">
        <v>2702</v>
      </c>
      <c r="B2703" s="2" t="s">
        <v>2708</v>
      </c>
      <c r="C2703" s="11">
        <v>20</v>
      </c>
      <c r="D2703" s="12">
        <v>66.666666666666657</v>
      </c>
      <c r="E2703" s="12" t="s">
        <v>8220</v>
      </c>
      <c r="F2703" s="13">
        <v>6</v>
      </c>
      <c r="G2703" s="14">
        <v>1832.25</v>
      </c>
      <c r="H2703" t="s">
        <v>2268</v>
      </c>
      <c r="I2703">
        <v>6</v>
      </c>
    </row>
    <row r="2704" spans="1:9" ht="15.6" x14ac:dyDescent="0.3">
      <c r="A2704" s="9">
        <v>2703</v>
      </c>
      <c r="B2704" s="2" t="s">
        <v>2709</v>
      </c>
      <c r="C2704" s="11">
        <v>20</v>
      </c>
      <c r="D2704" s="12">
        <v>66.666666666666657</v>
      </c>
      <c r="E2704" s="12" t="s">
        <v>8220</v>
      </c>
      <c r="F2704" s="13">
        <v>6</v>
      </c>
      <c r="G2704" s="14">
        <v>1872.2800000000002</v>
      </c>
      <c r="H2704" t="s">
        <v>1244</v>
      </c>
      <c r="I2704">
        <v>6</v>
      </c>
    </row>
    <row r="2705" spans="1:9" ht="15.6" x14ac:dyDescent="0.3">
      <c r="A2705" s="9">
        <v>2704</v>
      </c>
      <c r="B2705" s="2" t="s">
        <v>2710</v>
      </c>
      <c r="C2705" s="11">
        <v>14</v>
      </c>
      <c r="D2705" s="12">
        <v>50</v>
      </c>
      <c r="E2705" s="12" t="s">
        <v>8219</v>
      </c>
      <c r="F2705" s="13">
        <v>6</v>
      </c>
      <c r="G2705" s="14">
        <v>1847.2600000000002</v>
      </c>
      <c r="H2705" t="s">
        <v>220</v>
      </c>
      <c r="I2705">
        <v>5</v>
      </c>
    </row>
    <row r="2706" spans="1:9" ht="15.6" x14ac:dyDescent="0.3">
      <c r="A2706" s="9">
        <v>2705</v>
      </c>
      <c r="B2706" s="2" t="s">
        <v>2711</v>
      </c>
      <c r="C2706" s="11">
        <v>28</v>
      </c>
      <c r="D2706" s="12">
        <v>66.666666666666657</v>
      </c>
      <c r="E2706" s="12" t="s">
        <v>8220</v>
      </c>
      <c r="F2706" s="13">
        <v>6</v>
      </c>
      <c r="G2706" s="14">
        <v>1841.27</v>
      </c>
      <c r="H2706" t="s">
        <v>3996</v>
      </c>
      <c r="I2706">
        <v>7</v>
      </c>
    </row>
    <row r="2707" spans="1:9" ht="15.6" x14ac:dyDescent="0.3">
      <c r="A2707" s="9">
        <v>2706</v>
      </c>
      <c r="B2707" s="2" t="s">
        <v>2712</v>
      </c>
      <c r="C2707" s="11">
        <v>26</v>
      </c>
      <c r="D2707" s="12">
        <v>83.333333333333343</v>
      </c>
      <c r="E2707" s="12" t="s">
        <v>8220</v>
      </c>
      <c r="F2707" s="13">
        <v>6</v>
      </c>
      <c r="G2707" s="14">
        <v>1817.2400000000002</v>
      </c>
      <c r="H2707" t="s">
        <v>2972</v>
      </c>
      <c r="I2707">
        <v>7</v>
      </c>
    </row>
    <row r="2708" spans="1:9" ht="15.6" x14ac:dyDescent="0.3">
      <c r="A2708" s="9">
        <v>2707</v>
      </c>
      <c r="B2708" s="2" t="s">
        <v>2713</v>
      </c>
      <c r="C2708" s="11">
        <v>26</v>
      </c>
      <c r="D2708" s="12">
        <v>83.333333333333343</v>
      </c>
      <c r="E2708" s="12" t="s">
        <v>8220</v>
      </c>
      <c r="F2708" s="13">
        <v>6</v>
      </c>
      <c r="G2708" s="14">
        <v>1857.27</v>
      </c>
      <c r="H2708" t="s">
        <v>1948</v>
      </c>
      <c r="I2708">
        <v>7</v>
      </c>
    </row>
    <row r="2709" spans="1:9" ht="15.6" x14ac:dyDescent="0.3">
      <c r="A2709" s="9">
        <v>2708</v>
      </c>
      <c r="B2709" s="2" t="s">
        <v>2714</v>
      </c>
      <c r="C2709" s="11">
        <v>20</v>
      </c>
      <c r="D2709" s="12">
        <v>66.666666666666657</v>
      </c>
      <c r="E2709" s="12" t="s">
        <v>8220</v>
      </c>
      <c r="F2709" s="13">
        <v>6</v>
      </c>
      <c r="G2709" s="14">
        <v>1832.25</v>
      </c>
      <c r="H2709" t="s">
        <v>924</v>
      </c>
      <c r="I2709">
        <v>6</v>
      </c>
    </row>
    <row r="2710" spans="1:9" ht="15.6" x14ac:dyDescent="0.3">
      <c r="A2710" s="9">
        <v>2709</v>
      </c>
      <c r="B2710" s="2" t="s">
        <v>2715</v>
      </c>
      <c r="C2710" s="11">
        <v>26</v>
      </c>
      <c r="D2710" s="12">
        <v>83.333333333333343</v>
      </c>
      <c r="E2710" s="12" t="s">
        <v>8220</v>
      </c>
      <c r="F2710" s="13">
        <v>6</v>
      </c>
      <c r="G2710" s="14">
        <v>1817.2400000000002</v>
      </c>
      <c r="H2710" t="s">
        <v>3740</v>
      </c>
      <c r="I2710">
        <v>7</v>
      </c>
    </row>
    <row r="2711" spans="1:9" ht="15.6" x14ac:dyDescent="0.3">
      <c r="A2711" s="9">
        <v>2710</v>
      </c>
      <c r="B2711" s="2" t="s">
        <v>2716</v>
      </c>
      <c r="C2711" s="11">
        <v>24</v>
      </c>
      <c r="D2711" s="12">
        <v>100</v>
      </c>
      <c r="E2711" s="12" t="s">
        <v>8220</v>
      </c>
      <c r="F2711" s="13">
        <v>6</v>
      </c>
      <c r="G2711" s="14">
        <v>1793.21</v>
      </c>
      <c r="H2711" t="s">
        <v>2716</v>
      </c>
      <c r="I2711">
        <v>6</v>
      </c>
    </row>
    <row r="2712" spans="1:9" ht="15.6" x14ac:dyDescent="0.3">
      <c r="A2712" s="9">
        <v>2711</v>
      </c>
      <c r="B2712" s="2" t="s">
        <v>2717</v>
      </c>
      <c r="C2712" s="11">
        <v>24</v>
      </c>
      <c r="D2712" s="12">
        <v>100</v>
      </c>
      <c r="E2712" s="12" t="s">
        <v>8220</v>
      </c>
      <c r="F2712" s="13">
        <v>6</v>
      </c>
      <c r="G2712" s="14">
        <v>1833.2400000000002</v>
      </c>
      <c r="H2712" t="s">
        <v>1692</v>
      </c>
      <c r="I2712">
        <v>6</v>
      </c>
    </row>
    <row r="2713" spans="1:9" ht="15.6" x14ac:dyDescent="0.3">
      <c r="A2713" s="9">
        <v>2712</v>
      </c>
      <c r="B2713" s="2" t="s">
        <v>2718</v>
      </c>
      <c r="C2713" s="11">
        <v>18</v>
      </c>
      <c r="D2713" s="12">
        <v>83.333333333333343</v>
      </c>
      <c r="E2713" s="12" t="s">
        <v>8220</v>
      </c>
      <c r="F2713" s="13">
        <v>6</v>
      </c>
      <c r="G2713" s="14">
        <v>1808.2200000000003</v>
      </c>
      <c r="H2713" t="s">
        <v>668</v>
      </c>
      <c r="I2713">
        <v>5</v>
      </c>
    </row>
    <row r="2714" spans="1:9" ht="15.6" x14ac:dyDescent="0.3">
      <c r="A2714" s="9">
        <v>2713</v>
      </c>
      <c r="B2714" s="2" t="s">
        <v>2719</v>
      </c>
      <c r="C2714" s="11">
        <v>26</v>
      </c>
      <c r="D2714" s="12">
        <v>83.333333333333343</v>
      </c>
      <c r="E2714" s="12" t="s">
        <v>8220</v>
      </c>
      <c r="F2714" s="13">
        <v>6</v>
      </c>
      <c r="G2714" s="14">
        <v>1857.27</v>
      </c>
      <c r="H2714" t="s">
        <v>3484</v>
      </c>
      <c r="I2714">
        <v>7</v>
      </c>
    </row>
    <row r="2715" spans="1:9" ht="15.6" x14ac:dyDescent="0.3">
      <c r="A2715" s="9">
        <v>2714</v>
      </c>
      <c r="B2715" s="2" t="s">
        <v>2720</v>
      </c>
      <c r="C2715" s="11">
        <v>24</v>
      </c>
      <c r="D2715" s="12">
        <v>100</v>
      </c>
      <c r="E2715" s="12" t="s">
        <v>8220</v>
      </c>
      <c r="F2715" s="13">
        <v>6</v>
      </c>
      <c r="G2715" s="14">
        <v>1833.2400000000002</v>
      </c>
      <c r="H2715" t="s">
        <v>2460</v>
      </c>
      <c r="I2715">
        <v>6</v>
      </c>
    </row>
    <row r="2716" spans="1:9" ht="15.6" x14ac:dyDescent="0.3">
      <c r="A2716" s="9">
        <v>2715</v>
      </c>
      <c r="B2716" s="2" t="s">
        <v>2721</v>
      </c>
      <c r="C2716" s="11">
        <v>24</v>
      </c>
      <c r="D2716" s="12">
        <v>100</v>
      </c>
      <c r="E2716" s="12" t="s">
        <v>8220</v>
      </c>
      <c r="F2716" s="13">
        <v>6</v>
      </c>
      <c r="G2716" s="14">
        <v>1873.27</v>
      </c>
      <c r="H2716" t="s">
        <v>1436</v>
      </c>
      <c r="I2716">
        <v>6</v>
      </c>
    </row>
    <row r="2717" spans="1:9" ht="15.6" x14ac:dyDescent="0.3">
      <c r="A2717" s="9">
        <v>2716</v>
      </c>
      <c r="B2717" s="2" t="s">
        <v>2722</v>
      </c>
      <c r="C2717" s="11">
        <v>18</v>
      </c>
      <c r="D2717" s="12">
        <v>83.333333333333343</v>
      </c>
      <c r="E2717" s="12" t="s">
        <v>8220</v>
      </c>
      <c r="F2717" s="13">
        <v>6</v>
      </c>
      <c r="G2717" s="14">
        <v>1848.25</v>
      </c>
      <c r="H2717" t="s">
        <v>412</v>
      </c>
      <c r="I2717">
        <v>5</v>
      </c>
    </row>
    <row r="2718" spans="1:9" ht="15.6" x14ac:dyDescent="0.3">
      <c r="A2718" s="9">
        <v>2717</v>
      </c>
      <c r="B2718" s="2" t="s">
        <v>2723</v>
      </c>
      <c r="C2718" s="11">
        <v>20</v>
      </c>
      <c r="D2718" s="12">
        <v>66.666666666666657</v>
      </c>
      <c r="E2718" s="12" t="s">
        <v>8220</v>
      </c>
      <c r="F2718" s="13">
        <v>6</v>
      </c>
      <c r="G2718" s="14">
        <v>1832.25</v>
      </c>
      <c r="H2718" t="s">
        <v>3228</v>
      </c>
      <c r="I2718">
        <v>6</v>
      </c>
    </row>
    <row r="2719" spans="1:9" ht="15.6" x14ac:dyDescent="0.3">
      <c r="A2719" s="9">
        <v>2718</v>
      </c>
      <c r="B2719" s="2" t="s">
        <v>2724</v>
      </c>
      <c r="C2719" s="11">
        <v>18</v>
      </c>
      <c r="D2719" s="12">
        <v>83.333333333333343</v>
      </c>
      <c r="E2719" s="12" t="s">
        <v>8220</v>
      </c>
      <c r="F2719" s="13">
        <v>6</v>
      </c>
      <c r="G2719" s="14">
        <v>1808.2200000000003</v>
      </c>
      <c r="H2719" t="s">
        <v>2204</v>
      </c>
      <c r="I2719">
        <v>5</v>
      </c>
    </row>
    <row r="2720" spans="1:9" ht="15.6" x14ac:dyDescent="0.3">
      <c r="A2720" s="9">
        <v>2719</v>
      </c>
      <c r="B2720" s="2" t="s">
        <v>2725</v>
      </c>
      <c r="C2720" s="11">
        <v>18</v>
      </c>
      <c r="D2720" s="12">
        <v>83.333333333333343</v>
      </c>
      <c r="E2720" s="12" t="s">
        <v>8220</v>
      </c>
      <c r="F2720" s="13">
        <v>6</v>
      </c>
      <c r="G2720" s="14">
        <v>1848.25</v>
      </c>
      <c r="H2720" t="s">
        <v>1180</v>
      </c>
      <c r="I2720">
        <v>5</v>
      </c>
    </row>
    <row r="2721" spans="1:9" ht="15.6" x14ac:dyDescent="0.3">
      <c r="A2721" s="9">
        <v>2720</v>
      </c>
      <c r="B2721" s="2" t="s">
        <v>2726</v>
      </c>
      <c r="C2721" s="11">
        <v>12</v>
      </c>
      <c r="D2721" s="12">
        <v>66.666666666666657</v>
      </c>
      <c r="E2721" s="12" t="s">
        <v>8220</v>
      </c>
      <c r="F2721" s="13">
        <v>6</v>
      </c>
      <c r="G2721" s="14">
        <v>1823.23</v>
      </c>
      <c r="H2721" t="s">
        <v>156</v>
      </c>
      <c r="I2721">
        <v>4</v>
      </c>
    </row>
    <row r="2722" spans="1:9" ht="15.6" x14ac:dyDescent="0.3">
      <c r="A2722" s="9">
        <v>2721</v>
      </c>
      <c r="B2722" s="2" t="s">
        <v>2727</v>
      </c>
      <c r="C2722" s="11">
        <v>28</v>
      </c>
      <c r="D2722" s="12">
        <v>66.666666666666657</v>
      </c>
      <c r="E2722" s="12" t="s">
        <v>8220</v>
      </c>
      <c r="F2722" s="13">
        <v>6</v>
      </c>
      <c r="G2722" s="14">
        <v>1881.3000000000002</v>
      </c>
      <c r="H2722" t="s">
        <v>3932</v>
      </c>
      <c r="I2722">
        <v>7</v>
      </c>
    </row>
    <row r="2723" spans="1:9" ht="15.6" x14ac:dyDescent="0.3">
      <c r="A2723" s="9">
        <v>2722</v>
      </c>
      <c r="B2723" s="2" t="s">
        <v>2728</v>
      </c>
      <c r="C2723" s="11">
        <v>26</v>
      </c>
      <c r="D2723" s="12">
        <v>83.333333333333343</v>
      </c>
      <c r="E2723" s="12" t="s">
        <v>8220</v>
      </c>
      <c r="F2723" s="13">
        <v>6</v>
      </c>
      <c r="G2723" s="14">
        <v>1857.27</v>
      </c>
      <c r="H2723" t="s">
        <v>2908</v>
      </c>
      <c r="I2723">
        <v>7</v>
      </c>
    </row>
    <row r="2724" spans="1:9" ht="15.6" x14ac:dyDescent="0.3">
      <c r="A2724" s="9">
        <v>2723</v>
      </c>
      <c r="B2724" s="2" t="s">
        <v>2729</v>
      </c>
      <c r="C2724" s="11">
        <v>26</v>
      </c>
      <c r="D2724" s="12">
        <v>83.333333333333343</v>
      </c>
      <c r="E2724" s="12" t="s">
        <v>8220</v>
      </c>
      <c r="F2724" s="13">
        <v>6</v>
      </c>
      <c r="G2724" s="14">
        <v>1897.3000000000002</v>
      </c>
      <c r="H2724" t="s">
        <v>1884</v>
      </c>
      <c r="I2724">
        <v>7</v>
      </c>
    </row>
    <row r="2725" spans="1:9" ht="15.6" x14ac:dyDescent="0.3">
      <c r="A2725" s="9">
        <v>2724</v>
      </c>
      <c r="B2725" s="2" t="s">
        <v>2730</v>
      </c>
      <c r="C2725" s="11">
        <v>20</v>
      </c>
      <c r="D2725" s="12">
        <v>66.666666666666657</v>
      </c>
      <c r="E2725" s="12" t="s">
        <v>8220</v>
      </c>
      <c r="F2725" s="13">
        <v>6</v>
      </c>
      <c r="G2725" s="14">
        <v>1872.2800000000002</v>
      </c>
      <c r="H2725" t="s">
        <v>860</v>
      </c>
      <c r="I2725">
        <v>6</v>
      </c>
    </row>
    <row r="2726" spans="1:9" ht="15.6" x14ac:dyDescent="0.3">
      <c r="A2726" s="9">
        <v>2725</v>
      </c>
      <c r="B2726" s="2" t="s">
        <v>2731</v>
      </c>
      <c r="C2726" s="11">
        <v>26</v>
      </c>
      <c r="D2726" s="12">
        <v>83.333333333333343</v>
      </c>
      <c r="E2726" s="12" t="s">
        <v>8220</v>
      </c>
      <c r="F2726" s="13">
        <v>6</v>
      </c>
      <c r="G2726" s="14">
        <v>1857.27</v>
      </c>
      <c r="H2726" t="s">
        <v>3676</v>
      </c>
      <c r="I2726">
        <v>7</v>
      </c>
    </row>
    <row r="2727" spans="1:9" ht="15.6" x14ac:dyDescent="0.3">
      <c r="A2727" s="9">
        <v>2726</v>
      </c>
      <c r="B2727" s="2" t="s">
        <v>2732</v>
      </c>
      <c r="C2727" s="11">
        <v>24</v>
      </c>
      <c r="D2727" s="12">
        <v>100</v>
      </c>
      <c r="E2727" s="12" t="s">
        <v>8220</v>
      </c>
      <c r="F2727" s="13">
        <v>6</v>
      </c>
      <c r="G2727" s="14">
        <v>1833.2400000000002</v>
      </c>
      <c r="H2727" t="s">
        <v>2652</v>
      </c>
      <c r="I2727">
        <v>6</v>
      </c>
    </row>
    <row r="2728" spans="1:9" ht="15.6" x14ac:dyDescent="0.3">
      <c r="A2728" s="9">
        <v>2727</v>
      </c>
      <c r="B2728" s="2" t="s">
        <v>2733</v>
      </c>
      <c r="C2728" s="11">
        <v>24</v>
      </c>
      <c r="D2728" s="12">
        <v>100</v>
      </c>
      <c r="E2728" s="12" t="s">
        <v>8220</v>
      </c>
      <c r="F2728" s="13">
        <v>6</v>
      </c>
      <c r="G2728" s="14">
        <v>1873.27</v>
      </c>
      <c r="H2728" t="s">
        <v>1628</v>
      </c>
      <c r="I2728">
        <v>6</v>
      </c>
    </row>
    <row r="2729" spans="1:9" ht="15.6" x14ac:dyDescent="0.3">
      <c r="A2729" s="9">
        <v>2728</v>
      </c>
      <c r="B2729" s="2" t="s">
        <v>2734</v>
      </c>
      <c r="C2729" s="11">
        <v>18</v>
      </c>
      <c r="D2729" s="12">
        <v>83.333333333333343</v>
      </c>
      <c r="E2729" s="12" t="s">
        <v>8220</v>
      </c>
      <c r="F2729" s="13">
        <v>6</v>
      </c>
      <c r="G2729" s="14">
        <v>1848.25</v>
      </c>
      <c r="H2729" t="s">
        <v>604</v>
      </c>
      <c r="I2729">
        <v>5</v>
      </c>
    </row>
    <row r="2730" spans="1:9" ht="15.6" x14ac:dyDescent="0.3">
      <c r="A2730" s="9">
        <v>2729</v>
      </c>
      <c r="B2730" s="2" t="s">
        <v>2735</v>
      </c>
      <c r="C2730" s="11">
        <v>26</v>
      </c>
      <c r="D2730" s="12">
        <v>83.333333333333343</v>
      </c>
      <c r="E2730" s="12" t="s">
        <v>8220</v>
      </c>
      <c r="F2730" s="13">
        <v>6</v>
      </c>
      <c r="G2730" s="14">
        <v>1897.3000000000002</v>
      </c>
      <c r="H2730" t="s">
        <v>3420</v>
      </c>
      <c r="I2730">
        <v>7</v>
      </c>
    </row>
    <row r="2731" spans="1:9" ht="15.6" x14ac:dyDescent="0.3">
      <c r="A2731" s="9">
        <v>2730</v>
      </c>
      <c r="B2731" s="2" t="s">
        <v>2736</v>
      </c>
      <c r="C2731" s="11">
        <v>24</v>
      </c>
      <c r="D2731" s="12">
        <v>100</v>
      </c>
      <c r="E2731" s="12" t="s">
        <v>8220</v>
      </c>
      <c r="F2731" s="13">
        <v>6</v>
      </c>
      <c r="G2731" s="14">
        <v>1873.27</v>
      </c>
      <c r="H2731" t="s">
        <v>2396</v>
      </c>
      <c r="I2731">
        <v>6</v>
      </c>
    </row>
    <row r="2732" spans="1:9" ht="15.6" x14ac:dyDescent="0.3">
      <c r="A2732" s="9">
        <v>2731</v>
      </c>
      <c r="B2732" s="2" t="s">
        <v>2737</v>
      </c>
      <c r="C2732" s="11">
        <v>24</v>
      </c>
      <c r="D2732" s="12">
        <v>100</v>
      </c>
      <c r="E2732" s="12" t="s">
        <v>8220</v>
      </c>
      <c r="F2732" s="13">
        <v>6</v>
      </c>
      <c r="G2732" s="14">
        <v>1913.3000000000002</v>
      </c>
      <c r="H2732" t="s">
        <v>1372</v>
      </c>
      <c r="I2732">
        <v>6</v>
      </c>
    </row>
    <row r="2733" spans="1:9" ht="15.6" x14ac:dyDescent="0.3">
      <c r="A2733" s="9">
        <v>2732</v>
      </c>
      <c r="B2733" s="2" t="s">
        <v>2738</v>
      </c>
      <c r="C2733" s="11">
        <v>18</v>
      </c>
      <c r="D2733" s="12">
        <v>83.333333333333343</v>
      </c>
      <c r="E2733" s="12" t="s">
        <v>8220</v>
      </c>
      <c r="F2733" s="13">
        <v>6</v>
      </c>
      <c r="G2733" s="14">
        <v>1888.2800000000002</v>
      </c>
      <c r="H2733" t="s">
        <v>348</v>
      </c>
      <c r="I2733">
        <v>5</v>
      </c>
    </row>
    <row r="2734" spans="1:9" ht="15.6" x14ac:dyDescent="0.3">
      <c r="A2734" s="9">
        <v>2733</v>
      </c>
      <c r="B2734" s="2" t="s">
        <v>2739</v>
      </c>
      <c r="C2734" s="11">
        <v>20</v>
      </c>
      <c r="D2734" s="12">
        <v>66.666666666666657</v>
      </c>
      <c r="E2734" s="12" t="s">
        <v>8220</v>
      </c>
      <c r="F2734" s="13">
        <v>6</v>
      </c>
      <c r="G2734" s="14">
        <v>1872.2800000000002</v>
      </c>
      <c r="H2734" t="s">
        <v>3164</v>
      </c>
      <c r="I2734">
        <v>6</v>
      </c>
    </row>
    <row r="2735" spans="1:9" ht="15.6" x14ac:dyDescent="0.3">
      <c r="A2735" s="9">
        <v>2734</v>
      </c>
      <c r="B2735" s="2" t="s">
        <v>2740</v>
      </c>
      <c r="C2735" s="11">
        <v>18</v>
      </c>
      <c r="D2735" s="12">
        <v>83.333333333333343</v>
      </c>
      <c r="E2735" s="12" t="s">
        <v>8220</v>
      </c>
      <c r="F2735" s="13">
        <v>6</v>
      </c>
      <c r="G2735" s="14">
        <v>1848.25</v>
      </c>
      <c r="H2735" t="s">
        <v>2140</v>
      </c>
      <c r="I2735">
        <v>5</v>
      </c>
    </row>
    <row r="2736" spans="1:9" ht="15.6" x14ac:dyDescent="0.3">
      <c r="A2736" s="9">
        <v>2735</v>
      </c>
      <c r="B2736" s="2" t="s">
        <v>2741</v>
      </c>
      <c r="C2736" s="11">
        <v>18</v>
      </c>
      <c r="D2736" s="12">
        <v>83.333333333333343</v>
      </c>
      <c r="E2736" s="12" t="s">
        <v>8220</v>
      </c>
      <c r="F2736" s="13">
        <v>6</v>
      </c>
      <c r="G2736" s="14">
        <v>1888.2800000000002</v>
      </c>
      <c r="H2736" t="s">
        <v>1116</v>
      </c>
      <c r="I2736">
        <v>5</v>
      </c>
    </row>
    <row r="2737" spans="1:9" ht="15.6" x14ac:dyDescent="0.3">
      <c r="A2737" s="9">
        <v>2736</v>
      </c>
      <c r="B2737" s="2" t="s">
        <v>2742</v>
      </c>
      <c r="C2737" s="11">
        <v>12</v>
      </c>
      <c r="D2737" s="12">
        <v>66.666666666666657</v>
      </c>
      <c r="E2737" s="12" t="s">
        <v>8220</v>
      </c>
      <c r="F2737" s="13">
        <v>6</v>
      </c>
      <c r="G2737" s="14">
        <v>1863.2600000000002</v>
      </c>
      <c r="H2737" t="s">
        <v>92</v>
      </c>
      <c r="I2737">
        <v>4</v>
      </c>
    </row>
    <row r="2738" spans="1:9" ht="15.6" x14ac:dyDescent="0.3">
      <c r="A2738" s="9">
        <v>2737</v>
      </c>
      <c r="B2738" s="2" t="s">
        <v>2743</v>
      </c>
      <c r="C2738" s="11">
        <v>22</v>
      </c>
      <c r="D2738" s="12">
        <v>50</v>
      </c>
      <c r="E2738" s="12" t="s">
        <v>8219</v>
      </c>
      <c r="F2738" s="13">
        <v>6</v>
      </c>
      <c r="G2738" s="14">
        <v>1856.2800000000002</v>
      </c>
      <c r="H2738" t="s">
        <v>3868</v>
      </c>
      <c r="I2738">
        <v>6</v>
      </c>
    </row>
    <row r="2739" spans="1:9" ht="15.6" x14ac:dyDescent="0.3">
      <c r="A2739" s="9">
        <v>2738</v>
      </c>
      <c r="B2739" s="2" t="s">
        <v>2744</v>
      </c>
      <c r="C2739" s="11">
        <v>20</v>
      </c>
      <c r="D2739" s="12">
        <v>66.666666666666657</v>
      </c>
      <c r="E2739" s="12" t="s">
        <v>8220</v>
      </c>
      <c r="F2739" s="13">
        <v>6</v>
      </c>
      <c r="G2739" s="14">
        <v>1832.25</v>
      </c>
      <c r="H2739" t="s">
        <v>2844</v>
      </c>
      <c r="I2739">
        <v>6</v>
      </c>
    </row>
    <row r="2740" spans="1:9" ht="15.6" x14ac:dyDescent="0.3">
      <c r="A2740" s="9">
        <v>2739</v>
      </c>
      <c r="B2740" s="2" t="s">
        <v>2745</v>
      </c>
      <c r="C2740" s="11">
        <v>20</v>
      </c>
      <c r="D2740" s="12">
        <v>66.666666666666657</v>
      </c>
      <c r="E2740" s="12" t="s">
        <v>8220</v>
      </c>
      <c r="F2740" s="13">
        <v>6</v>
      </c>
      <c r="G2740" s="14">
        <v>1872.2800000000002</v>
      </c>
      <c r="H2740" t="s">
        <v>1820</v>
      </c>
      <c r="I2740">
        <v>6</v>
      </c>
    </row>
    <row r="2741" spans="1:9" ht="15.6" x14ac:dyDescent="0.3">
      <c r="A2741" s="9">
        <v>2740</v>
      </c>
      <c r="B2741" s="2" t="s">
        <v>2746</v>
      </c>
      <c r="C2741" s="11">
        <v>14</v>
      </c>
      <c r="D2741" s="12">
        <v>50</v>
      </c>
      <c r="E2741" s="12" t="s">
        <v>8219</v>
      </c>
      <c r="F2741" s="13">
        <v>6</v>
      </c>
      <c r="G2741" s="14">
        <v>1847.2600000000002</v>
      </c>
      <c r="H2741" t="s">
        <v>796</v>
      </c>
      <c r="I2741">
        <v>5</v>
      </c>
    </row>
    <row r="2742" spans="1:9" ht="15.6" x14ac:dyDescent="0.3">
      <c r="A2742" s="9">
        <v>2741</v>
      </c>
      <c r="B2742" s="2" t="s">
        <v>2747</v>
      </c>
      <c r="C2742" s="11">
        <v>20</v>
      </c>
      <c r="D2742" s="12">
        <v>66.666666666666657</v>
      </c>
      <c r="E2742" s="12" t="s">
        <v>8220</v>
      </c>
      <c r="F2742" s="13">
        <v>6</v>
      </c>
      <c r="G2742" s="14">
        <v>1832.25</v>
      </c>
      <c r="H2742" t="s">
        <v>3612</v>
      </c>
      <c r="I2742">
        <v>6</v>
      </c>
    </row>
    <row r="2743" spans="1:9" ht="15.6" x14ac:dyDescent="0.3">
      <c r="A2743" s="9">
        <v>2742</v>
      </c>
      <c r="B2743" s="2" t="s">
        <v>2748</v>
      </c>
      <c r="C2743" s="11">
        <v>18</v>
      </c>
      <c r="D2743" s="12">
        <v>83.333333333333343</v>
      </c>
      <c r="E2743" s="12" t="s">
        <v>8220</v>
      </c>
      <c r="F2743" s="13">
        <v>6</v>
      </c>
      <c r="G2743" s="14">
        <v>1808.2200000000003</v>
      </c>
      <c r="H2743" t="s">
        <v>2588</v>
      </c>
      <c r="I2743">
        <v>5</v>
      </c>
    </row>
    <row r="2744" spans="1:9" ht="15.6" x14ac:dyDescent="0.3">
      <c r="A2744" s="9">
        <v>2743</v>
      </c>
      <c r="B2744" s="2" t="s">
        <v>2749</v>
      </c>
      <c r="C2744" s="11">
        <v>18</v>
      </c>
      <c r="D2744" s="12">
        <v>83.333333333333343</v>
      </c>
      <c r="E2744" s="12" t="s">
        <v>8220</v>
      </c>
      <c r="F2744" s="13">
        <v>6</v>
      </c>
      <c r="G2744" s="14">
        <v>1848.25</v>
      </c>
      <c r="H2744" t="s">
        <v>1564</v>
      </c>
      <c r="I2744">
        <v>5</v>
      </c>
    </row>
    <row r="2745" spans="1:9" ht="15.6" x14ac:dyDescent="0.3">
      <c r="A2745" s="9">
        <v>2744</v>
      </c>
      <c r="B2745" s="2" t="s">
        <v>2750</v>
      </c>
      <c r="C2745" s="11">
        <v>12</v>
      </c>
      <c r="D2745" s="12">
        <v>66.666666666666657</v>
      </c>
      <c r="E2745" s="12" t="s">
        <v>8220</v>
      </c>
      <c r="F2745" s="13">
        <v>6</v>
      </c>
      <c r="G2745" s="14">
        <v>1823.23</v>
      </c>
      <c r="H2745" t="s">
        <v>540</v>
      </c>
      <c r="I2745">
        <v>4</v>
      </c>
    </row>
    <row r="2746" spans="1:9" ht="15.6" x14ac:dyDescent="0.3">
      <c r="A2746" s="9">
        <v>2745</v>
      </c>
      <c r="B2746" s="2" t="s">
        <v>2751</v>
      </c>
      <c r="C2746" s="11">
        <v>20</v>
      </c>
      <c r="D2746" s="12">
        <v>66.666666666666657</v>
      </c>
      <c r="E2746" s="12" t="s">
        <v>8220</v>
      </c>
      <c r="F2746" s="13">
        <v>6</v>
      </c>
      <c r="G2746" s="14">
        <v>1872.2800000000002</v>
      </c>
      <c r="H2746" t="s">
        <v>3356</v>
      </c>
      <c r="I2746">
        <v>6</v>
      </c>
    </row>
    <row r="2747" spans="1:9" ht="15.6" x14ac:dyDescent="0.3">
      <c r="A2747" s="9">
        <v>2746</v>
      </c>
      <c r="B2747" s="2" t="s">
        <v>2752</v>
      </c>
      <c r="C2747" s="11">
        <v>18</v>
      </c>
      <c r="D2747" s="12">
        <v>83.333333333333343</v>
      </c>
      <c r="E2747" s="12" t="s">
        <v>8220</v>
      </c>
      <c r="F2747" s="13">
        <v>6</v>
      </c>
      <c r="G2747" s="14">
        <v>1848.25</v>
      </c>
      <c r="H2747" t="s">
        <v>2332</v>
      </c>
      <c r="I2747">
        <v>5</v>
      </c>
    </row>
    <row r="2748" spans="1:9" ht="15.6" x14ac:dyDescent="0.3">
      <c r="A2748" s="9">
        <v>2747</v>
      </c>
      <c r="B2748" s="2" t="s">
        <v>2753</v>
      </c>
      <c r="C2748" s="11">
        <v>18</v>
      </c>
      <c r="D2748" s="12">
        <v>83.333333333333343</v>
      </c>
      <c r="E2748" s="12" t="s">
        <v>8220</v>
      </c>
      <c r="F2748" s="13">
        <v>6</v>
      </c>
      <c r="G2748" s="14">
        <v>1888.2800000000002</v>
      </c>
      <c r="H2748" t="s">
        <v>1308</v>
      </c>
      <c r="I2748">
        <v>5</v>
      </c>
    </row>
    <row r="2749" spans="1:9" ht="15.6" x14ac:dyDescent="0.3">
      <c r="A2749" s="9">
        <v>2748</v>
      </c>
      <c r="B2749" s="2" t="s">
        <v>2754</v>
      </c>
      <c r="C2749" s="11">
        <v>12</v>
      </c>
      <c r="D2749" s="12">
        <v>66.666666666666657</v>
      </c>
      <c r="E2749" s="12" t="s">
        <v>8220</v>
      </c>
      <c r="F2749" s="13">
        <v>6</v>
      </c>
      <c r="G2749" s="14">
        <v>1863.2600000000002</v>
      </c>
      <c r="H2749" t="s">
        <v>284</v>
      </c>
      <c r="I2749">
        <v>4</v>
      </c>
    </row>
    <row r="2750" spans="1:9" ht="15.6" x14ac:dyDescent="0.3">
      <c r="A2750" s="9">
        <v>2749</v>
      </c>
      <c r="B2750" s="2" t="s">
        <v>2755</v>
      </c>
      <c r="C2750" s="11">
        <v>14</v>
      </c>
      <c r="D2750" s="12">
        <v>50</v>
      </c>
      <c r="E2750" s="12" t="s">
        <v>8219</v>
      </c>
      <c r="F2750" s="13">
        <v>6</v>
      </c>
      <c r="G2750" s="14">
        <v>1847.2600000000002</v>
      </c>
      <c r="H2750" t="s">
        <v>3100</v>
      </c>
      <c r="I2750">
        <v>5</v>
      </c>
    </row>
    <row r="2751" spans="1:9" ht="15.6" x14ac:dyDescent="0.3">
      <c r="A2751" s="9">
        <v>2750</v>
      </c>
      <c r="B2751" s="2" t="s">
        <v>2756</v>
      </c>
      <c r="C2751" s="11">
        <v>12</v>
      </c>
      <c r="D2751" s="12">
        <v>66.666666666666657</v>
      </c>
      <c r="E2751" s="12" t="s">
        <v>8220</v>
      </c>
      <c r="F2751" s="13">
        <v>6</v>
      </c>
      <c r="G2751" s="14">
        <v>1823.23</v>
      </c>
      <c r="H2751" t="s">
        <v>2076</v>
      </c>
      <c r="I2751">
        <v>4</v>
      </c>
    </row>
    <row r="2752" spans="1:9" ht="15.6" x14ac:dyDescent="0.3">
      <c r="A2752" s="9">
        <v>2751</v>
      </c>
      <c r="B2752" s="2" t="s">
        <v>2757</v>
      </c>
      <c r="C2752" s="11">
        <v>12</v>
      </c>
      <c r="D2752" s="12">
        <v>66.666666666666657</v>
      </c>
      <c r="E2752" s="12" t="s">
        <v>8220</v>
      </c>
      <c r="F2752" s="13">
        <v>6</v>
      </c>
      <c r="G2752" s="14">
        <v>1863.2600000000002</v>
      </c>
      <c r="H2752" t="s">
        <v>1052</v>
      </c>
      <c r="I2752">
        <v>4</v>
      </c>
    </row>
    <row r="2753" spans="1:9" ht="15.6" x14ac:dyDescent="0.3">
      <c r="A2753" s="9">
        <v>2752</v>
      </c>
      <c r="B2753" s="2" t="s">
        <v>2758</v>
      </c>
      <c r="C2753" s="11">
        <v>6</v>
      </c>
      <c r="D2753" s="12">
        <v>50</v>
      </c>
      <c r="E2753" s="12" t="s">
        <v>8219</v>
      </c>
      <c r="F2753" s="13">
        <v>6</v>
      </c>
      <c r="G2753" s="14">
        <v>1838.2400000000002</v>
      </c>
      <c r="H2753" t="s">
        <v>28</v>
      </c>
      <c r="I2753">
        <v>3</v>
      </c>
    </row>
    <row r="2754" spans="1:9" ht="15.6" x14ac:dyDescent="0.3">
      <c r="A2754" s="9">
        <v>2753</v>
      </c>
      <c r="B2754" s="2" t="s">
        <v>2759</v>
      </c>
      <c r="C2754" s="11">
        <v>24</v>
      </c>
      <c r="D2754" s="12">
        <v>33.333333333333329</v>
      </c>
      <c r="E2754" s="12" t="s">
        <v>8219</v>
      </c>
      <c r="F2754" s="13">
        <v>6</v>
      </c>
      <c r="G2754" s="14">
        <v>1840.2800000000002</v>
      </c>
      <c r="H2754" t="s">
        <v>4044</v>
      </c>
      <c r="I2754">
        <v>6</v>
      </c>
    </row>
    <row r="2755" spans="1:9" ht="15.6" x14ac:dyDescent="0.3">
      <c r="A2755" s="9">
        <v>2754</v>
      </c>
      <c r="B2755" s="2" t="s">
        <v>2760</v>
      </c>
      <c r="C2755" s="11">
        <v>22</v>
      </c>
      <c r="D2755" s="12">
        <v>50</v>
      </c>
      <c r="E2755" s="12" t="s">
        <v>8219</v>
      </c>
      <c r="F2755" s="13">
        <v>6</v>
      </c>
      <c r="G2755" s="14">
        <v>1816.25</v>
      </c>
      <c r="H2755" t="s">
        <v>3020</v>
      </c>
      <c r="I2755">
        <v>6</v>
      </c>
    </row>
    <row r="2756" spans="1:9" ht="15.6" x14ac:dyDescent="0.3">
      <c r="A2756" s="9">
        <v>2755</v>
      </c>
      <c r="B2756" s="2" t="s">
        <v>2761</v>
      </c>
      <c r="C2756" s="11">
        <v>22</v>
      </c>
      <c r="D2756" s="12">
        <v>50</v>
      </c>
      <c r="E2756" s="12" t="s">
        <v>8219</v>
      </c>
      <c r="F2756" s="13">
        <v>6</v>
      </c>
      <c r="G2756" s="14">
        <v>1856.2800000000002</v>
      </c>
      <c r="H2756" t="s">
        <v>1996</v>
      </c>
      <c r="I2756">
        <v>6</v>
      </c>
    </row>
    <row r="2757" spans="1:9" ht="15.6" x14ac:dyDescent="0.3">
      <c r="A2757" s="9">
        <v>2756</v>
      </c>
      <c r="B2757" s="2" t="s">
        <v>2762</v>
      </c>
      <c r="C2757" s="11">
        <v>16</v>
      </c>
      <c r="D2757" s="12">
        <v>33.333333333333329</v>
      </c>
      <c r="E2757" s="12" t="s">
        <v>8219</v>
      </c>
      <c r="F2757" s="13">
        <v>6</v>
      </c>
      <c r="G2757" s="14">
        <v>1831.2600000000002</v>
      </c>
      <c r="H2757" t="s">
        <v>972</v>
      </c>
      <c r="I2757">
        <v>5</v>
      </c>
    </row>
    <row r="2758" spans="1:9" ht="15.6" x14ac:dyDescent="0.3">
      <c r="A2758" s="9">
        <v>2757</v>
      </c>
      <c r="B2758" s="2" t="s">
        <v>2763</v>
      </c>
      <c r="C2758" s="11">
        <v>22</v>
      </c>
      <c r="D2758" s="12">
        <v>50</v>
      </c>
      <c r="E2758" s="12" t="s">
        <v>8219</v>
      </c>
      <c r="F2758" s="13">
        <v>6</v>
      </c>
      <c r="G2758" s="14">
        <v>1816.25</v>
      </c>
      <c r="H2758" t="s">
        <v>3788</v>
      </c>
      <c r="I2758">
        <v>6</v>
      </c>
    </row>
    <row r="2759" spans="1:9" ht="15.6" x14ac:dyDescent="0.3">
      <c r="A2759" s="9">
        <v>2758</v>
      </c>
      <c r="B2759" s="2" t="s">
        <v>2764</v>
      </c>
      <c r="C2759" s="11">
        <v>20</v>
      </c>
      <c r="D2759" s="12">
        <v>66.666666666666657</v>
      </c>
      <c r="E2759" s="12" t="s">
        <v>8220</v>
      </c>
      <c r="F2759" s="13">
        <v>6</v>
      </c>
      <c r="G2759" s="14">
        <v>1792.2199999999998</v>
      </c>
      <c r="H2759" t="s">
        <v>2764</v>
      </c>
      <c r="I2759">
        <v>6</v>
      </c>
    </row>
    <row r="2760" spans="1:9" ht="15.6" x14ac:dyDescent="0.3">
      <c r="A2760" s="9">
        <v>2759</v>
      </c>
      <c r="B2760" s="2" t="s">
        <v>2765</v>
      </c>
      <c r="C2760" s="11">
        <v>20</v>
      </c>
      <c r="D2760" s="12">
        <v>66.666666666666657</v>
      </c>
      <c r="E2760" s="12" t="s">
        <v>8220</v>
      </c>
      <c r="F2760" s="13">
        <v>6</v>
      </c>
      <c r="G2760" s="14">
        <v>1832.25</v>
      </c>
      <c r="H2760" t="s">
        <v>1740</v>
      </c>
      <c r="I2760">
        <v>6</v>
      </c>
    </row>
    <row r="2761" spans="1:9" ht="15.6" x14ac:dyDescent="0.3">
      <c r="A2761" s="9">
        <v>2760</v>
      </c>
      <c r="B2761" s="2" t="s">
        <v>2766</v>
      </c>
      <c r="C2761" s="11">
        <v>14</v>
      </c>
      <c r="D2761" s="12">
        <v>50</v>
      </c>
      <c r="E2761" s="12" t="s">
        <v>8219</v>
      </c>
      <c r="F2761" s="13">
        <v>6</v>
      </c>
      <c r="G2761" s="14">
        <v>1807.23</v>
      </c>
      <c r="H2761" t="s">
        <v>716</v>
      </c>
      <c r="I2761">
        <v>5</v>
      </c>
    </row>
    <row r="2762" spans="1:9" ht="15.6" x14ac:dyDescent="0.3">
      <c r="A2762" s="9">
        <v>2761</v>
      </c>
      <c r="B2762" s="2" t="s">
        <v>2767</v>
      </c>
      <c r="C2762" s="11">
        <v>22</v>
      </c>
      <c r="D2762" s="12">
        <v>50</v>
      </c>
      <c r="E2762" s="12" t="s">
        <v>8219</v>
      </c>
      <c r="F2762" s="13">
        <v>6</v>
      </c>
      <c r="G2762" s="14">
        <v>1856.2800000000002</v>
      </c>
      <c r="H2762" t="s">
        <v>3532</v>
      </c>
      <c r="I2762">
        <v>6</v>
      </c>
    </row>
    <row r="2763" spans="1:9" ht="15.6" x14ac:dyDescent="0.3">
      <c r="A2763" s="9">
        <v>2762</v>
      </c>
      <c r="B2763" s="2" t="s">
        <v>2768</v>
      </c>
      <c r="C2763" s="11">
        <v>20</v>
      </c>
      <c r="D2763" s="12">
        <v>66.666666666666657</v>
      </c>
      <c r="E2763" s="12" t="s">
        <v>8220</v>
      </c>
      <c r="F2763" s="13">
        <v>6</v>
      </c>
      <c r="G2763" s="14">
        <v>1832.25</v>
      </c>
      <c r="H2763" t="s">
        <v>2508</v>
      </c>
      <c r="I2763">
        <v>6</v>
      </c>
    </row>
    <row r="2764" spans="1:9" ht="15.6" x14ac:dyDescent="0.3">
      <c r="A2764" s="9">
        <v>2763</v>
      </c>
      <c r="B2764" s="2" t="s">
        <v>2769</v>
      </c>
      <c r="C2764" s="11">
        <v>20</v>
      </c>
      <c r="D2764" s="12">
        <v>66.666666666666657</v>
      </c>
      <c r="E2764" s="12" t="s">
        <v>8220</v>
      </c>
      <c r="F2764" s="13">
        <v>6</v>
      </c>
      <c r="G2764" s="14">
        <v>1872.2800000000002</v>
      </c>
      <c r="H2764" t="s">
        <v>1484</v>
      </c>
      <c r="I2764">
        <v>6</v>
      </c>
    </row>
    <row r="2765" spans="1:9" ht="15.6" x14ac:dyDescent="0.3">
      <c r="A2765" s="9">
        <v>2764</v>
      </c>
      <c r="B2765" s="2" t="s">
        <v>2770</v>
      </c>
      <c r="C2765" s="11">
        <v>14</v>
      </c>
      <c r="D2765" s="12">
        <v>50</v>
      </c>
      <c r="E2765" s="12" t="s">
        <v>8219</v>
      </c>
      <c r="F2765" s="13">
        <v>6</v>
      </c>
      <c r="G2765" s="14">
        <v>1847.2600000000002</v>
      </c>
      <c r="H2765" t="s">
        <v>460</v>
      </c>
      <c r="I2765">
        <v>5</v>
      </c>
    </row>
    <row r="2766" spans="1:9" ht="15.6" x14ac:dyDescent="0.3">
      <c r="A2766" s="9">
        <v>2765</v>
      </c>
      <c r="B2766" s="2" t="s">
        <v>2771</v>
      </c>
      <c r="C2766" s="11">
        <v>16</v>
      </c>
      <c r="D2766" s="12">
        <v>33.333333333333329</v>
      </c>
      <c r="E2766" s="12" t="s">
        <v>8219</v>
      </c>
      <c r="F2766" s="13">
        <v>6</v>
      </c>
      <c r="G2766" s="14">
        <v>1831.2600000000002</v>
      </c>
      <c r="H2766" t="s">
        <v>3276</v>
      </c>
      <c r="I2766">
        <v>5</v>
      </c>
    </row>
    <row r="2767" spans="1:9" ht="15.6" x14ac:dyDescent="0.3">
      <c r="A2767" s="9">
        <v>2766</v>
      </c>
      <c r="B2767" s="2" t="s">
        <v>2772</v>
      </c>
      <c r="C2767" s="11">
        <v>14</v>
      </c>
      <c r="D2767" s="12">
        <v>50</v>
      </c>
      <c r="E2767" s="12" t="s">
        <v>8219</v>
      </c>
      <c r="F2767" s="13">
        <v>6</v>
      </c>
      <c r="G2767" s="14">
        <v>1807.23</v>
      </c>
      <c r="H2767" t="s">
        <v>2252</v>
      </c>
      <c r="I2767">
        <v>5</v>
      </c>
    </row>
    <row r="2768" spans="1:9" ht="15.6" x14ac:dyDescent="0.3">
      <c r="A2768" s="9">
        <v>2767</v>
      </c>
      <c r="B2768" s="2" t="s">
        <v>2773</v>
      </c>
      <c r="C2768" s="11">
        <v>14</v>
      </c>
      <c r="D2768" s="12">
        <v>50</v>
      </c>
      <c r="E2768" s="12" t="s">
        <v>8219</v>
      </c>
      <c r="F2768" s="13">
        <v>6</v>
      </c>
      <c r="G2768" s="14">
        <v>1847.2600000000002</v>
      </c>
      <c r="H2768" t="s">
        <v>1228</v>
      </c>
      <c r="I2768">
        <v>5</v>
      </c>
    </row>
    <row r="2769" spans="1:9" ht="15.6" x14ac:dyDescent="0.3">
      <c r="A2769" s="9">
        <v>2768</v>
      </c>
      <c r="B2769" s="2" t="s">
        <v>2774</v>
      </c>
      <c r="C2769" s="11">
        <v>8</v>
      </c>
      <c r="D2769" s="12">
        <v>33.333333333333329</v>
      </c>
      <c r="E2769" s="12" t="s">
        <v>8219</v>
      </c>
      <c r="F2769" s="13">
        <v>6</v>
      </c>
      <c r="G2769" s="14">
        <v>1822.2400000000002</v>
      </c>
      <c r="H2769" t="s">
        <v>204</v>
      </c>
      <c r="I2769">
        <v>4</v>
      </c>
    </row>
    <row r="2770" spans="1:9" ht="15.6" x14ac:dyDescent="0.3">
      <c r="A2770" s="9">
        <v>2769</v>
      </c>
      <c r="B2770" s="2" t="s">
        <v>2775</v>
      </c>
      <c r="C2770" s="11">
        <v>22</v>
      </c>
      <c r="D2770" s="12">
        <v>50</v>
      </c>
      <c r="E2770" s="12" t="s">
        <v>8219</v>
      </c>
      <c r="F2770" s="13">
        <v>6</v>
      </c>
      <c r="G2770" s="14">
        <v>1816.25</v>
      </c>
      <c r="H2770" t="s">
        <v>3980</v>
      </c>
      <c r="I2770">
        <v>6</v>
      </c>
    </row>
    <row r="2771" spans="1:9" ht="15.6" x14ac:dyDescent="0.3">
      <c r="A2771" s="9">
        <v>2770</v>
      </c>
      <c r="B2771" s="2" t="s">
        <v>2776</v>
      </c>
      <c r="C2771" s="11">
        <v>20</v>
      </c>
      <c r="D2771" s="12">
        <v>66.666666666666657</v>
      </c>
      <c r="E2771" s="12" t="s">
        <v>8220</v>
      </c>
      <c r="F2771" s="13">
        <v>6</v>
      </c>
      <c r="G2771" s="14">
        <v>1792.2199999999998</v>
      </c>
      <c r="H2771" t="s">
        <v>2956</v>
      </c>
      <c r="I2771">
        <v>6</v>
      </c>
    </row>
    <row r="2772" spans="1:9" ht="15.6" x14ac:dyDescent="0.3">
      <c r="A2772" s="9">
        <v>2771</v>
      </c>
      <c r="B2772" s="2" t="s">
        <v>2777</v>
      </c>
      <c r="C2772" s="11">
        <v>20</v>
      </c>
      <c r="D2772" s="12">
        <v>66.666666666666657</v>
      </c>
      <c r="E2772" s="12" t="s">
        <v>8220</v>
      </c>
      <c r="F2772" s="13">
        <v>6</v>
      </c>
      <c r="G2772" s="14">
        <v>1832.25</v>
      </c>
      <c r="H2772" t="s">
        <v>1932</v>
      </c>
      <c r="I2772">
        <v>6</v>
      </c>
    </row>
    <row r="2773" spans="1:9" ht="15.6" x14ac:dyDescent="0.3">
      <c r="A2773" s="9">
        <v>2772</v>
      </c>
      <c r="B2773" s="2" t="s">
        <v>2778</v>
      </c>
      <c r="C2773" s="11">
        <v>14</v>
      </c>
      <c r="D2773" s="12">
        <v>50</v>
      </c>
      <c r="E2773" s="12" t="s">
        <v>8219</v>
      </c>
      <c r="F2773" s="13">
        <v>6</v>
      </c>
      <c r="G2773" s="14">
        <v>1807.23</v>
      </c>
      <c r="H2773" t="s">
        <v>908</v>
      </c>
      <c r="I2773">
        <v>5</v>
      </c>
    </row>
    <row r="2774" spans="1:9" ht="15.6" x14ac:dyDescent="0.3">
      <c r="A2774" s="9">
        <v>2773</v>
      </c>
      <c r="B2774" s="2" t="s">
        <v>2779</v>
      </c>
      <c r="C2774" s="11">
        <v>20</v>
      </c>
      <c r="D2774" s="12">
        <v>66.666666666666657</v>
      </c>
      <c r="E2774" s="12" t="s">
        <v>8220</v>
      </c>
      <c r="F2774" s="13">
        <v>6</v>
      </c>
      <c r="G2774" s="14">
        <v>1792.2199999999998</v>
      </c>
      <c r="H2774" t="s">
        <v>3724</v>
      </c>
      <c r="I2774">
        <v>6</v>
      </c>
    </row>
    <row r="2775" spans="1:9" ht="15.6" x14ac:dyDescent="0.3">
      <c r="A2775" s="9">
        <v>2774</v>
      </c>
      <c r="B2775" s="2" t="s">
        <v>2780</v>
      </c>
      <c r="C2775" s="11">
        <v>18</v>
      </c>
      <c r="D2775" s="12">
        <v>83.333333333333343</v>
      </c>
      <c r="E2775" s="12" t="s">
        <v>8220</v>
      </c>
      <c r="F2775" s="13">
        <v>6</v>
      </c>
      <c r="G2775" s="14">
        <v>1768.19</v>
      </c>
      <c r="H2775" t="s">
        <v>2700</v>
      </c>
      <c r="I2775">
        <v>5</v>
      </c>
    </row>
    <row r="2776" spans="1:9" ht="15.6" x14ac:dyDescent="0.3">
      <c r="A2776" s="9">
        <v>2775</v>
      </c>
      <c r="B2776" s="2" t="s">
        <v>2781</v>
      </c>
      <c r="C2776" s="11">
        <v>18</v>
      </c>
      <c r="D2776" s="12">
        <v>83.333333333333343</v>
      </c>
      <c r="E2776" s="12" t="s">
        <v>8220</v>
      </c>
      <c r="F2776" s="13">
        <v>6</v>
      </c>
      <c r="G2776" s="14">
        <v>1808.2200000000003</v>
      </c>
      <c r="H2776" t="s">
        <v>1676</v>
      </c>
      <c r="I2776">
        <v>5</v>
      </c>
    </row>
    <row r="2777" spans="1:9" ht="15.6" x14ac:dyDescent="0.3">
      <c r="A2777" s="9">
        <v>2776</v>
      </c>
      <c r="B2777" s="2" t="s">
        <v>2782</v>
      </c>
      <c r="C2777" s="11">
        <v>12</v>
      </c>
      <c r="D2777" s="12">
        <v>66.666666666666657</v>
      </c>
      <c r="E2777" s="12" t="s">
        <v>8220</v>
      </c>
      <c r="F2777" s="13">
        <v>6</v>
      </c>
      <c r="G2777" s="14">
        <v>1783.1999999999998</v>
      </c>
      <c r="H2777" t="s">
        <v>652</v>
      </c>
      <c r="I2777">
        <v>4</v>
      </c>
    </row>
    <row r="2778" spans="1:9" ht="15.6" x14ac:dyDescent="0.3">
      <c r="A2778" s="9">
        <v>2777</v>
      </c>
      <c r="B2778" s="2" t="s">
        <v>2783</v>
      </c>
      <c r="C2778" s="11">
        <v>20</v>
      </c>
      <c r="D2778" s="12">
        <v>66.666666666666657</v>
      </c>
      <c r="E2778" s="12" t="s">
        <v>8220</v>
      </c>
      <c r="F2778" s="13">
        <v>6</v>
      </c>
      <c r="G2778" s="14">
        <v>1832.25</v>
      </c>
      <c r="H2778" t="s">
        <v>3468</v>
      </c>
      <c r="I2778">
        <v>6</v>
      </c>
    </row>
    <row r="2779" spans="1:9" ht="15.6" x14ac:dyDescent="0.3">
      <c r="A2779" s="9">
        <v>2778</v>
      </c>
      <c r="B2779" s="2" t="s">
        <v>2784</v>
      </c>
      <c r="C2779" s="11">
        <v>18</v>
      </c>
      <c r="D2779" s="12">
        <v>83.333333333333343</v>
      </c>
      <c r="E2779" s="12" t="s">
        <v>8220</v>
      </c>
      <c r="F2779" s="13">
        <v>6</v>
      </c>
      <c r="G2779" s="14">
        <v>1808.2200000000003</v>
      </c>
      <c r="H2779" t="s">
        <v>2444</v>
      </c>
      <c r="I2779">
        <v>5</v>
      </c>
    </row>
    <row r="2780" spans="1:9" ht="15.6" x14ac:dyDescent="0.3">
      <c r="A2780" s="9">
        <v>2779</v>
      </c>
      <c r="B2780" s="2" t="s">
        <v>2785</v>
      </c>
      <c r="C2780" s="11">
        <v>18</v>
      </c>
      <c r="D2780" s="12">
        <v>83.333333333333343</v>
      </c>
      <c r="E2780" s="12" t="s">
        <v>8220</v>
      </c>
      <c r="F2780" s="13">
        <v>6</v>
      </c>
      <c r="G2780" s="14">
        <v>1848.25</v>
      </c>
      <c r="H2780" t="s">
        <v>1420</v>
      </c>
      <c r="I2780">
        <v>5</v>
      </c>
    </row>
    <row r="2781" spans="1:9" ht="15.6" x14ac:dyDescent="0.3">
      <c r="A2781" s="9">
        <v>2780</v>
      </c>
      <c r="B2781" s="2" t="s">
        <v>2786</v>
      </c>
      <c r="C2781" s="11">
        <v>12</v>
      </c>
      <c r="D2781" s="12">
        <v>66.666666666666657</v>
      </c>
      <c r="E2781" s="12" t="s">
        <v>8220</v>
      </c>
      <c r="F2781" s="13">
        <v>6</v>
      </c>
      <c r="G2781" s="14">
        <v>1823.23</v>
      </c>
      <c r="H2781" t="s">
        <v>396</v>
      </c>
      <c r="I2781">
        <v>4</v>
      </c>
    </row>
    <row r="2782" spans="1:9" ht="15.6" x14ac:dyDescent="0.3">
      <c r="A2782" s="9">
        <v>2781</v>
      </c>
      <c r="B2782" s="2" t="s">
        <v>2787</v>
      </c>
      <c r="C2782" s="11">
        <v>14</v>
      </c>
      <c r="D2782" s="12">
        <v>50</v>
      </c>
      <c r="E2782" s="12" t="s">
        <v>8219</v>
      </c>
      <c r="F2782" s="13">
        <v>6</v>
      </c>
      <c r="G2782" s="14">
        <v>1807.23</v>
      </c>
      <c r="H2782" t="s">
        <v>3212</v>
      </c>
      <c r="I2782">
        <v>5</v>
      </c>
    </row>
    <row r="2783" spans="1:9" ht="15.6" x14ac:dyDescent="0.3">
      <c r="A2783" s="9">
        <v>2782</v>
      </c>
      <c r="B2783" s="2" t="s">
        <v>2788</v>
      </c>
      <c r="C2783" s="11">
        <v>12</v>
      </c>
      <c r="D2783" s="12">
        <v>66.666666666666657</v>
      </c>
      <c r="E2783" s="12" t="s">
        <v>8220</v>
      </c>
      <c r="F2783" s="13">
        <v>6</v>
      </c>
      <c r="G2783" s="14">
        <v>1783.1999999999998</v>
      </c>
      <c r="H2783" t="s">
        <v>2188</v>
      </c>
      <c r="I2783">
        <v>4</v>
      </c>
    </row>
    <row r="2784" spans="1:9" ht="15.6" x14ac:dyDescent="0.3">
      <c r="A2784" s="9">
        <v>2783</v>
      </c>
      <c r="B2784" s="2" t="s">
        <v>2789</v>
      </c>
      <c r="C2784" s="11">
        <v>12</v>
      </c>
      <c r="D2784" s="12">
        <v>66.666666666666657</v>
      </c>
      <c r="E2784" s="12" t="s">
        <v>8220</v>
      </c>
      <c r="F2784" s="13">
        <v>6</v>
      </c>
      <c r="G2784" s="14">
        <v>1823.23</v>
      </c>
      <c r="H2784" t="s">
        <v>1164</v>
      </c>
      <c r="I2784">
        <v>4</v>
      </c>
    </row>
    <row r="2785" spans="1:9" ht="15.6" x14ac:dyDescent="0.3">
      <c r="A2785" s="9">
        <v>2784</v>
      </c>
      <c r="B2785" s="2" t="s">
        <v>2790</v>
      </c>
      <c r="C2785" s="11">
        <v>6</v>
      </c>
      <c r="D2785" s="12">
        <v>50</v>
      </c>
      <c r="E2785" s="12" t="s">
        <v>8219</v>
      </c>
      <c r="F2785" s="13">
        <v>6</v>
      </c>
      <c r="G2785" s="14">
        <v>1798.21</v>
      </c>
      <c r="H2785" t="s">
        <v>140</v>
      </c>
      <c r="I2785">
        <v>3</v>
      </c>
    </row>
    <row r="2786" spans="1:9" ht="15.6" x14ac:dyDescent="0.3">
      <c r="A2786" s="9">
        <v>2785</v>
      </c>
      <c r="B2786" s="2" t="s">
        <v>2791</v>
      </c>
      <c r="C2786" s="11">
        <v>22</v>
      </c>
      <c r="D2786" s="12">
        <v>50</v>
      </c>
      <c r="E2786" s="12" t="s">
        <v>8219</v>
      </c>
      <c r="F2786" s="13">
        <v>6</v>
      </c>
      <c r="G2786" s="14">
        <v>1856.2800000000002</v>
      </c>
      <c r="H2786" t="s">
        <v>3916</v>
      </c>
      <c r="I2786">
        <v>6</v>
      </c>
    </row>
    <row r="2787" spans="1:9" ht="15.6" x14ac:dyDescent="0.3">
      <c r="A2787" s="9">
        <v>2786</v>
      </c>
      <c r="B2787" s="2" t="s">
        <v>2792</v>
      </c>
      <c r="C2787" s="11">
        <v>20</v>
      </c>
      <c r="D2787" s="12">
        <v>66.666666666666657</v>
      </c>
      <c r="E2787" s="12" t="s">
        <v>8220</v>
      </c>
      <c r="F2787" s="13">
        <v>6</v>
      </c>
      <c r="G2787" s="14">
        <v>1832.25</v>
      </c>
      <c r="H2787" t="s">
        <v>2892</v>
      </c>
      <c r="I2787">
        <v>6</v>
      </c>
    </row>
    <row r="2788" spans="1:9" ht="15.6" x14ac:dyDescent="0.3">
      <c r="A2788" s="9">
        <v>2787</v>
      </c>
      <c r="B2788" s="2" t="s">
        <v>2793</v>
      </c>
      <c r="C2788" s="11">
        <v>20</v>
      </c>
      <c r="D2788" s="12">
        <v>66.666666666666657</v>
      </c>
      <c r="E2788" s="12" t="s">
        <v>8220</v>
      </c>
      <c r="F2788" s="13">
        <v>6</v>
      </c>
      <c r="G2788" s="14">
        <v>1872.2800000000002</v>
      </c>
      <c r="H2788" t="s">
        <v>1868</v>
      </c>
      <c r="I2788">
        <v>6</v>
      </c>
    </row>
    <row r="2789" spans="1:9" ht="15.6" x14ac:dyDescent="0.3">
      <c r="A2789" s="9">
        <v>2788</v>
      </c>
      <c r="B2789" s="2" t="s">
        <v>2794</v>
      </c>
      <c r="C2789" s="11">
        <v>14</v>
      </c>
      <c r="D2789" s="12">
        <v>50</v>
      </c>
      <c r="E2789" s="12" t="s">
        <v>8219</v>
      </c>
      <c r="F2789" s="13">
        <v>6</v>
      </c>
      <c r="G2789" s="14">
        <v>1847.2600000000002</v>
      </c>
      <c r="H2789" t="s">
        <v>844</v>
      </c>
      <c r="I2789">
        <v>5</v>
      </c>
    </row>
    <row r="2790" spans="1:9" ht="15.6" x14ac:dyDescent="0.3">
      <c r="A2790" s="9">
        <v>2789</v>
      </c>
      <c r="B2790" s="2" t="s">
        <v>2795</v>
      </c>
      <c r="C2790" s="11">
        <v>20</v>
      </c>
      <c r="D2790" s="12">
        <v>66.666666666666657</v>
      </c>
      <c r="E2790" s="12" t="s">
        <v>8220</v>
      </c>
      <c r="F2790" s="13">
        <v>6</v>
      </c>
      <c r="G2790" s="14">
        <v>1832.25</v>
      </c>
      <c r="H2790" t="s">
        <v>3660</v>
      </c>
      <c r="I2790">
        <v>6</v>
      </c>
    </row>
    <row r="2791" spans="1:9" ht="15.6" x14ac:dyDescent="0.3">
      <c r="A2791" s="9">
        <v>2790</v>
      </c>
      <c r="B2791" s="2" t="s">
        <v>2796</v>
      </c>
      <c r="C2791" s="11">
        <v>18</v>
      </c>
      <c r="D2791" s="12">
        <v>83.333333333333343</v>
      </c>
      <c r="E2791" s="12" t="s">
        <v>8220</v>
      </c>
      <c r="F2791" s="13">
        <v>6</v>
      </c>
      <c r="G2791" s="14">
        <v>1808.2200000000003</v>
      </c>
      <c r="H2791" t="s">
        <v>2636</v>
      </c>
      <c r="I2791">
        <v>5</v>
      </c>
    </row>
    <row r="2792" spans="1:9" ht="15.6" x14ac:dyDescent="0.3">
      <c r="A2792" s="9">
        <v>2791</v>
      </c>
      <c r="B2792" s="2" t="s">
        <v>2797</v>
      </c>
      <c r="C2792" s="11">
        <v>18</v>
      </c>
      <c r="D2792" s="12">
        <v>83.333333333333343</v>
      </c>
      <c r="E2792" s="12" t="s">
        <v>8220</v>
      </c>
      <c r="F2792" s="13">
        <v>6</v>
      </c>
      <c r="G2792" s="14">
        <v>1848.25</v>
      </c>
      <c r="H2792" t="s">
        <v>1612</v>
      </c>
      <c r="I2792">
        <v>5</v>
      </c>
    </row>
    <row r="2793" spans="1:9" ht="15.6" x14ac:dyDescent="0.3">
      <c r="A2793" s="9">
        <v>2792</v>
      </c>
      <c r="B2793" s="2" t="s">
        <v>2798</v>
      </c>
      <c r="C2793" s="11">
        <v>12</v>
      </c>
      <c r="D2793" s="12">
        <v>66.666666666666657</v>
      </c>
      <c r="E2793" s="12" t="s">
        <v>8220</v>
      </c>
      <c r="F2793" s="13">
        <v>6</v>
      </c>
      <c r="G2793" s="14">
        <v>1823.23</v>
      </c>
      <c r="H2793" t="s">
        <v>588</v>
      </c>
      <c r="I2793">
        <v>4</v>
      </c>
    </row>
    <row r="2794" spans="1:9" ht="15.6" x14ac:dyDescent="0.3">
      <c r="A2794" s="9">
        <v>2793</v>
      </c>
      <c r="B2794" s="2" t="s">
        <v>2799</v>
      </c>
      <c r="C2794" s="11">
        <v>20</v>
      </c>
      <c r="D2794" s="12">
        <v>66.666666666666657</v>
      </c>
      <c r="E2794" s="12" t="s">
        <v>8220</v>
      </c>
      <c r="F2794" s="13">
        <v>6</v>
      </c>
      <c r="G2794" s="14">
        <v>1872.2800000000002</v>
      </c>
      <c r="H2794" t="s">
        <v>3404</v>
      </c>
      <c r="I2794">
        <v>6</v>
      </c>
    </row>
    <row r="2795" spans="1:9" ht="15.6" x14ac:dyDescent="0.3">
      <c r="A2795" s="9">
        <v>2794</v>
      </c>
      <c r="B2795" s="2" t="s">
        <v>2800</v>
      </c>
      <c r="C2795" s="11">
        <v>18</v>
      </c>
      <c r="D2795" s="12">
        <v>83.333333333333343</v>
      </c>
      <c r="E2795" s="12" t="s">
        <v>8220</v>
      </c>
      <c r="F2795" s="13">
        <v>6</v>
      </c>
      <c r="G2795" s="14">
        <v>1848.25</v>
      </c>
      <c r="H2795" t="s">
        <v>2380</v>
      </c>
      <c r="I2795">
        <v>5</v>
      </c>
    </row>
    <row r="2796" spans="1:9" ht="15.6" x14ac:dyDescent="0.3">
      <c r="A2796" s="9">
        <v>2795</v>
      </c>
      <c r="B2796" s="2" t="s">
        <v>2801</v>
      </c>
      <c r="C2796" s="11">
        <v>18</v>
      </c>
      <c r="D2796" s="12">
        <v>83.333333333333343</v>
      </c>
      <c r="E2796" s="12" t="s">
        <v>8220</v>
      </c>
      <c r="F2796" s="13">
        <v>6</v>
      </c>
      <c r="G2796" s="14">
        <v>1888.2800000000002</v>
      </c>
      <c r="H2796" t="s">
        <v>1356</v>
      </c>
      <c r="I2796">
        <v>5</v>
      </c>
    </row>
    <row r="2797" spans="1:9" ht="15.6" x14ac:dyDescent="0.3">
      <c r="A2797" s="9">
        <v>2796</v>
      </c>
      <c r="B2797" s="2" t="s">
        <v>2802</v>
      </c>
      <c r="C2797" s="11">
        <v>12</v>
      </c>
      <c r="D2797" s="12">
        <v>66.666666666666657</v>
      </c>
      <c r="E2797" s="12" t="s">
        <v>8220</v>
      </c>
      <c r="F2797" s="13">
        <v>6</v>
      </c>
      <c r="G2797" s="14">
        <v>1863.2600000000002</v>
      </c>
      <c r="H2797" t="s">
        <v>332</v>
      </c>
      <c r="I2797">
        <v>4</v>
      </c>
    </row>
    <row r="2798" spans="1:9" ht="15.6" x14ac:dyDescent="0.3">
      <c r="A2798" s="9">
        <v>2797</v>
      </c>
      <c r="B2798" s="2" t="s">
        <v>2803</v>
      </c>
      <c r="C2798" s="11">
        <v>14</v>
      </c>
      <c r="D2798" s="12">
        <v>50</v>
      </c>
      <c r="E2798" s="12" t="s">
        <v>8219</v>
      </c>
      <c r="F2798" s="13">
        <v>6</v>
      </c>
      <c r="G2798" s="14">
        <v>1847.2600000000002</v>
      </c>
      <c r="H2798" t="s">
        <v>3148</v>
      </c>
      <c r="I2798">
        <v>5</v>
      </c>
    </row>
    <row r="2799" spans="1:9" ht="15.6" x14ac:dyDescent="0.3">
      <c r="A2799" s="9">
        <v>2798</v>
      </c>
      <c r="B2799" s="2" t="s">
        <v>2804</v>
      </c>
      <c r="C2799" s="11">
        <v>12</v>
      </c>
      <c r="D2799" s="12">
        <v>66.666666666666657</v>
      </c>
      <c r="E2799" s="12" t="s">
        <v>8220</v>
      </c>
      <c r="F2799" s="13">
        <v>6</v>
      </c>
      <c r="G2799" s="14">
        <v>1823.23</v>
      </c>
      <c r="H2799" t="s">
        <v>2124</v>
      </c>
      <c r="I2799">
        <v>4</v>
      </c>
    </row>
    <row r="2800" spans="1:9" ht="15.6" x14ac:dyDescent="0.3">
      <c r="A2800" s="9">
        <v>2799</v>
      </c>
      <c r="B2800" s="2" t="s">
        <v>2805</v>
      </c>
      <c r="C2800" s="11">
        <v>12</v>
      </c>
      <c r="D2800" s="12">
        <v>66.666666666666657</v>
      </c>
      <c r="E2800" s="12" t="s">
        <v>8220</v>
      </c>
      <c r="F2800" s="13">
        <v>6</v>
      </c>
      <c r="G2800" s="14">
        <v>1863.2600000000002</v>
      </c>
      <c r="H2800" t="s">
        <v>1100</v>
      </c>
      <c r="I2800">
        <v>4</v>
      </c>
    </row>
    <row r="2801" spans="1:9" ht="15.6" x14ac:dyDescent="0.3">
      <c r="A2801" s="9">
        <v>2800</v>
      </c>
      <c r="B2801" s="2" t="s">
        <v>2806</v>
      </c>
      <c r="C2801" s="11">
        <v>6</v>
      </c>
      <c r="D2801" s="12">
        <v>50</v>
      </c>
      <c r="E2801" s="12" t="s">
        <v>8219</v>
      </c>
      <c r="F2801" s="13">
        <v>6</v>
      </c>
      <c r="G2801" s="14">
        <v>1838.2400000000002</v>
      </c>
      <c r="H2801" t="s">
        <v>76</v>
      </c>
      <c r="I2801">
        <v>3</v>
      </c>
    </row>
    <row r="2802" spans="1:9" ht="15.6" x14ac:dyDescent="0.3">
      <c r="A2802" s="9">
        <v>2801</v>
      </c>
      <c r="B2802" s="2" t="s">
        <v>2807</v>
      </c>
      <c r="C2802" s="11">
        <v>16</v>
      </c>
      <c r="D2802" s="12">
        <v>33.333333333333329</v>
      </c>
      <c r="E2802" s="12" t="s">
        <v>8219</v>
      </c>
      <c r="F2802" s="13">
        <v>6</v>
      </c>
      <c r="G2802" s="14">
        <v>1831.2600000000002</v>
      </c>
      <c r="H2802" t="s">
        <v>3852</v>
      </c>
      <c r="I2802">
        <v>5</v>
      </c>
    </row>
    <row r="2803" spans="1:9" ht="15.6" x14ac:dyDescent="0.3">
      <c r="A2803" s="9">
        <v>2802</v>
      </c>
      <c r="B2803" s="2" t="s">
        <v>2808</v>
      </c>
      <c r="C2803" s="11">
        <v>14</v>
      </c>
      <c r="D2803" s="12">
        <v>50</v>
      </c>
      <c r="E2803" s="12" t="s">
        <v>8219</v>
      </c>
      <c r="F2803" s="13">
        <v>6</v>
      </c>
      <c r="G2803" s="14">
        <v>1807.23</v>
      </c>
      <c r="H2803" t="s">
        <v>2828</v>
      </c>
      <c r="I2803">
        <v>5</v>
      </c>
    </row>
    <row r="2804" spans="1:9" ht="15.6" x14ac:dyDescent="0.3">
      <c r="A2804" s="9">
        <v>2803</v>
      </c>
      <c r="B2804" s="2" t="s">
        <v>2809</v>
      </c>
      <c r="C2804" s="11">
        <v>14</v>
      </c>
      <c r="D2804" s="12">
        <v>50</v>
      </c>
      <c r="E2804" s="12" t="s">
        <v>8219</v>
      </c>
      <c r="F2804" s="13">
        <v>6</v>
      </c>
      <c r="G2804" s="14">
        <v>1847.2600000000002</v>
      </c>
      <c r="H2804" t="s">
        <v>1804</v>
      </c>
      <c r="I2804">
        <v>5</v>
      </c>
    </row>
    <row r="2805" spans="1:9" ht="15.6" x14ac:dyDescent="0.3">
      <c r="A2805" s="9">
        <v>2804</v>
      </c>
      <c r="B2805" s="2" t="s">
        <v>2810</v>
      </c>
      <c r="C2805" s="11">
        <v>8</v>
      </c>
      <c r="D2805" s="12">
        <v>33.333333333333329</v>
      </c>
      <c r="E2805" s="12" t="s">
        <v>8219</v>
      </c>
      <c r="F2805" s="13">
        <v>6</v>
      </c>
      <c r="G2805" s="14">
        <v>1822.2400000000002</v>
      </c>
      <c r="H2805" t="s">
        <v>780</v>
      </c>
      <c r="I2805">
        <v>4</v>
      </c>
    </row>
    <row r="2806" spans="1:9" ht="15.6" x14ac:dyDescent="0.3">
      <c r="A2806" s="9">
        <v>2805</v>
      </c>
      <c r="B2806" s="2" t="s">
        <v>2811</v>
      </c>
      <c r="C2806" s="11">
        <v>14</v>
      </c>
      <c r="D2806" s="12">
        <v>50</v>
      </c>
      <c r="E2806" s="12" t="s">
        <v>8219</v>
      </c>
      <c r="F2806" s="13">
        <v>6</v>
      </c>
      <c r="G2806" s="14">
        <v>1807.23</v>
      </c>
      <c r="H2806" t="s">
        <v>3596</v>
      </c>
      <c r="I2806">
        <v>5</v>
      </c>
    </row>
    <row r="2807" spans="1:9" ht="15.6" x14ac:dyDescent="0.3">
      <c r="A2807" s="9">
        <v>2806</v>
      </c>
      <c r="B2807" s="2" t="s">
        <v>2812</v>
      </c>
      <c r="C2807" s="11">
        <v>12</v>
      </c>
      <c r="D2807" s="12">
        <v>66.666666666666657</v>
      </c>
      <c r="E2807" s="12" t="s">
        <v>8220</v>
      </c>
      <c r="F2807" s="13">
        <v>6</v>
      </c>
      <c r="G2807" s="14">
        <v>1783.1999999999998</v>
      </c>
      <c r="H2807" t="s">
        <v>2572</v>
      </c>
      <c r="I2807">
        <v>4</v>
      </c>
    </row>
    <row r="2808" spans="1:9" ht="15.6" x14ac:dyDescent="0.3">
      <c r="A2808" s="9">
        <v>2807</v>
      </c>
      <c r="B2808" s="2" t="s">
        <v>2813</v>
      </c>
      <c r="C2808" s="11">
        <v>12</v>
      </c>
      <c r="D2808" s="12">
        <v>66.666666666666657</v>
      </c>
      <c r="E2808" s="12" t="s">
        <v>8220</v>
      </c>
      <c r="F2808" s="13">
        <v>6</v>
      </c>
      <c r="G2808" s="14">
        <v>1823.23</v>
      </c>
      <c r="H2808" t="s">
        <v>1548</v>
      </c>
      <c r="I2808">
        <v>4</v>
      </c>
    </row>
    <row r="2809" spans="1:9" ht="15.6" x14ac:dyDescent="0.3">
      <c r="A2809" s="9">
        <v>2808</v>
      </c>
      <c r="B2809" s="2" t="s">
        <v>2814</v>
      </c>
      <c r="C2809" s="11">
        <v>6</v>
      </c>
      <c r="D2809" s="12">
        <v>50</v>
      </c>
      <c r="E2809" s="12" t="s">
        <v>8219</v>
      </c>
      <c r="F2809" s="13">
        <v>6</v>
      </c>
      <c r="G2809" s="14">
        <v>1798.21</v>
      </c>
      <c r="H2809" t="s">
        <v>524</v>
      </c>
      <c r="I2809">
        <v>3</v>
      </c>
    </row>
    <row r="2810" spans="1:9" ht="15.6" x14ac:dyDescent="0.3">
      <c r="A2810" s="9">
        <v>2809</v>
      </c>
      <c r="B2810" s="2" t="s">
        <v>2815</v>
      </c>
      <c r="C2810" s="11">
        <v>14</v>
      </c>
      <c r="D2810" s="12">
        <v>50</v>
      </c>
      <c r="E2810" s="12" t="s">
        <v>8219</v>
      </c>
      <c r="F2810" s="13">
        <v>6</v>
      </c>
      <c r="G2810" s="14">
        <v>1847.2600000000002</v>
      </c>
      <c r="H2810" t="s">
        <v>3340</v>
      </c>
      <c r="I2810">
        <v>5</v>
      </c>
    </row>
    <row r="2811" spans="1:9" ht="15.6" x14ac:dyDescent="0.3">
      <c r="A2811" s="9">
        <v>2810</v>
      </c>
      <c r="B2811" s="2" t="s">
        <v>2816</v>
      </c>
      <c r="C2811" s="11">
        <v>12</v>
      </c>
      <c r="D2811" s="12">
        <v>66.666666666666657</v>
      </c>
      <c r="E2811" s="12" t="s">
        <v>8220</v>
      </c>
      <c r="F2811" s="13">
        <v>6</v>
      </c>
      <c r="G2811" s="14">
        <v>1823.23</v>
      </c>
      <c r="H2811" t="s">
        <v>2316</v>
      </c>
      <c r="I2811">
        <v>4</v>
      </c>
    </row>
    <row r="2812" spans="1:9" ht="15.6" x14ac:dyDescent="0.3">
      <c r="A2812" s="9">
        <v>2811</v>
      </c>
      <c r="B2812" s="2" t="s">
        <v>2817</v>
      </c>
      <c r="C2812" s="11">
        <v>12</v>
      </c>
      <c r="D2812" s="12">
        <v>66.666666666666657</v>
      </c>
      <c r="E2812" s="12" t="s">
        <v>8220</v>
      </c>
      <c r="F2812" s="13">
        <v>6</v>
      </c>
      <c r="G2812" s="14">
        <v>1863.2600000000002</v>
      </c>
      <c r="H2812" t="s">
        <v>1292</v>
      </c>
      <c r="I2812">
        <v>4</v>
      </c>
    </row>
    <row r="2813" spans="1:9" ht="15.6" x14ac:dyDescent="0.3">
      <c r="A2813" s="9">
        <v>2812</v>
      </c>
      <c r="B2813" s="2" t="s">
        <v>2818</v>
      </c>
      <c r="C2813" s="11">
        <v>6</v>
      </c>
      <c r="D2813" s="12">
        <v>50</v>
      </c>
      <c r="E2813" s="12" t="s">
        <v>8219</v>
      </c>
      <c r="F2813" s="13">
        <v>6</v>
      </c>
      <c r="G2813" s="14">
        <v>1838.2400000000002</v>
      </c>
      <c r="H2813" t="s">
        <v>268</v>
      </c>
      <c r="I2813">
        <v>3</v>
      </c>
    </row>
    <row r="2814" spans="1:9" ht="15.6" x14ac:dyDescent="0.3">
      <c r="A2814" s="9">
        <v>2813</v>
      </c>
      <c r="B2814" s="2" t="s">
        <v>2819</v>
      </c>
      <c r="C2814" s="11">
        <v>8</v>
      </c>
      <c r="D2814" s="12">
        <v>33.333333333333329</v>
      </c>
      <c r="E2814" s="12" t="s">
        <v>8219</v>
      </c>
      <c r="F2814" s="13">
        <v>6</v>
      </c>
      <c r="G2814" s="14">
        <v>1822.2400000000002</v>
      </c>
      <c r="H2814" t="s">
        <v>3084</v>
      </c>
      <c r="I2814">
        <v>4</v>
      </c>
    </row>
    <row r="2815" spans="1:9" ht="15.6" x14ac:dyDescent="0.3">
      <c r="A2815" s="9">
        <v>2814</v>
      </c>
      <c r="B2815" s="2" t="s">
        <v>2820</v>
      </c>
      <c r="C2815" s="11">
        <v>6</v>
      </c>
      <c r="D2815" s="12">
        <v>50</v>
      </c>
      <c r="E2815" s="12" t="s">
        <v>8219</v>
      </c>
      <c r="F2815" s="13">
        <v>6</v>
      </c>
      <c r="G2815" s="14">
        <v>1798.21</v>
      </c>
      <c r="H2815" t="s">
        <v>2060</v>
      </c>
      <c r="I2815">
        <v>3</v>
      </c>
    </row>
    <row r="2816" spans="1:9" ht="15.6" x14ac:dyDescent="0.3">
      <c r="A2816" s="9">
        <v>2815</v>
      </c>
      <c r="B2816" s="2" t="s">
        <v>2821</v>
      </c>
      <c r="C2816" s="11">
        <v>6</v>
      </c>
      <c r="D2816" s="12">
        <v>50</v>
      </c>
      <c r="E2816" s="12" t="s">
        <v>8219</v>
      </c>
      <c r="F2816" s="13">
        <v>6</v>
      </c>
      <c r="G2816" s="14">
        <v>1838.2400000000002</v>
      </c>
      <c r="H2816" t="s">
        <v>1036</v>
      </c>
      <c r="I2816">
        <v>3</v>
      </c>
    </row>
    <row r="2817" spans="1:9" ht="15.6" x14ac:dyDescent="0.3">
      <c r="A2817" s="9">
        <v>2816</v>
      </c>
      <c r="B2817" s="2" t="s">
        <v>2822</v>
      </c>
      <c r="C2817" s="11">
        <v>0</v>
      </c>
      <c r="D2817" s="12">
        <v>33.333333333333329</v>
      </c>
      <c r="E2817" s="12" t="s">
        <v>8219</v>
      </c>
      <c r="F2817" s="13">
        <v>6</v>
      </c>
      <c r="G2817" s="14">
        <v>1813.2200000000003</v>
      </c>
      <c r="H2817" t="s">
        <v>12</v>
      </c>
      <c r="I2817">
        <v>2</v>
      </c>
    </row>
    <row r="2818" spans="1:9" ht="15.6" x14ac:dyDescent="0.3">
      <c r="A2818" s="9">
        <v>2817</v>
      </c>
      <c r="B2818" s="2" t="s">
        <v>2823</v>
      </c>
      <c r="C2818" s="11">
        <v>26</v>
      </c>
      <c r="D2818" s="12">
        <v>16.666666666666664</v>
      </c>
      <c r="E2818" s="12" t="s">
        <v>8219</v>
      </c>
      <c r="F2818" s="13">
        <v>6</v>
      </c>
      <c r="G2818" s="14">
        <v>1824.2799999999997</v>
      </c>
      <c r="H2818" t="s">
        <v>4088</v>
      </c>
      <c r="I2818">
        <v>7</v>
      </c>
    </row>
    <row r="2819" spans="1:9" ht="15.6" x14ac:dyDescent="0.3">
      <c r="A2819" s="9">
        <v>2818</v>
      </c>
      <c r="B2819" s="2" t="s">
        <v>2824</v>
      </c>
      <c r="C2819" s="11">
        <v>24</v>
      </c>
      <c r="D2819" s="12">
        <v>33.333333333333329</v>
      </c>
      <c r="E2819" s="12" t="s">
        <v>8219</v>
      </c>
      <c r="F2819" s="13">
        <v>6</v>
      </c>
      <c r="G2819" s="14">
        <v>1800.25</v>
      </c>
      <c r="H2819" t="s">
        <v>3064</v>
      </c>
      <c r="I2819">
        <v>6</v>
      </c>
    </row>
    <row r="2820" spans="1:9" ht="15.6" x14ac:dyDescent="0.3">
      <c r="A2820" s="9">
        <v>2819</v>
      </c>
      <c r="B2820" s="2" t="s">
        <v>2825</v>
      </c>
      <c r="C2820" s="11">
        <v>24</v>
      </c>
      <c r="D2820" s="12">
        <v>33.333333333333329</v>
      </c>
      <c r="E2820" s="12" t="s">
        <v>8219</v>
      </c>
      <c r="F2820" s="13">
        <v>6</v>
      </c>
      <c r="G2820" s="14">
        <v>1840.2800000000002</v>
      </c>
      <c r="H2820" t="s">
        <v>2040</v>
      </c>
      <c r="I2820">
        <v>6</v>
      </c>
    </row>
    <row r="2821" spans="1:9" ht="15.6" x14ac:dyDescent="0.3">
      <c r="A2821" s="9">
        <v>2820</v>
      </c>
      <c r="B2821" s="2" t="s">
        <v>2826</v>
      </c>
      <c r="C2821" s="11">
        <v>18</v>
      </c>
      <c r="D2821" s="12">
        <v>16.666666666666664</v>
      </c>
      <c r="E2821" s="12" t="s">
        <v>8219</v>
      </c>
      <c r="F2821" s="13">
        <v>6</v>
      </c>
      <c r="G2821" s="14">
        <v>1815.2599999999998</v>
      </c>
      <c r="H2821" t="s">
        <v>1016</v>
      </c>
      <c r="I2821">
        <v>5</v>
      </c>
    </row>
    <row r="2822" spans="1:9" ht="15.6" x14ac:dyDescent="0.3">
      <c r="A2822" s="9">
        <v>2821</v>
      </c>
      <c r="B2822" s="2" t="s">
        <v>2827</v>
      </c>
      <c r="C2822" s="11">
        <v>24</v>
      </c>
      <c r="D2822" s="12">
        <v>33.333333333333329</v>
      </c>
      <c r="E2822" s="12" t="s">
        <v>8219</v>
      </c>
      <c r="F2822" s="13">
        <v>6</v>
      </c>
      <c r="G2822" s="14">
        <v>1800.25</v>
      </c>
      <c r="H2822" t="s">
        <v>3832</v>
      </c>
      <c r="I2822">
        <v>6</v>
      </c>
    </row>
    <row r="2823" spans="1:9" ht="15.6" x14ac:dyDescent="0.3">
      <c r="A2823" s="9">
        <v>2822</v>
      </c>
      <c r="B2823" s="2" t="s">
        <v>2828</v>
      </c>
      <c r="C2823" s="11">
        <v>22</v>
      </c>
      <c r="D2823" s="12">
        <v>50</v>
      </c>
      <c r="E2823" s="12" t="s">
        <v>8219</v>
      </c>
      <c r="F2823" s="13">
        <v>6</v>
      </c>
      <c r="G2823" s="14">
        <v>1776.2199999999998</v>
      </c>
      <c r="H2823" t="s">
        <v>2808</v>
      </c>
      <c r="I2823">
        <v>6</v>
      </c>
    </row>
    <row r="2824" spans="1:9" ht="15.6" x14ac:dyDescent="0.3">
      <c r="A2824" s="9">
        <v>2823</v>
      </c>
      <c r="B2824" s="2" t="s">
        <v>2829</v>
      </c>
      <c r="C2824" s="11">
        <v>22</v>
      </c>
      <c r="D2824" s="12">
        <v>50</v>
      </c>
      <c r="E2824" s="12" t="s">
        <v>8219</v>
      </c>
      <c r="F2824" s="13">
        <v>6</v>
      </c>
      <c r="G2824" s="14">
        <v>1816.25</v>
      </c>
      <c r="H2824" t="s">
        <v>1784</v>
      </c>
      <c r="I2824">
        <v>6</v>
      </c>
    </row>
    <row r="2825" spans="1:9" ht="15.6" x14ac:dyDescent="0.3">
      <c r="A2825" s="9">
        <v>2824</v>
      </c>
      <c r="B2825" s="2" t="s">
        <v>2830</v>
      </c>
      <c r="C2825" s="11">
        <v>16</v>
      </c>
      <c r="D2825" s="12">
        <v>33.333333333333329</v>
      </c>
      <c r="E2825" s="12" t="s">
        <v>8219</v>
      </c>
      <c r="F2825" s="13">
        <v>6</v>
      </c>
      <c r="G2825" s="14">
        <v>1791.23</v>
      </c>
      <c r="H2825" t="s">
        <v>760</v>
      </c>
      <c r="I2825">
        <v>5</v>
      </c>
    </row>
    <row r="2826" spans="1:9" ht="15.6" x14ac:dyDescent="0.3">
      <c r="A2826" s="9">
        <v>2825</v>
      </c>
      <c r="B2826" s="2" t="s">
        <v>2831</v>
      </c>
      <c r="C2826" s="11">
        <v>24</v>
      </c>
      <c r="D2826" s="12">
        <v>33.333333333333329</v>
      </c>
      <c r="E2826" s="12" t="s">
        <v>8219</v>
      </c>
      <c r="F2826" s="13">
        <v>6</v>
      </c>
      <c r="G2826" s="14">
        <v>1840.2800000000002</v>
      </c>
      <c r="H2826" t="s">
        <v>3576</v>
      </c>
      <c r="I2826">
        <v>6</v>
      </c>
    </row>
    <row r="2827" spans="1:9" ht="15.6" x14ac:dyDescent="0.3">
      <c r="A2827" s="9">
        <v>2826</v>
      </c>
      <c r="B2827" s="2" t="s">
        <v>2832</v>
      </c>
      <c r="C2827" s="11">
        <v>22</v>
      </c>
      <c r="D2827" s="12">
        <v>50</v>
      </c>
      <c r="E2827" s="12" t="s">
        <v>8219</v>
      </c>
      <c r="F2827" s="13">
        <v>6</v>
      </c>
      <c r="G2827" s="14">
        <v>1816.25</v>
      </c>
      <c r="H2827" t="s">
        <v>2552</v>
      </c>
      <c r="I2827">
        <v>6</v>
      </c>
    </row>
    <row r="2828" spans="1:9" ht="15.6" x14ac:dyDescent="0.3">
      <c r="A2828" s="9">
        <v>2827</v>
      </c>
      <c r="B2828" s="2" t="s">
        <v>2833</v>
      </c>
      <c r="C2828" s="11">
        <v>22</v>
      </c>
      <c r="D2828" s="12">
        <v>50</v>
      </c>
      <c r="E2828" s="12" t="s">
        <v>8219</v>
      </c>
      <c r="F2828" s="13">
        <v>6</v>
      </c>
      <c r="G2828" s="14">
        <v>1856.2800000000002</v>
      </c>
      <c r="H2828" t="s">
        <v>1528</v>
      </c>
      <c r="I2828">
        <v>6</v>
      </c>
    </row>
    <row r="2829" spans="1:9" ht="15.6" x14ac:dyDescent="0.3">
      <c r="A2829" s="9">
        <v>2828</v>
      </c>
      <c r="B2829" s="2" t="s">
        <v>2834</v>
      </c>
      <c r="C2829" s="11">
        <v>16</v>
      </c>
      <c r="D2829" s="12">
        <v>33.333333333333329</v>
      </c>
      <c r="E2829" s="12" t="s">
        <v>8219</v>
      </c>
      <c r="F2829" s="13">
        <v>6</v>
      </c>
      <c r="G2829" s="14">
        <v>1831.2600000000002</v>
      </c>
      <c r="H2829" t="s">
        <v>504</v>
      </c>
      <c r="I2829">
        <v>5</v>
      </c>
    </row>
    <row r="2830" spans="1:9" ht="15.6" x14ac:dyDescent="0.3">
      <c r="A2830" s="9">
        <v>2829</v>
      </c>
      <c r="B2830" s="2" t="s">
        <v>2835</v>
      </c>
      <c r="C2830" s="11">
        <v>18</v>
      </c>
      <c r="D2830" s="12">
        <v>16.666666666666664</v>
      </c>
      <c r="E2830" s="12" t="s">
        <v>8219</v>
      </c>
      <c r="F2830" s="13">
        <v>6</v>
      </c>
      <c r="G2830" s="14">
        <v>1815.2599999999998</v>
      </c>
      <c r="H2830" t="s">
        <v>3320</v>
      </c>
      <c r="I2830">
        <v>5</v>
      </c>
    </row>
    <row r="2831" spans="1:9" ht="15.6" x14ac:dyDescent="0.3">
      <c r="A2831" s="9">
        <v>2830</v>
      </c>
      <c r="B2831" s="2" t="s">
        <v>2836</v>
      </c>
      <c r="C2831" s="11">
        <v>16</v>
      </c>
      <c r="D2831" s="12">
        <v>33.333333333333329</v>
      </c>
      <c r="E2831" s="12" t="s">
        <v>8219</v>
      </c>
      <c r="F2831" s="13">
        <v>6</v>
      </c>
      <c r="G2831" s="14">
        <v>1791.23</v>
      </c>
      <c r="H2831" t="s">
        <v>2296</v>
      </c>
      <c r="I2831">
        <v>5</v>
      </c>
    </row>
    <row r="2832" spans="1:9" ht="15.6" x14ac:dyDescent="0.3">
      <c r="A2832" s="9">
        <v>2831</v>
      </c>
      <c r="B2832" s="2" t="s">
        <v>2837</v>
      </c>
      <c r="C2832" s="11">
        <v>16</v>
      </c>
      <c r="D2832" s="12">
        <v>33.333333333333329</v>
      </c>
      <c r="E2832" s="12" t="s">
        <v>8219</v>
      </c>
      <c r="F2832" s="13">
        <v>6</v>
      </c>
      <c r="G2832" s="14">
        <v>1831.2600000000002</v>
      </c>
      <c r="H2832" t="s">
        <v>1272</v>
      </c>
      <c r="I2832">
        <v>5</v>
      </c>
    </row>
    <row r="2833" spans="1:9" ht="15.6" x14ac:dyDescent="0.3">
      <c r="A2833" s="9">
        <v>2832</v>
      </c>
      <c r="B2833" s="2" t="s">
        <v>2838</v>
      </c>
      <c r="C2833" s="11">
        <v>10</v>
      </c>
      <c r="D2833" s="12">
        <v>16.666666666666664</v>
      </c>
      <c r="E2833" s="12" t="s">
        <v>8219</v>
      </c>
      <c r="F2833" s="13">
        <v>6</v>
      </c>
      <c r="G2833" s="14">
        <v>1806.2399999999998</v>
      </c>
      <c r="H2833" t="s">
        <v>248</v>
      </c>
      <c r="I2833">
        <v>4</v>
      </c>
    </row>
    <row r="2834" spans="1:9" ht="15.6" x14ac:dyDescent="0.3">
      <c r="A2834" s="9">
        <v>2833</v>
      </c>
      <c r="B2834" s="2" t="s">
        <v>2839</v>
      </c>
      <c r="C2834" s="11">
        <v>24</v>
      </c>
      <c r="D2834" s="12">
        <v>33.333333333333329</v>
      </c>
      <c r="E2834" s="12" t="s">
        <v>8219</v>
      </c>
      <c r="F2834" s="13">
        <v>6</v>
      </c>
      <c r="G2834" s="14">
        <v>1800.25</v>
      </c>
      <c r="H2834" t="s">
        <v>4024</v>
      </c>
      <c r="I2834">
        <v>6</v>
      </c>
    </row>
    <row r="2835" spans="1:9" ht="15.6" x14ac:dyDescent="0.3">
      <c r="A2835" s="9">
        <v>2834</v>
      </c>
      <c r="B2835" s="2" t="s">
        <v>2840</v>
      </c>
      <c r="C2835" s="11">
        <v>22</v>
      </c>
      <c r="D2835" s="12">
        <v>50</v>
      </c>
      <c r="E2835" s="12" t="s">
        <v>8219</v>
      </c>
      <c r="F2835" s="13">
        <v>6</v>
      </c>
      <c r="G2835" s="14">
        <v>1776.2199999999998</v>
      </c>
      <c r="H2835" t="s">
        <v>3000</v>
      </c>
      <c r="I2835">
        <v>6</v>
      </c>
    </row>
    <row r="2836" spans="1:9" ht="15.6" x14ac:dyDescent="0.3">
      <c r="A2836" s="9">
        <v>2835</v>
      </c>
      <c r="B2836" s="2" t="s">
        <v>2841</v>
      </c>
      <c r="C2836" s="11">
        <v>22</v>
      </c>
      <c r="D2836" s="12">
        <v>50</v>
      </c>
      <c r="E2836" s="12" t="s">
        <v>8219</v>
      </c>
      <c r="F2836" s="13">
        <v>6</v>
      </c>
      <c r="G2836" s="14">
        <v>1816.25</v>
      </c>
      <c r="H2836" t="s">
        <v>1976</v>
      </c>
      <c r="I2836">
        <v>6</v>
      </c>
    </row>
    <row r="2837" spans="1:9" ht="15.6" x14ac:dyDescent="0.3">
      <c r="A2837" s="9">
        <v>2836</v>
      </c>
      <c r="B2837" s="2" t="s">
        <v>2842</v>
      </c>
      <c r="C2837" s="11">
        <v>16</v>
      </c>
      <c r="D2837" s="12">
        <v>33.333333333333329</v>
      </c>
      <c r="E2837" s="12" t="s">
        <v>8219</v>
      </c>
      <c r="F2837" s="13">
        <v>6</v>
      </c>
      <c r="G2837" s="14">
        <v>1791.23</v>
      </c>
      <c r="H2837" t="s">
        <v>952</v>
      </c>
      <c r="I2837">
        <v>5</v>
      </c>
    </row>
    <row r="2838" spans="1:9" ht="15.6" x14ac:dyDescent="0.3">
      <c r="A2838" s="9">
        <v>2837</v>
      </c>
      <c r="B2838" s="2" t="s">
        <v>2843</v>
      </c>
      <c r="C2838" s="11">
        <v>22</v>
      </c>
      <c r="D2838" s="12">
        <v>50</v>
      </c>
      <c r="E2838" s="12" t="s">
        <v>8219</v>
      </c>
      <c r="F2838" s="13">
        <v>6</v>
      </c>
      <c r="G2838" s="14">
        <v>1776.2199999999998</v>
      </c>
      <c r="H2838" t="s">
        <v>3768</v>
      </c>
      <c r="I2838">
        <v>6</v>
      </c>
    </row>
    <row r="2839" spans="1:9" ht="15.6" x14ac:dyDescent="0.3">
      <c r="A2839" s="9">
        <v>2838</v>
      </c>
      <c r="B2839" s="2" t="s">
        <v>2844</v>
      </c>
      <c r="C2839" s="11">
        <v>20</v>
      </c>
      <c r="D2839" s="12">
        <v>66.666666666666657</v>
      </c>
      <c r="E2839" s="12" t="s">
        <v>8220</v>
      </c>
      <c r="F2839" s="13">
        <v>6</v>
      </c>
      <c r="G2839" s="14">
        <v>1752.19</v>
      </c>
      <c r="H2839" t="s">
        <v>2744</v>
      </c>
      <c r="I2839">
        <v>6</v>
      </c>
    </row>
    <row r="2840" spans="1:9" ht="15.6" x14ac:dyDescent="0.3">
      <c r="A2840" s="9">
        <v>2839</v>
      </c>
      <c r="B2840" s="2" t="s">
        <v>2845</v>
      </c>
      <c r="C2840" s="11">
        <v>20</v>
      </c>
      <c r="D2840" s="12">
        <v>66.666666666666657</v>
      </c>
      <c r="E2840" s="12" t="s">
        <v>8220</v>
      </c>
      <c r="F2840" s="13">
        <v>6</v>
      </c>
      <c r="G2840" s="14">
        <v>1792.2199999999998</v>
      </c>
      <c r="H2840" t="s">
        <v>1720</v>
      </c>
      <c r="I2840">
        <v>6</v>
      </c>
    </row>
    <row r="2841" spans="1:9" ht="15.6" x14ac:dyDescent="0.3">
      <c r="A2841" s="9">
        <v>2840</v>
      </c>
      <c r="B2841" s="2" t="s">
        <v>2846</v>
      </c>
      <c r="C2841" s="11">
        <v>14</v>
      </c>
      <c r="D2841" s="12">
        <v>50</v>
      </c>
      <c r="E2841" s="12" t="s">
        <v>8219</v>
      </c>
      <c r="F2841" s="13">
        <v>6</v>
      </c>
      <c r="G2841" s="14">
        <v>1767.1999999999998</v>
      </c>
      <c r="H2841" t="s">
        <v>696</v>
      </c>
      <c r="I2841">
        <v>5</v>
      </c>
    </row>
    <row r="2842" spans="1:9" ht="15.6" x14ac:dyDescent="0.3">
      <c r="A2842" s="9">
        <v>2841</v>
      </c>
      <c r="B2842" s="2" t="s">
        <v>2847</v>
      </c>
      <c r="C2842" s="11">
        <v>22</v>
      </c>
      <c r="D2842" s="12">
        <v>50</v>
      </c>
      <c r="E2842" s="12" t="s">
        <v>8219</v>
      </c>
      <c r="F2842" s="13">
        <v>6</v>
      </c>
      <c r="G2842" s="14">
        <v>1816.25</v>
      </c>
      <c r="H2842" t="s">
        <v>3512</v>
      </c>
      <c r="I2842">
        <v>6</v>
      </c>
    </row>
    <row r="2843" spans="1:9" ht="15.6" x14ac:dyDescent="0.3">
      <c r="A2843" s="9">
        <v>2842</v>
      </c>
      <c r="B2843" s="2" t="s">
        <v>2848</v>
      </c>
      <c r="C2843" s="11">
        <v>20</v>
      </c>
      <c r="D2843" s="12">
        <v>66.666666666666657</v>
      </c>
      <c r="E2843" s="12" t="s">
        <v>8220</v>
      </c>
      <c r="F2843" s="13">
        <v>6</v>
      </c>
      <c r="G2843" s="14">
        <v>1792.2199999999998</v>
      </c>
      <c r="H2843" t="s">
        <v>2488</v>
      </c>
      <c r="I2843">
        <v>6</v>
      </c>
    </row>
    <row r="2844" spans="1:9" ht="15.6" x14ac:dyDescent="0.3">
      <c r="A2844" s="9">
        <v>2843</v>
      </c>
      <c r="B2844" s="2" t="s">
        <v>2849</v>
      </c>
      <c r="C2844" s="11">
        <v>20</v>
      </c>
      <c r="D2844" s="12">
        <v>66.666666666666657</v>
      </c>
      <c r="E2844" s="12" t="s">
        <v>8220</v>
      </c>
      <c r="F2844" s="13">
        <v>6</v>
      </c>
      <c r="G2844" s="14">
        <v>1832.25</v>
      </c>
      <c r="H2844" t="s">
        <v>1464</v>
      </c>
      <c r="I2844">
        <v>6</v>
      </c>
    </row>
    <row r="2845" spans="1:9" ht="15.6" x14ac:dyDescent="0.3">
      <c r="A2845" s="9">
        <v>2844</v>
      </c>
      <c r="B2845" s="2" t="s">
        <v>2850</v>
      </c>
      <c r="C2845" s="11">
        <v>14</v>
      </c>
      <c r="D2845" s="12">
        <v>50</v>
      </c>
      <c r="E2845" s="12" t="s">
        <v>8219</v>
      </c>
      <c r="F2845" s="13">
        <v>6</v>
      </c>
      <c r="G2845" s="14">
        <v>1807.23</v>
      </c>
      <c r="H2845" t="s">
        <v>440</v>
      </c>
      <c r="I2845">
        <v>5</v>
      </c>
    </row>
    <row r="2846" spans="1:9" ht="15.6" x14ac:dyDescent="0.3">
      <c r="A2846" s="9">
        <v>2845</v>
      </c>
      <c r="B2846" s="2" t="s">
        <v>2851</v>
      </c>
      <c r="C2846" s="11">
        <v>16</v>
      </c>
      <c r="D2846" s="12">
        <v>33.333333333333329</v>
      </c>
      <c r="E2846" s="12" t="s">
        <v>8219</v>
      </c>
      <c r="F2846" s="13">
        <v>6</v>
      </c>
      <c r="G2846" s="14">
        <v>1791.23</v>
      </c>
      <c r="H2846" t="s">
        <v>3256</v>
      </c>
      <c r="I2846">
        <v>5</v>
      </c>
    </row>
    <row r="2847" spans="1:9" ht="15.6" x14ac:dyDescent="0.3">
      <c r="A2847" s="9">
        <v>2846</v>
      </c>
      <c r="B2847" s="2" t="s">
        <v>2852</v>
      </c>
      <c r="C2847" s="11">
        <v>14</v>
      </c>
      <c r="D2847" s="12">
        <v>50</v>
      </c>
      <c r="E2847" s="12" t="s">
        <v>8219</v>
      </c>
      <c r="F2847" s="13">
        <v>6</v>
      </c>
      <c r="G2847" s="14">
        <v>1767.1999999999998</v>
      </c>
      <c r="H2847" t="s">
        <v>2232</v>
      </c>
      <c r="I2847">
        <v>5</v>
      </c>
    </row>
    <row r="2848" spans="1:9" ht="15.6" x14ac:dyDescent="0.3">
      <c r="A2848" s="9">
        <v>2847</v>
      </c>
      <c r="B2848" s="2" t="s">
        <v>2853</v>
      </c>
      <c r="C2848" s="11">
        <v>14</v>
      </c>
      <c r="D2848" s="12">
        <v>50</v>
      </c>
      <c r="E2848" s="12" t="s">
        <v>8219</v>
      </c>
      <c r="F2848" s="13">
        <v>6</v>
      </c>
      <c r="G2848" s="14">
        <v>1807.23</v>
      </c>
      <c r="H2848" t="s">
        <v>1208</v>
      </c>
      <c r="I2848">
        <v>5</v>
      </c>
    </row>
    <row r="2849" spans="1:9" ht="15.6" x14ac:dyDescent="0.3">
      <c r="A2849" s="9">
        <v>2848</v>
      </c>
      <c r="B2849" s="2" t="s">
        <v>2854</v>
      </c>
      <c r="C2849" s="11">
        <v>8</v>
      </c>
      <c r="D2849" s="12">
        <v>33.333333333333329</v>
      </c>
      <c r="E2849" s="12" t="s">
        <v>8219</v>
      </c>
      <c r="F2849" s="13">
        <v>6</v>
      </c>
      <c r="G2849" s="14">
        <v>1782.21</v>
      </c>
      <c r="H2849" t="s">
        <v>184</v>
      </c>
      <c r="I2849">
        <v>4</v>
      </c>
    </row>
    <row r="2850" spans="1:9" ht="15.6" x14ac:dyDescent="0.3">
      <c r="A2850" s="9">
        <v>2849</v>
      </c>
      <c r="B2850" s="2" t="s">
        <v>2855</v>
      </c>
      <c r="C2850" s="11">
        <v>24</v>
      </c>
      <c r="D2850" s="12">
        <v>33.333333333333329</v>
      </c>
      <c r="E2850" s="12" t="s">
        <v>8219</v>
      </c>
      <c r="F2850" s="13">
        <v>6</v>
      </c>
      <c r="G2850" s="14">
        <v>1840.2800000000002</v>
      </c>
      <c r="H2850" t="s">
        <v>3960</v>
      </c>
      <c r="I2850">
        <v>6</v>
      </c>
    </row>
    <row r="2851" spans="1:9" ht="15.6" x14ac:dyDescent="0.3">
      <c r="A2851" s="9">
        <v>2850</v>
      </c>
      <c r="B2851" s="2" t="s">
        <v>2856</v>
      </c>
      <c r="C2851" s="11">
        <v>22</v>
      </c>
      <c r="D2851" s="12">
        <v>50</v>
      </c>
      <c r="E2851" s="12" t="s">
        <v>8219</v>
      </c>
      <c r="F2851" s="13">
        <v>6</v>
      </c>
      <c r="G2851" s="14">
        <v>1816.25</v>
      </c>
      <c r="H2851" t="s">
        <v>2936</v>
      </c>
      <c r="I2851">
        <v>6</v>
      </c>
    </row>
    <row r="2852" spans="1:9" ht="15.6" x14ac:dyDescent="0.3">
      <c r="A2852" s="9">
        <v>2851</v>
      </c>
      <c r="B2852" s="2" t="s">
        <v>2857</v>
      </c>
      <c r="C2852" s="11">
        <v>22</v>
      </c>
      <c r="D2852" s="12">
        <v>50</v>
      </c>
      <c r="E2852" s="12" t="s">
        <v>8219</v>
      </c>
      <c r="F2852" s="13">
        <v>6</v>
      </c>
      <c r="G2852" s="14">
        <v>1856.2800000000002</v>
      </c>
      <c r="H2852" t="s">
        <v>1912</v>
      </c>
      <c r="I2852">
        <v>6</v>
      </c>
    </row>
    <row r="2853" spans="1:9" ht="15.6" x14ac:dyDescent="0.3">
      <c r="A2853" s="9">
        <v>2852</v>
      </c>
      <c r="B2853" s="2" t="s">
        <v>2858</v>
      </c>
      <c r="C2853" s="11">
        <v>16</v>
      </c>
      <c r="D2853" s="12">
        <v>33.333333333333329</v>
      </c>
      <c r="E2853" s="12" t="s">
        <v>8219</v>
      </c>
      <c r="F2853" s="13">
        <v>6</v>
      </c>
      <c r="G2853" s="14">
        <v>1831.2600000000002</v>
      </c>
      <c r="H2853" t="s">
        <v>888</v>
      </c>
      <c r="I2853">
        <v>5</v>
      </c>
    </row>
    <row r="2854" spans="1:9" ht="15.6" x14ac:dyDescent="0.3">
      <c r="A2854" s="9">
        <v>2853</v>
      </c>
      <c r="B2854" s="2" t="s">
        <v>2859</v>
      </c>
      <c r="C2854" s="11">
        <v>22</v>
      </c>
      <c r="D2854" s="12">
        <v>50</v>
      </c>
      <c r="E2854" s="12" t="s">
        <v>8219</v>
      </c>
      <c r="F2854" s="13">
        <v>6</v>
      </c>
      <c r="G2854" s="14">
        <v>1816.25</v>
      </c>
      <c r="H2854" t="s">
        <v>3704</v>
      </c>
      <c r="I2854">
        <v>6</v>
      </c>
    </row>
    <row r="2855" spans="1:9" ht="15.6" x14ac:dyDescent="0.3">
      <c r="A2855" s="9">
        <v>2854</v>
      </c>
      <c r="B2855" s="2" t="s">
        <v>2860</v>
      </c>
      <c r="C2855" s="11">
        <v>20</v>
      </c>
      <c r="D2855" s="12">
        <v>66.666666666666657</v>
      </c>
      <c r="E2855" s="12" t="s">
        <v>8220</v>
      </c>
      <c r="F2855" s="13">
        <v>6</v>
      </c>
      <c r="G2855" s="14">
        <v>1792.2199999999998</v>
      </c>
      <c r="H2855" t="s">
        <v>2680</v>
      </c>
      <c r="I2855">
        <v>6</v>
      </c>
    </row>
    <row r="2856" spans="1:9" ht="15.6" x14ac:dyDescent="0.3">
      <c r="A2856" s="9">
        <v>2855</v>
      </c>
      <c r="B2856" s="2" t="s">
        <v>2861</v>
      </c>
      <c r="C2856" s="11">
        <v>20</v>
      </c>
      <c r="D2856" s="12">
        <v>66.666666666666657</v>
      </c>
      <c r="E2856" s="12" t="s">
        <v>8220</v>
      </c>
      <c r="F2856" s="13">
        <v>6</v>
      </c>
      <c r="G2856" s="14">
        <v>1832.25</v>
      </c>
      <c r="H2856" t="s">
        <v>1656</v>
      </c>
      <c r="I2856">
        <v>6</v>
      </c>
    </row>
    <row r="2857" spans="1:9" ht="15.6" x14ac:dyDescent="0.3">
      <c r="A2857" s="9">
        <v>2856</v>
      </c>
      <c r="B2857" s="2" t="s">
        <v>2862</v>
      </c>
      <c r="C2857" s="11">
        <v>14</v>
      </c>
      <c r="D2857" s="12">
        <v>50</v>
      </c>
      <c r="E2857" s="12" t="s">
        <v>8219</v>
      </c>
      <c r="F2857" s="13">
        <v>6</v>
      </c>
      <c r="G2857" s="14">
        <v>1807.23</v>
      </c>
      <c r="H2857" t="s">
        <v>632</v>
      </c>
      <c r="I2857">
        <v>5</v>
      </c>
    </row>
    <row r="2858" spans="1:9" ht="15.6" x14ac:dyDescent="0.3">
      <c r="A2858" s="9">
        <v>2857</v>
      </c>
      <c r="B2858" s="2" t="s">
        <v>2863</v>
      </c>
      <c r="C2858" s="11">
        <v>22</v>
      </c>
      <c r="D2858" s="12">
        <v>50</v>
      </c>
      <c r="E2858" s="12" t="s">
        <v>8219</v>
      </c>
      <c r="F2858" s="13">
        <v>6</v>
      </c>
      <c r="G2858" s="14">
        <v>1856.2800000000002</v>
      </c>
      <c r="H2858" t="s">
        <v>3448</v>
      </c>
      <c r="I2858">
        <v>6</v>
      </c>
    </row>
    <row r="2859" spans="1:9" ht="15.6" x14ac:dyDescent="0.3">
      <c r="A2859" s="9">
        <v>2858</v>
      </c>
      <c r="B2859" s="2" t="s">
        <v>2864</v>
      </c>
      <c r="C2859" s="11">
        <v>20</v>
      </c>
      <c r="D2859" s="12">
        <v>66.666666666666657</v>
      </c>
      <c r="E2859" s="12" t="s">
        <v>8220</v>
      </c>
      <c r="F2859" s="13">
        <v>6</v>
      </c>
      <c r="G2859" s="14">
        <v>1832.25</v>
      </c>
      <c r="H2859" t="s">
        <v>2424</v>
      </c>
      <c r="I2859">
        <v>6</v>
      </c>
    </row>
    <row r="2860" spans="1:9" ht="15.6" x14ac:dyDescent="0.3">
      <c r="A2860" s="9">
        <v>2859</v>
      </c>
      <c r="B2860" s="2" t="s">
        <v>2865</v>
      </c>
      <c r="C2860" s="11">
        <v>20</v>
      </c>
      <c r="D2860" s="12">
        <v>66.666666666666657</v>
      </c>
      <c r="E2860" s="12" t="s">
        <v>8220</v>
      </c>
      <c r="F2860" s="13">
        <v>6</v>
      </c>
      <c r="G2860" s="14">
        <v>1872.2800000000002</v>
      </c>
      <c r="H2860" t="s">
        <v>1400</v>
      </c>
      <c r="I2860">
        <v>6</v>
      </c>
    </row>
    <row r="2861" spans="1:9" ht="15.6" x14ac:dyDescent="0.3">
      <c r="A2861" s="9">
        <v>2860</v>
      </c>
      <c r="B2861" s="2" t="s">
        <v>2866</v>
      </c>
      <c r="C2861" s="11">
        <v>14</v>
      </c>
      <c r="D2861" s="12">
        <v>50</v>
      </c>
      <c r="E2861" s="12" t="s">
        <v>8219</v>
      </c>
      <c r="F2861" s="13">
        <v>6</v>
      </c>
      <c r="G2861" s="14">
        <v>1847.2600000000002</v>
      </c>
      <c r="H2861" t="s">
        <v>376</v>
      </c>
      <c r="I2861">
        <v>5</v>
      </c>
    </row>
    <row r="2862" spans="1:9" ht="15.6" x14ac:dyDescent="0.3">
      <c r="A2862" s="9">
        <v>2861</v>
      </c>
      <c r="B2862" s="2" t="s">
        <v>2867</v>
      </c>
      <c r="C2862" s="11">
        <v>16</v>
      </c>
      <c r="D2862" s="12">
        <v>33.333333333333329</v>
      </c>
      <c r="E2862" s="12" t="s">
        <v>8219</v>
      </c>
      <c r="F2862" s="13">
        <v>6</v>
      </c>
      <c r="G2862" s="14">
        <v>1831.2600000000002</v>
      </c>
      <c r="H2862" t="s">
        <v>3192</v>
      </c>
      <c r="I2862">
        <v>5</v>
      </c>
    </row>
    <row r="2863" spans="1:9" ht="15.6" x14ac:dyDescent="0.3">
      <c r="A2863" s="9">
        <v>2862</v>
      </c>
      <c r="B2863" s="2" t="s">
        <v>2868</v>
      </c>
      <c r="C2863" s="11">
        <v>14</v>
      </c>
      <c r="D2863" s="12">
        <v>50</v>
      </c>
      <c r="E2863" s="12" t="s">
        <v>8219</v>
      </c>
      <c r="F2863" s="13">
        <v>6</v>
      </c>
      <c r="G2863" s="14">
        <v>1807.23</v>
      </c>
      <c r="H2863" t="s">
        <v>2168</v>
      </c>
      <c r="I2863">
        <v>5</v>
      </c>
    </row>
    <row r="2864" spans="1:9" ht="15.6" x14ac:dyDescent="0.3">
      <c r="A2864" s="9">
        <v>2863</v>
      </c>
      <c r="B2864" s="2" t="s">
        <v>2869</v>
      </c>
      <c r="C2864" s="11">
        <v>14</v>
      </c>
      <c r="D2864" s="12">
        <v>50</v>
      </c>
      <c r="E2864" s="12" t="s">
        <v>8219</v>
      </c>
      <c r="F2864" s="13">
        <v>6</v>
      </c>
      <c r="G2864" s="14">
        <v>1847.2600000000002</v>
      </c>
      <c r="H2864" t="s">
        <v>1144</v>
      </c>
      <c r="I2864">
        <v>5</v>
      </c>
    </row>
    <row r="2865" spans="1:9" ht="15.6" x14ac:dyDescent="0.3">
      <c r="A2865" s="9">
        <v>2864</v>
      </c>
      <c r="B2865" s="2" t="s">
        <v>2870</v>
      </c>
      <c r="C2865" s="11">
        <v>8</v>
      </c>
      <c r="D2865" s="12">
        <v>33.333333333333329</v>
      </c>
      <c r="E2865" s="12" t="s">
        <v>8219</v>
      </c>
      <c r="F2865" s="13">
        <v>6</v>
      </c>
      <c r="G2865" s="14">
        <v>1822.2400000000002</v>
      </c>
      <c r="H2865" t="s">
        <v>120</v>
      </c>
      <c r="I2865">
        <v>4</v>
      </c>
    </row>
    <row r="2866" spans="1:9" ht="15.6" x14ac:dyDescent="0.3">
      <c r="A2866" s="9">
        <v>2865</v>
      </c>
      <c r="B2866" s="2" t="s">
        <v>2871</v>
      </c>
      <c r="C2866" s="11">
        <v>18</v>
      </c>
      <c r="D2866" s="12">
        <v>16.666666666666664</v>
      </c>
      <c r="E2866" s="12" t="s">
        <v>8219</v>
      </c>
      <c r="F2866" s="13">
        <v>6</v>
      </c>
      <c r="G2866" s="14">
        <v>1815.2599999999998</v>
      </c>
      <c r="H2866" t="s">
        <v>3896</v>
      </c>
      <c r="I2866">
        <v>5</v>
      </c>
    </row>
    <row r="2867" spans="1:9" ht="15.6" x14ac:dyDescent="0.3">
      <c r="A2867" s="9">
        <v>2866</v>
      </c>
      <c r="B2867" s="2" t="s">
        <v>2872</v>
      </c>
      <c r="C2867" s="11">
        <v>16</v>
      </c>
      <c r="D2867" s="12">
        <v>33.333333333333329</v>
      </c>
      <c r="E2867" s="12" t="s">
        <v>8219</v>
      </c>
      <c r="F2867" s="13">
        <v>6</v>
      </c>
      <c r="G2867" s="14">
        <v>1791.23</v>
      </c>
      <c r="H2867" t="s">
        <v>2872</v>
      </c>
      <c r="I2867">
        <v>5</v>
      </c>
    </row>
    <row r="2868" spans="1:9" ht="15.6" x14ac:dyDescent="0.3">
      <c r="A2868" s="9">
        <v>2867</v>
      </c>
      <c r="B2868" s="2" t="s">
        <v>2873</v>
      </c>
      <c r="C2868" s="11">
        <v>16</v>
      </c>
      <c r="D2868" s="12">
        <v>33.333333333333329</v>
      </c>
      <c r="E2868" s="12" t="s">
        <v>8219</v>
      </c>
      <c r="F2868" s="13">
        <v>6</v>
      </c>
      <c r="G2868" s="14">
        <v>1831.2600000000002</v>
      </c>
      <c r="H2868" t="s">
        <v>1848</v>
      </c>
      <c r="I2868">
        <v>5</v>
      </c>
    </row>
    <row r="2869" spans="1:9" ht="15.6" x14ac:dyDescent="0.3">
      <c r="A2869" s="9">
        <v>2868</v>
      </c>
      <c r="B2869" s="2" t="s">
        <v>2874</v>
      </c>
      <c r="C2869" s="11">
        <v>10</v>
      </c>
      <c r="D2869" s="12">
        <v>16.666666666666664</v>
      </c>
      <c r="E2869" s="12" t="s">
        <v>8219</v>
      </c>
      <c r="F2869" s="13">
        <v>6</v>
      </c>
      <c r="G2869" s="14">
        <v>1806.2399999999998</v>
      </c>
      <c r="H2869" t="s">
        <v>824</v>
      </c>
      <c r="I2869">
        <v>4</v>
      </c>
    </row>
    <row r="2870" spans="1:9" ht="15.6" x14ac:dyDescent="0.3">
      <c r="A2870" s="9">
        <v>2869</v>
      </c>
      <c r="B2870" s="2" t="s">
        <v>2875</v>
      </c>
      <c r="C2870" s="11">
        <v>16</v>
      </c>
      <c r="D2870" s="12">
        <v>33.333333333333329</v>
      </c>
      <c r="E2870" s="12" t="s">
        <v>8219</v>
      </c>
      <c r="F2870" s="13">
        <v>6</v>
      </c>
      <c r="G2870" s="14">
        <v>1791.23</v>
      </c>
      <c r="H2870" t="s">
        <v>3640</v>
      </c>
      <c r="I2870">
        <v>5</v>
      </c>
    </row>
    <row r="2871" spans="1:9" ht="15.6" x14ac:dyDescent="0.3">
      <c r="A2871" s="9">
        <v>2870</v>
      </c>
      <c r="B2871" s="2" t="s">
        <v>2876</v>
      </c>
      <c r="C2871" s="11">
        <v>14</v>
      </c>
      <c r="D2871" s="12">
        <v>50</v>
      </c>
      <c r="E2871" s="12" t="s">
        <v>8219</v>
      </c>
      <c r="F2871" s="13">
        <v>6</v>
      </c>
      <c r="G2871" s="14">
        <v>1767.1999999999998</v>
      </c>
      <c r="H2871" t="s">
        <v>2616</v>
      </c>
      <c r="I2871">
        <v>5</v>
      </c>
    </row>
    <row r="2872" spans="1:9" ht="15.6" x14ac:dyDescent="0.3">
      <c r="A2872" s="9">
        <v>2871</v>
      </c>
      <c r="B2872" s="2" t="s">
        <v>2877</v>
      </c>
      <c r="C2872" s="11">
        <v>14</v>
      </c>
      <c r="D2872" s="12">
        <v>50</v>
      </c>
      <c r="E2872" s="12" t="s">
        <v>8219</v>
      </c>
      <c r="F2872" s="13">
        <v>6</v>
      </c>
      <c r="G2872" s="14">
        <v>1807.23</v>
      </c>
      <c r="H2872" t="s">
        <v>1592</v>
      </c>
      <c r="I2872">
        <v>5</v>
      </c>
    </row>
    <row r="2873" spans="1:9" ht="15.6" x14ac:dyDescent="0.3">
      <c r="A2873" s="9">
        <v>2872</v>
      </c>
      <c r="B2873" s="2" t="s">
        <v>2878</v>
      </c>
      <c r="C2873" s="11">
        <v>8</v>
      </c>
      <c r="D2873" s="12">
        <v>33.333333333333329</v>
      </c>
      <c r="E2873" s="12" t="s">
        <v>8219</v>
      </c>
      <c r="F2873" s="13">
        <v>6</v>
      </c>
      <c r="G2873" s="14">
        <v>1782.21</v>
      </c>
      <c r="H2873" t="s">
        <v>568</v>
      </c>
      <c r="I2873">
        <v>4</v>
      </c>
    </row>
    <row r="2874" spans="1:9" ht="15.6" x14ac:dyDescent="0.3">
      <c r="A2874" s="9">
        <v>2873</v>
      </c>
      <c r="B2874" s="2" t="s">
        <v>2879</v>
      </c>
      <c r="C2874" s="11">
        <v>16</v>
      </c>
      <c r="D2874" s="12">
        <v>33.333333333333329</v>
      </c>
      <c r="E2874" s="12" t="s">
        <v>8219</v>
      </c>
      <c r="F2874" s="13">
        <v>6</v>
      </c>
      <c r="G2874" s="14">
        <v>1831.2600000000002</v>
      </c>
      <c r="H2874" t="s">
        <v>3384</v>
      </c>
      <c r="I2874">
        <v>5</v>
      </c>
    </row>
    <row r="2875" spans="1:9" ht="15.6" x14ac:dyDescent="0.3">
      <c r="A2875" s="9">
        <v>2874</v>
      </c>
      <c r="B2875" s="2" t="s">
        <v>2880</v>
      </c>
      <c r="C2875" s="11">
        <v>14</v>
      </c>
      <c r="D2875" s="12">
        <v>50</v>
      </c>
      <c r="E2875" s="12" t="s">
        <v>8219</v>
      </c>
      <c r="F2875" s="13">
        <v>6</v>
      </c>
      <c r="G2875" s="14">
        <v>1807.23</v>
      </c>
      <c r="H2875" t="s">
        <v>2360</v>
      </c>
      <c r="I2875">
        <v>5</v>
      </c>
    </row>
    <row r="2876" spans="1:9" ht="15.6" x14ac:dyDescent="0.3">
      <c r="A2876" s="9">
        <v>2875</v>
      </c>
      <c r="B2876" s="2" t="s">
        <v>2881</v>
      </c>
      <c r="C2876" s="11">
        <v>14</v>
      </c>
      <c r="D2876" s="12">
        <v>50</v>
      </c>
      <c r="E2876" s="12" t="s">
        <v>8219</v>
      </c>
      <c r="F2876" s="13">
        <v>6</v>
      </c>
      <c r="G2876" s="14">
        <v>1847.2600000000002</v>
      </c>
      <c r="H2876" t="s">
        <v>1336</v>
      </c>
      <c r="I2876">
        <v>5</v>
      </c>
    </row>
    <row r="2877" spans="1:9" ht="15.6" x14ac:dyDescent="0.3">
      <c r="A2877" s="9">
        <v>2876</v>
      </c>
      <c r="B2877" s="2" t="s">
        <v>2882</v>
      </c>
      <c r="C2877" s="11">
        <v>8</v>
      </c>
      <c r="D2877" s="12">
        <v>33.333333333333329</v>
      </c>
      <c r="E2877" s="12" t="s">
        <v>8219</v>
      </c>
      <c r="F2877" s="13">
        <v>6</v>
      </c>
      <c r="G2877" s="14">
        <v>1822.2400000000002</v>
      </c>
      <c r="H2877" t="s">
        <v>312</v>
      </c>
      <c r="I2877">
        <v>4</v>
      </c>
    </row>
    <row r="2878" spans="1:9" ht="15.6" x14ac:dyDescent="0.3">
      <c r="A2878" s="9">
        <v>2877</v>
      </c>
      <c r="B2878" s="2" t="s">
        <v>2883</v>
      </c>
      <c r="C2878" s="11">
        <v>10</v>
      </c>
      <c r="D2878" s="12">
        <v>16.666666666666664</v>
      </c>
      <c r="E2878" s="12" t="s">
        <v>8219</v>
      </c>
      <c r="F2878" s="13">
        <v>6</v>
      </c>
      <c r="G2878" s="14">
        <v>1806.2399999999998</v>
      </c>
      <c r="H2878" t="s">
        <v>3128</v>
      </c>
      <c r="I2878">
        <v>4</v>
      </c>
    </row>
    <row r="2879" spans="1:9" ht="15.6" x14ac:dyDescent="0.3">
      <c r="A2879" s="9">
        <v>2878</v>
      </c>
      <c r="B2879" s="2" t="s">
        <v>2884</v>
      </c>
      <c r="C2879" s="11">
        <v>8</v>
      </c>
      <c r="D2879" s="12">
        <v>33.333333333333329</v>
      </c>
      <c r="E2879" s="12" t="s">
        <v>8219</v>
      </c>
      <c r="F2879" s="13">
        <v>6</v>
      </c>
      <c r="G2879" s="14">
        <v>1782.21</v>
      </c>
      <c r="H2879" t="s">
        <v>2104</v>
      </c>
      <c r="I2879">
        <v>4</v>
      </c>
    </row>
    <row r="2880" spans="1:9" ht="15.6" x14ac:dyDescent="0.3">
      <c r="A2880" s="9">
        <v>2879</v>
      </c>
      <c r="B2880" s="2" t="s">
        <v>2885</v>
      </c>
      <c r="C2880" s="11">
        <v>8</v>
      </c>
      <c r="D2880" s="12">
        <v>33.333333333333329</v>
      </c>
      <c r="E2880" s="12" t="s">
        <v>8219</v>
      </c>
      <c r="F2880" s="13">
        <v>6</v>
      </c>
      <c r="G2880" s="14">
        <v>1822.2400000000002</v>
      </c>
      <c r="H2880" t="s">
        <v>1080</v>
      </c>
      <c r="I2880">
        <v>4</v>
      </c>
    </row>
    <row r="2881" spans="1:9" ht="15.6" x14ac:dyDescent="0.3">
      <c r="A2881" s="9">
        <v>2880</v>
      </c>
      <c r="B2881" s="2" t="s">
        <v>2886</v>
      </c>
      <c r="C2881" s="11">
        <v>2</v>
      </c>
      <c r="D2881" s="12">
        <v>16.666666666666664</v>
      </c>
      <c r="E2881" s="12" t="s">
        <v>8219</v>
      </c>
      <c r="F2881" s="13">
        <v>6</v>
      </c>
      <c r="G2881" s="14">
        <v>1797.2199999999998</v>
      </c>
      <c r="H2881" t="s">
        <v>56</v>
      </c>
      <c r="I2881">
        <v>3</v>
      </c>
    </row>
    <row r="2882" spans="1:9" ht="15.6" x14ac:dyDescent="0.3">
      <c r="A2882" s="9">
        <v>2881</v>
      </c>
      <c r="B2882" s="2" t="s">
        <v>2887</v>
      </c>
      <c r="C2882" s="11">
        <v>24</v>
      </c>
      <c r="D2882" s="12">
        <v>33.333333333333329</v>
      </c>
      <c r="E2882" s="12" t="s">
        <v>8219</v>
      </c>
      <c r="F2882" s="13">
        <v>6</v>
      </c>
      <c r="G2882" s="14">
        <v>1800.25</v>
      </c>
      <c r="H2882" t="s">
        <v>4072</v>
      </c>
      <c r="I2882">
        <v>6</v>
      </c>
    </row>
    <row r="2883" spans="1:9" ht="15.6" x14ac:dyDescent="0.3">
      <c r="A2883" s="9">
        <v>2882</v>
      </c>
      <c r="B2883" s="2" t="s">
        <v>2888</v>
      </c>
      <c r="C2883" s="11">
        <v>22</v>
      </c>
      <c r="D2883" s="12">
        <v>50</v>
      </c>
      <c r="E2883" s="12" t="s">
        <v>8219</v>
      </c>
      <c r="F2883" s="13">
        <v>6</v>
      </c>
      <c r="G2883" s="14">
        <v>1776.2199999999998</v>
      </c>
      <c r="H2883" t="s">
        <v>3048</v>
      </c>
      <c r="I2883">
        <v>6</v>
      </c>
    </row>
    <row r="2884" spans="1:9" ht="15.6" x14ac:dyDescent="0.3">
      <c r="A2884" s="9">
        <v>2883</v>
      </c>
      <c r="B2884" s="2" t="s">
        <v>2889</v>
      </c>
      <c r="C2884" s="11">
        <v>22</v>
      </c>
      <c r="D2884" s="12">
        <v>50</v>
      </c>
      <c r="E2884" s="12" t="s">
        <v>8219</v>
      </c>
      <c r="F2884" s="13">
        <v>6</v>
      </c>
      <c r="G2884" s="14">
        <v>1816.25</v>
      </c>
      <c r="H2884" t="s">
        <v>2024</v>
      </c>
      <c r="I2884">
        <v>6</v>
      </c>
    </row>
    <row r="2885" spans="1:9" ht="15.6" x14ac:dyDescent="0.3">
      <c r="A2885" s="9">
        <v>2884</v>
      </c>
      <c r="B2885" s="2" t="s">
        <v>2890</v>
      </c>
      <c r="C2885" s="11">
        <v>16</v>
      </c>
      <c r="D2885" s="12">
        <v>33.333333333333329</v>
      </c>
      <c r="E2885" s="12" t="s">
        <v>8219</v>
      </c>
      <c r="F2885" s="13">
        <v>6</v>
      </c>
      <c r="G2885" s="14">
        <v>1791.23</v>
      </c>
      <c r="H2885" t="s">
        <v>1000</v>
      </c>
      <c r="I2885">
        <v>5</v>
      </c>
    </row>
    <row r="2886" spans="1:9" ht="15.6" x14ac:dyDescent="0.3">
      <c r="A2886" s="9">
        <v>2885</v>
      </c>
      <c r="B2886" s="2" t="s">
        <v>2891</v>
      </c>
      <c r="C2886" s="11">
        <v>22</v>
      </c>
      <c r="D2886" s="12">
        <v>50</v>
      </c>
      <c r="E2886" s="12" t="s">
        <v>8219</v>
      </c>
      <c r="F2886" s="13">
        <v>6</v>
      </c>
      <c r="G2886" s="14">
        <v>1776.2199999999998</v>
      </c>
      <c r="H2886" t="s">
        <v>3816</v>
      </c>
      <c r="I2886">
        <v>6</v>
      </c>
    </row>
    <row r="2887" spans="1:9" ht="15.6" x14ac:dyDescent="0.3">
      <c r="A2887" s="9">
        <v>2886</v>
      </c>
      <c r="B2887" s="2" t="s">
        <v>2892</v>
      </c>
      <c r="C2887" s="11">
        <v>20</v>
      </c>
      <c r="D2887" s="12">
        <v>66.666666666666657</v>
      </c>
      <c r="E2887" s="12" t="s">
        <v>8220</v>
      </c>
      <c r="F2887" s="13">
        <v>6</v>
      </c>
      <c r="G2887" s="14">
        <v>1752.19</v>
      </c>
      <c r="H2887" t="s">
        <v>2792</v>
      </c>
      <c r="I2887">
        <v>6</v>
      </c>
    </row>
    <row r="2888" spans="1:9" ht="15.6" x14ac:dyDescent="0.3">
      <c r="A2888" s="9">
        <v>2887</v>
      </c>
      <c r="B2888" s="2" t="s">
        <v>2893</v>
      </c>
      <c r="C2888" s="11">
        <v>20</v>
      </c>
      <c r="D2888" s="12">
        <v>66.666666666666657</v>
      </c>
      <c r="E2888" s="12" t="s">
        <v>8220</v>
      </c>
      <c r="F2888" s="13">
        <v>6</v>
      </c>
      <c r="G2888" s="14">
        <v>1792.2199999999998</v>
      </c>
      <c r="H2888" t="s">
        <v>1768</v>
      </c>
      <c r="I2888">
        <v>6</v>
      </c>
    </row>
    <row r="2889" spans="1:9" ht="15.6" x14ac:dyDescent="0.3">
      <c r="A2889" s="9">
        <v>2888</v>
      </c>
      <c r="B2889" s="2" t="s">
        <v>2894</v>
      </c>
      <c r="C2889" s="11">
        <v>14</v>
      </c>
      <c r="D2889" s="12">
        <v>50</v>
      </c>
      <c r="E2889" s="12" t="s">
        <v>8219</v>
      </c>
      <c r="F2889" s="13">
        <v>6</v>
      </c>
      <c r="G2889" s="14">
        <v>1767.1999999999998</v>
      </c>
      <c r="H2889" t="s">
        <v>744</v>
      </c>
      <c r="I2889">
        <v>5</v>
      </c>
    </row>
    <row r="2890" spans="1:9" ht="15.6" x14ac:dyDescent="0.3">
      <c r="A2890" s="9">
        <v>2889</v>
      </c>
      <c r="B2890" s="2" t="s">
        <v>2895</v>
      </c>
      <c r="C2890" s="11">
        <v>22</v>
      </c>
      <c r="D2890" s="12">
        <v>50</v>
      </c>
      <c r="E2890" s="12" t="s">
        <v>8219</v>
      </c>
      <c r="F2890" s="13">
        <v>6</v>
      </c>
      <c r="G2890" s="14">
        <v>1816.25</v>
      </c>
      <c r="H2890" t="s">
        <v>3560</v>
      </c>
      <c r="I2890">
        <v>6</v>
      </c>
    </row>
    <row r="2891" spans="1:9" ht="15.6" x14ac:dyDescent="0.3">
      <c r="A2891" s="9">
        <v>2890</v>
      </c>
      <c r="B2891" s="2" t="s">
        <v>2896</v>
      </c>
      <c r="C2891" s="11">
        <v>20</v>
      </c>
      <c r="D2891" s="12">
        <v>66.666666666666657</v>
      </c>
      <c r="E2891" s="12" t="s">
        <v>8220</v>
      </c>
      <c r="F2891" s="13">
        <v>6</v>
      </c>
      <c r="G2891" s="14">
        <v>1792.2199999999998</v>
      </c>
      <c r="H2891" t="s">
        <v>2536</v>
      </c>
      <c r="I2891">
        <v>6</v>
      </c>
    </row>
    <row r="2892" spans="1:9" ht="15.6" x14ac:dyDescent="0.3">
      <c r="A2892" s="9">
        <v>2891</v>
      </c>
      <c r="B2892" s="2" t="s">
        <v>2897</v>
      </c>
      <c r="C2892" s="11">
        <v>20</v>
      </c>
      <c r="D2892" s="12">
        <v>66.666666666666657</v>
      </c>
      <c r="E2892" s="12" t="s">
        <v>8220</v>
      </c>
      <c r="F2892" s="13">
        <v>6</v>
      </c>
      <c r="G2892" s="14">
        <v>1832.25</v>
      </c>
      <c r="H2892" t="s">
        <v>1512</v>
      </c>
      <c r="I2892">
        <v>6</v>
      </c>
    </row>
    <row r="2893" spans="1:9" ht="15.6" x14ac:dyDescent="0.3">
      <c r="A2893" s="9">
        <v>2892</v>
      </c>
      <c r="B2893" s="2" t="s">
        <v>2898</v>
      </c>
      <c r="C2893" s="11">
        <v>14</v>
      </c>
      <c r="D2893" s="12">
        <v>50</v>
      </c>
      <c r="E2893" s="12" t="s">
        <v>8219</v>
      </c>
      <c r="F2893" s="13">
        <v>6</v>
      </c>
      <c r="G2893" s="14">
        <v>1807.23</v>
      </c>
      <c r="H2893" t="s">
        <v>488</v>
      </c>
      <c r="I2893">
        <v>5</v>
      </c>
    </row>
    <row r="2894" spans="1:9" ht="15.6" x14ac:dyDescent="0.3">
      <c r="A2894" s="9">
        <v>2893</v>
      </c>
      <c r="B2894" s="2" t="s">
        <v>2899</v>
      </c>
      <c r="C2894" s="11">
        <v>16</v>
      </c>
      <c r="D2894" s="12">
        <v>33.333333333333329</v>
      </c>
      <c r="E2894" s="12" t="s">
        <v>8219</v>
      </c>
      <c r="F2894" s="13">
        <v>6</v>
      </c>
      <c r="G2894" s="14">
        <v>1791.23</v>
      </c>
      <c r="H2894" t="s">
        <v>3304</v>
      </c>
      <c r="I2894">
        <v>5</v>
      </c>
    </row>
    <row r="2895" spans="1:9" ht="15.6" x14ac:dyDescent="0.3">
      <c r="A2895" s="9">
        <v>2894</v>
      </c>
      <c r="B2895" s="2" t="s">
        <v>2900</v>
      </c>
      <c r="C2895" s="11">
        <v>14</v>
      </c>
      <c r="D2895" s="12">
        <v>50</v>
      </c>
      <c r="E2895" s="12" t="s">
        <v>8219</v>
      </c>
      <c r="F2895" s="13">
        <v>6</v>
      </c>
      <c r="G2895" s="14">
        <v>1767.1999999999998</v>
      </c>
      <c r="H2895" t="s">
        <v>2280</v>
      </c>
      <c r="I2895">
        <v>5</v>
      </c>
    </row>
    <row r="2896" spans="1:9" ht="15.6" x14ac:dyDescent="0.3">
      <c r="A2896" s="9">
        <v>2895</v>
      </c>
      <c r="B2896" s="2" t="s">
        <v>2901</v>
      </c>
      <c r="C2896" s="11">
        <v>14</v>
      </c>
      <c r="D2896" s="12">
        <v>50</v>
      </c>
      <c r="E2896" s="12" t="s">
        <v>8219</v>
      </c>
      <c r="F2896" s="13">
        <v>6</v>
      </c>
      <c r="G2896" s="14">
        <v>1807.23</v>
      </c>
      <c r="H2896" t="s">
        <v>1256</v>
      </c>
      <c r="I2896">
        <v>5</v>
      </c>
    </row>
    <row r="2897" spans="1:9" ht="15.6" x14ac:dyDescent="0.3">
      <c r="A2897" s="9">
        <v>2896</v>
      </c>
      <c r="B2897" s="2" t="s">
        <v>2902</v>
      </c>
      <c r="C2897" s="11">
        <v>8</v>
      </c>
      <c r="D2897" s="12">
        <v>33.333333333333329</v>
      </c>
      <c r="E2897" s="12" t="s">
        <v>8219</v>
      </c>
      <c r="F2897" s="13">
        <v>6</v>
      </c>
      <c r="G2897" s="14">
        <v>1782.21</v>
      </c>
      <c r="H2897" t="s">
        <v>232</v>
      </c>
      <c r="I2897">
        <v>4</v>
      </c>
    </row>
    <row r="2898" spans="1:9" ht="15.6" x14ac:dyDescent="0.3">
      <c r="A2898" s="9">
        <v>2897</v>
      </c>
      <c r="B2898" s="2" t="s">
        <v>2903</v>
      </c>
      <c r="C2898" s="11">
        <v>22</v>
      </c>
      <c r="D2898" s="12">
        <v>50</v>
      </c>
      <c r="E2898" s="12" t="s">
        <v>8219</v>
      </c>
      <c r="F2898" s="13">
        <v>6</v>
      </c>
      <c r="G2898" s="14">
        <v>1776.2199999999998</v>
      </c>
      <c r="H2898" t="s">
        <v>4008</v>
      </c>
      <c r="I2898">
        <v>6</v>
      </c>
    </row>
    <row r="2899" spans="1:9" ht="15.6" x14ac:dyDescent="0.3">
      <c r="A2899" s="9">
        <v>2898</v>
      </c>
      <c r="B2899" s="2" t="s">
        <v>2904</v>
      </c>
      <c r="C2899" s="11">
        <v>20</v>
      </c>
      <c r="D2899" s="12">
        <v>66.666666666666657</v>
      </c>
      <c r="E2899" s="12" t="s">
        <v>8220</v>
      </c>
      <c r="F2899" s="13">
        <v>6</v>
      </c>
      <c r="G2899" s="14">
        <v>1752.19</v>
      </c>
      <c r="H2899" t="s">
        <v>2984</v>
      </c>
      <c r="I2899">
        <v>6</v>
      </c>
    </row>
    <row r="2900" spans="1:9" ht="15.6" x14ac:dyDescent="0.3">
      <c r="A2900" s="9">
        <v>2899</v>
      </c>
      <c r="B2900" s="2" t="s">
        <v>2905</v>
      </c>
      <c r="C2900" s="11">
        <v>20</v>
      </c>
      <c r="D2900" s="12">
        <v>66.666666666666657</v>
      </c>
      <c r="E2900" s="12" t="s">
        <v>8220</v>
      </c>
      <c r="F2900" s="13">
        <v>6</v>
      </c>
      <c r="G2900" s="14">
        <v>1792.2199999999998</v>
      </c>
      <c r="H2900" t="s">
        <v>1960</v>
      </c>
      <c r="I2900">
        <v>6</v>
      </c>
    </row>
    <row r="2901" spans="1:9" ht="15.6" x14ac:dyDescent="0.3">
      <c r="A2901" s="9">
        <v>2900</v>
      </c>
      <c r="B2901" s="2" t="s">
        <v>2906</v>
      </c>
      <c r="C2901" s="11">
        <v>14</v>
      </c>
      <c r="D2901" s="12">
        <v>50</v>
      </c>
      <c r="E2901" s="12" t="s">
        <v>8219</v>
      </c>
      <c r="F2901" s="13">
        <v>6</v>
      </c>
      <c r="G2901" s="14">
        <v>1767.1999999999998</v>
      </c>
      <c r="H2901" t="s">
        <v>936</v>
      </c>
      <c r="I2901">
        <v>5</v>
      </c>
    </row>
    <row r="2902" spans="1:9" ht="15.6" x14ac:dyDescent="0.3">
      <c r="A2902" s="9">
        <v>2901</v>
      </c>
      <c r="B2902" s="2" t="s">
        <v>2907</v>
      </c>
      <c r="C2902" s="11">
        <v>20</v>
      </c>
      <c r="D2902" s="12">
        <v>66.666666666666657</v>
      </c>
      <c r="E2902" s="12" t="s">
        <v>8220</v>
      </c>
      <c r="F2902" s="13">
        <v>6</v>
      </c>
      <c r="G2902" s="14">
        <v>1752.19</v>
      </c>
      <c r="H2902" t="s">
        <v>3752</v>
      </c>
      <c r="I2902">
        <v>6</v>
      </c>
    </row>
    <row r="2903" spans="1:9" ht="15.6" x14ac:dyDescent="0.3">
      <c r="A2903" s="9">
        <v>2902</v>
      </c>
      <c r="B2903" s="2" t="s">
        <v>2908</v>
      </c>
      <c r="C2903" s="11">
        <v>18</v>
      </c>
      <c r="D2903" s="12">
        <v>83.333333333333343</v>
      </c>
      <c r="E2903" s="12" t="s">
        <v>8220</v>
      </c>
      <c r="F2903" s="13">
        <v>6</v>
      </c>
      <c r="G2903" s="14">
        <v>1728.1599999999999</v>
      </c>
      <c r="H2903" t="s">
        <v>2728</v>
      </c>
      <c r="I2903">
        <v>5</v>
      </c>
    </row>
    <row r="2904" spans="1:9" ht="15.6" x14ac:dyDescent="0.3">
      <c r="A2904" s="9">
        <v>2903</v>
      </c>
      <c r="B2904" s="2" t="s">
        <v>2909</v>
      </c>
      <c r="C2904" s="11">
        <v>18</v>
      </c>
      <c r="D2904" s="12">
        <v>83.333333333333343</v>
      </c>
      <c r="E2904" s="12" t="s">
        <v>8220</v>
      </c>
      <c r="F2904" s="13">
        <v>6</v>
      </c>
      <c r="G2904" s="14">
        <v>1768.19</v>
      </c>
      <c r="H2904" t="s">
        <v>1704</v>
      </c>
      <c r="I2904">
        <v>5</v>
      </c>
    </row>
    <row r="2905" spans="1:9" ht="15.6" x14ac:dyDescent="0.3">
      <c r="A2905" s="9">
        <v>2904</v>
      </c>
      <c r="B2905" s="2" t="s">
        <v>2910</v>
      </c>
      <c r="C2905" s="11">
        <v>12</v>
      </c>
      <c r="D2905" s="12">
        <v>66.666666666666657</v>
      </c>
      <c r="E2905" s="12" t="s">
        <v>8220</v>
      </c>
      <c r="F2905" s="13">
        <v>6</v>
      </c>
      <c r="G2905" s="14">
        <v>1743.17</v>
      </c>
      <c r="H2905" t="s">
        <v>680</v>
      </c>
      <c r="I2905">
        <v>4</v>
      </c>
    </row>
    <row r="2906" spans="1:9" ht="15.6" x14ac:dyDescent="0.3">
      <c r="A2906" s="9">
        <v>2905</v>
      </c>
      <c r="B2906" s="2" t="s">
        <v>2911</v>
      </c>
      <c r="C2906" s="11">
        <v>20</v>
      </c>
      <c r="D2906" s="12">
        <v>66.666666666666657</v>
      </c>
      <c r="E2906" s="12" t="s">
        <v>8220</v>
      </c>
      <c r="F2906" s="13">
        <v>6</v>
      </c>
      <c r="G2906" s="14">
        <v>1792.2199999999998</v>
      </c>
      <c r="H2906" t="s">
        <v>3496</v>
      </c>
      <c r="I2906">
        <v>6</v>
      </c>
    </row>
    <row r="2907" spans="1:9" ht="15.6" x14ac:dyDescent="0.3">
      <c r="A2907" s="9">
        <v>2906</v>
      </c>
      <c r="B2907" s="2" t="s">
        <v>2912</v>
      </c>
      <c r="C2907" s="11">
        <v>18</v>
      </c>
      <c r="D2907" s="12">
        <v>83.333333333333343</v>
      </c>
      <c r="E2907" s="12" t="s">
        <v>8220</v>
      </c>
      <c r="F2907" s="13">
        <v>6</v>
      </c>
      <c r="G2907" s="14">
        <v>1768.19</v>
      </c>
      <c r="H2907" t="s">
        <v>2472</v>
      </c>
      <c r="I2907">
        <v>5</v>
      </c>
    </row>
    <row r="2908" spans="1:9" ht="15.6" x14ac:dyDescent="0.3">
      <c r="A2908" s="9">
        <v>2907</v>
      </c>
      <c r="B2908" s="2" t="s">
        <v>2913</v>
      </c>
      <c r="C2908" s="11">
        <v>18</v>
      </c>
      <c r="D2908" s="12">
        <v>83.333333333333343</v>
      </c>
      <c r="E2908" s="12" t="s">
        <v>8220</v>
      </c>
      <c r="F2908" s="13">
        <v>6</v>
      </c>
      <c r="G2908" s="14">
        <v>1808.2200000000003</v>
      </c>
      <c r="H2908" t="s">
        <v>1448</v>
      </c>
      <c r="I2908">
        <v>5</v>
      </c>
    </row>
    <row r="2909" spans="1:9" ht="15.6" x14ac:dyDescent="0.3">
      <c r="A2909" s="9">
        <v>2908</v>
      </c>
      <c r="B2909" s="2" t="s">
        <v>2914</v>
      </c>
      <c r="C2909" s="11">
        <v>12</v>
      </c>
      <c r="D2909" s="12">
        <v>66.666666666666657</v>
      </c>
      <c r="E2909" s="12" t="s">
        <v>8220</v>
      </c>
      <c r="F2909" s="13">
        <v>6</v>
      </c>
      <c r="G2909" s="14">
        <v>1783.1999999999998</v>
      </c>
      <c r="H2909" t="s">
        <v>424</v>
      </c>
      <c r="I2909">
        <v>4</v>
      </c>
    </row>
    <row r="2910" spans="1:9" ht="15.6" x14ac:dyDescent="0.3">
      <c r="A2910" s="9">
        <v>2909</v>
      </c>
      <c r="B2910" s="2" t="s">
        <v>2915</v>
      </c>
      <c r="C2910" s="11">
        <v>14</v>
      </c>
      <c r="D2910" s="12">
        <v>50</v>
      </c>
      <c r="E2910" s="12" t="s">
        <v>8219</v>
      </c>
      <c r="F2910" s="13">
        <v>6</v>
      </c>
      <c r="G2910" s="14">
        <v>1767.1999999999998</v>
      </c>
      <c r="H2910" t="s">
        <v>3240</v>
      </c>
      <c r="I2910">
        <v>5</v>
      </c>
    </row>
    <row r="2911" spans="1:9" ht="15.6" x14ac:dyDescent="0.3">
      <c r="A2911" s="9">
        <v>2910</v>
      </c>
      <c r="B2911" s="2" t="s">
        <v>2916</v>
      </c>
      <c r="C2911" s="11">
        <v>12</v>
      </c>
      <c r="D2911" s="12">
        <v>66.666666666666657</v>
      </c>
      <c r="E2911" s="12" t="s">
        <v>8220</v>
      </c>
      <c r="F2911" s="13">
        <v>6</v>
      </c>
      <c r="G2911" s="14">
        <v>1743.17</v>
      </c>
      <c r="H2911" t="s">
        <v>2216</v>
      </c>
      <c r="I2911">
        <v>4</v>
      </c>
    </row>
    <row r="2912" spans="1:9" ht="15.6" x14ac:dyDescent="0.3">
      <c r="A2912" s="9">
        <v>2911</v>
      </c>
      <c r="B2912" s="2" t="s">
        <v>2917</v>
      </c>
      <c r="C2912" s="11">
        <v>12</v>
      </c>
      <c r="D2912" s="12">
        <v>66.666666666666657</v>
      </c>
      <c r="E2912" s="12" t="s">
        <v>8220</v>
      </c>
      <c r="F2912" s="13">
        <v>6</v>
      </c>
      <c r="G2912" s="14">
        <v>1783.1999999999998</v>
      </c>
      <c r="H2912" t="s">
        <v>1192</v>
      </c>
      <c r="I2912">
        <v>4</v>
      </c>
    </row>
    <row r="2913" spans="1:9" ht="15.6" x14ac:dyDescent="0.3">
      <c r="A2913" s="9">
        <v>2912</v>
      </c>
      <c r="B2913" s="2" t="s">
        <v>2918</v>
      </c>
      <c r="C2913" s="11">
        <v>6</v>
      </c>
      <c r="D2913" s="12">
        <v>50</v>
      </c>
      <c r="E2913" s="12" t="s">
        <v>8219</v>
      </c>
      <c r="F2913" s="13">
        <v>6</v>
      </c>
      <c r="G2913" s="14">
        <v>1758.1799999999998</v>
      </c>
      <c r="H2913" t="s">
        <v>168</v>
      </c>
      <c r="I2913">
        <v>3</v>
      </c>
    </row>
    <row r="2914" spans="1:9" ht="15.6" x14ac:dyDescent="0.3">
      <c r="A2914" s="9">
        <v>2913</v>
      </c>
      <c r="B2914" s="2" t="s">
        <v>2919</v>
      </c>
      <c r="C2914" s="11">
        <v>22</v>
      </c>
      <c r="D2914" s="12">
        <v>50</v>
      </c>
      <c r="E2914" s="12" t="s">
        <v>8219</v>
      </c>
      <c r="F2914" s="13">
        <v>6</v>
      </c>
      <c r="G2914" s="14">
        <v>1816.25</v>
      </c>
      <c r="H2914" t="s">
        <v>3944</v>
      </c>
      <c r="I2914">
        <v>6</v>
      </c>
    </row>
    <row r="2915" spans="1:9" ht="15.6" x14ac:dyDescent="0.3">
      <c r="A2915" s="9">
        <v>2914</v>
      </c>
      <c r="B2915" s="2" t="s">
        <v>2920</v>
      </c>
      <c r="C2915" s="11">
        <v>20</v>
      </c>
      <c r="D2915" s="12">
        <v>66.666666666666657</v>
      </c>
      <c r="E2915" s="12" t="s">
        <v>8220</v>
      </c>
      <c r="F2915" s="13">
        <v>6</v>
      </c>
      <c r="G2915" s="14">
        <v>1792.2199999999998</v>
      </c>
      <c r="H2915" t="s">
        <v>2920</v>
      </c>
      <c r="I2915">
        <v>6</v>
      </c>
    </row>
    <row r="2916" spans="1:9" ht="15.6" x14ac:dyDescent="0.3">
      <c r="A2916" s="9">
        <v>2915</v>
      </c>
      <c r="B2916" s="2" t="s">
        <v>2921</v>
      </c>
      <c r="C2916" s="11">
        <v>20</v>
      </c>
      <c r="D2916" s="12">
        <v>66.666666666666657</v>
      </c>
      <c r="E2916" s="12" t="s">
        <v>8220</v>
      </c>
      <c r="F2916" s="13">
        <v>6</v>
      </c>
      <c r="G2916" s="14">
        <v>1832.25</v>
      </c>
      <c r="H2916" t="s">
        <v>1896</v>
      </c>
      <c r="I2916">
        <v>6</v>
      </c>
    </row>
    <row r="2917" spans="1:9" ht="15.6" x14ac:dyDescent="0.3">
      <c r="A2917" s="9">
        <v>2916</v>
      </c>
      <c r="B2917" s="2" t="s">
        <v>2922</v>
      </c>
      <c r="C2917" s="11">
        <v>14</v>
      </c>
      <c r="D2917" s="12">
        <v>50</v>
      </c>
      <c r="E2917" s="12" t="s">
        <v>8219</v>
      </c>
      <c r="F2917" s="13">
        <v>6</v>
      </c>
      <c r="G2917" s="14">
        <v>1807.23</v>
      </c>
      <c r="H2917" t="s">
        <v>872</v>
      </c>
      <c r="I2917">
        <v>5</v>
      </c>
    </row>
    <row r="2918" spans="1:9" ht="15.6" x14ac:dyDescent="0.3">
      <c r="A2918" s="9">
        <v>2917</v>
      </c>
      <c r="B2918" s="2" t="s">
        <v>2923</v>
      </c>
      <c r="C2918" s="11">
        <v>20</v>
      </c>
      <c r="D2918" s="12">
        <v>66.666666666666657</v>
      </c>
      <c r="E2918" s="12" t="s">
        <v>8220</v>
      </c>
      <c r="F2918" s="13">
        <v>6</v>
      </c>
      <c r="G2918" s="14">
        <v>1792.2199999999998</v>
      </c>
      <c r="H2918" t="s">
        <v>3688</v>
      </c>
      <c r="I2918">
        <v>6</v>
      </c>
    </row>
    <row r="2919" spans="1:9" ht="15.6" x14ac:dyDescent="0.3">
      <c r="A2919" s="9">
        <v>2918</v>
      </c>
      <c r="B2919" s="2" t="s">
        <v>2924</v>
      </c>
      <c r="C2919" s="11">
        <v>18</v>
      </c>
      <c r="D2919" s="12">
        <v>83.333333333333343</v>
      </c>
      <c r="E2919" s="12" t="s">
        <v>8220</v>
      </c>
      <c r="F2919" s="13">
        <v>6</v>
      </c>
      <c r="G2919" s="14">
        <v>1768.19</v>
      </c>
      <c r="H2919" t="s">
        <v>2664</v>
      </c>
      <c r="I2919">
        <v>5</v>
      </c>
    </row>
    <row r="2920" spans="1:9" ht="15.6" x14ac:dyDescent="0.3">
      <c r="A2920" s="9">
        <v>2919</v>
      </c>
      <c r="B2920" s="2" t="s">
        <v>2925</v>
      </c>
      <c r="C2920" s="11">
        <v>18</v>
      </c>
      <c r="D2920" s="12">
        <v>83.333333333333343</v>
      </c>
      <c r="E2920" s="12" t="s">
        <v>8220</v>
      </c>
      <c r="F2920" s="13">
        <v>6</v>
      </c>
      <c r="G2920" s="14">
        <v>1808.2200000000003</v>
      </c>
      <c r="H2920" t="s">
        <v>1640</v>
      </c>
      <c r="I2920">
        <v>5</v>
      </c>
    </row>
    <row r="2921" spans="1:9" ht="15.6" x14ac:dyDescent="0.3">
      <c r="A2921" s="9">
        <v>2920</v>
      </c>
      <c r="B2921" s="2" t="s">
        <v>2926</v>
      </c>
      <c r="C2921" s="11">
        <v>12</v>
      </c>
      <c r="D2921" s="12">
        <v>66.666666666666657</v>
      </c>
      <c r="E2921" s="12" t="s">
        <v>8220</v>
      </c>
      <c r="F2921" s="13">
        <v>6</v>
      </c>
      <c r="G2921" s="14">
        <v>1783.1999999999998</v>
      </c>
      <c r="H2921" t="s">
        <v>616</v>
      </c>
      <c r="I2921">
        <v>4</v>
      </c>
    </row>
    <row r="2922" spans="1:9" ht="15.6" x14ac:dyDescent="0.3">
      <c r="A2922" s="9">
        <v>2921</v>
      </c>
      <c r="B2922" s="2" t="s">
        <v>2927</v>
      </c>
      <c r="C2922" s="11">
        <v>20</v>
      </c>
      <c r="D2922" s="12">
        <v>66.666666666666657</v>
      </c>
      <c r="E2922" s="12" t="s">
        <v>8220</v>
      </c>
      <c r="F2922" s="13">
        <v>6</v>
      </c>
      <c r="G2922" s="14">
        <v>1832.25</v>
      </c>
      <c r="H2922" t="s">
        <v>3432</v>
      </c>
      <c r="I2922">
        <v>6</v>
      </c>
    </row>
    <row r="2923" spans="1:9" ht="15.6" x14ac:dyDescent="0.3">
      <c r="A2923" s="9">
        <v>2922</v>
      </c>
      <c r="B2923" s="2" t="s">
        <v>2928</v>
      </c>
      <c r="C2923" s="11">
        <v>18</v>
      </c>
      <c r="D2923" s="12">
        <v>83.333333333333343</v>
      </c>
      <c r="E2923" s="12" t="s">
        <v>8220</v>
      </c>
      <c r="F2923" s="13">
        <v>6</v>
      </c>
      <c r="G2923" s="14">
        <v>1808.2200000000003</v>
      </c>
      <c r="H2923" t="s">
        <v>2408</v>
      </c>
      <c r="I2923">
        <v>5</v>
      </c>
    </row>
    <row r="2924" spans="1:9" ht="15.6" x14ac:dyDescent="0.3">
      <c r="A2924" s="9">
        <v>2923</v>
      </c>
      <c r="B2924" s="2" t="s">
        <v>2929</v>
      </c>
      <c r="C2924" s="11">
        <v>18</v>
      </c>
      <c r="D2924" s="12">
        <v>83.333333333333343</v>
      </c>
      <c r="E2924" s="12" t="s">
        <v>8220</v>
      </c>
      <c r="F2924" s="13">
        <v>6</v>
      </c>
      <c r="G2924" s="14">
        <v>1848.25</v>
      </c>
      <c r="H2924" t="s">
        <v>1384</v>
      </c>
      <c r="I2924">
        <v>5</v>
      </c>
    </row>
    <row r="2925" spans="1:9" ht="15.6" x14ac:dyDescent="0.3">
      <c r="A2925" s="9">
        <v>2924</v>
      </c>
      <c r="B2925" s="2" t="s">
        <v>2930</v>
      </c>
      <c r="C2925" s="11">
        <v>12</v>
      </c>
      <c r="D2925" s="12">
        <v>66.666666666666657</v>
      </c>
      <c r="E2925" s="12" t="s">
        <v>8220</v>
      </c>
      <c r="F2925" s="13">
        <v>6</v>
      </c>
      <c r="G2925" s="14">
        <v>1823.23</v>
      </c>
      <c r="H2925" t="s">
        <v>360</v>
      </c>
      <c r="I2925">
        <v>4</v>
      </c>
    </row>
    <row r="2926" spans="1:9" ht="15.6" x14ac:dyDescent="0.3">
      <c r="A2926" s="9">
        <v>2925</v>
      </c>
      <c r="B2926" s="2" t="s">
        <v>2931</v>
      </c>
      <c r="C2926" s="11">
        <v>14</v>
      </c>
      <c r="D2926" s="12">
        <v>50</v>
      </c>
      <c r="E2926" s="12" t="s">
        <v>8219</v>
      </c>
      <c r="F2926" s="13">
        <v>6</v>
      </c>
      <c r="G2926" s="14">
        <v>1807.23</v>
      </c>
      <c r="H2926" t="s">
        <v>3176</v>
      </c>
      <c r="I2926">
        <v>5</v>
      </c>
    </row>
    <row r="2927" spans="1:9" ht="15.6" x14ac:dyDescent="0.3">
      <c r="A2927" s="9">
        <v>2926</v>
      </c>
      <c r="B2927" s="2" t="s">
        <v>2932</v>
      </c>
      <c r="C2927" s="11">
        <v>12</v>
      </c>
      <c r="D2927" s="12">
        <v>66.666666666666657</v>
      </c>
      <c r="E2927" s="12" t="s">
        <v>8220</v>
      </c>
      <c r="F2927" s="13">
        <v>6</v>
      </c>
      <c r="G2927" s="14">
        <v>1783.1999999999998</v>
      </c>
      <c r="H2927" t="s">
        <v>2152</v>
      </c>
      <c r="I2927">
        <v>4</v>
      </c>
    </row>
    <row r="2928" spans="1:9" ht="15.6" x14ac:dyDescent="0.3">
      <c r="A2928" s="9">
        <v>2927</v>
      </c>
      <c r="B2928" s="2" t="s">
        <v>2933</v>
      </c>
      <c r="C2928" s="11">
        <v>12</v>
      </c>
      <c r="D2928" s="12">
        <v>66.666666666666657</v>
      </c>
      <c r="E2928" s="12" t="s">
        <v>8220</v>
      </c>
      <c r="F2928" s="13">
        <v>6</v>
      </c>
      <c r="G2928" s="14">
        <v>1823.23</v>
      </c>
      <c r="H2928" t="s">
        <v>1128</v>
      </c>
      <c r="I2928">
        <v>4</v>
      </c>
    </row>
    <row r="2929" spans="1:9" ht="15.6" x14ac:dyDescent="0.3">
      <c r="A2929" s="9">
        <v>2928</v>
      </c>
      <c r="B2929" s="2" t="s">
        <v>2934</v>
      </c>
      <c r="C2929" s="11">
        <v>6</v>
      </c>
      <c r="D2929" s="12">
        <v>50</v>
      </c>
      <c r="E2929" s="12" t="s">
        <v>8219</v>
      </c>
      <c r="F2929" s="13">
        <v>6</v>
      </c>
      <c r="G2929" s="14">
        <v>1798.21</v>
      </c>
      <c r="H2929" t="s">
        <v>104</v>
      </c>
      <c r="I2929">
        <v>3</v>
      </c>
    </row>
    <row r="2930" spans="1:9" ht="15.6" x14ac:dyDescent="0.3">
      <c r="A2930" s="9">
        <v>2929</v>
      </c>
      <c r="B2930" s="2" t="s">
        <v>2935</v>
      </c>
      <c r="C2930" s="11">
        <v>16</v>
      </c>
      <c r="D2930" s="12">
        <v>33.333333333333329</v>
      </c>
      <c r="E2930" s="12" t="s">
        <v>8219</v>
      </c>
      <c r="F2930" s="13">
        <v>6</v>
      </c>
      <c r="G2930" s="14">
        <v>1791.23</v>
      </c>
      <c r="H2930" t="s">
        <v>3880</v>
      </c>
      <c r="I2930">
        <v>5</v>
      </c>
    </row>
    <row r="2931" spans="1:9" ht="15.6" x14ac:dyDescent="0.3">
      <c r="A2931" s="9">
        <v>2930</v>
      </c>
      <c r="B2931" s="2" t="s">
        <v>2936</v>
      </c>
      <c r="C2931" s="11">
        <v>14</v>
      </c>
      <c r="D2931" s="12">
        <v>50</v>
      </c>
      <c r="E2931" s="12" t="s">
        <v>8219</v>
      </c>
      <c r="F2931" s="13">
        <v>6</v>
      </c>
      <c r="G2931" s="14">
        <v>1767.1999999999998</v>
      </c>
      <c r="H2931" t="s">
        <v>2856</v>
      </c>
      <c r="I2931">
        <v>5</v>
      </c>
    </row>
    <row r="2932" spans="1:9" ht="15.6" x14ac:dyDescent="0.3">
      <c r="A2932" s="9">
        <v>2931</v>
      </c>
      <c r="B2932" s="2" t="s">
        <v>2937</v>
      </c>
      <c r="C2932" s="11">
        <v>14</v>
      </c>
      <c r="D2932" s="12">
        <v>50</v>
      </c>
      <c r="E2932" s="12" t="s">
        <v>8219</v>
      </c>
      <c r="F2932" s="13">
        <v>6</v>
      </c>
      <c r="G2932" s="14">
        <v>1807.23</v>
      </c>
      <c r="H2932" t="s">
        <v>1832</v>
      </c>
      <c r="I2932">
        <v>5</v>
      </c>
    </row>
    <row r="2933" spans="1:9" ht="15.6" x14ac:dyDescent="0.3">
      <c r="A2933" s="9">
        <v>2932</v>
      </c>
      <c r="B2933" s="2" t="s">
        <v>2938</v>
      </c>
      <c r="C2933" s="11">
        <v>8</v>
      </c>
      <c r="D2933" s="12">
        <v>33.333333333333329</v>
      </c>
      <c r="E2933" s="12" t="s">
        <v>8219</v>
      </c>
      <c r="F2933" s="13">
        <v>6</v>
      </c>
      <c r="G2933" s="14">
        <v>1782.21</v>
      </c>
      <c r="H2933" t="s">
        <v>808</v>
      </c>
      <c r="I2933">
        <v>4</v>
      </c>
    </row>
    <row r="2934" spans="1:9" ht="15.6" x14ac:dyDescent="0.3">
      <c r="A2934" s="9">
        <v>2933</v>
      </c>
      <c r="B2934" s="2" t="s">
        <v>2939</v>
      </c>
      <c r="C2934" s="11">
        <v>14</v>
      </c>
      <c r="D2934" s="12">
        <v>50</v>
      </c>
      <c r="E2934" s="12" t="s">
        <v>8219</v>
      </c>
      <c r="F2934" s="13">
        <v>6</v>
      </c>
      <c r="G2934" s="14">
        <v>1767.1999999999998</v>
      </c>
      <c r="H2934" t="s">
        <v>3624</v>
      </c>
      <c r="I2934">
        <v>5</v>
      </c>
    </row>
    <row r="2935" spans="1:9" ht="15.6" x14ac:dyDescent="0.3">
      <c r="A2935" s="9">
        <v>2934</v>
      </c>
      <c r="B2935" s="2" t="s">
        <v>2940</v>
      </c>
      <c r="C2935" s="11">
        <v>12</v>
      </c>
      <c r="D2935" s="12">
        <v>66.666666666666657</v>
      </c>
      <c r="E2935" s="12" t="s">
        <v>8220</v>
      </c>
      <c r="F2935" s="13">
        <v>6</v>
      </c>
      <c r="G2935" s="14">
        <v>1743.17</v>
      </c>
      <c r="H2935" t="s">
        <v>2600</v>
      </c>
      <c r="I2935">
        <v>4</v>
      </c>
    </row>
    <row r="2936" spans="1:9" ht="15.6" x14ac:dyDescent="0.3">
      <c r="A2936" s="9">
        <v>2935</v>
      </c>
      <c r="B2936" s="2" t="s">
        <v>2941</v>
      </c>
      <c r="C2936" s="11">
        <v>12</v>
      </c>
      <c r="D2936" s="12">
        <v>66.666666666666657</v>
      </c>
      <c r="E2936" s="12" t="s">
        <v>8220</v>
      </c>
      <c r="F2936" s="13">
        <v>6</v>
      </c>
      <c r="G2936" s="14">
        <v>1783.1999999999998</v>
      </c>
      <c r="H2936" t="s">
        <v>1576</v>
      </c>
      <c r="I2936">
        <v>4</v>
      </c>
    </row>
    <row r="2937" spans="1:9" ht="15.6" x14ac:dyDescent="0.3">
      <c r="A2937" s="9">
        <v>2936</v>
      </c>
      <c r="B2937" s="2" t="s">
        <v>2942</v>
      </c>
      <c r="C2937" s="11">
        <v>6</v>
      </c>
      <c r="D2937" s="12">
        <v>50</v>
      </c>
      <c r="E2937" s="12" t="s">
        <v>8219</v>
      </c>
      <c r="F2937" s="13">
        <v>6</v>
      </c>
      <c r="G2937" s="14">
        <v>1758.1799999999998</v>
      </c>
      <c r="H2937" t="s">
        <v>552</v>
      </c>
      <c r="I2937">
        <v>3</v>
      </c>
    </row>
    <row r="2938" spans="1:9" ht="15.6" x14ac:dyDescent="0.3">
      <c r="A2938" s="9">
        <v>2937</v>
      </c>
      <c r="B2938" s="2" t="s">
        <v>2943</v>
      </c>
      <c r="C2938" s="11">
        <v>14</v>
      </c>
      <c r="D2938" s="12">
        <v>50</v>
      </c>
      <c r="E2938" s="12" t="s">
        <v>8219</v>
      </c>
      <c r="F2938" s="13">
        <v>6</v>
      </c>
      <c r="G2938" s="14">
        <v>1807.23</v>
      </c>
      <c r="H2938" t="s">
        <v>3368</v>
      </c>
      <c r="I2938">
        <v>5</v>
      </c>
    </row>
    <row r="2939" spans="1:9" ht="15.6" x14ac:dyDescent="0.3">
      <c r="A2939" s="9">
        <v>2938</v>
      </c>
      <c r="B2939" s="2" t="s">
        <v>2944</v>
      </c>
      <c r="C2939" s="11">
        <v>12</v>
      </c>
      <c r="D2939" s="12">
        <v>66.666666666666657</v>
      </c>
      <c r="E2939" s="12" t="s">
        <v>8220</v>
      </c>
      <c r="F2939" s="13">
        <v>6</v>
      </c>
      <c r="G2939" s="14">
        <v>1783.1999999999998</v>
      </c>
      <c r="H2939" t="s">
        <v>2344</v>
      </c>
      <c r="I2939">
        <v>4</v>
      </c>
    </row>
    <row r="2940" spans="1:9" ht="15.6" x14ac:dyDescent="0.3">
      <c r="A2940" s="9">
        <v>2939</v>
      </c>
      <c r="B2940" s="2" t="s">
        <v>2945</v>
      </c>
      <c r="C2940" s="11">
        <v>12</v>
      </c>
      <c r="D2940" s="12">
        <v>66.666666666666657</v>
      </c>
      <c r="E2940" s="12" t="s">
        <v>8220</v>
      </c>
      <c r="F2940" s="13">
        <v>6</v>
      </c>
      <c r="G2940" s="14">
        <v>1823.23</v>
      </c>
      <c r="H2940" t="s">
        <v>1320</v>
      </c>
      <c r="I2940">
        <v>4</v>
      </c>
    </row>
    <row r="2941" spans="1:9" ht="15.6" x14ac:dyDescent="0.3">
      <c r="A2941" s="9">
        <v>2940</v>
      </c>
      <c r="B2941" s="2" t="s">
        <v>2946</v>
      </c>
      <c r="C2941" s="11">
        <v>6</v>
      </c>
      <c r="D2941" s="12">
        <v>50</v>
      </c>
      <c r="E2941" s="12" t="s">
        <v>8219</v>
      </c>
      <c r="F2941" s="13">
        <v>6</v>
      </c>
      <c r="G2941" s="14">
        <v>1798.21</v>
      </c>
      <c r="H2941" t="s">
        <v>296</v>
      </c>
      <c r="I2941">
        <v>3</v>
      </c>
    </row>
    <row r="2942" spans="1:9" ht="15.6" x14ac:dyDescent="0.3">
      <c r="A2942" s="9">
        <v>2941</v>
      </c>
      <c r="B2942" s="2" t="s">
        <v>2947</v>
      </c>
      <c r="C2942" s="11">
        <v>8</v>
      </c>
      <c r="D2942" s="12">
        <v>33.333333333333329</v>
      </c>
      <c r="E2942" s="12" t="s">
        <v>8219</v>
      </c>
      <c r="F2942" s="13">
        <v>6</v>
      </c>
      <c r="G2942" s="14">
        <v>1782.21</v>
      </c>
      <c r="H2942" t="s">
        <v>3112</v>
      </c>
      <c r="I2942">
        <v>4</v>
      </c>
    </row>
    <row r="2943" spans="1:9" ht="15.6" x14ac:dyDescent="0.3">
      <c r="A2943" s="9">
        <v>2942</v>
      </c>
      <c r="B2943" s="2" t="s">
        <v>2948</v>
      </c>
      <c r="C2943" s="11">
        <v>6</v>
      </c>
      <c r="D2943" s="12">
        <v>50</v>
      </c>
      <c r="E2943" s="12" t="s">
        <v>8219</v>
      </c>
      <c r="F2943" s="13">
        <v>6</v>
      </c>
      <c r="G2943" s="14">
        <v>1758.1799999999998</v>
      </c>
      <c r="H2943" t="s">
        <v>2088</v>
      </c>
      <c r="I2943">
        <v>3</v>
      </c>
    </row>
    <row r="2944" spans="1:9" ht="15.6" x14ac:dyDescent="0.3">
      <c r="A2944" s="9">
        <v>2943</v>
      </c>
      <c r="B2944" s="2" t="s">
        <v>2949</v>
      </c>
      <c r="C2944" s="11">
        <v>6</v>
      </c>
      <c r="D2944" s="12">
        <v>50</v>
      </c>
      <c r="E2944" s="12" t="s">
        <v>8219</v>
      </c>
      <c r="F2944" s="13">
        <v>6</v>
      </c>
      <c r="G2944" s="14">
        <v>1798.21</v>
      </c>
      <c r="H2944" t="s">
        <v>1064</v>
      </c>
      <c r="I2944">
        <v>3</v>
      </c>
    </row>
    <row r="2945" spans="1:9" ht="15.6" x14ac:dyDescent="0.3">
      <c r="A2945" s="9">
        <v>2944</v>
      </c>
      <c r="B2945" s="2" t="s">
        <v>2950</v>
      </c>
      <c r="C2945" s="11">
        <v>0</v>
      </c>
      <c r="D2945" s="12">
        <v>33.333333333333329</v>
      </c>
      <c r="E2945" s="12" t="s">
        <v>8219</v>
      </c>
      <c r="F2945" s="13">
        <v>6</v>
      </c>
      <c r="G2945" s="14">
        <v>1773.19</v>
      </c>
      <c r="H2945" t="s">
        <v>40</v>
      </c>
      <c r="I2945">
        <v>2</v>
      </c>
    </row>
    <row r="2946" spans="1:9" ht="15.6" x14ac:dyDescent="0.3">
      <c r="A2946" s="9">
        <v>2945</v>
      </c>
      <c r="B2946" s="2" t="s">
        <v>2951</v>
      </c>
      <c r="C2946" s="11">
        <v>24</v>
      </c>
      <c r="D2946" s="12">
        <v>33.333333333333329</v>
      </c>
      <c r="E2946" s="12" t="s">
        <v>8219</v>
      </c>
      <c r="F2946" s="13">
        <v>6</v>
      </c>
      <c r="G2946" s="14">
        <v>1840.2800000000002</v>
      </c>
      <c r="H2946" t="s">
        <v>4056</v>
      </c>
      <c r="I2946">
        <v>6</v>
      </c>
    </row>
    <row r="2947" spans="1:9" ht="15.6" x14ac:dyDescent="0.3">
      <c r="A2947" s="9">
        <v>2946</v>
      </c>
      <c r="B2947" s="2" t="s">
        <v>2952</v>
      </c>
      <c r="C2947" s="11">
        <v>22</v>
      </c>
      <c r="D2947" s="12">
        <v>50</v>
      </c>
      <c r="E2947" s="12" t="s">
        <v>8219</v>
      </c>
      <c r="F2947" s="13">
        <v>6</v>
      </c>
      <c r="G2947" s="14">
        <v>1816.25</v>
      </c>
      <c r="H2947" t="s">
        <v>3032</v>
      </c>
      <c r="I2947">
        <v>6</v>
      </c>
    </row>
    <row r="2948" spans="1:9" ht="15.6" x14ac:dyDescent="0.3">
      <c r="A2948" s="9">
        <v>2947</v>
      </c>
      <c r="B2948" s="2" t="s">
        <v>2953</v>
      </c>
      <c r="C2948" s="11">
        <v>22</v>
      </c>
      <c r="D2948" s="12">
        <v>50</v>
      </c>
      <c r="E2948" s="12" t="s">
        <v>8219</v>
      </c>
      <c r="F2948" s="13">
        <v>6</v>
      </c>
      <c r="G2948" s="14">
        <v>1856.2800000000002</v>
      </c>
      <c r="H2948" t="s">
        <v>2008</v>
      </c>
      <c r="I2948">
        <v>6</v>
      </c>
    </row>
    <row r="2949" spans="1:9" ht="15.6" x14ac:dyDescent="0.3">
      <c r="A2949" s="9">
        <v>2948</v>
      </c>
      <c r="B2949" s="2" t="s">
        <v>2954</v>
      </c>
      <c r="C2949" s="11">
        <v>16</v>
      </c>
      <c r="D2949" s="12">
        <v>33.333333333333329</v>
      </c>
      <c r="E2949" s="12" t="s">
        <v>8219</v>
      </c>
      <c r="F2949" s="13">
        <v>6</v>
      </c>
      <c r="G2949" s="14">
        <v>1831.2600000000002</v>
      </c>
      <c r="H2949" t="s">
        <v>984</v>
      </c>
      <c r="I2949">
        <v>5</v>
      </c>
    </row>
    <row r="2950" spans="1:9" ht="15.6" x14ac:dyDescent="0.3">
      <c r="A2950" s="9">
        <v>2949</v>
      </c>
      <c r="B2950" s="2" t="s">
        <v>2955</v>
      </c>
      <c r="C2950" s="11">
        <v>22</v>
      </c>
      <c r="D2950" s="12">
        <v>50</v>
      </c>
      <c r="E2950" s="12" t="s">
        <v>8219</v>
      </c>
      <c r="F2950" s="13">
        <v>6</v>
      </c>
      <c r="G2950" s="14">
        <v>1816.25</v>
      </c>
      <c r="H2950" t="s">
        <v>3800</v>
      </c>
      <c r="I2950">
        <v>6</v>
      </c>
    </row>
    <row r="2951" spans="1:9" ht="15.6" x14ac:dyDescent="0.3">
      <c r="A2951" s="9">
        <v>2950</v>
      </c>
      <c r="B2951" s="2" t="s">
        <v>2956</v>
      </c>
      <c r="C2951" s="11">
        <v>20</v>
      </c>
      <c r="D2951" s="12">
        <v>66.666666666666657</v>
      </c>
      <c r="E2951" s="12" t="s">
        <v>8220</v>
      </c>
      <c r="F2951" s="13">
        <v>6</v>
      </c>
      <c r="G2951" s="14">
        <v>1792.2199999999998</v>
      </c>
      <c r="H2951" t="s">
        <v>2776</v>
      </c>
      <c r="I2951">
        <v>6</v>
      </c>
    </row>
    <row r="2952" spans="1:9" ht="15.6" x14ac:dyDescent="0.3">
      <c r="A2952" s="9">
        <v>2951</v>
      </c>
      <c r="B2952" s="2" t="s">
        <v>2957</v>
      </c>
      <c r="C2952" s="11">
        <v>20</v>
      </c>
      <c r="D2952" s="12">
        <v>66.666666666666657</v>
      </c>
      <c r="E2952" s="12" t="s">
        <v>8220</v>
      </c>
      <c r="F2952" s="13">
        <v>6</v>
      </c>
      <c r="G2952" s="14">
        <v>1832.25</v>
      </c>
      <c r="H2952" t="s">
        <v>1752</v>
      </c>
      <c r="I2952">
        <v>6</v>
      </c>
    </row>
    <row r="2953" spans="1:9" ht="15.6" x14ac:dyDescent="0.3">
      <c r="A2953" s="9">
        <v>2952</v>
      </c>
      <c r="B2953" s="2" t="s">
        <v>2958</v>
      </c>
      <c r="C2953" s="11">
        <v>14</v>
      </c>
      <c r="D2953" s="12">
        <v>50</v>
      </c>
      <c r="E2953" s="12" t="s">
        <v>8219</v>
      </c>
      <c r="F2953" s="13">
        <v>6</v>
      </c>
      <c r="G2953" s="14">
        <v>1807.23</v>
      </c>
      <c r="H2953" t="s">
        <v>728</v>
      </c>
      <c r="I2953">
        <v>5</v>
      </c>
    </row>
    <row r="2954" spans="1:9" ht="15.6" x14ac:dyDescent="0.3">
      <c r="A2954" s="9">
        <v>2953</v>
      </c>
      <c r="B2954" s="2" t="s">
        <v>2959</v>
      </c>
      <c r="C2954" s="11">
        <v>22</v>
      </c>
      <c r="D2954" s="12">
        <v>50</v>
      </c>
      <c r="E2954" s="12" t="s">
        <v>8219</v>
      </c>
      <c r="F2954" s="13">
        <v>6</v>
      </c>
      <c r="G2954" s="14">
        <v>1856.2800000000002</v>
      </c>
      <c r="H2954" t="s">
        <v>3544</v>
      </c>
      <c r="I2954">
        <v>6</v>
      </c>
    </row>
    <row r="2955" spans="1:9" ht="15.6" x14ac:dyDescent="0.3">
      <c r="A2955" s="9">
        <v>2954</v>
      </c>
      <c r="B2955" s="2" t="s">
        <v>2960</v>
      </c>
      <c r="C2955" s="11">
        <v>20</v>
      </c>
      <c r="D2955" s="12">
        <v>66.666666666666657</v>
      </c>
      <c r="E2955" s="12" t="s">
        <v>8220</v>
      </c>
      <c r="F2955" s="13">
        <v>6</v>
      </c>
      <c r="G2955" s="14">
        <v>1832.25</v>
      </c>
      <c r="H2955" t="s">
        <v>2520</v>
      </c>
      <c r="I2955">
        <v>6</v>
      </c>
    </row>
    <row r="2956" spans="1:9" ht="15.6" x14ac:dyDescent="0.3">
      <c r="A2956" s="9">
        <v>2955</v>
      </c>
      <c r="B2956" s="2" t="s">
        <v>2961</v>
      </c>
      <c r="C2956" s="11">
        <v>20</v>
      </c>
      <c r="D2956" s="12">
        <v>66.666666666666657</v>
      </c>
      <c r="E2956" s="12" t="s">
        <v>8220</v>
      </c>
      <c r="F2956" s="13">
        <v>6</v>
      </c>
      <c r="G2956" s="14">
        <v>1872.2800000000002</v>
      </c>
      <c r="H2956" t="s">
        <v>1496</v>
      </c>
      <c r="I2956">
        <v>6</v>
      </c>
    </row>
    <row r="2957" spans="1:9" ht="15.6" x14ac:dyDescent="0.3">
      <c r="A2957" s="9">
        <v>2956</v>
      </c>
      <c r="B2957" s="2" t="s">
        <v>2962</v>
      </c>
      <c r="C2957" s="11">
        <v>14</v>
      </c>
      <c r="D2957" s="12">
        <v>50</v>
      </c>
      <c r="E2957" s="12" t="s">
        <v>8219</v>
      </c>
      <c r="F2957" s="13">
        <v>6</v>
      </c>
      <c r="G2957" s="14">
        <v>1847.2600000000002</v>
      </c>
      <c r="H2957" t="s">
        <v>472</v>
      </c>
      <c r="I2957">
        <v>5</v>
      </c>
    </row>
    <row r="2958" spans="1:9" ht="15.6" x14ac:dyDescent="0.3">
      <c r="A2958" s="9">
        <v>2957</v>
      </c>
      <c r="B2958" s="2" t="s">
        <v>2963</v>
      </c>
      <c r="C2958" s="11">
        <v>16</v>
      </c>
      <c r="D2958" s="12">
        <v>33.333333333333329</v>
      </c>
      <c r="E2958" s="12" t="s">
        <v>8219</v>
      </c>
      <c r="F2958" s="13">
        <v>6</v>
      </c>
      <c r="G2958" s="14">
        <v>1831.2600000000002</v>
      </c>
      <c r="H2958" t="s">
        <v>3288</v>
      </c>
      <c r="I2958">
        <v>5</v>
      </c>
    </row>
    <row r="2959" spans="1:9" ht="15.6" x14ac:dyDescent="0.3">
      <c r="A2959" s="9">
        <v>2958</v>
      </c>
      <c r="B2959" s="2" t="s">
        <v>2964</v>
      </c>
      <c r="C2959" s="11">
        <v>14</v>
      </c>
      <c r="D2959" s="12">
        <v>50</v>
      </c>
      <c r="E2959" s="12" t="s">
        <v>8219</v>
      </c>
      <c r="F2959" s="13">
        <v>6</v>
      </c>
      <c r="G2959" s="14">
        <v>1807.23</v>
      </c>
      <c r="H2959" t="s">
        <v>2264</v>
      </c>
      <c r="I2959">
        <v>5</v>
      </c>
    </row>
    <row r="2960" spans="1:9" ht="15.6" x14ac:dyDescent="0.3">
      <c r="A2960" s="9">
        <v>2959</v>
      </c>
      <c r="B2960" s="2" t="s">
        <v>2965</v>
      </c>
      <c r="C2960" s="11">
        <v>14</v>
      </c>
      <c r="D2960" s="12">
        <v>50</v>
      </c>
      <c r="E2960" s="12" t="s">
        <v>8219</v>
      </c>
      <c r="F2960" s="13">
        <v>6</v>
      </c>
      <c r="G2960" s="14">
        <v>1847.2600000000002</v>
      </c>
      <c r="H2960" t="s">
        <v>1240</v>
      </c>
      <c r="I2960">
        <v>5</v>
      </c>
    </row>
    <row r="2961" spans="1:9" ht="15.6" x14ac:dyDescent="0.3">
      <c r="A2961" s="9">
        <v>2960</v>
      </c>
      <c r="B2961" s="2" t="s">
        <v>2966</v>
      </c>
      <c r="C2961" s="11">
        <v>8</v>
      </c>
      <c r="D2961" s="12">
        <v>33.333333333333329</v>
      </c>
      <c r="E2961" s="12" t="s">
        <v>8219</v>
      </c>
      <c r="F2961" s="13">
        <v>6</v>
      </c>
      <c r="G2961" s="14">
        <v>1822.2400000000002</v>
      </c>
      <c r="H2961" t="s">
        <v>216</v>
      </c>
      <c r="I2961">
        <v>4</v>
      </c>
    </row>
    <row r="2962" spans="1:9" ht="15.6" x14ac:dyDescent="0.3">
      <c r="A2962" s="9">
        <v>2961</v>
      </c>
      <c r="B2962" s="2" t="s">
        <v>2967</v>
      </c>
      <c r="C2962" s="11">
        <v>22</v>
      </c>
      <c r="D2962" s="12">
        <v>50</v>
      </c>
      <c r="E2962" s="12" t="s">
        <v>8219</v>
      </c>
      <c r="F2962" s="13">
        <v>6</v>
      </c>
      <c r="G2962" s="14">
        <v>1816.25</v>
      </c>
      <c r="H2962" t="s">
        <v>3992</v>
      </c>
      <c r="I2962">
        <v>6</v>
      </c>
    </row>
    <row r="2963" spans="1:9" ht="15.6" x14ac:dyDescent="0.3">
      <c r="A2963" s="9">
        <v>2962</v>
      </c>
      <c r="B2963" s="2" t="s">
        <v>2968</v>
      </c>
      <c r="C2963" s="11">
        <v>20</v>
      </c>
      <c r="D2963" s="12">
        <v>66.666666666666657</v>
      </c>
      <c r="E2963" s="12" t="s">
        <v>8220</v>
      </c>
      <c r="F2963" s="13">
        <v>6</v>
      </c>
      <c r="G2963" s="14">
        <v>1792.2199999999998</v>
      </c>
      <c r="H2963" t="s">
        <v>2968</v>
      </c>
      <c r="I2963">
        <v>6</v>
      </c>
    </row>
    <row r="2964" spans="1:9" ht="15.6" x14ac:dyDescent="0.3">
      <c r="A2964" s="9">
        <v>2963</v>
      </c>
      <c r="B2964" s="2" t="s">
        <v>2969</v>
      </c>
      <c r="C2964" s="11">
        <v>20</v>
      </c>
      <c r="D2964" s="12">
        <v>66.666666666666657</v>
      </c>
      <c r="E2964" s="12" t="s">
        <v>8220</v>
      </c>
      <c r="F2964" s="13">
        <v>6</v>
      </c>
      <c r="G2964" s="14">
        <v>1832.25</v>
      </c>
      <c r="H2964" t="s">
        <v>1944</v>
      </c>
      <c r="I2964">
        <v>6</v>
      </c>
    </row>
    <row r="2965" spans="1:9" ht="15.6" x14ac:dyDescent="0.3">
      <c r="A2965" s="9">
        <v>2964</v>
      </c>
      <c r="B2965" s="2" t="s">
        <v>2970</v>
      </c>
      <c r="C2965" s="11">
        <v>14</v>
      </c>
      <c r="D2965" s="12">
        <v>50</v>
      </c>
      <c r="E2965" s="12" t="s">
        <v>8219</v>
      </c>
      <c r="F2965" s="13">
        <v>6</v>
      </c>
      <c r="G2965" s="14">
        <v>1807.23</v>
      </c>
      <c r="H2965" t="s">
        <v>920</v>
      </c>
      <c r="I2965">
        <v>5</v>
      </c>
    </row>
    <row r="2966" spans="1:9" ht="15.6" x14ac:dyDescent="0.3">
      <c r="A2966" s="9">
        <v>2965</v>
      </c>
      <c r="B2966" s="2" t="s">
        <v>2971</v>
      </c>
      <c r="C2966" s="11">
        <v>20</v>
      </c>
      <c r="D2966" s="12">
        <v>66.666666666666657</v>
      </c>
      <c r="E2966" s="12" t="s">
        <v>8220</v>
      </c>
      <c r="F2966" s="13">
        <v>6</v>
      </c>
      <c r="G2966" s="14">
        <v>1792.2199999999998</v>
      </c>
      <c r="H2966" t="s">
        <v>3736</v>
      </c>
      <c r="I2966">
        <v>6</v>
      </c>
    </row>
    <row r="2967" spans="1:9" ht="15.6" x14ac:dyDescent="0.3">
      <c r="A2967" s="9">
        <v>2966</v>
      </c>
      <c r="B2967" s="2" t="s">
        <v>2972</v>
      </c>
      <c r="C2967" s="11">
        <v>18</v>
      </c>
      <c r="D2967" s="12">
        <v>83.333333333333343</v>
      </c>
      <c r="E2967" s="12" t="s">
        <v>8220</v>
      </c>
      <c r="F2967" s="13">
        <v>6</v>
      </c>
      <c r="G2967" s="14">
        <v>1768.19</v>
      </c>
      <c r="H2967" t="s">
        <v>2712</v>
      </c>
      <c r="I2967">
        <v>5</v>
      </c>
    </row>
    <row r="2968" spans="1:9" ht="15.6" x14ac:dyDescent="0.3">
      <c r="A2968" s="9">
        <v>2967</v>
      </c>
      <c r="B2968" s="2" t="s">
        <v>2973</v>
      </c>
      <c r="C2968" s="11">
        <v>18</v>
      </c>
      <c r="D2968" s="12">
        <v>83.333333333333343</v>
      </c>
      <c r="E2968" s="12" t="s">
        <v>8220</v>
      </c>
      <c r="F2968" s="13">
        <v>6</v>
      </c>
      <c r="G2968" s="14">
        <v>1808.2200000000003</v>
      </c>
      <c r="H2968" t="s">
        <v>1688</v>
      </c>
      <c r="I2968">
        <v>5</v>
      </c>
    </row>
    <row r="2969" spans="1:9" ht="15.6" x14ac:dyDescent="0.3">
      <c r="A2969" s="9">
        <v>2968</v>
      </c>
      <c r="B2969" s="2" t="s">
        <v>2974</v>
      </c>
      <c r="C2969" s="11">
        <v>12</v>
      </c>
      <c r="D2969" s="12">
        <v>66.666666666666657</v>
      </c>
      <c r="E2969" s="12" t="s">
        <v>8220</v>
      </c>
      <c r="F2969" s="13">
        <v>6</v>
      </c>
      <c r="G2969" s="14">
        <v>1783.1999999999998</v>
      </c>
      <c r="H2969" t="s">
        <v>664</v>
      </c>
      <c r="I2969">
        <v>4</v>
      </c>
    </row>
    <row r="2970" spans="1:9" ht="15.6" x14ac:dyDescent="0.3">
      <c r="A2970" s="9">
        <v>2969</v>
      </c>
      <c r="B2970" s="2" t="s">
        <v>2975</v>
      </c>
      <c r="C2970" s="11">
        <v>20</v>
      </c>
      <c r="D2970" s="12">
        <v>66.666666666666657</v>
      </c>
      <c r="E2970" s="12" t="s">
        <v>8220</v>
      </c>
      <c r="F2970" s="13">
        <v>6</v>
      </c>
      <c r="G2970" s="14">
        <v>1832.25</v>
      </c>
      <c r="H2970" t="s">
        <v>3480</v>
      </c>
      <c r="I2970">
        <v>6</v>
      </c>
    </row>
    <row r="2971" spans="1:9" ht="15.6" x14ac:dyDescent="0.3">
      <c r="A2971" s="9">
        <v>2970</v>
      </c>
      <c r="B2971" s="2" t="s">
        <v>2976</v>
      </c>
      <c r="C2971" s="11">
        <v>18</v>
      </c>
      <c r="D2971" s="12">
        <v>83.333333333333343</v>
      </c>
      <c r="E2971" s="12" t="s">
        <v>8220</v>
      </c>
      <c r="F2971" s="13">
        <v>6</v>
      </c>
      <c r="G2971" s="14">
        <v>1808.2200000000003</v>
      </c>
      <c r="H2971" t="s">
        <v>2456</v>
      </c>
      <c r="I2971">
        <v>5</v>
      </c>
    </row>
    <row r="2972" spans="1:9" ht="15.6" x14ac:dyDescent="0.3">
      <c r="A2972" s="9">
        <v>2971</v>
      </c>
      <c r="B2972" s="2" t="s">
        <v>2977</v>
      </c>
      <c r="C2972" s="11">
        <v>18</v>
      </c>
      <c r="D2972" s="12">
        <v>83.333333333333343</v>
      </c>
      <c r="E2972" s="12" t="s">
        <v>8220</v>
      </c>
      <c r="F2972" s="13">
        <v>6</v>
      </c>
      <c r="G2972" s="14">
        <v>1848.25</v>
      </c>
      <c r="H2972" t="s">
        <v>1432</v>
      </c>
      <c r="I2972">
        <v>5</v>
      </c>
    </row>
    <row r="2973" spans="1:9" ht="15.6" x14ac:dyDescent="0.3">
      <c r="A2973" s="9">
        <v>2972</v>
      </c>
      <c r="B2973" s="2" t="s">
        <v>2978</v>
      </c>
      <c r="C2973" s="11">
        <v>12</v>
      </c>
      <c r="D2973" s="12">
        <v>66.666666666666657</v>
      </c>
      <c r="E2973" s="12" t="s">
        <v>8220</v>
      </c>
      <c r="F2973" s="13">
        <v>6</v>
      </c>
      <c r="G2973" s="14">
        <v>1823.23</v>
      </c>
      <c r="H2973" t="s">
        <v>408</v>
      </c>
      <c r="I2973">
        <v>4</v>
      </c>
    </row>
    <row r="2974" spans="1:9" ht="15.6" x14ac:dyDescent="0.3">
      <c r="A2974" s="9">
        <v>2973</v>
      </c>
      <c r="B2974" s="2" t="s">
        <v>2979</v>
      </c>
      <c r="C2974" s="11">
        <v>14</v>
      </c>
      <c r="D2974" s="12">
        <v>50</v>
      </c>
      <c r="E2974" s="12" t="s">
        <v>8219</v>
      </c>
      <c r="F2974" s="13">
        <v>6</v>
      </c>
      <c r="G2974" s="14">
        <v>1807.23</v>
      </c>
      <c r="H2974" t="s">
        <v>3224</v>
      </c>
      <c r="I2974">
        <v>5</v>
      </c>
    </row>
    <row r="2975" spans="1:9" ht="15.6" x14ac:dyDescent="0.3">
      <c r="A2975" s="9">
        <v>2974</v>
      </c>
      <c r="B2975" s="2" t="s">
        <v>2980</v>
      </c>
      <c r="C2975" s="11">
        <v>12</v>
      </c>
      <c r="D2975" s="12">
        <v>66.666666666666657</v>
      </c>
      <c r="E2975" s="12" t="s">
        <v>8220</v>
      </c>
      <c r="F2975" s="13">
        <v>6</v>
      </c>
      <c r="G2975" s="14">
        <v>1783.1999999999998</v>
      </c>
      <c r="H2975" t="s">
        <v>2200</v>
      </c>
      <c r="I2975">
        <v>4</v>
      </c>
    </row>
    <row r="2976" spans="1:9" ht="15.6" x14ac:dyDescent="0.3">
      <c r="A2976" s="9">
        <v>2975</v>
      </c>
      <c r="B2976" s="2" t="s">
        <v>2981</v>
      </c>
      <c r="C2976" s="11">
        <v>12</v>
      </c>
      <c r="D2976" s="12">
        <v>66.666666666666657</v>
      </c>
      <c r="E2976" s="12" t="s">
        <v>8220</v>
      </c>
      <c r="F2976" s="13">
        <v>6</v>
      </c>
      <c r="G2976" s="14">
        <v>1823.23</v>
      </c>
      <c r="H2976" t="s">
        <v>1176</v>
      </c>
      <c r="I2976">
        <v>4</v>
      </c>
    </row>
    <row r="2977" spans="1:9" ht="15.6" x14ac:dyDescent="0.3">
      <c r="A2977" s="9">
        <v>2976</v>
      </c>
      <c r="B2977" s="2" t="s">
        <v>2982</v>
      </c>
      <c r="C2977" s="11">
        <v>6</v>
      </c>
      <c r="D2977" s="12">
        <v>50</v>
      </c>
      <c r="E2977" s="12" t="s">
        <v>8219</v>
      </c>
      <c r="F2977" s="13">
        <v>6</v>
      </c>
      <c r="G2977" s="14">
        <v>1798.21</v>
      </c>
      <c r="H2977" t="s">
        <v>152</v>
      </c>
      <c r="I2977">
        <v>3</v>
      </c>
    </row>
    <row r="2978" spans="1:9" ht="15.6" x14ac:dyDescent="0.3">
      <c r="A2978" s="9">
        <v>2977</v>
      </c>
      <c r="B2978" s="2" t="s">
        <v>2983</v>
      </c>
      <c r="C2978" s="11">
        <v>22</v>
      </c>
      <c r="D2978" s="12">
        <v>50</v>
      </c>
      <c r="E2978" s="12" t="s">
        <v>8219</v>
      </c>
      <c r="F2978" s="13">
        <v>6</v>
      </c>
      <c r="G2978" s="14">
        <v>1856.2800000000002</v>
      </c>
      <c r="H2978" t="s">
        <v>3928</v>
      </c>
      <c r="I2978">
        <v>6</v>
      </c>
    </row>
    <row r="2979" spans="1:9" ht="15.6" x14ac:dyDescent="0.3">
      <c r="A2979" s="9">
        <v>2978</v>
      </c>
      <c r="B2979" s="2" t="s">
        <v>2984</v>
      </c>
      <c r="C2979" s="11">
        <v>20</v>
      </c>
      <c r="D2979" s="12">
        <v>66.666666666666657</v>
      </c>
      <c r="E2979" s="12" t="s">
        <v>8220</v>
      </c>
      <c r="F2979" s="13">
        <v>6</v>
      </c>
      <c r="G2979" s="14">
        <v>1832.25</v>
      </c>
      <c r="H2979" t="s">
        <v>2904</v>
      </c>
      <c r="I2979">
        <v>6</v>
      </c>
    </row>
    <row r="2980" spans="1:9" ht="15.6" x14ac:dyDescent="0.3">
      <c r="A2980" s="9">
        <v>2979</v>
      </c>
      <c r="B2980" s="2" t="s">
        <v>2985</v>
      </c>
      <c r="C2980" s="11">
        <v>20</v>
      </c>
      <c r="D2980" s="12">
        <v>66.666666666666657</v>
      </c>
      <c r="E2980" s="12" t="s">
        <v>8220</v>
      </c>
      <c r="F2980" s="13">
        <v>6</v>
      </c>
      <c r="G2980" s="14">
        <v>1872.2800000000002</v>
      </c>
      <c r="H2980" t="s">
        <v>1880</v>
      </c>
      <c r="I2980">
        <v>6</v>
      </c>
    </row>
    <row r="2981" spans="1:9" ht="15.6" x14ac:dyDescent="0.3">
      <c r="A2981" s="9">
        <v>2980</v>
      </c>
      <c r="B2981" s="2" t="s">
        <v>2986</v>
      </c>
      <c r="C2981" s="11">
        <v>14</v>
      </c>
      <c r="D2981" s="12">
        <v>50</v>
      </c>
      <c r="E2981" s="12" t="s">
        <v>8219</v>
      </c>
      <c r="F2981" s="13">
        <v>6</v>
      </c>
      <c r="G2981" s="14">
        <v>1847.2600000000002</v>
      </c>
      <c r="H2981" t="s">
        <v>856</v>
      </c>
      <c r="I2981">
        <v>5</v>
      </c>
    </row>
    <row r="2982" spans="1:9" ht="15.6" x14ac:dyDescent="0.3">
      <c r="A2982" s="9">
        <v>2981</v>
      </c>
      <c r="B2982" s="2" t="s">
        <v>2987</v>
      </c>
      <c r="C2982" s="11">
        <v>20</v>
      </c>
      <c r="D2982" s="12">
        <v>66.666666666666657</v>
      </c>
      <c r="E2982" s="12" t="s">
        <v>8220</v>
      </c>
      <c r="F2982" s="13">
        <v>6</v>
      </c>
      <c r="G2982" s="14">
        <v>1832.25</v>
      </c>
      <c r="H2982" t="s">
        <v>3672</v>
      </c>
      <c r="I2982">
        <v>6</v>
      </c>
    </row>
    <row r="2983" spans="1:9" ht="15.6" x14ac:dyDescent="0.3">
      <c r="A2983" s="9">
        <v>2982</v>
      </c>
      <c r="B2983" s="2" t="s">
        <v>2988</v>
      </c>
      <c r="C2983" s="11">
        <v>18</v>
      </c>
      <c r="D2983" s="12">
        <v>83.333333333333343</v>
      </c>
      <c r="E2983" s="12" t="s">
        <v>8220</v>
      </c>
      <c r="F2983" s="13">
        <v>6</v>
      </c>
      <c r="G2983" s="14">
        <v>1808.2200000000003</v>
      </c>
      <c r="H2983" t="s">
        <v>2648</v>
      </c>
      <c r="I2983">
        <v>5</v>
      </c>
    </row>
    <row r="2984" spans="1:9" ht="15.6" x14ac:dyDescent="0.3">
      <c r="A2984" s="9">
        <v>2983</v>
      </c>
      <c r="B2984" s="2" t="s">
        <v>2989</v>
      </c>
      <c r="C2984" s="11">
        <v>18</v>
      </c>
      <c r="D2984" s="12">
        <v>83.333333333333343</v>
      </c>
      <c r="E2984" s="12" t="s">
        <v>8220</v>
      </c>
      <c r="F2984" s="13">
        <v>6</v>
      </c>
      <c r="G2984" s="14">
        <v>1848.25</v>
      </c>
      <c r="H2984" t="s">
        <v>1624</v>
      </c>
      <c r="I2984">
        <v>5</v>
      </c>
    </row>
    <row r="2985" spans="1:9" ht="15.6" x14ac:dyDescent="0.3">
      <c r="A2985" s="9">
        <v>2984</v>
      </c>
      <c r="B2985" s="2" t="s">
        <v>2990</v>
      </c>
      <c r="C2985" s="11">
        <v>12</v>
      </c>
      <c r="D2985" s="12">
        <v>66.666666666666657</v>
      </c>
      <c r="E2985" s="12" t="s">
        <v>8220</v>
      </c>
      <c r="F2985" s="13">
        <v>6</v>
      </c>
      <c r="G2985" s="14">
        <v>1823.23</v>
      </c>
      <c r="H2985" t="s">
        <v>600</v>
      </c>
      <c r="I2985">
        <v>4</v>
      </c>
    </row>
    <row r="2986" spans="1:9" ht="15.6" x14ac:dyDescent="0.3">
      <c r="A2986" s="9">
        <v>2985</v>
      </c>
      <c r="B2986" s="2" t="s">
        <v>2991</v>
      </c>
      <c r="C2986" s="11">
        <v>20</v>
      </c>
      <c r="D2986" s="12">
        <v>66.666666666666657</v>
      </c>
      <c r="E2986" s="12" t="s">
        <v>8220</v>
      </c>
      <c r="F2986" s="13">
        <v>6</v>
      </c>
      <c r="G2986" s="14">
        <v>1872.2800000000002</v>
      </c>
      <c r="H2986" t="s">
        <v>3416</v>
      </c>
      <c r="I2986">
        <v>6</v>
      </c>
    </row>
    <row r="2987" spans="1:9" ht="15.6" x14ac:dyDescent="0.3">
      <c r="A2987" s="9">
        <v>2986</v>
      </c>
      <c r="B2987" s="2" t="s">
        <v>2992</v>
      </c>
      <c r="C2987" s="11">
        <v>18</v>
      </c>
      <c r="D2987" s="12">
        <v>83.333333333333343</v>
      </c>
      <c r="E2987" s="12" t="s">
        <v>8220</v>
      </c>
      <c r="F2987" s="13">
        <v>6</v>
      </c>
      <c r="G2987" s="14">
        <v>1848.25</v>
      </c>
      <c r="H2987" t="s">
        <v>2392</v>
      </c>
      <c r="I2987">
        <v>5</v>
      </c>
    </row>
    <row r="2988" spans="1:9" ht="15.6" x14ac:dyDescent="0.3">
      <c r="A2988" s="9">
        <v>2987</v>
      </c>
      <c r="B2988" s="2" t="s">
        <v>2993</v>
      </c>
      <c r="C2988" s="11">
        <v>18</v>
      </c>
      <c r="D2988" s="12">
        <v>83.333333333333343</v>
      </c>
      <c r="E2988" s="12" t="s">
        <v>8220</v>
      </c>
      <c r="F2988" s="13">
        <v>6</v>
      </c>
      <c r="G2988" s="14">
        <v>1888.2800000000002</v>
      </c>
      <c r="H2988" t="s">
        <v>1368</v>
      </c>
      <c r="I2988">
        <v>5</v>
      </c>
    </row>
    <row r="2989" spans="1:9" ht="15.6" x14ac:dyDescent="0.3">
      <c r="A2989" s="9">
        <v>2988</v>
      </c>
      <c r="B2989" s="2" t="s">
        <v>2994</v>
      </c>
      <c r="C2989" s="11">
        <v>12</v>
      </c>
      <c r="D2989" s="12">
        <v>66.666666666666657</v>
      </c>
      <c r="E2989" s="12" t="s">
        <v>8220</v>
      </c>
      <c r="F2989" s="13">
        <v>6</v>
      </c>
      <c r="G2989" s="14">
        <v>1863.2600000000002</v>
      </c>
      <c r="H2989" t="s">
        <v>344</v>
      </c>
      <c r="I2989">
        <v>4</v>
      </c>
    </row>
    <row r="2990" spans="1:9" ht="15.6" x14ac:dyDescent="0.3">
      <c r="A2990" s="9">
        <v>2989</v>
      </c>
      <c r="B2990" s="2" t="s">
        <v>2995</v>
      </c>
      <c r="C2990" s="11">
        <v>14</v>
      </c>
      <c r="D2990" s="12">
        <v>50</v>
      </c>
      <c r="E2990" s="12" t="s">
        <v>8219</v>
      </c>
      <c r="F2990" s="13">
        <v>6</v>
      </c>
      <c r="G2990" s="14">
        <v>1847.2600000000002</v>
      </c>
      <c r="H2990" t="s">
        <v>3160</v>
      </c>
      <c r="I2990">
        <v>5</v>
      </c>
    </row>
    <row r="2991" spans="1:9" ht="15.6" x14ac:dyDescent="0.3">
      <c r="A2991" s="9">
        <v>2990</v>
      </c>
      <c r="B2991" s="2" t="s">
        <v>2996</v>
      </c>
      <c r="C2991" s="11">
        <v>12</v>
      </c>
      <c r="D2991" s="12">
        <v>66.666666666666657</v>
      </c>
      <c r="E2991" s="12" t="s">
        <v>8220</v>
      </c>
      <c r="F2991" s="13">
        <v>6</v>
      </c>
      <c r="G2991" s="14">
        <v>1823.23</v>
      </c>
      <c r="H2991" t="s">
        <v>2136</v>
      </c>
      <c r="I2991">
        <v>4</v>
      </c>
    </row>
    <row r="2992" spans="1:9" ht="15.6" x14ac:dyDescent="0.3">
      <c r="A2992" s="9">
        <v>2991</v>
      </c>
      <c r="B2992" s="2" t="s">
        <v>2997</v>
      </c>
      <c r="C2992" s="11">
        <v>12</v>
      </c>
      <c r="D2992" s="12">
        <v>66.666666666666657</v>
      </c>
      <c r="E2992" s="12" t="s">
        <v>8220</v>
      </c>
      <c r="F2992" s="13">
        <v>6</v>
      </c>
      <c r="G2992" s="14">
        <v>1863.2600000000002</v>
      </c>
      <c r="H2992" t="s">
        <v>1112</v>
      </c>
      <c r="I2992">
        <v>4</v>
      </c>
    </row>
    <row r="2993" spans="1:9" ht="15.6" x14ac:dyDescent="0.3">
      <c r="A2993" s="9">
        <v>2992</v>
      </c>
      <c r="B2993" s="2" t="s">
        <v>2998</v>
      </c>
      <c r="C2993" s="11">
        <v>6</v>
      </c>
      <c r="D2993" s="12">
        <v>50</v>
      </c>
      <c r="E2993" s="12" t="s">
        <v>8219</v>
      </c>
      <c r="F2993" s="13">
        <v>6</v>
      </c>
      <c r="G2993" s="14">
        <v>1838.2400000000002</v>
      </c>
      <c r="H2993" t="s">
        <v>88</v>
      </c>
      <c r="I2993">
        <v>3</v>
      </c>
    </row>
    <row r="2994" spans="1:9" ht="15.6" x14ac:dyDescent="0.3">
      <c r="A2994" s="9">
        <v>2993</v>
      </c>
      <c r="B2994" s="2" t="s">
        <v>2999</v>
      </c>
      <c r="C2994" s="11">
        <v>16</v>
      </c>
      <c r="D2994" s="12">
        <v>33.333333333333329</v>
      </c>
      <c r="E2994" s="12" t="s">
        <v>8219</v>
      </c>
      <c r="F2994" s="13">
        <v>6</v>
      </c>
      <c r="G2994" s="14">
        <v>1831.2600000000002</v>
      </c>
      <c r="H2994" t="s">
        <v>3864</v>
      </c>
      <c r="I2994">
        <v>5</v>
      </c>
    </row>
    <row r="2995" spans="1:9" ht="15.6" x14ac:dyDescent="0.3">
      <c r="A2995" s="9">
        <v>2994</v>
      </c>
      <c r="B2995" s="2" t="s">
        <v>3000</v>
      </c>
      <c r="C2995" s="11">
        <v>14</v>
      </c>
      <c r="D2995" s="12">
        <v>50</v>
      </c>
      <c r="E2995" s="12" t="s">
        <v>8219</v>
      </c>
      <c r="F2995" s="13">
        <v>6</v>
      </c>
      <c r="G2995" s="14">
        <v>1807.23</v>
      </c>
      <c r="H2995" t="s">
        <v>2840</v>
      </c>
      <c r="I2995">
        <v>5</v>
      </c>
    </row>
    <row r="2996" spans="1:9" ht="15.6" x14ac:dyDescent="0.3">
      <c r="A2996" s="9">
        <v>2995</v>
      </c>
      <c r="B2996" s="2" t="s">
        <v>3001</v>
      </c>
      <c r="C2996" s="11">
        <v>14</v>
      </c>
      <c r="D2996" s="12">
        <v>50</v>
      </c>
      <c r="E2996" s="12" t="s">
        <v>8219</v>
      </c>
      <c r="F2996" s="13">
        <v>6</v>
      </c>
      <c r="G2996" s="14">
        <v>1847.2600000000002</v>
      </c>
      <c r="H2996" t="s">
        <v>1816</v>
      </c>
      <c r="I2996">
        <v>5</v>
      </c>
    </row>
    <row r="2997" spans="1:9" ht="15.6" x14ac:dyDescent="0.3">
      <c r="A2997" s="9">
        <v>2996</v>
      </c>
      <c r="B2997" s="2" t="s">
        <v>3002</v>
      </c>
      <c r="C2997" s="11">
        <v>8</v>
      </c>
      <c r="D2997" s="12">
        <v>33.333333333333329</v>
      </c>
      <c r="E2997" s="12" t="s">
        <v>8219</v>
      </c>
      <c r="F2997" s="13">
        <v>6</v>
      </c>
      <c r="G2997" s="14">
        <v>1822.2400000000002</v>
      </c>
      <c r="H2997" t="s">
        <v>792</v>
      </c>
      <c r="I2997">
        <v>4</v>
      </c>
    </row>
    <row r="2998" spans="1:9" ht="15.6" x14ac:dyDescent="0.3">
      <c r="A2998" s="9">
        <v>2997</v>
      </c>
      <c r="B2998" s="2" t="s">
        <v>3003</v>
      </c>
      <c r="C2998" s="11">
        <v>14</v>
      </c>
      <c r="D2998" s="12">
        <v>50</v>
      </c>
      <c r="E2998" s="12" t="s">
        <v>8219</v>
      </c>
      <c r="F2998" s="13">
        <v>6</v>
      </c>
      <c r="G2998" s="14">
        <v>1807.23</v>
      </c>
      <c r="H2998" t="s">
        <v>3608</v>
      </c>
      <c r="I2998">
        <v>5</v>
      </c>
    </row>
    <row r="2999" spans="1:9" ht="15.6" x14ac:dyDescent="0.3">
      <c r="A2999" s="9">
        <v>2998</v>
      </c>
      <c r="B2999" s="2" t="s">
        <v>3004</v>
      </c>
      <c r="C2999" s="11">
        <v>12</v>
      </c>
      <c r="D2999" s="12">
        <v>66.666666666666657</v>
      </c>
      <c r="E2999" s="12" t="s">
        <v>8220</v>
      </c>
      <c r="F2999" s="13">
        <v>6</v>
      </c>
      <c r="G2999" s="14">
        <v>1783.1999999999998</v>
      </c>
      <c r="H2999" t="s">
        <v>2584</v>
      </c>
      <c r="I2999">
        <v>4</v>
      </c>
    </row>
    <row r="3000" spans="1:9" ht="15.6" x14ac:dyDescent="0.3">
      <c r="A3000" s="9">
        <v>2999</v>
      </c>
      <c r="B3000" s="2" t="s">
        <v>3005</v>
      </c>
      <c r="C3000" s="11">
        <v>12</v>
      </c>
      <c r="D3000" s="12">
        <v>66.666666666666657</v>
      </c>
      <c r="E3000" s="12" t="s">
        <v>8220</v>
      </c>
      <c r="F3000" s="13">
        <v>6</v>
      </c>
      <c r="G3000" s="14">
        <v>1823.23</v>
      </c>
      <c r="H3000" t="s">
        <v>1560</v>
      </c>
      <c r="I3000">
        <v>4</v>
      </c>
    </row>
    <row r="3001" spans="1:9" ht="15.6" x14ac:dyDescent="0.3">
      <c r="A3001" s="9">
        <v>3000</v>
      </c>
      <c r="B3001" s="2" t="s">
        <v>3006</v>
      </c>
      <c r="C3001" s="11">
        <v>6</v>
      </c>
      <c r="D3001" s="12">
        <v>50</v>
      </c>
      <c r="E3001" s="12" t="s">
        <v>8219</v>
      </c>
      <c r="F3001" s="13">
        <v>6</v>
      </c>
      <c r="G3001" s="14">
        <v>1798.21</v>
      </c>
      <c r="H3001" t="s">
        <v>536</v>
      </c>
      <c r="I3001">
        <v>3</v>
      </c>
    </row>
    <row r="3002" spans="1:9" ht="15.6" x14ac:dyDescent="0.3">
      <c r="A3002" s="9">
        <v>3001</v>
      </c>
      <c r="B3002" s="2" t="s">
        <v>3007</v>
      </c>
      <c r="C3002" s="11">
        <v>14</v>
      </c>
      <c r="D3002" s="12">
        <v>50</v>
      </c>
      <c r="E3002" s="12" t="s">
        <v>8219</v>
      </c>
      <c r="F3002" s="13">
        <v>6</v>
      </c>
      <c r="G3002" s="14">
        <v>1847.2600000000002</v>
      </c>
      <c r="H3002" t="s">
        <v>3352</v>
      </c>
      <c r="I3002">
        <v>5</v>
      </c>
    </row>
    <row r="3003" spans="1:9" ht="15.6" x14ac:dyDescent="0.3">
      <c r="A3003" s="9">
        <v>3002</v>
      </c>
      <c r="B3003" s="2" t="s">
        <v>3008</v>
      </c>
      <c r="C3003" s="11">
        <v>12</v>
      </c>
      <c r="D3003" s="12">
        <v>66.666666666666657</v>
      </c>
      <c r="E3003" s="12" t="s">
        <v>8220</v>
      </c>
      <c r="F3003" s="13">
        <v>6</v>
      </c>
      <c r="G3003" s="14">
        <v>1823.23</v>
      </c>
      <c r="H3003" t="s">
        <v>2328</v>
      </c>
      <c r="I3003">
        <v>4</v>
      </c>
    </row>
    <row r="3004" spans="1:9" ht="15.6" x14ac:dyDescent="0.3">
      <c r="A3004" s="9">
        <v>3003</v>
      </c>
      <c r="B3004" s="2" t="s">
        <v>3009</v>
      </c>
      <c r="C3004" s="11">
        <v>12</v>
      </c>
      <c r="D3004" s="12">
        <v>66.666666666666657</v>
      </c>
      <c r="E3004" s="12" t="s">
        <v>8220</v>
      </c>
      <c r="F3004" s="13">
        <v>6</v>
      </c>
      <c r="G3004" s="14">
        <v>1863.2600000000002</v>
      </c>
      <c r="H3004" t="s">
        <v>1304</v>
      </c>
      <c r="I3004">
        <v>4</v>
      </c>
    </row>
    <row r="3005" spans="1:9" ht="15.6" x14ac:dyDescent="0.3">
      <c r="A3005" s="9">
        <v>3004</v>
      </c>
      <c r="B3005" s="2" t="s">
        <v>3010</v>
      </c>
      <c r="C3005" s="11">
        <v>6</v>
      </c>
      <c r="D3005" s="12">
        <v>50</v>
      </c>
      <c r="E3005" s="12" t="s">
        <v>8219</v>
      </c>
      <c r="F3005" s="13">
        <v>6</v>
      </c>
      <c r="G3005" s="14">
        <v>1838.2400000000002</v>
      </c>
      <c r="H3005" t="s">
        <v>280</v>
      </c>
      <c r="I3005">
        <v>3</v>
      </c>
    </row>
    <row r="3006" spans="1:9" ht="15.6" x14ac:dyDescent="0.3">
      <c r="A3006" s="9">
        <v>3005</v>
      </c>
      <c r="B3006" s="2" t="s">
        <v>3011</v>
      </c>
      <c r="C3006" s="11">
        <v>8</v>
      </c>
      <c r="D3006" s="12">
        <v>33.333333333333329</v>
      </c>
      <c r="E3006" s="12" t="s">
        <v>8219</v>
      </c>
      <c r="F3006" s="13">
        <v>6</v>
      </c>
      <c r="G3006" s="14">
        <v>1822.2400000000002</v>
      </c>
      <c r="H3006" t="s">
        <v>3096</v>
      </c>
      <c r="I3006">
        <v>4</v>
      </c>
    </row>
    <row r="3007" spans="1:9" ht="15.6" x14ac:dyDescent="0.3">
      <c r="A3007" s="9">
        <v>3006</v>
      </c>
      <c r="B3007" s="2" t="s">
        <v>3012</v>
      </c>
      <c r="C3007" s="11">
        <v>6</v>
      </c>
      <c r="D3007" s="12">
        <v>50</v>
      </c>
      <c r="E3007" s="12" t="s">
        <v>8219</v>
      </c>
      <c r="F3007" s="13">
        <v>6</v>
      </c>
      <c r="G3007" s="14">
        <v>1798.21</v>
      </c>
      <c r="H3007" t="s">
        <v>2072</v>
      </c>
      <c r="I3007">
        <v>3</v>
      </c>
    </row>
    <row r="3008" spans="1:9" ht="15.6" x14ac:dyDescent="0.3">
      <c r="A3008" s="9">
        <v>3007</v>
      </c>
      <c r="B3008" s="2" t="s">
        <v>3013</v>
      </c>
      <c r="C3008" s="11">
        <v>6</v>
      </c>
      <c r="D3008" s="12">
        <v>50</v>
      </c>
      <c r="E3008" s="12" t="s">
        <v>8219</v>
      </c>
      <c r="F3008" s="13">
        <v>6</v>
      </c>
      <c r="G3008" s="14">
        <v>1838.2400000000002</v>
      </c>
      <c r="H3008" t="s">
        <v>1048</v>
      </c>
      <c r="I3008">
        <v>3</v>
      </c>
    </row>
    <row r="3009" spans="1:9" ht="15.6" x14ac:dyDescent="0.3">
      <c r="A3009" s="9">
        <v>3008</v>
      </c>
      <c r="B3009" s="2" t="s">
        <v>3014</v>
      </c>
      <c r="C3009" s="11">
        <v>0</v>
      </c>
      <c r="D3009" s="12">
        <v>33.333333333333329</v>
      </c>
      <c r="E3009" s="12" t="s">
        <v>8219</v>
      </c>
      <c r="F3009" s="13">
        <v>6</v>
      </c>
      <c r="G3009" s="14">
        <v>1813.2200000000003</v>
      </c>
      <c r="H3009" t="s">
        <v>24</v>
      </c>
      <c r="I3009">
        <v>2</v>
      </c>
    </row>
    <row r="3010" spans="1:9" ht="15.6" x14ac:dyDescent="0.3">
      <c r="A3010" s="9">
        <v>3009</v>
      </c>
      <c r="B3010" s="2" t="s">
        <v>3015</v>
      </c>
      <c r="C3010" s="11">
        <v>18</v>
      </c>
      <c r="D3010" s="12">
        <v>16.666666666666664</v>
      </c>
      <c r="E3010" s="12" t="s">
        <v>8219</v>
      </c>
      <c r="F3010" s="13">
        <v>6</v>
      </c>
      <c r="G3010" s="14">
        <v>1815.2599999999998</v>
      </c>
      <c r="H3010" t="s">
        <v>4040</v>
      </c>
      <c r="I3010">
        <v>5</v>
      </c>
    </row>
    <row r="3011" spans="1:9" ht="15.6" x14ac:dyDescent="0.3">
      <c r="A3011" s="9">
        <v>3010</v>
      </c>
      <c r="B3011" s="2" t="s">
        <v>3016</v>
      </c>
      <c r="C3011" s="11">
        <v>16</v>
      </c>
      <c r="D3011" s="12">
        <v>33.333333333333329</v>
      </c>
      <c r="E3011" s="12" t="s">
        <v>8219</v>
      </c>
      <c r="F3011" s="13">
        <v>6</v>
      </c>
      <c r="G3011" s="14">
        <v>1791.23</v>
      </c>
      <c r="H3011" t="s">
        <v>3016</v>
      </c>
      <c r="I3011">
        <v>5</v>
      </c>
    </row>
    <row r="3012" spans="1:9" ht="15.6" x14ac:dyDescent="0.3">
      <c r="A3012" s="9">
        <v>3011</v>
      </c>
      <c r="B3012" s="2" t="s">
        <v>3017</v>
      </c>
      <c r="C3012" s="11">
        <v>16</v>
      </c>
      <c r="D3012" s="12">
        <v>33.333333333333329</v>
      </c>
      <c r="E3012" s="12" t="s">
        <v>8219</v>
      </c>
      <c r="F3012" s="13">
        <v>6</v>
      </c>
      <c r="G3012" s="14">
        <v>1831.2600000000002</v>
      </c>
      <c r="H3012" t="s">
        <v>1992</v>
      </c>
      <c r="I3012">
        <v>5</v>
      </c>
    </row>
    <row r="3013" spans="1:9" ht="15.6" x14ac:dyDescent="0.3">
      <c r="A3013" s="9">
        <v>3012</v>
      </c>
      <c r="B3013" s="2" t="s">
        <v>3018</v>
      </c>
      <c r="C3013" s="11">
        <v>10</v>
      </c>
      <c r="D3013" s="12">
        <v>16.666666666666664</v>
      </c>
      <c r="E3013" s="12" t="s">
        <v>8219</v>
      </c>
      <c r="F3013" s="13">
        <v>6</v>
      </c>
      <c r="G3013" s="14">
        <v>1806.2399999999998</v>
      </c>
      <c r="H3013" t="s">
        <v>968</v>
      </c>
      <c r="I3013">
        <v>4</v>
      </c>
    </row>
    <row r="3014" spans="1:9" ht="15.6" x14ac:dyDescent="0.3">
      <c r="A3014" s="9">
        <v>3013</v>
      </c>
      <c r="B3014" s="2" t="s">
        <v>3019</v>
      </c>
      <c r="C3014" s="11">
        <v>16</v>
      </c>
      <c r="D3014" s="12">
        <v>33.333333333333329</v>
      </c>
      <c r="E3014" s="12" t="s">
        <v>8219</v>
      </c>
      <c r="F3014" s="13">
        <v>6</v>
      </c>
      <c r="G3014" s="14">
        <v>1791.23</v>
      </c>
      <c r="H3014" t="s">
        <v>3784</v>
      </c>
      <c r="I3014">
        <v>5</v>
      </c>
    </row>
    <row r="3015" spans="1:9" ht="15.6" x14ac:dyDescent="0.3">
      <c r="A3015" s="9">
        <v>3014</v>
      </c>
      <c r="B3015" s="2" t="s">
        <v>3020</v>
      </c>
      <c r="C3015" s="11">
        <v>14</v>
      </c>
      <c r="D3015" s="12">
        <v>50</v>
      </c>
      <c r="E3015" s="12" t="s">
        <v>8219</v>
      </c>
      <c r="F3015" s="13">
        <v>6</v>
      </c>
      <c r="G3015" s="14">
        <v>1767.1999999999998</v>
      </c>
      <c r="H3015" t="s">
        <v>2760</v>
      </c>
      <c r="I3015">
        <v>5</v>
      </c>
    </row>
    <row r="3016" spans="1:9" ht="15.6" x14ac:dyDescent="0.3">
      <c r="A3016" s="9">
        <v>3015</v>
      </c>
      <c r="B3016" s="2" t="s">
        <v>3021</v>
      </c>
      <c r="C3016" s="11">
        <v>14</v>
      </c>
      <c r="D3016" s="12">
        <v>50</v>
      </c>
      <c r="E3016" s="12" t="s">
        <v>8219</v>
      </c>
      <c r="F3016" s="13">
        <v>6</v>
      </c>
      <c r="G3016" s="14">
        <v>1807.23</v>
      </c>
      <c r="H3016" t="s">
        <v>1736</v>
      </c>
      <c r="I3016">
        <v>5</v>
      </c>
    </row>
    <row r="3017" spans="1:9" ht="15.6" x14ac:dyDescent="0.3">
      <c r="A3017" s="9">
        <v>3016</v>
      </c>
      <c r="B3017" s="2" t="s">
        <v>3022</v>
      </c>
      <c r="C3017" s="11">
        <v>8</v>
      </c>
      <c r="D3017" s="12">
        <v>33.333333333333329</v>
      </c>
      <c r="E3017" s="12" t="s">
        <v>8219</v>
      </c>
      <c r="F3017" s="13">
        <v>6</v>
      </c>
      <c r="G3017" s="14">
        <v>1782.21</v>
      </c>
      <c r="H3017" t="s">
        <v>712</v>
      </c>
      <c r="I3017">
        <v>4</v>
      </c>
    </row>
    <row r="3018" spans="1:9" ht="15.6" x14ac:dyDescent="0.3">
      <c r="A3018" s="9">
        <v>3017</v>
      </c>
      <c r="B3018" s="2" t="s">
        <v>3023</v>
      </c>
      <c r="C3018" s="11">
        <v>16</v>
      </c>
      <c r="D3018" s="12">
        <v>33.333333333333329</v>
      </c>
      <c r="E3018" s="12" t="s">
        <v>8219</v>
      </c>
      <c r="F3018" s="13">
        <v>6</v>
      </c>
      <c r="G3018" s="14">
        <v>1831.2600000000002</v>
      </c>
      <c r="H3018" t="s">
        <v>3528</v>
      </c>
      <c r="I3018">
        <v>5</v>
      </c>
    </row>
    <row r="3019" spans="1:9" ht="15.6" x14ac:dyDescent="0.3">
      <c r="A3019" s="9">
        <v>3018</v>
      </c>
      <c r="B3019" s="2" t="s">
        <v>3024</v>
      </c>
      <c r="C3019" s="11">
        <v>14</v>
      </c>
      <c r="D3019" s="12">
        <v>50</v>
      </c>
      <c r="E3019" s="12" t="s">
        <v>8219</v>
      </c>
      <c r="F3019" s="13">
        <v>6</v>
      </c>
      <c r="G3019" s="14">
        <v>1807.23</v>
      </c>
      <c r="H3019" t="s">
        <v>2504</v>
      </c>
      <c r="I3019">
        <v>5</v>
      </c>
    </row>
    <row r="3020" spans="1:9" ht="15.6" x14ac:dyDescent="0.3">
      <c r="A3020" s="9">
        <v>3019</v>
      </c>
      <c r="B3020" s="2" t="s">
        <v>3025</v>
      </c>
      <c r="C3020" s="11">
        <v>14</v>
      </c>
      <c r="D3020" s="12">
        <v>50</v>
      </c>
      <c r="E3020" s="12" t="s">
        <v>8219</v>
      </c>
      <c r="F3020" s="13">
        <v>6</v>
      </c>
      <c r="G3020" s="14">
        <v>1847.2600000000002</v>
      </c>
      <c r="H3020" t="s">
        <v>1480</v>
      </c>
      <c r="I3020">
        <v>5</v>
      </c>
    </row>
    <row r="3021" spans="1:9" ht="15.6" x14ac:dyDescent="0.3">
      <c r="A3021" s="9">
        <v>3020</v>
      </c>
      <c r="B3021" s="2" t="s">
        <v>3026</v>
      </c>
      <c r="C3021" s="11">
        <v>8</v>
      </c>
      <c r="D3021" s="12">
        <v>33.333333333333329</v>
      </c>
      <c r="E3021" s="12" t="s">
        <v>8219</v>
      </c>
      <c r="F3021" s="13">
        <v>6</v>
      </c>
      <c r="G3021" s="14">
        <v>1822.2400000000002</v>
      </c>
      <c r="H3021" t="s">
        <v>456</v>
      </c>
      <c r="I3021">
        <v>4</v>
      </c>
    </row>
    <row r="3022" spans="1:9" ht="15.6" x14ac:dyDescent="0.3">
      <c r="A3022" s="9">
        <v>3021</v>
      </c>
      <c r="B3022" s="2" t="s">
        <v>3027</v>
      </c>
      <c r="C3022" s="11">
        <v>10</v>
      </c>
      <c r="D3022" s="12">
        <v>16.666666666666664</v>
      </c>
      <c r="E3022" s="12" t="s">
        <v>8219</v>
      </c>
      <c r="F3022" s="13">
        <v>6</v>
      </c>
      <c r="G3022" s="14">
        <v>1806.2399999999998</v>
      </c>
      <c r="H3022" t="s">
        <v>3272</v>
      </c>
      <c r="I3022">
        <v>4</v>
      </c>
    </row>
    <row r="3023" spans="1:9" ht="15.6" x14ac:dyDescent="0.3">
      <c r="A3023" s="9">
        <v>3022</v>
      </c>
      <c r="B3023" s="2" t="s">
        <v>3028</v>
      </c>
      <c r="C3023" s="11">
        <v>8</v>
      </c>
      <c r="D3023" s="12">
        <v>33.333333333333329</v>
      </c>
      <c r="E3023" s="12" t="s">
        <v>8219</v>
      </c>
      <c r="F3023" s="13">
        <v>6</v>
      </c>
      <c r="G3023" s="14">
        <v>1782.21</v>
      </c>
      <c r="H3023" t="s">
        <v>2248</v>
      </c>
      <c r="I3023">
        <v>4</v>
      </c>
    </row>
    <row r="3024" spans="1:9" ht="15.6" x14ac:dyDescent="0.3">
      <c r="A3024" s="9">
        <v>3023</v>
      </c>
      <c r="B3024" s="2" t="s">
        <v>3029</v>
      </c>
      <c r="C3024" s="11">
        <v>8</v>
      </c>
      <c r="D3024" s="12">
        <v>33.333333333333329</v>
      </c>
      <c r="E3024" s="12" t="s">
        <v>8219</v>
      </c>
      <c r="F3024" s="13">
        <v>6</v>
      </c>
      <c r="G3024" s="14">
        <v>1822.2400000000002</v>
      </c>
      <c r="H3024" t="s">
        <v>1224</v>
      </c>
      <c r="I3024">
        <v>4</v>
      </c>
    </row>
    <row r="3025" spans="1:9" ht="15.6" x14ac:dyDescent="0.3">
      <c r="A3025" s="9">
        <v>3024</v>
      </c>
      <c r="B3025" s="2" t="s">
        <v>3030</v>
      </c>
      <c r="C3025" s="11">
        <v>2</v>
      </c>
      <c r="D3025" s="12">
        <v>16.666666666666664</v>
      </c>
      <c r="E3025" s="12" t="s">
        <v>8219</v>
      </c>
      <c r="F3025" s="13">
        <v>6</v>
      </c>
      <c r="G3025" s="14">
        <v>1797.2199999999998</v>
      </c>
      <c r="H3025" t="s">
        <v>200</v>
      </c>
      <c r="I3025">
        <v>3</v>
      </c>
    </row>
    <row r="3026" spans="1:9" ht="15.6" x14ac:dyDescent="0.3">
      <c r="A3026" s="9">
        <v>3025</v>
      </c>
      <c r="B3026" s="2" t="s">
        <v>3031</v>
      </c>
      <c r="C3026" s="11">
        <v>16</v>
      </c>
      <c r="D3026" s="12">
        <v>33.333333333333329</v>
      </c>
      <c r="E3026" s="12" t="s">
        <v>8219</v>
      </c>
      <c r="F3026" s="13">
        <v>6</v>
      </c>
      <c r="G3026" s="14">
        <v>1791.23</v>
      </c>
      <c r="H3026" t="s">
        <v>3976</v>
      </c>
      <c r="I3026">
        <v>5</v>
      </c>
    </row>
    <row r="3027" spans="1:9" ht="15.6" x14ac:dyDescent="0.3">
      <c r="A3027" s="9">
        <v>3026</v>
      </c>
      <c r="B3027" s="2" t="s">
        <v>3032</v>
      </c>
      <c r="C3027" s="11">
        <v>14</v>
      </c>
      <c r="D3027" s="12">
        <v>50</v>
      </c>
      <c r="E3027" s="12" t="s">
        <v>8219</v>
      </c>
      <c r="F3027" s="13">
        <v>6</v>
      </c>
      <c r="G3027" s="14">
        <v>1767.1999999999998</v>
      </c>
      <c r="H3027" t="s">
        <v>2952</v>
      </c>
      <c r="I3027">
        <v>5</v>
      </c>
    </row>
    <row r="3028" spans="1:9" ht="15.6" x14ac:dyDescent="0.3">
      <c r="A3028" s="9">
        <v>3027</v>
      </c>
      <c r="B3028" s="2" t="s">
        <v>3033</v>
      </c>
      <c r="C3028" s="11">
        <v>14</v>
      </c>
      <c r="D3028" s="12">
        <v>50</v>
      </c>
      <c r="E3028" s="12" t="s">
        <v>8219</v>
      </c>
      <c r="F3028" s="13">
        <v>6</v>
      </c>
      <c r="G3028" s="14">
        <v>1807.23</v>
      </c>
      <c r="H3028" t="s">
        <v>1928</v>
      </c>
      <c r="I3028">
        <v>5</v>
      </c>
    </row>
    <row r="3029" spans="1:9" ht="15.6" x14ac:dyDescent="0.3">
      <c r="A3029" s="9">
        <v>3028</v>
      </c>
      <c r="B3029" s="2" t="s">
        <v>3034</v>
      </c>
      <c r="C3029" s="11">
        <v>8</v>
      </c>
      <c r="D3029" s="12">
        <v>33.333333333333329</v>
      </c>
      <c r="E3029" s="12" t="s">
        <v>8219</v>
      </c>
      <c r="F3029" s="13">
        <v>6</v>
      </c>
      <c r="G3029" s="14">
        <v>1782.21</v>
      </c>
      <c r="H3029" t="s">
        <v>904</v>
      </c>
      <c r="I3029">
        <v>4</v>
      </c>
    </row>
    <row r="3030" spans="1:9" ht="15.6" x14ac:dyDescent="0.3">
      <c r="A3030" s="9">
        <v>3029</v>
      </c>
      <c r="B3030" s="2" t="s">
        <v>3035</v>
      </c>
      <c r="C3030" s="11">
        <v>14</v>
      </c>
      <c r="D3030" s="12">
        <v>50</v>
      </c>
      <c r="E3030" s="12" t="s">
        <v>8219</v>
      </c>
      <c r="F3030" s="13">
        <v>6</v>
      </c>
      <c r="G3030" s="14">
        <v>1767.1999999999998</v>
      </c>
      <c r="H3030" t="s">
        <v>3720</v>
      </c>
      <c r="I3030">
        <v>5</v>
      </c>
    </row>
    <row r="3031" spans="1:9" ht="15.6" x14ac:dyDescent="0.3">
      <c r="A3031" s="9">
        <v>3030</v>
      </c>
      <c r="B3031" s="2" t="s">
        <v>3036</v>
      </c>
      <c r="C3031" s="11">
        <v>12</v>
      </c>
      <c r="D3031" s="12">
        <v>66.666666666666657</v>
      </c>
      <c r="E3031" s="12" t="s">
        <v>8220</v>
      </c>
      <c r="F3031" s="13">
        <v>6</v>
      </c>
      <c r="G3031" s="14">
        <v>1743.17</v>
      </c>
      <c r="H3031" t="s">
        <v>2696</v>
      </c>
      <c r="I3031">
        <v>4</v>
      </c>
    </row>
    <row r="3032" spans="1:9" ht="15.6" x14ac:dyDescent="0.3">
      <c r="A3032" s="9">
        <v>3031</v>
      </c>
      <c r="B3032" s="2" t="s">
        <v>3037</v>
      </c>
      <c r="C3032" s="11">
        <v>12</v>
      </c>
      <c r="D3032" s="12">
        <v>66.666666666666657</v>
      </c>
      <c r="E3032" s="12" t="s">
        <v>8220</v>
      </c>
      <c r="F3032" s="13">
        <v>6</v>
      </c>
      <c r="G3032" s="14">
        <v>1783.1999999999998</v>
      </c>
      <c r="H3032" t="s">
        <v>1672</v>
      </c>
      <c r="I3032">
        <v>4</v>
      </c>
    </row>
    <row r="3033" spans="1:9" ht="15.6" x14ac:dyDescent="0.3">
      <c r="A3033" s="9">
        <v>3032</v>
      </c>
      <c r="B3033" s="2" t="s">
        <v>3038</v>
      </c>
      <c r="C3033" s="11">
        <v>6</v>
      </c>
      <c r="D3033" s="12">
        <v>50</v>
      </c>
      <c r="E3033" s="12" t="s">
        <v>8219</v>
      </c>
      <c r="F3033" s="13">
        <v>6</v>
      </c>
      <c r="G3033" s="14">
        <v>1758.1799999999998</v>
      </c>
      <c r="H3033" t="s">
        <v>648</v>
      </c>
      <c r="I3033">
        <v>3</v>
      </c>
    </row>
    <row r="3034" spans="1:9" ht="15.6" x14ac:dyDescent="0.3">
      <c r="A3034" s="9">
        <v>3033</v>
      </c>
      <c r="B3034" s="2" t="s">
        <v>3039</v>
      </c>
      <c r="C3034" s="11">
        <v>14</v>
      </c>
      <c r="D3034" s="12">
        <v>50</v>
      </c>
      <c r="E3034" s="12" t="s">
        <v>8219</v>
      </c>
      <c r="F3034" s="13">
        <v>6</v>
      </c>
      <c r="G3034" s="14">
        <v>1807.23</v>
      </c>
      <c r="H3034" t="s">
        <v>3464</v>
      </c>
      <c r="I3034">
        <v>5</v>
      </c>
    </row>
    <row r="3035" spans="1:9" ht="15.6" x14ac:dyDescent="0.3">
      <c r="A3035" s="9">
        <v>3034</v>
      </c>
      <c r="B3035" s="2" t="s">
        <v>3040</v>
      </c>
      <c r="C3035" s="11">
        <v>12</v>
      </c>
      <c r="D3035" s="12">
        <v>66.666666666666657</v>
      </c>
      <c r="E3035" s="12" t="s">
        <v>8220</v>
      </c>
      <c r="F3035" s="13">
        <v>6</v>
      </c>
      <c r="G3035" s="14">
        <v>1783.1999999999998</v>
      </c>
      <c r="H3035" t="s">
        <v>2440</v>
      </c>
      <c r="I3035">
        <v>4</v>
      </c>
    </row>
    <row r="3036" spans="1:9" ht="15.6" x14ac:dyDescent="0.3">
      <c r="A3036" s="9">
        <v>3035</v>
      </c>
      <c r="B3036" s="2" t="s">
        <v>3041</v>
      </c>
      <c r="C3036" s="11">
        <v>12</v>
      </c>
      <c r="D3036" s="12">
        <v>66.666666666666657</v>
      </c>
      <c r="E3036" s="12" t="s">
        <v>8220</v>
      </c>
      <c r="F3036" s="13">
        <v>6</v>
      </c>
      <c r="G3036" s="14">
        <v>1823.23</v>
      </c>
      <c r="H3036" t="s">
        <v>1416</v>
      </c>
      <c r="I3036">
        <v>4</v>
      </c>
    </row>
    <row r="3037" spans="1:9" ht="15.6" x14ac:dyDescent="0.3">
      <c r="A3037" s="9">
        <v>3036</v>
      </c>
      <c r="B3037" s="2" t="s">
        <v>3042</v>
      </c>
      <c r="C3037" s="11">
        <v>6</v>
      </c>
      <c r="D3037" s="12">
        <v>50</v>
      </c>
      <c r="E3037" s="12" t="s">
        <v>8219</v>
      </c>
      <c r="F3037" s="13">
        <v>6</v>
      </c>
      <c r="G3037" s="14">
        <v>1798.21</v>
      </c>
      <c r="H3037" t="s">
        <v>392</v>
      </c>
      <c r="I3037">
        <v>3</v>
      </c>
    </row>
    <row r="3038" spans="1:9" ht="15.6" x14ac:dyDescent="0.3">
      <c r="A3038" s="9">
        <v>3037</v>
      </c>
      <c r="B3038" s="2" t="s">
        <v>3043</v>
      </c>
      <c r="C3038" s="11">
        <v>8</v>
      </c>
      <c r="D3038" s="12">
        <v>33.333333333333329</v>
      </c>
      <c r="E3038" s="12" t="s">
        <v>8219</v>
      </c>
      <c r="F3038" s="13">
        <v>6</v>
      </c>
      <c r="G3038" s="14">
        <v>1782.21</v>
      </c>
      <c r="H3038" t="s">
        <v>3208</v>
      </c>
      <c r="I3038">
        <v>4</v>
      </c>
    </row>
    <row r="3039" spans="1:9" ht="15.6" x14ac:dyDescent="0.3">
      <c r="A3039" s="9">
        <v>3038</v>
      </c>
      <c r="B3039" s="2" t="s">
        <v>3044</v>
      </c>
      <c r="C3039" s="11">
        <v>6</v>
      </c>
      <c r="D3039" s="12">
        <v>50</v>
      </c>
      <c r="E3039" s="12" t="s">
        <v>8219</v>
      </c>
      <c r="F3039" s="13">
        <v>6</v>
      </c>
      <c r="G3039" s="14">
        <v>1758.1799999999998</v>
      </c>
      <c r="H3039" t="s">
        <v>2184</v>
      </c>
      <c r="I3039">
        <v>3</v>
      </c>
    </row>
    <row r="3040" spans="1:9" ht="15.6" x14ac:dyDescent="0.3">
      <c r="A3040" s="9">
        <v>3039</v>
      </c>
      <c r="B3040" s="2" t="s">
        <v>3045</v>
      </c>
      <c r="C3040" s="11">
        <v>6</v>
      </c>
      <c r="D3040" s="12">
        <v>50</v>
      </c>
      <c r="E3040" s="12" t="s">
        <v>8219</v>
      </c>
      <c r="F3040" s="13">
        <v>6</v>
      </c>
      <c r="G3040" s="14">
        <v>1798.21</v>
      </c>
      <c r="H3040" t="s">
        <v>1160</v>
      </c>
      <c r="I3040">
        <v>3</v>
      </c>
    </row>
    <row r="3041" spans="1:9" ht="15.6" x14ac:dyDescent="0.3">
      <c r="A3041" s="9">
        <v>3040</v>
      </c>
      <c r="B3041" s="2" t="s">
        <v>3046</v>
      </c>
      <c r="C3041" s="11">
        <v>0</v>
      </c>
      <c r="D3041" s="12">
        <v>33.333333333333329</v>
      </c>
      <c r="E3041" s="12" t="s">
        <v>8219</v>
      </c>
      <c r="F3041" s="13">
        <v>6</v>
      </c>
      <c r="G3041" s="14">
        <v>1773.19</v>
      </c>
      <c r="H3041" t="s">
        <v>136</v>
      </c>
      <c r="I3041">
        <v>2</v>
      </c>
    </row>
    <row r="3042" spans="1:9" ht="15.6" x14ac:dyDescent="0.3">
      <c r="A3042" s="9">
        <v>3041</v>
      </c>
      <c r="B3042" s="2" t="s">
        <v>3047</v>
      </c>
      <c r="C3042" s="11">
        <v>16</v>
      </c>
      <c r="D3042" s="12">
        <v>33.333333333333329</v>
      </c>
      <c r="E3042" s="12" t="s">
        <v>8219</v>
      </c>
      <c r="F3042" s="13">
        <v>6</v>
      </c>
      <c r="G3042" s="14">
        <v>1831.2600000000002</v>
      </c>
      <c r="H3042" t="s">
        <v>3912</v>
      </c>
      <c r="I3042">
        <v>5</v>
      </c>
    </row>
    <row r="3043" spans="1:9" ht="15.6" x14ac:dyDescent="0.3">
      <c r="A3043" s="9">
        <v>3042</v>
      </c>
      <c r="B3043" s="2" t="s">
        <v>3048</v>
      </c>
      <c r="C3043" s="11">
        <v>14</v>
      </c>
      <c r="D3043" s="12">
        <v>50</v>
      </c>
      <c r="E3043" s="12" t="s">
        <v>8219</v>
      </c>
      <c r="F3043" s="13">
        <v>6</v>
      </c>
      <c r="G3043" s="14">
        <v>1807.23</v>
      </c>
      <c r="H3043" t="s">
        <v>2888</v>
      </c>
      <c r="I3043">
        <v>5</v>
      </c>
    </row>
    <row r="3044" spans="1:9" ht="15.6" x14ac:dyDescent="0.3">
      <c r="A3044" s="9">
        <v>3043</v>
      </c>
      <c r="B3044" s="2" t="s">
        <v>3049</v>
      </c>
      <c r="C3044" s="11">
        <v>14</v>
      </c>
      <c r="D3044" s="12">
        <v>50</v>
      </c>
      <c r="E3044" s="12" t="s">
        <v>8219</v>
      </c>
      <c r="F3044" s="13">
        <v>6</v>
      </c>
      <c r="G3044" s="14">
        <v>1847.2600000000002</v>
      </c>
      <c r="H3044" t="s">
        <v>1864</v>
      </c>
      <c r="I3044">
        <v>5</v>
      </c>
    </row>
    <row r="3045" spans="1:9" ht="15.6" x14ac:dyDescent="0.3">
      <c r="A3045" s="9">
        <v>3044</v>
      </c>
      <c r="B3045" s="2" t="s">
        <v>3050</v>
      </c>
      <c r="C3045" s="11">
        <v>8</v>
      </c>
      <c r="D3045" s="12">
        <v>33.333333333333329</v>
      </c>
      <c r="E3045" s="12" t="s">
        <v>8219</v>
      </c>
      <c r="F3045" s="13">
        <v>6</v>
      </c>
      <c r="G3045" s="14">
        <v>1822.2400000000002</v>
      </c>
      <c r="H3045" t="s">
        <v>840</v>
      </c>
      <c r="I3045">
        <v>4</v>
      </c>
    </row>
    <row r="3046" spans="1:9" ht="15.6" x14ac:dyDescent="0.3">
      <c r="A3046" s="9">
        <v>3045</v>
      </c>
      <c r="B3046" s="2" t="s">
        <v>3051</v>
      </c>
      <c r="C3046" s="11">
        <v>14</v>
      </c>
      <c r="D3046" s="12">
        <v>50</v>
      </c>
      <c r="E3046" s="12" t="s">
        <v>8219</v>
      </c>
      <c r="F3046" s="13">
        <v>6</v>
      </c>
      <c r="G3046" s="14">
        <v>1807.23</v>
      </c>
      <c r="H3046" t="s">
        <v>3656</v>
      </c>
      <c r="I3046">
        <v>5</v>
      </c>
    </row>
    <row r="3047" spans="1:9" ht="15.6" x14ac:dyDescent="0.3">
      <c r="A3047" s="9">
        <v>3046</v>
      </c>
      <c r="B3047" s="2" t="s">
        <v>3052</v>
      </c>
      <c r="C3047" s="11">
        <v>12</v>
      </c>
      <c r="D3047" s="12">
        <v>66.666666666666657</v>
      </c>
      <c r="E3047" s="12" t="s">
        <v>8220</v>
      </c>
      <c r="F3047" s="13">
        <v>6</v>
      </c>
      <c r="G3047" s="14">
        <v>1783.1999999999998</v>
      </c>
      <c r="H3047" t="s">
        <v>2632</v>
      </c>
      <c r="I3047">
        <v>4</v>
      </c>
    </row>
    <row r="3048" spans="1:9" ht="15.6" x14ac:dyDescent="0.3">
      <c r="A3048" s="9">
        <v>3047</v>
      </c>
      <c r="B3048" s="2" t="s">
        <v>3053</v>
      </c>
      <c r="C3048" s="11">
        <v>12</v>
      </c>
      <c r="D3048" s="12">
        <v>66.666666666666657</v>
      </c>
      <c r="E3048" s="12" t="s">
        <v>8220</v>
      </c>
      <c r="F3048" s="13">
        <v>6</v>
      </c>
      <c r="G3048" s="14">
        <v>1823.23</v>
      </c>
      <c r="H3048" t="s">
        <v>1608</v>
      </c>
      <c r="I3048">
        <v>4</v>
      </c>
    </row>
    <row r="3049" spans="1:9" ht="15.6" x14ac:dyDescent="0.3">
      <c r="A3049" s="9">
        <v>3048</v>
      </c>
      <c r="B3049" s="2" t="s">
        <v>3054</v>
      </c>
      <c r="C3049" s="11">
        <v>6</v>
      </c>
      <c r="D3049" s="12">
        <v>50</v>
      </c>
      <c r="E3049" s="12" t="s">
        <v>8219</v>
      </c>
      <c r="F3049" s="13">
        <v>6</v>
      </c>
      <c r="G3049" s="14">
        <v>1798.21</v>
      </c>
      <c r="H3049" t="s">
        <v>584</v>
      </c>
      <c r="I3049">
        <v>3</v>
      </c>
    </row>
    <row r="3050" spans="1:9" ht="15.6" x14ac:dyDescent="0.3">
      <c r="A3050" s="9">
        <v>3049</v>
      </c>
      <c r="B3050" s="2" t="s">
        <v>3055</v>
      </c>
      <c r="C3050" s="11">
        <v>14</v>
      </c>
      <c r="D3050" s="12">
        <v>50</v>
      </c>
      <c r="E3050" s="12" t="s">
        <v>8219</v>
      </c>
      <c r="F3050" s="13">
        <v>6</v>
      </c>
      <c r="G3050" s="14">
        <v>1847.2600000000002</v>
      </c>
      <c r="H3050" t="s">
        <v>3400</v>
      </c>
      <c r="I3050">
        <v>5</v>
      </c>
    </row>
    <row r="3051" spans="1:9" ht="15.6" x14ac:dyDescent="0.3">
      <c r="A3051" s="9">
        <v>3050</v>
      </c>
      <c r="B3051" s="2" t="s">
        <v>3056</v>
      </c>
      <c r="C3051" s="11">
        <v>12</v>
      </c>
      <c r="D3051" s="12">
        <v>66.666666666666657</v>
      </c>
      <c r="E3051" s="12" t="s">
        <v>8220</v>
      </c>
      <c r="F3051" s="13">
        <v>6</v>
      </c>
      <c r="G3051" s="14">
        <v>1823.23</v>
      </c>
      <c r="H3051" t="s">
        <v>2376</v>
      </c>
      <c r="I3051">
        <v>4</v>
      </c>
    </row>
    <row r="3052" spans="1:9" ht="15.6" x14ac:dyDescent="0.3">
      <c r="A3052" s="9">
        <v>3051</v>
      </c>
      <c r="B3052" s="2" t="s">
        <v>3057</v>
      </c>
      <c r="C3052" s="11">
        <v>12</v>
      </c>
      <c r="D3052" s="12">
        <v>66.666666666666657</v>
      </c>
      <c r="E3052" s="12" t="s">
        <v>8220</v>
      </c>
      <c r="F3052" s="13">
        <v>6</v>
      </c>
      <c r="G3052" s="14">
        <v>1863.2600000000002</v>
      </c>
      <c r="H3052" t="s">
        <v>1352</v>
      </c>
      <c r="I3052">
        <v>4</v>
      </c>
    </row>
    <row r="3053" spans="1:9" ht="15.6" x14ac:dyDescent="0.3">
      <c r="A3053" s="9">
        <v>3052</v>
      </c>
      <c r="B3053" s="2" t="s">
        <v>3058</v>
      </c>
      <c r="C3053" s="11">
        <v>6</v>
      </c>
      <c r="D3053" s="12">
        <v>50</v>
      </c>
      <c r="E3053" s="12" t="s">
        <v>8219</v>
      </c>
      <c r="F3053" s="13">
        <v>6</v>
      </c>
      <c r="G3053" s="14">
        <v>1838.2400000000002</v>
      </c>
      <c r="H3053" t="s">
        <v>328</v>
      </c>
      <c r="I3053">
        <v>3</v>
      </c>
    </row>
    <row r="3054" spans="1:9" ht="15.6" x14ac:dyDescent="0.3">
      <c r="A3054" s="9">
        <v>3053</v>
      </c>
      <c r="B3054" s="2" t="s">
        <v>3059</v>
      </c>
      <c r="C3054" s="11">
        <v>8</v>
      </c>
      <c r="D3054" s="12">
        <v>33.333333333333329</v>
      </c>
      <c r="E3054" s="12" t="s">
        <v>8219</v>
      </c>
      <c r="F3054" s="13">
        <v>6</v>
      </c>
      <c r="G3054" s="14">
        <v>1822.2400000000002</v>
      </c>
      <c r="H3054" t="s">
        <v>3144</v>
      </c>
      <c r="I3054">
        <v>4</v>
      </c>
    </row>
    <row r="3055" spans="1:9" ht="15.6" x14ac:dyDescent="0.3">
      <c r="A3055" s="9">
        <v>3054</v>
      </c>
      <c r="B3055" s="2" t="s">
        <v>3060</v>
      </c>
      <c r="C3055" s="11">
        <v>6</v>
      </c>
      <c r="D3055" s="12">
        <v>50</v>
      </c>
      <c r="E3055" s="12" t="s">
        <v>8219</v>
      </c>
      <c r="F3055" s="13">
        <v>6</v>
      </c>
      <c r="G3055" s="14">
        <v>1798.21</v>
      </c>
      <c r="H3055" t="s">
        <v>2120</v>
      </c>
      <c r="I3055">
        <v>3</v>
      </c>
    </row>
    <row r="3056" spans="1:9" ht="15.6" x14ac:dyDescent="0.3">
      <c r="A3056" s="9">
        <v>3055</v>
      </c>
      <c r="B3056" s="2" t="s">
        <v>3061</v>
      </c>
      <c r="C3056" s="11">
        <v>6</v>
      </c>
      <c r="D3056" s="12">
        <v>50</v>
      </c>
      <c r="E3056" s="12" t="s">
        <v>8219</v>
      </c>
      <c r="F3056" s="13">
        <v>6</v>
      </c>
      <c r="G3056" s="14">
        <v>1838.2400000000002</v>
      </c>
      <c r="H3056" t="s">
        <v>1096</v>
      </c>
      <c r="I3056">
        <v>3</v>
      </c>
    </row>
    <row r="3057" spans="1:9" ht="15.6" x14ac:dyDescent="0.3">
      <c r="A3057" s="9">
        <v>3056</v>
      </c>
      <c r="B3057" s="2" t="s">
        <v>3062</v>
      </c>
      <c r="C3057" s="11">
        <v>0</v>
      </c>
      <c r="D3057" s="12">
        <v>33.333333333333329</v>
      </c>
      <c r="E3057" s="12" t="s">
        <v>8219</v>
      </c>
      <c r="F3057" s="13">
        <v>6</v>
      </c>
      <c r="G3057" s="14">
        <v>1813.2200000000003</v>
      </c>
      <c r="H3057" t="s">
        <v>72</v>
      </c>
      <c r="I3057">
        <v>2</v>
      </c>
    </row>
    <row r="3058" spans="1:9" ht="15.6" x14ac:dyDescent="0.3">
      <c r="A3058" s="9">
        <v>3057</v>
      </c>
      <c r="B3058" s="2" t="s">
        <v>3063</v>
      </c>
      <c r="C3058" s="11">
        <v>10</v>
      </c>
      <c r="D3058" s="12">
        <v>16.666666666666664</v>
      </c>
      <c r="E3058" s="12" t="s">
        <v>8219</v>
      </c>
      <c r="F3058" s="13">
        <v>6</v>
      </c>
      <c r="G3058" s="14">
        <v>1806.2399999999998</v>
      </c>
      <c r="H3058" t="s">
        <v>3848</v>
      </c>
      <c r="I3058">
        <v>4</v>
      </c>
    </row>
    <row r="3059" spans="1:9" ht="15.6" x14ac:dyDescent="0.3">
      <c r="A3059" s="9">
        <v>3058</v>
      </c>
      <c r="B3059" s="2" t="s">
        <v>3064</v>
      </c>
      <c r="C3059" s="11">
        <v>8</v>
      </c>
      <c r="D3059" s="12">
        <v>33.333333333333329</v>
      </c>
      <c r="E3059" s="12" t="s">
        <v>8219</v>
      </c>
      <c r="F3059" s="13">
        <v>6</v>
      </c>
      <c r="G3059" s="14">
        <v>1782.21</v>
      </c>
      <c r="H3059" t="s">
        <v>2824</v>
      </c>
      <c r="I3059">
        <v>4</v>
      </c>
    </row>
    <row r="3060" spans="1:9" ht="15.6" x14ac:dyDescent="0.3">
      <c r="A3060" s="9">
        <v>3059</v>
      </c>
      <c r="B3060" s="2" t="s">
        <v>3065</v>
      </c>
      <c r="C3060" s="11">
        <v>8</v>
      </c>
      <c r="D3060" s="12">
        <v>33.333333333333329</v>
      </c>
      <c r="E3060" s="12" t="s">
        <v>8219</v>
      </c>
      <c r="F3060" s="13">
        <v>6</v>
      </c>
      <c r="G3060" s="14">
        <v>1822.2400000000002</v>
      </c>
      <c r="H3060" t="s">
        <v>1800</v>
      </c>
      <c r="I3060">
        <v>4</v>
      </c>
    </row>
    <row r="3061" spans="1:9" ht="15.6" x14ac:dyDescent="0.3">
      <c r="A3061" s="9">
        <v>3060</v>
      </c>
      <c r="B3061" s="2" t="s">
        <v>3066</v>
      </c>
      <c r="C3061" s="11">
        <v>2</v>
      </c>
      <c r="D3061" s="12">
        <v>16.666666666666664</v>
      </c>
      <c r="E3061" s="12" t="s">
        <v>8219</v>
      </c>
      <c r="F3061" s="13">
        <v>6</v>
      </c>
      <c r="G3061" s="14">
        <v>1797.2199999999998</v>
      </c>
      <c r="H3061" t="s">
        <v>776</v>
      </c>
      <c r="I3061">
        <v>3</v>
      </c>
    </row>
    <row r="3062" spans="1:9" ht="15.6" x14ac:dyDescent="0.3">
      <c r="A3062" s="9">
        <v>3061</v>
      </c>
      <c r="B3062" s="2" t="s">
        <v>3067</v>
      </c>
      <c r="C3062" s="11">
        <v>8</v>
      </c>
      <c r="D3062" s="12">
        <v>33.333333333333329</v>
      </c>
      <c r="E3062" s="12" t="s">
        <v>8219</v>
      </c>
      <c r="F3062" s="13">
        <v>6</v>
      </c>
      <c r="G3062" s="14">
        <v>1782.21</v>
      </c>
      <c r="H3062" t="s">
        <v>3592</v>
      </c>
      <c r="I3062">
        <v>4</v>
      </c>
    </row>
    <row r="3063" spans="1:9" ht="15.6" x14ac:dyDescent="0.3">
      <c r="A3063" s="9">
        <v>3062</v>
      </c>
      <c r="B3063" s="2" t="s">
        <v>3068</v>
      </c>
      <c r="C3063" s="11">
        <v>6</v>
      </c>
      <c r="D3063" s="12">
        <v>50</v>
      </c>
      <c r="E3063" s="12" t="s">
        <v>8219</v>
      </c>
      <c r="F3063" s="13">
        <v>6</v>
      </c>
      <c r="G3063" s="14">
        <v>1758.1799999999998</v>
      </c>
      <c r="H3063" t="s">
        <v>2568</v>
      </c>
      <c r="I3063">
        <v>3</v>
      </c>
    </row>
    <row r="3064" spans="1:9" ht="15.6" x14ac:dyDescent="0.3">
      <c r="A3064" s="9">
        <v>3063</v>
      </c>
      <c r="B3064" s="2" t="s">
        <v>3069</v>
      </c>
      <c r="C3064" s="11">
        <v>6</v>
      </c>
      <c r="D3064" s="12">
        <v>50</v>
      </c>
      <c r="E3064" s="12" t="s">
        <v>8219</v>
      </c>
      <c r="F3064" s="13">
        <v>6</v>
      </c>
      <c r="G3064" s="14">
        <v>1798.21</v>
      </c>
      <c r="H3064" t="s">
        <v>1544</v>
      </c>
      <c r="I3064">
        <v>3</v>
      </c>
    </row>
    <row r="3065" spans="1:9" ht="15.6" x14ac:dyDescent="0.3">
      <c r="A3065" s="9">
        <v>3064</v>
      </c>
      <c r="B3065" s="2" t="s">
        <v>3070</v>
      </c>
      <c r="C3065" s="11">
        <v>0</v>
      </c>
      <c r="D3065" s="12">
        <v>33.333333333333329</v>
      </c>
      <c r="E3065" s="12" t="s">
        <v>8219</v>
      </c>
      <c r="F3065" s="13">
        <v>6</v>
      </c>
      <c r="G3065" s="14">
        <v>1773.19</v>
      </c>
      <c r="H3065" t="s">
        <v>520</v>
      </c>
      <c r="I3065">
        <v>2</v>
      </c>
    </row>
    <row r="3066" spans="1:9" ht="15.6" x14ac:dyDescent="0.3">
      <c r="A3066" s="9">
        <v>3065</v>
      </c>
      <c r="B3066" s="2" t="s">
        <v>3071</v>
      </c>
      <c r="C3066" s="11">
        <v>8</v>
      </c>
      <c r="D3066" s="12">
        <v>33.333333333333329</v>
      </c>
      <c r="E3066" s="12" t="s">
        <v>8219</v>
      </c>
      <c r="F3066" s="13">
        <v>6</v>
      </c>
      <c r="G3066" s="14">
        <v>1822.2400000000002</v>
      </c>
      <c r="H3066" t="s">
        <v>3336</v>
      </c>
      <c r="I3066">
        <v>4</v>
      </c>
    </row>
    <row r="3067" spans="1:9" ht="15.6" x14ac:dyDescent="0.3">
      <c r="A3067" s="9">
        <v>3066</v>
      </c>
      <c r="B3067" s="2" t="s">
        <v>3072</v>
      </c>
      <c r="C3067" s="11">
        <v>6</v>
      </c>
      <c r="D3067" s="12">
        <v>50</v>
      </c>
      <c r="E3067" s="12" t="s">
        <v>8219</v>
      </c>
      <c r="F3067" s="13">
        <v>6</v>
      </c>
      <c r="G3067" s="14">
        <v>1798.21</v>
      </c>
      <c r="H3067" t="s">
        <v>2312</v>
      </c>
      <c r="I3067">
        <v>3</v>
      </c>
    </row>
    <row r="3068" spans="1:9" ht="15.6" x14ac:dyDescent="0.3">
      <c r="A3068" s="9">
        <v>3067</v>
      </c>
      <c r="B3068" s="2" t="s">
        <v>3073</v>
      </c>
      <c r="C3068" s="11">
        <v>6</v>
      </c>
      <c r="D3068" s="12">
        <v>50</v>
      </c>
      <c r="E3068" s="12" t="s">
        <v>8219</v>
      </c>
      <c r="F3068" s="13">
        <v>6</v>
      </c>
      <c r="G3068" s="14">
        <v>1838.2400000000002</v>
      </c>
      <c r="H3068" t="s">
        <v>1288</v>
      </c>
      <c r="I3068">
        <v>3</v>
      </c>
    </row>
    <row r="3069" spans="1:9" ht="15.6" x14ac:dyDescent="0.3">
      <c r="A3069" s="9">
        <v>3068</v>
      </c>
      <c r="B3069" s="2" t="s">
        <v>3074</v>
      </c>
      <c r="C3069" s="11">
        <v>0</v>
      </c>
      <c r="D3069" s="12">
        <v>33.333333333333329</v>
      </c>
      <c r="E3069" s="12" t="s">
        <v>8219</v>
      </c>
      <c r="F3069" s="13">
        <v>6</v>
      </c>
      <c r="G3069" s="14">
        <v>1813.2200000000003</v>
      </c>
      <c r="H3069" t="s">
        <v>264</v>
      </c>
      <c r="I3069">
        <v>2</v>
      </c>
    </row>
    <row r="3070" spans="1:9" ht="15.6" x14ac:dyDescent="0.3">
      <c r="A3070" s="9">
        <v>3069</v>
      </c>
      <c r="B3070" s="2" t="s">
        <v>3075</v>
      </c>
      <c r="C3070" s="11">
        <v>2</v>
      </c>
      <c r="D3070" s="12">
        <v>16.666666666666664</v>
      </c>
      <c r="E3070" s="12" t="s">
        <v>8219</v>
      </c>
      <c r="F3070" s="13">
        <v>6</v>
      </c>
      <c r="G3070" s="14">
        <v>1797.2199999999998</v>
      </c>
      <c r="H3070" t="s">
        <v>3080</v>
      </c>
      <c r="I3070">
        <v>3</v>
      </c>
    </row>
    <row r="3071" spans="1:9" ht="15.6" x14ac:dyDescent="0.3">
      <c r="A3071" s="9">
        <v>3070</v>
      </c>
      <c r="B3071" s="2" t="s">
        <v>3076</v>
      </c>
      <c r="C3071" s="11">
        <v>0</v>
      </c>
      <c r="D3071" s="12">
        <v>33.333333333333329</v>
      </c>
      <c r="E3071" s="12" t="s">
        <v>8219</v>
      </c>
      <c r="F3071" s="13">
        <v>6</v>
      </c>
      <c r="G3071" s="14">
        <v>1773.19</v>
      </c>
      <c r="H3071" t="s">
        <v>2056</v>
      </c>
      <c r="I3071">
        <v>2</v>
      </c>
    </row>
    <row r="3072" spans="1:9" ht="15.6" x14ac:dyDescent="0.3">
      <c r="A3072" s="9">
        <v>3071</v>
      </c>
      <c r="B3072" s="2" t="s">
        <v>3077</v>
      </c>
      <c r="C3072" s="11">
        <v>0</v>
      </c>
      <c r="D3072" s="12">
        <v>33.333333333333329</v>
      </c>
      <c r="E3072" s="12" t="s">
        <v>8219</v>
      </c>
      <c r="F3072" s="13">
        <v>6</v>
      </c>
      <c r="G3072" s="14">
        <v>1813.2200000000003</v>
      </c>
      <c r="H3072" t="s">
        <v>1032</v>
      </c>
      <c r="I3072">
        <v>2</v>
      </c>
    </row>
    <row r="3073" spans="1:9" ht="15.6" x14ac:dyDescent="0.3">
      <c r="A3073" s="9">
        <v>3072</v>
      </c>
      <c r="B3073" s="2" t="s">
        <v>3078</v>
      </c>
      <c r="C3073" s="11">
        <v>-6</v>
      </c>
      <c r="D3073" s="12">
        <v>16.666666666666664</v>
      </c>
      <c r="E3073" s="12" t="s">
        <v>8219</v>
      </c>
      <c r="F3073" s="13">
        <v>6</v>
      </c>
      <c r="G3073" s="14">
        <v>1788.1999999999998</v>
      </c>
      <c r="H3073" t="s">
        <v>8</v>
      </c>
      <c r="I3073">
        <v>1</v>
      </c>
    </row>
    <row r="3074" spans="1:9" ht="15.6" x14ac:dyDescent="0.3">
      <c r="A3074" s="9">
        <v>3073</v>
      </c>
      <c r="B3074" s="2" t="s">
        <v>3079</v>
      </c>
      <c r="C3074" s="11">
        <v>28</v>
      </c>
      <c r="D3074" s="12">
        <v>0</v>
      </c>
      <c r="E3074" s="12" t="s">
        <v>8219</v>
      </c>
      <c r="F3074" s="13">
        <v>6</v>
      </c>
      <c r="G3074" s="14">
        <v>1808.2799999999997</v>
      </c>
      <c r="H3074" t="s">
        <v>4099</v>
      </c>
      <c r="I3074">
        <v>7</v>
      </c>
    </row>
    <row r="3075" spans="1:9" ht="15.6" x14ac:dyDescent="0.3">
      <c r="A3075" s="9">
        <v>3074</v>
      </c>
      <c r="B3075" s="2" t="s">
        <v>3080</v>
      </c>
      <c r="C3075" s="11">
        <v>26</v>
      </c>
      <c r="D3075" s="12">
        <v>16.666666666666664</v>
      </c>
      <c r="E3075" s="12" t="s">
        <v>8219</v>
      </c>
      <c r="F3075" s="13">
        <v>6</v>
      </c>
      <c r="G3075" s="14">
        <v>1784.25</v>
      </c>
      <c r="H3075" t="s">
        <v>3075</v>
      </c>
      <c r="I3075">
        <v>7</v>
      </c>
    </row>
    <row r="3076" spans="1:9" ht="15.6" x14ac:dyDescent="0.3">
      <c r="A3076" s="9">
        <v>3075</v>
      </c>
      <c r="B3076" s="2" t="s">
        <v>3081</v>
      </c>
      <c r="C3076" s="11">
        <v>26</v>
      </c>
      <c r="D3076" s="12">
        <v>16.666666666666664</v>
      </c>
      <c r="E3076" s="12" t="s">
        <v>8219</v>
      </c>
      <c r="F3076" s="13">
        <v>6</v>
      </c>
      <c r="G3076" s="14">
        <v>1824.2799999999997</v>
      </c>
      <c r="H3076" t="s">
        <v>2051</v>
      </c>
      <c r="I3076">
        <v>7</v>
      </c>
    </row>
    <row r="3077" spans="1:9" ht="15.6" x14ac:dyDescent="0.3">
      <c r="A3077" s="9">
        <v>3076</v>
      </c>
      <c r="B3077" s="2" t="s">
        <v>3082</v>
      </c>
      <c r="C3077" s="11">
        <v>20</v>
      </c>
      <c r="D3077" s="12">
        <v>0</v>
      </c>
      <c r="E3077" s="12" t="s">
        <v>8219</v>
      </c>
      <c r="F3077" s="13">
        <v>6</v>
      </c>
      <c r="G3077" s="14">
        <v>1799.2599999999998</v>
      </c>
      <c r="H3077" t="s">
        <v>1027</v>
      </c>
      <c r="I3077">
        <v>6</v>
      </c>
    </row>
    <row r="3078" spans="1:9" ht="15.6" x14ac:dyDescent="0.3">
      <c r="A3078" s="9">
        <v>3077</v>
      </c>
      <c r="B3078" s="2" t="s">
        <v>3083</v>
      </c>
      <c r="C3078" s="11">
        <v>26</v>
      </c>
      <c r="D3078" s="12">
        <v>16.666666666666664</v>
      </c>
      <c r="E3078" s="12" t="s">
        <v>8219</v>
      </c>
      <c r="F3078" s="13">
        <v>6</v>
      </c>
      <c r="G3078" s="14">
        <v>1784.25</v>
      </c>
      <c r="H3078" t="s">
        <v>3843</v>
      </c>
      <c r="I3078">
        <v>7</v>
      </c>
    </row>
    <row r="3079" spans="1:9" ht="15.6" x14ac:dyDescent="0.3">
      <c r="A3079" s="9">
        <v>3078</v>
      </c>
      <c r="B3079" s="2" t="s">
        <v>3084</v>
      </c>
      <c r="C3079" s="11">
        <v>24</v>
      </c>
      <c r="D3079" s="12">
        <v>33.333333333333329</v>
      </c>
      <c r="E3079" s="12" t="s">
        <v>8219</v>
      </c>
      <c r="F3079" s="13">
        <v>6</v>
      </c>
      <c r="G3079" s="14">
        <v>1760.2199999999998</v>
      </c>
      <c r="H3079" t="s">
        <v>2819</v>
      </c>
      <c r="I3079">
        <v>6</v>
      </c>
    </row>
    <row r="3080" spans="1:9" ht="15.6" x14ac:dyDescent="0.3">
      <c r="A3080" s="9">
        <v>3079</v>
      </c>
      <c r="B3080" s="2" t="s">
        <v>3085</v>
      </c>
      <c r="C3080" s="11">
        <v>24</v>
      </c>
      <c r="D3080" s="12">
        <v>33.333333333333329</v>
      </c>
      <c r="E3080" s="12" t="s">
        <v>8219</v>
      </c>
      <c r="F3080" s="13">
        <v>6</v>
      </c>
      <c r="G3080" s="14">
        <v>1800.25</v>
      </c>
      <c r="H3080" t="s">
        <v>1795</v>
      </c>
      <c r="I3080">
        <v>6</v>
      </c>
    </row>
    <row r="3081" spans="1:9" ht="15.6" x14ac:dyDescent="0.3">
      <c r="A3081" s="9">
        <v>3080</v>
      </c>
      <c r="B3081" s="2" t="s">
        <v>3086</v>
      </c>
      <c r="C3081" s="11">
        <v>18</v>
      </c>
      <c r="D3081" s="12">
        <v>16.666666666666664</v>
      </c>
      <c r="E3081" s="12" t="s">
        <v>8219</v>
      </c>
      <c r="F3081" s="13">
        <v>6</v>
      </c>
      <c r="G3081" s="14">
        <v>1775.23</v>
      </c>
      <c r="H3081" t="s">
        <v>771</v>
      </c>
      <c r="I3081">
        <v>5</v>
      </c>
    </row>
    <row r="3082" spans="1:9" ht="15.6" x14ac:dyDescent="0.3">
      <c r="A3082" s="9">
        <v>3081</v>
      </c>
      <c r="B3082" s="2" t="s">
        <v>3087</v>
      </c>
      <c r="C3082" s="11">
        <v>26</v>
      </c>
      <c r="D3082" s="12">
        <v>16.666666666666664</v>
      </c>
      <c r="E3082" s="12" t="s">
        <v>8219</v>
      </c>
      <c r="F3082" s="13">
        <v>6</v>
      </c>
      <c r="G3082" s="14">
        <v>1824.2799999999997</v>
      </c>
      <c r="H3082" t="s">
        <v>3587</v>
      </c>
      <c r="I3082">
        <v>7</v>
      </c>
    </row>
    <row r="3083" spans="1:9" ht="15.6" x14ac:dyDescent="0.3">
      <c r="A3083" s="9">
        <v>3082</v>
      </c>
      <c r="B3083" s="2" t="s">
        <v>3088</v>
      </c>
      <c r="C3083" s="11">
        <v>24</v>
      </c>
      <c r="D3083" s="12">
        <v>33.333333333333329</v>
      </c>
      <c r="E3083" s="12" t="s">
        <v>8219</v>
      </c>
      <c r="F3083" s="13">
        <v>6</v>
      </c>
      <c r="G3083" s="14">
        <v>1800.25</v>
      </c>
      <c r="H3083" t="s">
        <v>2563</v>
      </c>
      <c r="I3083">
        <v>6</v>
      </c>
    </row>
    <row r="3084" spans="1:9" ht="15.6" x14ac:dyDescent="0.3">
      <c r="A3084" s="9">
        <v>3083</v>
      </c>
      <c r="B3084" s="2" t="s">
        <v>3089</v>
      </c>
      <c r="C3084" s="11">
        <v>24</v>
      </c>
      <c r="D3084" s="12">
        <v>33.333333333333329</v>
      </c>
      <c r="E3084" s="12" t="s">
        <v>8219</v>
      </c>
      <c r="F3084" s="13">
        <v>6</v>
      </c>
      <c r="G3084" s="14">
        <v>1840.2800000000002</v>
      </c>
      <c r="H3084" t="s">
        <v>1539</v>
      </c>
      <c r="I3084">
        <v>6</v>
      </c>
    </row>
    <row r="3085" spans="1:9" ht="15.6" x14ac:dyDescent="0.3">
      <c r="A3085" s="9">
        <v>3084</v>
      </c>
      <c r="B3085" s="2" t="s">
        <v>3090</v>
      </c>
      <c r="C3085" s="11">
        <v>18</v>
      </c>
      <c r="D3085" s="12">
        <v>16.666666666666664</v>
      </c>
      <c r="E3085" s="12" t="s">
        <v>8219</v>
      </c>
      <c r="F3085" s="13">
        <v>6</v>
      </c>
      <c r="G3085" s="14">
        <v>1815.2599999999998</v>
      </c>
      <c r="H3085" t="s">
        <v>515</v>
      </c>
      <c r="I3085">
        <v>5</v>
      </c>
    </row>
    <row r="3086" spans="1:9" ht="15.6" x14ac:dyDescent="0.3">
      <c r="A3086" s="9">
        <v>3085</v>
      </c>
      <c r="B3086" s="2" t="s">
        <v>3091</v>
      </c>
      <c r="C3086" s="11">
        <v>20</v>
      </c>
      <c r="D3086" s="12">
        <v>0</v>
      </c>
      <c r="E3086" s="12" t="s">
        <v>8219</v>
      </c>
      <c r="F3086" s="13">
        <v>6</v>
      </c>
      <c r="G3086" s="14">
        <v>1799.2599999999998</v>
      </c>
      <c r="H3086" t="s">
        <v>3331</v>
      </c>
      <c r="I3086">
        <v>6</v>
      </c>
    </row>
    <row r="3087" spans="1:9" ht="15.6" x14ac:dyDescent="0.3">
      <c r="A3087" s="9">
        <v>3086</v>
      </c>
      <c r="B3087" s="2" t="s">
        <v>3092</v>
      </c>
      <c r="C3087" s="11">
        <v>18</v>
      </c>
      <c r="D3087" s="12">
        <v>16.666666666666664</v>
      </c>
      <c r="E3087" s="12" t="s">
        <v>8219</v>
      </c>
      <c r="F3087" s="13">
        <v>6</v>
      </c>
      <c r="G3087" s="14">
        <v>1775.23</v>
      </c>
      <c r="H3087" t="s">
        <v>2307</v>
      </c>
      <c r="I3087">
        <v>5</v>
      </c>
    </row>
    <row r="3088" spans="1:9" ht="15.6" x14ac:dyDescent="0.3">
      <c r="A3088" s="9">
        <v>3087</v>
      </c>
      <c r="B3088" s="2" t="s">
        <v>3093</v>
      </c>
      <c r="C3088" s="11">
        <v>18</v>
      </c>
      <c r="D3088" s="12">
        <v>16.666666666666664</v>
      </c>
      <c r="E3088" s="12" t="s">
        <v>8219</v>
      </c>
      <c r="F3088" s="13">
        <v>6</v>
      </c>
      <c r="G3088" s="14">
        <v>1815.2599999999998</v>
      </c>
      <c r="H3088" t="s">
        <v>1283</v>
      </c>
      <c r="I3088">
        <v>5</v>
      </c>
    </row>
    <row r="3089" spans="1:9" ht="15.6" x14ac:dyDescent="0.3">
      <c r="A3089" s="9">
        <v>3088</v>
      </c>
      <c r="B3089" s="2" t="s">
        <v>3094</v>
      </c>
      <c r="C3089" s="11">
        <v>12</v>
      </c>
      <c r="D3089" s="12">
        <v>0</v>
      </c>
      <c r="E3089" s="12" t="s">
        <v>8219</v>
      </c>
      <c r="F3089" s="13">
        <v>6</v>
      </c>
      <c r="G3089" s="14">
        <v>1790.2399999999998</v>
      </c>
      <c r="H3089" t="s">
        <v>259</v>
      </c>
      <c r="I3089">
        <v>4</v>
      </c>
    </row>
    <row r="3090" spans="1:9" ht="15.6" x14ac:dyDescent="0.3">
      <c r="A3090" s="9">
        <v>3089</v>
      </c>
      <c r="B3090" s="2" t="s">
        <v>3095</v>
      </c>
      <c r="C3090" s="11">
        <v>26</v>
      </c>
      <c r="D3090" s="12">
        <v>16.666666666666664</v>
      </c>
      <c r="E3090" s="12" t="s">
        <v>8219</v>
      </c>
      <c r="F3090" s="13">
        <v>6</v>
      </c>
      <c r="G3090" s="14">
        <v>1784.25</v>
      </c>
      <c r="H3090" t="s">
        <v>4035</v>
      </c>
      <c r="I3090">
        <v>7</v>
      </c>
    </row>
    <row r="3091" spans="1:9" ht="15.6" x14ac:dyDescent="0.3">
      <c r="A3091" s="9">
        <v>3090</v>
      </c>
      <c r="B3091" s="2" t="s">
        <v>3096</v>
      </c>
      <c r="C3091" s="11">
        <v>24</v>
      </c>
      <c r="D3091" s="12">
        <v>33.333333333333329</v>
      </c>
      <c r="E3091" s="12" t="s">
        <v>8219</v>
      </c>
      <c r="F3091" s="13">
        <v>6</v>
      </c>
      <c r="G3091" s="14">
        <v>1760.2199999999998</v>
      </c>
      <c r="H3091" t="s">
        <v>3011</v>
      </c>
      <c r="I3091">
        <v>6</v>
      </c>
    </row>
    <row r="3092" spans="1:9" ht="15.6" x14ac:dyDescent="0.3">
      <c r="A3092" s="9">
        <v>3091</v>
      </c>
      <c r="B3092" s="2" t="s">
        <v>3097</v>
      </c>
      <c r="C3092" s="11">
        <v>24</v>
      </c>
      <c r="D3092" s="12">
        <v>33.333333333333329</v>
      </c>
      <c r="E3092" s="12" t="s">
        <v>8219</v>
      </c>
      <c r="F3092" s="13">
        <v>6</v>
      </c>
      <c r="G3092" s="14">
        <v>1800.25</v>
      </c>
      <c r="H3092" t="s">
        <v>1987</v>
      </c>
      <c r="I3092">
        <v>6</v>
      </c>
    </row>
    <row r="3093" spans="1:9" ht="15.6" x14ac:dyDescent="0.3">
      <c r="A3093" s="9">
        <v>3092</v>
      </c>
      <c r="B3093" s="2" t="s">
        <v>3098</v>
      </c>
      <c r="C3093" s="11">
        <v>18</v>
      </c>
      <c r="D3093" s="12">
        <v>16.666666666666664</v>
      </c>
      <c r="E3093" s="12" t="s">
        <v>8219</v>
      </c>
      <c r="F3093" s="13">
        <v>6</v>
      </c>
      <c r="G3093" s="14">
        <v>1775.23</v>
      </c>
      <c r="H3093" t="s">
        <v>963</v>
      </c>
      <c r="I3093">
        <v>5</v>
      </c>
    </row>
    <row r="3094" spans="1:9" ht="15.6" x14ac:dyDescent="0.3">
      <c r="A3094" s="9">
        <v>3093</v>
      </c>
      <c r="B3094" s="2" t="s">
        <v>3099</v>
      </c>
      <c r="C3094" s="11">
        <v>24</v>
      </c>
      <c r="D3094" s="12">
        <v>33.333333333333329</v>
      </c>
      <c r="E3094" s="12" t="s">
        <v>8219</v>
      </c>
      <c r="F3094" s="13">
        <v>6</v>
      </c>
      <c r="G3094" s="14">
        <v>1760.2199999999998</v>
      </c>
      <c r="H3094" t="s">
        <v>3779</v>
      </c>
      <c r="I3094">
        <v>6</v>
      </c>
    </row>
    <row r="3095" spans="1:9" ht="15.6" x14ac:dyDescent="0.3">
      <c r="A3095" s="9">
        <v>3094</v>
      </c>
      <c r="B3095" s="2" t="s">
        <v>3100</v>
      </c>
      <c r="C3095" s="11">
        <v>22</v>
      </c>
      <c r="D3095" s="12">
        <v>50</v>
      </c>
      <c r="E3095" s="12" t="s">
        <v>8220</v>
      </c>
      <c r="F3095" s="13">
        <v>6</v>
      </c>
      <c r="G3095" s="14">
        <v>1736.19</v>
      </c>
      <c r="H3095" t="s">
        <v>2755</v>
      </c>
      <c r="I3095">
        <v>6</v>
      </c>
    </row>
    <row r="3096" spans="1:9" ht="15.6" x14ac:dyDescent="0.3">
      <c r="A3096" s="9">
        <v>3095</v>
      </c>
      <c r="B3096" s="2" t="s">
        <v>3101</v>
      </c>
      <c r="C3096" s="11">
        <v>22</v>
      </c>
      <c r="D3096" s="12">
        <v>50</v>
      </c>
      <c r="E3096" s="12" t="s">
        <v>8220</v>
      </c>
      <c r="F3096" s="13">
        <v>6</v>
      </c>
      <c r="G3096" s="14">
        <v>1776.2199999999998</v>
      </c>
      <c r="H3096" t="s">
        <v>1731</v>
      </c>
      <c r="I3096">
        <v>6</v>
      </c>
    </row>
    <row r="3097" spans="1:9" ht="15.6" x14ac:dyDescent="0.3">
      <c r="A3097" s="9">
        <v>3096</v>
      </c>
      <c r="B3097" s="2" t="s">
        <v>3102</v>
      </c>
      <c r="C3097" s="11">
        <v>16</v>
      </c>
      <c r="D3097" s="12">
        <v>33.333333333333329</v>
      </c>
      <c r="E3097" s="12" t="s">
        <v>8219</v>
      </c>
      <c r="F3097" s="13">
        <v>6</v>
      </c>
      <c r="G3097" s="14">
        <v>1751.1999999999998</v>
      </c>
      <c r="H3097" t="s">
        <v>707</v>
      </c>
      <c r="I3097">
        <v>5</v>
      </c>
    </row>
    <row r="3098" spans="1:9" ht="15.6" x14ac:dyDescent="0.3">
      <c r="A3098" s="9">
        <v>3097</v>
      </c>
      <c r="B3098" s="2" t="s">
        <v>3103</v>
      </c>
      <c r="C3098" s="11">
        <v>24</v>
      </c>
      <c r="D3098" s="12">
        <v>33.333333333333329</v>
      </c>
      <c r="E3098" s="12" t="s">
        <v>8219</v>
      </c>
      <c r="F3098" s="13">
        <v>6</v>
      </c>
      <c r="G3098" s="14">
        <v>1800.25</v>
      </c>
      <c r="H3098" t="s">
        <v>3523</v>
      </c>
      <c r="I3098">
        <v>6</v>
      </c>
    </row>
    <row r="3099" spans="1:9" ht="15.6" x14ac:dyDescent="0.3">
      <c r="A3099" s="9">
        <v>3098</v>
      </c>
      <c r="B3099" s="2" t="s">
        <v>3104</v>
      </c>
      <c r="C3099" s="11">
        <v>22</v>
      </c>
      <c r="D3099" s="12">
        <v>50</v>
      </c>
      <c r="E3099" s="12" t="s">
        <v>8220</v>
      </c>
      <c r="F3099" s="13">
        <v>6</v>
      </c>
      <c r="G3099" s="14">
        <v>1776.2199999999998</v>
      </c>
      <c r="H3099" t="s">
        <v>2499</v>
      </c>
      <c r="I3099">
        <v>6</v>
      </c>
    </row>
    <row r="3100" spans="1:9" ht="15.6" x14ac:dyDescent="0.3">
      <c r="A3100" s="9">
        <v>3099</v>
      </c>
      <c r="B3100" s="2" t="s">
        <v>3105</v>
      </c>
      <c r="C3100" s="11">
        <v>22</v>
      </c>
      <c r="D3100" s="12">
        <v>50</v>
      </c>
      <c r="E3100" s="12" t="s">
        <v>8220</v>
      </c>
      <c r="F3100" s="13">
        <v>6</v>
      </c>
      <c r="G3100" s="14">
        <v>1816.25</v>
      </c>
      <c r="H3100" t="s">
        <v>1475</v>
      </c>
      <c r="I3100">
        <v>6</v>
      </c>
    </row>
    <row r="3101" spans="1:9" ht="15.6" x14ac:dyDescent="0.3">
      <c r="A3101" s="9">
        <v>3100</v>
      </c>
      <c r="B3101" s="2" t="s">
        <v>3106</v>
      </c>
      <c r="C3101" s="11">
        <v>16</v>
      </c>
      <c r="D3101" s="12">
        <v>33.333333333333329</v>
      </c>
      <c r="E3101" s="12" t="s">
        <v>8219</v>
      </c>
      <c r="F3101" s="13">
        <v>6</v>
      </c>
      <c r="G3101" s="14">
        <v>1791.23</v>
      </c>
      <c r="H3101" t="s">
        <v>451</v>
      </c>
      <c r="I3101">
        <v>5</v>
      </c>
    </row>
    <row r="3102" spans="1:9" ht="15.6" x14ac:dyDescent="0.3">
      <c r="A3102" s="9">
        <v>3101</v>
      </c>
      <c r="B3102" s="2" t="s">
        <v>3107</v>
      </c>
      <c r="C3102" s="11">
        <v>18</v>
      </c>
      <c r="D3102" s="12">
        <v>16.666666666666664</v>
      </c>
      <c r="E3102" s="12" t="s">
        <v>8219</v>
      </c>
      <c r="F3102" s="13">
        <v>6</v>
      </c>
      <c r="G3102" s="14">
        <v>1775.23</v>
      </c>
      <c r="H3102" t="s">
        <v>3267</v>
      </c>
      <c r="I3102">
        <v>5</v>
      </c>
    </row>
    <row r="3103" spans="1:9" ht="15.6" x14ac:dyDescent="0.3">
      <c r="A3103" s="9">
        <v>3102</v>
      </c>
      <c r="B3103" s="2" t="s">
        <v>3108</v>
      </c>
      <c r="C3103" s="11">
        <v>16</v>
      </c>
      <c r="D3103" s="12">
        <v>33.333333333333329</v>
      </c>
      <c r="E3103" s="12" t="s">
        <v>8219</v>
      </c>
      <c r="F3103" s="13">
        <v>6</v>
      </c>
      <c r="G3103" s="14">
        <v>1751.1999999999998</v>
      </c>
      <c r="H3103" t="s">
        <v>2243</v>
      </c>
      <c r="I3103">
        <v>5</v>
      </c>
    </row>
    <row r="3104" spans="1:9" ht="15.6" x14ac:dyDescent="0.3">
      <c r="A3104" s="9">
        <v>3103</v>
      </c>
      <c r="B3104" s="2" t="s">
        <v>3109</v>
      </c>
      <c r="C3104" s="11">
        <v>16</v>
      </c>
      <c r="D3104" s="12">
        <v>33.333333333333329</v>
      </c>
      <c r="E3104" s="12" t="s">
        <v>8219</v>
      </c>
      <c r="F3104" s="13">
        <v>6</v>
      </c>
      <c r="G3104" s="14">
        <v>1791.23</v>
      </c>
      <c r="H3104" t="s">
        <v>1219</v>
      </c>
      <c r="I3104">
        <v>5</v>
      </c>
    </row>
    <row r="3105" spans="1:9" ht="15.6" x14ac:dyDescent="0.3">
      <c r="A3105" s="9">
        <v>3104</v>
      </c>
      <c r="B3105" s="2" t="s">
        <v>3110</v>
      </c>
      <c r="C3105" s="11">
        <v>10</v>
      </c>
      <c r="D3105" s="12">
        <v>16.666666666666664</v>
      </c>
      <c r="E3105" s="12" t="s">
        <v>8219</v>
      </c>
      <c r="F3105" s="13">
        <v>6</v>
      </c>
      <c r="G3105" s="14">
        <v>1766.21</v>
      </c>
      <c r="H3105" t="s">
        <v>195</v>
      </c>
      <c r="I3105">
        <v>4</v>
      </c>
    </row>
    <row r="3106" spans="1:9" ht="15.6" x14ac:dyDescent="0.3">
      <c r="A3106" s="9">
        <v>3105</v>
      </c>
      <c r="B3106" s="2" t="s">
        <v>3111</v>
      </c>
      <c r="C3106" s="11">
        <v>26</v>
      </c>
      <c r="D3106" s="12">
        <v>16.666666666666664</v>
      </c>
      <c r="E3106" s="12" t="s">
        <v>8219</v>
      </c>
      <c r="F3106" s="13">
        <v>6</v>
      </c>
      <c r="G3106" s="14">
        <v>1824.2799999999997</v>
      </c>
      <c r="H3106" t="s">
        <v>3971</v>
      </c>
      <c r="I3106">
        <v>7</v>
      </c>
    </row>
    <row r="3107" spans="1:9" ht="15.6" x14ac:dyDescent="0.3">
      <c r="A3107" s="9">
        <v>3106</v>
      </c>
      <c r="B3107" s="2" t="s">
        <v>3112</v>
      </c>
      <c r="C3107" s="11">
        <v>24</v>
      </c>
      <c r="D3107" s="12">
        <v>33.333333333333329</v>
      </c>
      <c r="E3107" s="12" t="s">
        <v>8219</v>
      </c>
      <c r="F3107" s="13">
        <v>6</v>
      </c>
      <c r="G3107" s="14">
        <v>1800.25</v>
      </c>
      <c r="H3107" t="s">
        <v>2947</v>
      </c>
      <c r="I3107">
        <v>6</v>
      </c>
    </row>
    <row r="3108" spans="1:9" ht="15.6" x14ac:dyDescent="0.3">
      <c r="A3108" s="9">
        <v>3107</v>
      </c>
      <c r="B3108" s="2" t="s">
        <v>3113</v>
      </c>
      <c r="C3108" s="11">
        <v>24</v>
      </c>
      <c r="D3108" s="12">
        <v>33.333333333333329</v>
      </c>
      <c r="E3108" s="12" t="s">
        <v>8219</v>
      </c>
      <c r="F3108" s="13">
        <v>6</v>
      </c>
      <c r="G3108" s="14">
        <v>1840.2800000000002</v>
      </c>
      <c r="H3108" t="s">
        <v>1923</v>
      </c>
      <c r="I3108">
        <v>6</v>
      </c>
    </row>
    <row r="3109" spans="1:9" ht="15.6" x14ac:dyDescent="0.3">
      <c r="A3109" s="9">
        <v>3108</v>
      </c>
      <c r="B3109" s="2" t="s">
        <v>3114</v>
      </c>
      <c r="C3109" s="11">
        <v>18</v>
      </c>
      <c r="D3109" s="12">
        <v>16.666666666666664</v>
      </c>
      <c r="E3109" s="12" t="s">
        <v>8219</v>
      </c>
      <c r="F3109" s="13">
        <v>6</v>
      </c>
      <c r="G3109" s="14">
        <v>1815.2599999999998</v>
      </c>
      <c r="H3109" t="s">
        <v>899</v>
      </c>
      <c r="I3109">
        <v>5</v>
      </c>
    </row>
    <row r="3110" spans="1:9" ht="15.6" x14ac:dyDescent="0.3">
      <c r="A3110" s="9">
        <v>3109</v>
      </c>
      <c r="B3110" s="2" t="s">
        <v>3115</v>
      </c>
      <c r="C3110" s="11">
        <v>24</v>
      </c>
      <c r="D3110" s="12">
        <v>33.333333333333329</v>
      </c>
      <c r="E3110" s="12" t="s">
        <v>8219</v>
      </c>
      <c r="F3110" s="13">
        <v>6</v>
      </c>
      <c r="G3110" s="14">
        <v>1800.25</v>
      </c>
      <c r="H3110" t="s">
        <v>3715</v>
      </c>
      <c r="I3110">
        <v>6</v>
      </c>
    </row>
    <row r="3111" spans="1:9" ht="15.6" x14ac:dyDescent="0.3">
      <c r="A3111" s="9">
        <v>3110</v>
      </c>
      <c r="B3111" s="2" t="s">
        <v>3116</v>
      </c>
      <c r="C3111" s="11">
        <v>22</v>
      </c>
      <c r="D3111" s="12">
        <v>50</v>
      </c>
      <c r="E3111" s="12" t="s">
        <v>8220</v>
      </c>
      <c r="F3111" s="13">
        <v>6</v>
      </c>
      <c r="G3111" s="14">
        <v>1776.2199999999998</v>
      </c>
      <c r="H3111" t="s">
        <v>2691</v>
      </c>
      <c r="I3111">
        <v>6</v>
      </c>
    </row>
    <row r="3112" spans="1:9" ht="15.6" x14ac:dyDescent="0.3">
      <c r="A3112" s="9">
        <v>3111</v>
      </c>
      <c r="B3112" s="2" t="s">
        <v>3117</v>
      </c>
      <c r="C3112" s="11">
        <v>22</v>
      </c>
      <c r="D3112" s="12">
        <v>50</v>
      </c>
      <c r="E3112" s="12" t="s">
        <v>8220</v>
      </c>
      <c r="F3112" s="13">
        <v>6</v>
      </c>
      <c r="G3112" s="14">
        <v>1816.25</v>
      </c>
      <c r="H3112" t="s">
        <v>1667</v>
      </c>
      <c r="I3112">
        <v>6</v>
      </c>
    </row>
    <row r="3113" spans="1:9" ht="15.6" x14ac:dyDescent="0.3">
      <c r="A3113" s="9">
        <v>3112</v>
      </c>
      <c r="B3113" s="2" t="s">
        <v>3118</v>
      </c>
      <c r="C3113" s="11">
        <v>16</v>
      </c>
      <c r="D3113" s="12">
        <v>33.333333333333329</v>
      </c>
      <c r="E3113" s="12" t="s">
        <v>8219</v>
      </c>
      <c r="F3113" s="13">
        <v>6</v>
      </c>
      <c r="G3113" s="14">
        <v>1791.23</v>
      </c>
      <c r="H3113" t="s">
        <v>643</v>
      </c>
      <c r="I3113">
        <v>5</v>
      </c>
    </row>
    <row r="3114" spans="1:9" ht="15.6" x14ac:dyDescent="0.3">
      <c r="A3114" s="9">
        <v>3113</v>
      </c>
      <c r="B3114" s="2" t="s">
        <v>3119</v>
      </c>
      <c r="C3114" s="11">
        <v>24</v>
      </c>
      <c r="D3114" s="12">
        <v>33.333333333333329</v>
      </c>
      <c r="E3114" s="12" t="s">
        <v>8219</v>
      </c>
      <c r="F3114" s="13">
        <v>6</v>
      </c>
      <c r="G3114" s="14">
        <v>1840.2800000000002</v>
      </c>
      <c r="H3114" t="s">
        <v>3459</v>
      </c>
      <c r="I3114">
        <v>6</v>
      </c>
    </row>
    <row r="3115" spans="1:9" ht="15.6" x14ac:dyDescent="0.3">
      <c r="A3115" s="9">
        <v>3114</v>
      </c>
      <c r="B3115" s="2" t="s">
        <v>3120</v>
      </c>
      <c r="C3115" s="11">
        <v>22</v>
      </c>
      <c r="D3115" s="12">
        <v>50</v>
      </c>
      <c r="E3115" s="12" t="s">
        <v>8220</v>
      </c>
      <c r="F3115" s="13">
        <v>6</v>
      </c>
      <c r="G3115" s="14">
        <v>1816.25</v>
      </c>
      <c r="H3115" t="s">
        <v>2435</v>
      </c>
      <c r="I3115">
        <v>6</v>
      </c>
    </row>
    <row r="3116" spans="1:9" ht="15.6" x14ac:dyDescent="0.3">
      <c r="A3116" s="9">
        <v>3115</v>
      </c>
      <c r="B3116" s="2" t="s">
        <v>3121</v>
      </c>
      <c r="C3116" s="11">
        <v>22</v>
      </c>
      <c r="D3116" s="12">
        <v>50</v>
      </c>
      <c r="E3116" s="12" t="s">
        <v>8220</v>
      </c>
      <c r="F3116" s="13">
        <v>6</v>
      </c>
      <c r="G3116" s="14">
        <v>1856.2800000000002</v>
      </c>
      <c r="H3116" t="s">
        <v>1411</v>
      </c>
      <c r="I3116">
        <v>6</v>
      </c>
    </row>
    <row r="3117" spans="1:9" ht="15.6" x14ac:dyDescent="0.3">
      <c r="A3117" s="9">
        <v>3116</v>
      </c>
      <c r="B3117" s="2" t="s">
        <v>3122</v>
      </c>
      <c r="C3117" s="11">
        <v>16</v>
      </c>
      <c r="D3117" s="12">
        <v>33.333333333333329</v>
      </c>
      <c r="E3117" s="12" t="s">
        <v>8219</v>
      </c>
      <c r="F3117" s="13">
        <v>6</v>
      </c>
      <c r="G3117" s="14">
        <v>1831.2600000000002</v>
      </c>
      <c r="H3117" t="s">
        <v>387</v>
      </c>
      <c r="I3117">
        <v>5</v>
      </c>
    </row>
    <row r="3118" spans="1:9" ht="15.6" x14ac:dyDescent="0.3">
      <c r="A3118" s="9">
        <v>3117</v>
      </c>
      <c r="B3118" s="2" t="s">
        <v>3123</v>
      </c>
      <c r="C3118" s="11">
        <v>18</v>
      </c>
      <c r="D3118" s="12">
        <v>16.666666666666664</v>
      </c>
      <c r="E3118" s="12" t="s">
        <v>8219</v>
      </c>
      <c r="F3118" s="13">
        <v>6</v>
      </c>
      <c r="G3118" s="14">
        <v>1815.2599999999998</v>
      </c>
      <c r="H3118" t="s">
        <v>3203</v>
      </c>
      <c r="I3118">
        <v>5</v>
      </c>
    </row>
    <row r="3119" spans="1:9" ht="15.6" x14ac:dyDescent="0.3">
      <c r="A3119" s="9">
        <v>3118</v>
      </c>
      <c r="B3119" s="2" t="s">
        <v>3124</v>
      </c>
      <c r="C3119" s="11">
        <v>16</v>
      </c>
      <c r="D3119" s="12">
        <v>33.333333333333329</v>
      </c>
      <c r="E3119" s="12" t="s">
        <v>8219</v>
      </c>
      <c r="F3119" s="13">
        <v>6</v>
      </c>
      <c r="G3119" s="14">
        <v>1791.23</v>
      </c>
      <c r="H3119" t="s">
        <v>2179</v>
      </c>
      <c r="I3119">
        <v>5</v>
      </c>
    </row>
    <row r="3120" spans="1:9" ht="15.6" x14ac:dyDescent="0.3">
      <c r="A3120" s="9">
        <v>3119</v>
      </c>
      <c r="B3120" s="2" t="s">
        <v>3125</v>
      </c>
      <c r="C3120" s="11">
        <v>16</v>
      </c>
      <c r="D3120" s="12">
        <v>33.333333333333329</v>
      </c>
      <c r="E3120" s="12" t="s">
        <v>8219</v>
      </c>
      <c r="F3120" s="13">
        <v>6</v>
      </c>
      <c r="G3120" s="14">
        <v>1831.2600000000002</v>
      </c>
      <c r="H3120" t="s">
        <v>1155</v>
      </c>
      <c r="I3120">
        <v>5</v>
      </c>
    </row>
    <row r="3121" spans="1:9" ht="15.6" x14ac:dyDescent="0.3">
      <c r="A3121" s="9">
        <v>3120</v>
      </c>
      <c r="B3121" s="2" t="s">
        <v>3126</v>
      </c>
      <c r="C3121" s="11">
        <v>10</v>
      </c>
      <c r="D3121" s="12">
        <v>16.666666666666664</v>
      </c>
      <c r="E3121" s="12" t="s">
        <v>8219</v>
      </c>
      <c r="F3121" s="13">
        <v>6</v>
      </c>
      <c r="G3121" s="14">
        <v>1806.2399999999998</v>
      </c>
      <c r="H3121" t="s">
        <v>131</v>
      </c>
      <c r="I3121">
        <v>4</v>
      </c>
    </row>
    <row r="3122" spans="1:9" ht="15.6" x14ac:dyDescent="0.3">
      <c r="A3122" s="9">
        <v>3121</v>
      </c>
      <c r="B3122" s="2" t="s">
        <v>3127</v>
      </c>
      <c r="C3122" s="11">
        <v>20</v>
      </c>
      <c r="D3122" s="12">
        <v>0</v>
      </c>
      <c r="E3122" s="12" t="s">
        <v>8219</v>
      </c>
      <c r="F3122" s="13">
        <v>6</v>
      </c>
      <c r="G3122" s="14">
        <v>1799.2599999999998</v>
      </c>
      <c r="H3122" t="s">
        <v>3907</v>
      </c>
      <c r="I3122">
        <v>6</v>
      </c>
    </row>
    <row r="3123" spans="1:9" ht="15.6" x14ac:dyDescent="0.3">
      <c r="A3123" s="9">
        <v>3122</v>
      </c>
      <c r="B3123" s="2" t="s">
        <v>3128</v>
      </c>
      <c r="C3123" s="11">
        <v>18</v>
      </c>
      <c r="D3123" s="12">
        <v>16.666666666666664</v>
      </c>
      <c r="E3123" s="12" t="s">
        <v>8219</v>
      </c>
      <c r="F3123" s="13">
        <v>6</v>
      </c>
      <c r="G3123" s="14">
        <v>1775.23</v>
      </c>
      <c r="H3123" t="s">
        <v>2883</v>
      </c>
      <c r="I3123">
        <v>5</v>
      </c>
    </row>
    <row r="3124" spans="1:9" ht="15.6" x14ac:dyDescent="0.3">
      <c r="A3124" s="9">
        <v>3123</v>
      </c>
      <c r="B3124" s="2" t="s">
        <v>3129</v>
      </c>
      <c r="C3124" s="11">
        <v>18</v>
      </c>
      <c r="D3124" s="12">
        <v>16.666666666666664</v>
      </c>
      <c r="E3124" s="12" t="s">
        <v>8219</v>
      </c>
      <c r="F3124" s="13">
        <v>6</v>
      </c>
      <c r="G3124" s="14">
        <v>1815.2599999999998</v>
      </c>
      <c r="H3124" t="s">
        <v>1859</v>
      </c>
      <c r="I3124">
        <v>5</v>
      </c>
    </row>
    <row r="3125" spans="1:9" ht="15.6" x14ac:dyDescent="0.3">
      <c r="A3125" s="9">
        <v>3124</v>
      </c>
      <c r="B3125" s="2" t="s">
        <v>3130</v>
      </c>
      <c r="C3125" s="11">
        <v>12</v>
      </c>
      <c r="D3125" s="12">
        <v>0</v>
      </c>
      <c r="E3125" s="12" t="s">
        <v>8219</v>
      </c>
      <c r="F3125" s="13">
        <v>6</v>
      </c>
      <c r="G3125" s="14">
        <v>1790.2399999999998</v>
      </c>
      <c r="H3125" t="s">
        <v>835</v>
      </c>
      <c r="I3125">
        <v>4</v>
      </c>
    </row>
    <row r="3126" spans="1:9" ht="15.6" x14ac:dyDescent="0.3">
      <c r="A3126" s="9">
        <v>3125</v>
      </c>
      <c r="B3126" s="2" t="s">
        <v>3131</v>
      </c>
      <c r="C3126" s="11">
        <v>18</v>
      </c>
      <c r="D3126" s="12">
        <v>16.666666666666664</v>
      </c>
      <c r="E3126" s="12" t="s">
        <v>8219</v>
      </c>
      <c r="F3126" s="13">
        <v>6</v>
      </c>
      <c r="G3126" s="14">
        <v>1775.23</v>
      </c>
      <c r="H3126" t="s">
        <v>3651</v>
      </c>
      <c r="I3126">
        <v>5</v>
      </c>
    </row>
    <row r="3127" spans="1:9" ht="15.6" x14ac:dyDescent="0.3">
      <c r="A3127" s="9">
        <v>3126</v>
      </c>
      <c r="B3127" s="2" t="s">
        <v>3132</v>
      </c>
      <c r="C3127" s="11">
        <v>16</v>
      </c>
      <c r="D3127" s="12">
        <v>33.333333333333329</v>
      </c>
      <c r="E3127" s="12" t="s">
        <v>8219</v>
      </c>
      <c r="F3127" s="13">
        <v>6</v>
      </c>
      <c r="G3127" s="14">
        <v>1751.1999999999998</v>
      </c>
      <c r="H3127" t="s">
        <v>2627</v>
      </c>
      <c r="I3127">
        <v>5</v>
      </c>
    </row>
    <row r="3128" spans="1:9" ht="15.6" x14ac:dyDescent="0.3">
      <c r="A3128" s="9">
        <v>3127</v>
      </c>
      <c r="B3128" s="2" t="s">
        <v>3133</v>
      </c>
      <c r="C3128" s="11">
        <v>16</v>
      </c>
      <c r="D3128" s="12">
        <v>33.333333333333329</v>
      </c>
      <c r="E3128" s="12" t="s">
        <v>8219</v>
      </c>
      <c r="F3128" s="13">
        <v>6</v>
      </c>
      <c r="G3128" s="14">
        <v>1791.23</v>
      </c>
      <c r="H3128" t="s">
        <v>1603</v>
      </c>
      <c r="I3128">
        <v>5</v>
      </c>
    </row>
    <row r="3129" spans="1:9" ht="15.6" x14ac:dyDescent="0.3">
      <c r="A3129" s="9">
        <v>3128</v>
      </c>
      <c r="B3129" s="2" t="s">
        <v>3134</v>
      </c>
      <c r="C3129" s="11">
        <v>10</v>
      </c>
      <c r="D3129" s="12">
        <v>16.666666666666664</v>
      </c>
      <c r="E3129" s="12" t="s">
        <v>8219</v>
      </c>
      <c r="F3129" s="13">
        <v>6</v>
      </c>
      <c r="G3129" s="14">
        <v>1766.21</v>
      </c>
      <c r="H3129" t="s">
        <v>579</v>
      </c>
      <c r="I3129">
        <v>4</v>
      </c>
    </row>
    <row r="3130" spans="1:9" ht="15.6" x14ac:dyDescent="0.3">
      <c r="A3130" s="9">
        <v>3129</v>
      </c>
      <c r="B3130" s="2" t="s">
        <v>3135</v>
      </c>
      <c r="C3130" s="11">
        <v>18</v>
      </c>
      <c r="D3130" s="12">
        <v>16.666666666666664</v>
      </c>
      <c r="E3130" s="12" t="s">
        <v>8219</v>
      </c>
      <c r="F3130" s="13">
        <v>6</v>
      </c>
      <c r="G3130" s="14">
        <v>1815.2599999999998</v>
      </c>
      <c r="H3130" t="s">
        <v>3395</v>
      </c>
      <c r="I3130">
        <v>5</v>
      </c>
    </row>
    <row r="3131" spans="1:9" ht="15.6" x14ac:dyDescent="0.3">
      <c r="A3131" s="9">
        <v>3130</v>
      </c>
      <c r="B3131" s="2" t="s">
        <v>3136</v>
      </c>
      <c r="C3131" s="11">
        <v>16</v>
      </c>
      <c r="D3131" s="12">
        <v>33.333333333333329</v>
      </c>
      <c r="E3131" s="12" t="s">
        <v>8219</v>
      </c>
      <c r="F3131" s="13">
        <v>6</v>
      </c>
      <c r="G3131" s="14">
        <v>1791.23</v>
      </c>
      <c r="H3131" t="s">
        <v>2371</v>
      </c>
      <c r="I3131">
        <v>5</v>
      </c>
    </row>
    <row r="3132" spans="1:9" ht="15.6" x14ac:dyDescent="0.3">
      <c r="A3132" s="9">
        <v>3131</v>
      </c>
      <c r="B3132" s="2" t="s">
        <v>3137</v>
      </c>
      <c r="C3132" s="11">
        <v>16</v>
      </c>
      <c r="D3132" s="12">
        <v>33.333333333333329</v>
      </c>
      <c r="E3132" s="12" t="s">
        <v>8219</v>
      </c>
      <c r="F3132" s="13">
        <v>6</v>
      </c>
      <c r="G3132" s="14">
        <v>1831.2600000000002</v>
      </c>
      <c r="H3132" t="s">
        <v>1347</v>
      </c>
      <c r="I3132">
        <v>5</v>
      </c>
    </row>
    <row r="3133" spans="1:9" ht="15.6" x14ac:dyDescent="0.3">
      <c r="A3133" s="9">
        <v>3132</v>
      </c>
      <c r="B3133" s="2" t="s">
        <v>3138</v>
      </c>
      <c r="C3133" s="11">
        <v>10</v>
      </c>
      <c r="D3133" s="12">
        <v>16.666666666666664</v>
      </c>
      <c r="E3133" s="12" t="s">
        <v>8219</v>
      </c>
      <c r="F3133" s="13">
        <v>6</v>
      </c>
      <c r="G3133" s="14">
        <v>1806.2399999999998</v>
      </c>
      <c r="H3133" t="s">
        <v>323</v>
      </c>
      <c r="I3133">
        <v>4</v>
      </c>
    </row>
    <row r="3134" spans="1:9" ht="15.6" x14ac:dyDescent="0.3">
      <c r="A3134" s="9">
        <v>3133</v>
      </c>
      <c r="B3134" s="2" t="s">
        <v>3139</v>
      </c>
      <c r="C3134" s="11">
        <v>12</v>
      </c>
      <c r="D3134" s="12">
        <v>0</v>
      </c>
      <c r="E3134" s="12" t="s">
        <v>8219</v>
      </c>
      <c r="F3134" s="13">
        <v>6</v>
      </c>
      <c r="G3134" s="14">
        <v>1790.2399999999998</v>
      </c>
      <c r="H3134" t="s">
        <v>3139</v>
      </c>
      <c r="I3134">
        <v>4</v>
      </c>
    </row>
    <row r="3135" spans="1:9" ht="15.6" x14ac:dyDescent="0.3">
      <c r="A3135" s="9">
        <v>3134</v>
      </c>
      <c r="B3135" s="2" t="s">
        <v>3140</v>
      </c>
      <c r="C3135" s="11">
        <v>10</v>
      </c>
      <c r="D3135" s="12">
        <v>16.666666666666664</v>
      </c>
      <c r="E3135" s="12" t="s">
        <v>8219</v>
      </c>
      <c r="F3135" s="13">
        <v>6</v>
      </c>
      <c r="G3135" s="14">
        <v>1766.21</v>
      </c>
      <c r="H3135" t="s">
        <v>2115</v>
      </c>
      <c r="I3135">
        <v>4</v>
      </c>
    </row>
    <row r="3136" spans="1:9" ht="15.6" x14ac:dyDescent="0.3">
      <c r="A3136" s="9">
        <v>3135</v>
      </c>
      <c r="B3136" s="2" t="s">
        <v>3141</v>
      </c>
      <c r="C3136" s="11">
        <v>10</v>
      </c>
      <c r="D3136" s="12">
        <v>16.666666666666664</v>
      </c>
      <c r="E3136" s="12" t="s">
        <v>8219</v>
      </c>
      <c r="F3136" s="13">
        <v>6</v>
      </c>
      <c r="G3136" s="14">
        <v>1806.2399999999998</v>
      </c>
      <c r="H3136" t="s">
        <v>1091</v>
      </c>
      <c r="I3136">
        <v>4</v>
      </c>
    </row>
    <row r="3137" spans="1:9" ht="15.6" x14ac:dyDescent="0.3">
      <c r="A3137" s="9">
        <v>3136</v>
      </c>
      <c r="B3137" s="2" t="s">
        <v>3142</v>
      </c>
      <c r="C3137" s="11">
        <v>4</v>
      </c>
      <c r="D3137" s="12">
        <v>0</v>
      </c>
      <c r="E3137" s="12" t="s">
        <v>8219</v>
      </c>
      <c r="F3137" s="13">
        <v>6</v>
      </c>
      <c r="G3137" s="14">
        <v>1781.2199999999998</v>
      </c>
      <c r="H3137" t="s">
        <v>67</v>
      </c>
      <c r="I3137">
        <v>3</v>
      </c>
    </row>
    <row r="3138" spans="1:9" ht="15.6" x14ac:dyDescent="0.3">
      <c r="A3138" s="9">
        <v>3137</v>
      </c>
      <c r="B3138" s="2" t="s">
        <v>3143</v>
      </c>
      <c r="C3138" s="11">
        <v>26</v>
      </c>
      <c r="D3138" s="12">
        <v>16.666666666666664</v>
      </c>
      <c r="E3138" s="12" t="s">
        <v>8219</v>
      </c>
      <c r="F3138" s="13">
        <v>6</v>
      </c>
      <c r="G3138" s="14">
        <v>1784.25</v>
      </c>
      <c r="H3138" t="s">
        <v>4083</v>
      </c>
      <c r="I3138">
        <v>7</v>
      </c>
    </row>
    <row r="3139" spans="1:9" ht="15.6" x14ac:dyDescent="0.3">
      <c r="A3139" s="9">
        <v>3138</v>
      </c>
      <c r="B3139" s="2" t="s">
        <v>3144</v>
      </c>
      <c r="C3139" s="11">
        <v>24</v>
      </c>
      <c r="D3139" s="12">
        <v>33.333333333333329</v>
      </c>
      <c r="E3139" s="12" t="s">
        <v>8219</v>
      </c>
      <c r="F3139" s="13">
        <v>6</v>
      </c>
      <c r="G3139" s="14">
        <v>1760.2199999999998</v>
      </c>
      <c r="H3139" t="s">
        <v>3059</v>
      </c>
      <c r="I3139">
        <v>6</v>
      </c>
    </row>
    <row r="3140" spans="1:9" ht="15.6" x14ac:dyDescent="0.3">
      <c r="A3140" s="9">
        <v>3139</v>
      </c>
      <c r="B3140" s="2" t="s">
        <v>3145</v>
      </c>
      <c r="C3140" s="11">
        <v>24</v>
      </c>
      <c r="D3140" s="12">
        <v>33.333333333333329</v>
      </c>
      <c r="E3140" s="12" t="s">
        <v>8219</v>
      </c>
      <c r="F3140" s="13">
        <v>6</v>
      </c>
      <c r="G3140" s="14">
        <v>1800.25</v>
      </c>
      <c r="H3140" t="s">
        <v>2035</v>
      </c>
      <c r="I3140">
        <v>6</v>
      </c>
    </row>
    <row r="3141" spans="1:9" ht="15.6" x14ac:dyDescent="0.3">
      <c r="A3141" s="9">
        <v>3140</v>
      </c>
      <c r="B3141" s="2" t="s">
        <v>3146</v>
      </c>
      <c r="C3141" s="11">
        <v>18</v>
      </c>
      <c r="D3141" s="12">
        <v>16.666666666666664</v>
      </c>
      <c r="E3141" s="12" t="s">
        <v>8219</v>
      </c>
      <c r="F3141" s="13">
        <v>6</v>
      </c>
      <c r="G3141" s="14">
        <v>1775.23</v>
      </c>
      <c r="H3141" t="s">
        <v>1011</v>
      </c>
      <c r="I3141">
        <v>5</v>
      </c>
    </row>
    <row r="3142" spans="1:9" ht="15.6" x14ac:dyDescent="0.3">
      <c r="A3142" s="9">
        <v>3141</v>
      </c>
      <c r="B3142" s="2" t="s">
        <v>3147</v>
      </c>
      <c r="C3142" s="11">
        <v>24</v>
      </c>
      <c r="D3142" s="12">
        <v>33.333333333333329</v>
      </c>
      <c r="E3142" s="12" t="s">
        <v>8219</v>
      </c>
      <c r="F3142" s="13">
        <v>6</v>
      </c>
      <c r="G3142" s="14">
        <v>1760.2199999999998</v>
      </c>
      <c r="H3142" t="s">
        <v>3827</v>
      </c>
      <c r="I3142">
        <v>6</v>
      </c>
    </row>
    <row r="3143" spans="1:9" ht="15.6" x14ac:dyDescent="0.3">
      <c r="A3143" s="9">
        <v>3142</v>
      </c>
      <c r="B3143" s="2" t="s">
        <v>3148</v>
      </c>
      <c r="C3143" s="11">
        <v>22</v>
      </c>
      <c r="D3143" s="12">
        <v>50</v>
      </c>
      <c r="E3143" s="12" t="s">
        <v>8220</v>
      </c>
      <c r="F3143" s="13">
        <v>6</v>
      </c>
      <c r="G3143" s="14">
        <v>1736.19</v>
      </c>
      <c r="H3143" t="s">
        <v>2803</v>
      </c>
      <c r="I3143">
        <v>6</v>
      </c>
    </row>
    <row r="3144" spans="1:9" ht="15.6" x14ac:dyDescent="0.3">
      <c r="A3144" s="9">
        <v>3143</v>
      </c>
      <c r="B3144" s="2" t="s">
        <v>3149</v>
      </c>
      <c r="C3144" s="11">
        <v>22</v>
      </c>
      <c r="D3144" s="12">
        <v>50</v>
      </c>
      <c r="E3144" s="12" t="s">
        <v>8220</v>
      </c>
      <c r="F3144" s="13">
        <v>6</v>
      </c>
      <c r="G3144" s="14">
        <v>1776.2199999999998</v>
      </c>
      <c r="H3144" t="s">
        <v>1779</v>
      </c>
      <c r="I3144">
        <v>6</v>
      </c>
    </row>
    <row r="3145" spans="1:9" ht="15.6" x14ac:dyDescent="0.3">
      <c r="A3145" s="9">
        <v>3144</v>
      </c>
      <c r="B3145" s="2" t="s">
        <v>3150</v>
      </c>
      <c r="C3145" s="11">
        <v>16</v>
      </c>
      <c r="D3145" s="12">
        <v>33.333333333333329</v>
      </c>
      <c r="E3145" s="12" t="s">
        <v>8219</v>
      </c>
      <c r="F3145" s="13">
        <v>6</v>
      </c>
      <c r="G3145" s="14">
        <v>1751.1999999999998</v>
      </c>
      <c r="H3145" t="s">
        <v>755</v>
      </c>
      <c r="I3145">
        <v>5</v>
      </c>
    </row>
    <row r="3146" spans="1:9" ht="15.6" x14ac:dyDescent="0.3">
      <c r="A3146" s="9">
        <v>3145</v>
      </c>
      <c r="B3146" s="2" t="s">
        <v>3151</v>
      </c>
      <c r="C3146" s="11">
        <v>24</v>
      </c>
      <c r="D3146" s="12">
        <v>33.333333333333329</v>
      </c>
      <c r="E3146" s="12" t="s">
        <v>8219</v>
      </c>
      <c r="F3146" s="13">
        <v>6</v>
      </c>
      <c r="G3146" s="14">
        <v>1800.25</v>
      </c>
      <c r="H3146" t="s">
        <v>3571</v>
      </c>
      <c r="I3146">
        <v>6</v>
      </c>
    </row>
    <row r="3147" spans="1:9" ht="15.6" x14ac:dyDescent="0.3">
      <c r="A3147" s="9">
        <v>3146</v>
      </c>
      <c r="B3147" s="2" t="s">
        <v>3152</v>
      </c>
      <c r="C3147" s="11">
        <v>22</v>
      </c>
      <c r="D3147" s="12">
        <v>50</v>
      </c>
      <c r="E3147" s="12" t="s">
        <v>8220</v>
      </c>
      <c r="F3147" s="13">
        <v>6</v>
      </c>
      <c r="G3147" s="14">
        <v>1776.2199999999998</v>
      </c>
      <c r="H3147" t="s">
        <v>2547</v>
      </c>
      <c r="I3147">
        <v>6</v>
      </c>
    </row>
    <row r="3148" spans="1:9" ht="15.6" x14ac:dyDescent="0.3">
      <c r="A3148" s="9">
        <v>3147</v>
      </c>
      <c r="B3148" s="2" t="s">
        <v>3153</v>
      </c>
      <c r="C3148" s="11">
        <v>22</v>
      </c>
      <c r="D3148" s="12">
        <v>50</v>
      </c>
      <c r="E3148" s="12" t="s">
        <v>8220</v>
      </c>
      <c r="F3148" s="13">
        <v>6</v>
      </c>
      <c r="G3148" s="14">
        <v>1816.25</v>
      </c>
      <c r="H3148" t="s">
        <v>1523</v>
      </c>
      <c r="I3148">
        <v>6</v>
      </c>
    </row>
    <row r="3149" spans="1:9" ht="15.6" x14ac:dyDescent="0.3">
      <c r="A3149" s="9">
        <v>3148</v>
      </c>
      <c r="B3149" s="2" t="s">
        <v>3154</v>
      </c>
      <c r="C3149" s="11">
        <v>16</v>
      </c>
      <c r="D3149" s="12">
        <v>33.333333333333329</v>
      </c>
      <c r="E3149" s="12" t="s">
        <v>8219</v>
      </c>
      <c r="F3149" s="13">
        <v>6</v>
      </c>
      <c r="G3149" s="14">
        <v>1791.23</v>
      </c>
      <c r="H3149" t="s">
        <v>499</v>
      </c>
      <c r="I3149">
        <v>5</v>
      </c>
    </row>
    <row r="3150" spans="1:9" ht="15.6" x14ac:dyDescent="0.3">
      <c r="A3150" s="9">
        <v>3149</v>
      </c>
      <c r="B3150" s="2" t="s">
        <v>3155</v>
      </c>
      <c r="C3150" s="11">
        <v>18</v>
      </c>
      <c r="D3150" s="12">
        <v>16.666666666666664</v>
      </c>
      <c r="E3150" s="12" t="s">
        <v>8219</v>
      </c>
      <c r="F3150" s="13">
        <v>6</v>
      </c>
      <c r="G3150" s="14">
        <v>1775.23</v>
      </c>
      <c r="H3150" t="s">
        <v>3315</v>
      </c>
      <c r="I3150">
        <v>5</v>
      </c>
    </row>
    <row r="3151" spans="1:9" ht="15.6" x14ac:dyDescent="0.3">
      <c r="A3151" s="9">
        <v>3150</v>
      </c>
      <c r="B3151" s="2" t="s">
        <v>3156</v>
      </c>
      <c r="C3151" s="11">
        <v>16</v>
      </c>
      <c r="D3151" s="12">
        <v>33.333333333333329</v>
      </c>
      <c r="E3151" s="12" t="s">
        <v>8219</v>
      </c>
      <c r="F3151" s="13">
        <v>6</v>
      </c>
      <c r="G3151" s="14">
        <v>1751.1999999999998</v>
      </c>
      <c r="H3151" t="s">
        <v>2291</v>
      </c>
      <c r="I3151">
        <v>5</v>
      </c>
    </row>
    <row r="3152" spans="1:9" ht="15.6" x14ac:dyDescent="0.3">
      <c r="A3152" s="9">
        <v>3151</v>
      </c>
      <c r="B3152" s="2" t="s">
        <v>3157</v>
      </c>
      <c r="C3152" s="11">
        <v>16</v>
      </c>
      <c r="D3152" s="12">
        <v>33.333333333333329</v>
      </c>
      <c r="E3152" s="12" t="s">
        <v>8219</v>
      </c>
      <c r="F3152" s="13">
        <v>6</v>
      </c>
      <c r="G3152" s="14">
        <v>1791.23</v>
      </c>
      <c r="H3152" t="s">
        <v>1267</v>
      </c>
      <c r="I3152">
        <v>5</v>
      </c>
    </row>
    <row r="3153" spans="1:9" ht="15.6" x14ac:dyDescent="0.3">
      <c r="A3153" s="9">
        <v>3152</v>
      </c>
      <c r="B3153" s="2" t="s">
        <v>3158</v>
      </c>
      <c r="C3153" s="11">
        <v>10</v>
      </c>
      <c r="D3153" s="12">
        <v>16.666666666666664</v>
      </c>
      <c r="E3153" s="12" t="s">
        <v>8219</v>
      </c>
      <c r="F3153" s="13">
        <v>6</v>
      </c>
      <c r="G3153" s="14">
        <v>1766.21</v>
      </c>
      <c r="H3153" t="s">
        <v>243</v>
      </c>
      <c r="I3153">
        <v>4</v>
      </c>
    </row>
    <row r="3154" spans="1:9" ht="15.6" x14ac:dyDescent="0.3">
      <c r="A3154" s="9">
        <v>3153</v>
      </c>
      <c r="B3154" s="2" t="s">
        <v>3159</v>
      </c>
      <c r="C3154" s="11">
        <v>24</v>
      </c>
      <c r="D3154" s="12">
        <v>33.333333333333329</v>
      </c>
      <c r="E3154" s="12" t="s">
        <v>8219</v>
      </c>
      <c r="F3154" s="13">
        <v>6</v>
      </c>
      <c r="G3154" s="14">
        <v>1760.2199999999998</v>
      </c>
      <c r="H3154" t="s">
        <v>4019</v>
      </c>
      <c r="I3154">
        <v>6</v>
      </c>
    </row>
    <row r="3155" spans="1:9" ht="15.6" x14ac:dyDescent="0.3">
      <c r="A3155" s="9">
        <v>3154</v>
      </c>
      <c r="B3155" s="2" t="s">
        <v>3160</v>
      </c>
      <c r="C3155" s="11">
        <v>22</v>
      </c>
      <c r="D3155" s="12">
        <v>50</v>
      </c>
      <c r="E3155" s="12" t="s">
        <v>8220</v>
      </c>
      <c r="F3155" s="13">
        <v>6</v>
      </c>
      <c r="G3155" s="14">
        <v>1736.19</v>
      </c>
      <c r="H3155" t="s">
        <v>2995</v>
      </c>
      <c r="I3155">
        <v>6</v>
      </c>
    </row>
    <row r="3156" spans="1:9" ht="15.6" x14ac:dyDescent="0.3">
      <c r="A3156" s="9">
        <v>3155</v>
      </c>
      <c r="B3156" s="2" t="s">
        <v>3161</v>
      </c>
      <c r="C3156" s="11">
        <v>22</v>
      </c>
      <c r="D3156" s="12">
        <v>50</v>
      </c>
      <c r="E3156" s="12" t="s">
        <v>8220</v>
      </c>
      <c r="F3156" s="13">
        <v>6</v>
      </c>
      <c r="G3156" s="14">
        <v>1776.2199999999998</v>
      </c>
      <c r="H3156" t="s">
        <v>1971</v>
      </c>
      <c r="I3156">
        <v>6</v>
      </c>
    </row>
    <row r="3157" spans="1:9" ht="15.6" x14ac:dyDescent="0.3">
      <c r="A3157" s="9">
        <v>3156</v>
      </c>
      <c r="B3157" s="2" t="s">
        <v>3162</v>
      </c>
      <c r="C3157" s="11">
        <v>16</v>
      </c>
      <c r="D3157" s="12">
        <v>33.333333333333329</v>
      </c>
      <c r="E3157" s="12" t="s">
        <v>8219</v>
      </c>
      <c r="F3157" s="13">
        <v>6</v>
      </c>
      <c r="G3157" s="14">
        <v>1751.1999999999998</v>
      </c>
      <c r="H3157" t="s">
        <v>947</v>
      </c>
      <c r="I3157">
        <v>5</v>
      </c>
    </row>
    <row r="3158" spans="1:9" ht="15.6" x14ac:dyDescent="0.3">
      <c r="A3158" s="9">
        <v>3157</v>
      </c>
      <c r="B3158" s="2" t="s">
        <v>3163</v>
      </c>
      <c r="C3158" s="11">
        <v>22</v>
      </c>
      <c r="D3158" s="12">
        <v>50</v>
      </c>
      <c r="E3158" s="12" t="s">
        <v>8220</v>
      </c>
      <c r="F3158" s="13">
        <v>6</v>
      </c>
      <c r="G3158" s="14">
        <v>1736.19</v>
      </c>
      <c r="H3158" t="s">
        <v>3763</v>
      </c>
      <c r="I3158">
        <v>6</v>
      </c>
    </row>
    <row r="3159" spans="1:9" ht="15.6" x14ac:dyDescent="0.3">
      <c r="A3159" s="9">
        <v>3158</v>
      </c>
      <c r="B3159" s="2" t="s">
        <v>3164</v>
      </c>
      <c r="C3159" s="11">
        <v>20</v>
      </c>
      <c r="D3159" s="12">
        <v>66.666666666666657</v>
      </c>
      <c r="E3159" s="12" t="s">
        <v>8220</v>
      </c>
      <c r="F3159" s="13">
        <v>6</v>
      </c>
      <c r="G3159" s="14">
        <v>1712.1599999999999</v>
      </c>
      <c r="H3159" t="s">
        <v>2739</v>
      </c>
      <c r="I3159">
        <v>6</v>
      </c>
    </row>
    <row r="3160" spans="1:9" ht="15.6" x14ac:dyDescent="0.3">
      <c r="A3160" s="9">
        <v>3159</v>
      </c>
      <c r="B3160" s="2" t="s">
        <v>3165</v>
      </c>
      <c r="C3160" s="11">
        <v>20</v>
      </c>
      <c r="D3160" s="12">
        <v>66.666666666666657</v>
      </c>
      <c r="E3160" s="12" t="s">
        <v>8220</v>
      </c>
      <c r="F3160" s="13">
        <v>6</v>
      </c>
      <c r="G3160" s="14">
        <v>1752.19</v>
      </c>
      <c r="H3160" t="s">
        <v>1715</v>
      </c>
      <c r="I3160">
        <v>6</v>
      </c>
    </row>
    <row r="3161" spans="1:9" ht="15.6" x14ac:dyDescent="0.3">
      <c r="A3161" s="9">
        <v>3160</v>
      </c>
      <c r="B3161" s="2" t="s">
        <v>3166</v>
      </c>
      <c r="C3161" s="11">
        <v>14</v>
      </c>
      <c r="D3161" s="12">
        <v>50</v>
      </c>
      <c r="E3161" s="12" t="s">
        <v>8220</v>
      </c>
      <c r="F3161" s="13">
        <v>6</v>
      </c>
      <c r="G3161" s="14">
        <v>1727.17</v>
      </c>
      <c r="H3161" t="s">
        <v>691</v>
      </c>
      <c r="I3161">
        <v>5</v>
      </c>
    </row>
    <row r="3162" spans="1:9" ht="15.6" x14ac:dyDescent="0.3">
      <c r="A3162" s="9">
        <v>3161</v>
      </c>
      <c r="B3162" s="2" t="s">
        <v>3167</v>
      </c>
      <c r="C3162" s="11">
        <v>22</v>
      </c>
      <c r="D3162" s="12">
        <v>50</v>
      </c>
      <c r="E3162" s="12" t="s">
        <v>8220</v>
      </c>
      <c r="F3162" s="13">
        <v>6</v>
      </c>
      <c r="G3162" s="14">
        <v>1776.2199999999998</v>
      </c>
      <c r="H3162" t="s">
        <v>3507</v>
      </c>
      <c r="I3162">
        <v>6</v>
      </c>
    </row>
    <row r="3163" spans="1:9" ht="15.6" x14ac:dyDescent="0.3">
      <c r="A3163" s="9">
        <v>3162</v>
      </c>
      <c r="B3163" s="2" t="s">
        <v>3168</v>
      </c>
      <c r="C3163" s="11">
        <v>20</v>
      </c>
      <c r="D3163" s="12">
        <v>66.666666666666657</v>
      </c>
      <c r="E3163" s="12" t="s">
        <v>8220</v>
      </c>
      <c r="F3163" s="13">
        <v>6</v>
      </c>
      <c r="G3163" s="14">
        <v>1752.19</v>
      </c>
      <c r="H3163" t="s">
        <v>2483</v>
      </c>
      <c r="I3163">
        <v>6</v>
      </c>
    </row>
    <row r="3164" spans="1:9" ht="15.6" x14ac:dyDescent="0.3">
      <c r="A3164" s="9">
        <v>3163</v>
      </c>
      <c r="B3164" s="2" t="s">
        <v>3169</v>
      </c>
      <c r="C3164" s="11">
        <v>20</v>
      </c>
      <c r="D3164" s="12">
        <v>66.666666666666657</v>
      </c>
      <c r="E3164" s="12" t="s">
        <v>8220</v>
      </c>
      <c r="F3164" s="13">
        <v>6</v>
      </c>
      <c r="G3164" s="14">
        <v>1792.2199999999998</v>
      </c>
      <c r="H3164" t="s">
        <v>1459</v>
      </c>
      <c r="I3164">
        <v>6</v>
      </c>
    </row>
    <row r="3165" spans="1:9" ht="15.6" x14ac:dyDescent="0.3">
      <c r="A3165" s="9">
        <v>3164</v>
      </c>
      <c r="B3165" s="2" t="s">
        <v>3170</v>
      </c>
      <c r="C3165" s="11">
        <v>14</v>
      </c>
      <c r="D3165" s="12">
        <v>50</v>
      </c>
      <c r="E3165" s="12" t="s">
        <v>8220</v>
      </c>
      <c r="F3165" s="13">
        <v>6</v>
      </c>
      <c r="G3165" s="14">
        <v>1767.1999999999998</v>
      </c>
      <c r="H3165" t="s">
        <v>435</v>
      </c>
      <c r="I3165">
        <v>5</v>
      </c>
    </row>
    <row r="3166" spans="1:9" ht="15.6" x14ac:dyDescent="0.3">
      <c r="A3166" s="9">
        <v>3165</v>
      </c>
      <c r="B3166" s="2" t="s">
        <v>3171</v>
      </c>
      <c r="C3166" s="11">
        <v>16</v>
      </c>
      <c r="D3166" s="12">
        <v>33.333333333333329</v>
      </c>
      <c r="E3166" s="12" t="s">
        <v>8219</v>
      </c>
      <c r="F3166" s="13">
        <v>6</v>
      </c>
      <c r="G3166" s="14">
        <v>1751.1999999999998</v>
      </c>
      <c r="H3166" t="s">
        <v>3251</v>
      </c>
      <c r="I3166">
        <v>5</v>
      </c>
    </row>
    <row r="3167" spans="1:9" ht="15.6" x14ac:dyDescent="0.3">
      <c r="A3167" s="9">
        <v>3166</v>
      </c>
      <c r="B3167" s="2" t="s">
        <v>3172</v>
      </c>
      <c r="C3167" s="11">
        <v>14</v>
      </c>
      <c r="D3167" s="12">
        <v>50</v>
      </c>
      <c r="E3167" s="12" t="s">
        <v>8220</v>
      </c>
      <c r="F3167" s="13">
        <v>6</v>
      </c>
      <c r="G3167" s="14">
        <v>1727.17</v>
      </c>
      <c r="H3167" t="s">
        <v>2227</v>
      </c>
      <c r="I3167">
        <v>5</v>
      </c>
    </row>
    <row r="3168" spans="1:9" ht="15.6" x14ac:dyDescent="0.3">
      <c r="A3168" s="9">
        <v>3167</v>
      </c>
      <c r="B3168" s="2" t="s">
        <v>3173</v>
      </c>
      <c r="C3168" s="11">
        <v>14</v>
      </c>
      <c r="D3168" s="12">
        <v>50</v>
      </c>
      <c r="E3168" s="12" t="s">
        <v>8220</v>
      </c>
      <c r="F3168" s="13">
        <v>6</v>
      </c>
      <c r="G3168" s="14">
        <v>1767.1999999999998</v>
      </c>
      <c r="H3168" t="s">
        <v>1203</v>
      </c>
      <c r="I3168">
        <v>5</v>
      </c>
    </row>
    <row r="3169" spans="1:9" ht="15.6" x14ac:dyDescent="0.3">
      <c r="A3169" s="9">
        <v>3168</v>
      </c>
      <c r="B3169" s="2" t="s">
        <v>3174</v>
      </c>
      <c r="C3169" s="11">
        <v>8</v>
      </c>
      <c r="D3169" s="12">
        <v>33.333333333333329</v>
      </c>
      <c r="E3169" s="12" t="s">
        <v>8219</v>
      </c>
      <c r="F3169" s="13">
        <v>6</v>
      </c>
      <c r="G3169" s="14">
        <v>1742.1799999999998</v>
      </c>
      <c r="H3169" t="s">
        <v>179</v>
      </c>
      <c r="I3169">
        <v>4</v>
      </c>
    </row>
    <row r="3170" spans="1:9" ht="15.6" x14ac:dyDescent="0.3">
      <c r="A3170" s="9">
        <v>3169</v>
      </c>
      <c r="B3170" s="2" t="s">
        <v>3175</v>
      </c>
      <c r="C3170" s="11">
        <v>24</v>
      </c>
      <c r="D3170" s="12">
        <v>33.333333333333329</v>
      </c>
      <c r="E3170" s="12" t="s">
        <v>8219</v>
      </c>
      <c r="F3170" s="13">
        <v>6</v>
      </c>
      <c r="G3170" s="14">
        <v>1800.25</v>
      </c>
      <c r="H3170" t="s">
        <v>3955</v>
      </c>
      <c r="I3170">
        <v>6</v>
      </c>
    </row>
    <row r="3171" spans="1:9" ht="15.6" x14ac:dyDescent="0.3">
      <c r="A3171" s="9">
        <v>3170</v>
      </c>
      <c r="B3171" s="2" t="s">
        <v>3176</v>
      </c>
      <c r="C3171" s="11">
        <v>22</v>
      </c>
      <c r="D3171" s="12">
        <v>50</v>
      </c>
      <c r="E3171" s="12" t="s">
        <v>8220</v>
      </c>
      <c r="F3171" s="13">
        <v>6</v>
      </c>
      <c r="G3171" s="14">
        <v>1776.2199999999998</v>
      </c>
      <c r="H3171" t="s">
        <v>2931</v>
      </c>
      <c r="I3171">
        <v>6</v>
      </c>
    </row>
    <row r="3172" spans="1:9" ht="15.6" x14ac:dyDescent="0.3">
      <c r="A3172" s="9">
        <v>3171</v>
      </c>
      <c r="B3172" s="2" t="s">
        <v>3177</v>
      </c>
      <c r="C3172" s="11">
        <v>22</v>
      </c>
      <c r="D3172" s="12">
        <v>50</v>
      </c>
      <c r="E3172" s="12" t="s">
        <v>8220</v>
      </c>
      <c r="F3172" s="13">
        <v>6</v>
      </c>
      <c r="G3172" s="14">
        <v>1816.25</v>
      </c>
      <c r="H3172" t="s">
        <v>1907</v>
      </c>
      <c r="I3172">
        <v>6</v>
      </c>
    </row>
    <row r="3173" spans="1:9" ht="15.6" x14ac:dyDescent="0.3">
      <c r="A3173" s="9">
        <v>3172</v>
      </c>
      <c r="B3173" s="2" t="s">
        <v>3178</v>
      </c>
      <c r="C3173" s="11">
        <v>16</v>
      </c>
      <c r="D3173" s="12">
        <v>33.333333333333329</v>
      </c>
      <c r="E3173" s="12" t="s">
        <v>8219</v>
      </c>
      <c r="F3173" s="13">
        <v>6</v>
      </c>
      <c r="G3173" s="14">
        <v>1791.23</v>
      </c>
      <c r="H3173" t="s">
        <v>883</v>
      </c>
      <c r="I3173">
        <v>5</v>
      </c>
    </row>
    <row r="3174" spans="1:9" ht="15.6" x14ac:dyDescent="0.3">
      <c r="A3174" s="9">
        <v>3173</v>
      </c>
      <c r="B3174" s="2" t="s">
        <v>3179</v>
      </c>
      <c r="C3174" s="11">
        <v>22</v>
      </c>
      <c r="D3174" s="12">
        <v>50</v>
      </c>
      <c r="E3174" s="12" t="s">
        <v>8220</v>
      </c>
      <c r="F3174" s="13">
        <v>6</v>
      </c>
      <c r="G3174" s="14">
        <v>1776.2199999999998</v>
      </c>
      <c r="H3174" t="s">
        <v>3699</v>
      </c>
      <c r="I3174">
        <v>6</v>
      </c>
    </row>
    <row r="3175" spans="1:9" ht="15.6" x14ac:dyDescent="0.3">
      <c r="A3175" s="9">
        <v>3174</v>
      </c>
      <c r="B3175" s="2" t="s">
        <v>3180</v>
      </c>
      <c r="C3175" s="11">
        <v>20</v>
      </c>
      <c r="D3175" s="12">
        <v>66.666666666666657</v>
      </c>
      <c r="E3175" s="12" t="s">
        <v>8220</v>
      </c>
      <c r="F3175" s="13">
        <v>6</v>
      </c>
      <c r="G3175" s="14">
        <v>1752.19</v>
      </c>
      <c r="H3175" t="s">
        <v>2675</v>
      </c>
      <c r="I3175">
        <v>6</v>
      </c>
    </row>
    <row r="3176" spans="1:9" ht="15.6" x14ac:dyDescent="0.3">
      <c r="A3176" s="9">
        <v>3175</v>
      </c>
      <c r="B3176" s="2" t="s">
        <v>3181</v>
      </c>
      <c r="C3176" s="11">
        <v>20</v>
      </c>
      <c r="D3176" s="12">
        <v>66.666666666666657</v>
      </c>
      <c r="E3176" s="12" t="s">
        <v>8220</v>
      </c>
      <c r="F3176" s="13">
        <v>6</v>
      </c>
      <c r="G3176" s="14">
        <v>1792.2199999999998</v>
      </c>
      <c r="H3176" t="s">
        <v>1651</v>
      </c>
      <c r="I3176">
        <v>6</v>
      </c>
    </row>
    <row r="3177" spans="1:9" ht="15.6" x14ac:dyDescent="0.3">
      <c r="A3177" s="9">
        <v>3176</v>
      </c>
      <c r="B3177" s="2" t="s">
        <v>3182</v>
      </c>
      <c r="C3177" s="11">
        <v>14</v>
      </c>
      <c r="D3177" s="12">
        <v>50</v>
      </c>
      <c r="E3177" s="12" t="s">
        <v>8220</v>
      </c>
      <c r="F3177" s="13">
        <v>6</v>
      </c>
      <c r="G3177" s="14">
        <v>1767.1999999999998</v>
      </c>
      <c r="H3177" t="s">
        <v>627</v>
      </c>
      <c r="I3177">
        <v>5</v>
      </c>
    </row>
    <row r="3178" spans="1:9" ht="15.6" x14ac:dyDescent="0.3">
      <c r="A3178" s="9">
        <v>3177</v>
      </c>
      <c r="B3178" s="2" t="s">
        <v>3183</v>
      </c>
      <c r="C3178" s="11">
        <v>22</v>
      </c>
      <c r="D3178" s="12">
        <v>50</v>
      </c>
      <c r="E3178" s="12" t="s">
        <v>8220</v>
      </c>
      <c r="F3178" s="13">
        <v>6</v>
      </c>
      <c r="G3178" s="14">
        <v>1816.25</v>
      </c>
      <c r="H3178" t="s">
        <v>3443</v>
      </c>
      <c r="I3178">
        <v>6</v>
      </c>
    </row>
    <row r="3179" spans="1:9" ht="15.6" x14ac:dyDescent="0.3">
      <c r="A3179" s="9">
        <v>3178</v>
      </c>
      <c r="B3179" s="2" t="s">
        <v>3184</v>
      </c>
      <c r="C3179" s="11">
        <v>20</v>
      </c>
      <c r="D3179" s="12">
        <v>66.666666666666657</v>
      </c>
      <c r="E3179" s="12" t="s">
        <v>8220</v>
      </c>
      <c r="F3179" s="13">
        <v>6</v>
      </c>
      <c r="G3179" s="14">
        <v>1792.2199999999998</v>
      </c>
      <c r="H3179" t="s">
        <v>2419</v>
      </c>
      <c r="I3179">
        <v>6</v>
      </c>
    </row>
    <row r="3180" spans="1:9" ht="15.6" x14ac:dyDescent="0.3">
      <c r="A3180" s="9">
        <v>3179</v>
      </c>
      <c r="B3180" s="2" t="s">
        <v>3185</v>
      </c>
      <c r="C3180" s="11">
        <v>20</v>
      </c>
      <c r="D3180" s="12">
        <v>66.666666666666657</v>
      </c>
      <c r="E3180" s="12" t="s">
        <v>8220</v>
      </c>
      <c r="F3180" s="13">
        <v>6</v>
      </c>
      <c r="G3180" s="14">
        <v>1832.25</v>
      </c>
      <c r="H3180" t="s">
        <v>1395</v>
      </c>
      <c r="I3180">
        <v>6</v>
      </c>
    </row>
    <row r="3181" spans="1:9" ht="15.6" x14ac:dyDescent="0.3">
      <c r="A3181" s="9">
        <v>3180</v>
      </c>
      <c r="B3181" s="2" t="s">
        <v>3186</v>
      </c>
      <c r="C3181" s="11">
        <v>14</v>
      </c>
      <c r="D3181" s="12">
        <v>50</v>
      </c>
      <c r="E3181" s="12" t="s">
        <v>8220</v>
      </c>
      <c r="F3181" s="13">
        <v>6</v>
      </c>
      <c r="G3181" s="14">
        <v>1807.23</v>
      </c>
      <c r="H3181" t="s">
        <v>371</v>
      </c>
      <c r="I3181">
        <v>5</v>
      </c>
    </row>
    <row r="3182" spans="1:9" ht="15.6" x14ac:dyDescent="0.3">
      <c r="A3182" s="9">
        <v>3181</v>
      </c>
      <c r="B3182" s="2" t="s">
        <v>3187</v>
      </c>
      <c r="C3182" s="11">
        <v>16</v>
      </c>
      <c r="D3182" s="12">
        <v>33.333333333333329</v>
      </c>
      <c r="E3182" s="12" t="s">
        <v>8219</v>
      </c>
      <c r="F3182" s="13">
        <v>6</v>
      </c>
      <c r="G3182" s="14">
        <v>1791.23</v>
      </c>
      <c r="H3182" t="s">
        <v>3187</v>
      </c>
      <c r="I3182">
        <v>5</v>
      </c>
    </row>
    <row r="3183" spans="1:9" ht="15.6" x14ac:dyDescent="0.3">
      <c r="A3183" s="9">
        <v>3182</v>
      </c>
      <c r="B3183" s="2" t="s">
        <v>3188</v>
      </c>
      <c r="C3183" s="11">
        <v>14</v>
      </c>
      <c r="D3183" s="12">
        <v>50</v>
      </c>
      <c r="E3183" s="12" t="s">
        <v>8220</v>
      </c>
      <c r="F3183" s="13">
        <v>6</v>
      </c>
      <c r="G3183" s="14">
        <v>1767.1999999999998</v>
      </c>
      <c r="H3183" t="s">
        <v>2163</v>
      </c>
      <c r="I3183">
        <v>5</v>
      </c>
    </row>
    <row r="3184" spans="1:9" ht="15.6" x14ac:dyDescent="0.3">
      <c r="A3184" s="9">
        <v>3183</v>
      </c>
      <c r="B3184" s="2" t="s">
        <v>3189</v>
      </c>
      <c r="C3184" s="11">
        <v>14</v>
      </c>
      <c r="D3184" s="12">
        <v>50</v>
      </c>
      <c r="E3184" s="12" t="s">
        <v>8220</v>
      </c>
      <c r="F3184" s="13">
        <v>6</v>
      </c>
      <c r="G3184" s="14">
        <v>1807.23</v>
      </c>
      <c r="H3184" t="s">
        <v>1139</v>
      </c>
      <c r="I3184">
        <v>5</v>
      </c>
    </row>
    <row r="3185" spans="1:9" ht="15.6" x14ac:dyDescent="0.3">
      <c r="A3185" s="9">
        <v>3184</v>
      </c>
      <c r="B3185" s="2" t="s">
        <v>3190</v>
      </c>
      <c r="C3185" s="11">
        <v>8</v>
      </c>
      <c r="D3185" s="12">
        <v>33.333333333333329</v>
      </c>
      <c r="E3185" s="12" t="s">
        <v>8219</v>
      </c>
      <c r="F3185" s="13">
        <v>6</v>
      </c>
      <c r="G3185" s="14">
        <v>1782.21</v>
      </c>
      <c r="H3185" t="s">
        <v>115</v>
      </c>
      <c r="I3185">
        <v>4</v>
      </c>
    </row>
    <row r="3186" spans="1:9" ht="15.6" x14ac:dyDescent="0.3">
      <c r="A3186" s="9">
        <v>3185</v>
      </c>
      <c r="B3186" s="2" t="s">
        <v>3191</v>
      </c>
      <c r="C3186" s="11">
        <v>18</v>
      </c>
      <c r="D3186" s="12">
        <v>16.666666666666664</v>
      </c>
      <c r="E3186" s="12" t="s">
        <v>8219</v>
      </c>
      <c r="F3186" s="13">
        <v>6</v>
      </c>
      <c r="G3186" s="14">
        <v>1775.23</v>
      </c>
      <c r="H3186" t="s">
        <v>3891</v>
      </c>
      <c r="I3186">
        <v>5</v>
      </c>
    </row>
    <row r="3187" spans="1:9" ht="15.6" x14ac:dyDescent="0.3">
      <c r="A3187" s="9">
        <v>3186</v>
      </c>
      <c r="B3187" s="2" t="s">
        <v>3192</v>
      </c>
      <c r="C3187" s="11">
        <v>16</v>
      </c>
      <c r="D3187" s="12">
        <v>33.333333333333329</v>
      </c>
      <c r="E3187" s="12" t="s">
        <v>8219</v>
      </c>
      <c r="F3187" s="13">
        <v>6</v>
      </c>
      <c r="G3187" s="14">
        <v>1751.1999999999998</v>
      </c>
      <c r="H3187" t="s">
        <v>2867</v>
      </c>
      <c r="I3187">
        <v>5</v>
      </c>
    </row>
    <row r="3188" spans="1:9" ht="15.6" x14ac:dyDescent="0.3">
      <c r="A3188" s="9">
        <v>3187</v>
      </c>
      <c r="B3188" s="2" t="s">
        <v>3193</v>
      </c>
      <c r="C3188" s="11">
        <v>16</v>
      </c>
      <c r="D3188" s="12">
        <v>33.333333333333329</v>
      </c>
      <c r="E3188" s="12" t="s">
        <v>8219</v>
      </c>
      <c r="F3188" s="13">
        <v>6</v>
      </c>
      <c r="G3188" s="14">
        <v>1791.23</v>
      </c>
      <c r="H3188" t="s">
        <v>1843</v>
      </c>
      <c r="I3188">
        <v>5</v>
      </c>
    </row>
    <row r="3189" spans="1:9" ht="15.6" x14ac:dyDescent="0.3">
      <c r="A3189" s="9">
        <v>3188</v>
      </c>
      <c r="B3189" s="2" t="s">
        <v>3194</v>
      </c>
      <c r="C3189" s="11">
        <v>10</v>
      </c>
      <c r="D3189" s="12">
        <v>16.666666666666664</v>
      </c>
      <c r="E3189" s="12" t="s">
        <v>8219</v>
      </c>
      <c r="F3189" s="13">
        <v>6</v>
      </c>
      <c r="G3189" s="14">
        <v>1766.21</v>
      </c>
      <c r="H3189" t="s">
        <v>819</v>
      </c>
      <c r="I3189">
        <v>4</v>
      </c>
    </row>
    <row r="3190" spans="1:9" ht="15.6" x14ac:dyDescent="0.3">
      <c r="A3190" s="9">
        <v>3189</v>
      </c>
      <c r="B3190" s="2" t="s">
        <v>3195</v>
      </c>
      <c r="C3190" s="11">
        <v>16</v>
      </c>
      <c r="D3190" s="12">
        <v>33.333333333333329</v>
      </c>
      <c r="E3190" s="12" t="s">
        <v>8219</v>
      </c>
      <c r="F3190" s="13">
        <v>6</v>
      </c>
      <c r="G3190" s="14">
        <v>1751.1999999999998</v>
      </c>
      <c r="H3190" t="s">
        <v>3635</v>
      </c>
      <c r="I3190">
        <v>5</v>
      </c>
    </row>
    <row r="3191" spans="1:9" ht="15.6" x14ac:dyDescent="0.3">
      <c r="A3191" s="9">
        <v>3190</v>
      </c>
      <c r="B3191" s="2" t="s">
        <v>3196</v>
      </c>
      <c r="C3191" s="11">
        <v>14</v>
      </c>
      <c r="D3191" s="12">
        <v>50</v>
      </c>
      <c r="E3191" s="12" t="s">
        <v>8220</v>
      </c>
      <c r="F3191" s="13">
        <v>6</v>
      </c>
      <c r="G3191" s="14">
        <v>1727.17</v>
      </c>
      <c r="H3191" t="s">
        <v>2611</v>
      </c>
      <c r="I3191">
        <v>5</v>
      </c>
    </row>
    <row r="3192" spans="1:9" ht="15.6" x14ac:dyDescent="0.3">
      <c r="A3192" s="9">
        <v>3191</v>
      </c>
      <c r="B3192" s="2" t="s">
        <v>3197</v>
      </c>
      <c r="C3192" s="11">
        <v>14</v>
      </c>
      <c r="D3192" s="12">
        <v>50</v>
      </c>
      <c r="E3192" s="12" t="s">
        <v>8220</v>
      </c>
      <c r="F3192" s="13">
        <v>6</v>
      </c>
      <c r="G3192" s="14">
        <v>1767.1999999999998</v>
      </c>
      <c r="H3192" t="s">
        <v>1587</v>
      </c>
      <c r="I3192">
        <v>5</v>
      </c>
    </row>
    <row r="3193" spans="1:9" ht="15.6" x14ac:dyDescent="0.3">
      <c r="A3193" s="9">
        <v>3192</v>
      </c>
      <c r="B3193" s="2" t="s">
        <v>3198</v>
      </c>
      <c r="C3193" s="11">
        <v>8</v>
      </c>
      <c r="D3193" s="12">
        <v>33.333333333333329</v>
      </c>
      <c r="E3193" s="12" t="s">
        <v>8219</v>
      </c>
      <c r="F3193" s="13">
        <v>6</v>
      </c>
      <c r="G3193" s="14">
        <v>1742.1799999999998</v>
      </c>
      <c r="H3193" t="s">
        <v>563</v>
      </c>
      <c r="I3193">
        <v>4</v>
      </c>
    </row>
    <row r="3194" spans="1:9" ht="15.6" x14ac:dyDescent="0.3">
      <c r="A3194" s="9">
        <v>3193</v>
      </c>
      <c r="B3194" s="2" t="s">
        <v>3199</v>
      </c>
      <c r="C3194" s="11">
        <v>16</v>
      </c>
      <c r="D3194" s="12">
        <v>33.333333333333329</v>
      </c>
      <c r="E3194" s="12" t="s">
        <v>8219</v>
      </c>
      <c r="F3194" s="13">
        <v>6</v>
      </c>
      <c r="G3194" s="14">
        <v>1791.23</v>
      </c>
      <c r="H3194" t="s">
        <v>3379</v>
      </c>
      <c r="I3194">
        <v>5</v>
      </c>
    </row>
    <row r="3195" spans="1:9" ht="15.6" x14ac:dyDescent="0.3">
      <c r="A3195" s="9">
        <v>3194</v>
      </c>
      <c r="B3195" s="2" t="s">
        <v>3200</v>
      </c>
      <c r="C3195" s="11">
        <v>14</v>
      </c>
      <c r="D3195" s="12">
        <v>50</v>
      </c>
      <c r="E3195" s="12" t="s">
        <v>8220</v>
      </c>
      <c r="F3195" s="13">
        <v>6</v>
      </c>
      <c r="G3195" s="14">
        <v>1767.1999999999998</v>
      </c>
      <c r="H3195" t="s">
        <v>2355</v>
      </c>
      <c r="I3195">
        <v>5</v>
      </c>
    </row>
    <row r="3196" spans="1:9" ht="15.6" x14ac:dyDescent="0.3">
      <c r="A3196" s="9">
        <v>3195</v>
      </c>
      <c r="B3196" s="2" t="s">
        <v>3201</v>
      </c>
      <c r="C3196" s="11">
        <v>14</v>
      </c>
      <c r="D3196" s="12">
        <v>50</v>
      </c>
      <c r="E3196" s="12" t="s">
        <v>8220</v>
      </c>
      <c r="F3196" s="13">
        <v>6</v>
      </c>
      <c r="G3196" s="14">
        <v>1807.23</v>
      </c>
      <c r="H3196" t="s">
        <v>1331</v>
      </c>
      <c r="I3196">
        <v>5</v>
      </c>
    </row>
    <row r="3197" spans="1:9" ht="15.6" x14ac:dyDescent="0.3">
      <c r="A3197" s="9">
        <v>3196</v>
      </c>
      <c r="B3197" s="2" t="s">
        <v>3202</v>
      </c>
      <c r="C3197" s="11">
        <v>8</v>
      </c>
      <c r="D3197" s="12">
        <v>33.333333333333329</v>
      </c>
      <c r="E3197" s="12" t="s">
        <v>8219</v>
      </c>
      <c r="F3197" s="13">
        <v>6</v>
      </c>
      <c r="G3197" s="14">
        <v>1782.21</v>
      </c>
      <c r="H3197" t="s">
        <v>307</v>
      </c>
      <c r="I3197">
        <v>4</v>
      </c>
    </row>
    <row r="3198" spans="1:9" ht="15.6" x14ac:dyDescent="0.3">
      <c r="A3198" s="9">
        <v>3197</v>
      </c>
      <c r="B3198" s="2" t="s">
        <v>3203</v>
      </c>
      <c r="C3198" s="11">
        <v>10</v>
      </c>
      <c r="D3198" s="12">
        <v>16.666666666666664</v>
      </c>
      <c r="E3198" s="12" t="s">
        <v>8219</v>
      </c>
      <c r="F3198" s="13">
        <v>6</v>
      </c>
      <c r="G3198" s="14">
        <v>1766.21</v>
      </c>
      <c r="H3198" t="s">
        <v>3123</v>
      </c>
      <c r="I3198">
        <v>4</v>
      </c>
    </row>
    <row r="3199" spans="1:9" ht="15.6" x14ac:dyDescent="0.3">
      <c r="A3199" s="9">
        <v>3198</v>
      </c>
      <c r="B3199" s="2" t="s">
        <v>3204</v>
      </c>
      <c r="C3199" s="11">
        <v>8</v>
      </c>
      <c r="D3199" s="12">
        <v>33.333333333333329</v>
      </c>
      <c r="E3199" s="12" t="s">
        <v>8219</v>
      </c>
      <c r="F3199" s="13">
        <v>6</v>
      </c>
      <c r="G3199" s="14">
        <v>1742.1799999999998</v>
      </c>
      <c r="H3199" t="s">
        <v>2099</v>
      </c>
      <c r="I3199">
        <v>4</v>
      </c>
    </row>
    <row r="3200" spans="1:9" ht="15.6" x14ac:dyDescent="0.3">
      <c r="A3200" s="9">
        <v>3199</v>
      </c>
      <c r="B3200" s="2" t="s">
        <v>3205</v>
      </c>
      <c r="C3200" s="11">
        <v>8</v>
      </c>
      <c r="D3200" s="12">
        <v>33.333333333333329</v>
      </c>
      <c r="E3200" s="12" t="s">
        <v>8219</v>
      </c>
      <c r="F3200" s="13">
        <v>6</v>
      </c>
      <c r="G3200" s="14">
        <v>1782.21</v>
      </c>
      <c r="H3200" t="s">
        <v>1075</v>
      </c>
      <c r="I3200">
        <v>4</v>
      </c>
    </row>
    <row r="3201" spans="1:9" ht="15.6" x14ac:dyDescent="0.3">
      <c r="A3201" s="9">
        <v>3200</v>
      </c>
      <c r="B3201" s="2" t="s">
        <v>3206</v>
      </c>
      <c r="C3201" s="11">
        <v>2</v>
      </c>
      <c r="D3201" s="12">
        <v>16.666666666666664</v>
      </c>
      <c r="E3201" s="12" t="s">
        <v>8219</v>
      </c>
      <c r="F3201" s="13">
        <v>6</v>
      </c>
      <c r="G3201" s="14">
        <v>1757.19</v>
      </c>
      <c r="H3201" t="s">
        <v>51</v>
      </c>
      <c r="I3201">
        <v>3</v>
      </c>
    </row>
    <row r="3202" spans="1:9" ht="15.6" x14ac:dyDescent="0.3">
      <c r="A3202" s="9">
        <v>3201</v>
      </c>
      <c r="B3202" s="2" t="s">
        <v>3207</v>
      </c>
      <c r="C3202" s="11">
        <v>26</v>
      </c>
      <c r="D3202" s="12">
        <v>16.666666666666664</v>
      </c>
      <c r="E3202" s="12" t="s">
        <v>8219</v>
      </c>
      <c r="F3202" s="13">
        <v>6</v>
      </c>
      <c r="G3202" s="14">
        <v>1824.2799999999997</v>
      </c>
      <c r="H3202" t="s">
        <v>4067</v>
      </c>
      <c r="I3202">
        <v>7</v>
      </c>
    </row>
    <row r="3203" spans="1:9" ht="15.6" x14ac:dyDescent="0.3">
      <c r="A3203" s="9">
        <v>3202</v>
      </c>
      <c r="B3203" s="2" t="s">
        <v>3208</v>
      </c>
      <c r="C3203" s="11">
        <v>24</v>
      </c>
      <c r="D3203" s="12">
        <v>33.333333333333329</v>
      </c>
      <c r="E3203" s="12" t="s">
        <v>8219</v>
      </c>
      <c r="F3203" s="13">
        <v>6</v>
      </c>
      <c r="G3203" s="14">
        <v>1800.25</v>
      </c>
      <c r="H3203" t="s">
        <v>3043</v>
      </c>
      <c r="I3203">
        <v>6</v>
      </c>
    </row>
    <row r="3204" spans="1:9" ht="15.6" x14ac:dyDescent="0.3">
      <c r="A3204" s="9">
        <v>3203</v>
      </c>
      <c r="B3204" s="2" t="s">
        <v>3209</v>
      </c>
      <c r="C3204" s="11">
        <v>24</v>
      </c>
      <c r="D3204" s="12">
        <v>33.333333333333329</v>
      </c>
      <c r="E3204" s="12" t="s">
        <v>8219</v>
      </c>
      <c r="F3204" s="13">
        <v>6</v>
      </c>
      <c r="G3204" s="14">
        <v>1840.2800000000002</v>
      </c>
      <c r="H3204" t="s">
        <v>2019</v>
      </c>
      <c r="I3204">
        <v>6</v>
      </c>
    </row>
    <row r="3205" spans="1:9" ht="15.6" x14ac:dyDescent="0.3">
      <c r="A3205" s="9">
        <v>3204</v>
      </c>
      <c r="B3205" s="2" t="s">
        <v>3210</v>
      </c>
      <c r="C3205" s="11">
        <v>18</v>
      </c>
      <c r="D3205" s="12">
        <v>16.666666666666664</v>
      </c>
      <c r="E3205" s="12" t="s">
        <v>8219</v>
      </c>
      <c r="F3205" s="13">
        <v>6</v>
      </c>
      <c r="G3205" s="14">
        <v>1815.2599999999998</v>
      </c>
      <c r="H3205" t="s">
        <v>995</v>
      </c>
      <c r="I3205">
        <v>5</v>
      </c>
    </row>
    <row r="3206" spans="1:9" ht="15.6" x14ac:dyDescent="0.3">
      <c r="A3206" s="9">
        <v>3205</v>
      </c>
      <c r="B3206" s="2" t="s">
        <v>3211</v>
      </c>
      <c r="C3206" s="11">
        <v>24</v>
      </c>
      <c r="D3206" s="12">
        <v>33.333333333333329</v>
      </c>
      <c r="E3206" s="12" t="s">
        <v>8219</v>
      </c>
      <c r="F3206" s="13">
        <v>6</v>
      </c>
      <c r="G3206" s="14">
        <v>1800.25</v>
      </c>
      <c r="H3206" t="s">
        <v>3811</v>
      </c>
      <c r="I3206">
        <v>6</v>
      </c>
    </row>
    <row r="3207" spans="1:9" ht="15.6" x14ac:dyDescent="0.3">
      <c r="A3207" s="9">
        <v>3206</v>
      </c>
      <c r="B3207" s="2" t="s">
        <v>3212</v>
      </c>
      <c r="C3207" s="11">
        <v>22</v>
      </c>
      <c r="D3207" s="12">
        <v>50</v>
      </c>
      <c r="E3207" s="12" t="s">
        <v>8220</v>
      </c>
      <c r="F3207" s="13">
        <v>6</v>
      </c>
      <c r="G3207" s="14">
        <v>1776.2199999999998</v>
      </c>
      <c r="H3207" t="s">
        <v>2787</v>
      </c>
      <c r="I3207">
        <v>6</v>
      </c>
    </row>
    <row r="3208" spans="1:9" ht="15.6" x14ac:dyDescent="0.3">
      <c r="A3208" s="9">
        <v>3207</v>
      </c>
      <c r="B3208" s="2" t="s">
        <v>3213</v>
      </c>
      <c r="C3208" s="11">
        <v>22</v>
      </c>
      <c r="D3208" s="12">
        <v>50</v>
      </c>
      <c r="E3208" s="12" t="s">
        <v>8220</v>
      </c>
      <c r="F3208" s="13">
        <v>6</v>
      </c>
      <c r="G3208" s="14">
        <v>1816.25</v>
      </c>
      <c r="H3208" t="s">
        <v>1763</v>
      </c>
      <c r="I3208">
        <v>6</v>
      </c>
    </row>
    <row r="3209" spans="1:9" ht="15.6" x14ac:dyDescent="0.3">
      <c r="A3209" s="9">
        <v>3208</v>
      </c>
      <c r="B3209" s="2" t="s">
        <v>3214</v>
      </c>
      <c r="C3209" s="11">
        <v>16</v>
      </c>
      <c r="D3209" s="12">
        <v>33.333333333333329</v>
      </c>
      <c r="E3209" s="12" t="s">
        <v>8219</v>
      </c>
      <c r="F3209" s="13">
        <v>6</v>
      </c>
      <c r="G3209" s="14">
        <v>1791.23</v>
      </c>
      <c r="H3209" t="s">
        <v>739</v>
      </c>
      <c r="I3209">
        <v>5</v>
      </c>
    </row>
    <row r="3210" spans="1:9" ht="15.6" x14ac:dyDescent="0.3">
      <c r="A3210" s="9">
        <v>3209</v>
      </c>
      <c r="B3210" s="2" t="s">
        <v>3215</v>
      </c>
      <c r="C3210" s="11">
        <v>24</v>
      </c>
      <c r="D3210" s="12">
        <v>33.333333333333329</v>
      </c>
      <c r="E3210" s="12" t="s">
        <v>8219</v>
      </c>
      <c r="F3210" s="13">
        <v>6</v>
      </c>
      <c r="G3210" s="14">
        <v>1840.2800000000002</v>
      </c>
      <c r="H3210" t="s">
        <v>3555</v>
      </c>
      <c r="I3210">
        <v>6</v>
      </c>
    </row>
    <row r="3211" spans="1:9" ht="15.6" x14ac:dyDescent="0.3">
      <c r="A3211" s="9">
        <v>3210</v>
      </c>
      <c r="B3211" s="2" t="s">
        <v>3216</v>
      </c>
      <c r="C3211" s="11">
        <v>22</v>
      </c>
      <c r="D3211" s="12">
        <v>50</v>
      </c>
      <c r="E3211" s="12" t="s">
        <v>8220</v>
      </c>
      <c r="F3211" s="13">
        <v>6</v>
      </c>
      <c r="G3211" s="14">
        <v>1816.25</v>
      </c>
      <c r="H3211" t="s">
        <v>2531</v>
      </c>
      <c r="I3211">
        <v>6</v>
      </c>
    </row>
    <row r="3212" spans="1:9" ht="15.6" x14ac:dyDescent="0.3">
      <c r="A3212" s="9">
        <v>3211</v>
      </c>
      <c r="B3212" s="2" t="s">
        <v>3217</v>
      </c>
      <c r="C3212" s="11">
        <v>22</v>
      </c>
      <c r="D3212" s="12">
        <v>50</v>
      </c>
      <c r="E3212" s="12" t="s">
        <v>8220</v>
      </c>
      <c r="F3212" s="13">
        <v>6</v>
      </c>
      <c r="G3212" s="14">
        <v>1856.2800000000002</v>
      </c>
      <c r="H3212" t="s">
        <v>1507</v>
      </c>
      <c r="I3212">
        <v>6</v>
      </c>
    </row>
    <row r="3213" spans="1:9" ht="15.6" x14ac:dyDescent="0.3">
      <c r="A3213" s="9">
        <v>3212</v>
      </c>
      <c r="B3213" s="2" t="s">
        <v>3218</v>
      </c>
      <c r="C3213" s="11">
        <v>16</v>
      </c>
      <c r="D3213" s="12">
        <v>33.333333333333329</v>
      </c>
      <c r="E3213" s="12" t="s">
        <v>8219</v>
      </c>
      <c r="F3213" s="13">
        <v>6</v>
      </c>
      <c r="G3213" s="14">
        <v>1831.2600000000002</v>
      </c>
      <c r="H3213" t="s">
        <v>483</v>
      </c>
      <c r="I3213">
        <v>5</v>
      </c>
    </row>
    <row r="3214" spans="1:9" ht="15.6" x14ac:dyDescent="0.3">
      <c r="A3214" s="9">
        <v>3213</v>
      </c>
      <c r="B3214" s="2" t="s">
        <v>3219</v>
      </c>
      <c r="C3214" s="11">
        <v>18</v>
      </c>
      <c r="D3214" s="12">
        <v>16.666666666666664</v>
      </c>
      <c r="E3214" s="12" t="s">
        <v>8219</v>
      </c>
      <c r="F3214" s="13">
        <v>6</v>
      </c>
      <c r="G3214" s="14">
        <v>1815.2599999999998</v>
      </c>
      <c r="H3214" t="s">
        <v>3299</v>
      </c>
      <c r="I3214">
        <v>5</v>
      </c>
    </row>
    <row r="3215" spans="1:9" ht="15.6" x14ac:dyDescent="0.3">
      <c r="A3215" s="9">
        <v>3214</v>
      </c>
      <c r="B3215" s="2" t="s">
        <v>3220</v>
      </c>
      <c r="C3215" s="11">
        <v>16</v>
      </c>
      <c r="D3215" s="12">
        <v>33.333333333333329</v>
      </c>
      <c r="E3215" s="12" t="s">
        <v>8219</v>
      </c>
      <c r="F3215" s="13">
        <v>6</v>
      </c>
      <c r="G3215" s="14">
        <v>1791.23</v>
      </c>
      <c r="H3215" t="s">
        <v>2275</v>
      </c>
      <c r="I3215">
        <v>5</v>
      </c>
    </row>
    <row r="3216" spans="1:9" ht="15.6" x14ac:dyDescent="0.3">
      <c r="A3216" s="9">
        <v>3215</v>
      </c>
      <c r="B3216" s="2" t="s">
        <v>3221</v>
      </c>
      <c r="C3216" s="11">
        <v>16</v>
      </c>
      <c r="D3216" s="12">
        <v>33.333333333333329</v>
      </c>
      <c r="E3216" s="12" t="s">
        <v>8219</v>
      </c>
      <c r="F3216" s="13">
        <v>6</v>
      </c>
      <c r="G3216" s="14">
        <v>1831.2600000000002</v>
      </c>
      <c r="H3216" t="s">
        <v>1251</v>
      </c>
      <c r="I3216">
        <v>5</v>
      </c>
    </row>
    <row r="3217" spans="1:9" ht="15.6" x14ac:dyDescent="0.3">
      <c r="A3217" s="9">
        <v>3216</v>
      </c>
      <c r="B3217" s="2" t="s">
        <v>3222</v>
      </c>
      <c r="C3217" s="11">
        <v>10</v>
      </c>
      <c r="D3217" s="12">
        <v>16.666666666666664</v>
      </c>
      <c r="E3217" s="12" t="s">
        <v>8219</v>
      </c>
      <c r="F3217" s="13">
        <v>6</v>
      </c>
      <c r="G3217" s="14">
        <v>1806.2399999999998</v>
      </c>
      <c r="H3217" t="s">
        <v>227</v>
      </c>
      <c r="I3217">
        <v>4</v>
      </c>
    </row>
    <row r="3218" spans="1:9" ht="15.6" x14ac:dyDescent="0.3">
      <c r="A3218" s="9">
        <v>3217</v>
      </c>
      <c r="B3218" s="2" t="s">
        <v>3223</v>
      </c>
      <c r="C3218" s="11">
        <v>24</v>
      </c>
      <c r="D3218" s="12">
        <v>33.333333333333329</v>
      </c>
      <c r="E3218" s="12" t="s">
        <v>8219</v>
      </c>
      <c r="F3218" s="13">
        <v>6</v>
      </c>
      <c r="G3218" s="14">
        <v>1800.25</v>
      </c>
      <c r="H3218" t="s">
        <v>4003</v>
      </c>
      <c r="I3218">
        <v>6</v>
      </c>
    </row>
    <row r="3219" spans="1:9" ht="15.6" x14ac:dyDescent="0.3">
      <c r="A3219" s="9">
        <v>3218</v>
      </c>
      <c r="B3219" s="2" t="s">
        <v>3224</v>
      </c>
      <c r="C3219" s="11">
        <v>22</v>
      </c>
      <c r="D3219" s="12">
        <v>50</v>
      </c>
      <c r="E3219" s="12" t="s">
        <v>8220</v>
      </c>
      <c r="F3219" s="13">
        <v>6</v>
      </c>
      <c r="G3219" s="14">
        <v>1776.2199999999998</v>
      </c>
      <c r="H3219" t="s">
        <v>2979</v>
      </c>
      <c r="I3219">
        <v>6</v>
      </c>
    </row>
    <row r="3220" spans="1:9" ht="15.6" x14ac:dyDescent="0.3">
      <c r="A3220" s="9">
        <v>3219</v>
      </c>
      <c r="B3220" s="2" t="s">
        <v>3225</v>
      </c>
      <c r="C3220" s="11">
        <v>22</v>
      </c>
      <c r="D3220" s="12">
        <v>50</v>
      </c>
      <c r="E3220" s="12" t="s">
        <v>8220</v>
      </c>
      <c r="F3220" s="13">
        <v>6</v>
      </c>
      <c r="G3220" s="14">
        <v>1816.25</v>
      </c>
      <c r="H3220" t="s">
        <v>1955</v>
      </c>
      <c r="I3220">
        <v>6</v>
      </c>
    </row>
    <row r="3221" spans="1:9" ht="15.6" x14ac:dyDescent="0.3">
      <c r="A3221" s="9">
        <v>3220</v>
      </c>
      <c r="B3221" s="2" t="s">
        <v>3226</v>
      </c>
      <c r="C3221" s="11">
        <v>16</v>
      </c>
      <c r="D3221" s="12">
        <v>33.333333333333329</v>
      </c>
      <c r="E3221" s="12" t="s">
        <v>8219</v>
      </c>
      <c r="F3221" s="13">
        <v>6</v>
      </c>
      <c r="G3221" s="14">
        <v>1791.23</v>
      </c>
      <c r="H3221" t="s">
        <v>931</v>
      </c>
      <c r="I3221">
        <v>5</v>
      </c>
    </row>
    <row r="3222" spans="1:9" ht="15.6" x14ac:dyDescent="0.3">
      <c r="A3222" s="9">
        <v>3221</v>
      </c>
      <c r="B3222" s="2" t="s">
        <v>3227</v>
      </c>
      <c r="C3222" s="11">
        <v>22</v>
      </c>
      <c r="D3222" s="12">
        <v>50</v>
      </c>
      <c r="E3222" s="12" t="s">
        <v>8220</v>
      </c>
      <c r="F3222" s="13">
        <v>6</v>
      </c>
      <c r="G3222" s="14">
        <v>1776.2199999999998</v>
      </c>
      <c r="H3222" t="s">
        <v>3747</v>
      </c>
      <c r="I3222">
        <v>6</v>
      </c>
    </row>
    <row r="3223" spans="1:9" ht="15.6" x14ac:dyDescent="0.3">
      <c r="A3223" s="9">
        <v>3222</v>
      </c>
      <c r="B3223" s="2" t="s">
        <v>3228</v>
      </c>
      <c r="C3223" s="11">
        <v>20</v>
      </c>
      <c r="D3223" s="12">
        <v>66.666666666666657</v>
      </c>
      <c r="E3223" s="12" t="s">
        <v>8220</v>
      </c>
      <c r="F3223" s="13">
        <v>6</v>
      </c>
      <c r="G3223" s="14">
        <v>1752.19</v>
      </c>
      <c r="H3223" t="s">
        <v>2723</v>
      </c>
      <c r="I3223">
        <v>6</v>
      </c>
    </row>
    <row r="3224" spans="1:9" ht="15.6" x14ac:dyDescent="0.3">
      <c r="A3224" s="9">
        <v>3223</v>
      </c>
      <c r="B3224" s="2" t="s">
        <v>3229</v>
      </c>
      <c r="C3224" s="11">
        <v>20</v>
      </c>
      <c r="D3224" s="12">
        <v>66.666666666666657</v>
      </c>
      <c r="E3224" s="12" t="s">
        <v>8220</v>
      </c>
      <c r="F3224" s="13">
        <v>6</v>
      </c>
      <c r="G3224" s="14">
        <v>1792.2199999999998</v>
      </c>
      <c r="H3224" t="s">
        <v>1699</v>
      </c>
      <c r="I3224">
        <v>6</v>
      </c>
    </row>
    <row r="3225" spans="1:9" ht="15.6" x14ac:dyDescent="0.3">
      <c r="A3225" s="9">
        <v>3224</v>
      </c>
      <c r="B3225" s="2" t="s">
        <v>3230</v>
      </c>
      <c r="C3225" s="11">
        <v>14</v>
      </c>
      <c r="D3225" s="12">
        <v>50</v>
      </c>
      <c r="E3225" s="12" t="s">
        <v>8220</v>
      </c>
      <c r="F3225" s="13">
        <v>6</v>
      </c>
      <c r="G3225" s="14">
        <v>1767.1999999999998</v>
      </c>
      <c r="H3225" t="s">
        <v>675</v>
      </c>
      <c r="I3225">
        <v>5</v>
      </c>
    </row>
    <row r="3226" spans="1:9" ht="15.6" x14ac:dyDescent="0.3">
      <c r="A3226" s="9">
        <v>3225</v>
      </c>
      <c r="B3226" s="2" t="s">
        <v>3231</v>
      </c>
      <c r="C3226" s="11">
        <v>22</v>
      </c>
      <c r="D3226" s="12">
        <v>50</v>
      </c>
      <c r="E3226" s="12" t="s">
        <v>8220</v>
      </c>
      <c r="F3226" s="13">
        <v>6</v>
      </c>
      <c r="G3226" s="14">
        <v>1816.25</v>
      </c>
      <c r="H3226" t="s">
        <v>3491</v>
      </c>
      <c r="I3226">
        <v>6</v>
      </c>
    </row>
    <row r="3227" spans="1:9" ht="15.6" x14ac:dyDescent="0.3">
      <c r="A3227" s="9">
        <v>3226</v>
      </c>
      <c r="B3227" s="2" t="s">
        <v>3232</v>
      </c>
      <c r="C3227" s="11">
        <v>20</v>
      </c>
      <c r="D3227" s="12">
        <v>66.666666666666657</v>
      </c>
      <c r="E3227" s="12" t="s">
        <v>8220</v>
      </c>
      <c r="F3227" s="13">
        <v>6</v>
      </c>
      <c r="G3227" s="14">
        <v>1792.2199999999998</v>
      </c>
      <c r="H3227" t="s">
        <v>2467</v>
      </c>
      <c r="I3227">
        <v>6</v>
      </c>
    </row>
    <row r="3228" spans="1:9" ht="15.6" x14ac:dyDescent="0.3">
      <c r="A3228" s="9">
        <v>3227</v>
      </c>
      <c r="B3228" s="2" t="s">
        <v>3233</v>
      </c>
      <c r="C3228" s="11">
        <v>20</v>
      </c>
      <c r="D3228" s="12">
        <v>66.666666666666657</v>
      </c>
      <c r="E3228" s="12" t="s">
        <v>8220</v>
      </c>
      <c r="F3228" s="13">
        <v>6</v>
      </c>
      <c r="G3228" s="14">
        <v>1832.25</v>
      </c>
      <c r="H3228" t="s">
        <v>1443</v>
      </c>
      <c r="I3228">
        <v>6</v>
      </c>
    </row>
    <row r="3229" spans="1:9" ht="15.6" x14ac:dyDescent="0.3">
      <c r="A3229" s="9">
        <v>3228</v>
      </c>
      <c r="B3229" s="2" t="s">
        <v>3234</v>
      </c>
      <c r="C3229" s="11">
        <v>14</v>
      </c>
      <c r="D3229" s="12">
        <v>50</v>
      </c>
      <c r="E3229" s="12" t="s">
        <v>8220</v>
      </c>
      <c r="F3229" s="13">
        <v>6</v>
      </c>
      <c r="G3229" s="14">
        <v>1807.23</v>
      </c>
      <c r="H3229" t="s">
        <v>419</v>
      </c>
      <c r="I3229">
        <v>5</v>
      </c>
    </row>
    <row r="3230" spans="1:9" ht="15.6" x14ac:dyDescent="0.3">
      <c r="A3230" s="9">
        <v>3229</v>
      </c>
      <c r="B3230" s="2" t="s">
        <v>3235</v>
      </c>
      <c r="C3230" s="11">
        <v>16</v>
      </c>
      <c r="D3230" s="12">
        <v>33.333333333333329</v>
      </c>
      <c r="E3230" s="12" t="s">
        <v>8219</v>
      </c>
      <c r="F3230" s="13">
        <v>6</v>
      </c>
      <c r="G3230" s="14">
        <v>1791.23</v>
      </c>
      <c r="H3230" t="s">
        <v>3235</v>
      </c>
      <c r="I3230">
        <v>5</v>
      </c>
    </row>
    <row r="3231" spans="1:9" ht="15.6" x14ac:dyDescent="0.3">
      <c r="A3231" s="9">
        <v>3230</v>
      </c>
      <c r="B3231" s="2" t="s">
        <v>3236</v>
      </c>
      <c r="C3231" s="11">
        <v>14</v>
      </c>
      <c r="D3231" s="12">
        <v>50</v>
      </c>
      <c r="E3231" s="12" t="s">
        <v>8220</v>
      </c>
      <c r="F3231" s="13">
        <v>6</v>
      </c>
      <c r="G3231" s="14">
        <v>1767.1999999999998</v>
      </c>
      <c r="H3231" t="s">
        <v>2211</v>
      </c>
      <c r="I3231">
        <v>5</v>
      </c>
    </row>
    <row r="3232" spans="1:9" ht="15.6" x14ac:dyDescent="0.3">
      <c r="A3232" s="9">
        <v>3231</v>
      </c>
      <c r="B3232" s="2" t="s">
        <v>3237</v>
      </c>
      <c r="C3232" s="11">
        <v>14</v>
      </c>
      <c r="D3232" s="12">
        <v>50</v>
      </c>
      <c r="E3232" s="12" t="s">
        <v>8220</v>
      </c>
      <c r="F3232" s="13">
        <v>6</v>
      </c>
      <c r="G3232" s="14">
        <v>1807.23</v>
      </c>
      <c r="H3232" t="s">
        <v>1187</v>
      </c>
      <c r="I3232">
        <v>5</v>
      </c>
    </row>
    <row r="3233" spans="1:9" ht="15.6" x14ac:dyDescent="0.3">
      <c r="A3233" s="9">
        <v>3232</v>
      </c>
      <c r="B3233" s="2" t="s">
        <v>3238</v>
      </c>
      <c r="C3233" s="11">
        <v>8</v>
      </c>
      <c r="D3233" s="12">
        <v>33.333333333333329</v>
      </c>
      <c r="E3233" s="12" t="s">
        <v>8219</v>
      </c>
      <c r="F3233" s="13">
        <v>6</v>
      </c>
      <c r="G3233" s="14">
        <v>1782.21</v>
      </c>
      <c r="H3233" t="s">
        <v>163</v>
      </c>
      <c r="I3233">
        <v>4</v>
      </c>
    </row>
    <row r="3234" spans="1:9" ht="15.6" x14ac:dyDescent="0.3">
      <c r="A3234" s="9">
        <v>3233</v>
      </c>
      <c r="B3234" s="2" t="s">
        <v>3239</v>
      </c>
      <c r="C3234" s="11">
        <v>24</v>
      </c>
      <c r="D3234" s="12">
        <v>33.333333333333329</v>
      </c>
      <c r="E3234" s="12" t="s">
        <v>8219</v>
      </c>
      <c r="F3234" s="13">
        <v>6</v>
      </c>
      <c r="G3234" s="14">
        <v>1840.2800000000002</v>
      </c>
      <c r="H3234" t="s">
        <v>3939</v>
      </c>
      <c r="I3234">
        <v>6</v>
      </c>
    </row>
    <row r="3235" spans="1:9" ht="15.6" x14ac:dyDescent="0.3">
      <c r="A3235" s="9">
        <v>3234</v>
      </c>
      <c r="B3235" s="2" t="s">
        <v>3240</v>
      </c>
      <c r="C3235" s="11">
        <v>22</v>
      </c>
      <c r="D3235" s="12">
        <v>50</v>
      </c>
      <c r="E3235" s="12" t="s">
        <v>8220</v>
      </c>
      <c r="F3235" s="13">
        <v>6</v>
      </c>
      <c r="G3235" s="14">
        <v>1816.25</v>
      </c>
      <c r="H3235" t="s">
        <v>2915</v>
      </c>
      <c r="I3235">
        <v>6</v>
      </c>
    </row>
    <row r="3236" spans="1:9" ht="15.6" x14ac:dyDescent="0.3">
      <c r="A3236" s="9">
        <v>3235</v>
      </c>
      <c r="B3236" s="2" t="s">
        <v>3241</v>
      </c>
      <c r="C3236" s="11">
        <v>22</v>
      </c>
      <c r="D3236" s="12">
        <v>50</v>
      </c>
      <c r="E3236" s="12" t="s">
        <v>8220</v>
      </c>
      <c r="F3236" s="13">
        <v>6</v>
      </c>
      <c r="G3236" s="14">
        <v>1856.2800000000002</v>
      </c>
      <c r="H3236" t="s">
        <v>1891</v>
      </c>
      <c r="I3236">
        <v>6</v>
      </c>
    </row>
    <row r="3237" spans="1:9" ht="15.6" x14ac:dyDescent="0.3">
      <c r="A3237" s="9">
        <v>3236</v>
      </c>
      <c r="B3237" s="2" t="s">
        <v>3242</v>
      </c>
      <c r="C3237" s="11">
        <v>16</v>
      </c>
      <c r="D3237" s="12">
        <v>33.333333333333329</v>
      </c>
      <c r="E3237" s="12" t="s">
        <v>8219</v>
      </c>
      <c r="F3237" s="13">
        <v>6</v>
      </c>
      <c r="G3237" s="14">
        <v>1831.2600000000002</v>
      </c>
      <c r="H3237" t="s">
        <v>867</v>
      </c>
      <c r="I3237">
        <v>5</v>
      </c>
    </row>
    <row r="3238" spans="1:9" ht="15.6" x14ac:dyDescent="0.3">
      <c r="A3238" s="9">
        <v>3237</v>
      </c>
      <c r="B3238" s="2" t="s">
        <v>3243</v>
      </c>
      <c r="C3238" s="11">
        <v>22</v>
      </c>
      <c r="D3238" s="12">
        <v>50</v>
      </c>
      <c r="E3238" s="12" t="s">
        <v>8220</v>
      </c>
      <c r="F3238" s="13">
        <v>6</v>
      </c>
      <c r="G3238" s="14">
        <v>1816.25</v>
      </c>
      <c r="H3238" t="s">
        <v>3683</v>
      </c>
      <c r="I3238">
        <v>6</v>
      </c>
    </row>
    <row r="3239" spans="1:9" ht="15.6" x14ac:dyDescent="0.3">
      <c r="A3239" s="9">
        <v>3238</v>
      </c>
      <c r="B3239" s="2" t="s">
        <v>3244</v>
      </c>
      <c r="C3239" s="11">
        <v>20</v>
      </c>
      <c r="D3239" s="12">
        <v>66.666666666666657</v>
      </c>
      <c r="E3239" s="12" t="s">
        <v>8220</v>
      </c>
      <c r="F3239" s="13">
        <v>6</v>
      </c>
      <c r="G3239" s="14">
        <v>1792.2199999999998</v>
      </c>
      <c r="H3239" t="s">
        <v>2659</v>
      </c>
      <c r="I3239">
        <v>6</v>
      </c>
    </row>
    <row r="3240" spans="1:9" ht="15.6" x14ac:dyDescent="0.3">
      <c r="A3240" s="9">
        <v>3239</v>
      </c>
      <c r="B3240" s="2" t="s">
        <v>3245</v>
      </c>
      <c r="C3240" s="11">
        <v>20</v>
      </c>
      <c r="D3240" s="12">
        <v>66.666666666666657</v>
      </c>
      <c r="E3240" s="12" t="s">
        <v>8220</v>
      </c>
      <c r="F3240" s="13">
        <v>6</v>
      </c>
      <c r="G3240" s="14">
        <v>1832.25</v>
      </c>
      <c r="H3240" t="s">
        <v>1635</v>
      </c>
      <c r="I3240">
        <v>6</v>
      </c>
    </row>
    <row r="3241" spans="1:9" ht="15.6" x14ac:dyDescent="0.3">
      <c r="A3241" s="9">
        <v>3240</v>
      </c>
      <c r="B3241" s="2" t="s">
        <v>3246</v>
      </c>
      <c r="C3241" s="11">
        <v>14</v>
      </c>
      <c r="D3241" s="12">
        <v>50</v>
      </c>
      <c r="E3241" s="12" t="s">
        <v>8220</v>
      </c>
      <c r="F3241" s="13">
        <v>6</v>
      </c>
      <c r="G3241" s="14">
        <v>1807.23</v>
      </c>
      <c r="H3241" t="s">
        <v>611</v>
      </c>
      <c r="I3241">
        <v>5</v>
      </c>
    </row>
    <row r="3242" spans="1:9" ht="15.6" x14ac:dyDescent="0.3">
      <c r="A3242" s="9">
        <v>3241</v>
      </c>
      <c r="B3242" s="2" t="s">
        <v>3247</v>
      </c>
      <c r="C3242" s="11">
        <v>22</v>
      </c>
      <c r="D3242" s="12">
        <v>50</v>
      </c>
      <c r="E3242" s="12" t="s">
        <v>8220</v>
      </c>
      <c r="F3242" s="13">
        <v>6</v>
      </c>
      <c r="G3242" s="14">
        <v>1856.2800000000002</v>
      </c>
      <c r="H3242" t="s">
        <v>3427</v>
      </c>
      <c r="I3242">
        <v>6</v>
      </c>
    </row>
    <row r="3243" spans="1:9" ht="15.6" x14ac:dyDescent="0.3">
      <c r="A3243" s="9">
        <v>3242</v>
      </c>
      <c r="B3243" s="2" t="s">
        <v>3248</v>
      </c>
      <c r="C3243" s="11">
        <v>20</v>
      </c>
      <c r="D3243" s="12">
        <v>66.666666666666657</v>
      </c>
      <c r="E3243" s="12" t="s">
        <v>8220</v>
      </c>
      <c r="F3243" s="13">
        <v>6</v>
      </c>
      <c r="G3243" s="14">
        <v>1832.25</v>
      </c>
      <c r="H3243" t="s">
        <v>2403</v>
      </c>
      <c r="I3243">
        <v>6</v>
      </c>
    </row>
    <row r="3244" spans="1:9" ht="15.6" x14ac:dyDescent="0.3">
      <c r="A3244" s="9">
        <v>3243</v>
      </c>
      <c r="B3244" s="2" t="s">
        <v>3249</v>
      </c>
      <c r="C3244" s="11">
        <v>20</v>
      </c>
      <c r="D3244" s="12">
        <v>66.666666666666657</v>
      </c>
      <c r="E3244" s="12" t="s">
        <v>8220</v>
      </c>
      <c r="F3244" s="13">
        <v>6</v>
      </c>
      <c r="G3244" s="14">
        <v>1872.2800000000002</v>
      </c>
      <c r="H3244" t="s">
        <v>1379</v>
      </c>
      <c r="I3244">
        <v>6</v>
      </c>
    </row>
    <row r="3245" spans="1:9" ht="15.6" x14ac:dyDescent="0.3">
      <c r="A3245" s="9">
        <v>3244</v>
      </c>
      <c r="B3245" s="2" t="s">
        <v>3250</v>
      </c>
      <c r="C3245" s="11">
        <v>14</v>
      </c>
      <c r="D3245" s="12">
        <v>50</v>
      </c>
      <c r="E3245" s="12" t="s">
        <v>8220</v>
      </c>
      <c r="F3245" s="13">
        <v>6</v>
      </c>
      <c r="G3245" s="14">
        <v>1847.2600000000002</v>
      </c>
      <c r="H3245" t="s">
        <v>355</v>
      </c>
      <c r="I3245">
        <v>5</v>
      </c>
    </row>
    <row r="3246" spans="1:9" ht="15.6" x14ac:dyDescent="0.3">
      <c r="A3246" s="9">
        <v>3245</v>
      </c>
      <c r="B3246" s="2" t="s">
        <v>3251</v>
      </c>
      <c r="C3246" s="11">
        <v>16</v>
      </c>
      <c r="D3246" s="12">
        <v>33.333333333333329</v>
      </c>
      <c r="E3246" s="12" t="s">
        <v>8219</v>
      </c>
      <c r="F3246" s="13">
        <v>6</v>
      </c>
      <c r="G3246" s="14">
        <v>1831.2600000000002</v>
      </c>
      <c r="H3246" t="s">
        <v>3171</v>
      </c>
      <c r="I3246">
        <v>5</v>
      </c>
    </row>
    <row r="3247" spans="1:9" ht="15.6" x14ac:dyDescent="0.3">
      <c r="A3247" s="9">
        <v>3246</v>
      </c>
      <c r="B3247" s="2" t="s">
        <v>3252</v>
      </c>
      <c r="C3247" s="11">
        <v>14</v>
      </c>
      <c r="D3247" s="12">
        <v>50</v>
      </c>
      <c r="E3247" s="12" t="s">
        <v>8220</v>
      </c>
      <c r="F3247" s="13">
        <v>6</v>
      </c>
      <c r="G3247" s="14">
        <v>1807.23</v>
      </c>
      <c r="H3247" t="s">
        <v>2147</v>
      </c>
      <c r="I3247">
        <v>5</v>
      </c>
    </row>
    <row r="3248" spans="1:9" ht="15.6" x14ac:dyDescent="0.3">
      <c r="A3248" s="9">
        <v>3247</v>
      </c>
      <c r="B3248" s="2" t="s">
        <v>3253</v>
      </c>
      <c r="C3248" s="11">
        <v>14</v>
      </c>
      <c r="D3248" s="12">
        <v>50</v>
      </c>
      <c r="E3248" s="12" t="s">
        <v>8220</v>
      </c>
      <c r="F3248" s="13">
        <v>6</v>
      </c>
      <c r="G3248" s="14">
        <v>1847.2600000000002</v>
      </c>
      <c r="H3248" t="s">
        <v>1123</v>
      </c>
      <c r="I3248">
        <v>5</v>
      </c>
    </row>
    <row r="3249" spans="1:9" ht="15.6" x14ac:dyDescent="0.3">
      <c r="A3249" s="9">
        <v>3248</v>
      </c>
      <c r="B3249" s="2" t="s">
        <v>3254</v>
      </c>
      <c r="C3249" s="11">
        <v>8</v>
      </c>
      <c r="D3249" s="12">
        <v>33.333333333333329</v>
      </c>
      <c r="E3249" s="12" t="s">
        <v>8219</v>
      </c>
      <c r="F3249" s="13">
        <v>6</v>
      </c>
      <c r="G3249" s="14">
        <v>1822.2400000000002</v>
      </c>
      <c r="H3249" t="s">
        <v>99</v>
      </c>
      <c r="I3249">
        <v>4</v>
      </c>
    </row>
    <row r="3250" spans="1:9" ht="15.6" x14ac:dyDescent="0.3">
      <c r="A3250" s="9">
        <v>3249</v>
      </c>
      <c r="B3250" s="2" t="s">
        <v>3255</v>
      </c>
      <c r="C3250" s="11">
        <v>18</v>
      </c>
      <c r="D3250" s="12">
        <v>16.666666666666664</v>
      </c>
      <c r="E3250" s="12" t="s">
        <v>8219</v>
      </c>
      <c r="F3250" s="13">
        <v>6</v>
      </c>
      <c r="G3250" s="14">
        <v>1815.2599999999998</v>
      </c>
      <c r="H3250" t="s">
        <v>3875</v>
      </c>
      <c r="I3250">
        <v>5</v>
      </c>
    </row>
    <row r="3251" spans="1:9" ht="15.6" x14ac:dyDescent="0.3">
      <c r="A3251" s="9">
        <v>3250</v>
      </c>
      <c r="B3251" s="2" t="s">
        <v>3256</v>
      </c>
      <c r="C3251" s="11">
        <v>16</v>
      </c>
      <c r="D3251" s="12">
        <v>33.333333333333329</v>
      </c>
      <c r="E3251" s="12" t="s">
        <v>8219</v>
      </c>
      <c r="F3251" s="13">
        <v>6</v>
      </c>
      <c r="G3251" s="14">
        <v>1791.23</v>
      </c>
      <c r="H3251" t="s">
        <v>2851</v>
      </c>
      <c r="I3251">
        <v>5</v>
      </c>
    </row>
    <row r="3252" spans="1:9" ht="15.6" x14ac:dyDescent="0.3">
      <c r="A3252" s="9">
        <v>3251</v>
      </c>
      <c r="B3252" s="2" t="s">
        <v>3257</v>
      </c>
      <c r="C3252" s="11">
        <v>16</v>
      </c>
      <c r="D3252" s="12">
        <v>33.333333333333329</v>
      </c>
      <c r="E3252" s="12" t="s">
        <v>8219</v>
      </c>
      <c r="F3252" s="13">
        <v>6</v>
      </c>
      <c r="G3252" s="14">
        <v>1831.2600000000002</v>
      </c>
      <c r="H3252" t="s">
        <v>1827</v>
      </c>
      <c r="I3252">
        <v>5</v>
      </c>
    </row>
    <row r="3253" spans="1:9" ht="15.6" x14ac:dyDescent="0.3">
      <c r="A3253" s="9">
        <v>3252</v>
      </c>
      <c r="B3253" s="2" t="s">
        <v>3258</v>
      </c>
      <c r="C3253" s="11">
        <v>10</v>
      </c>
      <c r="D3253" s="12">
        <v>16.666666666666664</v>
      </c>
      <c r="E3253" s="12" t="s">
        <v>8219</v>
      </c>
      <c r="F3253" s="13">
        <v>6</v>
      </c>
      <c r="G3253" s="14">
        <v>1806.2399999999998</v>
      </c>
      <c r="H3253" t="s">
        <v>803</v>
      </c>
      <c r="I3253">
        <v>4</v>
      </c>
    </row>
    <row r="3254" spans="1:9" ht="15.6" x14ac:dyDescent="0.3">
      <c r="A3254" s="9">
        <v>3253</v>
      </c>
      <c r="B3254" s="2" t="s">
        <v>3259</v>
      </c>
      <c r="C3254" s="11">
        <v>16</v>
      </c>
      <c r="D3254" s="12">
        <v>33.333333333333329</v>
      </c>
      <c r="E3254" s="12" t="s">
        <v>8219</v>
      </c>
      <c r="F3254" s="13">
        <v>6</v>
      </c>
      <c r="G3254" s="14">
        <v>1791.23</v>
      </c>
      <c r="H3254" t="s">
        <v>3619</v>
      </c>
      <c r="I3254">
        <v>5</v>
      </c>
    </row>
    <row r="3255" spans="1:9" ht="15.6" x14ac:dyDescent="0.3">
      <c r="A3255" s="9">
        <v>3254</v>
      </c>
      <c r="B3255" s="2" t="s">
        <v>3260</v>
      </c>
      <c r="C3255" s="11">
        <v>14</v>
      </c>
      <c r="D3255" s="12">
        <v>50</v>
      </c>
      <c r="E3255" s="12" t="s">
        <v>8220</v>
      </c>
      <c r="F3255" s="13">
        <v>6</v>
      </c>
      <c r="G3255" s="14">
        <v>1767.1999999999998</v>
      </c>
      <c r="H3255" t="s">
        <v>2595</v>
      </c>
      <c r="I3255">
        <v>5</v>
      </c>
    </row>
    <row r="3256" spans="1:9" ht="15.6" x14ac:dyDescent="0.3">
      <c r="A3256" s="9">
        <v>3255</v>
      </c>
      <c r="B3256" s="2" t="s">
        <v>3261</v>
      </c>
      <c r="C3256" s="11">
        <v>14</v>
      </c>
      <c r="D3256" s="12">
        <v>50</v>
      </c>
      <c r="E3256" s="12" t="s">
        <v>8220</v>
      </c>
      <c r="F3256" s="13">
        <v>6</v>
      </c>
      <c r="G3256" s="14">
        <v>1807.23</v>
      </c>
      <c r="H3256" t="s">
        <v>1571</v>
      </c>
      <c r="I3256">
        <v>5</v>
      </c>
    </row>
    <row r="3257" spans="1:9" ht="15.6" x14ac:dyDescent="0.3">
      <c r="A3257" s="9">
        <v>3256</v>
      </c>
      <c r="B3257" s="2" t="s">
        <v>3262</v>
      </c>
      <c r="C3257" s="11">
        <v>8</v>
      </c>
      <c r="D3257" s="12">
        <v>33.333333333333329</v>
      </c>
      <c r="E3257" s="12" t="s">
        <v>8219</v>
      </c>
      <c r="F3257" s="13">
        <v>6</v>
      </c>
      <c r="G3257" s="14">
        <v>1782.21</v>
      </c>
      <c r="H3257" t="s">
        <v>547</v>
      </c>
      <c r="I3257">
        <v>4</v>
      </c>
    </row>
    <row r="3258" spans="1:9" ht="15.6" x14ac:dyDescent="0.3">
      <c r="A3258" s="9">
        <v>3257</v>
      </c>
      <c r="B3258" s="2" t="s">
        <v>3263</v>
      </c>
      <c r="C3258" s="11">
        <v>16</v>
      </c>
      <c r="D3258" s="12">
        <v>33.333333333333329</v>
      </c>
      <c r="E3258" s="12" t="s">
        <v>8219</v>
      </c>
      <c r="F3258" s="13">
        <v>6</v>
      </c>
      <c r="G3258" s="14">
        <v>1831.2600000000002</v>
      </c>
      <c r="H3258" t="s">
        <v>3363</v>
      </c>
      <c r="I3258">
        <v>5</v>
      </c>
    </row>
    <row r="3259" spans="1:9" ht="15.6" x14ac:dyDescent="0.3">
      <c r="A3259" s="9">
        <v>3258</v>
      </c>
      <c r="B3259" s="2" t="s">
        <v>3264</v>
      </c>
      <c r="C3259" s="11">
        <v>14</v>
      </c>
      <c r="D3259" s="12">
        <v>50</v>
      </c>
      <c r="E3259" s="12" t="s">
        <v>8220</v>
      </c>
      <c r="F3259" s="13">
        <v>6</v>
      </c>
      <c r="G3259" s="14">
        <v>1807.23</v>
      </c>
      <c r="H3259" t="s">
        <v>2339</v>
      </c>
      <c r="I3259">
        <v>5</v>
      </c>
    </row>
    <row r="3260" spans="1:9" ht="15.6" x14ac:dyDescent="0.3">
      <c r="A3260" s="9">
        <v>3259</v>
      </c>
      <c r="B3260" s="2" t="s">
        <v>3265</v>
      </c>
      <c r="C3260" s="11">
        <v>14</v>
      </c>
      <c r="D3260" s="12">
        <v>50</v>
      </c>
      <c r="E3260" s="12" t="s">
        <v>8220</v>
      </c>
      <c r="F3260" s="13">
        <v>6</v>
      </c>
      <c r="G3260" s="14">
        <v>1847.2600000000002</v>
      </c>
      <c r="H3260" t="s">
        <v>1315</v>
      </c>
      <c r="I3260">
        <v>5</v>
      </c>
    </row>
    <row r="3261" spans="1:9" ht="15.6" x14ac:dyDescent="0.3">
      <c r="A3261" s="9">
        <v>3260</v>
      </c>
      <c r="B3261" s="2" t="s">
        <v>3266</v>
      </c>
      <c r="C3261" s="11">
        <v>8</v>
      </c>
      <c r="D3261" s="12">
        <v>33.333333333333329</v>
      </c>
      <c r="E3261" s="12" t="s">
        <v>8219</v>
      </c>
      <c r="F3261" s="13">
        <v>6</v>
      </c>
      <c r="G3261" s="14">
        <v>1822.2400000000002</v>
      </c>
      <c r="H3261" t="s">
        <v>291</v>
      </c>
      <c r="I3261">
        <v>4</v>
      </c>
    </row>
    <row r="3262" spans="1:9" ht="15.6" x14ac:dyDescent="0.3">
      <c r="A3262" s="9">
        <v>3261</v>
      </c>
      <c r="B3262" s="2" t="s">
        <v>3267</v>
      </c>
      <c r="C3262" s="11">
        <v>10</v>
      </c>
      <c r="D3262" s="12">
        <v>16.666666666666664</v>
      </c>
      <c r="E3262" s="12" t="s">
        <v>8219</v>
      </c>
      <c r="F3262" s="13">
        <v>6</v>
      </c>
      <c r="G3262" s="14">
        <v>1806.2399999999998</v>
      </c>
      <c r="H3262" t="s">
        <v>3107</v>
      </c>
      <c r="I3262">
        <v>4</v>
      </c>
    </row>
    <row r="3263" spans="1:9" ht="15.6" x14ac:dyDescent="0.3">
      <c r="A3263" s="9">
        <v>3262</v>
      </c>
      <c r="B3263" s="2" t="s">
        <v>3268</v>
      </c>
      <c r="C3263" s="11">
        <v>8</v>
      </c>
      <c r="D3263" s="12">
        <v>33.333333333333329</v>
      </c>
      <c r="E3263" s="12" t="s">
        <v>8219</v>
      </c>
      <c r="F3263" s="13">
        <v>6</v>
      </c>
      <c r="G3263" s="14">
        <v>1782.21</v>
      </c>
      <c r="H3263" t="s">
        <v>2083</v>
      </c>
      <c r="I3263">
        <v>4</v>
      </c>
    </row>
    <row r="3264" spans="1:9" ht="15.6" x14ac:dyDescent="0.3">
      <c r="A3264" s="9">
        <v>3263</v>
      </c>
      <c r="B3264" s="2" t="s">
        <v>3269</v>
      </c>
      <c r="C3264" s="11">
        <v>8</v>
      </c>
      <c r="D3264" s="12">
        <v>33.333333333333329</v>
      </c>
      <c r="E3264" s="12" t="s">
        <v>8219</v>
      </c>
      <c r="F3264" s="13">
        <v>6</v>
      </c>
      <c r="G3264" s="14">
        <v>1822.2400000000002</v>
      </c>
      <c r="H3264" t="s">
        <v>1059</v>
      </c>
      <c r="I3264">
        <v>4</v>
      </c>
    </row>
    <row r="3265" spans="1:9" ht="15.6" x14ac:dyDescent="0.3">
      <c r="A3265" s="9">
        <v>3264</v>
      </c>
      <c r="B3265" s="2" t="s">
        <v>3270</v>
      </c>
      <c r="C3265" s="11">
        <v>2</v>
      </c>
      <c r="D3265" s="12">
        <v>16.666666666666664</v>
      </c>
      <c r="E3265" s="12" t="s">
        <v>8219</v>
      </c>
      <c r="F3265" s="13">
        <v>6</v>
      </c>
      <c r="G3265" s="14">
        <v>1797.2199999999998</v>
      </c>
      <c r="H3265" t="s">
        <v>35</v>
      </c>
      <c r="I3265">
        <v>3</v>
      </c>
    </row>
    <row r="3266" spans="1:9" ht="15.6" x14ac:dyDescent="0.3">
      <c r="A3266" s="9">
        <v>3265</v>
      </c>
      <c r="B3266" s="2" t="s">
        <v>3271</v>
      </c>
      <c r="C3266" s="11">
        <v>20</v>
      </c>
      <c r="D3266" s="12">
        <v>0</v>
      </c>
      <c r="E3266" s="12" t="s">
        <v>8219</v>
      </c>
      <c r="F3266" s="13">
        <v>6</v>
      </c>
      <c r="G3266" s="14">
        <v>1799.2599999999998</v>
      </c>
      <c r="H3266" t="s">
        <v>4051</v>
      </c>
      <c r="I3266">
        <v>6</v>
      </c>
    </row>
    <row r="3267" spans="1:9" ht="15.6" x14ac:dyDescent="0.3">
      <c r="A3267" s="9">
        <v>3266</v>
      </c>
      <c r="B3267" s="2" t="s">
        <v>3272</v>
      </c>
      <c r="C3267" s="11">
        <v>18</v>
      </c>
      <c r="D3267" s="12">
        <v>16.666666666666664</v>
      </c>
      <c r="E3267" s="12" t="s">
        <v>8219</v>
      </c>
      <c r="F3267" s="13">
        <v>6</v>
      </c>
      <c r="G3267" s="14">
        <v>1775.23</v>
      </c>
      <c r="H3267" t="s">
        <v>3027</v>
      </c>
      <c r="I3267">
        <v>5</v>
      </c>
    </row>
    <row r="3268" spans="1:9" ht="15.6" x14ac:dyDescent="0.3">
      <c r="A3268" s="9">
        <v>3267</v>
      </c>
      <c r="B3268" s="2" t="s">
        <v>3273</v>
      </c>
      <c r="C3268" s="11">
        <v>18</v>
      </c>
      <c r="D3268" s="12">
        <v>16.666666666666664</v>
      </c>
      <c r="E3268" s="12" t="s">
        <v>8219</v>
      </c>
      <c r="F3268" s="13">
        <v>6</v>
      </c>
      <c r="G3268" s="14">
        <v>1815.2599999999998</v>
      </c>
      <c r="H3268" t="s">
        <v>2003</v>
      </c>
      <c r="I3268">
        <v>5</v>
      </c>
    </row>
    <row r="3269" spans="1:9" ht="15.6" x14ac:dyDescent="0.3">
      <c r="A3269" s="9">
        <v>3268</v>
      </c>
      <c r="B3269" s="2" t="s">
        <v>3274</v>
      </c>
      <c r="C3269" s="11">
        <v>12</v>
      </c>
      <c r="D3269" s="12">
        <v>0</v>
      </c>
      <c r="E3269" s="12" t="s">
        <v>8219</v>
      </c>
      <c r="F3269" s="13">
        <v>6</v>
      </c>
      <c r="G3269" s="14">
        <v>1790.2399999999998</v>
      </c>
      <c r="H3269" t="s">
        <v>979</v>
      </c>
      <c r="I3269">
        <v>4</v>
      </c>
    </row>
    <row r="3270" spans="1:9" ht="15.6" x14ac:dyDescent="0.3">
      <c r="A3270" s="9">
        <v>3269</v>
      </c>
      <c r="B3270" s="2" t="s">
        <v>3275</v>
      </c>
      <c r="C3270" s="11">
        <v>18</v>
      </c>
      <c r="D3270" s="12">
        <v>16.666666666666664</v>
      </c>
      <c r="E3270" s="12" t="s">
        <v>8219</v>
      </c>
      <c r="F3270" s="13">
        <v>6</v>
      </c>
      <c r="G3270" s="14">
        <v>1775.23</v>
      </c>
      <c r="H3270" t="s">
        <v>3795</v>
      </c>
      <c r="I3270">
        <v>5</v>
      </c>
    </row>
    <row r="3271" spans="1:9" ht="15.6" x14ac:dyDescent="0.3">
      <c r="A3271" s="9">
        <v>3270</v>
      </c>
      <c r="B3271" s="2" t="s">
        <v>3276</v>
      </c>
      <c r="C3271" s="11">
        <v>16</v>
      </c>
      <c r="D3271" s="12">
        <v>33.333333333333329</v>
      </c>
      <c r="E3271" s="12" t="s">
        <v>8219</v>
      </c>
      <c r="F3271" s="13">
        <v>6</v>
      </c>
      <c r="G3271" s="14">
        <v>1751.1999999999998</v>
      </c>
      <c r="H3271" t="s">
        <v>2771</v>
      </c>
      <c r="I3271">
        <v>5</v>
      </c>
    </row>
    <row r="3272" spans="1:9" ht="15.6" x14ac:dyDescent="0.3">
      <c r="A3272" s="9">
        <v>3271</v>
      </c>
      <c r="B3272" s="2" t="s">
        <v>3277</v>
      </c>
      <c r="C3272" s="11">
        <v>16</v>
      </c>
      <c r="D3272" s="12">
        <v>33.333333333333329</v>
      </c>
      <c r="E3272" s="12" t="s">
        <v>8219</v>
      </c>
      <c r="F3272" s="13">
        <v>6</v>
      </c>
      <c r="G3272" s="14">
        <v>1791.23</v>
      </c>
      <c r="H3272" t="s">
        <v>1747</v>
      </c>
      <c r="I3272">
        <v>5</v>
      </c>
    </row>
    <row r="3273" spans="1:9" ht="15.6" x14ac:dyDescent="0.3">
      <c r="A3273" s="9">
        <v>3272</v>
      </c>
      <c r="B3273" s="2" t="s">
        <v>3278</v>
      </c>
      <c r="C3273" s="11">
        <v>10</v>
      </c>
      <c r="D3273" s="12">
        <v>16.666666666666664</v>
      </c>
      <c r="E3273" s="12" t="s">
        <v>8219</v>
      </c>
      <c r="F3273" s="13">
        <v>6</v>
      </c>
      <c r="G3273" s="14">
        <v>1766.21</v>
      </c>
      <c r="H3273" t="s">
        <v>723</v>
      </c>
      <c r="I3273">
        <v>4</v>
      </c>
    </row>
    <row r="3274" spans="1:9" ht="15.6" x14ac:dyDescent="0.3">
      <c r="A3274" s="9">
        <v>3273</v>
      </c>
      <c r="B3274" s="2" t="s">
        <v>3279</v>
      </c>
      <c r="C3274" s="11">
        <v>18</v>
      </c>
      <c r="D3274" s="12">
        <v>16.666666666666664</v>
      </c>
      <c r="E3274" s="12" t="s">
        <v>8219</v>
      </c>
      <c r="F3274" s="13">
        <v>6</v>
      </c>
      <c r="G3274" s="14">
        <v>1815.2599999999998</v>
      </c>
      <c r="H3274" t="s">
        <v>3539</v>
      </c>
      <c r="I3274">
        <v>5</v>
      </c>
    </row>
    <row r="3275" spans="1:9" ht="15.6" x14ac:dyDescent="0.3">
      <c r="A3275" s="9">
        <v>3274</v>
      </c>
      <c r="B3275" s="2" t="s">
        <v>3280</v>
      </c>
      <c r="C3275" s="11">
        <v>16</v>
      </c>
      <c r="D3275" s="12">
        <v>33.333333333333329</v>
      </c>
      <c r="E3275" s="12" t="s">
        <v>8219</v>
      </c>
      <c r="F3275" s="13">
        <v>6</v>
      </c>
      <c r="G3275" s="14">
        <v>1791.23</v>
      </c>
      <c r="H3275" t="s">
        <v>2515</v>
      </c>
      <c r="I3275">
        <v>5</v>
      </c>
    </row>
    <row r="3276" spans="1:9" ht="15.6" x14ac:dyDescent="0.3">
      <c r="A3276" s="9">
        <v>3275</v>
      </c>
      <c r="B3276" s="2" t="s">
        <v>3281</v>
      </c>
      <c r="C3276" s="11">
        <v>16</v>
      </c>
      <c r="D3276" s="12">
        <v>33.333333333333329</v>
      </c>
      <c r="E3276" s="12" t="s">
        <v>8219</v>
      </c>
      <c r="F3276" s="13">
        <v>6</v>
      </c>
      <c r="G3276" s="14">
        <v>1831.2600000000002</v>
      </c>
      <c r="H3276" t="s">
        <v>1491</v>
      </c>
      <c r="I3276">
        <v>5</v>
      </c>
    </row>
    <row r="3277" spans="1:9" ht="15.6" x14ac:dyDescent="0.3">
      <c r="A3277" s="9">
        <v>3276</v>
      </c>
      <c r="B3277" s="2" t="s">
        <v>3282</v>
      </c>
      <c r="C3277" s="11">
        <v>10</v>
      </c>
      <c r="D3277" s="12">
        <v>16.666666666666664</v>
      </c>
      <c r="E3277" s="12" t="s">
        <v>8219</v>
      </c>
      <c r="F3277" s="13">
        <v>6</v>
      </c>
      <c r="G3277" s="14">
        <v>1806.2399999999998</v>
      </c>
      <c r="H3277" t="s">
        <v>467</v>
      </c>
      <c r="I3277">
        <v>4</v>
      </c>
    </row>
    <row r="3278" spans="1:9" ht="15.6" x14ac:dyDescent="0.3">
      <c r="A3278" s="9">
        <v>3277</v>
      </c>
      <c r="B3278" s="2" t="s">
        <v>3283</v>
      </c>
      <c r="C3278" s="11">
        <v>12</v>
      </c>
      <c r="D3278" s="12">
        <v>0</v>
      </c>
      <c r="E3278" s="12" t="s">
        <v>8219</v>
      </c>
      <c r="F3278" s="13">
        <v>6</v>
      </c>
      <c r="G3278" s="14">
        <v>1790.2399999999998</v>
      </c>
      <c r="H3278" t="s">
        <v>3283</v>
      </c>
      <c r="I3278">
        <v>4</v>
      </c>
    </row>
    <row r="3279" spans="1:9" ht="15.6" x14ac:dyDescent="0.3">
      <c r="A3279" s="9">
        <v>3278</v>
      </c>
      <c r="B3279" s="2" t="s">
        <v>3284</v>
      </c>
      <c r="C3279" s="11">
        <v>10</v>
      </c>
      <c r="D3279" s="12">
        <v>16.666666666666664</v>
      </c>
      <c r="E3279" s="12" t="s">
        <v>8219</v>
      </c>
      <c r="F3279" s="13">
        <v>6</v>
      </c>
      <c r="G3279" s="14">
        <v>1766.21</v>
      </c>
      <c r="H3279" t="s">
        <v>2259</v>
      </c>
      <c r="I3279">
        <v>4</v>
      </c>
    </row>
    <row r="3280" spans="1:9" ht="15.6" x14ac:dyDescent="0.3">
      <c r="A3280" s="9">
        <v>3279</v>
      </c>
      <c r="B3280" s="2" t="s">
        <v>3285</v>
      </c>
      <c r="C3280" s="11">
        <v>10</v>
      </c>
      <c r="D3280" s="12">
        <v>16.666666666666664</v>
      </c>
      <c r="E3280" s="12" t="s">
        <v>8219</v>
      </c>
      <c r="F3280" s="13">
        <v>6</v>
      </c>
      <c r="G3280" s="14">
        <v>1806.2399999999998</v>
      </c>
      <c r="H3280" t="s">
        <v>1235</v>
      </c>
      <c r="I3280">
        <v>4</v>
      </c>
    </row>
    <row r="3281" spans="1:9" ht="15.6" x14ac:dyDescent="0.3">
      <c r="A3281" s="9">
        <v>3280</v>
      </c>
      <c r="B3281" s="2" t="s">
        <v>3286</v>
      </c>
      <c r="C3281" s="11">
        <v>4</v>
      </c>
      <c r="D3281" s="12">
        <v>0</v>
      </c>
      <c r="E3281" s="12" t="s">
        <v>8219</v>
      </c>
      <c r="F3281" s="13">
        <v>6</v>
      </c>
      <c r="G3281" s="14">
        <v>1781.2199999999998</v>
      </c>
      <c r="H3281" t="s">
        <v>211</v>
      </c>
      <c r="I3281">
        <v>3</v>
      </c>
    </row>
    <row r="3282" spans="1:9" ht="15.6" x14ac:dyDescent="0.3">
      <c r="A3282" s="9">
        <v>3281</v>
      </c>
      <c r="B3282" s="2" t="s">
        <v>3287</v>
      </c>
      <c r="C3282" s="11">
        <v>18</v>
      </c>
      <c r="D3282" s="12">
        <v>16.666666666666664</v>
      </c>
      <c r="E3282" s="12" t="s">
        <v>8219</v>
      </c>
      <c r="F3282" s="13">
        <v>6</v>
      </c>
      <c r="G3282" s="14">
        <v>1775.23</v>
      </c>
      <c r="H3282" t="s">
        <v>3987</v>
      </c>
      <c r="I3282">
        <v>5</v>
      </c>
    </row>
    <row r="3283" spans="1:9" ht="15.6" x14ac:dyDescent="0.3">
      <c r="A3283" s="9">
        <v>3282</v>
      </c>
      <c r="B3283" s="2" t="s">
        <v>3288</v>
      </c>
      <c r="C3283" s="11">
        <v>16</v>
      </c>
      <c r="D3283" s="12">
        <v>33.333333333333329</v>
      </c>
      <c r="E3283" s="12" t="s">
        <v>8219</v>
      </c>
      <c r="F3283" s="13">
        <v>6</v>
      </c>
      <c r="G3283" s="14">
        <v>1751.1999999999998</v>
      </c>
      <c r="H3283" t="s">
        <v>2963</v>
      </c>
      <c r="I3283">
        <v>5</v>
      </c>
    </row>
    <row r="3284" spans="1:9" ht="15.6" x14ac:dyDescent="0.3">
      <c r="A3284" s="9">
        <v>3283</v>
      </c>
      <c r="B3284" s="2" t="s">
        <v>3289</v>
      </c>
      <c r="C3284" s="11">
        <v>16</v>
      </c>
      <c r="D3284" s="12">
        <v>33.333333333333329</v>
      </c>
      <c r="E3284" s="12" t="s">
        <v>8219</v>
      </c>
      <c r="F3284" s="13">
        <v>6</v>
      </c>
      <c r="G3284" s="14">
        <v>1791.23</v>
      </c>
      <c r="H3284" t="s">
        <v>1939</v>
      </c>
      <c r="I3284">
        <v>5</v>
      </c>
    </row>
    <row r="3285" spans="1:9" ht="15.6" x14ac:dyDescent="0.3">
      <c r="A3285" s="9">
        <v>3284</v>
      </c>
      <c r="B3285" s="2" t="s">
        <v>3290</v>
      </c>
      <c r="C3285" s="11">
        <v>10</v>
      </c>
      <c r="D3285" s="12">
        <v>16.666666666666664</v>
      </c>
      <c r="E3285" s="12" t="s">
        <v>8219</v>
      </c>
      <c r="F3285" s="13">
        <v>6</v>
      </c>
      <c r="G3285" s="14">
        <v>1766.21</v>
      </c>
      <c r="H3285" t="s">
        <v>915</v>
      </c>
      <c r="I3285">
        <v>4</v>
      </c>
    </row>
    <row r="3286" spans="1:9" ht="15.6" x14ac:dyDescent="0.3">
      <c r="A3286" s="9">
        <v>3285</v>
      </c>
      <c r="B3286" s="2" t="s">
        <v>3291</v>
      </c>
      <c r="C3286" s="11">
        <v>16</v>
      </c>
      <c r="D3286" s="12">
        <v>33.333333333333329</v>
      </c>
      <c r="E3286" s="12" t="s">
        <v>8219</v>
      </c>
      <c r="F3286" s="13">
        <v>6</v>
      </c>
      <c r="G3286" s="14">
        <v>1751.1999999999998</v>
      </c>
      <c r="H3286" t="s">
        <v>3731</v>
      </c>
      <c r="I3286">
        <v>5</v>
      </c>
    </row>
    <row r="3287" spans="1:9" ht="15.6" x14ac:dyDescent="0.3">
      <c r="A3287" s="9">
        <v>3286</v>
      </c>
      <c r="B3287" s="2" t="s">
        <v>3292</v>
      </c>
      <c r="C3287" s="11">
        <v>14</v>
      </c>
      <c r="D3287" s="12">
        <v>50</v>
      </c>
      <c r="E3287" s="12" t="s">
        <v>8220</v>
      </c>
      <c r="F3287" s="13">
        <v>6</v>
      </c>
      <c r="G3287" s="14">
        <v>1727.17</v>
      </c>
      <c r="H3287" t="s">
        <v>2707</v>
      </c>
      <c r="I3287">
        <v>5</v>
      </c>
    </row>
    <row r="3288" spans="1:9" ht="15.6" x14ac:dyDescent="0.3">
      <c r="A3288" s="9">
        <v>3287</v>
      </c>
      <c r="B3288" s="2" t="s">
        <v>3293</v>
      </c>
      <c r="C3288" s="11">
        <v>14</v>
      </c>
      <c r="D3288" s="12">
        <v>50</v>
      </c>
      <c r="E3288" s="12" t="s">
        <v>8220</v>
      </c>
      <c r="F3288" s="13">
        <v>6</v>
      </c>
      <c r="G3288" s="14">
        <v>1767.1999999999998</v>
      </c>
      <c r="H3288" t="s">
        <v>1683</v>
      </c>
      <c r="I3288">
        <v>5</v>
      </c>
    </row>
    <row r="3289" spans="1:9" ht="15.6" x14ac:dyDescent="0.3">
      <c r="A3289" s="9">
        <v>3288</v>
      </c>
      <c r="B3289" s="2" t="s">
        <v>3294</v>
      </c>
      <c r="C3289" s="11">
        <v>8</v>
      </c>
      <c r="D3289" s="12">
        <v>33.333333333333329</v>
      </c>
      <c r="E3289" s="12" t="s">
        <v>8219</v>
      </c>
      <c r="F3289" s="13">
        <v>6</v>
      </c>
      <c r="G3289" s="14">
        <v>1742.1799999999998</v>
      </c>
      <c r="H3289" t="s">
        <v>659</v>
      </c>
      <c r="I3289">
        <v>4</v>
      </c>
    </row>
    <row r="3290" spans="1:9" ht="15.6" x14ac:dyDescent="0.3">
      <c r="A3290" s="9">
        <v>3289</v>
      </c>
      <c r="B3290" s="2" t="s">
        <v>3295</v>
      </c>
      <c r="C3290" s="11">
        <v>16</v>
      </c>
      <c r="D3290" s="12">
        <v>33.333333333333329</v>
      </c>
      <c r="E3290" s="12" t="s">
        <v>8219</v>
      </c>
      <c r="F3290" s="13">
        <v>6</v>
      </c>
      <c r="G3290" s="14">
        <v>1791.23</v>
      </c>
      <c r="H3290" t="s">
        <v>3475</v>
      </c>
      <c r="I3290">
        <v>5</v>
      </c>
    </row>
    <row r="3291" spans="1:9" ht="15.6" x14ac:dyDescent="0.3">
      <c r="A3291" s="9">
        <v>3290</v>
      </c>
      <c r="B3291" s="2" t="s">
        <v>3296</v>
      </c>
      <c r="C3291" s="11">
        <v>14</v>
      </c>
      <c r="D3291" s="12">
        <v>50</v>
      </c>
      <c r="E3291" s="12" t="s">
        <v>8220</v>
      </c>
      <c r="F3291" s="13">
        <v>6</v>
      </c>
      <c r="G3291" s="14">
        <v>1767.1999999999998</v>
      </c>
      <c r="H3291" t="s">
        <v>2451</v>
      </c>
      <c r="I3291">
        <v>5</v>
      </c>
    </row>
    <row r="3292" spans="1:9" ht="15.6" x14ac:dyDescent="0.3">
      <c r="A3292" s="9">
        <v>3291</v>
      </c>
      <c r="B3292" s="2" t="s">
        <v>3297</v>
      </c>
      <c r="C3292" s="11">
        <v>14</v>
      </c>
      <c r="D3292" s="12">
        <v>50</v>
      </c>
      <c r="E3292" s="12" t="s">
        <v>8220</v>
      </c>
      <c r="F3292" s="13">
        <v>6</v>
      </c>
      <c r="G3292" s="14">
        <v>1807.23</v>
      </c>
      <c r="H3292" t="s">
        <v>1427</v>
      </c>
      <c r="I3292">
        <v>5</v>
      </c>
    </row>
    <row r="3293" spans="1:9" ht="15.6" x14ac:dyDescent="0.3">
      <c r="A3293" s="9">
        <v>3292</v>
      </c>
      <c r="B3293" s="2" t="s">
        <v>3298</v>
      </c>
      <c r="C3293" s="11">
        <v>8</v>
      </c>
      <c r="D3293" s="12">
        <v>33.333333333333329</v>
      </c>
      <c r="E3293" s="12" t="s">
        <v>8219</v>
      </c>
      <c r="F3293" s="13">
        <v>6</v>
      </c>
      <c r="G3293" s="14">
        <v>1782.21</v>
      </c>
      <c r="H3293" t="s">
        <v>403</v>
      </c>
      <c r="I3293">
        <v>4</v>
      </c>
    </row>
    <row r="3294" spans="1:9" ht="15.6" x14ac:dyDescent="0.3">
      <c r="A3294" s="9">
        <v>3293</v>
      </c>
      <c r="B3294" s="2" t="s">
        <v>3299</v>
      </c>
      <c r="C3294" s="11">
        <v>10</v>
      </c>
      <c r="D3294" s="12">
        <v>16.666666666666664</v>
      </c>
      <c r="E3294" s="12" t="s">
        <v>8219</v>
      </c>
      <c r="F3294" s="13">
        <v>6</v>
      </c>
      <c r="G3294" s="14">
        <v>1766.21</v>
      </c>
      <c r="H3294" t="s">
        <v>3219</v>
      </c>
      <c r="I3294">
        <v>4</v>
      </c>
    </row>
    <row r="3295" spans="1:9" ht="15.6" x14ac:dyDescent="0.3">
      <c r="A3295" s="9">
        <v>3294</v>
      </c>
      <c r="B3295" s="2" t="s">
        <v>3300</v>
      </c>
      <c r="C3295" s="11">
        <v>8</v>
      </c>
      <c r="D3295" s="12">
        <v>33.333333333333329</v>
      </c>
      <c r="E3295" s="12" t="s">
        <v>8219</v>
      </c>
      <c r="F3295" s="13">
        <v>6</v>
      </c>
      <c r="G3295" s="14">
        <v>1742.1799999999998</v>
      </c>
      <c r="H3295" t="s">
        <v>2195</v>
      </c>
      <c r="I3295">
        <v>4</v>
      </c>
    </row>
    <row r="3296" spans="1:9" ht="15.6" x14ac:dyDescent="0.3">
      <c r="A3296" s="9">
        <v>3295</v>
      </c>
      <c r="B3296" s="2" t="s">
        <v>3301</v>
      </c>
      <c r="C3296" s="11">
        <v>8</v>
      </c>
      <c r="D3296" s="12">
        <v>33.333333333333329</v>
      </c>
      <c r="E3296" s="12" t="s">
        <v>8219</v>
      </c>
      <c r="F3296" s="13">
        <v>6</v>
      </c>
      <c r="G3296" s="14">
        <v>1782.21</v>
      </c>
      <c r="H3296" t="s">
        <v>1171</v>
      </c>
      <c r="I3296">
        <v>4</v>
      </c>
    </row>
    <row r="3297" spans="1:9" ht="15.6" x14ac:dyDescent="0.3">
      <c r="A3297" s="9">
        <v>3296</v>
      </c>
      <c r="B3297" s="2" t="s">
        <v>3302</v>
      </c>
      <c r="C3297" s="11">
        <v>2</v>
      </c>
      <c r="D3297" s="12">
        <v>16.666666666666664</v>
      </c>
      <c r="E3297" s="12" t="s">
        <v>8219</v>
      </c>
      <c r="F3297" s="13">
        <v>6</v>
      </c>
      <c r="G3297" s="14">
        <v>1757.19</v>
      </c>
      <c r="H3297" t="s">
        <v>147</v>
      </c>
      <c r="I3297">
        <v>3</v>
      </c>
    </row>
    <row r="3298" spans="1:9" ht="15.6" x14ac:dyDescent="0.3">
      <c r="A3298" s="9">
        <v>3297</v>
      </c>
      <c r="B3298" s="2" t="s">
        <v>3303</v>
      </c>
      <c r="C3298" s="11">
        <v>18</v>
      </c>
      <c r="D3298" s="12">
        <v>16.666666666666664</v>
      </c>
      <c r="E3298" s="12" t="s">
        <v>8219</v>
      </c>
      <c r="F3298" s="13">
        <v>6</v>
      </c>
      <c r="G3298" s="14">
        <v>1815.2599999999998</v>
      </c>
      <c r="H3298" t="s">
        <v>3923</v>
      </c>
      <c r="I3298">
        <v>5</v>
      </c>
    </row>
    <row r="3299" spans="1:9" ht="15.6" x14ac:dyDescent="0.3">
      <c r="A3299" s="9">
        <v>3298</v>
      </c>
      <c r="B3299" s="2" t="s">
        <v>3304</v>
      </c>
      <c r="C3299" s="11">
        <v>16</v>
      </c>
      <c r="D3299" s="12">
        <v>33.333333333333329</v>
      </c>
      <c r="E3299" s="12" t="s">
        <v>8219</v>
      </c>
      <c r="F3299" s="13">
        <v>6</v>
      </c>
      <c r="G3299" s="14">
        <v>1791.23</v>
      </c>
      <c r="H3299" t="s">
        <v>2899</v>
      </c>
      <c r="I3299">
        <v>5</v>
      </c>
    </row>
    <row r="3300" spans="1:9" ht="15.6" x14ac:dyDescent="0.3">
      <c r="A3300" s="9">
        <v>3299</v>
      </c>
      <c r="B3300" s="2" t="s">
        <v>3305</v>
      </c>
      <c r="C3300" s="11">
        <v>16</v>
      </c>
      <c r="D3300" s="12">
        <v>33.333333333333329</v>
      </c>
      <c r="E3300" s="12" t="s">
        <v>8219</v>
      </c>
      <c r="F3300" s="13">
        <v>6</v>
      </c>
      <c r="G3300" s="14">
        <v>1831.2600000000002</v>
      </c>
      <c r="H3300" t="s">
        <v>1875</v>
      </c>
      <c r="I3300">
        <v>5</v>
      </c>
    </row>
    <row r="3301" spans="1:9" ht="15.6" x14ac:dyDescent="0.3">
      <c r="A3301" s="9">
        <v>3300</v>
      </c>
      <c r="B3301" s="2" t="s">
        <v>3306</v>
      </c>
      <c r="C3301" s="11">
        <v>10</v>
      </c>
      <c r="D3301" s="12">
        <v>16.666666666666664</v>
      </c>
      <c r="E3301" s="12" t="s">
        <v>8219</v>
      </c>
      <c r="F3301" s="13">
        <v>6</v>
      </c>
      <c r="G3301" s="14">
        <v>1806.2399999999998</v>
      </c>
      <c r="H3301" t="s">
        <v>851</v>
      </c>
      <c r="I3301">
        <v>4</v>
      </c>
    </row>
    <row r="3302" spans="1:9" ht="15.6" x14ac:dyDescent="0.3">
      <c r="A3302" s="9">
        <v>3301</v>
      </c>
      <c r="B3302" s="2" t="s">
        <v>3307</v>
      </c>
      <c r="C3302" s="11">
        <v>16</v>
      </c>
      <c r="D3302" s="12">
        <v>33.333333333333329</v>
      </c>
      <c r="E3302" s="12" t="s">
        <v>8219</v>
      </c>
      <c r="F3302" s="13">
        <v>6</v>
      </c>
      <c r="G3302" s="14">
        <v>1791.23</v>
      </c>
      <c r="H3302" t="s">
        <v>3667</v>
      </c>
      <c r="I3302">
        <v>5</v>
      </c>
    </row>
    <row r="3303" spans="1:9" ht="15.6" x14ac:dyDescent="0.3">
      <c r="A3303" s="9">
        <v>3302</v>
      </c>
      <c r="B3303" s="2" t="s">
        <v>3308</v>
      </c>
      <c r="C3303" s="11">
        <v>14</v>
      </c>
      <c r="D3303" s="12">
        <v>50</v>
      </c>
      <c r="E3303" s="12" t="s">
        <v>8220</v>
      </c>
      <c r="F3303" s="13">
        <v>6</v>
      </c>
      <c r="G3303" s="14">
        <v>1767.1999999999998</v>
      </c>
      <c r="H3303" t="s">
        <v>2643</v>
      </c>
      <c r="I3303">
        <v>5</v>
      </c>
    </row>
    <row r="3304" spans="1:9" ht="15.6" x14ac:dyDescent="0.3">
      <c r="A3304" s="9">
        <v>3303</v>
      </c>
      <c r="B3304" s="2" t="s">
        <v>3309</v>
      </c>
      <c r="C3304" s="11">
        <v>14</v>
      </c>
      <c r="D3304" s="12">
        <v>50</v>
      </c>
      <c r="E3304" s="12" t="s">
        <v>8220</v>
      </c>
      <c r="F3304" s="13">
        <v>6</v>
      </c>
      <c r="G3304" s="14">
        <v>1807.23</v>
      </c>
      <c r="H3304" t="s">
        <v>1619</v>
      </c>
      <c r="I3304">
        <v>5</v>
      </c>
    </row>
    <row r="3305" spans="1:9" ht="15.6" x14ac:dyDescent="0.3">
      <c r="A3305" s="9">
        <v>3304</v>
      </c>
      <c r="B3305" s="2" t="s">
        <v>3310</v>
      </c>
      <c r="C3305" s="11">
        <v>8</v>
      </c>
      <c r="D3305" s="12">
        <v>33.333333333333329</v>
      </c>
      <c r="E3305" s="12" t="s">
        <v>8219</v>
      </c>
      <c r="F3305" s="13">
        <v>6</v>
      </c>
      <c r="G3305" s="14">
        <v>1782.21</v>
      </c>
      <c r="H3305" t="s">
        <v>595</v>
      </c>
      <c r="I3305">
        <v>4</v>
      </c>
    </row>
    <row r="3306" spans="1:9" ht="15.6" x14ac:dyDescent="0.3">
      <c r="A3306" s="9">
        <v>3305</v>
      </c>
      <c r="B3306" s="2" t="s">
        <v>3311</v>
      </c>
      <c r="C3306" s="11">
        <v>16</v>
      </c>
      <c r="D3306" s="12">
        <v>33.333333333333329</v>
      </c>
      <c r="E3306" s="12" t="s">
        <v>8219</v>
      </c>
      <c r="F3306" s="13">
        <v>6</v>
      </c>
      <c r="G3306" s="14">
        <v>1831.2600000000002</v>
      </c>
      <c r="H3306" t="s">
        <v>3411</v>
      </c>
      <c r="I3306">
        <v>5</v>
      </c>
    </row>
    <row r="3307" spans="1:9" ht="15.6" x14ac:dyDescent="0.3">
      <c r="A3307" s="9">
        <v>3306</v>
      </c>
      <c r="B3307" s="2" t="s">
        <v>3312</v>
      </c>
      <c r="C3307" s="11">
        <v>14</v>
      </c>
      <c r="D3307" s="12">
        <v>50</v>
      </c>
      <c r="E3307" s="12" t="s">
        <v>8220</v>
      </c>
      <c r="F3307" s="13">
        <v>6</v>
      </c>
      <c r="G3307" s="14">
        <v>1807.23</v>
      </c>
      <c r="H3307" t="s">
        <v>2387</v>
      </c>
      <c r="I3307">
        <v>5</v>
      </c>
    </row>
    <row r="3308" spans="1:9" ht="15.6" x14ac:dyDescent="0.3">
      <c r="A3308" s="9">
        <v>3307</v>
      </c>
      <c r="B3308" s="2" t="s">
        <v>3313</v>
      </c>
      <c r="C3308" s="11">
        <v>14</v>
      </c>
      <c r="D3308" s="12">
        <v>50</v>
      </c>
      <c r="E3308" s="12" t="s">
        <v>8220</v>
      </c>
      <c r="F3308" s="13">
        <v>6</v>
      </c>
      <c r="G3308" s="14">
        <v>1847.2600000000002</v>
      </c>
      <c r="H3308" t="s">
        <v>1363</v>
      </c>
      <c r="I3308">
        <v>5</v>
      </c>
    </row>
    <row r="3309" spans="1:9" ht="15.6" x14ac:dyDescent="0.3">
      <c r="A3309" s="9">
        <v>3308</v>
      </c>
      <c r="B3309" s="2" t="s">
        <v>3314</v>
      </c>
      <c r="C3309" s="11">
        <v>8</v>
      </c>
      <c r="D3309" s="12">
        <v>33.333333333333329</v>
      </c>
      <c r="E3309" s="12" t="s">
        <v>8219</v>
      </c>
      <c r="F3309" s="13">
        <v>6</v>
      </c>
      <c r="G3309" s="14">
        <v>1822.2400000000002</v>
      </c>
      <c r="H3309" t="s">
        <v>339</v>
      </c>
      <c r="I3309">
        <v>4</v>
      </c>
    </row>
    <row r="3310" spans="1:9" ht="15.6" x14ac:dyDescent="0.3">
      <c r="A3310" s="9">
        <v>3309</v>
      </c>
      <c r="B3310" s="2" t="s">
        <v>3315</v>
      </c>
      <c r="C3310" s="11">
        <v>10</v>
      </c>
      <c r="D3310" s="12">
        <v>16.666666666666664</v>
      </c>
      <c r="E3310" s="12" t="s">
        <v>8219</v>
      </c>
      <c r="F3310" s="13">
        <v>6</v>
      </c>
      <c r="G3310" s="14">
        <v>1806.2399999999998</v>
      </c>
      <c r="H3310" t="s">
        <v>3155</v>
      </c>
      <c r="I3310">
        <v>4</v>
      </c>
    </row>
    <row r="3311" spans="1:9" ht="15.6" x14ac:dyDescent="0.3">
      <c r="A3311" s="9">
        <v>3310</v>
      </c>
      <c r="B3311" s="2" t="s">
        <v>3316</v>
      </c>
      <c r="C3311" s="11">
        <v>8</v>
      </c>
      <c r="D3311" s="12">
        <v>33.333333333333329</v>
      </c>
      <c r="E3311" s="12" t="s">
        <v>8219</v>
      </c>
      <c r="F3311" s="13">
        <v>6</v>
      </c>
      <c r="G3311" s="14">
        <v>1782.21</v>
      </c>
      <c r="H3311" t="s">
        <v>2131</v>
      </c>
      <c r="I3311">
        <v>4</v>
      </c>
    </row>
    <row r="3312" spans="1:9" ht="15.6" x14ac:dyDescent="0.3">
      <c r="A3312" s="9">
        <v>3311</v>
      </c>
      <c r="B3312" s="2" t="s">
        <v>3317</v>
      </c>
      <c r="C3312" s="11">
        <v>8</v>
      </c>
      <c r="D3312" s="12">
        <v>33.333333333333329</v>
      </c>
      <c r="E3312" s="12" t="s">
        <v>8219</v>
      </c>
      <c r="F3312" s="13">
        <v>6</v>
      </c>
      <c r="G3312" s="14">
        <v>1822.2400000000002</v>
      </c>
      <c r="H3312" t="s">
        <v>1107</v>
      </c>
      <c r="I3312">
        <v>4</v>
      </c>
    </row>
    <row r="3313" spans="1:9" ht="15.6" x14ac:dyDescent="0.3">
      <c r="A3313" s="9">
        <v>3312</v>
      </c>
      <c r="B3313" s="2" t="s">
        <v>3318</v>
      </c>
      <c r="C3313" s="11">
        <v>2</v>
      </c>
      <c r="D3313" s="12">
        <v>16.666666666666664</v>
      </c>
      <c r="E3313" s="12" t="s">
        <v>8219</v>
      </c>
      <c r="F3313" s="13">
        <v>6</v>
      </c>
      <c r="G3313" s="14">
        <v>1797.2199999999998</v>
      </c>
      <c r="H3313" t="s">
        <v>83</v>
      </c>
      <c r="I3313">
        <v>3</v>
      </c>
    </row>
    <row r="3314" spans="1:9" ht="15.6" x14ac:dyDescent="0.3">
      <c r="A3314" s="9">
        <v>3313</v>
      </c>
      <c r="B3314" s="2" t="s">
        <v>3319</v>
      </c>
      <c r="C3314" s="11">
        <v>12</v>
      </c>
      <c r="D3314" s="12">
        <v>0</v>
      </c>
      <c r="E3314" s="12" t="s">
        <v>8219</v>
      </c>
      <c r="F3314" s="13">
        <v>6</v>
      </c>
      <c r="G3314" s="14">
        <v>1790.2399999999998</v>
      </c>
      <c r="H3314" t="s">
        <v>3859</v>
      </c>
      <c r="I3314">
        <v>4</v>
      </c>
    </row>
    <row r="3315" spans="1:9" ht="15.6" x14ac:dyDescent="0.3">
      <c r="A3315" s="9">
        <v>3314</v>
      </c>
      <c r="B3315" s="2" t="s">
        <v>3320</v>
      </c>
      <c r="C3315" s="11">
        <v>10</v>
      </c>
      <c r="D3315" s="12">
        <v>16.666666666666664</v>
      </c>
      <c r="E3315" s="12" t="s">
        <v>8219</v>
      </c>
      <c r="F3315" s="13">
        <v>6</v>
      </c>
      <c r="G3315" s="14">
        <v>1766.21</v>
      </c>
      <c r="H3315" t="s">
        <v>2835</v>
      </c>
      <c r="I3315">
        <v>4</v>
      </c>
    </row>
    <row r="3316" spans="1:9" ht="15.6" x14ac:dyDescent="0.3">
      <c r="A3316" s="9">
        <v>3315</v>
      </c>
      <c r="B3316" s="2" t="s">
        <v>3321</v>
      </c>
      <c r="C3316" s="11">
        <v>10</v>
      </c>
      <c r="D3316" s="12">
        <v>16.666666666666664</v>
      </c>
      <c r="E3316" s="12" t="s">
        <v>8219</v>
      </c>
      <c r="F3316" s="13">
        <v>6</v>
      </c>
      <c r="G3316" s="14">
        <v>1806.2399999999998</v>
      </c>
      <c r="H3316" t="s">
        <v>1811</v>
      </c>
      <c r="I3316">
        <v>4</v>
      </c>
    </row>
    <row r="3317" spans="1:9" ht="15.6" x14ac:dyDescent="0.3">
      <c r="A3317" s="9">
        <v>3316</v>
      </c>
      <c r="B3317" s="2" t="s">
        <v>3322</v>
      </c>
      <c r="C3317" s="11">
        <v>4</v>
      </c>
      <c r="D3317" s="12">
        <v>0</v>
      </c>
      <c r="E3317" s="12" t="s">
        <v>8219</v>
      </c>
      <c r="F3317" s="13">
        <v>6</v>
      </c>
      <c r="G3317" s="14">
        <v>1781.2199999999998</v>
      </c>
      <c r="H3317" t="s">
        <v>787</v>
      </c>
      <c r="I3317">
        <v>3</v>
      </c>
    </row>
    <row r="3318" spans="1:9" ht="15.6" x14ac:dyDescent="0.3">
      <c r="A3318" s="9">
        <v>3317</v>
      </c>
      <c r="B3318" s="2" t="s">
        <v>3323</v>
      </c>
      <c r="C3318" s="11">
        <v>10</v>
      </c>
      <c r="D3318" s="12">
        <v>16.666666666666664</v>
      </c>
      <c r="E3318" s="12" t="s">
        <v>8219</v>
      </c>
      <c r="F3318" s="13">
        <v>6</v>
      </c>
      <c r="G3318" s="14">
        <v>1766.21</v>
      </c>
      <c r="H3318" t="s">
        <v>3603</v>
      </c>
      <c r="I3318">
        <v>4</v>
      </c>
    </row>
    <row r="3319" spans="1:9" ht="15.6" x14ac:dyDescent="0.3">
      <c r="A3319" s="9">
        <v>3318</v>
      </c>
      <c r="B3319" s="2" t="s">
        <v>3324</v>
      </c>
      <c r="C3319" s="11">
        <v>8</v>
      </c>
      <c r="D3319" s="12">
        <v>33.333333333333329</v>
      </c>
      <c r="E3319" s="12" t="s">
        <v>8219</v>
      </c>
      <c r="F3319" s="13">
        <v>6</v>
      </c>
      <c r="G3319" s="14">
        <v>1742.1799999999998</v>
      </c>
      <c r="H3319" t="s">
        <v>2579</v>
      </c>
      <c r="I3319">
        <v>4</v>
      </c>
    </row>
    <row r="3320" spans="1:9" ht="15.6" x14ac:dyDescent="0.3">
      <c r="A3320" s="9">
        <v>3319</v>
      </c>
      <c r="B3320" s="2" t="s">
        <v>3325</v>
      </c>
      <c r="C3320" s="11">
        <v>8</v>
      </c>
      <c r="D3320" s="12">
        <v>33.333333333333329</v>
      </c>
      <c r="E3320" s="12" t="s">
        <v>8219</v>
      </c>
      <c r="F3320" s="13">
        <v>6</v>
      </c>
      <c r="G3320" s="14">
        <v>1782.21</v>
      </c>
      <c r="H3320" t="s">
        <v>1555</v>
      </c>
      <c r="I3320">
        <v>4</v>
      </c>
    </row>
    <row r="3321" spans="1:9" ht="15.6" x14ac:dyDescent="0.3">
      <c r="A3321" s="9">
        <v>3320</v>
      </c>
      <c r="B3321" s="2" t="s">
        <v>3326</v>
      </c>
      <c r="C3321" s="11">
        <v>2</v>
      </c>
      <c r="D3321" s="12">
        <v>16.666666666666664</v>
      </c>
      <c r="E3321" s="12" t="s">
        <v>8219</v>
      </c>
      <c r="F3321" s="13">
        <v>6</v>
      </c>
      <c r="G3321" s="14">
        <v>1757.19</v>
      </c>
      <c r="H3321" t="s">
        <v>531</v>
      </c>
      <c r="I3321">
        <v>3</v>
      </c>
    </row>
    <row r="3322" spans="1:9" ht="15.6" x14ac:dyDescent="0.3">
      <c r="A3322" s="9">
        <v>3321</v>
      </c>
      <c r="B3322" s="2" t="s">
        <v>3327</v>
      </c>
      <c r="C3322" s="11">
        <v>10</v>
      </c>
      <c r="D3322" s="12">
        <v>16.666666666666664</v>
      </c>
      <c r="E3322" s="12" t="s">
        <v>8219</v>
      </c>
      <c r="F3322" s="13">
        <v>6</v>
      </c>
      <c r="G3322" s="14">
        <v>1806.2399999999998</v>
      </c>
      <c r="H3322" t="s">
        <v>3347</v>
      </c>
      <c r="I3322">
        <v>4</v>
      </c>
    </row>
    <row r="3323" spans="1:9" ht="15.6" x14ac:dyDescent="0.3">
      <c r="A3323" s="9">
        <v>3322</v>
      </c>
      <c r="B3323" s="2" t="s">
        <v>3328</v>
      </c>
      <c r="C3323" s="11">
        <v>8</v>
      </c>
      <c r="D3323" s="12">
        <v>33.333333333333329</v>
      </c>
      <c r="E3323" s="12" t="s">
        <v>8219</v>
      </c>
      <c r="F3323" s="13">
        <v>6</v>
      </c>
      <c r="G3323" s="14">
        <v>1782.21</v>
      </c>
      <c r="H3323" t="s">
        <v>2323</v>
      </c>
      <c r="I3323">
        <v>4</v>
      </c>
    </row>
    <row r="3324" spans="1:9" ht="15.6" x14ac:dyDescent="0.3">
      <c r="A3324" s="9">
        <v>3323</v>
      </c>
      <c r="B3324" s="2" t="s">
        <v>3329</v>
      </c>
      <c r="C3324" s="11">
        <v>8</v>
      </c>
      <c r="D3324" s="12">
        <v>33.333333333333329</v>
      </c>
      <c r="E3324" s="12" t="s">
        <v>8219</v>
      </c>
      <c r="F3324" s="13">
        <v>6</v>
      </c>
      <c r="G3324" s="14">
        <v>1822.2400000000002</v>
      </c>
      <c r="H3324" t="s">
        <v>1299</v>
      </c>
      <c r="I3324">
        <v>4</v>
      </c>
    </row>
    <row r="3325" spans="1:9" ht="15.6" x14ac:dyDescent="0.3">
      <c r="A3325" s="9">
        <v>3324</v>
      </c>
      <c r="B3325" s="2" t="s">
        <v>3330</v>
      </c>
      <c r="C3325" s="11">
        <v>2</v>
      </c>
      <c r="D3325" s="12">
        <v>16.666666666666664</v>
      </c>
      <c r="E3325" s="12" t="s">
        <v>8219</v>
      </c>
      <c r="F3325" s="13">
        <v>6</v>
      </c>
      <c r="G3325" s="14">
        <v>1797.2199999999998</v>
      </c>
      <c r="H3325" t="s">
        <v>275</v>
      </c>
      <c r="I3325">
        <v>3</v>
      </c>
    </row>
    <row r="3326" spans="1:9" ht="15.6" x14ac:dyDescent="0.3">
      <c r="A3326" s="9">
        <v>3325</v>
      </c>
      <c r="B3326" s="2" t="s">
        <v>3331</v>
      </c>
      <c r="C3326" s="11">
        <v>4</v>
      </c>
      <c r="D3326" s="12">
        <v>0</v>
      </c>
      <c r="E3326" s="12" t="s">
        <v>8219</v>
      </c>
      <c r="F3326" s="13">
        <v>6</v>
      </c>
      <c r="G3326" s="14">
        <v>1781.2199999999998</v>
      </c>
      <c r="H3326" t="s">
        <v>3091</v>
      </c>
      <c r="I3326">
        <v>3</v>
      </c>
    </row>
    <row r="3327" spans="1:9" ht="15.6" x14ac:dyDescent="0.3">
      <c r="A3327" s="9">
        <v>3326</v>
      </c>
      <c r="B3327" s="2" t="s">
        <v>3332</v>
      </c>
      <c r="C3327" s="11">
        <v>2</v>
      </c>
      <c r="D3327" s="12">
        <v>16.666666666666664</v>
      </c>
      <c r="E3327" s="12" t="s">
        <v>8219</v>
      </c>
      <c r="F3327" s="13">
        <v>6</v>
      </c>
      <c r="G3327" s="14">
        <v>1757.19</v>
      </c>
      <c r="H3327" t="s">
        <v>2067</v>
      </c>
      <c r="I3327">
        <v>3</v>
      </c>
    </row>
    <row r="3328" spans="1:9" ht="15.6" x14ac:dyDescent="0.3">
      <c r="A3328" s="9">
        <v>3327</v>
      </c>
      <c r="B3328" s="2" t="s">
        <v>3333</v>
      </c>
      <c r="C3328" s="11">
        <v>2</v>
      </c>
      <c r="D3328" s="12">
        <v>16.666666666666664</v>
      </c>
      <c r="E3328" s="12" t="s">
        <v>8219</v>
      </c>
      <c r="F3328" s="13">
        <v>6</v>
      </c>
      <c r="G3328" s="14">
        <v>1797.2199999999998</v>
      </c>
      <c r="H3328" t="s">
        <v>1043</v>
      </c>
      <c r="I3328">
        <v>3</v>
      </c>
    </row>
    <row r="3329" spans="1:9" ht="15.6" x14ac:dyDescent="0.3">
      <c r="A3329" s="9">
        <v>3328</v>
      </c>
      <c r="B3329" s="2" t="s">
        <v>3334</v>
      </c>
      <c r="C3329" s="11">
        <v>-4</v>
      </c>
      <c r="D3329" s="12">
        <v>0</v>
      </c>
      <c r="E3329" s="12" t="s">
        <v>8219</v>
      </c>
      <c r="F3329" s="13">
        <v>6</v>
      </c>
      <c r="G3329" s="14">
        <v>1772.1999999999998</v>
      </c>
      <c r="H3329" t="s">
        <v>19</v>
      </c>
      <c r="I3329">
        <v>2</v>
      </c>
    </row>
    <row r="3330" spans="1:9" ht="15.6" x14ac:dyDescent="0.3">
      <c r="A3330" s="9">
        <v>3329</v>
      </c>
      <c r="B3330" s="2" t="s">
        <v>3335</v>
      </c>
      <c r="C3330" s="11">
        <v>26</v>
      </c>
      <c r="D3330" s="12">
        <v>16.666666666666664</v>
      </c>
      <c r="E3330" s="12" t="s">
        <v>8219</v>
      </c>
      <c r="F3330" s="13">
        <v>6</v>
      </c>
      <c r="G3330" s="14">
        <v>1784.25</v>
      </c>
      <c r="H3330" t="s">
        <v>4095</v>
      </c>
      <c r="I3330">
        <v>7</v>
      </c>
    </row>
    <row r="3331" spans="1:9" ht="15.6" x14ac:dyDescent="0.3">
      <c r="A3331" s="9">
        <v>3330</v>
      </c>
      <c r="B3331" s="2" t="s">
        <v>3336</v>
      </c>
      <c r="C3331" s="11">
        <v>24</v>
      </c>
      <c r="D3331" s="12">
        <v>33.333333333333329</v>
      </c>
      <c r="E3331" s="12" t="s">
        <v>8219</v>
      </c>
      <c r="F3331" s="13">
        <v>6</v>
      </c>
      <c r="G3331" s="14">
        <v>1760.2199999999998</v>
      </c>
      <c r="H3331" t="s">
        <v>3071</v>
      </c>
      <c r="I3331">
        <v>6</v>
      </c>
    </row>
    <row r="3332" spans="1:9" ht="15.6" x14ac:dyDescent="0.3">
      <c r="A3332" s="9">
        <v>3331</v>
      </c>
      <c r="B3332" s="2" t="s">
        <v>3337</v>
      </c>
      <c r="C3332" s="11">
        <v>24</v>
      </c>
      <c r="D3332" s="12">
        <v>33.333333333333329</v>
      </c>
      <c r="E3332" s="12" t="s">
        <v>8219</v>
      </c>
      <c r="F3332" s="13">
        <v>6</v>
      </c>
      <c r="G3332" s="14">
        <v>1800.25</v>
      </c>
      <c r="H3332" t="s">
        <v>2047</v>
      </c>
      <c r="I3332">
        <v>6</v>
      </c>
    </row>
    <row r="3333" spans="1:9" ht="15.6" x14ac:dyDescent="0.3">
      <c r="A3333" s="9">
        <v>3332</v>
      </c>
      <c r="B3333" s="2" t="s">
        <v>3338</v>
      </c>
      <c r="C3333" s="11">
        <v>18</v>
      </c>
      <c r="D3333" s="12">
        <v>16.666666666666664</v>
      </c>
      <c r="E3333" s="12" t="s">
        <v>8219</v>
      </c>
      <c r="F3333" s="13">
        <v>6</v>
      </c>
      <c r="G3333" s="14">
        <v>1775.23</v>
      </c>
      <c r="H3333" t="s">
        <v>1023</v>
      </c>
      <c r="I3333">
        <v>5</v>
      </c>
    </row>
    <row r="3334" spans="1:9" ht="15.6" x14ac:dyDescent="0.3">
      <c r="A3334" s="9">
        <v>3333</v>
      </c>
      <c r="B3334" s="2" t="s">
        <v>3339</v>
      </c>
      <c r="C3334" s="11">
        <v>24</v>
      </c>
      <c r="D3334" s="12">
        <v>33.333333333333329</v>
      </c>
      <c r="E3334" s="12" t="s">
        <v>8219</v>
      </c>
      <c r="F3334" s="13">
        <v>6</v>
      </c>
      <c r="G3334" s="14">
        <v>1760.2199999999998</v>
      </c>
      <c r="H3334" t="s">
        <v>3839</v>
      </c>
      <c r="I3334">
        <v>6</v>
      </c>
    </row>
    <row r="3335" spans="1:9" ht="15.6" x14ac:dyDescent="0.3">
      <c r="A3335" s="9">
        <v>3334</v>
      </c>
      <c r="B3335" s="2" t="s">
        <v>3340</v>
      </c>
      <c r="C3335" s="11">
        <v>22</v>
      </c>
      <c r="D3335" s="12">
        <v>50</v>
      </c>
      <c r="E3335" s="12" t="s">
        <v>8220</v>
      </c>
      <c r="F3335" s="13">
        <v>6</v>
      </c>
      <c r="G3335" s="14">
        <v>1736.19</v>
      </c>
      <c r="H3335" t="s">
        <v>2815</v>
      </c>
      <c r="I3335">
        <v>6</v>
      </c>
    </row>
    <row r="3336" spans="1:9" ht="15.6" x14ac:dyDescent="0.3">
      <c r="A3336" s="9">
        <v>3335</v>
      </c>
      <c r="B3336" s="2" t="s">
        <v>3341</v>
      </c>
      <c r="C3336" s="11">
        <v>22</v>
      </c>
      <c r="D3336" s="12">
        <v>50</v>
      </c>
      <c r="E3336" s="12" t="s">
        <v>8220</v>
      </c>
      <c r="F3336" s="13">
        <v>6</v>
      </c>
      <c r="G3336" s="14">
        <v>1776.2199999999998</v>
      </c>
      <c r="H3336" t="s">
        <v>1791</v>
      </c>
      <c r="I3336">
        <v>6</v>
      </c>
    </row>
    <row r="3337" spans="1:9" ht="15.6" x14ac:dyDescent="0.3">
      <c r="A3337" s="9">
        <v>3336</v>
      </c>
      <c r="B3337" s="2" t="s">
        <v>3342</v>
      </c>
      <c r="C3337" s="11">
        <v>16</v>
      </c>
      <c r="D3337" s="12">
        <v>33.333333333333329</v>
      </c>
      <c r="E3337" s="12" t="s">
        <v>8219</v>
      </c>
      <c r="F3337" s="13">
        <v>6</v>
      </c>
      <c r="G3337" s="14">
        <v>1751.1999999999998</v>
      </c>
      <c r="H3337" t="s">
        <v>767</v>
      </c>
      <c r="I3337">
        <v>5</v>
      </c>
    </row>
    <row r="3338" spans="1:9" ht="15.6" x14ac:dyDescent="0.3">
      <c r="A3338" s="9">
        <v>3337</v>
      </c>
      <c r="B3338" s="2" t="s">
        <v>3343</v>
      </c>
      <c r="C3338" s="11">
        <v>24</v>
      </c>
      <c r="D3338" s="12">
        <v>33.333333333333329</v>
      </c>
      <c r="E3338" s="12" t="s">
        <v>8219</v>
      </c>
      <c r="F3338" s="13">
        <v>6</v>
      </c>
      <c r="G3338" s="14">
        <v>1800.25</v>
      </c>
      <c r="H3338" t="s">
        <v>3583</v>
      </c>
      <c r="I3338">
        <v>6</v>
      </c>
    </row>
    <row r="3339" spans="1:9" ht="15.6" x14ac:dyDescent="0.3">
      <c r="A3339" s="9">
        <v>3338</v>
      </c>
      <c r="B3339" s="2" t="s">
        <v>3344</v>
      </c>
      <c r="C3339" s="11">
        <v>22</v>
      </c>
      <c r="D3339" s="12">
        <v>50</v>
      </c>
      <c r="E3339" s="12" t="s">
        <v>8220</v>
      </c>
      <c r="F3339" s="13">
        <v>6</v>
      </c>
      <c r="G3339" s="14">
        <v>1776.2199999999998</v>
      </c>
      <c r="H3339" t="s">
        <v>2559</v>
      </c>
      <c r="I3339">
        <v>6</v>
      </c>
    </row>
    <row r="3340" spans="1:9" ht="15.6" x14ac:dyDescent="0.3">
      <c r="A3340" s="9">
        <v>3339</v>
      </c>
      <c r="B3340" s="2" t="s">
        <v>3345</v>
      </c>
      <c r="C3340" s="11">
        <v>22</v>
      </c>
      <c r="D3340" s="12">
        <v>50</v>
      </c>
      <c r="E3340" s="12" t="s">
        <v>8220</v>
      </c>
      <c r="F3340" s="13">
        <v>6</v>
      </c>
      <c r="G3340" s="14">
        <v>1816.25</v>
      </c>
      <c r="H3340" t="s">
        <v>1535</v>
      </c>
      <c r="I3340">
        <v>6</v>
      </c>
    </row>
    <row r="3341" spans="1:9" ht="15.6" x14ac:dyDescent="0.3">
      <c r="A3341" s="9">
        <v>3340</v>
      </c>
      <c r="B3341" s="2" t="s">
        <v>3346</v>
      </c>
      <c r="C3341" s="11">
        <v>16</v>
      </c>
      <c r="D3341" s="12">
        <v>33.333333333333329</v>
      </c>
      <c r="E3341" s="12" t="s">
        <v>8219</v>
      </c>
      <c r="F3341" s="13">
        <v>6</v>
      </c>
      <c r="G3341" s="14">
        <v>1791.23</v>
      </c>
      <c r="H3341" t="s">
        <v>511</v>
      </c>
      <c r="I3341">
        <v>5</v>
      </c>
    </row>
    <row r="3342" spans="1:9" ht="15.6" x14ac:dyDescent="0.3">
      <c r="A3342" s="9">
        <v>3341</v>
      </c>
      <c r="B3342" s="2" t="s">
        <v>3347</v>
      </c>
      <c r="C3342" s="11">
        <v>18</v>
      </c>
      <c r="D3342" s="12">
        <v>16.666666666666664</v>
      </c>
      <c r="E3342" s="12" t="s">
        <v>8219</v>
      </c>
      <c r="F3342" s="13">
        <v>6</v>
      </c>
      <c r="G3342" s="14">
        <v>1775.23</v>
      </c>
      <c r="H3342" t="s">
        <v>3327</v>
      </c>
      <c r="I3342">
        <v>5</v>
      </c>
    </row>
    <row r="3343" spans="1:9" ht="15.6" x14ac:dyDescent="0.3">
      <c r="A3343" s="9">
        <v>3342</v>
      </c>
      <c r="B3343" s="2" t="s">
        <v>3348</v>
      </c>
      <c r="C3343" s="11">
        <v>16</v>
      </c>
      <c r="D3343" s="12">
        <v>33.333333333333329</v>
      </c>
      <c r="E3343" s="12" t="s">
        <v>8219</v>
      </c>
      <c r="F3343" s="13">
        <v>6</v>
      </c>
      <c r="G3343" s="14">
        <v>1751.1999999999998</v>
      </c>
      <c r="H3343" t="s">
        <v>2303</v>
      </c>
      <c r="I3343">
        <v>5</v>
      </c>
    </row>
    <row r="3344" spans="1:9" ht="15.6" x14ac:dyDescent="0.3">
      <c r="A3344" s="9">
        <v>3343</v>
      </c>
      <c r="B3344" s="2" t="s">
        <v>3349</v>
      </c>
      <c r="C3344" s="11">
        <v>16</v>
      </c>
      <c r="D3344" s="12">
        <v>33.333333333333329</v>
      </c>
      <c r="E3344" s="12" t="s">
        <v>8219</v>
      </c>
      <c r="F3344" s="13">
        <v>6</v>
      </c>
      <c r="G3344" s="14">
        <v>1791.23</v>
      </c>
      <c r="H3344" t="s">
        <v>1279</v>
      </c>
      <c r="I3344">
        <v>5</v>
      </c>
    </row>
    <row r="3345" spans="1:9" ht="15.6" x14ac:dyDescent="0.3">
      <c r="A3345" s="9">
        <v>3344</v>
      </c>
      <c r="B3345" s="2" t="s">
        <v>3350</v>
      </c>
      <c r="C3345" s="11">
        <v>10</v>
      </c>
      <c r="D3345" s="12">
        <v>16.666666666666664</v>
      </c>
      <c r="E3345" s="12" t="s">
        <v>8219</v>
      </c>
      <c r="F3345" s="13">
        <v>6</v>
      </c>
      <c r="G3345" s="14">
        <v>1766.21</v>
      </c>
      <c r="H3345" t="s">
        <v>255</v>
      </c>
      <c r="I3345">
        <v>4</v>
      </c>
    </row>
    <row r="3346" spans="1:9" ht="15.6" x14ac:dyDescent="0.3">
      <c r="A3346" s="9">
        <v>3345</v>
      </c>
      <c r="B3346" s="2" t="s">
        <v>3351</v>
      </c>
      <c r="C3346" s="11">
        <v>24</v>
      </c>
      <c r="D3346" s="12">
        <v>33.333333333333329</v>
      </c>
      <c r="E3346" s="12" t="s">
        <v>8219</v>
      </c>
      <c r="F3346" s="13">
        <v>6</v>
      </c>
      <c r="G3346" s="14">
        <v>1760.2199999999998</v>
      </c>
      <c r="H3346" t="s">
        <v>4031</v>
      </c>
      <c r="I3346">
        <v>6</v>
      </c>
    </row>
    <row r="3347" spans="1:9" ht="15.6" x14ac:dyDescent="0.3">
      <c r="A3347" s="9">
        <v>3346</v>
      </c>
      <c r="B3347" s="2" t="s">
        <v>3352</v>
      </c>
      <c r="C3347" s="11">
        <v>22</v>
      </c>
      <c r="D3347" s="12">
        <v>50</v>
      </c>
      <c r="E3347" s="12" t="s">
        <v>8220</v>
      </c>
      <c r="F3347" s="13">
        <v>6</v>
      </c>
      <c r="G3347" s="14">
        <v>1736.19</v>
      </c>
      <c r="H3347" t="s">
        <v>3007</v>
      </c>
      <c r="I3347">
        <v>6</v>
      </c>
    </row>
    <row r="3348" spans="1:9" ht="15.6" x14ac:dyDescent="0.3">
      <c r="A3348" s="9">
        <v>3347</v>
      </c>
      <c r="B3348" s="2" t="s">
        <v>3353</v>
      </c>
      <c r="C3348" s="11">
        <v>22</v>
      </c>
      <c r="D3348" s="12">
        <v>50</v>
      </c>
      <c r="E3348" s="12" t="s">
        <v>8220</v>
      </c>
      <c r="F3348" s="13">
        <v>6</v>
      </c>
      <c r="G3348" s="14">
        <v>1776.2199999999998</v>
      </c>
      <c r="H3348" t="s">
        <v>1983</v>
      </c>
      <c r="I3348">
        <v>6</v>
      </c>
    </row>
    <row r="3349" spans="1:9" ht="15.6" x14ac:dyDescent="0.3">
      <c r="A3349" s="9">
        <v>3348</v>
      </c>
      <c r="B3349" s="2" t="s">
        <v>3354</v>
      </c>
      <c r="C3349" s="11">
        <v>16</v>
      </c>
      <c r="D3349" s="12">
        <v>33.333333333333329</v>
      </c>
      <c r="E3349" s="12" t="s">
        <v>8219</v>
      </c>
      <c r="F3349" s="13">
        <v>6</v>
      </c>
      <c r="G3349" s="14">
        <v>1751.1999999999998</v>
      </c>
      <c r="H3349" t="s">
        <v>959</v>
      </c>
      <c r="I3349">
        <v>5</v>
      </c>
    </row>
    <row r="3350" spans="1:9" ht="15.6" x14ac:dyDescent="0.3">
      <c r="A3350" s="9">
        <v>3349</v>
      </c>
      <c r="B3350" s="2" t="s">
        <v>3355</v>
      </c>
      <c r="C3350" s="11">
        <v>22</v>
      </c>
      <c r="D3350" s="12">
        <v>50</v>
      </c>
      <c r="E3350" s="12" t="s">
        <v>8220</v>
      </c>
      <c r="F3350" s="13">
        <v>6</v>
      </c>
      <c r="G3350" s="14">
        <v>1736.19</v>
      </c>
      <c r="H3350" t="s">
        <v>3775</v>
      </c>
      <c r="I3350">
        <v>6</v>
      </c>
    </row>
    <row r="3351" spans="1:9" ht="15.6" x14ac:dyDescent="0.3">
      <c r="A3351" s="9">
        <v>3350</v>
      </c>
      <c r="B3351" s="2" t="s">
        <v>3356</v>
      </c>
      <c r="C3351" s="11">
        <v>20</v>
      </c>
      <c r="D3351" s="12">
        <v>66.666666666666657</v>
      </c>
      <c r="E3351" s="12" t="s">
        <v>8220</v>
      </c>
      <c r="F3351" s="13">
        <v>6</v>
      </c>
      <c r="G3351" s="14">
        <v>1712.1599999999999</v>
      </c>
      <c r="H3351" t="s">
        <v>2751</v>
      </c>
      <c r="I3351">
        <v>6</v>
      </c>
    </row>
    <row r="3352" spans="1:9" ht="15.6" x14ac:dyDescent="0.3">
      <c r="A3352" s="9">
        <v>3351</v>
      </c>
      <c r="B3352" s="2" t="s">
        <v>3357</v>
      </c>
      <c r="C3352" s="11">
        <v>20</v>
      </c>
      <c r="D3352" s="12">
        <v>66.666666666666657</v>
      </c>
      <c r="E3352" s="12" t="s">
        <v>8220</v>
      </c>
      <c r="F3352" s="13">
        <v>6</v>
      </c>
      <c r="G3352" s="14">
        <v>1752.19</v>
      </c>
      <c r="H3352" t="s">
        <v>1727</v>
      </c>
      <c r="I3352">
        <v>6</v>
      </c>
    </row>
    <row r="3353" spans="1:9" ht="15.6" x14ac:dyDescent="0.3">
      <c r="A3353" s="9">
        <v>3352</v>
      </c>
      <c r="B3353" s="2" t="s">
        <v>3358</v>
      </c>
      <c r="C3353" s="11">
        <v>14</v>
      </c>
      <c r="D3353" s="12">
        <v>50</v>
      </c>
      <c r="E3353" s="12" t="s">
        <v>8220</v>
      </c>
      <c r="F3353" s="13">
        <v>6</v>
      </c>
      <c r="G3353" s="14">
        <v>1727.17</v>
      </c>
      <c r="H3353" t="s">
        <v>703</v>
      </c>
      <c r="I3353">
        <v>5</v>
      </c>
    </row>
    <row r="3354" spans="1:9" ht="15.6" x14ac:dyDescent="0.3">
      <c r="A3354" s="9">
        <v>3353</v>
      </c>
      <c r="B3354" s="2" t="s">
        <v>3359</v>
      </c>
      <c r="C3354" s="11">
        <v>22</v>
      </c>
      <c r="D3354" s="12">
        <v>50</v>
      </c>
      <c r="E3354" s="12" t="s">
        <v>8220</v>
      </c>
      <c r="F3354" s="13">
        <v>6</v>
      </c>
      <c r="G3354" s="14">
        <v>1776.2199999999998</v>
      </c>
      <c r="H3354" t="s">
        <v>3519</v>
      </c>
      <c r="I3354">
        <v>6</v>
      </c>
    </row>
    <row r="3355" spans="1:9" ht="15.6" x14ac:dyDescent="0.3">
      <c r="A3355" s="9">
        <v>3354</v>
      </c>
      <c r="B3355" s="2" t="s">
        <v>3360</v>
      </c>
      <c r="C3355" s="11">
        <v>20</v>
      </c>
      <c r="D3355" s="12">
        <v>66.666666666666657</v>
      </c>
      <c r="E3355" s="12" t="s">
        <v>8220</v>
      </c>
      <c r="F3355" s="13">
        <v>6</v>
      </c>
      <c r="G3355" s="14">
        <v>1752.19</v>
      </c>
      <c r="H3355" t="s">
        <v>2495</v>
      </c>
      <c r="I3355">
        <v>6</v>
      </c>
    </row>
    <row r="3356" spans="1:9" ht="15.6" x14ac:dyDescent="0.3">
      <c r="A3356" s="9">
        <v>3355</v>
      </c>
      <c r="B3356" s="2" t="s">
        <v>3361</v>
      </c>
      <c r="C3356" s="11">
        <v>20</v>
      </c>
      <c r="D3356" s="12">
        <v>66.666666666666657</v>
      </c>
      <c r="E3356" s="12" t="s">
        <v>8220</v>
      </c>
      <c r="F3356" s="13">
        <v>6</v>
      </c>
      <c r="G3356" s="14">
        <v>1792.2199999999998</v>
      </c>
      <c r="H3356" t="s">
        <v>1471</v>
      </c>
      <c r="I3356">
        <v>6</v>
      </c>
    </row>
    <row r="3357" spans="1:9" ht="15.6" x14ac:dyDescent="0.3">
      <c r="A3357" s="9">
        <v>3356</v>
      </c>
      <c r="B3357" s="2" t="s">
        <v>3362</v>
      </c>
      <c r="C3357" s="11">
        <v>14</v>
      </c>
      <c r="D3357" s="12">
        <v>50</v>
      </c>
      <c r="E3357" s="12" t="s">
        <v>8220</v>
      </c>
      <c r="F3357" s="13">
        <v>6</v>
      </c>
      <c r="G3357" s="14">
        <v>1767.1999999999998</v>
      </c>
      <c r="H3357" t="s">
        <v>447</v>
      </c>
      <c r="I3357">
        <v>5</v>
      </c>
    </row>
    <row r="3358" spans="1:9" ht="15.6" x14ac:dyDescent="0.3">
      <c r="A3358" s="9">
        <v>3357</v>
      </c>
      <c r="B3358" s="2" t="s">
        <v>3363</v>
      </c>
      <c r="C3358" s="11">
        <v>16</v>
      </c>
      <c r="D3358" s="12">
        <v>33.333333333333329</v>
      </c>
      <c r="E3358" s="12" t="s">
        <v>8219</v>
      </c>
      <c r="F3358" s="13">
        <v>6</v>
      </c>
      <c r="G3358" s="14">
        <v>1751.1999999999998</v>
      </c>
      <c r="H3358" t="s">
        <v>3263</v>
      </c>
      <c r="I3358">
        <v>5</v>
      </c>
    </row>
    <row r="3359" spans="1:9" ht="15.6" x14ac:dyDescent="0.3">
      <c r="A3359" s="9">
        <v>3358</v>
      </c>
      <c r="B3359" s="2" t="s">
        <v>3364</v>
      </c>
      <c r="C3359" s="11">
        <v>14</v>
      </c>
      <c r="D3359" s="12">
        <v>50</v>
      </c>
      <c r="E3359" s="12" t="s">
        <v>8220</v>
      </c>
      <c r="F3359" s="13">
        <v>6</v>
      </c>
      <c r="G3359" s="14">
        <v>1727.17</v>
      </c>
      <c r="H3359" t="s">
        <v>2239</v>
      </c>
      <c r="I3359">
        <v>5</v>
      </c>
    </row>
    <row r="3360" spans="1:9" ht="15.6" x14ac:dyDescent="0.3">
      <c r="A3360" s="9">
        <v>3359</v>
      </c>
      <c r="B3360" s="2" t="s">
        <v>3365</v>
      </c>
      <c r="C3360" s="11">
        <v>14</v>
      </c>
      <c r="D3360" s="12">
        <v>50</v>
      </c>
      <c r="E3360" s="12" t="s">
        <v>8220</v>
      </c>
      <c r="F3360" s="13">
        <v>6</v>
      </c>
      <c r="G3360" s="14">
        <v>1767.1999999999998</v>
      </c>
      <c r="H3360" t="s">
        <v>1215</v>
      </c>
      <c r="I3360">
        <v>5</v>
      </c>
    </row>
    <row r="3361" spans="1:9" ht="15.6" x14ac:dyDescent="0.3">
      <c r="A3361" s="9">
        <v>3360</v>
      </c>
      <c r="B3361" s="2" t="s">
        <v>3366</v>
      </c>
      <c r="C3361" s="11">
        <v>8</v>
      </c>
      <c r="D3361" s="12">
        <v>33.333333333333329</v>
      </c>
      <c r="E3361" s="12" t="s">
        <v>8219</v>
      </c>
      <c r="F3361" s="13">
        <v>6</v>
      </c>
      <c r="G3361" s="14">
        <v>1742.1799999999998</v>
      </c>
      <c r="H3361" t="s">
        <v>191</v>
      </c>
      <c r="I3361">
        <v>4</v>
      </c>
    </row>
    <row r="3362" spans="1:9" ht="15.6" x14ac:dyDescent="0.3">
      <c r="A3362" s="9">
        <v>3361</v>
      </c>
      <c r="B3362" s="2" t="s">
        <v>3367</v>
      </c>
      <c r="C3362" s="11">
        <v>24</v>
      </c>
      <c r="D3362" s="12">
        <v>33.333333333333329</v>
      </c>
      <c r="E3362" s="12" t="s">
        <v>8219</v>
      </c>
      <c r="F3362" s="13">
        <v>6</v>
      </c>
      <c r="G3362" s="14">
        <v>1800.25</v>
      </c>
      <c r="H3362" t="s">
        <v>3967</v>
      </c>
      <c r="I3362">
        <v>6</v>
      </c>
    </row>
    <row r="3363" spans="1:9" ht="15.6" x14ac:dyDescent="0.3">
      <c r="A3363" s="9">
        <v>3362</v>
      </c>
      <c r="B3363" s="2" t="s">
        <v>3368</v>
      </c>
      <c r="C3363" s="11">
        <v>22</v>
      </c>
      <c r="D3363" s="12">
        <v>50</v>
      </c>
      <c r="E3363" s="12" t="s">
        <v>8220</v>
      </c>
      <c r="F3363" s="13">
        <v>6</v>
      </c>
      <c r="G3363" s="14">
        <v>1776.2199999999998</v>
      </c>
      <c r="H3363" t="s">
        <v>2943</v>
      </c>
      <c r="I3363">
        <v>6</v>
      </c>
    </row>
    <row r="3364" spans="1:9" ht="15.6" x14ac:dyDescent="0.3">
      <c r="A3364" s="9">
        <v>3363</v>
      </c>
      <c r="B3364" s="2" t="s">
        <v>3369</v>
      </c>
      <c r="C3364" s="11">
        <v>22</v>
      </c>
      <c r="D3364" s="12">
        <v>50</v>
      </c>
      <c r="E3364" s="12" t="s">
        <v>8220</v>
      </c>
      <c r="F3364" s="13">
        <v>6</v>
      </c>
      <c r="G3364" s="14">
        <v>1816.25</v>
      </c>
      <c r="H3364" t="s">
        <v>1919</v>
      </c>
      <c r="I3364">
        <v>6</v>
      </c>
    </row>
    <row r="3365" spans="1:9" ht="15.6" x14ac:dyDescent="0.3">
      <c r="A3365" s="9">
        <v>3364</v>
      </c>
      <c r="B3365" s="2" t="s">
        <v>3370</v>
      </c>
      <c r="C3365" s="11">
        <v>16</v>
      </c>
      <c r="D3365" s="12">
        <v>33.333333333333329</v>
      </c>
      <c r="E3365" s="12" t="s">
        <v>8219</v>
      </c>
      <c r="F3365" s="13">
        <v>6</v>
      </c>
      <c r="G3365" s="14">
        <v>1791.23</v>
      </c>
      <c r="H3365" t="s">
        <v>895</v>
      </c>
      <c r="I3365">
        <v>5</v>
      </c>
    </row>
    <row r="3366" spans="1:9" ht="15.6" x14ac:dyDescent="0.3">
      <c r="A3366" s="9">
        <v>3365</v>
      </c>
      <c r="B3366" s="2" t="s">
        <v>3371</v>
      </c>
      <c r="C3366" s="11">
        <v>22</v>
      </c>
      <c r="D3366" s="12">
        <v>50</v>
      </c>
      <c r="E3366" s="12" t="s">
        <v>8220</v>
      </c>
      <c r="F3366" s="13">
        <v>6</v>
      </c>
      <c r="G3366" s="14">
        <v>1776.2199999999998</v>
      </c>
      <c r="H3366" t="s">
        <v>3711</v>
      </c>
      <c r="I3366">
        <v>6</v>
      </c>
    </row>
    <row r="3367" spans="1:9" ht="15.6" x14ac:dyDescent="0.3">
      <c r="A3367" s="9">
        <v>3366</v>
      </c>
      <c r="B3367" s="2" t="s">
        <v>3372</v>
      </c>
      <c r="C3367" s="11">
        <v>20</v>
      </c>
      <c r="D3367" s="12">
        <v>66.666666666666657</v>
      </c>
      <c r="E3367" s="12" t="s">
        <v>8220</v>
      </c>
      <c r="F3367" s="13">
        <v>6</v>
      </c>
      <c r="G3367" s="14">
        <v>1752.19</v>
      </c>
      <c r="H3367" t="s">
        <v>2687</v>
      </c>
      <c r="I3367">
        <v>6</v>
      </c>
    </row>
    <row r="3368" spans="1:9" ht="15.6" x14ac:dyDescent="0.3">
      <c r="A3368" s="9">
        <v>3367</v>
      </c>
      <c r="B3368" s="2" t="s">
        <v>3373</v>
      </c>
      <c r="C3368" s="11">
        <v>20</v>
      </c>
      <c r="D3368" s="12">
        <v>66.666666666666657</v>
      </c>
      <c r="E3368" s="12" t="s">
        <v>8220</v>
      </c>
      <c r="F3368" s="13">
        <v>6</v>
      </c>
      <c r="G3368" s="14">
        <v>1792.2199999999998</v>
      </c>
      <c r="H3368" t="s">
        <v>1663</v>
      </c>
      <c r="I3368">
        <v>6</v>
      </c>
    </row>
    <row r="3369" spans="1:9" ht="15.6" x14ac:dyDescent="0.3">
      <c r="A3369" s="9">
        <v>3368</v>
      </c>
      <c r="B3369" s="2" t="s">
        <v>3374</v>
      </c>
      <c r="C3369" s="11">
        <v>14</v>
      </c>
      <c r="D3369" s="12">
        <v>50</v>
      </c>
      <c r="E3369" s="12" t="s">
        <v>8220</v>
      </c>
      <c r="F3369" s="13">
        <v>6</v>
      </c>
      <c r="G3369" s="14">
        <v>1767.1999999999998</v>
      </c>
      <c r="H3369" t="s">
        <v>639</v>
      </c>
      <c r="I3369">
        <v>5</v>
      </c>
    </row>
    <row r="3370" spans="1:9" ht="15.6" x14ac:dyDescent="0.3">
      <c r="A3370" s="9">
        <v>3369</v>
      </c>
      <c r="B3370" s="2" t="s">
        <v>3375</v>
      </c>
      <c r="C3370" s="11">
        <v>22</v>
      </c>
      <c r="D3370" s="12">
        <v>50</v>
      </c>
      <c r="E3370" s="12" t="s">
        <v>8220</v>
      </c>
      <c r="F3370" s="13">
        <v>6</v>
      </c>
      <c r="G3370" s="14">
        <v>1816.25</v>
      </c>
      <c r="H3370" t="s">
        <v>3455</v>
      </c>
      <c r="I3370">
        <v>6</v>
      </c>
    </row>
    <row r="3371" spans="1:9" ht="15.6" x14ac:dyDescent="0.3">
      <c r="A3371" s="9">
        <v>3370</v>
      </c>
      <c r="B3371" s="2" t="s">
        <v>3376</v>
      </c>
      <c r="C3371" s="11">
        <v>20</v>
      </c>
      <c r="D3371" s="12">
        <v>66.666666666666657</v>
      </c>
      <c r="E3371" s="12" t="s">
        <v>8220</v>
      </c>
      <c r="F3371" s="13">
        <v>6</v>
      </c>
      <c r="G3371" s="14">
        <v>1792.2199999999998</v>
      </c>
      <c r="H3371" t="s">
        <v>2431</v>
      </c>
      <c r="I3371">
        <v>6</v>
      </c>
    </row>
    <row r="3372" spans="1:9" ht="15.6" x14ac:dyDescent="0.3">
      <c r="A3372" s="9">
        <v>3371</v>
      </c>
      <c r="B3372" s="2" t="s">
        <v>3377</v>
      </c>
      <c r="C3372" s="11">
        <v>20</v>
      </c>
      <c r="D3372" s="12">
        <v>66.666666666666657</v>
      </c>
      <c r="E3372" s="12" t="s">
        <v>8220</v>
      </c>
      <c r="F3372" s="13">
        <v>6</v>
      </c>
      <c r="G3372" s="14">
        <v>1832.25</v>
      </c>
      <c r="H3372" t="s">
        <v>1407</v>
      </c>
      <c r="I3372">
        <v>6</v>
      </c>
    </row>
    <row r="3373" spans="1:9" ht="15.6" x14ac:dyDescent="0.3">
      <c r="A3373" s="9">
        <v>3372</v>
      </c>
      <c r="B3373" s="2" t="s">
        <v>3378</v>
      </c>
      <c r="C3373" s="11">
        <v>14</v>
      </c>
      <c r="D3373" s="12">
        <v>50</v>
      </c>
      <c r="E3373" s="12" t="s">
        <v>8220</v>
      </c>
      <c r="F3373" s="13">
        <v>6</v>
      </c>
      <c r="G3373" s="14">
        <v>1807.23</v>
      </c>
      <c r="H3373" t="s">
        <v>383</v>
      </c>
      <c r="I3373">
        <v>5</v>
      </c>
    </row>
    <row r="3374" spans="1:9" ht="15.6" x14ac:dyDescent="0.3">
      <c r="A3374" s="9">
        <v>3373</v>
      </c>
      <c r="B3374" s="2" t="s">
        <v>3379</v>
      </c>
      <c r="C3374" s="11">
        <v>16</v>
      </c>
      <c r="D3374" s="12">
        <v>33.333333333333329</v>
      </c>
      <c r="E3374" s="12" t="s">
        <v>8219</v>
      </c>
      <c r="F3374" s="13">
        <v>6</v>
      </c>
      <c r="G3374" s="14">
        <v>1791.23</v>
      </c>
      <c r="H3374" t="s">
        <v>3199</v>
      </c>
      <c r="I3374">
        <v>5</v>
      </c>
    </row>
    <row r="3375" spans="1:9" ht="15.6" x14ac:dyDescent="0.3">
      <c r="A3375" s="9">
        <v>3374</v>
      </c>
      <c r="B3375" s="2" t="s">
        <v>3380</v>
      </c>
      <c r="C3375" s="11">
        <v>14</v>
      </c>
      <c r="D3375" s="12">
        <v>50</v>
      </c>
      <c r="E3375" s="12" t="s">
        <v>8220</v>
      </c>
      <c r="F3375" s="13">
        <v>6</v>
      </c>
      <c r="G3375" s="14">
        <v>1767.1999999999998</v>
      </c>
      <c r="H3375" t="s">
        <v>2175</v>
      </c>
      <c r="I3375">
        <v>5</v>
      </c>
    </row>
    <row r="3376" spans="1:9" ht="15.6" x14ac:dyDescent="0.3">
      <c r="A3376" s="9">
        <v>3375</v>
      </c>
      <c r="B3376" s="2" t="s">
        <v>3381</v>
      </c>
      <c r="C3376" s="11">
        <v>14</v>
      </c>
      <c r="D3376" s="12">
        <v>50</v>
      </c>
      <c r="E3376" s="12" t="s">
        <v>8220</v>
      </c>
      <c r="F3376" s="13">
        <v>6</v>
      </c>
      <c r="G3376" s="14">
        <v>1807.23</v>
      </c>
      <c r="H3376" t="s">
        <v>1151</v>
      </c>
      <c r="I3376">
        <v>5</v>
      </c>
    </row>
    <row r="3377" spans="1:9" ht="15.6" x14ac:dyDescent="0.3">
      <c r="A3377" s="9">
        <v>3376</v>
      </c>
      <c r="B3377" s="2" t="s">
        <v>3382</v>
      </c>
      <c r="C3377" s="11">
        <v>8</v>
      </c>
      <c r="D3377" s="12">
        <v>33.333333333333329</v>
      </c>
      <c r="E3377" s="12" t="s">
        <v>8219</v>
      </c>
      <c r="F3377" s="13">
        <v>6</v>
      </c>
      <c r="G3377" s="14">
        <v>1782.21</v>
      </c>
      <c r="H3377" t="s">
        <v>127</v>
      </c>
      <c r="I3377">
        <v>4</v>
      </c>
    </row>
    <row r="3378" spans="1:9" ht="15.6" x14ac:dyDescent="0.3">
      <c r="A3378" s="9">
        <v>3377</v>
      </c>
      <c r="B3378" s="2" t="s">
        <v>3383</v>
      </c>
      <c r="C3378" s="11">
        <v>18</v>
      </c>
      <c r="D3378" s="12">
        <v>16.666666666666664</v>
      </c>
      <c r="E3378" s="12" t="s">
        <v>8219</v>
      </c>
      <c r="F3378" s="13">
        <v>6</v>
      </c>
      <c r="G3378" s="14">
        <v>1775.23</v>
      </c>
      <c r="H3378" t="s">
        <v>3903</v>
      </c>
      <c r="I3378">
        <v>5</v>
      </c>
    </row>
    <row r="3379" spans="1:9" ht="15.6" x14ac:dyDescent="0.3">
      <c r="A3379" s="9">
        <v>3378</v>
      </c>
      <c r="B3379" s="2" t="s">
        <v>3384</v>
      </c>
      <c r="C3379" s="11">
        <v>16</v>
      </c>
      <c r="D3379" s="12">
        <v>33.333333333333329</v>
      </c>
      <c r="E3379" s="12" t="s">
        <v>8219</v>
      </c>
      <c r="F3379" s="13">
        <v>6</v>
      </c>
      <c r="G3379" s="14">
        <v>1751.1999999999998</v>
      </c>
      <c r="H3379" t="s">
        <v>2879</v>
      </c>
      <c r="I3379">
        <v>5</v>
      </c>
    </row>
    <row r="3380" spans="1:9" ht="15.6" x14ac:dyDescent="0.3">
      <c r="A3380" s="9">
        <v>3379</v>
      </c>
      <c r="B3380" s="2" t="s">
        <v>3385</v>
      </c>
      <c r="C3380" s="11">
        <v>16</v>
      </c>
      <c r="D3380" s="12">
        <v>33.333333333333329</v>
      </c>
      <c r="E3380" s="12" t="s">
        <v>8219</v>
      </c>
      <c r="F3380" s="13">
        <v>6</v>
      </c>
      <c r="G3380" s="14">
        <v>1791.23</v>
      </c>
      <c r="H3380" t="s">
        <v>1855</v>
      </c>
      <c r="I3380">
        <v>5</v>
      </c>
    </row>
    <row r="3381" spans="1:9" ht="15.6" x14ac:dyDescent="0.3">
      <c r="A3381" s="9">
        <v>3380</v>
      </c>
      <c r="B3381" s="2" t="s">
        <v>3386</v>
      </c>
      <c r="C3381" s="11">
        <v>10</v>
      </c>
      <c r="D3381" s="12">
        <v>16.666666666666664</v>
      </c>
      <c r="E3381" s="12" t="s">
        <v>8219</v>
      </c>
      <c r="F3381" s="13">
        <v>6</v>
      </c>
      <c r="G3381" s="14">
        <v>1766.21</v>
      </c>
      <c r="H3381" t="s">
        <v>831</v>
      </c>
      <c r="I3381">
        <v>4</v>
      </c>
    </row>
    <row r="3382" spans="1:9" ht="15.6" x14ac:dyDescent="0.3">
      <c r="A3382" s="9">
        <v>3381</v>
      </c>
      <c r="B3382" s="2" t="s">
        <v>3387</v>
      </c>
      <c r="C3382" s="11">
        <v>16</v>
      </c>
      <c r="D3382" s="12">
        <v>33.333333333333329</v>
      </c>
      <c r="E3382" s="12" t="s">
        <v>8219</v>
      </c>
      <c r="F3382" s="13">
        <v>6</v>
      </c>
      <c r="G3382" s="14">
        <v>1751.1999999999998</v>
      </c>
      <c r="H3382" t="s">
        <v>3647</v>
      </c>
      <c r="I3382">
        <v>5</v>
      </c>
    </row>
    <row r="3383" spans="1:9" ht="15.6" x14ac:dyDescent="0.3">
      <c r="A3383" s="9">
        <v>3382</v>
      </c>
      <c r="B3383" s="2" t="s">
        <v>3388</v>
      </c>
      <c r="C3383" s="11">
        <v>14</v>
      </c>
      <c r="D3383" s="12">
        <v>50</v>
      </c>
      <c r="E3383" s="12" t="s">
        <v>8220</v>
      </c>
      <c r="F3383" s="13">
        <v>6</v>
      </c>
      <c r="G3383" s="14">
        <v>1727.17</v>
      </c>
      <c r="H3383" t="s">
        <v>2623</v>
      </c>
      <c r="I3383">
        <v>5</v>
      </c>
    </row>
    <row r="3384" spans="1:9" ht="15.6" x14ac:dyDescent="0.3">
      <c r="A3384" s="9">
        <v>3383</v>
      </c>
      <c r="B3384" s="2" t="s">
        <v>3389</v>
      </c>
      <c r="C3384" s="11">
        <v>14</v>
      </c>
      <c r="D3384" s="12">
        <v>50</v>
      </c>
      <c r="E3384" s="12" t="s">
        <v>8220</v>
      </c>
      <c r="F3384" s="13">
        <v>6</v>
      </c>
      <c r="G3384" s="14">
        <v>1767.1999999999998</v>
      </c>
      <c r="H3384" t="s">
        <v>1599</v>
      </c>
      <c r="I3384">
        <v>5</v>
      </c>
    </row>
    <row r="3385" spans="1:9" ht="15.6" x14ac:dyDescent="0.3">
      <c r="A3385" s="9">
        <v>3384</v>
      </c>
      <c r="B3385" s="2" t="s">
        <v>3390</v>
      </c>
      <c r="C3385" s="11">
        <v>8</v>
      </c>
      <c r="D3385" s="12">
        <v>33.333333333333329</v>
      </c>
      <c r="E3385" s="12" t="s">
        <v>8219</v>
      </c>
      <c r="F3385" s="13">
        <v>6</v>
      </c>
      <c r="G3385" s="14">
        <v>1742.1799999999998</v>
      </c>
      <c r="H3385" t="s">
        <v>575</v>
      </c>
      <c r="I3385">
        <v>4</v>
      </c>
    </row>
    <row r="3386" spans="1:9" ht="15.6" x14ac:dyDescent="0.3">
      <c r="A3386" s="9">
        <v>3385</v>
      </c>
      <c r="B3386" s="2" t="s">
        <v>3391</v>
      </c>
      <c r="C3386" s="11">
        <v>16</v>
      </c>
      <c r="D3386" s="12">
        <v>33.333333333333329</v>
      </c>
      <c r="E3386" s="12" t="s">
        <v>8219</v>
      </c>
      <c r="F3386" s="13">
        <v>6</v>
      </c>
      <c r="G3386" s="14">
        <v>1791.23</v>
      </c>
      <c r="H3386" t="s">
        <v>3391</v>
      </c>
      <c r="I3386">
        <v>5</v>
      </c>
    </row>
    <row r="3387" spans="1:9" ht="15.6" x14ac:dyDescent="0.3">
      <c r="A3387" s="9">
        <v>3386</v>
      </c>
      <c r="B3387" s="2" t="s">
        <v>3392</v>
      </c>
      <c r="C3387" s="11">
        <v>14</v>
      </c>
      <c r="D3387" s="12">
        <v>50</v>
      </c>
      <c r="E3387" s="12" t="s">
        <v>8220</v>
      </c>
      <c r="F3387" s="13">
        <v>6</v>
      </c>
      <c r="G3387" s="14">
        <v>1767.1999999999998</v>
      </c>
      <c r="H3387" t="s">
        <v>2367</v>
      </c>
      <c r="I3387">
        <v>5</v>
      </c>
    </row>
    <row r="3388" spans="1:9" ht="15.6" x14ac:dyDescent="0.3">
      <c r="A3388" s="9">
        <v>3387</v>
      </c>
      <c r="B3388" s="2" t="s">
        <v>3393</v>
      </c>
      <c r="C3388" s="11">
        <v>14</v>
      </c>
      <c r="D3388" s="12">
        <v>50</v>
      </c>
      <c r="E3388" s="12" t="s">
        <v>8220</v>
      </c>
      <c r="F3388" s="13">
        <v>6</v>
      </c>
      <c r="G3388" s="14">
        <v>1807.23</v>
      </c>
      <c r="H3388" t="s">
        <v>1343</v>
      </c>
      <c r="I3388">
        <v>5</v>
      </c>
    </row>
    <row r="3389" spans="1:9" ht="15.6" x14ac:dyDescent="0.3">
      <c r="A3389" s="9">
        <v>3388</v>
      </c>
      <c r="B3389" s="2" t="s">
        <v>3394</v>
      </c>
      <c r="C3389" s="11">
        <v>8</v>
      </c>
      <c r="D3389" s="12">
        <v>33.333333333333329</v>
      </c>
      <c r="E3389" s="12" t="s">
        <v>8219</v>
      </c>
      <c r="F3389" s="13">
        <v>6</v>
      </c>
      <c r="G3389" s="14">
        <v>1782.21</v>
      </c>
      <c r="H3389" t="s">
        <v>319</v>
      </c>
      <c r="I3389">
        <v>4</v>
      </c>
    </row>
    <row r="3390" spans="1:9" ht="15.6" x14ac:dyDescent="0.3">
      <c r="A3390" s="9">
        <v>3389</v>
      </c>
      <c r="B3390" s="2" t="s">
        <v>3395</v>
      </c>
      <c r="C3390" s="11">
        <v>10</v>
      </c>
      <c r="D3390" s="12">
        <v>16.666666666666664</v>
      </c>
      <c r="E3390" s="12" t="s">
        <v>8219</v>
      </c>
      <c r="F3390" s="13">
        <v>6</v>
      </c>
      <c r="G3390" s="14">
        <v>1766.21</v>
      </c>
      <c r="H3390" t="s">
        <v>3135</v>
      </c>
      <c r="I3390">
        <v>4</v>
      </c>
    </row>
    <row r="3391" spans="1:9" ht="15.6" x14ac:dyDescent="0.3">
      <c r="A3391" s="9">
        <v>3390</v>
      </c>
      <c r="B3391" s="2" t="s">
        <v>3396</v>
      </c>
      <c r="C3391" s="11">
        <v>8</v>
      </c>
      <c r="D3391" s="12">
        <v>33.333333333333329</v>
      </c>
      <c r="E3391" s="12" t="s">
        <v>8219</v>
      </c>
      <c r="F3391" s="13">
        <v>6</v>
      </c>
      <c r="G3391" s="14">
        <v>1742.1799999999998</v>
      </c>
      <c r="H3391" t="s">
        <v>2111</v>
      </c>
      <c r="I3391">
        <v>4</v>
      </c>
    </row>
    <row r="3392" spans="1:9" ht="15.6" x14ac:dyDescent="0.3">
      <c r="A3392" s="9">
        <v>3391</v>
      </c>
      <c r="B3392" s="2" t="s">
        <v>3397</v>
      </c>
      <c r="C3392" s="11">
        <v>8</v>
      </c>
      <c r="D3392" s="12">
        <v>33.333333333333329</v>
      </c>
      <c r="E3392" s="12" t="s">
        <v>8219</v>
      </c>
      <c r="F3392" s="13">
        <v>6</v>
      </c>
      <c r="G3392" s="14">
        <v>1782.21</v>
      </c>
      <c r="H3392" t="s">
        <v>1087</v>
      </c>
      <c r="I3392">
        <v>4</v>
      </c>
    </row>
    <row r="3393" spans="1:9" ht="15.6" x14ac:dyDescent="0.3">
      <c r="A3393" s="9">
        <v>3392</v>
      </c>
      <c r="B3393" s="2" t="s">
        <v>3398</v>
      </c>
      <c r="C3393" s="11">
        <v>2</v>
      </c>
      <c r="D3393" s="12">
        <v>16.666666666666664</v>
      </c>
      <c r="E3393" s="12" t="s">
        <v>8219</v>
      </c>
      <c r="F3393" s="13">
        <v>6</v>
      </c>
      <c r="G3393" s="14">
        <v>1757.19</v>
      </c>
      <c r="H3393" t="s">
        <v>63</v>
      </c>
      <c r="I3393">
        <v>3</v>
      </c>
    </row>
    <row r="3394" spans="1:9" ht="15.6" x14ac:dyDescent="0.3">
      <c r="A3394" s="9">
        <v>3393</v>
      </c>
      <c r="B3394" s="2" t="s">
        <v>3399</v>
      </c>
      <c r="C3394" s="11">
        <v>24</v>
      </c>
      <c r="D3394" s="12">
        <v>33.333333333333329</v>
      </c>
      <c r="E3394" s="12" t="s">
        <v>8219</v>
      </c>
      <c r="F3394" s="13">
        <v>6</v>
      </c>
      <c r="G3394" s="14">
        <v>1760.2199999999998</v>
      </c>
      <c r="H3394" t="s">
        <v>4079</v>
      </c>
      <c r="I3394">
        <v>6</v>
      </c>
    </row>
    <row r="3395" spans="1:9" ht="15.6" x14ac:dyDescent="0.3">
      <c r="A3395" s="9">
        <v>3394</v>
      </c>
      <c r="B3395" s="2" t="s">
        <v>3400</v>
      </c>
      <c r="C3395" s="11">
        <v>22</v>
      </c>
      <c r="D3395" s="12">
        <v>50</v>
      </c>
      <c r="E3395" s="12" t="s">
        <v>8220</v>
      </c>
      <c r="F3395" s="13">
        <v>6</v>
      </c>
      <c r="G3395" s="14">
        <v>1736.19</v>
      </c>
      <c r="H3395" t="s">
        <v>3055</v>
      </c>
      <c r="I3395">
        <v>6</v>
      </c>
    </row>
    <row r="3396" spans="1:9" ht="15.6" x14ac:dyDescent="0.3">
      <c r="A3396" s="9">
        <v>3395</v>
      </c>
      <c r="B3396" s="2" t="s">
        <v>3401</v>
      </c>
      <c r="C3396" s="11">
        <v>22</v>
      </c>
      <c r="D3396" s="12">
        <v>50</v>
      </c>
      <c r="E3396" s="12" t="s">
        <v>8220</v>
      </c>
      <c r="F3396" s="13">
        <v>6</v>
      </c>
      <c r="G3396" s="14">
        <v>1776.2199999999998</v>
      </c>
      <c r="H3396" t="s">
        <v>2031</v>
      </c>
      <c r="I3396">
        <v>6</v>
      </c>
    </row>
    <row r="3397" spans="1:9" ht="15.6" x14ac:dyDescent="0.3">
      <c r="A3397" s="9">
        <v>3396</v>
      </c>
      <c r="B3397" s="2" t="s">
        <v>3402</v>
      </c>
      <c r="C3397" s="11">
        <v>16</v>
      </c>
      <c r="D3397" s="12">
        <v>33.333333333333329</v>
      </c>
      <c r="E3397" s="12" t="s">
        <v>8219</v>
      </c>
      <c r="F3397" s="13">
        <v>6</v>
      </c>
      <c r="G3397" s="14">
        <v>1751.1999999999998</v>
      </c>
      <c r="H3397" t="s">
        <v>1007</v>
      </c>
      <c r="I3397">
        <v>5</v>
      </c>
    </row>
    <row r="3398" spans="1:9" ht="15.6" x14ac:dyDescent="0.3">
      <c r="A3398" s="9">
        <v>3397</v>
      </c>
      <c r="B3398" s="2" t="s">
        <v>3403</v>
      </c>
      <c r="C3398" s="11">
        <v>22</v>
      </c>
      <c r="D3398" s="12">
        <v>50</v>
      </c>
      <c r="E3398" s="12" t="s">
        <v>8220</v>
      </c>
      <c r="F3398" s="13">
        <v>6</v>
      </c>
      <c r="G3398" s="14">
        <v>1736.19</v>
      </c>
      <c r="H3398" t="s">
        <v>3823</v>
      </c>
      <c r="I3398">
        <v>6</v>
      </c>
    </row>
    <row r="3399" spans="1:9" ht="15.6" x14ac:dyDescent="0.3">
      <c r="A3399" s="9">
        <v>3398</v>
      </c>
      <c r="B3399" s="2" t="s">
        <v>3404</v>
      </c>
      <c r="C3399" s="11">
        <v>20</v>
      </c>
      <c r="D3399" s="12">
        <v>66.666666666666657</v>
      </c>
      <c r="E3399" s="12" t="s">
        <v>8220</v>
      </c>
      <c r="F3399" s="13">
        <v>6</v>
      </c>
      <c r="G3399" s="14">
        <v>1712.1599999999999</v>
      </c>
      <c r="H3399" t="s">
        <v>2799</v>
      </c>
      <c r="I3399">
        <v>6</v>
      </c>
    </row>
    <row r="3400" spans="1:9" ht="15.6" x14ac:dyDescent="0.3">
      <c r="A3400" s="9">
        <v>3399</v>
      </c>
      <c r="B3400" s="2" t="s">
        <v>3405</v>
      </c>
      <c r="C3400" s="11">
        <v>20</v>
      </c>
      <c r="D3400" s="12">
        <v>66.666666666666657</v>
      </c>
      <c r="E3400" s="12" t="s">
        <v>8220</v>
      </c>
      <c r="F3400" s="13">
        <v>6</v>
      </c>
      <c r="G3400" s="14">
        <v>1752.19</v>
      </c>
      <c r="H3400" t="s">
        <v>1775</v>
      </c>
      <c r="I3400">
        <v>6</v>
      </c>
    </row>
    <row r="3401" spans="1:9" ht="15.6" x14ac:dyDescent="0.3">
      <c r="A3401" s="9">
        <v>3400</v>
      </c>
      <c r="B3401" s="2" t="s">
        <v>3406</v>
      </c>
      <c r="C3401" s="11">
        <v>14</v>
      </c>
      <c r="D3401" s="12">
        <v>50</v>
      </c>
      <c r="E3401" s="12" t="s">
        <v>8220</v>
      </c>
      <c r="F3401" s="13">
        <v>6</v>
      </c>
      <c r="G3401" s="14">
        <v>1727.17</v>
      </c>
      <c r="H3401" t="s">
        <v>751</v>
      </c>
      <c r="I3401">
        <v>5</v>
      </c>
    </row>
    <row r="3402" spans="1:9" ht="15.6" x14ac:dyDescent="0.3">
      <c r="A3402" s="9">
        <v>3401</v>
      </c>
      <c r="B3402" s="2" t="s">
        <v>3407</v>
      </c>
      <c r="C3402" s="11">
        <v>22</v>
      </c>
      <c r="D3402" s="12">
        <v>50</v>
      </c>
      <c r="E3402" s="12" t="s">
        <v>8220</v>
      </c>
      <c r="F3402" s="13">
        <v>6</v>
      </c>
      <c r="G3402" s="14">
        <v>1776.2199999999998</v>
      </c>
      <c r="H3402" t="s">
        <v>3567</v>
      </c>
      <c r="I3402">
        <v>6</v>
      </c>
    </row>
    <row r="3403" spans="1:9" ht="15.6" x14ac:dyDescent="0.3">
      <c r="A3403" s="9">
        <v>3402</v>
      </c>
      <c r="B3403" s="2" t="s">
        <v>3408</v>
      </c>
      <c r="C3403" s="11">
        <v>20</v>
      </c>
      <c r="D3403" s="12">
        <v>66.666666666666657</v>
      </c>
      <c r="E3403" s="12" t="s">
        <v>8220</v>
      </c>
      <c r="F3403" s="13">
        <v>6</v>
      </c>
      <c r="G3403" s="14">
        <v>1752.19</v>
      </c>
      <c r="H3403" t="s">
        <v>2543</v>
      </c>
      <c r="I3403">
        <v>6</v>
      </c>
    </row>
    <row r="3404" spans="1:9" ht="15.6" x14ac:dyDescent="0.3">
      <c r="A3404" s="9">
        <v>3403</v>
      </c>
      <c r="B3404" s="2" t="s">
        <v>3409</v>
      </c>
      <c r="C3404" s="11">
        <v>20</v>
      </c>
      <c r="D3404" s="12">
        <v>66.666666666666657</v>
      </c>
      <c r="E3404" s="12" t="s">
        <v>8220</v>
      </c>
      <c r="F3404" s="13">
        <v>6</v>
      </c>
      <c r="G3404" s="14">
        <v>1792.2199999999998</v>
      </c>
      <c r="H3404" t="s">
        <v>1519</v>
      </c>
      <c r="I3404">
        <v>6</v>
      </c>
    </row>
    <row r="3405" spans="1:9" ht="15.6" x14ac:dyDescent="0.3">
      <c r="A3405" s="9">
        <v>3404</v>
      </c>
      <c r="B3405" s="2" t="s">
        <v>3410</v>
      </c>
      <c r="C3405" s="11">
        <v>14</v>
      </c>
      <c r="D3405" s="12">
        <v>50</v>
      </c>
      <c r="E3405" s="12" t="s">
        <v>8220</v>
      </c>
      <c r="F3405" s="13">
        <v>6</v>
      </c>
      <c r="G3405" s="14">
        <v>1767.1999999999998</v>
      </c>
      <c r="H3405" t="s">
        <v>495</v>
      </c>
      <c r="I3405">
        <v>5</v>
      </c>
    </row>
    <row r="3406" spans="1:9" ht="15.6" x14ac:dyDescent="0.3">
      <c r="A3406" s="9">
        <v>3405</v>
      </c>
      <c r="B3406" s="2" t="s">
        <v>3411</v>
      </c>
      <c r="C3406" s="11">
        <v>16</v>
      </c>
      <c r="D3406" s="12">
        <v>33.333333333333329</v>
      </c>
      <c r="E3406" s="12" t="s">
        <v>8219</v>
      </c>
      <c r="F3406" s="13">
        <v>6</v>
      </c>
      <c r="G3406" s="14">
        <v>1751.1999999999998</v>
      </c>
      <c r="H3406" t="s">
        <v>3311</v>
      </c>
      <c r="I3406">
        <v>5</v>
      </c>
    </row>
    <row r="3407" spans="1:9" ht="15.6" x14ac:dyDescent="0.3">
      <c r="A3407" s="9">
        <v>3406</v>
      </c>
      <c r="B3407" s="2" t="s">
        <v>3412</v>
      </c>
      <c r="C3407" s="11">
        <v>14</v>
      </c>
      <c r="D3407" s="12">
        <v>50</v>
      </c>
      <c r="E3407" s="12" t="s">
        <v>8220</v>
      </c>
      <c r="F3407" s="13">
        <v>6</v>
      </c>
      <c r="G3407" s="14">
        <v>1727.17</v>
      </c>
      <c r="H3407" t="s">
        <v>2287</v>
      </c>
      <c r="I3407">
        <v>5</v>
      </c>
    </row>
    <row r="3408" spans="1:9" ht="15.6" x14ac:dyDescent="0.3">
      <c r="A3408" s="9">
        <v>3407</v>
      </c>
      <c r="B3408" s="2" t="s">
        <v>3413</v>
      </c>
      <c r="C3408" s="11">
        <v>14</v>
      </c>
      <c r="D3408" s="12">
        <v>50</v>
      </c>
      <c r="E3408" s="12" t="s">
        <v>8220</v>
      </c>
      <c r="F3408" s="13">
        <v>6</v>
      </c>
      <c r="G3408" s="14">
        <v>1767.1999999999998</v>
      </c>
      <c r="H3408" t="s">
        <v>1263</v>
      </c>
      <c r="I3408">
        <v>5</v>
      </c>
    </row>
    <row r="3409" spans="1:9" ht="15.6" x14ac:dyDescent="0.3">
      <c r="A3409" s="9">
        <v>3408</v>
      </c>
      <c r="B3409" s="2" t="s">
        <v>3414</v>
      </c>
      <c r="C3409" s="11">
        <v>8</v>
      </c>
      <c r="D3409" s="12">
        <v>33.333333333333329</v>
      </c>
      <c r="E3409" s="12" t="s">
        <v>8219</v>
      </c>
      <c r="F3409" s="13">
        <v>6</v>
      </c>
      <c r="G3409" s="14">
        <v>1742.1799999999998</v>
      </c>
      <c r="H3409" t="s">
        <v>239</v>
      </c>
      <c r="I3409">
        <v>4</v>
      </c>
    </row>
    <row r="3410" spans="1:9" ht="15.6" x14ac:dyDescent="0.3">
      <c r="A3410" s="9">
        <v>3409</v>
      </c>
      <c r="B3410" s="2" t="s">
        <v>3415</v>
      </c>
      <c r="C3410" s="11">
        <v>22</v>
      </c>
      <c r="D3410" s="12">
        <v>50</v>
      </c>
      <c r="E3410" s="12" t="s">
        <v>8220</v>
      </c>
      <c r="F3410" s="13">
        <v>6</v>
      </c>
      <c r="G3410" s="14">
        <v>1736.19</v>
      </c>
      <c r="H3410" t="s">
        <v>4015</v>
      </c>
      <c r="I3410">
        <v>6</v>
      </c>
    </row>
    <row r="3411" spans="1:9" ht="15.6" x14ac:dyDescent="0.3">
      <c r="A3411" s="9">
        <v>3410</v>
      </c>
      <c r="B3411" s="2" t="s">
        <v>3416</v>
      </c>
      <c r="C3411" s="11">
        <v>20</v>
      </c>
      <c r="D3411" s="12">
        <v>66.666666666666657</v>
      </c>
      <c r="E3411" s="12" t="s">
        <v>8220</v>
      </c>
      <c r="F3411" s="13">
        <v>6</v>
      </c>
      <c r="G3411" s="14">
        <v>1712.1599999999999</v>
      </c>
      <c r="H3411" t="s">
        <v>2991</v>
      </c>
      <c r="I3411">
        <v>6</v>
      </c>
    </row>
    <row r="3412" spans="1:9" ht="15.6" x14ac:dyDescent="0.3">
      <c r="A3412" s="9">
        <v>3411</v>
      </c>
      <c r="B3412" s="2" t="s">
        <v>3417</v>
      </c>
      <c r="C3412" s="11">
        <v>20</v>
      </c>
      <c r="D3412" s="12">
        <v>66.666666666666657</v>
      </c>
      <c r="E3412" s="12" t="s">
        <v>8220</v>
      </c>
      <c r="F3412" s="13">
        <v>6</v>
      </c>
      <c r="G3412" s="14">
        <v>1752.19</v>
      </c>
      <c r="H3412" t="s">
        <v>1967</v>
      </c>
      <c r="I3412">
        <v>6</v>
      </c>
    </row>
    <row r="3413" spans="1:9" ht="15.6" x14ac:dyDescent="0.3">
      <c r="A3413" s="9">
        <v>3412</v>
      </c>
      <c r="B3413" s="2" t="s">
        <v>3418</v>
      </c>
      <c r="C3413" s="11">
        <v>14</v>
      </c>
      <c r="D3413" s="12">
        <v>50</v>
      </c>
      <c r="E3413" s="12" t="s">
        <v>8220</v>
      </c>
      <c r="F3413" s="13">
        <v>6</v>
      </c>
      <c r="G3413" s="14">
        <v>1727.17</v>
      </c>
      <c r="H3413" t="s">
        <v>943</v>
      </c>
      <c r="I3413">
        <v>5</v>
      </c>
    </row>
    <row r="3414" spans="1:9" ht="15.6" x14ac:dyDescent="0.3">
      <c r="A3414" s="9">
        <v>3413</v>
      </c>
      <c r="B3414" s="2" t="s">
        <v>3419</v>
      </c>
      <c r="C3414" s="11">
        <v>20</v>
      </c>
      <c r="D3414" s="12">
        <v>66.666666666666657</v>
      </c>
      <c r="E3414" s="12" t="s">
        <v>8220</v>
      </c>
      <c r="F3414" s="13">
        <v>6</v>
      </c>
      <c r="G3414" s="14">
        <v>1712.1599999999999</v>
      </c>
      <c r="H3414" t="s">
        <v>3759</v>
      </c>
      <c r="I3414">
        <v>6</v>
      </c>
    </row>
    <row r="3415" spans="1:9" ht="15.6" x14ac:dyDescent="0.3">
      <c r="A3415" s="9">
        <v>3414</v>
      </c>
      <c r="B3415" s="2" t="s">
        <v>3420</v>
      </c>
      <c r="C3415" s="11">
        <v>18</v>
      </c>
      <c r="D3415" s="12">
        <v>83.333333333333343</v>
      </c>
      <c r="E3415" s="12" t="s">
        <v>8220</v>
      </c>
      <c r="F3415" s="13">
        <v>6</v>
      </c>
      <c r="G3415" s="14">
        <v>1688.13</v>
      </c>
      <c r="H3415" t="s">
        <v>2735</v>
      </c>
      <c r="I3415">
        <v>5</v>
      </c>
    </row>
    <row r="3416" spans="1:9" ht="15.6" x14ac:dyDescent="0.3">
      <c r="A3416" s="9">
        <v>3415</v>
      </c>
      <c r="B3416" s="2" t="s">
        <v>3421</v>
      </c>
      <c r="C3416" s="11">
        <v>18</v>
      </c>
      <c r="D3416" s="12">
        <v>83.333333333333343</v>
      </c>
      <c r="E3416" s="12" t="s">
        <v>8220</v>
      </c>
      <c r="F3416" s="13">
        <v>6</v>
      </c>
      <c r="G3416" s="14">
        <v>1728.1599999999999</v>
      </c>
      <c r="H3416" t="s">
        <v>1711</v>
      </c>
      <c r="I3416">
        <v>5</v>
      </c>
    </row>
    <row r="3417" spans="1:9" ht="15.6" x14ac:dyDescent="0.3">
      <c r="A3417" s="9">
        <v>3416</v>
      </c>
      <c r="B3417" s="2" t="s">
        <v>3422</v>
      </c>
      <c r="C3417" s="11">
        <v>12</v>
      </c>
      <c r="D3417" s="12">
        <v>66.666666666666657</v>
      </c>
      <c r="E3417" s="12" t="s">
        <v>8220</v>
      </c>
      <c r="F3417" s="13">
        <v>6</v>
      </c>
      <c r="G3417" s="14">
        <v>1703.1399999999999</v>
      </c>
      <c r="H3417" t="s">
        <v>687</v>
      </c>
      <c r="I3417">
        <v>4</v>
      </c>
    </row>
    <row r="3418" spans="1:9" ht="15.6" x14ac:dyDescent="0.3">
      <c r="A3418" s="9">
        <v>3417</v>
      </c>
      <c r="B3418" s="2" t="s">
        <v>3423</v>
      </c>
      <c r="C3418" s="11">
        <v>20</v>
      </c>
      <c r="D3418" s="12">
        <v>66.666666666666657</v>
      </c>
      <c r="E3418" s="12" t="s">
        <v>8220</v>
      </c>
      <c r="F3418" s="13">
        <v>6</v>
      </c>
      <c r="G3418" s="14">
        <v>1752.19</v>
      </c>
      <c r="H3418" t="s">
        <v>3503</v>
      </c>
      <c r="I3418">
        <v>6</v>
      </c>
    </row>
    <row r="3419" spans="1:9" ht="15.6" x14ac:dyDescent="0.3">
      <c r="A3419" s="9">
        <v>3418</v>
      </c>
      <c r="B3419" s="2" t="s">
        <v>3424</v>
      </c>
      <c r="C3419" s="11">
        <v>18</v>
      </c>
      <c r="D3419" s="12">
        <v>83.333333333333343</v>
      </c>
      <c r="E3419" s="12" t="s">
        <v>8220</v>
      </c>
      <c r="F3419" s="13">
        <v>6</v>
      </c>
      <c r="G3419" s="14">
        <v>1728.1599999999999</v>
      </c>
      <c r="H3419" t="s">
        <v>2479</v>
      </c>
      <c r="I3419">
        <v>5</v>
      </c>
    </row>
    <row r="3420" spans="1:9" ht="15.6" x14ac:dyDescent="0.3">
      <c r="A3420" s="9">
        <v>3419</v>
      </c>
      <c r="B3420" s="2" t="s">
        <v>3425</v>
      </c>
      <c r="C3420" s="11">
        <v>18</v>
      </c>
      <c r="D3420" s="12">
        <v>83.333333333333343</v>
      </c>
      <c r="E3420" s="12" t="s">
        <v>8220</v>
      </c>
      <c r="F3420" s="13">
        <v>6</v>
      </c>
      <c r="G3420" s="14">
        <v>1768.19</v>
      </c>
      <c r="H3420" t="s">
        <v>1455</v>
      </c>
      <c r="I3420">
        <v>5</v>
      </c>
    </row>
    <row r="3421" spans="1:9" ht="15.6" x14ac:dyDescent="0.3">
      <c r="A3421" s="9">
        <v>3420</v>
      </c>
      <c r="B3421" s="2" t="s">
        <v>3426</v>
      </c>
      <c r="C3421" s="11">
        <v>12</v>
      </c>
      <c r="D3421" s="12">
        <v>66.666666666666657</v>
      </c>
      <c r="E3421" s="12" t="s">
        <v>8220</v>
      </c>
      <c r="F3421" s="13">
        <v>6</v>
      </c>
      <c r="G3421" s="14">
        <v>1743.17</v>
      </c>
      <c r="H3421" t="s">
        <v>431</v>
      </c>
      <c r="I3421">
        <v>4</v>
      </c>
    </row>
    <row r="3422" spans="1:9" ht="15.6" x14ac:dyDescent="0.3">
      <c r="A3422" s="9">
        <v>3421</v>
      </c>
      <c r="B3422" s="2" t="s">
        <v>3427</v>
      </c>
      <c r="C3422" s="11">
        <v>14</v>
      </c>
      <c r="D3422" s="12">
        <v>50</v>
      </c>
      <c r="E3422" s="12" t="s">
        <v>8220</v>
      </c>
      <c r="F3422" s="13">
        <v>6</v>
      </c>
      <c r="G3422" s="14">
        <v>1727.17</v>
      </c>
      <c r="H3422" t="s">
        <v>3247</v>
      </c>
      <c r="I3422">
        <v>5</v>
      </c>
    </row>
    <row r="3423" spans="1:9" ht="15.6" x14ac:dyDescent="0.3">
      <c r="A3423" s="9">
        <v>3422</v>
      </c>
      <c r="B3423" s="2" t="s">
        <v>3428</v>
      </c>
      <c r="C3423" s="11">
        <v>12</v>
      </c>
      <c r="D3423" s="12">
        <v>66.666666666666657</v>
      </c>
      <c r="E3423" s="12" t="s">
        <v>8220</v>
      </c>
      <c r="F3423" s="13">
        <v>6</v>
      </c>
      <c r="G3423" s="14">
        <v>1703.1399999999999</v>
      </c>
      <c r="H3423" t="s">
        <v>2223</v>
      </c>
      <c r="I3423">
        <v>4</v>
      </c>
    </row>
    <row r="3424" spans="1:9" ht="15.6" x14ac:dyDescent="0.3">
      <c r="A3424" s="9">
        <v>3423</v>
      </c>
      <c r="B3424" s="2" t="s">
        <v>3429</v>
      </c>
      <c r="C3424" s="11">
        <v>12</v>
      </c>
      <c r="D3424" s="12">
        <v>66.666666666666657</v>
      </c>
      <c r="E3424" s="12" t="s">
        <v>8220</v>
      </c>
      <c r="F3424" s="13">
        <v>6</v>
      </c>
      <c r="G3424" s="14">
        <v>1743.17</v>
      </c>
      <c r="H3424" t="s">
        <v>1199</v>
      </c>
      <c r="I3424">
        <v>4</v>
      </c>
    </row>
    <row r="3425" spans="1:9" ht="15.6" x14ac:dyDescent="0.3">
      <c r="A3425" s="9">
        <v>3424</v>
      </c>
      <c r="B3425" s="2" t="s">
        <v>3430</v>
      </c>
      <c r="C3425" s="11">
        <v>6</v>
      </c>
      <c r="D3425" s="12">
        <v>50</v>
      </c>
      <c r="E3425" s="12" t="s">
        <v>8220</v>
      </c>
      <c r="F3425" s="13">
        <v>6</v>
      </c>
      <c r="G3425" s="14">
        <v>1718.15</v>
      </c>
      <c r="H3425" t="s">
        <v>175</v>
      </c>
      <c r="I3425">
        <v>3</v>
      </c>
    </row>
    <row r="3426" spans="1:9" ht="15.6" x14ac:dyDescent="0.3">
      <c r="A3426" s="9">
        <v>3425</v>
      </c>
      <c r="B3426" s="2" t="s">
        <v>3431</v>
      </c>
      <c r="C3426" s="11">
        <v>22</v>
      </c>
      <c r="D3426" s="12">
        <v>50</v>
      </c>
      <c r="E3426" s="12" t="s">
        <v>8220</v>
      </c>
      <c r="F3426" s="13">
        <v>6</v>
      </c>
      <c r="G3426" s="14">
        <v>1776.2199999999998</v>
      </c>
      <c r="H3426" t="s">
        <v>3951</v>
      </c>
      <c r="I3426">
        <v>6</v>
      </c>
    </row>
    <row r="3427" spans="1:9" ht="15.6" x14ac:dyDescent="0.3">
      <c r="A3427" s="9">
        <v>3426</v>
      </c>
      <c r="B3427" s="2" t="s">
        <v>3432</v>
      </c>
      <c r="C3427" s="11">
        <v>20</v>
      </c>
      <c r="D3427" s="12">
        <v>66.666666666666657</v>
      </c>
      <c r="E3427" s="12" t="s">
        <v>8220</v>
      </c>
      <c r="F3427" s="13">
        <v>6</v>
      </c>
      <c r="G3427" s="14">
        <v>1752.19</v>
      </c>
      <c r="H3427" t="s">
        <v>2927</v>
      </c>
      <c r="I3427">
        <v>6</v>
      </c>
    </row>
    <row r="3428" spans="1:9" ht="15.6" x14ac:dyDescent="0.3">
      <c r="A3428" s="9">
        <v>3427</v>
      </c>
      <c r="B3428" s="2" t="s">
        <v>3433</v>
      </c>
      <c r="C3428" s="11">
        <v>20</v>
      </c>
      <c r="D3428" s="12">
        <v>66.666666666666657</v>
      </c>
      <c r="E3428" s="12" t="s">
        <v>8220</v>
      </c>
      <c r="F3428" s="13">
        <v>6</v>
      </c>
      <c r="G3428" s="14">
        <v>1792.2199999999998</v>
      </c>
      <c r="H3428" t="s">
        <v>1903</v>
      </c>
      <c r="I3428">
        <v>6</v>
      </c>
    </row>
    <row r="3429" spans="1:9" ht="15.6" x14ac:dyDescent="0.3">
      <c r="A3429" s="9">
        <v>3428</v>
      </c>
      <c r="B3429" s="2" t="s">
        <v>3434</v>
      </c>
      <c r="C3429" s="11">
        <v>14</v>
      </c>
      <c r="D3429" s="12">
        <v>50</v>
      </c>
      <c r="E3429" s="12" t="s">
        <v>8220</v>
      </c>
      <c r="F3429" s="13">
        <v>6</v>
      </c>
      <c r="G3429" s="14">
        <v>1767.1999999999998</v>
      </c>
      <c r="H3429" t="s">
        <v>879</v>
      </c>
      <c r="I3429">
        <v>5</v>
      </c>
    </row>
    <row r="3430" spans="1:9" ht="15.6" x14ac:dyDescent="0.3">
      <c r="A3430" s="9">
        <v>3429</v>
      </c>
      <c r="B3430" s="2" t="s">
        <v>3435</v>
      </c>
      <c r="C3430" s="11">
        <v>20</v>
      </c>
      <c r="D3430" s="12">
        <v>66.666666666666657</v>
      </c>
      <c r="E3430" s="12" t="s">
        <v>8220</v>
      </c>
      <c r="F3430" s="13">
        <v>6</v>
      </c>
      <c r="G3430" s="14">
        <v>1752.19</v>
      </c>
      <c r="H3430" t="s">
        <v>3695</v>
      </c>
      <c r="I3430">
        <v>6</v>
      </c>
    </row>
    <row r="3431" spans="1:9" ht="15.6" x14ac:dyDescent="0.3">
      <c r="A3431" s="9">
        <v>3430</v>
      </c>
      <c r="B3431" s="2" t="s">
        <v>3436</v>
      </c>
      <c r="C3431" s="11">
        <v>18</v>
      </c>
      <c r="D3431" s="12">
        <v>83.333333333333343</v>
      </c>
      <c r="E3431" s="12" t="s">
        <v>8220</v>
      </c>
      <c r="F3431" s="13">
        <v>6</v>
      </c>
      <c r="G3431" s="14">
        <v>1728.1599999999999</v>
      </c>
      <c r="H3431" t="s">
        <v>2671</v>
      </c>
      <c r="I3431">
        <v>5</v>
      </c>
    </row>
    <row r="3432" spans="1:9" ht="15.6" x14ac:dyDescent="0.3">
      <c r="A3432" s="9">
        <v>3431</v>
      </c>
      <c r="B3432" s="2" t="s">
        <v>3437</v>
      </c>
      <c r="C3432" s="11">
        <v>18</v>
      </c>
      <c r="D3432" s="12">
        <v>83.333333333333343</v>
      </c>
      <c r="E3432" s="12" t="s">
        <v>8220</v>
      </c>
      <c r="F3432" s="13">
        <v>6</v>
      </c>
      <c r="G3432" s="14">
        <v>1768.19</v>
      </c>
      <c r="H3432" t="s">
        <v>1647</v>
      </c>
      <c r="I3432">
        <v>5</v>
      </c>
    </row>
    <row r="3433" spans="1:9" ht="15.6" x14ac:dyDescent="0.3">
      <c r="A3433" s="9">
        <v>3432</v>
      </c>
      <c r="B3433" s="2" t="s">
        <v>3438</v>
      </c>
      <c r="C3433" s="11">
        <v>12</v>
      </c>
      <c r="D3433" s="12">
        <v>66.666666666666657</v>
      </c>
      <c r="E3433" s="12" t="s">
        <v>8220</v>
      </c>
      <c r="F3433" s="13">
        <v>6</v>
      </c>
      <c r="G3433" s="14">
        <v>1743.17</v>
      </c>
      <c r="H3433" t="s">
        <v>623</v>
      </c>
      <c r="I3433">
        <v>4</v>
      </c>
    </row>
    <row r="3434" spans="1:9" ht="15.6" x14ac:dyDescent="0.3">
      <c r="A3434" s="9">
        <v>3433</v>
      </c>
      <c r="B3434" s="2" t="s">
        <v>3439</v>
      </c>
      <c r="C3434" s="11">
        <v>20</v>
      </c>
      <c r="D3434" s="12">
        <v>66.666666666666657</v>
      </c>
      <c r="E3434" s="12" t="s">
        <v>8220</v>
      </c>
      <c r="F3434" s="13">
        <v>6</v>
      </c>
      <c r="G3434" s="14">
        <v>1792.2199999999998</v>
      </c>
      <c r="H3434" t="s">
        <v>3439</v>
      </c>
      <c r="I3434">
        <v>6</v>
      </c>
    </row>
    <row r="3435" spans="1:9" ht="15.6" x14ac:dyDescent="0.3">
      <c r="A3435" s="9">
        <v>3434</v>
      </c>
      <c r="B3435" s="2" t="s">
        <v>3440</v>
      </c>
      <c r="C3435" s="11">
        <v>18</v>
      </c>
      <c r="D3435" s="12">
        <v>83.333333333333343</v>
      </c>
      <c r="E3435" s="12" t="s">
        <v>8220</v>
      </c>
      <c r="F3435" s="13">
        <v>6</v>
      </c>
      <c r="G3435" s="14">
        <v>1768.19</v>
      </c>
      <c r="H3435" t="s">
        <v>2415</v>
      </c>
      <c r="I3435">
        <v>5</v>
      </c>
    </row>
    <row r="3436" spans="1:9" ht="15.6" x14ac:dyDescent="0.3">
      <c r="A3436" s="9">
        <v>3435</v>
      </c>
      <c r="B3436" s="2" t="s">
        <v>3441</v>
      </c>
      <c r="C3436" s="11">
        <v>18</v>
      </c>
      <c r="D3436" s="12">
        <v>83.333333333333343</v>
      </c>
      <c r="E3436" s="12" t="s">
        <v>8220</v>
      </c>
      <c r="F3436" s="13">
        <v>6</v>
      </c>
      <c r="G3436" s="14">
        <v>1808.2200000000003</v>
      </c>
      <c r="H3436" t="s">
        <v>1391</v>
      </c>
      <c r="I3436">
        <v>5</v>
      </c>
    </row>
    <row r="3437" spans="1:9" ht="15.6" x14ac:dyDescent="0.3">
      <c r="A3437" s="9">
        <v>3436</v>
      </c>
      <c r="B3437" s="2" t="s">
        <v>3442</v>
      </c>
      <c r="C3437" s="11">
        <v>12</v>
      </c>
      <c r="D3437" s="12">
        <v>66.666666666666657</v>
      </c>
      <c r="E3437" s="12" t="s">
        <v>8220</v>
      </c>
      <c r="F3437" s="13">
        <v>6</v>
      </c>
      <c r="G3437" s="14">
        <v>1783.1999999999998</v>
      </c>
      <c r="H3437" t="s">
        <v>367</v>
      </c>
      <c r="I3437">
        <v>4</v>
      </c>
    </row>
    <row r="3438" spans="1:9" ht="15.6" x14ac:dyDescent="0.3">
      <c r="A3438" s="9">
        <v>3437</v>
      </c>
      <c r="B3438" s="2" t="s">
        <v>3443</v>
      </c>
      <c r="C3438" s="11">
        <v>14</v>
      </c>
      <c r="D3438" s="12">
        <v>50</v>
      </c>
      <c r="E3438" s="12" t="s">
        <v>8220</v>
      </c>
      <c r="F3438" s="13">
        <v>6</v>
      </c>
      <c r="G3438" s="14">
        <v>1767.1999999999998</v>
      </c>
      <c r="H3438" t="s">
        <v>3183</v>
      </c>
      <c r="I3438">
        <v>5</v>
      </c>
    </row>
    <row r="3439" spans="1:9" ht="15.6" x14ac:dyDescent="0.3">
      <c r="A3439" s="9">
        <v>3438</v>
      </c>
      <c r="B3439" s="2" t="s">
        <v>3444</v>
      </c>
      <c r="C3439" s="11">
        <v>12</v>
      </c>
      <c r="D3439" s="12">
        <v>66.666666666666657</v>
      </c>
      <c r="E3439" s="12" t="s">
        <v>8220</v>
      </c>
      <c r="F3439" s="13">
        <v>6</v>
      </c>
      <c r="G3439" s="14">
        <v>1743.17</v>
      </c>
      <c r="H3439" t="s">
        <v>2159</v>
      </c>
      <c r="I3439">
        <v>4</v>
      </c>
    </row>
    <row r="3440" spans="1:9" ht="15.6" x14ac:dyDescent="0.3">
      <c r="A3440" s="9">
        <v>3439</v>
      </c>
      <c r="B3440" s="2" t="s">
        <v>3445</v>
      </c>
      <c r="C3440" s="11">
        <v>12</v>
      </c>
      <c r="D3440" s="12">
        <v>66.666666666666657</v>
      </c>
      <c r="E3440" s="12" t="s">
        <v>8220</v>
      </c>
      <c r="F3440" s="13">
        <v>6</v>
      </c>
      <c r="G3440" s="14">
        <v>1783.1999999999998</v>
      </c>
      <c r="H3440" t="s">
        <v>1135</v>
      </c>
      <c r="I3440">
        <v>4</v>
      </c>
    </row>
    <row r="3441" spans="1:9" ht="15.6" x14ac:dyDescent="0.3">
      <c r="A3441" s="9">
        <v>3440</v>
      </c>
      <c r="B3441" s="2" t="s">
        <v>3446</v>
      </c>
      <c r="C3441" s="11">
        <v>6</v>
      </c>
      <c r="D3441" s="12">
        <v>50</v>
      </c>
      <c r="E3441" s="12" t="s">
        <v>8220</v>
      </c>
      <c r="F3441" s="13">
        <v>6</v>
      </c>
      <c r="G3441" s="14">
        <v>1758.1799999999998</v>
      </c>
      <c r="H3441" t="s">
        <v>111</v>
      </c>
      <c r="I3441">
        <v>3</v>
      </c>
    </row>
    <row r="3442" spans="1:9" ht="15.6" x14ac:dyDescent="0.3">
      <c r="A3442" s="9">
        <v>3441</v>
      </c>
      <c r="B3442" s="2" t="s">
        <v>3447</v>
      </c>
      <c r="C3442" s="11">
        <v>16</v>
      </c>
      <c r="D3442" s="12">
        <v>33.333333333333329</v>
      </c>
      <c r="E3442" s="12" t="s">
        <v>8219</v>
      </c>
      <c r="F3442" s="13">
        <v>6</v>
      </c>
      <c r="G3442" s="14">
        <v>1751.1999999999998</v>
      </c>
      <c r="H3442" t="s">
        <v>3887</v>
      </c>
      <c r="I3442">
        <v>5</v>
      </c>
    </row>
    <row r="3443" spans="1:9" ht="15.6" x14ac:dyDescent="0.3">
      <c r="A3443" s="9">
        <v>3442</v>
      </c>
      <c r="B3443" s="2" t="s">
        <v>3448</v>
      </c>
      <c r="C3443" s="11">
        <v>14</v>
      </c>
      <c r="D3443" s="12">
        <v>50</v>
      </c>
      <c r="E3443" s="12" t="s">
        <v>8220</v>
      </c>
      <c r="F3443" s="13">
        <v>6</v>
      </c>
      <c r="G3443" s="14">
        <v>1727.17</v>
      </c>
      <c r="H3443" t="s">
        <v>2863</v>
      </c>
      <c r="I3443">
        <v>5</v>
      </c>
    </row>
    <row r="3444" spans="1:9" ht="15.6" x14ac:dyDescent="0.3">
      <c r="A3444" s="9">
        <v>3443</v>
      </c>
      <c r="B3444" s="2" t="s">
        <v>3449</v>
      </c>
      <c r="C3444" s="11">
        <v>14</v>
      </c>
      <c r="D3444" s="12">
        <v>50</v>
      </c>
      <c r="E3444" s="12" t="s">
        <v>8220</v>
      </c>
      <c r="F3444" s="13">
        <v>6</v>
      </c>
      <c r="G3444" s="14">
        <v>1767.1999999999998</v>
      </c>
      <c r="H3444" t="s">
        <v>1839</v>
      </c>
      <c r="I3444">
        <v>5</v>
      </c>
    </row>
    <row r="3445" spans="1:9" ht="15.6" x14ac:dyDescent="0.3">
      <c r="A3445" s="9">
        <v>3444</v>
      </c>
      <c r="B3445" s="2" t="s">
        <v>3450</v>
      </c>
      <c r="C3445" s="11">
        <v>8</v>
      </c>
      <c r="D3445" s="12">
        <v>33.333333333333329</v>
      </c>
      <c r="E3445" s="12" t="s">
        <v>8219</v>
      </c>
      <c r="F3445" s="13">
        <v>6</v>
      </c>
      <c r="G3445" s="14">
        <v>1742.1799999999998</v>
      </c>
      <c r="H3445" t="s">
        <v>815</v>
      </c>
      <c r="I3445">
        <v>4</v>
      </c>
    </row>
    <row r="3446" spans="1:9" ht="15.6" x14ac:dyDescent="0.3">
      <c r="A3446" s="9">
        <v>3445</v>
      </c>
      <c r="B3446" s="2" t="s">
        <v>3451</v>
      </c>
      <c r="C3446" s="11">
        <v>14</v>
      </c>
      <c r="D3446" s="12">
        <v>50</v>
      </c>
      <c r="E3446" s="12" t="s">
        <v>8220</v>
      </c>
      <c r="F3446" s="13">
        <v>6</v>
      </c>
      <c r="G3446" s="14">
        <v>1727.17</v>
      </c>
      <c r="H3446" t="s">
        <v>3631</v>
      </c>
      <c r="I3446">
        <v>5</v>
      </c>
    </row>
    <row r="3447" spans="1:9" ht="15.6" x14ac:dyDescent="0.3">
      <c r="A3447" s="9">
        <v>3446</v>
      </c>
      <c r="B3447" s="2" t="s">
        <v>3452</v>
      </c>
      <c r="C3447" s="11">
        <v>12</v>
      </c>
      <c r="D3447" s="12">
        <v>66.666666666666657</v>
      </c>
      <c r="E3447" s="12" t="s">
        <v>8220</v>
      </c>
      <c r="F3447" s="13">
        <v>6</v>
      </c>
      <c r="G3447" s="14">
        <v>1703.1399999999999</v>
      </c>
      <c r="H3447" t="s">
        <v>2607</v>
      </c>
      <c r="I3447">
        <v>4</v>
      </c>
    </row>
    <row r="3448" spans="1:9" ht="15.6" x14ac:dyDescent="0.3">
      <c r="A3448" s="9">
        <v>3447</v>
      </c>
      <c r="B3448" s="2" t="s">
        <v>3453</v>
      </c>
      <c r="C3448" s="11">
        <v>12</v>
      </c>
      <c r="D3448" s="12">
        <v>66.666666666666657</v>
      </c>
      <c r="E3448" s="12" t="s">
        <v>8220</v>
      </c>
      <c r="F3448" s="13">
        <v>6</v>
      </c>
      <c r="G3448" s="14">
        <v>1743.17</v>
      </c>
      <c r="H3448" t="s">
        <v>1583</v>
      </c>
      <c r="I3448">
        <v>4</v>
      </c>
    </row>
    <row r="3449" spans="1:9" ht="15.6" x14ac:dyDescent="0.3">
      <c r="A3449" s="9">
        <v>3448</v>
      </c>
      <c r="B3449" s="2" t="s">
        <v>3454</v>
      </c>
      <c r="C3449" s="11">
        <v>6</v>
      </c>
      <c r="D3449" s="12">
        <v>50</v>
      </c>
      <c r="E3449" s="12" t="s">
        <v>8220</v>
      </c>
      <c r="F3449" s="13">
        <v>6</v>
      </c>
      <c r="G3449" s="14">
        <v>1718.15</v>
      </c>
      <c r="H3449" t="s">
        <v>559</v>
      </c>
      <c r="I3449">
        <v>3</v>
      </c>
    </row>
    <row r="3450" spans="1:9" ht="15.6" x14ac:dyDescent="0.3">
      <c r="A3450" s="9">
        <v>3449</v>
      </c>
      <c r="B3450" s="2" t="s">
        <v>3455</v>
      </c>
      <c r="C3450" s="11">
        <v>14</v>
      </c>
      <c r="D3450" s="12">
        <v>50</v>
      </c>
      <c r="E3450" s="12" t="s">
        <v>8220</v>
      </c>
      <c r="F3450" s="13">
        <v>6</v>
      </c>
      <c r="G3450" s="14">
        <v>1767.1999999999998</v>
      </c>
      <c r="H3450" t="s">
        <v>3375</v>
      </c>
      <c r="I3450">
        <v>5</v>
      </c>
    </row>
    <row r="3451" spans="1:9" ht="15.6" x14ac:dyDescent="0.3">
      <c r="A3451" s="9">
        <v>3450</v>
      </c>
      <c r="B3451" s="2" t="s">
        <v>3456</v>
      </c>
      <c r="C3451" s="11">
        <v>12</v>
      </c>
      <c r="D3451" s="12">
        <v>66.666666666666657</v>
      </c>
      <c r="E3451" s="12" t="s">
        <v>8220</v>
      </c>
      <c r="F3451" s="13">
        <v>6</v>
      </c>
      <c r="G3451" s="14">
        <v>1743.17</v>
      </c>
      <c r="H3451" t="s">
        <v>2351</v>
      </c>
      <c r="I3451">
        <v>4</v>
      </c>
    </row>
    <row r="3452" spans="1:9" ht="15.6" x14ac:dyDescent="0.3">
      <c r="A3452" s="9">
        <v>3451</v>
      </c>
      <c r="B3452" s="2" t="s">
        <v>3457</v>
      </c>
      <c r="C3452" s="11">
        <v>12</v>
      </c>
      <c r="D3452" s="12">
        <v>66.666666666666657</v>
      </c>
      <c r="E3452" s="12" t="s">
        <v>8220</v>
      </c>
      <c r="F3452" s="13">
        <v>6</v>
      </c>
      <c r="G3452" s="14">
        <v>1783.1999999999998</v>
      </c>
      <c r="H3452" t="s">
        <v>1327</v>
      </c>
      <c r="I3452">
        <v>4</v>
      </c>
    </row>
    <row r="3453" spans="1:9" ht="15.6" x14ac:dyDescent="0.3">
      <c r="A3453" s="9">
        <v>3452</v>
      </c>
      <c r="B3453" s="2" t="s">
        <v>3458</v>
      </c>
      <c r="C3453" s="11">
        <v>6</v>
      </c>
      <c r="D3453" s="12">
        <v>50</v>
      </c>
      <c r="E3453" s="12" t="s">
        <v>8220</v>
      </c>
      <c r="F3453" s="13">
        <v>6</v>
      </c>
      <c r="G3453" s="14">
        <v>1758.1799999999998</v>
      </c>
      <c r="H3453" t="s">
        <v>303</v>
      </c>
      <c r="I3453">
        <v>3</v>
      </c>
    </row>
    <row r="3454" spans="1:9" ht="15.6" x14ac:dyDescent="0.3">
      <c r="A3454" s="9">
        <v>3453</v>
      </c>
      <c r="B3454" s="2" t="s">
        <v>3459</v>
      </c>
      <c r="C3454" s="11">
        <v>8</v>
      </c>
      <c r="D3454" s="12">
        <v>33.333333333333329</v>
      </c>
      <c r="E3454" s="12" t="s">
        <v>8219</v>
      </c>
      <c r="F3454" s="13">
        <v>6</v>
      </c>
      <c r="G3454" s="14">
        <v>1742.1799999999998</v>
      </c>
      <c r="H3454" t="s">
        <v>3119</v>
      </c>
      <c r="I3454">
        <v>4</v>
      </c>
    </row>
    <row r="3455" spans="1:9" ht="15.6" x14ac:dyDescent="0.3">
      <c r="A3455" s="9">
        <v>3454</v>
      </c>
      <c r="B3455" s="2" t="s">
        <v>3460</v>
      </c>
      <c r="C3455" s="11">
        <v>6</v>
      </c>
      <c r="D3455" s="12">
        <v>50</v>
      </c>
      <c r="E3455" s="12" t="s">
        <v>8220</v>
      </c>
      <c r="F3455" s="13">
        <v>6</v>
      </c>
      <c r="G3455" s="14">
        <v>1718.15</v>
      </c>
      <c r="H3455" t="s">
        <v>2095</v>
      </c>
      <c r="I3455">
        <v>3</v>
      </c>
    </row>
    <row r="3456" spans="1:9" ht="15.6" x14ac:dyDescent="0.3">
      <c r="A3456" s="9">
        <v>3455</v>
      </c>
      <c r="B3456" s="2" t="s">
        <v>3461</v>
      </c>
      <c r="C3456" s="11">
        <v>6</v>
      </c>
      <c r="D3456" s="12">
        <v>50</v>
      </c>
      <c r="E3456" s="12" t="s">
        <v>8220</v>
      </c>
      <c r="F3456" s="13">
        <v>6</v>
      </c>
      <c r="G3456" s="14">
        <v>1758.1799999999998</v>
      </c>
      <c r="H3456" t="s">
        <v>1071</v>
      </c>
      <c r="I3456">
        <v>3</v>
      </c>
    </row>
    <row r="3457" spans="1:9" ht="15.6" x14ac:dyDescent="0.3">
      <c r="A3457" s="9">
        <v>3456</v>
      </c>
      <c r="B3457" s="2" t="s">
        <v>3462</v>
      </c>
      <c r="C3457" s="11">
        <v>0</v>
      </c>
      <c r="D3457" s="12">
        <v>33.333333333333329</v>
      </c>
      <c r="E3457" s="12" t="s">
        <v>8219</v>
      </c>
      <c r="F3457" s="13">
        <v>6</v>
      </c>
      <c r="G3457" s="14">
        <v>1733.1599999999999</v>
      </c>
      <c r="H3457" t="s">
        <v>47</v>
      </c>
      <c r="I3457">
        <v>2</v>
      </c>
    </row>
    <row r="3458" spans="1:9" ht="15.6" x14ac:dyDescent="0.3">
      <c r="A3458" s="9">
        <v>3457</v>
      </c>
      <c r="B3458" s="2" t="s">
        <v>3463</v>
      </c>
      <c r="C3458" s="11">
        <v>24</v>
      </c>
      <c r="D3458" s="12">
        <v>33.333333333333329</v>
      </c>
      <c r="E3458" s="12" t="s">
        <v>8219</v>
      </c>
      <c r="F3458" s="13">
        <v>6</v>
      </c>
      <c r="G3458" s="14">
        <v>1800.25</v>
      </c>
      <c r="H3458" t="s">
        <v>4063</v>
      </c>
      <c r="I3458">
        <v>6</v>
      </c>
    </row>
    <row r="3459" spans="1:9" ht="15.6" x14ac:dyDescent="0.3">
      <c r="A3459" s="9">
        <v>3458</v>
      </c>
      <c r="B3459" s="2" t="s">
        <v>3464</v>
      </c>
      <c r="C3459" s="11">
        <v>22</v>
      </c>
      <c r="D3459" s="12">
        <v>50</v>
      </c>
      <c r="E3459" s="12" t="s">
        <v>8220</v>
      </c>
      <c r="F3459" s="13">
        <v>6</v>
      </c>
      <c r="G3459" s="14">
        <v>1776.2199999999998</v>
      </c>
      <c r="H3459" t="s">
        <v>3039</v>
      </c>
      <c r="I3459">
        <v>6</v>
      </c>
    </row>
    <row r="3460" spans="1:9" ht="15.6" x14ac:dyDescent="0.3">
      <c r="A3460" s="9">
        <v>3459</v>
      </c>
      <c r="B3460" s="2" t="s">
        <v>3465</v>
      </c>
      <c r="C3460" s="11">
        <v>22</v>
      </c>
      <c r="D3460" s="12">
        <v>50</v>
      </c>
      <c r="E3460" s="12" t="s">
        <v>8220</v>
      </c>
      <c r="F3460" s="13">
        <v>6</v>
      </c>
      <c r="G3460" s="14">
        <v>1816.25</v>
      </c>
      <c r="H3460" t="s">
        <v>2015</v>
      </c>
      <c r="I3460">
        <v>6</v>
      </c>
    </row>
    <row r="3461" spans="1:9" ht="15.6" x14ac:dyDescent="0.3">
      <c r="A3461" s="9">
        <v>3460</v>
      </c>
      <c r="B3461" s="2" t="s">
        <v>3466</v>
      </c>
      <c r="C3461" s="11">
        <v>16</v>
      </c>
      <c r="D3461" s="12">
        <v>33.333333333333329</v>
      </c>
      <c r="E3461" s="12" t="s">
        <v>8219</v>
      </c>
      <c r="F3461" s="13">
        <v>6</v>
      </c>
      <c r="G3461" s="14">
        <v>1791.23</v>
      </c>
      <c r="H3461" t="s">
        <v>991</v>
      </c>
      <c r="I3461">
        <v>5</v>
      </c>
    </row>
    <row r="3462" spans="1:9" ht="15.6" x14ac:dyDescent="0.3">
      <c r="A3462" s="9">
        <v>3461</v>
      </c>
      <c r="B3462" s="2" t="s">
        <v>3467</v>
      </c>
      <c r="C3462" s="11">
        <v>22</v>
      </c>
      <c r="D3462" s="12">
        <v>50</v>
      </c>
      <c r="E3462" s="12" t="s">
        <v>8220</v>
      </c>
      <c r="F3462" s="13">
        <v>6</v>
      </c>
      <c r="G3462" s="14">
        <v>1776.2199999999998</v>
      </c>
      <c r="H3462" t="s">
        <v>3807</v>
      </c>
      <c r="I3462">
        <v>6</v>
      </c>
    </row>
    <row r="3463" spans="1:9" ht="15.6" x14ac:dyDescent="0.3">
      <c r="A3463" s="9">
        <v>3462</v>
      </c>
      <c r="B3463" s="2" t="s">
        <v>3468</v>
      </c>
      <c r="C3463" s="11">
        <v>20</v>
      </c>
      <c r="D3463" s="12">
        <v>66.666666666666657</v>
      </c>
      <c r="E3463" s="12" t="s">
        <v>8220</v>
      </c>
      <c r="F3463" s="13">
        <v>6</v>
      </c>
      <c r="G3463" s="14">
        <v>1752.19</v>
      </c>
      <c r="H3463" t="s">
        <v>2783</v>
      </c>
      <c r="I3463">
        <v>6</v>
      </c>
    </row>
    <row r="3464" spans="1:9" ht="15.6" x14ac:dyDescent="0.3">
      <c r="A3464" s="9">
        <v>3463</v>
      </c>
      <c r="B3464" s="2" t="s">
        <v>3469</v>
      </c>
      <c r="C3464" s="11">
        <v>20</v>
      </c>
      <c r="D3464" s="12">
        <v>66.666666666666657</v>
      </c>
      <c r="E3464" s="12" t="s">
        <v>8220</v>
      </c>
      <c r="F3464" s="13">
        <v>6</v>
      </c>
      <c r="G3464" s="14">
        <v>1792.2199999999998</v>
      </c>
      <c r="H3464" t="s">
        <v>1759</v>
      </c>
      <c r="I3464">
        <v>6</v>
      </c>
    </row>
    <row r="3465" spans="1:9" ht="15.6" x14ac:dyDescent="0.3">
      <c r="A3465" s="9">
        <v>3464</v>
      </c>
      <c r="B3465" s="2" t="s">
        <v>3470</v>
      </c>
      <c r="C3465" s="11">
        <v>14</v>
      </c>
      <c r="D3465" s="12">
        <v>50</v>
      </c>
      <c r="E3465" s="12" t="s">
        <v>8220</v>
      </c>
      <c r="F3465" s="13">
        <v>6</v>
      </c>
      <c r="G3465" s="14">
        <v>1767.1999999999998</v>
      </c>
      <c r="H3465" t="s">
        <v>735</v>
      </c>
      <c r="I3465">
        <v>5</v>
      </c>
    </row>
    <row r="3466" spans="1:9" ht="15.6" x14ac:dyDescent="0.3">
      <c r="A3466" s="9">
        <v>3465</v>
      </c>
      <c r="B3466" s="2" t="s">
        <v>3471</v>
      </c>
      <c r="C3466" s="11">
        <v>22</v>
      </c>
      <c r="D3466" s="12">
        <v>50</v>
      </c>
      <c r="E3466" s="12" t="s">
        <v>8220</v>
      </c>
      <c r="F3466" s="13">
        <v>6</v>
      </c>
      <c r="G3466" s="14">
        <v>1816.25</v>
      </c>
      <c r="H3466" t="s">
        <v>3551</v>
      </c>
      <c r="I3466">
        <v>6</v>
      </c>
    </row>
    <row r="3467" spans="1:9" ht="15.6" x14ac:dyDescent="0.3">
      <c r="A3467" s="9">
        <v>3466</v>
      </c>
      <c r="B3467" s="2" t="s">
        <v>3472</v>
      </c>
      <c r="C3467" s="11">
        <v>20</v>
      </c>
      <c r="D3467" s="12">
        <v>66.666666666666657</v>
      </c>
      <c r="E3467" s="12" t="s">
        <v>8220</v>
      </c>
      <c r="F3467" s="13">
        <v>6</v>
      </c>
      <c r="G3467" s="14">
        <v>1792.2199999999998</v>
      </c>
      <c r="H3467" t="s">
        <v>2527</v>
      </c>
      <c r="I3467">
        <v>6</v>
      </c>
    </row>
    <row r="3468" spans="1:9" ht="15.6" x14ac:dyDescent="0.3">
      <c r="A3468" s="9">
        <v>3467</v>
      </c>
      <c r="B3468" s="2" t="s">
        <v>3473</v>
      </c>
      <c r="C3468" s="11">
        <v>20</v>
      </c>
      <c r="D3468" s="12">
        <v>66.666666666666657</v>
      </c>
      <c r="E3468" s="12" t="s">
        <v>8220</v>
      </c>
      <c r="F3468" s="13">
        <v>6</v>
      </c>
      <c r="G3468" s="14">
        <v>1832.25</v>
      </c>
      <c r="H3468" t="s">
        <v>1503</v>
      </c>
      <c r="I3468">
        <v>6</v>
      </c>
    </row>
    <row r="3469" spans="1:9" ht="15.6" x14ac:dyDescent="0.3">
      <c r="A3469" s="9">
        <v>3468</v>
      </c>
      <c r="B3469" s="2" t="s">
        <v>3474</v>
      </c>
      <c r="C3469" s="11">
        <v>14</v>
      </c>
      <c r="D3469" s="12">
        <v>50</v>
      </c>
      <c r="E3469" s="12" t="s">
        <v>8220</v>
      </c>
      <c r="F3469" s="13">
        <v>6</v>
      </c>
      <c r="G3469" s="14">
        <v>1807.23</v>
      </c>
      <c r="H3469" t="s">
        <v>479</v>
      </c>
      <c r="I3469">
        <v>5</v>
      </c>
    </row>
    <row r="3470" spans="1:9" ht="15.6" x14ac:dyDescent="0.3">
      <c r="A3470" s="9">
        <v>3469</v>
      </c>
      <c r="B3470" s="2" t="s">
        <v>3475</v>
      </c>
      <c r="C3470" s="11">
        <v>16</v>
      </c>
      <c r="D3470" s="12">
        <v>33.333333333333329</v>
      </c>
      <c r="E3470" s="12" t="s">
        <v>8219</v>
      </c>
      <c r="F3470" s="13">
        <v>6</v>
      </c>
      <c r="G3470" s="14">
        <v>1791.23</v>
      </c>
      <c r="H3470" t="s">
        <v>3295</v>
      </c>
      <c r="I3470">
        <v>5</v>
      </c>
    </row>
    <row r="3471" spans="1:9" ht="15.6" x14ac:dyDescent="0.3">
      <c r="A3471" s="9">
        <v>3470</v>
      </c>
      <c r="B3471" s="2" t="s">
        <v>3476</v>
      </c>
      <c r="C3471" s="11">
        <v>14</v>
      </c>
      <c r="D3471" s="12">
        <v>50</v>
      </c>
      <c r="E3471" s="12" t="s">
        <v>8220</v>
      </c>
      <c r="F3471" s="13">
        <v>6</v>
      </c>
      <c r="G3471" s="14">
        <v>1767.1999999999998</v>
      </c>
      <c r="H3471" t="s">
        <v>2271</v>
      </c>
      <c r="I3471">
        <v>5</v>
      </c>
    </row>
    <row r="3472" spans="1:9" ht="15.6" x14ac:dyDescent="0.3">
      <c r="A3472" s="9">
        <v>3471</v>
      </c>
      <c r="B3472" s="2" t="s">
        <v>3477</v>
      </c>
      <c r="C3472" s="11">
        <v>14</v>
      </c>
      <c r="D3472" s="12">
        <v>50</v>
      </c>
      <c r="E3472" s="12" t="s">
        <v>8220</v>
      </c>
      <c r="F3472" s="13">
        <v>6</v>
      </c>
      <c r="G3472" s="14">
        <v>1807.23</v>
      </c>
      <c r="H3472" t="s">
        <v>1247</v>
      </c>
      <c r="I3472">
        <v>5</v>
      </c>
    </row>
    <row r="3473" spans="1:9" ht="15.6" x14ac:dyDescent="0.3">
      <c r="A3473" s="9">
        <v>3472</v>
      </c>
      <c r="B3473" s="2" t="s">
        <v>3478</v>
      </c>
      <c r="C3473" s="11">
        <v>8</v>
      </c>
      <c r="D3473" s="12">
        <v>33.333333333333329</v>
      </c>
      <c r="E3473" s="12" t="s">
        <v>8219</v>
      </c>
      <c r="F3473" s="13">
        <v>6</v>
      </c>
      <c r="G3473" s="14">
        <v>1782.21</v>
      </c>
      <c r="H3473" t="s">
        <v>223</v>
      </c>
      <c r="I3473">
        <v>4</v>
      </c>
    </row>
    <row r="3474" spans="1:9" ht="15.6" x14ac:dyDescent="0.3">
      <c r="A3474" s="9">
        <v>3473</v>
      </c>
      <c r="B3474" s="2" t="s">
        <v>3479</v>
      </c>
      <c r="C3474" s="11">
        <v>22</v>
      </c>
      <c r="D3474" s="12">
        <v>50</v>
      </c>
      <c r="E3474" s="12" t="s">
        <v>8220</v>
      </c>
      <c r="F3474" s="13">
        <v>6</v>
      </c>
      <c r="G3474" s="14">
        <v>1776.2199999999998</v>
      </c>
      <c r="H3474" t="s">
        <v>3999</v>
      </c>
      <c r="I3474">
        <v>6</v>
      </c>
    </row>
    <row r="3475" spans="1:9" ht="15.6" x14ac:dyDescent="0.3">
      <c r="A3475" s="9">
        <v>3474</v>
      </c>
      <c r="B3475" s="2" t="s">
        <v>3480</v>
      </c>
      <c r="C3475" s="11">
        <v>20</v>
      </c>
      <c r="D3475" s="12">
        <v>66.666666666666657</v>
      </c>
      <c r="E3475" s="12" t="s">
        <v>8220</v>
      </c>
      <c r="F3475" s="13">
        <v>6</v>
      </c>
      <c r="G3475" s="14">
        <v>1752.19</v>
      </c>
      <c r="H3475" t="s">
        <v>2975</v>
      </c>
      <c r="I3475">
        <v>6</v>
      </c>
    </row>
    <row r="3476" spans="1:9" ht="15.6" x14ac:dyDescent="0.3">
      <c r="A3476" s="9">
        <v>3475</v>
      </c>
      <c r="B3476" s="2" t="s">
        <v>3481</v>
      </c>
      <c r="C3476" s="11">
        <v>20</v>
      </c>
      <c r="D3476" s="12">
        <v>66.666666666666657</v>
      </c>
      <c r="E3476" s="12" t="s">
        <v>8220</v>
      </c>
      <c r="F3476" s="13">
        <v>6</v>
      </c>
      <c r="G3476" s="14">
        <v>1792.2199999999998</v>
      </c>
      <c r="H3476" t="s">
        <v>1951</v>
      </c>
      <c r="I3476">
        <v>6</v>
      </c>
    </row>
    <row r="3477" spans="1:9" ht="15.6" x14ac:dyDescent="0.3">
      <c r="A3477" s="9">
        <v>3476</v>
      </c>
      <c r="B3477" s="2" t="s">
        <v>3482</v>
      </c>
      <c r="C3477" s="11">
        <v>14</v>
      </c>
      <c r="D3477" s="12">
        <v>50</v>
      </c>
      <c r="E3477" s="12" t="s">
        <v>8220</v>
      </c>
      <c r="F3477" s="13">
        <v>6</v>
      </c>
      <c r="G3477" s="14">
        <v>1767.1999999999998</v>
      </c>
      <c r="H3477" t="s">
        <v>927</v>
      </c>
      <c r="I3477">
        <v>5</v>
      </c>
    </row>
    <row r="3478" spans="1:9" ht="15.6" x14ac:dyDescent="0.3">
      <c r="A3478" s="9">
        <v>3477</v>
      </c>
      <c r="B3478" s="2" t="s">
        <v>3483</v>
      </c>
      <c r="C3478" s="11">
        <v>20</v>
      </c>
      <c r="D3478" s="12">
        <v>66.666666666666657</v>
      </c>
      <c r="E3478" s="12" t="s">
        <v>8220</v>
      </c>
      <c r="F3478" s="13">
        <v>6</v>
      </c>
      <c r="G3478" s="14">
        <v>1752.19</v>
      </c>
      <c r="H3478" t="s">
        <v>3743</v>
      </c>
      <c r="I3478">
        <v>6</v>
      </c>
    </row>
    <row r="3479" spans="1:9" ht="15.6" x14ac:dyDescent="0.3">
      <c r="A3479" s="9">
        <v>3478</v>
      </c>
      <c r="B3479" s="2" t="s">
        <v>3484</v>
      </c>
      <c r="C3479" s="11">
        <v>18</v>
      </c>
      <c r="D3479" s="12">
        <v>83.333333333333343</v>
      </c>
      <c r="E3479" s="12" t="s">
        <v>8220</v>
      </c>
      <c r="F3479" s="13">
        <v>6</v>
      </c>
      <c r="G3479" s="14">
        <v>1728.1599999999999</v>
      </c>
      <c r="H3479" t="s">
        <v>2719</v>
      </c>
      <c r="I3479">
        <v>5</v>
      </c>
    </row>
    <row r="3480" spans="1:9" ht="15.6" x14ac:dyDescent="0.3">
      <c r="A3480" s="9">
        <v>3479</v>
      </c>
      <c r="B3480" s="2" t="s">
        <v>3485</v>
      </c>
      <c r="C3480" s="11">
        <v>18</v>
      </c>
      <c r="D3480" s="12">
        <v>83.333333333333343</v>
      </c>
      <c r="E3480" s="12" t="s">
        <v>8220</v>
      </c>
      <c r="F3480" s="13">
        <v>6</v>
      </c>
      <c r="G3480" s="14">
        <v>1768.19</v>
      </c>
      <c r="H3480" t="s">
        <v>1695</v>
      </c>
      <c r="I3480">
        <v>5</v>
      </c>
    </row>
    <row r="3481" spans="1:9" ht="15.6" x14ac:dyDescent="0.3">
      <c r="A3481" s="9">
        <v>3480</v>
      </c>
      <c r="B3481" s="2" t="s">
        <v>3486</v>
      </c>
      <c r="C3481" s="11">
        <v>12</v>
      </c>
      <c r="D3481" s="12">
        <v>66.666666666666657</v>
      </c>
      <c r="E3481" s="12" t="s">
        <v>8220</v>
      </c>
      <c r="F3481" s="13">
        <v>6</v>
      </c>
      <c r="G3481" s="14">
        <v>1743.17</v>
      </c>
      <c r="H3481" t="s">
        <v>671</v>
      </c>
      <c r="I3481">
        <v>4</v>
      </c>
    </row>
    <row r="3482" spans="1:9" ht="15.6" x14ac:dyDescent="0.3">
      <c r="A3482" s="9">
        <v>3481</v>
      </c>
      <c r="B3482" s="2" t="s">
        <v>3487</v>
      </c>
      <c r="C3482" s="11">
        <v>20</v>
      </c>
      <c r="D3482" s="12">
        <v>66.666666666666657</v>
      </c>
      <c r="E3482" s="12" t="s">
        <v>8220</v>
      </c>
      <c r="F3482" s="13">
        <v>6</v>
      </c>
      <c r="G3482" s="14">
        <v>1792.2199999999998</v>
      </c>
      <c r="H3482" t="s">
        <v>3487</v>
      </c>
      <c r="I3482">
        <v>6</v>
      </c>
    </row>
    <row r="3483" spans="1:9" ht="15.6" x14ac:dyDescent="0.3">
      <c r="A3483" s="9">
        <v>3482</v>
      </c>
      <c r="B3483" s="2" t="s">
        <v>3488</v>
      </c>
      <c r="C3483" s="11">
        <v>18</v>
      </c>
      <c r="D3483" s="12">
        <v>83.333333333333343</v>
      </c>
      <c r="E3483" s="12" t="s">
        <v>8220</v>
      </c>
      <c r="F3483" s="13">
        <v>6</v>
      </c>
      <c r="G3483" s="14">
        <v>1768.19</v>
      </c>
      <c r="H3483" t="s">
        <v>2463</v>
      </c>
      <c r="I3483">
        <v>5</v>
      </c>
    </row>
    <row r="3484" spans="1:9" ht="15.6" x14ac:dyDescent="0.3">
      <c r="A3484" s="9">
        <v>3483</v>
      </c>
      <c r="B3484" s="2" t="s">
        <v>3489</v>
      </c>
      <c r="C3484" s="11">
        <v>18</v>
      </c>
      <c r="D3484" s="12">
        <v>83.333333333333343</v>
      </c>
      <c r="E3484" s="12" t="s">
        <v>8220</v>
      </c>
      <c r="F3484" s="13">
        <v>6</v>
      </c>
      <c r="G3484" s="14">
        <v>1808.2200000000003</v>
      </c>
      <c r="H3484" t="s">
        <v>1439</v>
      </c>
      <c r="I3484">
        <v>5</v>
      </c>
    </row>
    <row r="3485" spans="1:9" ht="15.6" x14ac:dyDescent="0.3">
      <c r="A3485" s="9">
        <v>3484</v>
      </c>
      <c r="B3485" s="2" t="s">
        <v>3490</v>
      </c>
      <c r="C3485" s="11">
        <v>12</v>
      </c>
      <c r="D3485" s="12">
        <v>66.666666666666657</v>
      </c>
      <c r="E3485" s="12" t="s">
        <v>8220</v>
      </c>
      <c r="F3485" s="13">
        <v>6</v>
      </c>
      <c r="G3485" s="14">
        <v>1783.1999999999998</v>
      </c>
      <c r="H3485" t="s">
        <v>415</v>
      </c>
      <c r="I3485">
        <v>4</v>
      </c>
    </row>
    <row r="3486" spans="1:9" ht="15.6" x14ac:dyDescent="0.3">
      <c r="A3486" s="9">
        <v>3485</v>
      </c>
      <c r="B3486" s="2" t="s">
        <v>3491</v>
      </c>
      <c r="C3486" s="11">
        <v>14</v>
      </c>
      <c r="D3486" s="12">
        <v>50</v>
      </c>
      <c r="E3486" s="12" t="s">
        <v>8220</v>
      </c>
      <c r="F3486" s="13">
        <v>6</v>
      </c>
      <c r="G3486" s="14">
        <v>1767.1999999999998</v>
      </c>
      <c r="H3486" t="s">
        <v>3231</v>
      </c>
      <c r="I3486">
        <v>5</v>
      </c>
    </row>
    <row r="3487" spans="1:9" ht="15.6" x14ac:dyDescent="0.3">
      <c r="A3487" s="9">
        <v>3486</v>
      </c>
      <c r="B3487" s="2" t="s">
        <v>3492</v>
      </c>
      <c r="C3487" s="11">
        <v>12</v>
      </c>
      <c r="D3487" s="12">
        <v>66.666666666666657</v>
      </c>
      <c r="E3487" s="12" t="s">
        <v>8220</v>
      </c>
      <c r="F3487" s="13">
        <v>6</v>
      </c>
      <c r="G3487" s="14">
        <v>1743.17</v>
      </c>
      <c r="H3487" t="s">
        <v>2207</v>
      </c>
      <c r="I3487">
        <v>4</v>
      </c>
    </row>
    <row r="3488" spans="1:9" ht="15.6" x14ac:dyDescent="0.3">
      <c r="A3488" s="9">
        <v>3487</v>
      </c>
      <c r="B3488" s="2" t="s">
        <v>3493</v>
      </c>
      <c r="C3488" s="11">
        <v>12</v>
      </c>
      <c r="D3488" s="12">
        <v>66.666666666666657</v>
      </c>
      <c r="E3488" s="12" t="s">
        <v>8220</v>
      </c>
      <c r="F3488" s="13">
        <v>6</v>
      </c>
      <c r="G3488" s="14">
        <v>1783.1999999999998</v>
      </c>
      <c r="H3488" t="s">
        <v>1183</v>
      </c>
      <c r="I3488">
        <v>4</v>
      </c>
    </row>
    <row r="3489" spans="1:9" ht="15.6" x14ac:dyDescent="0.3">
      <c r="A3489" s="9">
        <v>3488</v>
      </c>
      <c r="B3489" s="2" t="s">
        <v>3494</v>
      </c>
      <c r="C3489" s="11">
        <v>6</v>
      </c>
      <c r="D3489" s="12">
        <v>50</v>
      </c>
      <c r="E3489" s="12" t="s">
        <v>8220</v>
      </c>
      <c r="F3489" s="13">
        <v>6</v>
      </c>
      <c r="G3489" s="14">
        <v>1758.1799999999998</v>
      </c>
      <c r="H3489" t="s">
        <v>159</v>
      </c>
      <c r="I3489">
        <v>3</v>
      </c>
    </row>
    <row r="3490" spans="1:9" ht="15.6" x14ac:dyDescent="0.3">
      <c r="A3490" s="9">
        <v>3489</v>
      </c>
      <c r="B3490" s="2" t="s">
        <v>3495</v>
      </c>
      <c r="C3490" s="11">
        <v>22</v>
      </c>
      <c r="D3490" s="12">
        <v>50</v>
      </c>
      <c r="E3490" s="12" t="s">
        <v>8220</v>
      </c>
      <c r="F3490" s="13">
        <v>6</v>
      </c>
      <c r="G3490" s="14">
        <v>1816.25</v>
      </c>
      <c r="H3490" t="s">
        <v>3935</v>
      </c>
      <c r="I3490">
        <v>6</v>
      </c>
    </row>
    <row r="3491" spans="1:9" ht="15.6" x14ac:dyDescent="0.3">
      <c r="A3491" s="9">
        <v>3490</v>
      </c>
      <c r="B3491" s="2" t="s">
        <v>3496</v>
      </c>
      <c r="C3491" s="11">
        <v>20</v>
      </c>
      <c r="D3491" s="12">
        <v>66.666666666666657</v>
      </c>
      <c r="E3491" s="12" t="s">
        <v>8220</v>
      </c>
      <c r="F3491" s="13">
        <v>6</v>
      </c>
      <c r="G3491" s="14">
        <v>1792.2199999999998</v>
      </c>
      <c r="H3491" t="s">
        <v>2911</v>
      </c>
      <c r="I3491">
        <v>6</v>
      </c>
    </row>
    <row r="3492" spans="1:9" ht="15.6" x14ac:dyDescent="0.3">
      <c r="A3492" s="9">
        <v>3491</v>
      </c>
      <c r="B3492" s="2" t="s">
        <v>3497</v>
      </c>
      <c r="C3492" s="11">
        <v>20</v>
      </c>
      <c r="D3492" s="12">
        <v>66.666666666666657</v>
      </c>
      <c r="E3492" s="12" t="s">
        <v>8220</v>
      </c>
      <c r="F3492" s="13">
        <v>6</v>
      </c>
      <c r="G3492" s="14">
        <v>1832.25</v>
      </c>
      <c r="H3492" t="s">
        <v>1887</v>
      </c>
      <c r="I3492">
        <v>6</v>
      </c>
    </row>
    <row r="3493" spans="1:9" ht="15.6" x14ac:dyDescent="0.3">
      <c r="A3493" s="9">
        <v>3492</v>
      </c>
      <c r="B3493" s="2" t="s">
        <v>3498</v>
      </c>
      <c r="C3493" s="11">
        <v>14</v>
      </c>
      <c r="D3493" s="12">
        <v>50</v>
      </c>
      <c r="E3493" s="12" t="s">
        <v>8220</v>
      </c>
      <c r="F3493" s="13">
        <v>6</v>
      </c>
      <c r="G3493" s="14">
        <v>1807.23</v>
      </c>
      <c r="H3493" t="s">
        <v>863</v>
      </c>
      <c r="I3493">
        <v>5</v>
      </c>
    </row>
    <row r="3494" spans="1:9" ht="15.6" x14ac:dyDescent="0.3">
      <c r="A3494" s="9">
        <v>3493</v>
      </c>
      <c r="B3494" s="2" t="s">
        <v>3499</v>
      </c>
      <c r="C3494" s="11">
        <v>20</v>
      </c>
      <c r="D3494" s="12">
        <v>66.666666666666657</v>
      </c>
      <c r="E3494" s="12" t="s">
        <v>8220</v>
      </c>
      <c r="F3494" s="13">
        <v>6</v>
      </c>
      <c r="G3494" s="14">
        <v>1792.2199999999998</v>
      </c>
      <c r="H3494" t="s">
        <v>3679</v>
      </c>
      <c r="I3494">
        <v>6</v>
      </c>
    </row>
    <row r="3495" spans="1:9" ht="15.6" x14ac:dyDescent="0.3">
      <c r="A3495" s="9">
        <v>3494</v>
      </c>
      <c r="B3495" s="2" t="s">
        <v>3500</v>
      </c>
      <c r="C3495" s="11">
        <v>18</v>
      </c>
      <c r="D3495" s="12">
        <v>83.333333333333343</v>
      </c>
      <c r="E3495" s="12" t="s">
        <v>8220</v>
      </c>
      <c r="F3495" s="13">
        <v>6</v>
      </c>
      <c r="G3495" s="14">
        <v>1768.19</v>
      </c>
      <c r="H3495" t="s">
        <v>2655</v>
      </c>
      <c r="I3495">
        <v>5</v>
      </c>
    </row>
    <row r="3496" spans="1:9" ht="15.6" x14ac:dyDescent="0.3">
      <c r="A3496" s="9">
        <v>3495</v>
      </c>
      <c r="B3496" s="2" t="s">
        <v>3501</v>
      </c>
      <c r="C3496" s="11">
        <v>18</v>
      </c>
      <c r="D3496" s="12">
        <v>83.333333333333343</v>
      </c>
      <c r="E3496" s="12" t="s">
        <v>8220</v>
      </c>
      <c r="F3496" s="13">
        <v>6</v>
      </c>
      <c r="G3496" s="14">
        <v>1808.2200000000003</v>
      </c>
      <c r="H3496" t="s">
        <v>1631</v>
      </c>
      <c r="I3496">
        <v>5</v>
      </c>
    </row>
    <row r="3497" spans="1:9" ht="15.6" x14ac:dyDescent="0.3">
      <c r="A3497" s="9">
        <v>3496</v>
      </c>
      <c r="B3497" s="2" t="s">
        <v>3502</v>
      </c>
      <c r="C3497" s="11">
        <v>12</v>
      </c>
      <c r="D3497" s="12">
        <v>66.666666666666657</v>
      </c>
      <c r="E3497" s="12" t="s">
        <v>8220</v>
      </c>
      <c r="F3497" s="13">
        <v>6</v>
      </c>
      <c r="G3497" s="14">
        <v>1783.1999999999998</v>
      </c>
      <c r="H3497" t="s">
        <v>607</v>
      </c>
      <c r="I3497">
        <v>4</v>
      </c>
    </row>
    <row r="3498" spans="1:9" ht="15.6" x14ac:dyDescent="0.3">
      <c r="A3498" s="9">
        <v>3497</v>
      </c>
      <c r="B3498" s="2" t="s">
        <v>3503</v>
      </c>
      <c r="C3498" s="11">
        <v>20</v>
      </c>
      <c r="D3498" s="12">
        <v>66.666666666666657</v>
      </c>
      <c r="E3498" s="12" t="s">
        <v>8220</v>
      </c>
      <c r="F3498" s="13">
        <v>6</v>
      </c>
      <c r="G3498" s="14">
        <v>1832.25</v>
      </c>
      <c r="H3498" t="s">
        <v>3423</v>
      </c>
      <c r="I3498">
        <v>6</v>
      </c>
    </row>
    <row r="3499" spans="1:9" ht="15.6" x14ac:dyDescent="0.3">
      <c r="A3499" s="9">
        <v>3498</v>
      </c>
      <c r="B3499" s="2" t="s">
        <v>3504</v>
      </c>
      <c r="C3499" s="11">
        <v>18</v>
      </c>
      <c r="D3499" s="12">
        <v>83.333333333333343</v>
      </c>
      <c r="E3499" s="12" t="s">
        <v>8220</v>
      </c>
      <c r="F3499" s="13">
        <v>6</v>
      </c>
      <c r="G3499" s="14">
        <v>1808.2200000000003</v>
      </c>
      <c r="H3499" t="s">
        <v>2399</v>
      </c>
      <c r="I3499">
        <v>5</v>
      </c>
    </row>
    <row r="3500" spans="1:9" ht="15.6" x14ac:dyDescent="0.3">
      <c r="A3500" s="9">
        <v>3499</v>
      </c>
      <c r="B3500" s="2" t="s">
        <v>3505</v>
      </c>
      <c r="C3500" s="11">
        <v>18</v>
      </c>
      <c r="D3500" s="12">
        <v>83.333333333333343</v>
      </c>
      <c r="E3500" s="12" t="s">
        <v>8220</v>
      </c>
      <c r="F3500" s="13">
        <v>6</v>
      </c>
      <c r="G3500" s="14">
        <v>1848.25</v>
      </c>
      <c r="H3500" t="s">
        <v>1375</v>
      </c>
      <c r="I3500">
        <v>5</v>
      </c>
    </row>
    <row r="3501" spans="1:9" ht="15.6" x14ac:dyDescent="0.3">
      <c r="A3501" s="9">
        <v>3500</v>
      </c>
      <c r="B3501" s="2" t="s">
        <v>3506</v>
      </c>
      <c r="C3501" s="11">
        <v>12</v>
      </c>
      <c r="D3501" s="12">
        <v>66.666666666666657</v>
      </c>
      <c r="E3501" s="12" t="s">
        <v>8220</v>
      </c>
      <c r="F3501" s="13">
        <v>6</v>
      </c>
      <c r="G3501" s="14">
        <v>1823.23</v>
      </c>
      <c r="H3501" t="s">
        <v>351</v>
      </c>
      <c r="I3501">
        <v>4</v>
      </c>
    </row>
    <row r="3502" spans="1:9" ht="15.6" x14ac:dyDescent="0.3">
      <c r="A3502" s="9">
        <v>3501</v>
      </c>
      <c r="B3502" s="2" t="s">
        <v>3507</v>
      </c>
      <c r="C3502" s="11">
        <v>14</v>
      </c>
      <c r="D3502" s="12">
        <v>50</v>
      </c>
      <c r="E3502" s="12" t="s">
        <v>8220</v>
      </c>
      <c r="F3502" s="13">
        <v>6</v>
      </c>
      <c r="G3502" s="14">
        <v>1807.23</v>
      </c>
      <c r="H3502" t="s">
        <v>3167</v>
      </c>
      <c r="I3502">
        <v>5</v>
      </c>
    </row>
    <row r="3503" spans="1:9" ht="15.6" x14ac:dyDescent="0.3">
      <c r="A3503" s="9">
        <v>3502</v>
      </c>
      <c r="B3503" s="2" t="s">
        <v>3508</v>
      </c>
      <c r="C3503" s="11">
        <v>12</v>
      </c>
      <c r="D3503" s="12">
        <v>66.666666666666657</v>
      </c>
      <c r="E3503" s="12" t="s">
        <v>8220</v>
      </c>
      <c r="F3503" s="13">
        <v>6</v>
      </c>
      <c r="G3503" s="14">
        <v>1783.1999999999998</v>
      </c>
      <c r="H3503" t="s">
        <v>2143</v>
      </c>
      <c r="I3503">
        <v>4</v>
      </c>
    </row>
    <row r="3504" spans="1:9" ht="15.6" x14ac:dyDescent="0.3">
      <c r="A3504" s="9">
        <v>3503</v>
      </c>
      <c r="B3504" s="2" t="s">
        <v>3509</v>
      </c>
      <c r="C3504" s="11">
        <v>12</v>
      </c>
      <c r="D3504" s="12">
        <v>66.666666666666657</v>
      </c>
      <c r="E3504" s="12" t="s">
        <v>8220</v>
      </c>
      <c r="F3504" s="13">
        <v>6</v>
      </c>
      <c r="G3504" s="14">
        <v>1823.23</v>
      </c>
      <c r="H3504" t="s">
        <v>1119</v>
      </c>
      <c r="I3504">
        <v>4</v>
      </c>
    </row>
    <row r="3505" spans="1:9" ht="15.6" x14ac:dyDescent="0.3">
      <c r="A3505" s="9">
        <v>3504</v>
      </c>
      <c r="B3505" s="2" t="s">
        <v>3510</v>
      </c>
      <c r="C3505" s="11">
        <v>6</v>
      </c>
      <c r="D3505" s="12">
        <v>50</v>
      </c>
      <c r="E3505" s="12" t="s">
        <v>8220</v>
      </c>
      <c r="F3505" s="13">
        <v>6</v>
      </c>
      <c r="G3505" s="14">
        <v>1798.21</v>
      </c>
      <c r="H3505" t="s">
        <v>95</v>
      </c>
      <c r="I3505">
        <v>3</v>
      </c>
    </row>
    <row r="3506" spans="1:9" ht="15.6" x14ac:dyDescent="0.3">
      <c r="A3506" s="9">
        <v>3505</v>
      </c>
      <c r="B3506" s="2" t="s">
        <v>3511</v>
      </c>
      <c r="C3506" s="11">
        <v>16</v>
      </c>
      <c r="D3506" s="12">
        <v>33.333333333333329</v>
      </c>
      <c r="E3506" s="12" t="s">
        <v>8219</v>
      </c>
      <c r="F3506" s="13">
        <v>6</v>
      </c>
      <c r="G3506" s="14">
        <v>1791.23</v>
      </c>
      <c r="H3506" t="s">
        <v>3871</v>
      </c>
      <c r="I3506">
        <v>5</v>
      </c>
    </row>
    <row r="3507" spans="1:9" ht="15.6" x14ac:dyDescent="0.3">
      <c r="A3507" s="9">
        <v>3506</v>
      </c>
      <c r="B3507" s="2" t="s">
        <v>3512</v>
      </c>
      <c r="C3507" s="11">
        <v>14</v>
      </c>
      <c r="D3507" s="12">
        <v>50</v>
      </c>
      <c r="E3507" s="12" t="s">
        <v>8220</v>
      </c>
      <c r="F3507" s="13">
        <v>6</v>
      </c>
      <c r="G3507" s="14">
        <v>1767.1999999999998</v>
      </c>
      <c r="H3507" t="s">
        <v>2847</v>
      </c>
      <c r="I3507">
        <v>5</v>
      </c>
    </row>
    <row r="3508" spans="1:9" ht="15.6" x14ac:dyDescent="0.3">
      <c r="A3508" s="9">
        <v>3507</v>
      </c>
      <c r="B3508" s="2" t="s">
        <v>3513</v>
      </c>
      <c r="C3508" s="11">
        <v>14</v>
      </c>
      <c r="D3508" s="12">
        <v>50</v>
      </c>
      <c r="E3508" s="12" t="s">
        <v>8220</v>
      </c>
      <c r="F3508" s="13">
        <v>6</v>
      </c>
      <c r="G3508" s="14">
        <v>1807.23</v>
      </c>
      <c r="H3508" t="s">
        <v>1823</v>
      </c>
      <c r="I3508">
        <v>5</v>
      </c>
    </row>
    <row r="3509" spans="1:9" ht="15.6" x14ac:dyDescent="0.3">
      <c r="A3509" s="9">
        <v>3508</v>
      </c>
      <c r="B3509" s="2" t="s">
        <v>3514</v>
      </c>
      <c r="C3509" s="11">
        <v>8</v>
      </c>
      <c r="D3509" s="12">
        <v>33.333333333333329</v>
      </c>
      <c r="E3509" s="12" t="s">
        <v>8219</v>
      </c>
      <c r="F3509" s="13">
        <v>6</v>
      </c>
      <c r="G3509" s="14">
        <v>1782.21</v>
      </c>
      <c r="H3509" t="s">
        <v>799</v>
      </c>
      <c r="I3509">
        <v>4</v>
      </c>
    </row>
    <row r="3510" spans="1:9" ht="15.6" x14ac:dyDescent="0.3">
      <c r="A3510" s="9">
        <v>3509</v>
      </c>
      <c r="B3510" s="2" t="s">
        <v>3515</v>
      </c>
      <c r="C3510" s="11">
        <v>14</v>
      </c>
      <c r="D3510" s="12">
        <v>50</v>
      </c>
      <c r="E3510" s="12" t="s">
        <v>8220</v>
      </c>
      <c r="F3510" s="13">
        <v>6</v>
      </c>
      <c r="G3510" s="14">
        <v>1767.1999999999998</v>
      </c>
      <c r="H3510" t="s">
        <v>3615</v>
      </c>
      <c r="I3510">
        <v>5</v>
      </c>
    </row>
    <row r="3511" spans="1:9" ht="15.6" x14ac:dyDescent="0.3">
      <c r="A3511" s="9">
        <v>3510</v>
      </c>
      <c r="B3511" s="2" t="s">
        <v>3516</v>
      </c>
      <c r="C3511" s="11">
        <v>12</v>
      </c>
      <c r="D3511" s="12">
        <v>66.666666666666657</v>
      </c>
      <c r="E3511" s="12" t="s">
        <v>8220</v>
      </c>
      <c r="F3511" s="13">
        <v>6</v>
      </c>
      <c r="G3511" s="14">
        <v>1743.17</v>
      </c>
      <c r="H3511" t="s">
        <v>2591</v>
      </c>
      <c r="I3511">
        <v>4</v>
      </c>
    </row>
    <row r="3512" spans="1:9" ht="15.6" x14ac:dyDescent="0.3">
      <c r="A3512" s="9">
        <v>3511</v>
      </c>
      <c r="B3512" s="2" t="s">
        <v>3517</v>
      </c>
      <c r="C3512" s="11">
        <v>12</v>
      </c>
      <c r="D3512" s="12">
        <v>66.666666666666657</v>
      </c>
      <c r="E3512" s="12" t="s">
        <v>8220</v>
      </c>
      <c r="F3512" s="13">
        <v>6</v>
      </c>
      <c r="G3512" s="14">
        <v>1783.1999999999998</v>
      </c>
      <c r="H3512" t="s">
        <v>1567</v>
      </c>
      <c r="I3512">
        <v>4</v>
      </c>
    </row>
    <row r="3513" spans="1:9" ht="15.6" x14ac:dyDescent="0.3">
      <c r="A3513" s="9">
        <v>3512</v>
      </c>
      <c r="B3513" s="2" t="s">
        <v>3518</v>
      </c>
      <c r="C3513" s="11">
        <v>6</v>
      </c>
      <c r="D3513" s="12">
        <v>50</v>
      </c>
      <c r="E3513" s="12" t="s">
        <v>8220</v>
      </c>
      <c r="F3513" s="13">
        <v>6</v>
      </c>
      <c r="G3513" s="14">
        <v>1758.1799999999998</v>
      </c>
      <c r="H3513" t="s">
        <v>543</v>
      </c>
      <c r="I3513">
        <v>3</v>
      </c>
    </row>
    <row r="3514" spans="1:9" ht="15.6" x14ac:dyDescent="0.3">
      <c r="A3514" s="9">
        <v>3513</v>
      </c>
      <c r="B3514" s="2" t="s">
        <v>3519</v>
      </c>
      <c r="C3514" s="11">
        <v>14</v>
      </c>
      <c r="D3514" s="12">
        <v>50</v>
      </c>
      <c r="E3514" s="12" t="s">
        <v>8220</v>
      </c>
      <c r="F3514" s="13">
        <v>6</v>
      </c>
      <c r="G3514" s="14">
        <v>1807.23</v>
      </c>
      <c r="H3514" t="s">
        <v>3359</v>
      </c>
      <c r="I3514">
        <v>5</v>
      </c>
    </row>
    <row r="3515" spans="1:9" ht="15.6" x14ac:dyDescent="0.3">
      <c r="A3515" s="9">
        <v>3514</v>
      </c>
      <c r="B3515" s="2" t="s">
        <v>3520</v>
      </c>
      <c r="C3515" s="11">
        <v>12</v>
      </c>
      <c r="D3515" s="12">
        <v>66.666666666666657</v>
      </c>
      <c r="E3515" s="12" t="s">
        <v>8220</v>
      </c>
      <c r="F3515" s="13">
        <v>6</v>
      </c>
      <c r="G3515" s="14">
        <v>1783.1999999999998</v>
      </c>
      <c r="H3515" t="s">
        <v>2335</v>
      </c>
      <c r="I3515">
        <v>4</v>
      </c>
    </row>
    <row r="3516" spans="1:9" ht="15.6" x14ac:dyDescent="0.3">
      <c r="A3516" s="9">
        <v>3515</v>
      </c>
      <c r="B3516" s="2" t="s">
        <v>3521</v>
      </c>
      <c r="C3516" s="11">
        <v>12</v>
      </c>
      <c r="D3516" s="12">
        <v>66.666666666666657</v>
      </c>
      <c r="E3516" s="12" t="s">
        <v>8220</v>
      </c>
      <c r="F3516" s="13">
        <v>6</v>
      </c>
      <c r="G3516" s="14">
        <v>1823.23</v>
      </c>
      <c r="H3516" t="s">
        <v>1311</v>
      </c>
      <c r="I3516">
        <v>4</v>
      </c>
    </row>
    <row r="3517" spans="1:9" ht="15.6" x14ac:dyDescent="0.3">
      <c r="A3517" s="9">
        <v>3516</v>
      </c>
      <c r="B3517" s="2" t="s">
        <v>3522</v>
      </c>
      <c r="C3517" s="11">
        <v>6</v>
      </c>
      <c r="D3517" s="12">
        <v>50</v>
      </c>
      <c r="E3517" s="12" t="s">
        <v>8220</v>
      </c>
      <c r="F3517" s="13">
        <v>6</v>
      </c>
      <c r="G3517" s="14">
        <v>1798.21</v>
      </c>
      <c r="H3517" t="s">
        <v>287</v>
      </c>
      <c r="I3517">
        <v>3</v>
      </c>
    </row>
    <row r="3518" spans="1:9" ht="15.6" x14ac:dyDescent="0.3">
      <c r="A3518" s="9">
        <v>3517</v>
      </c>
      <c r="B3518" s="2" t="s">
        <v>3523</v>
      </c>
      <c r="C3518" s="11">
        <v>8</v>
      </c>
      <c r="D3518" s="12">
        <v>33.333333333333329</v>
      </c>
      <c r="E3518" s="12" t="s">
        <v>8219</v>
      </c>
      <c r="F3518" s="13">
        <v>6</v>
      </c>
      <c r="G3518" s="14">
        <v>1782.21</v>
      </c>
      <c r="H3518" t="s">
        <v>3103</v>
      </c>
      <c r="I3518">
        <v>4</v>
      </c>
    </row>
    <row r="3519" spans="1:9" ht="15.6" x14ac:dyDescent="0.3">
      <c r="A3519" s="9">
        <v>3518</v>
      </c>
      <c r="B3519" s="2" t="s">
        <v>3524</v>
      </c>
      <c r="C3519" s="11">
        <v>6</v>
      </c>
      <c r="D3519" s="12">
        <v>50</v>
      </c>
      <c r="E3519" s="12" t="s">
        <v>8220</v>
      </c>
      <c r="F3519" s="13">
        <v>6</v>
      </c>
      <c r="G3519" s="14">
        <v>1758.1799999999998</v>
      </c>
      <c r="H3519" t="s">
        <v>2079</v>
      </c>
      <c r="I3519">
        <v>3</v>
      </c>
    </row>
    <row r="3520" spans="1:9" ht="15.6" x14ac:dyDescent="0.3">
      <c r="A3520" s="9">
        <v>3519</v>
      </c>
      <c r="B3520" s="2" t="s">
        <v>3525</v>
      </c>
      <c r="C3520" s="11">
        <v>6</v>
      </c>
      <c r="D3520" s="12">
        <v>50</v>
      </c>
      <c r="E3520" s="12" t="s">
        <v>8220</v>
      </c>
      <c r="F3520" s="13">
        <v>6</v>
      </c>
      <c r="G3520" s="14">
        <v>1798.21</v>
      </c>
      <c r="H3520" t="s">
        <v>1055</v>
      </c>
      <c r="I3520">
        <v>3</v>
      </c>
    </row>
    <row r="3521" spans="1:9" ht="15.6" x14ac:dyDescent="0.3">
      <c r="A3521" s="9">
        <v>3520</v>
      </c>
      <c r="B3521" s="2" t="s">
        <v>3526</v>
      </c>
      <c r="C3521" s="11">
        <v>0</v>
      </c>
      <c r="D3521" s="12">
        <v>33.333333333333329</v>
      </c>
      <c r="E3521" s="12" t="s">
        <v>8219</v>
      </c>
      <c r="F3521" s="13">
        <v>6</v>
      </c>
      <c r="G3521" s="14">
        <v>1773.19</v>
      </c>
      <c r="H3521" t="s">
        <v>31</v>
      </c>
      <c r="I3521">
        <v>2</v>
      </c>
    </row>
    <row r="3522" spans="1:9" ht="15.6" x14ac:dyDescent="0.3">
      <c r="A3522" s="9">
        <v>3521</v>
      </c>
      <c r="B3522" s="2" t="s">
        <v>3527</v>
      </c>
      <c r="C3522" s="11">
        <v>18</v>
      </c>
      <c r="D3522" s="12">
        <v>16.666666666666664</v>
      </c>
      <c r="E3522" s="12" t="s">
        <v>8219</v>
      </c>
      <c r="F3522" s="13">
        <v>6</v>
      </c>
      <c r="G3522" s="14">
        <v>1775.23</v>
      </c>
      <c r="H3522" t="s">
        <v>4047</v>
      </c>
      <c r="I3522">
        <v>5</v>
      </c>
    </row>
    <row r="3523" spans="1:9" ht="15.6" x14ac:dyDescent="0.3">
      <c r="A3523" s="9">
        <v>3522</v>
      </c>
      <c r="B3523" s="2" t="s">
        <v>3528</v>
      </c>
      <c r="C3523" s="11">
        <v>16</v>
      </c>
      <c r="D3523" s="12">
        <v>33.333333333333329</v>
      </c>
      <c r="E3523" s="12" t="s">
        <v>8219</v>
      </c>
      <c r="F3523" s="13">
        <v>6</v>
      </c>
      <c r="G3523" s="14">
        <v>1751.1999999999998</v>
      </c>
      <c r="H3523" t="s">
        <v>3023</v>
      </c>
      <c r="I3523">
        <v>5</v>
      </c>
    </row>
    <row r="3524" spans="1:9" ht="15.6" x14ac:dyDescent="0.3">
      <c r="A3524" s="9">
        <v>3523</v>
      </c>
      <c r="B3524" s="2" t="s">
        <v>3529</v>
      </c>
      <c r="C3524" s="11">
        <v>16</v>
      </c>
      <c r="D3524" s="12">
        <v>33.333333333333329</v>
      </c>
      <c r="E3524" s="12" t="s">
        <v>8219</v>
      </c>
      <c r="F3524" s="13">
        <v>6</v>
      </c>
      <c r="G3524" s="14">
        <v>1791.23</v>
      </c>
      <c r="H3524" t="s">
        <v>1999</v>
      </c>
      <c r="I3524">
        <v>5</v>
      </c>
    </row>
    <row r="3525" spans="1:9" ht="15.6" x14ac:dyDescent="0.3">
      <c r="A3525" s="9">
        <v>3524</v>
      </c>
      <c r="B3525" s="2" t="s">
        <v>3530</v>
      </c>
      <c r="C3525" s="11">
        <v>10</v>
      </c>
      <c r="D3525" s="12">
        <v>16.666666666666664</v>
      </c>
      <c r="E3525" s="12" t="s">
        <v>8219</v>
      </c>
      <c r="F3525" s="13">
        <v>6</v>
      </c>
      <c r="G3525" s="14">
        <v>1766.21</v>
      </c>
      <c r="H3525" t="s">
        <v>975</v>
      </c>
      <c r="I3525">
        <v>4</v>
      </c>
    </row>
    <row r="3526" spans="1:9" ht="15.6" x14ac:dyDescent="0.3">
      <c r="A3526" s="9">
        <v>3525</v>
      </c>
      <c r="B3526" s="2" t="s">
        <v>3531</v>
      </c>
      <c r="C3526" s="11">
        <v>16</v>
      </c>
      <c r="D3526" s="12">
        <v>33.333333333333329</v>
      </c>
      <c r="E3526" s="12" t="s">
        <v>8219</v>
      </c>
      <c r="F3526" s="13">
        <v>6</v>
      </c>
      <c r="G3526" s="14">
        <v>1751.1999999999998</v>
      </c>
      <c r="H3526" t="s">
        <v>3791</v>
      </c>
      <c r="I3526">
        <v>5</v>
      </c>
    </row>
    <row r="3527" spans="1:9" ht="15.6" x14ac:dyDescent="0.3">
      <c r="A3527" s="9">
        <v>3526</v>
      </c>
      <c r="B3527" s="2" t="s">
        <v>3532</v>
      </c>
      <c r="C3527" s="11">
        <v>14</v>
      </c>
      <c r="D3527" s="12">
        <v>50</v>
      </c>
      <c r="E3527" s="12" t="s">
        <v>8220</v>
      </c>
      <c r="F3527" s="13">
        <v>6</v>
      </c>
      <c r="G3527" s="14">
        <v>1727.17</v>
      </c>
      <c r="H3527" t="s">
        <v>2767</v>
      </c>
      <c r="I3527">
        <v>5</v>
      </c>
    </row>
    <row r="3528" spans="1:9" ht="15.6" x14ac:dyDescent="0.3">
      <c r="A3528" s="9">
        <v>3527</v>
      </c>
      <c r="B3528" s="2" t="s">
        <v>3533</v>
      </c>
      <c r="C3528" s="11">
        <v>14</v>
      </c>
      <c r="D3528" s="12">
        <v>50</v>
      </c>
      <c r="E3528" s="12" t="s">
        <v>8220</v>
      </c>
      <c r="F3528" s="13">
        <v>6</v>
      </c>
      <c r="G3528" s="14">
        <v>1767.1999999999998</v>
      </c>
      <c r="H3528" t="s">
        <v>1743</v>
      </c>
      <c r="I3528">
        <v>5</v>
      </c>
    </row>
    <row r="3529" spans="1:9" ht="15.6" x14ac:dyDescent="0.3">
      <c r="A3529" s="9">
        <v>3528</v>
      </c>
      <c r="B3529" s="2" t="s">
        <v>3534</v>
      </c>
      <c r="C3529" s="11">
        <v>8</v>
      </c>
      <c r="D3529" s="12">
        <v>33.333333333333329</v>
      </c>
      <c r="E3529" s="12" t="s">
        <v>8219</v>
      </c>
      <c r="F3529" s="13">
        <v>6</v>
      </c>
      <c r="G3529" s="14">
        <v>1742.1799999999998</v>
      </c>
      <c r="H3529" t="s">
        <v>719</v>
      </c>
      <c r="I3529">
        <v>4</v>
      </c>
    </row>
    <row r="3530" spans="1:9" ht="15.6" x14ac:dyDescent="0.3">
      <c r="A3530" s="9">
        <v>3529</v>
      </c>
      <c r="B3530" s="2" t="s">
        <v>3535</v>
      </c>
      <c r="C3530" s="11">
        <v>16</v>
      </c>
      <c r="D3530" s="12">
        <v>33.333333333333329</v>
      </c>
      <c r="E3530" s="12" t="s">
        <v>8219</v>
      </c>
      <c r="F3530" s="13">
        <v>6</v>
      </c>
      <c r="G3530" s="14">
        <v>1791.23</v>
      </c>
      <c r="H3530" t="s">
        <v>3535</v>
      </c>
      <c r="I3530">
        <v>5</v>
      </c>
    </row>
    <row r="3531" spans="1:9" ht="15.6" x14ac:dyDescent="0.3">
      <c r="A3531" s="9">
        <v>3530</v>
      </c>
      <c r="B3531" s="2" t="s">
        <v>3536</v>
      </c>
      <c r="C3531" s="11">
        <v>14</v>
      </c>
      <c r="D3531" s="12">
        <v>50</v>
      </c>
      <c r="E3531" s="12" t="s">
        <v>8220</v>
      </c>
      <c r="F3531" s="13">
        <v>6</v>
      </c>
      <c r="G3531" s="14">
        <v>1767.1999999999998</v>
      </c>
      <c r="H3531" t="s">
        <v>2511</v>
      </c>
      <c r="I3531">
        <v>5</v>
      </c>
    </row>
    <row r="3532" spans="1:9" ht="15.6" x14ac:dyDescent="0.3">
      <c r="A3532" s="9">
        <v>3531</v>
      </c>
      <c r="B3532" s="2" t="s">
        <v>3537</v>
      </c>
      <c r="C3532" s="11">
        <v>14</v>
      </c>
      <c r="D3532" s="12">
        <v>50</v>
      </c>
      <c r="E3532" s="12" t="s">
        <v>8220</v>
      </c>
      <c r="F3532" s="13">
        <v>6</v>
      </c>
      <c r="G3532" s="14">
        <v>1807.23</v>
      </c>
      <c r="H3532" t="s">
        <v>1487</v>
      </c>
      <c r="I3532">
        <v>5</v>
      </c>
    </row>
    <row r="3533" spans="1:9" ht="15.6" x14ac:dyDescent="0.3">
      <c r="A3533" s="9">
        <v>3532</v>
      </c>
      <c r="B3533" s="2" t="s">
        <v>3538</v>
      </c>
      <c r="C3533" s="11">
        <v>8</v>
      </c>
      <c r="D3533" s="12">
        <v>33.333333333333329</v>
      </c>
      <c r="E3533" s="12" t="s">
        <v>8219</v>
      </c>
      <c r="F3533" s="13">
        <v>6</v>
      </c>
      <c r="G3533" s="14">
        <v>1782.21</v>
      </c>
      <c r="H3533" t="s">
        <v>463</v>
      </c>
      <c r="I3533">
        <v>4</v>
      </c>
    </row>
    <row r="3534" spans="1:9" ht="15.6" x14ac:dyDescent="0.3">
      <c r="A3534" s="9">
        <v>3533</v>
      </c>
      <c r="B3534" s="2" t="s">
        <v>3539</v>
      </c>
      <c r="C3534" s="11">
        <v>10</v>
      </c>
      <c r="D3534" s="12">
        <v>16.666666666666664</v>
      </c>
      <c r="E3534" s="12" t="s">
        <v>8219</v>
      </c>
      <c r="F3534" s="13">
        <v>6</v>
      </c>
      <c r="G3534" s="14">
        <v>1766.21</v>
      </c>
      <c r="H3534" t="s">
        <v>3279</v>
      </c>
      <c r="I3534">
        <v>4</v>
      </c>
    </row>
    <row r="3535" spans="1:9" ht="15.6" x14ac:dyDescent="0.3">
      <c r="A3535" s="9">
        <v>3534</v>
      </c>
      <c r="B3535" s="2" t="s">
        <v>3540</v>
      </c>
      <c r="C3535" s="11">
        <v>8</v>
      </c>
      <c r="D3535" s="12">
        <v>33.333333333333329</v>
      </c>
      <c r="E3535" s="12" t="s">
        <v>8219</v>
      </c>
      <c r="F3535" s="13">
        <v>6</v>
      </c>
      <c r="G3535" s="14">
        <v>1742.1799999999998</v>
      </c>
      <c r="H3535" t="s">
        <v>2255</v>
      </c>
      <c r="I3535">
        <v>4</v>
      </c>
    </row>
    <row r="3536" spans="1:9" ht="15.6" x14ac:dyDescent="0.3">
      <c r="A3536" s="9">
        <v>3535</v>
      </c>
      <c r="B3536" s="2" t="s">
        <v>3541</v>
      </c>
      <c r="C3536" s="11">
        <v>8</v>
      </c>
      <c r="D3536" s="12">
        <v>33.333333333333329</v>
      </c>
      <c r="E3536" s="12" t="s">
        <v>8219</v>
      </c>
      <c r="F3536" s="13">
        <v>6</v>
      </c>
      <c r="G3536" s="14">
        <v>1782.21</v>
      </c>
      <c r="H3536" t="s">
        <v>1231</v>
      </c>
      <c r="I3536">
        <v>4</v>
      </c>
    </row>
    <row r="3537" spans="1:9" ht="15.6" x14ac:dyDescent="0.3">
      <c r="A3537" s="9">
        <v>3536</v>
      </c>
      <c r="B3537" s="2" t="s">
        <v>3542</v>
      </c>
      <c r="C3537" s="11">
        <v>2</v>
      </c>
      <c r="D3537" s="12">
        <v>16.666666666666664</v>
      </c>
      <c r="E3537" s="12" t="s">
        <v>8219</v>
      </c>
      <c r="F3537" s="13">
        <v>6</v>
      </c>
      <c r="G3537" s="14">
        <v>1757.19</v>
      </c>
      <c r="H3537" t="s">
        <v>207</v>
      </c>
      <c r="I3537">
        <v>3</v>
      </c>
    </row>
    <row r="3538" spans="1:9" ht="15.6" x14ac:dyDescent="0.3">
      <c r="A3538" s="9">
        <v>3537</v>
      </c>
      <c r="B3538" s="2" t="s">
        <v>3543</v>
      </c>
      <c r="C3538" s="11">
        <v>16</v>
      </c>
      <c r="D3538" s="12">
        <v>33.333333333333329</v>
      </c>
      <c r="E3538" s="12" t="s">
        <v>8219</v>
      </c>
      <c r="F3538" s="13">
        <v>6</v>
      </c>
      <c r="G3538" s="14">
        <v>1751.1999999999998</v>
      </c>
      <c r="H3538" t="s">
        <v>3983</v>
      </c>
      <c r="I3538">
        <v>5</v>
      </c>
    </row>
    <row r="3539" spans="1:9" ht="15.6" x14ac:dyDescent="0.3">
      <c r="A3539" s="9">
        <v>3538</v>
      </c>
      <c r="B3539" s="2" t="s">
        <v>3544</v>
      </c>
      <c r="C3539" s="11">
        <v>14</v>
      </c>
      <c r="D3539" s="12">
        <v>50</v>
      </c>
      <c r="E3539" s="12" t="s">
        <v>8220</v>
      </c>
      <c r="F3539" s="13">
        <v>6</v>
      </c>
      <c r="G3539" s="14">
        <v>1727.17</v>
      </c>
      <c r="H3539" t="s">
        <v>2959</v>
      </c>
      <c r="I3539">
        <v>5</v>
      </c>
    </row>
    <row r="3540" spans="1:9" ht="15.6" x14ac:dyDescent="0.3">
      <c r="A3540" s="9">
        <v>3539</v>
      </c>
      <c r="B3540" s="2" t="s">
        <v>3545</v>
      </c>
      <c r="C3540" s="11">
        <v>14</v>
      </c>
      <c r="D3540" s="12">
        <v>50</v>
      </c>
      <c r="E3540" s="12" t="s">
        <v>8220</v>
      </c>
      <c r="F3540" s="13">
        <v>6</v>
      </c>
      <c r="G3540" s="14">
        <v>1767.1999999999998</v>
      </c>
      <c r="H3540" t="s">
        <v>1935</v>
      </c>
      <c r="I3540">
        <v>5</v>
      </c>
    </row>
    <row r="3541" spans="1:9" ht="15.6" x14ac:dyDescent="0.3">
      <c r="A3541" s="9">
        <v>3540</v>
      </c>
      <c r="B3541" s="2" t="s">
        <v>3546</v>
      </c>
      <c r="C3541" s="11">
        <v>8</v>
      </c>
      <c r="D3541" s="12">
        <v>33.333333333333329</v>
      </c>
      <c r="E3541" s="12" t="s">
        <v>8219</v>
      </c>
      <c r="F3541" s="13">
        <v>6</v>
      </c>
      <c r="G3541" s="14">
        <v>1742.1799999999998</v>
      </c>
      <c r="H3541" t="s">
        <v>911</v>
      </c>
      <c r="I3541">
        <v>4</v>
      </c>
    </row>
    <row r="3542" spans="1:9" ht="15.6" x14ac:dyDescent="0.3">
      <c r="A3542" s="9">
        <v>3541</v>
      </c>
      <c r="B3542" s="2" t="s">
        <v>3547</v>
      </c>
      <c r="C3542" s="11">
        <v>14</v>
      </c>
      <c r="D3542" s="12">
        <v>50</v>
      </c>
      <c r="E3542" s="12" t="s">
        <v>8220</v>
      </c>
      <c r="F3542" s="13">
        <v>6</v>
      </c>
      <c r="G3542" s="14">
        <v>1727.17</v>
      </c>
      <c r="H3542" t="s">
        <v>3727</v>
      </c>
      <c r="I3542">
        <v>5</v>
      </c>
    </row>
    <row r="3543" spans="1:9" ht="15.6" x14ac:dyDescent="0.3">
      <c r="A3543" s="9">
        <v>3542</v>
      </c>
      <c r="B3543" s="2" t="s">
        <v>3548</v>
      </c>
      <c r="C3543" s="11">
        <v>12</v>
      </c>
      <c r="D3543" s="12">
        <v>66.666666666666657</v>
      </c>
      <c r="E3543" s="12" t="s">
        <v>8220</v>
      </c>
      <c r="F3543" s="13">
        <v>6</v>
      </c>
      <c r="G3543" s="14">
        <v>1703.1399999999999</v>
      </c>
      <c r="H3543" t="s">
        <v>2703</v>
      </c>
      <c r="I3543">
        <v>4</v>
      </c>
    </row>
    <row r="3544" spans="1:9" ht="15.6" x14ac:dyDescent="0.3">
      <c r="A3544" s="9">
        <v>3543</v>
      </c>
      <c r="B3544" s="2" t="s">
        <v>3549</v>
      </c>
      <c r="C3544" s="11">
        <v>12</v>
      </c>
      <c r="D3544" s="12">
        <v>66.666666666666657</v>
      </c>
      <c r="E3544" s="12" t="s">
        <v>8220</v>
      </c>
      <c r="F3544" s="13">
        <v>6</v>
      </c>
      <c r="G3544" s="14">
        <v>1743.17</v>
      </c>
      <c r="H3544" t="s">
        <v>1679</v>
      </c>
      <c r="I3544">
        <v>4</v>
      </c>
    </row>
    <row r="3545" spans="1:9" ht="15.6" x14ac:dyDescent="0.3">
      <c r="A3545" s="9">
        <v>3544</v>
      </c>
      <c r="B3545" s="2" t="s">
        <v>3550</v>
      </c>
      <c r="C3545" s="11">
        <v>6</v>
      </c>
      <c r="D3545" s="12">
        <v>50</v>
      </c>
      <c r="E3545" s="12" t="s">
        <v>8220</v>
      </c>
      <c r="F3545" s="13">
        <v>6</v>
      </c>
      <c r="G3545" s="14">
        <v>1718.15</v>
      </c>
      <c r="H3545" t="s">
        <v>655</v>
      </c>
      <c r="I3545">
        <v>3</v>
      </c>
    </row>
    <row r="3546" spans="1:9" ht="15.6" x14ac:dyDescent="0.3">
      <c r="A3546" s="9">
        <v>3545</v>
      </c>
      <c r="B3546" s="2" t="s">
        <v>3551</v>
      </c>
      <c r="C3546" s="11">
        <v>14</v>
      </c>
      <c r="D3546" s="12">
        <v>50</v>
      </c>
      <c r="E3546" s="12" t="s">
        <v>8220</v>
      </c>
      <c r="F3546" s="13">
        <v>6</v>
      </c>
      <c r="G3546" s="14">
        <v>1767.1999999999998</v>
      </c>
      <c r="H3546" t="s">
        <v>3471</v>
      </c>
      <c r="I3546">
        <v>5</v>
      </c>
    </row>
    <row r="3547" spans="1:9" ht="15.6" x14ac:dyDescent="0.3">
      <c r="A3547" s="9">
        <v>3546</v>
      </c>
      <c r="B3547" s="2" t="s">
        <v>3552</v>
      </c>
      <c r="C3547" s="11">
        <v>12</v>
      </c>
      <c r="D3547" s="12">
        <v>66.666666666666657</v>
      </c>
      <c r="E3547" s="12" t="s">
        <v>8220</v>
      </c>
      <c r="F3547" s="13">
        <v>6</v>
      </c>
      <c r="G3547" s="14">
        <v>1743.17</v>
      </c>
      <c r="H3547" t="s">
        <v>2447</v>
      </c>
      <c r="I3547">
        <v>4</v>
      </c>
    </row>
    <row r="3548" spans="1:9" ht="15.6" x14ac:dyDescent="0.3">
      <c r="A3548" s="9">
        <v>3547</v>
      </c>
      <c r="B3548" s="2" t="s">
        <v>3553</v>
      </c>
      <c r="C3548" s="11">
        <v>12</v>
      </c>
      <c r="D3548" s="12">
        <v>66.666666666666657</v>
      </c>
      <c r="E3548" s="12" t="s">
        <v>8220</v>
      </c>
      <c r="F3548" s="13">
        <v>6</v>
      </c>
      <c r="G3548" s="14">
        <v>1783.1999999999998</v>
      </c>
      <c r="H3548" t="s">
        <v>1423</v>
      </c>
      <c r="I3548">
        <v>4</v>
      </c>
    </row>
    <row r="3549" spans="1:9" ht="15.6" x14ac:dyDescent="0.3">
      <c r="A3549" s="9">
        <v>3548</v>
      </c>
      <c r="B3549" s="2" t="s">
        <v>3554</v>
      </c>
      <c r="C3549" s="11">
        <v>6</v>
      </c>
      <c r="D3549" s="12">
        <v>50</v>
      </c>
      <c r="E3549" s="12" t="s">
        <v>8220</v>
      </c>
      <c r="F3549" s="13">
        <v>6</v>
      </c>
      <c r="G3549" s="14">
        <v>1758.1799999999998</v>
      </c>
      <c r="H3549" t="s">
        <v>399</v>
      </c>
      <c r="I3549">
        <v>3</v>
      </c>
    </row>
    <row r="3550" spans="1:9" ht="15.6" x14ac:dyDescent="0.3">
      <c r="A3550" s="9">
        <v>3549</v>
      </c>
      <c r="B3550" s="2" t="s">
        <v>3555</v>
      </c>
      <c r="C3550" s="11">
        <v>8</v>
      </c>
      <c r="D3550" s="12">
        <v>33.333333333333329</v>
      </c>
      <c r="E3550" s="12" t="s">
        <v>8219</v>
      </c>
      <c r="F3550" s="13">
        <v>6</v>
      </c>
      <c r="G3550" s="14">
        <v>1742.1799999999998</v>
      </c>
      <c r="H3550" t="s">
        <v>3215</v>
      </c>
      <c r="I3550">
        <v>4</v>
      </c>
    </row>
    <row r="3551" spans="1:9" ht="15.6" x14ac:dyDescent="0.3">
      <c r="A3551" s="9">
        <v>3550</v>
      </c>
      <c r="B3551" s="2" t="s">
        <v>3556</v>
      </c>
      <c r="C3551" s="11">
        <v>6</v>
      </c>
      <c r="D3551" s="12">
        <v>50</v>
      </c>
      <c r="E3551" s="12" t="s">
        <v>8220</v>
      </c>
      <c r="F3551" s="13">
        <v>6</v>
      </c>
      <c r="G3551" s="14">
        <v>1718.15</v>
      </c>
      <c r="H3551" t="s">
        <v>2191</v>
      </c>
      <c r="I3551">
        <v>3</v>
      </c>
    </row>
    <row r="3552" spans="1:9" ht="15.6" x14ac:dyDescent="0.3">
      <c r="A3552" s="9">
        <v>3551</v>
      </c>
      <c r="B3552" s="2" t="s">
        <v>3557</v>
      </c>
      <c r="C3552" s="11">
        <v>6</v>
      </c>
      <c r="D3552" s="12">
        <v>50</v>
      </c>
      <c r="E3552" s="12" t="s">
        <v>8220</v>
      </c>
      <c r="F3552" s="13">
        <v>6</v>
      </c>
      <c r="G3552" s="14">
        <v>1758.1799999999998</v>
      </c>
      <c r="H3552" t="s">
        <v>1167</v>
      </c>
      <c r="I3552">
        <v>3</v>
      </c>
    </row>
    <row r="3553" spans="1:9" ht="15.6" x14ac:dyDescent="0.3">
      <c r="A3553" s="9">
        <v>3552</v>
      </c>
      <c r="B3553" s="2" t="s">
        <v>3558</v>
      </c>
      <c r="C3553" s="11">
        <v>0</v>
      </c>
      <c r="D3553" s="12">
        <v>33.333333333333329</v>
      </c>
      <c r="E3553" s="12" t="s">
        <v>8219</v>
      </c>
      <c r="F3553" s="13">
        <v>6</v>
      </c>
      <c r="G3553" s="14">
        <v>1733.1599999999999</v>
      </c>
      <c r="H3553" t="s">
        <v>143</v>
      </c>
      <c r="I3553">
        <v>2</v>
      </c>
    </row>
    <row r="3554" spans="1:9" ht="15.6" x14ac:dyDescent="0.3">
      <c r="A3554" s="9">
        <v>3553</v>
      </c>
      <c r="B3554" s="2" t="s">
        <v>3559</v>
      </c>
      <c r="C3554" s="11">
        <v>16</v>
      </c>
      <c r="D3554" s="12">
        <v>33.333333333333329</v>
      </c>
      <c r="E3554" s="12" t="s">
        <v>8219</v>
      </c>
      <c r="F3554" s="13">
        <v>6</v>
      </c>
      <c r="G3554" s="14">
        <v>1791.23</v>
      </c>
      <c r="H3554" t="s">
        <v>3919</v>
      </c>
      <c r="I3554">
        <v>5</v>
      </c>
    </row>
    <row r="3555" spans="1:9" ht="15.6" x14ac:dyDescent="0.3">
      <c r="A3555" s="9">
        <v>3554</v>
      </c>
      <c r="B3555" s="2" t="s">
        <v>3560</v>
      </c>
      <c r="C3555" s="11">
        <v>14</v>
      </c>
      <c r="D3555" s="12">
        <v>50</v>
      </c>
      <c r="E3555" s="12" t="s">
        <v>8220</v>
      </c>
      <c r="F3555" s="13">
        <v>6</v>
      </c>
      <c r="G3555" s="14">
        <v>1767.1999999999998</v>
      </c>
      <c r="H3555" t="s">
        <v>2895</v>
      </c>
      <c r="I3555">
        <v>5</v>
      </c>
    </row>
    <row r="3556" spans="1:9" ht="15.6" x14ac:dyDescent="0.3">
      <c r="A3556" s="9">
        <v>3555</v>
      </c>
      <c r="B3556" s="2" t="s">
        <v>3561</v>
      </c>
      <c r="C3556" s="11">
        <v>14</v>
      </c>
      <c r="D3556" s="12">
        <v>50</v>
      </c>
      <c r="E3556" s="12" t="s">
        <v>8220</v>
      </c>
      <c r="F3556" s="13">
        <v>6</v>
      </c>
      <c r="G3556" s="14">
        <v>1807.23</v>
      </c>
      <c r="H3556" t="s">
        <v>1871</v>
      </c>
      <c r="I3556">
        <v>5</v>
      </c>
    </row>
    <row r="3557" spans="1:9" ht="15.6" x14ac:dyDescent="0.3">
      <c r="A3557" s="9">
        <v>3556</v>
      </c>
      <c r="B3557" s="2" t="s">
        <v>3562</v>
      </c>
      <c r="C3557" s="11">
        <v>8</v>
      </c>
      <c r="D3557" s="12">
        <v>33.333333333333329</v>
      </c>
      <c r="E3557" s="12" t="s">
        <v>8219</v>
      </c>
      <c r="F3557" s="13">
        <v>6</v>
      </c>
      <c r="G3557" s="14">
        <v>1782.21</v>
      </c>
      <c r="H3557" t="s">
        <v>847</v>
      </c>
      <c r="I3557">
        <v>4</v>
      </c>
    </row>
    <row r="3558" spans="1:9" ht="15.6" x14ac:dyDescent="0.3">
      <c r="A3558" s="9">
        <v>3557</v>
      </c>
      <c r="B3558" s="2" t="s">
        <v>3563</v>
      </c>
      <c r="C3558" s="11">
        <v>14</v>
      </c>
      <c r="D3558" s="12">
        <v>50</v>
      </c>
      <c r="E3558" s="12" t="s">
        <v>8220</v>
      </c>
      <c r="F3558" s="13">
        <v>6</v>
      </c>
      <c r="G3558" s="14">
        <v>1767.1999999999998</v>
      </c>
      <c r="H3558" t="s">
        <v>3663</v>
      </c>
      <c r="I3558">
        <v>5</v>
      </c>
    </row>
    <row r="3559" spans="1:9" ht="15.6" x14ac:dyDescent="0.3">
      <c r="A3559" s="9">
        <v>3558</v>
      </c>
      <c r="B3559" s="2" t="s">
        <v>3564</v>
      </c>
      <c r="C3559" s="11">
        <v>12</v>
      </c>
      <c r="D3559" s="12">
        <v>66.666666666666657</v>
      </c>
      <c r="E3559" s="12" t="s">
        <v>8220</v>
      </c>
      <c r="F3559" s="13">
        <v>6</v>
      </c>
      <c r="G3559" s="14">
        <v>1743.17</v>
      </c>
      <c r="H3559" t="s">
        <v>2639</v>
      </c>
      <c r="I3559">
        <v>4</v>
      </c>
    </row>
    <row r="3560" spans="1:9" ht="15.6" x14ac:dyDescent="0.3">
      <c r="A3560" s="9">
        <v>3559</v>
      </c>
      <c r="B3560" s="2" t="s">
        <v>3565</v>
      </c>
      <c r="C3560" s="11">
        <v>12</v>
      </c>
      <c r="D3560" s="12">
        <v>66.666666666666657</v>
      </c>
      <c r="E3560" s="12" t="s">
        <v>8220</v>
      </c>
      <c r="F3560" s="13">
        <v>6</v>
      </c>
      <c r="G3560" s="14">
        <v>1783.1999999999998</v>
      </c>
      <c r="H3560" t="s">
        <v>1615</v>
      </c>
      <c r="I3560">
        <v>4</v>
      </c>
    </row>
    <row r="3561" spans="1:9" ht="15.6" x14ac:dyDescent="0.3">
      <c r="A3561" s="9">
        <v>3560</v>
      </c>
      <c r="B3561" s="2" t="s">
        <v>3566</v>
      </c>
      <c r="C3561" s="11">
        <v>6</v>
      </c>
      <c r="D3561" s="12">
        <v>50</v>
      </c>
      <c r="E3561" s="12" t="s">
        <v>8220</v>
      </c>
      <c r="F3561" s="13">
        <v>6</v>
      </c>
      <c r="G3561" s="14">
        <v>1758.1799999999998</v>
      </c>
      <c r="H3561" t="s">
        <v>591</v>
      </c>
      <c r="I3561">
        <v>3</v>
      </c>
    </row>
    <row r="3562" spans="1:9" ht="15.6" x14ac:dyDescent="0.3">
      <c r="A3562" s="9">
        <v>3561</v>
      </c>
      <c r="B3562" s="2" t="s">
        <v>3567</v>
      </c>
      <c r="C3562" s="11">
        <v>14</v>
      </c>
      <c r="D3562" s="12">
        <v>50</v>
      </c>
      <c r="E3562" s="12" t="s">
        <v>8220</v>
      </c>
      <c r="F3562" s="13">
        <v>6</v>
      </c>
      <c r="G3562" s="14">
        <v>1807.23</v>
      </c>
      <c r="H3562" t="s">
        <v>3407</v>
      </c>
      <c r="I3562">
        <v>5</v>
      </c>
    </row>
    <row r="3563" spans="1:9" ht="15.6" x14ac:dyDescent="0.3">
      <c r="A3563" s="9">
        <v>3562</v>
      </c>
      <c r="B3563" s="2" t="s">
        <v>3568</v>
      </c>
      <c r="C3563" s="11">
        <v>12</v>
      </c>
      <c r="D3563" s="12">
        <v>66.666666666666657</v>
      </c>
      <c r="E3563" s="12" t="s">
        <v>8220</v>
      </c>
      <c r="F3563" s="13">
        <v>6</v>
      </c>
      <c r="G3563" s="14">
        <v>1783.1999999999998</v>
      </c>
      <c r="H3563" t="s">
        <v>2383</v>
      </c>
      <c r="I3563">
        <v>4</v>
      </c>
    </row>
    <row r="3564" spans="1:9" ht="15.6" x14ac:dyDescent="0.3">
      <c r="A3564" s="9">
        <v>3563</v>
      </c>
      <c r="B3564" s="2" t="s">
        <v>3569</v>
      </c>
      <c r="C3564" s="11">
        <v>12</v>
      </c>
      <c r="D3564" s="12">
        <v>66.666666666666657</v>
      </c>
      <c r="E3564" s="12" t="s">
        <v>8220</v>
      </c>
      <c r="F3564" s="13">
        <v>6</v>
      </c>
      <c r="G3564" s="14">
        <v>1823.23</v>
      </c>
      <c r="H3564" t="s">
        <v>1359</v>
      </c>
      <c r="I3564">
        <v>4</v>
      </c>
    </row>
    <row r="3565" spans="1:9" ht="15.6" x14ac:dyDescent="0.3">
      <c r="A3565" s="9">
        <v>3564</v>
      </c>
      <c r="B3565" s="2" t="s">
        <v>3570</v>
      </c>
      <c r="C3565" s="11">
        <v>6</v>
      </c>
      <c r="D3565" s="12">
        <v>50</v>
      </c>
      <c r="E3565" s="12" t="s">
        <v>8220</v>
      </c>
      <c r="F3565" s="13">
        <v>6</v>
      </c>
      <c r="G3565" s="14">
        <v>1798.21</v>
      </c>
      <c r="H3565" t="s">
        <v>335</v>
      </c>
      <c r="I3565">
        <v>3</v>
      </c>
    </row>
    <row r="3566" spans="1:9" ht="15.6" x14ac:dyDescent="0.3">
      <c r="A3566" s="9">
        <v>3565</v>
      </c>
      <c r="B3566" s="2" t="s">
        <v>3571</v>
      </c>
      <c r="C3566" s="11">
        <v>8</v>
      </c>
      <c r="D3566" s="12">
        <v>33.333333333333329</v>
      </c>
      <c r="E3566" s="12" t="s">
        <v>8219</v>
      </c>
      <c r="F3566" s="13">
        <v>6</v>
      </c>
      <c r="G3566" s="14">
        <v>1782.21</v>
      </c>
      <c r="H3566" t="s">
        <v>3151</v>
      </c>
      <c r="I3566">
        <v>4</v>
      </c>
    </row>
    <row r="3567" spans="1:9" ht="15.6" x14ac:dyDescent="0.3">
      <c r="A3567" s="9">
        <v>3566</v>
      </c>
      <c r="B3567" s="2" t="s">
        <v>3572</v>
      </c>
      <c r="C3567" s="11">
        <v>6</v>
      </c>
      <c r="D3567" s="12">
        <v>50</v>
      </c>
      <c r="E3567" s="12" t="s">
        <v>8220</v>
      </c>
      <c r="F3567" s="13">
        <v>6</v>
      </c>
      <c r="G3567" s="14">
        <v>1758.1799999999998</v>
      </c>
      <c r="H3567" t="s">
        <v>2127</v>
      </c>
      <c r="I3567">
        <v>3</v>
      </c>
    </row>
    <row r="3568" spans="1:9" ht="15.6" x14ac:dyDescent="0.3">
      <c r="A3568" s="9">
        <v>3567</v>
      </c>
      <c r="B3568" s="2" t="s">
        <v>3573</v>
      </c>
      <c r="C3568" s="11">
        <v>6</v>
      </c>
      <c r="D3568" s="12">
        <v>50</v>
      </c>
      <c r="E3568" s="12" t="s">
        <v>8220</v>
      </c>
      <c r="F3568" s="13">
        <v>6</v>
      </c>
      <c r="G3568" s="14">
        <v>1798.21</v>
      </c>
      <c r="H3568" t="s">
        <v>1103</v>
      </c>
      <c r="I3568">
        <v>3</v>
      </c>
    </row>
    <row r="3569" spans="1:9" ht="15.6" x14ac:dyDescent="0.3">
      <c r="A3569" s="9">
        <v>3568</v>
      </c>
      <c r="B3569" s="2" t="s">
        <v>3574</v>
      </c>
      <c r="C3569" s="11">
        <v>0</v>
      </c>
      <c r="D3569" s="12">
        <v>33.333333333333329</v>
      </c>
      <c r="E3569" s="12" t="s">
        <v>8219</v>
      </c>
      <c r="F3569" s="13">
        <v>6</v>
      </c>
      <c r="G3569" s="14">
        <v>1773.19</v>
      </c>
      <c r="H3569" t="s">
        <v>79</v>
      </c>
      <c r="I3569">
        <v>2</v>
      </c>
    </row>
    <row r="3570" spans="1:9" ht="15.6" x14ac:dyDescent="0.3">
      <c r="A3570" s="9">
        <v>3569</v>
      </c>
      <c r="B3570" s="2" t="s">
        <v>3575</v>
      </c>
      <c r="C3570" s="11">
        <v>10</v>
      </c>
      <c r="D3570" s="12">
        <v>16.666666666666664</v>
      </c>
      <c r="E3570" s="12" t="s">
        <v>8219</v>
      </c>
      <c r="F3570" s="13">
        <v>6</v>
      </c>
      <c r="G3570" s="14">
        <v>1766.21</v>
      </c>
      <c r="H3570" t="s">
        <v>3855</v>
      </c>
      <c r="I3570">
        <v>4</v>
      </c>
    </row>
    <row r="3571" spans="1:9" ht="15.6" x14ac:dyDescent="0.3">
      <c r="A3571" s="9">
        <v>3570</v>
      </c>
      <c r="B3571" s="2" t="s">
        <v>3576</v>
      </c>
      <c r="C3571" s="11">
        <v>8</v>
      </c>
      <c r="D3571" s="12">
        <v>33.333333333333329</v>
      </c>
      <c r="E3571" s="12" t="s">
        <v>8219</v>
      </c>
      <c r="F3571" s="13">
        <v>6</v>
      </c>
      <c r="G3571" s="14">
        <v>1742.1799999999998</v>
      </c>
      <c r="H3571" t="s">
        <v>2831</v>
      </c>
      <c r="I3571">
        <v>4</v>
      </c>
    </row>
    <row r="3572" spans="1:9" ht="15.6" x14ac:dyDescent="0.3">
      <c r="A3572" s="9">
        <v>3571</v>
      </c>
      <c r="B3572" s="2" t="s">
        <v>3577</v>
      </c>
      <c r="C3572" s="11">
        <v>8</v>
      </c>
      <c r="D3572" s="12">
        <v>33.333333333333329</v>
      </c>
      <c r="E3572" s="12" t="s">
        <v>8219</v>
      </c>
      <c r="F3572" s="13">
        <v>6</v>
      </c>
      <c r="G3572" s="14">
        <v>1782.21</v>
      </c>
      <c r="H3572" t="s">
        <v>1807</v>
      </c>
      <c r="I3572">
        <v>4</v>
      </c>
    </row>
    <row r="3573" spans="1:9" ht="15.6" x14ac:dyDescent="0.3">
      <c r="A3573" s="9">
        <v>3572</v>
      </c>
      <c r="B3573" s="2" t="s">
        <v>3578</v>
      </c>
      <c r="C3573" s="11">
        <v>2</v>
      </c>
      <c r="D3573" s="12">
        <v>16.666666666666664</v>
      </c>
      <c r="E3573" s="12" t="s">
        <v>8219</v>
      </c>
      <c r="F3573" s="13">
        <v>6</v>
      </c>
      <c r="G3573" s="14">
        <v>1757.19</v>
      </c>
      <c r="H3573" t="s">
        <v>783</v>
      </c>
      <c r="I3573">
        <v>3</v>
      </c>
    </row>
    <row r="3574" spans="1:9" ht="15.6" x14ac:dyDescent="0.3">
      <c r="A3574" s="9">
        <v>3573</v>
      </c>
      <c r="B3574" s="2" t="s">
        <v>3579</v>
      </c>
      <c r="C3574" s="11">
        <v>8</v>
      </c>
      <c r="D3574" s="12">
        <v>33.333333333333329</v>
      </c>
      <c r="E3574" s="12" t="s">
        <v>8219</v>
      </c>
      <c r="F3574" s="13">
        <v>6</v>
      </c>
      <c r="G3574" s="14">
        <v>1742.1799999999998</v>
      </c>
      <c r="H3574" t="s">
        <v>3599</v>
      </c>
      <c r="I3574">
        <v>4</v>
      </c>
    </row>
    <row r="3575" spans="1:9" ht="15.6" x14ac:dyDescent="0.3">
      <c r="A3575" s="9">
        <v>3574</v>
      </c>
      <c r="B3575" s="2" t="s">
        <v>3580</v>
      </c>
      <c r="C3575" s="11">
        <v>6</v>
      </c>
      <c r="D3575" s="12">
        <v>50</v>
      </c>
      <c r="E3575" s="12" t="s">
        <v>8220</v>
      </c>
      <c r="F3575" s="13">
        <v>6</v>
      </c>
      <c r="G3575" s="14">
        <v>1718.15</v>
      </c>
      <c r="H3575" t="s">
        <v>2575</v>
      </c>
      <c r="I3575">
        <v>3</v>
      </c>
    </row>
    <row r="3576" spans="1:9" ht="15.6" x14ac:dyDescent="0.3">
      <c r="A3576" s="9">
        <v>3575</v>
      </c>
      <c r="B3576" s="2" t="s">
        <v>3581</v>
      </c>
      <c r="C3576" s="11">
        <v>6</v>
      </c>
      <c r="D3576" s="12">
        <v>50</v>
      </c>
      <c r="E3576" s="12" t="s">
        <v>8220</v>
      </c>
      <c r="F3576" s="13">
        <v>6</v>
      </c>
      <c r="G3576" s="14">
        <v>1758.1799999999998</v>
      </c>
      <c r="H3576" t="s">
        <v>1551</v>
      </c>
      <c r="I3576">
        <v>3</v>
      </c>
    </row>
    <row r="3577" spans="1:9" ht="15.6" x14ac:dyDescent="0.3">
      <c r="A3577" s="9">
        <v>3576</v>
      </c>
      <c r="B3577" s="2" t="s">
        <v>3582</v>
      </c>
      <c r="C3577" s="11">
        <v>0</v>
      </c>
      <c r="D3577" s="12">
        <v>33.333333333333329</v>
      </c>
      <c r="E3577" s="12" t="s">
        <v>8219</v>
      </c>
      <c r="F3577" s="13">
        <v>6</v>
      </c>
      <c r="G3577" s="14">
        <v>1733.1599999999999</v>
      </c>
      <c r="H3577" t="s">
        <v>527</v>
      </c>
      <c r="I3577">
        <v>2</v>
      </c>
    </row>
    <row r="3578" spans="1:9" ht="15.6" x14ac:dyDescent="0.3">
      <c r="A3578" s="9">
        <v>3577</v>
      </c>
      <c r="B3578" s="2" t="s">
        <v>3583</v>
      </c>
      <c r="C3578" s="11">
        <v>8</v>
      </c>
      <c r="D3578" s="12">
        <v>33.333333333333329</v>
      </c>
      <c r="E3578" s="12" t="s">
        <v>8219</v>
      </c>
      <c r="F3578" s="13">
        <v>6</v>
      </c>
      <c r="G3578" s="14">
        <v>1782.21</v>
      </c>
      <c r="H3578" t="s">
        <v>3343</v>
      </c>
      <c r="I3578">
        <v>4</v>
      </c>
    </row>
    <row r="3579" spans="1:9" ht="15.6" x14ac:dyDescent="0.3">
      <c r="A3579" s="9">
        <v>3578</v>
      </c>
      <c r="B3579" s="2" t="s">
        <v>3584</v>
      </c>
      <c r="C3579" s="11">
        <v>6</v>
      </c>
      <c r="D3579" s="12">
        <v>50</v>
      </c>
      <c r="E3579" s="12" t="s">
        <v>8220</v>
      </c>
      <c r="F3579" s="13">
        <v>6</v>
      </c>
      <c r="G3579" s="14">
        <v>1758.1799999999998</v>
      </c>
      <c r="H3579" t="s">
        <v>2319</v>
      </c>
      <c r="I3579">
        <v>3</v>
      </c>
    </row>
    <row r="3580" spans="1:9" ht="15.6" x14ac:dyDescent="0.3">
      <c r="A3580" s="9">
        <v>3579</v>
      </c>
      <c r="B3580" s="2" t="s">
        <v>3585</v>
      </c>
      <c r="C3580" s="11">
        <v>6</v>
      </c>
      <c r="D3580" s="12">
        <v>50</v>
      </c>
      <c r="E3580" s="12" t="s">
        <v>8220</v>
      </c>
      <c r="F3580" s="13">
        <v>6</v>
      </c>
      <c r="G3580" s="14">
        <v>1798.21</v>
      </c>
      <c r="H3580" t="s">
        <v>1295</v>
      </c>
      <c r="I3580">
        <v>3</v>
      </c>
    </row>
    <row r="3581" spans="1:9" ht="15.6" x14ac:dyDescent="0.3">
      <c r="A3581" s="9">
        <v>3580</v>
      </c>
      <c r="B3581" s="2" t="s">
        <v>3586</v>
      </c>
      <c r="C3581" s="11">
        <v>0</v>
      </c>
      <c r="D3581" s="12">
        <v>33.333333333333329</v>
      </c>
      <c r="E3581" s="12" t="s">
        <v>8219</v>
      </c>
      <c r="F3581" s="13">
        <v>6</v>
      </c>
      <c r="G3581" s="14">
        <v>1773.19</v>
      </c>
      <c r="H3581" t="s">
        <v>271</v>
      </c>
      <c r="I3581">
        <v>2</v>
      </c>
    </row>
    <row r="3582" spans="1:9" ht="15.6" x14ac:dyDescent="0.3">
      <c r="A3582" s="9">
        <v>3581</v>
      </c>
      <c r="B3582" s="2" t="s">
        <v>3587</v>
      </c>
      <c r="C3582" s="11">
        <v>2</v>
      </c>
      <c r="D3582" s="12">
        <v>16.666666666666664</v>
      </c>
      <c r="E3582" s="12" t="s">
        <v>8219</v>
      </c>
      <c r="F3582" s="13">
        <v>6</v>
      </c>
      <c r="G3582" s="14">
        <v>1757.19</v>
      </c>
      <c r="H3582" t="s">
        <v>3087</v>
      </c>
      <c r="I3582">
        <v>3</v>
      </c>
    </row>
    <row r="3583" spans="1:9" ht="15.6" x14ac:dyDescent="0.3">
      <c r="A3583" s="9">
        <v>3582</v>
      </c>
      <c r="B3583" s="2" t="s">
        <v>3588</v>
      </c>
      <c r="C3583" s="11">
        <v>0</v>
      </c>
      <c r="D3583" s="12">
        <v>33.333333333333329</v>
      </c>
      <c r="E3583" s="12" t="s">
        <v>8219</v>
      </c>
      <c r="F3583" s="13">
        <v>6</v>
      </c>
      <c r="G3583" s="14">
        <v>1733.1599999999999</v>
      </c>
      <c r="H3583" t="s">
        <v>2063</v>
      </c>
      <c r="I3583">
        <v>2</v>
      </c>
    </row>
    <row r="3584" spans="1:9" ht="15.6" x14ac:dyDescent="0.3">
      <c r="A3584" s="9">
        <v>3583</v>
      </c>
      <c r="B3584" s="2" t="s">
        <v>3589</v>
      </c>
      <c r="C3584" s="11">
        <v>0</v>
      </c>
      <c r="D3584" s="12">
        <v>33.333333333333329</v>
      </c>
      <c r="E3584" s="12" t="s">
        <v>8219</v>
      </c>
      <c r="F3584" s="13">
        <v>6</v>
      </c>
      <c r="G3584" s="14">
        <v>1773.19</v>
      </c>
      <c r="H3584" t="s">
        <v>1039</v>
      </c>
      <c r="I3584">
        <v>2</v>
      </c>
    </row>
    <row r="3585" spans="1:9" ht="15.6" x14ac:dyDescent="0.3">
      <c r="A3585" s="9">
        <v>3584</v>
      </c>
      <c r="B3585" s="2" t="s">
        <v>3590</v>
      </c>
      <c r="C3585" s="11">
        <v>-6</v>
      </c>
      <c r="D3585" s="12">
        <v>16.666666666666664</v>
      </c>
      <c r="E3585" s="12" t="s">
        <v>8219</v>
      </c>
      <c r="F3585" s="13">
        <v>6</v>
      </c>
      <c r="G3585" s="14">
        <v>1748.17</v>
      </c>
      <c r="H3585" t="s">
        <v>15</v>
      </c>
      <c r="I3585">
        <v>1</v>
      </c>
    </row>
    <row r="3586" spans="1:9" ht="15.6" x14ac:dyDescent="0.3">
      <c r="A3586" s="9">
        <v>3585</v>
      </c>
      <c r="B3586" s="2" t="s">
        <v>3591</v>
      </c>
      <c r="C3586" s="11">
        <v>26</v>
      </c>
      <c r="D3586" s="12">
        <v>16.666666666666664</v>
      </c>
      <c r="E3586" s="12" t="s">
        <v>8219</v>
      </c>
      <c r="F3586" s="13">
        <v>6</v>
      </c>
      <c r="G3586" s="14">
        <v>1824.2799999999997</v>
      </c>
      <c r="H3586" t="s">
        <v>4091</v>
      </c>
      <c r="I3586">
        <v>7</v>
      </c>
    </row>
    <row r="3587" spans="1:9" ht="15.6" x14ac:dyDescent="0.3">
      <c r="A3587" s="9">
        <v>3586</v>
      </c>
      <c r="B3587" s="2" t="s">
        <v>3592</v>
      </c>
      <c r="C3587" s="11">
        <v>24</v>
      </c>
      <c r="D3587" s="12">
        <v>33.333333333333329</v>
      </c>
      <c r="E3587" s="12" t="s">
        <v>8219</v>
      </c>
      <c r="F3587" s="13">
        <v>6</v>
      </c>
      <c r="G3587" s="14">
        <v>1800.25</v>
      </c>
      <c r="H3587" t="s">
        <v>3067</v>
      </c>
      <c r="I3587">
        <v>6</v>
      </c>
    </row>
    <row r="3588" spans="1:9" ht="15.6" x14ac:dyDescent="0.3">
      <c r="A3588" s="9">
        <v>3587</v>
      </c>
      <c r="B3588" s="2" t="s">
        <v>3593</v>
      </c>
      <c r="C3588" s="11">
        <v>24</v>
      </c>
      <c r="D3588" s="12">
        <v>33.333333333333329</v>
      </c>
      <c r="E3588" s="12" t="s">
        <v>8219</v>
      </c>
      <c r="F3588" s="13">
        <v>6</v>
      </c>
      <c r="G3588" s="14">
        <v>1840.2800000000002</v>
      </c>
      <c r="H3588" t="s">
        <v>2043</v>
      </c>
      <c r="I3588">
        <v>6</v>
      </c>
    </row>
    <row r="3589" spans="1:9" ht="15.6" x14ac:dyDescent="0.3">
      <c r="A3589" s="9">
        <v>3588</v>
      </c>
      <c r="B3589" s="2" t="s">
        <v>3594</v>
      </c>
      <c r="C3589" s="11">
        <v>18</v>
      </c>
      <c r="D3589" s="12">
        <v>16.666666666666664</v>
      </c>
      <c r="E3589" s="12" t="s">
        <v>8219</v>
      </c>
      <c r="F3589" s="13">
        <v>6</v>
      </c>
      <c r="G3589" s="14">
        <v>1815.2599999999998</v>
      </c>
      <c r="H3589" t="s">
        <v>1019</v>
      </c>
      <c r="I3589">
        <v>5</v>
      </c>
    </row>
    <row r="3590" spans="1:9" ht="15.6" x14ac:dyDescent="0.3">
      <c r="A3590" s="9">
        <v>3589</v>
      </c>
      <c r="B3590" s="2" t="s">
        <v>3595</v>
      </c>
      <c r="C3590" s="11">
        <v>24</v>
      </c>
      <c r="D3590" s="12">
        <v>33.333333333333329</v>
      </c>
      <c r="E3590" s="12" t="s">
        <v>8219</v>
      </c>
      <c r="F3590" s="13">
        <v>6</v>
      </c>
      <c r="G3590" s="14">
        <v>1800.25</v>
      </c>
      <c r="H3590" t="s">
        <v>3835</v>
      </c>
      <c r="I3590">
        <v>6</v>
      </c>
    </row>
    <row r="3591" spans="1:9" ht="15.6" x14ac:dyDescent="0.3">
      <c r="A3591" s="9">
        <v>3590</v>
      </c>
      <c r="B3591" s="2" t="s">
        <v>3596</v>
      </c>
      <c r="C3591" s="11">
        <v>22</v>
      </c>
      <c r="D3591" s="12">
        <v>50</v>
      </c>
      <c r="E3591" s="12" t="s">
        <v>8220</v>
      </c>
      <c r="F3591" s="13">
        <v>6</v>
      </c>
      <c r="G3591" s="14">
        <v>1776.2199999999998</v>
      </c>
      <c r="H3591" t="s">
        <v>2811</v>
      </c>
      <c r="I3591">
        <v>6</v>
      </c>
    </row>
    <row r="3592" spans="1:9" ht="15.6" x14ac:dyDescent="0.3">
      <c r="A3592" s="9">
        <v>3591</v>
      </c>
      <c r="B3592" s="2" t="s">
        <v>3597</v>
      </c>
      <c r="C3592" s="11">
        <v>22</v>
      </c>
      <c r="D3592" s="12">
        <v>50</v>
      </c>
      <c r="E3592" s="12" t="s">
        <v>8220</v>
      </c>
      <c r="F3592" s="13">
        <v>6</v>
      </c>
      <c r="G3592" s="14">
        <v>1816.25</v>
      </c>
      <c r="H3592" t="s">
        <v>1787</v>
      </c>
      <c r="I3592">
        <v>6</v>
      </c>
    </row>
    <row r="3593" spans="1:9" ht="15.6" x14ac:dyDescent="0.3">
      <c r="A3593" s="9">
        <v>3592</v>
      </c>
      <c r="B3593" s="2" t="s">
        <v>3598</v>
      </c>
      <c r="C3593" s="11">
        <v>16</v>
      </c>
      <c r="D3593" s="12">
        <v>33.333333333333329</v>
      </c>
      <c r="E3593" s="12" t="s">
        <v>8219</v>
      </c>
      <c r="F3593" s="13">
        <v>6</v>
      </c>
      <c r="G3593" s="14">
        <v>1791.23</v>
      </c>
      <c r="H3593" t="s">
        <v>763</v>
      </c>
      <c r="I3593">
        <v>5</v>
      </c>
    </row>
    <row r="3594" spans="1:9" ht="15.6" x14ac:dyDescent="0.3">
      <c r="A3594" s="9">
        <v>3593</v>
      </c>
      <c r="B3594" s="2" t="s">
        <v>3599</v>
      </c>
      <c r="C3594" s="11">
        <v>24</v>
      </c>
      <c r="D3594" s="12">
        <v>33.333333333333329</v>
      </c>
      <c r="E3594" s="12" t="s">
        <v>8219</v>
      </c>
      <c r="F3594" s="13">
        <v>6</v>
      </c>
      <c r="G3594" s="14">
        <v>1840.2800000000002</v>
      </c>
      <c r="H3594" t="s">
        <v>3579</v>
      </c>
      <c r="I3594">
        <v>6</v>
      </c>
    </row>
    <row r="3595" spans="1:9" ht="15.6" x14ac:dyDescent="0.3">
      <c r="A3595" s="9">
        <v>3594</v>
      </c>
      <c r="B3595" s="2" t="s">
        <v>3600</v>
      </c>
      <c r="C3595" s="11">
        <v>22</v>
      </c>
      <c r="D3595" s="12">
        <v>50</v>
      </c>
      <c r="E3595" s="12" t="s">
        <v>8220</v>
      </c>
      <c r="F3595" s="13">
        <v>6</v>
      </c>
      <c r="G3595" s="14">
        <v>1816.25</v>
      </c>
      <c r="H3595" t="s">
        <v>2555</v>
      </c>
      <c r="I3595">
        <v>6</v>
      </c>
    </row>
    <row r="3596" spans="1:9" ht="15.6" x14ac:dyDescent="0.3">
      <c r="A3596" s="9">
        <v>3595</v>
      </c>
      <c r="B3596" s="2" t="s">
        <v>3601</v>
      </c>
      <c r="C3596" s="11">
        <v>22</v>
      </c>
      <c r="D3596" s="12">
        <v>50</v>
      </c>
      <c r="E3596" s="12" t="s">
        <v>8220</v>
      </c>
      <c r="F3596" s="13">
        <v>6</v>
      </c>
      <c r="G3596" s="14">
        <v>1856.2800000000002</v>
      </c>
      <c r="H3596" t="s">
        <v>1531</v>
      </c>
      <c r="I3596">
        <v>6</v>
      </c>
    </row>
    <row r="3597" spans="1:9" ht="15.6" x14ac:dyDescent="0.3">
      <c r="A3597" s="9">
        <v>3596</v>
      </c>
      <c r="B3597" s="2" t="s">
        <v>3602</v>
      </c>
      <c r="C3597" s="11">
        <v>16</v>
      </c>
      <c r="D3597" s="12">
        <v>33.333333333333329</v>
      </c>
      <c r="E3597" s="12" t="s">
        <v>8219</v>
      </c>
      <c r="F3597" s="13">
        <v>6</v>
      </c>
      <c r="G3597" s="14">
        <v>1831.2600000000002</v>
      </c>
      <c r="H3597" t="s">
        <v>507</v>
      </c>
      <c r="I3597">
        <v>5</v>
      </c>
    </row>
    <row r="3598" spans="1:9" ht="15.6" x14ac:dyDescent="0.3">
      <c r="A3598" s="9">
        <v>3597</v>
      </c>
      <c r="B3598" s="2" t="s">
        <v>3603</v>
      </c>
      <c r="C3598" s="11">
        <v>18</v>
      </c>
      <c r="D3598" s="12">
        <v>16.666666666666664</v>
      </c>
      <c r="E3598" s="12" t="s">
        <v>8219</v>
      </c>
      <c r="F3598" s="13">
        <v>6</v>
      </c>
      <c r="G3598" s="14">
        <v>1815.2599999999998</v>
      </c>
      <c r="H3598" t="s">
        <v>3323</v>
      </c>
      <c r="I3598">
        <v>5</v>
      </c>
    </row>
    <row r="3599" spans="1:9" ht="15.6" x14ac:dyDescent="0.3">
      <c r="A3599" s="9">
        <v>3598</v>
      </c>
      <c r="B3599" s="2" t="s">
        <v>3604</v>
      </c>
      <c r="C3599" s="11">
        <v>16</v>
      </c>
      <c r="D3599" s="12">
        <v>33.333333333333329</v>
      </c>
      <c r="E3599" s="12" t="s">
        <v>8219</v>
      </c>
      <c r="F3599" s="13">
        <v>6</v>
      </c>
      <c r="G3599" s="14">
        <v>1791.23</v>
      </c>
      <c r="H3599" t="s">
        <v>2299</v>
      </c>
      <c r="I3599">
        <v>5</v>
      </c>
    </row>
    <row r="3600" spans="1:9" ht="15.6" x14ac:dyDescent="0.3">
      <c r="A3600" s="9">
        <v>3599</v>
      </c>
      <c r="B3600" s="2" t="s">
        <v>3605</v>
      </c>
      <c r="C3600" s="11">
        <v>16</v>
      </c>
      <c r="D3600" s="12">
        <v>33.333333333333329</v>
      </c>
      <c r="E3600" s="12" t="s">
        <v>8219</v>
      </c>
      <c r="F3600" s="13">
        <v>6</v>
      </c>
      <c r="G3600" s="14">
        <v>1831.2600000000002</v>
      </c>
      <c r="H3600" t="s">
        <v>1275</v>
      </c>
      <c r="I3600">
        <v>5</v>
      </c>
    </row>
    <row r="3601" spans="1:9" ht="15.6" x14ac:dyDescent="0.3">
      <c r="A3601" s="9">
        <v>3600</v>
      </c>
      <c r="B3601" s="2" t="s">
        <v>3606</v>
      </c>
      <c r="C3601" s="11">
        <v>10</v>
      </c>
      <c r="D3601" s="12">
        <v>16.666666666666664</v>
      </c>
      <c r="E3601" s="12" t="s">
        <v>8219</v>
      </c>
      <c r="F3601" s="13">
        <v>6</v>
      </c>
      <c r="G3601" s="14">
        <v>1806.2399999999998</v>
      </c>
      <c r="H3601" t="s">
        <v>251</v>
      </c>
      <c r="I3601">
        <v>4</v>
      </c>
    </row>
    <row r="3602" spans="1:9" ht="15.6" x14ac:dyDescent="0.3">
      <c r="A3602" s="9">
        <v>3601</v>
      </c>
      <c r="B3602" s="2" t="s">
        <v>3607</v>
      </c>
      <c r="C3602" s="11">
        <v>24</v>
      </c>
      <c r="D3602" s="12">
        <v>33.333333333333329</v>
      </c>
      <c r="E3602" s="12" t="s">
        <v>8219</v>
      </c>
      <c r="F3602" s="13">
        <v>6</v>
      </c>
      <c r="G3602" s="14">
        <v>1800.25</v>
      </c>
      <c r="H3602" t="s">
        <v>4027</v>
      </c>
      <c r="I3602">
        <v>6</v>
      </c>
    </row>
    <row r="3603" spans="1:9" ht="15.6" x14ac:dyDescent="0.3">
      <c r="A3603" s="9">
        <v>3602</v>
      </c>
      <c r="B3603" s="2" t="s">
        <v>3608</v>
      </c>
      <c r="C3603" s="11">
        <v>22</v>
      </c>
      <c r="D3603" s="12">
        <v>50</v>
      </c>
      <c r="E3603" s="12" t="s">
        <v>8220</v>
      </c>
      <c r="F3603" s="13">
        <v>6</v>
      </c>
      <c r="G3603" s="14">
        <v>1776.2199999999998</v>
      </c>
      <c r="H3603" t="s">
        <v>3003</v>
      </c>
      <c r="I3603">
        <v>6</v>
      </c>
    </row>
    <row r="3604" spans="1:9" ht="15.6" x14ac:dyDescent="0.3">
      <c r="A3604" s="9">
        <v>3603</v>
      </c>
      <c r="B3604" s="2" t="s">
        <v>3609</v>
      </c>
      <c r="C3604" s="11">
        <v>22</v>
      </c>
      <c r="D3604" s="12">
        <v>50</v>
      </c>
      <c r="E3604" s="12" t="s">
        <v>8220</v>
      </c>
      <c r="F3604" s="13">
        <v>6</v>
      </c>
      <c r="G3604" s="14">
        <v>1816.25</v>
      </c>
      <c r="H3604" t="s">
        <v>1979</v>
      </c>
      <c r="I3604">
        <v>6</v>
      </c>
    </row>
    <row r="3605" spans="1:9" ht="15.6" x14ac:dyDescent="0.3">
      <c r="A3605" s="9">
        <v>3604</v>
      </c>
      <c r="B3605" s="2" t="s">
        <v>3610</v>
      </c>
      <c r="C3605" s="11">
        <v>16</v>
      </c>
      <c r="D3605" s="12">
        <v>33.333333333333329</v>
      </c>
      <c r="E3605" s="12" t="s">
        <v>8219</v>
      </c>
      <c r="F3605" s="13">
        <v>6</v>
      </c>
      <c r="G3605" s="14">
        <v>1791.23</v>
      </c>
      <c r="H3605" t="s">
        <v>955</v>
      </c>
      <c r="I3605">
        <v>5</v>
      </c>
    </row>
    <row r="3606" spans="1:9" ht="15.6" x14ac:dyDescent="0.3">
      <c r="A3606" s="9">
        <v>3605</v>
      </c>
      <c r="B3606" s="2" t="s">
        <v>3611</v>
      </c>
      <c r="C3606" s="11">
        <v>22</v>
      </c>
      <c r="D3606" s="12">
        <v>50</v>
      </c>
      <c r="E3606" s="12" t="s">
        <v>8220</v>
      </c>
      <c r="F3606" s="13">
        <v>6</v>
      </c>
      <c r="G3606" s="14">
        <v>1776.2199999999998</v>
      </c>
      <c r="H3606" t="s">
        <v>3771</v>
      </c>
      <c r="I3606">
        <v>6</v>
      </c>
    </row>
    <row r="3607" spans="1:9" ht="15.6" x14ac:dyDescent="0.3">
      <c r="A3607" s="9">
        <v>3606</v>
      </c>
      <c r="B3607" s="2" t="s">
        <v>3612</v>
      </c>
      <c r="C3607" s="11">
        <v>20</v>
      </c>
      <c r="D3607" s="12">
        <v>66.666666666666657</v>
      </c>
      <c r="E3607" s="12" t="s">
        <v>8220</v>
      </c>
      <c r="F3607" s="13">
        <v>6</v>
      </c>
      <c r="G3607" s="14">
        <v>1752.19</v>
      </c>
      <c r="H3607" t="s">
        <v>2747</v>
      </c>
      <c r="I3607">
        <v>6</v>
      </c>
    </row>
    <row r="3608" spans="1:9" ht="15.6" x14ac:dyDescent="0.3">
      <c r="A3608" s="9">
        <v>3607</v>
      </c>
      <c r="B3608" s="2" t="s">
        <v>3613</v>
      </c>
      <c r="C3608" s="11">
        <v>20</v>
      </c>
      <c r="D3608" s="12">
        <v>66.666666666666657</v>
      </c>
      <c r="E3608" s="12" t="s">
        <v>8220</v>
      </c>
      <c r="F3608" s="13">
        <v>6</v>
      </c>
      <c r="G3608" s="14">
        <v>1792.2199999999998</v>
      </c>
      <c r="H3608" t="s">
        <v>1723</v>
      </c>
      <c r="I3608">
        <v>6</v>
      </c>
    </row>
    <row r="3609" spans="1:9" ht="15.6" x14ac:dyDescent="0.3">
      <c r="A3609" s="9">
        <v>3608</v>
      </c>
      <c r="B3609" s="2" t="s">
        <v>3614</v>
      </c>
      <c r="C3609" s="11">
        <v>14</v>
      </c>
      <c r="D3609" s="12">
        <v>50</v>
      </c>
      <c r="E3609" s="12" t="s">
        <v>8220</v>
      </c>
      <c r="F3609" s="13">
        <v>6</v>
      </c>
      <c r="G3609" s="14">
        <v>1767.1999999999998</v>
      </c>
      <c r="H3609" t="s">
        <v>699</v>
      </c>
      <c r="I3609">
        <v>5</v>
      </c>
    </row>
    <row r="3610" spans="1:9" ht="15.6" x14ac:dyDescent="0.3">
      <c r="A3610" s="9">
        <v>3609</v>
      </c>
      <c r="B3610" s="2" t="s">
        <v>3615</v>
      </c>
      <c r="C3610" s="11">
        <v>22</v>
      </c>
      <c r="D3610" s="12">
        <v>50</v>
      </c>
      <c r="E3610" s="12" t="s">
        <v>8220</v>
      </c>
      <c r="F3610" s="13">
        <v>6</v>
      </c>
      <c r="G3610" s="14">
        <v>1816.25</v>
      </c>
      <c r="H3610" t="s">
        <v>3515</v>
      </c>
      <c r="I3610">
        <v>6</v>
      </c>
    </row>
    <row r="3611" spans="1:9" ht="15.6" x14ac:dyDescent="0.3">
      <c r="A3611" s="9">
        <v>3610</v>
      </c>
      <c r="B3611" s="2" t="s">
        <v>3616</v>
      </c>
      <c r="C3611" s="11">
        <v>20</v>
      </c>
      <c r="D3611" s="12">
        <v>66.666666666666657</v>
      </c>
      <c r="E3611" s="12" t="s">
        <v>8220</v>
      </c>
      <c r="F3611" s="13">
        <v>6</v>
      </c>
      <c r="G3611" s="14">
        <v>1792.2199999999998</v>
      </c>
      <c r="H3611" t="s">
        <v>2491</v>
      </c>
      <c r="I3611">
        <v>6</v>
      </c>
    </row>
    <row r="3612" spans="1:9" ht="15.6" x14ac:dyDescent="0.3">
      <c r="A3612" s="9">
        <v>3611</v>
      </c>
      <c r="B3612" s="2" t="s">
        <v>3617</v>
      </c>
      <c r="C3612" s="11">
        <v>20</v>
      </c>
      <c r="D3612" s="12">
        <v>66.666666666666657</v>
      </c>
      <c r="E3612" s="12" t="s">
        <v>8220</v>
      </c>
      <c r="F3612" s="13">
        <v>6</v>
      </c>
      <c r="G3612" s="14">
        <v>1832.25</v>
      </c>
      <c r="H3612" t="s">
        <v>1467</v>
      </c>
      <c r="I3612">
        <v>6</v>
      </c>
    </row>
    <row r="3613" spans="1:9" ht="15.6" x14ac:dyDescent="0.3">
      <c r="A3613" s="9">
        <v>3612</v>
      </c>
      <c r="B3613" s="2" t="s">
        <v>3618</v>
      </c>
      <c r="C3613" s="11">
        <v>14</v>
      </c>
      <c r="D3613" s="12">
        <v>50</v>
      </c>
      <c r="E3613" s="12" t="s">
        <v>8220</v>
      </c>
      <c r="F3613" s="13">
        <v>6</v>
      </c>
      <c r="G3613" s="14">
        <v>1807.23</v>
      </c>
      <c r="H3613" t="s">
        <v>443</v>
      </c>
      <c r="I3613">
        <v>5</v>
      </c>
    </row>
    <row r="3614" spans="1:9" ht="15.6" x14ac:dyDescent="0.3">
      <c r="A3614" s="9">
        <v>3613</v>
      </c>
      <c r="B3614" s="2" t="s">
        <v>3619</v>
      </c>
      <c r="C3614" s="11">
        <v>16</v>
      </c>
      <c r="D3614" s="12">
        <v>33.333333333333329</v>
      </c>
      <c r="E3614" s="12" t="s">
        <v>8219</v>
      </c>
      <c r="F3614" s="13">
        <v>6</v>
      </c>
      <c r="G3614" s="14">
        <v>1791.23</v>
      </c>
      <c r="H3614" t="s">
        <v>3259</v>
      </c>
      <c r="I3614">
        <v>5</v>
      </c>
    </row>
    <row r="3615" spans="1:9" ht="15.6" x14ac:dyDescent="0.3">
      <c r="A3615" s="9">
        <v>3614</v>
      </c>
      <c r="B3615" s="2" t="s">
        <v>3620</v>
      </c>
      <c r="C3615" s="11">
        <v>14</v>
      </c>
      <c r="D3615" s="12">
        <v>50</v>
      </c>
      <c r="E3615" s="12" t="s">
        <v>8220</v>
      </c>
      <c r="F3615" s="13">
        <v>6</v>
      </c>
      <c r="G3615" s="14">
        <v>1767.1999999999998</v>
      </c>
      <c r="H3615" t="s">
        <v>2235</v>
      </c>
      <c r="I3615">
        <v>5</v>
      </c>
    </row>
    <row r="3616" spans="1:9" ht="15.6" x14ac:dyDescent="0.3">
      <c r="A3616" s="9">
        <v>3615</v>
      </c>
      <c r="B3616" s="2" t="s">
        <v>3621</v>
      </c>
      <c r="C3616" s="11">
        <v>14</v>
      </c>
      <c r="D3616" s="12">
        <v>50</v>
      </c>
      <c r="E3616" s="12" t="s">
        <v>8220</v>
      </c>
      <c r="F3616" s="13">
        <v>6</v>
      </c>
      <c r="G3616" s="14">
        <v>1807.23</v>
      </c>
      <c r="H3616" t="s">
        <v>1211</v>
      </c>
      <c r="I3616">
        <v>5</v>
      </c>
    </row>
    <row r="3617" spans="1:9" ht="15.6" x14ac:dyDescent="0.3">
      <c r="A3617" s="9">
        <v>3616</v>
      </c>
      <c r="B3617" s="2" t="s">
        <v>3622</v>
      </c>
      <c r="C3617" s="11">
        <v>8</v>
      </c>
      <c r="D3617" s="12">
        <v>33.333333333333329</v>
      </c>
      <c r="E3617" s="12" t="s">
        <v>8219</v>
      </c>
      <c r="F3617" s="13">
        <v>6</v>
      </c>
      <c r="G3617" s="14">
        <v>1782.21</v>
      </c>
      <c r="H3617" t="s">
        <v>187</v>
      </c>
      <c r="I3617">
        <v>4</v>
      </c>
    </row>
    <row r="3618" spans="1:9" ht="15.6" x14ac:dyDescent="0.3">
      <c r="A3618" s="9">
        <v>3617</v>
      </c>
      <c r="B3618" s="2" t="s">
        <v>3623</v>
      </c>
      <c r="C3618" s="11">
        <v>24</v>
      </c>
      <c r="D3618" s="12">
        <v>33.333333333333329</v>
      </c>
      <c r="E3618" s="12" t="s">
        <v>8219</v>
      </c>
      <c r="F3618" s="13">
        <v>6</v>
      </c>
      <c r="G3618" s="14">
        <v>1840.2800000000002</v>
      </c>
      <c r="H3618" t="s">
        <v>3963</v>
      </c>
      <c r="I3618">
        <v>6</v>
      </c>
    </row>
    <row r="3619" spans="1:9" ht="15.6" x14ac:dyDescent="0.3">
      <c r="A3619" s="9">
        <v>3618</v>
      </c>
      <c r="B3619" s="2" t="s">
        <v>3624</v>
      </c>
      <c r="C3619" s="11">
        <v>22</v>
      </c>
      <c r="D3619" s="12">
        <v>50</v>
      </c>
      <c r="E3619" s="12" t="s">
        <v>8220</v>
      </c>
      <c r="F3619" s="13">
        <v>6</v>
      </c>
      <c r="G3619" s="14">
        <v>1816.25</v>
      </c>
      <c r="H3619" t="s">
        <v>2939</v>
      </c>
      <c r="I3619">
        <v>6</v>
      </c>
    </row>
    <row r="3620" spans="1:9" ht="15.6" x14ac:dyDescent="0.3">
      <c r="A3620" s="9">
        <v>3619</v>
      </c>
      <c r="B3620" s="2" t="s">
        <v>3625</v>
      </c>
      <c r="C3620" s="11">
        <v>22</v>
      </c>
      <c r="D3620" s="12">
        <v>50</v>
      </c>
      <c r="E3620" s="12" t="s">
        <v>8220</v>
      </c>
      <c r="F3620" s="13">
        <v>6</v>
      </c>
      <c r="G3620" s="14">
        <v>1856.2800000000002</v>
      </c>
      <c r="H3620" t="s">
        <v>1915</v>
      </c>
      <c r="I3620">
        <v>6</v>
      </c>
    </row>
    <row r="3621" spans="1:9" ht="15.6" x14ac:dyDescent="0.3">
      <c r="A3621" s="9">
        <v>3620</v>
      </c>
      <c r="B3621" s="2" t="s">
        <v>3626</v>
      </c>
      <c r="C3621" s="11">
        <v>16</v>
      </c>
      <c r="D3621" s="12">
        <v>33.333333333333329</v>
      </c>
      <c r="E3621" s="12" t="s">
        <v>8219</v>
      </c>
      <c r="F3621" s="13">
        <v>6</v>
      </c>
      <c r="G3621" s="14">
        <v>1831.2600000000002</v>
      </c>
      <c r="H3621" t="s">
        <v>891</v>
      </c>
      <c r="I3621">
        <v>5</v>
      </c>
    </row>
    <row r="3622" spans="1:9" ht="15.6" x14ac:dyDescent="0.3">
      <c r="A3622" s="9">
        <v>3621</v>
      </c>
      <c r="B3622" s="2" t="s">
        <v>3627</v>
      </c>
      <c r="C3622" s="11">
        <v>22</v>
      </c>
      <c r="D3622" s="12">
        <v>50</v>
      </c>
      <c r="E3622" s="12" t="s">
        <v>8220</v>
      </c>
      <c r="F3622" s="13">
        <v>6</v>
      </c>
      <c r="G3622" s="14">
        <v>1816.25</v>
      </c>
      <c r="H3622" t="s">
        <v>3707</v>
      </c>
      <c r="I3622">
        <v>6</v>
      </c>
    </row>
    <row r="3623" spans="1:9" ht="15.6" x14ac:dyDescent="0.3">
      <c r="A3623" s="9">
        <v>3622</v>
      </c>
      <c r="B3623" s="2" t="s">
        <v>3628</v>
      </c>
      <c r="C3623" s="11">
        <v>20</v>
      </c>
      <c r="D3623" s="12">
        <v>66.666666666666657</v>
      </c>
      <c r="E3623" s="12" t="s">
        <v>8220</v>
      </c>
      <c r="F3623" s="13">
        <v>6</v>
      </c>
      <c r="G3623" s="14">
        <v>1792.2199999999998</v>
      </c>
      <c r="H3623" t="s">
        <v>2683</v>
      </c>
      <c r="I3623">
        <v>6</v>
      </c>
    </row>
    <row r="3624" spans="1:9" ht="15.6" x14ac:dyDescent="0.3">
      <c r="A3624" s="9">
        <v>3623</v>
      </c>
      <c r="B3624" s="2" t="s">
        <v>3629</v>
      </c>
      <c r="C3624" s="11">
        <v>20</v>
      </c>
      <c r="D3624" s="12">
        <v>66.666666666666657</v>
      </c>
      <c r="E3624" s="12" t="s">
        <v>8220</v>
      </c>
      <c r="F3624" s="13">
        <v>6</v>
      </c>
      <c r="G3624" s="14">
        <v>1832.25</v>
      </c>
      <c r="H3624" t="s">
        <v>1659</v>
      </c>
      <c r="I3624">
        <v>6</v>
      </c>
    </row>
    <row r="3625" spans="1:9" ht="15.6" x14ac:dyDescent="0.3">
      <c r="A3625" s="9">
        <v>3624</v>
      </c>
      <c r="B3625" s="2" t="s">
        <v>3630</v>
      </c>
      <c r="C3625" s="11">
        <v>14</v>
      </c>
      <c r="D3625" s="12">
        <v>50</v>
      </c>
      <c r="E3625" s="12" t="s">
        <v>8220</v>
      </c>
      <c r="F3625" s="13">
        <v>6</v>
      </c>
      <c r="G3625" s="14">
        <v>1807.23</v>
      </c>
      <c r="H3625" t="s">
        <v>635</v>
      </c>
      <c r="I3625">
        <v>5</v>
      </c>
    </row>
    <row r="3626" spans="1:9" ht="15.6" x14ac:dyDescent="0.3">
      <c r="A3626" s="9">
        <v>3625</v>
      </c>
      <c r="B3626" s="2" t="s">
        <v>3631</v>
      </c>
      <c r="C3626" s="11">
        <v>22</v>
      </c>
      <c r="D3626" s="12">
        <v>50</v>
      </c>
      <c r="E3626" s="12" t="s">
        <v>8220</v>
      </c>
      <c r="F3626" s="13">
        <v>6</v>
      </c>
      <c r="G3626" s="14">
        <v>1856.2800000000002</v>
      </c>
      <c r="H3626" t="s">
        <v>3451</v>
      </c>
      <c r="I3626">
        <v>6</v>
      </c>
    </row>
    <row r="3627" spans="1:9" ht="15.6" x14ac:dyDescent="0.3">
      <c r="A3627" s="9">
        <v>3626</v>
      </c>
      <c r="B3627" s="2" t="s">
        <v>3632</v>
      </c>
      <c r="C3627" s="11">
        <v>20</v>
      </c>
      <c r="D3627" s="12">
        <v>66.666666666666657</v>
      </c>
      <c r="E3627" s="12" t="s">
        <v>8220</v>
      </c>
      <c r="F3627" s="13">
        <v>6</v>
      </c>
      <c r="G3627" s="14">
        <v>1832.25</v>
      </c>
      <c r="H3627" t="s">
        <v>2427</v>
      </c>
      <c r="I3627">
        <v>6</v>
      </c>
    </row>
    <row r="3628" spans="1:9" ht="15.6" x14ac:dyDescent="0.3">
      <c r="A3628" s="9">
        <v>3627</v>
      </c>
      <c r="B3628" s="2" t="s">
        <v>3633</v>
      </c>
      <c r="C3628" s="11">
        <v>20</v>
      </c>
      <c r="D3628" s="12">
        <v>66.666666666666657</v>
      </c>
      <c r="E3628" s="12" t="s">
        <v>8220</v>
      </c>
      <c r="F3628" s="13">
        <v>6</v>
      </c>
      <c r="G3628" s="14">
        <v>1872.2800000000002</v>
      </c>
      <c r="H3628" t="s">
        <v>1403</v>
      </c>
      <c r="I3628">
        <v>6</v>
      </c>
    </row>
    <row r="3629" spans="1:9" ht="15.6" x14ac:dyDescent="0.3">
      <c r="A3629" s="9">
        <v>3628</v>
      </c>
      <c r="B3629" s="2" t="s">
        <v>3634</v>
      </c>
      <c r="C3629" s="11">
        <v>14</v>
      </c>
      <c r="D3629" s="12">
        <v>50</v>
      </c>
      <c r="E3629" s="12" t="s">
        <v>8220</v>
      </c>
      <c r="F3629" s="13">
        <v>6</v>
      </c>
      <c r="G3629" s="14">
        <v>1847.2600000000002</v>
      </c>
      <c r="H3629" t="s">
        <v>379</v>
      </c>
      <c r="I3629">
        <v>5</v>
      </c>
    </row>
    <row r="3630" spans="1:9" ht="15.6" x14ac:dyDescent="0.3">
      <c r="A3630" s="9">
        <v>3629</v>
      </c>
      <c r="B3630" s="2" t="s">
        <v>3635</v>
      </c>
      <c r="C3630" s="11">
        <v>16</v>
      </c>
      <c r="D3630" s="12">
        <v>33.333333333333329</v>
      </c>
      <c r="E3630" s="12" t="s">
        <v>8219</v>
      </c>
      <c r="F3630" s="13">
        <v>6</v>
      </c>
      <c r="G3630" s="14">
        <v>1831.2600000000002</v>
      </c>
      <c r="H3630" t="s">
        <v>3195</v>
      </c>
      <c r="I3630">
        <v>5</v>
      </c>
    </row>
    <row r="3631" spans="1:9" ht="15.6" x14ac:dyDescent="0.3">
      <c r="A3631" s="9">
        <v>3630</v>
      </c>
      <c r="B3631" s="2" t="s">
        <v>3636</v>
      </c>
      <c r="C3631" s="11">
        <v>14</v>
      </c>
      <c r="D3631" s="12">
        <v>50</v>
      </c>
      <c r="E3631" s="12" t="s">
        <v>8220</v>
      </c>
      <c r="F3631" s="13">
        <v>6</v>
      </c>
      <c r="G3631" s="14">
        <v>1807.23</v>
      </c>
      <c r="H3631" t="s">
        <v>2171</v>
      </c>
      <c r="I3631">
        <v>5</v>
      </c>
    </row>
    <row r="3632" spans="1:9" ht="15.6" x14ac:dyDescent="0.3">
      <c r="A3632" s="9">
        <v>3631</v>
      </c>
      <c r="B3632" s="2" t="s">
        <v>3637</v>
      </c>
      <c r="C3632" s="11">
        <v>14</v>
      </c>
      <c r="D3632" s="12">
        <v>50</v>
      </c>
      <c r="E3632" s="12" t="s">
        <v>8220</v>
      </c>
      <c r="F3632" s="13">
        <v>6</v>
      </c>
      <c r="G3632" s="14">
        <v>1847.2600000000002</v>
      </c>
      <c r="H3632" t="s">
        <v>1147</v>
      </c>
      <c r="I3632">
        <v>5</v>
      </c>
    </row>
    <row r="3633" spans="1:9" ht="15.6" x14ac:dyDescent="0.3">
      <c r="A3633" s="9">
        <v>3632</v>
      </c>
      <c r="B3633" s="2" t="s">
        <v>3638</v>
      </c>
      <c r="C3633" s="11">
        <v>8</v>
      </c>
      <c r="D3633" s="12">
        <v>33.333333333333329</v>
      </c>
      <c r="E3633" s="12" t="s">
        <v>8219</v>
      </c>
      <c r="F3633" s="13">
        <v>6</v>
      </c>
      <c r="G3633" s="14">
        <v>1822.2400000000002</v>
      </c>
      <c r="H3633" t="s">
        <v>123</v>
      </c>
      <c r="I3633">
        <v>4</v>
      </c>
    </row>
    <row r="3634" spans="1:9" ht="15.6" x14ac:dyDescent="0.3">
      <c r="A3634" s="9">
        <v>3633</v>
      </c>
      <c r="B3634" s="2" t="s">
        <v>3639</v>
      </c>
      <c r="C3634" s="11">
        <v>18</v>
      </c>
      <c r="D3634" s="12">
        <v>16.666666666666664</v>
      </c>
      <c r="E3634" s="12" t="s">
        <v>8219</v>
      </c>
      <c r="F3634" s="13">
        <v>6</v>
      </c>
      <c r="G3634" s="14">
        <v>1815.2599999999998</v>
      </c>
      <c r="H3634" t="s">
        <v>3899</v>
      </c>
      <c r="I3634">
        <v>5</v>
      </c>
    </row>
    <row r="3635" spans="1:9" ht="15.6" x14ac:dyDescent="0.3">
      <c r="A3635" s="9">
        <v>3634</v>
      </c>
      <c r="B3635" s="2" t="s">
        <v>3640</v>
      </c>
      <c r="C3635" s="11">
        <v>16</v>
      </c>
      <c r="D3635" s="12">
        <v>33.333333333333329</v>
      </c>
      <c r="E3635" s="12" t="s">
        <v>8219</v>
      </c>
      <c r="F3635" s="13">
        <v>6</v>
      </c>
      <c r="G3635" s="14">
        <v>1791.23</v>
      </c>
      <c r="H3635" t="s">
        <v>2875</v>
      </c>
      <c r="I3635">
        <v>5</v>
      </c>
    </row>
    <row r="3636" spans="1:9" ht="15.6" x14ac:dyDescent="0.3">
      <c r="A3636" s="9">
        <v>3635</v>
      </c>
      <c r="B3636" s="2" t="s">
        <v>3641</v>
      </c>
      <c r="C3636" s="11">
        <v>16</v>
      </c>
      <c r="D3636" s="12">
        <v>33.333333333333329</v>
      </c>
      <c r="E3636" s="12" t="s">
        <v>8219</v>
      </c>
      <c r="F3636" s="13">
        <v>6</v>
      </c>
      <c r="G3636" s="14">
        <v>1831.2600000000002</v>
      </c>
      <c r="H3636" t="s">
        <v>1851</v>
      </c>
      <c r="I3636">
        <v>5</v>
      </c>
    </row>
    <row r="3637" spans="1:9" ht="15.6" x14ac:dyDescent="0.3">
      <c r="A3637" s="9">
        <v>3636</v>
      </c>
      <c r="B3637" s="2" t="s">
        <v>3642</v>
      </c>
      <c r="C3637" s="11">
        <v>10</v>
      </c>
      <c r="D3637" s="12">
        <v>16.666666666666664</v>
      </c>
      <c r="E3637" s="12" t="s">
        <v>8219</v>
      </c>
      <c r="F3637" s="13">
        <v>6</v>
      </c>
      <c r="G3637" s="14">
        <v>1806.2399999999998</v>
      </c>
      <c r="H3637" t="s">
        <v>827</v>
      </c>
      <c r="I3637">
        <v>4</v>
      </c>
    </row>
    <row r="3638" spans="1:9" ht="15.6" x14ac:dyDescent="0.3">
      <c r="A3638" s="9">
        <v>3637</v>
      </c>
      <c r="B3638" s="2" t="s">
        <v>3643</v>
      </c>
      <c r="C3638" s="11">
        <v>16</v>
      </c>
      <c r="D3638" s="12">
        <v>33.333333333333329</v>
      </c>
      <c r="E3638" s="12" t="s">
        <v>8219</v>
      </c>
      <c r="F3638" s="13">
        <v>6</v>
      </c>
      <c r="G3638" s="14">
        <v>1791.23</v>
      </c>
      <c r="H3638" t="s">
        <v>3643</v>
      </c>
      <c r="I3638">
        <v>5</v>
      </c>
    </row>
    <row r="3639" spans="1:9" ht="15.6" x14ac:dyDescent="0.3">
      <c r="A3639" s="9">
        <v>3638</v>
      </c>
      <c r="B3639" s="2" t="s">
        <v>3644</v>
      </c>
      <c r="C3639" s="11">
        <v>14</v>
      </c>
      <c r="D3639" s="12">
        <v>50</v>
      </c>
      <c r="E3639" s="12" t="s">
        <v>8220</v>
      </c>
      <c r="F3639" s="13">
        <v>6</v>
      </c>
      <c r="G3639" s="14">
        <v>1767.1999999999998</v>
      </c>
      <c r="H3639" t="s">
        <v>2619</v>
      </c>
      <c r="I3639">
        <v>5</v>
      </c>
    </row>
    <row r="3640" spans="1:9" ht="15.6" x14ac:dyDescent="0.3">
      <c r="A3640" s="9">
        <v>3639</v>
      </c>
      <c r="B3640" s="2" t="s">
        <v>3645</v>
      </c>
      <c r="C3640" s="11">
        <v>14</v>
      </c>
      <c r="D3640" s="12">
        <v>50</v>
      </c>
      <c r="E3640" s="12" t="s">
        <v>8220</v>
      </c>
      <c r="F3640" s="13">
        <v>6</v>
      </c>
      <c r="G3640" s="14">
        <v>1807.23</v>
      </c>
      <c r="H3640" t="s">
        <v>1595</v>
      </c>
      <c r="I3640">
        <v>5</v>
      </c>
    </row>
    <row r="3641" spans="1:9" ht="15.6" x14ac:dyDescent="0.3">
      <c r="A3641" s="9">
        <v>3640</v>
      </c>
      <c r="B3641" s="2" t="s">
        <v>3646</v>
      </c>
      <c r="C3641" s="11">
        <v>8</v>
      </c>
      <c r="D3641" s="12">
        <v>33.333333333333329</v>
      </c>
      <c r="E3641" s="12" t="s">
        <v>8219</v>
      </c>
      <c r="F3641" s="13">
        <v>6</v>
      </c>
      <c r="G3641" s="14">
        <v>1782.21</v>
      </c>
      <c r="H3641" t="s">
        <v>571</v>
      </c>
      <c r="I3641">
        <v>4</v>
      </c>
    </row>
    <row r="3642" spans="1:9" ht="15.6" x14ac:dyDescent="0.3">
      <c r="A3642" s="9">
        <v>3641</v>
      </c>
      <c r="B3642" s="2" t="s">
        <v>3647</v>
      </c>
      <c r="C3642" s="11">
        <v>16</v>
      </c>
      <c r="D3642" s="12">
        <v>33.333333333333329</v>
      </c>
      <c r="E3642" s="12" t="s">
        <v>8219</v>
      </c>
      <c r="F3642" s="13">
        <v>6</v>
      </c>
      <c r="G3642" s="14">
        <v>1831.2600000000002</v>
      </c>
      <c r="H3642" t="s">
        <v>3387</v>
      </c>
      <c r="I3642">
        <v>5</v>
      </c>
    </row>
    <row r="3643" spans="1:9" ht="15.6" x14ac:dyDescent="0.3">
      <c r="A3643" s="9">
        <v>3642</v>
      </c>
      <c r="B3643" s="2" t="s">
        <v>3648</v>
      </c>
      <c r="C3643" s="11">
        <v>14</v>
      </c>
      <c r="D3643" s="12">
        <v>50</v>
      </c>
      <c r="E3643" s="12" t="s">
        <v>8220</v>
      </c>
      <c r="F3643" s="13">
        <v>6</v>
      </c>
      <c r="G3643" s="14">
        <v>1807.23</v>
      </c>
      <c r="H3643" t="s">
        <v>2363</v>
      </c>
      <c r="I3643">
        <v>5</v>
      </c>
    </row>
    <row r="3644" spans="1:9" ht="15.6" x14ac:dyDescent="0.3">
      <c r="A3644" s="9">
        <v>3643</v>
      </c>
      <c r="B3644" s="2" t="s">
        <v>3649</v>
      </c>
      <c r="C3644" s="11">
        <v>14</v>
      </c>
      <c r="D3644" s="12">
        <v>50</v>
      </c>
      <c r="E3644" s="12" t="s">
        <v>8220</v>
      </c>
      <c r="F3644" s="13">
        <v>6</v>
      </c>
      <c r="G3644" s="14">
        <v>1847.2600000000002</v>
      </c>
      <c r="H3644" t="s">
        <v>1339</v>
      </c>
      <c r="I3644">
        <v>5</v>
      </c>
    </row>
    <row r="3645" spans="1:9" ht="15.6" x14ac:dyDescent="0.3">
      <c r="A3645" s="9">
        <v>3644</v>
      </c>
      <c r="B3645" s="2" t="s">
        <v>3650</v>
      </c>
      <c r="C3645" s="11">
        <v>8</v>
      </c>
      <c r="D3645" s="12">
        <v>33.333333333333329</v>
      </c>
      <c r="E3645" s="12" t="s">
        <v>8219</v>
      </c>
      <c r="F3645" s="13">
        <v>6</v>
      </c>
      <c r="G3645" s="14">
        <v>1822.2400000000002</v>
      </c>
      <c r="H3645" t="s">
        <v>315</v>
      </c>
      <c r="I3645">
        <v>4</v>
      </c>
    </row>
    <row r="3646" spans="1:9" ht="15.6" x14ac:dyDescent="0.3">
      <c r="A3646" s="9">
        <v>3645</v>
      </c>
      <c r="B3646" s="2" t="s">
        <v>3651</v>
      </c>
      <c r="C3646" s="11">
        <v>10</v>
      </c>
      <c r="D3646" s="12">
        <v>16.666666666666664</v>
      </c>
      <c r="E3646" s="12" t="s">
        <v>8219</v>
      </c>
      <c r="F3646" s="13">
        <v>6</v>
      </c>
      <c r="G3646" s="14">
        <v>1806.2399999999998</v>
      </c>
      <c r="H3646" t="s">
        <v>3131</v>
      </c>
      <c r="I3646">
        <v>4</v>
      </c>
    </row>
    <row r="3647" spans="1:9" ht="15.6" x14ac:dyDescent="0.3">
      <c r="A3647" s="9">
        <v>3646</v>
      </c>
      <c r="B3647" s="2" t="s">
        <v>3652</v>
      </c>
      <c r="C3647" s="11">
        <v>8</v>
      </c>
      <c r="D3647" s="12">
        <v>33.333333333333329</v>
      </c>
      <c r="E3647" s="12" t="s">
        <v>8219</v>
      </c>
      <c r="F3647" s="13">
        <v>6</v>
      </c>
      <c r="G3647" s="14">
        <v>1782.21</v>
      </c>
      <c r="H3647" t="s">
        <v>2107</v>
      </c>
      <c r="I3647">
        <v>4</v>
      </c>
    </row>
    <row r="3648" spans="1:9" ht="15.6" x14ac:dyDescent="0.3">
      <c r="A3648" s="9">
        <v>3647</v>
      </c>
      <c r="B3648" s="2" t="s">
        <v>3653</v>
      </c>
      <c r="C3648" s="11">
        <v>8</v>
      </c>
      <c r="D3648" s="12">
        <v>33.333333333333329</v>
      </c>
      <c r="E3648" s="12" t="s">
        <v>8219</v>
      </c>
      <c r="F3648" s="13">
        <v>6</v>
      </c>
      <c r="G3648" s="14">
        <v>1822.2400000000002</v>
      </c>
      <c r="H3648" t="s">
        <v>1083</v>
      </c>
      <c r="I3648">
        <v>4</v>
      </c>
    </row>
    <row r="3649" spans="1:9" ht="15.6" x14ac:dyDescent="0.3">
      <c r="A3649" s="9">
        <v>3648</v>
      </c>
      <c r="B3649" s="2" t="s">
        <v>3654</v>
      </c>
      <c r="C3649" s="11">
        <v>2</v>
      </c>
      <c r="D3649" s="12">
        <v>16.666666666666664</v>
      </c>
      <c r="E3649" s="12" t="s">
        <v>8219</v>
      </c>
      <c r="F3649" s="13">
        <v>6</v>
      </c>
      <c r="G3649" s="14">
        <v>1797.2199999999998</v>
      </c>
      <c r="H3649" t="s">
        <v>59</v>
      </c>
      <c r="I3649">
        <v>3</v>
      </c>
    </row>
    <row r="3650" spans="1:9" ht="15.6" x14ac:dyDescent="0.3">
      <c r="A3650" s="9">
        <v>3649</v>
      </c>
      <c r="B3650" s="2" t="s">
        <v>3655</v>
      </c>
      <c r="C3650" s="11">
        <v>24</v>
      </c>
      <c r="D3650" s="12">
        <v>33.333333333333329</v>
      </c>
      <c r="E3650" s="12" t="s">
        <v>8219</v>
      </c>
      <c r="F3650" s="13">
        <v>6</v>
      </c>
      <c r="G3650" s="14">
        <v>1800.25</v>
      </c>
      <c r="H3650" t="s">
        <v>4075</v>
      </c>
      <c r="I3650">
        <v>6</v>
      </c>
    </row>
    <row r="3651" spans="1:9" ht="15.6" x14ac:dyDescent="0.3">
      <c r="A3651" s="9">
        <v>3650</v>
      </c>
      <c r="B3651" s="2" t="s">
        <v>3656</v>
      </c>
      <c r="C3651" s="11">
        <v>22</v>
      </c>
      <c r="D3651" s="12">
        <v>50</v>
      </c>
      <c r="E3651" s="12" t="s">
        <v>8220</v>
      </c>
      <c r="F3651" s="13">
        <v>6</v>
      </c>
      <c r="G3651" s="14">
        <v>1776.2199999999998</v>
      </c>
      <c r="H3651" t="s">
        <v>3051</v>
      </c>
      <c r="I3651">
        <v>6</v>
      </c>
    </row>
    <row r="3652" spans="1:9" ht="15.6" x14ac:dyDescent="0.3">
      <c r="A3652" s="9">
        <v>3651</v>
      </c>
      <c r="B3652" s="2" t="s">
        <v>3657</v>
      </c>
      <c r="C3652" s="11">
        <v>22</v>
      </c>
      <c r="D3652" s="12">
        <v>50</v>
      </c>
      <c r="E3652" s="12" t="s">
        <v>8220</v>
      </c>
      <c r="F3652" s="13">
        <v>6</v>
      </c>
      <c r="G3652" s="14">
        <v>1816.25</v>
      </c>
      <c r="H3652" t="s">
        <v>2027</v>
      </c>
      <c r="I3652">
        <v>6</v>
      </c>
    </row>
    <row r="3653" spans="1:9" ht="15.6" x14ac:dyDescent="0.3">
      <c r="A3653" s="9">
        <v>3652</v>
      </c>
      <c r="B3653" s="2" t="s">
        <v>3658</v>
      </c>
      <c r="C3653" s="11">
        <v>16</v>
      </c>
      <c r="D3653" s="12">
        <v>33.333333333333329</v>
      </c>
      <c r="E3653" s="12" t="s">
        <v>8219</v>
      </c>
      <c r="F3653" s="13">
        <v>6</v>
      </c>
      <c r="G3653" s="14">
        <v>1791.23</v>
      </c>
      <c r="H3653" t="s">
        <v>1003</v>
      </c>
      <c r="I3653">
        <v>5</v>
      </c>
    </row>
    <row r="3654" spans="1:9" ht="15.6" x14ac:dyDescent="0.3">
      <c r="A3654" s="9">
        <v>3653</v>
      </c>
      <c r="B3654" s="2" t="s">
        <v>3659</v>
      </c>
      <c r="C3654" s="11">
        <v>22</v>
      </c>
      <c r="D3654" s="12">
        <v>50</v>
      </c>
      <c r="E3654" s="12" t="s">
        <v>8220</v>
      </c>
      <c r="F3654" s="13">
        <v>6</v>
      </c>
      <c r="G3654" s="14">
        <v>1776.2199999999998</v>
      </c>
      <c r="H3654" t="s">
        <v>3819</v>
      </c>
      <c r="I3654">
        <v>6</v>
      </c>
    </row>
    <row r="3655" spans="1:9" ht="15.6" x14ac:dyDescent="0.3">
      <c r="A3655" s="9">
        <v>3654</v>
      </c>
      <c r="B3655" s="2" t="s">
        <v>3660</v>
      </c>
      <c r="C3655" s="11">
        <v>20</v>
      </c>
      <c r="D3655" s="12">
        <v>66.666666666666657</v>
      </c>
      <c r="E3655" s="12" t="s">
        <v>8220</v>
      </c>
      <c r="F3655" s="13">
        <v>6</v>
      </c>
      <c r="G3655" s="14">
        <v>1752.19</v>
      </c>
      <c r="H3655" t="s">
        <v>2795</v>
      </c>
      <c r="I3655">
        <v>6</v>
      </c>
    </row>
    <row r="3656" spans="1:9" ht="15.6" x14ac:dyDescent="0.3">
      <c r="A3656" s="9">
        <v>3655</v>
      </c>
      <c r="B3656" s="2" t="s">
        <v>3661</v>
      </c>
      <c r="C3656" s="11">
        <v>20</v>
      </c>
      <c r="D3656" s="12">
        <v>66.666666666666657</v>
      </c>
      <c r="E3656" s="12" t="s">
        <v>8220</v>
      </c>
      <c r="F3656" s="13">
        <v>6</v>
      </c>
      <c r="G3656" s="14">
        <v>1792.2199999999998</v>
      </c>
      <c r="H3656" t="s">
        <v>1771</v>
      </c>
      <c r="I3656">
        <v>6</v>
      </c>
    </row>
    <row r="3657" spans="1:9" ht="15.6" x14ac:dyDescent="0.3">
      <c r="A3657" s="9">
        <v>3656</v>
      </c>
      <c r="B3657" s="2" t="s">
        <v>3662</v>
      </c>
      <c r="C3657" s="11">
        <v>14</v>
      </c>
      <c r="D3657" s="12">
        <v>50</v>
      </c>
      <c r="E3657" s="12" t="s">
        <v>8220</v>
      </c>
      <c r="F3657" s="13">
        <v>6</v>
      </c>
      <c r="G3657" s="14">
        <v>1767.1999999999998</v>
      </c>
      <c r="H3657" t="s">
        <v>747</v>
      </c>
      <c r="I3657">
        <v>5</v>
      </c>
    </row>
    <row r="3658" spans="1:9" ht="15.6" x14ac:dyDescent="0.3">
      <c r="A3658" s="9">
        <v>3657</v>
      </c>
      <c r="B3658" s="2" t="s">
        <v>3663</v>
      </c>
      <c r="C3658" s="11">
        <v>22</v>
      </c>
      <c r="D3658" s="12">
        <v>50</v>
      </c>
      <c r="E3658" s="12" t="s">
        <v>8220</v>
      </c>
      <c r="F3658" s="13">
        <v>6</v>
      </c>
      <c r="G3658" s="14">
        <v>1816.25</v>
      </c>
      <c r="H3658" t="s">
        <v>3563</v>
      </c>
      <c r="I3658">
        <v>6</v>
      </c>
    </row>
    <row r="3659" spans="1:9" ht="15.6" x14ac:dyDescent="0.3">
      <c r="A3659" s="9">
        <v>3658</v>
      </c>
      <c r="B3659" s="2" t="s">
        <v>3664</v>
      </c>
      <c r="C3659" s="11">
        <v>20</v>
      </c>
      <c r="D3659" s="12">
        <v>66.666666666666657</v>
      </c>
      <c r="E3659" s="12" t="s">
        <v>8220</v>
      </c>
      <c r="F3659" s="13">
        <v>6</v>
      </c>
      <c r="G3659" s="14">
        <v>1792.2199999999998</v>
      </c>
      <c r="H3659" t="s">
        <v>2539</v>
      </c>
      <c r="I3659">
        <v>6</v>
      </c>
    </row>
    <row r="3660" spans="1:9" ht="15.6" x14ac:dyDescent="0.3">
      <c r="A3660" s="9">
        <v>3659</v>
      </c>
      <c r="B3660" s="2" t="s">
        <v>3665</v>
      </c>
      <c r="C3660" s="11">
        <v>20</v>
      </c>
      <c r="D3660" s="12">
        <v>66.666666666666657</v>
      </c>
      <c r="E3660" s="12" t="s">
        <v>8220</v>
      </c>
      <c r="F3660" s="13">
        <v>6</v>
      </c>
      <c r="G3660" s="14">
        <v>1832.25</v>
      </c>
      <c r="H3660" t="s">
        <v>1515</v>
      </c>
      <c r="I3660">
        <v>6</v>
      </c>
    </row>
    <row r="3661" spans="1:9" ht="15.6" x14ac:dyDescent="0.3">
      <c r="A3661" s="9">
        <v>3660</v>
      </c>
      <c r="B3661" s="2" t="s">
        <v>3666</v>
      </c>
      <c r="C3661" s="11">
        <v>14</v>
      </c>
      <c r="D3661" s="12">
        <v>50</v>
      </c>
      <c r="E3661" s="12" t="s">
        <v>8220</v>
      </c>
      <c r="F3661" s="13">
        <v>6</v>
      </c>
      <c r="G3661" s="14">
        <v>1807.23</v>
      </c>
      <c r="H3661" t="s">
        <v>491</v>
      </c>
      <c r="I3661">
        <v>5</v>
      </c>
    </row>
    <row r="3662" spans="1:9" ht="15.6" x14ac:dyDescent="0.3">
      <c r="A3662" s="9">
        <v>3661</v>
      </c>
      <c r="B3662" s="2" t="s">
        <v>3667</v>
      </c>
      <c r="C3662" s="11">
        <v>16</v>
      </c>
      <c r="D3662" s="12">
        <v>33.333333333333329</v>
      </c>
      <c r="E3662" s="12" t="s">
        <v>8219</v>
      </c>
      <c r="F3662" s="13">
        <v>6</v>
      </c>
      <c r="G3662" s="14">
        <v>1791.23</v>
      </c>
      <c r="H3662" t="s">
        <v>3307</v>
      </c>
      <c r="I3662">
        <v>5</v>
      </c>
    </row>
    <row r="3663" spans="1:9" ht="15.6" x14ac:dyDescent="0.3">
      <c r="A3663" s="9">
        <v>3662</v>
      </c>
      <c r="B3663" s="2" t="s">
        <v>3668</v>
      </c>
      <c r="C3663" s="11">
        <v>14</v>
      </c>
      <c r="D3663" s="12">
        <v>50</v>
      </c>
      <c r="E3663" s="12" t="s">
        <v>8220</v>
      </c>
      <c r="F3663" s="13">
        <v>6</v>
      </c>
      <c r="G3663" s="14">
        <v>1767.1999999999998</v>
      </c>
      <c r="H3663" t="s">
        <v>2283</v>
      </c>
      <c r="I3663">
        <v>5</v>
      </c>
    </row>
    <row r="3664" spans="1:9" ht="15.6" x14ac:dyDescent="0.3">
      <c r="A3664" s="9">
        <v>3663</v>
      </c>
      <c r="B3664" s="2" t="s">
        <v>3669</v>
      </c>
      <c r="C3664" s="11">
        <v>14</v>
      </c>
      <c r="D3664" s="12">
        <v>50</v>
      </c>
      <c r="E3664" s="12" t="s">
        <v>8220</v>
      </c>
      <c r="F3664" s="13">
        <v>6</v>
      </c>
      <c r="G3664" s="14">
        <v>1807.23</v>
      </c>
      <c r="H3664" t="s">
        <v>1259</v>
      </c>
      <c r="I3664">
        <v>5</v>
      </c>
    </row>
    <row r="3665" spans="1:9" ht="15.6" x14ac:dyDescent="0.3">
      <c r="A3665" s="9">
        <v>3664</v>
      </c>
      <c r="B3665" s="2" t="s">
        <v>3670</v>
      </c>
      <c r="C3665" s="11">
        <v>8</v>
      </c>
      <c r="D3665" s="12">
        <v>33.333333333333329</v>
      </c>
      <c r="E3665" s="12" t="s">
        <v>8219</v>
      </c>
      <c r="F3665" s="13">
        <v>6</v>
      </c>
      <c r="G3665" s="14">
        <v>1782.21</v>
      </c>
      <c r="H3665" t="s">
        <v>235</v>
      </c>
      <c r="I3665">
        <v>4</v>
      </c>
    </row>
    <row r="3666" spans="1:9" ht="15.6" x14ac:dyDescent="0.3">
      <c r="A3666" s="9">
        <v>3665</v>
      </c>
      <c r="B3666" s="2" t="s">
        <v>3671</v>
      </c>
      <c r="C3666" s="11">
        <v>22</v>
      </c>
      <c r="D3666" s="12">
        <v>50</v>
      </c>
      <c r="E3666" s="12" t="s">
        <v>8220</v>
      </c>
      <c r="F3666" s="13">
        <v>6</v>
      </c>
      <c r="G3666" s="14">
        <v>1776.2199999999998</v>
      </c>
      <c r="H3666" t="s">
        <v>4011</v>
      </c>
      <c r="I3666">
        <v>6</v>
      </c>
    </row>
    <row r="3667" spans="1:9" ht="15.6" x14ac:dyDescent="0.3">
      <c r="A3667" s="9">
        <v>3666</v>
      </c>
      <c r="B3667" s="2" t="s">
        <v>3672</v>
      </c>
      <c r="C3667" s="11">
        <v>20</v>
      </c>
      <c r="D3667" s="12">
        <v>66.666666666666657</v>
      </c>
      <c r="E3667" s="12" t="s">
        <v>8220</v>
      </c>
      <c r="F3667" s="13">
        <v>6</v>
      </c>
      <c r="G3667" s="14">
        <v>1752.19</v>
      </c>
      <c r="H3667" t="s">
        <v>2987</v>
      </c>
      <c r="I3667">
        <v>6</v>
      </c>
    </row>
    <row r="3668" spans="1:9" ht="15.6" x14ac:dyDescent="0.3">
      <c r="A3668" s="9">
        <v>3667</v>
      </c>
      <c r="B3668" s="2" t="s">
        <v>3673</v>
      </c>
      <c r="C3668" s="11">
        <v>20</v>
      </c>
      <c r="D3668" s="12">
        <v>66.666666666666657</v>
      </c>
      <c r="E3668" s="12" t="s">
        <v>8220</v>
      </c>
      <c r="F3668" s="13">
        <v>6</v>
      </c>
      <c r="G3668" s="14">
        <v>1792.2199999999998</v>
      </c>
      <c r="H3668" t="s">
        <v>1963</v>
      </c>
      <c r="I3668">
        <v>6</v>
      </c>
    </row>
    <row r="3669" spans="1:9" ht="15.6" x14ac:dyDescent="0.3">
      <c r="A3669" s="9">
        <v>3668</v>
      </c>
      <c r="B3669" s="2" t="s">
        <v>3674</v>
      </c>
      <c r="C3669" s="11">
        <v>14</v>
      </c>
      <c r="D3669" s="12">
        <v>50</v>
      </c>
      <c r="E3669" s="12" t="s">
        <v>8220</v>
      </c>
      <c r="F3669" s="13">
        <v>6</v>
      </c>
      <c r="G3669" s="14">
        <v>1767.1999999999998</v>
      </c>
      <c r="H3669" t="s">
        <v>939</v>
      </c>
      <c r="I3669">
        <v>5</v>
      </c>
    </row>
    <row r="3670" spans="1:9" ht="15.6" x14ac:dyDescent="0.3">
      <c r="A3670" s="9">
        <v>3669</v>
      </c>
      <c r="B3670" s="2" t="s">
        <v>3675</v>
      </c>
      <c r="C3670" s="11">
        <v>20</v>
      </c>
      <c r="D3670" s="12">
        <v>66.666666666666657</v>
      </c>
      <c r="E3670" s="12" t="s">
        <v>8220</v>
      </c>
      <c r="F3670" s="13">
        <v>6</v>
      </c>
      <c r="G3670" s="14">
        <v>1752.19</v>
      </c>
      <c r="H3670" t="s">
        <v>3755</v>
      </c>
      <c r="I3670">
        <v>6</v>
      </c>
    </row>
    <row r="3671" spans="1:9" ht="15.6" x14ac:dyDescent="0.3">
      <c r="A3671" s="9">
        <v>3670</v>
      </c>
      <c r="B3671" s="2" t="s">
        <v>3676</v>
      </c>
      <c r="C3671" s="11">
        <v>18</v>
      </c>
      <c r="D3671" s="12">
        <v>83.333333333333343</v>
      </c>
      <c r="E3671" s="12" t="s">
        <v>8220</v>
      </c>
      <c r="F3671" s="13">
        <v>6</v>
      </c>
      <c r="G3671" s="14">
        <v>1728.1599999999999</v>
      </c>
      <c r="H3671" t="s">
        <v>2731</v>
      </c>
      <c r="I3671">
        <v>5</v>
      </c>
    </row>
    <row r="3672" spans="1:9" ht="15.6" x14ac:dyDescent="0.3">
      <c r="A3672" s="9">
        <v>3671</v>
      </c>
      <c r="B3672" s="2" t="s">
        <v>3677</v>
      </c>
      <c r="C3672" s="11">
        <v>18</v>
      </c>
      <c r="D3672" s="12">
        <v>83.333333333333343</v>
      </c>
      <c r="E3672" s="12" t="s">
        <v>8220</v>
      </c>
      <c r="F3672" s="13">
        <v>6</v>
      </c>
      <c r="G3672" s="14">
        <v>1768.19</v>
      </c>
      <c r="H3672" t="s">
        <v>1707</v>
      </c>
      <c r="I3672">
        <v>5</v>
      </c>
    </row>
    <row r="3673" spans="1:9" ht="15.6" x14ac:dyDescent="0.3">
      <c r="A3673" s="9">
        <v>3672</v>
      </c>
      <c r="B3673" s="2" t="s">
        <v>3678</v>
      </c>
      <c r="C3673" s="11">
        <v>12</v>
      </c>
      <c r="D3673" s="12">
        <v>66.666666666666657</v>
      </c>
      <c r="E3673" s="12" t="s">
        <v>8220</v>
      </c>
      <c r="F3673" s="13">
        <v>6</v>
      </c>
      <c r="G3673" s="14">
        <v>1743.17</v>
      </c>
      <c r="H3673" t="s">
        <v>683</v>
      </c>
      <c r="I3673">
        <v>4</v>
      </c>
    </row>
    <row r="3674" spans="1:9" ht="15.6" x14ac:dyDescent="0.3">
      <c r="A3674" s="9">
        <v>3673</v>
      </c>
      <c r="B3674" s="2" t="s">
        <v>3679</v>
      </c>
      <c r="C3674" s="11">
        <v>20</v>
      </c>
      <c r="D3674" s="12">
        <v>66.666666666666657</v>
      </c>
      <c r="E3674" s="12" t="s">
        <v>8220</v>
      </c>
      <c r="F3674" s="13">
        <v>6</v>
      </c>
      <c r="G3674" s="14">
        <v>1792.2199999999998</v>
      </c>
      <c r="H3674" t="s">
        <v>3499</v>
      </c>
      <c r="I3674">
        <v>6</v>
      </c>
    </row>
    <row r="3675" spans="1:9" ht="15.6" x14ac:dyDescent="0.3">
      <c r="A3675" s="9">
        <v>3674</v>
      </c>
      <c r="B3675" s="2" t="s">
        <v>3680</v>
      </c>
      <c r="C3675" s="11">
        <v>18</v>
      </c>
      <c r="D3675" s="12">
        <v>83.333333333333343</v>
      </c>
      <c r="E3675" s="12" t="s">
        <v>8220</v>
      </c>
      <c r="F3675" s="13">
        <v>6</v>
      </c>
      <c r="G3675" s="14">
        <v>1768.19</v>
      </c>
      <c r="H3675" t="s">
        <v>2475</v>
      </c>
      <c r="I3675">
        <v>5</v>
      </c>
    </row>
    <row r="3676" spans="1:9" ht="15.6" x14ac:dyDescent="0.3">
      <c r="A3676" s="9">
        <v>3675</v>
      </c>
      <c r="B3676" s="2" t="s">
        <v>3681</v>
      </c>
      <c r="C3676" s="11">
        <v>18</v>
      </c>
      <c r="D3676" s="12">
        <v>83.333333333333343</v>
      </c>
      <c r="E3676" s="12" t="s">
        <v>8220</v>
      </c>
      <c r="F3676" s="13">
        <v>6</v>
      </c>
      <c r="G3676" s="14">
        <v>1808.2200000000003</v>
      </c>
      <c r="H3676" t="s">
        <v>1451</v>
      </c>
      <c r="I3676">
        <v>5</v>
      </c>
    </row>
    <row r="3677" spans="1:9" ht="15.6" x14ac:dyDescent="0.3">
      <c r="A3677" s="9">
        <v>3676</v>
      </c>
      <c r="B3677" s="2" t="s">
        <v>3682</v>
      </c>
      <c r="C3677" s="11">
        <v>12</v>
      </c>
      <c r="D3677" s="12">
        <v>66.666666666666657</v>
      </c>
      <c r="E3677" s="12" t="s">
        <v>8220</v>
      </c>
      <c r="F3677" s="13">
        <v>6</v>
      </c>
      <c r="G3677" s="14">
        <v>1783.1999999999998</v>
      </c>
      <c r="H3677" t="s">
        <v>427</v>
      </c>
      <c r="I3677">
        <v>4</v>
      </c>
    </row>
    <row r="3678" spans="1:9" ht="15.6" x14ac:dyDescent="0.3">
      <c r="A3678" s="9">
        <v>3677</v>
      </c>
      <c r="B3678" s="2" t="s">
        <v>3683</v>
      </c>
      <c r="C3678" s="11">
        <v>14</v>
      </c>
      <c r="D3678" s="12">
        <v>50</v>
      </c>
      <c r="E3678" s="12" t="s">
        <v>8220</v>
      </c>
      <c r="F3678" s="13">
        <v>6</v>
      </c>
      <c r="G3678" s="14">
        <v>1767.1999999999998</v>
      </c>
      <c r="H3678" t="s">
        <v>3243</v>
      </c>
      <c r="I3678">
        <v>5</v>
      </c>
    </row>
    <row r="3679" spans="1:9" ht="15.6" x14ac:dyDescent="0.3">
      <c r="A3679" s="9">
        <v>3678</v>
      </c>
      <c r="B3679" s="2" t="s">
        <v>3684</v>
      </c>
      <c r="C3679" s="11">
        <v>12</v>
      </c>
      <c r="D3679" s="12">
        <v>66.666666666666657</v>
      </c>
      <c r="E3679" s="12" t="s">
        <v>8220</v>
      </c>
      <c r="F3679" s="13">
        <v>6</v>
      </c>
      <c r="G3679" s="14">
        <v>1743.17</v>
      </c>
      <c r="H3679" t="s">
        <v>2219</v>
      </c>
      <c r="I3679">
        <v>4</v>
      </c>
    </row>
    <row r="3680" spans="1:9" ht="15.6" x14ac:dyDescent="0.3">
      <c r="A3680" s="9">
        <v>3679</v>
      </c>
      <c r="B3680" s="2" t="s">
        <v>3685</v>
      </c>
      <c r="C3680" s="11">
        <v>12</v>
      </c>
      <c r="D3680" s="12">
        <v>66.666666666666657</v>
      </c>
      <c r="E3680" s="12" t="s">
        <v>8220</v>
      </c>
      <c r="F3680" s="13">
        <v>6</v>
      </c>
      <c r="G3680" s="14">
        <v>1783.1999999999998</v>
      </c>
      <c r="H3680" t="s">
        <v>1195</v>
      </c>
      <c r="I3680">
        <v>4</v>
      </c>
    </row>
    <row r="3681" spans="1:9" ht="15.6" x14ac:dyDescent="0.3">
      <c r="A3681" s="9">
        <v>3680</v>
      </c>
      <c r="B3681" s="2" t="s">
        <v>3686</v>
      </c>
      <c r="C3681" s="11">
        <v>6</v>
      </c>
      <c r="D3681" s="12">
        <v>50</v>
      </c>
      <c r="E3681" s="12" t="s">
        <v>8220</v>
      </c>
      <c r="F3681" s="13">
        <v>6</v>
      </c>
      <c r="G3681" s="14">
        <v>1758.1799999999998</v>
      </c>
      <c r="H3681" t="s">
        <v>171</v>
      </c>
      <c r="I3681">
        <v>3</v>
      </c>
    </row>
    <row r="3682" spans="1:9" ht="15.6" x14ac:dyDescent="0.3">
      <c r="A3682" s="9">
        <v>3681</v>
      </c>
      <c r="B3682" s="2" t="s">
        <v>3687</v>
      </c>
      <c r="C3682" s="11">
        <v>22</v>
      </c>
      <c r="D3682" s="12">
        <v>50</v>
      </c>
      <c r="E3682" s="12" t="s">
        <v>8220</v>
      </c>
      <c r="F3682" s="13">
        <v>6</v>
      </c>
      <c r="G3682" s="14">
        <v>1816.25</v>
      </c>
      <c r="H3682" t="s">
        <v>3947</v>
      </c>
      <c r="I3682">
        <v>6</v>
      </c>
    </row>
    <row r="3683" spans="1:9" ht="15.6" x14ac:dyDescent="0.3">
      <c r="A3683" s="9">
        <v>3682</v>
      </c>
      <c r="B3683" s="2" t="s">
        <v>3688</v>
      </c>
      <c r="C3683" s="11">
        <v>20</v>
      </c>
      <c r="D3683" s="12">
        <v>66.666666666666657</v>
      </c>
      <c r="E3683" s="12" t="s">
        <v>8220</v>
      </c>
      <c r="F3683" s="13">
        <v>6</v>
      </c>
      <c r="G3683" s="14">
        <v>1792.2199999999998</v>
      </c>
      <c r="H3683" t="s">
        <v>2923</v>
      </c>
      <c r="I3683">
        <v>6</v>
      </c>
    </row>
    <row r="3684" spans="1:9" ht="15.6" x14ac:dyDescent="0.3">
      <c r="A3684" s="9">
        <v>3683</v>
      </c>
      <c r="B3684" s="2" t="s">
        <v>3689</v>
      </c>
      <c r="C3684" s="11">
        <v>20</v>
      </c>
      <c r="D3684" s="12">
        <v>66.666666666666657</v>
      </c>
      <c r="E3684" s="12" t="s">
        <v>8220</v>
      </c>
      <c r="F3684" s="13">
        <v>6</v>
      </c>
      <c r="G3684" s="14">
        <v>1832.25</v>
      </c>
      <c r="H3684" t="s">
        <v>1899</v>
      </c>
      <c r="I3684">
        <v>6</v>
      </c>
    </row>
    <row r="3685" spans="1:9" ht="15.6" x14ac:dyDescent="0.3">
      <c r="A3685" s="9">
        <v>3684</v>
      </c>
      <c r="B3685" s="2" t="s">
        <v>3690</v>
      </c>
      <c r="C3685" s="11">
        <v>14</v>
      </c>
      <c r="D3685" s="12">
        <v>50</v>
      </c>
      <c r="E3685" s="12" t="s">
        <v>8220</v>
      </c>
      <c r="F3685" s="13">
        <v>6</v>
      </c>
      <c r="G3685" s="14">
        <v>1807.23</v>
      </c>
      <c r="H3685" t="s">
        <v>875</v>
      </c>
      <c r="I3685">
        <v>5</v>
      </c>
    </row>
    <row r="3686" spans="1:9" ht="15.6" x14ac:dyDescent="0.3">
      <c r="A3686" s="9">
        <v>3685</v>
      </c>
      <c r="B3686" s="2" t="s">
        <v>3691</v>
      </c>
      <c r="C3686" s="11">
        <v>20</v>
      </c>
      <c r="D3686" s="12">
        <v>66.666666666666657</v>
      </c>
      <c r="E3686" s="12" t="s">
        <v>8220</v>
      </c>
      <c r="F3686" s="13">
        <v>6</v>
      </c>
      <c r="G3686" s="14">
        <v>1792.2199999999998</v>
      </c>
      <c r="H3686" t="s">
        <v>3691</v>
      </c>
      <c r="I3686">
        <v>6</v>
      </c>
    </row>
    <row r="3687" spans="1:9" ht="15.6" x14ac:dyDescent="0.3">
      <c r="A3687" s="9">
        <v>3686</v>
      </c>
      <c r="B3687" s="2" t="s">
        <v>3692</v>
      </c>
      <c r="C3687" s="11">
        <v>18</v>
      </c>
      <c r="D3687" s="12">
        <v>83.333333333333343</v>
      </c>
      <c r="E3687" s="12" t="s">
        <v>8220</v>
      </c>
      <c r="F3687" s="13">
        <v>6</v>
      </c>
      <c r="G3687" s="14">
        <v>1768.19</v>
      </c>
      <c r="H3687" t="s">
        <v>2667</v>
      </c>
      <c r="I3687">
        <v>5</v>
      </c>
    </row>
    <row r="3688" spans="1:9" ht="15.6" x14ac:dyDescent="0.3">
      <c r="A3688" s="9">
        <v>3687</v>
      </c>
      <c r="B3688" s="2" t="s">
        <v>3693</v>
      </c>
      <c r="C3688" s="11">
        <v>18</v>
      </c>
      <c r="D3688" s="12">
        <v>83.333333333333343</v>
      </c>
      <c r="E3688" s="12" t="s">
        <v>8220</v>
      </c>
      <c r="F3688" s="13">
        <v>6</v>
      </c>
      <c r="G3688" s="14">
        <v>1808.2200000000003</v>
      </c>
      <c r="H3688" t="s">
        <v>1643</v>
      </c>
      <c r="I3688">
        <v>5</v>
      </c>
    </row>
    <row r="3689" spans="1:9" ht="15.6" x14ac:dyDescent="0.3">
      <c r="A3689" s="9">
        <v>3688</v>
      </c>
      <c r="B3689" s="2" t="s">
        <v>3694</v>
      </c>
      <c r="C3689" s="11">
        <v>12</v>
      </c>
      <c r="D3689" s="12">
        <v>66.666666666666657</v>
      </c>
      <c r="E3689" s="12" t="s">
        <v>8220</v>
      </c>
      <c r="F3689" s="13">
        <v>6</v>
      </c>
      <c r="G3689" s="14">
        <v>1783.1999999999998</v>
      </c>
      <c r="H3689" t="s">
        <v>619</v>
      </c>
      <c r="I3689">
        <v>4</v>
      </c>
    </row>
    <row r="3690" spans="1:9" ht="15.6" x14ac:dyDescent="0.3">
      <c r="A3690" s="9">
        <v>3689</v>
      </c>
      <c r="B3690" s="2" t="s">
        <v>3695</v>
      </c>
      <c r="C3690" s="11">
        <v>20</v>
      </c>
      <c r="D3690" s="12">
        <v>66.666666666666657</v>
      </c>
      <c r="E3690" s="12" t="s">
        <v>8220</v>
      </c>
      <c r="F3690" s="13">
        <v>6</v>
      </c>
      <c r="G3690" s="14">
        <v>1832.25</v>
      </c>
      <c r="H3690" t="s">
        <v>3435</v>
      </c>
      <c r="I3690">
        <v>6</v>
      </c>
    </row>
    <row r="3691" spans="1:9" ht="15.6" x14ac:dyDescent="0.3">
      <c r="A3691" s="9">
        <v>3690</v>
      </c>
      <c r="B3691" s="2" t="s">
        <v>3696</v>
      </c>
      <c r="C3691" s="11">
        <v>18</v>
      </c>
      <c r="D3691" s="12">
        <v>83.333333333333343</v>
      </c>
      <c r="E3691" s="12" t="s">
        <v>8220</v>
      </c>
      <c r="F3691" s="13">
        <v>6</v>
      </c>
      <c r="G3691" s="14">
        <v>1808.2200000000003</v>
      </c>
      <c r="H3691" t="s">
        <v>2411</v>
      </c>
      <c r="I3691">
        <v>5</v>
      </c>
    </row>
    <row r="3692" spans="1:9" ht="15.6" x14ac:dyDescent="0.3">
      <c r="A3692" s="9">
        <v>3691</v>
      </c>
      <c r="B3692" s="2" t="s">
        <v>3697</v>
      </c>
      <c r="C3692" s="11">
        <v>18</v>
      </c>
      <c r="D3692" s="12">
        <v>83.333333333333343</v>
      </c>
      <c r="E3692" s="12" t="s">
        <v>8220</v>
      </c>
      <c r="F3692" s="13">
        <v>6</v>
      </c>
      <c r="G3692" s="14">
        <v>1848.25</v>
      </c>
      <c r="H3692" t="s">
        <v>1387</v>
      </c>
      <c r="I3692">
        <v>5</v>
      </c>
    </row>
    <row r="3693" spans="1:9" ht="15.6" x14ac:dyDescent="0.3">
      <c r="A3693" s="9">
        <v>3692</v>
      </c>
      <c r="B3693" s="2" t="s">
        <v>3698</v>
      </c>
      <c r="C3693" s="11">
        <v>12</v>
      </c>
      <c r="D3693" s="12">
        <v>66.666666666666657</v>
      </c>
      <c r="E3693" s="12" t="s">
        <v>8220</v>
      </c>
      <c r="F3693" s="13">
        <v>6</v>
      </c>
      <c r="G3693" s="14">
        <v>1823.23</v>
      </c>
      <c r="H3693" t="s">
        <v>363</v>
      </c>
      <c r="I3693">
        <v>4</v>
      </c>
    </row>
    <row r="3694" spans="1:9" ht="15.6" x14ac:dyDescent="0.3">
      <c r="A3694" s="9">
        <v>3693</v>
      </c>
      <c r="B3694" s="2" t="s">
        <v>3699</v>
      </c>
      <c r="C3694" s="11">
        <v>14</v>
      </c>
      <c r="D3694" s="12">
        <v>50</v>
      </c>
      <c r="E3694" s="12" t="s">
        <v>8220</v>
      </c>
      <c r="F3694" s="13">
        <v>6</v>
      </c>
      <c r="G3694" s="14">
        <v>1807.23</v>
      </c>
      <c r="H3694" t="s">
        <v>3179</v>
      </c>
      <c r="I3694">
        <v>5</v>
      </c>
    </row>
    <row r="3695" spans="1:9" ht="15.6" x14ac:dyDescent="0.3">
      <c r="A3695" s="9">
        <v>3694</v>
      </c>
      <c r="B3695" s="2" t="s">
        <v>3700</v>
      </c>
      <c r="C3695" s="11">
        <v>12</v>
      </c>
      <c r="D3695" s="12">
        <v>66.666666666666657</v>
      </c>
      <c r="E3695" s="12" t="s">
        <v>8220</v>
      </c>
      <c r="F3695" s="13">
        <v>6</v>
      </c>
      <c r="G3695" s="14">
        <v>1783.1999999999998</v>
      </c>
      <c r="H3695" t="s">
        <v>2155</v>
      </c>
      <c r="I3695">
        <v>4</v>
      </c>
    </row>
    <row r="3696" spans="1:9" ht="15.6" x14ac:dyDescent="0.3">
      <c r="A3696" s="9">
        <v>3695</v>
      </c>
      <c r="B3696" s="2" t="s">
        <v>3701</v>
      </c>
      <c r="C3696" s="11">
        <v>12</v>
      </c>
      <c r="D3696" s="12">
        <v>66.666666666666657</v>
      </c>
      <c r="E3696" s="12" t="s">
        <v>8220</v>
      </c>
      <c r="F3696" s="13">
        <v>6</v>
      </c>
      <c r="G3696" s="14">
        <v>1823.23</v>
      </c>
      <c r="H3696" t="s">
        <v>1131</v>
      </c>
      <c r="I3696">
        <v>4</v>
      </c>
    </row>
    <row r="3697" spans="1:9" ht="15.6" x14ac:dyDescent="0.3">
      <c r="A3697" s="9">
        <v>3696</v>
      </c>
      <c r="B3697" s="2" t="s">
        <v>3702</v>
      </c>
      <c r="C3697" s="11">
        <v>6</v>
      </c>
      <c r="D3697" s="12">
        <v>50</v>
      </c>
      <c r="E3697" s="12" t="s">
        <v>8220</v>
      </c>
      <c r="F3697" s="13">
        <v>6</v>
      </c>
      <c r="G3697" s="14">
        <v>1798.21</v>
      </c>
      <c r="H3697" t="s">
        <v>107</v>
      </c>
      <c r="I3697">
        <v>3</v>
      </c>
    </row>
    <row r="3698" spans="1:9" ht="15.6" x14ac:dyDescent="0.3">
      <c r="A3698" s="9">
        <v>3697</v>
      </c>
      <c r="B3698" s="2" t="s">
        <v>3703</v>
      </c>
      <c r="C3698" s="11">
        <v>16</v>
      </c>
      <c r="D3698" s="12">
        <v>33.333333333333329</v>
      </c>
      <c r="E3698" s="12" t="s">
        <v>8219</v>
      </c>
      <c r="F3698" s="13">
        <v>6</v>
      </c>
      <c r="G3698" s="14">
        <v>1791.23</v>
      </c>
      <c r="H3698" t="s">
        <v>3883</v>
      </c>
      <c r="I3698">
        <v>5</v>
      </c>
    </row>
    <row r="3699" spans="1:9" ht="15.6" x14ac:dyDescent="0.3">
      <c r="A3699" s="9">
        <v>3698</v>
      </c>
      <c r="B3699" s="2" t="s">
        <v>3704</v>
      </c>
      <c r="C3699" s="11">
        <v>14</v>
      </c>
      <c r="D3699" s="12">
        <v>50</v>
      </c>
      <c r="E3699" s="12" t="s">
        <v>8220</v>
      </c>
      <c r="F3699" s="13">
        <v>6</v>
      </c>
      <c r="G3699" s="14">
        <v>1767.1999999999998</v>
      </c>
      <c r="H3699" t="s">
        <v>2859</v>
      </c>
      <c r="I3699">
        <v>5</v>
      </c>
    </row>
    <row r="3700" spans="1:9" ht="15.6" x14ac:dyDescent="0.3">
      <c r="A3700" s="9">
        <v>3699</v>
      </c>
      <c r="B3700" s="2" t="s">
        <v>3705</v>
      </c>
      <c r="C3700" s="11">
        <v>14</v>
      </c>
      <c r="D3700" s="12">
        <v>50</v>
      </c>
      <c r="E3700" s="12" t="s">
        <v>8220</v>
      </c>
      <c r="F3700" s="13">
        <v>6</v>
      </c>
      <c r="G3700" s="14">
        <v>1807.23</v>
      </c>
      <c r="H3700" t="s">
        <v>1835</v>
      </c>
      <c r="I3700">
        <v>5</v>
      </c>
    </row>
    <row r="3701" spans="1:9" ht="15.6" x14ac:dyDescent="0.3">
      <c r="A3701" s="9">
        <v>3700</v>
      </c>
      <c r="B3701" s="2" t="s">
        <v>3706</v>
      </c>
      <c r="C3701" s="11">
        <v>8</v>
      </c>
      <c r="D3701" s="12">
        <v>33.333333333333329</v>
      </c>
      <c r="E3701" s="12" t="s">
        <v>8219</v>
      </c>
      <c r="F3701" s="13">
        <v>6</v>
      </c>
      <c r="G3701" s="14">
        <v>1782.21</v>
      </c>
      <c r="H3701" t="s">
        <v>811</v>
      </c>
      <c r="I3701">
        <v>4</v>
      </c>
    </row>
    <row r="3702" spans="1:9" ht="15.6" x14ac:dyDescent="0.3">
      <c r="A3702" s="9">
        <v>3701</v>
      </c>
      <c r="B3702" s="2" t="s">
        <v>3707</v>
      </c>
      <c r="C3702" s="11">
        <v>14</v>
      </c>
      <c r="D3702" s="12">
        <v>50</v>
      </c>
      <c r="E3702" s="12" t="s">
        <v>8220</v>
      </c>
      <c r="F3702" s="13">
        <v>6</v>
      </c>
      <c r="G3702" s="14">
        <v>1767.1999999999998</v>
      </c>
      <c r="H3702" t="s">
        <v>3627</v>
      </c>
      <c r="I3702">
        <v>5</v>
      </c>
    </row>
    <row r="3703" spans="1:9" ht="15.6" x14ac:dyDescent="0.3">
      <c r="A3703" s="9">
        <v>3702</v>
      </c>
      <c r="B3703" s="2" t="s">
        <v>3708</v>
      </c>
      <c r="C3703" s="11">
        <v>12</v>
      </c>
      <c r="D3703" s="12">
        <v>66.666666666666657</v>
      </c>
      <c r="E3703" s="12" t="s">
        <v>8220</v>
      </c>
      <c r="F3703" s="13">
        <v>6</v>
      </c>
      <c r="G3703" s="14">
        <v>1743.17</v>
      </c>
      <c r="H3703" t="s">
        <v>2603</v>
      </c>
      <c r="I3703">
        <v>4</v>
      </c>
    </row>
    <row r="3704" spans="1:9" ht="15.6" x14ac:dyDescent="0.3">
      <c r="A3704" s="9">
        <v>3703</v>
      </c>
      <c r="B3704" s="2" t="s">
        <v>3709</v>
      </c>
      <c r="C3704" s="11">
        <v>12</v>
      </c>
      <c r="D3704" s="12">
        <v>66.666666666666657</v>
      </c>
      <c r="E3704" s="12" t="s">
        <v>8220</v>
      </c>
      <c r="F3704" s="13">
        <v>6</v>
      </c>
      <c r="G3704" s="14">
        <v>1783.1999999999998</v>
      </c>
      <c r="H3704" t="s">
        <v>1579</v>
      </c>
      <c r="I3704">
        <v>4</v>
      </c>
    </row>
    <row r="3705" spans="1:9" ht="15.6" x14ac:dyDescent="0.3">
      <c r="A3705" s="9">
        <v>3704</v>
      </c>
      <c r="B3705" s="2" t="s">
        <v>3710</v>
      </c>
      <c r="C3705" s="11">
        <v>6</v>
      </c>
      <c r="D3705" s="12">
        <v>50</v>
      </c>
      <c r="E3705" s="12" t="s">
        <v>8220</v>
      </c>
      <c r="F3705" s="13">
        <v>6</v>
      </c>
      <c r="G3705" s="14">
        <v>1758.1799999999998</v>
      </c>
      <c r="H3705" t="s">
        <v>555</v>
      </c>
      <c r="I3705">
        <v>3</v>
      </c>
    </row>
    <row r="3706" spans="1:9" ht="15.6" x14ac:dyDescent="0.3">
      <c r="A3706" s="9">
        <v>3705</v>
      </c>
      <c r="B3706" s="2" t="s">
        <v>3711</v>
      </c>
      <c r="C3706" s="11">
        <v>14</v>
      </c>
      <c r="D3706" s="12">
        <v>50</v>
      </c>
      <c r="E3706" s="12" t="s">
        <v>8220</v>
      </c>
      <c r="F3706" s="13">
        <v>6</v>
      </c>
      <c r="G3706" s="14">
        <v>1807.23</v>
      </c>
      <c r="H3706" t="s">
        <v>3371</v>
      </c>
      <c r="I3706">
        <v>5</v>
      </c>
    </row>
    <row r="3707" spans="1:9" ht="15.6" x14ac:dyDescent="0.3">
      <c r="A3707" s="9">
        <v>3706</v>
      </c>
      <c r="B3707" s="2" t="s">
        <v>3712</v>
      </c>
      <c r="C3707" s="11">
        <v>12</v>
      </c>
      <c r="D3707" s="12">
        <v>66.666666666666657</v>
      </c>
      <c r="E3707" s="12" t="s">
        <v>8220</v>
      </c>
      <c r="F3707" s="13">
        <v>6</v>
      </c>
      <c r="G3707" s="14">
        <v>1783.1999999999998</v>
      </c>
      <c r="H3707" t="s">
        <v>2347</v>
      </c>
      <c r="I3707">
        <v>4</v>
      </c>
    </row>
    <row r="3708" spans="1:9" ht="15.6" x14ac:dyDescent="0.3">
      <c r="A3708" s="9">
        <v>3707</v>
      </c>
      <c r="B3708" s="2" t="s">
        <v>3713</v>
      </c>
      <c r="C3708" s="11">
        <v>12</v>
      </c>
      <c r="D3708" s="12">
        <v>66.666666666666657</v>
      </c>
      <c r="E3708" s="12" t="s">
        <v>8220</v>
      </c>
      <c r="F3708" s="13">
        <v>6</v>
      </c>
      <c r="G3708" s="14">
        <v>1823.23</v>
      </c>
      <c r="H3708" t="s">
        <v>1323</v>
      </c>
      <c r="I3708">
        <v>4</v>
      </c>
    </row>
    <row r="3709" spans="1:9" ht="15.6" x14ac:dyDescent="0.3">
      <c r="A3709" s="9">
        <v>3708</v>
      </c>
      <c r="B3709" s="2" t="s">
        <v>3714</v>
      </c>
      <c r="C3709" s="11">
        <v>6</v>
      </c>
      <c r="D3709" s="12">
        <v>50</v>
      </c>
      <c r="E3709" s="12" t="s">
        <v>8220</v>
      </c>
      <c r="F3709" s="13">
        <v>6</v>
      </c>
      <c r="G3709" s="14">
        <v>1798.21</v>
      </c>
      <c r="H3709" t="s">
        <v>299</v>
      </c>
      <c r="I3709">
        <v>3</v>
      </c>
    </row>
    <row r="3710" spans="1:9" ht="15.6" x14ac:dyDescent="0.3">
      <c r="A3710" s="9">
        <v>3709</v>
      </c>
      <c r="B3710" s="2" t="s">
        <v>3715</v>
      </c>
      <c r="C3710" s="11">
        <v>8</v>
      </c>
      <c r="D3710" s="12">
        <v>33.333333333333329</v>
      </c>
      <c r="E3710" s="12" t="s">
        <v>8219</v>
      </c>
      <c r="F3710" s="13">
        <v>6</v>
      </c>
      <c r="G3710" s="14">
        <v>1782.21</v>
      </c>
      <c r="H3710" t="s">
        <v>3115</v>
      </c>
      <c r="I3710">
        <v>4</v>
      </c>
    </row>
    <row r="3711" spans="1:9" ht="15.6" x14ac:dyDescent="0.3">
      <c r="A3711" s="9">
        <v>3710</v>
      </c>
      <c r="B3711" s="2" t="s">
        <v>3716</v>
      </c>
      <c r="C3711" s="11">
        <v>6</v>
      </c>
      <c r="D3711" s="12">
        <v>50</v>
      </c>
      <c r="E3711" s="12" t="s">
        <v>8220</v>
      </c>
      <c r="F3711" s="13">
        <v>6</v>
      </c>
      <c r="G3711" s="14">
        <v>1758.1799999999998</v>
      </c>
      <c r="H3711" t="s">
        <v>2091</v>
      </c>
      <c r="I3711">
        <v>3</v>
      </c>
    </row>
    <row r="3712" spans="1:9" ht="15.6" x14ac:dyDescent="0.3">
      <c r="A3712" s="9">
        <v>3711</v>
      </c>
      <c r="B3712" s="2" t="s">
        <v>3717</v>
      </c>
      <c r="C3712" s="11">
        <v>6</v>
      </c>
      <c r="D3712" s="12">
        <v>50</v>
      </c>
      <c r="E3712" s="12" t="s">
        <v>8220</v>
      </c>
      <c r="F3712" s="13">
        <v>6</v>
      </c>
      <c r="G3712" s="14">
        <v>1798.21</v>
      </c>
      <c r="H3712" t="s">
        <v>1067</v>
      </c>
      <c r="I3712">
        <v>3</v>
      </c>
    </row>
    <row r="3713" spans="1:9" ht="15.6" x14ac:dyDescent="0.3">
      <c r="A3713" s="9">
        <v>3712</v>
      </c>
      <c r="B3713" s="2" t="s">
        <v>3718</v>
      </c>
      <c r="C3713" s="11">
        <v>0</v>
      </c>
      <c r="D3713" s="12">
        <v>33.333333333333329</v>
      </c>
      <c r="E3713" s="12" t="s">
        <v>8219</v>
      </c>
      <c r="F3713" s="13">
        <v>6</v>
      </c>
      <c r="G3713" s="14">
        <v>1773.19</v>
      </c>
      <c r="H3713" t="s">
        <v>43</v>
      </c>
      <c r="I3713">
        <v>2</v>
      </c>
    </row>
    <row r="3714" spans="1:9" ht="15.6" x14ac:dyDescent="0.3">
      <c r="A3714" s="9">
        <v>3713</v>
      </c>
      <c r="B3714" s="2" t="s">
        <v>3719</v>
      </c>
      <c r="C3714" s="11">
        <v>24</v>
      </c>
      <c r="D3714" s="12">
        <v>33.333333333333329</v>
      </c>
      <c r="E3714" s="12" t="s">
        <v>8219</v>
      </c>
      <c r="F3714" s="13">
        <v>6</v>
      </c>
      <c r="G3714" s="14">
        <v>1840.2800000000002</v>
      </c>
      <c r="H3714" t="s">
        <v>4059</v>
      </c>
      <c r="I3714">
        <v>6</v>
      </c>
    </row>
    <row r="3715" spans="1:9" ht="15.6" x14ac:dyDescent="0.3">
      <c r="A3715" s="9">
        <v>3714</v>
      </c>
      <c r="B3715" s="2" t="s">
        <v>3720</v>
      </c>
      <c r="C3715" s="11">
        <v>22</v>
      </c>
      <c r="D3715" s="12">
        <v>50</v>
      </c>
      <c r="E3715" s="12" t="s">
        <v>8220</v>
      </c>
      <c r="F3715" s="13">
        <v>6</v>
      </c>
      <c r="G3715" s="14">
        <v>1816.25</v>
      </c>
      <c r="H3715" t="s">
        <v>3035</v>
      </c>
      <c r="I3715">
        <v>6</v>
      </c>
    </row>
    <row r="3716" spans="1:9" ht="15.6" x14ac:dyDescent="0.3">
      <c r="A3716" s="9">
        <v>3715</v>
      </c>
      <c r="B3716" s="2" t="s">
        <v>3721</v>
      </c>
      <c r="C3716" s="11">
        <v>22</v>
      </c>
      <c r="D3716" s="12">
        <v>50</v>
      </c>
      <c r="E3716" s="12" t="s">
        <v>8220</v>
      </c>
      <c r="F3716" s="13">
        <v>6</v>
      </c>
      <c r="G3716" s="14">
        <v>1856.2800000000002</v>
      </c>
      <c r="H3716" t="s">
        <v>2011</v>
      </c>
      <c r="I3716">
        <v>6</v>
      </c>
    </row>
    <row r="3717" spans="1:9" ht="15.6" x14ac:dyDescent="0.3">
      <c r="A3717" s="9">
        <v>3716</v>
      </c>
      <c r="B3717" s="2" t="s">
        <v>3722</v>
      </c>
      <c r="C3717" s="11">
        <v>16</v>
      </c>
      <c r="D3717" s="12">
        <v>33.333333333333329</v>
      </c>
      <c r="E3717" s="12" t="s">
        <v>8219</v>
      </c>
      <c r="F3717" s="13">
        <v>6</v>
      </c>
      <c r="G3717" s="14">
        <v>1831.2600000000002</v>
      </c>
      <c r="H3717" t="s">
        <v>987</v>
      </c>
      <c r="I3717">
        <v>5</v>
      </c>
    </row>
    <row r="3718" spans="1:9" ht="15.6" x14ac:dyDescent="0.3">
      <c r="A3718" s="9">
        <v>3717</v>
      </c>
      <c r="B3718" s="2" t="s">
        <v>3723</v>
      </c>
      <c r="C3718" s="11">
        <v>22</v>
      </c>
      <c r="D3718" s="12">
        <v>50</v>
      </c>
      <c r="E3718" s="12" t="s">
        <v>8220</v>
      </c>
      <c r="F3718" s="13">
        <v>6</v>
      </c>
      <c r="G3718" s="14">
        <v>1816.25</v>
      </c>
      <c r="H3718" t="s">
        <v>3803</v>
      </c>
      <c r="I3718">
        <v>6</v>
      </c>
    </row>
    <row r="3719" spans="1:9" ht="15.6" x14ac:dyDescent="0.3">
      <c r="A3719" s="9">
        <v>3718</v>
      </c>
      <c r="B3719" s="2" t="s">
        <v>3724</v>
      </c>
      <c r="C3719" s="11">
        <v>20</v>
      </c>
      <c r="D3719" s="12">
        <v>66.666666666666657</v>
      </c>
      <c r="E3719" s="12" t="s">
        <v>8220</v>
      </c>
      <c r="F3719" s="13">
        <v>6</v>
      </c>
      <c r="G3719" s="14">
        <v>1792.2199999999998</v>
      </c>
      <c r="H3719" t="s">
        <v>2779</v>
      </c>
      <c r="I3719">
        <v>6</v>
      </c>
    </row>
    <row r="3720" spans="1:9" ht="15.6" x14ac:dyDescent="0.3">
      <c r="A3720" s="9">
        <v>3719</v>
      </c>
      <c r="B3720" s="2" t="s">
        <v>3725</v>
      </c>
      <c r="C3720" s="11">
        <v>20</v>
      </c>
      <c r="D3720" s="12">
        <v>66.666666666666657</v>
      </c>
      <c r="E3720" s="12" t="s">
        <v>8220</v>
      </c>
      <c r="F3720" s="13">
        <v>6</v>
      </c>
      <c r="G3720" s="14">
        <v>1832.25</v>
      </c>
      <c r="H3720" t="s">
        <v>1755</v>
      </c>
      <c r="I3720">
        <v>6</v>
      </c>
    </row>
    <row r="3721" spans="1:9" ht="15.6" x14ac:dyDescent="0.3">
      <c r="A3721" s="9">
        <v>3720</v>
      </c>
      <c r="B3721" s="2" t="s">
        <v>3726</v>
      </c>
      <c r="C3721" s="11">
        <v>14</v>
      </c>
      <c r="D3721" s="12">
        <v>50</v>
      </c>
      <c r="E3721" s="12" t="s">
        <v>8220</v>
      </c>
      <c r="F3721" s="13">
        <v>6</v>
      </c>
      <c r="G3721" s="14">
        <v>1807.23</v>
      </c>
      <c r="H3721" t="s">
        <v>731</v>
      </c>
      <c r="I3721">
        <v>5</v>
      </c>
    </row>
    <row r="3722" spans="1:9" ht="15.6" x14ac:dyDescent="0.3">
      <c r="A3722" s="9">
        <v>3721</v>
      </c>
      <c r="B3722" s="2" t="s">
        <v>3727</v>
      </c>
      <c r="C3722" s="11">
        <v>22</v>
      </c>
      <c r="D3722" s="12">
        <v>50</v>
      </c>
      <c r="E3722" s="12" t="s">
        <v>8220</v>
      </c>
      <c r="F3722" s="13">
        <v>6</v>
      </c>
      <c r="G3722" s="14">
        <v>1856.2800000000002</v>
      </c>
      <c r="H3722" t="s">
        <v>3547</v>
      </c>
      <c r="I3722">
        <v>6</v>
      </c>
    </row>
    <row r="3723" spans="1:9" ht="15.6" x14ac:dyDescent="0.3">
      <c r="A3723" s="9">
        <v>3722</v>
      </c>
      <c r="B3723" s="2" t="s">
        <v>3728</v>
      </c>
      <c r="C3723" s="11">
        <v>20</v>
      </c>
      <c r="D3723" s="12">
        <v>66.666666666666657</v>
      </c>
      <c r="E3723" s="12" t="s">
        <v>8220</v>
      </c>
      <c r="F3723" s="13">
        <v>6</v>
      </c>
      <c r="G3723" s="14">
        <v>1832.25</v>
      </c>
      <c r="H3723" t="s">
        <v>2523</v>
      </c>
      <c r="I3723">
        <v>6</v>
      </c>
    </row>
    <row r="3724" spans="1:9" ht="15.6" x14ac:dyDescent="0.3">
      <c r="A3724" s="9">
        <v>3723</v>
      </c>
      <c r="B3724" s="2" t="s">
        <v>3729</v>
      </c>
      <c r="C3724" s="11">
        <v>20</v>
      </c>
      <c r="D3724" s="12">
        <v>66.666666666666657</v>
      </c>
      <c r="E3724" s="12" t="s">
        <v>8220</v>
      </c>
      <c r="F3724" s="13">
        <v>6</v>
      </c>
      <c r="G3724" s="14">
        <v>1872.2800000000002</v>
      </c>
      <c r="H3724" t="s">
        <v>1499</v>
      </c>
      <c r="I3724">
        <v>6</v>
      </c>
    </row>
    <row r="3725" spans="1:9" ht="15.6" x14ac:dyDescent="0.3">
      <c r="A3725" s="9">
        <v>3724</v>
      </c>
      <c r="B3725" s="2" t="s">
        <v>3730</v>
      </c>
      <c r="C3725" s="11">
        <v>14</v>
      </c>
      <c r="D3725" s="12">
        <v>50</v>
      </c>
      <c r="E3725" s="12" t="s">
        <v>8220</v>
      </c>
      <c r="F3725" s="13">
        <v>6</v>
      </c>
      <c r="G3725" s="14">
        <v>1847.2600000000002</v>
      </c>
      <c r="H3725" t="s">
        <v>475</v>
      </c>
      <c r="I3725">
        <v>5</v>
      </c>
    </row>
    <row r="3726" spans="1:9" ht="15.6" x14ac:dyDescent="0.3">
      <c r="A3726" s="9">
        <v>3725</v>
      </c>
      <c r="B3726" s="2" t="s">
        <v>3731</v>
      </c>
      <c r="C3726" s="11">
        <v>16</v>
      </c>
      <c r="D3726" s="12">
        <v>33.333333333333329</v>
      </c>
      <c r="E3726" s="12" t="s">
        <v>8219</v>
      </c>
      <c r="F3726" s="13">
        <v>6</v>
      </c>
      <c r="G3726" s="14">
        <v>1831.2600000000002</v>
      </c>
      <c r="H3726" t="s">
        <v>3291</v>
      </c>
      <c r="I3726">
        <v>5</v>
      </c>
    </row>
    <row r="3727" spans="1:9" ht="15.6" x14ac:dyDescent="0.3">
      <c r="A3727" s="9">
        <v>3726</v>
      </c>
      <c r="B3727" s="2" t="s">
        <v>3732</v>
      </c>
      <c r="C3727" s="11">
        <v>14</v>
      </c>
      <c r="D3727" s="12">
        <v>50</v>
      </c>
      <c r="E3727" s="12" t="s">
        <v>8220</v>
      </c>
      <c r="F3727" s="13">
        <v>6</v>
      </c>
      <c r="G3727" s="14">
        <v>1807.23</v>
      </c>
      <c r="H3727" t="s">
        <v>2267</v>
      </c>
      <c r="I3727">
        <v>5</v>
      </c>
    </row>
    <row r="3728" spans="1:9" ht="15.6" x14ac:dyDescent="0.3">
      <c r="A3728" s="9">
        <v>3727</v>
      </c>
      <c r="B3728" s="2" t="s">
        <v>3733</v>
      </c>
      <c r="C3728" s="11">
        <v>14</v>
      </c>
      <c r="D3728" s="12">
        <v>50</v>
      </c>
      <c r="E3728" s="12" t="s">
        <v>8220</v>
      </c>
      <c r="F3728" s="13">
        <v>6</v>
      </c>
      <c r="G3728" s="14">
        <v>1847.2600000000002</v>
      </c>
      <c r="H3728" t="s">
        <v>1243</v>
      </c>
      <c r="I3728">
        <v>5</v>
      </c>
    </row>
    <row r="3729" spans="1:9" ht="15.6" x14ac:dyDescent="0.3">
      <c r="A3729" s="9">
        <v>3728</v>
      </c>
      <c r="B3729" s="2" t="s">
        <v>3734</v>
      </c>
      <c r="C3729" s="11">
        <v>8</v>
      </c>
      <c r="D3729" s="12">
        <v>33.333333333333329</v>
      </c>
      <c r="E3729" s="12" t="s">
        <v>8219</v>
      </c>
      <c r="F3729" s="13">
        <v>6</v>
      </c>
      <c r="G3729" s="14">
        <v>1822.2400000000002</v>
      </c>
      <c r="H3729" t="s">
        <v>219</v>
      </c>
      <c r="I3729">
        <v>4</v>
      </c>
    </row>
    <row r="3730" spans="1:9" ht="15.6" x14ac:dyDescent="0.3">
      <c r="A3730" s="9">
        <v>3729</v>
      </c>
      <c r="B3730" s="2" t="s">
        <v>3735</v>
      </c>
      <c r="C3730" s="11">
        <v>22</v>
      </c>
      <c r="D3730" s="12">
        <v>50</v>
      </c>
      <c r="E3730" s="12" t="s">
        <v>8220</v>
      </c>
      <c r="F3730" s="13">
        <v>6</v>
      </c>
      <c r="G3730" s="14">
        <v>1816.25</v>
      </c>
      <c r="H3730" t="s">
        <v>3995</v>
      </c>
      <c r="I3730">
        <v>6</v>
      </c>
    </row>
    <row r="3731" spans="1:9" ht="15.6" x14ac:dyDescent="0.3">
      <c r="A3731" s="9">
        <v>3730</v>
      </c>
      <c r="B3731" s="2" t="s">
        <v>3736</v>
      </c>
      <c r="C3731" s="11">
        <v>20</v>
      </c>
      <c r="D3731" s="12">
        <v>66.666666666666657</v>
      </c>
      <c r="E3731" s="12" t="s">
        <v>8220</v>
      </c>
      <c r="F3731" s="13">
        <v>6</v>
      </c>
      <c r="G3731" s="14">
        <v>1792.2199999999998</v>
      </c>
      <c r="H3731" t="s">
        <v>2971</v>
      </c>
      <c r="I3731">
        <v>6</v>
      </c>
    </row>
    <row r="3732" spans="1:9" ht="15.6" x14ac:dyDescent="0.3">
      <c r="A3732" s="9">
        <v>3731</v>
      </c>
      <c r="B3732" s="2" t="s">
        <v>3737</v>
      </c>
      <c r="C3732" s="11">
        <v>20</v>
      </c>
      <c r="D3732" s="12">
        <v>66.666666666666657</v>
      </c>
      <c r="E3732" s="12" t="s">
        <v>8220</v>
      </c>
      <c r="F3732" s="13">
        <v>6</v>
      </c>
      <c r="G3732" s="14">
        <v>1832.25</v>
      </c>
      <c r="H3732" t="s">
        <v>1947</v>
      </c>
      <c r="I3732">
        <v>6</v>
      </c>
    </row>
    <row r="3733" spans="1:9" ht="15.6" x14ac:dyDescent="0.3">
      <c r="A3733" s="9">
        <v>3732</v>
      </c>
      <c r="B3733" s="2" t="s">
        <v>3738</v>
      </c>
      <c r="C3733" s="11">
        <v>14</v>
      </c>
      <c r="D3733" s="12">
        <v>50</v>
      </c>
      <c r="E3733" s="12" t="s">
        <v>8220</v>
      </c>
      <c r="F3733" s="13">
        <v>6</v>
      </c>
      <c r="G3733" s="14">
        <v>1807.23</v>
      </c>
      <c r="H3733" t="s">
        <v>923</v>
      </c>
      <c r="I3733">
        <v>5</v>
      </c>
    </row>
    <row r="3734" spans="1:9" ht="15.6" x14ac:dyDescent="0.3">
      <c r="A3734" s="9">
        <v>3733</v>
      </c>
      <c r="B3734" s="2" t="s">
        <v>3739</v>
      </c>
      <c r="C3734" s="11">
        <v>20</v>
      </c>
      <c r="D3734" s="12">
        <v>66.666666666666657</v>
      </c>
      <c r="E3734" s="12" t="s">
        <v>8220</v>
      </c>
      <c r="F3734" s="13">
        <v>6</v>
      </c>
      <c r="G3734" s="14">
        <v>1792.2199999999998</v>
      </c>
      <c r="H3734" t="s">
        <v>3739</v>
      </c>
      <c r="I3734">
        <v>6</v>
      </c>
    </row>
    <row r="3735" spans="1:9" ht="15.6" x14ac:dyDescent="0.3">
      <c r="A3735" s="9">
        <v>3734</v>
      </c>
      <c r="B3735" s="2" t="s">
        <v>3740</v>
      </c>
      <c r="C3735" s="11">
        <v>18</v>
      </c>
      <c r="D3735" s="12">
        <v>83.333333333333343</v>
      </c>
      <c r="E3735" s="12" t="s">
        <v>8220</v>
      </c>
      <c r="F3735" s="13">
        <v>6</v>
      </c>
      <c r="G3735" s="14">
        <v>1768.19</v>
      </c>
      <c r="H3735" t="s">
        <v>2715</v>
      </c>
      <c r="I3735">
        <v>5</v>
      </c>
    </row>
    <row r="3736" spans="1:9" ht="15.6" x14ac:dyDescent="0.3">
      <c r="A3736" s="9">
        <v>3735</v>
      </c>
      <c r="B3736" s="2" t="s">
        <v>3741</v>
      </c>
      <c r="C3736" s="11">
        <v>18</v>
      </c>
      <c r="D3736" s="12">
        <v>83.333333333333343</v>
      </c>
      <c r="E3736" s="12" t="s">
        <v>8220</v>
      </c>
      <c r="F3736" s="13">
        <v>6</v>
      </c>
      <c r="G3736" s="14">
        <v>1808.2200000000003</v>
      </c>
      <c r="H3736" t="s">
        <v>1691</v>
      </c>
      <c r="I3736">
        <v>5</v>
      </c>
    </row>
    <row r="3737" spans="1:9" ht="15.6" x14ac:dyDescent="0.3">
      <c r="A3737" s="9">
        <v>3736</v>
      </c>
      <c r="B3737" s="2" t="s">
        <v>3742</v>
      </c>
      <c r="C3737" s="11">
        <v>12</v>
      </c>
      <c r="D3737" s="12">
        <v>66.666666666666657</v>
      </c>
      <c r="E3737" s="12" t="s">
        <v>8220</v>
      </c>
      <c r="F3737" s="13">
        <v>6</v>
      </c>
      <c r="G3737" s="14">
        <v>1783.1999999999998</v>
      </c>
      <c r="H3737" t="s">
        <v>667</v>
      </c>
      <c r="I3737">
        <v>4</v>
      </c>
    </row>
    <row r="3738" spans="1:9" ht="15.6" x14ac:dyDescent="0.3">
      <c r="A3738" s="9">
        <v>3737</v>
      </c>
      <c r="B3738" s="2" t="s">
        <v>3743</v>
      </c>
      <c r="C3738" s="11">
        <v>20</v>
      </c>
      <c r="D3738" s="12">
        <v>66.666666666666657</v>
      </c>
      <c r="E3738" s="12" t="s">
        <v>8220</v>
      </c>
      <c r="F3738" s="13">
        <v>6</v>
      </c>
      <c r="G3738" s="14">
        <v>1832.25</v>
      </c>
      <c r="H3738" t="s">
        <v>3483</v>
      </c>
      <c r="I3738">
        <v>6</v>
      </c>
    </row>
    <row r="3739" spans="1:9" ht="15.6" x14ac:dyDescent="0.3">
      <c r="A3739" s="9">
        <v>3738</v>
      </c>
      <c r="B3739" s="2" t="s">
        <v>3744</v>
      </c>
      <c r="C3739" s="11">
        <v>18</v>
      </c>
      <c r="D3739" s="12">
        <v>83.333333333333343</v>
      </c>
      <c r="E3739" s="12" t="s">
        <v>8220</v>
      </c>
      <c r="F3739" s="13">
        <v>6</v>
      </c>
      <c r="G3739" s="14">
        <v>1808.2200000000003</v>
      </c>
      <c r="H3739" t="s">
        <v>2459</v>
      </c>
      <c r="I3739">
        <v>5</v>
      </c>
    </row>
    <row r="3740" spans="1:9" ht="15.6" x14ac:dyDescent="0.3">
      <c r="A3740" s="9">
        <v>3739</v>
      </c>
      <c r="B3740" s="2" t="s">
        <v>3745</v>
      </c>
      <c r="C3740" s="11">
        <v>18</v>
      </c>
      <c r="D3740" s="12">
        <v>83.333333333333343</v>
      </c>
      <c r="E3740" s="12" t="s">
        <v>8220</v>
      </c>
      <c r="F3740" s="13">
        <v>6</v>
      </c>
      <c r="G3740" s="14">
        <v>1848.25</v>
      </c>
      <c r="H3740" t="s">
        <v>1435</v>
      </c>
      <c r="I3740">
        <v>5</v>
      </c>
    </row>
    <row r="3741" spans="1:9" ht="15.6" x14ac:dyDescent="0.3">
      <c r="A3741" s="9">
        <v>3740</v>
      </c>
      <c r="B3741" s="2" t="s">
        <v>3746</v>
      </c>
      <c r="C3741" s="11">
        <v>12</v>
      </c>
      <c r="D3741" s="12">
        <v>66.666666666666657</v>
      </c>
      <c r="E3741" s="12" t="s">
        <v>8220</v>
      </c>
      <c r="F3741" s="13">
        <v>6</v>
      </c>
      <c r="G3741" s="14">
        <v>1823.23</v>
      </c>
      <c r="H3741" t="s">
        <v>411</v>
      </c>
      <c r="I3741">
        <v>4</v>
      </c>
    </row>
    <row r="3742" spans="1:9" ht="15.6" x14ac:dyDescent="0.3">
      <c r="A3742" s="9">
        <v>3741</v>
      </c>
      <c r="B3742" s="2" t="s">
        <v>3747</v>
      </c>
      <c r="C3742" s="11">
        <v>14</v>
      </c>
      <c r="D3742" s="12">
        <v>50</v>
      </c>
      <c r="E3742" s="12" t="s">
        <v>8220</v>
      </c>
      <c r="F3742" s="13">
        <v>6</v>
      </c>
      <c r="G3742" s="14">
        <v>1807.23</v>
      </c>
      <c r="H3742" t="s">
        <v>3227</v>
      </c>
      <c r="I3742">
        <v>5</v>
      </c>
    </row>
    <row r="3743" spans="1:9" ht="15.6" x14ac:dyDescent="0.3">
      <c r="A3743" s="9">
        <v>3742</v>
      </c>
      <c r="B3743" s="2" t="s">
        <v>3748</v>
      </c>
      <c r="C3743" s="11">
        <v>12</v>
      </c>
      <c r="D3743" s="12">
        <v>66.666666666666657</v>
      </c>
      <c r="E3743" s="12" t="s">
        <v>8220</v>
      </c>
      <c r="F3743" s="13">
        <v>6</v>
      </c>
      <c r="G3743" s="14">
        <v>1783.1999999999998</v>
      </c>
      <c r="H3743" t="s">
        <v>2203</v>
      </c>
      <c r="I3743">
        <v>4</v>
      </c>
    </row>
    <row r="3744" spans="1:9" ht="15.6" x14ac:dyDescent="0.3">
      <c r="A3744" s="9">
        <v>3743</v>
      </c>
      <c r="B3744" s="2" t="s">
        <v>3749</v>
      </c>
      <c r="C3744" s="11">
        <v>12</v>
      </c>
      <c r="D3744" s="12">
        <v>66.666666666666657</v>
      </c>
      <c r="E3744" s="12" t="s">
        <v>8220</v>
      </c>
      <c r="F3744" s="13">
        <v>6</v>
      </c>
      <c r="G3744" s="14">
        <v>1823.23</v>
      </c>
      <c r="H3744" t="s">
        <v>1179</v>
      </c>
      <c r="I3744">
        <v>4</v>
      </c>
    </row>
    <row r="3745" spans="1:9" ht="15.6" x14ac:dyDescent="0.3">
      <c r="A3745" s="9">
        <v>3744</v>
      </c>
      <c r="B3745" s="2" t="s">
        <v>3750</v>
      </c>
      <c r="C3745" s="11">
        <v>6</v>
      </c>
      <c r="D3745" s="12">
        <v>50</v>
      </c>
      <c r="E3745" s="12" t="s">
        <v>8220</v>
      </c>
      <c r="F3745" s="13">
        <v>6</v>
      </c>
      <c r="G3745" s="14">
        <v>1798.21</v>
      </c>
      <c r="H3745" t="s">
        <v>155</v>
      </c>
      <c r="I3745">
        <v>3</v>
      </c>
    </row>
    <row r="3746" spans="1:9" ht="15.6" x14ac:dyDescent="0.3">
      <c r="A3746" s="9">
        <v>3745</v>
      </c>
      <c r="B3746" s="2" t="s">
        <v>3751</v>
      </c>
      <c r="C3746" s="11">
        <v>22</v>
      </c>
      <c r="D3746" s="12">
        <v>50</v>
      </c>
      <c r="E3746" s="12" t="s">
        <v>8220</v>
      </c>
      <c r="F3746" s="13">
        <v>6</v>
      </c>
      <c r="G3746" s="14">
        <v>1856.2800000000002</v>
      </c>
      <c r="H3746" t="s">
        <v>3931</v>
      </c>
      <c r="I3746">
        <v>6</v>
      </c>
    </row>
    <row r="3747" spans="1:9" ht="15.6" x14ac:dyDescent="0.3">
      <c r="A3747" s="9">
        <v>3746</v>
      </c>
      <c r="B3747" s="2" t="s">
        <v>3752</v>
      </c>
      <c r="C3747" s="11">
        <v>20</v>
      </c>
      <c r="D3747" s="12">
        <v>66.666666666666657</v>
      </c>
      <c r="E3747" s="12" t="s">
        <v>8220</v>
      </c>
      <c r="F3747" s="13">
        <v>6</v>
      </c>
      <c r="G3747" s="14">
        <v>1832.25</v>
      </c>
      <c r="H3747" t="s">
        <v>2907</v>
      </c>
      <c r="I3747">
        <v>6</v>
      </c>
    </row>
    <row r="3748" spans="1:9" ht="15.6" x14ac:dyDescent="0.3">
      <c r="A3748" s="9">
        <v>3747</v>
      </c>
      <c r="B3748" s="2" t="s">
        <v>3753</v>
      </c>
      <c r="C3748" s="11">
        <v>20</v>
      </c>
      <c r="D3748" s="12">
        <v>66.666666666666657</v>
      </c>
      <c r="E3748" s="12" t="s">
        <v>8220</v>
      </c>
      <c r="F3748" s="13">
        <v>6</v>
      </c>
      <c r="G3748" s="14">
        <v>1872.2800000000002</v>
      </c>
      <c r="H3748" t="s">
        <v>1883</v>
      </c>
      <c r="I3748">
        <v>6</v>
      </c>
    </row>
    <row r="3749" spans="1:9" ht="15.6" x14ac:dyDescent="0.3">
      <c r="A3749" s="9">
        <v>3748</v>
      </c>
      <c r="B3749" s="2" t="s">
        <v>3754</v>
      </c>
      <c r="C3749" s="11">
        <v>14</v>
      </c>
      <c r="D3749" s="12">
        <v>50</v>
      </c>
      <c r="E3749" s="12" t="s">
        <v>8220</v>
      </c>
      <c r="F3749" s="13">
        <v>6</v>
      </c>
      <c r="G3749" s="14">
        <v>1847.2600000000002</v>
      </c>
      <c r="H3749" t="s">
        <v>859</v>
      </c>
      <c r="I3749">
        <v>5</v>
      </c>
    </row>
    <row r="3750" spans="1:9" ht="15.6" x14ac:dyDescent="0.3">
      <c r="A3750" s="9">
        <v>3749</v>
      </c>
      <c r="B3750" s="2" t="s">
        <v>3755</v>
      </c>
      <c r="C3750" s="11">
        <v>20</v>
      </c>
      <c r="D3750" s="12">
        <v>66.666666666666657</v>
      </c>
      <c r="E3750" s="12" t="s">
        <v>8220</v>
      </c>
      <c r="F3750" s="13">
        <v>6</v>
      </c>
      <c r="G3750" s="14">
        <v>1832.25</v>
      </c>
      <c r="H3750" t="s">
        <v>3675</v>
      </c>
      <c r="I3750">
        <v>6</v>
      </c>
    </row>
    <row r="3751" spans="1:9" ht="15.6" x14ac:dyDescent="0.3">
      <c r="A3751" s="9">
        <v>3750</v>
      </c>
      <c r="B3751" s="2" t="s">
        <v>3756</v>
      </c>
      <c r="C3751" s="11">
        <v>18</v>
      </c>
      <c r="D3751" s="12">
        <v>83.333333333333343</v>
      </c>
      <c r="E3751" s="12" t="s">
        <v>8220</v>
      </c>
      <c r="F3751" s="13">
        <v>6</v>
      </c>
      <c r="G3751" s="14">
        <v>1808.2200000000003</v>
      </c>
      <c r="H3751" t="s">
        <v>2651</v>
      </c>
      <c r="I3751">
        <v>5</v>
      </c>
    </row>
    <row r="3752" spans="1:9" ht="15.6" x14ac:dyDescent="0.3">
      <c r="A3752" s="9">
        <v>3751</v>
      </c>
      <c r="B3752" s="2" t="s">
        <v>3757</v>
      </c>
      <c r="C3752" s="11">
        <v>18</v>
      </c>
      <c r="D3752" s="12">
        <v>83.333333333333343</v>
      </c>
      <c r="E3752" s="12" t="s">
        <v>8220</v>
      </c>
      <c r="F3752" s="13">
        <v>6</v>
      </c>
      <c r="G3752" s="14">
        <v>1848.25</v>
      </c>
      <c r="H3752" t="s">
        <v>1627</v>
      </c>
      <c r="I3752">
        <v>5</v>
      </c>
    </row>
    <row r="3753" spans="1:9" ht="15.6" x14ac:dyDescent="0.3">
      <c r="A3753" s="9">
        <v>3752</v>
      </c>
      <c r="B3753" s="2" t="s">
        <v>3758</v>
      </c>
      <c r="C3753" s="11">
        <v>12</v>
      </c>
      <c r="D3753" s="12">
        <v>66.666666666666657</v>
      </c>
      <c r="E3753" s="12" t="s">
        <v>8220</v>
      </c>
      <c r="F3753" s="13">
        <v>6</v>
      </c>
      <c r="G3753" s="14">
        <v>1823.23</v>
      </c>
      <c r="H3753" t="s">
        <v>603</v>
      </c>
      <c r="I3753">
        <v>4</v>
      </c>
    </row>
    <row r="3754" spans="1:9" ht="15.6" x14ac:dyDescent="0.3">
      <c r="A3754" s="9">
        <v>3753</v>
      </c>
      <c r="B3754" s="2" t="s">
        <v>3759</v>
      </c>
      <c r="C3754" s="11">
        <v>20</v>
      </c>
      <c r="D3754" s="12">
        <v>66.666666666666657</v>
      </c>
      <c r="E3754" s="12" t="s">
        <v>8220</v>
      </c>
      <c r="F3754" s="13">
        <v>6</v>
      </c>
      <c r="G3754" s="14">
        <v>1872.2800000000002</v>
      </c>
      <c r="H3754" t="s">
        <v>3419</v>
      </c>
      <c r="I3754">
        <v>6</v>
      </c>
    </row>
    <row r="3755" spans="1:9" ht="15.6" x14ac:dyDescent="0.3">
      <c r="A3755" s="9">
        <v>3754</v>
      </c>
      <c r="B3755" s="2" t="s">
        <v>3760</v>
      </c>
      <c r="C3755" s="11">
        <v>18</v>
      </c>
      <c r="D3755" s="12">
        <v>83.333333333333343</v>
      </c>
      <c r="E3755" s="12" t="s">
        <v>8220</v>
      </c>
      <c r="F3755" s="13">
        <v>6</v>
      </c>
      <c r="G3755" s="14">
        <v>1848.25</v>
      </c>
      <c r="H3755" t="s">
        <v>2395</v>
      </c>
      <c r="I3755">
        <v>5</v>
      </c>
    </row>
    <row r="3756" spans="1:9" ht="15.6" x14ac:dyDescent="0.3">
      <c r="A3756" s="9">
        <v>3755</v>
      </c>
      <c r="B3756" s="2" t="s">
        <v>3761</v>
      </c>
      <c r="C3756" s="11">
        <v>18</v>
      </c>
      <c r="D3756" s="12">
        <v>83.333333333333343</v>
      </c>
      <c r="E3756" s="12" t="s">
        <v>8220</v>
      </c>
      <c r="F3756" s="13">
        <v>6</v>
      </c>
      <c r="G3756" s="14">
        <v>1888.2800000000002</v>
      </c>
      <c r="H3756" t="s">
        <v>1371</v>
      </c>
      <c r="I3756">
        <v>5</v>
      </c>
    </row>
    <row r="3757" spans="1:9" ht="15.6" x14ac:dyDescent="0.3">
      <c r="A3757" s="9">
        <v>3756</v>
      </c>
      <c r="B3757" s="2" t="s">
        <v>3762</v>
      </c>
      <c r="C3757" s="11">
        <v>12</v>
      </c>
      <c r="D3757" s="12">
        <v>66.666666666666657</v>
      </c>
      <c r="E3757" s="12" t="s">
        <v>8220</v>
      </c>
      <c r="F3757" s="13">
        <v>6</v>
      </c>
      <c r="G3757" s="14">
        <v>1863.2600000000002</v>
      </c>
      <c r="H3757" t="s">
        <v>347</v>
      </c>
      <c r="I3757">
        <v>4</v>
      </c>
    </row>
    <row r="3758" spans="1:9" ht="15.6" x14ac:dyDescent="0.3">
      <c r="A3758" s="9">
        <v>3757</v>
      </c>
      <c r="B3758" s="2" t="s">
        <v>3763</v>
      </c>
      <c r="C3758" s="11">
        <v>14</v>
      </c>
      <c r="D3758" s="12">
        <v>50</v>
      </c>
      <c r="E3758" s="12" t="s">
        <v>8220</v>
      </c>
      <c r="F3758" s="13">
        <v>6</v>
      </c>
      <c r="G3758" s="14">
        <v>1847.2600000000002</v>
      </c>
      <c r="H3758" t="s">
        <v>3163</v>
      </c>
      <c r="I3758">
        <v>5</v>
      </c>
    </row>
    <row r="3759" spans="1:9" ht="15.6" x14ac:dyDescent="0.3">
      <c r="A3759" s="9">
        <v>3758</v>
      </c>
      <c r="B3759" s="2" t="s">
        <v>3764</v>
      </c>
      <c r="C3759" s="11">
        <v>12</v>
      </c>
      <c r="D3759" s="12">
        <v>66.666666666666657</v>
      </c>
      <c r="E3759" s="12" t="s">
        <v>8220</v>
      </c>
      <c r="F3759" s="13">
        <v>6</v>
      </c>
      <c r="G3759" s="14">
        <v>1823.23</v>
      </c>
      <c r="H3759" t="s">
        <v>2139</v>
      </c>
      <c r="I3759">
        <v>4</v>
      </c>
    </row>
    <row r="3760" spans="1:9" ht="15.6" x14ac:dyDescent="0.3">
      <c r="A3760" s="9">
        <v>3759</v>
      </c>
      <c r="B3760" s="2" t="s">
        <v>3765</v>
      </c>
      <c r="C3760" s="11">
        <v>12</v>
      </c>
      <c r="D3760" s="12">
        <v>66.666666666666657</v>
      </c>
      <c r="E3760" s="12" t="s">
        <v>8220</v>
      </c>
      <c r="F3760" s="13">
        <v>6</v>
      </c>
      <c r="G3760" s="14">
        <v>1863.2600000000002</v>
      </c>
      <c r="H3760" t="s">
        <v>1115</v>
      </c>
      <c r="I3760">
        <v>4</v>
      </c>
    </row>
    <row r="3761" spans="1:9" ht="15.6" x14ac:dyDescent="0.3">
      <c r="A3761" s="9">
        <v>3760</v>
      </c>
      <c r="B3761" s="2" t="s">
        <v>3766</v>
      </c>
      <c r="C3761" s="11">
        <v>6</v>
      </c>
      <c r="D3761" s="12">
        <v>50</v>
      </c>
      <c r="E3761" s="12" t="s">
        <v>8220</v>
      </c>
      <c r="F3761" s="13">
        <v>6</v>
      </c>
      <c r="G3761" s="14">
        <v>1838.2400000000002</v>
      </c>
      <c r="H3761" t="s">
        <v>91</v>
      </c>
      <c r="I3761">
        <v>3</v>
      </c>
    </row>
    <row r="3762" spans="1:9" ht="15.6" x14ac:dyDescent="0.3">
      <c r="A3762" s="9">
        <v>3761</v>
      </c>
      <c r="B3762" s="2" t="s">
        <v>3767</v>
      </c>
      <c r="C3762" s="11">
        <v>16</v>
      </c>
      <c r="D3762" s="12">
        <v>33.333333333333329</v>
      </c>
      <c r="E3762" s="12" t="s">
        <v>8219</v>
      </c>
      <c r="F3762" s="13">
        <v>6</v>
      </c>
      <c r="G3762" s="14">
        <v>1831.2600000000002</v>
      </c>
      <c r="H3762" t="s">
        <v>3867</v>
      </c>
      <c r="I3762">
        <v>5</v>
      </c>
    </row>
    <row r="3763" spans="1:9" ht="15.6" x14ac:dyDescent="0.3">
      <c r="A3763" s="9">
        <v>3762</v>
      </c>
      <c r="B3763" s="2" t="s">
        <v>3768</v>
      </c>
      <c r="C3763" s="11">
        <v>14</v>
      </c>
      <c r="D3763" s="12">
        <v>50</v>
      </c>
      <c r="E3763" s="12" t="s">
        <v>8220</v>
      </c>
      <c r="F3763" s="13">
        <v>6</v>
      </c>
      <c r="G3763" s="14">
        <v>1807.23</v>
      </c>
      <c r="H3763" t="s">
        <v>2843</v>
      </c>
      <c r="I3763">
        <v>5</v>
      </c>
    </row>
    <row r="3764" spans="1:9" ht="15.6" x14ac:dyDescent="0.3">
      <c r="A3764" s="9">
        <v>3763</v>
      </c>
      <c r="B3764" s="2" t="s">
        <v>3769</v>
      </c>
      <c r="C3764" s="11">
        <v>14</v>
      </c>
      <c r="D3764" s="12">
        <v>50</v>
      </c>
      <c r="E3764" s="12" t="s">
        <v>8220</v>
      </c>
      <c r="F3764" s="13">
        <v>6</v>
      </c>
      <c r="G3764" s="14">
        <v>1847.2600000000002</v>
      </c>
      <c r="H3764" t="s">
        <v>1819</v>
      </c>
      <c r="I3764">
        <v>5</v>
      </c>
    </row>
    <row r="3765" spans="1:9" ht="15.6" x14ac:dyDescent="0.3">
      <c r="A3765" s="9">
        <v>3764</v>
      </c>
      <c r="B3765" s="2" t="s">
        <v>3770</v>
      </c>
      <c r="C3765" s="11">
        <v>8</v>
      </c>
      <c r="D3765" s="12">
        <v>33.333333333333329</v>
      </c>
      <c r="E3765" s="12" t="s">
        <v>8219</v>
      </c>
      <c r="F3765" s="13">
        <v>6</v>
      </c>
      <c r="G3765" s="14">
        <v>1822.2400000000002</v>
      </c>
      <c r="H3765" t="s">
        <v>795</v>
      </c>
      <c r="I3765">
        <v>4</v>
      </c>
    </row>
    <row r="3766" spans="1:9" ht="15.6" x14ac:dyDescent="0.3">
      <c r="A3766" s="9">
        <v>3765</v>
      </c>
      <c r="B3766" s="2" t="s">
        <v>3771</v>
      </c>
      <c r="C3766" s="11">
        <v>14</v>
      </c>
      <c r="D3766" s="12">
        <v>50</v>
      </c>
      <c r="E3766" s="12" t="s">
        <v>8220</v>
      </c>
      <c r="F3766" s="13">
        <v>6</v>
      </c>
      <c r="G3766" s="14">
        <v>1807.23</v>
      </c>
      <c r="H3766" t="s">
        <v>3611</v>
      </c>
      <c r="I3766">
        <v>5</v>
      </c>
    </row>
    <row r="3767" spans="1:9" ht="15.6" x14ac:dyDescent="0.3">
      <c r="A3767" s="9">
        <v>3766</v>
      </c>
      <c r="B3767" s="2" t="s">
        <v>3772</v>
      </c>
      <c r="C3767" s="11">
        <v>12</v>
      </c>
      <c r="D3767" s="12">
        <v>66.666666666666657</v>
      </c>
      <c r="E3767" s="12" t="s">
        <v>8220</v>
      </c>
      <c r="F3767" s="13">
        <v>6</v>
      </c>
      <c r="G3767" s="14">
        <v>1783.1999999999998</v>
      </c>
      <c r="H3767" t="s">
        <v>2587</v>
      </c>
      <c r="I3767">
        <v>4</v>
      </c>
    </row>
    <row r="3768" spans="1:9" ht="15.6" x14ac:dyDescent="0.3">
      <c r="A3768" s="9">
        <v>3767</v>
      </c>
      <c r="B3768" s="2" t="s">
        <v>3773</v>
      </c>
      <c r="C3768" s="11">
        <v>12</v>
      </c>
      <c r="D3768" s="12">
        <v>66.666666666666657</v>
      </c>
      <c r="E3768" s="12" t="s">
        <v>8220</v>
      </c>
      <c r="F3768" s="13">
        <v>6</v>
      </c>
      <c r="G3768" s="14">
        <v>1823.23</v>
      </c>
      <c r="H3768" t="s">
        <v>1563</v>
      </c>
      <c r="I3768">
        <v>4</v>
      </c>
    </row>
    <row r="3769" spans="1:9" ht="15.6" x14ac:dyDescent="0.3">
      <c r="A3769" s="9">
        <v>3768</v>
      </c>
      <c r="B3769" s="2" t="s">
        <v>3774</v>
      </c>
      <c r="C3769" s="11">
        <v>6</v>
      </c>
      <c r="D3769" s="12">
        <v>50</v>
      </c>
      <c r="E3769" s="12" t="s">
        <v>8220</v>
      </c>
      <c r="F3769" s="13">
        <v>6</v>
      </c>
      <c r="G3769" s="14">
        <v>1798.21</v>
      </c>
      <c r="H3769" t="s">
        <v>539</v>
      </c>
      <c r="I3769">
        <v>3</v>
      </c>
    </row>
    <row r="3770" spans="1:9" ht="15.6" x14ac:dyDescent="0.3">
      <c r="A3770" s="9">
        <v>3769</v>
      </c>
      <c r="B3770" s="2" t="s">
        <v>3775</v>
      </c>
      <c r="C3770" s="11">
        <v>14</v>
      </c>
      <c r="D3770" s="12">
        <v>50</v>
      </c>
      <c r="E3770" s="12" t="s">
        <v>8220</v>
      </c>
      <c r="F3770" s="13">
        <v>6</v>
      </c>
      <c r="G3770" s="14">
        <v>1847.2600000000002</v>
      </c>
      <c r="H3770" t="s">
        <v>3355</v>
      </c>
      <c r="I3770">
        <v>5</v>
      </c>
    </row>
    <row r="3771" spans="1:9" ht="15.6" x14ac:dyDescent="0.3">
      <c r="A3771" s="9">
        <v>3770</v>
      </c>
      <c r="B3771" s="2" t="s">
        <v>3776</v>
      </c>
      <c r="C3771" s="11">
        <v>12</v>
      </c>
      <c r="D3771" s="12">
        <v>66.666666666666657</v>
      </c>
      <c r="E3771" s="12" t="s">
        <v>8220</v>
      </c>
      <c r="F3771" s="13">
        <v>6</v>
      </c>
      <c r="G3771" s="14">
        <v>1823.23</v>
      </c>
      <c r="H3771" t="s">
        <v>2331</v>
      </c>
      <c r="I3771">
        <v>4</v>
      </c>
    </row>
    <row r="3772" spans="1:9" ht="15.6" x14ac:dyDescent="0.3">
      <c r="A3772" s="9">
        <v>3771</v>
      </c>
      <c r="B3772" s="2" t="s">
        <v>3777</v>
      </c>
      <c r="C3772" s="11">
        <v>12</v>
      </c>
      <c r="D3772" s="12">
        <v>66.666666666666657</v>
      </c>
      <c r="E3772" s="12" t="s">
        <v>8220</v>
      </c>
      <c r="F3772" s="13">
        <v>6</v>
      </c>
      <c r="G3772" s="14">
        <v>1863.2600000000002</v>
      </c>
      <c r="H3772" t="s">
        <v>1307</v>
      </c>
      <c r="I3772">
        <v>4</v>
      </c>
    </row>
    <row r="3773" spans="1:9" ht="15.6" x14ac:dyDescent="0.3">
      <c r="A3773" s="9">
        <v>3772</v>
      </c>
      <c r="B3773" s="2" t="s">
        <v>3778</v>
      </c>
      <c r="C3773" s="11">
        <v>6</v>
      </c>
      <c r="D3773" s="12">
        <v>50</v>
      </c>
      <c r="E3773" s="12" t="s">
        <v>8220</v>
      </c>
      <c r="F3773" s="13">
        <v>6</v>
      </c>
      <c r="G3773" s="14">
        <v>1838.2400000000002</v>
      </c>
      <c r="H3773" t="s">
        <v>283</v>
      </c>
      <c r="I3773">
        <v>3</v>
      </c>
    </row>
    <row r="3774" spans="1:9" ht="15.6" x14ac:dyDescent="0.3">
      <c r="A3774" s="9">
        <v>3773</v>
      </c>
      <c r="B3774" s="2" t="s">
        <v>3779</v>
      </c>
      <c r="C3774" s="11">
        <v>8</v>
      </c>
      <c r="D3774" s="12">
        <v>33.333333333333329</v>
      </c>
      <c r="E3774" s="12" t="s">
        <v>8219</v>
      </c>
      <c r="F3774" s="13">
        <v>6</v>
      </c>
      <c r="G3774" s="14">
        <v>1822.2400000000002</v>
      </c>
      <c r="H3774" t="s">
        <v>3099</v>
      </c>
      <c r="I3774">
        <v>4</v>
      </c>
    </row>
    <row r="3775" spans="1:9" ht="15.6" x14ac:dyDescent="0.3">
      <c r="A3775" s="9">
        <v>3774</v>
      </c>
      <c r="B3775" s="2" t="s">
        <v>3780</v>
      </c>
      <c r="C3775" s="11">
        <v>6</v>
      </c>
      <c r="D3775" s="12">
        <v>50</v>
      </c>
      <c r="E3775" s="12" t="s">
        <v>8220</v>
      </c>
      <c r="F3775" s="13">
        <v>6</v>
      </c>
      <c r="G3775" s="14">
        <v>1798.21</v>
      </c>
      <c r="H3775" t="s">
        <v>2075</v>
      </c>
      <c r="I3775">
        <v>3</v>
      </c>
    </row>
    <row r="3776" spans="1:9" ht="15.6" x14ac:dyDescent="0.3">
      <c r="A3776" s="9">
        <v>3775</v>
      </c>
      <c r="B3776" s="2" t="s">
        <v>3781</v>
      </c>
      <c r="C3776" s="11">
        <v>6</v>
      </c>
      <c r="D3776" s="12">
        <v>50</v>
      </c>
      <c r="E3776" s="12" t="s">
        <v>8220</v>
      </c>
      <c r="F3776" s="13">
        <v>6</v>
      </c>
      <c r="G3776" s="14">
        <v>1838.2400000000002</v>
      </c>
      <c r="H3776" t="s">
        <v>1051</v>
      </c>
      <c r="I3776">
        <v>3</v>
      </c>
    </row>
    <row r="3777" spans="1:9" ht="15.6" x14ac:dyDescent="0.3">
      <c r="A3777" s="9">
        <v>3776</v>
      </c>
      <c r="B3777" s="2" t="s">
        <v>3782</v>
      </c>
      <c r="C3777" s="11">
        <v>0</v>
      </c>
      <c r="D3777" s="12">
        <v>33.333333333333329</v>
      </c>
      <c r="E3777" s="12" t="s">
        <v>8219</v>
      </c>
      <c r="F3777" s="13">
        <v>6</v>
      </c>
      <c r="G3777" s="14">
        <v>1813.2200000000003</v>
      </c>
      <c r="H3777" t="s">
        <v>27</v>
      </c>
      <c r="I3777">
        <v>2</v>
      </c>
    </row>
    <row r="3778" spans="1:9" ht="15.6" x14ac:dyDescent="0.3">
      <c r="A3778" s="9">
        <v>3777</v>
      </c>
      <c r="B3778" s="2" t="s">
        <v>3783</v>
      </c>
      <c r="C3778" s="11">
        <v>18</v>
      </c>
      <c r="D3778" s="12">
        <v>16.666666666666664</v>
      </c>
      <c r="E3778" s="12" t="s">
        <v>8219</v>
      </c>
      <c r="F3778" s="13">
        <v>6</v>
      </c>
      <c r="G3778" s="14">
        <v>1815.2599999999998</v>
      </c>
      <c r="H3778" t="s">
        <v>4043</v>
      </c>
      <c r="I3778">
        <v>5</v>
      </c>
    </row>
    <row r="3779" spans="1:9" ht="15.6" x14ac:dyDescent="0.3">
      <c r="A3779" s="9">
        <v>3778</v>
      </c>
      <c r="B3779" s="2" t="s">
        <v>3784</v>
      </c>
      <c r="C3779" s="11">
        <v>16</v>
      </c>
      <c r="D3779" s="12">
        <v>33.333333333333329</v>
      </c>
      <c r="E3779" s="12" t="s">
        <v>8219</v>
      </c>
      <c r="F3779" s="13">
        <v>6</v>
      </c>
      <c r="G3779" s="14">
        <v>1791.23</v>
      </c>
      <c r="H3779" t="s">
        <v>3019</v>
      </c>
      <c r="I3779">
        <v>5</v>
      </c>
    </row>
    <row r="3780" spans="1:9" ht="15.6" x14ac:dyDescent="0.3">
      <c r="A3780" s="9">
        <v>3779</v>
      </c>
      <c r="B3780" s="2" t="s">
        <v>3785</v>
      </c>
      <c r="C3780" s="11">
        <v>16</v>
      </c>
      <c r="D3780" s="12">
        <v>33.333333333333329</v>
      </c>
      <c r="E3780" s="12" t="s">
        <v>8219</v>
      </c>
      <c r="F3780" s="13">
        <v>6</v>
      </c>
      <c r="G3780" s="14">
        <v>1831.2600000000002</v>
      </c>
      <c r="H3780" t="s">
        <v>1995</v>
      </c>
      <c r="I3780">
        <v>5</v>
      </c>
    </row>
    <row r="3781" spans="1:9" ht="15.6" x14ac:dyDescent="0.3">
      <c r="A3781" s="9">
        <v>3780</v>
      </c>
      <c r="B3781" s="2" t="s">
        <v>3786</v>
      </c>
      <c r="C3781" s="11">
        <v>10</v>
      </c>
      <c r="D3781" s="12">
        <v>16.666666666666664</v>
      </c>
      <c r="E3781" s="12" t="s">
        <v>8219</v>
      </c>
      <c r="F3781" s="13">
        <v>6</v>
      </c>
      <c r="G3781" s="14">
        <v>1806.2399999999998</v>
      </c>
      <c r="H3781" t="s">
        <v>971</v>
      </c>
      <c r="I3781">
        <v>4</v>
      </c>
    </row>
    <row r="3782" spans="1:9" ht="15.6" x14ac:dyDescent="0.3">
      <c r="A3782" s="9">
        <v>3781</v>
      </c>
      <c r="B3782" s="2" t="s">
        <v>3787</v>
      </c>
      <c r="C3782" s="11">
        <v>16</v>
      </c>
      <c r="D3782" s="12">
        <v>33.333333333333329</v>
      </c>
      <c r="E3782" s="12" t="s">
        <v>8219</v>
      </c>
      <c r="F3782" s="13">
        <v>6</v>
      </c>
      <c r="G3782" s="14">
        <v>1791.23</v>
      </c>
      <c r="H3782" t="s">
        <v>3787</v>
      </c>
      <c r="I3782">
        <v>5</v>
      </c>
    </row>
    <row r="3783" spans="1:9" ht="15.6" x14ac:dyDescent="0.3">
      <c r="A3783" s="9">
        <v>3782</v>
      </c>
      <c r="B3783" s="2" t="s">
        <v>3788</v>
      </c>
      <c r="C3783" s="11">
        <v>14</v>
      </c>
      <c r="D3783" s="12">
        <v>50</v>
      </c>
      <c r="E3783" s="12" t="s">
        <v>8220</v>
      </c>
      <c r="F3783" s="13">
        <v>6</v>
      </c>
      <c r="G3783" s="14">
        <v>1767.1999999999998</v>
      </c>
      <c r="H3783" t="s">
        <v>2763</v>
      </c>
      <c r="I3783">
        <v>5</v>
      </c>
    </row>
    <row r="3784" spans="1:9" ht="15.6" x14ac:dyDescent="0.3">
      <c r="A3784" s="9">
        <v>3783</v>
      </c>
      <c r="B3784" s="2" t="s">
        <v>3789</v>
      </c>
      <c r="C3784" s="11">
        <v>14</v>
      </c>
      <c r="D3784" s="12">
        <v>50</v>
      </c>
      <c r="E3784" s="12" t="s">
        <v>8220</v>
      </c>
      <c r="F3784" s="13">
        <v>6</v>
      </c>
      <c r="G3784" s="14">
        <v>1807.23</v>
      </c>
      <c r="H3784" t="s">
        <v>1739</v>
      </c>
      <c r="I3784">
        <v>5</v>
      </c>
    </row>
    <row r="3785" spans="1:9" ht="15.6" x14ac:dyDescent="0.3">
      <c r="A3785" s="9">
        <v>3784</v>
      </c>
      <c r="B3785" s="2" t="s">
        <v>3790</v>
      </c>
      <c r="C3785" s="11">
        <v>8</v>
      </c>
      <c r="D3785" s="12">
        <v>33.333333333333329</v>
      </c>
      <c r="E3785" s="12" t="s">
        <v>8219</v>
      </c>
      <c r="F3785" s="13">
        <v>6</v>
      </c>
      <c r="G3785" s="14">
        <v>1782.21</v>
      </c>
      <c r="H3785" t="s">
        <v>715</v>
      </c>
      <c r="I3785">
        <v>4</v>
      </c>
    </row>
    <row r="3786" spans="1:9" ht="15.6" x14ac:dyDescent="0.3">
      <c r="A3786" s="9">
        <v>3785</v>
      </c>
      <c r="B3786" s="2" t="s">
        <v>3791</v>
      </c>
      <c r="C3786" s="11">
        <v>16</v>
      </c>
      <c r="D3786" s="12">
        <v>33.333333333333329</v>
      </c>
      <c r="E3786" s="12" t="s">
        <v>8219</v>
      </c>
      <c r="F3786" s="13">
        <v>6</v>
      </c>
      <c r="G3786" s="14">
        <v>1831.2600000000002</v>
      </c>
      <c r="H3786" t="s">
        <v>3531</v>
      </c>
      <c r="I3786">
        <v>5</v>
      </c>
    </row>
    <row r="3787" spans="1:9" ht="15.6" x14ac:dyDescent="0.3">
      <c r="A3787" s="9">
        <v>3786</v>
      </c>
      <c r="B3787" s="2" t="s">
        <v>3792</v>
      </c>
      <c r="C3787" s="11">
        <v>14</v>
      </c>
      <c r="D3787" s="12">
        <v>50</v>
      </c>
      <c r="E3787" s="12" t="s">
        <v>8220</v>
      </c>
      <c r="F3787" s="13">
        <v>6</v>
      </c>
      <c r="G3787" s="14">
        <v>1807.23</v>
      </c>
      <c r="H3787" t="s">
        <v>2507</v>
      </c>
      <c r="I3787">
        <v>5</v>
      </c>
    </row>
    <row r="3788" spans="1:9" ht="15.6" x14ac:dyDescent="0.3">
      <c r="A3788" s="9">
        <v>3787</v>
      </c>
      <c r="B3788" s="2" t="s">
        <v>3793</v>
      </c>
      <c r="C3788" s="11">
        <v>14</v>
      </c>
      <c r="D3788" s="12">
        <v>50</v>
      </c>
      <c r="E3788" s="12" t="s">
        <v>8220</v>
      </c>
      <c r="F3788" s="13">
        <v>6</v>
      </c>
      <c r="G3788" s="14">
        <v>1847.2600000000002</v>
      </c>
      <c r="H3788" t="s">
        <v>1483</v>
      </c>
      <c r="I3788">
        <v>5</v>
      </c>
    </row>
    <row r="3789" spans="1:9" ht="15.6" x14ac:dyDescent="0.3">
      <c r="A3789" s="9">
        <v>3788</v>
      </c>
      <c r="B3789" s="2" t="s">
        <v>3794</v>
      </c>
      <c r="C3789" s="11">
        <v>8</v>
      </c>
      <c r="D3789" s="12">
        <v>33.333333333333329</v>
      </c>
      <c r="E3789" s="12" t="s">
        <v>8219</v>
      </c>
      <c r="F3789" s="13">
        <v>6</v>
      </c>
      <c r="G3789" s="14">
        <v>1822.2400000000002</v>
      </c>
      <c r="H3789" t="s">
        <v>459</v>
      </c>
      <c r="I3789">
        <v>4</v>
      </c>
    </row>
    <row r="3790" spans="1:9" ht="15.6" x14ac:dyDescent="0.3">
      <c r="A3790" s="9">
        <v>3789</v>
      </c>
      <c r="B3790" s="2" t="s">
        <v>3795</v>
      </c>
      <c r="C3790" s="11">
        <v>10</v>
      </c>
      <c r="D3790" s="12">
        <v>16.666666666666664</v>
      </c>
      <c r="E3790" s="12" t="s">
        <v>8219</v>
      </c>
      <c r="F3790" s="13">
        <v>6</v>
      </c>
      <c r="G3790" s="14">
        <v>1806.2399999999998</v>
      </c>
      <c r="H3790" t="s">
        <v>3275</v>
      </c>
      <c r="I3790">
        <v>4</v>
      </c>
    </row>
    <row r="3791" spans="1:9" ht="15.6" x14ac:dyDescent="0.3">
      <c r="A3791" s="9">
        <v>3790</v>
      </c>
      <c r="B3791" s="2" t="s">
        <v>3796</v>
      </c>
      <c r="C3791" s="11">
        <v>8</v>
      </c>
      <c r="D3791" s="12">
        <v>33.333333333333329</v>
      </c>
      <c r="E3791" s="12" t="s">
        <v>8219</v>
      </c>
      <c r="F3791" s="13">
        <v>6</v>
      </c>
      <c r="G3791" s="14">
        <v>1782.21</v>
      </c>
      <c r="H3791" t="s">
        <v>2251</v>
      </c>
      <c r="I3791">
        <v>4</v>
      </c>
    </row>
    <row r="3792" spans="1:9" ht="15.6" x14ac:dyDescent="0.3">
      <c r="A3792" s="9">
        <v>3791</v>
      </c>
      <c r="B3792" s="2" t="s">
        <v>3797</v>
      </c>
      <c r="C3792" s="11">
        <v>8</v>
      </c>
      <c r="D3792" s="12">
        <v>33.333333333333329</v>
      </c>
      <c r="E3792" s="12" t="s">
        <v>8219</v>
      </c>
      <c r="F3792" s="13">
        <v>6</v>
      </c>
      <c r="G3792" s="14">
        <v>1822.2400000000002</v>
      </c>
      <c r="H3792" t="s">
        <v>1227</v>
      </c>
      <c r="I3792">
        <v>4</v>
      </c>
    </row>
    <row r="3793" spans="1:9" ht="15.6" x14ac:dyDescent="0.3">
      <c r="A3793" s="9">
        <v>3792</v>
      </c>
      <c r="B3793" s="2" t="s">
        <v>3798</v>
      </c>
      <c r="C3793" s="11">
        <v>2</v>
      </c>
      <c r="D3793" s="12">
        <v>16.666666666666664</v>
      </c>
      <c r="E3793" s="12" t="s">
        <v>8219</v>
      </c>
      <c r="F3793" s="13">
        <v>6</v>
      </c>
      <c r="G3793" s="14">
        <v>1797.2199999999998</v>
      </c>
      <c r="H3793" t="s">
        <v>203</v>
      </c>
      <c r="I3793">
        <v>3</v>
      </c>
    </row>
    <row r="3794" spans="1:9" ht="15.6" x14ac:dyDescent="0.3">
      <c r="A3794" s="9">
        <v>3793</v>
      </c>
      <c r="B3794" s="2" t="s">
        <v>3799</v>
      </c>
      <c r="C3794" s="11">
        <v>16</v>
      </c>
      <c r="D3794" s="12">
        <v>33.333333333333329</v>
      </c>
      <c r="E3794" s="12" t="s">
        <v>8219</v>
      </c>
      <c r="F3794" s="13">
        <v>6</v>
      </c>
      <c r="G3794" s="14">
        <v>1791.23</v>
      </c>
      <c r="H3794" t="s">
        <v>3979</v>
      </c>
      <c r="I3794">
        <v>5</v>
      </c>
    </row>
    <row r="3795" spans="1:9" ht="15.6" x14ac:dyDescent="0.3">
      <c r="A3795" s="9">
        <v>3794</v>
      </c>
      <c r="B3795" s="2" t="s">
        <v>3800</v>
      </c>
      <c r="C3795" s="11">
        <v>14</v>
      </c>
      <c r="D3795" s="12">
        <v>50</v>
      </c>
      <c r="E3795" s="12" t="s">
        <v>8220</v>
      </c>
      <c r="F3795" s="13">
        <v>6</v>
      </c>
      <c r="G3795" s="14">
        <v>1767.1999999999998</v>
      </c>
      <c r="H3795" t="s">
        <v>2955</v>
      </c>
      <c r="I3795">
        <v>5</v>
      </c>
    </row>
    <row r="3796" spans="1:9" ht="15.6" x14ac:dyDescent="0.3">
      <c r="A3796" s="9">
        <v>3795</v>
      </c>
      <c r="B3796" s="2" t="s">
        <v>3801</v>
      </c>
      <c r="C3796" s="11">
        <v>14</v>
      </c>
      <c r="D3796" s="12">
        <v>50</v>
      </c>
      <c r="E3796" s="12" t="s">
        <v>8220</v>
      </c>
      <c r="F3796" s="13">
        <v>6</v>
      </c>
      <c r="G3796" s="14">
        <v>1807.23</v>
      </c>
      <c r="H3796" t="s">
        <v>1931</v>
      </c>
      <c r="I3796">
        <v>5</v>
      </c>
    </row>
    <row r="3797" spans="1:9" ht="15.6" x14ac:dyDescent="0.3">
      <c r="A3797" s="9">
        <v>3796</v>
      </c>
      <c r="B3797" s="2" t="s">
        <v>3802</v>
      </c>
      <c r="C3797" s="11">
        <v>8</v>
      </c>
      <c r="D3797" s="12">
        <v>33.333333333333329</v>
      </c>
      <c r="E3797" s="12" t="s">
        <v>8219</v>
      </c>
      <c r="F3797" s="13">
        <v>6</v>
      </c>
      <c r="G3797" s="14">
        <v>1782.21</v>
      </c>
      <c r="H3797" t="s">
        <v>907</v>
      </c>
      <c r="I3797">
        <v>4</v>
      </c>
    </row>
    <row r="3798" spans="1:9" ht="15.6" x14ac:dyDescent="0.3">
      <c r="A3798" s="9">
        <v>3797</v>
      </c>
      <c r="B3798" s="2" t="s">
        <v>3803</v>
      </c>
      <c r="C3798" s="11">
        <v>14</v>
      </c>
      <c r="D3798" s="12">
        <v>50</v>
      </c>
      <c r="E3798" s="12" t="s">
        <v>8220</v>
      </c>
      <c r="F3798" s="13">
        <v>6</v>
      </c>
      <c r="G3798" s="14">
        <v>1767.1999999999998</v>
      </c>
      <c r="H3798" t="s">
        <v>3723</v>
      </c>
      <c r="I3798">
        <v>5</v>
      </c>
    </row>
    <row r="3799" spans="1:9" ht="15.6" x14ac:dyDescent="0.3">
      <c r="A3799" s="9">
        <v>3798</v>
      </c>
      <c r="B3799" s="2" t="s">
        <v>3804</v>
      </c>
      <c r="C3799" s="11">
        <v>12</v>
      </c>
      <c r="D3799" s="12">
        <v>66.666666666666657</v>
      </c>
      <c r="E3799" s="12" t="s">
        <v>8220</v>
      </c>
      <c r="F3799" s="13">
        <v>6</v>
      </c>
      <c r="G3799" s="14">
        <v>1743.17</v>
      </c>
      <c r="H3799" t="s">
        <v>2699</v>
      </c>
      <c r="I3799">
        <v>4</v>
      </c>
    </row>
    <row r="3800" spans="1:9" ht="15.6" x14ac:dyDescent="0.3">
      <c r="A3800" s="9">
        <v>3799</v>
      </c>
      <c r="B3800" s="2" t="s">
        <v>3805</v>
      </c>
      <c r="C3800" s="11">
        <v>12</v>
      </c>
      <c r="D3800" s="12">
        <v>66.666666666666657</v>
      </c>
      <c r="E3800" s="12" t="s">
        <v>8220</v>
      </c>
      <c r="F3800" s="13">
        <v>6</v>
      </c>
      <c r="G3800" s="14">
        <v>1783.1999999999998</v>
      </c>
      <c r="H3800" t="s">
        <v>1675</v>
      </c>
      <c r="I3800">
        <v>4</v>
      </c>
    </row>
    <row r="3801" spans="1:9" ht="15.6" x14ac:dyDescent="0.3">
      <c r="A3801" s="9">
        <v>3800</v>
      </c>
      <c r="B3801" s="2" t="s">
        <v>3806</v>
      </c>
      <c r="C3801" s="11">
        <v>6</v>
      </c>
      <c r="D3801" s="12">
        <v>50</v>
      </c>
      <c r="E3801" s="12" t="s">
        <v>8220</v>
      </c>
      <c r="F3801" s="13">
        <v>6</v>
      </c>
      <c r="G3801" s="14">
        <v>1758.1799999999998</v>
      </c>
      <c r="H3801" t="s">
        <v>651</v>
      </c>
      <c r="I3801">
        <v>3</v>
      </c>
    </row>
    <row r="3802" spans="1:9" ht="15.6" x14ac:dyDescent="0.3">
      <c r="A3802" s="9">
        <v>3801</v>
      </c>
      <c r="B3802" s="2" t="s">
        <v>3807</v>
      </c>
      <c r="C3802" s="11">
        <v>14</v>
      </c>
      <c r="D3802" s="12">
        <v>50</v>
      </c>
      <c r="E3802" s="12" t="s">
        <v>8220</v>
      </c>
      <c r="F3802" s="13">
        <v>6</v>
      </c>
      <c r="G3802" s="14">
        <v>1807.23</v>
      </c>
      <c r="H3802" t="s">
        <v>3467</v>
      </c>
      <c r="I3802">
        <v>5</v>
      </c>
    </row>
    <row r="3803" spans="1:9" ht="15.6" x14ac:dyDescent="0.3">
      <c r="A3803" s="9">
        <v>3802</v>
      </c>
      <c r="B3803" s="2" t="s">
        <v>3808</v>
      </c>
      <c r="C3803" s="11">
        <v>12</v>
      </c>
      <c r="D3803" s="12">
        <v>66.666666666666657</v>
      </c>
      <c r="E3803" s="12" t="s">
        <v>8220</v>
      </c>
      <c r="F3803" s="13">
        <v>6</v>
      </c>
      <c r="G3803" s="14">
        <v>1783.1999999999998</v>
      </c>
      <c r="H3803" t="s">
        <v>2443</v>
      </c>
      <c r="I3803">
        <v>4</v>
      </c>
    </row>
    <row r="3804" spans="1:9" ht="15.6" x14ac:dyDescent="0.3">
      <c r="A3804" s="9">
        <v>3803</v>
      </c>
      <c r="B3804" s="2" t="s">
        <v>3809</v>
      </c>
      <c r="C3804" s="11">
        <v>12</v>
      </c>
      <c r="D3804" s="12">
        <v>66.666666666666657</v>
      </c>
      <c r="E3804" s="12" t="s">
        <v>8220</v>
      </c>
      <c r="F3804" s="13">
        <v>6</v>
      </c>
      <c r="G3804" s="14">
        <v>1823.23</v>
      </c>
      <c r="H3804" t="s">
        <v>1419</v>
      </c>
      <c r="I3804">
        <v>4</v>
      </c>
    </row>
    <row r="3805" spans="1:9" ht="15.6" x14ac:dyDescent="0.3">
      <c r="A3805" s="9">
        <v>3804</v>
      </c>
      <c r="B3805" s="2" t="s">
        <v>3810</v>
      </c>
      <c r="C3805" s="11">
        <v>6</v>
      </c>
      <c r="D3805" s="12">
        <v>50</v>
      </c>
      <c r="E3805" s="12" t="s">
        <v>8220</v>
      </c>
      <c r="F3805" s="13">
        <v>6</v>
      </c>
      <c r="G3805" s="14">
        <v>1798.21</v>
      </c>
      <c r="H3805" t="s">
        <v>395</v>
      </c>
      <c r="I3805">
        <v>3</v>
      </c>
    </row>
    <row r="3806" spans="1:9" ht="15.6" x14ac:dyDescent="0.3">
      <c r="A3806" s="9">
        <v>3805</v>
      </c>
      <c r="B3806" s="2" t="s">
        <v>3811</v>
      </c>
      <c r="C3806" s="11">
        <v>8</v>
      </c>
      <c r="D3806" s="12">
        <v>33.333333333333329</v>
      </c>
      <c r="E3806" s="12" t="s">
        <v>8219</v>
      </c>
      <c r="F3806" s="13">
        <v>6</v>
      </c>
      <c r="G3806" s="14">
        <v>1782.21</v>
      </c>
      <c r="H3806" t="s">
        <v>3211</v>
      </c>
      <c r="I3806">
        <v>4</v>
      </c>
    </row>
    <row r="3807" spans="1:9" ht="15.6" x14ac:dyDescent="0.3">
      <c r="A3807" s="9">
        <v>3806</v>
      </c>
      <c r="B3807" s="2" t="s">
        <v>3812</v>
      </c>
      <c r="C3807" s="11">
        <v>6</v>
      </c>
      <c r="D3807" s="12">
        <v>50</v>
      </c>
      <c r="E3807" s="12" t="s">
        <v>8220</v>
      </c>
      <c r="F3807" s="13">
        <v>6</v>
      </c>
      <c r="G3807" s="14">
        <v>1758.1799999999998</v>
      </c>
      <c r="H3807" t="s">
        <v>2187</v>
      </c>
      <c r="I3807">
        <v>3</v>
      </c>
    </row>
    <row r="3808" spans="1:9" ht="15.6" x14ac:dyDescent="0.3">
      <c r="A3808" s="9">
        <v>3807</v>
      </c>
      <c r="B3808" s="2" t="s">
        <v>3813</v>
      </c>
      <c r="C3808" s="11">
        <v>6</v>
      </c>
      <c r="D3808" s="12">
        <v>50</v>
      </c>
      <c r="E3808" s="12" t="s">
        <v>8220</v>
      </c>
      <c r="F3808" s="13">
        <v>6</v>
      </c>
      <c r="G3808" s="14">
        <v>1798.21</v>
      </c>
      <c r="H3808" t="s">
        <v>1163</v>
      </c>
      <c r="I3808">
        <v>3</v>
      </c>
    </row>
    <row r="3809" spans="1:9" ht="15.6" x14ac:dyDescent="0.3">
      <c r="A3809" s="9">
        <v>3808</v>
      </c>
      <c r="B3809" s="2" t="s">
        <v>3814</v>
      </c>
      <c r="C3809" s="11">
        <v>0</v>
      </c>
      <c r="D3809" s="12">
        <v>33.333333333333329</v>
      </c>
      <c r="E3809" s="12" t="s">
        <v>8219</v>
      </c>
      <c r="F3809" s="13">
        <v>6</v>
      </c>
      <c r="G3809" s="14">
        <v>1773.19</v>
      </c>
      <c r="H3809" t="s">
        <v>139</v>
      </c>
      <c r="I3809">
        <v>2</v>
      </c>
    </row>
    <row r="3810" spans="1:9" ht="15.6" x14ac:dyDescent="0.3">
      <c r="A3810" s="9">
        <v>3809</v>
      </c>
      <c r="B3810" s="2" t="s">
        <v>3815</v>
      </c>
      <c r="C3810" s="11">
        <v>16</v>
      </c>
      <c r="D3810" s="12">
        <v>33.333333333333329</v>
      </c>
      <c r="E3810" s="12" t="s">
        <v>8219</v>
      </c>
      <c r="F3810" s="13">
        <v>6</v>
      </c>
      <c r="G3810" s="14">
        <v>1831.2600000000002</v>
      </c>
      <c r="H3810" t="s">
        <v>3915</v>
      </c>
      <c r="I3810">
        <v>5</v>
      </c>
    </row>
    <row r="3811" spans="1:9" ht="15.6" x14ac:dyDescent="0.3">
      <c r="A3811" s="9">
        <v>3810</v>
      </c>
      <c r="B3811" s="2" t="s">
        <v>3816</v>
      </c>
      <c r="C3811" s="11">
        <v>14</v>
      </c>
      <c r="D3811" s="12">
        <v>50</v>
      </c>
      <c r="E3811" s="12" t="s">
        <v>8220</v>
      </c>
      <c r="F3811" s="13">
        <v>6</v>
      </c>
      <c r="G3811" s="14">
        <v>1807.23</v>
      </c>
      <c r="H3811" t="s">
        <v>2891</v>
      </c>
      <c r="I3811">
        <v>5</v>
      </c>
    </row>
    <row r="3812" spans="1:9" ht="15.6" x14ac:dyDescent="0.3">
      <c r="A3812" s="9">
        <v>3811</v>
      </c>
      <c r="B3812" s="2" t="s">
        <v>3817</v>
      </c>
      <c r="C3812" s="11">
        <v>14</v>
      </c>
      <c r="D3812" s="12">
        <v>50</v>
      </c>
      <c r="E3812" s="12" t="s">
        <v>8220</v>
      </c>
      <c r="F3812" s="13">
        <v>6</v>
      </c>
      <c r="G3812" s="14">
        <v>1847.2600000000002</v>
      </c>
      <c r="H3812" t="s">
        <v>1867</v>
      </c>
      <c r="I3812">
        <v>5</v>
      </c>
    </row>
    <row r="3813" spans="1:9" ht="15.6" x14ac:dyDescent="0.3">
      <c r="A3813" s="9">
        <v>3812</v>
      </c>
      <c r="B3813" s="2" t="s">
        <v>3818</v>
      </c>
      <c r="C3813" s="11">
        <v>8</v>
      </c>
      <c r="D3813" s="12">
        <v>33.333333333333329</v>
      </c>
      <c r="E3813" s="12" t="s">
        <v>8219</v>
      </c>
      <c r="F3813" s="13">
        <v>6</v>
      </c>
      <c r="G3813" s="14">
        <v>1822.2400000000002</v>
      </c>
      <c r="H3813" t="s">
        <v>843</v>
      </c>
      <c r="I3813">
        <v>4</v>
      </c>
    </row>
    <row r="3814" spans="1:9" ht="15.6" x14ac:dyDescent="0.3">
      <c r="A3814" s="9">
        <v>3813</v>
      </c>
      <c r="B3814" s="2" t="s">
        <v>3819</v>
      </c>
      <c r="C3814" s="11">
        <v>14</v>
      </c>
      <c r="D3814" s="12">
        <v>50</v>
      </c>
      <c r="E3814" s="12" t="s">
        <v>8220</v>
      </c>
      <c r="F3814" s="13">
        <v>6</v>
      </c>
      <c r="G3814" s="14">
        <v>1807.23</v>
      </c>
      <c r="H3814" t="s">
        <v>3659</v>
      </c>
      <c r="I3814">
        <v>5</v>
      </c>
    </row>
    <row r="3815" spans="1:9" ht="15.6" x14ac:dyDescent="0.3">
      <c r="A3815" s="9">
        <v>3814</v>
      </c>
      <c r="B3815" s="2" t="s">
        <v>3820</v>
      </c>
      <c r="C3815" s="11">
        <v>12</v>
      </c>
      <c r="D3815" s="12">
        <v>66.666666666666657</v>
      </c>
      <c r="E3815" s="12" t="s">
        <v>8220</v>
      </c>
      <c r="F3815" s="13">
        <v>6</v>
      </c>
      <c r="G3815" s="14">
        <v>1783.1999999999998</v>
      </c>
      <c r="H3815" t="s">
        <v>2635</v>
      </c>
      <c r="I3815">
        <v>4</v>
      </c>
    </row>
    <row r="3816" spans="1:9" ht="15.6" x14ac:dyDescent="0.3">
      <c r="A3816" s="9">
        <v>3815</v>
      </c>
      <c r="B3816" s="2" t="s">
        <v>3821</v>
      </c>
      <c r="C3816" s="11">
        <v>12</v>
      </c>
      <c r="D3816" s="12">
        <v>66.666666666666657</v>
      </c>
      <c r="E3816" s="12" t="s">
        <v>8220</v>
      </c>
      <c r="F3816" s="13">
        <v>6</v>
      </c>
      <c r="G3816" s="14">
        <v>1823.23</v>
      </c>
      <c r="H3816" t="s">
        <v>1611</v>
      </c>
      <c r="I3816">
        <v>4</v>
      </c>
    </row>
    <row r="3817" spans="1:9" ht="15.6" x14ac:dyDescent="0.3">
      <c r="A3817" s="9">
        <v>3816</v>
      </c>
      <c r="B3817" s="2" t="s">
        <v>3822</v>
      </c>
      <c r="C3817" s="11">
        <v>6</v>
      </c>
      <c r="D3817" s="12">
        <v>50</v>
      </c>
      <c r="E3817" s="12" t="s">
        <v>8220</v>
      </c>
      <c r="F3817" s="13">
        <v>6</v>
      </c>
      <c r="G3817" s="14">
        <v>1798.21</v>
      </c>
      <c r="H3817" t="s">
        <v>587</v>
      </c>
      <c r="I3817">
        <v>3</v>
      </c>
    </row>
    <row r="3818" spans="1:9" ht="15.6" x14ac:dyDescent="0.3">
      <c r="A3818" s="9">
        <v>3817</v>
      </c>
      <c r="B3818" s="2" t="s">
        <v>3823</v>
      </c>
      <c r="C3818" s="11">
        <v>14</v>
      </c>
      <c r="D3818" s="12">
        <v>50</v>
      </c>
      <c r="E3818" s="12" t="s">
        <v>8220</v>
      </c>
      <c r="F3818" s="13">
        <v>6</v>
      </c>
      <c r="G3818" s="14">
        <v>1847.2600000000002</v>
      </c>
      <c r="H3818" t="s">
        <v>3403</v>
      </c>
      <c r="I3818">
        <v>5</v>
      </c>
    </row>
    <row r="3819" spans="1:9" ht="15.6" x14ac:dyDescent="0.3">
      <c r="A3819" s="9">
        <v>3818</v>
      </c>
      <c r="B3819" s="2" t="s">
        <v>3824</v>
      </c>
      <c r="C3819" s="11">
        <v>12</v>
      </c>
      <c r="D3819" s="12">
        <v>66.666666666666657</v>
      </c>
      <c r="E3819" s="12" t="s">
        <v>8220</v>
      </c>
      <c r="F3819" s="13">
        <v>6</v>
      </c>
      <c r="G3819" s="14">
        <v>1823.23</v>
      </c>
      <c r="H3819" t="s">
        <v>2379</v>
      </c>
      <c r="I3819">
        <v>4</v>
      </c>
    </row>
    <row r="3820" spans="1:9" ht="15.6" x14ac:dyDescent="0.3">
      <c r="A3820" s="9">
        <v>3819</v>
      </c>
      <c r="B3820" s="2" t="s">
        <v>3825</v>
      </c>
      <c r="C3820" s="11">
        <v>12</v>
      </c>
      <c r="D3820" s="12">
        <v>66.666666666666657</v>
      </c>
      <c r="E3820" s="12" t="s">
        <v>8220</v>
      </c>
      <c r="F3820" s="13">
        <v>6</v>
      </c>
      <c r="G3820" s="14">
        <v>1863.2600000000002</v>
      </c>
      <c r="H3820" t="s">
        <v>1355</v>
      </c>
      <c r="I3820">
        <v>4</v>
      </c>
    </row>
    <row r="3821" spans="1:9" ht="15.6" x14ac:dyDescent="0.3">
      <c r="A3821" s="9">
        <v>3820</v>
      </c>
      <c r="B3821" s="2" t="s">
        <v>3826</v>
      </c>
      <c r="C3821" s="11">
        <v>6</v>
      </c>
      <c r="D3821" s="12">
        <v>50</v>
      </c>
      <c r="E3821" s="12" t="s">
        <v>8220</v>
      </c>
      <c r="F3821" s="13">
        <v>6</v>
      </c>
      <c r="G3821" s="14">
        <v>1838.2400000000002</v>
      </c>
      <c r="H3821" t="s">
        <v>331</v>
      </c>
      <c r="I3821">
        <v>3</v>
      </c>
    </row>
    <row r="3822" spans="1:9" ht="15.6" x14ac:dyDescent="0.3">
      <c r="A3822" s="9">
        <v>3821</v>
      </c>
      <c r="B3822" s="2" t="s">
        <v>3827</v>
      </c>
      <c r="C3822" s="11">
        <v>8</v>
      </c>
      <c r="D3822" s="12">
        <v>33.333333333333329</v>
      </c>
      <c r="E3822" s="12" t="s">
        <v>8219</v>
      </c>
      <c r="F3822" s="13">
        <v>6</v>
      </c>
      <c r="G3822" s="14">
        <v>1822.2400000000002</v>
      </c>
      <c r="H3822" t="s">
        <v>3147</v>
      </c>
      <c r="I3822">
        <v>4</v>
      </c>
    </row>
    <row r="3823" spans="1:9" ht="15.6" x14ac:dyDescent="0.3">
      <c r="A3823" s="9">
        <v>3822</v>
      </c>
      <c r="B3823" s="2" t="s">
        <v>3828</v>
      </c>
      <c r="C3823" s="11">
        <v>6</v>
      </c>
      <c r="D3823" s="12">
        <v>50</v>
      </c>
      <c r="E3823" s="12" t="s">
        <v>8220</v>
      </c>
      <c r="F3823" s="13">
        <v>6</v>
      </c>
      <c r="G3823" s="14">
        <v>1798.21</v>
      </c>
      <c r="H3823" t="s">
        <v>2123</v>
      </c>
      <c r="I3823">
        <v>3</v>
      </c>
    </row>
    <row r="3824" spans="1:9" ht="15.6" x14ac:dyDescent="0.3">
      <c r="A3824" s="9">
        <v>3823</v>
      </c>
      <c r="B3824" s="2" t="s">
        <v>3829</v>
      </c>
      <c r="C3824" s="11">
        <v>6</v>
      </c>
      <c r="D3824" s="12">
        <v>50</v>
      </c>
      <c r="E3824" s="12" t="s">
        <v>8220</v>
      </c>
      <c r="F3824" s="13">
        <v>6</v>
      </c>
      <c r="G3824" s="14">
        <v>1838.2400000000002</v>
      </c>
      <c r="H3824" t="s">
        <v>1099</v>
      </c>
      <c r="I3824">
        <v>3</v>
      </c>
    </row>
    <row r="3825" spans="1:9" ht="15.6" x14ac:dyDescent="0.3">
      <c r="A3825" s="9">
        <v>3824</v>
      </c>
      <c r="B3825" s="2" t="s">
        <v>3830</v>
      </c>
      <c r="C3825" s="11">
        <v>0</v>
      </c>
      <c r="D3825" s="12">
        <v>33.333333333333329</v>
      </c>
      <c r="E3825" s="12" t="s">
        <v>8219</v>
      </c>
      <c r="F3825" s="13">
        <v>6</v>
      </c>
      <c r="G3825" s="14">
        <v>1813.2200000000003</v>
      </c>
      <c r="H3825" t="s">
        <v>75</v>
      </c>
      <c r="I3825">
        <v>2</v>
      </c>
    </row>
    <row r="3826" spans="1:9" ht="15.6" x14ac:dyDescent="0.3">
      <c r="A3826" s="9">
        <v>3825</v>
      </c>
      <c r="B3826" s="2" t="s">
        <v>3831</v>
      </c>
      <c r="C3826" s="11">
        <v>10</v>
      </c>
      <c r="D3826" s="12">
        <v>16.666666666666664</v>
      </c>
      <c r="E3826" s="12" t="s">
        <v>8219</v>
      </c>
      <c r="F3826" s="13">
        <v>6</v>
      </c>
      <c r="G3826" s="14">
        <v>1806.2399999999998</v>
      </c>
      <c r="H3826" t="s">
        <v>3851</v>
      </c>
      <c r="I3826">
        <v>4</v>
      </c>
    </row>
    <row r="3827" spans="1:9" ht="15.6" x14ac:dyDescent="0.3">
      <c r="A3827" s="9">
        <v>3826</v>
      </c>
      <c r="B3827" s="2" t="s">
        <v>3832</v>
      </c>
      <c r="C3827" s="11">
        <v>8</v>
      </c>
      <c r="D3827" s="12">
        <v>33.333333333333329</v>
      </c>
      <c r="E3827" s="12" t="s">
        <v>8219</v>
      </c>
      <c r="F3827" s="13">
        <v>6</v>
      </c>
      <c r="G3827" s="14">
        <v>1782.21</v>
      </c>
      <c r="H3827" t="s">
        <v>2827</v>
      </c>
      <c r="I3827">
        <v>4</v>
      </c>
    </row>
    <row r="3828" spans="1:9" ht="15.6" x14ac:dyDescent="0.3">
      <c r="A3828" s="9">
        <v>3827</v>
      </c>
      <c r="B3828" s="2" t="s">
        <v>3833</v>
      </c>
      <c r="C3828" s="11">
        <v>8</v>
      </c>
      <c r="D3828" s="12">
        <v>33.333333333333329</v>
      </c>
      <c r="E3828" s="12" t="s">
        <v>8219</v>
      </c>
      <c r="F3828" s="13">
        <v>6</v>
      </c>
      <c r="G3828" s="14">
        <v>1822.2400000000002</v>
      </c>
      <c r="H3828" t="s">
        <v>1803</v>
      </c>
      <c r="I3828">
        <v>4</v>
      </c>
    </row>
    <row r="3829" spans="1:9" ht="15.6" x14ac:dyDescent="0.3">
      <c r="A3829" s="9">
        <v>3828</v>
      </c>
      <c r="B3829" s="2" t="s">
        <v>3834</v>
      </c>
      <c r="C3829" s="11">
        <v>2</v>
      </c>
      <c r="D3829" s="12">
        <v>16.666666666666664</v>
      </c>
      <c r="E3829" s="12" t="s">
        <v>8219</v>
      </c>
      <c r="F3829" s="13">
        <v>6</v>
      </c>
      <c r="G3829" s="14">
        <v>1797.2199999999998</v>
      </c>
      <c r="H3829" t="s">
        <v>779</v>
      </c>
      <c r="I3829">
        <v>3</v>
      </c>
    </row>
    <row r="3830" spans="1:9" ht="15.6" x14ac:dyDescent="0.3">
      <c r="A3830" s="9">
        <v>3829</v>
      </c>
      <c r="B3830" s="2" t="s">
        <v>3835</v>
      </c>
      <c r="C3830" s="11">
        <v>8</v>
      </c>
      <c r="D3830" s="12">
        <v>33.333333333333329</v>
      </c>
      <c r="E3830" s="12" t="s">
        <v>8219</v>
      </c>
      <c r="F3830" s="13">
        <v>6</v>
      </c>
      <c r="G3830" s="14">
        <v>1782.21</v>
      </c>
      <c r="H3830" t="s">
        <v>3595</v>
      </c>
      <c r="I3830">
        <v>4</v>
      </c>
    </row>
    <row r="3831" spans="1:9" ht="15.6" x14ac:dyDescent="0.3">
      <c r="A3831" s="9">
        <v>3830</v>
      </c>
      <c r="B3831" s="2" t="s">
        <v>3836</v>
      </c>
      <c r="C3831" s="11">
        <v>6</v>
      </c>
      <c r="D3831" s="12">
        <v>50</v>
      </c>
      <c r="E3831" s="12" t="s">
        <v>8220</v>
      </c>
      <c r="F3831" s="13">
        <v>6</v>
      </c>
      <c r="G3831" s="14">
        <v>1758.1799999999998</v>
      </c>
      <c r="H3831" t="s">
        <v>2571</v>
      </c>
      <c r="I3831">
        <v>3</v>
      </c>
    </row>
    <row r="3832" spans="1:9" ht="15.6" x14ac:dyDescent="0.3">
      <c r="A3832" s="9">
        <v>3831</v>
      </c>
      <c r="B3832" s="2" t="s">
        <v>3837</v>
      </c>
      <c r="C3832" s="11">
        <v>6</v>
      </c>
      <c r="D3832" s="12">
        <v>50</v>
      </c>
      <c r="E3832" s="12" t="s">
        <v>8220</v>
      </c>
      <c r="F3832" s="13">
        <v>6</v>
      </c>
      <c r="G3832" s="14">
        <v>1798.21</v>
      </c>
      <c r="H3832" t="s">
        <v>1547</v>
      </c>
      <c r="I3832">
        <v>3</v>
      </c>
    </row>
    <row r="3833" spans="1:9" ht="15.6" x14ac:dyDescent="0.3">
      <c r="A3833" s="9">
        <v>3832</v>
      </c>
      <c r="B3833" s="2" t="s">
        <v>3838</v>
      </c>
      <c r="C3833" s="11">
        <v>0</v>
      </c>
      <c r="D3833" s="12">
        <v>33.333333333333329</v>
      </c>
      <c r="E3833" s="12" t="s">
        <v>8219</v>
      </c>
      <c r="F3833" s="13">
        <v>6</v>
      </c>
      <c r="G3833" s="14">
        <v>1773.19</v>
      </c>
      <c r="H3833" t="s">
        <v>523</v>
      </c>
      <c r="I3833">
        <v>2</v>
      </c>
    </row>
    <row r="3834" spans="1:9" ht="15.6" x14ac:dyDescent="0.3">
      <c r="A3834" s="9">
        <v>3833</v>
      </c>
      <c r="B3834" s="2" t="s">
        <v>3839</v>
      </c>
      <c r="C3834" s="11">
        <v>8</v>
      </c>
      <c r="D3834" s="12">
        <v>33.333333333333329</v>
      </c>
      <c r="E3834" s="12" t="s">
        <v>8219</v>
      </c>
      <c r="F3834" s="13">
        <v>6</v>
      </c>
      <c r="G3834" s="14">
        <v>1822.2400000000002</v>
      </c>
      <c r="H3834" t="s">
        <v>3339</v>
      </c>
      <c r="I3834">
        <v>4</v>
      </c>
    </row>
    <row r="3835" spans="1:9" ht="15.6" x14ac:dyDescent="0.3">
      <c r="A3835" s="9">
        <v>3834</v>
      </c>
      <c r="B3835" s="2" t="s">
        <v>3840</v>
      </c>
      <c r="C3835" s="11">
        <v>6</v>
      </c>
      <c r="D3835" s="12">
        <v>50</v>
      </c>
      <c r="E3835" s="12" t="s">
        <v>8220</v>
      </c>
      <c r="F3835" s="13">
        <v>6</v>
      </c>
      <c r="G3835" s="14">
        <v>1798.21</v>
      </c>
      <c r="H3835" t="s">
        <v>2315</v>
      </c>
      <c r="I3835">
        <v>3</v>
      </c>
    </row>
    <row r="3836" spans="1:9" ht="15.6" x14ac:dyDescent="0.3">
      <c r="A3836" s="9">
        <v>3835</v>
      </c>
      <c r="B3836" s="2" t="s">
        <v>3841</v>
      </c>
      <c r="C3836" s="11">
        <v>6</v>
      </c>
      <c r="D3836" s="12">
        <v>50</v>
      </c>
      <c r="E3836" s="12" t="s">
        <v>8220</v>
      </c>
      <c r="F3836" s="13">
        <v>6</v>
      </c>
      <c r="G3836" s="14">
        <v>1838.2400000000002</v>
      </c>
      <c r="H3836" t="s">
        <v>1291</v>
      </c>
      <c r="I3836">
        <v>3</v>
      </c>
    </row>
    <row r="3837" spans="1:9" ht="15.6" x14ac:dyDescent="0.3">
      <c r="A3837" s="9">
        <v>3836</v>
      </c>
      <c r="B3837" s="2" t="s">
        <v>3842</v>
      </c>
      <c r="C3837" s="11">
        <v>0</v>
      </c>
      <c r="D3837" s="12">
        <v>33.333333333333329</v>
      </c>
      <c r="E3837" s="12" t="s">
        <v>8219</v>
      </c>
      <c r="F3837" s="13">
        <v>6</v>
      </c>
      <c r="G3837" s="14">
        <v>1813.2200000000003</v>
      </c>
      <c r="H3837" t="s">
        <v>267</v>
      </c>
      <c r="I3837">
        <v>2</v>
      </c>
    </row>
    <row r="3838" spans="1:9" ht="15.6" x14ac:dyDescent="0.3">
      <c r="A3838" s="9">
        <v>3837</v>
      </c>
      <c r="B3838" s="2" t="s">
        <v>3843</v>
      </c>
      <c r="C3838" s="11">
        <v>2</v>
      </c>
      <c r="D3838" s="12">
        <v>16.666666666666664</v>
      </c>
      <c r="E3838" s="12" t="s">
        <v>8219</v>
      </c>
      <c r="F3838" s="13">
        <v>6</v>
      </c>
      <c r="G3838" s="14">
        <v>1797.2199999999998</v>
      </c>
      <c r="H3838" t="s">
        <v>3083</v>
      </c>
      <c r="I3838">
        <v>3</v>
      </c>
    </row>
    <row r="3839" spans="1:9" ht="15.6" x14ac:dyDescent="0.3">
      <c r="A3839" s="9">
        <v>3838</v>
      </c>
      <c r="B3839" s="2" t="s">
        <v>3844</v>
      </c>
      <c r="C3839" s="11">
        <v>0</v>
      </c>
      <c r="D3839" s="12">
        <v>33.333333333333329</v>
      </c>
      <c r="E3839" s="12" t="s">
        <v>8219</v>
      </c>
      <c r="F3839" s="13">
        <v>6</v>
      </c>
      <c r="G3839" s="14">
        <v>1773.19</v>
      </c>
      <c r="H3839" t="s">
        <v>2059</v>
      </c>
      <c r="I3839">
        <v>2</v>
      </c>
    </row>
    <row r="3840" spans="1:9" ht="15.6" x14ac:dyDescent="0.3">
      <c r="A3840" s="9">
        <v>3839</v>
      </c>
      <c r="B3840" s="2" t="s">
        <v>3845</v>
      </c>
      <c r="C3840" s="11">
        <v>0</v>
      </c>
      <c r="D3840" s="12">
        <v>33.333333333333329</v>
      </c>
      <c r="E3840" s="12" t="s">
        <v>8219</v>
      </c>
      <c r="F3840" s="13">
        <v>6</v>
      </c>
      <c r="G3840" s="14">
        <v>1813.2200000000003</v>
      </c>
      <c r="H3840" t="s">
        <v>1035</v>
      </c>
      <c r="I3840">
        <v>2</v>
      </c>
    </row>
    <row r="3841" spans="1:9" ht="15.6" x14ac:dyDescent="0.3">
      <c r="A3841" s="9">
        <v>3840</v>
      </c>
      <c r="B3841" s="2" t="s">
        <v>3846</v>
      </c>
      <c r="C3841" s="11">
        <v>-6</v>
      </c>
      <c r="D3841" s="12">
        <v>16.666666666666664</v>
      </c>
      <c r="E3841" s="12" t="s">
        <v>8219</v>
      </c>
      <c r="F3841" s="13">
        <v>6</v>
      </c>
      <c r="G3841" s="14">
        <v>1788.1999999999998</v>
      </c>
      <c r="H3841" t="s">
        <v>11</v>
      </c>
      <c r="I3841">
        <v>1</v>
      </c>
    </row>
    <row r="3842" spans="1:9" ht="15.6" x14ac:dyDescent="0.3">
      <c r="A3842" s="9">
        <v>3841</v>
      </c>
      <c r="B3842" s="2" t="s">
        <v>3847</v>
      </c>
      <c r="C3842" s="11">
        <v>20</v>
      </c>
      <c r="D3842" s="12">
        <v>0</v>
      </c>
      <c r="E3842" s="12" t="s">
        <v>8219</v>
      </c>
      <c r="F3842" s="13">
        <v>6</v>
      </c>
      <c r="G3842" s="14">
        <v>1799.2599999999998</v>
      </c>
      <c r="H3842" t="s">
        <v>4087</v>
      </c>
      <c r="I3842">
        <v>6</v>
      </c>
    </row>
    <row r="3843" spans="1:9" ht="15.6" x14ac:dyDescent="0.3">
      <c r="A3843" s="9">
        <v>3842</v>
      </c>
      <c r="B3843" s="2" t="s">
        <v>3848</v>
      </c>
      <c r="C3843" s="11">
        <v>18</v>
      </c>
      <c r="D3843" s="12">
        <v>16.666666666666664</v>
      </c>
      <c r="E3843" s="12" t="s">
        <v>8219</v>
      </c>
      <c r="F3843" s="13">
        <v>6</v>
      </c>
      <c r="G3843" s="14">
        <v>1775.23</v>
      </c>
      <c r="H3843" t="s">
        <v>3063</v>
      </c>
      <c r="I3843">
        <v>5</v>
      </c>
    </row>
    <row r="3844" spans="1:9" ht="15.6" x14ac:dyDescent="0.3">
      <c r="A3844" s="9">
        <v>3843</v>
      </c>
      <c r="B3844" s="2" t="s">
        <v>3849</v>
      </c>
      <c r="C3844" s="11">
        <v>18</v>
      </c>
      <c r="D3844" s="12">
        <v>16.666666666666664</v>
      </c>
      <c r="E3844" s="12" t="s">
        <v>8219</v>
      </c>
      <c r="F3844" s="13">
        <v>6</v>
      </c>
      <c r="G3844" s="14">
        <v>1815.2599999999998</v>
      </c>
      <c r="H3844" t="s">
        <v>2039</v>
      </c>
      <c r="I3844">
        <v>5</v>
      </c>
    </row>
    <row r="3845" spans="1:9" ht="15.6" x14ac:dyDescent="0.3">
      <c r="A3845" s="9">
        <v>3844</v>
      </c>
      <c r="B3845" s="2" t="s">
        <v>3850</v>
      </c>
      <c r="C3845" s="11">
        <v>12</v>
      </c>
      <c r="D3845" s="12">
        <v>0</v>
      </c>
      <c r="E3845" s="12" t="s">
        <v>8219</v>
      </c>
      <c r="F3845" s="13">
        <v>6</v>
      </c>
      <c r="G3845" s="14">
        <v>1790.2399999999998</v>
      </c>
      <c r="H3845" t="s">
        <v>1015</v>
      </c>
      <c r="I3845">
        <v>4</v>
      </c>
    </row>
    <row r="3846" spans="1:9" ht="15.6" x14ac:dyDescent="0.3">
      <c r="A3846" s="9">
        <v>3845</v>
      </c>
      <c r="B3846" s="2" t="s">
        <v>3851</v>
      </c>
      <c r="C3846" s="11">
        <v>18</v>
      </c>
      <c r="D3846" s="12">
        <v>16.666666666666664</v>
      </c>
      <c r="E3846" s="12" t="s">
        <v>8219</v>
      </c>
      <c r="F3846" s="13">
        <v>6</v>
      </c>
      <c r="G3846" s="14">
        <v>1775.23</v>
      </c>
      <c r="H3846" t="s">
        <v>3831</v>
      </c>
      <c r="I3846">
        <v>5</v>
      </c>
    </row>
    <row r="3847" spans="1:9" ht="15.6" x14ac:dyDescent="0.3">
      <c r="A3847" s="9">
        <v>3846</v>
      </c>
      <c r="B3847" s="2" t="s">
        <v>3852</v>
      </c>
      <c r="C3847" s="11">
        <v>16</v>
      </c>
      <c r="D3847" s="12">
        <v>33.333333333333329</v>
      </c>
      <c r="E3847" s="12" t="s">
        <v>8219</v>
      </c>
      <c r="F3847" s="13">
        <v>6</v>
      </c>
      <c r="G3847" s="14">
        <v>1751.1999999999998</v>
      </c>
      <c r="H3847" t="s">
        <v>2807</v>
      </c>
      <c r="I3847">
        <v>5</v>
      </c>
    </row>
    <row r="3848" spans="1:9" ht="15.6" x14ac:dyDescent="0.3">
      <c r="A3848" s="9">
        <v>3847</v>
      </c>
      <c r="B3848" s="2" t="s">
        <v>3853</v>
      </c>
      <c r="C3848" s="11">
        <v>16</v>
      </c>
      <c r="D3848" s="12">
        <v>33.333333333333329</v>
      </c>
      <c r="E3848" s="12" t="s">
        <v>8219</v>
      </c>
      <c r="F3848" s="13">
        <v>6</v>
      </c>
      <c r="G3848" s="14">
        <v>1791.23</v>
      </c>
      <c r="H3848" t="s">
        <v>1783</v>
      </c>
      <c r="I3848">
        <v>5</v>
      </c>
    </row>
    <row r="3849" spans="1:9" ht="15.6" x14ac:dyDescent="0.3">
      <c r="A3849" s="9">
        <v>3848</v>
      </c>
      <c r="B3849" s="2" t="s">
        <v>3854</v>
      </c>
      <c r="C3849" s="11">
        <v>10</v>
      </c>
      <c r="D3849" s="12">
        <v>16.666666666666664</v>
      </c>
      <c r="E3849" s="12" t="s">
        <v>8219</v>
      </c>
      <c r="F3849" s="13">
        <v>6</v>
      </c>
      <c r="G3849" s="14">
        <v>1766.21</v>
      </c>
      <c r="H3849" t="s">
        <v>759</v>
      </c>
      <c r="I3849">
        <v>4</v>
      </c>
    </row>
    <row r="3850" spans="1:9" ht="15.6" x14ac:dyDescent="0.3">
      <c r="A3850" s="9">
        <v>3849</v>
      </c>
      <c r="B3850" s="2" t="s">
        <v>3855</v>
      </c>
      <c r="C3850" s="11">
        <v>18</v>
      </c>
      <c r="D3850" s="12">
        <v>16.666666666666664</v>
      </c>
      <c r="E3850" s="12" t="s">
        <v>8219</v>
      </c>
      <c r="F3850" s="13">
        <v>6</v>
      </c>
      <c r="G3850" s="14">
        <v>1815.2599999999998</v>
      </c>
      <c r="H3850" t="s">
        <v>3575</v>
      </c>
      <c r="I3850">
        <v>5</v>
      </c>
    </row>
    <row r="3851" spans="1:9" ht="15.6" x14ac:dyDescent="0.3">
      <c r="A3851" s="9">
        <v>3850</v>
      </c>
      <c r="B3851" s="2" t="s">
        <v>3856</v>
      </c>
      <c r="C3851" s="11">
        <v>16</v>
      </c>
      <c r="D3851" s="12">
        <v>33.333333333333329</v>
      </c>
      <c r="E3851" s="12" t="s">
        <v>8219</v>
      </c>
      <c r="F3851" s="13">
        <v>6</v>
      </c>
      <c r="G3851" s="14">
        <v>1791.23</v>
      </c>
      <c r="H3851" t="s">
        <v>2551</v>
      </c>
      <c r="I3851">
        <v>5</v>
      </c>
    </row>
    <row r="3852" spans="1:9" ht="15.6" x14ac:dyDescent="0.3">
      <c r="A3852" s="9">
        <v>3851</v>
      </c>
      <c r="B3852" s="2" t="s">
        <v>3857</v>
      </c>
      <c r="C3852" s="11">
        <v>16</v>
      </c>
      <c r="D3852" s="12">
        <v>33.333333333333329</v>
      </c>
      <c r="E3852" s="12" t="s">
        <v>8219</v>
      </c>
      <c r="F3852" s="13">
        <v>6</v>
      </c>
      <c r="G3852" s="14">
        <v>1831.2600000000002</v>
      </c>
      <c r="H3852" t="s">
        <v>1527</v>
      </c>
      <c r="I3852">
        <v>5</v>
      </c>
    </row>
    <row r="3853" spans="1:9" ht="15.6" x14ac:dyDescent="0.3">
      <c r="A3853" s="9">
        <v>3852</v>
      </c>
      <c r="B3853" s="2" t="s">
        <v>3858</v>
      </c>
      <c r="C3853" s="11">
        <v>10</v>
      </c>
      <c r="D3853" s="12">
        <v>16.666666666666664</v>
      </c>
      <c r="E3853" s="12" t="s">
        <v>8219</v>
      </c>
      <c r="F3853" s="13">
        <v>6</v>
      </c>
      <c r="G3853" s="14">
        <v>1806.2399999999998</v>
      </c>
      <c r="H3853" t="s">
        <v>503</v>
      </c>
      <c r="I3853">
        <v>4</v>
      </c>
    </row>
    <row r="3854" spans="1:9" ht="15.6" x14ac:dyDescent="0.3">
      <c r="A3854" s="9">
        <v>3853</v>
      </c>
      <c r="B3854" s="2" t="s">
        <v>3859</v>
      </c>
      <c r="C3854" s="11">
        <v>12</v>
      </c>
      <c r="D3854" s="12">
        <v>0</v>
      </c>
      <c r="E3854" s="12" t="s">
        <v>8219</v>
      </c>
      <c r="F3854" s="13">
        <v>6</v>
      </c>
      <c r="G3854" s="14">
        <v>1790.2399999999998</v>
      </c>
      <c r="H3854" t="s">
        <v>3319</v>
      </c>
      <c r="I3854">
        <v>4</v>
      </c>
    </row>
    <row r="3855" spans="1:9" ht="15.6" x14ac:dyDescent="0.3">
      <c r="A3855" s="9">
        <v>3854</v>
      </c>
      <c r="B3855" s="2" t="s">
        <v>3860</v>
      </c>
      <c r="C3855" s="11">
        <v>10</v>
      </c>
      <c r="D3855" s="12">
        <v>16.666666666666664</v>
      </c>
      <c r="E3855" s="12" t="s">
        <v>8219</v>
      </c>
      <c r="F3855" s="13">
        <v>6</v>
      </c>
      <c r="G3855" s="14">
        <v>1766.21</v>
      </c>
      <c r="H3855" t="s">
        <v>2295</v>
      </c>
      <c r="I3855">
        <v>4</v>
      </c>
    </row>
    <row r="3856" spans="1:9" ht="15.6" x14ac:dyDescent="0.3">
      <c r="A3856" s="9">
        <v>3855</v>
      </c>
      <c r="B3856" s="2" t="s">
        <v>3861</v>
      </c>
      <c r="C3856" s="11">
        <v>10</v>
      </c>
      <c r="D3856" s="12">
        <v>16.666666666666664</v>
      </c>
      <c r="E3856" s="12" t="s">
        <v>8219</v>
      </c>
      <c r="F3856" s="13">
        <v>6</v>
      </c>
      <c r="G3856" s="14">
        <v>1806.2399999999998</v>
      </c>
      <c r="H3856" t="s">
        <v>1271</v>
      </c>
      <c r="I3856">
        <v>4</v>
      </c>
    </row>
    <row r="3857" spans="1:9" ht="15.6" x14ac:dyDescent="0.3">
      <c r="A3857" s="9">
        <v>3856</v>
      </c>
      <c r="B3857" s="2" t="s">
        <v>3862</v>
      </c>
      <c r="C3857" s="11">
        <v>4</v>
      </c>
      <c r="D3857" s="12">
        <v>0</v>
      </c>
      <c r="E3857" s="12" t="s">
        <v>8219</v>
      </c>
      <c r="F3857" s="13">
        <v>6</v>
      </c>
      <c r="G3857" s="14">
        <v>1781.2199999999998</v>
      </c>
      <c r="H3857" t="s">
        <v>247</v>
      </c>
      <c r="I3857">
        <v>3</v>
      </c>
    </row>
    <row r="3858" spans="1:9" ht="15.6" x14ac:dyDescent="0.3">
      <c r="A3858" s="9">
        <v>3857</v>
      </c>
      <c r="B3858" s="2" t="s">
        <v>3863</v>
      </c>
      <c r="C3858" s="11">
        <v>18</v>
      </c>
      <c r="D3858" s="12">
        <v>16.666666666666664</v>
      </c>
      <c r="E3858" s="12" t="s">
        <v>8219</v>
      </c>
      <c r="F3858" s="13">
        <v>6</v>
      </c>
      <c r="G3858" s="14">
        <v>1775.23</v>
      </c>
      <c r="H3858" t="s">
        <v>4023</v>
      </c>
      <c r="I3858">
        <v>5</v>
      </c>
    </row>
    <row r="3859" spans="1:9" ht="15.6" x14ac:dyDescent="0.3">
      <c r="A3859" s="9">
        <v>3858</v>
      </c>
      <c r="B3859" s="2" t="s">
        <v>3864</v>
      </c>
      <c r="C3859" s="11">
        <v>16</v>
      </c>
      <c r="D3859" s="12">
        <v>33.333333333333329</v>
      </c>
      <c r="E3859" s="12" t="s">
        <v>8219</v>
      </c>
      <c r="F3859" s="13">
        <v>6</v>
      </c>
      <c r="G3859" s="14">
        <v>1751.1999999999998</v>
      </c>
      <c r="H3859" t="s">
        <v>2999</v>
      </c>
      <c r="I3859">
        <v>5</v>
      </c>
    </row>
    <row r="3860" spans="1:9" ht="15.6" x14ac:dyDescent="0.3">
      <c r="A3860" s="9">
        <v>3859</v>
      </c>
      <c r="B3860" s="2" t="s">
        <v>3865</v>
      </c>
      <c r="C3860" s="11">
        <v>16</v>
      </c>
      <c r="D3860" s="12">
        <v>33.333333333333329</v>
      </c>
      <c r="E3860" s="12" t="s">
        <v>8219</v>
      </c>
      <c r="F3860" s="13">
        <v>6</v>
      </c>
      <c r="G3860" s="14">
        <v>1791.23</v>
      </c>
      <c r="H3860" t="s">
        <v>1975</v>
      </c>
      <c r="I3860">
        <v>5</v>
      </c>
    </row>
    <row r="3861" spans="1:9" ht="15.6" x14ac:dyDescent="0.3">
      <c r="A3861" s="9">
        <v>3860</v>
      </c>
      <c r="B3861" s="2" t="s">
        <v>3866</v>
      </c>
      <c r="C3861" s="11">
        <v>10</v>
      </c>
      <c r="D3861" s="12">
        <v>16.666666666666664</v>
      </c>
      <c r="E3861" s="12" t="s">
        <v>8219</v>
      </c>
      <c r="F3861" s="13">
        <v>6</v>
      </c>
      <c r="G3861" s="14">
        <v>1766.21</v>
      </c>
      <c r="H3861" t="s">
        <v>951</v>
      </c>
      <c r="I3861">
        <v>4</v>
      </c>
    </row>
    <row r="3862" spans="1:9" ht="15.6" x14ac:dyDescent="0.3">
      <c r="A3862" s="9">
        <v>3861</v>
      </c>
      <c r="B3862" s="2" t="s">
        <v>3867</v>
      </c>
      <c r="C3862" s="11">
        <v>16</v>
      </c>
      <c r="D3862" s="12">
        <v>33.333333333333329</v>
      </c>
      <c r="E3862" s="12" t="s">
        <v>8219</v>
      </c>
      <c r="F3862" s="13">
        <v>6</v>
      </c>
      <c r="G3862" s="14">
        <v>1751.1999999999998</v>
      </c>
      <c r="H3862" t="s">
        <v>3767</v>
      </c>
      <c r="I3862">
        <v>5</v>
      </c>
    </row>
    <row r="3863" spans="1:9" ht="15.6" x14ac:dyDescent="0.3">
      <c r="A3863" s="9">
        <v>3862</v>
      </c>
      <c r="B3863" s="2" t="s">
        <v>3868</v>
      </c>
      <c r="C3863" s="11">
        <v>14</v>
      </c>
      <c r="D3863" s="12">
        <v>50</v>
      </c>
      <c r="E3863" s="12" t="s">
        <v>8220</v>
      </c>
      <c r="F3863" s="13">
        <v>6</v>
      </c>
      <c r="G3863" s="14">
        <v>1727.17</v>
      </c>
      <c r="H3863" t="s">
        <v>2743</v>
      </c>
      <c r="I3863">
        <v>5</v>
      </c>
    </row>
    <row r="3864" spans="1:9" ht="15.6" x14ac:dyDescent="0.3">
      <c r="A3864" s="9">
        <v>3863</v>
      </c>
      <c r="B3864" s="2" t="s">
        <v>3869</v>
      </c>
      <c r="C3864" s="11">
        <v>14</v>
      </c>
      <c r="D3864" s="12">
        <v>50</v>
      </c>
      <c r="E3864" s="12" t="s">
        <v>8220</v>
      </c>
      <c r="F3864" s="13">
        <v>6</v>
      </c>
      <c r="G3864" s="14">
        <v>1767.1999999999998</v>
      </c>
      <c r="H3864" t="s">
        <v>1719</v>
      </c>
      <c r="I3864">
        <v>5</v>
      </c>
    </row>
    <row r="3865" spans="1:9" ht="15.6" x14ac:dyDescent="0.3">
      <c r="A3865" s="9">
        <v>3864</v>
      </c>
      <c r="B3865" s="2" t="s">
        <v>3870</v>
      </c>
      <c r="C3865" s="11">
        <v>8</v>
      </c>
      <c r="D3865" s="12">
        <v>33.333333333333329</v>
      </c>
      <c r="E3865" s="12" t="s">
        <v>8219</v>
      </c>
      <c r="F3865" s="13">
        <v>6</v>
      </c>
      <c r="G3865" s="14">
        <v>1742.1799999999998</v>
      </c>
      <c r="H3865" t="s">
        <v>695</v>
      </c>
      <c r="I3865">
        <v>4</v>
      </c>
    </row>
    <row r="3866" spans="1:9" ht="15.6" x14ac:dyDescent="0.3">
      <c r="A3866" s="9">
        <v>3865</v>
      </c>
      <c r="B3866" s="2" t="s">
        <v>3871</v>
      </c>
      <c r="C3866" s="11">
        <v>16</v>
      </c>
      <c r="D3866" s="12">
        <v>33.333333333333329</v>
      </c>
      <c r="E3866" s="12" t="s">
        <v>8219</v>
      </c>
      <c r="F3866" s="13">
        <v>6</v>
      </c>
      <c r="G3866" s="14">
        <v>1791.23</v>
      </c>
      <c r="H3866" t="s">
        <v>3511</v>
      </c>
      <c r="I3866">
        <v>5</v>
      </c>
    </row>
    <row r="3867" spans="1:9" ht="15.6" x14ac:dyDescent="0.3">
      <c r="A3867" s="9">
        <v>3866</v>
      </c>
      <c r="B3867" s="2" t="s">
        <v>3872</v>
      </c>
      <c r="C3867" s="11">
        <v>14</v>
      </c>
      <c r="D3867" s="12">
        <v>50</v>
      </c>
      <c r="E3867" s="12" t="s">
        <v>8220</v>
      </c>
      <c r="F3867" s="13">
        <v>6</v>
      </c>
      <c r="G3867" s="14">
        <v>1767.1999999999998</v>
      </c>
      <c r="H3867" t="s">
        <v>2487</v>
      </c>
      <c r="I3867">
        <v>5</v>
      </c>
    </row>
    <row r="3868" spans="1:9" ht="15.6" x14ac:dyDescent="0.3">
      <c r="A3868" s="9">
        <v>3867</v>
      </c>
      <c r="B3868" s="2" t="s">
        <v>3873</v>
      </c>
      <c r="C3868" s="11">
        <v>14</v>
      </c>
      <c r="D3868" s="12">
        <v>50</v>
      </c>
      <c r="E3868" s="12" t="s">
        <v>8220</v>
      </c>
      <c r="F3868" s="13">
        <v>6</v>
      </c>
      <c r="G3868" s="14">
        <v>1807.23</v>
      </c>
      <c r="H3868" t="s">
        <v>1463</v>
      </c>
      <c r="I3868">
        <v>5</v>
      </c>
    </row>
    <row r="3869" spans="1:9" ht="15.6" x14ac:dyDescent="0.3">
      <c r="A3869" s="9">
        <v>3868</v>
      </c>
      <c r="B3869" s="2" t="s">
        <v>3874</v>
      </c>
      <c r="C3869" s="11">
        <v>8</v>
      </c>
      <c r="D3869" s="12">
        <v>33.333333333333329</v>
      </c>
      <c r="E3869" s="12" t="s">
        <v>8219</v>
      </c>
      <c r="F3869" s="13">
        <v>6</v>
      </c>
      <c r="G3869" s="14">
        <v>1782.21</v>
      </c>
      <c r="H3869" t="s">
        <v>439</v>
      </c>
      <c r="I3869">
        <v>4</v>
      </c>
    </row>
    <row r="3870" spans="1:9" ht="15.6" x14ac:dyDescent="0.3">
      <c r="A3870" s="9">
        <v>3869</v>
      </c>
      <c r="B3870" s="2" t="s">
        <v>3875</v>
      </c>
      <c r="C3870" s="11">
        <v>10</v>
      </c>
      <c r="D3870" s="12">
        <v>16.666666666666664</v>
      </c>
      <c r="E3870" s="12" t="s">
        <v>8219</v>
      </c>
      <c r="F3870" s="13">
        <v>6</v>
      </c>
      <c r="G3870" s="14">
        <v>1766.21</v>
      </c>
      <c r="H3870" t="s">
        <v>3255</v>
      </c>
      <c r="I3870">
        <v>4</v>
      </c>
    </row>
    <row r="3871" spans="1:9" ht="15.6" x14ac:dyDescent="0.3">
      <c r="A3871" s="9">
        <v>3870</v>
      </c>
      <c r="B3871" s="2" t="s">
        <v>3876</v>
      </c>
      <c r="C3871" s="11">
        <v>8</v>
      </c>
      <c r="D3871" s="12">
        <v>33.333333333333329</v>
      </c>
      <c r="E3871" s="12" t="s">
        <v>8219</v>
      </c>
      <c r="F3871" s="13">
        <v>6</v>
      </c>
      <c r="G3871" s="14">
        <v>1742.1799999999998</v>
      </c>
      <c r="H3871" t="s">
        <v>2231</v>
      </c>
      <c r="I3871">
        <v>4</v>
      </c>
    </row>
    <row r="3872" spans="1:9" ht="15.6" x14ac:dyDescent="0.3">
      <c r="A3872" s="9">
        <v>3871</v>
      </c>
      <c r="B3872" s="2" t="s">
        <v>3877</v>
      </c>
      <c r="C3872" s="11">
        <v>8</v>
      </c>
      <c r="D3872" s="12">
        <v>33.333333333333329</v>
      </c>
      <c r="E3872" s="12" t="s">
        <v>8219</v>
      </c>
      <c r="F3872" s="13">
        <v>6</v>
      </c>
      <c r="G3872" s="14">
        <v>1782.21</v>
      </c>
      <c r="H3872" t="s">
        <v>1207</v>
      </c>
      <c r="I3872">
        <v>4</v>
      </c>
    </row>
    <row r="3873" spans="1:9" ht="15.6" x14ac:dyDescent="0.3">
      <c r="A3873" s="9">
        <v>3872</v>
      </c>
      <c r="B3873" s="2" t="s">
        <v>3878</v>
      </c>
      <c r="C3873" s="11">
        <v>2</v>
      </c>
      <c r="D3873" s="12">
        <v>16.666666666666664</v>
      </c>
      <c r="E3873" s="12" t="s">
        <v>8219</v>
      </c>
      <c r="F3873" s="13">
        <v>6</v>
      </c>
      <c r="G3873" s="14">
        <v>1757.19</v>
      </c>
      <c r="H3873" t="s">
        <v>183</v>
      </c>
      <c r="I3873">
        <v>3</v>
      </c>
    </row>
    <row r="3874" spans="1:9" ht="15.6" x14ac:dyDescent="0.3">
      <c r="A3874" s="9">
        <v>3873</v>
      </c>
      <c r="B3874" s="2" t="s">
        <v>3879</v>
      </c>
      <c r="C3874" s="11">
        <v>18</v>
      </c>
      <c r="D3874" s="12">
        <v>16.666666666666664</v>
      </c>
      <c r="E3874" s="12" t="s">
        <v>8219</v>
      </c>
      <c r="F3874" s="13">
        <v>6</v>
      </c>
      <c r="G3874" s="14">
        <v>1815.2599999999998</v>
      </c>
      <c r="H3874" t="s">
        <v>3959</v>
      </c>
      <c r="I3874">
        <v>5</v>
      </c>
    </row>
    <row r="3875" spans="1:9" ht="15.6" x14ac:dyDescent="0.3">
      <c r="A3875" s="9">
        <v>3874</v>
      </c>
      <c r="B3875" s="2" t="s">
        <v>3880</v>
      </c>
      <c r="C3875" s="11">
        <v>16</v>
      </c>
      <c r="D3875" s="12">
        <v>33.333333333333329</v>
      </c>
      <c r="E3875" s="12" t="s">
        <v>8219</v>
      </c>
      <c r="F3875" s="13">
        <v>6</v>
      </c>
      <c r="G3875" s="14">
        <v>1791.23</v>
      </c>
      <c r="H3875" t="s">
        <v>2935</v>
      </c>
      <c r="I3875">
        <v>5</v>
      </c>
    </row>
    <row r="3876" spans="1:9" ht="15.6" x14ac:dyDescent="0.3">
      <c r="A3876" s="9">
        <v>3875</v>
      </c>
      <c r="B3876" s="2" t="s">
        <v>3881</v>
      </c>
      <c r="C3876" s="11">
        <v>16</v>
      </c>
      <c r="D3876" s="12">
        <v>33.333333333333329</v>
      </c>
      <c r="E3876" s="12" t="s">
        <v>8219</v>
      </c>
      <c r="F3876" s="13">
        <v>6</v>
      </c>
      <c r="G3876" s="14">
        <v>1831.2600000000002</v>
      </c>
      <c r="H3876" t="s">
        <v>1911</v>
      </c>
      <c r="I3876">
        <v>5</v>
      </c>
    </row>
    <row r="3877" spans="1:9" ht="15.6" x14ac:dyDescent="0.3">
      <c r="A3877" s="9">
        <v>3876</v>
      </c>
      <c r="B3877" s="2" t="s">
        <v>3882</v>
      </c>
      <c r="C3877" s="11">
        <v>10</v>
      </c>
      <c r="D3877" s="12">
        <v>16.666666666666664</v>
      </c>
      <c r="E3877" s="12" t="s">
        <v>8219</v>
      </c>
      <c r="F3877" s="13">
        <v>6</v>
      </c>
      <c r="G3877" s="14">
        <v>1806.2399999999998</v>
      </c>
      <c r="H3877" t="s">
        <v>887</v>
      </c>
      <c r="I3877">
        <v>4</v>
      </c>
    </row>
    <row r="3878" spans="1:9" ht="15.6" x14ac:dyDescent="0.3">
      <c r="A3878" s="9">
        <v>3877</v>
      </c>
      <c r="B3878" s="2" t="s">
        <v>3883</v>
      </c>
      <c r="C3878" s="11">
        <v>16</v>
      </c>
      <c r="D3878" s="12">
        <v>33.333333333333329</v>
      </c>
      <c r="E3878" s="12" t="s">
        <v>8219</v>
      </c>
      <c r="F3878" s="13">
        <v>6</v>
      </c>
      <c r="G3878" s="14">
        <v>1791.23</v>
      </c>
      <c r="H3878" t="s">
        <v>3703</v>
      </c>
      <c r="I3878">
        <v>5</v>
      </c>
    </row>
    <row r="3879" spans="1:9" ht="15.6" x14ac:dyDescent="0.3">
      <c r="A3879" s="9">
        <v>3878</v>
      </c>
      <c r="B3879" s="2" t="s">
        <v>3884</v>
      </c>
      <c r="C3879" s="11">
        <v>14</v>
      </c>
      <c r="D3879" s="12">
        <v>50</v>
      </c>
      <c r="E3879" s="12" t="s">
        <v>8220</v>
      </c>
      <c r="F3879" s="13">
        <v>6</v>
      </c>
      <c r="G3879" s="14">
        <v>1767.1999999999998</v>
      </c>
      <c r="H3879" t="s">
        <v>2679</v>
      </c>
      <c r="I3879">
        <v>5</v>
      </c>
    </row>
    <row r="3880" spans="1:9" ht="15.6" x14ac:dyDescent="0.3">
      <c r="A3880" s="9">
        <v>3879</v>
      </c>
      <c r="B3880" s="2" t="s">
        <v>3885</v>
      </c>
      <c r="C3880" s="11">
        <v>14</v>
      </c>
      <c r="D3880" s="12">
        <v>50</v>
      </c>
      <c r="E3880" s="12" t="s">
        <v>8220</v>
      </c>
      <c r="F3880" s="13">
        <v>6</v>
      </c>
      <c r="G3880" s="14">
        <v>1807.23</v>
      </c>
      <c r="H3880" t="s">
        <v>1655</v>
      </c>
      <c r="I3880">
        <v>5</v>
      </c>
    </row>
    <row r="3881" spans="1:9" ht="15.6" x14ac:dyDescent="0.3">
      <c r="A3881" s="9">
        <v>3880</v>
      </c>
      <c r="B3881" s="2" t="s">
        <v>3886</v>
      </c>
      <c r="C3881" s="11">
        <v>8</v>
      </c>
      <c r="D3881" s="12">
        <v>33.333333333333329</v>
      </c>
      <c r="E3881" s="12" t="s">
        <v>8219</v>
      </c>
      <c r="F3881" s="13">
        <v>6</v>
      </c>
      <c r="G3881" s="14">
        <v>1782.21</v>
      </c>
      <c r="H3881" t="s">
        <v>631</v>
      </c>
      <c r="I3881">
        <v>4</v>
      </c>
    </row>
    <row r="3882" spans="1:9" ht="15.6" x14ac:dyDescent="0.3">
      <c r="A3882" s="9">
        <v>3881</v>
      </c>
      <c r="B3882" s="2" t="s">
        <v>3887</v>
      </c>
      <c r="C3882" s="11">
        <v>16</v>
      </c>
      <c r="D3882" s="12">
        <v>33.333333333333329</v>
      </c>
      <c r="E3882" s="12" t="s">
        <v>8219</v>
      </c>
      <c r="F3882" s="13">
        <v>6</v>
      </c>
      <c r="G3882" s="14">
        <v>1831.2600000000002</v>
      </c>
      <c r="H3882" t="s">
        <v>3447</v>
      </c>
      <c r="I3882">
        <v>5</v>
      </c>
    </row>
    <row r="3883" spans="1:9" ht="15.6" x14ac:dyDescent="0.3">
      <c r="A3883" s="9">
        <v>3882</v>
      </c>
      <c r="B3883" s="2" t="s">
        <v>3888</v>
      </c>
      <c r="C3883" s="11">
        <v>14</v>
      </c>
      <c r="D3883" s="12">
        <v>50</v>
      </c>
      <c r="E3883" s="12" t="s">
        <v>8220</v>
      </c>
      <c r="F3883" s="13">
        <v>6</v>
      </c>
      <c r="G3883" s="14">
        <v>1807.23</v>
      </c>
      <c r="H3883" t="s">
        <v>2423</v>
      </c>
      <c r="I3883">
        <v>5</v>
      </c>
    </row>
    <row r="3884" spans="1:9" ht="15.6" x14ac:dyDescent="0.3">
      <c r="A3884" s="9">
        <v>3883</v>
      </c>
      <c r="B3884" s="2" t="s">
        <v>3889</v>
      </c>
      <c r="C3884" s="11">
        <v>14</v>
      </c>
      <c r="D3884" s="12">
        <v>50</v>
      </c>
      <c r="E3884" s="12" t="s">
        <v>8220</v>
      </c>
      <c r="F3884" s="13">
        <v>6</v>
      </c>
      <c r="G3884" s="14">
        <v>1847.2600000000002</v>
      </c>
      <c r="H3884" t="s">
        <v>1399</v>
      </c>
      <c r="I3884">
        <v>5</v>
      </c>
    </row>
    <row r="3885" spans="1:9" ht="15.6" x14ac:dyDescent="0.3">
      <c r="A3885" s="9">
        <v>3884</v>
      </c>
      <c r="B3885" s="2" t="s">
        <v>3890</v>
      </c>
      <c r="C3885" s="11">
        <v>8</v>
      </c>
      <c r="D3885" s="12">
        <v>33.333333333333329</v>
      </c>
      <c r="E3885" s="12" t="s">
        <v>8219</v>
      </c>
      <c r="F3885" s="13">
        <v>6</v>
      </c>
      <c r="G3885" s="14">
        <v>1822.2400000000002</v>
      </c>
      <c r="H3885" t="s">
        <v>375</v>
      </c>
      <c r="I3885">
        <v>4</v>
      </c>
    </row>
    <row r="3886" spans="1:9" ht="15.6" x14ac:dyDescent="0.3">
      <c r="A3886" s="9">
        <v>3885</v>
      </c>
      <c r="B3886" s="2" t="s">
        <v>3891</v>
      </c>
      <c r="C3886" s="11">
        <v>10</v>
      </c>
      <c r="D3886" s="12">
        <v>16.666666666666664</v>
      </c>
      <c r="E3886" s="12" t="s">
        <v>8219</v>
      </c>
      <c r="F3886" s="13">
        <v>6</v>
      </c>
      <c r="G3886" s="14">
        <v>1806.2399999999998</v>
      </c>
      <c r="H3886" t="s">
        <v>3191</v>
      </c>
      <c r="I3886">
        <v>4</v>
      </c>
    </row>
    <row r="3887" spans="1:9" ht="15.6" x14ac:dyDescent="0.3">
      <c r="A3887" s="9">
        <v>3886</v>
      </c>
      <c r="B3887" s="2" t="s">
        <v>3892</v>
      </c>
      <c r="C3887" s="11">
        <v>8</v>
      </c>
      <c r="D3887" s="12">
        <v>33.333333333333329</v>
      </c>
      <c r="E3887" s="12" t="s">
        <v>8219</v>
      </c>
      <c r="F3887" s="13">
        <v>6</v>
      </c>
      <c r="G3887" s="14">
        <v>1782.21</v>
      </c>
      <c r="H3887" t="s">
        <v>2167</v>
      </c>
      <c r="I3887">
        <v>4</v>
      </c>
    </row>
    <row r="3888" spans="1:9" ht="15.6" x14ac:dyDescent="0.3">
      <c r="A3888" s="9">
        <v>3887</v>
      </c>
      <c r="B3888" s="2" t="s">
        <v>3893</v>
      </c>
      <c r="C3888" s="11">
        <v>8</v>
      </c>
      <c r="D3888" s="12">
        <v>33.333333333333329</v>
      </c>
      <c r="E3888" s="12" t="s">
        <v>8219</v>
      </c>
      <c r="F3888" s="13">
        <v>6</v>
      </c>
      <c r="G3888" s="14">
        <v>1822.2400000000002</v>
      </c>
      <c r="H3888" t="s">
        <v>1143</v>
      </c>
      <c r="I3888">
        <v>4</v>
      </c>
    </row>
    <row r="3889" spans="1:9" ht="15.6" x14ac:dyDescent="0.3">
      <c r="A3889" s="9">
        <v>3888</v>
      </c>
      <c r="B3889" s="2" t="s">
        <v>3894</v>
      </c>
      <c r="C3889" s="11">
        <v>2</v>
      </c>
      <c r="D3889" s="12">
        <v>16.666666666666664</v>
      </c>
      <c r="E3889" s="12" t="s">
        <v>8219</v>
      </c>
      <c r="F3889" s="13">
        <v>6</v>
      </c>
      <c r="G3889" s="14">
        <v>1797.2199999999998</v>
      </c>
      <c r="H3889" t="s">
        <v>119</v>
      </c>
      <c r="I3889">
        <v>3</v>
      </c>
    </row>
    <row r="3890" spans="1:9" ht="15.6" x14ac:dyDescent="0.3">
      <c r="A3890" s="9">
        <v>3889</v>
      </c>
      <c r="B3890" s="2" t="s">
        <v>3895</v>
      </c>
      <c r="C3890" s="11">
        <v>12</v>
      </c>
      <c r="D3890" s="12">
        <v>0</v>
      </c>
      <c r="E3890" s="12" t="s">
        <v>8219</v>
      </c>
      <c r="F3890" s="13">
        <v>6</v>
      </c>
      <c r="G3890" s="14">
        <v>1790.2399999999998</v>
      </c>
      <c r="H3890" t="s">
        <v>3895</v>
      </c>
      <c r="I3890">
        <v>4</v>
      </c>
    </row>
    <row r="3891" spans="1:9" ht="15.6" x14ac:dyDescent="0.3">
      <c r="A3891" s="9">
        <v>3890</v>
      </c>
      <c r="B3891" s="2" t="s">
        <v>3896</v>
      </c>
      <c r="C3891" s="11">
        <v>10</v>
      </c>
      <c r="D3891" s="12">
        <v>16.666666666666664</v>
      </c>
      <c r="E3891" s="12" t="s">
        <v>8219</v>
      </c>
      <c r="F3891" s="13">
        <v>6</v>
      </c>
      <c r="G3891" s="14">
        <v>1766.21</v>
      </c>
      <c r="H3891" t="s">
        <v>2871</v>
      </c>
      <c r="I3891">
        <v>4</v>
      </c>
    </row>
    <row r="3892" spans="1:9" ht="15.6" x14ac:dyDescent="0.3">
      <c r="A3892" s="9">
        <v>3891</v>
      </c>
      <c r="B3892" s="2" t="s">
        <v>3897</v>
      </c>
      <c r="C3892" s="11">
        <v>10</v>
      </c>
      <c r="D3892" s="12">
        <v>16.666666666666664</v>
      </c>
      <c r="E3892" s="12" t="s">
        <v>8219</v>
      </c>
      <c r="F3892" s="13">
        <v>6</v>
      </c>
      <c r="G3892" s="14">
        <v>1806.2399999999998</v>
      </c>
      <c r="H3892" t="s">
        <v>1847</v>
      </c>
      <c r="I3892">
        <v>4</v>
      </c>
    </row>
    <row r="3893" spans="1:9" ht="15.6" x14ac:dyDescent="0.3">
      <c r="A3893" s="9">
        <v>3892</v>
      </c>
      <c r="B3893" s="2" t="s">
        <v>3898</v>
      </c>
      <c r="C3893" s="11">
        <v>4</v>
      </c>
      <c r="D3893" s="12">
        <v>0</v>
      </c>
      <c r="E3893" s="12" t="s">
        <v>8219</v>
      </c>
      <c r="F3893" s="13">
        <v>6</v>
      </c>
      <c r="G3893" s="14">
        <v>1781.2199999999998</v>
      </c>
      <c r="H3893" t="s">
        <v>823</v>
      </c>
      <c r="I3893">
        <v>3</v>
      </c>
    </row>
    <row r="3894" spans="1:9" ht="15.6" x14ac:dyDescent="0.3">
      <c r="A3894" s="9">
        <v>3893</v>
      </c>
      <c r="B3894" s="2" t="s">
        <v>3899</v>
      </c>
      <c r="C3894" s="11">
        <v>10</v>
      </c>
      <c r="D3894" s="12">
        <v>16.666666666666664</v>
      </c>
      <c r="E3894" s="12" t="s">
        <v>8219</v>
      </c>
      <c r="F3894" s="13">
        <v>6</v>
      </c>
      <c r="G3894" s="14">
        <v>1766.21</v>
      </c>
      <c r="H3894" t="s">
        <v>3639</v>
      </c>
      <c r="I3894">
        <v>4</v>
      </c>
    </row>
    <row r="3895" spans="1:9" ht="15.6" x14ac:dyDescent="0.3">
      <c r="A3895" s="9">
        <v>3894</v>
      </c>
      <c r="B3895" s="2" t="s">
        <v>3900</v>
      </c>
      <c r="C3895" s="11">
        <v>8</v>
      </c>
      <c r="D3895" s="12">
        <v>33.333333333333329</v>
      </c>
      <c r="E3895" s="12" t="s">
        <v>8219</v>
      </c>
      <c r="F3895" s="13">
        <v>6</v>
      </c>
      <c r="G3895" s="14">
        <v>1742.1799999999998</v>
      </c>
      <c r="H3895" t="s">
        <v>2615</v>
      </c>
      <c r="I3895">
        <v>4</v>
      </c>
    </row>
    <row r="3896" spans="1:9" ht="15.6" x14ac:dyDescent="0.3">
      <c r="A3896" s="9">
        <v>3895</v>
      </c>
      <c r="B3896" s="2" t="s">
        <v>3901</v>
      </c>
      <c r="C3896" s="11">
        <v>8</v>
      </c>
      <c r="D3896" s="12">
        <v>33.333333333333329</v>
      </c>
      <c r="E3896" s="12" t="s">
        <v>8219</v>
      </c>
      <c r="F3896" s="13">
        <v>6</v>
      </c>
      <c r="G3896" s="14">
        <v>1782.21</v>
      </c>
      <c r="H3896" t="s">
        <v>1591</v>
      </c>
      <c r="I3896">
        <v>4</v>
      </c>
    </row>
    <row r="3897" spans="1:9" ht="15.6" x14ac:dyDescent="0.3">
      <c r="A3897" s="9">
        <v>3896</v>
      </c>
      <c r="B3897" s="2" t="s">
        <v>3902</v>
      </c>
      <c r="C3897" s="11">
        <v>2</v>
      </c>
      <c r="D3897" s="12">
        <v>16.666666666666664</v>
      </c>
      <c r="E3897" s="12" t="s">
        <v>8219</v>
      </c>
      <c r="F3897" s="13">
        <v>6</v>
      </c>
      <c r="G3897" s="14">
        <v>1757.19</v>
      </c>
      <c r="H3897" t="s">
        <v>567</v>
      </c>
      <c r="I3897">
        <v>3</v>
      </c>
    </row>
    <row r="3898" spans="1:9" ht="15.6" x14ac:dyDescent="0.3">
      <c r="A3898" s="9">
        <v>3897</v>
      </c>
      <c r="B3898" s="2" t="s">
        <v>3903</v>
      </c>
      <c r="C3898" s="11">
        <v>10</v>
      </c>
      <c r="D3898" s="12">
        <v>16.666666666666664</v>
      </c>
      <c r="E3898" s="12" t="s">
        <v>8219</v>
      </c>
      <c r="F3898" s="13">
        <v>6</v>
      </c>
      <c r="G3898" s="14">
        <v>1806.2399999999998</v>
      </c>
      <c r="H3898" t="s">
        <v>3383</v>
      </c>
      <c r="I3898">
        <v>4</v>
      </c>
    </row>
    <row r="3899" spans="1:9" ht="15.6" x14ac:dyDescent="0.3">
      <c r="A3899" s="9">
        <v>3898</v>
      </c>
      <c r="B3899" s="2" t="s">
        <v>3904</v>
      </c>
      <c r="C3899" s="11">
        <v>8</v>
      </c>
      <c r="D3899" s="12">
        <v>33.333333333333329</v>
      </c>
      <c r="E3899" s="12" t="s">
        <v>8219</v>
      </c>
      <c r="F3899" s="13">
        <v>6</v>
      </c>
      <c r="G3899" s="14">
        <v>1782.21</v>
      </c>
      <c r="H3899" t="s">
        <v>2359</v>
      </c>
      <c r="I3899">
        <v>4</v>
      </c>
    </row>
    <row r="3900" spans="1:9" ht="15.6" x14ac:dyDescent="0.3">
      <c r="A3900" s="9">
        <v>3899</v>
      </c>
      <c r="B3900" s="2" t="s">
        <v>3905</v>
      </c>
      <c r="C3900" s="11">
        <v>8</v>
      </c>
      <c r="D3900" s="12">
        <v>33.333333333333329</v>
      </c>
      <c r="E3900" s="12" t="s">
        <v>8219</v>
      </c>
      <c r="F3900" s="13">
        <v>6</v>
      </c>
      <c r="G3900" s="14">
        <v>1822.2400000000002</v>
      </c>
      <c r="H3900" t="s">
        <v>1335</v>
      </c>
      <c r="I3900">
        <v>4</v>
      </c>
    </row>
    <row r="3901" spans="1:9" ht="15.6" x14ac:dyDescent="0.3">
      <c r="A3901" s="9">
        <v>3900</v>
      </c>
      <c r="B3901" s="2" t="s">
        <v>3906</v>
      </c>
      <c r="C3901" s="11">
        <v>2</v>
      </c>
      <c r="D3901" s="12">
        <v>16.666666666666664</v>
      </c>
      <c r="E3901" s="12" t="s">
        <v>8219</v>
      </c>
      <c r="F3901" s="13">
        <v>6</v>
      </c>
      <c r="G3901" s="14">
        <v>1797.2199999999998</v>
      </c>
      <c r="H3901" t="s">
        <v>311</v>
      </c>
      <c r="I3901">
        <v>3</v>
      </c>
    </row>
    <row r="3902" spans="1:9" ht="15.6" x14ac:dyDescent="0.3">
      <c r="A3902" s="9">
        <v>3901</v>
      </c>
      <c r="B3902" s="2" t="s">
        <v>3907</v>
      </c>
      <c r="C3902" s="11">
        <v>4</v>
      </c>
      <c r="D3902" s="12">
        <v>0</v>
      </c>
      <c r="E3902" s="12" t="s">
        <v>8219</v>
      </c>
      <c r="F3902" s="13">
        <v>6</v>
      </c>
      <c r="G3902" s="14">
        <v>1781.2199999999998</v>
      </c>
      <c r="H3902" t="s">
        <v>3127</v>
      </c>
      <c r="I3902">
        <v>3</v>
      </c>
    </row>
    <row r="3903" spans="1:9" ht="15.6" x14ac:dyDescent="0.3">
      <c r="A3903" s="9">
        <v>3902</v>
      </c>
      <c r="B3903" s="2" t="s">
        <v>3908</v>
      </c>
      <c r="C3903" s="11">
        <v>2</v>
      </c>
      <c r="D3903" s="12">
        <v>16.666666666666664</v>
      </c>
      <c r="E3903" s="12" t="s">
        <v>8219</v>
      </c>
      <c r="F3903" s="13">
        <v>6</v>
      </c>
      <c r="G3903" s="14">
        <v>1757.19</v>
      </c>
      <c r="H3903" t="s">
        <v>2103</v>
      </c>
      <c r="I3903">
        <v>3</v>
      </c>
    </row>
    <row r="3904" spans="1:9" ht="15.6" x14ac:dyDescent="0.3">
      <c r="A3904" s="9">
        <v>3903</v>
      </c>
      <c r="B3904" s="2" t="s">
        <v>3909</v>
      </c>
      <c r="C3904" s="11">
        <v>2</v>
      </c>
      <c r="D3904" s="12">
        <v>16.666666666666664</v>
      </c>
      <c r="E3904" s="12" t="s">
        <v>8219</v>
      </c>
      <c r="F3904" s="13">
        <v>6</v>
      </c>
      <c r="G3904" s="14">
        <v>1797.2199999999998</v>
      </c>
      <c r="H3904" t="s">
        <v>1079</v>
      </c>
      <c r="I3904">
        <v>3</v>
      </c>
    </row>
    <row r="3905" spans="1:9" ht="15.6" x14ac:dyDescent="0.3">
      <c r="A3905" s="9">
        <v>3904</v>
      </c>
      <c r="B3905" s="2" t="s">
        <v>3910</v>
      </c>
      <c r="C3905" s="11">
        <v>-4</v>
      </c>
      <c r="D3905" s="12">
        <v>0</v>
      </c>
      <c r="E3905" s="12" t="s">
        <v>8219</v>
      </c>
      <c r="F3905" s="13">
        <v>6</v>
      </c>
      <c r="G3905" s="14">
        <v>1772.1999999999998</v>
      </c>
      <c r="H3905" t="s">
        <v>55</v>
      </c>
      <c r="I3905">
        <v>2</v>
      </c>
    </row>
    <row r="3906" spans="1:9" ht="15.6" x14ac:dyDescent="0.3">
      <c r="A3906" s="9">
        <v>3905</v>
      </c>
      <c r="B3906" s="2" t="s">
        <v>3911</v>
      </c>
      <c r="C3906" s="11">
        <v>18</v>
      </c>
      <c r="D3906" s="12">
        <v>16.666666666666664</v>
      </c>
      <c r="E3906" s="12" t="s">
        <v>8219</v>
      </c>
      <c r="F3906" s="13">
        <v>6</v>
      </c>
      <c r="G3906" s="14">
        <v>1775.23</v>
      </c>
      <c r="H3906" t="s">
        <v>4071</v>
      </c>
      <c r="I3906">
        <v>5</v>
      </c>
    </row>
    <row r="3907" spans="1:9" ht="15.6" x14ac:dyDescent="0.3">
      <c r="A3907" s="9">
        <v>3906</v>
      </c>
      <c r="B3907" s="2" t="s">
        <v>3912</v>
      </c>
      <c r="C3907" s="11">
        <v>16</v>
      </c>
      <c r="D3907" s="12">
        <v>33.333333333333329</v>
      </c>
      <c r="E3907" s="12" t="s">
        <v>8219</v>
      </c>
      <c r="F3907" s="13">
        <v>6</v>
      </c>
      <c r="G3907" s="14">
        <v>1751.1999999999998</v>
      </c>
      <c r="H3907" t="s">
        <v>3047</v>
      </c>
      <c r="I3907">
        <v>5</v>
      </c>
    </row>
    <row r="3908" spans="1:9" ht="15.6" x14ac:dyDescent="0.3">
      <c r="A3908" s="9">
        <v>3907</v>
      </c>
      <c r="B3908" s="2" t="s">
        <v>3913</v>
      </c>
      <c r="C3908" s="11">
        <v>16</v>
      </c>
      <c r="D3908" s="12">
        <v>33.333333333333329</v>
      </c>
      <c r="E3908" s="12" t="s">
        <v>8219</v>
      </c>
      <c r="F3908" s="13">
        <v>6</v>
      </c>
      <c r="G3908" s="14">
        <v>1791.23</v>
      </c>
      <c r="H3908" t="s">
        <v>2023</v>
      </c>
      <c r="I3908">
        <v>5</v>
      </c>
    </row>
    <row r="3909" spans="1:9" ht="15.6" x14ac:dyDescent="0.3">
      <c r="A3909" s="9">
        <v>3908</v>
      </c>
      <c r="B3909" s="2" t="s">
        <v>3914</v>
      </c>
      <c r="C3909" s="11">
        <v>10</v>
      </c>
      <c r="D3909" s="12">
        <v>16.666666666666664</v>
      </c>
      <c r="E3909" s="12" t="s">
        <v>8219</v>
      </c>
      <c r="F3909" s="13">
        <v>6</v>
      </c>
      <c r="G3909" s="14">
        <v>1766.21</v>
      </c>
      <c r="H3909" t="s">
        <v>999</v>
      </c>
      <c r="I3909">
        <v>4</v>
      </c>
    </row>
    <row r="3910" spans="1:9" ht="15.6" x14ac:dyDescent="0.3">
      <c r="A3910" s="9">
        <v>3909</v>
      </c>
      <c r="B3910" s="2" t="s">
        <v>3915</v>
      </c>
      <c r="C3910" s="11">
        <v>16</v>
      </c>
      <c r="D3910" s="12">
        <v>33.333333333333329</v>
      </c>
      <c r="E3910" s="12" t="s">
        <v>8219</v>
      </c>
      <c r="F3910" s="13">
        <v>6</v>
      </c>
      <c r="G3910" s="14">
        <v>1751.1999999999998</v>
      </c>
      <c r="H3910" t="s">
        <v>3815</v>
      </c>
      <c r="I3910">
        <v>5</v>
      </c>
    </row>
    <row r="3911" spans="1:9" ht="15.6" x14ac:dyDescent="0.3">
      <c r="A3911" s="9">
        <v>3910</v>
      </c>
      <c r="B3911" s="2" t="s">
        <v>3916</v>
      </c>
      <c r="C3911" s="11">
        <v>14</v>
      </c>
      <c r="D3911" s="12">
        <v>50</v>
      </c>
      <c r="E3911" s="12" t="s">
        <v>8220</v>
      </c>
      <c r="F3911" s="13">
        <v>6</v>
      </c>
      <c r="G3911" s="14">
        <v>1727.17</v>
      </c>
      <c r="H3911" t="s">
        <v>2791</v>
      </c>
      <c r="I3911">
        <v>5</v>
      </c>
    </row>
    <row r="3912" spans="1:9" ht="15.6" x14ac:dyDescent="0.3">
      <c r="A3912" s="9">
        <v>3911</v>
      </c>
      <c r="B3912" s="2" t="s">
        <v>3917</v>
      </c>
      <c r="C3912" s="11">
        <v>14</v>
      </c>
      <c r="D3912" s="12">
        <v>50</v>
      </c>
      <c r="E3912" s="12" t="s">
        <v>8220</v>
      </c>
      <c r="F3912" s="13">
        <v>6</v>
      </c>
      <c r="G3912" s="14">
        <v>1767.1999999999998</v>
      </c>
      <c r="H3912" t="s">
        <v>1767</v>
      </c>
      <c r="I3912">
        <v>5</v>
      </c>
    </row>
    <row r="3913" spans="1:9" ht="15.6" x14ac:dyDescent="0.3">
      <c r="A3913" s="9">
        <v>3912</v>
      </c>
      <c r="B3913" s="2" t="s">
        <v>3918</v>
      </c>
      <c r="C3913" s="11">
        <v>8</v>
      </c>
      <c r="D3913" s="12">
        <v>33.333333333333329</v>
      </c>
      <c r="E3913" s="12" t="s">
        <v>8219</v>
      </c>
      <c r="F3913" s="13">
        <v>6</v>
      </c>
      <c r="G3913" s="14">
        <v>1742.1799999999998</v>
      </c>
      <c r="H3913" t="s">
        <v>743</v>
      </c>
      <c r="I3913">
        <v>4</v>
      </c>
    </row>
    <row r="3914" spans="1:9" ht="15.6" x14ac:dyDescent="0.3">
      <c r="A3914" s="9">
        <v>3913</v>
      </c>
      <c r="B3914" s="2" t="s">
        <v>3919</v>
      </c>
      <c r="C3914" s="11">
        <v>16</v>
      </c>
      <c r="D3914" s="12">
        <v>33.333333333333329</v>
      </c>
      <c r="E3914" s="12" t="s">
        <v>8219</v>
      </c>
      <c r="F3914" s="13">
        <v>6</v>
      </c>
      <c r="G3914" s="14">
        <v>1791.23</v>
      </c>
      <c r="H3914" t="s">
        <v>3559</v>
      </c>
      <c r="I3914">
        <v>5</v>
      </c>
    </row>
    <row r="3915" spans="1:9" ht="15.6" x14ac:dyDescent="0.3">
      <c r="A3915" s="9">
        <v>3914</v>
      </c>
      <c r="B3915" s="2" t="s">
        <v>3920</v>
      </c>
      <c r="C3915" s="11">
        <v>14</v>
      </c>
      <c r="D3915" s="12">
        <v>50</v>
      </c>
      <c r="E3915" s="12" t="s">
        <v>8220</v>
      </c>
      <c r="F3915" s="13">
        <v>6</v>
      </c>
      <c r="G3915" s="14">
        <v>1767.1999999999998</v>
      </c>
      <c r="H3915" t="s">
        <v>2535</v>
      </c>
      <c r="I3915">
        <v>5</v>
      </c>
    </row>
    <row r="3916" spans="1:9" ht="15.6" x14ac:dyDescent="0.3">
      <c r="A3916" s="9">
        <v>3915</v>
      </c>
      <c r="B3916" s="2" t="s">
        <v>3921</v>
      </c>
      <c r="C3916" s="11">
        <v>14</v>
      </c>
      <c r="D3916" s="12">
        <v>50</v>
      </c>
      <c r="E3916" s="12" t="s">
        <v>8220</v>
      </c>
      <c r="F3916" s="13">
        <v>6</v>
      </c>
      <c r="G3916" s="14">
        <v>1807.23</v>
      </c>
      <c r="H3916" t="s">
        <v>1511</v>
      </c>
      <c r="I3916">
        <v>5</v>
      </c>
    </row>
    <row r="3917" spans="1:9" ht="15.6" x14ac:dyDescent="0.3">
      <c r="A3917" s="9">
        <v>3916</v>
      </c>
      <c r="B3917" s="2" t="s">
        <v>3922</v>
      </c>
      <c r="C3917" s="11">
        <v>8</v>
      </c>
      <c r="D3917" s="12">
        <v>33.333333333333329</v>
      </c>
      <c r="E3917" s="12" t="s">
        <v>8219</v>
      </c>
      <c r="F3917" s="13">
        <v>6</v>
      </c>
      <c r="G3917" s="14">
        <v>1782.21</v>
      </c>
      <c r="H3917" t="s">
        <v>487</v>
      </c>
      <c r="I3917">
        <v>4</v>
      </c>
    </row>
    <row r="3918" spans="1:9" ht="15.6" x14ac:dyDescent="0.3">
      <c r="A3918" s="9">
        <v>3917</v>
      </c>
      <c r="B3918" s="2" t="s">
        <v>3923</v>
      </c>
      <c r="C3918" s="11">
        <v>10</v>
      </c>
      <c r="D3918" s="12">
        <v>16.666666666666664</v>
      </c>
      <c r="E3918" s="12" t="s">
        <v>8219</v>
      </c>
      <c r="F3918" s="13">
        <v>6</v>
      </c>
      <c r="G3918" s="14">
        <v>1766.21</v>
      </c>
      <c r="H3918" t="s">
        <v>3303</v>
      </c>
      <c r="I3918">
        <v>4</v>
      </c>
    </row>
    <row r="3919" spans="1:9" ht="15.6" x14ac:dyDescent="0.3">
      <c r="A3919" s="9">
        <v>3918</v>
      </c>
      <c r="B3919" s="2" t="s">
        <v>3924</v>
      </c>
      <c r="C3919" s="11">
        <v>8</v>
      </c>
      <c r="D3919" s="12">
        <v>33.333333333333329</v>
      </c>
      <c r="E3919" s="12" t="s">
        <v>8219</v>
      </c>
      <c r="F3919" s="13">
        <v>6</v>
      </c>
      <c r="G3919" s="14">
        <v>1742.1799999999998</v>
      </c>
      <c r="H3919" t="s">
        <v>2279</v>
      </c>
      <c r="I3919">
        <v>4</v>
      </c>
    </row>
    <row r="3920" spans="1:9" ht="15.6" x14ac:dyDescent="0.3">
      <c r="A3920" s="9">
        <v>3919</v>
      </c>
      <c r="B3920" s="2" t="s">
        <v>3925</v>
      </c>
      <c r="C3920" s="11">
        <v>8</v>
      </c>
      <c r="D3920" s="12">
        <v>33.333333333333329</v>
      </c>
      <c r="E3920" s="12" t="s">
        <v>8219</v>
      </c>
      <c r="F3920" s="13">
        <v>6</v>
      </c>
      <c r="G3920" s="14">
        <v>1782.21</v>
      </c>
      <c r="H3920" t="s">
        <v>1255</v>
      </c>
      <c r="I3920">
        <v>4</v>
      </c>
    </row>
    <row r="3921" spans="1:9" ht="15.6" x14ac:dyDescent="0.3">
      <c r="A3921" s="9">
        <v>3920</v>
      </c>
      <c r="B3921" s="2" t="s">
        <v>3926</v>
      </c>
      <c r="C3921" s="11">
        <v>2</v>
      </c>
      <c r="D3921" s="12">
        <v>16.666666666666664</v>
      </c>
      <c r="E3921" s="12" t="s">
        <v>8219</v>
      </c>
      <c r="F3921" s="13">
        <v>6</v>
      </c>
      <c r="G3921" s="14">
        <v>1757.19</v>
      </c>
      <c r="H3921" t="s">
        <v>231</v>
      </c>
      <c r="I3921">
        <v>3</v>
      </c>
    </row>
    <row r="3922" spans="1:9" ht="15.6" x14ac:dyDescent="0.3">
      <c r="A3922" s="9">
        <v>3921</v>
      </c>
      <c r="B3922" s="2" t="s">
        <v>3927</v>
      </c>
      <c r="C3922" s="11">
        <v>16</v>
      </c>
      <c r="D3922" s="12">
        <v>33.333333333333329</v>
      </c>
      <c r="E3922" s="12" t="s">
        <v>8219</v>
      </c>
      <c r="F3922" s="13">
        <v>6</v>
      </c>
      <c r="G3922" s="14">
        <v>1751.1999999999998</v>
      </c>
      <c r="H3922" t="s">
        <v>4007</v>
      </c>
      <c r="I3922">
        <v>5</v>
      </c>
    </row>
    <row r="3923" spans="1:9" ht="15.6" x14ac:dyDescent="0.3">
      <c r="A3923" s="9">
        <v>3922</v>
      </c>
      <c r="B3923" s="2" t="s">
        <v>3928</v>
      </c>
      <c r="C3923" s="11">
        <v>14</v>
      </c>
      <c r="D3923" s="12">
        <v>50</v>
      </c>
      <c r="E3923" s="12" t="s">
        <v>8220</v>
      </c>
      <c r="F3923" s="13">
        <v>6</v>
      </c>
      <c r="G3923" s="14">
        <v>1727.17</v>
      </c>
      <c r="H3923" t="s">
        <v>2983</v>
      </c>
      <c r="I3923">
        <v>5</v>
      </c>
    </row>
    <row r="3924" spans="1:9" ht="15.6" x14ac:dyDescent="0.3">
      <c r="A3924" s="9">
        <v>3923</v>
      </c>
      <c r="B3924" s="2" t="s">
        <v>3929</v>
      </c>
      <c r="C3924" s="11">
        <v>14</v>
      </c>
      <c r="D3924" s="12">
        <v>50</v>
      </c>
      <c r="E3924" s="12" t="s">
        <v>8220</v>
      </c>
      <c r="F3924" s="13">
        <v>6</v>
      </c>
      <c r="G3924" s="14">
        <v>1767.1999999999998</v>
      </c>
      <c r="H3924" t="s">
        <v>1959</v>
      </c>
      <c r="I3924">
        <v>5</v>
      </c>
    </row>
    <row r="3925" spans="1:9" ht="15.6" x14ac:dyDescent="0.3">
      <c r="A3925" s="9">
        <v>3924</v>
      </c>
      <c r="B3925" s="2" t="s">
        <v>3930</v>
      </c>
      <c r="C3925" s="11">
        <v>8</v>
      </c>
      <c r="D3925" s="12">
        <v>33.333333333333329</v>
      </c>
      <c r="E3925" s="12" t="s">
        <v>8219</v>
      </c>
      <c r="F3925" s="13">
        <v>6</v>
      </c>
      <c r="G3925" s="14">
        <v>1742.1799999999998</v>
      </c>
      <c r="H3925" t="s">
        <v>935</v>
      </c>
      <c r="I3925">
        <v>4</v>
      </c>
    </row>
    <row r="3926" spans="1:9" ht="15.6" x14ac:dyDescent="0.3">
      <c r="A3926" s="9">
        <v>3925</v>
      </c>
      <c r="B3926" s="2" t="s">
        <v>3931</v>
      </c>
      <c r="C3926" s="11">
        <v>14</v>
      </c>
      <c r="D3926" s="12">
        <v>50</v>
      </c>
      <c r="E3926" s="12" t="s">
        <v>8220</v>
      </c>
      <c r="F3926" s="13">
        <v>6</v>
      </c>
      <c r="G3926" s="14">
        <v>1727.17</v>
      </c>
      <c r="H3926" t="s">
        <v>3751</v>
      </c>
      <c r="I3926">
        <v>5</v>
      </c>
    </row>
    <row r="3927" spans="1:9" ht="15.6" x14ac:dyDescent="0.3">
      <c r="A3927" s="9">
        <v>3926</v>
      </c>
      <c r="B3927" s="2" t="s">
        <v>3932</v>
      </c>
      <c r="C3927" s="11">
        <v>12</v>
      </c>
      <c r="D3927" s="12">
        <v>66.666666666666657</v>
      </c>
      <c r="E3927" s="12" t="s">
        <v>8220</v>
      </c>
      <c r="F3927" s="13">
        <v>6</v>
      </c>
      <c r="G3927" s="14">
        <v>1703.1399999999999</v>
      </c>
      <c r="H3927" t="s">
        <v>2727</v>
      </c>
      <c r="I3927">
        <v>4</v>
      </c>
    </row>
    <row r="3928" spans="1:9" ht="15.6" x14ac:dyDescent="0.3">
      <c r="A3928" s="9">
        <v>3927</v>
      </c>
      <c r="B3928" s="2" t="s">
        <v>3933</v>
      </c>
      <c r="C3928" s="11">
        <v>12</v>
      </c>
      <c r="D3928" s="12">
        <v>66.666666666666657</v>
      </c>
      <c r="E3928" s="12" t="s">
        <v>8220</v>
      </c>
      <c r="F3928" s="13">
        <v>6</v>
      </c>
      <c r="G3928" s="14">
        <v>1743.17</v>
      </c>
      <c r="H3928" t="s">
        <v>1703</v>
      </c>
      <c r="I3928">
        <v>4</v>
      </c>
    </row>
    <row r="3929" spans="1:9" ht="15.6" x14ac:dyDescent="0.3">
      <c r="A3929" s="9">
        <v>3928</v>
      </c>
      <c r="B3929" s="2" t="s">
        <v>3934</v>
      </c>
      <c r="C3929" s="11">
        <v>6</v>
      </c>
      <c r="D3929" s="12">
        <v>50</v>
      </c>
      <c r="E3929" s="12" t="s">
        <v>8220</v>
      </c>
      <c r="F3929" s="13">
        <v>6</v>
      </c>
      <c r="G3929" s="14">
        <v>1718.15</v>
      </c>
      <c r="H3929" t="s">
        <v>679</v>
      </c>
      <c r="I3929">
        <v>3</v>
      </c>
    </row>
    <row r="3930" spans="1:9" ht="15.6" x14ac:dyDescent="0.3">
      <c r="A3930" s="9">
        <v>3929</v>
      </c>
      <c r="B3930" s="2" t="s">
        <v>3935</v>
      </c>
      <c r="C3930" s="11">
        <v>14</v>
      </c>
      <c r="D3930" s="12">
        <v>50</v>
      </c>
      <c r="E3930" s="12" t="s">
        <v>8220</v>
      </c>
      <c r="F3930" s="13">
        <v>6</v>
      </c>
      <c r="G3930" s="14">
        <v>1767.1999999999998</v>
      </c>
      <c r="H3930" t="s">
        <v>3495</v>
      </c>
      <c r="I3930">
        <v>5</v>
      </c>
    </row>
    <row r="3931" spans="1:9" ht="15.6" x14ac:dyDescent="0.3">
      <c r="A3931" s="9">
        <v>3930</v>
      </c>
      <c r="B3931" s="2" t="s">
        <v>3936</v>
      </c>
      <c r="C3931" s="11">
        <v>12</v>
      </c>
      <c r="D3931" s="12">
        <v>66.666666666666657</v>
      </c>
      <c r="E3931" s="12" t="s">
        <v>8220</v>
      </c>
      <c r="F3931" s="13">
        <v>6</v>
      </c>
      <c r="G3931" s="14">
        <v>1743.17</v>
      </c>
      <c r="H3931" t="s">
        <v>2471</v>
      </c>
      <c r="I3931">
        <v>4</v>
      </c>
    </row>
    <row r="3932" spans="1:9" ht="15.6" x14ac:dyDescent="0.3">
      <c r="A3932" s="9">
        <v>3931</v>
      </c>
      <c r="B3932" s="2" t="s">
        <v>3937</v>
      </c>
      <c r="C3932" s="11">
        <v>12</v>
      </c>
      <c r="D3932" s="12">
        <v>66.666666666666657</v>
      </c>
      <c r="E3932" s="12" t="s">
        <v>8220</v>
      </c>
      <c r="F3932" s="13">
        <v>6</v>
      </c>
      <c r="G3932" s="14">
        <v>1783.1999999999998</v>
      </c>
      <c r="H3932" t="s">
        <v>1447</v>
      </c>
      <c r="I3932">
        <v>4</v>
      </c>
    </row>
    <row r="3933" spans="1:9" ht="15.6" x14ac:dyDescent="0.3">
      <c r="A3933" s="9">
        <v>3932</v>
      </c>
      <c r="B3933" s="2" t="s">
        <v>3938</v>
      </c>
      <c r="C3933" s="11">
        <v>6</v>
      </c>
      <c r="D3933" s="12">
        <v>50</v>
      </c>
      <c r="E3933" s="12" t="s">
        <v>8220</v>
      </c>
      <c r="F3933" s="13">
        <v>6</v>
      </c>
      <c r="G3933" s="14">
        <v>1758.1799999999998</v>
      </c>
      <c r="H3933" t="s">
        <v>423</v>
      </c>
      <c r="I3933">
        <v>3</v>
      </c>
    </row>
    <row r="3934" spans="1:9" ht="15.6" x14ac:dyDescent="0.3">
      <c r="A3934" s="9">
        <v>3933</v>
      </c>
      <c r="B3934" s="2" t="s">
        <v>3939</v>
      </c>
      <c r="C3934" s="11">
        <v>8</v>
      </c>
      <c r="D3934" s="12">
        <v>33.333333333333329</v>
      </c>
      <c r="E3934" s="12" t="s">
        <v>8219</v>
      </c>
      <c r="F3934" s="13">
        <v>6</v>
      </c>
      <c r="G3934" s="14">
        <v>1742.1799999999998</v>
      </c>
      <c r="H3934" t="s">
        <v>3239</v>
      </c>
      <c r="I3934">
        <v>4</v>
      </c>
    </row>
    <row r="3935" spans="1:9" ht="15.6" x14ac:dyDescent="0.3">
      <c r="A3935" s="9">
        <v>3934</v>
      </c>
      <c r="B3935" s="2" t="s">
        <v>3940</v>
      </c>
      <c r="C3935" s="11">
        <v>6</v>
      </c>
      <c r="D3935" s="12">
        <v>50</v>
      </c>
      <c r="E3935" s="12" t="s">
        <v>8220</v>
      </c>
      <c r="F3935" s="13">
        <v>6</v>
      </c>
      <c r="G3935" s="14">
        <v>1718.15</v>
      </c>
      <c r="H3935" t="s">
        <v>2215</v>
      </c>
      <c r="I3935">
        <v>3</v>
      </c>
    </row>
    <row r="3936" spans="1:9" ht="15.6" x14ac:dyDescent="0.3">
      <c r="A3936" s="9">
        <v>3935</v>
      </c>
      <c r="B3936" s="2" t="s">
        <v>3941</v>
      </c>
      <c r="C3936" s="11">
        <v>6</v>
      </c>
      <c r="D3936" s="12">
        <v>50</v>
      </c>
      <c r="E3936" s="12" t="s">
        <v>8220</v>
      </c>
      <c r="F3936" s="13">
        <v>6</v>
      </c>
      <c r="G3936" s="14">
        <v>1758.1799999999998</v>
      </c>
      <c r="H3936" t="s">
        <v>1191</v>
      </c>
      <c r="I3936">
        <v>3</v>
      </c>
    </row>
    <row r="3937" spans="1:9" ht="15.6" x14ac:dyDescent="0.3">
      <c r="A3937" s="9">
        <v>3936</v>
      </c>
      <c r="B3937" s="2" t="s">
        <v>3942</v>
      </c>
      <c r="C3937" s="11">
        <v>0</v>
      </c>
      <c r="D3937" s="12">
        <v>33.333333333333329</v>
      </c>
      <c r="E3937" s="12" t="s">
        <v>8219</v>
      </c>
      <c r="F3937" s="13">
        <v>6</v>
      </c>
      <c r="G3937" s="14">
        <v>1733.1599999999999</v>
      </c>
      <c r="H3937" t="s">
        <v>167</v>
      </c>
      <c r="I3937">
        <v>2</v>
      </c>
    </row>
    <row r="3938" spans="1:9" ht="15.6" x14ac:dyDescent="0.3">
      <c r="A3938" s="9">
        <v>3937</v>
      </c>
      <c r="B3938" s="2" t="s">
        <v>3943</v>
      </c>
      <c r="C3938" s="11">
        <v>16</v>
      </c>
      <c r="D3938" s="12">
        <v>33.333333333333329</v>
      </c>
      <c r="E3938" s="12" t="s">
        <v>8219</v>
      </c>
      <c r="F3938" s="13">
        <v>6</v>
      </c>
      <c r="G3938" s="14">
        <v>1791.23</v>
      </c>
      <c r="H3938" t="s">
        <v>3943</v>
      </c>
      <c r="I3938">
        <v>5</v>
      </c>
    </row>
    <row r="3939" spans="1:9" ht="15.6" x14ac:dyDescent="0.3">
      <c r="A3939" s="9">
        <v>3938</v>
      </c>
      <c r="B3939" s="2" t="s">
        <v>3944</v>
      </c>
      <c r="C3939" s="11">
        <v>14</v>
      </c>
      <c r="D3939" s="12">
        <v>50</v>
      </c>
      <c r="E3939" s="12" t="s">
        <v>8220</v>
      </c>
      <c r="F3939" s="13">
        <v>6</v>
      </c>
      <c r="G3939" s="14">
        <v>1767.1999999999998</v>
      </c>
      <c r="H3939" t="s">
        <v>2919</v>
      </c>
      <c r="I3939">
        <v>5</v>
      </c>
    </row>
    <row r="3940" spans="1:9" ht="15.6" x14ac:dyDescent="0.3">
      <c r="A3940" s="9">
        <v>3939</v>
      </c>
      <c r="B3940" s="2" t="s">
        <v>3945</v>
      </c>
      <c r="C3940" s="11">
        <v>14</v>
      </c>
      <c r="D3940" s="12">
        <v>50</v>
      </c>
      <c r="E3940" s="12" t="s">
        <v>8220</v>
      </c>
      <c r="F3940" s="13">
        <v>6</v>
      </c>
      <c r="G3940" s="14">
        <v>1807.23</v>
      </c>
      <c r="H3940" t="s">
        <v>1895</v>
      </c>
      <c r="I3940">
        <v>5</v>
      </c>
    </row>
    <row r="3941" spans="1:9" ht="15.6" x14ac:dyDescent="0.3">
      <c r="A3941" s="9">
        <v>3940</v>
      </c>
      <c r="B3941" s="2" t="s">
        <v>3946</v>
      </c>
      <c r="C3941" s="11">
        <v>8</v>
      </c>
      <c r="D3941" s="12">
        <v>33.333333333333329</v>
      </c>
      <c r="E3941" s="12" t="s">
        <v>8219</v>
      </c>
      <c r="F3941" s="13">
        <v>6</v>
      </c>
      <c r="G3941" s="14">
        <v>1782.21</v>
      </c>
      <c r="H3941" t="s">
        <v>871</v>
      </c>
      <c r="I3941">
        <v>4</v>
      </c>
    </row>
    <row r="3942" spans="1:9" ht="15.6" x14ac:dyDescent="0.3">
      <c r="A3942" s="9">
        <v>3941</v>
      </c>
      <c r="B3942" s="2" t="s">
        <v>3947</v>
      </c>
      <c r="C3942" s="11">
        <v>14</v>
      </c>
      <c r="D3942" s="12">
        <v>50</v>
      </c>
      <c r="E3942" s="12" t="s">
        <v>8220</v>
      </c>
      <c r="F3942" s="13">
        <v>6</v>
      </c>
      <c r="G3942" s="14">
        <v>1767.1999999999998</v>
      </c>
      <c r="H3942" t="s">
        <v>3687</v>
      </c>
      <c r="I3942">
        <v>5</v>
      </c>
    </row>
    <row r="3943" spans="1:9" ht="15.6" x14ac:dyDescent="0.3">
      <c r="A3943" s="9">
        <v>3942</v>
      </c>
      <c r="B3943" s="2" t="s">
        <v>3948</v>
      </c>
      <c r="C3943" s="11">
        <v>12</v>
      </c>
      <c r="D3943" s="12">
        <v>66.666666666666657</v>
      </c>
      <c r="E3943" s="12" t="s">
        <v>8220</v>
      </c>
      <c r="F3943" s="13">
        <v>6</v>
      </c>
      <c r="G3943" s="14">
        <v>1743.17</v>
      </c>
      <c r="H3943" t="s">
        <v>2663</v>
      </c>
      <c r="I3943">
        <v>4</v>
      </c>
    </row>
    <row r="3944" spans="1:9" ht="15.6" x14ac:dyDescent="0.3">
      <c r="A3944" s="9">
        <v>3943</v>
      </c>
      <c r="B3944" s="2" t="s">
        <v>3949</v>
      </c>
      <c r="C3944" s="11">
        <v>12</v>
      </c>
      <c r="D3944" s="12">
        <v>66.666666666666657</v>
      </c>
      <c r="E3944" s="12" t="s">
        <v>8220</v>
      </c>
      <c r="F3944" s="13">
        <v>6</v>
      </c>
      <c r="G3944" s="14">
        <v>1783.1999999999998</v>
      </c>
      <c r="H3944" t="s">
        <v>1639</v>
      </c>
      <c r="I3944">
        <v>4</v>
      </c>
    </row>
    <row r="3945" spans="1:9" ht="15.6" x14ac:dyDescent="0.3">
      <c r="A3945" s="9">
        <v>3944</v>
      </c>
      <c r="B3945" s="2" t="s">
        <v>3950</v>
      </c>
      <c r="C3945" s="11">
        <v>6</v>
      </c>
      <c r="D3945" s="12">
        <v>50</v>
      </c>
      <c r="E3945" s="12" t="s">
        <v>8220</v>
      </c>
      <c r="F3945" s="13">
        <v>6</v>
      </c>
      <c r="G3945" s="14">
        <v>1758.1799999999998</v>
      </c>
      <c r="H3945" t="s">
        <v>615</v>
      </c>
      <c r="I3945">
        <v>3</v>
      </c>
    </row>
    <row r="3946" spans="1:9" ht="15.6" x14ac:dyDescent="0.3">
      <c r="A3946" s="9">
        <v>3945</v>
      </c>
      <c r="B3946" s="2" t="s">
        <v>3951</v>
      </c>
      <c r="C3946" s="11">
        <v>14</v>
      </c>
      <c r="D3946" s="12">
        <v>50</v>
      </c>
      <c r="E3946" s="12" t="s">
        <v>8220</v>
      </c>
      <c r="F3946" s="13">
        <v>6</v>
      </c>
      <c r="G3946" s="14">
        <v>1807.23</v>
      </c>
      <c r="H3946" t="s">
        <v>3431</v>
      </c>
      <c r="I3946">
        <v>5</v>
      </c>
    </row>
    <row r="3947" spans="1:9" ht="15.6" x14ac:dyDescent="0.3">
      <c r="A3947" s="9">
        <v>3946</v>
      </c>
      <c r="B3947" s="2" t="s">
        <v>3952</v>
      </c>
      <c r="C3947" s="11">
        <v>12</v>
      </c>
      <c r="D3947" s="12">
        <v>66.666666666666657</v>
      </c>
      <c r="E3947" s="12" t="s">
        <v>8220</v>
      </c>
      <c r="F3947" s="13">
        <v>6</v>
      </c>
      <c r="G3947" s="14">
        <v>1783.1999999999998</v>
      </c>
      <c r="H3947" t="s">
        <v>2407</v>
      </c>
      <c r="I3947">
        <v>4</v>
      </c>
    </row>
    <row r="3948" spans="1:9" ht="15.6" x14ac:dyDescent="0.3">
      <c r="A3948" s="9">
        <v>3947</v>
      </c>
      <c r="B3948" s="2" t="s">
        <v>3953</v>
      </c>
      <c r="C3948" s="11">
        <v>12</v>
      </c>
      <c r="D3948" s="12">
        <v>66.666666666666657</v>
      </c>
      <c r="E3948" s="12" t="s">
        <v>8220</v>
      </c>
      <c r="F3948" s="13">
        <v>6</v>
      </c>
      <c r="G3948" s="14">
        <v>1823.23</v>
      </c>
      <c r="H3948" t="s">
        <v>1383</v>
      </c>
      <c r="I3948">
        <v>4</v>
      </c>
    </row>
    <row r="3949" spans="1:9" ht="15.6" x14ac:dyDescent="0.3">
      <c r="A3949" s="9">
        <v>3948</v>
      </c>
      <c r="B3949" s="2" t="s">
        <v>3954</v>
      </c>
      <c r="C3949" s="11">
        <v>6</v>
      </c>
      <c r="D3949" s="12">
        <v>50</v>
      </c>
      <c r="E3949" s="12" t="s">
        <v>8220</v>
      </c>
      <c r="F3949" s="13">
        <v>6</v>
      </c>
      <c r="G3949" s="14">
        <v>1798.21</v>
      </c>
      <c r="H3949" t="s">
        <v>359</v>
      </c>
      <c r="I3949">
        <v>3</v>
      </c>
    </row>
    <row r="3950" spans="1:9" ht="15.6" x14ac:dyDescent="0.3">
      <c r="A3950" s="9">
        <v>3949</v>
      </c>
      <c r="B3950" s="2" t="s">
        <v>3955</v>
      </c>
      <c r="C3950" s="11">
        <v>8</v>
      </c>
      <c r="D3950" s="12">
        <v>33.333333333333329</v>
      </c>
      <c r="E3950" s="12" t="s">
        <v>8219</v>
      </c>
      <c r="F3950" s="13">
        <v>6</v>
      </c>
      <c r="G3950" s="14">
        <v>1782.21</v>
      </c>
      <c r="H3950" t="s">
        <v>3175</v>
      </c>
      <c r="I3950">
        <v>4</v>
      </c>
    </row>
    <row r="3951" spans="1:9" ht="15.6" x14ac:dyDescent="0.3">
      <c r="A3951" s="9">
        <v>3950</v>
      </c>
      <c r="B3951" s="2" t="s">
        <v>3956</v>
      </c>
      <c r="C3951" s="11">
        <v>6</v>
      </c>
      <c r="D3951" s="12">
        <v>50</v>
      </c>
      <c r="E3951" s="12" t="s">
        <v>8220</v>
      </c>
      <c r="F3951" s="13">
        <v>6</v>
      </c>
      <c r="G3951" s="14">
        <v>1758.1799999999998</v>
      </c>
      <c r="H3951" t="s">
        <v>2151</v>
      </c>
      <c r="I3951">
        <v>3</v>
      </c>
    </row>
    <row r="3952" spans="1:9" ht="15.6" x14ac:dyDescent="0.3">
      <c r="A3952" s="9">
        <v>3951</v>
      </c>
      <c r="B3952" s="2" t="s">
        <v>3957</v>
      </c>
      <c r="C3952" s="11">
        <v>6</v>
      </c>
      <c r="D3952" s="12">
        <v>50</v>
      </c>
      <c r="E3952" s="12" t="s">
        <v>8220</v>
      </c>
      <c r="F3952" s="13">
        <v>6</v>
      </c>
      <c r="G3952" s="14">
        <v>1798.21</v>
      </c>
      <c r="H3952" t="s">
        <v>1127</v>
      </c>
      <c r="I3952">
        <v>3</v>
      </c>
    </row>
    <row r="3953" spans="1:9" ht="15.6" x14ac:dyDescent="0.3">
      <c r="A3953" s="9">
        <v>3952</v>
      </c>
      <c r="B3953" s="2" t="s">
        <v>3958</v>
      </c>
      <c r="C3953" s="11">
        <v>0</v>
      </c>
      <c r="D3953" s="12">
        <v>33.333333333333329</v>
      </c>
      <c r="E3953" s="12" t="s">
        <v>8219</v>
      </c>
      <c r="F3953" s="13">
        <v>6</v>
      </c>
      <c r="G3953" s="14">
        <v>1773.19</v>
      </c>
      <c r="H3953" t="s">
        <v>103</v>
      </c>
      <c r="I3953">
        <v>2</v>
      </c>
    </row>
    <row r="3954" spans="1:9" ht="15.6" x14ac:dyDescent="0.3">
      <c r="A3954" s="9">
        <v>3953</v>
      </c>
      <c r="B3954" s="2" t="s">
        <v>3959</v>
      </c>
      <c r="C3954" s="11">
        <v>10</v>
      </c>
      <c r="D3954" s="12">
        <v>16.666666666666664</v>
      </c>
      <c r="E3954" s="12" t="s">
        <v>8219</v>
      </c>
      <c r="F3954" s="13">
        <v>6</v>
      </c>
      <c r="G3954" s="14">
        <v>1766.21</v>
      </c>
      <c r="H3954" t="s">
        <v>3879</v>
      </c>
      <c r="I3954">
        <v>4</v>
      </c>
    </row>
    <row r="3955" spans="1:9" ht="15.6" x14ac:dyDescent="0.3">
      <c r="A3955" s="9">
        <v>3954</v>
      </c>
      <c r="B3955" s="2" t="s">
        <v>3960</v>
      </c>
      <c r="C3955" s="11">
        <v>8</v>
      </c>
      <c r="D3955" s="12">
        <v>33.333333333333329</v>
      </c>
      <c r="E3955" s="12" t="s">
        <v>8219</v>
      </c>
      <c r="F3955" s="13">
        <v>6</v>
      </c>
      <c r="G3955" s="14">
        <v>1742.1799999999998</v>
      </c>
      <c r="H3955" t="s">
        <v>2855</v>
      </c>
      <c r="I3955">
        <v>4</v>
      </c>
    </row>
    <row r="3956" spans="1:9" ht="15.6" x14ac:dyDescent="0.3">
      <c r="A3956" s="9">
        <v>3955</v>
      </c>
      <c r="B3956" s="2" t="s">
        <v>3961</v>
      </c>
      <c r="C3956" s="11">
        <v>8</v>
      </c>
      <c r="D3956" s="12">
        <v>33.333333333333329</v>
      </c>
      <c r="E3956" s="12" t="s">
        <v>8219</v>
      </c>
      <c r="F3956" s="13">
        <v>6</v>
      </c>
      <c r="G3956" s="14">
        <v>1782.21</v>
      </c>
      <c r="H3956" t="s">
        <v>1831</v>
      </c>
      <c r="I3956">
        <v>4</v>
      </c>
    </row>
    <row r="3957" spans="1:9" ht="15.6" x14ac:dyDescent="0.3">
      <c r="A3957" s="9">
        <v>3956</v>
      </c>
      <c r="B3957" s="2" t="s">
        <v>3962</v>
      </c>
      <c r="C3957" s="11">
        <v>2</v>
      </c>
      <c r="D3957" s="12">
        <v>16.666666666666664</v>
      </c>
      <c r="E3957" s="12" t="s">
        <v>8219</v>
      </c>
      <c r="F3957" s="13">
        <v>6</v>
      </c>
      <c r="G3957" s="14">
        <v>1757.19</v>
      </c>
      <c r="H3957" t="s">
        <v>807</v>
      </c>
      <c r="I3957">
        <v>3</v>
      </c>
    </row>
    <row r="3958" spans="1:9" ht="15.6" x14ac:dyDescent="0.3">
      <c r="A3958" s="9">
        <v>3957</v>
      </c>
      <c r="B3958" s="2" t="s">
        <v>3963</v>
      </c>
      <c r="C3958" s="11">
        <v>8</v>
      </c>
      <c r="D3958" s="12">
        <v>33.333333333333329</v>
      </c>
      <c r="E3958" s="12" t="s">
        <v>8219</v>
      </c>
      <c r="F3958" s="13">
        <v>6</v>
      </c>
      <c r="G3958" s="14">
        <v>1742.1799999999998</v>
      </c>
      <c r="H3958" t="s">
        <v>3623</v>
      </c>
      <c r="I3958">
        <v>4</v>
      </c>
    </row>
    <row r="3959" spans="1:9" ht="15.6" x14ac:dyDescent="0.3">
      <c r="A3959" s="9">
        <v>3958</v>
      </c>
      <c r="B3959" s="2" t="s">
        <v>3964</v>
      </c>
      <c r="C3959" s="11">
        <v>6</v>
      </c>
      <c r="D3959" s="12">
        <v>50</v>
      </c>
      <c r="E3959" s="12" t="s">
        <v>8220</v>
      </c>
      <c r="F3959" s="13">
        <v>6</v>
      </c>
      <c r="G3959" s="14">
        <v>1718.15</v>
      </c>
      <c r="H3959" t="s">
        <v>2599</v>
      </c>
      <c r="I3959">
        <v>3</v>
      </c>
    </row>
    <row r="3960" spans="1:9" ht="15.6" x14ac:dyDescent="0.3">
      <c r="A3960" s="9">
        <v>3959</v>
      </c>
      <c r="B3960" s="2" t="s">
        <v>3965</v>
      </c>
      <c r="C3960" s="11">
        <v>6</v>
      </c>
      <c r="D3960" s="12">
        <v>50</v>
      </c>
      <c r="E3960" s="12" t="s">
        <v>8220</v>
      </c>
      <c r="F3960" s="13">
        <v>6</v>
      </c>
      <c r="G3960" s="14">
        <v>1758.1799999999998</v>
      </c>
      <c r="H3960" t="s">
        <v>1575</v>
      </c>
      <c r="I3960">
        <v>3</v>
      </c>
    </row>
    <row r="3961" spans="1:9" ht="15.6" x14ac:dyDescent="0.3">
      <c r="A3961" s="9">
        <v>3960</v>
      </c>
      <c r="B3961" s="2" t="s">
        <v>3966</v>
      </c>
      <c r="C3961" s="11">
        <v>0</v>
      </c>
      <c r="D3961" s="12">
        <v>33.333333333333329</v>
      </c>
      <c r="E3961" s="12" t="s">
        <v>8219</v>
      </c>
      <c r="F3961" s="13">
        <v>6</v>
      </c>
      <c r="G3961" s="14">
        <v>1733.1599999999999</v>
      </c>
      <c r="H3961" t="s">
        <v>551</v>
      </c>
      <c r="I3961">
        <v>2</v>
      </c>
    </row>
    <row r="3962" spans="1:9" ht="15.6" x14ac:dyDescent="0.3">
      <c r="A3962" s="9">
        <v>3961</v>
      </c>
      <c r="B3962" s="2" t="s">
        <v>3967</v>
      </c>
      <c r="C3962" s="11">
        <v>8</v>
      </c>
      <c r="D3962" s="12">
        <v>33.333333333333329</v>
      </c>
      <c r="E3962" s="12" t="s">
        <v>8219</v>
      </c>
      <c r="F3962" s="13">
        <v>6</v>
      </c>
      <c r="G3962" s="14">
        <v>1782.21</v>
      </c>
      <c r="H3962" t="s">
        <v>3367</v>
      </c>
      <c r="I3962">
        <v>4</v>
      </c>
    </row>
    <row r="3963" spans="1:9" ht="15.6" x14ac:dyDescent="0.3">
      <c r="A3963" s="9">
        <v>3962</v>
      </c>
      <c r="B3963" s="2" t="s">
        <v>3968</v>
      </c>
      <c r="C3963" s="11">
        <v>6</v>
      </c>
      <c r="D3963" s="12">
        <v>50</v>
      </c>
      <c r="E3963" s="12" t="s">
        <v>8220</v>
      </c>
      <c r="F3963" s="13">
        <v>6</v>
      </c>
      <c r="G3963" s="14">
        <v>1758.1799999999998</v>
      </c>
      <c r="H3963" t="s">
        <v>2343</v>
      </c>
      <c r="I3963">
        <v>3</v>
      </c>
    </row>
    <row r="3964" spans="1:9" ht="15.6" x14ac:dyDescent="0.3">
      <c r="A3964" s="9">
        <v>3963</v>
      </c>
      <c r="B3964" s="2" t="s">
        <v>3969</v>
      </c>
      <c r="C3964" s="11">
        <v>6</v>
      </c>
      <c r="D3964" s="12">
        <v>50</v>
      </c>
      <c r="E3964" s="12" t="s">
        <v>8220</v>
      </c>
      <c r="F3964" s="13">
        <v>6</v>
      </c>
      <c r="G3964" s="14">
        <v>1798.21</v>
      </c>
      <c r="H3964" t="s">
        <v>1319</v>
      </c>
      <c r="I3964">
        <v>3</v>
      </c>
    </row>
    <row r="3965" spans="1:9" ht="15.6" x14ac:dyDescent="0.3">
      <c r="A3965" s="9">
        <v>3964</v>
      </c>
      <c r="B3965" s="2" t="s">
        <v>3970</v>
      </c>
      <c r="C3965" s="11">
        <v>0</v>
      </c>
      <c r="D3965" s="12">
        <v>33.333333333333329</v>
      </c>
      <c r="E3965" s="12" t="s">
        <v>8219</v>
      </c>
      <c r="F3965" s="13">
        <v>6</v>
      </c>
      <c r="G3965" s="14">
        <v>1773.19</v>
      </c>
      <c r="H3965" t="s">
        <v>295</v>
      </c>
      <c r="I3965">
        <v>2</v>
      </c>
    </row>
    <row r="3966" spans="1:9" ht="15.6" x14ac:dyDescent="0.3">
      <c r="A3966" s="9">
        <v>3965</v>
      </c>
      <c r="B3966" s="2" t="s">
        <v>3971</v>
      </c>
      <c r="C3966" s="11">
        <v>2</v>
      </c>
      <c r="D3966" s="12">
        <v>16.666666666666664</v>
      </c>
      <c r="E3966" s="12" t="s">
        <v>8219</v>
      </c>
      <c r="F3966" s="13">
        <v>6</v>
      </c>
      <c r="G3966" s="14">
        <v>1757.19</v>
      </c>
      <c r="H3966" t="s">
        <v>3111</v>
      </c>
      <c r="I3966">
        <v>3</v>
      </c>
    </row>
    <row r="3967" spans="1:9" ht="15.6" x14ac:dyDescent="0.3">
      <c r="A3967" s="9">
        <v>3966</v>
      </c>
      <c r="B3967" s="2" t="s">
        <v>3972</v>
      </c>
      <c r="C3967" s="11">
        <v>0</v>
      </c>
      <c r="D3967" s="12">
        <v>33.333333333333329</v>
      </c>
      <c r="E3967" s="12" t="s">
        <v>8219</v>
      </c>
      <c r="F3967" s="13">
        <v>6</v>
      </c>
      <c r="G3967" s="14">
        <v>1733.1599999999999</v>
      </c>
      <c r="H3967" t="s">
        <v>2087</v>
      </c>
      <c r="I3967">
        <v>2</v>
      </c>
    </row>
    <row r="3968" spans="1:9" ht="15.6" x14ac:dyDescent="0.3">
      <c r="A3968" s="9">
        <v>3967</v>
      </c>
      <c r="B3968" s="2" t="s">
        <v>3973</v>
      </c>
      <c r="C3968" s="11">
        <v>0</v>
      </c>
      <c r="D3968" s="12">
        <v>33.333333333333329</v>
      </c>
      <c r="E3968" s="12" t="s">
        <v>8219</v>
      </c>
      <c r="F3968" s="13">
        <v>6</v>
      </c>
      <c r="G3968" s="14">
        <v>1773.19</v>
      </c>
      <c r="H3968" t="s">
        <v>1063</v>
      </c>
      <c r="I3968">
        <v>2</v>
      </c>
    </row>
    <row r="3969" spans="1:9" ht="15.6" x14ac:dyDescent="0.3">
      <c r="A3969" s="9">
        <v>3968</v>
      </c>
      <c r="B3969" s="2" t="s">
        <v>3974</v>
      </c>
      <c r="C3969" s="11">
        <v>-6</v>
      </c>
      <c r="D3969" s="12">
        <v>16.666666666666664</v>
      </c>
      <c r="E3969" s="12" t="s">
        <v>8219</v>
      </c>
      <c r="F3969" s="13">
        <v>6</v>
      </c>
      <c r="G3969" s="14">
        <v>1748.17</v>
      </c>
      <c r="H3969" t="s">
        <v>39</v>
      </c>
      <c r="I3969">
        <v>1</v>
      </c>
    </row>
    <row r="3970" spans="1:9" ht="15.6" x14ac:dyDescent="0.3">
      <c r="A3970" s="9">
        <v>3969</v>
      </c>
      <c r="B3970" s="2" t="s">
        <v>3975</v>
      </c>
      <c r="C3970" s="11">
        <v>18</v>
      </c>
      <c r="D3970" s="12">
        <v>16.666666666666664</v>
      </c>
      <c r="E3970" s="12" t="s">
        <v>8219</v>
      </c>
      <c r="F3970" s="13">
        <v>6</v>
      </c>
      <c r="G3970" s="14">
        <v>1815.2599999999998</v>
      </c>
      <c r="H3970" t="s">
        <v>4055</v>
      </c>
      <c r="I3970">
        <v>5</v>
      </c>
    </row>
    <row r="3971" spans="1:9" ht="15.6" x14ac:dyDescent="0.3">
      <c r="A3971" s="9">
        <v>3970</v>
      </c>
      <c r="B3971" s="2" t="s">
        <v>3976</v>
      </c>
      <c r="C3971" s="11">
        <v>16</v>
      </c>
      <c r="D3971" s="12">
        <v>33.333333333333329</v>
      </c>
      <c r="E3971" s="12" t="s">
        <v>8219</v>
      </c>
      <c r="F3971" s="13">
        <v>6</v>
      </c>
      <c r="G3971" s="14">
        <v>1791.23</v>
      </c>
      <c r="H3971" t="s">
        <v>3031</v>
      </c>
      <c r="I3971">
        <v>5</v>
      </c>
    </row>
    <row r="3972" spans="1:9" ht="15.6" x14ac:dyDescent="0.3">
      <c r="A3972" s="9">
        <v>3971</v>
      </c>
      <c r="B3972" s="2" t="s">
        <v>3977</v>
      </c>
      <c r="C3972" s="11">
        <v>16</v>
      </c>
      <c r="D3972" s="12">
        <v>33.333333333333329</v>
      </c>
      <c r="E3972" s="12" t="s">
        <v>8219</v>
      </c>
      <c r="F3972" s="13">
        <v>6</v>
      </c>
      <c r="G3972" s="14">
        <v>1831.2600000000002</v>
      </c>
      <c r="H3972" t="s">
        <v>2007</v>
      </c>
      <c r="I3972">
        <v>5</v>
      </c>
    </row>
    <row r="3973" spans="1:9" ht="15.6" x14ac:dyDescent="0.3">
      <c r="A3973" s="9">
        <v>3972</v>
      </c>
      <c r="B3973" s="2" t="s">
        <v>3978</v>
      </c>
      <c r="C3973" s="11">
        <v>10</v>
      </c>
      <c r="D3973" s="12">
        <v>16.666666666666664</v>
      </c>
      <c r="E3973" s="12" t="s">
        <v>8219</v>
      </c>
      <c r="F3973" s="13">
        <v>6</v>
      </c>
      <c r="G3973" s="14">
        <v>1806.2399999999998</v>
      </c>
      <c r="H3973" t="s">
        <v>983</v>
      </c>
      <c r="I3973">
        <v>4</v>
      </c>
    </row>
    <row r="3974" spans="1:9" ht="15.6" x14ac:dyDescent="0.3">
      <c r="A3974" s="9">
        <v>3973</v>
      </c>
      <c r="B3974" s="2" t="s">
        <v>3979</v>
      </c>
      <c r="C3974" s="11">
        <v>16</v>
      </c>
      <c r="D3974" s="12">
        <v>33.333333333333329</v>
      </c>
      <c r="E3974" s="12" t="s">
        <v>8219</v>
      </c>
      <c r="F3974" s="13">
        <v>6</v>
      </c>
      <c r="G3974" s="14">
        <v>1791.23</v>
      </c>
      <c r="H3974" t="s">
        <v>3799</v>
      </c>
      <c r="I3974">
        <v>5</v>
      </c>
    </row>
    <row r="3975" spans="1:9" ht="15.6" x14ac:dyDescent="0.3">
      <c r="A3975" s="9">
        <v>3974</v>
      </c>
      <c r="B3975" s="2" t="s">
        <v>3980</v>
      </c>
      <c r="C3975" s="11">
        <v>14</v>
      </c>
      <c r="D3975" s="12">
        <v>50</v>
      </c>
      <c r="E3975" s="12" t="s">
        <v>8220</v>
      </c>
      <c r="F3975" s="13">
        <v>6</v>
      </c>
      <c r="G3975" s="14">
        <v>1767.1999999999998</v>
      </c>
      <c r="H3975" t="s">
        <v>2775</v>
      </c>
      <c r="I3975">
        <v>5</v>
      </c>
    </row>
    <row r="3976" spans="1:9" ht="15.6" x14ac:dyDescent="0.3">
      <c r="A3976" s="9">
        <v>3975</v>
      </c>
      <c r="B3976" s="2" t="s">
        <v>3981</v>
      </c>
      <c r="C3976" s="11">
        <v>14</v>
      </c>
      <c r="D3976" s="12">
        <v>50</v>
      </c>
      <c r="E3976" s="12" t="s">
        <v>8220</v>
      </c>
      <c r="F3976" s="13">
        <v>6</v>
      </c>
      <c r="G3976" s="14">
        <v>1807.23</v>
      </c>
      <c r="H3976" t="s">
        <v>1751</v>
      </c>
      <c r="I3976">
        <v>5</v>
      </c>
    </row>
    <row r="3977" spans="1:9" ht="15.6" x14ac:dyDescent="0.3">
      <c r="A3977" s="9">
        <v>3976</v>
      </c>
      <c r="B3977" s="2" t="s">
        <v>3982</v>
      </c>
      <c r="C3977" s="11">
        <v>8</v>
      </c>
      <c r="D3977" s="12">
        <v>33.333333333333329</v>
      </c>
      <c r="E3977" s="12" t="s">
        <v>8219</v>
      </c>
      <c r="F3977" s="13">
        <v>6</v>
      </c>
      <c r="G3977" s="14">
        <v>1782.21</v>
      </c>
      <c r="H3977" t="s">
        <v>727</v>
      </c>
      <c r="I3977">
        <v>4</v>
      </c>
    </row>
    <row r="3978" spans="1:9" ht="15.6" x14ac:dyDescent="0.3">
      <c r="A3978" s="9">
        <v>3977</v>
      </c>
      <c r="B3978" s="2" t="s">
        <v>3983</v>
      </c>
      <c r="C3978" s="11">
        <v>16</v>
      </c>
      <c r="D3978" s="12">
        <v>33.333333333333329</v>
      </c>
      <c r="E3978" s="12" t="s">
        <v>8219</v>
      </c>
      <c r="F3978" s="13">
        <v>6</v>
      </c>
      <c r="G3978" s="14">
        <v>1831.2600000000002</v>
      </c>
      <c r="H3978" t="s">
        <v>3543</v>
      </c>
      <c r="I3978">
        <v>5</v>
      </c>
    </row>
    <row r="3979" spans="1:9" ht="15.6" x14ac:dyDescent="0.3">
      <c r="A3979" s="9">
        <v>3978</v>
      </c>
      <c r="B3979" s="2" t="s">
        <v>3984</v>
      </c>
      <c r="C3979" s="11">
        <v>14</v>
      </c>
      <c r="D3979" s="12">
        <v>50</v>
      </c>
      <c r="E3979" s="12" t="s">
        <v>8220</v>
      </c>
      <c r="F3979" s="13">
        <v>6</v>
      </c>
      <c r="G3979" s="14">
        <v>1807.23</v>
      </c>
      <c r="H3979" t="s">
        <v>2519</v>
      </c>
      <c r="I3979">
        <v>5</v>
      </c>
    </row>
    <row r="3980" spans="1:9" ht="15.6" x14ac:dyDescent="0.3">
      <c r="A3980" s="9">
        <v>3979</v>
      </c>
      <c r="B3980" s="2" t="s">
        <v>3985</v>
      </c>
      <c r="C3980" s="11">
        <v>14</v>
      </c>
      <c r="D3980" s="12">
        <v>50</v>
      </c>
      <c r="E3980" s="12" t="s">
        <v>8220</v>
      </c>
      <c r="F3980" s="13">
        <v>6</v>
      </c>
      <c r="G3980" s="14">
        <v>1847.2600000000002</v>
      </c>
      <c r="H3980" t="s">
        <v>1495</v>
      </c>
      <c r="I3980">
        <v>5</v>
      </c>
    </row>
    <row r="3981" spans="1:9" ht="15.6" x14ac:dyDescent="0.3">
      <c r="A3981" s="9">
        <v>3980</v>
      </c>
      <c r="B3981" s="2" t="s">
        <v>3986</v>
      </c>
      <c r="C3981" s="11">
        <v>8</v>
      </c>
      <c r="D3981" s="12">
        <v>33.333333333333329</v>
      </c>
      <c r="E3981" s="12" t="s">
        <v>8219</v>
      </c>
      <c r="F3981" s="13">
        <v>6</v>
      </c>
      <c r="G3981" s="14">
        <v>1822.2400000000002</v>
      </c>
      <c r="H3981" t="s">
        <v>471</v>
      </c>
      <c r="I3981">
        <v>4</v>
      </c>
    </row>
    <row r="3982" spans="1:9" ht="15.6" x14ac:dyDescent="0.3">
      <c r="A3982" s="9">
        <v>3981</v>
      </c>
      <c r="B3982" s="2" t="s">
        <v>3987</v>
      </c>
      <c r="C3982" s="11">
        <v>10</v>
      </c>
      <c r="D3982" s="12">
        <v>16.666666666666664</v>
      </c>
      <c r="E3982" s="12" t="s">
        <v>8219</v>
      </c>
      <c r="F3982" s="13">
        <v>6</v>
      </c>
      <c r="G3982" s="14">
        <v>1806.2399999999998</v>
      </c>
      <c r="H3982" t="s">
        <v>3287</v>
      </c>
      <c r="I3982">
        <v>4</v>
      </c>
    </row>
    <row r="3983" spans="1:9" ht="15.6" x14ac:dyDescent="0.3">
      <c r="A3983" s="9">
        <v>3982</v>
      </c>
      <c r="B3983" s="2" t="s">
        <v>3988</v>
      </c>
      <c r="C3983" s="11">
        <v>8</v>
      </c>
      <c r="D3983" s="12">
        <v>33.333333333333329</v>
      </c>
      <c r="E3983" s="12" t="s">
        <v>8219</v>
      </c>
      <c r="F3983" s="13">
        <v>6</v>
      </c>
      <c r="G3983" s="14">
        <v>1782.21</v>
      </c>
      <c r="H3983" t="s">
        <v>2263</v>
      </c>
      <c r="I3983">
        <v>4</v>
      </c>
    </row>
    <row r="3984" spans="1:9" ht="15.6" x14ac:dyDescent="0.3">
      <c r="A3984" s="9">
        <v>3983</v>
      </c>
      <c r="B3984" s="2" t="s">
        <v>3989</v>
      </c>
      <c r="C3984" s="11">
        <v>8</v>
      </c>
      <c r="D3984" s="12">
        <v>33.333333333333329</v>
      </c>
      <c r="E3984" s="12" t="s">
        <v>8219</v>
      </c>
      <c r="F3984" s="13">
        <v>6</v>
      </c>
      <c r="G3984" s="14">
        <v>1822.2400000000002</v>
      </c>
      <c r="H3984" t="s">
        <v>1239</v>
      </c>
      <c r="I3984">
        <v>4</v>
      </c>
    </row>
    <row r="3985" spans="1:9" ht="15.6" x14ac:dyDescent="0.3">
      <c r="A3985" s="9">
        <v>3984</v>
      </c>
      <c r="B3985" s="2" t="s">
        <v>3990</v>
      </c>
      <c r="C3985" s="11">
        <v>2</v>
      </c>
      <c r="D3985" s="12">
        <v>16.666666666666664</v>
      </c>
      <c r="E3985" s="12" t="s">
        <v>8219</v>
      </c>
      <c r="F3985" s="13">
        <v>6</v>
      </c>
      <c r="G3985" s="14">
        <v>1797.2199999999998</v>
      </c>
      <c r="H3985" t="s">
        <v>215</v>
      </c>
      <c r="I3985">
        <v>3</v>
      </c>
    </row>
    <row r="3986" spans="1:9" ht="15.6" x14ac:dyDescent="0.3">
      <c r="A3986" s="9">
        <v>3985</v>
      </c>
      <c r="B3986" s="2" t="s">
        <v>3991</v>
      </c>
      <c r="C3986" s="11">
        <v>16</v>
      </c>
      <c r="D3986" s="12">
        <v>33.333333333333329</v>
      </c>
      <c r="E3986" s="12" t="s">
        <v>8219</v>
      </c>
      <c r="F3986" s="13">
        <v>6</v>
      </c>
      <c r="G3986" s="14">
        <v>1791.23</v>
      </c>
      <c r="H3986" t="s">
        <v>3991</v>
      </c>
      <c r="I3986">
        <v>5</v>
      </c>
    </row>
    <row r="3987" spans="1:9" ht="15.6" x14ac:dyDescent="0.3">
      <c r="A3987" s="9">
        <v>3986</v>
      </c>
      <c r="B3987" s="2" t="s">
        <v>3992</v>
      </c>
      <c r="C3987" s="11">
        <v>14</v>
      </c>
      <c r="D3987" s="12">
        <v>50</v>
      </c>
      <c r="E3987" s="12" t="s">
        <v>8220</v>
      </c>
      <c r="F3987" s="13">
        <v>6</v>
      </c>
      <c r="G3987" s="14">
        <v>1767.1999999999998</v>
      </c>
      <c r="H3987" t="s">
        <v>2967</v>
      </c>
      <c r="I3987">
        <v>5</v>
      </c>
    </row>
    <row r="3988" spans="1:9" ht="15.6" x14ac:dyDescent="0.3">
      <c r="A3988" s="9">
        <v>3987</v>
      </c>
      <c r="B3988" s="2" t="s">
        <v>3993</v>
      </c>
      <c r="C3988" s="11">
        <v>14</v>
      </c>
      <c r="D3988" s="12">
        <v>50</v>
      </c>
      <c r="E3988" s="12" t="s">
        <v>8220</v>
      </c>
      <c r="F3988" s="13">
        <v>6</v>
      </c>
      <c r="G3988" s="14">
        <v>1807.23</v>
      </c>
      <c r="H3988" t="s">
        <v>1943</v>
      </c>
      <c r="I3988">
        <v>5</v>
      </c>
    </row>
    <row r="3989" spans="1:9" ht="15.6" x14ac:dyDescent="0.3">
      <c r="A3989" s="9">
        <v>3988</v>
      </c>
      <c r="B3989" s="2" t="s">
        <v>3994</v>
      </c>
      <c r="C3989" s="11">
        <v>8</v>
      </c>
      <c r="D3989" s="12">
        <v>33.333333333333329</v>
      </c>
      <c r="E3989" s="12" t="s">
        <v>8219</v>
      </c>
      <c r="F3989" s="13">
        <v>6</v>
      </c>
      <c r="G3989" s="14">
        <v>1782.21</v>
      </c>
      <c r="H3989" t="s">
        <v>919</v>
      </c>
      <c r="I3989">
        <v>4</v>
      </c>
    </row>
    <row r="3990" spans="1:9" ht="15.6" x14ac:dyDescent="0.3">
      <c r="A3990" s="9">
        <v>3989</v>
      </c>
      <c r="B3990" s="2" t="s">
        <v>3995</v>
      </c>
      <c r="C3990" s="11">
        <v>14</v>
      </c>
      <c r="D3990" s="12">
        <v>50</v>
      </c>
      <c r="E3990" s="12" t="s">
        <v>8220</v>
      </c>
      <c r="F3990" s="13">
        <v>6</v>
      </c>
      <c r="G3990" s="14">
        <v>1767.1999999999998</v>
      </c>
      <c r="H3990" t="s">
        <v>3735</v>
      </c>
      <c r="I3990">
        <v>5</v>
      </c>
    </row>
    <row r="3991" spans="1:9" ht="15.6" x14ac:dyDescent="0.3">
      <c r="A3991" s="9">
        <v>3990</v>
      </c>
      <c r="B3991" s="2" t="s">
        <v>3996</v>
      </c>
      <c r="C3991" s="11">
        <v>12</v>
      </c>
      <c r="D3991" s="12">
        <v>66.666666666666657</v>
      </c>
      <c r="E3991" s="12" t="s">
        <v>8220</v>
      </c>
      <c r="F3991" s="13">
        <v>6</v>
      </c>
      <c r="G3991" s="14">
        <v>1743.17</v>
      </c>
      <c r="H3991" t="s">
        <v>2711</v>
      </c>
      <c r="I3991">
        <v>4</v>
      </c>
    </row>
    <row r="3992" spans="1:9" ht="15.6" x14ac:dyDescent="0.3">
      <c r="A3992" s="9">
        <v>3991</v>
      </c>
      <c r="B3992" s="2" t="s">
        <v>3997</v>
      </c>
      <c r="C3992" s="11">
        <v>12</v>
      </c>
      <c r="D3992" s="12">
        <v>66.666666666666657</v>
      </c>
      <c r="E3992" s="12" t="s">
        <v>8220</v>
      </c>
      <c r="F3992" s="13">
        <v>6</v>
      </c>
      <c r="G3992" s="14">
        <v>1783.1999999999998</v>
      </c>
      <c r="H3992" t="s">
        <v>1687</v>
      </c>
      <c r="I3992">
        <v>4</v>
      </c>
    </row>
    <row r="3993" spans="1:9" ht="15.6" x14ac:dyDescent="0.3">
      <c r="A3993" s="9">
        <v>3992</v>
      </c>
      <c r="B3993" s="2" t="s">
        <v>3998</v>
      </c>
      <c r="C3993" s="11">
        <v>6</v>
      </c>
      <c r="D3993" s="12">
        <v>50</v>
      </c>
      <c r="E3993" s="12" t="s">
        <v>8220</v>
      </c>
      <c r="F3993" s="13">
        <v>6</v>
      </c>
      <c r="G3993" s="14">
        <v>1758.1799999999998</v>
      </c>
      <c r="H3993" t="s">
        <v>663</v>
      </c>
      <c r="I3993">
        <v>3</v>
      </c>
    </row>
    <row r="3994" spans="1:9" ht="15.6" x14ac:dyDescent="0.3">
      <c r="A3994" s="9">
        <v>3993</v>
      </c>
      <c r="B3994" s="2" t="s">
        <v>3999</v>
      </c>
      <c r="C3994" s="11">
        <v>14</v>
      </c>
      <c r="D3994" s="12">
        <v>50</v>
      </c>
      <c r="E3994" s="12" t="s">
        <v>8220</v>
      </c>
      <c r="F3994" s="13">
        <v>6</v>
      </c>
      <c r="G3994" s="14">
        <v>1807.23</v>
      </c>
      <c r="H3994" t="s">
        <v>3479</v>
      </c>
      <c r="I3994">
        <v>5</v>
      </c>
    </row>
    <row r="3995" spans="1:9" ht="15.6" x14ac:dyDescent="0.3">
      <c r="A3995" s="9">
        <v>3994</v>
      </c>
      <c r="B3995" s="2" t="s">
        <v>4000</v>
      </c>
      <c r="C3995" s="11">
        <v>12</v>
      </c>
      <c r="D3995" s="12">
        <v>66.666666666666657</v>
      </c>
      <c r="E3995" s="12" t="s">
        <v>8220</v>
      </c>
      <c r="F3995" s="13">
        <v>6</v>
      </c>
      <c r="G3995" s="14">
        <v>1783.1999999999998</v>
      </c>
      <c r="H3995" t="s">
        <v>2455</v>
      </c>
      <c r="I3995">
        <v>4</v>
      </c>
    </row>
    <row r="3996" spans="1:9" ht="15.6" x14ac:dyDescent="0.3">
      <c r="A3996" s="9">
        <v>3995</v>
      </c>
      <c r="B3996" s="2" t="s">
        <v>4001</v>
      </c>
      <c r="C3996" s="11">
        <v>12</v>
      </c>
      <c r="D3996" s="12">
        <v>66.666666666666657</v>
      </c>
      <c r="E3996" s="12" t="s">
        <v>8220</v>
      </c>
      <c r="F3996" s="13">
        <v>6</v>
      </c>
      <c r="G3996" s="14">
        <v>1823.23</v>
      </c>
      <c r="H3996" t="s">
        <v>1431</v>
      </c>
      <c r="I3996">
        <v>4</v>
      </c>
    </row>
    <row r="3997" spans="1:9" ht="15.6" x14ac:dyDescent="0.3">
      <c r="A3997" s="9">
        <v>3996</v>
      </c>
      <c r="B3997" s="2" t="s">
        <v>4002</v>
      </c>
      <c r="C3997" s="11">
        <v>6</v>
      </c>
      <c r="D3997" s="12">
        <v>50</v>
      </c>
      <c r="E3997" s="12" t="s">
        <v>8220</v>
      </c>
      <c r="F3997" s="13">
        <v>6</v>
      </c>
      <c r="G3997" s="14">
        <v>1798.21</v>
      </c>
      <c r="H3997" t="s">
        <v>407</v>
      </c>
      <c r="I3997">
        <v>3</v>
      </c>
    </row>
    <row r="3998" spans="1:9" ht="15.6" x14ac:dyDescent="0.3">
      <c r="A3998" s="9">
        <v>3997</v>
      </c>
      <c r="B3998" s="2" t="s">
        <v>4003</v>
      </c>
      <c r="C3998" s="11">
        <v>8</v>
      </c>
      <c r="D3998" s="12">
        <v>33.333333333333329</v>
      </c>
      <c r="E3998" s="12" t="s">
        <v>8219</v>
      </c>
      <c r="F3998" s="13">
        <v>6</v>
      </c>
      <c r="G3998" s="14">
        <v>1782.21</v>
      </c>
      <c r="H3998" t="s">
        <v>3223</v>
      </c>
      <c r="I3998">
        <v>4</v>
      </c>
    </row>
    <row r="3999" spans="1:9" ht="15.6" x14ac:dyDescent="0.3">
      <c r="A3999" s="9">
        <v>3998</v>
      </c>
      <c r="B3999" s="2" t="s">
        <v>4004</v>
      </c>
      <c r="C3999" s="11">
        <v>6</v>
      </c>
      <c r="D3999" s="12">
        <v>50</v>
      </c>
      <c r="E3999" s="12" t="s">
        <v>8220</v>
      </c>
      <c r="F3999" s="13">
        <v>6</v>
      </c>
      <c r="G3999" s="14">
        <v>1758.1799999999998</v>
      </c>
      <c r="H3999" t="s">
        <v>2199</v>
      </c>
      <c r="I3999">
        <v>3</v>
      </c>
    </row>
    <row r="4000" spans="1:9" ht="15.6" x14ac:dyDescent="0.3">
      <c r="A4000" s="9">
        <v>3999</v>
      </c>
      <c r="B4000" s="2" t="s">
        <v>4005</v>
      </c>
      <c r="C4000" s="11">
        <v>6</v>
      </c>
      <c r="D4000" s="12">
        <v>50</v>
      </c>
      <c r="E4000" s="12" t="s">
        <v>8220</v>
      </c>
      <c r="F4000" s="13">
        <v>6</v>
      </c>
      <c r="G4000" s="14">
        <v>1798.21</v>
      </c>
      <c r="H4000" t="s">
        <v>1175</v>
      </c>
      <c r="I4000">
        <v>3</v>
      </c>
    </row>
    <row r="4001" spans="1:9" ht="15.6" x14ac:dyDescent="0.3">
      <c r="A4001" s="9">
        <v>4000</v>
      </c>
      <c r="B4001" s="2" t="s">
        <v>4006</v>
      </c>
      <c r="C4001" s="11">
        <v>0</v>
      </c>
      <c r="D4001" s="12">
        <v>33.333333333333329</v>
      </c>
      <c r="E4001" s="12" t="s">
        <v>8219</v>
      </c>
      <c r="F4001" s="13">
        <v>6</v>
      </c>
      <c r="G4001" s="14">
        <v>1773.19</v>
      </c>
      <c r="H4001" t="s">
        <v>151</v>
      </c>
      <c r="I4001">
        <v>2</v>
      </c>
    </row>
    <row r="4002" spans="1:9" ht="15.6" x14ac:dyDescent="0.3">
      <c r="A4002" s="9">
        <v>4001</v>
      </c>
      <c r="B4002" s="2" t="s">
        <v>4007</v>
      </c>
      <c r="C4002" s="11">
        <v>16</v>
      </c>
      <c r="D4002" s="12">
        <v>33.333333333333329</v>
      </c>
      <c r="E4002" s="12" t="s">
        <v>8219</v>
      </c>
      <c r="F4002" s="13">
        <v>6</v>
      </c>
      <c r="G4002" s="14">
        <v>1831.2600000000002</v>
      </c>
      <c r="H4002" t="s">
        <v>3927</v>
      </c>
      <c r="I4002">
        <v>5</v>
      </c>
    </row>
    <row r="4003" spans="1:9" ht="15.6" x14ac:dyDescent="0.3">
      <c r="A4003" s="9">
        <v>4002</v>
      </c>
      <c r="B4003" s="2" t="s">
        <v>4008</v>
      </c>
      <c r="C4003" s="11">
        <v>14</v>
      </c>
      <c r="D4003" s="12">
        <v>50</v>
      </c>
      <c r="E4003" s="12" t="s">
        <v>8220</v>
      </c>
      <c r="F4003" s="13">
        <v>6</v>
      </c>
      <c r="G4003" s="14">
        <v>1807.23</v>
      </c>
      <c r="H4003" t="s">
        <v>2903</v>
      </c>
      <c r="I4003">
        <v>5</v>
      </c>
    </row>
    <row r="4004" spans="1:9" ht="15.6" x14ac:dyDescent="0.3">
      <c r="A4004" s="9">
        <v>4003</v>
      </c>
      <c r="B4004" s="2" t="s">
        <v>4009</v>
      </c>
      <c r="C4004" s="11">
        <v>14</v>
      </c>
      <c r="D4004" s="12">
        <v>50</v>
      </c>
      <c r="E4004" s="12" t="s">
        <v>8220</v>
      </c>
      <c r="F4004" s="13">
        <v>6</v>
      </c>
      <c r="G4004" s="14">
        <v>1847.2600000000002</v>
      </c>
      <c r="H4004" t="s">
        <v>1879</v>
      </c>
      <c r="I4004">
        <v>5</v>
      </c>
    </row>
    <row r="4005" spans="1:9" ht="15.6" x14ac:dyDescent="0.3">
      <c r="A4005" s="9">
        <v>4004</v>
      </c>
      <c r="B4005" s="2" t="s">
        <v>4010</v>
      </c>
      <c r="C4005" s="11">
        <v>8</v>
      </c>
      <c r="D4005" s="12">
        <v>33.333333333333329</v>
      </c>
      <c r="E4005" s="12" t="s">
        <v>8219</v>
      </c>
      <c r="F4005" s="13">
        <v>6</v>
      </c>
      <c r="G4005" s="14">
        <v>1822.2400000000002</v>
      </c>
      <c r="H4005" t="s">
        <v>855</v>
      </c>
      <c r="I4005">
        <v>4</v>
      </c>
    </row>
    <row r="4006" spans="1:9" ht="15.6" x14ac:dyDescent="0.3">
      <c r="A4006" s="9">
        <v>4005</v>
      </c>
      <c r="B4006" s="2" t="s">
        <v>4011</v>
      </c>
      <c r="C4006" s="11">
        <v>14</v>
      </c>
      <c r="D4006" s="12">
        <v>50</v>
      </c>
      <c r="E4006" s="12" t="s">
        <v>8220</v>
      </c>
      <c r="F4006" s="13">
        <v>6</v>
      </c>
      <c r="G4006" s="14">
        <v>1807.23</v>
      </c>
      <c r="H4006" t="s">
        <v>3671</v>
      </c>
      <c r="I4006">
        <v>5</v>
      </c>
    </row>
    <row r="4007" spans="1:9" ht="15.6" x14ac:dyDescent="0.3">
      <c r="A4007" s="9">
        <v>4006</v>
      </c>
      <c r="B4007" s="2" t="s">
        <v>4012</v>
      </c>
      <c r="C4007" s="11">
        <v>12</v>
      </c>
      <c r="D4007" s="12">
        <v>66.666666666666657</v>
      </c>
      <c r="E4007" s="12" t="s">
        <v>8220</v>
      </c>
      <c r="F4007" s="13">
        <v>6</v>
      </c>
      <c r="G4007" s="14">
        <v>1783.1999999999998</v>
      </c>
      <c r="H4007" t="s">
        <v>2647</v>
      </c>
      <c r="I4007">
        <v>4</v>
      </c>
    </row>
    <row r="4008" spans="1:9" ht="15.6" x14ac:dyDescent="0.3">
      <c r="A4008" s="9">
        <v>4007</v>
      </c>
      <c r="B4008" s="2" t="s">
        <v>4013</v>
      </c>
      <c r="C4008" s="11">
        <v>12</v>
      </c>
      <c r="D4008" s="12">
        <v>66.666666666666657</v>
      </c>
      <c r="E4008" s="12" t="s">
        <v>8220</v>
      </c>
      <c r="F4008" s="13">
        <v>6</v>
      </c>
      <c r="G4008" s="14">
        <v>1823.23</v>
      </c>
      <c r="H4008" t="s">
        <v>1623</v>
      </c>
      <c r="I4008">
        <v>4</v>
      </c>
    </row>
    <row r="4009" spans="1:9" ht="15.6" x14ac:dyDescent="0.3">
      <c r="A4009" s="9">
        <v>4008</v>
      </c>
      <c r="B4009" s="2" t="s">
        <v>4014</v>
      </c>
      <c r="C4009" s="11">
        <v>6</v>
      </c>
      <c r="D4009" s="12">
        <v>50</v>
      </c>
      <c r="E4009" s="12" t="s">
        <v>8220</v>
      </c>
      <c r="F4009" s="13">
        <v>6</v>
      </c>
      <c r="G4009" s="14">
        <v>1798.21</v>
      </c>
      <c r="H4009" t="s">
        <v>599</v>
      </c>
      <c r="I4009">
        <v>3</v>
      </c>
    </row>
    <row r="4010" spans="1:9" ht="15.6" x14ac:dyDescent="0.3">
      <c r="A4010" s="9">
        <v>4009</v>
      </c>
      <c r="B4010" s="2" t="s">
        <v>4015</v>
      </c>
      <c r="C4010" s="11">
        <v>14</v>
      </c>
      <c r="D4010" s="12">
        <v>50</v>
      </c>
      <c r="E4010" s="12" t="s">
        <v>8220</v>
      </c>
      <c r="F4010" s="13">
        <v>6</v>
      </c>
      <c r="G4010" s="14">
        <v>1847.2600000000002</v>
      </c>
      <c r="H4010" t="s">
        <v>3415</v>
      </c>
      <c r="I4010">
        <v>5</v>
      </c>
    </row>
    <row r="4011" spans="1:9" ht="15.6" x14ac:dyDescent="0.3">
      <c r="A4011" s="9">
        <v>4010</v>
      </c>
      <c r="B4011" s="2" t="s">
        <v>4016</v>
      </c>
      <c r="C4011" s="11">
        <v>12</v>
      </c>
      <c r="D4011" s="12">
        <v>66.666666666666657</v>
      </c>
      <c r="E4011" s="12" t="s">
        <v>8220</v>
      </c>
      <c r="F4011" s="13">
        <v>6</v>
      </c>
      <c r="G4011" s="14">
        <v>1823.23</v>
      </c>
      <c r="H4011" t="s">
        <v>2391</v>
      </c>
      <c r="I4011">
        <v>4</v>
      </c>
    </row>
    <row r="4012" spans="1:9" ht="15.6" x14ac:dyDescent="0.3">
      <c r="A4012" s="9">
        <v>4011</v>
      </c>
      <c r="B4012" s="2" t="s">
        <v>4017</v>
      </c>
      <c r="C4012" s="11">
        <v>12</v>
      </c>
      <c r="D4012" s="12">
        <v>66.666666666666657</v>
      </c>
      <c r="E4012" s="12" t="s">
        <v>8220</v>
      </c>
      <c r="F4012" s="13">
        <v>6</v>
      </c>
      <c r="G4012" s="14">
        <v>1863.2600000000002</v>
      </c>
      <c r="H4012" t="s">
        <v>1367</v>
      </c>
      <c r="I4012">
        <v>4</v>
      </c>
    </row>
    <row r="4013" spans="1:9" ht="15.6" x14ac:dyDescent="0.3">
      <c r="A4013" s="9">
        <v>4012</v>
      </c>
      <c r="B4013" s="2" t="s">
        <v>4018</v>
      </c>
      <c r="C4013" s="11">
        <v>6</v>
      </c>
      <c r="D4013" s="12">
        <v>50</v>
      </c>
      <c r="E4013" s="12" t="s">
        <v>8220</v>
      </c>
      <c r="F4013" s="13">
        <v>6</v>
      </c>
      <c r="G4013" s="14">
        <v>1838.2400000000002</v>
      </c>
      <c r="H4013" t="s">
        <v>343</v>
      </c>
      <c r="I4013">
        <v>3</v>
      </c>
    </row>
    <row r="4014" spans="1:9" ht="15.6" x14ac:dyDescent="0.3">
      <c r="A4014" s="9">
        <v>4013</v>
      </c>
      <c r="B4014" s="2" t="s">
        <v>4019</v>
      </c>
      <c r="C4014" s="11">
        <v>8</v>
      </c>
      <c r="D4014" s="12">
        <v>33.333333333333329</v>
      </c>
      <c r="E4014" s="12" t="s">
        <v>8219</v>
      </c>
      <c r="F4014" s="13">
        <v>6</v>
      </c>
      <c r="G4014" s="14">
        <v>1822.2400000000002</v>
      </c>
      <c r="H4014" t="s">
        <v>3159</v>
      </c>
      <c r="I4014">
        <v>4</v>
      </c>
    </row>
    <row r="4015" spans="1:9" ht="15.6" x14ac:dyDescent="0.3">
      <c r="A4015" s="9">
        <v>4014</v>
      </c>
      <c r="B4015" s="2" t="s">
        <v>4020</v>
      </c>
      <c r="C4015" s="11">
        <v>6</v>
      </c>
      <c r="D4015" s="12">
        <v>50</v>
      </c>
      <c r="E4015" s="12" t="s">
        <v>8220</v>
      </c>
      <c r="F4015" s="13">
        <v>6</v>
      </c>
      <c r="G4015" s="14">
        <v>1798.21</v>
      </c>
      <c r="H4015" t="s">
        <v>2135</v>
      </c>
      <c r="I4015">
        <v>3</v>
      </c>
    </row>
    <row r="4016" spans="1:9" ht="15.6" x14ac:dyDescent="0.3">
      <c r="A4016" s="9">
        <v>4015</v>
      </c>
      <c r="B4016" s="2" t="s">
        <v>4021</v>
      </c>
      <c r="C4016" s="11">
        <v>6</v>
      </c>
      <c r="D4016" s="12">
        <v>50</v>
      </c>
      <c r="E4016" s="12" t="s">
        <v>8220</v>
      </c>
      <c r="F4016" s="13">
        <v>6</v>
      </c>
      <c r="G4016" s="14">
        <v>1838.2400000000002</v>
      </c>
      <c r="H4016" t="s">
        <v>1111</v>
      </c>
      <c r="I4016">
        <v>3</v>
      </c>
    </row>
    <row r="4017" spans="1:9" ht="15.6" x14ac:dyDescent="0.3">
      <c r="A4017" s="9">
        <v>4016</v>
      </c>
      <c r="B4017" s="2" t="s">
        <v>4022</v>
      </c>
      <c r="C4017" s="11">
        <v>0</v>
      </c>
      <c r="D4017" s="12">
        <v>33.333333333333329</v>
      </c>
      <c r="E4017" s="12" t="s">
        <v>8219</v>
      </c>
      <c r="F4017" s="13">
        <v>6</v>
      </c>
      <c r="G4017" s="14">
        <v>1813.2200000000003</v>
      </c>
      <c r="H4017" t="s">
        <v>87</v>
      </c>
      <c r="I4017">
        <v>2</v>
      </c>
    </row>
    <row r="4018" spans="1:9" ht="15.6" x14ac:dyDescent="0.3">
      <c r="A4018" s="9">
        <v>4017</v>
      </c>
      <c r="B4018" s="2" t="s">
        <v>4023</v>
      </c>
      <c r="C4018" s="11">
        <v>10</v>
      </c>
      <c r="D4018" s="12">
        <v>16.666666666666664</v>
      </c>
      <c r="E4018" s="12" t="s">
        <v>8219</v>
      </c>
      <c r="F4018" s="13">
        <v>6</v>
      </c>
      <c r="G4018" s="14">
        <v>1806.2399999999998</v>
      </c>
      <c r="H4018" t="s">
        <v>3863</v>
      </c>
      <c r="I4018">
        <v>4</v>
      </c>
    </row>
    <row r="4019" spans="1:9" ht="15.6" x14ac:dyDescent="0.3">
      <c r="A4019" s="9">
        <v>4018</v>
      </c>
      <c r="B4019" s="2" t="s">
        <v>4024</v>
      </c>
      <c r="C4019" s="11">
        <v>8</v>
      </c>
      <c r="D4019" s="12">
        <v>33.333333333333329</v>
      </c>
      <c r="E4019" s="12" t="s">
        <v>8219</v>
      </c>
      <c r="F4019" s="13">
        <v>6</v>
      </c>
      <c r="G4019" s="14">
        <v>1782.21</v>
      </c>
      <c r="H4019" t="s">
        <v>2839</v>
      </c>
      <c r="I4019">
        <v>4</v>
      </c>
    </row>
    <row r="4020" spans="1:9" ht="15.6" x14ac:dyDescent="0.3">
      <c r="A4020" s="9">
        <v>4019</v>
      </c>
      <c r="B4020" s="2" t="s">
        <v>4025</v>
      </c>
      <c r="C4020" s="11">
        <v>8</v>
      </c>
      <c r="D4020" s="12">
        <v>33.333333333333329</v>
      </c>
      <c r="E4020" s="12" t="s">
        <v>8219</v>
      </c>
      <c r="F4020" s="13">
        <v>6</v>
      </c>
      <c r="G4020" s="14">
        <v>1822.2400000000002</v>
      </c>
      <c r="H4020" t="s">
        <v>1815</v>
      </c>
      <c r="I4020">
        <v>4</v>
      </c>
    </row>
    <row r="4021" spans="1:9" ht="15.6" x14ac:dyDescent="0.3">
      <c r="A4021" s="9">
        <v>4020</v>
      </c>
      <c r="B4021" s="2" t="s">
        <v>4026</v>
      </c>
      <c r="C4021" s="11">
        <v>2</v>
      </c>
      <c r="D4021" s="12">
        <v>16.666666666666664</v>
      </c>
      <c r="E4021" s="12" t="s">
        <v>8219</v>
      </c>
      <c r="F4021" s="13">
        <v>6</v>
      </c>
      <c r="G4021" s="14">
        <v>1797.2199999999998</v>
      </c>
      <c r="H4021" t="s">
        <v>791</v>
      </c>
      <c r="I4021">
        <v>3</v>
      </c>
    </row>
    <row r="4022" spans="1:9" ht="15.6" x14ac:dyDescent="0.3">
      <c r="A4022" s="9">
        <v>4021</v>
      </c>
      <c r="B4022" s="2" t="s">
        <v>4027</v>
      </c>
      <c r="C4022" s="11">
        <v>8</v>
      </c>
      <c r="D4022" s="12">
        <v>33.333333333333329</v>
      </c>
      <c r="E4022" s="12" t="s">
        <v>8219</v>
      </c>
      <c r="F4022" s="13">
        <v>6</v>
      </c>
      <c r="G4022" s="14">
        <v>1782.21</v>
      </c>
      <c r="H4022" t="s">
        <v>3607</v>
      </c>
      <c r="I4022">
        <v>4</v>
      </c>
    </row>
    <row r="4023" spans="1:9" ht="15.6" x14ac:dyDescent="0.3">
      <c r="A4023" s="9">
        <v>4022</v>
      </c>
      <c r="B4023" s="2" t="s">
        <v>4028</v>
      </c>
      <c r="C4023" s="11">
        <v>6</v>
      </c>
      <c r="D4023" s="12">
        <v>50</v>
      </c>
      <c r="E4023" s="12" t="s">
        <v>8220</v>
      </c>
      <c r="F4023" s="13">
        <v>6</v>
      </c>
      <c r="G4023" s="14">
        <v>1758.1799999999998</v>
      </c>
      <c r="H4023" t="s">
        <v>2583</v>
      </c>
      <c r="I4023">
        <v>3</v>
      </c>
    </row>
    <row r="4024" spans="1:9" ht="15.6" x14ac:dyDescent="0.3">
      <c r="A4024" s="9">
        <v>4023</v>
      </c>
      <c r="B4024" s="2" t="s">
        <v>4029</v>
      </c>
      <c r="C4024" s="11">
        <v>6</v>
      </c>
      <c r="D4024" s="12">
        <v>50</v>
      </c>
      <c r="E4024" s="12" t="s">
        <v>8220</v>
      </c>
      <c r="F4024" s="13">
        <v>6</v>
      </c>
      <c r="G4024" s="14">
        <v>1798.21</v>
      </c>
      <c r="H4024" t="s">
        <v>1559</v>
      </c>
      <c r="I4024">
        <v>3</v>
      </c>
    </row>
    <row r="4025" spans="1:9" ht="15.6" x14ac:dyDescent="0.3">
      <c r="A4025" s="9">
        <v>4024</v>
      </c>
      <c r="B4025" s="2" t="s">
        <v>4030</v>
      </c>
      <c r="C4025" s="11">
        <v>0</v>
      </c>
      <c r="D4025" s="12">
        <v>33.333333333333329</v>
      </c>
      <c r="E4025" s="12" t="s">
        <v>8219</v>
      </c>
      <c r="F4025" s="13">
        <v>6</v>
      </c>
      <c r="G4025" s="14">
        <v>1773.19</v>
      </c>
      <c r="H4025" t="s">
        <v>535</v>
      </c>
      <c r="I4025">
        <v>2</v>
      </c>
    </row>
    <row r="4026" spans="1:9" ht="15.6" x14ac:dyDescent="0.3">
      <c r="A4026" s="9">
        <v>4025</v>
      </c>
      <c r="B4026" s="2" t="s">
        <v>4031</v>
      </c>
      <c r="C4026" s="11">
        <v>8</v>
      </c>
      <c r="D4026" s="12">
        <v>33.333333333333329</v>
      </c>
      <c r="E4026" s="12" t="s">
        <v>8219</v>
      </c>
      <c r="F4026" s="13">
        <v>6</v>
      </c>
      <c r="G4026" s="14">
        <v>1822.2400000000002</v>
      </c>
      <c r="H4026" t="s">
        <v>3351</v>
      </c>
      <c r="I4026">
        <v>4</v>
      </c>
    </row>
    <row r="4027" spans="1:9" ht="15.6" x14ac:dyDescent="0.3">
      <c r="A4027" s="9">
        <v>4026</v>
      </c>
      <c r="B4027" s="2" t="s">
        <v>4032</v>
      </c>
      <c r="C4027" s="11">
        <v>6</v>
      </c>
      <c r="D4027" s="12">
        <v>50</v>
      </c>
      <c r="E4027" s="12" t="s">
        <v>8220</v>
      </c>
      <c r="F4027" s="13">
        <v>6</v>
      </c>
      <c r="G4027" s="14">
        <v>1798.21</v>
      </c>
      <c r="H4027" t="s">
        <v>2327</v>
      </c>
      <c r="I4027">
        <v>3</v>
      </c>
    </row>
    <row r="4028" spans="1:9" ht="15.6" x14ac:dyDescent="0.3">
      <c r="A4028" s="9">
        <v>4027</v>
      </c>
      <c r="B4028" s="2" t="s">
        <v>4033</v>
      </c>
      <c r="C4028" s="11">
        <v>6</v>
      </c>
      <c r="D4028" s="12">
        <v>50</v>
      </c>
      <c r="E4028" s="12" t="s">
        <v>8220</v>
      </c>
      <c r="F4028" s="13">
        <v>6</v>
      </c>
      <c r="G4028" s="14">
        <v>1838.2400000000002</v>
      </c>
      <c r="H4028" t="s">
        <v>1303</v>
      </c>
      <c r="I4028">
        <v>3</v>
      </c>
    </row>
    <row r="4029" spans="1:9" ht="15.6" x14ac:dyDescent="0.3">
      <c r="A4029" s="9">
        <v>4028</v>
      </c>
      <c r="B4029" s="2" t="s">
        <v>4034</v>
      </c>
      <c r="C4029" s="11">
        <v>0</v>
      </c>
      <c r="D4029" s="12">
        <v>33.333333333333329</v>
      </c>
      <c r="E4029" s="12" t="s">
        <v>8219</v>
      </c>
      <c r="F4029" s="13">
        <v>6</v>
      </c>
      <c r="G4029" s="14">
        <v>1813.2200000000003</v>
      </c>
      <c r="H4029" t="s">
        <v>279</v>
      </c>
      <c r="I4029">
        <v>2</v>
      </c>
    </row>
    <row r="4030" spans="1:9" ht="15.6" x14ac:dyDescent="0.3">
      <c r="A4030" s="9">
        <v>4029</v>
      </c>
      <c r="B4030" s="2" t="s">
        <v>4035</v>
      </c>
      <c r="C4030" s="11">
        <v>2</v>
      </c>
      <c r="D4030" s="12">
        <v>16.666666666666664</v>
      </c>
      <c r="E4030" s="12" t="s">
        <v>8219</v>
      </c>
      <c r="F4030" s="13">
        <v>6</v>
      </c>
      <c r="G4030" s="14">
        <v>1797.2199999999998</v>
      </c>
      <c r="H4030" t="s">
        <v>3095</v>
      </c>
      <c r="I4030">
        <v>3</v>
      </c>
    </row>
    <row r="4031" spans="1:9" ht="15.6" x14ac:dyDescent="0.3">
      <c r="A4031" s="9">
        <v>4030</v>
      </c>
      <c r="B4031" s="2" t="s">
        <v>4036</v>
      </c>
      <c r="C4031" s="11">
        <v>0</v>
      </c>
      <c r="D4031" s="12">
        <v>33.333333333333329</v>
      </c>
      <c r="E4031" s="12" t="s">
        <v>8219</v>
      </c>
      <c r="F4031" s="13">
        <v>6</v>
      </c>
      <c r="G4031" s="14">
        <v>1773.19</v>
      </c>
      <c r="H4031" t="s">
        <v>2071</v>
      </c>
      <c r="I4031">
        <v>2</v>
      </c>
    </row>
    <row r="4032" spans="1:9" ht="15.6" x14ac:dyDescent="0.3">
      <c r="A4032" s="9">
        <v>4031</v>
      </c>
      <c r="B4032" s="2" t="s">
        <v>4037</v>
      </c>
      <c r="C4032" s="11">
        <v>0</v>
      </c>
      <c r="D4032" s="12">
        <v>33.333333333333329</v>
      </c>
      <c r="E4032" s="12" t="s">
        <v>8219</v>
      </c>
      <c r="F4032" s="13">
        <v>6</v>
      </c>
      <c r="G4032" s="14">
        <v>1813.2200000000003</v>
      </c>
      <c r="H4032" t="s">
        <v>1047</v>
      </c>
      <c r="I4032">
        <v>2</v>
      </c>
    </row>
    <row r="4033" spans="1:9" ht="15.6" x14ac:dyDescent="0.3">
      <c r="A4033" s="9">
        <v>4032</v>
      </c>
      <c r="B4033" s="2" t="s">
        <v>4038</v>
      </c>
      <c r="C4033" s="11">
        <v>-6</v>
      </c>
      <c r="D4033" s="12">
        <v>16.666666666666664</v>
      </c>
      <c r="E4033" s="12" t="s">
        <v>8219</v>
      </c>
      <c r="F4033" s="13">
        <v>6</v>
      </c>
      <c r="G4033" s="14">
        <v>1788.1999999999998</v>
      </c>
      <c r="H4033" t="s">
        <v>23</v>
      </c>
      <c r="I4033">
        <v>1</v>
      </c>
    </row>
    <row r="4034" spans="1:9" ht="15.6" x14ac:dyDescent="0.3">
      <c r="A4034" s="9">
        <v>4033</v>
      </c>
      <c r="B4034" s="2" t="s">
        <v>4039</v>
      </c>
      <c r="C4034" s="11">
        <v>12</v>
      </c>
      <c r="D4034" s="12">
        <v>0</v>
      </c>
      <c r="E4034" s="12" t="s">
        <v>8219</v>
      </c>
      <c r="F4034" s="13">
        <v>6</v>
      </c>
      <c r="G4034" s="14">
        <v>1790.2399999999998</v>
      </c>
      <c r="H4034" t="s">
        <v>4039</v>
      </c>
      <c r="I4034">
        <v>4</v>
      </c>
    </row>
    <row r="4035" spans="1:9" ht="15.6" x14ac:dyDescent="0.3">
      <c r="A4035" s="9">
        <v>4034</v>
      </c>
      <c r="B4035" s="2" t="s">
        <v>4040</v>
      </c>
      <c r="C4035" s="11">
        <v>10</v>
      </c>
      <c r="D4035" s="12">
        <v>16.666666666666664</v>
      </c>
      <c r="E4035" s="12" t="s">
        <v>8219</v>
      </c>
      <c r="F4035" s="13">
        <v>6</v>
      </c>
      <c r="G4035" s="14">
        <v>1766.21</v>
      </c>
      <c r="H4035" t="s">
        <v>3015</v>
      </c>
      <c r="I4035">
        <v>4</v>
      </c>
    </row>
    <row r="4036" spans="1:9" ht="15.6" x14ac:dyDescent="0.3">
      <c r="A4036" s="9">
        <v>4035</v>
      </c>
      <c r="B4036" s="2" t="s">
        <v>4041</v>
      </c>
      <c r="C4036" s="11">
        <v>10</v>
      </c>
      <c r="D4036" s="12">
        <v>16.666666666666664</v>
      </c>
      <c r="E4036" s="12" t="s">
        <v>8219</v>
      </c>
      <c r="F4036" s="13">
        <v>6</v>
      </c>
      <c r="G4036" s="14">
        <v>1806.2399999999998</v>
      </c>
      <c r="H4036" t="s">
        <v>1991</v>
      </c>
      <c r="I4036">
        <v>4</v>
      </c>
    </row>
    <row r="4037" spans="1:9" ht="15.6" x14ac:dyDescent="0.3">
      <c r="A4037" s="9">
        <v>4036</v>
      </c>
      <c r="B4037" s="2" t="s">
        <v>4042</v>
      </c>
      <c r="C4037" s="11">
        <v>4</v>
      </c>
      <c r="D4037" s="12">
        <v>0</v>
      </c>
      <c r="E4037" s="12" t="s">
        <v>8219</v>
      </c>
      <c r="F4037" s="13">
        <v>6</v>
      </c>
      <c r="G4037" s="14">
        <v>1781.2199999999998</v>
      </c>
      <c r="H4037" t="s">
        <v>967</v>
      </c>
      <c r="I4037">
        <v>3</v>
      </c>
    </row>
    <row r="4038" spans="1:9" ht="15.6" x14ac:dyDescent="0.3">
      <c r="A4038" s="9">
        <v>4037</v>
      </c>
      <c r="B4038" s="2" t="s">
        <v>4043</v>
      </c>
      <c r="C4038" s="11">
        <v>10</v>
      </c>
      <c r="D4038" s="12">
        <v>16.666666666666664</v>
      </c>
      <c r="E4038" s="12" t="s">
        <v>8219</v>
      </c>
      <c r="F4038" s="13">
        <v>6</v>
      </c>
      <c r="G4038" s="14">
        <v>1766.21</v>
      </c>
      <c r="H4038" t="s">
        <v>3783</v>
      </c>
      <c r="I4038">
        <v>4</v>
      </c>
    </row>
    <row r="4039" spans="1:9" ht="15.6" x14ac:dyDescent="0.3">
      <c r="A4039" s="9">
        <v>4038</v>
      </c>
      <c r="B4039" s="2" t="s">
        <v>4044</v>
      </c>
      <c r="C4039" s="11">
        <v>8</v>
      </c>
      <c r="D4039" s="12">
        <v>33.333333333333329</v>
      </c>
      <c r="E4039" s="12" t="s">
        <v>8219</v>
      </c>
      <c r="F4039" s="13">
        <v>6</v>
      </c>
      <c r="G4039" s="14">
        <v>1742.1799999999998</v>
      </c>
      <c r="H4039" t="s">
        <v>2759</v>
      </c>
      <c r="I4039">
        <v>4</v>
      </c>
    </row>
    <row r="4040" spans="1:9" ht="15.6" x14ac:dyDescent="0.3">
      <c r="A4040" s="9">
        <v>4039</v>
      </c>
      <c r="B4040" s="2" t="s">
        <v>4045</v>
      </c>
      <c r="C4040" s="11">
        <v>8</v>
      </c>
      <c r="D4040" s="12">
        <v>33.333333333333329</v>
      </c>
      <c r="E4040" s="12" t="s">
        <v>8219</v>
      </c>
      <c r="F4040" s="13">
        <v>6</v>
      </c>
      <c r="G4040" s="14">
        <v>1782.21</v>
      </c>
      <c r="H4040" t="s">
        <v>1735</v>
      </c>
      <c r="I4040">
        <v>4</v>
      </c>
    </row>
    <row r="4041" spans="1:9" ht="15.6" x14ac:dyDescent="0.3">
      <c r="A4041" s="9">
        <v>4040</v>
      </c>
      <c r="B4041" s="2" t="s">
        <v>4046</v>
      </c>
      <c r="C4041" s="11">
        <v>2</v>
      </c>
      <c r="D4041" s="12">
        <v>16.666666666666664</v>
      </c>
      <c r="E4041" s="12" t="s">
        <v>8219</v>
      </c>
      <c r="F4041" s="13">
        <v>6</v>
      </c>
      <c r="G4041" s="14">
        <v>1757.19</v>
      </c>
      <c r="H4041" t="s">
        <v>711</v>
      </c>
      <c r="I4041">
        <v>3</v>
      </c>
    </row>
    <row r="4042" spans="1:9" ht="15.6" x14ac:dyDescent="0.3">
      <c r="A4042" s="9">
        <v>4041</v>
      </c>
      <c r="B4042" s="2" t="s">
        <v>4047</v>
      </c>
      <c r="C4042" s="11">
        <v>10</v>
      </c>
      <c r="D4042" s="12">
        <v>16.666666666666664</v>
      </c>
      <c r="E4042" s="12" t="s">
        <v>8219</v>
      </c>
      <c r="F4042" s="13">
        <v>6</v>
      </c>
      <c r="G4042" s="14">
        <v>1806.2399999999998</v>
      </c>
      <c r="H4042" t="s">
        <v>3527</v>
      </c>
      <c r="I4042">
        <v>4</v>
      </c>
    </row>
    <row r="4043" spans="1:9" ht="15.6" x14ac:dyDescent="0.3">
      <c r="A4043" s="9">
        <v>4042</v>
      </c>
      <c r="B4043" s="2" t="s">
        <v>4048</v>
      </c>
      <c r="C4043" s="11">
        <v>8</v>
      </c>
      <c r="D4043" s="12">
        <v>33.333333333333329</v>
      </c>
      <c r="E4043" s="12" t="s">
        <v>8219</v>
      </c>
      <c r="F4043" s="13">
        <v>6</v>
      </c>
      <c r="G4043" s="14">
        <v>1782.21</v>
      </c>
      <c r="H4043" t="s">
        <v>2503</v>
      </c>
      <c r="I4043">
        <v>4</v>
      </c>
    </row>
    <row r="4044" spans="1:9" ht="15.6" x14ac:dyDescent="0.3">
      <c r="A4044" s="9">
        <v>4043</v>
      </c>
      <c r="B4044" s="2" t="s">
        <v>4049</v>
      </c>
      <c r="C4044" s="11">
        <v>8</v>
      </c>
      <c r="D4044" s="12">
        <v>33.333333333333329</v>
      </c>
      <c r="E4044" s="12" t="s">
        <v>8219</v>
      </c>
      <c r="F4044" s="13">
        <v>6</v>
      </c>
      <c r="G4044" s="14">
        <v>1822.2400000000002</v>
      </c>
      <c r="H4044" t="s">
        <v>1479</v>
      </c>
      <c r="I4044">
        <v>4</v>
      </c>
    </row>
    <row r="4045" spans="1:9" ht="15.6" x14ac:dyDescent="0.3">
      <c r="A4045" s="9">
        <v>4044</v>
      </c>
      <c r="B4045" s="2" t="s">
        <v>4050</v>
      </c>
      <c r="C4045" s="11">
        <v>2</v>
      </c>
      <c r="D4045" s="12">
        <v>16.666666666666664</v>
      </c>
      <c r="E4045" s="12" t="s">
        <v>8219</v>
      </c>
      <c r="F4045" s="13">
        <v>6</v>
      </c>
      <c r="G4045" s="14">
        <v>1797.2199999999998</v>
      </c>
      <c r="H4045" t="s">
        <v>455</v>
      </c>
      <c r="I4045">
        <v>3</v>
      </c>
    </row>
    <row r="4046" spans="1:9" ht="15.6" x14ac:dyDescent="0.3">
      <c r="A4046" s="9">
        <v>4045</v>
      </c>
      <c r="B4046" s="2" t="s">
        <v>4051</v>
      </c>
      <c r="C4046" s="11">
        <v>4</v>
      </c>
      <c r="D4046" s="12">
        <v>0</v>
      </c>
      <c r="E4046" s="12" t="s">
        <v>8219</v>
      </c>
      <c r="F4046" s="13">
        <v>6</v>
      </c>
      <c r="G4046" s="14">
        <v>1781.2199999999998</v>
      </c>
      <c r="H4046" t="s">
        <v>3271</v>
      </c>
      <c r="I4046">
        <v>3</v>
      </c>
    </row>
    <row r="4047" spans="1:9" ht="15.6" x14ac:dyDescent="0.3">
      <c r="A4047" s="9">
        <v>4046</v>
      </c>
      <c r="B4047" s="2" t="s">
        <v>4052</v>
      </c>
      <c r="C4047" s="11">
        <v>2</v>
      </c>
      <c r="D4047" s="12">
        <v>16.666666666666664</v>
      </c>
      <c r="E4047" s="12" t="s">
        <v>8219</v>
      </c>
      <c r="F4047" s="13">
        <v>6</v>
      </c>
      <c r="G4047" s="14">
        <v>1757.19</v>
      </c>
      <c r="H4047" t="s">
        <v>2247</v>
      </c>
      <c r="I4047">
        <v>3</v>
      </c>
    </row>
    <row r="4048" spans="1:9" ht="15.6" x14ac:dyDescent="0.3">
      <c r="A4048" s="9">
        <v>4047</v>
      </c>
      <c r="B4048" s="2" t="s">
        <v>4053</v>
      </c>
      <c r="C4048" s="11">
        <v>2</v>
      </c>
      <c r="D4048" s="12">
        <v>16.666666666666664</v>
      </c>
      <c r="E4048" s="12" t="s">
        <v>8219</v>
      </c>
      <c r="F4048" s="13">
        <v>6</v>
      </c>
      <c r="G4048" s="14">
        <v>1797.2199999999998</v>
      </c>
      <c r="H4048" t="s">
        <v>1223</v>
      </c>
      <c r="I4048">
        <v>3</v>
      </c>
    </row>
    <row r="4049" spans="1:9" ht="15.6" x14ac:dyDescent="0.3">
      <c r="A4049" s="9">
        <v>4048</v>
      </c>
      <c r="B4049" s="2" t="s">
        <v>4054</v>
      </c>
      <c r="C4049" s="11">
        <v>-4</v>
      </c>
      <c r="D4049" s="12">
        <v>0</v>
      </c>
      <c r="E4049" s="12" t="s">
        <v>8219</v>
      </c>
      <c r="F4049" s="13">
        <v>6</v>
      </c>
      <c r="G4049" s="14">
        <v>1772.1999999999998</v>
      </c>
      <c r="H4049" t="s">
        <v>199</v>
      </c>
      <c r="I4049">
        <v>2</v>
      </c>
    </row>
    <row r="4050" spans="1:9" ht="15.6" x14ac:dyDescent="0.3">
      <c r="A4050" s="9">
        <v>4049</v>
      </c>
      <c r="B4050" s="2" t="s">
        <v>4055</v>
      </c>
      <c r="C4050" s="11">
        <v>10</v>
      </c>
      <c r="D4050" s="12">
        <v>16.666666666666664</v>
      </c>
      <c r="E4050" s="12" t="s">
        <v>8219</v>
      </c>
      <c r="F4050" s="13">
        <v>6</v>
      </c>
      <c r="G4050" s="14">
        <v>1766.21</v>
      </c>
      <c r="H4050" t="s">
        <v>3975</v>
      </c>
      <c r="I4050">
        <v>4</v>
      </c>
    </row>
    <row r="4051" spans="1:9" ht="15.6" x14ac:dyDescent="0.3">
      <c r="A4051" s="9">
        <v>4050</v>
      </c>
      <c r="B4051" s="2" t="s">
        <v>4056</v>
      </c>
      <c r="C4051" s="11">
        <v>8</v>
      </c>
      <c r="D4051" s="12">
        <v>33.333333333333329</v>
      </c>
      <c r="E4051" s="12" t="s">
        <v>8219</v>
      </c>
      <c r="F4051" s="13">
        <v>6</v>
      </c>
      <c r="G4051" s="14">
        <v>1742.1799999999998</v>
      </c>
      <c r="H4051" t="s">
        <v>2951</v>
      </c>
      <c r="I4051">
        <v>4</v>
      </c>
    </row>
    <row r="4052" spans="1:9" ht="15.6" x14ac:dyDescent="0.3">
      <c r="A4052" s="9">
        <v>4051</v>
      </c>
      <c r="B4052" s="2" t="s">
        <v>4057</v>
      </c>
      <c r="C4052" s="11">
        <v>8</v>
      </c>
      <c r="D4052" s="12">
        <v>33.333333333333329</v>
      </c>
      <c r="E4052" s="12" t="s">
        <v>8219</v>
      </c>
      <c r="F4052" s="13">
        <v>6</v>
      </c>
      <c r="G4052" s="14">
        <v>1782.21</v>
      </c>
      <c r="H4052" t="s">
        <v>1927</v>
      </c>
      <c r="I4052">
        <v>4</v>
      </c>
    </row>
    <row r="4053" spans="1:9" ht="15.6" x14ac:dyDescent="0.3">
      <c r="A4053" s="9">
        <v>4052</v>
      </c>
      <c r="B4053" s="2" t="s">
        <v>4058</v>
      </c>
      <c r="C4053" s="11">
        <v>2</v>
      </c>
      <c r="D4053" s="12">
        <v>16.666666666666664</v>
      </c>
      <c r="E4053" s="12" t="s">
        <v>8219</v>
      </c>
      <c r="F4053" s="13">
        <v>6</v>
      </c>
      <c r="G4053" s="14">
        <v>1757.19</v>
      </c>
      <c r="H4053" t="s">
        <v>903</v>
      </c>
      <c r="I4053">
        <v>3</v>
      </c>
    </row>
    <row r="4054" spans="1:9" ht="15.6" x14ac:dyDescent="0.3">
      <c r="A4054" s="9">
        <v>4053</v>
      </c>
      <c r="B4054" s="2" t="s">
        <v>4059</v>
      </c>
      <c r="C4054" s="11">
        <v>8</v>
      </c>
      <c r="D4054" s="12">
        <v>33.333333333333329</v>
      </c>
      <c r="E4054" s="12" t="s">
        <v>8219</v>
      </c>
      <c r="F4054" s="13">
        <v>6</v>
      </c>
      <c r="G4054" s="14">
        <v>1742.1799999999998</v>
      </c>
      <c r="H4054" t="s">
        <v>3719</v>
      </c>
      <c r="I4054">
        <v>4</v>
      </c>
    </row>
    <row r="4055" spans="1:9" ht="15.6" x14ac:dyDescent="0.3">
      <c r="A4055" s="9">
        <v>4054</v>
      </c>
      <c r="B4055" s="2" t="s">
        <v>4060</v>
      </c>
      <c r="C4055" s="11">
        <v>6</v>
      </c>
      <c r="D4055" s="12">
        <v>50</v>
      </c>
      <c r="E4055" s="12" t="s">
        <v>8220</v>
      </c>
      <c r="F4055" s="13">
        <v>6</v>
      </c>
      <c r="G4055" s="14">
        <v>1718.15</v>
      </c>
      <c r="H4055" t="s">
        <v>2695</v>
      </c>
      <c r="I4055">
        <v>3</v>
      </c>
    </row>
    <row r="4056" spans="1:9" ht="15.6" x14ac:dyDescent="0.3">
      <c r="A4056" s="9">
        <v>4055</v>
      </c>
      <c r="B4056" s="2" t="s">
        <v>4061</v>
      </c>
      <c r="C4056" s="11">
        <v>6</v>
      </c>
      <c r="D4056" s="12">
        <v>50</v>
      </c>
      <c r="E4056" s="12" t="s">
        <v>8220</v>
      </c>
      <c r="F4056" s="13">
        <v>6</v>
      </c>
      <c r="G4056" s="14">
        <v>1758.1799999999998</v>
      </c>
      <c r="H4056" t="s">
        <v>1671</v>
      </c>
      <c r="I4056">
        <v>3</v>
      </c>
    </row>
    <row r="4057" spans="1:9" ht="15.6" x14ac:dyDescent="0.3">
      <c r="A4057" s="9">
        <v>4056</v>
      </c>
      <c r="B4057" s="2" t="s">
        <v>4062</v>
      </c>
      <c r="C4057" s="11">
        <v>0</v>
      </c>
      <c r="D4057" s="12">
        <v>33.333333333333329</v>
      </c>
      <c r="E4057" s="12" t="s">
        <v>8219</v>
      </c>
      <c r="F4057" s="13">
        <v>6</v>
      </c>
      <c r="G4057" s="14">
        <v>1733.1599999999999</v>
      </c>
      <c r="H4057" t="s">
        <v>647</v>
      </c>
      <c r="I4057">
        <v>2</v>
      </c>
    </row>
    <row r="4058" spans="1:9" ht="15.6" x14ac:dyDescent="0.3">
      <c r="A4058" s="9">
        <v>4057</v>
      </c>
      <c r="B4058" s="2" t="s">
        <v>4063</v>
      </c>
      <c r="C4058" s="11">
        <v>8</v>
      </c>
      <c r="D4058" s="12">
        <v>33.333333333333329</v>
      </c>
      <c r="E4058" s="12" t="s">
        <v>8219</v>
      </c>
      <c r="F4058" s="13">
        <v>6</v>
      </c>
      <c r="G4058" s="14">
        <v>1782.21</v>
      </c>
      <c r="H4058" t="s">
        <v>3463</v>
      </c>
      <c r="I4058">
        <v>4</v>
      </c>
    </row>
    <row r="4059" spans="1:9" ht="15.6" x14ac:dyDescent="0.3">
      <c r="A4059" s="9">
        <v>4058</v>
      </c>
      <c r="B4059" s="2" t="s">
        <v>4064</v>
      </c>
      <c r="C4059" s="11">
        <v>6</v>
      </c>
      <c r="D4059" s="12">
        <v>50</v>
      </c>
      <c r="E4059" s="12" t="s">
        <v>8220</v>
      </c>
      <c r="F4059" s="13">
        <v>6</v>
      </c>
      <c r="G4059" s="14">
        <v>1758.1799999999998</v>
      </c>
      <c r="H4059" t="s">
        <v>2439</v>
      </c>
      <c r="I4059">
        <v>3</v>
      </c>
    </row>
    <row r="4060" spans="1:9" ht="15.6" x14ac:dyDescent="0.3">
      <c r="A4060" s="9">
        <v>4059</v>
      </c>
      <c r="B4060" s="2" t="s">
        <v>4065</v>
      </c>
      <c r="C4060" s="11">
        <v>6</v>
      </c>
      <c r="D4060" s="12">
        <v>50</v>
      </c>
      <c r="E4060" s="12" t="s">
        <v>8220</v>
      </c>
      <c r="F4060" s="13">
        <v>6</v>
      </c>
      <c r="G4060" s="14">
        <v>1798.21</v>
      </c>
      <c r="H4060" t="s">
        <v>1415</v>
      </c>
      <c r="I4060">
        <v>3</v>
      </c>
    </row>
    <row r="4061" spans="1:9" ht="15.6" x14ac:dyDescent="0.3">
      <c r="A4061" s="9">
        <v>4060</v>
      </c>
      <c r="B4061" s="2" t="s">
        <v>4066</v>
      </c>
      <c r="C4061" s="11">
        <v>0</v>
      </c>
      <c r="D4061" s="12">
        <v>33.333333333333329</v>
      </c>
      <c r="E4061" s="12" t="s">
        <v>8219</v>
      </c>
      <c r="F4061" s="13">
        <v>6</v>
      </c>
      <c r="G4061" s="14">
        <v>1773.19</v>
      </c>
      <c r="H4061" t="s">
        <v>391</v>
      </c>
      <c r="I4061">
        <v>2</v>
      </c>
    </row>
    <row r="4062" spans="1:9" ht="15.6" x14ac:dyDescent="0.3">
      <c r="A4062" s="9">
        <v>4061</v>
      </c>
      <c r="B4062" s="2" t="s">
        <v>4067</v>
      </c>
      <c r="C4062" s="11">
        <v>2</v>
      </c>
      <c r="D4062" s="12">
        <v>16.666666666666664</v>
      </c>
      <c r="E4062" s="12" t="s">
        <v>8219</v>
      </c>
      <c r="F4062" s="13">
        <v>6</v>
      </c>
      <c r="G4062" s="14">
        <v>1757.19</v>
      </c>
      <c r="H4062" t="s">
        <v>3207</v>
      </c>
      <c r="I4062">
        <v>3</v>
      </c>
    </row>
    <row r="4063" spans="1:9" ht="15.6" x14ac:dyDescent="0.3">
      <c r="A4063" s="9">
        <v>4062</v>
      </c>
      <c r="B4063" s="2" t="s">
        <v>4068</v>
      </c>
      <c r="C4063" s="11">
        <v>0</v>
      </c>
      <c r="D4063" s="12">
        <v>33.333333333333329</v>
      </c>
      <c r="E4063" s="12" t="s">
        <v>8219</v>
      </c>
      <c r="F4063" s="13">
        <v>6</v>
      </c>
      <c r="G4063" s="14">
        <v>1733.1599999999999</v>
      </c>
      <c r="H4063" t="s">
        <v>2183</v>
      </c>
      <c r="I4063">
        <v>2</v>
      </c>
    </row>
    <row r="4064" spans="1:9" ht="15.6" x14ac:dyDescent="0.3">
      <c r="A4064" s="9">
        <v>4063</v>
      </c>
      <c r="B4064" s="2" t="s">
        <v>4069</v>
      </c>
      <c r="C4064" s="11">
        <v>0</v>
      </c>
      <c r="D4064" s="12">
        <v>33.333333333333329</v>
      </c>
      <c r="E4064" s="12" t="s">
        <v>8219</v>
      </c>
      <c r="F4064" s="13">
        <v>6</v>
      </c>
      <c r="G4064" s="14">
        <v>1773.19</v>
      </c>
      <c r="H4064" t="s">
        <v>1159</v>
      </c>
      <c r="I4064">
        <v>2</v>
      </c>
    </row>
    <row r="4065" spans="1:9" ht="15.6" x14ac:dyDescent="0.3">
      <c r="A4065" s="9">
        <v>4064</v>
      </c>
      <c r="B4065" s="2" t="s">
        <v>4070</v>
      </c>
      <c r="C4065" s="11">
        <v>-6</v>
      </c>
      <c r="D4065" s="12">
        <v>16.666666666666664</v>
      </c>
      <c r="E4065" s="12" t="s">
        <v>8219</v>
      </c>
      <c r="F4065" s="13">
        <v>6</v>
      </c>
      <c r="G4065" s="14">
        <v>1748.17</v>
      </c>
      <c r="H4065" t="s">
        <v>135</v>
      </c>
      <c r="I4065">
        <v>1</v>
      </c>
    </row>
    <row r="4066" spans="1:9" ht="15.6" x14ac:dyDescent="0.3">
      <c r="A4066" s="9">
        <v>4065</v>
      </c>
      <c r="B4066" s="2" t="s">
        <v>4071</v>
      </c>
      <c r="C4066" s="11">
        <v>10</v>
      </c>
      <c r="D4066" s="12">
        <v>16.666666666666664</v>
      </c>
      <c r="E4066" s="12" t="s">
        <v>8219</v>
      </c>
      <c r="F4066" s="13">
        <v>6</v>
      </c>
      <c r="G4066" s="14">
        <v>1806.2399999999998</v>
      </c>
      <c r="H4066" t="s">
        <v>3911</v>
      </c>
      <c r="I4066">
        <v>4</v>
      </c>
    </row>
    <row r="4067" spans="1:9" ht="15.6" x14ac:dyDescent="0.3">
      <c r="A4067" s="9">
        <v>4066</v>
      </c>
      <c r="B4067" s="2" t="s">
        <v>4072</v>
      </c>
      <c r="C4067" s="11">
        <v>8</v>
      </c>
      <c r="D4067" s="12">
        <v>33.333333333333329</v>
      </c>
      <c r="E4067" s="12" t="s">
        <v>8219</v>
      </c>
      <c r="F4067" s="13">
        <v>6</v>
      </c>
      <c r="G4067" s="14">
        <v>1782.21</v>
      </c>
      <c r="H4067" t="s">
        <v>2887</v>
      </c>
      <c r="I4067">
        <v>4</v>
      </c>
    </row>
    <row r="4068" spans="1:9" ht="15.6" x14ac:dyDescent="0.3">
      <c r="A4068" s="9">
        <v>4067</v>
      </c>
      <c r="B4068" s="2" t="s">
        <v>4073</v>
      </c>
      <c r="C4068" s="11">
        <v>8</v>
      </c>
      <c r="D4068" s="12">
        <v>33.333333333333329</v>
      </c>
      <c r="E4068" s="12" t="s">
        <v>8219</v>
      </c>
      <c r="F4068" s="13">
        <v>6</v>
      </c>
      <c r="G4068" s="14">
        <v>1822.2400000000002</v>
      </c>
      <c r="H4068" t="s">
        <v>1863</v>
      </c>
      <c r="I4068">
        <v>4</v>
      </c>
    </row>
    <row r="4069" spans="1:9" ht="15.6" x14ac:dyDescent="0.3">
      <c r="A4069" s="9">
        <v>4068</v>
      </c>
      <c r="B4069" s="2" t="s">
        <v>4074</v>
      </c>
      <c r="C4069" s="11">
        <v>2</v>
      </c>
      <c r="D4069" s="12">
        <v>16.666666666666664</v>
      </c>
      <c r="E4069" s="12" t="s">
        <v>8219</v>
      </c>
      <c r="F4069" s="13">
        <v>6</v>
      </c>
      <c r="G4069" s="14">
        <v>1797.2199999999998</v>
      </c>
      <c r="H4069" t="s">
        <v>839</v>
      </c>
      <c r="I4069">
        <v>3</v>
      </c>
    </row>
    <row r="4070" spans="1:9" ht="15.6" x14ac:dyDescent="0.3">
      <c r="A4070" s="9">
        <v>4069</v>
      </c>
      <c r="B4070" s="2" t="s">
        <v>4075</v>
      </c>
      <c r="C4070" s="11">
        <v>8</v>
      </c>
      <c r="D4070" s="12">
        <v>33.333333333333329</v>
      </c>
      <c r="E4070" s="12" t="s">
        <v>8219</v>
      </c>
      <c r="F4070" s="13">
        <v>6</v>
      </c>
      <c r="G4070" s="14">
        <v>1782.21</v>
      </c>
      <c r="H4070" t="s">
        <v>3655</v>
      </c>
      <c r="I4070">
        <v>4</v>
      </c>
    </row>
    <row r="4071" spans="1:9" ht="15.6" x14ac:dyDescent="0.3">
      <c r="A4071" s="9">
        <v>4070</v>
      </c>
      <c r="B4071" s="2" t="s">
        <v>4076</v>
      </c>
      <c r="C4071" s="11">
        <v>6</v>
      </c>
      <c r="D4071" s="12">
        <v>50</v>
      </c>
      <c r="E4071" s="12" t="s">
        <v>8220</v>
      </c>
      <c r="F4071" s="13">
        <v>6</v>
      </c>
      <c r="G4071" s="14">
        <v>1758.1799999999998</v>
      </c>
      <c r="H4071" t="s">
        <v>2631</v>
      </c>
      <c r="I4071">
        <v>3</v>
      </c>
    </row>
    <row r="4072" spans="1:9" ht="15.6" x14ac:dyDescent="0.3">
      <c r="A4072" s="9">
        <v>4071</v>
      </c>
      <c r="B4072" s="2" t="s">
        <v>4077</v>
      </c>
      <c r="C4072" s="11">
        <v>6</v>
      </c>
      <c r="D4072" s="12">
        <v>50</v>
      </c>
      <c r="E4072" s="12" t="s">
        <v>8220</v>
      </c>
      <c r="F4072" s="13">
        <v>6</v>
      </c>
      <c r="G4072" s="14">
        <v>1798.21</v>
      </c>
      <c r="H4072" t="s">
        <v>1607</v>
      </c>
      <c r="I4072">
        <v>3</v>
      </c>
    </row>
    <row r="4073" spans="1:9" ht="15.6" x14ac:dyDescent="0.3">
      <c r="A4073" s="9">
        <v>4072</v>
      </c>
      <c r="B4073" s="2" t="s">
        <v>4078</v>
      </c>
      <c r="C4073" s="11">
        <v>0</v>
      </c>
      <c r="D4073" s="12">
        <v>33.333333333333329</v>
      </c>
      <c r="E4073" s="12" t="s">
        <v>8219</v>
      </c>
      <c r="F4073" s="13">
        <v>6</v>
      </c>
      <c r="G4073" s="14">
        <v>1773.19</v>
      </c>
      <c r="H4073" t="s">
        <v>583</v>
      </c>
      <c r="I4073">
        <v>2</v>
      </c>
    </row>
    <row r="4074" spans="1:9" ht="15.6" x14ac:dyDescent="0.3">
      <c r="A4074" s="9">
        <v>4073</v>
      </c>
      <c r="B4074" s="2" t="s">
        <v>4079</v>
      </c>
      <c r="C4074" s="11">
        <v>8</v>
      </c>
      <c r="D4074" s="12">
        <v>33.333333333333329</v>
      </c>
      <c r="E4074" s="12" t="s">
        <v>8219</v>
      </c>
      <c r="F4074" s="13">
        <v>6</v>
      </c>
      <c r="G4074" s="14">
        <v>1822.2400000000002</v>
      </c>
      <c r="H4074" t="s">
        <v>3399</v>
      </c>
      <c r="I4074">
        <v>4</v>
      </c>
    </row>
    <row r="4075" spans="1:9" ht="15.6" x14ac:dyDescent="0.3">
      <c r="A4075" s="9">
        <v>4074</v>
      </c>
      <c r="B4075" s="2" t="s">
        <v>4080</v>
      </c>
      <c r="C4075" s="11">
        <v>6</v>
      </c>
      <c r="D4075" s="12">
        <v>50</v>
      </c>
      <c r="E4075" s="12" t="s">
        <v>8220</v>
      </c>
      <c r="F4075" s="13">
        <v>6</v>
      </c>
      <c r="G4075" s="14">
        <v>1798.21</v>
      </c>
      <c r="H4075" t="s">
        <v>2375</v>
      </c>
      <c r="I4075">
        <v>3</v>
      </c>
    </row>
    <row r="4076" spans="1:9" ht="15.6" x14ac:dyDescent="0.3">
      <c r="A4076" s="9">
        <v>4075</v>
      </c>
      <c r="B4076" s="2" t="s">
        <v>4081</v>
      </c>
      <c r="C4076" s="11">
        <v>6</v>
      </c>
      <c r="D4076" s="12">
        <v>50</v>
      </c>
      <c r="E4076" s="12" t="s">
        <v>8220</v>
      </c>
      <c r="F4076" s="13">
        <v>6</v>
      </c>
      <c r="G4076" s="14">
        <v>1838.2400000000002</v>
      </c>
      <c r="H4076" t="s">
        <v>1351</v>
      </c>
      <c r="I4076">
        <v>3</v>
      </c>
    </row>
    <row r="4077" spans="1:9" ht="15.6" x14ac:dyDescent="0.3">
      <c r="A4077" s="9">
        <v>4076</v>
      </c>
      <c r="B4077" s="2" t="s">
        <v>4082</v>
      </c>
      <c r="C4077" s="11">
        <v>0</v>
      </c>
      <c r="D4077" s="12">
        <v>33.333333333333329</v>
      </c>
      <c r="E4077" s="12" t="s">
        <v>8219</v>
      </c>
      <c r="F4077" s="13">
        <v>6</v>
      </c>
      <c r="G4077" s="14">
        <v>1813.2200000000003</v>
      </c>
      <c r="H4077" t="s">
        <v>327</v>
      </c>
      <c r="I4077">
        <v>2</v>
      </c>
    </row>
    <row r="4078" spans="1:9" ht="15.6" x14ac:dyDescent="0.3">
      <c r="A4078" s="9">
        <v>4077</v>
      </c>
      <c r="B4078" s="2" t="s">
        <v>4083</v>
      </c>
      <c r="C4078" s="11">
        <v>2</v>
      </c>
      <c r="D4078" s="12">
        <v>16.666666666666664</v>
      </c>
      <c r="E4078" s="12" t="s">
        <v>8219</v>
      </c>
      <c r="F4078" s="13">
        <v>6</v>
      </c>
      <c r="G4078" s="14">
        <v>1797.2199999999998</v>
      </c>
      <c r="H4078" t="s">
        <v>3143</v>
      </c>
      <c r="I4078">
        <v>3</v>
      </c>
    </row>
    <row r="4079" spans="1:9" ht="15.6" x14ac:dyDescent="0.3">
      <c r="A4079" s="9">
        <v>4078</v>
      </c>
      <c r="B4079" s="2" t="s">
        <v>4084</v>
      </c>
      <c r="C4079" s="11">
        <v>0</v>
      </c>
      <c r="D4079" s="12">
        <v>33.333333333333329</v>
      </c>
      <c r="E4079" s="12" t="s">
        <v>8219</v>
      </c>
      <c r="F4079" s="13">
        <v>6</v>
      </c>
      <c r="G4079" s="14">
        <v>1773.19</v>
      </c>
      <c r="H4079" t="s">
        <v>2119</v>
      </c>
      <c r="I4079">
        <v>2</v>
      </c>
    </row>
    <row r="4080" spans="1:9" ht="15.6" x14ac:dyDescent="0.3">
      <c r="A4080" s="9">
        <v>4079</v>
      </c>
      <c r="B4080" s="2" t="s">
        <v>4085</v>
      </c>
      <c r="C4080" s="11">
        <v>0</v>
      </c>
      <c r="D4080" s="12">
        <v>33.333333333333329</v>
      </c>
      <c r="E4080" s="12" t="s">
        <v>8219</v>
      </c>
      <c r="F4080" s="13">
        <v>6</v>
      </c>
      <c r="G4080" s="14">
        <v>1813.2200000000003</v>
      </c>
      <c r="H4080" t="s">
        <v>1095</v>
      </c>
      <c r="I4080">
        <v>2</v>
      </c>
    </row>
    <row r="4081" spans="1:9" ht="15.6" x14ac:dyDescent="0.3">
      <c r="A4081" s="9">
        <v>4080</v>
      </c>
      <c r="B4081" s="2" t="s">
        <v>4086</v>
      </c>
      <c r="C4081" s="11">
        <v>-6</v>
      </c>
      <c r="D4081" s="12">
        <v>16.666666666666664</v>
      </c>
      <c r="E4081" s="12" t="s">
        <v>8219</v>
      </c>
      <c r="F4081" s="13">
        <v>6</v>
      </c>
      <c r="G4081" s="14">
        <v>1788.1999999999998</v>
      </c>
      <c r="H4081" t="s">
        <v>71</v>
      </c>
      <c r="I4081">
        <v>1</v>
      </c>
    </row>
    <row r="4082" spans="1:9" ht="15.6" x14ac:dyDescent="0.3">
      <c r="A4082" s="9">
        <v>4081</v>
      </c>
      <c r="B4082" s="2" t="s">
        <v>4087</v>
      </c>
      <c r="C4082" s="11">
        <v>4</v>
      </c>
      <c r="D4082" s="12">
        <v>0</v>
      </c>
      <c r="E4082" s="12" t="s">
        <v>8219</v>
      </c>
      <c r="F4082" s="13">
        <v>6</v>
      </c>
      <c r="G4082" s="14">
        <v>1781.2199999999998</v>
      </c>
      <c r="H4082" t="s">
        <v>3847</v>
      </c>
      <c r="I4082">
        <v>3</v>
      </c>
    </row>
    <row r="4083" spans="1:9" ht="15.6" x14ac:dyDescent="0.3">
      <c r="A4083" s="9">
        <v>4082</v>
      </c>
      <c r="B4083" s="2" t="s">
        <v>4088</v>
      </c>
      <c r="C4083" s="11">
        <v>2</v>
      </c>
      <c r="D4083" s="12">
        <v>16.666666666666664</v>
      </c>
      <c r="E4083" s="12" t="s">
        <v>8219</v>
      </c>
      <c r="F4083" s="13">
        <v>6</v>
      </c>
      <c r="G4083" s="14">
        <v>1757.19</v>
      </c>
      <c r="H4083" t="s">
        <v>2823</v>
      </c>
      <c r="I4083">
        <v>3</v>
      </c>
    </row>
    <row r="4084" spans="1:9" ht="15.6" x14ac:dyDescent="0.3">
      <c r="A4084" s="9">
        <v>4083</v>
      </c>
      <c r="B4084" s="2" t="s">
        <v>4089</v>
      </c>
      <c r="C4084" s="11">
        <v>2</v>
      </c>
      <c r="D4084" s="12">
        <v>16.666666666666664</v>
      </c>
      <c r="E4084" s="12" t="s">
        <v>8219</v>
      </c>
      <c r="F4084" s="13">
        <v>6</v>
      </c>
      <c r="G4084" s="14">
        <v>1797.2199999999998</v>
      </c>
      <c r="H4084" t="s">
        <v>1799</v>
      </c>
      <c r="I4084">
        <v>3</v>
      </c>
    </row>
    <row r="4085" spans="1:9" ht="15.6" x14ac:dyDescent="0.3">
      <c r="A4085" s="9">
        <v>4084</v>
      </c>
      <c r="B4085" s="2" t="s">
        <v>4090</v>
      </c>
      <c r="C4085" s="11">
        <v>-4</v>
      </c>
      <c r="D4085" s="12">
        <v>0</v>
      </c>
      <c r="E4085" s="12" t="s">
        <v>8219</v>
      </c>
      <c r="F4085" s="13">
        <v>6</v>
      </c>
      <c r="G4085" s="14">
        <v>1772.1999999999998</v>
      </c>
      <c r="H4085" t="s">
        <v>775</v>
      </c>
      <c r="I4085">
        <v>2</v>
      </c>
    </row>
    <row r="4086" spans="1:9" ht="15.6" x14ac:dyDescent="0.3">
      <c r="A4086" s="9">
        <v>4085</v>
      </c>
      <c r="B4086" s="2" t="s">
        <v>4091</v>
      </c>
      <c r="C4086" s="11">
        <v>2</v>
      </c>
      <c r="D4086" s="12">
        <v>16.666666666666664</v>
      </c>
      <c r="E4086" s="12" t="s">
        <v>8219</v>
      </c>
      <c r="F4086" s="13">
        <v>6</v>
      </c>
      <c r="G4086" s="14">
        <v>1757.19</v>
      </c>
      <c r="H4086" t="s">
        <v>3591</v>
      </c>
      <c r="I4086">
        <v>3</v>
      </c>
    </row>
    <row r="4087" spans="1:9" ht="15.6" x14ac:dyDescent="0.3">
      <c r="A4087" s="9">
        <v>4086</v>
      </c>
      <c r="B4087" s="2" t="s">
        <v>4092</v>
      </c>
      <c r="C4087" s="11">
        <v>0</v>
      </c>
      <c r="D4087" s="12">
        <v>33.333333333333329</v>
      </c>
      <c r="E4087" s="12" t="s">
        <v>8219</v>
      </c>
      <c r="F4087" s="13">
        <v>6</v>
      </c>
      <c r="G4087" s="14">
        <v>1733.1599999999999</v>
      </c>
      <c r="H4087" t="s">
        <v>2567</v>
      </c>
      <c r="I4087">
        <v>2</v>
      </c>
    </row>
    <row r="4088" spans="1:9" ht="15.6" x14ac:dyDescent="0.3">
      <c r="A4088" s="9">
        <v>4087</v>
      </c>
      <c r="B4088" s="2" t="s">
        <v>4093</v>
      </c>
      <c r="C4088" s="11">
        <v>0</v>
      </c>
      <c r="D4088" s="12">
        <v>33.333333333333329</v>
      </c>
      <c r="E4088" s="12" t="s">
        <v>8219</v>
      </c>
      <c r="F4088" s="13">
        <v>6</v>
      </c>
      <c r="G4088" s="14">
        <v>1773.19</v>
      </c>
      <c r="H4088" t="s">
        <v>1543</v>
      </c>
      <c r="I4088">
        <v>2</v>
      </c>
    </row>
    <row r="4089" spans="1:9" ht="15.6" x14ac:dyDescent="0.3">
      <c r="A4089" s="9">
        <v>4088</v>
      </c>
      <c r="B4089" s="2" t="s">
        <v>4094</v>
      </c>
      <c r="C4089" s="11">
        <v>-6</v>
      </c>
      <c r="D4089" s="12">
        <v>16.666666666666664</v>
      </c>
      <c r="E4089" s="12" t="s">
        <v>8219</v>
      </c>
      <c r="F4089" s="13">
        <v>6</v>
      </c>
      <c r="G4089" s="14">
        <v>1748.17</v>
      </c>
      <c r="H4089" t="s">
        <v>519</v>
      </c>
      <c r="I4089">
        <v>1</v>
      </c>
    </row>
    <row r="4090" spans="1:9" ht="15.6" x14ac:dyDescent="0.3">
      <c r="A4090" s="9">
        <v>4089</v>
      </c>
      <c r="B4090" s="2" t="s">
        <v>4095</v>
      </c>
      <c r="C4090" s="11">
        <v>2</v>
      </c>
      <c r="D4090" s="12">
        <v>16.666666666666664</v>
      </c>
      <c r="E4090" s="12" t="s">
        <v>8219</v>
      </c>
      <c r="F4090" s="13">
        <v>6</v>
      </c>
      <c r="G4090" s="14">
        <v>1797.2199999999998</v>
      </c>
      <c r="H4090" t="s">
        <v>3335</v>
      </c>
      <c r="I4090">
        <v>3</v>
      </c>
    </row>
    <row r="4091" spans="1:9" ht="15.6" x14ac:dyDescent="0.3">
      <c r="A4091" s="9">
        <v>4090</v>
      </c>
      <c r="B4091" s="2" t="s">
        <v>4096</v>
      </c>
      <c r="C4091" s="11">
        <v>0</v>
      </c>
      <c r="D4091" s="12">
        <v>33.333333333333329</v>
      </c>
      <c r="E4091" s="12" t="s">
        <v>8219</v>
      </c>
      <c r="F4091" s="13">
        <v>6</v>
      </c>
      <c r="G4091" s="14">
        <v>1773.19</v>
      </c>
      <c r="H4091" t="s">
        <v>2311</v>
      </c>
      <c r="I4091">
        <v>2</v>
      </c>
    </row>
    <row r="4092" spans="1:9" ht="15.6" x14ac:dyDescent="0.3">
      <c r="A4092" s="9">
        <v>4091</v>
      </c>
      <c r="B4092" s="2" t="s">
        <v>4097</v>
      </c>
      <c r="C4092" s="11">
        <v>0</v>
      </c>
      <c r="D4092" s="12">
        <v>33.333333333333329</v>
      </c>
      <c r="E4092" s="12" t="s">
        <v>8219</v>
      </c>
      <c r="F4092" s="13">
        <v>6</v>
      </c>
      <c r="G4092" s="14">
        <v>1813.2200000000003</v>
      </c>
      <c r="H4092" t="s">
        <v>1287</v>
      </c>
      <c r="I4092">
        <v>2</v>
      </c>
    </row>
    <row r="4093" spans="1:9" ht="15.6" x14ac:dyDescent="0.3">
      <c r="A4093" s="9">
        <v>4092</v>
      </c>
      <c r="B4093" s="2" t="s">
        <v>4098</v>
      </c>
      <c r="C4093" s="11">
        <v>-6</v>
      </c>
      <c r="D4093" s="12">
        <v>16.666666666666664</v>
      </c>
      <c r="E4093" s="12" t="s">
        <v>8219</v>
      </c>
      <c r="F4093" s="13">
        <v>6</v>
      </c>
      <c r="G4093" s="14">
        <v>1788.1999999999998</v>
      </c>
      <c r="H4093" t="s">
        <v>263</v>
      </c>
      <c r="I4093">
        <v>1</v>
      </c>
    </row>
    <row r="4094" spans="1:9" ht="15.6" x14ac:dyDescent="0.3">
      <c r="A4094" s="9">
        <v>4093</v>
      </c>
      <c r="B4094" s="2" t="s">
        <v>4099</v>
      </c>
      <c r="C4094" s="11">
        <v>-4</v>
      </c>
      <c r="D4094" s="12">
        <v>0</v>
      </c>
      <c r="E4094" s="12" t="s">
        <v>8219</v>
      </c>
      <c r="F4094" s="13">
        <v>6</v>
      </c>
      <c r="G4094" s="14">
        <v>1772.1999999999998</v>
      </c>
      <c r="H4094" t="s">
        <v>3079</v>
      </c>
      <c r="I4094">
        <v>2</v>
      </c>
    </row>
    <row r="4095" spans="1:9" ht="15.6" x14ac:dyDescent="0.3">
      <c r="A4095" s="9">
        <v>4094</v>
      </c>
      <c r="B4095" s="2" t="s">
        <v>4100</v>
      </c>
      <c r="C4095" s="11">
        <v>-6</v>
      </c>
      <c r="D4095" s="12">
        <v>16.666666666666664</v>
      </c>
      <c r="E4095" s="12" t="s">
        <v>8219</v>
      </c>
      <c r="F4095" s="13">
        <v>6</v>
      </c>
      <c r="G4095" s="14">
        <v>1748.17</v>
      </c>
      <c r="H4095" t="s">
        <v>2055</v>
      </c>
      <c r="I4095">
        <v>1</v>
      </c>
    </row>
    <row r="4096" spans="1:9" ht="15.6" x14ac:dyDescent="0.3">
      <c r="A4096" s="9">
        <v>4095</v>
      </c>
      <c r="B4096" s="2" t="s">
        <v>4101</v>
      </c>
      <c r="C4096" s="11">
        <v>-6</v>
      </c>
      <c r="D4096" s="12">
        <v>16.666666666666664</v>
      </c>
      <c r="E4096" s="12" t="s">
        <v>8219</v>
      </c>
      <c r="F4096" s="13">
        <v>6</v>
      </c>
      <c r="G4096" s="14">
        <v>1788.1999999999998</v>
      </c>
      <c r="H4096" t="s">
        <v>1031</v>
      </c>
      <c r="I4096">
        <v>1</v>
      </c>
    </row>
    <row r="4097" spans="1:9" ht="15.6" x14ac:dyDescent="0.3">
      <c r="A4097" s="9">
        <v>4096</v>
      </c>
      <c r="B4097" s="2" t="s">
        <v>4102</v>
      </c>
      <c r="C4097" s="11">
        <v>-12</v>
      </c>
      <c r="D4097" s="12">
        <v>0</v>
      </c>
      <c r="E4097" s="12" t="s">
        <v>8219</v>
      </c>
      <c r="F4097" s="13">
        <v>6</v>
      </c>
      <c r="G4097" s="14">
        <v>1763.1799999999998</v>
      </c>
      <c r="H4097" t="s">
        <v>7</v>
      </c>
      <c r="I409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F11" sqref="F11"/>
    </sheetView>
  </sheetViews>
  <sheetFormatPr defaultRowHeight="14.4" x14ac:dyDescent="0.3"/>
  <sheetData>
    <row r="1" spans="1:2" x14ac:dyDescent="0.3">
      <c r="A1" t="s">
        <v>8235</v>
      </c>
      <c r="B1" t="s">
        <v>8236</v>
      </c>
    </row>
    <row r="2" spans="1:2" x14ac:dyDescent="0.3">
      <c r="A2">
        <v>1</v>
      </c>
      <c r="B2">
        <v>4</v>
      </c>
    </row>
    <row r="3" spans="1:2" x14ac:dyDescent="0.3">
      <c r="A3">
        <v>2</v>
      </c>
      <c r="B3">
        <f>4^2</f>
        <v>16</v>
      </c>
    </row>
    <row r="4" spans="1:2" x14ac:dyDescent="0.3">
      <c r="A4">
        <v>3</v>
      </c>
      <c r="B4">
        <f>4^3</f>
        <v>64</v>
      </c>
    </row>
    <row r="5" spans="1:2" x14ac:dyDescent="0.3">
      <c r="A5" s="45">
        <v>4</v>
      </c>
      <c r="B5" s="45">
        <f>4^4</f>
        <v>256</v>
      </c>
    </row>
    <row r="6" spans="1:2" x14ac:dyDescent="0.3">
      <c r="A6">
        <v>5</v>
      </c>
      <c r="B6">
        <f>4^5</f>
        <v>1024</v>
      </c>
    </row>
    <row r="7" spans="1:2" x14ac:dyDescent="0.3">
      <c r="A7" s="45">
        <v>6</v>
      </c>
      <c r="B7" s="45">
        <f>4^6</f>
        <v>4096</v>
      </c>
    </row>
    <row r="8" spans="1:2" x14ac:dyDescent="0.3">
      <c r="A8">
        <v>7</v>
      </c>
      <c r="B8">
        <f>4^7</f>
        <v>16384</v>
      </c>
    </row>
    <row r="9" spans="1:2" x14ac:dyDescent="0.3">
      <c r="A9" s="45">
        <v>8</v>
      </c>
      <c r="B9" s="45">
        <f>4^8</f>
        <v>65536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Vera Diaz</dc:creator>
  <cp:lastModifiedBy>Vera Diaz</cp:lastModifiedBy>
  <dcterms:created xsi:type="dcterms:W3CDTF">2018-04-19T04:54:30Z</dcterms:created>
  <dcterms:modified xsi:type="dcterms:W3CDTF">2018-04-19T07:19:18Z</dcterms:modified>
</cp:coreProperties>
</file>